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svn\202501_finance_system\doc\20_外部設計\01_成果物\F4111_対外インターフェース設計書\"/>
    </mc:Choice>
  </mc:AlternateContent>
  <xr:revisionPtr revIDLastSave="0" documentId="13_ncr:1_{5602ECCF-3997-4FFA-A66A-B7AB857F4249}" xr6:coauthVersionLast="47" xr6:coauthVersionMax="47" xr10:uidLastSave="{00000000-0000-0000-0000-000000000000}"/>
  <bookViews>
    <workbookView xWindow="-108" yWindow="-108" windowWidth="23256" windowHeight="13896" tabRatio="764" xr2:uid="{00000000-000D-0000-FFFF-FFFF00000000}"/>
  </bookViews>
  <sheets>
    <sheet name="変更履歴 " sheetId="15" r:id="rId1"/>
    <sheet name="全農照合債務データファイル" sheetId="19" r:id="rId2"/>
    <sheet name="全農債権債務照合結果ファイル" sheetId="20" r:id="rId3"/>
    <sheet name="全農請求データファイル" sheetId="21" r:id="rId4"/>
    <sheet name="代金引落通知データ（固定長）ファイル" sheetId="23" r:id="rId5"/>
  </sheets>
  <definedNames>
    <definedName name="_xlnm._FilterDatabase" localSheetId="2" hidden="1">全農債権債務照合結果ファイル!$A$10:$AG$193</definedName>
    <definedName name="_xlnm._FilterDatabase" localSheetId="4" hidden="1">'代金引落通知データ（固定長）ファイル'!$B$10:$Z$39</definedName>
    <definedName name="_xlnm.Print_Area" localSheetId="2">全農債権債務照合結果ファイル!$A$1:$AA$195</definedName>
    <definedName name="_xlnm.Print_Area" localSheetId="1">全農照合債務データファイル!$A$1:$AA$34</definedName>
    <definedName name="_xlnm.Print_Area" localSheetId="3">全農請求データファイル!$A$1:$AA$81</definedName>
    <definedName name="_xlnm.Print_Area" localSheetId="4">'代金引落通知データ（固定長）ファイル'!$A$1:$AA$40</definedName>
    <definedName name="_xlnm.Print_Area" localSheetId="0">'変更履歴 '!$A$1:$BJ$58</definedName>
    <definedName name="_xlnm.Print_Titles" localSheetId="2">全農債権債務照合結果ファイル!$1:$10</definedName>
    <definedName name="_xlnm.Print_Titles" localSheetId="1">全農照合債務データファイル!$1:$10</definedName>
    <definedName name="_xlnm.Print_Titles" localSheetId="3">全農請求データファイル!$1:$10</definedName>
    <definedName name="_xlnm.Print_Titles" localSheetId="4">'代金引落通知データ（固定長）ファイル'!$1:$10</definedName>
    <definedName name="_xlnm.Print_Titles" localSheetId="0">'変更履歴 '!$1:$5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23" l="1"/>
  <c r="AD6" i="20"/>
  <c r="AD6" i="19"/>
  <c r="AD7" i="19" l="1"/>
  <c r="AD8" i="19" s="1"/>
  <c r="AD10" i="19" s="1"/>
  <c r="AD2" i="19"/>
  <c r="B11" i="23"/>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AD6" i="23"/>
  <c r="AF2" i="23"/>
  <c r="AD2" i="23"/>
  <c r="AF1" i="23"/>
  <c r="AD1" i="23"/>
  <c r="AD7" i="23" l="1"/>
  <c r="AD8" i="23" s="1"/>
  <c r="AD10" i="23" s="1"/>
  <c r="B11" i="21"/>
  <c r="B12" i="21" s="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B35" i="21" s="1"/>
  <c r="B36" i="21" s="1"/>
  <c r="B37" i="21" s="1"/>
  <c r="B38" i="21" s="1"/>
  <c r="B39" i="21" s="1"/>
  <c r="B40" i="21" s="1"/>
  <c r="B41" i="21" s="1"/>
  <c r="B42" i="21" s="1"/>
  <c r="B43" i="21" s="1"/>
  <c r="B44" i="21" s="1"/>
  <c r="B45" i="21" s="1"/>
  <c r="B46" i="21" s="1"/>
  <c r="B47" i="21" s="1"/>
  <c r="B48" i="21" s="1"/>
  <c r="B49" i="21" s="1"/>
  <c r="B50" i="21" s="1"/>
  <c r="B51" i="21" s="1"/>
  <c r="B52" i="21" s="1"/>
  <c r="B53" i="21" s="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AD6" i="21"/>
  <c r="AF2" i="21"/>
  <c r="AD2" i="21"/>
  <c r="AF1" i="21"/>
  <c r="AD1" i="21"/>
  <c r="AD7" i="21" l="1"/>
  <c r="AD8" i="21" s="1"/>
  <c r="AD10" i="21" s="1"/>
  <c r="X7" i="21" s="1"/>
  <c r="B11" i="20"/>
  <c r="B12" i="20" s="1"/>
  <c r="AF2" i="20"/>
  <c r="AD2" i="20"/>
  <c r="AF1" i="20"/>
  <c r="AD1" i="20"/>
  <c r="B13" i="20" l="1"/>
  <c r="B14" i="20" s="1"/>
  <c r="B15" i="20" s="1"/>
  <c r="B16" i="20" s="1"/>
  <c r="B17" i="20" s="1"/>
  <c r="B18" i="20" s="1"/>
  <c r="B19" i="20" s="1"/>
  <c r="B20" i="20" s="1"/>
  <c r="B21" i="20" s="1"/>
  <c r="B22" i="20" s="1"/>
  <c r="B23" i="20" s="1"/>
  <c r="B24" i="20" s="1"/>
  <c r="B25" i="20" s="1"/>
  <c r="B26" i="20" s="1"/>
  <c r="B27" i="20" s="1"/>
  <c r="B28" i="20" s="1"/>
  <c r="B29" i="20" s="1"/>
  <c r="B30" i="20" s="1"/>
  <c r="B31" i="20" s="1"/>
  <c r="B32" i="20" s="1"/>
  <c r="B33" i="20" s="1"/>
  <c r="B34" i="20" s="1"/>
  <c r="B35" i="20" s="1"/>
  <c r="B36" i="20" s="1"/>
  <c r="B37" i="20" s="1"/>
  <c r="B38" i="20" s="1"/>
  <c r="B39" i="20" s="1"/>
  <c r="B40" i="20" s="1"/>
  <c r="B41" i="20" s="1"/>
  <c r="B42" i="20" s="1"/>
  <c r="B43" i="20" s="1"/>
  <c r="B44" i="20" s="1"/>
  <c r="B45" i="20" s="1"/>
  <c r="B46" i="20" s="1"/>
  <c r="B47" i="20" s="1"/>
  <c r="B48" i="20" s="1"/>
  <c r="B49" i="20" s="1"/>
  <c r="B50" i="20" s="1"/>
  <c r="B51" i="20" s="1"/>
  <c r="B52" i="20" s="1"/>
  <c r="B53" i="20" s="1"/>
  <c r="B54" i="20" s="1"/>
  <c r="B55" i="20" s="1"/>
  <c r="B56" i="20" s="1"/>
  <c r="B57" i="20" s="1"/>
  <c r="B58" i="20" s="1"/>
  <c r="B59" i="20" s="1"/>
  <c r="B60" i="20" s="1"/>
  <c r="B61" i="20" s="1"/>
  <c r="B62" i="20" s="1"/>
  <c r="B63" i="20" s="1"/>
  <c r="B64" i="20" s="1"/>
  <c r="B65" i="20" s="1"/>
  <c r="B66" i="20" s="1"/>
  <c r="B67" i="20" s="1"/>
  <c r="B68" i="20" s="1"/>
  <c r="B69" i="20" s="1"/>
  <c r="B70" i="20" s="1"/>
  <c r="B71" i="20" s="1"/>
  <c r="B72" i="20" s="1"/>
  <c r="B73" i="20" s="1"/>
  <c r="B74" i="20" s="1"/>
  <c r="B75" i="20" s="1"/>
  <c r="B76" i="20" s="1"/>
  <c r="B77" i="20" s="1"/>
  <c r="B78" i="20" s="1"/>
  <c r="B79" i="20" s="1"/>
  <c r="B80" i="20" s="1"/>
  <c r="AD7" i="20"/>
  <c r="AD8" i="20" s="1"/>
  <c r="AD10" i="20" s="1"/>
  <c r="X7" i="20" s="1"/>
  <c r="B11" i="19"/>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AF2" i="19"/>
  <c r="AF1" i="19"/>
  <c r="AD1" i="19"/>
  <c r="B81" i="20" l="1"/>
  <c r="B82" i="20" s="1"/>
  <c r="B83" i="20" s="1"/>
  <c r="B84" i="20" s="1"/>
  <c r="B85" i="20" s="1"/>
  <c r="B86" i="20" s="1"/>
  <c r="B87" i="20" s="1"/>
  <c r="B88" i="20" s="1"/>
  <c r="B89" i="20" s="1"/>
  <c r="B90" i="20" s="1"/>
  <c r="B91" i="20" s="1"/>
  <c r="B92" i="20" s="1"/>
  <c r="B93" i="20" s="1"/>
  <c r="B94" i="20" s="1"/>
  <c r="B95" i="20" s="1"/>
  <c r="B96" i="20" s="1"/>
  <c r="B97" i="20" s="1"/>
  <c r="B98" i="20" s="1"/>
  <c r="B99" i="20" s="1"/>
  <c r="B100" i="20" s="1"/>
  <c r="B101" i="20" s="1"/>
  <c r="B102" i="20" s="1"/>
  <c r="B103" i="20" s="1"/>
  <c r="B104" i="20" s="1"/>
  <c r="B105" i="20" s="1"/>
  <c r="B106" i="20" s="1"/>
  <c r="B107" i="20" s="1"/>
  <c r="B108" i="20" s="1"/>
  <c r="B109" i="20" s="1"/>
  <c r="B110" i="20" s="1"/>
  <c r="B111" i="20" s="1"/>
  <c r="B112" i="20" s="1"/>
  <c r="B113" i="20" s="1"/>
  <c r="B114" i="20" s="1"/>
  <c r="B115" i="20" s="1"/>
  <c r="B116" i="20" s="1"/>
  <c r="B117" i="20" s="1"/>
  <c r="B118" i="20" s="1"/>
  <c r="B119" i="20" s="1"/>
  <c r="B120" i="20" s="1"/>
  <c r="B121" i="20" s="1"/>
  <c r="B122" i="20" s="1"/>
  <c r="B123" i="20" s="1"/>
  <c r="B124" i="20" s="1"/>
  <c r="B125" i="20" s="1"/>
  <c r="B126" i="20" s="1"/>
  <c r="B127" i="20" s="1"/>
  <c r="B128" i="20" s="1"/>
  <c r="B129" i="20" s="1"/>
  <c r="B130" i="20" s="1"/>
  <c r="B131" i="20" s="1"/>
  <c r="B132" i="20" s="1"/>
  <c r="B133" i="20" s="1"/>
  <c r="B134" i="20" s="1"/>
  <c r="B135" i="20" s="1"/>
  <c r="B136" i="20" s="1"/>
  <c r="B137" i="20" s="1"/>
  <c r="B138" i="20" s="1"/>
  <c r="B139" i="20" s="1"/>
  <c r="B140" i="20" s="1"/>
  <c r="B141" i="20" s="1"/>
  <c r="B142" i="20" s="1"/>
  <c r="B143" i="20" s="1"/>
  <c r="B144" i="20" s="1"/>
  <c r="B145" i="20" s="1"/>
  <c r="B146" i="20" s="1"/>
  <c r="B147" i="20" s="1"/>
  <c r="B148" i="20" s="1"/>
  <c r="B149" i="20" s="1"/>
  <c r="B150" i="20" s="1"/>
  <c r="B151" i="20" s="1"/>
  <c r="B152" i="20" s="1"/>
  <c r="B153" i="20" s="1"/>
  <c r="B154" i="20" s="1"/>
  <c r="B155" i="20" s="1"/>
  <c r="B156" i="20" s="1"/>
  <c r="B157" i="20" s="1"/>
  <c r="B158" i="20" s="1"/>
  <c r="B159" i="20" s="1"/>
  <c r="B160" i="20" s="1"/>
  <c r="B161" i="20" s="1"/>
  <c r="B162" i="20" s="1"/>
  <c r="B163" i="20" s="1"/>
  <c r="B164" i="20" s="1"/>
  <c r="B165" i="20" s="1"/>
  <c r="B166" i="20" s="1"/>
  <c r="B167" i="20" s="1"/>
  <c r="B168" i="20" s="1"/>
  <c r="B169" i="20" s="1"/>
  <c r="B170" i="20" s="1"/>
  <c r="B171" i="20" s="1"/>
  <c r="B172" i="20" s="1"/>
  <c r="B173" i="20" s="1"/>
  <c r="B174" i="20" s="1"/>
  <c r="B175" i="20" s="1"/>
  <c r="B176" i="20" s="1"/>
  <c r="B177" i="20" s="1"/>
  <c r="B178" i="20" s="1"/>
  <c r="B179" i="20" s="1"/>
  <c r="B180" i="20" s="1"/>
  <c r="B181" i="20" s="1"/>
  <c r="B182" i="20" s="1"/>
  <c r="B183" i="20" s="1"/>
  <c r="B184" i="20" s="1"/>
  <c r="B185" i="20" s="1"/>
  <c r="B186" i="20" s="1"/>
  <c r="B187" i="20" s="1"/>
  <c r="B188" i="20" s="1"/>
  <c r="B189" i="20" s="1"/>
  <c r="B190" i="20" s="1"/>
  <c r="B191" i="20" s="1"/>
  <c r="B192" i="20" s="1"/>
  <c r="B193" i="20" s="1"/>
  <c r="X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C99695-AC7F-463E-B29D-CF68395BB516}">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5C9DC8BC-7D68-4DA7-A62B-CF809B6D4582}">
      <text>
        <r>
          <rPr>
            <sz val="9"/>
            <color indexed="81"/>
            <rFont val="MS P ゴシック"/>
            <family val="3"/>
            <charset val="128"/>
          </rPr>
          <t>項目長が可変の場合'○'を記入</t>
        </r>
      </text>
    </comment>
    <comment ref="O10" authorId="0" shapeId="0" xr:uid="{E2FFA2F0-E74D-44C4-8F8A-7B9490A7BD3F}">
      <text>
        <r>
          <rPr>
            <sz val="9"/>
            <color indexed="81"/>
            <rFont val="MS P ゴシック"/>
            <family val="3"/>
            <charset val="128"/>
          </rPr>
          <t xml:space="preserve">値未設定がある場合'有'を記入
</t>
        </r>
      </text>
    </comment>
    <comment ref="Q10" authorId="0" shapeId="0" xr:uid="{3B2A19E4-2DC1-48A9-A98F-B3E19BC70470}">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ABFC72A6-BD8C-4ABA-9CCB-F34E067BB4D4}">
      <text>
        <r>
          <rPr>
            <sz val="9"/>
            <color indexed="81"/>
            <rFont val="MS P ゴシック"/>
            <family val="3"/>
            <charset val="128"/>
          </rPr>
          <t>項目長が可変の場合'○'を記入</t>
        </r>
      </text>
    </comment>
    <comment ref="O10" authorId="0" shapeId="0" xr:uid="{A489E751-892B-43BE-8124-9CA49C4B4E4B}">
      <text>
        <r>
          <rPr>
            <sz val="9"/>
            <color indexed="81"/>
            <rFont val="MS P ゴシック"/>
            <family val="3"/>
            <charset val="128"/>
          </rPr>
          <t xml:space="preserve">値未設定がある場合'有'を記入
</t>
        </r>
      </text>
    </comment>
    <comment ref="Q10" authorId="0" shapeId="0" xr:uid="{10A04897-C28A-4F68-82BC-44B41A0829AF}">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324D9C6E-07D7-439D-941E-437C2FB29971}">
      <text>
        <r>
          <rPr>
            <sz val="9"/>
            <color indexed="81"/>
            <rFont val="MS P ゴシック"/>
            <family val="3"/>
            <charset val="128"/>
          </rPr>
          <t>項目長が可変の場合'○'を記入</t>
        </r>
      </text>
    </comment>
    <comment ref="O10" authorId="0" shapeId="0" xr:uid="{FF42EAEE-09F7-45CA-9479-52A5E903339B}">
      <text>
        <r>
          <rPr>
            <sz val="9"/>
            <color indexed="81"/>
            <rFont val="MS P ゴシック"/>
            <family val="3"/>
            <charset val="128"/>
          </rPr>
          <t xml:space="preserve">値未設定がある場合'有'を記入
</t>
        </r>
      </text>
    </comment>
    <comment ref="Q10" authorId="0" shapeId="0" xr:uid="{48C81B8E-C75C-4006-A2A4-8EFBCDC18FC1}">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A4333D8E-7376-492F-BB6E-5A654421F3B3}">
      <text>
        <r>
          <rPr>
            <sz val="9"/>
            <color indexed="81"/>
            <rFont val="MS P ゴシック"/>
            <family val="3"/>
            <charset val="128"/>
          </rPr>
          <t>項目長が可変の場合'○'を記入</t>
        </r>
      </text>
    </comment>
    <comment ref="O10" authorId="0" shapeId="0" xr:uid="{DE865FC1-846C-461C-B354-9558ABC43CA6}">
      <text>
        <r>
          <rPr>
            <sz val="9"/>
            <color indexed="81"/>
            <rFont val="MS P ゴシック"/>
            <family val="3"/>
            <charset val="128"/>
          </rPr>
          <t xml:space="preserve">値未設定がある場合'有'を記入
</t>
        </r>
      </text>
    </comment>
    <comment ref="Q10" authorId="0" shapeId="0" xr:uid="{15566137-950F-4998-89CC-3047B9C46B24}">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sharedStrings.xml><?xml version="1.0" encoding="utf-8"?>
<sst xmlns="http://schemas.openxmlformats.org/spreadsheetml/2006/main" count="973" uniqueCount="445">
  <si>
    <t>Ｐｈａｓｅ　外部設計工程</t>
    <rPh sb="6" eb="8">
      <t>ガイブ</t>
    </rPh>
    <rPh sb="8" eb="10">
      <t>セッケイ</t>
    </rPh>
    <rPh sb="10" eb="12">
      <t>コウテイ</t>
    </rPh>
    <phoneticPr fontId="1"/>
  </si>
  <si>
    <t>HOKUREN INTERNAL USE ONLY</t>
  </si>
  <si>
    <t>対外インターフェース設計書　変更履歴</t>
    <rPh sb="0" eb="2">
      <t>タイガイ</t>
    </rPh>
    <rPh sb="10" eb="13">
      <t>セッケイショ</t>
    </rPh>
    <rPh sb="14" eb="16">
      <t>ヘンコウ</t>
    </rPh>
    <rPh sb="16" eb="18">
      <t>リレキ</t>
    </rPh>
    <phoneticPr fontId="1"/>
  </si>
  <si>
    <t>様式No.</t>
    <rPh sb="0" eb="2">
      <t>ヨウシキ</t>
    </rPh>
    <phoneticPr fontId="1"/>
  </si>
  <si>
    <t>F4111-0</t>
    <phoneticPr fontId="1"/>
  </si>
  <si>
    <t>PAGE</t>
    <phoneticPr fontId="1"/>
  </si>
  <si>
    <t>システム名</t>
    <rPh sb="4" eb="5">
      <t>メイ</t>
    </rPh>
    <phoneticPr fontId="1"/>
  </si>
  <si>
    <t>統合会計システム</t>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</si>
  <si>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</si>
  <si>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</si>
  <si>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</si>
  <si>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</si>
  <si>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11"/>
  </si>
  <si>
    <t>24058</t>
  </si>
  <si>
    <t>基幹システム再構築　会計システム外部設計</t>
  </si>
  <si>
    <t>Ｐｈａｓｅ  外部設計局面</t>
    <rPh sb="7" eb="9">
      <t>ガイブ</t>
    </rPh>
    <rPh sb="9" eb="11">
      <t>セッケイ</t>
    </rPh>
    <rPh sb="11" eb="13">
      <t>キョクメン</t>
    </rPh>
    <phoneticPr fontId="1"/>
  </si>
  <si>
    <t>HOKUREN INTERNAL USE ONLY</t>
    <phoneticPr fontId="1"/>
  </si>
  <si>
    <t>項目数</t>
    <rPh sb="0" eb="2">
      <t>コウモク</t>
    </rPh>
    <rPh sb="2" eb="3">
      <t>スウ</t>
    </rPh>
    <phoneticPr fontId="1"/>
  </si>
  <si>
    <t>区切文字</t>
    <rPh sb="0" eb="2">
      <t>クギ</t>
    </rPh>
    <rPh sb="2" eb="4">
      <t>モジ</t>
    </rPh>
    <phoneticPr fontId="1"/>
  </si>
  <si>
    <t>対外インターフェース設計書(HULFT汎用)</t>
    <rPh sb="0" eb="2">
      <t>タイガイ</t>
    </rPh>
    <rPh sb="10" eb="12">
      <t>セッケイ</t>
    </rPh>
    <rPh sb="12" eb="13">
      <t>ショ</t>
    </rPh>
    <rPh sb="19" eb="21">
      <t>ハンヨウ</t>
    </rPh>
    <phoneticPr fontId="1"/>
  </si>
  <si>
    <t>改行コード</t>
    <rPh sb="0" eb="2">
      <t>カイギョウ</t>
    </rPh>
    <phoneticPr fontId="1"/>
  </si>
  <si>
    <t>項目分離</t>
    <rPh sb="0" eb="2">
      <t>コウモク</t>
    </rPh>
    <rPh sb="2" eb="4">
      <t>ブンリ</t>
    </rPh>
    <phoneticPr fontId="1"/>
  </si>
  <si>
    <t>作成日</t>
    <rPh sb="0" eb="3">
      <t>サクセイビ</t>
    </rPh>
    <phoneticPr fontId="1"/>
  </si>
  <si>
    <t>様式NO.</t>
    <rPh sb="0" eb="2">
      <t>ヨウシキ</t>
    </rPh>
    <phoneticPr fontId="1"/>
  </si>
  <si>
    <t>頁</t>
    <rPh sb="0" eb="1">
      <t>ページ</t>
    </rPh>
    <phoneticPr fontId="1"/>
  </si>
  <si>
    <t>ﾃﾞｰﾀｽﾄｱ№</t>
    <phoneticPr fontId="1"/>
  </si>
  <si>
    <t>D10130101</t>
    <phoneticPr fontId="1"/>
  </si>
  <si>
    <t>ファイル名</t>
    <phoneticPr fontId="1"/>
  </si>
  <si>
    <t>全農照合債務データファイル</t>
    <phoneticPr fontId="1"/>
  </si>
  <si>
    <t>項目合計</t>
    <rPh sb="0" eb="2">
      <t>コウモク</t>
    </rPh>
    <rPh sb="2" eb="4">
      <t>ゴウケイ</t>
    </rPh>
    <phoneticPr fontId="1"/>
  </si>
  <si>
    <t>エンコード</t>
    <phoneticPr fontId="1"/>
  </si>
  <si>
    <t>UTF-8</t>
    <phoneticPr fontId="1"/>
  </si>
  <si>
    <t>文字集合</t>
    <rPh sb="0" eb="2">
      <t>モジ</t>
    </rPh>
    <rPh sb="2" eb="4">
      <t>シュウゴウ</t>
    </rPh>
    <phoneticPr fontId="1"/>
  </si>
  <si>
    <t>ﾚｺｰﾄﾞ長</t>
    <rPh sb="5" eb="6">
      <t>チョウ</t>
    </rPh>
    <phoneticPr fontId="1"/>
  </si>
  <si>
    <t>区切り分補正</t>
    <rPh sb="0" eb="2">
      <t>クギ</t>
    </rPh>
    <rPh sb="3" eb="4">
      <t>ブン</t>
    </rPh>
    <rPh sb="4" eb="6">
      <t>ホセイ</t>
    </rPh>
    <phoneticPr fontId="1"/>
  </si>
  <si>
    <t>改行</t>
    <rPh sb="0" eb="2">
      <t>カイギョウ</t>
    </rPh>
    <phoneticPr fontId="1"/>
  </si>
  <si>
    <t>CR-LF</t>
  </si>
  <si>
    <t>分離</t>
    <rPh sb="0" eb="2">
      <t>ブンリ</t>
    </rPh>
    <phoneticPr fontId="1"/>
  </si>
  <si>
    <t>無し</t>
  </si>
  <si>
    <t>区切</t>
    <rPh sb="0" eb="2">
      <t>クギ</t>
    </rPh>
    <phoneticPr fontId="1"/>
  </si>
  <si>
    <t>項目分離分補正</t>
    <rPh sb="0" eb="2">
      <t>コウモク</t>
    </rPh>
    <rPh sb="2" eb="4">
      <t>ブンリ</t>
    </rPh>
    <rPh sb="4" eb="5">
      <t>ブン</t>
    </rPh>
    <rPh sb="5" eb="7">
      <t>ホセイ</t>
    </rPh>
    <phoneticPr fontId="1"/>
  </si>
  <si>
    <t>No</t>
    <phoneticPr fontId="1"/>
  </si>
  <si>
    <t>項目名称</t>
    <rPh sb="0" eb="2">
      <t>コウモク</t>
    </rPh>
    <rPh sb="2" eb="4">
      <t>メイショウ</t>
    </rPh>
    <phoneticPr fontId="1"/>
  </si>
  <si>
    <t>桁
(ﾊﾞｲﾄ)</t>
    <rPh sb="0" eb="1">
      <t>ケタ</t>
    </rPh>
    <phoneticPr fontId="1"/>
  </si>
  <si>
    <t>属性</t>
    <rPh sb="0" eb="2">
      <t>ゾクセイ</t>
    </rPh>
    <phoneticPr fontId="1"/>
  </si>
  <si>
    <t>可変</t>
    <rPh sb="0" eb="2">
      <t>カヘン</t>
    </rPh>
    <phoneticPr fontId="1"/>
  </si>
  <si>
    <t>空値</t>
    <rPh sb="0" eb="1">
      <t>カラ</t>
    </rPh>
    <rPh sb="1" eb="2">
      <t>チ</t>
    </rPh>
    <phoneticPr fontId="1"/>
  </si>
  <si>
    <t>ﾏｯﾋﾟﾝｸﾞ</t>
    <phoneticPr fontId="1"/>
  </si>
  <si>
    <t>説  明</t>
    <rPh sb="0" eb="4">
      <t>セツメイ</t>
    </rPh>
    <phoneticPr fontId="1"/>
  </si>
  <si>
    <t>改行コード付与</t>
    <rPh sb="0" eb="2">
      <t>カイギョウ</t>
    </rPh>
    <rPh sb="5" eb="7">
      <t>フヨ</t>
    </rPh>
    <phoneticPr fontId="1"/>
  </si>
  <si>
    <t>データ種別コード（データレコード）</t>
  </si>
  <si>
    <t>半角英数字</t>
  </si>
  <si>
    <t>業種により設定値が以下になる。
肥料＝H1
農薬＝H5
資材＝H6
農機自動車＝H4
その他業種＝H3</t>
    <rPh sb="0" eb="2">
      <t>ギョウシュ</t>
    </rPh>
    <rPh sb="5" eb="8">
      <t>セッテイチ</t>
    </rPh>
    <rPh sb="9" eb="11">
      <t>イカ</t>
    </rPh>
    <phoneticPr fontId="3"/>
  </si>
  <si>
    <t>送信ＳＥＱ－ＮＯ</t>
  </si>
  <si>
    <t>半角数字</t>
  </si>
  <si>
    <t>1からの連番</t>
    <rPh sb="4" eb="6">
      <t>レンバン</t>
    </rPh>
    <phoneticPr fontId="3"/>
  </si>
  <si>
    <t>経理年月日</t>
  </si>
  <si>
    <t>経理日</t>
    <rPh sb="0" eb="3">
      <t>ケイリビ</t>
    </rPh>
    <phoneticPr fontId="3"/>
  </si>
  <si>
    <t>荷受人コード</t>
  </si>
  <si>
    <t>受発注組織コード</t>
    <rPh sb="0" eb="3">
      <t>ジュハッチュウ</t>
    </rPh>
    <rPh sb="3" eb="5">
      <t>ソシキ</t>
    </rPh>
    <phoneticPr fontId="3"/>
  </si>
  <si>
    <t>出荷元コード</t>
  </si>
  <si>
    <t>出荷元コード</t>
    <rPh sb="0" eb="2">
      <t>シュッカ</t>
    </rPh>
    <rPh sb="2" eb="3">
      <t>モト</t>
    </rPh>
    <phoneticPr fontId="3"/>
  </si>
  <si>
    <t>品名コード</t>
  </si>
  <si>
    <t>設定値はF4190_DA_6.3.全農照合参照</t>
    <rPh sb="0" eb="3">
      <t>セッテイチ</t>
    </rPh>
    <rPh sb="21" eb="23">
      <t>サンショウ</t>
    </rPh>
    <phoneticPr fontId="3"/>
  </si>
  <si>
    <t>指図ＮＯ</t>
  </si>
  <si>
    <t>半角英数字</t>
    <rPh sb="2" eb="3">
      <t>エイ</t>
    </rPh>
    <phoneticPr fontId="1"/>
  </si>
  <si>
    <t>出荷年月日</t>
  </si>
  <si>
    <t>出荷年月日</t>
    <rPh sb="0" eb="2">
      <t>シュッカ</t>
    </rPh>
    <rPh sb="2" eb="5">
      <t>ネンガッピ</t>
    </rPh>
    <phoneticPr fontId="3"/>
  </si>
  <si>
    <t>数量</t>
  </si>
  <si>
    <t>単価</t>
  </si>
  <si>
    <t>部門品目単価かゼロを設定
※条件はF4190_DA_6.3.全農照合参照</t>
    <rPh sb="0" eb="4">
      <t>ブモンヒンモク</t>
    </rPh>
    <rPh sb="4" eb="6">
      <t>タンカ</t>
    </rPh>
    <rPh sb="10" eb="12">
      <t>セッテイ</t>
    </rPh>
    <rPh sb="14" eb="16">
      <t>ジョウケン</t>
    </rPh>
    <phoneticPr fontId="3"/>
  </si>
  <si>
    <t>金額</t>
  </si>
  <si>
    <t>本体金額</t>
    <rPh sb="0" eb="2">
      <t>ホンタイ</t>
    </rPh>
    <rPh sb="2" eb="4">
      <t>キンガク</t>
    </rPh>
    <phoneticPr fontId="3"/>
  </si>
  <si>
    <t>受渡条件</t>
  </si>
  <si>
    <t>・品代の場合
　業種＝「肥料」の場合、受渡区分
　業種＝「肥料」以外の場合、スペースを設定
・品代以外の場合
　業種＝「肥料」の場合、受渡区分
　業種＝「肥料」以外の場合、スペースを設定</t>
    <rPh sb="1" eb="3">
      <t>シナダイ</t>
    </rPh>
    <rPh sb="4" eb="6">
      <t>バアイ</t>
    </rPh>
    <rPh sb="8" eb="10">
      <t>ギョウシュ</t>
    </rPh>
    <rPh sb="12" eb="14">
      <t>ヒリョウ</t>
    </rPh>
    <rPh sb="16" eb="18">
      <t>バアイ</t>
    </rPh>
    <rPh sb="19" eb="21">
      <t>ウケワタシ</t>
    </rPh>
    <rPh sb="21" eb="23">
      <t>クブン</t>
    </rPh>
    <rPh sb="25" eb="27">
      <t>ギョウシュ</t>
    </rPh>
    <rPh sb="29" eb="31">
      <t>ヒリョウ</t>
    </rPh>
    <rPh sb="32" eb="34">
      <t>イガイ</t>
    </rPh>
    <rPh sb="35" eb="37">
      <t>バアイ</t>
    </rPh>
    <rPh sb="43" eb="45">
      <t>セッテイ</t>
    </rPh>
    <rPh sb="47" eb="49">
      <t>シナダイ</t>
    </rPh>
    <rPh sb="49" eb="51">
      <t>イガイ</t>
    </rPh>
    <rPh sb="52" eb="54">
      <t>バアイ</t>
    </rPh>
    <rPh sb="91" eb="93">
      <t>セッテイ</t>
    </rPh>
    <phoneticPr fontId="3"/>
  </si>
  <si>
    <t>区分</t>
  </si>
  <si>
    <t>・品代の場合
　業種＝「肥料」の場合、区分
　業種＝「肥料」以外の場合、スペースを設定
・品代以外の場合
　業種＝「肥料」の場合、区分
　業種＝「肥料」以外の場合、スペースを設定</t>
    <rPh sb="1" eb="3">
      <t>シナダイ</t>
    </rPh>
    <rPh sb="4" eb="6">
      <t>バアイ</t>
    </rPh>
    <rPh sb="8" eb="10">
      <t>ギョウシュ</t>
    </rPh>
    <rPh sb="12" eb="14">
      <t>ヒリョウ</t>
    </rPh>
    <rPh sb="16" eb="18">
      <t>バアイ</t>
    </rPh>
    <rPh sb="19" eb="21">
      <t>クブン</t>
    </rPh>
    <rPh sb="23" eb="25">
      <t>ギョウシュ</t>
    </rPh>
    <rPh sb="27" eb="29">
      <t>ヒリョウ</t>
    </rPh>
    <rPh sb="30" eb="32">
      <t>イガイ</t>
    </rPh>
    <rPh sb="33" eb="35">
      <t>バアイ</t>
    </rPh>
    <rPh sb="41" eb="43">
      <t>セッテイ</t>
    </rPh>
    <rPh sb="45" eb="47">
      <t>シナダイ</t>
    </rPh>
    <rPh sb="47" eb="49">
      <t>イガイ</t>
    </rPh>
    <rPh sb="50" eb="52">
      <t>バアイ</t>
    </rPh>
    <rPh sb="87" eb="89">
      <t>セッテイ</t>
    </rPh>
    <phoneticPr fontId="3"/>
  </si>
  <si>
    <t>次別</t>
  </si>
  <si>
    <t>・品代の場合
　業種＝「肥料」の場合、次別
　業種＝「肥料」以外の場合、スペースを設定
・品代以外の場合
　業種＝「肥料」の場合、次別
　業種＝「肥料」以外の場合、スペースを設定</t>
    <rPh sb="1" eb="3">
      <t>シナダイ</t>
    </rPh>
    <rPh sb="4" eb="6">
      <t>バアイ</t>
    </rPh>
    <rPh sb="8" eb="10">
      <t>ギョウシュ</t>
    </rPh>
    <rPh sb="12" eb="14">
      <t>ヒリョウ</t>
    </rPh>
    <rPh sb="16" eb="18">
      <t>バアイ</t>
    </rPh>
    <rPh sb="19" eb="21">
      <t>ジベツ</t>
    </rPh>
    <rPh sb="23" eb="25">
      <t>ギョウシュ</t>
    </rPh>
    <rPh sb="27" eb="29">
      <t>ヒリョウ</t>
    </rPh>
    <rPh sb="30" eb="32">
      <t>イガイ</t>
    </rPh>
    <rPh sb="33" eb="35">
      <t>バアイ</t>
    </rPh>
    <rPh sb="41" eb="43">
      <t>セッテイ</t>
    </rPh>
    <rPh sb="45" eb="47">
      <t>シナダイ</t>
    </rPh>
    <rPh sb="47" eb="49">
      <t>イガイ</t>
    </rPh>
    <rPh sb="50" eb="52">
      <t>バアイ</t>
    </rPh>
    <rPh sb="65" eb="67">
      <t>ジベツ</t>
    </rPh>
    <rPh sb="87" eb="89">
      <t>セッテイ</t>
    </rPh>
    <phoneticPr fontId="3"/>
  </si>
  <si>
    <t>摘要</t>
  </si>
  <si>
    <t>スペースを設定</t>
    <rPh sb="5" eb="7">
      <t>セッテイ</t>
    </rPh>
    <phoneticPr fontId="3"/>
  </si>
  <si>
    <t>品名カナ</t>
  </si>
  <si>
    <t>・品代／品代以外を金額摘要コードより判別
・品代の場合、共通商品名称（カナ）
・品代以外の場合、金額摘要コードのカナ名</t>
    <rPh sb="22" eb="24">
      <t>シナダイ</t>
    </rPh>
    <rPh sb="25" eb="27">
      <t>バアイ</t>
    </rPh>
    <rPh sb="28" eb="30">
      <t>キョウツウ</t>
    </rPh>
    <rPh sb="30" eb="32">
      <t>ショウヒン</t>
    </rPh>
    <rPh sb="32" eb="34">
      <t>メイショウ</t>
    </rPh>
    <rPh sb="40" eb="42">
      <t>シナダイ</t>
    </rPh>
    <rPh sb="42" eb="44">
      <t>イガイ</t>
    </rPh>
    <rPh sb="45" eb="47">
      <t>バアイ</t>
    </rPh>
    <rPh sb="48" eb="50">
      <t>キンガク</t>
    </rPh>
    <rPh sb="50" eb="52">
      <t>テキヨウ</t>
    </rPh>
    <rPh sb="58" eb="59">
      <t>メイ</t>
    </rPh>
    <phoneticPr fontId="3"/>
  </si>
  <si>
    <t>受付№</t>
  </si>
  <si>
    <t>内部システムに連動するシステムの、サブシステムが原取引に採番した番号</t>
    <phoneticPr fontId="1"/>
  </si>
  <si>
    <t>受付№枝番</t>
  </si>
  <si>
    <t>内部システムに連動するシステムの、サブシステムが原取引に採番した番号の枝番で、受付番号でユニークにならない場合に付加される</t>
    <phoneticPr fontId="1"/>
  </si>
  <si>
    <t>余白</t>
    <rPh sb="0" eb="1">
      <t>ヨハク</t>
    </rPh>
    <phoneticPr fontId="3"/>
  </si>
  <si>
    <t>データ種別コード（トレーラーレコード）</t>
  </si>
  <si>
    <t>ZZ固定</t>
    <rPh sb="2" eb="4">
      <t>コテイ</t>
    </rPh>
    <phoneticPr fontId="3"/>
  </si>
  <si>
    <t>データレコード件数</t>
    <rPh sb="7" eb="9">
      <t>ケンスウ</t>
    </rPh>
    <phoneticPr fontId="3"/>
  </si>
  <si>
    <t>CR-LF</t>
    <phoneticPr fontId="1"/>
  </si>
  <si>
    <t>DZ10130201</t>
    <phoneticPr fontId="1"/>
  </si>
  <si>
    <t>全農債権債務照合結果ファイル</t>
    <phoneticPr fontId="1"/>
  </si>
  <si>
    <t>データ種別</t>
  </si>
  <si>
    <t>データの種別</t>
    <rPh sb="4" eb="6">
      <t>シュベツ</t>
    </rPh>
    <phoneticPr fontId="3"/>
  </si>
  <si>
    <t>伝送Seq.No.</t>
  </si>
  <si>
    <t>レコードNo</t>
  </si>
  <si>
    <t>種別・区分１</t>
    <rPh sb="0" eb="2">
      <t>シュベツ</t>
    </rPh>
    <phoneticPr fontId="3"/>
  </si>
  <si>
    <t>Ｈ（ホクレン伝送データ）又はＺ（全農基本伝送データ）</t>
  </si>
  <si>
    <t>種別・部門１</t>
    <rPh sb="0" eb="2">
      <t>シュベツ</t>
    </rPh>
    <phoneticPr fontId="3"/>
  </si>
  <si>
    <t>１：肥料　３：飼料・畜生　５：農薬　６：資材</t>
  </si>
  <si>
    <t>ダミー</t>
  </si>
  <si>
    <t>全農債権債務照合依頼データ．経理年月日</t>
    <rPh sb="14" eb="16">
      <t>ケイリ</t>
    </rPh>
    <rPh sb="16" eb="19">
      <t>ネンガッピ</t>
    </rPh>
    <phoneticPr fontId="3"/>
  </si>
  <si>
    <t>荷受人</t>
  </si>
  <si>
    <t>全農債権債務照合依頼データ．荷受人コード</t>
    <rPh sb="14" eb="17">
      <t>ニウケニン</t>
    </rPh>
    <phoneticPr fontId="3"/>
  </si>
  <si>
    <t>全農債権債務照合依頼データ．出荷元コード</t>
    <rPh sb="14" eb="16">
      <t>シュッカ</t>
    </rPh>
    <rPh sb="16" eb="17">
      <t>モト</t>
    </rPh>
    <phoneticPr fontId="3"/>
  </si>
  <si>
    <t>全農債権債務照合依頼データ．品名コード</t>
    <rPh sb="14" eb="16">
      <t>ヒンメイ</t>
    </rPh>
    <phoneticPr fontId="3"/>
  </si>
  <si>
    <t>荷姿・単位</t>
  </si>
  <si>
    <t>指図NO</t>
  </si>
  <si>
    <t>全農債権債務照合依頼データ．指図ＮＯ</t>
  </si>
  <si>
    <t>出荷日</t>
  </si>
  <si>
    <t>全農債権債務照合依頼データ．出荷年月日</t>
    <rPh sb="14" eb="16">
      <t>シュッカ</t>
    </rPh>
    <rPh sb="16" eb="19">
      <t>ネンガッピ</t>
    </rPh>
    <phoneticPr fontId="3"/>
  </si>
  <si>
    <t>数量5</t>
  </si>
  <si>
    <t>全農債権債務照合依頼データ．データ種別コード＝'H1'（肥料）の場合、使用</t>
    <rPh sb="17" eb="19">
      <t>シュベツ</t>
    </rPh>
    <rPh sb="28" eb="30">
      <t>ヒリョウ</t>
    </rPh>
    <rPh sb="32" eb="34">
      <t>バアイ</t>
    </rPh>
    <rPh sb="35" eb="37">
      <t>シヨウ</t>
    </rPh>
    <phoneticPr fontId="3"/>
  </si>
  <si>
    <t>全農債権債務照合依頼データ．数量</t>
    <rPh sb="14" eb="16">
      <t>スウリョウ</t>
    </rPh>
    <phoneticPr fontId="3"/>
  </si>
  <si>
    <t>供給単価</t>
  </si>
  <si>
    <t>全農債権債務照合依頼データ．単価</t>
    <rPh sb="14" eb="16">
      <t>タンカ</t>
    </rPh>
    <phoneticPr fontId="3"/>
  </si>
  <si>
    <t>供給金額</t>
  </si>
  <si>
    <t>全農債権債務照合依頼データ．金額</t>
    <rPh sb="14" eb="16">
      <t>キンガク</t>
    </rPh>
    <phoneticPr fontId="3"/>
  </si>
  <si>
    <t>全農債権債務照合依頼データ．受渡条件</t>
    <rPh sb="14" eb="16">
      <t>ウケワタシ</t>
    </rPh>
    <rPh sb="16" eb="18">
      <t>ジョウケン</t>
    </rPh>
    <phoneticPr fontId="3"/>
  </si>
  <si>
    <t>区分２</t>
  </si>
  <si>
    <t>全農債権債務照合依頼データ．区分</t>
    <rPh sb="14" eb="16">
      <t>クブン</t>
    </rPh>
    <phoneticPr fontId="3"/>
  </si>
  <si>
    <t>全農債権債務照合依頼データ．次別</t>
    <rPh sb="14" eb="16">
      <t>ジベツ</t>
    </rPh>
    <phoneticPr fontId="3"/>
  </si>
  <si>
    <t>適用</t>
  </si>
  <si>
    <t>全農債権債務照合依頼データ．適用</t>
    <rPh sb="14" eb="16">
      <t>テキヨウ</t>
    </rPh>
    <phoneticPr fontId="3"/>
  </si>
  <si>
    <t>全農債権債務照合依頼データ．品名カナ
ブランクの場合、品名変換マスタで取得した品名カナ</t>
    <rPh sb="14" eb="16">
      <t>ヒンメイ</t>
    </rPh>
    <rPh sb="24" eb="26">
      <t>バアイ</t>
    </rPh>
    <rPh sb="27" eb="29">
      <t>ヒンメイ</t>
    </rPh>
    <rPh sb="29" eb="31">
      <t>ヘンカン</t>
    </rPh>
    <rPh sb="35" eb="37">
      <t>シュトク</t>
    </rPh>
    <rPh sb="39" eb="41">
      <t>ヒンメイ</t>
    </rPh>
    <phoneticPr fontId="3"/>
  </si>
  <si>
    <t>全農債権債務照合依頼データ．受付№</t>
  </si>
  <si>
    <t>全農債権債務照合依頼データ．受付№枝番</t>
    <rPh sb="17" eb="19">
      <t>エダバン</t>
    </rPh>
    <phoneticPr fontId="3"/>
  </si>
  <si>
    <t>出荷元カナ</t>
  </si>
  <si>
    <t>取引先変換マスタで取得した取引先カナ</t>
  </si>
  <si>
    <t>起票日</t>
  </si>
  <si>
    <t>全農データとの照合結果の全農起票日(西暦２桁)</t>
  </si>
  <si>
    <t>請求起算日</t>
  </si>
  <si>
    <t>全農データとの照合結果の全農請求起算日(西暦２桁)</t>
  </si>
  <si>
    <t>回収日</t>
  </si>
  <si>
    <t>全農データとの照合結果の全農回収期限(西暦２桁)</t>
  </si>
  <si>
    <t>請求NO</t>
  </si>
  <si>
    <t>全農データとの照合結果の全農請求No</t>
  </si>
  <si>
    <t>請求明細NO</t>
  </si>
  <si>
    <t>全農データとの照合結果の全農請求明細No</t>
  </si>
  <si>
    <t>支所</t>
  </si>
  <si>
    <t>２（固定）</t>
    <rPh sb="2" eb="4">
      <t>コテイ</t>
    </rPh>
    <phoneticPr fontId="3"/>
  </si>
  <si>
    <t>部門２</t>
  </si>
  <si>
    <t>種別．部門＝１（肥料）の時、「５：肥料」
　　　　　　５（農薬）の時、「８：農薬」
　　　　　　６（資材）の時、「Ｂ：資材」
種別．部門３で品名上２桁が０６の時「６」、品名０６以外は「Ｃ」をセット</t>
    <rPh sb="0" eb="2">
      <t>シュベツ</t>
    </rPh>
    <rPh sb="3" eb="5">
      <t>ブモン</t>
    </rPh>
    <rPh sb="8" eb="10">
      <t>ヒリョウ</t>
    </rPh>
    <rPh sb="12" eb="13">
      <t>トキ</t>
    </rPh>
    <rPh sb="17" eb="19">
      <t>ヒリョウ</t>
    </rPh>
    <rPh sb="29" eb="31">
      <t>ノウヤク</t>
    </rPh>
    <rPh sb="33" eb="34">
      <t>トキ</t>
    </rPh>
    <rPh sb="38" eb="40">
      <t>ノウヤク</t>
    </rPh>
    <rPh sb="50" eb="52">
      <t>シザイ</t>
    </rPh>
    <rPh sb="54" eb="55">
      <t>トキ</t>
    </rPh>
    <rPh sb="59" eb="61">
      <t>シザイ</t>
    </rPh>
    <rPh sb="63" eb="65">
      <t>シュベツ</t>
    </rPh>
    <rPh sb="66" eb="68">
      <t>ブモン</t>
    </rPh>
    <rPh sb="70" eb="72">
      <t>ヒンメイ</t>
    </rPh>
    <rPh sb="72" eb="73">
      <t>ジョウ</t>
    </rPh>
    <rPh sb="74" eb="75">
      <t>ケタ</t>
    </rPh>
    <rPh sb="79" eb="80">
      <t>ジ</t>
    </rPh>
    <rPh sb="84" eb="86">
      <t>ヒンメイ</t>
    </rPh>
    <rPh sb="88" eb="90">
      <t>イガイ</t>
    </rPh>
    <phoneticPr fontId="3"/>
  </si>
  <si>
    <t>県</t>
  </si>
  <si>
    <t>１０（固定）</t>
    <rPh sb="3" eb="5">
      <t>コテイ</t>
    </rPh>
    <phoneticPr fontId="3"/>
  </si>
  <si>
    <t>変換・部門</t>
    <rPh sb="0" eb="2">
      <t>ヘンカン</t>
    </rPh>
    <phoneticPr fontId="3"/>
  </si>
  <si>
    <t>種別．部門＝１（肥料）の時、「５：肥料」
　　　　　　６（資材）の時、「Ｂ：資材」
　　　　　上記以外の時、品名変換処理後に変換部門を取得してセット。（変換出来ない場合は部門をセット）</t>
  </si>
  <si>
    <t>変換・出荷元</t>
    <rPh sb="0" eb="2">
      <t>ヘンカン</t>
    </rPh>
    <phoneticPr fontId="3"/>
  </si>
  <si>
    <t>取引先変換処理
キー：「ＨＺ」＋種別．部門＋出荷元で取引先変換マスタを検索して全農取引先コード、取引先カナをセット。</t>
  </si>
  <si>
    <t>変換・月報</t>
    <rPh sb="0" eb="2">
      <t>ヘンカン</t>
    </rPh>
    <phoneticPr fontId="3"/>
  </si>
  <si>
    <t>品名変換処理
　種別．部門＝６（資材）の時、ブランク
　種別．部門＝１（肥料）の時、キー：「ＨＨ」＋種別．部門＋（品名上６桁＋ブランク）＋ブランクで品名マスタを検索して全農品名と品名カナを取得し、容量変換を行う。
容量変換処理
　品名７桁目から４桁＝「１０００」の時、「△△Ｋ０」に変換、　
　品名７桁目から４桁＝「△△△１」の時、「△△０１」に変換、
　それ以外の時、テーブルで変換する。
　全農品名コード上６桁＋変換容量＋荷姿・単位をセット。
　変換出来ない場合、品名上６桁＋変換容量＋荷姿・単位をセット。
　種別．部門＝上記以外の時、キー：「ＨＨ」＋種別．部門＋品名（農薬の場合、上９桁＋ブランク）＋ブランクで品名変換マスタを検索して全農品名と品名カナをセット。
変換出来ない場合、ブランクをセット。</t>
    <phoneticPr fontId="1"/>
  </si>
  <si>
    <t>変換・品名</t>
  </si>
  <si>
    <t>変換・容量</t>
  </si>
  <si>
    <t>変換・荷姿・単位</t>
  </si>
  <si>
    <t>エラーバイト</t>
  </si>
  <si>
    <t>品名・取引先変換ができなかった場合、「１」をセット。</t>
  </si>
  <si>
    <t>エラー理由・品名</t>
  </si>
  <si>
    <t>種別．部門が１：肥料・６：資材以外で、品名変換処理で変換できなかった場合「１」を設定。</t>
    <rPh sb="0" eb="2">
      <t>シュベツ</t>
    </rPh>
    <phoneticPr fontId="3"/>
  </si>
  <si>
    <t>エラー理由・取引先</t>
  </si>
  <si>
    <t>取引先変換処理で、変換できなかった場合「１」を設定。</t>
  </si>
  <si>
    <t>エラー理由・Ｃ</t>
    <rPh sb="3" eb="5">
      <t>リユウ</t>
    </rPh>
    <phoneticPr fontId="3"/>
  </si>
  <si>
    <t>エラー理由・Ｄ</t>
    <rPh sb="3" eb="5">
      <t>リユウ</t>
    </rPh>
    <phoneticPr fontId="3"/>
  </si>
  <si>
    <t>エラー理由・Ｅ</t>
    <rPh sb="3" eb="5">
      <t>リユウ</t>
    </rPh>
    <phoneticPr fontId="3"/>
  </si>
  <si>
    <t>エラー理由・Ｆ</t>
    <rPh sb="3" eb="5">
      <t>リユウ</t>
    </rPh>
    <phoneticPr fontId="3"/>
  </si>
  <si>
    <t>エラー理由・Ｇ</t>
    <rPh sb="3" eb="5">
      <t>リユウ</t>
    </rPh>
    <phoneticPr fontId="3"/>
  </si>
  <si>
    <t>照合区分</t>
  </si>
  <si>
    <t>ブランク・・・初回　１・・・赤黒相殺　２・・・照合　３・・・緩照合　４・・・　強制照合　０・・・未照合</t>
  </si>
  <si>
    <t>不突合回数</t>
  </si>
  <si>
    <t>緩照合処理でカウントアップする。</t>
  </si>
  <si>
    <t>照合キー・部門</t>
    <rPh sb="0" eb="2">
      <t>ショウゴウ</t>
    </rPh>
    <phoneticPr fontId="3"/>
  </si>
  <si>
    <t>変換．部門を設定する</t>
    <rPh sb="6" eb="8">
      <t>セッテイ</t>
    </rPh>
    <phoneticPr fontId="3"/>
  </si>
  <si>
    <t>照合キー・決済条件</t>
    <rPh sb="0" eb="2">
      <t>ショウゴウ</t>
    </rPh>
    <rPh sb="5" eb="7">
      <t>ケッサイ</t>
    </rPh>
    <phoneticPr fontId="3"/>
  </si>
  <si>
    <t>種別．部門＝１（肥料）の場合、区分をセット</t>
    <rPh sb="0" eb="2">
      <t>シュベツ</t>
    </rPh>
    <rPh sb="3" eb="5">
      <t>ブモン</t>
    </rPh>
    <rPh sb="8" eb="10">
      <t>ヒリョウ</t>
    </rPh>
    <phoneticPr fontId="3"/>
  </si>
  <si>
    <t>照合キー・月報</t>
    <rPh sb="0" eb="2">
      <t>ショウゴウ</t>
    </rPh>
    <phoneticPr fontId="3"/>
  </si>
  <si>
    <t>変換．月報＋品名＋容量＋荷姿・単位をセット。
下記条件の時、編集する。
種別．部門＝３（飼料・畜生）で月報＝「２１」以外で、
数量がブランクまたは０の場合、容量に「Ｐ９」をセット。
種別．部門＝５（農薬）の時、荷姿・単位にブランクをセット。</t>
  </si>
  <si>
    <t>照合キー・品名</t>
    <rPh sb="0" eb="2">
      <t>ショウゴウ</t>
    </rPh>
    <phoneticPr fontId="3"/>
  </si>
  <si>
    <t>照合キー・容量</t>
  </si>
  <si>
    <t>照合キー・荷姿・単位</t>
    <rPh sb="0" eb="2">
      <t>ショウゴウ</t>
    </rPh>
    <phoneticPr fontId="3"/>
  </si>
  <si>
    <t>照合キー・出荷元</t>
    <rPh sb="0" eb="2">
      <t>ショウゴウ</t>
    </rPh>
    <rPh sb="5" eb="7">
      <t>シュッカ</t>
    </rPh>
    <phoneticPr fontId="3"/>
  </si>
  <si>
    <t>変換．出荷元</t>
    <rPh sb="0" eb="2">
      <t>ヘンカン</t>
    </rPh>
    <rPh sb="3" eb="5">
      <t>シュッカ</t>
    </rPh>
    <rPh sb="5" eb="6">
      <t>モト</t>
    </rPh>
    <phoneticPr fontId="3"/>
  </si>
  <si>
    <t>照合キー・指図ＮＯ</t>
    <rPh sb="0" eb="2">
      <t>ショウゴウ</t>
    </rPh>
    <phoneticPr fontId="3"/>
  </si>
  <si>
    <t>指図ＮＯをセット。
種別．部門＝６（資材）の時、指図ＮＯ上６桁＋０をセット。</t>
  </si>
  <si>
    <t>照合キー・荷受人</t>
    <rPh sb="0" eb="2">
      <t>ショウゴウ</t>
    </rPh>
    <phoneticPr fontId="3"/>
  </si>
  <si>
    <t>荷受人をセット。
種別．部門＝６（資材）の時、
　　荷受人上４桁＋ブランクをセット。
種別．部門＝１（肥料）の時、
　　荷受人上５桁＋ブランクをセット。</t>
  </si>
  <si>
    <t>照合キー・出荷日</t>
    <rPh sb="0" eb="2">
      <t>ショウゴウ</t>
    </rPh>
    <phoneticPr fontId="3"/>
  </si>
  <si>
    <t>出荷日をセット</t>
  </si>
  <si>
    <t>照合キー・数量</t>
    <rPh sb="0" eb="2">
      <t>ショウゴウ</t>
    </rPh>
    <phoneticPr fontId="3"/>
  </si>
  <si>
    <t>種別．部門＝６（資材）の時、ブランクをセット。
種別．部門＝１（肥料）の時、
　　数量１１桁（数量５＋数量）を１００で割ってセット。（小数点２桁を削除）
種別．部門＝上記以外（飼料・畜生・農薬）の時、
　　数量を１０で割ってセット。（小数点１桁を削除）</t>
  </si>
  <si>
    <t>照合キー・単価</t>
    <rPh sb="0" eb="2">
      <t>ショウゴウ</t>
    </rPh>
    <phoneticPr fontId="3"/>
  </si>
  <si>
    <t>種別．部門＝１（肥料）の時、供給単価をセット。</t>
    <rPh sb="0" eb="2">
      <t>シュベツ</t>
    </rPh>
    <rPh sb="3" eb="5">
      <t>ブモン</t>
    </rPh>
    <rPh sb="8" eb="10">
      <t>ヒリョウ</t>
    </rPh>
    <rPh sb="12" eb="13">
      <t>トキ</t>
    </rPh>
    <rPh sb="14" eb="16">
      <t>キョウキュウ</t>
    </rPh>
    <rPh sb="16" eb="18">
      <t>タンカ</t>
    </rPh>
    <phoneticPr fontId="3"/>
  </si>
  <si>
    <t>供給金額をセット。</t>
    <rPh sb="0" eb="2">
      <t>キョウキュウ</t>
    </rPh>
    <rPh sb="2" eb="4">
      <t>キンガク</t>
    </rPh>
    <phoneticPr fontId="3"/>
  </si>
  <si>
    <t>緩照合キー・部門</t>
    <rPh sb="0" eb="3">
      <t>カンショウゴウ</t>
    </rPh>
    <phoneticPr fontId="3"/>
  </si>
  <si>
    <t>変換．部門</t>
    <rPh sb="0" eb="2">
      <t>ヘンカン</t>
    </rPh>
    <rPh sb="3" eb="5">
      <t>ブモン</t>
    </rPh>
    <phoneticPr fontId="3"/>
  </si>
  <si>
    <t>緩照合キー・決済条件</t>
  </si>
  <si>
    <t>種別．部門＝１（肥料）の時、区分をセット。</t>
    <rPh sb="0" eb="2">
      <t>シュベツ</t>
    </rPh>
    <rPh sb="3" eb="5">
      <t>ブモン</t>
    </rPh>
    <rPh sb="8" eb="10">
      <t>ヒリョウ</t>
    </rPh>
    <rPh sb="12" eb="13">
      <t>トキ</t>
    </rPh>
    <rPh sb="14" eb="16">
      <t>クブン</t>
    </rPh>
    <phoneticPr fontId="3"/>
  </si>
  <si>
    <t>緩照合キー・月報</t>
  </si>
  <si>
    <t>変換．月報＋品名＋容量＋荷姿・単位をセット。
下記条件の時、編集する。
種別．部門＝５（農薬）の時、荷姿・単位にブランクをセット。
種別．部門＝３（飼料・畜生）の時、ブランクをセット。</t>
  </si>
  <si>
    <t>緩照合キー・品名</t>
  </si>
  <si>
    <t>緩照合キー・容量</t>
  </si>
  <si>
    <t>緩照合キー・指図ＮＯ</t>
  </si>
  <si>
    <t>緩照合キー・荷受人</t>
  </si>
  <si>
    <t>種別．部門＝１（肥料）の時、荷受人上５桁＋ブランクをセット。</t>
    <rPh sb="0" eb="2">
      <t>シュベツ</t>
    </rPh>
    <rPh sb="3" eb="5">
      <t>ブモン</t>
    </rPh>
    <rPh sb="8" eb="10">
      <t>ヒリョウ</t>
    </rPh>
    <rPh sb="12" eb="13">
      <t>トキ</t>
    </rPh>
    <rPh sb="14" eb="16">
      <t>ニウケ</t>
    </rPh>
    <rPh sb="16" eb="17">
      <t>ニン</t>
    </rPh>
    <rPh sb="17" eb="18">
      <t>ジョウ</t>
    </rPh>
    <rPh sb="19" eb="20">
      <t>ケタ</t>
    </rPh>
    <phoneticPr fontId="3"/>
  </si>
  <si>
    <t>緩照合キー・出荷日</t>
  </si>
  <si>
    <t>種別．部門＝１（肥料）の時、出荷日をセット。</t>
    <rPh sb="0" eb="2">
      <t>シュベツ</t>
    </rPh>
    <rPh sb="3" eb="5">
      <t>ブモン</t>
    </rPh>
    <rPh sb="8" eb="10">
      <t>ヒリョウ</t>
    </rPh>
    <rPh sb="12" eb="13">
      <t>トキ</t>
    </rPh>
    <rPh sb="14" eb="16">
      <t>シュッカ</t>
    </rPh>
    <rPh sb="16" eb="17">
      <t>ビ</t>
    </rPh>
    <phoneticPr fontId="3"/>
  </si>
  <si>
    <t>緩照合キー・数量</t>
    <rPh sb="0" eb="3">
      <t>カンショウゴウ</t>
    </rPh>
    <phoneticPr fontId="3"/>
  </si>
  <si>
    <t>種別．部門＝１（肥料）の時、数量１１桁（数量５＋数量）を１００で割ってセット。（小数点２桁を削除）</t>
  </si>
  <si>
    <t>緩照合キー・単価</t>
  </si>
  <si>
    <t>肥料の場合、供給単価を設定</t>
    <rPh sb="11" eb="13">
      <t>セッテイ</t>
    </rPh>
    <phoneticPr fontId="3"/>
  </si>
  <si>
    <t>緩照合キー・金額</t>
  </si>
  <si>
    <t>供給金額を設定</t>
    <rPh sb="0" eb="2">
      <t>キョウキュウ</t>
    </rPh>
    <rPh sb="2" eb="4">
      <t>キンガク</t>
    </rPh>
    <rPh sb="5" eb="7">
      <t>セッテイ</t>
    </rPh>
    <phoneticPr fontId="3"/>
  </si>
  <si>
    <t>赤黒区分</t>
  </si>
  <si>
    <t>１・・・金額がプラス　２・・・金額がマイナス</t>
  </si>
  <si>
    <t>供給消費税</t>
  </si>
  <si>
    <t>全農データとの照合結果の全農請求消費税額　符号つき（マルチパンチ）</t>
  </si>
  <si>
    <t>グループコード</t>
  </si>
  <si>
    <t>強制照合のグループコード</t>
  </si>
  <si>
    <t>処理月</t>
  </si>
  <si>
    <t>緩照合処理でブランクの時、処理月をセット。</t>
    <rPh sb="0" eb="1">
      <t>カン</t>
    </rPh>
    <rPh sb="1" eb="3">
      <t>ショウゴウ</t>
    </rPh>
    <rPh sb="3" eb="5">
      <t>ショリ</t>
    </rPh>
    <rPh sb="11" eb="12">
      <t>トキ</t>
    </rPh>
    <rPh sb="13" eb="15">
      <t>ショリ</t>
    </rPh>
    <rPh sb="15" eb="16">
      <t>ツキ</t>
    </rPh>
    <phoneticPr fontId="3"/>
  </si>
  <si>
    <t>連番</t>
  </si>
  <si>
    <t>緩照合処理でブランクの時、連番をセット。</t>
    <rPh sb="0" eb="1">
      <t>カン</t>
    </rPh>
    <rPh sb="1" eb="3">
      <t>ショウゴウ</t>
    </rPh>
    <rPh sb="3" eb="5">
      <t>ショリ</t>
    </rPh>
    <rPh sb="11" eb="12">
      <t>トキ</t>
    </rPh>
    <rPh sb="13" eb="15">
      <t>レンバン</t>
    </rPh>
    <phoneticPr fontId="3"/>
  </si>
  <si>
    <t>処理日</t>
  </si>
  <si>
    <t>処理日(西暦２桁)</t>
    <rPh sb="0" eb="2">
      <t>ショリ</t>
    </rPh>
    <rPh sb="2" eb="3">
      <t>ビ</t>
    </rPh>
    <rPh sb="4" eb="6">
      <t>セイレキ</t>
    </rPh>
    <rPh sb="7" eb="8">
      <t>ケタ</t>
    </rPh>
    <phoneticPr fontId="3"/>
  </si>
  <si>
    <t>（全農）支所１</t>
    <rPh sb="1" eb="3">
      <t>ゼンノウ</t>
    </rPh>
    <phoneticPr fontId="3"/>
  </si>
  <si>
    <t>（全農）県１</t>
  </si>
  <si>
    <t>（全農）荷受人</t>
  </si>
  <si>
    <t>（全農）出荷元</t>
  </si>
  <si>
    <t>（全農）月報</t>
  </si>
  <si>
    <t>（全農）品名コード</t>
  </si>
  <si>
    <t>（全農）容量</t>
    <rPh sb="1" eb="3">
      <t>ゼンノウ</t>
    </rPh>
    <phoneticPr fontId="3"/>
  </si>
  <si>
    <t>（全農）荷姿・単位</t>
  </si>
  <si>
    <t>（全農）指図ＮＯ</t>
  </si>
  <si>
    <t>（全農）出荷日</t>
  </si>
  <si>
    <t>（全農）非計算</t>
  </si>
  <si>
    <t>（全農）出報ＮＯ</t>
  </si>
  <si>
    <t>（全農）貨車ＮＯ</t>
  </si>
  <si>
    <t>（全農）限月</t>
  </si>
  <si>
    <t>（全農）分送区分</t>
  </si>
  <si>
    <t>（全農）受渡条件</t>
  </si>
  <si>
    <t>（全農）区分</t>
  </si>
  <si>
    <t>（全農）次別</t>
  </si>
  <si>
    <t>（全農）請求サイト</t>
  </si>
  <si>
    <t>（全農）割戻し</t>
  </si>
  <si>
    <t>（全農）元伝年月日</t>
  </si>
  <si>
    <t>（全農）摘要</t>
  </si>
  <si>
    <t>（全農）金利</t>
  </si>
  <si>
    <t>（全農）品名カナ</t>
  </si>
  <si>
    <t>（全農）出荷元カナ</t>
  </si>
  <si>
    <t>（全農）強制削除区分</t>
  </si>
  <si>
    <t>強制削除 ＝ 「Ｄ」、それ以外はブランクをセット</t>
  </si>
  <si>
    <t>（全農）部門コード</t>
  </si>
  <si>
    <t>（全農）ＳＥＱ</t>
  </si>
  <si>
    <t>（全農）起票日</t>
  </si>
  <si>
    <t>処理日(西暦２桁)</t>
  </si>
  <si>
    <t>（全農）請求起算日</t>
  </si>
  <si>
    <t>（全農）回収日</t>
  </si>
  <si>
    <t>（全農）請求ＮＯ</t>
  </si>
  <si>
    <t>（全農）請求明細ＮＯ</t>
  </si>
  <si>
    <t>（全農）支所２</t>
  </si>
  <si>
    <t>（全農）部門</t>
  </si>
  <si>
    <t>（全農）県２</t>
  </si>
  <si>
    <t>（全農）変換・部門</t>
  </si>
  <si>
    <t>（全農）変換・出荷元</t>
  </si>
  <si>
    <t>（全農）変換・月報</t>
  </si>
  <si>
    <t>（全農）変換・品名</t>
  </si>
  <si>
    <t>（全農）変換・容量</t>
  </si>
  <si>
    <t>（全農）変換・荷姿・単位</t>
  </si>
  <si>
    <t>（全農）エラーバイト</t>
  </si>
  <si>
    <t>（全農）エラー理由・品名</t>
    <phoneticPr fontId="1"/>
  </si>
  <si>
    <t>（全農）エラー理由・取引先</t>
    <phoneticPr fontId="1"/>
  </si>
  <si>
    <t>（全農）エラー理由・Ｃ</t>
  </si>
  <si>
    <t>（全農）エラー理由・Ｄ</t>
  </si>
  <si>
    <t>（全農）エラー理由・Ｅ</t>
  </si>
  <si>
    <t>（全農）エラー理由・Ｆ</t>
  </si>
  <si>
    <t>（全農）エラー理由・Ｇ</t>
  </si>
  <si>
    <t>（全農）照合区分</t>
  </si>
  <si>
    <t>ブランク・・・初回　１・・・赤黒相殺　２・・・照合
３・・・緩照合　０・・・未照合</t>
  </si>
  <si>
    <t>（全農）不突合回数</t>
  </si>
  <si>
    <t>（全農）照合キー・部門</t>
  </si>
  <si>
    <t>（全農）照合キー・決済条件</t>
  </si>
  <si>
    <t>（全農）照合キー・月報</t>
  </si>
  <si>
    <t>（全農）照合キー・品名</t>
  </si>
  <si>
    <t>（全農）照合キー・容量</t>
  </si>
  <si>
    <t>（全農）照合キー・荷姿・単位</t>
  </si>
  <si>
    <t>（全農）照合キー・出荷元</t>
  </si>
  <si>
    <t>（全農）照合キー・指図ＮＯ</t>
  </si>
  <si>
    <t>（全農）照合キー・荷受人</t>
  </si>
  <si>
    <t>（全農）照合キー・出荷日</t>
  </si>
  <si>
    <t>(西暦２桁)</t>
    <rPh sb="1" eb="3">
      <t>セイレキ</t>
    </rPh>
    <rPh sb="4" eb="5">
      <t>ケタ</t>
    </rPh>
    <phoneticPr fontId="3"/>
  </si>
  <si>
    <t>（全農）照合キー・数量</t>
  </si>
  <si>
    <t>（全農）照合キー・単価</t>
  </si>
  <si>
    <t>（全農）照合キー・金額</t>
  </si>
  <si>
    <t>（全農）緩照合キー・部門</t>
  </si>
  <si>
    <t>（全農）緩照合キー・決済条件</t>
  </si>
  <si>
    <t>（全農）緩照合キー・月報</t>
  </si>
  <si>
    <t>（全農）緩照合キー・品名</t>
  </si>
  <si>
    <t>（全農）緩照合キー・容量</t>
  </si>
  <si>
    <t>（全農）緩照合キー・荷姿・単位</t>
  </si>
  <si>
    <t>（全農）緩照合キー・出荷元</t>
  </si>
  <si>
    <t>（全農）緩照合キー・指図ＮＯ</t>
  </si>
  <si>
    <t>（全農）緩照合キー・荷受人</t>
  </si>
  <si>
    <t>（全農）緩照合キー・出荷日</t>
    <phoneticPr fontId="1"/>
  </si>
  <si>
    <t>（全農）緩照合キー・数量</t>
  </si>
  <si>
    <t>符号つき（マルチパンチ）</t>
  </si>
  <si>
    <t>（全農）緩照合キー・単価</t>
  </si>
  <si>
    <t>（全農）緩照合キー・金額</t>
  </si>
  <si>
    <t>（全農）赤黒区分</t>
  </si>
  <si>
    <t>（全農）供給消費税</t>
  </si>
  <si>
    <t>（全農）グループコード</t>
  </si>
  <si>
    <t>（全農）管理ＮＯ・処理月</t>
    <phoneticPr fontId="1"/>
  </si>
  <si>
    <t>（全農）管理ＮＯ・連番</t>
    <phoneticPr fontId="1"/>
  </si>
  <si>
    <t>（全農）処理日</t>
  </si>
  <si>
    <t>DZ10130301</t>
    <phoneticPr fontId="1"/>
  </si>
  <si>
    <t>全農請求データファイル</t>
    <rPh sb="0" eb="2">
      <t>ゼンノウ</t>
    </rPh>
    <rPh sb="2" eb="4">
      <t>セイキュウ</t>
    </rPh>
    <phoneticPr fontId="1"/>
  </si>
  <si>
    <t>種別</t>
  </si>
  <si>
    <t>0：元黒データ、1：赤データ（取消データ）、2：通常または新黒データ</t>
  </si>
  <si>
    <t>運賃区分</t>
  </si>
  <si>
    <t>部門</t>
  </si>
  <si>
    <t>県連・単価金額
3桁区切り編集なし</t>
  </si>
  <si>
    <t>メーカー</t>
  </si>
  <si>
    <t>月報</t>
  </si>
  <si>
    <t>品名・品質</t>
  </si>
  <si>
    <t>容量</t>
  </si>
  <si>
    <t>荷姿単位</t>
  </si>
  <si>
    <t>品名区分</t>
  </si>
  <si>
    <t>非計算</t>
  </si>
  <si>
    <t>半角数字</t>
    <phoneticPr fontId="1"/>
  </si>
  <si>
    <t>数量
3桁区切り編集なし</t>
  </si>
  <si>
    <t>供給単価
3桁区切り編集なし</t>
  </si>
  <si>
    <t>供給金額
3桁区切り編集なし</t>
  </si>
  <si>
    <t>分送区分</t>
  </si>
  <si>
    <t>出報NO</t>
  </si>
  <si>
    <t>出荷年月日
「EEMMdd」形式</t>
  </si>
  <si>
    <t>貸車NO</t>
  </si>
  <si>
    <t>限月</t>
  </si>
  <si>
    <t>マル特区分</t>
  </si>
  <si>
    <t>請求サイト</t>
  </si>
  <si>
    <t>割戻し</t>
  </si>
  <si>
    <t>元伝月日</t>
  </si>
  <si>
    <t>元伝月日
「MMdd」形式</t>
  </si>
  <si>
    <t>事故摘要</t>
  </si>
  <si>
    <t>事故金利</t>
  </si>
  <si>
    <t>マルゼン区分</t>
  </si>
  <si>
    <t>ブランク</t>
  </si>
  <si>
    <t>県連・単価金額</t>
  </si>
  <si>
    <t>運賃</t>
  </si>
  <si>
    <t>着期</t>
  </si>
  <si>
    <t>元・受渡し</t>
  </si>
  <si>
    <t>元メーカー</t>
  </si>
  <si>
    <t>入数</t>
  </si>
  <si>
    <t>指図行NO</t>
  </si>
  <si>
    <t>別行諸掛</t>
  </si>
  <si>
    <t>会計年度</t>
  </si>
  <si>
    <t>会計期間の観点からの年度</t>
  </si>
  <si>
    <t>計上年月日</t>
  </si>
  <si>
    <t>計上処理実施日</t>
  </si>
  <si>
    <t>請求起算年月日</t>
    <phoneticPr fontId="1"/>
  </si>
  <si>
    <t>請求起算年月日
「EEMMdd」形式</t>
  </si>
  <si>
    <t>取立年月日</t>
    <phoneticPr fontId="1"/>
  </si>
  <si>
    <t>取立年月日（支払日）
「EEMMdd」形式</t>
  </si>
  <si>
    <t>課税区分</t>
  </si>
  <si>
    <t>税率</t>
  </si>
  <si>
    <t>供給税額</t>
  </si>
  <si>
    <t>供給税額
3桁区切り編集なし</t>
  </si>
  <si>
    <t>実荷受人</t>
  </si>
  <si>
    <t>集約区分</t>
  </si>
  <si>
    <t>管理品目ユニット</t>
  </si>
  <si>
    <t>会社判断区分</t>
  </si>
  <si>
    <t xml:space="preserve">諸掛     </t>
  </si>
  <si>
    <t>諸掛</t>
  </si>
  <si>
    <t>倉庫コード</t>
  </si>
  <si>
    <t xml:space="preserve">月報カナ </t>
  </si>
  <si>
    <t>月報カナ</t>
  </si>
  <si>
    <t xml:space="preserve">部門カナ </t>
  </si>
  <si>
    <t>部門カナ</t>
  </si>
  <si>
    <t>回収サイト</t>
  </si>
  <si>
    <t xml:space="preserve">要領名   </t>
  </si>
  <si>
    <t>要領名</t>
  </si>
  <si>
    <t xml:space="preserve">決済日　 </t>
  </si>
  <si>
    <t>決済日
「EEMM」形式</t>
  </si>
  <si>
    <t xml:space="preserve">決済ＮＯ </t>
  </si>
  <si>
    <t>決済ＮＯ</t>
  </si>
  <si>
    <t>起票区分　</t>
  </si>
  <si>
    <t>起票区分</t>
  </si>
  <si>
    <t>共通品目分類</t>
  </si>
  <si>
    <t>作成年月日</t>
  </si>
  <si>
    <t>作成された年月日（YYYYMMDD形式）</t>
  </si>
  <si>
    <t>D05021201</t>
    <phoneticPr fontId="1"/>
  </si>
  <si>
    <t>代金引落通知データ（固定長）ファイル</t>
    <phoneticPr fontId="1"/>
  </si>
  <si>
    <t>Shift jis</t>
    <phoneticPr fontId="1"/>
  </si>
  <si>
    <t>説  明</t>
    <rPh sb="0" eb="4">
      <t>セツメイ</t>
    </rPh>
    <phoneticPr fontId="2"/>
  </si>
  <si>
    <t>データ種別</t>
    <rPh sb="3" eb="5">
      <t>シュベツ</t>
    </rPh>
    <phoneticPr fontId="1"/>
  </si>
  <si>
    <t>"**"固定（※HIS様の情報提供によっては変更の可能性あり）</t>
    <phoneticPr fontId="2"/>
  </si>
  <si>
    <t>SEQ</t>
  </si>
  <si>
    <t>半角数字</t>
    <phoneticPr fontId="2"/>
  </si>
  <si>
    <t>シーケンス番号（1ファイル全体で1から自動採番）</t>
    <phoneticPr fontId="2"/>
  </si>
  <si>
    <t>通知書№</t>
    <rPh sb="0" eb="3">
      <t>ツウチショナンバー</t>
    </rPh>
    <phoneticPr fontId="1"/>
  </si>
  <si>
    <t>請求先区分＋請求先コード(先頭5桁）＋"-"＋引落回収予定日＋"-"＋連番(01から）とする。
（XXXXXX-XXXXXXXX-XX）</t>
    <phoneticPr fontId="2"/>
  </si>
  <si>
    <t>レコード識別</t>
    <rPh sb="4" eb="6">
      <t>シキベツ</t>
    </rPh>
    <phoneticPr fontId="1"/>
  </si>
  <si>
    <t>レコード識別
1：口座引落総合計
2：請求箇所別摘要別集計
3：明細
9：引落対象外</t>
    <rPh sb="4" eb="6">
      <t>シキベツ</t>
    </rPh>
    <rPh sb="9" eb="11">
      <t>コウザ</t>
    </rPh>
    <rPh sb="11" eb="13">
      <t>ヒキオトシ</t>
    </rPh>
    <rPh sb="13" eb="14">
      <t>ソウ</t>
    </rPh>
    <rPh sb="14" eb="16">
      <t>ゴウケイ</t>
    </rPh>
    <rPh sb="19" eb="21">
      <t>セイキュウ</t>
    </rPh>
    <rPh sb="21" eb="23">
      <t>カショ</t>
    </rPh>
    <rPh sb="23" eb="24">
      <t>ベツ</t>
    </rPh>
    <rPh sb="24" eb="26">
      <t>テキヨウ</t>
    </rPh>
    <rPh sb="26" eb="27">
      <t>ベツ</t>
    </rPh>
    <rPh sb="27" eb="29">
      <t>シュウケイ</t>
    </rPh>
    <rPh sb="32" eb="34">
      <t>メイサイ</t>
    </rPh>
    <rPh sb="37" eb="39">
      <t>ヒキオトシ</t>
    </rPh>
    <rPh sb="39" eb="42">
      <t>タイショウガイ</t>
    </rPh>
    <phoneticPr fontId="2"/>
  </si>
  <si>
    <t>農協コード</t>
    <rPh sb="0" eb="1">
      <t>ノウキョウ</t>
    </rPh>
    <phoneticPr fontId="2"/>
  </si>
  <si>
    <t>取引先（農協）を分類するコード</t>
    <phoneticPr fontId="2"/>
  </si>
  <si>
    <t>農協コード枝番</t>
  </si>
  <si>
    <t>取引先支店（農協）を分類するコード
※レコード識別が1の場合のみ、「000」固定</t>
    <rPh sb="3" eb="5">
      <t>シテン</t>
    </rPh>
    <rPh sb="6" eb="8">
      <t>ノウキョウ</t>
    </rPh>
    <rPh sb="24" eb="26">
      <t>シキベツ</t>
    </rPh>
    <rPh sb="29" eb="31">
      <t>バアイ</t>
    </rPh>
    <rPh sb="39" eb="41">
      <t>コテイ</t>
    </rPh>
    <phoneticPr fontId="2"/>
  </si>
  <si>
    <t>回収サイト</t>
    <rPh sb="0" eb="2">
      <t>カイシュウ</t>
    </rPh>
    <phoneticPr fontId="1"/>
  </si>
  <si>
    <t>回収予定日（yyyyMMdd形式）</t>
    <rPh sb="0" eb="4">
      <t>カイシュウヨテイビ</t>
    </rPh>
    <rPh sb="14" eb="16">
      <t>ケイシキ</t>
    </rPh>
    <phoneticPr fontId="2"/>
  </si>
  <si>
    <t>口座区分</t>
    <rPh sb="0" eb="2">
      <t>コウザ</t>
    </rPh>
    <rPh sb="2" eb="4">
      <t>クブン</t>
    </rPh>
    <phoneticPr fontId="1"/>
  </si>
  <si>
    <t>レコード識別が1の場合「9」を、レコード識別が1以外の場合は、摘要区分の1桁目を設定する。
※レコード識別が1以外の場合、口座区分・摘要区分単位で集計したとき、該当の口座区分が存在しない場合はレコード全体を表示しない。</t>
    <rPh sb="20" eb="22">
      <t>シキベツ</t>
    </rPh>
    <rPh sb="24" eb="26">
      <t>イガイ</t>
    </rPh>
    <rPh sb="27" eb="29">
      <t>バアイ</t>
    </rPh>
    <rPh sb="31" eb="35">
      <t>テキヨウクブン</t>
    </rPh>
    <rPh sb="37" eb="38">
      <t>ケタ</t>
    </rPh>
    <rPh sb="38" eb="39">
      <t>メ</t>
    </rPh>
    <rPh sb="52" eb="54">
      <t>シキベツ</t>
    </rPh>
    <rPh sb="56" eb="58">
      <t>イガイ</t>
    </rPh>
    <rPh sb="59" eb="61">
      <t>バアイ</t>
    </rPh>
    <rPh sb="101" eb="103">
      <t>ゼンタイ</t>
    </rPh>
    <rPh sb="104" eb="106">
      <t>ヒョウジ</t>
    </rPh>
    <phoneticPr fontId="2"/>
  </si>
  <si>
    <t>摘要区分</t>
  </si>
  <si>
    <t>代金引落額の合計単位の判別に利用する
※レコード識別が1の場合、「99」固定</t>
    <phoneticPr fontId="2"/>
  </si>
  <si>
    <t>摘要区分名称</t>
    <phoneticPr fontId="1"/>
  </si>
  <si>
    <t>漢字</t>
    <rPh sb="0" eb="2">
      <t>カンジ</t>
    </rPh>
    <phoneticPr fontId="1"/>
  </si>
  <si>
    <t>摘要区分に紐づく名称
※レコード識別が1の場合、「口座引落総合計」固定</t>
    <rPh sb="3" eb="4">
      <t>ヒモ</t>
    </rPh>
    <rPh sb="6" eb="8">
      <t>メイショウ</t>
    </rPh>
    <rPh sb="17" eb="19">
      <t>シキベツ</t>
    </rPh>
    <rPh sb="22" eb="24">
      <t>バアイ</t>
    </rPh>
    <rPh sb="26" eb="28">
      <t>コウザ</t>
    </rPh>
    <rPh sb="28" eb="30">
      <t>ヒキオトシ</t>
    </rPh>
    <rPh sb="30" eb="33">
      <t>ソウゴウケイ</t>
    </rPh>
    <rPh sb="34" eb="36">
      <t>コテイ</t>
    </rPh>
    <phoneticPr fontId="2"/>
  </si>
  <si>
    <t>品代サイン</t>
    <rPh sb="0" eb="2">
      <t>シナダイ</t>
    </rPh>
    <phoneticPr fontId="1"/>
  </si>
  <si>
    <t>有</t>
    <rPh sb="0" eb="1">
      <t>アリ</t>
    </rPh>
    <phoneticPr fontId="2"/>
  </si>
  <si>
    <t>品代合計が０以上の場合、半角スペースを設定する
品代合計がマイナスの場合、「-」を設定する</t>
    <rPh sb="0" eb="4">
      <t>シナダイゴウケイ</t>
    </rPh>
    <rPh sb="6" eb="8">
      <t>イジョウ</t>
    </rPh>
    <rPh sb="9" eb="11">
      <t>バアイ</t>
    </rPh>
    <rPh sb="12" eb="14">
      <t>ハンカク</t>
    </rPh>
    <rPh sb="19" eb="21">
      <t>セッテイ</t>
    </rPh>
    <rPh sb="24" eb="26">
      <t>シナダイ</t>
    </rPh>
    <rPh sb="26" eb="28">
      <t>ゴウケイ</t>
    </rPh>
    <rPh sb="34" eb="36">
      <t>バアイ</t>
    </rPh>
    <rPh sb="41" eb="43">
      <t>セッテイ</t>
    </rPh>
    <phoneticPr fontId="2"/>
  </si>
  <si>
    <t>品代合計</t>
    <rPh sb="0" eb="2">
      <t>シナダイ</t>
    </rPh>
    <rPh sb="2" eb="4">
      <t>ゴウケイ</t>
    </rPh>
    <phoneticPr fontId="1"/>
  </si>
  <si>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30" eb="32">
      <t>セントウ</t>
    </rPh>
    <rPh sb="33" eb="34">
      <t>ケタ</t>
    </rPh>
    <rPh sb="81" eb="83">
      <t>テキヨウ</t>
    </rPh>
    <rPh sb="234" eb="237">
      <t>ゼッタイチ</t>
    </rPh>
    <phoneticPr fontId="2"/>
  </si>
  <si>
    <t>消費税サイン</t>
    <rPh sb="0" eb="3">
      <t>ショウヒゼイ</t>
    </rPh>
    <phoneticPr fontId="1"/>
  </si>
  <si>
    <t>消費税合計が０以上の場合、半角スペースを設定する
消費税合計がマイナスの場合、「-」を設定する</t>
    <rPh sb="0" eb="3">
      <t>ショウヒゼイ</t>
    </rPh>
    <rPh sb="7" eb="9">
      <t>イジョウ</t>
    </rPh>
    <rPh sb="25" eb="28">
      <t>ショウヒゼイ</t>
    </rPh>
    <rPh sb="28" eb="30">
      <t>ゴウケイ</t>
    </rPh>
    <rPh sb="36" eb="38">
      <t>バアイ</t>
    </rPh>
    <rPh sb="43" eb="45">
      <t>セッテイ</t>
    </rPh>
    <phoneticPr fontId="2"/>
  </si>
  <si>
    <t>消費税合計</t>
    <rPh sb="0" eb="3">
      <t>ショウヒゼイ</t>
    </rPh>
    <rPh sb="3" eb="5">
      <t>ゴウケイ</t>
    </rPh>
    <phoneticPr fontId="1"/>
  </si>
  <si>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3" eb="85">
      <t>テキヨウ</t>
    </rPh>
    <rPh sb="237" eb="240">
      <t>ゼッタイチ</t>
    </rPh>
    <phoneticPr fontId="2"/>
  </si>
  <si>
    <t>引落額サイン</t>
    <rPh sb="0" eb="3">
      <t>ヒキオトシガク</t>
    </rPh>
    <phoneticPr fontId="1"/>
  </si>
  <si>
    <t>引落額が０以上の場合、半角スペースを設定する
引落額がマイナスの場合、「-」を設定する</t>
    <rPh sb="0" eb="2">
      <t>ヒキオトシ</t>
    </rPh>
    <rPh sb="2" eb="3">
      <t>ガク</t>
    </rPh>
    <rPh sb="5" eb="7">
      <t>イジョウ</t>
    </rPh>
    <rPh sb="23" eb="26">
      <t>ヒキオトシガク</t>
    </rPh>
    <rPh sb="32" eb="34">
      <t>バアイ</t>
    </rPh>
    <rPh sb="39" eb="41">
      <t>セッテイ</t>
    </rPh>
    <phoneticPr fontId="2"/>
  </si>
  <si>
    <t>引落額</t>
    <rPh sb="0" eb="2">
      <t>ヒキオトシ</t>
    </rPh>
    <rPh sb="2" eb="3">
      <t>ガク</t>
    </rPh>
    <phoneticPr fontId="1"/>
  </si>
  <si>
    <t>各レコードの「品代合計」と「消費税合計」の合計値
※値がマイナスの場合、絶対値に変換する。</t>
    <rPh sb="6" eb="8">
      <t>シナダイ</t>
    </rPh>
    <rPh sb="8" eb="10">
      <t>ゴウケイ</t>
    </rPh>
    <rPh sb="13" eb="16">
      <t>ショウヒゼイ</t>
    </rPh>
    <rPh sb="16" eb="18">
      <t>ゴウケイ</t>
    </rPh>
    <rPh sb="20" eb="23">
      <t>ゴウケイチ</t>
    </rPh>
    <rPh sb="36" eb="39">
      <t>ゼッタイチ</t>
    </rPh>
    <phoneticPr fontId="2"/>
  </si>
  <si>
    <t>受付No</t>
    <phoneticPr fontId="1"/>
  </si>
  <si>
    <t>発生元のシステムが原取引に採番した番号
※レコード識別が1か2の場合、半角スペース埋めを行う。</t>
    <phoneticPr fontId="1"/>
  </si>
  <si>
    <t>納品書№</t>
    <rPh sb="0" eb="2">
      <t>ノウヒンショ</t>
    </rPh>
    <phoneticPr fontId="1"/>
  </si>
  <si>
    <t>各部門システムの取引情報とを紐づけ出来るコード
※レコード識別が1か2の場合、半角スペース埋めを行う。</t>
    <rPh sb="40" eb="42">
      <t>ハンカク</t>
    </rPh>
    <rPh sb="46" eb="47">
      <t>ウ</t>
    </rPh>
    <rPh sb="49" eb="50">
      <t>オコナ</t>
    </rPh>
    <phoneticPr fontId="2"/>
  </si>
  <si>
    <t>消費税区分</t>
    <rPh sb="0" eb="5">
      <t>ショウヒゼイクブン</t>
    </rPh>
    <phoneticPr fontId="1"/>
  </si>
  <si>
    <t>発生した取引における消費税を分類する区分（1：標準税率、2：軽減税率、5：非課税、6：不課税）
※レコード識別が1か2の場合、半角スペース埋めを行う。</t>
    <phoneticPr fontId="2"/>
  </si>
  <si>
    <t>消費税区分名称</t>
    <rPh sb="0" eb="3">
      <t>ショウヒゼイ</t>
    </rPh>
    <rPh sb="3" eb="5">
      <t>クブン</t>
    </rPh>
    <rPh sb="5" eb="7">
      <t>メイショウ</t>
    </rPh>
    <phoneticPr fontId="1"/>
  </si>
  <si>
    <t>消費税区分に紐づく名称
※レコード識別が1か2の場合、半角スペース埋めを行う。</t>
    <phoneticPr fontId="2"/>
  </si>
  <si>
    <t>消費税率</t>
    <rPh sb="0" eb="3">
      <t>ショウヒゼイ</t>
    </rPh>
    <rPh sb="3" eb="4">
      <t>リツ</t>
    </rPh>
    <phoneticPr fontId="1"/>
  </si>
  <si>
    <t>消費税の利率を表す
※レコード識別が1か2の場合、半角スペース埋めを行う。</t>
    <rPh sb="0" eb="3">
      <t>ショウヒゼイ</t>
    </rPh>
    <rPh sb="4" eb="6">
      <t>リリツ</t>
    </rPh>
    <rPh sb="7" eb="8">
      <t>アラワ</t>
    </rPh>
    <phoneticPr fontId="2"/>
  </si>
  <si>
    <t>商品体系識別コード</t>
  </si>
  <si>
    <t>商品コードのコード体系の分類
※レコード識別が1か2の場合、半角スペース埋めを行う。</t>
    <phoneticPr fontId="2"/>
  </si>
  <si>
    <t>商品体系識別名称</t>
  </si>
  <si>
    <t>商品体系識別コードに紐づく名称
※レコード識別が1か2の場合、半角スペース埋めを行う。</t>
    <rPh sb="10" eb="11">
      <t>ヒモ</t>
    </rPh>
    <rPh sb="13" eb="15">
      <t>メイショウ</t>
    </rPh>
    <phoneticPr fontId="2"/>
  </si>
  <si>
    <t>業種コード</t>
  </si>
  <si>
    <t>当該仕訳の勘定科目が帰属する組織の業種コード
※レコード識別が1か2の場合、半角スペース埋めを行う。</t>
    <phoneticPr fontId="2"/>
  </si>
  <si>
    <t>業種名称</t>
  </si>
  <si>
    <t>業種コードに紐づく名称
※レコード識別が1か2の場合、半角スペース埋めを行う。</t>
    <rPh sb="0" eb="2">
      <t>ギョウシュ</t>
    </rPh>
    <rPh sb="6" eb="7">
      <t>ヒモ</t>
    </rPh>
    <rPh sb="9" eb="11">
      <t>メイショウ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</si>
</sst>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ﾊﾞｲﾄ&quot;"/>
    <numFmt numFmtId="177" formatCode="yyyy/mm/dd;@"/>
    <numFmt numFmtId="178" formatCode="#,##0_);[Red]\(#,##0\)"/>
  </numFmts>
  <fonts count="12">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11"/>
      <color theme="1"/>
      <name val="ＭＳ 明朝"/>
      <family val="1"/>
      <charset val="128"/>
    </font>
    <font>
      <sz val="9"/>
      <color indexed="81"/>
      <name val="MS P ゴシック"/>
      <family val="3"/>
      <charset val="128"/>
    </font>
    <font>
      <b/>
      <sz val="9"/>
      <color indexed="81"/>
      <name val="MS P ゴシック"/>
      <family val="3"/>
      <charset val="128"/>
    </font>
    <font>
      <sz val="6"/>
      <name val="ＭＳ Ｐ明朝"/>
      <family val="1"/>
      <charset val="128"/>
    </font>
  </fonts>
  <fills count="2">
    <fill>
      <patternFill patternType="none"/>
    </fill>
    <fill>
      <patternFill patternType="gray125"/>
    </fill>
  </fills>
  <borders count="3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s>
  <cellStyleXfs count="2">
    <xf numFmtId="0" fontId="0" fillId="0" borderId="0"/>
    <xf numFmtId="0" fontId="6" fillId="0" borderId="0"/>
  </cellStyleXfs>
  <cellXfs count="171">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5" fillId="0" borderId="0" xfId="1" applyNumberFormat="1" applyFont="1" applyAlignment="1">
      <alignment vertical="center"/>
    </xf>
    <xf numFmtId="49" fontId="2" fillId="0" borderId="7" xfId="1" applyNumberFormat="1" applyFont="1" applyBorder="1"/>
    <xf numFmtId="49" fontId="2" fillId="0" borderId="8" xfId="1" applyNumberFormat="1" applyFont="1" applyBorder="1"/>
    <xf numFmtId="49" fontId="2" fillId="0" borderId="2" xfId="1" applyNumberFormat="1" applyFont="1" applyBorder="1"/>
    <xf numFmtId="49" fontId="2" fillId="0" borderId="0" xfId="1" applyNumberFormat="1" applyFont="1"/>
    <xf numFmtId="49" fontId="2" fillId="0" borderId="3" xfId="1" applyNumberFormat="1" applyFont="1" applyBorder="1"/>
    <xf numFmtId="49" fontId="2" fillId="0" borderId="3" xfId="1" applyNumberFormat="1" applyFont="1" applyBorder="1" applyAlignment="1">
      <alignment vertical="center"/>
    </xf>
    <xf numFmtId="49" fontId="2" fillId="0" borderId="0" xfId="1" applyNumberFormat="1" applyFont="1" applyAlignment="1">
      <alignment vertical="center" wrapText="1"/>
    </xf>
    <xf numFmtId="49" fontId="2" fillId="0" borderId="4" xfId="1" applyNumberFormat="1" applyFont="1" applyBorder="1"/>
    <xf numFmtId="49" fontId="2" fillId="0" borderId="5" xfId="1" applyNumberFormat="1" applyFont="1" applyBorder="1"/>
    <xf numFmtId="49" fontId="2" fillId="0" borderId="1" xfId="1" applyNumberFormat="1" applyFont="1" applyBorder="1"/>
    <xf numFmtId="49" fontId="2" fillId="0" borderId="6" xfId="1" applyNumberFormat="1" applyFont="1" applyBorder="1"/>
    <xf numFmtId="49" fontId="5" fillId="0" borderId="0" xfId="1" applyNumberFormat="1" applyFont="1"/>
    <xf numFmtId="49" fontId="2" fillId="0" borderId="1" xfId="0" applyNumberFormat="1" applyFont="1" applyBorder="1" applyAlignment="1">
      <alignment horizontal="left" vertical="center"/>
    </xf>
    <xf numFmtId="49" fontId="2" fillId="0" borderId="1" xfId="0" applyNumberFormat="1" applyFont="1" applyBorder="1" applyAlignment="1">
      <alignment horizontal="right" vertical="center"/>
    </xf>
    <xf numFmtId="49" fontId="2" fillId="0" borderId="0" xfId="0" applyNumberFormat="1" applyFont="1" applyAlignment="1">
      <alignment vertical="center"/>
    </xf>
    <xf numFmtId="49" fontId="4" fillId="0" borderId="0" xfId="0" applyNumberFormat="1" applyFont="1" applyAlignment="1">
      <alignment vertical="center"/>
    </xf>
    <xf numFmtId="49" fontId="2" fillId="0" borderId="4" xfId="0" applyNumberFormat="1" applyFont="1" applyBorder="1" applyAlignment="1">
      <alignment horizontal="left" vertical="center"/>
    </xf>
    <xf numFmtId="49" fontId="2" fillId="0" borderId="7" xfId="0" applyNumberFormat="1" applyFont="1" applyBorder="1" applyAlignment="1">
      <alignment vertical="center"/>
    </xf>
    <xf numFmtId="49" fontId="2" fillId="0" borderId="8" xfId="0" applyNumberFormat="1" applyFont="1" applyBorder="1" applyAlignment="1">
      <alignment vertical="center"/>
    </xf>
    <xf numFmtId="49" fontId="2" fillId="0" borderId="2" xfId="0" applyNumberFormat="1" applyFont="1" applyBorder="1" applyAlignment="1">
      <alignment vertical="center"/>
    </xf>
    <xf numFmtId="49" fontId="2" fillId="0" borderId="0" xfId="0" applyNumberFormat="1" applyFont="1" applyAlignment="1">
      <alignment horizontal="center" vertical="center"/>
    </xf>
    <xf numFmtId="49" fontId="5" fillId="0" borderId="0" xfId="0" applyNumberFormat="1" applyFont="1" applyAlignment="1">
      <alignment vertical="center"/>
    </xf>
    <xf numFmtId="176"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12" xfId="0" applyNumberFormat="1" applyFont="1" applyBorder="1" applyAlignment="1">
      <alignment horizontal="center" vertical="center" wrapText="1" shrinkToFit="1"/>
    </xf>
    <xf numFmtId="49" fontId="2" fillId="0" borderId="12" xfId="0" applyNumberFormat="1" applyFont="1" applyBorder="1" applyAlignment="1">
      <alignment horizontal="center" vertical="center" shrinkToFit="1"/>
    </xf>
    <xf numFmtId="49" fontId="7" fillId="0" borderId="15"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19" xfId="0" applyFont="1" applyBorder="1" applyAlignment="1">
      <alignment horizontal="center" vertical="center" shrinkToFit="1"/>
    </xf>
    <xf numFmtId="178" fontId="7" fillId="0" borderId="19" xfId="0" applyNumberFormat="1" applyFont="1" applyBorder="1" applyAlignment="1">
      <alignment horizontal="righ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19" xfId="0" applyNumberFormat="1" applyFont="1" applyBorder="1" applyAlignment="1">
      <alignment horizontal="center" vertical="center"/>
    </xf>
    <xf numFmtId="0" fontId="7" fillId="0" borderId="19" xfId="0" applyFont="1" applyBorder="1" applyAlignment="1">
      <alignment horizontal="center" vertical="center" wrapText="1" shrinkToFit="1"/>
    </xf>
    <xf numFmtId="49" fontId="2" fillId="0" borderId="0" xfId="0" applyNumberFormat="1" applyFont="1" applyAlignment="1">
      <alignment vertical="center" wrapText="1"/>
    </xf>
    <xf numFmtId="49" fontId="7" fillId="0" borderId="23" xfId="0" applyNumberFormat="1" applyFont="1" applyBorder="1" applyAlignment="1">
      <alignment horizontal="center" vertical="center"/>
    </xf>
    <xf numFmtId="178" fontId="7" fillId="0" borderId="23" xfId="0" applyNumberFormat="1" applyFont="1" applyBorder="1" applyAlignment="1">
      <alignment horizontal="right" vertical="center"/>
    </xf>
    <xf numFmtId="49" fontId="2" fillId="0" borderId="24" xfId="0" applyNumberFormat="1" applyFont="1" applyBorder="1" applyAlignment="1">
      <alignment horizontal="left" vertical="center"/>
    </xf>
    <xf numFmtId="49" fontId="2" fillId="0" borderId="25" xfId="0" applyNumberFormat="1" applyFont="1" applyBorder="1" applyAlignment="1">
      <alignment horizontal="left" vertical="center"/>
    </xf>
    <xf numFmtId="49" fontId="2" fillId="0" borderId="23" xfId="0" applyNumberFormat="1" applyFont="1" applyBorder="1" applyAlignment="1">
      <alignment horizontal="center" vertical="center"/>
    </xf>
    <xf numFmtId="49" fontId="7" fillId="0" borderId="23" xfId="0" quotePrefix="1" applyNumberFormat="1" applyFont="1" applyBorder="1" applyAlignment="1">
      <alignment horizontal="left" vertical="center"/>
    </xf>
    <xf numFmtId="49" fontId="5" fillId="0" borderId="12" xfId="0" applyNumberFormat="1" applyFont="1" applyBorder="1" applyAlignment="1">
      <alignment horizontal="right" vertical="center"/>
    </xf>
    <xf numFmtId="0" fontId="5" fillId="0" borderId="12" xfId="0" applyFont="1" applyBorder="1" applyAlignment="1">
      <alignment vertical="center"/>
    </xf>
    <xf numFmtId="176" fontId="5" fillId="0" borderId="12" xfId="0" applyNumberFormat="1" applyFont="1" applyBorder="1" applyAlignment="1">
      <alignment horizontal="right" vertical="center"/>
    </xf>
    <xf numFmtId="178" fontId="7" fillId="0" borderId="15" xfId="0" applyNumberFormat="1" applyFont="1" applyBorder="1" applyAlignment="1">
      <alignment horizontal="right" vertical="center"/>
    </xf>
    <xf numFmtId="49" fontId="2" fillId="0" borderId="17" xfId="0" applyNumberFormat="1" applyFont="1" applyBorder="1" applyAlignment="1">
      <alignment horizontal="left" vertical="center"/>
    </xf>
    <xf numFmtId="49" fontId="2" fillId="0" borderId="15" xfId="0" applyNumberFormat="1" applyFont="1" applyBorder="1" applyAlignment="1">
      <alignment horizontal="center" vertical="center"/>
    </xf>
    <xf numFmtId="0" fontId="7" fillId="0" borderId="15" xfId="0" applyFont="1" applyBorder="1" applyAlignment="1">
      <alignment horizontal="center" vertical="center" shrinkToFit="1"/>
    </xf>
    <xf numFmtId="49" fontId="7" fillId="0" borderId="0" xfId="0" applyNumberFormat="1" applyFont="1" applyAlignment="1">
      <alignment horizontal="left" vertical="center"/>
    </xf>
    <xf numFmtId="49" fontId="2" fillId="0" borderId="7" xfId="0" applyNumberFormat="1" applyFont="1" applyBorder="1" applyAlignment="1">
      <alignment horizontal="center" vertical="center" shrinkToFit="1"/>
    </xf>
    <xf numFmtId="49" fontId="2" fillId="0" borderId="8" xfId="0" applyNumberFormat="1" applyFont="1" applyBorder="1" applyAlignment="1">
      <alignment horizontal="center" vertical="center" shrinkToFit="1"/>
    </xf>
    <xf numFmtId="49" fontId="2" fillId="0" borderId="1" xfId="0" applyNumberFormat="1" applyFont="1" applyBorder="1" applyAlignment="1">
      <alignment vertical="center"/>
    </xf>
    <xf numFmtId="0" fontId="7" fillId="0" borderId="16" xfId="0" applyFont="1" applyBorder="1" applyAlignment="1">
      <alignment vertical="center"/>
    </xf>
    <xf numFmtId="0" fontId="7" fillId="0" borderId="17" xfId="0" applyFont="1" applyBorder="1" applyAlignment="1">
      <alignment vertical="center"/>
    </xf>
    <xf numFmtId="0" fontId="7" fillId="0" borderId="18" xfId="0" applyFont="1" applyBorder="1" applyAlignment="1">
      <alignment vertical="center"/>
    </xf>
    <xf numFmtId="49" fontId="2" fillId="0" borderId="19" xfId="0" applyNumberFormat="1" applyFont="1" applyBorder="1" applyAlignment="1">
      <alignment horizontal="center" vertical="top"/>
    </xf>
    <xf numFmtId="0" fontId="7" fillId="0" borderId="19" xfId="0" applyFont="1" applyBorder="1" applyAlignment="1">
      <alignment horizontal="center" vertical="top" wrapText="1" shrinkToFit="1"/>
    </xf>
    <xf numFmtId="49" fontId="2" fillId="0" borderId="0" xfId="0" applyNumberFormat="1" applyFont="1" applyAlignment="1">
      <alignment vertical="top"/>
    </xf>
    <xf numFmtId="49" fontId="5" fillId="0" borderId="0" xfId="0" applyNumberFormat="1" applyFont="1" applyAlignment="1">
      <alignment vertical="top"/>
    </xf>
    <xf numFmtId="49" fontId="7" fillId="0" borderId="27" xfId="0" applyNumberFormat="1" applyFont="1" applyBorder="1" applyAlignment="1">
      <alignment horizontal="center" vertical="center"/>
    </xf>
    <xf numFmtId="49" fontId="8" fillId="0" borderId="28" xfId="0" applyNumberFormat="1" applyFont="1" applyBorder="1" applyAlignment="1">
      <alignment vertical="center"/>
    </xf>
    <xf numFmtId="49" fontId="8" fillId="0" borderId="29" xfId="0" applyNumberFormat="1" applyFont="1" applyBorder="1" applyAlignment="1">
      <alignment vertical="center" wrapText="1"/>
    </xf>
    <xf numFmtId="49" fontId="8" fillId="0" borderId="30" xfId="0" applyNumberFormat="1" applyFont="1" applyBorder="1" applyAlignment="1">
      <alignment vertical="center" wrapText="1"/>
    </xf>
    <xf numFmtId="178" fontId="7" fillId="0" borderId="27" xfId="0" applyNumberFormat="1" applyFont="1" applyBorder="1" applyAlignment="1">
      <alignment horizontal="right" vertical="center"/>
    </xf>
    <xf numFmtId="49" fontId="2" fillId="0" borderId="29" xfId="0" applyNumberFormat="1" applyFont="1" applyBorder="1" applyAlignment="1">
      <alignment horizontal="left" vertical="center"/>
    </xf>
    <xf numFmtId="49" fontId="2" fillId="0" borderId="27" xfId="0" applyNumberFormat="1" applyFont="1" applyBorder="1" applyAlignment="1">
      <alignment horizontal="center" vertical="center"/>
    </xf>
    <xf numFmtId="0" fontId="7" fillId="0" borderId="27" xfId="0" applyFont="1" applyBorder="1" applyAlignment="1">
      <alignment horizontal="center" vertical="center" shrinkToFit="1"/>
    </xf>
    <xf numFmtId="49" fontId="8" fillId="0" borderId="20" xfId="0" applyNumberFormat="1" applyFont="1" applyBorder="1" applyAlignment="1">
      <alignment vertical="center"/>
    </xf>
    <xf numFmtId="49" fontId="8" fillId="0" borderId="21" xfId="0" applyNumberFormat="1" applyFont="1" applyBorder="1" applyAlignment="1">
      <alignment vertical="center" wrapText="1"/>
    </xf>
    <xf numFmtId="49" fontId="8" fillId="0" borderId="22" xfId="0" applyNumberFormat="1" applyFont="1" applyBorder="1" applyAlignment="1">
      <alignment vertical="center" wrapText="1"/>
    </xf>
    <xf numFmtId="49" fontId="3" fillId="0" borderId="7" xfId="1" applyNumberFormat="1" applyFont="1" applyBorder="1" applyAlignment="1">
      <alignment horizontal="center" vertical="center"/>
    </xf>
    <xf numFmtId="49" fontId="3" fillId="0" borderId="8"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8"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7" xfId="1" applyNumberFormat="1" applyFont="1" applyBorder="1" applyAlignment="1">
      <alignment horizontal="center"/>
    </xf>
    <xf numFmtId="49" fontId="2" fillId="0" borderId="8" xfId="1" applyNumberFormat="1" applyFont="1" applyBorder="1" applyAlignment="1">
      <alignment horizontal="center"/>
    </xf>
    <xf numFmtId="49" fontId="2" fillId="0" borderId="2" xfId="1" applyNumberFormat="1" applyFont="1" applyBorder="1" applyAlignment="1">
      <alignment horizontal="center"/>
    </xf>
    <xf numFmtId="49" fontId="2" fillId="0" borderId="9"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49" fontId="2" fillId="0" borderId="5"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9"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3" fillId="0" borderId="8"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9" xfId="0" applyNumberFormat="1" applyFont="1" applyBorder="1" applyAlignment="1">
      <alignment vertical="center"/>
    </xf>
    <xf numFmtId="49" fontId="2" fillId="0" borderId="10" xfId="0" applyNumberFormat="1" applyFont="1" applyBorder="1" applyAlignment="1">
      <alignment vertical="center"/>
    </xf>
    <xf numFmtId="49" fontId="2" fillId="0" borderId="11" xfId="0" applyNumberFormat="1" applyFont="1" applyBorder="1" applyAlignment="1">
      <alignment vertical="center"/>
    </xf>
    <xf numFmtId="49" fontId="2" fillId="0" borderId="5" xfId="0" applyNumberFormat="1" applyFont="1" applyBorder="1" applyAlignment="1">
      <alignment vertical="center"/>
    </xf>
    <xf numFmtId="49" fontId="2" fillId="0" borderId="1" xfId="0" applyNumberFormat="1" applyFont="1" applyBorder="1" applyAlignment="1">
      <alignment vertical="center"/>
    </xf>
    <xf numFmtId="49" fontId="2" fillId="0" borderId="6" xfId="0" applyNumberFormat="1" applyFont="1" applyBorder="1" applyAlignment="1">
      <alignment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2" xfId="0" applyNumberFormat="1" applyFont="1" applyBorder="1" applyAlignment="1">
      <alignment horizontal="center" vertical="center"/>
    </xf>
    <xf numFmtId="177" fontId="2" fillId="0" borderId="7" xfId="0" quotePrefix="1" applyNumberFormat="1" applyFont="1" applyBorder="1" applyAlignment="1">
      <alignment horizontal="center" vertical="center"/>
    </xf>
    <xf numFmtId="177" fontId="2" fillId="0" borderId="2"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14" xfId="0" applyNumberFormat="1" applyFont="1" applyBorder="1" applyAlignment="1">
      <alignment horizontal="center" vertical="center"/>
    </xf>
    <xf numFmtId="177" fontId="2" fillId="0" borderId="7" xfId="0" applyNumberFormat="1" applyFont="1" applyBorder="1" applyAlignment="1">
      <alignment horizontal="center" vertical="center"/>
    </xf>
    <xf numFmtId="49" fontId="2" fillId="0" borderId="7" xfId="0" applyNumberFormat="1" applyFont="1" applyBorder="1" applyAlignment="1">
      <alignment horizontal="center" vertical="center" shrinkToFit="1"/>
    </xf>
    <xf numFmtId="49" fontId="2" fillId="0" borderId="8"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8" fillId="0" borderId="20" xfId="0" applyNumberFormat="1" applyFont="1" applyBorder="1" applyAlignment="1">
      <alignment horizontal="left"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49" fontId="7" fillId="0" borderId="21" xfId="0" applyNumberFormat="1" applyFont="1" applyBorder="1" applyAlignment="1">
      <alignment vertical="center" wrapText="1" shrinkToFit="1"/>
    </xf>
    <xf numFmtId="0" fontId="0" fillId="0" borderId="21" xfId="0" applyBorder="1" applyAlignment="1">
      <alignment vertical="center" wrapText="1" shrinkToFit="1"/>
    </xf>
    <xf numFmtId="0" fontId="0" fillId="0" borderId="22" xfId="0" applyBorder="1" applyAlignment="1">
      <alignment vertical="center" wrapText="1" shrinkToFit="1"/>
    </xf>
    <xf numFmtId="0" fontId="0" fillId="0" borderId="2" xfId="0" applyBorder="1" applyAlignment="1">
      <alignment vertical="center"/>
    </xf>
    <xf numFmtId="176" fontId="2" fillId="0" borderId="7" xfId="0" applyNumberFormat="1" applyFont="1" applyBorder="1" applyAlignment="1">
      <alignment horizontal="right" vertical="center"/>
    </xf>
    <xf numFmtId="176" fontId="2" fillId="0" borderId="8" xfId="0" applyNumberFormat="1" applyFont="1" applyBorder="1" applyAlignment="1">
      <alignment horizontal="right" vertical="center"/>
    </xf>
    <xf numFmtId="176" fontId="2" fillId="0" borderId="2" xfId="0" applyNumberFormat="1" applyFont="1" applyBorder="1" applyAlignment="1">
      <alignment horizontal="right" vertical="center"/>
    </xf>
    <xf numFmtId="49" fontId="2" fillId="0" borderId="8" xfId="0" applyNumberFormat="1" applyFont="1"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wrapText="1"/>
    </xf>
    <xf numFmtId="49" fontId="8" fillId="0" borderId="16" xfId="0" applyNumberFormat="1"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49" fontId="7" fillId="0" borderId="16" xfId="0" applyNumberFormat="1" applyFont="1" applyBorder="1" applyAlignment="1">
      <alignment vertical="center" wrapText="1" shrinkToFit="1"/>
    </xf>
    <xf numFmtId="49" fontId="7" fillId="0" borderId="17" xfId="0" applyNumberFormat="1" applyFont="1" applyBorder="1" applyAlignment="1">
      <alignment vertical="center" wrapText="1" shrinkToFit="1"/>
    </xf>
    <xf numFmtId="49" fontId="7" fillId="0" borderId="18" xfId="0" applyNumberFormat="1" applyFont="1" applyBorder="1" applyAlignment="1">
      <alignment vertical="center" wrapText="1" shrinkToFit="1"/>
    </xf>
    <xf numFmtId="49" fontId="7" fillId="0" borderId="21" xfId="0" quotePrefix="1" applyNumberFormat="1" applyFont="1" applyBorder="1" applyAlignment="1">
      <alignment vertical="center" wrapText="1" shrinkToFit="1"/>
    </xf>
    <xf numFmtId="49" fontId="0" fillId="0" borderId="21" xfId="0" applyNumberFormat="1" applyBorder="1" applyAlignment="1">
      <alignment vertical="center" wrapText="1" shrinkToFit="1"/>
    </xf>
    <xf numFmtId="49" fontId="0" fillId="0" borderId="22" xfId="0" applyNumberFormat="1" applyBorder="1" applyAlignment="1">
      <alignment vertical="center" wrapText="1" shrinkToFit="1"/>
    </xf>
    <xf numFmtId="49" fontId="7" fillId="0" borderId="24" xfId="0" applyNumberFormat="1"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49" fontId="7" fillId="0" borderId="24" xfId="0" applyNumberFormat="1" applyFont="1" applyBorder="1" applyAlignment="1">
      <alignment vertical="center" wrapText="1" shrinkToFit="1"/>
    </xf>
    <xf numFmtId="49" fontId="0" fillId="0" borderId="25" xfId="0" applyNumberFormat="1" applyBorder="1" applyAlignment="1">
      <alignment vertical="center" wrapText="1" shrinkToFit="1"/>
    </xf>
    <xf numFmtId="49" fontId="0" fillId="0" borderId="26" xfId="0" applyNumberFormat="1" applyBorder="1" applyAlignment="1">
      <alignment vertical="center" wrapText="1" shrinkToFit="1"/>
    </xf>
    <xf numFmtId="49" fontId="8" fillId="0" borderId="20" xfId="0" applyNumberFormat="1"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49" fontId="7" fillId="0" borderId="21" xfId="0" applyNumberFormat="1" applyFont="1" applyBorder="1" applyAlignment="1">
      <alignment vertical="top" wrapText="1" shrinkToFit="1"/>
    </xf>
    <xf numFmtId="49" fontId="0" fillId="0" borderId="21" xfId="0" applyNumberFormat="1" applyBorder="1" applyAlignment="1">
      <alignment vertical="top" wrapText="1" shrinkToFit="1"/>
    </xf>
    <xf numFmtId="49" fontId="0" fillId="0" borderId="22" xfId="0" applyNumberFormat="1" applyBorder="1" applyAlignment="1">
      <alignment vertical="top" wrapText="1" shrinkToFit="1"/>
    </xf>
    <xf numFmtId="49" fontId="7" fillId="0" borderId="25" xfId="0" applyNumberFormat="1" applyFont="1" applyBorder="1" applyAlignment="1">
      <alignment vertical="center" wrapText="1" shrinkToFit="1"/>
    </xf>
    <xf numFmtId="49" fontId="7" fillId="0" borderId="26" xfId="0" applyNumberFormat="1" applyFont="1" applyBorder="1" applyAlignment="1">
      <alignment vertical="center" wrapText="1" shrinkToFit="1"/>
    </xf>
    <xf numFmtId="49" fontId="8" fillId="0" borderId="21" xfId="0" applyNumberFormat="1" applyFont="1" applyBorder="1" applyAlignment="1">
      <alignment horizontal="left" vertical="center" wrapText="1"/>
    </xf>
    <xf numFmtId="49" fontId="8" fillId="0" borderId="22" xfId="0" applyNumberFormat="1" applyFont="1" applyBorder="1" applyAlignment="1">
      <alignment horizontal="left" vertical="center" wrapText="1"/>
    </xf>
    <xf numFmtId="0" fontId="7" fillId="0" borderId="20" xfId="0" applyFont="1" applyBorder="1" applyAlignment="1">
      <alignment vertical="center" wrapText="1"/>
    </xf>
    <xf numFmtId="0" fontId="7" fillId="0" borderId="21" xfId="0" applyFont="1" applyBorder="1" applyAlignment="1">
      <alignment vertical="center" wrapText="1"/>
    </xf>
    <xf numFmtId="0" fontId="7" fillId="0" borderId="22" xfId="0" applyFont="1" applyBorder="1" applyAlignment="1">
      <alignment vertical="center" wrapText="1"/>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49" fontId="8" fillId="0" borderId="17" xfId="0" applyNumberFormat="1" applyFont="1" applyBorder="1" applyAlignment="1">
      <alignment horizontal="left" vertical="center" wrapText="1"/>
    </xf>
    <xf numFmtId="49" fontId="8" fillId="0" borderId="18" xfId="0" applyNumberFormat="1" applyFont="1" applyBorder="1" applyAlignment="1">
      <alignment horizontal="left" vertical="center" wrapText="1"/>
    </xf>
    <xf numFmtId="0" fontId="7" fillId="0" borderId="2" xfId="0" applyFont="1" applyBorder="1" applyAlignment="1">
      <alignment vertical="center"/>
    </xf>
    <xf numFmtId="49" fontId="2" fillId="0" borderId="7"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0" fontId="7" fillId="0" borderId="20" xfId="0" quotePrefix="1" applyFont="1" applyBorder="1" applyAlignment="1">
      <alignment vertical="center" wrapText="1"/>
    </xf>
  </cellXfs>
  <cellStyles count="2">
    <cellStyle name="標準" xfId="0" builtinId="0"/>
    <cellStyle name="標準 2" xfId="1" xr:uid="{03E73E79-BC2F-4E10-B65F-55E40EFFEF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0808-119B-4F18-A712-B42C44CD9522}">
  <sheetPr codeName="Sheet1">
    <pageSetUpPr fitToPage="1"/>
  </sheetPr>
  <dimension ref="A1:BJ504"/>
  <sheetViews>
    <sheetView tabSelected="1" view="pageBreakPreview" zoomScaleNormal="100" zoomScaleSheetLayoutView="100" workbookViewId="0"/>
  </sheetViews>
  <sheetFormatPr defaultColWidth="9" defaultRowHeight="12"/>
  <cols>
    <col min="1" max="62" width="2.140625" style="16" customWidth="1"/>
    <col min="63" max="159" width="1.7109375" style="16" customWidth="1"/>
    <col min="160" max="16384" width="9" style="16"/>
  </cols>
  <sheetData>
    <row r="1" spans="1:62" s="1" customFormat="1" ht="18" customHeight="1">
      <c r="A1" s="1" t="s">
        <v>0</v>
      </c>
      <c r="BJ1" s="2" t="s">
        <v>1</v>
      </c>
    </row>
    <row r="2" spans="1:62" s="3" customFormat="1" ht="18" customHeight="1">
      <c r="A2" s="75" t="s">
        <v>2</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7"/>
      <c r="AV2" s="78" t="s">
        <v>3</v>
      </c>
      <c r="AW2" s="79"/>
      <c r="AX2" s="79"/>
      <c r="AY2" s="80"/>
      <c r="AZ2" s="78" t="s">
        <v>4</v>
      </c>
      <c r="BA2" s="79"/>
      <c r="BB2" s="79"/>
      <c r="BC2" s="80"/>
      <c r="BD2" s="78" t="s">
        <v>5</v>
      </c>
      <c r="BE2" s="79"/>
      <c r="BF2" s="79"/>
      <c r="BG2" s="80"/>
      <c r="BH2" s="79"/>
      <c r="BI2" s="79"/>
      <c r="BJ2" s="80"/>
    </row>
    <row r="3" spans="1:62" s="1" customFormat="1" ht="18" customHeight="1">
      <c r="A3" s="90" t="s">
        <v>6</v>
      </c>
      <c r="B3" s="91"/>
      <c r="C3" s="91"/>
      <c r="D3" s="91"/>
      <c r="E3" s="91"/>
      <c r="F3" s="91"/>
      <c r="G3" s="92"/>
      <c r="H3" s="84" t="s">
        <v>7</v>
      </c>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6"/>
      <c r="AV3" s="78" t="s">
        <v>8</v>
      </c>
      <c r="AW3" s="79"/>
      <c r="AX3" s="79"/>
      <c r="AY3" s="80"/>
      <c r="AZ3" s="78" t="s">
        <v>9</v>
      </c>
      <c r="BA3" s="79"/>
      <c r="BB3" s="79"/>
      <c r="BC3" s="79"/>
      <c r="BD3" s="79"/>
      <c r="BE3" s="79"/>
      <c r="BF3" s="79"/>
      <c r="BG3" s="79"/>
      <c r="BH3" s="79"/>
      <c r="BI3" s="79"/>
      <c r="BJ3" s="80"/>
    </row>
    <row r="4" spans="1:62" s="1" customFormat="1" ht="18" customHeight="1">
      <c r="A4" s="93"/>
      <c r="B4" s="94"/>
      <c r="C4" s="94"/>
      <c r="D4" s="94"/>
      <c r="E4" s="94"/>
      <c r="F4" s="94"/>
      <c r="G4" s="95"/>
      <c r="H4" s="87"/>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9"/>
      <c r="AV4" s="78" t="s">
        <v>10</v>
      </c>
      <c r="AW4" s="79"/>
      <c r="AX4" s="79"/>
      <c r="AY4" s="80"/>
      <c r="AZ4" s="78"/>
      <c r="BA4" s="79"/>
      <c r="BB4" s="79"/>
      <c r="BC4" s="79"/>
      <c r="BD4" s="79"/>
      <c r="BE4" s="79"/>
      <c r="BF4" s="79"/>
      <c r="BG4" s="79"/>
      <c r="BH4" s="79"/>
      <c r="BI4" s="79"/>
      <c r="BJ4" s="80"/>
    </row>
    <row r="5" spans="1:62" s="4" customFormat="1" ht="9" customHeight="1"/>
    <row r="6" spans="1:62" s="8" customFormat="1" ht="15.75" customHeight="1">
      <c r="A6" s="81" t="s">
        <v>11</v>
      </c>
      <c r="B6" s="82"/>
      <c r="C6" s="82"/>
      <c r="D6" s="82"/>
      <c r="E6" s="82"/>
      <c r="F6" s="82"/>
      <c r="G6" s="83"/>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13"/>
      <c r="B57" s="14"/>
      <c r="C57" s="14"/>
      <c r="D57" s="14"/>
      <c r="E57" s="14"/>
      <c r="F57" s="14"/>
      <c r="G57" s="14"/>
      <c r="H57" s="13"/>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5"/>
    </row>
    <row r="58" spans="1:62" ht="5.2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sheetData>
  <mergeCells count="12">
    <mergeCell ref="AV4:AY4"/>
    <mergeCell ref="AZ4:BJ4"/>
    <mergeCell ref="A6:G6"/>
    <mergeCell ref="H3:AU4"/>
    <mergeCell ref="A3:G4"/>
    <mergeCell ref="AV3:AY3"/>
    <mergeCell ref="AZ3:BJ3"/>
    <mergeCell ref="A2:AU2"/>
    <mergeCell ref="AV2:AY2"/>
    <mergeCell ref="AZ2:BC2"/>
    <mergeCell ref="BD2:BG2"/>
    <mergeCell ref="BH2:BJ2"/>
  </mergeCells>
  <phoneticPr fontId="1"/>
  <pageMargins left="0.59055118110236227" right="0.39" top="0.39370078740157483" bottom="0.39370078740157483" header="0.56000000000000005" footer="0.51181102362204722"/>
  <pageSetup paperSize="9" scale="72"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7E53-E28B-49D4-9223-AC061709AE30}">
  <sheetPr codeName="Sheet2">
    <pageSetUpPr fitToPage="1"/>
  </sheetPr>
  <dimension ref="A1:AG34"/>
  <sheetViews>
    <sheetView showGridLines="0" view="pageBreakPreview" zoomScaleNormal="100" zoomScaleSheetLayoutView="100" workbookViewId="0"/>
  </sheetViews>
  <sheetFormatPr defaultColWidth="9" defaultRowHeight="14.45" outlineLevelCol="1"/>
  <cols>
    <col min="1" max="1" width="1.7109375" style="19" customWidth="1"/>
    <col min="2" max="2" width="5.42578125" style="19" bestFit="1" customWidth="1"/>
    <col min="3" max="5" width="3.7109375" style="19" customWidth="1"/>
    <col min="6" max="6" width="5.42578125" style="19" customWidth="1"/>
    <col min="7" max="7" width="2.28515625" style="19" customWidth="1"/>
    <col min="8" max="8" width="3.28515625" style="19" customWidth="1"/>
    <col min="9" max="9" width="7.42578125" style="19" bestFit="1" customWidth="1"/>
    <col min="10" max="10" width="9.140625" style="19" customWidth="1"/>
    <col min="11" max="11" width="3.7109375" style="19" customWidth="1"/>
    <col min="12" max="12" width="5.140625" style="19" customWidth="1"/>
    <col min="13" max="13" width="6" style="19" customWidth="1"/>
    <col min="14" max="14" width="5.140625" style="19" customWidth="1"/>
    <col min="15" max="15" width="5.42578125" style="19" bestFit="1" customWidth="1"/>
    <col min="16" max="16" width="5.85546875" style="19" customWidth="1"/>
    <col min="17" max="17" width="1.85546875" style="19" customWidth="1"/>
    <col min="18" max="18" width="4.28515625" style="19" customWidth="1"/>
    <col min="19" max="19" width="8" style="19" customWidth="1"/>
    <col min="20" max="22" width="3.7109375" style="19" customWidth="1"/>
    <col min="23" max="23" width="5.28515625" style="19" customWidth="1"/>
    <col min="24" max="24" width="3.42578125" style="19" bestFit="1" customWidth="1"/>
    <col min="25" max="25" width="5.28515625" style="19" customWidth="1"/>
    <col min="26" max="26" width="5.7109375" style="19" customWidth="1"/>
    <col min="27" max="27" width="1.42578125" style="19" customWidth="1"/>
    <col min="28" max="28" width="9" style="19"/>
    <col min="29" max="29" width="14.140625" style="26" hidden="1" customWidth="1" outlineLevel="1"/>
    <col min="30" max="30" width="12.28515625" style="26" hidden="1" customWidth="1" outlineLevel="1"/>
    <col min="31" max="31" width="17.42578125" style="26" hidden="1" customWidth="1" outlineLevel="1"/>
    <col min="32" max="32" width="17.28515625" style="26" hidden="1" customWidth="1" outlineLevel="1"/>
    <col min="33" max="33" width="9" style="19" collapsed="1"/>
    <col min="34" max="16384" width="9" style="19"/>
  </cols>
  <sheetData>
    <row r="1" spans="1:33" ht="24" customHeight="1">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COUNTA(C11:C34)</f>
        <v>22</v>
      </c>
      <c r="AE1" s="46" t="s">
        <v>18</v>
      </c>
      <c r="AF1" s="48">
        <f>IF(Y8="無し",0,AD1-1)</f>
        <v>0</v>
      </c>
    </row>
    <row r="2" spans="1:33" s="20" customFormat="1" ht="24" customHeight="1">
      <c r="A2" s="96" t="s">
        <v>19</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1">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1">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1">
      <c r="AE5" s="19"/>
      <c r="AF5" s="19"/>
    </row>
    <row r="6" spans="1:33" ht="21" customHeight="1">
      <c r="A6" s="21"/>
      <c r="B6" s="107" t="s">
        <v>25</v>
      </c>
      <c r="C6" s="108"/>
      <c r="D6" s="109"/>
      <c r="E6" s="117" t="s">
        <v>26</v>
      </c>
      <c r="F6" s="118"/>
      <c r="G6" s="119"/>
      <c r="I6" s="117" t="s">
        <v>27</v>
      </c>
      <c r="J6" s="119"/>
      <c r="K6" s="22" t="s">
        <v>28</v>
      </c>
      <c r="L6" s="23"/>
      <c r="M6" s="23"/>
      <c r="N6" s="23"/>
      <c r="O6" s="23"/>
      <c r="P6" s="23"/>
      <c r="Q6" s="23"/>
      <c r="R6" s="23"/>
      <c r="S6" s="23"/>
      <c r="T6" s="23"/>
      <c r="U6" s="23"/>
      <c r="V6" s="23"/>
      <c r="W6" s="23"/>
      <c r="X6" s="23"/>
      <c r="Y6" s="23"/>
      <c r="Z6" s="24"/>
      <c r="AA6" s="25"/>
      <c r="AB6" s="26"/>
      <c r="AC6" s="46" t="s">
        <v>29</v>
      </c>
      <c r="AD6" s="48">
        <f>SUM(J11:J31)</f>
        <v>178</v>
      </c>
      <c r="AE6" s="19"/>
      <c r="AF6" s="19"/>
    </row>
    <row r="7" spans="1:33" ht="21" customHeight="1">
      <c r="I7" s="117" t="s">
        <v>30</v>
      </c>
      <c r="J7" s="119"/>
      <c r="K7" s="117" t="s">
        <v>31</v>
      </c>
      <c r="L7" s="118"/>
      <c r="M7" s="118"/>
      <c r="N7" s="119"/>
      <c r="O7" s="117" t="s">
        <v>32</v>
      </c>
      <c r="P7" s="118"/>
      <c r="Q7" s="119"/>
      <c r="R7" s="120"/>
      <c r="S7" s="121"/>
      <c r="T7" s="121"/>
      <c r="U7" s="121"/>
      <c r="V7" s="107" t="s">
        <v>33</v>
      </c>
      <c r="W7" s="128"/>
      <c r="X7" s="129">
        <f>AD10</f>
        <v>180</v>
      </c>
      <c r="Y7" s="130"/>
      <c r="Z7" s="131"/>
      <c r="AB7" s="26"/>
      <c r="AC7" s="46" t="s">
        <v>34</v>
      </c>
      <c r="AD7" s="48">
        <f>AD6+AF1</f>
        <v>178</v>
      </c>
      <c r="AE7" s="19"/>
      <c r="AF7" s="19"/>
    </row>
    <row r="8" spans="1:33" ht="21" customHeight="1">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178</v>
      </c>
      <c r="AE8" s="19"/>
      <c r="AF8" s="19"/>
    </row>
    <row r="9" spans="1:33" ht="5.25" customHeight="1">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1">
      <c r="B10" s="54" t="s">
        <v>41</v>
      </c>
      <c r="C10" s="117" t="s">
        <v>42</v>
      </c>
      <c r="D10" s="118"/>
      <c r="E10" s="118"/>
      <c r="F10" s="118"/>
      <c r="G10" s="118"/>
      <c r="H10" s="118"/>
      <c r="I10" s="55"/>
      <c r="J10" s="29" t="s">
        <v>43</v>
      </c>
      <c r="K10" s="117" t="s">
        <v>44</v>
      </c>
      <c r="L10" s="118"/>
      <c r="M10" s="118"/>
      <c r="N10" s="30" t="s">
        <v>45</v>
      </c>
      <c r="O10" s="30" t="s">
        <v>46</v>
      </c>
      <c r="P10" s="29" t="s">
        <v>47</v>
      </c>
      <c r="Q10" s="132" t="s">
        <v>48</v>
      </c>
      <c r="R10" s="133"/>
      <c r="S10" s="133"/>
      <c r="T10" s="133"/>
      <c r="U10" s="133"/>
      <c r="V10" s="133"/>
      <c r="W10" s="133"/>
      <c r="X10" s="133"/>
      <c r="Y10" s="133"/>
      <c r="Z10" s="134"/>
      <c r="AC10" s="46" t="s">
        <v>49</v>
      </c>
      <c r="AD10" s="48">
        <f>AD8+AD2</f>
        <v>180</v>
      </c>
      <c r="AE10" s="19"/>
      <c r="AF10" s="19"/>
    </row>
    <row r="11" spans="1:33" ht="100.9" customHeight="1">
      <c r="B11" s="31">
        <f>ROW($B$10)-ROW()+2</f>
        <v>1</v>
      </c>
      <c r="C11" s="135" t="s">
        <v>50</v>
      </c>
      <c r="D11" s="136"/>
      <c r="E11" s="136"/>
      <c r="F11" s="136"/>
      <c r="G11" s="136"/>
      <c r="H11" s="136"/>
      <c r="I11" s="137"/>
      <c r="J11" s="49">
        <v>2</v>
      </c>
      <c r="K11" s="35" t="s">
        <v>51</v>
      </c>
      <c r="L11" s="50"/>
      <c r="M11" s="50"/>
      <c r="N11" s="51"/>
      <c r="O11" s="51"/>
      <c r="P11" s="52"/>
      <c r="Q11" s="138" t="s">
        <v>52</v>
      </c>
      <c r="R11" s="139"/>
      <c r="S11" s="139"/>
      <c r="T11" s="139"/>
      <c r="U11" s="139"/>
      <c r="V11" s="139"/>
      <c r="W11" s="139"/>
      <c r="X11" s="139"/>
      <c r="Y11" s="139"/>
      <c r="Z11" s="140"/>
    </row>
    <row r="12" spans="1:33" ht="22.5" customHeight="1">
      <c r="B12" s="32">
        <f>B11+1</f>
        <v>2</v>
      </c>
      <c r="C12" s="122" t="s">
        <v>53</v>
      </c>
      <c r="D12" s="123"/>
      <c r="E12" s="123"/>
      <c r="F12" s="123"/>
      <c r="G12" s="123"/>
      <c r="H12" s="123"/>
      <c r="I12" s="124"/>
      <c r="J12" s="34">
        <v>6</v>
      </c>
      <c r="K12" s="35" t="s">
        <v>54</v>
      </c>
      <c r="L12" s="36"/>
      <c r="M12" s="36"/>
      <c r="N12" s="37"/>
      <c r="O12" s="37"/>
      <c r="P12" s="33"/>
      <c r="Q12" s="125" t="s">
        <v>55</v>
      </c>
      <c r="R12" s="126"/>
      <c r="S12" s="126"/>
      <c r="T12" s="126"/>
      <c r="U12" s="126"/>
      <c r="V12" s="126"/>
      <c r="W12" s="126"/>
      <c r="X12" s="126"/>
      <c r="Y12" s="126"/>
      <c r="Z12" s="127"/>
    </row>
    <row r="13" spans="1:33" ht="36" customHeight="1">
      <c r="B13" s="32">
        <f t="shared" ref="B13:B32" si="0">B12+1</f>
        <v>3</v>
      </c>
      <c r="C13" s="122" t="s">
        <v>56</v>
      </c>
      <c r="D13" s="123"/>
      <c r="E13" s="123"/>
      <c r="F13" s="123"/>
      <c r="G13" s="123"/>
      <c r="H13" s="123"/>
      <c r="I13" s="124"/>
      <c r="J13" s="34">
        <v>8</v>
      </c>
      <c r="K13" s="35" t="s">
        <v>54</v>
      </c>
      <c r="L13" s="36"/>
      <c r="M13" s="36"/>
      <c r="N13" s="37"/>
      <c r="O13" s="37"/>
      <c r="P13" s="38"/>
      <c r="Q13" s="125" t="s">
        <v>57</v>
      </c>
      <c r="R13" s="126"/>
      <c r="S13" s="126"/>
      <c r="T13" s="126"/>
      <c r="U13" s="126"/>
      <c r="V13" s="126"/>
      <c r="W13" s="126"/>
      <c r="X13" s="126"/>
      <c r="Y13" s="126"/>
      <c r="Z13" s="127"/>
    </row>
    <row r="14" spans="1:33" ht="36" customHeight="1">
      <c r="B14" s="32">
        <f t="shared" si="0"/>
        <v>4</v>
      </c>
      <c r="C14" s="122" t="s">
        <v>58</v>
      </c>
      <c r="D14" s="123"/>
      <c r="E14" s="123"/>
      <c r="F14" s="123"/>
      <c r="G14" s="123"/>
      <c r="H14" s="123"/>
      <c r="I14" s="124"/>
      <c r="J14" s="34">
        <v>8</v>
      </c>
      <c r="K14" s="35" t="s">
        <v>51</v>
      </c>
      <c r="L14" s="36"/>
      <c r="M14" s="36"/>
      <c r="N14" s="37"/>
      <c r="O14" s="37"/>
      <c r="P14" s="38"/>
      <c r="Q14" s="125" t="s">
        <v>59</v>
      </c>
      <c r="R14" s="126"/>
      <c r="S14" s="126"/>
      <c r="T14" s="126"/>
      <c r="U14" s="126"/>
      <c r="V14" s="126"/>
      <c r="W14" s="126"/>
      <c r="X14" s="126"/>
      <c r="Y14" s="126"/>
      <c r="Z14" s="127"/>
    </row>
    <row r="15" spans="1:33" ht="36" customHeight="1">
      <c r="B15" s="32">
        <f t="shared" si="0"/>
        <v>5</v>
      </c>
      <c r="C15" s="122" t="s">
        <v>60</v>
      </c>
      <c r="D15" s="123"/>
      <c r="E15" s="123"/>
      <c r="F15" s="123"/>
      <c r="G15" s="123"/>
      <c r="H15" s="123"/>
      <c r="I15" s="124"/>
      <c r="J15" s="34">
        <v>8</v>
      </c>
      <c r="K15" s="35" t="s">
        <v>51</v>
      </c>
      <c r="L15" s="36"/>
      <c r="M15" s="36"/>
      <c r="N15" s="37"/>
      <c r="O15" s="37"/>
      <c r="P15" s="38"/>
      <c r="Q15" s="141" t="s">
        <v>61</v>
      </c>
      <c r="R15" s="126"/>
      <c r="S15" s="126"/>
      <c r="T15" s="126"/>
      <c r="U15" s="126"/>
      <c r="V15" s="126"/>
      <c r="W15" s="126"/>
      <c r="X15" s="126"/>
      <c r="Y15" s="126"/>
      <c r="Z15" s="127"/>
    </row>
    <row r="16" spans="1:33" ht="51" customHeight="1">
      <c r="B16" s="32">
        <f t="shared" si="0"/>
        <v>6</v>
      </c>
      <c r="C16" s="122" t="s">
        <v>62</v>
      </c>
      <c r="D16" s="123"/>
      <c r="E16" s="123"/>
      <c r="F16" s="123"/>
      <c r="G16" s="123"/>
      <c r="H16" s="123"/>
      <c r="I16" s="124"/>
      <c r="J16" s="34">
        <v>19</v>
      </c>
      <c r="K16" s="35" t="s">
        <v>51</v>
      </c>
      <c r="L16" s="36"/>
      <c r="M16" s="36"/>
      <c r="N16" s="37"/>
      <c r="O16" s="37"/>
      <c r="P16" s="38"/>
      <c r="Q16" s="125" t="s">
        <v>63</v>
      </c>
      <c r="R16" s="126"/>
      <c r="S16" s="126"/>
      <c r="T16" s="126"/>
      <c r="U16" s="126"/>
      <c r="V16" s="126"/>
      <c r="W16" s="126"/>
      <c r="X16" s="126"/>
      <c r="Y16" s="126"/>
      <c r="Z16" s="127"/>
    </row>
    <row r="17" spans="2:26" ht="24" customHeight="1">
      <c r="B17" s="32">
        <f t="shared" si="0"/>
        <v>7</v>
      </c>
      <c r="C17" s="122" t="s">
        <v>64</v>
      </c>
      <c r="D17" s="123"/>
      <c r="E17" s="123"/>
      <c r="F17" s="123"/>
      <c r="G17" s="123"/>
      <c r="H17" s="123"/>
      <c r="I17" s="124"/>
      <c r="J17" s="34">
        <v>7</v>
      </c>
      <c r="K17" s="35" t="s">
        <v>65</v>
      </c>
      <c r="L17" s="36"/>
      <c r="M17" s="36"/>
      <c r="N17" s="37"/>
      <c r="O17" s="37"/>
      <c r="P17" s="33"/>
      <c r="Q17" s="125" t="s">
        <v>64</v>
      </c>
      <c r="R17" s="126"/>
      <c r="S17" s="126"/>
      <c r="T17" s="126"/>
      <c r="U17" s="126"/>
      <c r="V17" s="126"/>
      <c r="W17" s="126"/>
      <c r="X17" s="126"/>
      <c r="Y17" s="126"/>
      <c r="Z17" s="127"/>
    </row>
    <row r="18" spans="2:26" ht="24" customHeight="1">
      <c r="B18" s="32">
        <f t="shared" si="0"/>
        <v>8</v>
      </c>
      <c r="C18" s="122" t="s">
        <v>66</v>
      </c>
      <c r="D18" s="123"/>
      <c r="E18" s="123"/>
      <c r="F18" s="123"/>
      <c r="G18" s="123"/>
      <c r="H18" s="123"/>
      <c r="I18" s="124"/>
      <c r="J18" s="34">
        <v>8</v>
      </c>
      <c r="K18" s="35" t="s">
        <v>54</v>
      </c>
      <c r="L18" s="36"/>
      <c r="M18" s="36"/>
      <c r="N18" s="37"/>
      <c r="O18" s="37"/>
      <c r="P18" s="33"/>
      <c r="Q18" s="125" t="s">
        <v>67</v>
      </c>
      <c r="R18" s="126"/>
      <c r="S18" s="126"/>
      <c r="T18" s="126"/>
      <c r="U18" s="126"/>
      <c r="V18" s="126"/>
      <c r="W18" s="126"/>
      <c r="X18" s="126"/>
      <c r="Y18" s="126"/>
      <c r="Z18" s="127"/>
    </row>
    <row r="19" spans="2:26" ht="39.6" customHeight="1">
      <c r="B19" s="32">
        <f t="shared" si="0"/>
        <v>9</v>
      </c>
      <c r="C19" s="122" t="s">
        <v>68</v>
      </c>
      <c r="D19" s="123"/>
      <c r="E19" s="123"/>
      <c r="F19" s="123"/>
      <c r="G19" s="123"/>
      <c r="H19" s="123"/>
      <c r="I19" s="124"/>
      <c r="J19" s="34">
        <v>11</v>
      </c>
      <c r="K19" s="35" t="s">
        <v>54</v>
      </c>
      <c r="L19" s="36"/>
      <c r="M19" s="36"/>
      <c r="N19" s="37"/>
      <c r="O19" s="37"/>
      <c r="P19" s="33"/>
      <c r="Q19" s="125" t="s">
        <v>63</v>
      </c>
      <c r="R19" s="126"/>
      <c r="S19" s="126"/>
      <c r="T19" s="126"/>
      <c r="U19" s="126"/>
      <c r="V19" s="126"/>
      <c r="W19" s="126"/>
      <c r="X19" s="126"/>
      <c r="Y19" s="126"/>
      <c r="Z19" s="127"/>
    </row>
    <row r="20" spans="2:26" ht="39" customHeight="1">
      <c r="B20" s="32">
        <f t="shared" si="0"/>
        <v>10</v>
      </c>
      <c r="C20" s="122" t="s">
        <v>69</v>
      </c>
      <c r="D20" s="123"/>
      <c r="E20" s="123"/>
      <c r="F20" s="123"/>
      <c r="G20" s="123"/>
      <c r="H20" s="123"/>
      <c r="I20" s="124"/>
      <c r="J20" s="34">
        <v>11</v>
      </c>
      <c r="K20" s="35" t="s">
        <v>54</v>
      </c>
      <c r="L20" s="36"/>
      <c r="M20" s="36"/>
      <c r="N20" s="37"/>
      <c r="O20" s="37"/>
      <c r="P20" s="38"/>
      <c r="Q20" s="125" t="s">
        <v>70</v>
      </c>
      <c r="R20" s="126"/>
      <c r="S20" s="126"/>
      <c r="T20" s="126"/>
      <c r="U20" s="126"/>
      <c r="V20" s="126"/>
      <c r="W20" s="126"/>
      <c r="X20" s="126"/>
      <c r="Y20" s="126"/>
      <c r="Z20" s="127"/>
    </row>
    <row r="21" spans="2:26" ht="24" customHeight="1">
      <c r="B21" s="32">
        <f t="shared" si="0"/>
        <v>11</v>
      </c>
      <c r="C21" s="122" t="s">
        <v>71</v>
      </c>
      <c r="D21" s="123"/>
      <c r="E21" s="123"/>
      <c r="F21" s="123"/>
      <c r="G21" s="123"/>
      <c r="H21" s="123"/>
      <c r="I21" s="124"/>
      <c r="J21" s="34">
        <v>11</v>
      </c>
      <c r="K21" s="35" t="s">
        <v>54</v>
      </c>
      <c r="L21" s="36"/>
      <c r="M21" s="36"/>
      <c r="N21" s="37"/>
      <c r="O21" s="37"/>
      <c r="P21" s="38"/>
      <c r="Q21" s="125" t="s">
        <v>72</v>
      </c>
      <c r="R21" s="126"/>
      <c r="S21" s="126"/>
      <c r="T21" s="126"/>
      <c r="U21" s="126"/>
      <c r="V21" s="126"/>
      <c r="W21" s="126"/>
      <c r="X21" s="126"/>
      <c r="Y21" s="126"/>
      <c r="Z21" s="127"/>
    </row>
    <row r="22" spans="2:26" ht="125.65" customHeight="1">
      <c r="B22" s="32">
        <f t="shared" si="0"/>
        <v>12</v>
      </c>
      <c r="C22" s="122" t="s">
        <v>73</v>
      </c>
      <c r="D22" s="123"/>
      <c r="E22" s="123"/>
      <c r="F22" s="123"/>
      <c r="G22" s="123"/>
      <c r="H22" s="123"/>
      <c r="I22" s="124"/>
      <c r="J22" s="34">
        <v>1</v>
      </c>
      <c r="K22" s="35" t="s">
        <v>51</v>
      </c>
      <c r="L22" s="36"/>
      <c r="M22" s="36"/>
      <c r="N22" s="37"/>
      <c r="O22" s="37"/>
      <c r="P22" s="38"/>
      <c r="Q22" s="125" t="s">
        <v>74</v>
      </c>
      <c r="R22" s="126"/>
      <c r="S22" s="126"/>
      <c r="T22" s="126"/>
      <c r="U22" s="126"/>
      <c r="V22" s="126"/>
      <c r="W22" s="126"/>
      <c r="X22" s="126"/>
      <c r="Y22" s="126"/>
      <c r="Z22" s="127"/>
    </row>
    <row r="23" spans="2:26" ht="120.6" customHeight="1">
      <c r="B23" s="32">
        <f t="shared" si="0"/>
        <v>13</v>
      </c>
      <c r="C23" s="122" t="s">
        <v>75</v>
      </c>
      <c r="D23" s="123"/>
      <c r="E23" s="123"/>
      <c r="F23" s="123"/>
      <c r="G23" s="123"/>
      <c r="H23" s="123"/>
      <c r="I23" s="124"/>
      <c r="J23" s="34">
        <v>1</v>
      </c>
      <c r="K23" s="35" t="s">
        <v>51</v>
      </c>
      <c r="L23" s="36"/>
      <c r="M23" s="36"/>
      <c r="N23" s="37"/>
      <c r="O23" s="37"/>
      <c r="P23" s="38"/>
      <c r="Q23" s="125" t="s">
        <v>76</v>
      </c>
      <c r="R23" s="142"/>
      <c r="S23" s="142"/>
      <c r="T23" s="142"/>
      <c r="U23" s="142"/>
      <c r="V23" s="142"/>
      <c r="W23" s="142"/>
      <c r="X23" s="142"/>
      <c r="Y23" s="142"/>
      <c r="Z23" s="143"/>
    </row>
    <row r="24" spans="2:26" ht="123" customHeight="1">
      <c r="B24" s="32">
        <f t="shared" si="0"/>
        <v>14</v>
      </c>
      <c r="C24" s="122" t="s">
        <v>77</v>
      </c>
      <c r="D24" s="123"/>
      <c r="E24" s="123"/>
      <c r="F24" s="123"/>
      <c r="G24" s="123"/>
      <c r="H24" s="123"/>
      <c r="I24" s="124"/>
      <c r="J24" s="34">
        <v>1</v>
      </c>
      <c r="K24" s="35" t="s">
        <v>51</v>
      </c>
      <c r="L24" s="36"/>
      <c r="M24" s="36"/>
      <c r="N24" s="37"/>
      <c r="O24" s="37"/>
      <c r="P24" s="33"/>
      <c r="Q24" s="125" t="s">
        <v>78</v>
      </c>
      <c r="R24" s="142"/>
      <c r="S24" s="142"/>
      <c r="T24" s="142"/>
      <c r="U24" s="142"/>
      <c r="V24" s="142"/>
      <c r="W24" s="142"/>
      <c r="X24" s="142"/>
      <c r="Y24" s="142"/>
      <c r="Z24" s="143"/>
    </row>
    <row r="25" spans="2:26" ht="24" customHeight="1">
      <c r="B25" s="32">
        <f t="shared" si="0"/>
        <v>15</v>
      </c>
      <c r="C25" s="122" t="s">
        <v>79</v>
      </c>
      <c r="D25" s="123"/>
      <c r="E25" s="123"/>
      <c r="F25" s="123"/>
      <c r="G25" s="123"/>
      <c r="H25" s="123"/>
      <c r="I25" s="124"/>
      <c r="J25" s="34">
        <v>1</v>
      </c>
      <c r="K25" s="35" t="s">
        <v>51</v>
      </c>
      <c r="L25" s="36"/>
      <c r="M25" s="36"/>
      <c r="N25" s="37"/>
      <c r="O25" s="37"/>
      <c r="P25" s="33"/>
      <c r="Q25" s="125" t="s">
        <v>80</v>
      </c>
      <c r="R25" s="142"/>
      <c r="S25" s="142"/>
      <c r="T25" s="142"/>
      <c r="U25" s="142"/>
      <c r="V25" s="142"/>
      <c r="W25" s="142"/>
      <c r="X25" s="142"/>
      <c r="Y25" s="142"/>
      <c r="Z25" s="143"/>
    </row>
    <row r="26" spans="2:26" ht="79.900000000000006" customHeight="1">
      <c r="B26" s="32">
        <f t="shared" si="0"/>
        <v>16</v>
      </c>
      <c r="C26" s="122" t="s">
        <v>81</v>
      </c>
      <c r="D26" s="123"/>
      <c r="E26" s="123"/>
      <c r="F26" s="123"/>
      <c r="G26" s="123"/>
      <c r="H26" s="123"/>
      <c r="I26" s="124"/>
      <c r="J26" s="34">
        <v>28</v>
      </c>
      <c r="K26" s="35" t="s">
        <v>51</v>
      </c>
      <c r="L26" s="36"/>
      <c r="M26" s="36"/>
      <c r="N26" s="37"/>
      <c r="O26" s="37"/>
      <c r="P26" s="33"/>
      <c r="Q26" s="125" t="s">
        <v>82</v>
      </c>
      <c r="R26" s="142"/>
      <c r="S26" s="142"/>
      <c r="T26" s="142"/>
      <c r="U26" s="142"/>
      <c r="V26" s="142"/>
      <c r="W26" s="142"/>
      <c r="X26" s="142"/>
      <c r="Y26" s="142"/>
      <c r="Z26" s="143"/>
    </row>
    <row r="27" spans="2:26" ht="41.65" customHeight="1">
      <c r="B27" s="32">
        <f t="shared" si="0"/>
        <v>17</v>
      </c>
      <c r="C27" s="122" t="s">
        <v>83</v>
      </c>
      <c r="D27" s="123"/>
      <c r="E27" s="123"/>
      <c r="F27" s="123"/>
      <c r="G27" s="123"/>
      <c r="H27" s="123"/>
      <c r="I27" s="124"/>
      <c r="J27" s="34">
        <v>17</v>
      </c>
      <c r="K27" s="35" t="s">
        <v>51</v>
      </c>
      <c r="L27" s="36"/>
      <c r="M27" s="36"/>
      <c r="N27" s="37"/>
      <c r="O27" s="37"/>
      <c r="P27" s="38"/>
      <c r="Q27" s="125" t="s">
        <v>84</v>
      </c>
      <c r="R27" s="142"/>
      <c r="S27" s="142"/>
      <c r="T27" s="142"/>
      <c r="U27" s="142"/>
      <c r="V27" s="142"/>
      <c r="W27" s="142"/>
      <c r="X27" s="142"/>
      <c r="Y27" s="142"/>
      <c r="Z27" s="143"/>
    </row>
    <row r="28" spans="2:26" ht="63.6" customHeight="1">
      <c r="B28" s="32">
        <f t="shared" si="0"/>
        <v>18</v>
      </c>
      <c r="C28" s="122" t="s">
        <v>85</v>
      </c>
      <c r="D28" s="123"/>
      <c r="E28" s="123"/>
      <c r="F28" s="123"/>
      <c r="G28" s="123"/>
      <c r="H28" s="123"/>
      <c r="I28" s="124"/>
      <c r="J28" s="34">
        <v>3</v>
      </c>
      <c r="K28" s="35" t="s">
        <v>51</v>
      </c>
      <c r="L28" s="36"/>
      <c r="M28" s="36"/>
      <c r="N28" s="37"/>
      <c r="O28" s="37"/>
      <c r="P28" s="38"/>
      <c r="Q28" s="125" t="s">
        <v>86</v>
      </c>
      <c r="R28" s="142"/>
      <c r="S28" s="142"/>
      <c r="T28" s="142"/>
      <c r="U28" s="142"/>
      <c r="V28" s="142"/>
      <c r="W28" s="142"/>
      <c r="X28" s="142"/>
      <c r="Y28" s="142"/>
      <c r="Z28" s="143"/>
    </row>
    <row r="29" spans="2:26" ht="24" customHeight="1">
      <c r="B29" s="32">
        <f t="shared" si="0"/>
        <v>19</v>
      </c>
      <c r="C29" s="122" t="s">
        <v>87</v>
      </c>
      <c r="D29" s="123"/>
      <c r="E29" s="123"/>
      <c r="F29" s="123"/>
      <c r="G29" s="123"/>
      <c r="H29" s="123"/>
      <c r="I29" s="124"/>
      <c r="J29" s="34">
        <v>19</v>
      </c>
      <c r="K29" s="35" t="s">
        <v>51</v>
      </c>
      <c r="L29" s="36"/>
      <c r="M29" s="36"/>
      <c r="N29" s="37"/>
      <c r="O29" s="37"/>
      <c r="P29" s="38"/>
      <c r="Q29" s="125" t="s">
        <v>80</v>
      </c>
      <c r="R29" s="142"/>
      <c r="S29" s="142"/>
      <c r="T29" s="142"/>
      <c r="U29" s="142"/>
      <c r="V29" s="142"/>
      <c r="W29" s="142"/>
      <c r="X29" s="142"/>
      <c r="Y29" s="142"/>
      <c r="Z29" s="143"/>
    </row>
    <row r="30" spans="2:26" ht="33" customHeight="1">
      <c r="B30" s="32">
        <f t="shared" si="0"/>
        <v>20</v>
      </c>
      <c r="C30" s="150" t="s">
        <v>88</v>
      </c>
      <c r="D30" s="151"/>
      <c r="E30" s="151"/>
      <c r="F30" s="151"/>
      <c r="G30" s="151"/>
      <c r="H30" s="151"/>
      <c r="I30" s="152"/>
      <c r="J30" s="34">
        <v>2</v>
      </c>
      <c r="K30" s="35" t="s">
        <v>51</v>
      </c>
      <c r="L30" s="36"/>
      <c r="M30" s="36"/>
      <c r="N30" s="37"/>
      <c r="O30" s="37"/>
      <c r="P30" s="38"/>
      <c r="Q30" s="125" t="s">
        <v>89</v>
      </c>
      <c r="R30" s="142"/>
      <c r="S30" s="142"/>
      <c r="T30" s="142"/>
      <c r="U30" s="142"/>
      <c r="V30" s="142"/>
      <c r="W30" s="142"/>
      <c r="X30" s="142"/>
      <c r="Y30" s="142"/>
      <c r="Z30" s="143"/>
    </row>
    <row r="31" spans="2:26" ht="24" customHeight="1">
      <c r="B31" s="32">
        <f t="shared" si="0"/>
        <v>21</v>
      </c>
      <c r="C31" s="122" t="s">
        <v>53</v>
      </c>
      <c r="D31" s="123"/>
      <c r="E31" s="123"/>
      <c r="F31" s="123"/>
      <c r="G31" s="123"/>
      <c r="H31" s="123"/>
      <c r="I31" s="124"/>
      <c r="J31" s="34">
        <v>6</v>
      </c>
      <c r="K31" s="35" t="s">
        <v>54</v>
      </c>
      <c r="L31" s="36"/>
      <c r="M31" s="36"/>
      <c r="N31" s="37"/>
      <c r="O31" s="37"/>
      <c r="P31" s="33"/>
      <c r="Q31" s="125" t="s">
        <v>90</v>
      </c>
      <c r="R31" s="142"/>
      <c r="S31" s="142"/>
      <c r="T31" s="142"/>
      <c r="U31" s="142"/>
      <c r="V31" s="142"/>
      <c r="W31" s="142"/>
      <c r="X31" s="142"/>
      <c r="Y31" s="142"/>
      <c r="Z31" s="143"/>
    </row>
    <row r="32" spans="2:26" ht="24" customHeight="1">
      <c r="B32" s="32">
        <f t="shared" si="0"/>
        <v>22</v>
      </c>
      <c r="C32" s="122" t="s">
        <v>20</v>
      </c>
      <c r="D32" s="123"/>
      <c r="E32" s="123"/>
      <c r="F32" s="123"/>
      <c r="G32" s="123"/>
      <c r="H32" s="123"/>
      <c r="I32" s="124"/>
      <c r="J32" s="34">
        <v>2</v>
      </c>
      <c r="K32" s="35"/>
      <c r="L32" s="36"/>
      <c r="M32" s="36"/>
      <c r="N32" s="37"/>
      <c r="O32" s="37"/>
      <c r="P32" s="33"/>
      <c r="Q32" s="125" t="s">
        <v>91</v>
      </c>
      <c r="R32" s="126"/>
      <c r="S32" s="126"/>
      <c r="T32" s="126"/>
      <c r="U32" s="126"/>
      <c r="V32" s="126"/>
      <c r="W32" s="126"/>
      <c r="X32" s="126"/>
      <c r="Y32" s="126"/>
      <c r="Z32" s="127"/>
    </row>
    <row r="33" spans="2:26" ht="24" customHeight="1">
      <c r="B33" s="40"/>
      <c r="C33" s="144"/>
      <c r="D33" s="145"/>
      <c r="E33" s="145"/>
      <c r="F33" s="145"/>
      <c r="G33" s="145"/>
      <c r="H33" s="145"/>
      <c r="I33" s="146"/>
      <c r="J33" s="41"/>
      <c r="K33" s="42"/>
      <c r="L33" s="43"/>
      <c r="M33" s="43"/>
      <c r="N33" s="44"/>
      <c r="O33" s="44"/>
      <c r="P33" s="45"/>
      <c r="Q33" s="147"/>
      <c r="R33" s="148"/>
      <c r="S33" s="148"/>
      <c r="T33" s="148"/>
      <c r="U33" s="148"/>
      <c r="V33" s="148"/>
      <c r="W33" s="148"/>
      <c r="X33" s="148"/>
      <c r="Y33" s="148"/>
      <c r="Z33" s="149"/>
    </row>
    <row r="34" spans="2:26" ht="7.5" customHeight="1">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sheetData>
  <mergeCells count="75">
    <mergeCell ref="C33:I33"/>
    <mergeCell ref="Q33:Z33"/>
    <mergeCell ref="C30:I30"/>
    <mergeCell ref="Q30:Z30"/>
    <mergeCell ref="C31:I31"/>
    <mergeCell ref="Q31:Z31"/>
    <mergeCell ref="C32:I32"/>
    <mergeCell ref="Q32:Z32"/>
    <mergeCell ref="C27:I27"/>
    <mergeCell ref="Q27:Z27"/>
    <mergeCell ref="C28:I28"/>
    <mergeCell ref="Q28:Z28"/>
    <mergeCell ref="C29:I29"/>
    <mergeCell ref="Q29:Z29"/>
    <mergeCell ref="C24:I24"/>
    <mergeCell ref="Q24:Z24"/>
    <mergeCell ref="C25:I25"/>
    <mergeCell ref="Q25:Z25"/>
    <mergeCell ref="C26:I26"/>
    <mergeCell ref="Q26:Z26"/>
    <mergeCell ref="C21:I21"/>
    <mergeCell ref="Q21:Z21"/>
    <mergeCell ref="C22:I22"/>
    <mergeCell ref="Q22:Z22"/>
    <mergeCell ref="C23:I23"/>
    <mergeCell ref="Q23:Z23"/>
    <mergeCell ref="C18:I18"/>
    <mergeCell ref="Q18:Z18"/>
    <mergeCell ref="C19:I19"/>
    <mergeCell ref="Q19:Z19"/>
    <mergeCell ref="C20:I20"/>
    <mergeCell ref="Q20:Z20"/>
    <mergeCell ref="C15:I15"/>
    <mergeCell ref="Q15:Z15"/>
    <mergeCell ref="C16:I16"/>
    <mergeCell ref="Q16:Z16"/>
    <mergeCell ref="C17:I17"/>
    <mergeCell ref="Q17:Z17"/>
    <mergeCell ref="Q11:Z11"/>
    <mergeCell ref="C13:I13"/>
    <mergeCell ref="Q13:Z13"/>
    <mergeCell ref="C14:I14"/>
    <mergeCell ref="Q14:Z14"/>
    <mergeCell ref="O7:Q7"/>
    <mergeCell ref="R7:U7"/>
    <mergeCell ref="C12:I12"/>
    <mergeCell ref="Q12:Z12"/>
    <mergeCell ref="V7:W7"/>
    <mergeCell ref="X7:Z7"/>
    <mergeCell ref="I8:J8"/>
    <mergeCell ref="K8:N8"/>
    <mergeCell ref="O8:Q8"/>
    <mergeCell ref="R8:U8"/>
    <mergeCell ref="V8:X8"/>
    <mergeCell ref="Y8:Z8"/>
    <mergeCell ref="C10:H10"/>
    <mergeCell ref="K10:M10"/>
    <mergeCell ref="Q10:Z10"/>
    <mergeCell ref="C11:I11"/>
    <mergeCell ref="B6:D6"/>
    <mergeCell ref="E6:G6"/>
    <mergeCell ref="I6:J6"/>
    <mergeCell ref="I7:J7"/>
    <mergeCell ref="K7:N7"/>
    <mergeCell ref="A2:AA2"/>
    <mergeCell ref="A3:D4"/>
    <mergeCell ref="E3:N4"/>
    <mergeCell ref="O3:Q3"/>
    <mergeCell ref="R3:S3"/>
    <mergeCell ref="T3:U4"/>
    <mergeCell ref="V3:W4"/>
    <mergeCell ref="X3:X4"/>
    <mergeCell ref="Y3:AA4"/>
    <mergeCell ref="O4:Q4"/>
    <mergeCell ref="R4:S4"/>
  </mergeCells>
  <phoneticPr fontId="1"/>
  <dataValidations disablePrompts="1" count="3">
    <dataValidation type="list" allowBlank="1" showInputMessage="1" showErrorMessage="1" sqref="K8" xr:uid="{53145CE3-9387-429E-89AF-B11332679D3F}">
      <formula1>"CR-LF,LF"</formula1>
    </dataValidation>
    <dataValidation type="list" allowBlank="1" showInputMessage="1" showErrorMessage="1" sqref="R8" xr:uid="{201562D3-E1C0-4087-BFDC-5FB382443AFF}">
      <formula1>"無し,シングルクォーテーション,ダブルクォーテーション"</formula1>
    </dataValidation>
    <dataValidation type="list" allowBlank="1" showInputMessage="1" showErrorMessage="1" sqref="Y8:Z8" xr:uid="{D6ADE635-CC5D-4DA6-9424-E8825A82B9C6}">
      <formula1>"無し,カンマ,タブ"</formula1>
    </dataValidation>
  </dataValidations>
  <pageMargins left="0.59055118110236227" right="0.39" top="0.25" bottom="0.39370078740157483" header="0.82" footer="0.51181102362204722"/>
  <pageSetup paperSize="9" scale="76" fitToHeight="0" orientation="portrait" verticalDpi="360"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AB57-9DE0-4AE4-AFA0-AA9E9E80A9DB}">
  <sheetPr codeName="Sheet3">
    <pageSetUpPr fitToPage="1"/>
  </sheetPr>
  <dimension ref="A1:AG195"/>
  <sheetViews>
    <sheetView showGridLines="0" view="pageBreakPreview" zoomScaleNormal="100" zoomScaleSheetLayoutView="100" workbookViewId="0"/>
  </sheetViews>
  <sheetFormatPr defaultColWidth="9" defaultRowHeight="14.45" outlineLevelCol="1"/>
  <cols>
    <col min="1" max="1" width="1.7109375" style="19" customWidth="1"/>
    <col min="2" max="2" width="5.42578125" style="19" bestFit="1" customWidth="1"/>
    <col min="3" max="5" width="3.7109375" style="19" customWidth="1"/>
    <col min="6" max="6" width="5.42578125" style="19" customWidth="1"/>
    <col min="7" max="7" width="2.28515625" style="19" customWidth="1"/>
    <col min="8" max="8" width="3.28515625" style="19" customWidth="1"/>
    <col min="9" max="9" width="7.42578125" style="19" bestFit="1" customWidth="1"/>
    <col min="10" max="10" width="9.140625" style="19" customWidth="1"/>
    <col min="11" max="11" width="3.7109375" style="19" customWidth="1"/>
    <col min="12" max="12" width="5.140625" style="19" customWidth="1"/>
    <col min="13" max="13" width="7" style="19" customWidth="1"/>
    <col min="14" max="14" width="5.140625" style="19" customWidth="1"/>
    <col min="15" max="15" width="5.42578125" style="19" bestFit="1" customWidth="1"/>
    <col min="16" max="16" width="5.85546875" style="19" customWidth="1"/>
    <col min="17" max="17" width="1.85546875" style="19" customWidth="1"/>
    <col min="18" max="18" width="4.28515625" style="19" customWidth="1"/>
    <col min="19" max="19" width="8" style="19" customWidth="1"/>
    <col min="20" max="22" width="3.7109375" style="19" customWidth="1"/>
    <col min="23" max="23" width="5.28515625" style="19" customWidth="1"/>
    <col min="24" max="24" width="3.42578125" style="19" bestFit="1" customWidth="1"/>
    <col min="25" max="25" width="5.28515625" style="19" customWidth="1"/>
    <col min="26" max="26" width="5.7109375" style="19" customWidth="1"/>
    <col min="27" max="27" width="1.42578125" style="19" customWidth="1"/>
    <col min="28" max="28" width="9" style="19"/>
    <col min="29" max="29" width="14.140625" style="26" hidden="1" customWidth="1" outlineLevel="1"/>
    <col min="30" max="30" width="12.28515625" style="26" hidden="1" customWidth="1" outlineLevel="1"/>
    <col min="31" max="31" width="17.42578125" style="26" hidden="1" customWidth="1" outlineLevel="1"/>
    <col min="32" max="32" width="17.28515625" style="26" hidden="1" customWidth="1" outlineLevel="1"/>
    <col min="33" max="33" width="9" style="19" collapsed="1"/>
    <col min="34" max="16384" width="9" style="19"/>
  </cols>
  <sheetData>
    <row r="1" spans="1:33" ht="24" customHeight="1">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COUNTA(C11:C195)</f>
        <v>183</v>
      </c>
      <c r="AE1" s="46" t="s">
        <v>18</v>
      </c>
      <c r="AF1" s="48">
        <f>IF(Y8="無し",0,AD1-1)</f>
        <v>0</v>
      </c>
    </row>
    <row r="2" spans="1:33" s="20" customFormat="1" ht="24" customHeight="1">
      <c r="A2" s="96" t="s">
        <v>19</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1">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1">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1">
      <c r="AE5" s="19"/>
      <c r="AF5" s="19"/>
    </row>
    <row r="6" spans="1:33" ht="21" customHeight="1">
      <c r="A6" s="21"/>
      <c r="B6" s="107" t="s">
        <v>25</v>
      </c>
      <c r="C6" s="108"/>
      <c r="D6" s="109"/>
      <c r="E6" s="117" t="s">
        <v>92</v>
      </c>
      <c r="F6" s="118"/>
      <c r="G6" s="119"/>
      <c r="I6" s="117" t="s">
        <v>27</v>
      </c>
      <c r="J6" s="119"/>
      <c r="K6" s="22" t="s">
        <v>93</v>
      </c>
      <c r="L6" s="23"/>
      <c r="M6" s="23"/>
      <c r="N6" s="23"/>
      <c r="O6" s="23"/>
      <c r="P6" s="23"/>
      <c r="Q6" s="23"/>
      <c r="R6" s="23"/>
      <c r="S6" s="23"/>
      <c r="T6" s="23"/>
      <c r="U6" s="23"/>
      <c r="V6" s="23"/>
      <c r="W6" s="23"/>
      <c r="X6" s="23"/>
      <c r="Y6" s="23"/>
      <c r="Z6" s="24"/>
      <c r="AA6" s="25"/>
      <c r="AB6" s="26"/>
      <c r="AC6" s="46" t="s">
        <v>29</v>
      </c>
      <c r="AD6" s="48">
        <f>SUM(J11:J192)</f>
        <v>857</v>
      </c>
      <c r="AE6" s="19"/>
      <c r="AF6" s="19"/>
    </row>
    <row r="7" spans="1:33" ht="21" customHeight="1">
      <c r="I7" s="117" t="s">
        <v>30</v>
      </c>
      <c r="J7" s="119"/>
      <c r="K7" s="117" t="s">
        <v>31</v>
      </c>
      <c r="L7" s="118"/>
      <c r="M7" s="118"/>
      <c r="N7" s="119"/>
      <c r="O7" s="117" t="s">
        <v>32</v>
      </c>
      <c r="P7" s="118"/>
      <c r="Q7" s="119"/>
      <c r="R7" s="120"/>
      <c r="S7" s="121"/>
      <c r="T7" s="121"/>
      <c r="U7" s="121"/>
      <c r="V7" s="107" t="s">
        <v>33</v>
      </c>
      <c r="W7" s="128"/>
      <c r="X7" s="129">
        <f>AD10</f>
        <v>859</v>
      </c>
      <c r="Y7" s="130"/>
      <c r="Z7" s="131"/>
      <c r="AB7" s="26"/>
      <c r="AC7" s="46" t="s">
        <v>34</v>
      </c>
      <c r="AD7" s="48">
        <f>AD6+AF1</f>
        <v>857</v>
      </c>
      <c r="AE7" s="19"/>
      <c r="AF7" s="19"/>
    </row>
    <row r="8" spans="1:33" ht="21" customHeight="1">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857</v>
      </c>
      <c r="AE8" s="19"/>
      <c r="AF8" s="19"/>
    </row>
    <row r="9" spans="1:33" ht="5.25" customHeight="1">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1">
      <c r="B10" s="54" t="s">
        <v>41</v>
      </c>
      <c r="C10" s="117" t="s">
        <v>42</v>
      </c>
      <c r="D10" s="118"/>
      <c r="E10" s="118"/>
      <c r="F10" s="118"/>
      <c r="G10" s="118"/>
      <c r="H10" s="118"/>
      <c r="I10" s="55"/>
      <c r="J10" s="29" t="s">
        <v>43</v>
      </c>
      <c r="K10" s="117" t="s">
        <v>44</v>
      </c>
      <c r="L10" s="118"/>
      <c r="M10" s="118"/>
      <c r="N10" s="30" t="s">
        <v>45</v>
      </c>
      <c r="O10" s="30" t="s">
        <v>46</v>
      </c>
      <c r="P10" s="29" t="s">
        <v>47</v>
      </c>
      <c r="Q10" s="132" t="s">
        <v>48</v>
      </c>
      <c r="R10" s="133"/>
      <c r="S10" s="133"/>
      <c r="T10" s="133"/>
      <c r="U10" s="133"/>
      <c r="V10" s="133"/>
      <c r="W10" s="133"/>
      <c r="X10" s="133"/>
      <c r="Y10" s="133"/>
      <c r="Z10" s="134"/>
      <c r="AC10" s="46" t="s">
        <v>49</v>
      </c>
      <c r="AD10" s="48">
        <f>AD8+AD2</f>
        <v>859</v>
      </c>
      <c r="AE10" s="19"/>
      <c r="AF10" s="19"/>
    </row>
    <row r="11" spans="1:33" ht="24" customHeight="1">
      <c r="B11" s="31">
        <f>ROW($B$10)-ROW()+2</f>
        <v>1</v>
      </c>
      <c r="C11" s="135" t="s">
        <v>94</v>
      </c>
      <c r="D11" s="136"/>
      <c r="E11" s="136"/>
      <c r="F11" s="136"/>
      <c r="G11" s="136"/>
      <c r="H11" s="136"/>
      <c r="I11" s="137"/>
      <c r="J11" s="49">
        <v>2</v>
      </c>
      <c r="K11" s="35" t="s">
        <v>51</v>
      </c>
      <c r="L11" s="50"/>
      <c r="M11" s="50"/>
      <c r="N11" s="51"/>
      <c r="O11" s="51"/>
      <c r="P11" s="52"/>
      <c r="Q11" s="138" t="s">
        <v>95</v>
      </c>
      <c r="R11" s="139"/>
      <c r="S11" s="139"/>
      <c r="T11" s="139"/>
      <c r="U11" s="139"/>
      <c r="V11" s="139"/>
      <c r="W11" s="139"/>
      <c r="X11" s="139"/>
      <c r="Y11" s="139"/>
      <c r="Z11" s="140"/>
    </row>
    <row r="12" spans="1:33" ht="24" customHeight="1">
      <c r="B12" s="32">
        <f>B11+1</f>
        <v>2</v>
      </c>
      <c r="C12" s="122" t="s">
        <v>96</v>
      </c>
      <c r="D12" s="123"/>
      <c r="E12" s="123"/>
      <c r="F12" s="123"/>
      <c r="G12" s="123"/>
      <c r="H12" s="123"/>
      <c r="I12" s="124"/>
      <c r="J12" s="34">
        <v>6</v>
      </c>
      <c r="K12" s="35" t="s">
        <v>54</v>
      </c>
      <c r="L12" s="36"/>
      <c r="M12" s="36"/>
      <c r="N12" s="37"/>
      <c r="O12" s="37"/>
      <c r="P12" s="33"/>
      <c r="Q12" s="125" t="s">
        <v>97</v>
      </c>
      <c r="R12" s="126"/>
      <c r="S12" s="126"/>
      <c r="T12" s="126"/>
      <c r="U12" s="126"/>
      <c r="V12" s="126"/>
      <c r="W12" s="126"/>
      <c r="X12" s="126"/>
      <c r="Y12" s="126"/>
      <c r="Z12" s="127"/>
    </row>
    <row r="13" spans="1:33" ht="24" customHeight="1">
      <c r="B13" s="32">
        <f t="shared" ref="B13:B76" si="0">B12+1</f>
        <v>3</v>
      </c>
      <c r="C13" s="122" t="s">
        <v>98</v>
      </c>
      <c r="D13" s="123"/>
      <c r="E13" s="123"/>
      <c r="F13" s="123"/>
      <c r="G13" s="123"/>
      <c r="H13" s="123"/>
      <c r="I13" s="124"/>
      <c r="J13" s="34">
        <v>1</v>
      </c>
      <c r="K13" s="35" t="s">
        <v>51</v>
      </c>
      <c r="L13" s="36"/>
      <c r="M13" s="36"/>
      <c r="N13" s="37"/>
      <c r="O13" s="37"/>
      <c r="P13" s="38"/>
      <c r="Q13" s="125" t="s">
        <v>99</v>
      </c>
      <c r="R13" s="126"/>
      <c r="S13" s="126"/>
      <c r="T13" s="126"/>
      <c r="U13" s="126"/>
      <c r="V13" s="126"/>
      <c r="W13" s="126"/>
      <c r="X13" s="126"/>
      <c r="Y13" s="126"/>
      <c r="Z13" s="127"/>
    </row>
    <row r="14" spans="1:33" ht="31.9" customHeight="1">
      <c r="B14" s="32">
        <f>B13+1</f>
        <v>4</v>
      </c>
      <c r="C14" s="122" t="s">
        <v>100</v>
      </c>
      <c r="D14" s="123"/>
      <c r="E14" s="123"/>
      <c r="F14" s="123"/>
      <c r="G14" s="123"/>
      <c r="H14" s="123"/>
      <c r="I14" s="124"/>
      <c r="J14" s="34">
        <v>1</v>
      </c>
      <c r="K14" s="35" t="s">
        <v>51</v>
      </c>
      <c r="L14" s="36"/>
      <c r="M14" s="36"/>
      <c r="N14" s="37"/>
      <c r="O14" s="37"/>
      <c r="P14" s="38"/>
      <c r="Q14" s="141" t="s">
        <v>101</v>
      </c>
      <c r="R14" s="126"/>
      <c r="S14" s="126"/>
      <c r="T14" s="126"/>
      <c r="U14" s="126"/>
      <c r="V14" s="126"/>
      <c r="W14" s="126"/>
      <c r="X14" s="126"/>
      <c r="Y14" s="126"/>
      <c r="Z14" s="127"/>
    </row>
    <row r="15" spans="1:33" ht="24" customHeight="1">
      <c r="B15" s="32">
        <f t="shared" si="0"/>
        <v>5</v>
      </c>
      <c r="C15" s="122" t="s">
        <v>102</v>
      </c>
      <c r="D15" s="123"/>
      <c r="E15" s="123"/>
      <c r="F15" s="123"/>
      <c r="G15" s="123"/>
      <c r="H15" s="123"/>
      <c r="I15" s="124"/>
      <c r="J15" s="34">
        <v>6</v>
      </c>
      <c r="K15" s="35" t="s">
        <v>51</v>
      </c>
      <c r="L15" s="36"/>
      <c r="M15" s="36"/>
      <c r="N15" s="37"/>
      <c r="O15" s="37"/>
      <c r="P15" s="33"/>
      <c r="Q15" s="125"/>
      <c r="R15" s="126"/>
      <c r="S15" s="126"/>
      <c r="T15" s="126"/>
      <c r="U15" s="126"/>
      <c r="V15" s="126"/>
      <c r="W15" s="126"/>
      <c r="X15" s="126"/>
      <c r="Y15" s="126"/>
      <c r="Z15" s="127"/>
    </row>
    <row r="16" spans="1:33" ht="24" customHeight="1">
      <c r="B16" s="32">
        <f t="shared" si="0"/>
        <v>6</v>
      </c>
      <c r="C16" s="122" t="s">
        <v>56</v>
      </c>
      <c r="D16" s="123"/>
      <c r="E16" s="123"/>
      <c r="F16" s="123"/>
      <c r="G16" s="123"/>
      <c r="H16" s="123"/>
      <c r="I16" s="124"/>
      <c r="J16" s="34">
        <v>8</v>
      </c>
      <c r="K16" s="35" t="s">
        <v>54</v>
      </c>
      <c r="L16" s="36"/>
      <c r="M16" s="36"/>
      <c r="N16" s="37"/>
      <c r="O16" s="37"/>
      <c r="P16" s="33"/>
      <c r="Q16" s="125" t="s">
        <v>103</v>
      </c>
      <c r="R16" s="126"/>
      <c r="S16" s="126"/>
      <c r="T16" s="126"/>
      <c r="U16" s="126"/>
      <c r="V16" s="126"/>
      <c r="W16" s="126"/>
      <c r="X16" s="126"/>
      <c r="Y16" s="126"/>
      <c r="Z16" s="127"/>
    </row>
    <row r="17" spans="2:26" ht="24" customHeight="1">
      <c r="B17" s="32">
        <f t="shared" si="0"/>
        <v>7</v>
      </c>
      <c r="C17" s="122" t="s">
        <v>104</v>
      </c>
      <c r="D17" s="123"/>
      <c r="E17" s="123"/>
      <c r="F17" s="123"/>
      <c r="G17" s="123"/>
      <c r="H17" s="123"/>
      <c r="I17" s="124"/>
      <c r="J17" s="34">
        <v>8</v>
      </c>
      <c r="K17" s="35" t="s">
        <v>51</v>
      </c>
      <c r="L17" s="36"/>
      <c r="M17" s="36"/>
      <c r="N17" s="37"/>
      <c r="O17" s="37"/>
      <c r="P17" s="33"/>
      <c r="Q17" s="125" t="s">
        <v>105</v>
      </c>
      <c r="R17" s="126"/>
      <c r="S17" s="126"/>
      <c r="T17" s="126"/>
      <c r="U17" s="126"/>
      <c r="V17" s="126"/>
      <c r="W17" s="126"/>
      <c r="X17" s="126"/>
      <c r="Y17" s="126"/>
      <c r="Z17" s="127"/>
    </row>
    <row r="18" spans="2:26" ht="24" customHeight="1">
      <c r="B18" s="32">
        <f t="shared" si="0"/>
        <v>8</v>
      </c>
      <c r="C18" s="122" t="s">
        <v>60</v>
      </c>
      <c r="D18" s="123"/>
      <c r="E18" s="123"/>
      <c r="F18" s="123"/>
      <c r="G18" s="123"/>
      <c r="H18" s="123"/>
      <c r="I18" s="124"/>
      <c r="J18" s="34">
        <v>8</v>
      </c>
      <c r="K18" s="35" t="s">
        <v>51</v>
      </c>
      <c r="L18" s="36"/>
      <c r="M18" s="36"/>
      <c r="N18" s="37"/>
      <c r="O18" s="37"/>
      <c r="P18" s="38"/>
      <c r="Q18" s="125" t="s">
        <v>106</v>
      </c>
      <c r="R18" s="126"/>
      <c r="S18" s="126"/>
      <c r="T18" s="126"/>
      <c r="U18" s="126"/>
      <c r="V18" s="126"/>
      <c r="W18" s="126"/>
      <c r="X18" s="126"/>
      <c r="Y18" s="126"/>
      <c r="Z18" s="127"/>
    </row>
    <row r="19" spans="2:26" ht="24" customHeight="1">
      <c r="B19" s="32">
        <f t="shared" si="0"/>
        <v>9</v>
      </c>
      <c r="C19" s="122" t="s">
        <v>62</v>
      </c>
      <c r="D19" s="123"/>
      <c r="E19" s="123"/>
      <c r="F19" s="123"/>
      <c r="G19" s="123"/>
      <c r="H19" s="123"/>
      <c r="I19" s="124"/>
      <c r="J19" s="34">
        <v>18</v>
      </c>
      <c r="K19" s="35" t="s">
        <v>51</v>
      </c>
      <c r="L19" s="36"/>
      <c r="M19" s="36"/>
      <c r="N19" s="37"/>
      <c r="O19" s="37"/>
      <c r="P19" s="38"/>
      <c r="Q19" s="125" t="s">
        <v>107</v>
      </c>
      <c r="R19" s="126"/>
      <c r="S19" s="126"/>
      <c r="T19" s="126"/>
      <c r="U19" s="126"/>
      <c r="V19" s="126"/>
      <c r="W19" s="126"/>
      <c r="X19" s="126"/>
      <c r="Y19" s="126"/>
      <c r="Z19" s="127"/>
    </row>
    <row r="20" spans="2:26" ht="24" customHeight="1">
      <c r="B20" s="32">
        <f t="shared" si="0"/>
        <v>10</v>
      </c>
      <c r="C20" s="122" t="s">
        <v>108</v>
      </c>
      <c r="D20" s="123"/>
      <c r="E20" s="123"/>
      <c r="F20" s="123"/>
      <c r="G20" s="123"/>
      <c r="H20" s="123"/>
      <c r="I20" s="124"/>
      <c r="J20" s="34">
        <v>1</v>
      </c>
      <c r="K20" s="35" t="s">
        <v>51</v>
      </c>
      <c r="L20" s="36"/>
      <c r="M20" s="36"/>
      <c r="N20" s="37"/>
      <c r="O20" s="37"/>
      <c r="P20" s="38"/>
      <c r="Q20" s="125"/>
      <c r="R20" s="126"/>
      <c r="S20" s="126"/>
      <c r="T20" s="126"/>
      <c r="U20" s="126"/>
      <c r="V20" s="126"/>
      <c r="W20" s="126"/>
      <c r="X20" s="126"/>
      <c r="Y20" s="126"/>
      <c r="Z20" s="127"/>
    </row>
    <row r="21" spans="2:26" ht="24" customHeight="1">
      <c r="B21" s="32">
        <f t="shared" si="0"/>
        <v>11</v>
      </c>
      <c r="C21" s="122" t="s">
        <v>109</v>
      </c>
      <c r="D21" s="123"/>
      <c r="E21" s="123"/>
      <c r="F21" s="123"/>
      <c r="G21" s="123"/>
      <c r="H21" s="123"/>
      <c r="I21" s="124"/>
      <c r="J21" s="34">
        <v>7</v>
      </c>
      <c r="K21" s="35" t="s">
        <v>51</v>
      </c>
      <c r="L21" s="36"/>
      <c r="M21" s="36"/>
      <c r="N21" s="37"/>
      <c r="O21" s="37"/>
      <c r="P21" s="38"/>
      <c r="Q21" s="125" t="s">
        <v>110</v>
      </c>
      <c r="R21" s="142"/>
      <c r="S21" s="142"/>
      <c r="T21" s="142"/>
      <c r="U21" s="142"/>
      <c r="V21" s="142"/>
      <c r="W21" s="142"/>
      <c r="X21" s="142"/>
      <c r="Y21" s="142"/>
      <c r="Z21" s="143"/>
    </row>
    <row r="22" spans="2:26" ht="24" customHeight="1">
      <c r="B22" s="32">
        <f t="shared" si="0"/>
        <v>12</v>
      </c>
      <c r="C22" s="122" t="s">
        <v>111</v>
      </c>
      <c r="D22" s="123"/>
      <c r="E22" s="123"/>
      <c r="F22" s="123"/>
      <c r="G22" s="123"/>
      <c r="H22" s="123"/>
      <c r="I22" s="124"/>
      <c r="J22" s="34">
        <v>8</v>
      </c>
      <c r="K22" s="35" t="s">
        <v>54</v>
      </c>
      <c r="L22" s="36"/>
      <c r="M22" s="36"/>
      <c r="N22" s="37"/>
      <c r="O22" s="37"/>
      <c r="P22" s="33"/>
      <c r="Q22" s="125" t="s">
        <v>112</v>
      </c>
      <c r="R22" s="142"/>
      <c r="S22" s="142"/>
      <c r="T22" s="142"/>
      <c r="U22" s="142"/>
      <c r="V22" s="142"/>
      <c r="W22" s="142"/>
      <c r="X22" s="142"/>
      <c r="Y22" s="142"/>
      <c r="Z22" s="143"/>
    </row>
    <row r="23" spans="2:26" ht="30.75" customHeight="1">
      <c r="B23" s="32">
        <f t="shared" si="0"/>
        <v>13</v>
      </c>
      <c r="C23" s="122" t="s">
        <v>113</v>
      </c>
      <c r="D23" s="123"/>
      <c r="E23" s="123"/>
      <c r="F23" s="123"/>
      <c r="G23" s="123"/>
      <c r="H23" s="123"/>
      <c r="I23" s="124"/>
      <c r="J23" s="34">
        <v>2</v>
      </c>
      <c r="K23" s="35" t="s">
        <v>51</v>
      </c>
      <c r="L23" s="36"/>
      <c r="M23" s="36"/>
      <c r="N23" s="37"/>
      <c r="O23" s="37"/>
      <c r="P23" s="33"/>
      <c r="Q23" s="125" t="s">
        <v>114</v>
      </c>
      <c r="R23" s="142"/>
      <c r="S23" s="142"/>
      <c r="T23" s="142"/>
      <c r="U23" s="142"/>
      <c r="V23" s="142"/>
      <c r="W23" s="142"/>
      <c r="X23" s="142"/>
      <c r="Y23" s="142"/>
      <c r="Z23" s="143"/>
    </row>
    <row r="24" spans="2:26" ht="24" customHeight="1">
      <c r="B24" s="32">
        <f t="shared" si="0"/>
        <v>14</v>
      </c>
      <c r="C24" s="122" t="s">
        <v>68</v>
      </c>
      <c r="D24" s="123"/>
      <c r="E24" s="123"/>
      <c r="F24" s="123"/>
      <c r="G24" s="123"/>
      <c r="H24" s="123"/>
      <c r="I24" s="124"/>
      <c r="J24" s="34">
        <v>9</v>
      </c>
      <c r="K24" s="35" t="s">
        <v>54</v>
      </c>
      <c r="L24" s="36"/>
      <c r="M24" s="36"/>
      <c r="N24" s="37"/>
      <c r="O24" s="37"/>
      <c r="P24" s="33"/>
      <c r="Q24" s="125" t="s">
        <v>115</v>
      </c>
      <c r="R24" s="142"/>
      <c r="S24" s="142"/>
      <c r="T24" s="142"/>
      <c r="U24" s="142"/>
      <c r="V24" s="142"/>
      <c r="W24" s="142"/>
      <c r="X24" s="142"/>
      <c r="Y24" s="142"/>
      <c r="Z24" s="143"/>
    </row>
    <row r="25" spans="2:26" ht="24" customHeight="1">
      <c r="B25" s="32">
        <f t="shared" si="0"/>
        <v>15</v>
      </c>
      <c r="C25" s="122" t="s">
        <v>102</v>
      </c>
      <c r="D25" s="123"/>
      <c r="E25" s="123"/>
      <c r="F25" s="123"/>
      <c r="G25" s="123"/>
      <c r="H25" s="123"/>
      <c r="I25" s="124"/>
      <c r="J25" s="34">
        <v>1</v>
      </c>
      <c r="K25" s="35" t="s">
        <v>51</v>
      </c>
      <c r="L25" s="36"/>
      <c r="M25" s="36"/>
      <c r="N25" s="37"/>
      <c r="O25" s="37"/>
      <c r="P25" s="38"/>
      <c r="Q25" s="125"/>
      <c r="R25" s="142"/>
      <c r="S25" s="142"/>
      <c r="T25" s="142"/>
      <c r="U25" s="142"/>
      <c r="V25" s="142"/>
      <c r="W25" s="142"/>
      <c r="X25" s="142"/>
      <c r="Y25" s="142"/>
      <c r="Z25" s="143"/>
    </row>
    <row r="26" spans="2:26" ht="24" customHeight="1">
      <c r="B26" s="32">
        <f t="shared" si="0"/>
        <v>16</v>
      </c>
      <c r="C26" s="122" t="s">
        <v>116</v>
      </c>
      <c r="D26" s="123"/>
      <c r="E26" s="123"/>
      <c r="F26" s="123"/>
      <c r="G26" s="123"/>
      <c r="H26" s="123"/>
      <c r="I26" s="124"/>
      <c r="J26" s="34">
        <v>10</v>
      </c>
      <c r="K26" s="35" t="s">
        <v>54</v>
      </c>
      <c r="L26" s="36"/>
      <c r="M26" s="36"/>
      <c r="N26" s="37"/>
      <c r="O26" s="37"/>
      <c r="P26" s="38"/>
      <c r="Q26" s="125" t="s">
        <v>117</v>
      </c>
      <c r="R26" s="142"/>
      <c r="S26" s="142"/>
      <c r="T26" s="142"/>
      <c r="U26" s="142"/>
      <c r="V26" s="142"/>
      <c r="W26" s="142"/>
      <c r="X26" s="142"/>
      <c r="Y26" s="142"/>
      <c r="Z26" s="143"/>
    </row>
    <row r="27" spans="2:26" ht="24" customHeight="1">
      <c r="B27" s="32">
        <f t="shared" si="0"/>
        <v>17</v>
      </c>
      <c r="C27" s="122" t="s">
        <v>102</v>
      </c>
      <c r="D27" s="123"/>
      <c r="E27" s="123"/>
      <c r="F27" s="123"/>
      <c r="G27" s="123"/>
      <c r="H27" s="123"/>
      <c r="I27" s="124"/>
      <c r="J27" s="34">
        <v>1</v>
      </c>
      <c r="K27" s="35" t="s">
        <v>51</v>
      </c>
      <c r="L27" s="36"/>
      <c r="M27" s="36"/>
      <c r="N27" s="37"/>
      <c r="O27" s="37"/>
      <c r="P27" s="38"/>
      <c r="Q27" s="125"/>
      <c r="R27" s="142"/>
      <c r="S27" s="142"/>
      <c r="T27" s="142"/>
      <c r="U27" s="142"/>
      <c r="V27" s="142"/>
      <c r="W27" s="142"/>
      <c r="X27" s="142"/>
      <c r="Y27" s="142"/>
      <c r="Z27" s="143"/>
    </row>
    <row r="28" spans="2:26" ht="24" customHeight="1">
      <c r="B28" s="32">
        <f t="shared" si="0"/>
        <v>18</v>
      </c>
      <c r="C28" s="150" t="s">
        <v>118</v>
      </c>
      <c r="D28" s="151"/>
      <c r="E28" s="151"/>
      <c r="F28" s="151"/>
      <c r="G28" s="151"/>
      <c r="H28" s="151"/>
      <c r="I28" s="152"/>
      <c r="J28" s="34">
        <v>10</v>
      </c>
      <c r="K28" s="35" t="s">
        <v>54</v>
      </c>
      <c r="L28" s="36"/>
      <c r="M28" s="36"/>
      <c r="N28" s="37"/>
      <c r="O28" s="37"/>
      <c r="P28" s="38"/>
      <c r="Q28" s="125" t="s">
        <v>119</v>
      </c>
      <c r="R28" s="142"/>
      <c r="S28" s="142"/>
      <c r="T28" s="142"/>
      <c r="U28" s="142"/>
      <c r="V28" s="142"/>
      <c r="W28" s="142"/>
      <c r="X28" s="142"/>
      <c r="Y28" s="142"/>
      <c r="Z28" s="143"/>
    </row>
    <row r="29" spans="2:26" ht="24" customHeight="1">
      <c r="B29" s="32">
        <f t="shared" si="0"/>
        <v>19</v>
      </c>
      <c r="C29" s="122" t="s">
        <v>73</v>
      </c>
      <c r="D29" s="123"/>
      <c r="E29" s="123"/>
      <c r="F29" s="123"/>
      <c r="G29" s="123"/>
      <c r="H29" s="123"/>
      <c r="I29" s="124"/>
      <c r="J29" s="34">
        <v>1</v>
      </c>
      <c r="K29" s="35" t="s">
        <v>51</v>
      </c>
      <c r="L29" s="36"/>
      <c r="M29" s="36"/>
      <c r="N29" s="37"/>
      <c r="O29" s="37"/>
      <c r="P29" s="33"/>
      <c r="Q29" s="125" t="s">
        <v>120</v>
      </c>
      <c r="R29" s="142"/>
      <c r="S29" s="142"/>
      <c r="T29" s="142"/>
      <c r="U29" s="142"/>
      <c r="V29" s="142"/>
      <c r="W29" s="142"/>
      <c r="X29" s="142"/>
      <c r="Y29" s="142"/>
      <c r="Z29" s="143"/>
    </row>
    <row r="30" spans="2:26" ht="24" customHeight="1">
      <c r="B30" s="32">
        <f t="shared" si="0"/>
        <v>20</v>
      </c>
      <c r="C30" s="122" t="s">
        <v>121</v>
      </c>
      <c r="D30" s="123"/>
      <c r="E30" s="123"/>
      <c r="F30" s="123"/>
      <c r="G30" s="123"/>
      <c r="H30" s="123"/>
      <c r="I30" s="124"/>
      <c r="J30" s="34">
        <v>1</v>
      </c>
      <c r="K30" s="35" t="s">
        <v>51</v>
      </c>
      <c r="L30" s="36"/>
      <c r="M30" s="36"/>
      <c r="N30" s="37"/>
      <c r="O30" s="37"/>
      <c r="P30" s="33"/>
      <c r="Q30" s="125" t="s">
        <v>122</v>
      </c>
      <c r="R30" s="142"/>
      <c r="S30" s="142"/>
      <c r="T30" s="142"/>
      <c r="U30" s="142"/>
      <c r="V30" s="142"/>
      <c r="W30" s="142"/>
      <c r="X30" s="142"/>
      <c r="Y30" s="142"/>
      <c r="Z30" s="143"/>
    </row>
    <row r="31" spans="2:26" ht="24" customHeight="1">
      <c r="B31" s="32">
        <f t="shared" si="0"/>
        <v>21</v>
      </c>
      <c r="C31" s="122" t="s">
        <v>77</v>
      </c>
      <c r="D31" s="123"/>
      <c r="E31" s="123"/>
      <c r="F31" s="123"/>
      <c r="G31" s="123"/>
      <c r="H31" s="123"/>
      <c r="I31" s="124"/>
      <c r="J31" s="34">
        <v>1</v>
      </c>
      <c r="K31" s="35" t="s">
        <v>51</v>
      </c>
      <c r="L31" s="36"/>
      <c r="M31" s="36"/>
      <c r="N31" s="37"/>
      <c r="O31" s="37"/>
      <c r="P31" s="33"/>
      <c r="Q31" s="125" t="s">
        <v>123</v>
      </c>
      <c r="R31" s="142"/>
      <c r="S31" s="142"/>
      <c r="T31" s="142"/>
      <c r="U31" s="142"/>
      <c r="V31" s="142"/>
      <c r="W31" s="142"/>
      <c r="X31" s="142"/>
      <c r="Y31" s="142"/>
      <c r="Z31" s="143"/>
    </row>
    <row r="32" spans="2:26" ht="24" customHeight="1">
      <c r="B32" s="32">
        <f t="shared" si="0"/>
        <v>22</v>
      </c>
      <c r="C32" s="122" t="s">
        <v>124</v>
      </c>
      <c r="D32" s="123"/>
      <c r="E32" s="123"/>
      <c r="F32" s="123"/>
      <c r="G32" s="123"/>
      <c r="H32" s="123"/>
      <c r="I32" s="124"/>
      <c r="J32" s="34">
        <v>1</v>
      </c>
      <c r="K32" s="35" t="s">
        <v>51</v>
      </c>
      <c r="L32" s="36"/>
      <c r="M32" s="36"/>
      <c r="N32" s="37"/>
      <c r="O32" s="37"/>
      <c r="P32" s="38"/>
      <c r="Q32" s="125" t="s">
        <v>125</v>
      </c>
      <c r="R32" s="142"/>
      <c r="S32" s="142"/>
      <c r="T32" s="142"/>
      <c r="U32" s="142"/>
      <c r="V32" s="142"/>
      <c r="W32" s="142"/>
      <c r="X32" s="142"/>
      <c r="Y32" s="142"/>
      <c r="Z32" s="143"/>
    </row>
    <row r="33" spans="2:32" s="62" customFormat="1" ht="45.75" customHeight="1">
      <c r="B33" s="32">
        <f t="shared" si="0"/>
        <v>23</v>
      </c>
      <c r="C33" s="122" t="s">
        <v>81</v>
      </c>
      <c r="D33" s="123"/>
      <c r="E33" s="123"/>
      <c r="F33" s="123"/>
      <c r="G33" s="123"/>
      <c r="H33" s="123"/>
      <c r="I33" s="124"/>
      <c r="J33" s="34">
        <v>28</v>
      </c>
      <c r="K33" s="35" t="s">
        <v>51</v>
      </c>
      <c r="L33" s="36"/>
      <c r="M33" s="36"/>
      <c r="N33" s="60"/>
      <c r="O33" s="60"/>
      <c r="P33" s="61"/>
      <c r="Q33" s="153" t="s">
        <v>126</v>
      </c>
      <c r="R33" s="154"/>
      <c r="S33" s="154"/>
      <c r="T33" s="154"/>
      <c r="U33" s="154"/>
      <c r="V33" s="154"/>
      <c r="W33" s="154"/>
      <c r="X33" s="154"/>
      <c r="Y33" s="154"/>
      <c r="Z33" s="155"/>
      <c r="AC33" s="63"/>
      <c r="AD33" s="63"/>
      <c r="AE33" s="63"/>
      <c r="AF33" s="63"/>
    </row>
    <row r="34" spans="2:32" ht="24" customHeight="1">
      <c r="B34" s="32">
        <f t="shared" si="0"/>
        <v>24</v>
      </c>
      <c r="C34" s="122" t="s">
        <v>83</v>
      </c>
      <c r="D34" s="123"/>
      <c r="E34" s="123"/>
      <c r="F34" s="123"/>
      <c r="G34" s="123"/>
      <c r="H34" s="123"/>
      <c r="I34" s="124"/>
      <c r="J34" s="34">
        <v>17</v>
      </c>
      <c r="K34" s="35" t="s">
        <v>51</v>
      </c>
      <c r="L34" s="36"/>
      <c r="M34" s="36"/>
      <c r="N34" s="37"/>
      <c r="O34" s="37"/>
      <c r="P34" s="38"/>
      <c r="Q34" s="125" t="s">
        <v>127</v>
      </c>
      <c r="R34" s="142"/>
      <c r="S34" s="142"/>
      <c r="T34" s="142"/>
      <c r="U34" s="142"/>
      <c r="V34" s="142"/>
      <c r="W34" s="142"/>
      <c r="X34" s="142"/>
      <c r="Y34" s="142"/>
      <c r="Z34" s="143"/>
    </row>
    <row r="35" spans="2:32" ht="24" customHeight="1">
      <c r="B35" s="32">
        <f t="shared" si="0"/>
        <v>25</v>
      </c>
      <c r="C35" s="122" t="s">
        <v>85</v>
      </c>
      <c r="D35" s="123"/>
      <c r="E35" s="123"/>
      <c r="F35" s="123"/>
      <c r="G35" s="123"/>
      <c r="H35" s="123"/>
      <c r="I35" s="124"/>
      <c r="J35" s="34">
        <v>3</v>
      </c>
      <c r="K35" s="35" t="s">
        <v>51</v>
      </c>
      <c r="L35" s="36"/>
      <c r="M35" s="36"/>
      <c r="N35" s="37"/>
      <c r="O35" s="37"/>
      <c r="P35" s="38"/>
      <c r="Q35" s="125" t="s">
        <v>128</v>
      </c>
      <c r="R35" s="142"/>
      <c r="S35" s="142"/>
      <c r="T35" s="142"/>
      <c r="U35" s="142"/>
      <c r="V35" s="142"/>
      <c r="W35" s="142"/>
      <c r="X35" s="142"/>
      <c r="Y35" s="142"/>
      <c r="Z35" s="143"/>
    </row>
    <row r="36" spans="2:32" ht="24" customHeight="1">
      <c r="B36" s="32">
        <f t="shared" si="0"/>
        <v>26</v>
      </c>
      <c r="C36" s="122" t="s">
        <v>129</v>
      </c>
      <c r="D36" s="123"/>
      <c r="E36" s="123"/>
      <c r="F36" s="123"/>
      <c r="G36" s="123"/>
      <c r="H36" s="123"/>
      <c r="I36" s="124"/>
      <c r="J36" s="34">
        <v>20</v>
      </c>
      <c r="K36" s="35" t="s">
        <v>51</v>
      </c>
      <c r="L36" s="36"/>
      <c r="M36" s="36"/>
      <c r="N36" s="37"/>
      <c r="O36" s="37"/>
      <c r="P36" s="33"/>
      <c r="Q36" s="125" t="s">
        <v>130</v>
      </c>
      <c r="R36" s="142"/>
      <c r="S36" s="142"/>
      <c r="T36" s="142"/>
      <c r="U36" s="142"/>
      <c r="V36" s="142"/>
      <c r="W36" s="142"/>
      <c r="X36" s="142"/>
      <c r="Y36" s="142"/>
      <c r="Z36" s="143"/>
    </row>
    <row r="37" spans="2:32" ht="24" customHeight="1">
      <c r="B37" s="32">
        <f t="shared" si="0"/>
        <v>27</v>
      </c>
      <c r="C37" s="122" t="s">
        <v>102</v>
      </c>
      <c r="D37" s="123"/>
      <c r="E37" s="123"/>
      <c r="F37" s="123"/>
      <c r="G37" s="123"/>
      <c r="H37" s="123"/>
      <c r="I37" s="124"/>
      <c r="J37" s="34">
        <v>4</v>
      </c>
      <c r="K37" s="35" t="s">
        <v>51</v>
      </c>
      <c r="L37" s="36"/>
      <c r="M37" s="36"/>
      <c r="N37" s="37"/>
      <c r="O37" s="37"/>
      <c r="P37" s="33"/>
      <c r="Q37" s="125"/>
      <c r="R37" s="142"/>
      <c r="S37" s="142"/>
      <c r="T37" s="142"/>
      <c r="U37" s="142"/>
      <c r="V37" s="142"/>
      <c r="W37" s="142"/>
      <c r="X37" s="142"/>
      <c r="Y37" s="142"/>
      <c r="Z37" s="143"/>
    </row>
    <row r="38" spans="2:32" ht="24" customHeight="1">
      <c r="B38" s="32">
        <f t="shared" si="0"/>
        <v>28</v>
      </c>
      <c r="C38" s="122" t="s">
        <v>131</v>
      </c>
      <c r="D38" s="123"/>
      <c r="E38" s="123"/>
      <c r="F38" s="123"/>
      <c r="G38" s="123"/>
      <c r="H38" s="123"/>
      <c r="I38" s="124"/>
      <c r="J38" s="34">
        <v>6</v>
      </c>
      <c r="K38" s="35" t="s">
        <v>54</v>
      </c>
      <c r="L38" s="36"/>
      <c r="M38" s="36"/>
      <c r="N38" s="37"/>
      <c r="O38" s="37"/>
      <c r="P38" s="33"/>
      <c r="Q38" s="125" t="s">
        <v>132</v>
      </c>
      <c r="R38" s="142"/>
      <c r="S38" s="142"/>
      <c r="T38" s="142"/>
      <c r="U38" s="142"/>
      <c r="V38" s="142"/>
      <c r="W38" s="142"/>
      <c r="X38" s="142"/>
      <c r="Y38" s="142"/>
      <c r="Z38" s="143"/>
    </row>
    <row r="39" spans="2:32" ht="30" customHeight="1">
      <c r="B39" s="32">
        <f t="shared" si="0"/>
        <v>29</v>
      </c>
      <c r="C39" s="122" t="s">
        <v>133</v>
      </c>
      <c r="D39" s="123"/>
      <c r="E39" s="123"/>
      <c r="F39" s="123"/>
      <c r="G39" s="123"/>
      <c r="H39" s="123"/>
      <c r="I39" s="124"/>
      <c r="J39" s="34">
        <v>6</v>
      </c>
      <c r="K39" s="35" t="s">
        <v>54</v>
      </c>
      <c r="L39" s="36"/>
      <c r="M39" s="36"/>
      <c r="N39" s="37"/>
      <c r="O39" s="37"/>
      <c r="P39" s="38"/>
      <c r="Q39" s="125" t="s">
        <v>134</v>
      </c>
      <c r="R39" s="142"/>
      <c r="S39" s="142"/>
      <c r="T39" s="142"/>
      <c r="U39" s="142"/>
      <c r="V39" s="142"/>
      <c r="W39" s="142"/>
      <c r="X39" s="142"/>
      <c r="Y39" s="142"/>
      <c r="Z39" s="143"/>
    </row>
    <row r="40" spans="2:32" ht="36" customHeight="1">
      <c r="B40" s="32">
        <f t="shared" si="0"/>
        <v>30</v>
      </c>
      <c r="C40" s="122" t="s">
        <v>135</v>
      </c>
      <c r="D40" s="123"/>
      <c r="E40" s="123"/>
      <c r="F40" s="123"/>
      <c r="G40" s="123"/>
      <c r="H40" s="123"/>
      <c r="I40" s="124"/>
      <c r="J40" s="34">
        <v>6</v>
      </c>
      <c r="K40" s="35" t="s">
        <v>54</v>
      </c>
      <c r="L40" s="36"/>
      <c r="M40" s="36"/>
      <c r="N40" s="37"/>
      <c r="O40" s="37"/>
      <c r="P40" s="38"/>
      <c r="Q40" s="125" t="s">
        <v>136</v>
      </c>
      <c r="R40" s="142"/>
      <c r="S40" s="142"/>
      <c r="T40" s="142"/>
      <c r="U40" s="142"/>
      <c r="V40" s="142"/>
      <c r="W40" s="142"/>
      <c r="X40" s="142"/>
      <c r="Y40" s="142"/>
      <c r="Z40" s="143"/>
    </row>
    <row r="41" spans="2:32" ht="36" customHeight="1">
      <c r="B41" s="32">
        <f t="shared" si="0"/>
        <v>31</v>
      </c>
      <c r="C41" s="122" t="s">
        <v>137</v>
      </c>
      <c r="D41" s="123"/>
      <c r="E41" s="123"/>
      <c r="F41" s="123"/>
      <c r="G41" s="123"/>
      <c r="H41" s="123"/>
      <c r="I41" s="124"/>
      <c r="J41" s="34">
        <v>4</v>
      </c>
      <c r="K41" s="35" t="s">
        <v>54</v>
      </c>
      <c r="L41" s="36"/>
      <c r="M41" s="36"/>
      <c r="N41" s="37"/>
      <c r="O41" s="37"/>
      <c r="P41" s="38"/>
      <c r="Q41" s="125" t="s">
        <v>138</v>
      </c>
      <c r="R41" s="142"/>
      <c r="S41" s="142"/>
      <c r="T41" s="142"/>
      <c r="U41" s="142"/>
      <c r="V41" s="142"/>
      <c r="W41" s="142"/>
      <c r="X41" s="142"/>
      <c r="Y41" s="142"/>
      <c r="Z41" s="143"/>
      <c r="AB41" s="39"/>
    </row>
    <row r="42" spans="2:32" ht="36" customHeight="1">
      <c r="B42" s="32">
        <f t="shared" si="0"/>
        <v>32</v>
      </c>
      <c r="C42" s="122" t="s">
        <v>139</v>
      </c>
      <c r="D42" s="123"/>
      <c r="E42" s="123"/>
      <c r="F42" s="123"/>
      <c r="G42" s="123"/>
      <c r="H42" s="123"/>
      <c r="I42" s="124"/>
      <c r="J42" s="34">
        <v>3</v>
      </c>
      <c r="K42" s="35" t="s">
        <v>54</v>
      </c>
      <c r="L42" s="36"/>
      <c r="M42" s="36"/>
      <c r="N42" s="37"/>
      <c r="O42" s="37"/>
      <c r="P42" s="33"/>
      <c r="Q42" s="125" t="s">
        <v>140</v>
      </c>
      <c r="R42" s="142"/>
      <c r="S42" s="142"/>
      <c r="T42" s="142"/>
      <c r="U42" s="142"/>
      <c r="V42" s="142"/>
      <c r="W42" s="142"/>
      <c r="X42" s="142"/>
      <c r="Y42" s="142"/>
      <c r="Z42" s="143"/>
      <c r="AB42" s="39"/>
    </row>
    <row r="43" spans="2:32" ht="24" customHeight="1">
      <c r="B43" s="32">
        <f t="shared" si="0"/>
        <v>33</v>
      </c>
      <c r="C43" s="122" t="s">
        <v>141</v>
      </c>
      <c r="D43" s="123"/>
      <c r="E43" s="123"/>
      <c r="F43" s="123"/>
      <c r="G43" s="123"/>
      <c r="H43" s="123"/>
      <c r="I43" s="124"/>
      <c r="J43" s="34">
        <v>1</v>
      </c>
      <c r="K43" s="35" t="s">
        <v>51</v>
      </c>
      <c r="L43" s="36"/>
      <c r="M43" s="36"/>
      <c r="N43" s="37"/>
      <c r="O43" s="37"/>
      <c r="P43" s="38"/>
      <c r="Q43" s="125" t="s">
        <v>142</v>
      </c>
      <c r="R43" s="142"/>
      <c r="S43" s="142"/>
      <c r="T43" s="142"/>
      <c r="U43" s="142"/>
      <c r="V43" s="142"/>
      <c r="W43" s="142"/>
      <c r="X43" s="142"/>
      <c r="Y43" s="142"/>
      <c r="Z43" s="143"/>
    </row>
    <row r="44" spans="2:32" ht="124.15" customHeight="1">
      <c r="B44" s="32">
        <f t="shared" si="0"/>
        <v>34</v>
      </c>
      <c r="C44" s="122" t="s">
        <v>143</v>
      </c>
      <c r="D44" s="123"/>
      <c r="E44" s="123"/>
      <c r="F44" s="123"/>
      <c r="G44" s="123"/>
      <c r="H44" s="123"/>
      <c r="I44" s="124"/>
      <c r="J44" s="34">
        <v>1</v>
      </c>
      <c r="K44" s="35" t="s">
        <v>51</v>
      </c>
      <c r="L44" s="36"/>
      <c r="M44" s="36"/>
      <c r="N44" s="37"/>
      <c r="O44" s="37"/>
      <c r="P44" s="38"/>
      <c r="Q44" s="125" t="s">
        <v>144</v>
      </c>
      <c r="R44" s="142"/>
      <c r="S44" s="142"/>
      <c r="T44" s="142"/>
      <c r="U44" s="142"/>
      <c r="V44" s="142"/>
      <c r="W44" s="142"/>
      <c r="X44" s="142"/>
      <c r="Y44" s="142"/>
      <c r="Z44" s="143"/>
    </row>
    <row r="45" spans="2:32" ht="24" customHeight="1">
      <c r="B45" s="32">
        <f t="shared" si="0"/>
        <v>35</v>
      </c>
      <c r="C45" s="122" t="s">
        <v>145</v>
      </c>
      <c r="D45" s="123"/>
      <c r="E45" s="123"/>
      <c r="F45" s="123"/>
      <c r="G45" s="123"/>
      <c r="H45" s="123"/>
      <c r="I45" s="124"/>
      <c r="J45" s="34">
        <v>2</v>
      </c>
      <c r="K45" s="35" t="s">
        <v>51</v>
      </c>
      <c r="L45" s="36"/>
      <c r="M45" s="36"/>
      <c r="N45" s="37"/>
      <c r="O45" s="37"/>
      <c r="P45" s="38"/>
      <c r="Q45" s="125" t="s">
        <v>146</v>
      </c>
      <c r="R45" s="142"/>
      <c r="S45" s="142"/>
      <c r="T45" s="142"/>
      <c r="U45" s="142"/>
      <c r="V45" s="142"/>
      <c r="W45" s="142"/>
      <c r="X45" s="142"/>
      <c r="Y45" s="142"/>
      <c r="Z45" s="143"/>
    </row>
    <row r="46" spans="2:32" ht="108.6" customHeight="1">
      <c r="B46" s="32">
        <f t="shared" si="0"/>
        <v>36</v>
      </c>
      <c r="C46" s="122" t="s">
        <v>147</v>
      </c>
      <c r="D46" s="123"/>
      <c r="E46" s="123"/>
      <c r="F46" s="123"/>
      <c r="G46" s="123"/>
      <c r="H46" s="123"/>
      <c r="I46" s="124"/>
      <c r="J46" s="34">
        <v>1</v>
      </c>
      <c r="K46" s="35" t="s">
        <v>51</v>
      </c>
      <c r="L46" s="36"/>
      <c r="M46" s="36"/>
      <c r="N46" s="37"/>
      <c r="O46" s="37"/>
      <c r="P46" s="33"/>
      <c r="Q46" s="125" t="s">
        <v>148</v>
      </c>
      <c r="R46" s="142"/>
      <c r="S46" s="142"/>
      <c r="T46" s="142"/>
      <c r="U46" s="142"/>
      <c r="V46" s="142"/>
      <c r="W46" s="142"/>
      <c r="X46" s="142"/>
      <c r="Y46" s="142"/>
      <c r="Z46" s="143"/>
    </row>
    <row r="47" spans="2:32" ht="72" customHeight="1">
      <c r="B47" s="32">
        <f t="shared" si="0"/>
        <v>37</v>
      </c>
      <c r="C47" s="122" t="s">
        <v>149</v>
      </c>
      <c r="D47" s="123"/>
      <c r="E47" s="123"/>
      <c r="F47" s="123"/>
      <c r="G47" s="123"/>
      <c r="H47" s="123"/>
      <c r="I47" s="124"/>
      <c r="J47" s="34">
        <v>4</v>
      </c>
      <c r="K47" s="35" t="s">
        <v>51</v>
      </c>
      <c r="L47" s="36"/>
      <c r="M47" s="36"/>
      <c r="N47" s="37"/>
      <c r="O47" s="37"/>
      <c r="P47" s="33"/>
      <c r="Q47" s="125" t="s">
        <v>150</v>
      </c>
      <c r="R47" s="142"/>
      <c r="S47" s="142"/>
      <c r="T47" s="142"/>
      <c r="U47" s="142"/>
      <c r="V47" s="142"/>
      <c r="W47" s="142"/>
      <c r="X47" s="142"/>
      <c r="Y47" s="142"/>
      <c r="Z47" s="143"/>
    </row>
    <row r="48" spans="2:32" ht="333.6" customHeight="1">
      <c r="B48" s="32">
        <f t="shared" si="0"/>
        <v>38</v>
      </c>
      <c r="C48" s="122" t="s">
        <v>151</v>
      </c>
      <c r="D48" s="123"/>
      <c r="E48" s="123"/>
      <c r="F48" s="123"/>
      <c r="G48" s="123"/>
      <c r="H48" s="123"/>
      <c r="I48" s="124"/>
      <c r="J48" s="34">
        <v>2</v>
      </c>
      <c r="K48" s="35" t="s">
        <v>51</v>
      </c>
      <c r="L48" s="36"/>
      <c r="M48" s="36"/>
      <c r="N48" s="37"/>
      <c r="O48" s="37"/>
      <c r="P48" s="33"/>
      <c r="Q48" s="153" t="s">
        <v>152</v>
      </c>
      <c r="R48" s="154"/>
      <c r="S48" s="154"/>
      <c r="T48" s="154"/>
      <c r="U48" s="154"/>
      <c r="V48" s="154"/>
      <c r="W48" s="154"/>
      <c r="X48" s="154"/>
      <c r="Y48" s="154"/>
      <c r="Z48" s="155"/>
    </row>
    <row r="49" spans="2:28" ht="24" customHeight="1">
      <c r="B49" s="32">
        <f t="shared" si="0"/>
        <v>39</v>
      </c>
      <c r="C49" s="122" t="s">
        <v>153</v>
      </c>
      <c r="D49" s="123"/>
      <c r="E49" s="123"/>
      <c r="F49" s="123"/>
      <c r="G49" s="123"/>
      <c r="H49" s="123"/>
      <c r="I49" s="124"/>
      <c r="J49" s="34">
        <v>6</v>
      </c>
      <c r="K49" s="35" t="s">
        <v>51</v>
      </c>
      <c r="L49" s="36"/>
      <c r="M49" s="36"/>
      <c r="N49" s="37"/>
      <c r="O49" s="37"/>
      <c r="P49" s="38"/>
      <c r="Q49" s="125"/>
      <c r="R49" s="142"/>
      <c r="S49" s="142"/>
      <c r="T49" s="142"/>
      <c r="U49" s="142"/>
      <c r="V49" s="142"/>
      <c r="W49" s="142"/>
      <c r="X49" s="142"/>
      <c r="Y49" s="142"/>
      <c r="Z49" s="143"/>
    </row>
    <row r="50" spans="2:28" ht="24" customHeight="1">
      <c r="B50" s="32">
        <f t="shared" si="0"/>
        <v>40</v>
      </c>
      <c r="C50" s="122" t="s">
        <v>154</v>
      </c>
      <c r="D50" s="123"/>
      <c r="E50" s="123"/>
      <c r="F50" s="123"/>
      <c r="G50" s="123"/>
      <c r="H50" s="123"/>
      <c r="I50" s="124"/>
      <c r="J50" s="34">
        <v>2</v>
      </c>
      <c r="K50" s="35" t="s">
        <v>51</v>
      </c>
      <c r="L50" s="36"/>
      <c r="M50" s="36"/>
      <c r="N50" s="37"/>
      <c r="O50" s="37"/>
      <c r="P50" s="38"/>
      <c r="Q50" s="125"/>
      <c r="R50" s="142"/>
      <c r="S50" s="142"/>
      <c r="T50" s="142"/>
      <c r="U50" s="142"/>
      <c r="V50" s="142"/>
      <c r="W50" s="142"/>
      <c r="X50" s="142"/>
      <c r="Y50" s="142"/>
      <c r="Z50" s="143"/>
    </row>
    <row r="51" spans="2:28" ht="24" customHeight="1">
      <c r="B51" s="32">
        <f t="shared" si="0"/>
        <v>41</v>
      </c>
      <c r="C51" s="122" t="s">
        <v>155</v>
      </c>
      <c r="D51" s="123"/>
      <c r="E51" s="123"/>
      <c r="F51" s="123"/>
      <c r="G51" s="123"/>
      <c r="H51" s="123"/>
      <c r="I51" s="124"/>
      <c r="J51" s="34">
        <v>1</v>
      </c>
      <c r="K51" s="35" t="s">
        <v>51</v>
      </c>
      <c r="L51" s="36"/>
      <c r="M51" s="36"/>
      <c r="N51" s="37"/>
      <c r="O51" s="37"/>
      <c r="P51" s="38"/>
      <c r="Q51" s="125"/>
      <c r="R51" s="142"/>
      <c r="S51" s="142"/>
      <c r="T51" s="142"/>
      <c r="U51" s="142"/>
      <c r="V51" s="142"/>
      <c r="W51" s="142"/>
      <c r="X51" s="142"/>
      <c r="Y51" s="142"/>
      <c r="Z51" s="143"/>
    </row>
    <row r="52" spans="2:28" ht="31.5" customHeight="1">
      <c r="B52" s="32">
        <f t="shared" si="0"/>
        <v>42</v>
      </c>
      <c r="C52" s="122" t="s">
        <v>156</v>
      </c>
      <c r="D52" s="123"/>
      <c r="E52" s="123"/>
      <c r="F52" s="123"/>
      <c r="G52" s="123"/>
      <c r="H52" s="123"/>
      <c r="I52" s="124"/>
      <c r="J52" s="34">
        <v>1</v>
      </c>
      <c r="K52" s="35" t="s">
        <v>51</v>
      </c>
      <c r="L52" s="36"/>
      <c r="M52" s="36"/>
      <c r="N52" s="37"/>
      <c r="O52" s="37"/>
      <c r="P52" s="33"/>
      <c r="Q52" s="125" t="s">
        <v>157</v>
      </c>
      <c r="R52" s="142"/>
      <c r="S52" s="142"/>
      <c r="T52" s="142"/>
      <c r="U52" s="142"/>
      <c r="V52" s="142"/>
      <c r="W52" s="142"/>
      <c r="X52" s="142"/>
      <c r="Y52" s="142"/>
      <c r="Z52" s="143"/>
      <c r="AB52" s="39"/>
    </row>
    <row r="53" spans="2:28" ht="42.4" customHeight="1">
      <c r="B53" s="32">
        <f t="shared" si="0"/>
        <v>43</v>
      </c>
      <c r="C53" s="122" t="s">
        <v>158</v>
      </c>
      <c r="D53" s="123"/>
      <c r="E53" s="123"/>
      <c r="F53" s="123"/>
      <c r="G53" s="123"/>
      <c r="H53" s="123"/>
      <c r="I53" s="124"/>
      <c r="J53" s="34">
        <v>1</v>
      </c>
      <c r="K53" s="35" t="s">
        <v>51</v>
      </c>
      <c r="L53" s="36"/>
      <c r="M53" s="36"/>
      <c r="N53" s="37"/>
      <c r="O53" s="37"/>
      <c r="P53" s="38"/>
      <c r="Q53" s="125" t="s">
        <v>159</v>
      </c>
      <c r="R53" s="142"/>
      <c r="S53" s="142"/>
      <c r="T53" s="142"/>
      <c r="U53" s="142"/>
      <c r="V53" s="142"/>
      <c r="W53" s="142"/>
      <c r="X53" s="142"/>
      <c r="Y53" s="142"/>
      <c r="Z53" s="143"/>
      <c r="AB53" s="39"/>
    </row>
    <row r="54" spans="2:28" ht="30" customHeight="1">
      <c r="B54" s="32">
        <f t="shared" si="0"/>
        <v>44</v>
      </c>
      <c r="C54" s="122" t="s">
        <v>160</v>
      </c>
      <c r="D54" s="123"/>
      <c r="E54" s="123"/>
      <c r="F54" s="123"/>
      <c r="G54" s="123"/>
      <c r="H54" s="123"/>
      <c r="I54" s="124"/>
      <c r="J54" s="34">
        <v>1</v>
      </c>
      <c r="K54" s="35" t="s">
        <v>51</v>
      </c>
      <c r="L54" s="36"/>
      <c r="M54" s="36"/>
      <c r="N54" s="37"/>
      <c r="O54" s="37"/>
      <c r="P54" s="38"/>
      <c r="Q54" s="125" t="s">
        <v>161</v>
      </c>
      <c r="R54" s="142"/>
      <c r="S54" s="142"/>
      <c r="T54" s="142"/>
      <c r="U54" s="142"/>
      <c r="V54" s="142"/>
      <c r="W54" s="142"/>
      <c r="X54" s="142"/>
      <c r="Y54" s="142"/>
      <c r="Z54" s="143"/>
    </row>
    <row r="55" spans="2:28" ht="24" customHeight="1">
      <c r="B55" s="32">
        <f t="shared" si="0"/>
        <v>45</v>
      </c>
      <c r="C55" s="122" t="s">
        <v>162</v>
      </c>
      <c r="D55" s="123"/>
      <c r="E55" s="123"/>
      <c r="F55" s="123"/>
      <c r="G55" s="123"/>
      <c r="H55" s="123"/>
      <c r="I55" s="124"/>
      <c r="J55" s="34">
        <v>1</v>
      </c>
      <c r="K55" s="35" t="s">
        <v>51</v>
      </c>
      <c r="L55" s="36"/>
      <c r="M55" s="36"/>
      <c r="N55" s="37"/>
      <c r="O55" s="37"/>
      <c r="P55" s="38"/>
      <c r="Q55" s="125"/>
      <c r="R55" s="142"/>
      <c r="S55" s="142"/>
      <c r="T55" s="142"/>
      <c r="U55" s="142"/>
      <c r="V55" s="142"/>
      <c r="W55" s="142"/>
      <c r="X55" s="142"/>
      <c r="Y55" s="142"/>
      <c r="Z55" s="143"/>
    </row>
    <row r="56" spans="2:28" ht="24" customHeight="1">
      <c r="B56" s="32">
        <f t="shared" si="0"/>
        <v>46</v>
      </c>
      <c r="C56" s="122" t="s">
        <v>163</v>
      </c>
      <c r="D56" s="123"/>
      <c r="E56" s="123"/>
      <c r="F56" s="123"/>
      <c r="G56" s="123"/>
      <c r="H56" s="123"/>
      <c r="I56" s="124"/>
      <c r="J56" s="34">
        <v>1</v>
      </c>
      <c r="K56" s="35" t="s">
        <v>51</v>
      </c>
      <c r="L56" s="36"/>
      <c r="M56" s="36"/>
      <c r="N56" s="37"/>
      <c r="O56" s="37"/>
      <c r="P56" s="33"/>
      <c r="Q56" s="125"/>
      <c r="R56" s="142"/>
      <c r="S56" s="142"/>
      <c r="T56" s="142"/>
      <c r="U56" s="142"/>
      <c r="V56" s="142"/>
      <c r="W56" s="142"/>
      <c r="X56" s="142"/>
      <c r="Y56" s="142"/>
      <c r="Z56" s="143"/>
    </row>
    <row r="57" spans="2:28" ht="24" customHeight="1">
      <c r="B57" s="32">
        <f t="shared" si="0"/>
        <v>47</v>
      </c>
      <c r="C57" s="122" t="s">
        <v>164</v>
      </c>
      <c r="D57" s="123"/>
      <c r="E57" s="123"/>
      <c r="F57" s="123"/>
      <c r="G57" s="123"/>
      <c r="H57" s="123"/>
      <c r="I57" s="124"/>
      <c r="J57" s="34">
        <v>1</v>
      </c>
      <c r="K57" s="35" t="s">
        <v>51</v>
      </c>
      <c r="L57" s="36"/>
      <c r="M57" s="36"/>
      <c r="N57" s="37"/>
      <c r="O57" s="37"/>
      <c r="P57" s="33"/>
      <c r="Q57" s="125"/>
      <c r="R57" s="142"/>
      <c r="S57" s="142"/>
      <c r="T57" s="142"/>
      <c r="U57" s="142"/>
      <c r="V57" s="142"/>
      <c r="W57" s="142"/>
      <c r="X57" s="142"/>
      <c r="Y57" s="142"/>
      <c r="Z57" s="143"/>
    </row>
    <row r="58" spans="2:28" ht="24" customHeight="1">
      <c r="B58" s="32">
        <f t="shared" si="0"/>
        <v>48</v>
      </c>
      <c r="C58" s="122" t="s">
        <v>165</v>
      </c>
      <c r="D58" s="123"/>
      <c r="E58" s="123"/>
      <c r="F58" s="123"/>
      <c r="G58" s="123"/>
      <c r="H58" s="123"/>
      <c r="I58" s="124"/>
      <c r="J58" s="34">
        <v>1</v>
      </c>
      <c r="K58" s="35" t="s">
        <v>51</v>
      </c>
      <c r="L58" s="36"/>
      <c r="M58" s="36"/>
      <c r="N58" s="37"/>
      <c r="O58" s="37"/>
      <c r="P58" s="33"/>
      <c r="Q58" s="125"/>
      <c r="R58" s="142"/>
      <c r="S58" s="142"/>
      <c r="T58" s="142"/>
      <c r="U58" s="142"/>
      <c r="V58" s="142"/>
      <c r="W58" s="142"/>
      <c r="X58" s="142"/>
      <c r="Y58" s="142"/>
      <c r="Z58" s="143"/>
    </row>
    <row r="59" spans="2:28" ht="24" customHeight="1">
      <c r="B59" s="32">
        <f t="shared" si="0"/>
        <v>49</v>
      </c>
      <c r="C59" s="122" t="s">
        <v>166</v>
      </c>
      <c r="D59" s="123"/>
      <c r="E59" s="123"/>
      <c r="F59" s="123"/>
      <c r="G59" s="123"/>
      <c r="H59" s="123"/>
      <c r="I59" s="124"/>
      <c r="J59" s="34">
        <v>1</v>
      </c>
      <c r="K59" s="35" t="s">
        <v>51</v>
      </c>
      <c r="L59" s="36"/>
      <c r="M59" s="36"/>
      <c r="N59" s="37"/>
      <c r="O59" s="37"/>
      <c r="P59" s="38"/>
      <c r="Q59" s="125"/>
      <c r="R59" s="142"/>
      <c r="S59" s="142"/>
      <c r="T59" s="142"/>
      <c r="U59" s="142"/>
      <c r="V59" s="142"/>
      <c r="W59" s="142"/>
      <c r="X59" s="142"/>
      <c r="Y59" s="142"/>
      <c r="Z59" s="143"/>
    </row>
    <row r="60" spans="2:28" ht="43.15" customHeight="1">
      <c r="B60" s="32">
        <f t="shared" si="0"/>
        <v>50</v>
      </c>
      <c r="C60" s="122" t="s">
        <v>167</v>
      </c>
      <c r="D60" s="123"/>
      <c r="E60" s="123"/>
      <c r="F60" s="123"/>
      <c r="G60" s="123"/>
      <c r="H60" s="123"/>
      <c r="I60" s="124"/>
      <c r="J60" s="34">
        <v>1</v>
      </c>
      <c r="K60" s="35" t="s">
        <v>51</v>
      </c>
      <c r="L60" s="36"/>
      <c r="M60" s="36"/>
      <c r="N60" s="37"/>
      <c r="O60" s="37"/>
      <c r="P60" s="38"/>
      <c r="Q60" s="125" t="s">
        <v>168</v>
      </c>
      <c r="R60" s="142"/>
      <c r="S60" s="142"/>
      <c r="T60" s="142"/>
      <c r="U60" s="142"/>
      <c r="V60" s="142"/>
      <c r="W60" s="142"/>
      <c r="X60" s="142"/>
      <c r="Y60" s="142"/>
      <c r="Z60" s="143"/>
    </row>
    <row r="61" spans="2:28" ht="25.9" customHeight="1">
      <c r="B61" s="32">
        <f t="shared" si="0"/>
        <v>51</v>
      </c>
      <c r="C61" s="122" t="s">
        <v>169</v>
      </c>
      <c r="D61" s="123"/>
      <c r="E61" s="123"/>
      <c r="F61" s="123"/>
      <c r="G61" s="123"/>
      <c r="H61" s="123"/>
      <c r="I61" s="124"/>
      <c r="J61" s="34">
        <v>3</v>
      </c>
      <c r="K61" s="35" t="s">
        <v>51</v>
      </c>
      <c r="L61" s="36"/>
      <c r="M61" s="36"/>
      <c r="N61" s="37"/>
      <c r="O61" s="37"/>
      <c r="P61" s="38"/>
      <c r="Q61" s="125" t="s">
        <v>170</v>
      </c>
      <c r="R61" s="142"/>
      <c r="S61" s="142"/>
      <c r="T61" s="142"/>
      <c r="U61" s="142"/>
      <c r="V61" s="142"/>
      <c r="W61" s="142"/>
      <c r="X61" s="142"/>
      <c r="Y61" s="142"/>
      <c r="Z61" s="143"/>
    </row>
    <row r="62" spans="2:28" ht="24" customHeight="1">
      <c r="B62" s="32">
        <f t="shared" si="0"/>
        <v>52</v>
      </c>
      <c r="C62" s="122" t="s">
        <v>171</v>
      </c>
      <c r="D62" s="123"/>
      <c r="E62" s="123"/>
      <c r="F62" s="123"/>
      <c r="G62" s="123"/>
      <c r="H62" s="123"/>
      <c r="I62" s="124"/>
      <c r="J62" s="34">
        <v>1</v>
      </c>
      <c r="K62" s="35" t="s">
        <v>51</v>
      </c>
      <c r="L62" s="36"/>
      <c r="M62" s="36"/>
      <c r="N62" s="37"/>
      <c r="O62" s="37"/>
      <c r="P62" s="38"/>
      <c r="Q62" s="125" t="s">
        <v>172</v>
      </c>
      <c r="R62" s="142"/>
      <c r="S62" s="142"/>
      <c r="T62" s="142"/>
      <c r="U62" s="142"/>
      <c r="V62" s="142"/>
      <c r="W62" s="142"/>
      <c r="X62" s="142"/>
      <c r="Y62" s="142"/>
      <c r="Z62" s="143"/>
    </row>
    <row r="63" spans="2:28" ht="24" customHeight="1">
      <c r="B63" s="32">
        <f t="shared" si="0"/>
        <v>53</v>
      </c>
      <c r="C63" s="122" t="s">
        <v>173</v>
      </c>
      <c r="D63" s="123"/>
      <c r="E63" s="123"/>
      <c r="F63" s="123"/>
      <c r="G63" s="123"/>
      <c r="H63" s="123"/>
      <c r="I63" s="124"/>
      <c r="J63" s="34">
        <v>1</v>
      </c>
      <c r="K63" s="35" t="s">
        <v>51</v>
      </c>
      <c r="L63" s="36"/>
      <c r="M63" s="36"/>
      <c r="N63" s="37"/>
      <c r="O63" s="37"/>
      <c r="P63" s="38"/>
      <c r="Q63" s="125" t="s">
        <v>174</v>
      </c>
      <c r="R63" s="142"/>
      <c r="S63" s="142"/>
      <c r="T63" s="142"/>
      <c r="U63" s="142"/>
      <c r="V63" s="142"/>
      <c r="W63" s="142"/>
      <c r="X63" s="142"/>
      <c r="Y63" s="142"/>
      <c r="Z63" s="143"/>
      <c r="AB63" s="39"/>
    </row>
    <row r="64" spans="2:28" ht="133.15" customHeight="1">
      <c r="B64" s="32">
        <f t="shared" si="0"/>
        <v>54</v>
      </c>
      <c r="C64" s="122" t="s">
        <v>175</v>
      </c>
      <c r="D64" s="123"/>
      <c r="E64" s="123"/>
      <c r="F64" s="123"/>
      <c r="G64" s="123"/>
      <c r="H64" s="123"/>
      <c r="I64" s="124"/>
      <c r="J64" s="34">
        <v>2</v>
      </c>
      <c r="K64" s="35" t="s">
        <v>51</v>
      </c>
      <c r="L64" s="36"/>
      <c r="M64" s="36"/>
      <c r="N64" s="37"/>
      <c r="O64" s="37"/>
      <c r="P64" s="38"/>
      <c r="Q64" s="125" t="s">
        <v>176</v>
      </c>
      <c r="R64" s="142"/>
      <c r="S64" s="142"/>
      <c r="T64" s="142"/>
      <c r="U64" s="142"/>
      <c r="V64" s="142"/>
      <c r="W64" s="142"/>
      <c r="X64" s="142"/>
      <c r="Y64" s="142"/>
      <c r="Z64" s="143"/>
      <c r="AB64" s="39"/>
    </row>
    <row r="65" spans="2:28" ht="25.9" customHeight="1">
      <c r="B65" s="32">
        <f t="shared" si="0"/>
        <v>55</v>
      </c>
      <c r="C65" s="122" t="s">
        <v>177</v>
      </c>
      <c r="D65" s="123"/>
      <c r="E65" s="123"/>
      <c r="F65" s="123"/>
      <c r="G65" s="123"/>
      <c r="H65" s="123"/>
      <c r="I65" s="124"/>
      <c r="J65" s="34">
        <v>6</v>
      </c>
      <c r="K65" s="35" t="s">
        <v>51</v>
      </c>
      <c r="L65" s="36"/>
      <c r="M65" s="36"/>
      <c r="N65" s="37"/>
      <c r="O65" s="37"/>
      <c r="P65" s="38"/>
      <c r="Q65" s="125"/>
      <c r="R65" s="142"/>
      <c r="S65" s="142"/>
      <c r="T65" s="142"/>
      <c r="U65" s="142"/>
      <c r="V65" s="142"/>
      <c r="W65" s="142"/>
      <c r="X65" s="142"/>
      <c r="Y65" s="142"/>
      <c r="Z65" s="143"/>
    </row>
    <row r="66" spans="2:28" ht="24" customHeight="1">
      <c r="B66" s="32">
        <f t="shared" si="0"/>
        <v>56</v>
      </c>
      <c r="C66" s="122" t="s">
        <v>178</v>
      </c>
      <c r="D66" s="123"/>
      <c r="E66" s="123"/>
      <c r="F66" s="123"/>
      <c r="G66" s="123"/>
      <c r="H66" s="123"/>
      <c r="I66" s="124"/>
      <c r="J66" s="34">
        <v>2</v>
      </c>
      <c r="K66" s="35" t="s">
        <v>51</v>
      </c>
      <c r="L66" s="36"/>
      <c r="M66" s="36"/>
      <c r="N66" s="37"/>
      <c r="O66" s="37"/>
      <c r="P66" s="33"/>
      <c r="Q66" s="125"/>
      <c r="R66" s="142"/>
      <c r="S66" s="142"/>
      <c r="T66" s="142"/>
      <c r="U66" s="142"/>
      <c r="V66" s="142"/>
      <c r="W66" s="142"/>
      <c r="X66" s="142"/>
      <c r="Y66" s="142"/>
      <c r="Z66" s="143"/>
    </row>
    <row r="67" spans="2:28" ht="24" customHeight="1">
      <c r="B67" s="32">
        <f t="shared" si="0"/>
        <v>57</v>
      </c>
      <c r="C67" s="122" t="s">
        <v>179</v>
      </c>
      <c r="D67" s="123"/>
      <c r="E67" s="123"/>
      <c r="F67" s="123"/>
      <c r="G67" s="123"/>
      <c r="H67" s="123"/>
      <c r="I67" s="124"/>
      <c r="J67" s="34">
        <v>1</v>
      </c>
      <c r="K67" s="35" t="s">
        <v>51</v>
      </c>
      <c r="L67" s="36"/>
      <c r="M67" s="36"/>
      <c r="N67" s="37"/>
      <c r="O67" s="37"/>
      <c r="P67" s="33"/>
      <c r="Q67" s="125"/>
      <c r="R67" s="142"/>
      <c r="S67" s="142"/>
      <c r="T67" s="142"/>
      <c r="U67" s="142"/>
      <c r="V67" s="142"/>
      <c r="W67" s="142"/>
      <c r="X67" s="142"/>
      <c r="Y67" s="142"/>
      <c r="Z67" s="143"/>
    </row>
    <row r="68" spans="2:28" ht="24" customHeight="1">
      <c r="B68" s="32">
        <f t="shared" si="0"/>
        <v>58</v>
      </c>
      <c r="C68" s="122" t="s">
        <v>180</v>
      </c>
      <c r="D68" s="123"/>
      <c r="E68" s="123"/>
      <c r="F68" s="123"/>
      <c r="G68" s="123"/>
      <c r="H68" s="123"/>
      <c r="I68" s="124"/>
      <c r="J68" s="34">
        <v>4</v>
      </c>
      <c r="K68" s="35" t="s">
        <v>51</v>
      </c>
      <c r="L68" s="36"/>
      <c r="M68" s="36"/>
      <c r="N68" s="37"/>
      <c r="O68" s="37"/>
      <c r="P68" s="33"/>
      <c r="Q68" s="125" t="s">
        <v>181</v>
      </c>
      <c r="R68" s="142"/>
      <c r="S68" s="142"/>
      <c r="T68" s="142"/>
      <c r="U68" s="142"/>
      <c r="V68" s="142"/>
      <c r="W68" s="142"/>
      <c r="X68" s="142"/>
      <c r="Y68" s="142"/>
      <c r="Z68" s="143"/>
    </row>
    <row r="69" spans="2:28" ht="48.4" customHeight="1">
      <c r="B69" s="32">
        <f t="shared" si="0"/>
        <v>59</v>
      </c>
      <c r="C69" s="122" t="s">
        <v>182</v>
      </c>
      <c r="D69" s="123"/>
      <c r="E69" s="123"/>
      <c r="F69" s="123"/>
      <c r="G69" s="123"/>
      <c r="H69" s="123"/>
      <c r="I69" s="124"/>
      <c r="J69" s="34">
        <v>7</v>
      </c>
      <c r="K69" s="35" t="s">
        <v>51</v>
      </c>
      <c r="L69" s="36"/>
      <c r="M69" s="36"/>
      <c r="N69" s="37"/>
      <c r="O69" s="37"/>
      <c r="P69" s="38"/>
      <c r="Q69" s="125" t="s">
        <v>183</v>
      </c>
      <c r="R69" s="142"/>
      <c r="S69" s="142"/>
      <c r="T69" s="142"/>
      <c r="U69" s="142"/>
      <c r="V69" s="142"/>
      <c r="W69" s="142"/>
      <c r="X69" s="142"/>
      <c r="Y69" s="142"/>
      <c r="Z69" s="143"/>
    </row>
    <row r="70" spans="2:28" ht="70.900000000000006" customHeight="1">
      <c r="B70" s="32">
        <f t="shared" si="0"/>
        <v>60</v>
      </c>
      <c r="C70" s="122" t="s">
        <v>184</v>
      </c>
      <c r="D70" s="123"/>
      <c r="E70" s="123"/>
      <c r="F70" s="123"/>
      <c r="G70" s="123"/>
      <c r="H70" s="123"/>
      <c r="I70" s="124"/>
      <c r="J70" s="34">
        <v>8</v>
      </c>
      <c r="K70" s="35" t="s">
        <v>51</v>
      </c>
      <c r="L70" s="36"/>
      <c r="M70" s="36"/>
      <c r="N70" s="37"/>
      <c r="O70" s="37"/>
      <c r="P70" s="38"/>
      <c r="Q70" s="125" t="s">
        <v>185</v>
      </c>
      <c r="R70" s="142"/>
      <c r="S70" s="142"/>
      <c r="T70" s="142"/>
      <c r="U70" s="142"/>
      <c r="V70" s="142"/>
      <c r="W70" s="142"/>
      <c r="X70" s="142"/>
      <c r="Y70" s="142"/>
      <c r="Z70" s="143"/>
    </row>
    <row r="71" spans="2:28" ht="35.450000000000003" customHeight="1">
      <c r="B71" s="32">
        <f t="shared" si="0"/>
        <v>61</v>
      </c>
      <c r="C71" s="122" t="s">
        <v>186</v>
      </c>
      <c r="D71" s="123"/>
      <c r="E71" s="123"/>
      <c r="F71" s="123"/>
      <c r="G71" s="123"/>
      <c r="H71" s="123"/>
      <c r="I71" s="124"/>
      <c r="J71" s="34">
        <v>6</v>
      </c>
      <c r="K71" s="35" t="s">
        <v>54</v>
      </c>
      <c r="L71" s="36"/>
      <c r="M71" s="36"/>
      <c r="N71" s="37"/>
      <c r="O71" s="37"/>
      <c r="P71" s="38"/>
      <c r="Q71" s="125" t="s">
        <v>187</v>
      </c>
      <c r="R71" s="142"/>
      <c r="S71" s="142"/>
      <c r="T71" s="142"/>
      <c r="U71" s="142"/>
      <c r="V71" s="142"/>
      <c r="W71" s="142"/>
      <c r="X71" s="142"/>
      <c r="Y71" s="142"/>
      <c r="Z71" s="143"/>
    </row>
    <row r="72" spans="2:28" ht="128.65" customHeight="1">
      <c r="B72" s="32">
        <f t="shared" si="0"/>
        <v>62</v>
      </c>
      <c r="C72" s="122" t="s">
        <v>188</v>
      </c>
      <c r="D72" s="123"/>
      <c r="E72" s="123"/>
      <c r="F72" s="123"/>
      <c r="G72" s="123"/>
      <c r="H72" s="123"/>
      <c r="I72" s="124"/>
      <c r="J72" s="34">
        <v>9</v>
      </c>
      <c r="K72" s="35" t="s">
        <v>54</v>
      </c>
      <c r="L72" s="36"/>
      <c r="M72" s="36"/>
      <c r="N72" s="37"/>
      <c r="O72" s="37"/>
      <c r="P72" s="33"/>
      <c r="Q72" s="125" t="s">
        <v>189</v>
      </c>
      <c r="R72" s="142"/>
      <c r="S72" s="142"/>
      <c r="T72" s="142"/>
      <c r="U72" s="142"/>
      <c r="V72" s="142"/>
      <c r="W72" s="142"/>
      <c r="X72" s="142"/>
      <c r="Y72" s="142"/>
      <c r="Z72" s="143"/>
    </row>
    <row r="73" spans="2:28" ht="37.9" customHeight="1">
      <c r="B73" s="32">
        <f t="shared" si="0"/>
        <v>63</v>
      </c>
      <c r="C73" s="122" t="s">
        <v>190</v>
      </c>
      <c r="D73" s="123"/>
      <c r="E73" s="123"/>
      <c r="F73" s="123"/>
      <c r="G73" s="123"/>
      <c r="H73" s="123"/>
      <c r="I73" s="124"/>
      <c r="J73" s="34">
        <v>10</v>
      </c>
      <c r="K73" s="35" t="s">
        <v>54</v>
      </c>
      <c r="L73" s="36"/>
      <c r="M73" s="36"/>
      <c r="N73" s="37"/>
      <c r="O73" s="37"/>
      <c r="P73" s="38"/>
      <c r="Q73" s="125" t="s">
        <v>191</v>
      </c>
      <c r="R73" s="142"/>
      <c r="S73" s="142"/>
      <c r="T73" s="142"/>
      <c r="U73" s="142"/>
      <c r="V73" s="142"/>
      <c r="W73" s="142"/>
      <c r="X73" s="142"/>
      <c r="Y73" s="142"/>
      <c r="Z73" s="143"/>
    </row>
    <row r="74" spans="2:28" ht="27.6" customHeight="1">
      <c r="B74" s="32">
        <f t="shared" si="0"/>
        <v>64</v>
      </c>
      <c r="C74" s="122" t="s">
        <v>71</v>
      </c>
      <c r="D74" s="123"/>
      <c r="E74" s="123"/>
      <c r="F74" s="123"/>
      <c r="G74" s="123"/>
      <c r="H74" s="123"/>
      <c r="I74" s="124"/>
      <c r="J74" s="34">
        <v>10</v>
      </c>
      <c r="K74" s="35" t="s">
        <v>54</v>
      </c>
      <c r="L74" s="36"/>
      <c r="M74" s="36"/>
      <c r="N74" s="37"/>
      <c r="O74" s="37"/>
      <c r="P74" s="38"/>
      <c r="Q74" s="125" t="s">
        <v>192</v>
      </c>
      <c r="R74" s="142"/>
      <c r="S74" s="142"/>
      <c r="T74" s="142"/>
      <c r="U74" s="142"/>
      <c r="V74" s="142"/>
      <c r="W74" s="142"/>
      <c r="X74" s="142"/>
      <c r="Y74" s="142"/>
      <c r="Z74" s="143"/>
      <c r="AB74" s="39"/>
    </row>
    <row r="75" spans="2:28" ht="24" customHeight="1">
      <c r="B75" s="32">
        <f t="shared" si="0"/>
        <v>65</v>
      </c>
      <c r="C75" s="122" t="s">
        <v>102</v>
      </c>
      <c r="D75" s="123"/>
      <c r="E75" s="123"/>
      <c r="F75" s="123"/>
      <c r="G75" s="123"/>
      <c r="H75" s="123"/>
      <c r="I75" s="124"/>
      <c r="J75" s="34">
        <v>1</v>
      </c>
      <c r="K75" s="35" t="s">
        <v>51</v>
      </c>
      <c r="L75" s="36"/>
      <c r="M75" s="36"/>
      <c r="N75" s="37"/>
      <c r="O75" s="37"/>
      <c r="P75" s="33"/>
      <c r="Q75" s="125"/>
      <c r="R75" s="142"/>
      <c r="S75" s="142"/>
      <c r="T75" s="142"/>
      <c r="U75" s="142"/>
      <c r="V75" s="142"/>
      <c r="W75" s="142"/>
      <c r="X75" s="142"/>
      <c r="Y75" s="142"/>
      <c r="Z75" s="143"/>
      <c r="AB75" s="39"/>
    </row>
    <row r="76" spans="2:28" ht="24" customHeight="1">
      <c r="B76" s="32">
        <f t="shared" si="0"/>
        <v>66</v>
      </c>
      <c r="C76" s="122" t="s">
        <v>193</v>
      </c>
      <c r="D76" s="123"/>
      <c r="E76" s="123"/>
      <c r="F76" s="123"/>
      <c r="G76" s="123"/>
      <c r="H76" s="123"/>
      <c r="I76" s="124"/>
      <c r="J76" s="34">
        <v>1</v>
      </c>
      <c r="K76" s="35" t="s">
        <v>51</v>
      </c>
      <c r="L76" s="36"/>
      <c r="M76" s="36"/>
      <c r="N76" s="37"/>
      <c r="O76" s="37"/>
      <c r="P76" s="38"/>
      <c r="Q76" s="125" t="s">
        <v>194</v>
      </c>
      <c r="R76" s="142"/>
      <c r="S76" s="142"/>
      <c r="T76" s="142"/>
      <c r="U76" s="142"/>
      <c r="V76" s="142"/>
      <c r="W76" s="142"/>
      <c r="X76" s="142"/>
      <c r="Y76" s="142"/>
      <c r="Z76" s="143"/>
    </row>
    <row r="77" spans="2:28" ht="35.450000000000003" customHeight="1">
      <c r="B77" s="32">
        <f t="shared" ref="B77:B138" si="1">B76+1</f>
        <v>67</v>
      </c>
      <c r="C77" s="122" t="s">
        <v>195</v>
      </c>
      <c r="D77" s="123"/>
      <c r="E77" s="123"/>
      <c r="F77" s="123"/>
      <c r="G77" s="123"/>
      <c r="H77" s="123"/>
      <c r="I77" s="124"/>
      <c r="J77" s="34">
        <v>1</v>
      </c>
      <c r="K77" s="35" t="s">
        <v>51</v>
      </c>
      <c r="L77" s="36"/>
      <c r="M77" s="36"/>
      <c r="N77" s="37"/>
      <c r="O77" s="37"/>
      <c r="P77" s="33"/>
      <c r="Q77" s="125" t="s">
        <v>196</v>
      </c>
      <c r="R77" s="142"/>
      <c r="S77" s="142"/>
      <c r="T77" s="142"/>
      <c r="U77" s="142"/>
      <c r="V77" s="142"/>
      <c r="W77" s="142"/>
      <c r="X77" s="142"/>
      <c r="Y77" s="142"/>
      <c r="Z77" s="143"/>
    </row>
    <row r="78" spans="2:28" ht="96" customHeight="1">
      <c r="B78" s="32">
        <f t="shared" si="1"/>
        <v>68</v>
      </c>
      <c r="C78" s="122" t="s">
        <v>197</v>
      </c>
      <c r="D78" s="123"/>
      <c r="E78" s="123"/>
      <c r="F78" s="123"/>
      <c r="G78" s="123"/>
      <c r="H78" s="123"/>
      <c r="I78" s="124"/>
      <c r="J78" s="34">
        <v>2</v>
      </c>
      <c r="K78" s="35" t="s">
        <v>51</v>
      </c>
      <c r="L78" s="36"/>
      <c r="M78" s="36"/>
      <c r="N78" s="37"/>
      <c r="O78" s="37"/>
      <c r="P78" s="33"/>
      <c r="Q78" s="125" t="s">
        <v>198</v>
      </c>
      <c r="R78" s="142"/>
      <c r="S78" s="142"/>
      <c r="T78" s="142"/>
      <c r="U78" s="142"/>
      <c r="V78" s="142"/>
      <c r="W78" s="142"/>
      <c r="X78" s="142"/>
      <c r="Y78" s="142"/>
      <c r="Z78" s="143"/>
    </row>
    <row r="79" spans="2:28" ht="31.9" customHeight="1">
      <c r="B79" s="32">
        <f t="shared" si="1"/>
        <v>69</v>
      </c>
      <c r="C79" s="122" t="s">
        <v>199</v>
      </c>
      <c r="D79" s="123"/>
      <c r="E79" s="123"/>
      <c r="F79" s="123"/>
      <c r="G79" s="123"/>
      <c r="H79" s="123"/>
      <c r="I79" s="124"/>
      <c r="J79" s="34">
        <v>6</v>
      </c>
      <c r="K79" s="35" t="s">
        <v>51</v>
      </c>
      <c r="L79" s="36"/>
      <c r="M79" s="36"/>
      <c r="N79" s="37"/>
      <c r="O79" s="37"/>
      <c r="P79" s="33"/>
      <c r="Q79" s="125"/>
      <c r="R79" s="142"/>
      <c r="S79" s="142"/>
      <c r="T79" s="142"/>
      <c r="U79" s="142"/>
      <c r="V79" s="142"/>
      <c r="W79" s="142"/>
      <c r="X79" s="142"/>
      <c r="Y79" s="142"/>
      <c r="Z79" s="143"/>
    </row>
    <row r="80" spans="2:28" ht="24" customHeight="1">
      <c r="B80" s="32">
        <f t="shared" si="1"/>
        <v>70</v>
      </c>
      <c r="C80" s="122" t="s">
        <v>200</v>
      </c>
      <c r="D80" s="123"/>
      <c r="E80" s="123"/>
      <c r="F80" s="123"/>
      <c r="G80" s="123"/>
      <c r="H80" s="123"/>
      <c r="I80" s="124"/>
      <c r="J80" s="34">
        <v>2</v>
      </c>
      <c r="K80" s="35" t="s">
        <v>51</v>
      </c>
      <c r="L80" s="36"/>
      <c r="M80" s="36"/>
      <c r="N80" s="37"/>
      <c r="O80" s="37"/>
      <c r="P80" s="38"/>
      <c r="Q80" s="125"/>
      <c r="R80" s="142"/>
      <c r="S80" s="142"/>
      <c r="T80" s="142"/>
      <c r="U80" s="142"/>
      <c r="V80" s="142"/>
      <c r="W80" s="142"/>
      <c r="X80" s="142"/>
      <c r="Y80" s="142"/>
      <c r="Z80" s="143"/>
    </row>
    <row r="81" spans="2:28" ht="52.15" customHeight="1">
      <c r="B81" s="32">
        <f t="shared" si="1"/>
        <v>71</v>
      </c>
      <c r="C81" s="122" t="s">
        <v>201</v>
      </c>
      <c r="D81" s="123"/>
      <c r="E81" s="123"/>
      <c r="F81" s="123"/>
      <c r="G81" s="123"/>
      <c r="H81" s="123"/>
      <c r="I81" s="124"/>
      <c r="J81" s="34">
        <v>7</v>
      </c>
      <c r="K81" s="35" t="s">
        <v>51</v>
      </c>
      <c r="L81" s="36"/>
      <c r="M81" s="36"/>
      <c r="N81" s="37"/>
      <c r="O81" s="37"/>
      <c r="P81" s="33"/>
      <c r="Q81" s="125" t="s">
        <v>183</v>
      </c>
      <c r="R81" s="142"/>
      <c r="S81" s="142"/>
      <c r="T81" s="142"/>
      <c r="U81" s="142"/>
      <c r="V81" s="142"/>
      <c r="W81" s="142"/>
      <c r="X81" s="142"/>
      <c r="Y81" s="142"/>
      <c r="Z81" s="143"/>
    </row>
    <row r="82" spans="2:28" ht="51" customHeight="1">
      <c r="B82" s="32">
        <f t="shared" si="1"/>
        <v>72</v>
      </c>
      <c r="C82" s="122" t="s">
        <v>202</v>
      </c>
      <c r="D82" s="123"/>
      <c r="E82" s="123"/>
      <c r="F82" s="123"/>
      <c r="G82" s="123"/>
      <c r="H82" s="123"/>
      <c r="I82" s="124"/>
      <c r="J82" s="34">
        <v>8</v>
      </c>
      <c r="K82" s="35" t="s">
        <v>51</v>
      </c>
      <c r="L82" s="36"/>
      <c r="M82" s="36"/>
      <c r="N82" s="37"/>
      <c r="O82" s="37"/>
      <c r="P82" s="38"/>
      <c r="Q82" s="125" t="s">
        <v>203</v>
      </c>
      <c r="R82" s="142"/>
      <c r="S82" s="142"/>
      <c r="T82" s="142"/>
      <c r="U82" s="142"/>
      <c r="V82" s="142"/>
      <c r="W82" s="142"/>
      <c r="X82" s="142"/>
      <c r="Y82" s="142"/>
      <c r="Z82" s="143"/>
    </row>
    <row r="83" spans="2:28" ht="28.5" customHeight="1">
      <c r="B83" s="32">
        <f t="shared" si="1"/>
        <v>73</v>
      </c>
      <c r="C83" s="122" t="s">
        <v>204</v>
      </c>
      <c r="D83" s="123"/>
      <c r="E83" s="123"/>
      <c r="F83" s="123"/>
      <c r="G83" s="123"/>
      <c r="H83" s="123"/>
      <c r="I83" s="124"/>
      <c r="J83" s="34">
        <v>6</v>
      </c>
      <c r="K83" s="35" t="s">
        <v>54</v>
      </c>
      <c r="L83" s="36"/>
      <c r="M83" s="36"/>
      <c r="N83" s="37"/>
      <c r="O83" s="37"/>
      <c r="P83" s="38"/>
      <c r="Q83" s="125" t="s">
        <v>205</v>
      </c>
      <c r="R83" s="142"/>
      <c r="S83" s="142"/>
      <c r="T83" s="142"/>
      <c r="U83" s="142"/>
      <c r="V83" s="142"/>
      <c r="W83" s="142"/>
      <c r="X83" s="142"/>
      <c r="Y83" s="142"/>
      <c r="Z83" s="143"/>
    </row>
    <row r="84" spans="2:28" ht="55.5" customHeight="1">
      <c r="B84" s="32">
        <f t="shared" si="1"/>
        <v>74</v>
      </c>
      <c r="C84" s="122" t="s">
        <v>206</v>
      </c>
      <c r="D84" s="123"/>
      <c r="E84" s="123"/>
      <c r="F84" s="123"/>
      <c r="G84" s="123"/>
      <c r="H84" s="123"/>
      <c r="I84" s="124"/>
      <c r="J84" s="34">
        <v>9</v>
      </c>
      <c r="K84" s="35" t="s">
        <v>54</v>
      </c>
      <c r="L84" s="36"/>
      <c r="M84" s="36"/>
      <c r="N84" s="37"/>
      <c r="O84" s="37"/>
      <c r="P84" s="38"/>
      <c r="Q84" s="125" t="s">
        <v>207</v>
      </c>
      <c r="R84" s="142"/>
      <c r="S84" s="142"/>
      <c r="T84" s="142"/>
      <c r="U84" s="142"/>
      <c r="V84" s="142"/>
      <c r="W84" s="142"/>
      <c r="X84" s="142"/>
      <c r="Y84" s="142"/>
      <c r="Z84" s="143"/>
      <c r="AB84" s="39"/>
    </row>
    <row r="85" spans="2:28" ht="25.9" customHeight="1">
      <c r="B85" s="32">
        <f t="shared" si="1"/>
        <v>75</v>
      </c>
      <c r="C85" s="122" t="s">
        <v>208</v>
      </c>
      <c r="D85" s="123"/>
      <c r="E85" s="123"/>
      <c r="F85" s="123"/>
      <c r="G85" s="123"/>
      <c r="H85" s="123"/>
      <c r="I85" s="124"/>
      <c r="J85" s="34">
        <v>10</v>
      </c>
      <c r="K85" s="35" t="s">
        <v>54</v>
      </c>
      <c r="L85" s="36"/>
      <c r="M85" s="36"/>
      <c r="N85" s="37"/>
      <c r="O85" s="37"/>
      <c r="P85" s="38"/>
      <c r="Q85" s="125" t="s">
        <v>209</v>
      </c>
      <c r="R85" s="142"/>
      <c r="S85" s="142"/>
      <c r="T85" s="142"/>
      <c r="U85" s="142"/>
      <c r="V85" s="142"/>
      <c r="W85" s="142"/>
      <c r="X85" s="142"/>
      <c r="Y85" s="142"/>
      <c r="Z85" s="143"/>
      <c r="AB85" s="39"/>
    </row>
    <row r="86" spans="2:28" ht="24" customHeight="1">
      <c r="B86" s="32">
        <f t="shared" si="1"/>
        <v>76</v>
      </c>
      <c r="C86" s="122" t="s">
        <v>210</v>
      </c>
      <c r="D86" s="123"/>
      <c r="E86" s="123"/>
      <c r="F86" s="123"/>
      <c r="G86" s="123"/>
      <c r="H86" s="123"/>
      <c r="I86" s="124"/>
      <c r="J86" s="34">
        <v>10</v>
      </c>
      <c r="K86" s="35" t="s">
        <v>54</v>
      </c>
      <c r="L86" s="36"/>
      <c r="M86" s="36"/>
      <c r="N86" s="37"/>
      <c r="O86" s="37"/>
      <c r="P86" s="33"/>
      <c r="Q86" s="125" t="s">
        <v>211</v>
      </c>
      <c r="R86" s="142"/>
      <c r="S86" s="142"/>
      <c r="T86" s="142"/>
      <c r="U86" s="142"/>
      <c r="V86" s="142"/>
      <c r="W86" s="142"/>
      <c r="X86" s="142"/>
      <c r="Y86" s="142"/>
      <c r="Z86" s="143"/>
    </row>
    <row r="87" spans="2:28" ht="24" customHeight="1">
      <c r="B87" s="32">
        <f t="shared" si="1"/>
        <v>77</v>
      </c>
      <c r="C87" s="122" t="s">
        <v>102</v>
      </c>
      <c r="D87" s="123"/>
      <c r="E87" s="123"/>
      <c r="F87" s="123"/>
      <c r="G87" s="123"/>
      <c r="H87" s="123"/>
      <c r="I87" s="124"/>
      <c r="J87" s="34">
        <v>1</v>
      </c>
      <c r="K87" s="35" t="s">
        <v>51</v>
      </c>
      <c r="L87" s="36"/>
      <c r="M87" s="36"/>
      <c r="N87" s="37"/>
      <c r="O87" s="37"/>
      <c r="P87" s="33"/>
      <c r="Q87" s="125"/>
      <c r="R87" s="142"/>
      <c r="S87" s="142"/>
      <c r="T87" s="142"/>
      <c r="U87" s="142"/>
      <c r="V87" s="142"/>
      <c r="W87" s="142"/>
      <c r="X87" s="142"/>
      <c r="Y87" s="142"/>
      <c r="Z87" s="143"/>
    </row>
    <row r="88" spans="2:28" ht="24" customHeight="1">
      <c r="B88" s="32">
        <f t="shared" si="1"/>
        <v>78</v>
      </c>
      <c r="C88" s="122" t="s">
        <v>102</v>
      </c>
      <c r="D88" s="123"/>
      <c r="E88" s="123"/>
      <c r="F88" s="123"/>
      <c r="G88" s="123"/>
      <c r="H88" s="123"/>
      <c r="I88" s="124"/>
      <c r="J88" s="34">
        <v>6</v>
      </c>
      <c r="K88" s="35" t="s">
        <v>51</v>
      </c>
      <c r="L88" s="36"/>
      <c r="M88" s="36"/>
      <c r="N88" s="37"/>
      <c r="O88" s="37"/>
      <c r="P88" s="33"/>
      <c r="Q88" s="125"/>
      <c r="R88" s="142"/>
      <c r="S88" s="142"/>
      <c r="T88" s="142"/>
      <c r="U88" s="142"/>
      <c r="V88" s="142"/>
      <c r="W88" s="142"/>
      <c r="X88" s="142"/>
      <c r="Y88" s="142"/>
      <c r="Z88" s="143"/>
    </row>
    <row r="89" spans="2:28" ht="27.4" customHeight="1">
      <c r="B89" s="32">
        <f t="shared" si="1"/>
        <v>79</v>
      </c>
      <c r="C89" s="122" t="s">
        <v>212</v>
      </c>
      <c r="D89" s="123"/>
      <c r="E89" s="123"/>
      <c r="F89" s="123"/>
      <c r="G89" s="123"/>
      <c r="H89" s="123"/>
      <c r="I89" s="124"/>
      <c r="J89" s="34">
        <v>1</v>
      </c>
      <c r="K89" s="35" t="s">
        <v>51</v>
      </c>
      <c r="L89" s="36"/>
      <c r="M89" s="36"/>
      <c r="N89" s="37"/>
      <c r="O89" s="37"/>
      <c r="P89" s="38"/>
      <c r="Q89" s="125" t="s">
        <v>213</v>
      </c>
      <c r="R89" s="142"/>
      <c r="S89" s="142"/>
      <c r="T89" s="142"/>
      <c r="U89" s="142"/>
      <c r="V89" s="142"/>
      <c r="W89" s="142"/>
      <c r="X89" s="142"/>
      <c r="Y89" s="142"/>
      <c r="Z89" s="143"/>
    </row>
    <row r="90" spans="2:28" ht="42.4" customHeight="1">
      <c r="B90" s="32">
        <f t="shared" si="1"/>
        <v>80</v>
      </c>
      <c r="C90" s="122" t="s">
        <v>214</v>
      </c>
      <c r="D90" s="123"/>
      <c r="E90" s="123"/>
      <c r="F90" s="123"/>
      <c r="G90" s="123"/>
      <c r="H90" s="123"/>
      <c r="I90" s="124"/>
      <c r="J90" s="34">
        <v>9</v>
      </c>
      <c r="K90" s="35" t="s">
        <v>54</v>
      </c>
      <c r="L90" s="36"/>
      <c r="M90" s="36"/>
      <c r="N90" s="37"/>
      <c r="O90" s="37"/>
      <c r="P90" s="38"/>
      <c r="Q90" s="125" t="s">
        <v>215</v>
      </c>
      <c r="R90" s="142"/>
      <c r="S90" s="142"/>
      <c r="T90" s="142"/>
      <c r="U90" s="142"/>
      <c r="V90" s="142"/>
      <c r="W90" s="142"/>
      <c r="X90" s="142"/>
      <c r="Y90" s="142"/>
      <c r="Z90" s="143"/>
    </row>
    <row r="91" spans="2:28" ht="31.5" customHeight="1">
      <c r="B91" s="32">
        <f t="shared" si="1"/>
        <v>81</v>
      </c>
      <c r="C91" s="122" t="s">
        <v>216</v>
      </c>
      <c r="D91" s="123"/>
      <c r="E91" s="123"/>
      <c r="F91" s="123"/>
      <c r="G91" s="123"/>
      <c r="H91" s="123"/>
      <c r="I91" s="124"/>
      <c r="J91" s="34">
        <v>2</v>
      </c>
      <c r="K91" s="35" t="s">
        <v>51</v>
      </c>
      <c r="L91" s="36"/>
      <c r="M91" s="36"/>
      <c r="N91" s="37"/>
      <c r="O91" s="37"/>
      <c r="P91" s="38"/>
      <c r="Q91" s="125" t="s">
        <v>217</v>
      </c>
      <c r="R91" s="142"/>
      <c r="S91" s="142"/>
      <c r="T91" s="142"/>
      <c r="U91" s="142"/>
      <c r="V91" s="142"/>
      <c r="W91" s="142"/>
      <c r="X91" s="142"/>
      <c r="Y91" s="142"/>
      <c r="Z91" s="143"/>
    </row>
    <row r="92" spans="2:28" ht="30.6" customHeight="1">
      <c r="B92" s="32">
        <f t="shared" si="1"/>
        <v>82</v>
      </c>
      <c r="C92" s="122" t="s">
        <v>218</v>
      </c>
      <c r="D92" s="123"/>
      <c r="E92" s="123"/>
      <c r="F92" s="123"/>
      <c r="G92" s="123"/>
      <c r="H92" s="123"/>
      <c r="I92" s="124"/>
      <c r="J92" s="34">
        <v>2</v>
      </c>
      <c r="K92" s="35" t="s">
        <v>54</v>
      </c>
      <c r="L92" s="36"/>
      <c r="M92" s="36"/>
      <c r="N92" s="37"/>
      <c r="O92" s="37"/>
      <c r="P92" s="38"/>
      <c r="Q92" s="125" t="s">
        <v>219</v>
      </c>
      <c r="R92" s="142"/>
      <c r="S92" s="142"/>
      <c r="T92" s="142"/>
      <c r="U92" s="142"/>
      <c r="V92" s="142"/>
      <c r="W92" s="142"/>
      <c r="X92" s="142"/>
      <c r="Y92" s="142"/>
      <c r="Z92" s="143"/>
    </row>
    <row r="93" spans="2:28" ht="30.6" customHeight="1">
      <c r="B93" s="32">
        <f t="shared" si="1"/>
        <v>83</v>
      </c>
      <c r="C93" s="122" t="s">
        <v>220</v>
      </c>
      <c r="D93" s="123"/>
      <c r="E93" s="123"/>
      <c r="F93" s="123"/>
      <c r="G93" s="123"/>
      <c r="H93" s="123"/>
      <c r="I93" s="124"/>
      <c r="J93" s="34">
        <v>6</v>
      </c>
      <c r="K93" s="35" t="s">
        <v>54</v>
      </c>
      <c r="L93" s="36"/>
      <c r="M93" s="36"/>
      <c r="N93" s="37"/>
      <c r="O93" s="37"/>
      <c r="P93" s="38"/>
      <c r="Q93" s="125" t="s">
        <v>221</v>
      </c>
      <c r="R93" s="142"/>
      <c r="S93" s="142"/>
      <c r="T93" s="142"/>
      <c r="U93" s="142"/>
      <c r="V93" s="142"/>
      <c r="W93" s="142"/>
      <c r="X93" s="142"/>
      <c r="Y93" s="142"/>
      <c r="Z93" s="143"/>
    </row>
    <row r="94" spans="2:28" ht="24" customHeight="1">
      <c r="B94" s="32">
        <f t="shared" si="1"/>
        <v>84</v>
      </c>
      <c r="C94" s="122" t="s">
        <v>222</v>
      </c>
      <c r="D94" s="123"/>
      <c r="E94" s="123"/>
      <c r="F94" s="123"/>
      <c r="G94" s="123"/>
      <c r="H94" s="123"/>
      <c r="I94" s="124"/>
      <c r="J94" s="34">
        <v>2</v>
      </c>
      <c r="K94" s="35" t="s">
        <v>54</v>
      </c>
      <c r="L94" s="36"/>
      <c r="M94" s="36"/>
      <c r="N94" s="37"/>
      <c r="O94" s="37"/>
      <c r="P94" s="38"/>
      <c r="Q94" s="125" t="s">
        <v>223</v>
      </c>
      <c r="R94" s="142"/>
      <c r="S94" s="142"/>
      <c r="T94" s="142"/>
      <c r="U94" s="142"/>
      <c r="V94" s="142"/>
      <c r="W94" s="142"/>
      <c r="X94" s="142"/>
      <c r="Y94" s="142"/>
      <c r="Z94" s="143"/>
    </row>
    <row r="95" spans="2:28" ht="36" customHeight="1">
      <c r="B95" s="32">
        <f t="shared" si="1"/>
        <v>85</v>
      </c>
      <c r="C95" s="122" t="s">
        <v>102</v>
      </c>
      <c r="D95" s="123"/>
      <c r="E95" s="123"/>
      <c r="F95" s="123"/>
      <c r="G95" s="123"/>
      <c r="H95" s="123"/>
      <c r="I95" s="124"/>
      <c r="J95" s="34">
        <v>42</v>
      </c>
      <c r="K95" s="35" t="s">
        <v>51</v>
      </c>
      <c r="L95" s="36"/>
      <c r="M95" s="36"/>
      <c r="N95" s="37"/>
      <c r="O95" s="37"/>
      <c r="P95" s="38"/>
      <c r="Q95" s="125"/>
      <c r="R95" s="142"/>
      <c r="S95" s="142"/>
      <c r="T95" s="142"/>
      <c r="U95" s="142"/>
      <c r="V95" s="142"/>
      <c r="W95" s="142"/>
      <c r="X95" s="142"/>
      <c r="Y95" s="142"/>
      <c r="Z95" s="143"/>
      <c r="AB95" s="39"/>
    </row>
    <row r="96" spans="2:28" ht="24" customHeight="1">
      <c r="B96" s="32">
        <f t="shared" si="1"/>
        <v>86</v>
      </c>
      <c r="C96" s="122" t="s">
        <v>102</v>
      </c>
      <c r="D96" s="123"/>
      <c r="E96" s="123"/>
      <c r="F96" s="123"/>
      <c r="G96" s="123"/>
      <c r="H96" s="123"/>
      <c r="I96" s="124"/>
      <c r="J96" s="34">
        <v>5</v>
      </c>
      <c r="K96" s="35" t="s">
        <v>51</v>
      </c>
      <c r="L96" s="36"/>
      <c r="M96" s="36"/>
      <c r="N96" s="37"/>
      <c r="O96" s="37"/>
      <c r="P96" s="33"/>
      <c r="Q96" s="125"/>
      <c r="R96" s="142"/>
      <c r="S96" s="142"/>
      <c r="T96" s="142"/>
      <c r="U96" s="142"/>
      <c r="V96" s="142"/>
      <c r="W96" s="142"/>
      <c r="X96" s="142"/>
      <c r="Y96" s="142"/>
      <c r="Z96" s="143"/>
      <c r="AB96" s="39"/>
    </row>
    <row r="97" spans="2:28" ht="24" customHeight="1">
      <c r="B97" s="32">
        <f t="shared" si="1"/>
        <v>87</v>
      </c>
      <c r="C97" s="122" t="s">
        <v>224</v>
      </c>
      <c r="D97" s="123"/>
      <c r="E97" s="123"/>
      <c r="F97" s="123"/>
      <c r="G97" s="123"/>
      <c r="H97" s="123"/>
      <c r="I97" s="124"/>
      <c r="J97" s="34">
        <v>1</v>
      </c>
      <c r="K97" s="35" t="s">
        <v>51</v>
      </c>
      <c r="L97" s="36"/>
      <c r="M97" s="36"/>
      <c r="N97" s="37"/>
      <c r="O97" s="37"/>
      <c r="P97" s="33"/>
      <c r="Q97" s="125"/>
      <c r="R97" s="142"/>
      <c r="S97" s="142"/>
      <c r="T97" s="142"/>
      <c r="U97" s="142"/>
      <c r="V97" s="142"/>
      <c r="W97" s="142"/>
      <c r="X97" s="142"/>
      <c r="Y97" s="142"/>
      <c r="Z97" s="143"/>
    </row>
    <row r="98" spans="2:28" ht="24" customHeight="1">
      <c r="B98" s="32">
        <f t="shared" si="1"/>
        <v>88</v>
      </c>
      <c r="C98" s="122" t="s">
        <v>225</v>
      </c>
      <c r="D98" s="123"/>
      <c r="E98" s="123"/>
      <c r="F98" s="123"/>
      <c r="G98" s="123"/>
      <c r="H98" s="123"/>
      <c r="I98" s="124"/>
      <c r="J98" s="34">
        <v>2</v>
      </c>
      <c r="K98" s="35" t="s">
        <v>51</v>
      </c>
      <c r="L98" s="36"/>
      <c r="M98" s="36"/>
      <c r="N98" s="37"/>
      <c r="O98" s="37"/>
      <c r="P98" s="38"/>
      <c r="Q98" s="125"/>
      <c r="R98" s="142"/>
      <c r="S98" s="142"/>
      <c r="T98" s="142"/>
      <c r="U98" s="142"/>
      <c r="V98" s="142"/>
      <c r="W98" s="142"/>
      <c r="X98" s="142"/>
      <c r="Y98" s="142"/>
      <c r="Z98" s="143"/>
    </row>
    <row r="99" spans="2:28" ht="24" customHeight="1">
      <c r="B99" s="32">
        <f t="shared" si="1"/>
        <v>89</v>
      </c>
      <c r="C99" s="122" t="s">
        <v>226</v>
      </c>
      <c r="D99" s="123"/>
      <c r="E99" s="123"/>
      <c r="F99" s="123"/>
      <c r="G99" s="123"/>
      <c r="H99" s="123"/>
      <c r="I99" s="124"/>
      <c r="J99" s="34">
        <v>8</v>
      </c>
      <c r="K99" s="35" t="s">
        <v>51</v>
      </c>
      <c r="L99" s="36"/>
      <c r="M99" s="36"/>
      <c r="N99" s="37"/>
      <c r="O99" s="37"/>
      <c r="P99" s="38"/>
      <c r="Q99" s="125"/>
      <c r="R99" s="142"/>
      <c r="S99" s="142"/>
      <c r="T99" s="142"/>
      <c r="U99" s="142"/>
      <c r="V99" s="142"/>
      <c r="W99" s="142"/>
      <c r="X99" s="142"/>
      <c r="Y99" s="142"/>
      <c r="Z99" s="143"/>
    </row>
    <row r="100" spans="2:28" ht="24" customHeight="1">
      <c r="B100" s="32">
        <f t="shared" si="1"/>
        <v>90</v>
      </c>
      <c r="C100" s="122" t="s">
        <v>227</v>
      </c>
      <c r="D100" s="123"/>
      <c r="E100" s="123"/>
      <c r="F100" s="123"/>
      <c r="G100" s="123"/>
      <c r="H100" s="123"/>
      <c r="I100" s="124"/>
      <c r="J100" s="34">
        <v>4</v>
      </c>
      <c r="K100" s="35" t="s">
        <v>51</v>
      </c>
      <c r="L100" s="36"/>
      <c r="M100" s="36"/>
      <c r="N100" s="37"/>
      <c r="O100" s="37"/>
      <c r="P100" s="38"/>
      <c r="Q100" s="125"/>
      <c r="R100" s="142"/>
      <c r="S100" s="142"/>
      <c r="T100" s="142"/>
      <c r="U100" s="142"/>
      <c r="V100" s="142"/>
      <c r="W100" s="142"/>
      <c r="X100" s="142"/>
      <c r="Y100" s="142"/>
      <c r="Z100" s="143"/>
    </row>
    <row r="101" spans="2:28" ht="24" customHeight="1">
      <c r="B101" s="32">
        <f t="shared" si="1"/>
        <v>91</v>
      </c>
      <c r="C101" s="122" t="s">
        <v>102</v>
      </c>
      <c r="D101" s="123"/>
      <c r="E101" s="123"/>
      <c r="F101" s="123"/>
      <c r="G101" s="123"/>
      <c r="H101" s="123"/>
      <c r="I101" s="124"/>
      <c r="J101" s="34">
        <v>1</v>
      </c>
      <c r="K101" s="35" t="s">
        <v>51</v>
      </c>
      <c r="L101" s="36"/>
      <c r="M101" s="36"/>
      <c r="N101" s="37"/>
      <c r="O101" s="37"/>
      <c r="P101" s="33"/>
      <c r="Q101" s="125"/>
      <c r="R101" s="142"/>
      <c r="S101" s="142"/>
      <c r="T101" s="142"/>
      <c r="U101" s="142"/>
      <c r="V101" s="142"/>
      <c r="W101" s="142"/>
      <c r="X101" s="142"/>
      <c r="Y101" s="142"/>
      <c r="Z101" s="143"/>
    </row>
    <row r="102" spans="2:28" ht="24" customHeight="1">
      <c r="B102" s="32">
        <f t="shared" si="1"/>
        <v>92</v>
      </c>
      <c r="C102" s="122" t="s">
        <v>228</v>
      </c>
      <c r="D102" s="123"/>
      <c r="E102" s="123"/>
      <c r="F102" s="123"/>
      <c r="G102" s="123"/>
      <c r="H102" s="123"/>
      <c r="I102" s="124"/>
      <c r="J102" s="34">
        <v>2</v>
      </c>
      <c r="K102" s="35" t="s">
        <v>51</v>
      </c>
      <c r="L102" s="36"/>
      <c r="M102" s="36"/>
      <c r="N102" s="37"/>
      <c r="O102" s="37"/>
      <c r="P102" s="38"/>
      <c r="Q102" s="125"/>
      <c r="R102" s="142"/>
      <c r="S102" s="142"/>
      <c r="T102" s="142"/>
      <c r="U102" s="142"/>
      <c r="V102" s="142"/>
      <c r="W102" s="142"/>
      <c r="X102" s="142"/>
      <c r="Y102" s="142"/>
      <c r="Z102" s="143"/>
    </row>
    <row r="103" spans="2:28" ht="24" customHeight="1">
      <c r="B103" s="32">
        <f t="shared" si="1"/>
        <v>93</v>
      </c>
      <c r="C103" s="122" t="s">
        <v>229</v>
      </c>
      <c r="D103" s="123"/>
      <c r="E103" s="123"/>
      <c r="F103" s="123"/>
      <c r="G103" s="123"/>
      <c r="H103" s="123"/>
      <c r="I103" s="124"/>
      <c r="J103" s="34">
        <v>6</v>
      </c>
      <c r="K103" s="35" t="s">
        <v>51</v>
      </c>
      <c r="L103" s="36"/>
      <c r="M103" s="36"/>
      <c r="N103" s="37"/>
      <c r="O103" s="37"/>
      <c r="P103" s="38"/>
      <c r="Q103" s="125"/>
      <c r="R103" s="142"/>
      <c r="S103" s="142"/>
      <c r="T103" s="142"/>
      <c r="U103" s="142"/>
      <c r="V103" s="142"/>
      <c r="W103" s="142"/>
      <c r="X103" s="142"/>
      <c r="Y103" s="142"/>
      <c r="Z103" s="143"/>
    </row>
    <row r="104" spans="2:28" ht="24" customHeight="1">
      <c r="B104" s="32">
        <f t="shared" si="1"/>
        <v>94</v>
      </c>
      <c r="C104" s="122" t="s">
        <v>230</v>
      </c>
      <c r="D104" s="123"/>
      <c r="E104" s="123"/>
      <c r="F104" s="123"/>
      <c r="G104" s="123"/>
      <c r="H104" s="123"/>
      <c r="I104" s="124"/>
      <c r="J104" s="34">
        <v>2</v>
      </c>
      <c r="K104" s="35" t="s">
        <v>51</v>
      </c>
      <c r="L104" s="36"/>
      <c r="M104" s="36"/>
      <c r="N104" s="37"/>
      <c r="O104" s="37"/>
      <c r="P104" s="38"/>
      <c r="Q104" s="125"/>
      <c r="R104" s="142"/>
      <c r="S104" s="142"/>
      <c r="T104" s="142"/>
      <c r="U104" s="142"/>
      <c r="V104" s="142"/>
      <c r="W104" s="142"/>
      <c r="X104" s="142"/>
      <c r="Y104" s="142"/>
      <c r="Z104" s="143"/>
    </row>
    <row r="105" spans="2:28" ht="24" customHeight="1">
      <c r="B105" s="32">
        <f t="shared" si="1"/>
        <v>95</v>
      </c>
      <c r="C105" s="122" t="s">
        <v>231</v>
      </c>
      <c r="D105" s="123"/>
      <c r="E105" s="123"/>
      <c r="F105" s="123"/>
      <c r="G105" s="123"/>
      <c r="H105" s="123"/>
      <c r="I105" s="124"/>
      <c r="J105" s="34">
        <v>1</v>
      </c>
      <c r="K105" s="35" t="s">
        <v>51</v>
      </c>
      <c r="L105" s="36"/>
      <c r="M105" s="36"/>
      <c r="N105" s="37"/>
      <c r="O105" s="37"/>
      <c r="P105" s="38"/>
      <c r="Q105" s="125"/>
      <c r="R105" s="142"/>
      <c r="S105" s="142"/>
      <c r="T105" s="142"/>
      <c r="U105" s="142"/>
      <c r="V105" s="142"/>
      <c r="W105" s="142"/>
      <c r="X105" s="142"/>
      <c r="Y105" s="142"/>
      <c r="Z105" s="143"/>
    </row>
    <row r="106" spans="2:28" ht="24" customHeight="1">
      <c r="B106" s="32">
        <f t="shared" si="1"/>
        <v>96</v>
      </c>
      <c r="C106" s="122" t="s">
        <v>232</v>
      </c>
      <c r="D106" s="123"/>
      <c r="E106" s="123"/>
      <c r="F106" s="123"/>
      <c r="G106" s="123"/>
      <c r="H106" s="123"/>
      <c r="I106" s="124"/>
      <c r="J106" s="34">
        <v>7</v>
      </c>
      <c r="K106" s="35" t="s">
        <v>51</v>
      </c>
      <c r="L106" s="36"/>
      <c r="M106" s="36"/>
      <c r="N106" s="37"/>
      <c r="O106" s="37"/>
      <c r="P106" s="33"/>
      <c r="Q106" s="125"/>
      <c r="R106" s="142"/>
      <c r="S106" s="142"/>
      <c r="T106" s="142"/>
      <c r="U106" s="142"/>
      <c r="V106" s="142"/>
      <c r="W106" s="142"/>
      <c r="X106" s="142"/>
      <c r="Y106" s="142"/>
      <c r="Z106" s="143"/>
      <c r="AB106" s="39"/>
    </row>
    <row r="107" spans="2:28" ht="24" customHeight="1">
      <c r="B107" s="32">
        <f t="shared" si="1"/>
        <v>97</v>
      </c>
      <c r="C107" s="122" t="s">
        <v>233</v>
      </c>
      <c r="D107" s="123"/>
      <c r="E107" s="123"/>
      <c r="F107" s="123"/>
      <c r="G107" s="123"/>
      <c r="H107" s="123"/>
      <c r="I107" s="124"/>
      <c r="J107" s="34">
        <v>8</v>
      </c>
      <c r="K107" s="35" t="s">
        <v>54</v>
      </c>
      <c r="L107" s="36"/>
      <c r="M107" s="36"/>
      <c r="N107" s="37"/>
      <c r="O107" s="37"/>
      <c r="P107" s="33"/>
      <c r="Q107" s="125"/>
      <c r="R107" s="142"/>
      <c r="S107" s="142"/>
      <c r="T107" s="142"/>
      <c r="U107" s="142"/>
      <c r="V107" s="142"/>
      <c r="W107" s="142"/>
      <c r="X107" s="142"/>
      <c r="Y107" s="142"/>
      <c r="Z107" s="143"/>
      <c r="AB107" s="39"/>
    </row>
    <row r="108" spans="2:28" ht="24" customHeight="1">
      <c r="B108" s="32">
        <f t="shared" si="1"/>
        <v>98</v>
      </c>
      <c r="C108" s="122" t="s">
        <v>234</v>
      </c>
      <c r="D108" s="123"/>
      <c r="E108" s="123"/>
      <c r="F108" s="123"/>
      <c r="G108" s="123"/>
      <c r="H108" s="123"/>
      <c r="I108" s="124"/>
      <c r="J108" s="34">
        <v>1</v>
      </c>
      <c r="K108" s="35" t="s">
        <v>51</v>
      </c>
      <c r="L108" s="36"/>
      <c r="M108" s="36"/>
      <c r="N108" s="37"/>
      <c r="O108" s="37"/>
      <c r="P108" s="33"/>
      <c r="Q108" s="125"/>
      <c r="R108" s="142"/>
      <c r="S108" s="142"/>
      <c r="T108" s="142"/>
      <c r="U108" s="142"/>
      <c r="V108" s="142"/>
      <c r="W108" s="142"/>
      <c r="X108" s="142"/>
      <c r="Y108" s="142"/>
      <c r="Z108" s="143"/>
    </row>
    <row r="109" spans="2:28" ht="24" customHeight="1">
      <c r="B109" s="32">
        <f t="shared" si="1"/>
        <v>99</v>
      </c>
      <c r="C109" s="122" t="s">
        <v>102</v>
      </c>
      <c r="D109" s="123"/>
      <c r="E109" s="123"/>
      <c r="F109" s="123"/>
      <c r="G109" s="123"/>
      <c r="H109" s="123"/>
      <c r="I109" s="124"/>
      <c r="J109" s="34">
        <v>6</v>
      </c>
      <c r="K109" s="35" t="s">
        <v>51</v>
      </c>
      <c r="L109" s="36"/>
      <c r="M109" s="36"/>
      <c r="N109" s="37"/>
      <c r="O109" s="37"/>
      <c r="P109" s="38"/>
      <c r="Q109" s="125"/>
      <c r="R109" s="142"/>
      <c r="S109" s="142"/>
      <c r="T109" s="142"/>
      <c r="U109" s="142"/>
      <c r="V109" s="142"/>
      <c r="W109" s="142"/>
      <c r="X109" s="142"/>
      <c r="Y109" s="142"/>
      <c r="Z109" s="143"/>
    </row>
    <row r="110" spans="2:28" ht="24" customHeight="1">
      <c r="B110" s="32">
        <f t="shared" si="1"/>
        <v>100</v>
      </c>
      <c r="C110" s="122" t="s">
        <v>102</v>
      </c>
      <c r="D110" s="123"/>
      <c r="E110" s="123"/>
      <c r="F110" s="123"/>
      <c r="G110" s="123"/>
      <c r="H110" s="123"/>
      <c r="I110" s="124"/>
      <c r="J110" s="34">
        <v>5</v>
      </c>
      <c r="K110" s="35" t="s">
        <v>51</v>
      </c>
      <c r="L110" s="36"/>
      <c r="M110" s="36"/>
      <c r="N110" s="37"/>
      <c r="O110" s="37"/>
      <c r="P110" s="38"/>
      <c r="Q110" s="125"/>
      <c r="R110" s="142"/>
      <c r="S110" s="142"/>
      <c r="T110" s="142"/>
      <c r="U110" s="142"/>
      <c r="V110" s="142"/>
      <c r="W110" s="142"/>
      <c r="X110" s="142"/>
      <c r="Y110" s="142"/>
      <c r="Z110" s="143"/>
    </row>
    <row r="111" spans="2:28" ht="24" customHeight="1">
      <c r="B111" s="32">
        <f t="shared" si="1"/>
        <v>101</v>
      </c>
      <c r="C111" s="122" t="s">
        <v>102</v>
      </c>
      <c r="D111" s="123"/>
      <c r="E111" s="123"/>
      <c r="F111" s="123"/>
      <c r="G111" s="123"/>
      <c r="H111" s="123"/>
      <c r="I111" s="124"/>
      <c r="J111" s="34">
        <v>6</v>
      </c>
      <c r="K111" s="35" t="s">
        <v>51</v>
      </c>
      <c r="L111" s="36"/>
      <c r="M111" s="36"/>
      <c r="N111" s="37"/>
      <c r="O111" s="37"/>
      <c r="P111" s="38"/>
      <c r="Q111" s="125"/>
      <c r="R111" s="142"/>
      <c r="S111" s="142"/>
      <c r="T111" s="142"/>
      <c r="U111" s="142"/>
      <c r="V111" s="142"/>
      <c r="W111" s="142"/>
      <c r="X111" s="142"/>
      <c r="Y111" s="142"/>
      <c r="Z111" s="143"/>
    </row>
    <row r="112" spans="2:28" ht="24" customHeight="1">
      <c r="B112" s="32">
        <f t="shared" si="1"/>
        <v>102</v>
      </c>
      <c r="C112" s="122" t="s">
        <v>102</v>
      </c>
      <c r="D112" s="123"/>
      <c r="E112" s="123"/>
      <c r="F112" s="123"/>
      <c r="G112" s="123"/>
      <c r="H112" s="123"/>
      <c r="I112" s="124"/>
      <c r="J112" s="34">
        <v>7</v>
      </c>
      <c r="K112" s="35" t="s">
        <v>51</v>
      </c>
      <c r="L112" s="36"/>
      <c r="M112" s="36"/>
      <c r="N112" s="37"/>
      <c r="O112" s="37"/>
      <c r="P112" s="33"/>
      <c r="Q112" s="125"/>
      <c r="R112" s="142"/>
      <c r="S112" s="142"/>
      <c r="T112" s="142"/>
      <c r="U112" s="142"/>
      <c r="V112" s="142"/>
      <c r="W112" s="142"/>
      <c r="X112" s="142"/>
      <c r="Y112" s="142"/>
      <c r="Z112" s="143"/>
    </row>
    <row r="113" spans="2:28" ht="24" customHeight="1">
      <c r="B113" s="32">
        <f t="shared" si="1"/>
        <v>103</v>
      </c>
      <c r="C113" s="122" t="s">
        <v>235</v>
      </c>
      <c r="D113" s="123"/>
      <c r="E113" s="123"/>
      <c r="F113" s="123"/>
      <c r="G113" s="123"/>
      <c r="H113" s="123"/>
      <c r="I113" s="124"/>
      <c r="J113" s="34">
        <v>4</v>
      </c>
      <c r="K113" s="35" t="s">
        <v>51</v>
      </c>
      <c r="L113" s="36"/>
      <c r="M113" s="36"/>
      <c r="N113" s="37"/>
      <c r="O113" s="37"/>
      <c r="P113" s="38"/>
      <c r="Q113" s="125"/>
      <c r="R113" s="142"/>
      <c r="S113" s="142"/>
      <c r="T113" s="142"/>
      <c r="U113" s="142"/>
      <c r="V113" s="142"/>
      <c r="W113" s="142"/>
      <c r="X113" s="142"/>
      <c r="Y113" s="142"/>
      <c r="Z113" s="143"/>
    </row>
    <row r="114" spans="2:28" ht="24" customHeight="1">
      <c r="B114" s="32">
        <f t="shared" si="1"/>
        <v>104</v>
      </c>
      <c r="C114" s="122" t="s">
        <v>236</v>
      </c>
      <c r="D114" s="123"/>
      <c r="E114" s="123"/>
      <c r="F114" s="123"/>
      <c r="G114" s="123"/>
      <c r="H114" s="123"/>
      <c r="I114" s="124"/>
      <c r="J114" s="34">
        <v>10</v>
      </c>
      <c r="K114" s="35" t="s">
        <v>51</v>
      </c>
      <c r="L114" s="36"/>
      <c r="M114" s="36"/>
      <c r="N114" s="37"/>
      <c r="O114" s="37"/>
      <c r="P114" s="38"/>
      <c r="Q114" s="125"/>
      <c r="R114" s="142"/>
      <c r="S114" s="142"/>
      <c r="T114" s="142"/>
      <c r="U114" s="142"/>
      <c r="V114" s="142"/>
      <c r="W114" s="142"/>
      <c r="X114" s="142"/>
      <c r="Y114" s="142"/>
      <c r="Z114" s="143"/>
    </row>
    <row r="115" spans="2:28" ht="24" customHeight="1">
      <c r="B115" s="32">
        <f t="shared" si="1"/>
        <v>105</v>
      </c>
      <c r="C115" s="122" t="s">
        <v>237</v>
      </c>
      <c r="D115" s="123"/>
      <c r="E115" s="123"/>
      <c r="F115" s="123"/>
      <c r="G115" s="123"/>
      <c r="H115" s="123"/>
      <c r="I115" s="124"/>
      <c r="J115" s="34">
        <v>2</v>
      </c>
      <c r="K115" s="35" t="s">
        <v>54</v>
      </c>
      <c r="L115" s="36"/>
      <c r="M115" s="36"/>
      <c r="N115" s="37"/>
      <c r="O115" s="37"/>
      <c r="P115" s="38"/>
      <c r="Q115" s="125"/>
      <c r="R115" s="142"/>
      <c r="S115" s="142"/>
      <c r="T115" s="142"/>
      <c r="U115" s="142"/>
      <c r="V115" s="142"/>
      <c r="W115" s="142"/>
      <c r="X115" s="142"/>
      <c r="Y115" s="142"/>
      <c r="Z115" s="143"/>
    </row>
    <row r="116" spans="2:28" ht="24" customHeight="1">
      <c r="B116" s="32">
        <f t="shared" si="1"/>
        <v>106</v>
      </c>
      <c r="C116" s="122" t="s">
        <v>238</v>
      </c>
      <c r="D116" s="123"/>
      <c r="E116" s="123"/>
      <c r="F116" s="123"/>
      <c r="G116" s="123"/>
      <c r="H116" s="123"/>
      <c r="I116" s="124"/>
      <c r="J116" s="34">
        <v>1</v>
      </c>
      <c r="K116" s="35" t="s">
        <v>51</v>
      </c>
      <c r="L116" s="36"/>
      <c r="M116" s="36"/>
      <c r="N116" s="37"/>
      <c r="O116" s="37"/>
      <c r="P116" s="38"/>
      <c r="Q116" s="125"/>
      <c r="R116" s="142"/>
      <c r="S116" s="142"/>
      <c r="T116" s="142"/>
      <c r="U116" s="142"/>
      <c r="V116" s="142"/>
      <c r="W116" s="142"/>
      <c r="X116" s="142"/>
      <c r="Y116" s="142"/>
      <c r="Z116" s="143"/>
    </row>
    <row r="117" spans="2:28" ht="24" customHeight="1">
      <c r="B117" s="32">
        <f t="shared" si="1"/>
        <v>107</v>
      </c>
      <c r="C117" s="122" t="s">
        <v>239</v>
      </c>
      <c r="D117" s="123"/>
      <c r="E117" s="123"/>
      <c r="F117" s="123"/>
      <c r="G117" s="123"/>
      <c r="H117" s="123"/>
      <c r="I117" s="124"/>
      <c r="J117" s="34">
        <v>1</v>
      </c>
      <c r="K117" s="35" t="s">
        <v>51</v>
      </c>
      <c r="L117" s="36"/>
      <c r="M117" s="36"/>
      <c r="N117" s="37"/>
      <c r="O117" s="37"/>
      <c r="P117" s="33"/>
      <c r="Q117" s="125"/>
      <c r="R117" s="142"/>
      <c r="S117" s="142"/>
      <c r="T117" s="142"/>
      <c r="U117" s="142"/>
      <c r="V117" s="142"/>
      <c r="W117" s="142"/>
      <c r="X117" s="142"/>
      <c r="Y117" s="142"/>
      <c r="Z117" s="143"/>
      <c r="AB117" s="39"/>
    </row>
    <row r="118" spans="2:28" ht="24" customHeight="1">
      <c r="B118" s="32">
        <f t="shared" si="1"/>
        <v>108</v>
      </c>
      <c r="C118" s="122" t="s">
        <v>240</v>
      </c>
      <c r="D118" s="123"/>
      <c r="E118" s="123"/>
      <c r="F118" s="123"/>
      <c r="G118" s="123"/>
      <c r="H118" s="123"/>
      <c r="I118" s="124"/>
      <c r="J118" s="34">
        <v>1</v>
      </c>
      <c r="K118" s="35" t="s">
        <v>51</v>
      </c>
      <c r="L118" s="36"/>
      <c r="M118" s="36"/>
      <c r="N118" s="37"/>
      <c r="O118" s="37"/>
      <c r="P118" s="33"/>
      <c r="Q118" s="125"/>
      <c r="R118" s="142"/>
      <c r="S118" s="142"/>
      <c r="T118" s="142"/>
      <c r="U118" s="142"/>
      <c r="V118" s="142"/>
      <c r="W118" s="142"/>
      <c r="X118" s="142"/>
      <c r="Y118" s="142"/>
      <c r="Z118" s="143"/>
      <c r="AB118" s="39"/>
    </row>
    <row r="119" spans="2:28" ht="24" customHeight="1">
      <c r="B119" s="32">
        <f t="shared" si="1"/>
        <v>109</v>
      </c>
      <c r="C119" s="122" t="s">
        <v>241</v>
      </c>
      <c r="D119" s="123"/>
      <c r="E119" s="123"/>
      <c r="F119" s="123"/>
      <c r="G119" s="123"/>
      <c r="H119" s="123"/>
      <c r="I119" s="124"/>
      <c r="J119" s="34">
        <v>1</v>
      </c>
      <c r="K119" s="35" t="s">
        <v>51</v>
      </c>
      <c r="L119" s="36"/>
      <c r="M119" s="36"/>
      <c r="N119" s="37"/>
      <c r="O119" s="37"/>
      <c r="P119" s="33"/>
      <c r="Q119" s="125"/>
      <c r="R119" s="142"/>
      <c r="S119" s="142"/>
      <c r="T119" s="142"/>
      <c r="U119" s="142"/>
      <c r="V119" s="142"/>
      <c r="W119" s="142"/>
      <c r="X119" s="142"/>
      <c r="Y119" s="142"/>
      <c r="Z119" s="143"/>
    </row>
    <row r="120" spans="2:28" ht="24" customHeight="1">
      <c r="B120" s="32">
        <f t="shared" si="1"/>
        <v>110</v>
      </c>
      <c r="C120" s="122" t="s">
        <v>242</v>
      </c>
      <c r="D120" s="123"/>
      <c r="E120" s="123"/>
      <c r="F120" s="123"/>
      <c r="G120" s="123"/>
      <c r="H120" s="123"/>
      <c r="I120" s="124"/>
      <c r="J120" s="34">
        <v>1</v>
      </c>
      <c r="K120" s="35" t="s">
        <v>51</v>
      </c>
      <c r="L120" s="36"/>
      <c r="M120" s="36"/>
      <c r="N120" s="37"/>
      <c r="O120" s="37"/>
      <c r="P120" s="38"/>
      <c r="Q120" s="125"/>
      <c r="R120" s="142"/>
      <c r="S120" s="142"/>
      <c r="T120" s="142"/>
      <c r="U120" s="142"/>
      <c r="V120" s="142"/>
      <c r="W120" s="142"/>
      <c r="X120" s="142"/>
      <c r="Y120" s="142"/>
      <c r="Z120" s="143"/>
    </row>
    <row r="121" spans="2:28" ht="24" customHeight="1">
      <c r="B121" s="32">
        <f t="shared" si="1"/>
        <v>111</v>
      </c>
      <c r="C121" s="122" t="s">
        <v>243</v>
      </c>
      <c r="D121" s="123"/>
      <c r="E121" s="123"/>
      <c r="F121" s="123"/>
      <c r="G121" s="123"/>
      <c r="H121" s="123"/>
      <c r="I121" s="124"/>
      <c r="J121" s="34">
        <v>1</v>
      </c>
      <c r="K121" s="35" t="s">
        <v>51</v>
      </c>
      <c r="L121" s="36"/>
      <c r="M121" s="36"/>
      <c r="N121" s="37"/>
      <c r="O121" s="37"/>
      <c r="P121" s="38"/>
      <c r="Q121" s="125"/>
      <c r="R121" s="142"/>
      <c r="S121" s="142"/>
      <c r="T121" s="142"/>
      <c r="U121" s="142"/>
      <c r="V121" s="142"/>
      <c r="W121" s="142"/>
      <c r="X121" s="142"/>
      <c r="Y121" s="142"/>
      <c r="Z121" s="143"/>
    </row>
    <row r="122" spans="2:28" ht="24" customHeight="1">
      <c r="B122" s="32">
        <f t="shared" si="1"/>
        <v>112</v>
      </c>
      <c r="C122" s="122" t="s">
        <v>244</v>
      </c>
      <c r="D122" s="123"/>
      <c r="E122" s="123"/>
      <c r="F122" s="123"/>
      <c r="G122" s="123"/>
      <c r="H122" s="123"/>
      <c r="I122" s="124"/>
      <c r="J122" s="34">
        <v>8</v>
      </c>
      <c r="K122" s="35" t="s">
        <v>54</v>
      </c>
      <c r="L122" s="36"/>
      <c r="M122" s="36"/>
      <c r="N122" s="37"/>
      <c r="O122" s="37"/>
      <c r="P122" s="38"/>
      <c r="Q122" s="125"/>
      <c r="R122" s="142"/>
      <c r="S122" s="142"/>
      <c r="T122" s="142"/>
      <c r="U122" s="142"/>
      <c r="V122" s="142"/>
      <c r="W122" s="142"/>
      <c r="X122" s="142"/>
      <c r="Y122" s="142"/>
      <c r="Z122" s="143"/>
    </row>
    <row r="123" spans="2:28" ht="24" customHeight="1">
      <c r="B123" s="32">
        <f t="shared" si="1"/>
        <v>113</v>
      </c>
      <c r="C123" s="122" t="s">
        <v>245</v>
      </c>
      <c r="D123" s="123"/>
      <c r="E123" s="123"/>
      <c r="F123" s="123"/>
      <c r="G123" s="123"/>
      <c r="H123" s="123"/>
      <c r="I123" s="124"/>
      <c r="J123" s="34">
        <v>1</v>
      </c>
      <c r="K123" s="35" t="s">
        <v>51</v>
      </c>
      <c r="L123" s="36"/>
      <c r="M123" s="36"/>
      <c r="N123" s="37"/>
      <c r="O123" s="37"/>
      <c r="P123" s="33"/>
      <c r="Q123" s="125"/>
      <c r="R123" s="142"/>
      <c r="S123" s="142"/>
      <c r="T123" s="142"/>
      <c r="U123" s="142"/>
      <c r="V123" s="142"/>
      <c r="W123" s="142"/>
      <c r="X123" s="142"/>
      <c r="Y123" s="142"/>
      <c r="Z123" s="143"/>
    </row>
    <row r="124" spans="2:28" ht="24" customHeight="1">
      <c r="B124" s="32">
        <f t="shared" si="1"/>
        <v>114</v>
      </c>
      <c r="C124" s="122" t="s">
        <v>246</v>
      </c>
      <c r="D124" s="123"/>
      <c r="E124" s="123"/>
      <c r="F124" s="123"/>
      <c r="G124" s="123"/>
      <c r="H124" s="123"/>
      <c r="I124" s="124"/>
      <c r="J124" s="34">
        <v>1</v>
      </c>
      <c r="K124" s="35" t="s">
        <v>51</v>
      </c>
      <c r="L124" s="36"/>
      <c r="M124" s="36"/>
      <c r="N124" s="37"/>
      <c r="O124" s="37"/>
      <c r="P124" s="38"/>
      <c r="Q124" s="125"/>
      <c r="R124" s="142"/>
      <c r="S124" s="142"/>
      <c r="T124" s="142"/>
      <c r="U124" s="142"/>
      <c r="V124" s="142"/>
      <c r="W124" s="142"/>
      <c r="X124" s="142"/>
      <c r="Y124" s="142"/>
      <c r="Z124" s="143"/>
    </row>
    <row r="125" spans="2:28" ht="24" customHeight="1">
      <c r="B125" s="32">
        <f t="shared" si="1"/>
        <v>115</v>
      </c>
      <c r="C125" s="122" t="s">
        <v>247</v>
      </c>
      <c r="D125" s="123"/>
      <c r="E125" s="123"/>
      <c r="F125" s="123"/>
      <c r="G125" s="123"/>
      <c r="H125" s="123"/>
      <c r="I125" s="124"/>
      <c r="J125" s="34">
        <v>20</v>
      </c>
      <c r="K125" s="35" t="s">
        <v>51</v>
      </c>
      <c r="L125" s="36"/>
      <c r="M125" s="36"/>
      <c r="N125" s="37"/>
      <c r="O125" s="37"/>
      <c r="P125" s="38"/>
      <c r="Q125" s="125"/>
      <c r="R125" s="142"/>
      <c r="S125" s="142"/>
      <c r="T125" s="142"/>
      <c r="U125" s="142"/>
      <c r="V125" s="142"/>
      <c r="W125" s="142"/>
      <c r="X125" s="142"/>
      <c r="Y125" s="142"/>
      <c r="Z125" s="143"/>
    </row>
    <row r="126" spans="2:28" ht="24" customHeight="1">
      <c r="B126" s="32">
        <f t="shared" si="1"/>
        <v>116</v>
      </c>
      <c r="C126" s="122" t="s">
        <v>248</v>
      </c>
      <c r="D126" s="123"/>
      <c r="E126" s="123"/>
      <c r="F126" s="123"/>
      <c r="G126" s="123"/>
      <c r="H126" s="123"/>
      <c r="I126" s="124"/>
      <c r="J126" s="34">
        <v>20</v>
      </c>
      <c r="K126" s="35" t="s">
        <v>51</v>
      </c>
      <c r="L126" s="36"/>
      <c r="M126" s="36"/>
      <c r="N126" s="37"/>
      <c r="O126" s="37"/>
      <c r="P126" s="38"/>
      <c r="Q126" s="125"/>
      <c r="R126" s="142"/>
      <c r="S126" s="142"/>
      <c r="T126" s="142"/>
      <c r="U126" s="142"/>
      <c r="V126" s="142"/>
      <c r="W126" s="142"/>
      <c r="X126" s="142"/>
      <c r="Y126" s="142"/>
      <c r="Z126" s="143"/>
    </row>
    <row r="127" spans="2:28" ht="24" customHeight="1">
      <c r="B127" s="32">
        <f t="shared" si="1"/>
        <v>117</v>
      </c>
      <c r="C127" s="122" t="s">
        <v>249</v>
      </c>
      <c r="D127" s="123"/>
      <c r="E127" s="123"/>
      <c r="F127" s="123"/>
      <c r="G127" s="123"/>
      <c r="H127" s="123"/>
      <c r="I127" s="124"/>
      <c r="J127" s="34">
        <v>1</v>
      </c>
      <c r="K127" s="35" t="s">
        <v>51</v>
      </c>
      <c r="L127" s="36"/>
      <c r="M127" s="36"/>
      <c r="N127" s="37"/>
      <c r="O127" s="37"/>
      <c r="P127" s="33"/>
      <c r="Q127" s="125" t="s">
        <v>250</v>
      </c>
      <c r="R127" s="142"/>
      <c r="S127" s="142"/>
      <c r="T127" s="142"/>
      <c r="U127" s="142"/>
      <c r="V127" s="142"/>
      <c r="W127" s="142"/>
      <c r="X127" s="142"/>
      <c r="Y127" s="142"/>
      <c r="Z127" s="143"/>
    </row>
    <row r="128" spans="2:28" ht="29.25" customHeight="1">
      <c r="B128" s="32">
        <f t="shared" si="1"/>
        <v>118</v>
      </c>
      <c r="C128" s="122" t="s">
        <v>251</v>
      </c>
      <c r="D128" s="123"/>
      <c r="E128" s="123"/>
      <c r="F128" s="123"/>
      <c r="G128" s="123"/>
      <c r="H128" s="123"/>
      <c r="I128" s="124"/>
      <c r="J128" s="34">
        <v>1</v>
      </c>
      <c r="K128" s="35" t="s">
        <v>51</v>
      </c>
      <c r="L128" s="36"/>
      <c r="M128" s="36"/>
      <c r="N128" s="37"/>
      <c r="O128" s="37"/>
      <c r="P128" s="33"/>
      <c r="Q128" s="125"/>
      <c r="R128" s="142"/>
      <c r="S128" s="142"/>
      <c r="T128" s="142"/>
      <c r="U128" s="142"/>
      <c r="V128" s="142"/>
      <c r="W128" s="142"/>
      <c r="X128" s="142"/>
      <c r="Y128" s="142"/>
      <c r="Z128" s="143"/>
      <c r="AB128" s="39"/>
    </row>
    <row r="129" spans="2:28" ht="24" customHeight="1">
      <c r="B129" s="32">
        <f t="shared" si="1"/>
        <v>119</v>
      </c>
      <c r="C129" s="122" t="s">
        <v>252</v>
      </c>
      <c r="D129" s="123"/>
      <c r="E129" s="123"/>
      <c r="F129" s="123"/>
      <c r="G129" s="123"/>
      <c r="H129" s="123"/>
      <c r="I129" s="124"/>
      <c r="J129" s="34">
        <v>4</v>
      </c>
      <c r="K129" s="35" t="s">
        <v>51</v>
      </c>
      <c r="L129" s="36"/>
      <c r="M129" s="36"/>
      <c r="N129" s="37"/>
      <c r="O129" s="37"/>
      <c r="P129" s="33"/>
      <c r="Q129" s="125"/>
      <c r="R129" s="142"/>
      <c r="S129" s="142"/>
      <c r="T129" s="142"/>
      <c r="U129" s="142"/>
      <c r="V129" s="142"/>
      <c r="W129" s="142"/>
      <c r="X129" s="142"/>
      <c r="Y129" s="142"/>
      <c r="Z129" s="143"/>
      <c r="AB129" s="39"/>
    </row>
    <row r="130" spans="2:28" ht="24" customHeight="1">
      <c r="B130" s="32">
        <f t="shared" si="1"/>
        <v>120</v>
      </c>
      <c r="C130" s="122" t="s">
        <v>102</v>
      </c>
      <c r="D130" s="123"/>
      <c r="E130" s="123"/>
      <c r="F130" s="123"/>
      <c r="G130" s="123"/>
      <c r="H130" s="123"/>
      <c r="I130" s="124"/>
      <c r="J130" s="34">
        <v>9</v>
      </c>
      <c r="K130" s="35" t="s">
        <v>51</v>
      </c>
      <c r="L130" s="36"/>
      <c r="M130" s="36"/>
      <c r="N130" s="37"/>
      <c r="O130" s="37"/>
      <c r="P130" s="38"/>
      <c r="Q130" s="125"/>
      <c r="R130" s="142"/>
      <c r="S130" s="142"/>
      <c r="T130" s="142"/>
      <c r="U130" s="142"/>
      <c r="V130" s="142"/>
      <c r="W130" s="142"/>
      <c r="X130" s="142"/>
      <c r="Y130" s="142"/>
      <c r="Z130" s="143"/>
    </row>
    <row r="131" spans="2:28" ht="24" customHeight="1">
      <c r="B131" s="32">
        <f t="shared" si="1"/>
        <v>121</v>
      </c>
      <c r="C131" s="122" t="s">
        <v>102</v>
      </c>
      <c r="D131" s="123"/>
      <c r="E131" s="123"/>
      <c r="F131" s="123"/>
      <c r="G131" s="123"/>
      <c r="H131" s="123"/>
      <c r="I131" s="124"/>
      <c r="J131" s="34">
        <v>7</v>
      </c>
      <c r="K131" s="35" t="s">
        <v>51</v>
      </c>
      <c r="L131" s="36"/>
      <c r="M131" s="36"/>
      <c r="N131" s="37"/>
      <c r="O131" s="37"/>
      <c r="P131" s="38"/>
      <c r="Q131" s="125"/>
      <c r="R131" s="142"/>
      <c r="S131" s="142"/>
      <c r="T131" s="142"/>
      <c r="U131" s="142"/>
      <c r="V131" s="142"/>
      <c r="W131" s="142"/>
      <c r="X131" s="142"/>
      <c r="Y131" s="142"/>
      <c r="Z131" s="143"/>
    </row>
    <row r="132" spans="2:28" ht="24" customHeight="1">
      <c r="B132" s="32">
        <f t="shared" si="1"/>
        <v>122</v>
      </c>
      <c r="C132" s="122" t="s">
        <v>102</v>
      </c>
      <c r="D132" s="123"/>
      <c r="E132" s="123"/>
      <c r="F132" s="123"/>
      <c r="G132" s="123"/>
      <c r="H132" s="123"/>
      <c r="I132" s="124"/>
      <c r="J132" s="34">
        <v>7</v>
      </c>
      <c r="K132" s="35" t="s">
        <v>51</v>
      </c>
      <c r="L132" s="36"/>
      <c r="M132" s="36"/>
      <c r="N132" s="37"/>
      <c r="O132" s="37"/>
      <c r="P132" s="38"/>
      <c r="Q132" s="125"/>
      <c r="R132" s="142"/>
      <c r="S132" s="142"/>
      <c r="T132" s="142"/>
      <c r="U132" s="142"/>
      <c r="V132" s="142"/>
      <c r="W132" s="142"/>
      <c r="X132" s="142"/>
      <c r="Y132" s="142"/>
      <c r="Z132" s="143"/>
    </row>
    <row r="133" spans="2:28" ht="24" customHeight="1">
      <c r="B133" s="32">
        <f t="shared" si="1"/>
        <v>123</v>
      </c>
      <c r="C133" s="122" t="s">
        <v>253</v>
      </c>
      <c r="D133" s="123"/>
      <c r="E133" s="123"/>
      <c r="F133" s="123"/>
      <c r="G133" s="123"/>
      <c r="H133" s="123"/>
      <c r="I133" s="124"/>
      <c r="J133" s="34">
        <v>2</v>
      </c>
      <c r="K133" s="35" t="s">
        <v>54</v>
      </c>
      <c r="L133" s="36"/>
      <c r="M133" s="36"/>
      <c r="N133" s="37"/>
      <c r="O133" s="37"/>
      <c r="P133" s="33"/>
      <c r="Q133" s="125" t="s">
        <v>254</v>
      </c>
      <c r="R133" s="142"/>
      <c r="S133" s="142"/>
      <c r="T133" s="142"/>
      <c r="U133" s="142"/>
      <c r="V133" s="142"/>
      <c r="W133" s="142"/>
      <c r="X133" s="142"/>
      <c r="Y133" s="142"/>
      <c r="Z133" s="143"/>
    </row>
    <row r="134" spans="2:28" ht="24" customHeight="1">
      <c r="B134" s="32">
        <f t="shared" si="1"/>
        <v>124</v>
      </c>
      <c r="C134" s="122" t="s">
        <v>255</v>
      </c>
      <c r="D134" s="123"/>
      <c r="E134" s="123"/>
      <c r="F134" s="123"/>
      <c r="G134" s="123"/>
      <c r="H134" s="123"/>
      <c r="I134" s="124"/>
      <c r="J134" s="34">
        <v>2</v>
      </c>
      <c r="K134" s="35" t="s">
        <v>54</v>
      </c>
      <c r="L134" s="36"/>
      <c r="M134" s="36"/>
      <c r="N134" s="37"/>
      <c r="O134" s="37"/>
      <c r="P134" s="38"/>
      <c r="Q134" s="125" t="s">
        <v>254</v>
      </c>
      <c r="R134" s="142"/>
      <c r="S134" s="142"/>
      <c r="T134" s="142"/>
      <c r="U134" s="142"/>
      <c r="V134" s="142"/>
      <c r="W134" s="142"/>
      <c r="X134" s="142"/>
      <c r="Y134" s="142"/>
      <c r="Z134" s="143"/>
    </row>
    <row r="135" spans="2:28" ht="24" customHeight="1">
      <c r="B135" s="32">
        <f t="shared" si="1"/>
        <v>125</v>
      </c>
      <c r="C135" s="122" t="s">
        <v>256</v>
      </c>
      <c r="D135" s="123"/>
      <c r="E135" s="123"/>
      <c r="F135" s="123"/>
      <c r="G135" s="123"/>
      <c r="H135" s="123"/>
      <c r="I135" s="124"/>
      <c r="J135" s="34">
        <v>2</v>
      </c>
      <c r="K135" s="35" t="s">
        <v>54</v>
      </c>
      <c r="L135" s="36"/>
      <c r="M135" s="36"/>
      <c r="N135" s="37"/>
      <c r="O135" s="37"/>
      <c r="P135" s="38"/>
      <c r="Q135" s="125" t="s">
        <v>254</v>
      </c>
      <c r="R135" s="142"/>
      <c r="S135" s="142"/>
      <c r="T135" s="142"/>
      <c r="U135" s="142"/>
      <c r="V135" s="142"/>
      <c r="W135" s="142"/>
      <c r="X135" s="142"/>
      <c r="Y135" s="142"/>
      <c r="Z135" s="143"/>
    </row>
    <row r="136" spans="2:28" ht="36" customHeight="1">
      <c r="B136" s="32">
        <f t="shared" si="1"/>
        <v>126</v>
      </c>
      <c r="C136" s="122" t="s">
        <v>257</v>
      </c>
      <c r="D136" s="123"/>
      <c r="E136" s="123"/>
      <c r="F136" s="123"/>
      <c r="G136" s="123"/>
      <c r="H136" s="123"/>
      <c r="I136" s="124"/>
      <c r="J136" s="34">
        <v>4</v>
      </c>
      <c r="K136" s="35" t="s">
        <v>54</v>
      </c>
      <c r="L136" s="36"/>
      <c r="M136" s="36"/>
      <c r="N136" s="37"/>
      <c r="O136" s="37"/>
      <c r="P136" s="38"/>
      <c r="Q136" s="125"/>
      <c r="R136" s="142"/>
      <c r="S136" s="142"/>
      <c r="T136" s="142"/>
      <c r="U136" s="142"/>
      <c r="V136" s="142"/>
      <c r="W136" s="142"/>
      <c r="X136" s="142"/>
      <c r="Y136" s="142"/>
      <c r="Z136" s="143"/>
    </row>
    <row r="137" spans="2:28" ht="24" customHeight="1">
      <c r="B137" s="32">
        <f t="shared" si="1"/>
        <v>127</v>
      </c>
      <c r="C137" s="122" t="s">
        <v>258</v>
      </c>
      <c r="D137" s="123"/>
      <c r="E137" s="123"/>
      <c r="F137" s="123"/>
      <c r="G137" s="123"/>
      <c r="H137" s="123"/>
      <c r="I137" s="124"/>
      <c r="J137" s="34">
        <v>3</v>
      </c>
      <c r="K137" s="35" t="s">
        <v>54</v>
      </c>
      <c r="L137" s="36"/>
      <c r="M137" s="36"/>
      <c r="N137" s="37"/>
      <c r="O137" s="37"/>
      <c r="P137" s="38"/>
      <c r="Q137" s="125"/>
      <c r="R137" s="142"/>
      <c r="S137" s="142"/>
      <c r="T137" s="142"/>
      <c r="U137" s="142"/>
      <c r="V137" s="142"/>
      <c r="W137" s="142"/>
      <c r="X137" s="142"/>
      <c r="Y137" s="142"/>
      <c r="Z137" s="143"/>
    </row>
    <row r="138" spans="2:28" ht="24" customHeight="1">
      <c r="B138" s="32">
        <f t="shared" si="1"/>
        <v>128</v>
      </c>
      <c r="C138" s="122" t="s">
        <v>259</v>
      </c>
      <c r="D138" s="123"/>
      <c r="E138" s="123"/>
      <c r="F138" s="123"/>
      <c r="G138" s="123"/>
      <c r="H138" s="123"/>
      <c r="I138" s="124"/>
      <c r="J138" s="34">
        <v>1</v>
      </c>
      <c r="K138" s="35" t="s">
        <v>51</v>
      </c>
      <c r="L138" s="36"/>
      <c r="M138" s="36"/>
      <c r="N138" s="37"/>
      <c r="O138" s="37"/>
      <c r="P138" s="33"/>
      <c r="Q138" s="125"/>
      <c r="R138" s="142"/>
      <c r="S138" s="142"/>
      <c r="T138" s="142"/>
      <c r="U138" s="142"/>
      <c r="V138" s="142"/>
      <c r="W138" s="142"/>
      <c r="X138" s="142"/>
      <c r="Y138" s="142"/>
      <c r="Z138" s="143"/>
    </row>
    <row r="139" spans="2:28" ht="24" customHeight="1">
      <c r="B139" s="32">
        <f t="shared" ref="B139:B193" si="2">B138+1</f>
        <v>129</v>
      </c>
      <c r="C139" s="122" t="s">
        <v>260</v>
      </c>
      <c r="D139" s="123"/>
      <c r="E139" s="123"/>
      <c r="F139" s="123"/>
      <c r="G139" s="123"/>
      <c r="H139" s="123"/>
      <c r="I139" s="124"/>
      <c r="J139" s="34">
        <v>1</v>
      </c>
      <c r="K139" s="35" t="s">
        <v>51</v>
      </c>
      <c r="L139" s="36"/>
      <c r="M139" s="36"/>
      <c r="N139" s="37"/>
      <c r="O139" s="37"/>
      <c r="P139" s="33"/>
      <c r="Q139" s="125"/>
      <c r="R139" s="142"/>
      <c r="S139" s="142"/>
      <c r="T139" s="142"/>
      <c r="U139" s="142"/>
      <c r="V139" s="142"/>
      <c r="W139" s="142"/>
      <c r="X139" s="142"/>
      <c r="Y139" s="142"/>
      <c r="Z139" s="143"/>
      <c r="AB139" s="39"/>
    </row>
    <row r="140" spans="2:28" ht="24" customHeight="1">
      <c r="B140" s="32">
        <f t="shared" si="2"/>
        <v>130</v>
      </c>
      <c r="C140" s="122" t="s">
        <v>261</v>
      </c>
      <c r="D140" s="123"/>
      <c r="E140" s="123"/>
      <c r="F140" s="123"/>
      <c r="G140" s="123"/>
      <c r="H140" s="123"/>
      <c r="I140" s="124"/>
      <c r="J140" s="34">
        <v>2</v>
      </c>
      <c r="K140" s="35" t="s">
        <v>51</v>
      </c>
      <c r="L140" s="36"/>
      <c r="M140" s="36"/>
      <c r="N140" s="37"/>
      <c r="O140" s="37"/>
      <c r="P140" s="33"/>
      <c r="Q140" s="125"/>
      <c r="R140" s="142"/>
      <c r="S140" s="142"/>
      <c r="T140" s="142"/>
      <c r="U140" s="142"/>
      <c r="V140" s="142"/>
      <c r="W140" s="142"/>
      <c r="X140" s="142"/>
      <c r="Y140" s="142"/>
      <c r="Z140" s="143"/>
      <c r="AB140" s="39"/>
    </row>
    <row r="141" spans="2:28" ht="24" customHeight="1">
      <c r="B141" s="32">
        <f t="shared" si="2"/>
        <v>131</v>
      </c>
      <c r="C141" s="122" t="s">
        <v>262</v>
      </c>
      <c r="D141" s="123"/>
      <c r="E141" s="123"/>
      <c r="F141" s="123"/>
      <c r="G141" s="123"/>
      <c r="H141" s="123"/>
      <c r="I141" s="124"/>
      <c r="J141" s="34">
        <v>1</v>
      </c>
      <c r="K141" s="35" t="s">
        <v>51</v>
      </c>
      <c r="L141" s="36"/>
      <c r="M141" s="36"/>
      <c r="N141" s="37"/>
      <c r="O141" s="37"/>
      <c r="P141" s="38"/>
      <c r="Q141" s="125"/>
      <c r="R141" s="142"/>
      <c r="S141" s="142"/>
      <c r="T141" s="142"/>
      <c r="U141" s="142"/>
      <c r="V141" s="142"/>
      <c r="W141" s="142"/>
      <c r="X141" s="142"/>
      <c r="Y141" s="142"/>
      <c r="Z141" s="143"/>
    </row>
    <row r="142" spans="2:28" ht="24" customHeight="1">
      <c r="B142" s="32">
        <f t="shared" si="2"/>
        <v>132</v>
      </c>
      <c r="C142" s="122" t="s">
        <v>263</v>
      </c>
      <c r="D142" s="123"/>
      <c r="E142" s="123"/>
      <c r="F142" s="123"/>
      <c r="G142" s="123"/>
      <c r="H142" s="123"/>
      <c r="I142" s="124"/>
      <c r="J142" s="34">
        <v>4</v>
      </c>
      <c r="K142" s="35" t="s">
        <v>51</v>
      </c>
      <c r="L142" s="36"/>
      <c r="M142" s="36"/>
      <c r="N142" s="37"/>
      <c r="O142" s="37"/>
      <c r="P142" s="38"/>
      <c r="Q142" s="125"/>
      <c r="R142" s="142"/>
      <c r="S142" s="142"/>
      <c r="T142" s="142"/>
      <c r="U142" s="142"/>
      <c r="V142" s="142"/>
      <c r="W142" s="142"/>
      <c r="X142" s="142"/>
      <c r="Y142" s="142"/>
      <c r="Z142" s="143"/>
    </row>
    <row r="143" spans="2:28" ht="24" customHeight="1">
      <c r="B143" s="32">
        <f t="shared" si="2"/>
        <v>133</v>
      </c>
      <c r="C143" s="122" t="s">
        <v>264</v>
      </c>
      <c r="D143" s="123"/>
      <c r="E143" s="123"/>
      <c r="F143" s="123"/>
      <c r="G143" s="123"/>
      <c r="H143" s="123"/>
      <c r="I143" s="124"/>
      <c r="J143" s="34">
        <v>2</v>
      </c>
      <c r="K143" s="35" t="s">
        <v>51</v>
      </c>
      <c r="L143" s="36"/>
      <c r="M143" s="36"/>
      <c r="N143" s="37"/>
      <c r="O143" s="37"/>
      <c r="P143" s="33"/>
      <c r="Q143" s="125"/>
      <c r="R143" s="142"/>
      <c r="S143" s="142"/>
      <c r="T143" s="142"/>
      <c r="U143" s="142"/>
      <c r="V143" s="142"/>
      <c r="W143" s="142"/>
      <c r="X143" s="142"/>
      <c r="Y143" s="142"/>
      <c r="Z143" s="143"/>
    </row>
    <row r="144" spans="2:28" ht="24" customHeight="1">
      <c r="B144" s="32">
        <f t="shared" si="2"/>
        <v>134</v>
      </c>
      <c r="C144" s="122" t="s">
        <v>265</v>
      </c>
      <c r="D144" s="123"/>
      <c r="E144" s="123"/>
      <c r="F144" s="123"/>
      <c r="G144" s="123"/>
      <c r="H144" s="123"/>
      <c r="I144" s="124"/>
      <c r="J144" s="34">
        <v>6</v>
      </c>
      <c r="K144" s="35" t="s">
        <v>51</v>
      </c>
      <c r="L144" s="36"/>
      <c r="M144" s="36"/>
      <c r="N144" s="37"/>
      <c r="O144" s="37"/>
      <c r="P144" s="38"/>
      <c r="Q144" s="125"/>
      <c r="R144" s="142"/>
      <c r="S144" s="142"/>
      <c r="T144" s="142"/>
      <c r="U144" s="142"/>
      <c r="V144" s="142"/>
      <c r="W144" s="142"/>
      <c r="X144" s="142"/>
      <c r="Y144" s="142"/>
      <c r="Z144" s="143"/>
    </row>
    <row r="145" spans="2:28" ht="24" customHeight="1">
      <c r="B145" s="32">
        <f t="shared" si="2"/>
        <v>135</v>
      </c>
      <c r="C145" s="122" t="s">
        <v>266</v>
      </c>
      <c r="D145" s="123"/>
      <c r="E145" s="123"/>
      <c r="F145" s="123"/>
      <c r="G145" s="123"/>
      <c r="H145" s="123"/>
      <c r="I145" s="124"/>
      <c r="J145" s="34">
        <v>2</v>
      </c>
      <c r="K145" s="35" t="s">
        <v>51</v>
      </c>
      <c r="L145" s="36"/>
      <c r="M145" s="36"/>
      <c r="N145" s="37"/>
      <c r="O145" s="37"/>
      <c r="P145" s="38"/>
      <c r="Q145" s="125"/>
      <c r="R145" s="142"/>
      <c r="S145" s="142"/>
      <c r="T145" s="142"/>
      <c r="U145" s="142"/>
      <c r="V145" s="142"/>
      <c r="W145" s="142"/>
      <c r="X145" s="142"/>
      <c r="Y145" s="142"/>
      <c r="Z145" s="143"/>
    </row>
    <row r="146" spans="2:28" ht="24" customHeight="1">
      <c r="B146" s="32">
        <f t="shared" si="2"/>
        <v>136</v>
      </c>
      <c r="C146" s="122" t="s">
        <v>267</v>
      </c>
      <c r="D146" s="123"/>
      <c r="E146" s="123"/>
      <c r="F146" s="123"/>
      <c r="G146" s="123"/>
      <c r="H146" s="123"/>
      <c r="I146" s="124"/>
      <c r="J146" s="34">
        <v>1</v>
      </c>
      <c r="K146" s="35" t="s">
        <v>51</v>
      </c>
      <c r="L146" s="36"/>
      <c r="M146" s="36"/>
      <c r="N146" s="37"/>
      <c r="O146" s="37"/>
      <c r="P146" s="38"/>
      <c r="Q146" s="125"/>
      <c r="R146" s="142"/>
      <c r="S146" s="142"/>
      <c r="T146" s="142"/>
      <c r="U146" s="142"/>
      <c r="V146" s="142"/>
      <c r="W146" s="142"/>
      <c r="X146" s="142"/>
      <c r="Y146" s="142"/>
      <c r="Z146" s="143"/>
    </row>
    <row r="147" spans="2:28" ht="24" customHeight="1">
      <c r="B147" s="32">
        <f t="shared" si="2"/>
        <v>137</v>
      </c>
      <c r="C147" s="122" t="s">
        <v>268</v>
      </c>
      <c r="D147" s="123"/>
      <c r="E147" s="123"/>
      <c r="F147" s="123"/>
      <c r="G147" s="123"/>
      <c r="H147" s="123"/>
      <c r="I147" s="124"/>
      <c r="J147" s="34">
        <v>1</v>
      </c>
      <c r="K147" s="35" t="s">
        <v>51</v>
      </c>
      <c r="L147" s="36"/>
      <c r="M147" s="36"/>
      <c r="N147" s="37"/>
      <c r="O147" s="37"/>
      <c r="P147" s="38"/>
      <c r="Q147" s="125"/>
      <c r="R147" s="142"/>
      <c r="S147" s="142"/>
      <c r="T147" s="142"/>
      <c r="U147" s="142"/>
      <c r="V147" s="142"/>
      <c r="W147" s="142"/>
      <c r="X147" s="142"/>
      <c r="Y147" s="142"/>
      <c r="Z147" s="143"/>
    </row>
    <row r="148" spans="2:28" ht="24" customHeight="1">
      <c r="B148" s="32">
        <f t="shared" si="2"/>
        <v>138</v>
      </c>
      <c r="C148" s="122" t="s">
        <v>269</v>
      </c>
      <c r="D148" s="123"/>
      <c r="E148" s="123"/>
      <c r="F148" s="123"/>
      <c r="G148" s="123"/>
      <c r="H148" s="123"/>
      <c r="I148" s="124"/>
      <c r="J148" s="34">
        <v>1</v>
      </c>
      <c r="K148" s="35" t="s">
        <v>51</v>
      </c>
      <c r="L148" s="36"/>
      <c r="M148" s="36"/>
      <c r="N148" s="37"/>
      <c r="O148" s="37"/>
      <c r="P148" s="33"/>
      <c r="Q148" s="125"/>
      <c r="R148" s="142"/>
      <c r="S148" s="142"/>
      <c r="T148" s="142"/>
      <c r="U148" s="142"/>
      <c r="V148" s="142"/>
      <c r="W148" s="142"/>
      <c r="X148" s="142"/>
      <c r="Y148" s="142"/>
      <c r="Z148" s="143"/>
    </row>
    <row r="149" spans="2:28" ht="24" customHeight="1">
      <c r="B149" s="32">
        <f t="shared" si="2"/>
        <v>139</v>
      </c>
      <c r="C149" s="122" t="s">
        <v>270</v>
      </c>
      <c r="D149" s="123"/>
      <c r="E149" s="123"/>
      <c r="F149" s="123"/>
      <c r="G149" s="123"/>
      <c r="H149" s="123"/>
      <c r="I149" s="124"/>
      <c r="J149" s="34">
        <v>1</v>
      </c>
      <c r="K149" s="35" t="s">
        <v>51</v>
      </c>
      <c r="L149" s="36"/>
      <c r="M149" s="36"/>
      <c r="N149" s="37"/>
      <c r="O149" s="37"/>
      <c r="P149" s="33"/>
      <c r="Q149" s="125"/>
      <c r="R149" s="142"/>
      <c r="S149" s="142"/>
      <c r="T149" s="142"/>
      <c r="U149" s="142"/>
      <c r="V149" s="142"/>
      <c r="W149" s="142"/>
      <c r="X149" s="142"/>
      <c r="Y149" s="142"/>
      <c r="Z149" s="143"/>
    </row>
    <row r="150" spans="2:28" ht="24" customHeight="1">
      <c r="B150" s="32">
        <f t="shared" si="2"/>
        <v>140</v>
      </c>
      <c r="C150" s="122" t="s">
        <v>271</v>
      </c>
      <c r="D150" s="123"/>
      <c r="E150" s="123"/>
      <c r="F150" s="123"/>
      <c r="G150" s="123"/>
      <c r="H150" s="123"/>
      <c r="I150" s="124"/>
      <c r="J150" s="34">
        <v>1</v>
      </c>
      <c r="K150" s="35" t="s">
        <v>51</v>
      </c>
      <c r="L150" s="36"/>
      <c r="M150" s="36"/>
      <c r="N150" s="37"/>
      <c r="O150" s="37"/>
      <c r="P150" s="33"/>
      <c r="Q150" s="125"/>
      <c r="R150" s="142"/>
      <c r="S150" s="142"/>
      <c r="T150" s="142"/>
      <c r="U150" s="142"/>
      <c r="V150" s="142"/>
      <c r="W150" s="142"/>
      <c r="X150" s="142"/>
      <c r="Y150" s="142"/>
      <c r="Z150" s="143"/>
      <c r="AB150" s="39"/>
    </row>
    <row r="151" spans="2:28" ht="24" customHeight="1">
      <c r="B151" s="32">
        <f t="shared" si="2"/>
        <v>141</v>
      </c>
      <c r="C151" s="122" t="s">
        <v>272</v>
      </c>
      <c r="D151" s="123"/>
      <c r="E151" s="123"/>
      <c r="F151" s="123"/>
      <c r="G151" s="123"/>
      <c r="H151" s="123"/>
      <c r="I151" s="124"/>
      <c r="J151" s="34">
        <v>1</v>
      </c>
      <c r="K151" s="35" t="s">
        <v>51</v>
      </c>
      <c r="L151" s="36"/>
      <c r="M151" s="36"/>
      <c r="N151" s="37"/>
      <c r="O151" s="37"/>
      <c r="P151" s="33"/>
      <c r="Q151" s="125"/>
      <c r="R151" s="142"/>
      <c r="S151" s="142"/>
      <c r="T151" s="142"/>
      <c r="U151" s="142"/>
      <c r="V151" s="142"/>
      <c r="W151" s="142"/>
      <c r="X151" s="142"/>
      <c r="Y151" s="142"/>
      <c r="Z151" s="143"/>
      <c r="AB151" s="39"/>
    </row>
    <row r="152" spans="2:28" ht="24" customHeight="1">
      <c r="B152" s="32">
        <f t="shared" si="2"/>
        <v>142</v>
      </c>
      <c r="C152" s="122" t="s">
        <v>273</v>
      </c>
      <c r="D152" s="123"/>
      <c r="E152" s="123"/>
      <c r="F152" s="123"/>
      <c r="G152" s="123"/>
      <c r="H152" s="123"/>
      <c r="I152" s="124"/>
      <c r="J152" s="34">
        <v>1</v>
      </c>
      <c r="K152" s="35" t="s">
        <v>51</v>
      </c>
      <c r="L152" s="36"/>
      <c r="M152" s="36"/>
      <c r="N152" s="37"/>
      <c r="O152" s="37"/>
      <c r="P152" s="38"/>
      <c r="Q152" s="125"/>
      <c r="R152" s="142"/>
      <c r="S152" s="142"/>
      <c r="T152" s="142"/>
      <c r="U152" s="142"/>
      <c r="V152" s="142"/>
      <c r="W152" s="142"/>
      <c r="X152" s="142"/>
      <c r="Y152" s="142"/>
      <c r="Z152" s="143"/>
    </row>
    <row r="153" spans="2:28" ht="24" customHeight="1">
      <c r="B153" s="32">
        <f t="shared" si="2"/>
        <v>143</v>
      </c>
      <c r="C153" s="122" t="s">
        <v>274</v>
      </c>
      <c r="D153" s="123"/>
      <c r="E153" s="123"/>
      <c r="F153" s="123"/>
      <c r="G153" s="123"/>
      <c r="H153" s="123"/>
      <c r="I153" s="124"/>
      <c r="J153" s="34">
        <v>1</v>
      </c>
      <c r="K153" s="35" t="s">
        <v>51</v>
      </c>
      <c r="L153" s="36"/>
      <c r="M153" s="36"/>
      <c r="N153" s="37"/>
      <c r="O153" s="37"/>
      <c r="P153" s="38"/>
      <c r="Q153" s="125"/>
      <c r="R153" s="142"/>
      <c r="S153" s="142"/>
      <c r="T153" s="142"/>
      <c r="U153" s="142"/>
      <c r="V153" s="142"/>
      <c r="W153" s="142"/>
      <c r="X153" s="142"/>
      <c r="Y153" s="142"/>
      <c r="Z153" s="143"/>
    </row>
    <row r="154" spans="2:28" ht="24" customHeight="1">
      <c r="B154" s="32">
        <f t="shared" si="2"/>
        <v>144</v>
      </c>
      <c r="C154" s="122" t="s">
        <v>275</v>
      </c>
      <c r="D154" s="123"/>
      <c r="E154" s="123"/>
      <c r="F154" s="123"/>
      <c r="G154" s="123"/>
      <c r="H154" s="123"/>
      <c r="I154" s="124"/>
      <c r="J154" s="34">
        <v>1</v>
      </c>
      <c r="K154" s="35" t="s">
        <v>51</v>
      </c>
      <c r="L154" s="36"/>
      <c r="M154" s="36"/>
      <c r="N154" s="37"/>
      <c r="O154" s="37"/>
      <c r="P154" s="38"/>
      <c r="Q154" s="125"/>
      <c r="R154" s="142"/>
      <c r="S154" s="142"/>
      <c r="T154" s="142"/>
      <c r="U154" s="142"/>
      <c r="V154" s="142"/>
      <c r="W154" s="142"/>
      <c r="X154" s="142"/>
      <c r="Y154" s="142"/>
      <c r="Z154" s="143"/>
    </row>
    <row r="155" spans="2:28" ht="24" customHeight="1">
      <c r="B155" s="32">
        <f t="shared" si="2"/>
        <v>145</v>
      </c>
      <c r="C155" s="122" t="s">
        <v>276</v>
      </c>
      <c r="D155" s="123"/>
      <c r="E155" s="123"/>
      <c r="F155" s="123"/>
      <c r="G155" s="123"/>
      <c r="H155" s="123"/>
      <c r="I155" s="124"/>
      <c r="J155" s="34">
        <v>1</v>
      </c>
      <c r="K155" s="35" t="s">
        <v>51</v>
      </c>
      <c r="L155" s="36"/>
      <c r="M155" s="36"/>
      <c r="N155" s="37"/>
      <c r="O155" s="37"/>
      <c r="P155" s="33"/>
      <c r="Q155" s="125" t="s">
        <v>277</v>
      </c>
      <c r="R155" s="142"/>
      <c r="S155" s="142"/>
      <c r="T155" s="142"/>
      <c r="U155" s="142"/>
      <c r="V155" s="142"/>
      <c r="W155" s="142"/>
      <c r="X155" s="142"/>
      <c r="Y155" s="142"/>
      <c r="Z155" s="143"/>
    </row>
    <row r="156" spans="2:28" ht="26.45" customHeight="1">
      <c r="B156" s="32">
        <f t="shared" si="2"/>
        <v>146</v>
      </c>
      <c r="C156" s="122" t="s">
        <v>278</v>
      </c>
      <c r="D156" s="123"/>
      <c r="E156" s="123"/>
      <c r="F156" s="123"/>
      <c r="G156" s="123"/>
      <c r="H156" s="123"/>
      <c r="I156" s="124"/>
      <c r="J156" s="34">
        <v>3</v>
      </c>
      <c r="K156" s="35" t="s">
        <v>51</v>
      </c>
      <c r="L156" s="36"/>
      <c r="M156" s="36"/>
      <c r="N156" s="37"/>
      <c r="O156" s="37"/>
      <c r="P156" s="38"/>
      <c r="Q156" s="125"/>
      <c r="R156" s="142"/>
      <c r="S156" s="142"/>
      <c r="T156" s="142"/>
      <c r="U156" s="142"/>
      <c r="V156" s="142"/>
      <c r="W156" s="142"/>
      <c r="X156" s="142"/>
      <c r="Y156" s="142"/>
      <c r="Z156" s="143"/>
    </row>
    <row r="157" spans="2:28" ht="24" customHeight="1">
      <c r="B157" s="32">
        <f t="shared" si="2"/>
        <v>147</v>
      </c>
      <c r="C157" s="122" t="s">
        <v>279</v>
      </c>
      <c r="D157" s="123"/>
      <c r="E157" s="123"/>
      <c r="F157" s="123"/>
      <c r="G157" s="123"/>
      <c r="H157" s="123"/>
      <c r="I157" s="124"/>
      <c r="J157" s="34">
        <v>1</v>
      </c>
      <c r="K157" s="35" t="s">
        <v>51</v>
      </c>
      <c r="L157" s="36"/>
      <c r="M157" s="36"/>
      <c r="N157" s="37"/>
      <c r="O157" s="37"/>
      <c r="P157" s="38"/>
      <c r="Q157" s="125"/>
      <c r="R157" s="142"/>
      <c r="S157" s="142"/>
      <c r="T157" s="142"/>
      <c r="U157" s="142"/>
      <c r="V157" s="142"/>
      <c r="W157" s="142"/>
      <c r="X157" s="142"/>
      <c r="Y157" s="142"/>
      <c r="Z157" s="143"/>
    </row>
    <row r="158" spans="2:28" ht="24" customHeight="1">
      <c r="B158" s="32">
        <f t="shared" si="2"/>
        <v>148</v>
      </c>
      <c r="C158" s="122" t="s">
        <v>280</v>
      </c>
      <c r="D158" s="123"/>
      <c r="E158" s="123"/>
      <c r="F158" s="123"/>
      <c r="G158" s="123"/>
      <c r="H158" s="123"/>
      <c r="I158" s="124"/>
      <c r="J158" s="34">
        <v>1</v>
      </c>
      <c r="K158" s="35" t="s">
        <v>51</v>
      </c>
      <c r="L158" s="36"/>
      <c r="M158" s="36"/>
      <c r="N158" s="37"/>
      <c r="O158" s="37"/>
      <c r="P158" s="38"/>
      <c r="Q158" s="125"/>
      <c r="R158" s="142"/>
      <c r="S158" s="142"/>
      <c r="T158" s="142"/>
      <c r="U158" s="142"/>
      <c r="V158" s="142"/>
      <c r="W158" s="142"/>
      <c r="X158" s="142"/>
      <c r="Y158" s="142"/>
      <c r="Z158" s="143"/>
    </row>
    <row r="159" spans="2:28" ht="24" customHeight="1">
      <c r="B159" s="32">
        <f t="shared" si="2"/>
        <v>149</v>
      </c>
      <c r="C159" s="122" t="s">
        <v>281</v>
      </c>
      <c r="D159" s="123"/>
      <c r="E159" s="123"/>
      <c r="F159" s="123"/>
      <c r="G159" s="123"/>
      <c r="H159" s="123"/>
      <c r="I159" s="124"/>
      <c r="J159" s="34">
        <v>2</v>
      </c>
      <c r="K159" s="35" t="s">
        <v>51</v>
      </c>
      <c r="L159" s="36"/>
      <c r="M159" s="36"/>
      <c r="N159" s="37"/>
      <c r="O159" s="37"/>
      <c r="P159" s="33"/>
      <c r="Q159" s="125"/>
      <c r="R159" s="142"/>
      <c r="S159" s="142"/>
      <c r="T159" s="142"/>
      <c r="U159" s="142"/>
      <c r="V159" s="142"/>
      <c r="W159" s="142"/>
      <c r="X159" s="142"/>
      <c r="Y159" s="142"/>
      <c r="Z159" s="143"/>
    </row>
    <row r="160" spans="2:28" ht="24" customHeight="1">
      <c r="B160" s="32">
        <f t="shared" si="2"/>
        <v>150</v>
      </c>
      <c r="C160" s="122" t="s">
        <v>282</v>
      </c>
      <c r="D160" s="123"/>
      <c r="E160" s="123"/>
      <c r="F160" s="123"/>
      <c r="G160" s="123"/>
      <c r="H160" s="123"/>
      <c r="I160" s="124"/>
      <c r="J160" s="34">
        <v>6</v>
      </c>
      <c r="K160" s="35" t="s">
        <v>51</v>
      </c>
      <c r="L160" s="36"/>
      <c r="M160" s="36"/>
      <c r="N160" s="37"/>
      <c r="O160" s="37"/>
      <c r="P160" s="33"/>
      <c r="Q160" s="125"/>
      <c r="R160" s="142"/>
      <c r="S160" s="142"/>
      <c r="T160" s="142"/>
      <c r="U160" s="142"/>
      <c r="V160" s="142"/>
      <c r="W160" s="142"/>
      <c r="X160" s="142"/>
      <c r="Y160" s="142"/>
      <c r="Z160" s="143"/>
    </row>
    <row r="161" spans="2:28" ht="24" customHeight="1">
      <c r="B161" s="32">
        <f t="shared" si="2"/>
        <v>151</v>
      </c>
      <c r="C161" s="122" t="s">
        <v>283</v>
      </c>
      <c r="D161" s="123"/>
      <c r="E161" s="123"/>
      <c r="F161" s="123"/>
      <c r="G161" s="123"/>
      <c r="H161" s="123"/>
      <c r="I161" s="124"/>
      <c r="J161" s="34">
        <v>2</v>
      </c>
      <c r="K161" s="35" t="s">
        <v>51</v>
      </c>
      <c r="L161" s="36"/>
      <c r="M161" s="36"/>
      <c r="N161" s="37"/>
      <c r="O161" s="37"/>
      <c r="P161" s="33"/>
      <c r="Q161" s="125"/>
      <c r="R161" s="142"/>
      <c r="S161" s="142"/>
      <c r="T161" s="142"/>
      <c r="U161" s="142"/>
      <c r="V161" s="142"/>
      <c r="W161" s="142"/>
      <c r="X161" s="142"/>
      <c r="Y161" s="142"/>
      <c r="Z161" s="143"/>
    </row>
    <row r="162" spans="2:28" ht="24" customHeight="1">
      <c r="B162" s="32">
        <f t="shared" si="2"/>
        <v>152</v>
      </c>
      <c r="C162" s="122" t="s">
        <v>284</v>
      </c>
      <c r="D162" s="123"/>
      <c r="E162" s="123"/>
      <c r="F162" s="123"/>
      <c r="G162" s="123"/>
      <c r="H162" s="123"/>
      <c r="I162" s="124"/>
      <c r="J162" s="34">
        <v>1</v>
      </c>
      <c r="K162" s="35" t="s">
        <v>51</v>
      </c>
      <c r="L162" s="36"/>
      <c r="M162" s="36"/>
      <c r="N162" s="37"/>
      <c r="O162" s="37"/>
      <c r="P162" s="38"/>
      <c r="Q162" s="125"/>
      <c r="R162" s="142"/>
      <c r="S162" s="142"/>
      <c r="T162" s="142"/>
      <c r="U162" s="142"/>
      <c r="V162" s="142"/>
      <c r="W162" s="142"/>
      <c r="X162" s="142"/>
      <c r="Y162" s="142"/>
      <c r="Z162" s="143"/>
    </row>
    <row r="163" spans="2:28" ht="24" customHeight="1">
      <c r="B163" s="32">
        <f t="shared" si="2"/>
        <v>153</v>
      </c>
      <c r="C163" s="122" t="s">
        <v>285</v>
      </c>
      <c r="D163" s="123"/>
      <c r="E163" s="123"/>
      <c r="F163" s="123"/>
      <c r="G163" s="123"/>
      <c r="H163" s="123"/>
      <c r="I163" s="124"/>
      <c r="J163" s="34">
        <v>4</v>
      </c>
      <c r="K163" s="35" t="s">
        <v>51</v>
      </c>
      <c r="L163" s="36"/>
      <c r="M163" s="36"/>
      <c r="N163" s="37"/>
      <c r="O163" s="37"/>
      <c r="P163" s="38"/>
      <c r="Q163" s="125"/>
      <c r="R163" s="142"/>
      <c r="S163" s="142"/>
      <c r="T163" s="142"/>
      <c r="U163" s="142"/>
      <c r="V163" s="142"/>
      <c r="W163" s="142"/>
      <c r="X163" s="142"/>
      <c r="Y163" s="142"/>
      <c r="Z163" s="143"/>
      <c r="AB163" s="39"/>
    </row>
    <row r="164" spans="2:28" ht="24" customHeight="1">
      <c r="B164" s="32">
        <f t="shared" si="2"/>
        <v>154</v>
      </c>
      <c r="C164" s="122" t="s">
        <v>286</v>
      </c>
      <c r="D164" s="123"/>
      <c r="E164" s="123"/>
      <c r="F164" s="123"/>
      <c r="G164" s="123"/>
      <c r="H164" s="123"/>
      <c r="I164" s="124"/>
      <c r="J164" s="34">
        <v>7</v>
      </c>
      <c r="K164" s="35" t="s">
        <v>51</v>
      </c>
      <c r="L164" s="36"/>
      <c r="M164" s="36"/>
      <c r="N164" s="37"/>
      <c r="O164" s="37"/>
      <c r="P164" s="38"/>
      <c r="Q164" s="125"/>
      <c r="R164" s="142"/>
      <c r="S164" s="142"/>
      <c r="T164" s="142"/>
      <c r="U164" s="142"/>
      <c r="V164" s="142"/>
      <c r="W164" s="142"/>
      <c r="X164" s="142"/>
      <c r="Y164" s="142"/>
      <c r="Z164" s="143"/>
      <c r="AB164" s="39"/>
    </row>
    <row r="165" spans="2:28" ht="24" customHeight="1">
      <c r="B165" s="32">
        <f t="shared" si="2"/>
        <v>155</v>
      </c>
      <c r="C165" s="122" t="s">
        <v>287</v>
      </c>
      <c r="D165" s="123"/>
      <c r="E165" s="123"/>
      <c r="F165" s="123"/>
      <c r="G165" s="123"/>
      <c r="H165" s="123"/>
      <c r="I165" s="124"/>
      <c r="J165" s="34">
        <v>8</v>
      </c>
      <c r="K165" s="35" t="s">
        <v>51</v>
      </c>
      <c r="L165" s="36"/>
      <c r="M165" s="36"/>
      <c r="N165" s="37"/>
      <c r="O165" s="37"/>
      <c r="P165" s="33"/>
      <c r="Q165" s="125"/>
      <c r="R165" s="142"/>
      <c r="S165" s="142"/>
      <c r="T165" s="142"/>
      <c r="U165" s="142"/>
      <c r="V165" s="142"/>
      <c r="W165" s="142"/>
      <c r="X165" s="142"/>
      <c r="Y165" s="142"/>
      <c r="Z165" s="143"/>
    </row>
    <row r="166" spans="2:28" ht="27.6" customHeight="1">
      <c r="B166" s="32">
        <f t="shared" si="2"/>
        <v>156</v>
      </c>
      <c r="C166" s="122" t="s">
        <v>288</v>
      </c>
      <c r="D166" s="123"/>
      <c r="E166" s="123"/>
      <c r="F166" s="123"/>
      <c r="G166" s="123"/>
      <c r="H166" s="123"/>
      <c r="I166" s="124"/>
      <c r="J166" s="34">
        <v>2</v>
      </c>
      <c r="K166" s="35" t="s">
        <v>54</v>
      </c>
      <c r="L166" s="36"/>
      <c r="M166" s="36"/>
      <c r="N166" s="37"/>
      <c r="O166" s="37"/>
      <c r="P166" s="38"/>
      <c r="Q166" s="125" t="s">
        <v>289</v>
      </c>
      <c r="R166" s="142"/>
      <c r="S166" s="142"/>
      <c r="T166" s="142"/>
      <c r="U166" s="142"/>
      <c r="V166" s="142"/>
      <c r="W166" s="142"/>
      <c r="X166" s="142"/>
      <c r="Y166" s="142"/>
      <c r="Z166" s="143"/>
    </row>
    <row r="167" spans="2:28" ht="24" customHeight="1">
      <c r="B167" s="32">
        <f t="shared" si="2"/>
        <v>157</v>
      </c>
      <c r="C167" s="122" t="s">
        <v>290</v>
      </c>
      <c r="D167" s="123"/>
      <c r="E167" s="123"/>
      <c r="F167" s="123"/>
      <c r="G167" s="123"/>
      <c r="H167" s="123"/>
      <c r="I167" s="124"/>
      <c r="J167" s="34">
        <v>9</v>
      </c>
      <c r="K167" s="35" t="s">
        <v>54</v>
      </c>
      <c r="L167" s="36"/>
      <c r="M167" s="36"/>
      <c r="N167" s="37"/>
      <c r="O167" s="37"/>
      <c r="P167" s="38"/>
      <c r="Q167" s="125"/>
      <c r="R167" s="142"/>
      <c r="S167" s="142"/>
      <c r="T167" s="142"/>
      <c r="U167" s="142"/>
      <c r="V167" s="142"/>
      <c r="W167" s="142"/>
      <c r="X167" s="142"/>
      <c r="Y167" s="142"/>
      <c r="Z167" s="143"/>
    </row>
    <row r="168" spans="2:28" ht="24" customHeight="1">
      <c r="B168" s="32">
        <f t="shared" si="2"/>
        <v>158</v>
      </c>
      <c r="C168" s="122" t="s">
        <v>291</v>
      </c>
      <c r="D168" s="123"/>
      <c r="E168" s="123"/>
      <c r="F168" s="123"/>
      <c r="G168" s="123"/>
      <c r="H168" s="123"/>
      <c r="I168" s="124"/>
      <c r="J168" s="34">
        <v>10</v>
      </c>
      <c r="K168" s="35" t="s">
        <v>54</v>
      </c>
      <c r="L168" s="36"/>
      <c r="M168" s="36"/>
      <c r="N168" s="37"/>
      <c r="O168" s="37"/>
      <c r="P168" s="38"/>
      <c r="Q168" s="125"/>
      <c r="R168" s="142"/>
      <c r="S168" s="142"/>
      <c r="T168" s="142"/>
      <c r="U168" s="142"/>
      <c r="V168" s="142"/>
      <c r="W168" s="142"/>
      <c r="X168" s="142"/>
      <c r="Y168" s="142"/>
      <c r="Z168" s="143"/>
    </row>
    <row r="169" spans="2:28" ht="24" customHeight="1">
      <c r="B169" s="32">
        <f t="shared" si="2"/>
        <v>159</v>
      </c>
      <c r="C169" s="122" t="s">
        <v>292</v>
      </c>
      <c r="D169" s="123"/>
      <c r="E169" s="123"/>
      <c r="F169" s="123"/>
      <c r="G169" s="123"/>
      <c r="H169" s="123"/>
      <c r="I169" s="124"/>
      <c r="J169" s="34">
        <v>10</v>
      </c>
      <c r="K169" s="35" t="s">
        <v>54</v>
      </c>
      <c r="L169" s="36"/>
      <c r="M169" s="36"/>
      <c r="N169" s="37"/>
      <c r="O169" s="37"/>
      <c r="P169" s="38"/>
      <c r="Q169" s="125"/>
      <c r="R169" s="142"/>
      <c r="S169" s="142"/>
      <c r="T169" s="142"/>
      <c r="U169" s="142"/>
      <c r="V169" s="142"/>
      <c r="W169" s="142"/>
      <c r="X169" s="142"/>
      <c r="Y169" s="142"/>
      <c r="Z169" s="143"/>
    </row>
    <row r="170" spans="2:28" ht="24" customHeight="1">
      <c r="B170" s="32">
        <f t="shared" si="2"/>
        <v>160</v>
      </c>
      <c r="C170" s="122" t="s">
        <v>102</v>
      </c>
      <c r="D170" s="123"/>
      <c r="E170" s="123"/>
      <c r="F170" s="123"/>
      <c r="G170" s="123"/>
      <c r="H170" s="123"/>
      <c r="I170" s="124"/>
      <c r="J170" s="34">
        <v>1</v>
      </c>
      <c r="K170" s="35" t="s">
        <v>51</v>
      </c>
      <c r="L170" s="36"/>
      <c r="M170" s="36"/>
      <c r="N170" s="37"/>
      <c r="O170" s="37"/>
      <c r="P170" s="33"/>
      <c r="Q170" s="125"/>
      <c r="R170" s="142"/>
      <c r="S170" s="142"/>
      <c r="T170" s="142"/>
      <c r="U170" s="142"/>
      <c r="V170" s="142"/>
      <c r="W170" s="142"/>
      <c r="X170" s="142"/>
      <c r="Y170" s="142"/>
      <c r="Z170" s="143"/>
    </row>
    <row r="171" spans="2:28" ht="24" customHeight="1">
      <c r="B171" s="32">
        <f t="shared" si="2"/>
        <v>161</v>
      </c>
      <c r="C171" s="122" t="s">
        <v>293</v>
      </c>
      <c r="D171" s="123"/>
      <c r="E171" s="123"/>
      <c r="F171" s="123"/>
      <c r="G171" s="123"/>
      <c r="H171" s="123"/>
      <c r="I171" s="124"/>
      <c r="J171" s="34">
        <v>1</v>
      </c>
      <c r="K171" s="35" t="s">
        <v>51</v>
      </c>
      <c r="L171" s="36"/>
      <c r="M171" s="36"/>
      <c r="N171" s="37"/>
      <c r="O171" s="37"/>
      <c r="P171" s="33"/>
      <c r="Q171" s="125"/>
      <c r="R171" s="142"/>
      <c r="S171" s="142"/>
      <c r="T171" s="142"/>
      <c r="U171" s="142"/>
      <c r="V171" s="142"/>
      <c r="W171" s="142"/>
      <c r="X171" s="142"/>
      <c r="Y171" s="142"/>
      <c r="Z171" s="143"/>
    </row>
    <row r="172" spans="2:28" ht="24" customHeight="1">
      <c r="B172" s="32">
        <f t="shared" si="2"/>
        <v>162</v>
      </c>
      <c r="C172" s="122" t="s">
        <v>294</v>
      </c>
      <c r="D172" s="123"/>
      <c r="E172" s="123"/>
      <c r="F172" s="123"/>
      <c r="G172" s="123"/>
      <c r="H172" s="123"/>
      <c r="I172" s="124"/>
      <c r="J172" s="34">
        <v>1</v>
      </c>
      <c r="K172" s="35" t="s">
        <v>51</v>
      </c>
      <c r="L172" s="36"/>
      <c r="M172" s="36"/>
      <c r="N172" s="37"/>
      <c r="O172" s="37"/>
      <c r="P172" s="38"/>
      <c r="Q172" s="125"/>
      <c r="R172" s="142"/>
      <c r="S172" s="142"/>
      <c r="T172" s="142"/>
      <c r="U172" s="142"/>
      <c r="V172" s="142"/>
      <c r="W172" s="142"/>
      <c r="X172" s="142"/>
      <c r="Y172" s="142"/>
      <c r="Z172" s="143"/>
    </row>
    <row r="173" spans="2:28" ht="24" customHeight="1">
      <c r="B173" s="32">
        <f t="shared" si="2"/>
        <v>163</v>
      </c>
      <c r="C173" s="122" t="s">
        <v>295</v>
      </c>
      <c r="D173" s="123"/>
      <c r="E173" s="123"/>
      <c r="F173" s="123"/>
      <c r="G173" s="123"/>
      <c r="H173" s="123"/>
      <c r="I173" s="124"/>
      <c r="J173" s="34">
        <v>2</v>
      </c>
      <c r="K173" s="35" t="s">
        <v>51</v>
      </c>
      <c r="L173" s="36"/>
      <c r="M173" s="36"/>
      <c r="N173" s="37"/>
      <c r="O173" s="37"/>
      <c r="P173" s="38"/>
      <c r="Q173" s="125"/>
      <c r="R173" s="142"/>
      <c r="S173" s="142"/>
      <c r="T173" s="142"/>
      <c r="U173" s="142"/>
      <c r="V173" s="142"/>
      <c r="W173" s="142"/>
      <c r="X173" s="142"/>
      <c r="Y173" s="142"/>
      <c r="Z173" s="143"/>
    </row>
    <row r="174" spans="2:28" ht="24" customHeight="1">
      <c r="B174" s="32">
        <f t="shared" si="2"/>
        <v>164</v>
      </c>
      <c r="C174" s="122" t="s">
        <v>296</v>
      </c>
      <c r="D174" s="123"/>
      <c r="E174" s="123"/>
      <c r="F174" s="123"/>
      <c r="G174" s="123"/>
      <c r="H174" s="123"/>
      <c r="I174" s="124"/>
      <c r="J174" s="34">
        <v>6</v>
      </c>
      <c r="K174" s="35" t="s">
        <v>51</v>
      </c>
      <c r="L174" s="36"/>
      <c r="M174" s="36"/>
      <c r="N174" s="37"/>
      <c r="O174" s="37"/>
      <c r="P174" s="38"/>
      <c r="Q174" s="125"/>
      <c r="R174" s="142"/>
      <c r="S174" s="142"/>
      <c r="T174" s="142"/>
      <c r="U174" s="142"/>
      <c r="V174" s="142"/>
      <c r="W174" s="142"/>
      <c r="X174" s="142"/>
      <c r="Y174" s="142"/>
      <c r="Z174" s="143"/>
      <c r="AB174" s="39"/>
    </row>
    <row r="175" spans="2:28" ht="24" customHeight="1">
      <c r="B175" s="32">
        <f t="shared" si="2"/>
        <v>165</v>
      </c>
      <c r="C175" s="122" t="s">
        <v>297</v>
      </c>
      <c r="D175" s="123"/>
      <c r="E175" s="123"/>
      <c r="F175" s="123"/>
      <c r="G175" s="123"/>
      <c r="H175" s="123"/>
      <c r="I175" s="124"/>
      <c r="J175" s="34">
        <v>2</v>
      </c>
      <c r="K175" s="35" t="s">
        <v>51</v>
      </c>
      <c r="L175" s="36"/>
      <c r="M175" s="36"/>
      <c r="N175" s="37"/>
      <c r="O175" s="37"/>
      <c r="P175" s="33"/>
      <c r="Q175" s="125"/>
      <c r="R175" s="142"/>
      <c r="S175" s="142"/>
      <c r="T175" s="142"/>
      <c r="U175" s="142"/>
      <c r="V175" s="142"/>
      <c r="W175" s="142"/>
      <c r="X175" s="142"/>
      <c r="Y175" s="142"/>
      <c r="Z175" s="143"/>
      <c r="AB175" s="39"/>
    </row>
    <row r="176" spans="2:28" ht="24" customHeight="1">
      <c r="B176" s="32">
        <f t="shared" si="2"/>
        <v>166</v>
      </c>
      <c r="C176" s="122" t="s">
        <v>298</v>
      </c>
      <c r="D176" s="123"/>
      <c r="E176" s="123"/>
      <c r="F176" s="123"/>
      <c r="G176" s="123"/>
      <c r="H176" s="123"/>
      <c r="I176" s="124"/>
      <c r="J176" s="34">
        <v>1</v>
      </c>
      <c r="K176" s="35" t="s">
        <v>51</v>
      </c>
      <c r="L176" s="36"/>
      <c r="M176" s="36"/>
      <c r="N176" s="37"/>
      <c r="O176" s="37"/>
      <c r="P176" s="38"/>
      <c r="Q176" s="125"/>
      <c r="R176" s="142"/>
      <c r="S176" s="142"/>
      <c r="T176" s="142"/>
      <c r="U176" s="142"/>
      <c r="V176" s="142"/>
      <c r="W176" s="142"/>
      <c r="X176" s="142"/>
      <c r="Y176" s="142"/>
      <c r="Z176" s="143"/>
    </row>
    <row r="177" spans="2:28" ht="24" customHeight="1">
      <c r="B177" s="32">
        <f t="shared" si="2"/>
        <v>167</v>
      </c>
      <c r="C177" s="122" t="s">
        <v>299</v>
      </c>
      <c r="D177" s="123"/>
      <c r="E177" s="123"/>
      <c r="F177" s="123"/>
      <c r="G177" s="123"/>
      <c r="H177" s="123"/>
      <c r="I177" s="124"/>
      <c r="J177" s="34">
        <v>4</v>
      </c>
      <c r="K177" s="35" t="s">
        <v>51</v>
      </c>
      <c r="L177" s="36"/>
      <c r="M177" s="36"/>
      <c r="N177" s="37"/>
      <c r="O177" s="37"/>
      <c r="P177" s="38"/>
      <c r="Q177" s="125"/>
      <c r="R177" s="142"/>
      <c r="S177" s="142"/>
      <c r="T177" s="142"/>
      <c r="U177" s="142"/>
      <c r="V177" s="142"/>
      <c r="W177" s="142"/>
      <c r="X177" s="142"/>
      <c r="Y177" s="142"/>
      <c r="Z177" s="143"/>
    </row>
    <row r="178" spans="2:28" ht="24" customHeight="1">
      <c r="B178" s="32">
        <f t="shared" si="2"/>
        <v>168</v>
      </c>
      <c r="C178" s="122" t="s">
        <v>300</v>
      </c>
      <c r="D178" s="123"/>
      <c r="E178" s="123"/>
      <c r="F178" s="123"/>
      <c r="G178" s="123"/>
      <c r="H178" s="123"/>
      <c r="I178" s="124"/>
      <c r="J178" s="34">
        <v>7</v>
      </c>
      <c r="K178" s="35" t="s">
        <v>51</v>
      </c>
      <c r="L178" s="36"/>
      <c r="M178" s="36"/>
      <c r="N178" s="37"/>
      <c r="O178" s="37"/>
      <c r="P178" s="38"/>
      <c r="Q178" s="125"/>
      <c r="R178" s="142"/>
      <c r="S178" s="142"/>
      <c r="T178" s="142"/>
      <c r="U178" s="142"/>
      <c r="V178" s="142"/>
      <c r="W178" s="142"/>
      <c r="X178" s="142"/>
      <c r="Y178" s="142"/>
      <c r="Z178" s="143"/>
    </row>
    <row r="179" spans="2:28" ht="24" customHeight="1">
      <c r="B179" s="32">
        <f t="shared" si="2"/>
        <v>169</v>
      </c>
      <c r="C179" s="122" t="s">
        <v>301</v>
      </c>
      <c r="D179" s="123"/>
      <c r="E179" s="123"/>
      <c r="F179" s="123"/>
      <c r="G179" s="123"/>
      <c r="H179" s="123"/>
      <c r="I179" s="124"/>
      <c r="J179" s="34">
        <v>8</v>
      </c>
      <c r="K179" s="35" t="s">
        <v>51</v>
      </c>
      <c r="L179" s="36"/>
      <c r="M179" s="36"/>
      <c r="N179" s="37"/>
      <c r="O179" s="37"/>
      <c r="P179" s="38"/>
      <c r="Q179" s="125"/>
      <c r="R179" s="142"/>
      <c r="S179" s="142"/>
      <c r="T179" s="142"/>
      <c r="U179" s="142"/>
      <c r="V179" s="142"/>
      <c r="W179" s="142"/>
      <c r="X179" s="142"/>
      <c r="Y179" s="142"/>
      <c r="Z179" s="143"/>
    </row>
    <row r="180" spans="2:28" ht="24" customHeight="1">
      <c r="B180" s="32">
        <f t="shared" si="2"/>
        <v>170</v>
      </c>
      <c r="C180" s="122" t="s">
        <v>302</v>
      </c>
      <c r="D180" s="123"/>
      <c r="E180" s="123"/>
      <c r="F180" s="123"/>
      <c r="G180" s="123"/>
      <c r="H180" s="123"/>
      <c r="I180" s="124"/>
      <c r="J180" s="34">
        <v>2</v>
      </c>
      <c r="K180" s="35" t="s">
        <v>54</v>
      </c>
      <c r="L180" s="36"/>
      <c r="M180" s="36"/>
      <c r="N180" s="37"/>
      <c r="O180" s="37"/>
      <c r="P180" s="33"/>
      <c r="Q180" s="125" t="s">
        <v>289</v>
      </c>
      <c r="R180" s="142"/>
      <c r="S180" s="142"/>
      <c r="T180" s="142"/>
      <c r="U180" s="142"/>
      <c r="V180" s="142"/>
      <c r="W180" s="142"/>
      <c r="X180" s="142"/>
      <c r="Y180" s="142"/>
      <c r="Z180" s="143"/>
    </row>
    <row r="181" spans="2:28" ht="24" customHeight="1">
      <c r="B181" s="32">
        <f t="shared" si="2"/>
        <v>171</v>
      </c>
      <c r="C181" s="122" t="s">
        <v>303</v>
      </c>
      <c r="D181" s="123"/>
      <c r="E181" s="123"/>
      <c r="F181" s="123"/>
      <c r="G181" s="123"/>
      <c r="H181" s="123"/>
      <c r="I181" s="124"/>
      <c r="J181" s="34">
        <v>9</v>
      </c>
      <c r="K181" s="35" t="s">
        <v>54</v>
      </c>
      <c r="L181" s="36"/>
      <c r="M181" s="36"/>
      <c r="N181" s="37"/>
      <c r="O181" s="37"/>
      <c r="P181" s="33"/>
      <c r="Q181" s="125" t="s">
        <v>304</v>
      </c>
      <c r="R181" s="142"/>
      <c r="S181" s="142"/>
      <c r="T181" s="142"/>
      <c r="U181" s="142"/>
      <c r="V181" s="142"/>
      <c r="W181" s="142"/>
      <c r="X181" s="142"/>
      <c r="Y181" s="142"/>
      <c r="Z181" s="143"/>
    </row>
    <row r="182" spans="2:28" ht="24" customHeight="1">
      <c r="B182" s="32">
        <f t="shared" si="2"/>
        <v>172</v>
      </c>
      <c r="C182" s="122" t="s">
        <v>305</v>
      </c>
      <c r="D182" s="123"/>
      <c r="E182" s="123"/>
      <c r="F182" s="123"/>
      <c r="G182" s="123"/>
      <c r="H182" s="123"/>
      <c r="I182" s="124"/>
      <c r="J182" s="34">
        <v>10</v>
      </c>
      <c r="K182" s="35" t="s">
        <v>54</v>
      </c>
      <c r="L182" s="36"/>
      <c r="M182" s="36"/>
      <c r="N182" s="37"/>
      <c r="O182" s="37"/>
      <c r="P182" s="33"/>
      <c r="Q182" s="125"/>
      <c r="R182" s="142"/>
      <c r="S182" s="142"/>
      <c r="T182" s="142"/>
      <c r="U182" s="142"/>
      <c r="V182" s="142"/>
      <c r="W182" s="142"/>
      <c r="X182" s="142"/>
      <c r="Y182" s="142"/>
      <c r="Z182" s="143"/>
    </row>
    <row r="183" spans="2:28" ht="24" customHeight="1">
      <c r="B183" s="32">
        <f t="shared" si="2"/>
        <v>173</v>
      </c>
      <c r="C183" s="122" t="s">
        <v>306</v>
      </c>
      <c r="D183" s="123"/>
      <c r="E183" s="123"/>
      <c r="F183" s="123"/>
      <c r="G183" s="123"/>
      <c r="H183" s="123"/>
      <c r="I183" s="124"/>
      <c r="J183" s="34">
        <v>10</v>
      </c>
      <c r="K183" s="35" t="s">
        <v>54</v>
      </c>
      <c r="L183" s="36"/>
      <c r="M183" s="36"/>
      <c r="N183" s="37"/>
      <c r="O183" s="37"/>
      <c r="P183" s="38"/>
      <c r="Q183" s="125" t="s">
        <v>304</v>
      </c>
      <c r="R183" s="142"/>
      <c r="S183" s="142"/>
      <c r="T183" s="142"/>
      <c r="U183" s="142"/>
      <c r="V183" s="142"/>
      <c r="W183" s="142"/>
      <c r="X183" s="142"/>
      <c r="Y183" s="142"/>
      <c r="Z183" s="143"/>
    </row>
    <row r="184" spans="2:28" ht="24" customHeight="1">
      <c r="B184" s="32">
        <f t="shared" si="2"/>
        <v>174</v>
      </c>
      <c r="C184" s="122" t="s">
        <v>102</v>
      </c>
      <c r="D184" s="123"/>
      <c r="E184" s="123"/>
      <c r="F184" s="123"/>
      <c r="G184" s="123"/>
      <c r="H184" s="123"/>
      <c r="I184" s="124"/>
      <c r="J184" s="34">
        <v>1</v>
      </c>
      <c r="K184" s="35" t="s">
        <v>51</v>
      </c>
      <c r="L184" s="36"/>
      <c r="M184" s="36"/>
      <c r="N184" s="37"/>
      <c r="O184" s="37"/>
      <c r="P184" s="38"/>
      <c r="Q184" s="125"/>
      <c r="R184" s="142"/>
      <c r="S184" s="142"/>
      <c r="T184" s="142"/>
      <c r="U184" s="142"/>
      <c r="V184" s="142"/>
      <c r="W184" s="142"/>
      <c r="X184" s="142"/>
      <c r="Y184" s="142"/>
      <c r="Z184" s="143"/>
    </row>
    <row r="185" spans="2:28" ht="24" customHeight="1">
      <c r="B185" s="32">
        <f t="shared" si="2"/>
        <v>175</v>
      </c>
      <c r="C185" s="122" t="s">
        <v>102</v>
      </c>
      <c r="D185" s="123"/>
      <c r="E185" s="123"/>
      <c r="F185" s="123"/>
      <c r="G185" s="123"/>
      <c r="H185" s="123"/>
      <c r="I185" s="124"/>
      <c r="J185" s="34">
        <v>6</v>
      </c>
      <c r="K185" s="35" t="s">
        <v>51</v>
      </c>
      <c r="L185" s="36"/>
      <c r="M185" s="36"/>
      <c r="N185" s="37"/>
      <c r="O185" s="37"/>
      <c r="P185" s="38"/>
      <c r="Q185" s="125"/>
      <c r="R185" s="142"/>
      <c r="S185" s="142"/>
      <c r="T185" s="142"/>
      <c r="U185" s="142"/>
      <c r="V185" s="142"/>
      <c r="W185" s="142"/>
      <c r="X185" s="142"/>
      <c r="Y185" s="142"/>
      <c r="Z185" s="143"/>
      <c r="AB185" s="39"/>
    </row>
    <row r="186" spans="2:28" ht="24" customHeight="1">
      <c r="B186" s="32">
        <f t="shared" si="2"/>
        <v>176</v>
      </c>
      <c r="C186" s="122" t="s">
        <v>307</v>
      </c>
      <c r="D186" s="123"/>
      <c r="E186" s="123"/>
      <c r="F186" s="123"/>
      <c r="G186" s="123"/>
      <c r="H186" s="123"/>
      <c r="I186" s="124"/>
      <c r="J186" s="34">
        <v>1</v>
      </c>
      <c r="K186" s="35" t="s">
        <v>51</v>
      </c>
      <c r="L186" s="36"/>
      <c r="M186" s="36"/>
      <c r="N186" s="37"/>
      <c r="O186" s="37"/>
      <c r="P186" s="33"/>
      <c r="Q186" s="125" t="s">
        <v>213</v>
      </c>
      <c r="R186" s="142"/>
      <c r="S186" s="142"/>
      <c r="T186" s="142"/>
      <c r="U186" s="142"/>
      <c r="V186" s="142"/>
      <c r="W186" s="142"/>
      <c r="X186" s="142"/>
      <c r="Y186" s="142"/>
      <c r="Z186" s="143"/>
      <c r="AB186" s="39"/>
    </row>
    <row r="187" spans="2:28" ht="24" customHeight="1">
      <c r="B187" s="32">
        <f t="shared" si="2"/>
        <v>177</v>
      </c>
      <c r="C187" s="122" t="s">
        <v>308</v>
      </c>
      <c r="D187" s="123"/>
      <c r="E187" s="123"/>
      <c r="F187" s="123"/>
      <c r="G187" s="123"/>
      <c r="H187" s="123"/>
      <c r="I187" s="124"/>
      <c r="J187" s="34">
        <v>9</v>
      </c>
      <c r="K187" s="35" t="s">
        <v>54</v>
      </c>
      <c r="L187" s="36"/>
      <c r="M187" s="36"/>
      <c r="N187" s="37"/>
      <c r="O187" s="37"/>
      <c r="P187" s="38"/>
      <c r="Q187" s="125" t="s">
        <v>304</v>
      </c>
      <c r="R187" s="142"/>
      <c r="S187" s="142"/>
      <c r="T187" s="142"/>
      <c r="U187" s="142"/>
      <c r="V187" s="142"/>
      <c r="W187" s="142"/>
      <c r="X187" s="142"/>
      <c r="Y187" s="142"/>
      <c r="Z187" s="143"/>
    </row>
    <row r="188" spans="2:28" ht="24" customHeight="1">
      <c r="B188" s="32">
        <f t="shared" si="2"/>
        <v>178</v>
      </c>
      <c r="C188" s="122" t="s">
        <v>309</v>
      </c>
      <c r="D188" s="123"/>
      <c r="E188" s="123"/>
      <c r="F188" s="123"/>
      <c r="G188" s="123"/>
      <c r="H188" s="123"/>
      <c r="I188" s="124"/>
      <c r="J188" s="34">
        <v>2</v>
      </c>
      <c r="K188" s="35" t="s">
        <v>51</v>
      </c>
      <c r="L188" s="36"/>
      <c r="M188" s="36"/>
      <c r="N188" s="37"/>
      <c r="O188" s="37"/>
      <c r="P188" s="38"/>
      <c r="Q188" s="125"/>
      <c r="R188" s="142"/>
      <c r="S188" s="142"/>
      <c r="T188" s="142"/>
      <c r="U188" s="142"/>
      <c r="V188" s="142"/>
      <c r="W188" s="142"/>
      <c r="X188" s="142"/>
      <c r="Y188" s="142"/>
      <c r="Z188" s="143"/>
    </row>
    <row r="189" spans="2:28" ht="24" customHeight="1">
      <c r="B189" s="32">
        <f t="shared" si="2"/>
        <v>179</v>
      </c>
      <c r="C189" s="122" t="s">
        <v>310</v>
      </c>
      <c r="D189" s="123"/>
      <c r="E189" s="123"/>
      <c r="F189" s="123"/>
      <c r="G189" s="123"/>
      <c r="H189" s="123"/>
      <c r="I189" s="124"/>
      <c r="J189" s="34">
        <v>2</v>
      </c>
      <c r="K189" s="35" t="s">
        <v>54</v>
      </c>
      <c r="L189" s="36"/>
      <c r="M189" s="36"/>
      <c r="N189" s="37"/>
      <c r="O189" s="37"/>
      <c r="P189" s="38"/>
      <c r="Q189" s="125"/>
      <c r="R189" s="142"/>
      <c r="S189" s="142"/>
      <c r="T189" s="142"/>
      <c r="U189" s="142"/>
      <c r="V189" s="142"/>
      <c r="W189" s="142"/>
      <c r="X189" s="142"/>
      <c r="Y189" s="142"/>
      <c r="Z189" s="143"/>
    </row>
    <row r="190" spans="2:28" ht="24" customHeight="1">
      <c r="B190" s="32">
        <f t="shared" si="2"/>
        <v>180</v>
      </c>
      <c r="C190" s="122" t="s">
        <v>311</v>
      </c>
      <c r="D190" s="123"/>
      <c r="E190" s="123"/>
      <c r="F190" s="123"/>
      <c r="G190" s="123"/>
      <c r="H190" s="123"/>
      <c r="I190" s="124"/>
      <c r="J190" s="34">
        <v>6</v>
      </c>
      <c r="K190" s="35" t="s">
        <v>54</v>
      </c>
      <c r="L190" s="36"/>
      <c r="M190" s="36"/>
      <c r="N190" s="37"/>
      <c r="O190" s="37"/>
      <c r="P190" s="33"/>
      <c r="Q190" s="125"/>
      <c r="R190" s="142"/>
      <c r="S190" s="142"/>
      <c r="T190" s="142"/>
      <c r="U190" s="142"/>
      <c r="V190" s="142"/>
      <c r="W190" s="142"/>
      <c r="X190" s="142"/>
      <c r="Y190" s="142"/>
      <c r="Z190" s="143"/>
    </row>
    <row r="191" spans="2:28" ht="24" customHeight="1">
      <c r="B191" s="32">
        <f t="shared" si="2"/>
        <v>181</v>
      </c>
      <c r="C191" s="122" t="s">
        <v>312</v>
      </c>
      <c r="D191" s="123"/>
      <c r="E191" s="123"/>
      <c r="F191" s="123"/>
      <c r="G191" s="123"/>
      <c r="H191" s="123"/>
      <c r="I191" s="124"/>
      <c r="J191" s="34">
        <v>2</v>
      </c>
      <c r="K191" s="35" t="s">
        <v>54</v>
      </c>
      <c r="L191" s="36"/>
      <c r="M191" s="36"/>
      <c r="N191" s="37"/>
      <c r="O191" s="37"/>
      <c r="P191" s="33"/>
      <c r="Q191" s="125" t="s">
        <v>289</v>
      </c>
      <c r="R191" s="142"/>
      <c r="S191" s="142"/>
      <c r="T191" s="142"/>
      <c r="U191" s="142"/>
      <c r="V191" s="142"/>
      <c r="W191" s="142"/>
      <c r="X191" s="142"/>
      <c r="Y191" s="142"/>
      <c r="Z191" s="143"/>
    </row>
    <row r="192" spans="2:28" ht="24" customHeight="1">
      <c r="B192" s="32">
        <f t="shared" si="2"/>
        <v>182</v>
      </c>
      <c r="C192" s="122" t="s">
        <v>102</v>
      </c>
      <c r="D192" s="123"/>
      <c r="E192" s="123"/>
      <c r="F192" s="123"/>
      <c r="G192" s="123"/>
      <c r="H192" s="123"/>
      <c r="I192" s="124"/>
      <c r="J192" s="34">
        <v>42</v>
      </c>
      <c r="K192" s="35" t="s">
        <v>51</v>
      </c>
      <c r="L192" s="36"/>
      <c r="M192" s="36"/>
      <c r="N192" s="37"/>
      <c r="O192" s="37"/>
      <c r="P192" s="33"/>
      <c r="Q192" s="125"/>
      <c r="R192" s="142"/>
      <c r="S192" s="142"/>
      <c r="T192" s="142"/>
      <c r="U192" s="142"/>
      <c r="V192" s="142"/>
      <c r="W192" s="142"/>
      <c r="X192" s="142"/>
      <c r="Y192" s="142"/>
      <c r="Z192" s="143"/>
    </row>
    <row r="193" spans="2:26" ht="24" customHeight="1">
      <c r="B193" s="32">
        <f t="shared" si="2"/>
        <v>183</v>
      </c>
      <c r="C193" s="122" t="s">
        <v>20</v>
      </c>
      <c r="D193" s="123"/>
      <c r="E193" s="123"/>
      <c r="F193" s="123"/>
      <c r="G193" s="123"/>
      <c r="H193" s="123"/>
      <c r="I193" s="124"/>
      <c r="J193" s="34">
        <v>2</v>
      </c>
      <c r="K193" s="35"/>
      <c r="L193" s="36"/>
      <c r="M193" s="36"/>
      <c r="N193" s="37"/>
      <c r="O193" s="37"/>
      <c r="P193" s="33"/>
      <c r="Q193" s="125" t="s">
        <v>91</v>
      </c>
      <c r="R193" s="126"/>
      <c r="S193" s="126"/>
      <c r="T193" s="126"/>
      <c r="U193" s="126"/>
      <c r="V193" s="126"/>
      <c r="W193" s="126"/>
      <c r="X193" s="126"/>
      <c r="Y193" s="126"/>
      <c r="Z193" s="127"/>
    </row>
    <row r="194" spans="2:26" ht="24" customHeight="1">
      <c r="B194" s="40"/>
      <c r="C194" s="144"/>
      <c r="D194" s="145"/>
      <c r="E194" s="145"/>
      <c r="F194" s="145"/>
      <c r="G194" s="145"/>
      <c r="H194" s="145"/>
      <c r="I194" s="146"/>
      <c r="J194" s="41"/>
      <c r="K194" s="42"/>
      <c r="L194" s="43"/>
      <c r="M194" s="43"/>
      <c r="N194" s="44"/>
      <c r="O194" s="44"/>
      <c r="P194" s="45"/>
      <c r="Q194" s="147"/>
      <c r="R194" s="148"/>
      <c r="S194" s="148"/>
      <c r="T194" s="148"/>
      <c r="U194" s="148"/>
      <c r="V194" s="148"/>
      <c r="W194" s="148"/>
      <c r="X194" s="148"/>
      <c r="Y194" s="148"/>
      <c r="Z194" s="149"/>
    </row>
    <row r="195" spans="2:26" ht="7.5" customHeight="1">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sheetData>
  <mergeCells count="397">
    <mergeCell ref="C194:I194"/>
    <mergeCell ref="Q194:Z194"/>
    <mergeCell ref="C192:I192"/>
    <mergeCell ref="Q192:Z192"/>
    <mergeCell ref="C193:I193"/>
    <mergeCell ref="Q193:Z193"/>
    <mergeCell ref="C189:I189"/>
    <mergeCell ref="Q189:Z189"/>
    <mergeCell ref="C190:I190"/>
    <mergeCell ref="Q190:Z190"/>
    <mergeCell ref="C191:I191"/>
    <mergeCell ref="Q191:Z191"/>
    <mergeCell ref="C187:I187"/>
    <mergeCell ref="Q187:Z187"/>
    <mergeCell ref="C188:I188"/>
    <mergeCell ref="Q188:Z188"/>
    <mergeCell ref="C184:I184"/>
    <mergeCell ref="Q184:Z184"/>
    <mergeCell ref="C185:I185"/>
    <mergeCell ref="Q185:Z185"/>
    <mergeCell ref="C186:I186"/>
    <mergeCell ref="Q186:Z186"/>
    <mergeCell ref="C181:I181"/>
    <mergeCell ref="Q181:Z181"/>
    <mergeCell ref="C182:I182"/>
    <mergeCell ref="Q182:Z182"/>
    <mergeCell ref="C183:I183"/>
    <mergeCell ref="Q183:Z183"/>
    <mergeCell ref="C178:I178"/>
    <mergeCell ref="Q178:Z178"/>
    <mergeCell ref="C179:I179"/>
    <mergeCell ref="Q179:Z179"/>
    <mergeCell ref="C180:I180"/>
    <mergeCell ref="Q180:Z180"/>
    <mergeCell ref="C175:I175"/>
    <mergeCell ref="Q175:Z175"/>
    <mergeCell ref="C176:I176"/>
    <mergeCell ref="Q176:Z176"/>
    <mergeCell ref="C177:I177"/>
    <mergeCell ref="Q177:Z177"/>
    <mergeCell ref="C172:I172"/>
    <mergeCell ref="Q172:Z172"/>
    <mergeCell ref="C173:I173"/>
    <mergeCell ref="Q173:Z173"/>
    <mergeCell ref="C174:I174"/>
    <mergeCell ref="Q174:Z174"/>
    <mergeCell ref="C170:I170"/>
    <mergeCell ref="Q170:Z170"/>
    <mergeCell ref="C171:I171"/>
    <mergeCell ref="Q171:Z171"/>
    <mergeCell ref="C167:I167"/>
    <mergeCell ref="Q167:Z167"/>
    <mergeCell ref="C168:I168"/>
    <mergeCell ref="Q168:Z168"/>
    <mergeCell ref="C169:I169"/>
    <mergeCell ref="Q169:Z169"/>
    <mergeCell ref="C164:I164"/>
    <mergeCell ref="Q164:Z164"/>
    <mergeCell ref="C165:I165"/>
    <mergeCell ref="Q165:Z165"/>
    <mergeCell ref="C166:I166"/>
    <mergeCell ref="Q166:Z166"/>
    <mergeCell ref="C161:I161"/>
    <mergeCell ref="Q161:Z161"/>
    <mergeCell ref="C162:I162"/>
    <mergeCell ref="Q162:Z162"/>
    <mergeCell ref="C163:I163"/>
    <mergeCell ref="Q163:Z163"/>
    <mergeCell ref="C158:I158"/>
    <mergeCell ref="Q158:Z158"/>
    <mergeCell ref="C159:I159"/>
    <mergeCell ref="Q159:Z159"/>
    <mergeCell ref="C160:I160"/>
    <mergeCell ref="Q160:Z160"/>
    <mergeCell ref="C156:I156"/>
    <mergeCell ref="Q156:Z156"/>
    <mergeCell ref="C157:I157"/>
    <mergeCell ref="Q157:Z157"/>
    <mergeCell ref="C153:I153"/>
    <mergeCell ref="Q153:Z153"/>
    <mergeCell ref="C154:I154"/>
    <mergeCell ref="Q154:Z154"/>
    <mergeCell ref="C155:I155"/>
    <mergeCell ref="Q155:Z155"/>
    <mergeCell ref="C150:I150"/>
    <mergeCell ref="Q150:Z150"/>
    <mergeCell ref="C151:I151"/>
    <mergeCell ref="Q151:Z151"/>
    <mergeCell ref="C152:I152"/>
    <mergeCell ref="Q152:Z152"/>
    <mergeCell ref="C148:I148"/>
    <mergeCell ref="Q148:Z148"/>
    <mergeCell ref="C149:I149"/>
    <mergeCell ref="Q149:Z149"/>
    <mergeCell ref="C145:I145"/>
    <mergeCell ref="Q145:Z145"/>
    <mergeCell ref="C146:I146"/>
    <mergeCell ref="Q146:Z146"/>
    <mergeCell ref="C147:I147"/>
    <mergeCell ref="Q147:Z147"/>
    <mergeCell ref="C142:I142"/>
    <mergeCell ref="Q142:Z142"/>
    <mergeCell ref="C143:I143"/>
    <mergeCell ref="Q143:Z143"/>
    <mergeCell ref="C144:I144"/>
    <mergeCell ref="Q144:Z144"/>
    <mergeCell ref="C140:I140"/>
    <mergeCell ref="Q140:Z140"/>
    <mergeCell ref="C141:I141"/>
    <mergeCell ref="Q141:Z141"/>
    <mergeCell ref="C137:I137"/>
    <mergeCell ref="Q137:Z137"/>
    <mergeCell ref="C138:I138"/>
    <mergeCell ref="Q138:Z138"/>
    <mergeCell ref="C139:I139"/>
    <mergeCell ref="Q139:Z139"/>
    <mergeCell ref="C134:I134"/>
    <mergeCell ref="Q134:Z134"/>
    <mergeCell ref="C135:I135"/>
    <mergeCell ref="Q135:Z135"/>
    <mergeCell ref="C136:I136"/>
    <mergeCell ref="Q136:Z136"/>
    <mergeCell ref="C131:I131"/>
    <mergeCell ref="Q131:Z131"/>
    <mergeCell ref="C132:I132"/>
    <mergeCell ref="Q132:Z132"/>
    <mergeCell ref="C133:I133"/>
    <mergeCell ref="Q133:Z133"/>
    <mergeCell ref="C128:I128"/>
    <mergeCell ref="Q128:Z128"/>
    <mergeCell ref="C129:I129"/>
    <mergeCell ref="Q129:Z129"/>
    <mergeCell ref="C130:I130"/>
    <mergeCell ref="Q130:Z130"/>
    <mergeCell ref="C126:I126"/>
    <mergeCell ref="Q126:Z126"/>
    <mergeCell ref="C127:I127"/>
    <mergeCell ref="Q127:Z127"/>
    <mergeCell ref="C123:I123"/>
    <mergeCell ref="Q123:Z123"/>
    <mergeCell ref="C124:I124"/>
    <mergeCell ref="Q124:Z124"/>
    <mergeCell ref="C125:I125"/>
    <mergeCell ref="Q125:Z125"/>
    <mergeCell ref="C120:I120"/>
    <mergeCell ref="Q120:Z120"/>
    <mergeCell ref="C121:I121"/>
    <mergeCell ref="Q121:Z121"/>
    <mergeCell ref="C122:I122"/>
    <mergeCell ref="Q122:Z122"/>
    <mergeCell ref="C117:I117"/>
    <mergeCell ref="Q117:Z117"/>
    <mergeCell ref="C118:I118"/>
    <mergeCell ref="Q118:Z118"/>
    <mergeCell ref="C119:I119"/>
    <mergeCell ref="Q119:Z119"/>
    <mergeCell ref="C114:I114"/>
    <mergeCell ref="Q114:Z114"/>
    <mergeCell ref="C115:I115"/>
    <mergeCell ref="Q115:Z115"/>
    <mergeCell ref="C116:I116"/>
    <mergeCell ref="Q116:Z116"/>
    <mergeCell ref="C111:I111"/>
    <mergeCell ref="Q111:Z111"/>
    <mergeCell ref="C112:I112"/>
    <mergeCell ref="Q112:Z112"/>
    <mergeCell ref="C113:I113"/>
    <mergeCell ref="Q113:Z113"/>
    <mergeCell ref="C108:I108"/>
    <mergeCell ref="Q108:Z108"/>
    <mergeCell ref="C109:I109"/>
    <mergeCell ref="Q109:Z109"/>
    <mergeCell ref="C110:I110"/>
    <mergeCell ref="Q110:Z110"/>
    <mergeCell ref="C105:I105"/>
    <mergeCell ref="Q105:Z105"/>
    <mergeCell ref="C106:I106"/>
    <mergeCell ref="Q106:Z106"/>
    <mergeCell ref="C107:I107"/>
    <mergeCell ref="Q107:Z107"/>
    <mergeCell ref="C102:I102"/>
    <mergeCell ref="Q102:Z102"/>
    <mergeCell ref="C103:I103"/>
    <mergeCell ref="Q103:Z103"/>
    <mergeCell ref="C104:I104"/>
    <mergeCell ref="Q104:Z104"/>
    <mergeCell ref="C99:I99"/>
    <mergeCell ref="Q99:Z99"/>
    <mergeCell ref="C100:I100"/>
    <mergeCell ref="Q100:Z100"/>
    <mergeCell ref="C101:I101"/>
    <mergeCell ref="Q101:Z101"/>
    <mergeCell ref="C96:I96"/>
    <mergeCell ref="Q96:Z96"/>
    <mergeCell ref="C97:I97"/>
    <mergeCell ref="Q97:Z97"/>
    <mergeCell ref="C98:I98"/>
    <mergeCell ref="Q98:Z98"/>
    <mergeCell ref="C94:I94"/>
    <mergeCell ref="Q94:Z94"/>
    <mergeCell ref="C95:I95"/>
    <mergeCell ref="Q95:Z95"/>
    <mergeCell ref="C92:I92"/>
    <mergeCell ref="Q92:Z92"/>
    <mergeCell ref="C93:I93"/>
    <mergeCell ref="Q93:Z93"/>
    <mergeCell ref="C89:I89"/>
    <mergeCell ref="Q89:Z89"/>
    <mergeCell ref="C90:I90"/>
    <mergeCell ref="Q90:Z90"/>
    <mergeCell ref="C91:I91"/>
    <mergeCell ref="Q91:Z91"/>
    <mergeCell ref="C87:I87"/>
    <mergeCell ref="Q87:Z87"/>
    <mergeCell ref="C88:I88"/>
    <mergeCell ref="Q88:Z88"/>
    <mergeCell ref="C83:I83"/>
    <mergeCell ref="Q83:Z83"/>
    <mergeCell ref="C84:I84"/>
    <mergeCell ref="Q84:Z84"/>
    <mergeCell ref="C85:I85"/>
    <mergeCell ref="Q85:Z85"/>
    <mergeCell ref="C81:I81"/>
    <mergeCell ref="Q81:Z81"/>
    <mergeCell ref="C82:I82"/>
    <mergeCell ref="Q82:Z82"/>
    <mergeCell ref="C79:I79"/>
    <mergeCell ref="Q79:Z79"/>
    <mergeCell ref="C80:I80"/>
    <mergeCell ref="Q80:Z80"/>
    <mergeCell ref="C86:I86"/>
    <mergeCell ref="Q86:Z86"/>
    <mergeCell ref="C76:I76"/>
    <mergeCell ref="Q76:Z76"/>
    <mergeCell ref="C77:I77"/>
    <mergeCell ref="Q77:Z77"/>
    <mergeCell ref="C78:I78"/>
    <mergeCell ref="Q78:Z78"/>
    <mergeCell ref="C74:I74"/>
    <mergeCell ref="Q74:Z74"/>
    <mergeCell ref="C75:I75"/>
    <mergeCell ref="Q75:Z75"/>
    <mergeCell ref="C71:I71"/>
    <mergeCell ref="Q71:Z71"/>
    <mergeCell ref="C72:I72"/>
    <mergeCell ref="Q72:Z72"/>
    <mergeCell ref="C73:I73"/>
    <mergeCell ref="Q73:Z73"/>
    <mergeCell ref="C68:I68"/>
    <mergeCell ref="Q68:Z68"/>
    <mergeCell ref="C69:I69"/>
    <mergeCell ref="Q69:Z69"/>
    <mergeCell ref="C70:I70"/>
    <mergeCell ref="Q70:Z70"/>
    <mergeCell ref="C65:I65"/>
    <mergeCell ref="Q65:Z65"/>
    <mergeCell ref="C66:I66"/>
    <mergeCell ref="Q66:Z66"/>
    <mergeCell ref="C67:I67"/>
    <mergeCell ref="Q67:Z67"/>
    <mergeCell ref="C62:I62"/>
    <mergeCell ref="Q62:Z62"/>
    <mergeCell ref="C63:I63"/>
    <mergeCell ref="Q63:Z63"/>
    <mergeCell ref="C64:I64"/>
    <mergeCell ref="Q64:Z64"/>
    <mergeCell ref="C60:I60"/>
    <mergeCell ref="Q60:Z60"/>
    <mergeCell ref="C61:I61"/>
    <mergeCell ref="Q61:Z61"/>
    <mergeCell ref="C57:I57"/>
    <mergeCell ref="Q57:Z57"/>
    <mergeCell ref="C58:I58"/>
    <mergeCell ref="Q58:Z58"/>
    <mergeCell ref="C59:I59"/>
    <mergeCell ref="Q59:Z59"/>
    <mergeCell ref="C54:I54"/>
    <mergeCell ref="Q54:Z54"/>
    <mergeCell ref="C55:I55"/>
    <mergeCell ref="Q55:Z55"/>
    <mergeCell ref="C56:I56"/>
    <mergeCell ref="Q56:Z56"/>
    <mergeCell ref="C52:I52"/>
    <mergeCell ref="Q52:Z52"/>
    <mergeCell ref="C53:I53"/>
    <mergeCell ref="Q53:Z53"/>
    <mergeCell ref="C49:I49"/>
    <mergeCell ref="Q49:Z49"/>
    <mergeCell ref="C50:I50"/>
    <mergeCell ref="Q50:Z50"/>
    <mergeCell ref="C51:I51"/>
    <mergeCell ref="Q51:Z51"/>
    <mergeCell ref="C46:I46"/>
    <mergeCell ref="Q46:Z46"/>
    <mergeCell ref="C47:I47"/>
    <mergeCell ref="Q47:Z47"/>
    <mergeCell ref="C48:I48"/>
    <mergeCell ref="Q48:Z48"/>
    <mergeCell ref="C44:I44"/>
    <mergeCell ref="Q44:Z44"/>
    <mergeCell ref="C45:I45"/>
    <mergeCell ref="Q45:Z45"/>
    <mergeCell ref="C41:I41"/>
    <mergeCell ref="Q41:Z41"/>
    <mergeCell ref="C42:I42"/>
    <mergeCell ref="Q42:Z42"/>
    <mergeCell ref="C43:I43"/>
    <mergeCell ref="Q43:Z43"/>
    <mergeCell ref="C38:I38"/>
    <mergeCell ref="Q38:Z38"/>
    <mergeCell ref="C39:I39"/>
    <mergeCell ref="Q39:Z39"/>
    <mergeCell ref="C40:I40"/>
    <mergeCell ref="Q40:Z40"/>
    <mergeCell ref="C35:I35"/>
    <mergeCell ref="Q35:Z35"/>
    <mergeCell ref="C36:I36"/>
    <mergeCell ref="Q36:Z36"/>
    <mergeCell ref="C37:I37"/>
    <mergeCell ref="Q37:Z37"/>
    <mergeCell ref="C32:I32"/>
    <mergeCell ref="Q32:Z32"/>
    <mergeCell ref="C33:I33"/>
    <mergeCell ref="Q33:Z33"/>
    <mergeCell ref="C34:I34"/>
    <mergeCell ref="Q34:Z34"/>
    <mergeCell ref="C29:I29"/>
    <mergeCell ref="Q29:Z29"/>
    <mergeCell ref="C30:I30"/>
    <mergeCell ref="Q30:Z30"/>
    <mergeCell ref="C31:I31"/>
    <mergeCell ref="Q31:Z31"/>
    <mergeCell ref="C26:I26"/>
    <mergeCell ref="Q26:Z26"/>
    <mergeCell ref="C27:I27"/>
    <mergeCell ref="Q27:Z27"/>
    <mergeCell ref="C28:I28"/>
    <mergeCell ref="Q28:Z28"/>
    <mergeCell ref="C23:I23"/>
    <mergeCell ref="Q23:Z23"/>
    <mergeCell ref="C24:I24"/>
    <mergeCell ref="Q24:Z24"/>
    <mergeCell ref="C25:I25"/>
    <mergeCell ref="Q25:Z25"/>
    <mergeCell ref="C20:I20"/>
    <mergeCell ref="Q20:Z20"/>
    <mergeCell ref="C21:I21"/>
    <mergeCell ref="Q21:Z21"/>
    <mergeCell ref="C22:I22"/>
    <mergeCell ref="Q22:Z22"/>
    <mergeCell ref="C17:I17"/>
    <mergeCell ref="Q17:Z17"/>
    <mergeCell ref="C18:I18"/>
    <mergeCell ref="Q18:Z18"/>
    <mergeCell ref="C19:I19"/>
    <mergeCell ref="Q19:Z19"/>
    <mergeCell ref="C15:I15"/>
    <mergeCell ref="Q15:Z15"/>
    <mergeCell ref="C16:I16"/>
    <mergeCell ref="Q16:Z16"/>
    <mergeCell ref="C13:I13"/>
    <mergeCell ref="Q13:Z13"/>
    <mergeCell ref="C14:I14"/>
    <mergeCell ref="Q14:Z14"/>
    <mergeCell ref="C10:H10"/>
    <mergeCell ref="K10:M10"/>
    <mergeCell ref="Q10:Z10"/>
    <mergeCell ref="C11:I11"/>
    <mergeCell ref="Q11:Z11"/>
    <mergeCell ref="C12:I12"/>
    <mergeCell ref="Q12:Z12"/>
    <mergeCell ref="I8:J8"/>
    <mergeCell ref="K8:N8"/>
    <mergeCell ref="O8:Q8"/>
    <mergeCell ref="R8:U8"/>
    <mergeCell ref="V8:X8"/>
    <mergeCell ref="Y8:Z8"/>
    <mergeCell ref="R4:S4"/>
    <mergeCell ref="B6:D6"/>
    <mergeCell ref="E6:G6"/>
    <mergeCell ref="I6:J6"/>
    <mergeCell ref="I7:J7"/>
    <mergeCell ref="K7:N7"/>
    <mergeCell ref="O7:Q7"/>
    <mergeCell ref="R7:U7"/>
    <mergeCell ref="V7:W7"/>
    <mergeCell ref="X7:Z7"/>
    <mergeCell ref="A2:AA2"/>
    <mergeCell ref="A3:D4"/>
    <mergeCell ref="E3:N4"/>
    <mergeCell ref="O3:Q3"/>
    <mergeCell ref="R3:S3"/>
    <mergeCell ref="T3:U4"/>
    <mergeCell ref="V3:W4"/>
    <mergeCell ref="X3:X4"/>
    <mergeCell ref="Y3:AA4"/>
    <mergeCell ref="O4:Q4"/>
  </mergeCells>
  <phoneticPr fontId="1"/>
  <dataValidations count="3">
    <dataValidation type="list" allowBlank="1" showInputMessage="1" showErrorMessage="1" sqref="Y8:Z8" xr:uid="{B5549B88-41F5-4DE8-A392-6252F951D88C}">
      <formula1>"無し,カンマ,タブ"</formula1>
    </dataValidation>
    <dataValidation type="list" allowBlank="1" showInputMessage="1" showErrorMessage="1" sqref="R8" xr:uid="{FD7FB097-ECBC-488A-B7E1-459F1537A1C3}">
      <formula1>"無し,シングルクォーテーション,ダブルクォーテーション"</formula1>
    </dataValidation>
    <dataValidation type="list" allowBlank="1" showInputMessage="1" showErrorMessage="1" sqref="K8" xr:uid="{BEE184A3-945C-4678-8E02-8D48E47313EB}">
      <formula1>"CR-LF,LF"</formula1>
    </dataValidation>
  </dataValidations>
  <pageMargins left="0.59055118110236227" right="0.39" top="0.39370078740157483" bottom="0.39370078740157483" header="0.99" footer="0.51181102362204722"/>
  <pageSetup paperSize="9" scale="76" fitToHeight="0" orientation="portrait" verticalDpi="360"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F1696-24EC-498F-B76B-FFD28B9FC6A2}">
  <sheetPr codeName="Sheet4">
    <pageSetUpPr fitToPage="1"/>
  </sheetPr>
  <dimension ref="A1:AG81"/>
  <sheetViews>
    <sheetView showGridLines="0" view="pageBreakPreview" zoomScaleNormal="100" zoomScaleSheetLayoutView="100" workbookViewId="0"/>
  </sheetViews>
  <sheetFormatPr defaultColWidth="9" defaultRowHeight="14.45" outlineLevelCol="1"/>
  <cols>
    <col min="1" max="1" width="1.7109375" style="19" customWidth="1"/>
    <col min="2" max="2" width="5.42578125" style="19" bestFit="1" customWidth="1"/>
    <col min="3" max="5" width="3.7109375" style="19" customWidth="1"/>
    <col min="6" max="6" width="5.42578125" style="19" customWidth="1"/>
    <col min="7" max="7" width="2.28515625" style="19" customWidth="1"/>
    <col min="8" max="8" width="3.28515625" style="19" customWidth="1"/>
    <col min="9" max="9" width="7.42578125" style="19" bestFit="1" customWidth="1"/>
    <col min="10" max="10" width="9.140625" style="19" customWidth="1"/>
    <col min="11" max="11" width="3.7109375" style="19" customWidth="1"/>
    <col min="12" max="12" width="5.140625" style="19" customWidth="1"/>
    <col min="13" max="13" width="7" style="19" customWidth="1"/>
    <col min="14" max="14" width="5.140625" style="19" customWidth="1"/>
    <col min="15" max="15" width="5.42578125" style="19" bestFit="1" customWidth="1"/>
    <col min="16" max="16" width="5.85546875" style="19" customWidth="1"/>
    <col min="17" max="17" width="1.85546875" style="19" customWidth="1"/>
    <col min="18" max="18" width="4.28515625" style="19" customWidth="1"/>
    <col min="19" max="19" width="8" style="19" customWidth="1"/>
    <col min="20" max="22" width="3.7109375" style="19" customWidth="1"/>
    <col min="23" max="23" width="5.28515625" style="19" customWidth="1"/>
    <col min="24" max="24" width="3.42578125" style="19" bestFit="1" customWidth="1"/>
    <col min="25" max="25" width="5.28515625" style="19" customWidth="1"/>
    <col min="26" max="26" width="5.7109375" style="19" customWidth="1"/>
    <col min="27" max="27" width="1.42578125" style="19" customWidth="1"/>
    <col min="28" max="28" width="9" style="19"/>
    <col min="29" max="29" width="14.140625" style="26" hidden="1" customWidth="1" outlineLevel="1"/>
    <col min="30" max="30" width="12.28515625" style="26" hidden="1" customWidth="1" outlineLevel="1"/>
    <col min="31" max="31" width="17.42578125" style="26" hidden="1" customWidth="1" outlineLevel="1"/>
    <col min="32" max="32" width="17.28515625" style="26" hidden="1" customWidth="1" outlineLevel="1"/>
    <col min="33" max="33" width="9" style="19" collapsed="1"/>
    <col min="34" max="16384" width="9" style="19"/>
  </cols>
  <sheetData>
    <row r="1" spans="1:33" ht="24" customHeight="1">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COUNTA(C11:C81)</f>
        <v>69</v>
      </c>
      <c r="AE1" s="46" t="s">
        <v>18</v>
      </c>
      <c r="AF1" s="48">
        <f>IF(Y8="無し",0,AD1-1)</f>
        <v>0</v>
      </c>
    </row>
    <row r="2" spans="1:33" s="20" customFormat="1" ht="24" customHeight="1">
      <c r="A2" s="96" t="s">
        <v>19</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1">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1">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1">
      <c r="AE5" s="19"/>
      <c r="AF5" s="19"/>
    </row>
    <row r="6" spans="1:33" ht="21" customHeight="1">
      <c r="A6" s="21"/>
      <c r="B6" s="107" t="s">
        <v>25</v>
      </c>
      <c r="C6" s="108"/>
      <c r="D6" s="109"/>
      <c r="E6" s="117" t="s">
        <v>313</v>
      </c>
      <c r="F6" s="118"/>
      <c r="G6" s="119"/>
      <c r="I6" s="117" t="s">
        <v>27</v>
      </c>
      <c r="J6" s="119"/>
      <c r="K6" s="22" t="s">
        <v>314</v>
      </c>
      <c r="L6" s="23"/>
      <c r="M6" s="23"/>
      <c r="N6" s="23"/>
      <c r="O6" s="23"/>
      <c r="P6" s="23"/>
      <c r="Q6" s="23"/>
      <c r="R6" s="23"/>
      <c r="S6" s="23"/>
      <c r="T6" s="23"/>
      <c r="U6" s="23"/>
      <c r="V6" s="23"/>
      <c r="W6" s="23"/>
      <c r="X6" s="23"/>
      <c r="Y6" s="23"/>
      <c r="Z6" s="24"/>
      <c r="AA6" s="25"/>
      <c r="AB6" s="26"/>
      <c r="AC6" s="46" t="s">
        <v>29</v>
      </c>
      <c r="AD6" s="48">
        <f>SUM(J11:J80)</f>
        <v>347</v>
      </c>
      <c r="AE6" s="19"/>
      <c r="AF6" s="19"/>
    </row>
    <row r="7" spans="1:33" ht="21" customHeight="1">
      <c r="I7" s="117" t="s">
        <v>30</v>
      </c>
      <c r="J7" s="119"/>
      <c r="K7" s="117" t="s">
        <v>31</v>
      </c>
      <c r="L7" s="118"/>
      <c r="M7" s="118"/>
      <c r="N7" s="119"/>
      <c r="O7" s="117" t="s">
        <v>32</v>
      </c>
      <c r="P7" s="118"/>
      <c r="Q7" s="119"/>
      <c r="R7" s="120"/>
      <c r="S7" s="121"/>
      <c r="T7" s="121"/>
      <c r="U7" s="121"/>
      <c r="V7" s="107" t="s">
        <v>33</v>
      </c>
      <c r="W7" s="167"/>
      <c r="X7" s="129">
        <f>AD10</f>
        <v>349</v>
      </c>
      <c r="Y7" s="130"/>
      <c r="Z7" s="131"/>
      <c r="AB7" s="26"/>
      <c r="AC7" s="46" t="s">
        <v>34</v>
      </c>
      <c r="AD7" s="48">
        <f>AD6+AF1</f>
        <v>347</v>
      </c>
      <c r="AE7" s="19"/>
      <c r="AF7" s="19"/>
    </row>
    <row r="8" spans="1:33" ht="21" customHeight="1">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347</v>
      </c>
      <c r="AE8" s="19"/>
      <c r="AF8" s="19"/>
    </row>
    <row r="9" spans="1:33" ht="5.25" customHeight="1">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1">
      <c r="B10" s="54" t="s">
        <v>41</v>
      </c>
      <c r="C10" s="117" t="s">
        <v>42</v>
      </c>
      <c r="D10" s="118"/>
      <c r="E10" s="118"/>
      <c r="F10" s="118"/>
      <c r="G10" s="118"/>
      <c r="H10" s="118"/>
      <c r="I10" s="55"/>
      <c r="J10" s="29" t="s">
        <v>43</v>
      </c>
      <c r="K10" s="117" t="s">
        <v>44</v>
      </c>
      <c r="L10" s="118"/>
      <c r="M10" s="118"/>
      <c r="N10" s="30" t="s">
        <v>45</v>
      </c>
      <c r="O10" s="30" t="s">
        <v>46</v>
      </c>
      <c r="P10" s="29" t="s">
        <v>47</v>
      </c>
      <c r="Q10" s="132" t="s">
        <v>48</v>
      </c>
      <c r="R10" s="163"/>
      <c r="S10" s="163"/>
      <c r="T10" s="163"/>
      <c r="U10" s="163"/>
      <c r="V10" s="163"/>
      <c r="W10" s="163"/>
      <c r="X10" s="163"/>
      <c r="Y10" s="163"/>
      <c r="Z10" s="164"/>
      <c r="AC10" s="46" t="s">
        <v>49</v>
      </c>
      <c r="AD10" s="48">
        <f>AD8+AD2</f>
        <v>349</v>
      </c>
      <c r="AE10" s="19"/>
      <c r="AF10" s="19"/>
    </row>
    <row r="11" spans="1:33" ht="24" customHeight="1">
      <c r="B11" s="31">
        <f>ROW($B$10)-ROW()+2</f>
        <v>1</v>
      </c>
      <c r="C11" s="135" t="s">
        <v>315</v>
      </c>
      <c r="D11" s="165"/>
      <c r="E11" s="165"/>
      <c r="F11" s="165"/>
      <c r="G11" s="165"/>
      <c r="H11" s="165"/>
      <c r="I11" s="166"/>
      <c r="J11" s="49">
        <v>2</v>
      </c>
      <c r="K11" s="35" t="s">
        <v>51</v>
      </c>
      <c r="L11" s="50"/>
      <c r="M11" s="50"/>
      <c r="N11" s="51"/>
      <c r="O11" s="51"/>
      <c r="P11" s="52"/>
      <c r="Q11" s="57" t="s">
        <v>315</v>
      </c>
      <c r="R11" s="58"/>
      <c r="S11" s="58"/>
      <c r="T11" s="58"/>
      <c r="U11" s="58"/>
      <c r="V11" s="58"/>
      <c r="W11" s="58"/>
      <c r="X11" s="58"/>
      <c r="Y11" s="58"/>
      <c r="Z11" s="59"/>
    </row>
    <row r="12" spans="1:33" ht="32.25" customHeight="1">
      <c r="B12" s="32">
        <f>B11+1</f>
        <v>2</v>
      </c>
      <c r="C12" s="150" t="s">
        <v>212</v>
      </c>
      <c r="D12" s="158"/>
      <c r="E12" s="158"/>
      <c r="F12" s="158"/>
      <c r="G12" s="158"/>
      <c r="H12" s="158"/>
      <c r="I12" s="159"/>
      <c r="J12" s="34">
        <v>1</v>
      </c>
      <c r="K12" s="35" t="s">
        <v>51</v>
      </c>
      <c r="L12" s="36"/>
      <c r="M12" s="36"/>
      <c r="N12" s="37"/>
      <c r="O12" s="37"/>
      <c r="P12" s="33"/>
      <c r="Q12" s="160" t="s">
        <v>316</v>
      </c>
      <c r="R12" s="161"/>
      <c r="S12" s="161"/>
      <c r="T12" s="161"/>
      <c r="U12" s="161"/>
      <c r="V12" s="161"/>
      <c r="W12" s="161"/>
      <c r="X12" s="161"/>
      <c r="Y12" s="161"/>
      <c r="Z12" s="162"/>
    </row>
    <row r="13" spans="1:33" ht="24" customHeight="1">
      <c r="B13" s="32">
        <f t="shared" ref="B13:B76" si="0">B12+1</f>
        <v>3</v>
      </c>
      <c r="C13" s="150" t="s">
        <v>317</v>
      </c>
      <c r="D13" s="158"/>
      <c r="E13" s="158"/>
      <c r="F13" s="158"/>
      <c r="G13" s="158"/>
      <c r="H13" s="158"/>
      <c r="I13" s="159"/>
      <c r="J13" s="34">
        <v>2</v>
      </c>
      <c r="K13" s="35" t="s">
        <v>51</v>
      </c>
      <c r="L13" s="36"/>
      <c r="M13" s="36"/>
      <c r="N13" s="37"/>
      <c r="O13" s="37"/>
      <c r="P13" s="38"/>
      <c r="Q13" s="160" t="s">
        <v>317</v>
      </c>
      <c r="R13" s="161"/>
      <c r="S13" s="161"/>
      <c r="T13" s="161"/>
      <c r="U13" s="161"/>
      <c r="V13" s="161"/>
      <c r="W13" s="161"/>
      <c r="X13" s="161"/>
      <c r="Y13" s="161"/>
      <c r="Z13" s="162"/>
    </row>
    <row r="14" spans="1:33" ht="24" customHeight="1">
      <c r="B14" s="32">
        <f t="shared" si="0"/>
        <v>4</v>
      </c>
      <c r="C14" s="150" t="s">
        <v>318</v>
      </c>
      <c r="D14" s="158"/>
      <c r="E14" s="158"/>
      <c r="F14" s="158"/>
      <c r="G14" s="158"/>
      <c r="H14" s="158"/>
      <c r="I14" s="159"/>
      <c r="J14" s="34">
        <v>2</v>
      </c>
      <c r="K14" s="35" t="s">
        <v>51</v>
      </c>
      <c r="L14" s="36"/>
      <c r="M14" s="36"/>
      <c r="N14" s="37"/>
      <c r="O14" s="37"/>
      <c r="P14" s="38"/>
      <c r="Q14" s="160" t="s">
        <v>318</v>
      </c>
      <c r="R14" s="161"/>
      <c r="S14" s="161"/>
      <c r="T14" s="161"/>
      <c r="U14" s="161"/>
      <c r="V14" s="161"/>
      <c r="W14" s="161"/>
      <c r="X14" s="161"/>
      <c r="Y14" s="161"/>
      <c r="Z14" s="162"/>
    </row>
    <row r="15" spans="1:33" ht="24" customHeight="1">
      <c r="B15" s="32">
        <f t="shared" si="0"/>
        <v>5</v>
      </c>
      <c r="C15" s="150" t="s">
        <v>141</v>
      </c>
      <c r="D15" s="158"/>
      <c r="E15" s="158"/>
      <c r="F15" s="158"/>
      <c r="G15" s="158"/>
      <c r="H15" s="158"/>
      <c r="I15" s="159"/>
      <c r="J15" s="34">
        <v>1</v>
      </c>
      <c r="K15" s="35" t="s">
        <v>51</v>
      </c>
      <c r="L15" s="36"/>
      <c r="M15" s="36"/>
      <c r="N15" s="37"/>
      <c r="O15" s="37"/>
      <c r="P15" s="38"/>
      <c r="Q15" s="160" t="s">
        <v>141</v>
      </c>
      <c r="R15" s="161"/>
      <c r="S15" s="161"/>
      <c r="T15" s="161"/>
      <c r="U15" s="161"/>
      <c r="V15" s="161"/>
      <c r="W15" s="161"/>
      <c r="X15" s="161"/>
      <c r="Y15" s="161"/>
      <c r="Z15" s="162"/>
    </row>
    <row r="16" spans="1:33" ht="30.75" customHeight="1">
      <c r="B16" s="32">
        <f t="shared" si="0"/>
        <v>6</v>
      </c>
      <c r="C16" s="150" t="s">
        <v>145</v>
      </c>
      <c r="D16" s="158"/>
      <c r="E16" s="158"/>
      <c r="F16" s="158"/>
      <c r="G16" s="158"/>
      <c r="H16" s="158"/>
      <c r="I16" s="159"/>
      <c r="J16" s="34">
        <v>2</v>
      </c>
      <c r="K16" s="35" t="s">
        <v>51</v>
      </c>
      <c r="L16" s="36"/>
      <c r="M16" s="36"/>
      <c r="N16" s="37"/>
      <c r="O16" s="37"/>
      <c r="P16" s="38"/>
      <c r="Q16" s="160" t="s">
        <v>319</v>
      </c>
      <c r="R16" s="161"/>
      <c r="S16" s="161"/>
      <c r="T16" s="161"/>
      <c r="U16" s="161"/>
      <c r="V16" s="161"/>
      <c r="W16" s="161"/>
      <c r="X16" s="161"/>
      <c r="Y16" s="161"/>
      <c r="Z16" s="162"/>
    </row>
    <row r="17" spans="2:26" ht="24" customHeight="1">
      <c r="B17" s="32">
        <f t="shared" si="0"/>
        <v>7</v>
      </c>
      <c r="C17" s="150" t="s">
        <v>104</v>
      </c>
      <c r="D17" s="158"/>
      <c r="E17" s="158"/>
      <c r="F17" s="158"/>
      <c r="G17" s="158"/>
      <c r="H17" s="158"/>
      <c r="I17" s="159"/>
      <c r="J17" s="34">
        <v>8</v>
      </c>
      <c r="K17" s="35" t="s">
        <v>51</v>
      </c>
      <c r="L17" s="36"/>
      <c r="M17" s="36"/>
      <c r="N17" s="37"/>
      <c r="O17" s="37"/>
      <c r="P17" s="33"/>
      <c r="Q17" s="160" t="s">
        <v>104</v>
      </c>
      <c r="R17" s="161"/>
      <c r="S17" s="161"/>
      <c r="T17" s="161"/>
      <c r="U17" s="161"/>
      <c r="V17" s="161"/>
      <c r="W17" s="161"/>
      <c r="X17" s="161"/>
      <c r="Y17" s="161"/>
      <c r="Z17" s="162"/>
    </row>
    <row r="18" spans="2:26" ht="24" customHeight="1">
      <c r="B18" s="32">
        <f t="shared" si="0"/>
        <v>8</v>
      </c>
      <c r="C18" s="150" t="s">
        <v>320</v>
      </c>
      <c r="D18" s="158"/>
      <c r="E18" s="158"/>
      <c r="F18" s="158"/>
      <c r="G18" s="158"/>
      <c r="H18" s="158"/>
      <c r="I18" s="159"/>
      <c r="J18" s="34">
        <v>4</v>
      </c>
      <c r="K18" s="35" t="s">
        <v>51</v>
      </c>
      <c r="L18" s="36"/>
      <c r="M18" s="36"/>
      <c r="N18" s="37"/>
      <c r="O18" s="37"/>
      <c r="P18" s="33"/>
      <c r="Q18" s="160" t="s">
        <v>320</v>
      </c>
      <c r="R18" s="161"/>
      <c r="S18" s="161"/>
      <c r="T18" s="161"/>
      <c r="U18" s="161"/>
      <c r="V18" s="161"/>
      <c r="W18" s="161"/>
      <c r="X18" s="161"/>
      <c r="Y18" s="161"/>
      <c r="Z18" s="162"/>
    </row>
    <row r="19" spans="2:26" ht="24" customHeight="1">
      <c r="B19" s="32">
        <f t="shared" si="0"/>
        <v>9</v>
      </c>
      <c r="C19" s="150" t="s">
        <v>321</v>
      </c>
      <c r="D19" s="158"/>
      <c r="E19" s="158"/>
      <c r="F19" s="158"/>
      <c r="G19" s="158"/>
      <c r="H19" s="158"/>
      <c r="I19" s="159"/>
      <c r="J19" s="34">
        <v>2</v>
      </c>
      <c r="K19" s="35" t="s">
        <v>51</v>
      </c>
      <c r="L19" s="36"/>
      <c r="M19" s="36"/>
      <c r="N19" s="37"/>
      <c r="O19" s="37"/>
      <c r="P19" s="33"/>
      <c r="Q19" s="160" t="s">
        <v>321</v>
      </c>
      <c r="R19" s="161"/>
      <c r="S19" s="161"/>
      <c r="T19" s="161"/>
      <c r="U19" s="161"/>
      <c r="V19" s="161"/>
      <c r="W19" s="161"/>
      <c r="X19" s="161"/>
      <c r="Y19" s="161"/>
      <c r="Z19" s="162"/>
    </row>
    <row r="20" spans="2:26" ht="24" customHeight="1">
      <c r="B20" s="32">
        <f t="shared" si="0"/>
        <v>10</v>
      </c>
      <c r="C20" s="150" t="s">
        <v>322</v>
      </c>
      <c r="D20" s="158"/>
      <c r="E20" s="158"/>
      <c r="F20" s="158"/>
      <c r="G20" s="158"/>
      <c r="H20" s="158"/>
      <c r="I20" s="159"/>
      <c r="J20" s="34">
        <v>6</v>
      </c>
      <c r="K20" s="35" t="s">
        <v>51</v>
      </c>
      <c r="L20" s="36"/>
      <c r="M20" s="36"/>
      <c r="N20" s="37"/>
      <c r="O20" s="37"/>
      <c r="P20" s="38"/>
      <c r="Q20" s="160" t="s">
        <v>322</v>
      </c>
      <c r="R20" s="161"/>
      <c r="S20" s="161"/>
      <c r="T20" s="161"/>
      <c r="U20" s="161"/>
      <c r="V20" s="161"/>
      <c r="W20" s="161"/>
      <c r="X20" s="161"/>
      <c r="Y20" s="161"/>
      <c r="Z20" s="162"/>
    </row>
    <row r="21" spans="2:26" ht="24" customHeight="1">
      <c r="B21" s="32">
        <f t="shared" si="0"/>
        <v>11</v>
      </c>
      <c r="C21" s="150" t="s">
        <v>323</v>
      </c>
      <c r="D21" s="158"/>
      <c r="E21" s="158"/>
      <c r="F21" s="158"/>
      <c r="G21" s="158"/>
      <c r="H21" s="158"/>
      <c r="I21" s="159"/>
      <c r="J21" s="34">
        <v>2</v>
      </c>
      <c r="K21" s="35" t="s">
        <v>51</v>
      </c>
      <c r="L21" s="36"/>
      <c r="M21" s="36"/>
      <c r="N21" s="37"/>
      <c r="O21" s="37"/>
      <c r="P21" s="38"/>
      <c r="Q21" s="160" t="s">
        <v>323</v>
      </c>
      <c r="R21" s="161"/>
      <c r="S21" s="161"/>
      <c r="T21" s="161"/>
      <c r="U21" s="161"/>
      <c r="V21" s="161"/>
      <c r="W21" s="161"/>
      <c r="X21" s="161"/>
      <c r="Y21" s="161"/>
      <c r="Z21" s="162"/>
    </row>
    <row r="22" spans="2:26" ht="24" customHeight="1">
      <c r="B22" s="32">
        <f t="shared" si="0"/>
        <v>12</v>
      </c>
      <c r="C22" s="150" t="s">
        <v>324</v>
      </c>
      <c r="D22" s="158"/>
      <c r="E22" s="158"/>
      <c r="F22" s="158"/>
      <c r="G22" s="158"/>
      <c r="H22" s="158"/>
      <c r="I22" s="159"/>
      <c r="J22" s="34">
        <v>1</v>
      </c>
      <c r="K22" s="35" t="s">
        <v>51</v>
      </c>
      <c r="L22" s="36"/>
      <c r="M22" s="36"/>
      <c r="N22" s="37"/>
      <c r="O22" s="37"/>
      <c r="P22" s="38"/>
      <c r="Q22" s="160" t="s">
        <v>324</v>
      </c>
      <c r="R22" s="161"/>
      <c r="S22" s="161"/>
      <c r="T22" s="161"/>
      <c r="U22" s="161"/>
      <c r="V22" s="161"/>
      <c r="W22" s="161"/>
      <c r="X22" s="161"/>
      <c r="Y22" s="161"/>
      <c r="Z22" s="162"/>
    </row>
    <row r="23" spans="2:26" ht="24" customHeight="1">
      <c r="B23" s="32">
        <f t="shared" si="0"/>
        <v>13</v>
      </c>
      <c r="C23" s="150" t="s">
        <v>325</v>
      </c>
      <c r="D23" s="158"/>
      <c r="E23" s="158"/>
      <c r="F23" s="158"/>
      <c r="G23" s="158"/>
      <c r="H23" s="158"/>
      <c r="I23" s="159"/>
      <c r="J23" s="34">
        <v>1</v>
      </c>
      <c r="K23" s="35" t="s">
        <v>51</v>
      </c>
      <c r="L23" s="36"/>
      <c r="M23" s="36"/>
      <c r="N23" s="37"/>
      <c r="O23" s="37"/>
      <c r="P23" s="38"/>
      <c r="Q23" s="160" t="s">
        <v>325</v>
      </c>
      <c r="R23" s="161"/>
      <c r="S23" s="161"/>
      <c r="T23" s="161"/>
      <c r="U23" s="161"/>
      <c r="V23" s="161"/>
      <c r="W23" s="161"/>
      <c r="X23" s="161"/>
      <c r="Y23" s="161"/>
      <c r="Z23" s="162"/>
    </row>
    <row r="24" spans="2:26" ht="24" customHeight="1">
      <c r="B24" s="32">
        <f t="shared" si="0"/>
        <v>14</v>
      </c>
      <c r="C24" s="150" t="s">
        <v>326</v>
      </c>
      <c r="D24" s="158"/>
      <c r="E24" s="158"/>
      <c r="F24" s="158"/>
      <c r="G24" s="158"/>
      <c r="H24" s="158"/>
      <c r="I24" s="159"/>
      <c r="J24" s="34">
        <v>1</v>
      </c>
      <c r="K24" s="35" t="s">
        <v>51</v>
      </c>
      <c r="L24" s="36"/>
      <c r="M24" s="36"/>
      <c r="N24" s="37"/>
      <c r="O24" s="37"/>
      <c r="P24" s="33"/>
      <c r="Q24" s="160" t="s">
        <v>326</v>
      </c>
      <c r="R24" s="161"/>
      <c r="S24" s="161"/>
      <c r="T24" s="161"/>
      <c r="U24" s="161"/>
      <c r="V24" s="161"/>
      <c r="W24" s="161"/>
      <c r="X24" s="161"/>
      <c r="Y24" s="161"/>
      <c r="Z24" s="162"/>
    </row>
    <row r="25" spans="2:26" ht="30" customHeight="1">
      <c r="B25" s="32">
        <f t="shared" si="0"/>
        <v>15</v>
      </c>
      <c r="C25" s="150" t="s">
        <v>68</v>
      </c>
      <c r="D25" s="158"/>
      <c r="E25" s="158"/>
      <c r="F25" s="158"/>
      <c r="G25" s="158"/>
      <c r="H25" s="158"/>
      <c r="I25" s="159"/>
      <c r="J25" s="34">
        <v>13</v>
      </c>
      <c r="K25" s="35" t="s">
        <v>327</v>
      </c>
      <c r="L25" s="36"/>
      <c r="M25" s="36"/>
      <c r="N25" s="37"/>
      <c r="O25" s="37"/>
      <c r="P25" s="33"/>
      <c r="Q25" s="160" t="s">
        <v>328</v>
      </c>
      <c r="R25" s="161"/>
      <c r="S25" s="161"/>
      <c r="T25" s="161"/>
      <c r="U25" s="161"/>
      <c r="V25" s="161"/>
      <c r="W25" s="161"/>
      <c r="X25" s="161"/>
      <c r="Y25" s="161"/>
      <c r="Z25" s="162"/>
    </row>
    <row r="26" spans="2:26" ht="30" customHeight="1">
      <c r="B26" s="32">
        <f t="shared" si="0"/>
        <v>16</v>
      </c>
      <c r="C26" s="150" t="s">
        <v>116</v>
      </c>
      <c r="D26" s="158"/>
      <c r="E26" s="158"/>
      <c r="F26" s="158"/>
      <c r="G26" s="158"/>
      <c r="H26" s="158"/>
      <c r="I26" s="159"/>
      <c r="J26" s="34">
        <v>13</v>
      </c>
      <c r="K26" s="35" t="s">
        <v>327</v>
      </c>
      <c r="L26" s="36"/>
      <c r="M26" s="36"/>
      <c r="N26" s="37"/>
      <c r="O26" s="37"/>
      <c r="P26" s="33"/>
      <c r="Q26" s="160" t="s">
        <v>329</v>
      </c>
      <c r="R26" s="161"/>
      <c r="S26" s="161"/>
      <c r="T26" s="161"/>
      <c r="U26" s="161"/>
      <c r="V26" s="161"/>
      <c r="W26" s="161"/>
      <c r="X26" s="161"/>
      <c r="Y26" s="161"/>
      <c r="Z26" s="162"/>
    </row>
    <row r="27" spans="2:26" ht="30" customHeight="1">
      <c r="B27" s="32">
        <f t="shared" si="0"/>
        <v>17</v>
      </c>
      <c r="C27" s="150" t="s">
        <v>118</v>
      </c>
      <c r="D27" s="158"/>
      <c r="E27" s="158"/>
      <c r="F27" s="158"/>
      <c r="G27" s="158"/>
      <c r="H27" s="158"/>
      <c r="I27" s="159"/>
      <c r="J27" s="34">
        <v>14</v>
      </c>
      <c r="K27" s="35" t="s">
        <v>327</v>
      </c>
      <c r="L27" s="36"/>
      <c r="M27" s="36"/>
      <c r="N27" s="37"/>
      <c r="O27" s="37"/>
      <c r="P27" s="38"/>
      <c r="Q27" s="160" t="s">
        <v>330</v>
      </c>
      <c r="R27" s="161"/>
      <c r="S27" s="161"/>
      <c r="T27" s="161"/>
      <c r="U27" s="161"/>
      <c r="V27" s="161"/>
      <c r="W27" s="161"/>
      <c r="X27" s="161"/>
      <c r="Y27" s="161"/>
      <c r="Z27" s="162"/>
    </row>
    <row r="28" spans="2:26" ht="24" customHeight="1">
      <c r="B28" s="32">
        <f t="shared" si="0"/>
        <v>18</v>
      </c>
      <c r="C28" s="150" t="s">
        <v>109</v>
      </c>
      <c r="D28" s="158"/>
      <c r="E28" s="158"/>
      <c r="F28" s="158"/>
      <c r="G28" s="158"/>
      <c r="H28" s="158"/>
      <c r="I28" s="159"/>
      <c r="J28" s="34">
        <v>8</v>
      </c>
      <c r="K28" s="35" t="s">
        <v>51</v>
      </c>
      <c r="L28" s="36"/>
      <c r="M28" s="36"/>
      <c r="N28" s="37"/>
      <c r="O28" s="37"/>
      <c r="P28" s="38"/>
      <c r="Q28" s="160" t="s">
        <v>109</v>
      </c>
      <c r="R28" s="161"/>
      <c r="S28" s="161"/>
      <c r="T28" s="161"/>
      <c r="U28" s="161"/>
      <c r="V28" s="161"/>
      <c r="W28" s="161"/>
      <c r="X28" s="161"/>
      <c r="Y28" s="161"/>
      <c r="Z28" s="162"/>
    </row>
    <row r="29" spans="2:26" ht="24" customHeight="1">
      <c r="B29" s="32">
        <f t="shared" si="0"/>
        <v>19</v>
      </c>
      <c r="C29" s="150" t="s">
        <v>331</v>
      </c>
      <c r="D29" s="158"/>
      <c r="E29" s="158"/>
      <c r="F29" s="158"/>
      <c r="G29" s="158"/>
      <c r="H29" s="158"/>
      <c r="I29" s="159"/>
      <c r="J29" s="34">
        <v>1</v>
      </c>
      <c r="K29" s="35" t="s">
        <v>51</v>
      </c>
      <c r="L29" s="36"/>
      <c r="M29" s="36"/>
      <c r="N29" s="37"/>
      <c r="O29" s="37"/>
      <c r="P29" s="38"/>
      <c r="Q29" s="160" t="s">
        <v>331</v>
      </c>
      <c r="R29" s="161"/>
      <c r="S29" s="161"/>
      <c r="T29" s="161"/>
      <c r="U29" s="161"/>
      <c r="V29" s="161"/>
      <c r="W29" s="161"/>
      <c r="X29" s="161"/>
      <c r="Y29" s="161"/>
      <c r="Z29" s="162"/>
    </row>
    <row r="30" spans="2:26" ht="24" customHeight="1">
      <c r="B30" s="32">
        <f t="shared" si="0"/>
        <v>20</v>
      </c>
      <c r="C30" s="150" t="s">
        <v>332</v>
      </c>
      <c r="D30" s="158"/>
      <c r="E30" s="158"/>
      <c r="F30" s="158"/>
      <c r="G30" s="158"/>
      <c r="H30" s="158"/>
      <c r="I30" s="159"/>
      <c r="J30" s="34">
        <v>4</v>
      </c>
      <c r="K30" s="35" t="s">
        <v>51</v>
      </c>
      <c r="L30" s="36"/>
      <c r="M30" s="36"/>
      <c r="N30" s="37"/>
      <c r="O30" s="37"/>
      <c r="P30" s="38"/>
      <c r="Q30" s="160" t="s">
        <v>332</v>
      </c>
      <c r="R30" s="161"/>
      <c r="S30" s="161"/>
      <c r="T30" s="161"/>
      <c r="U30" s="161"/>
      <c r="V30" s="161"/>
      <c r="W30" s="161"/>
      <c r="X30" s="161"/>
      <c r="Y30" s="161"/>
      <c r="Z30" s="162"/>
    </row>
    <row r="31" spans="2:26" ht="29.25" customHeight="1">
      <c r="B31" s="32">
        <f t="shared" si="0"/>
        <v>21</v>
      </c>
      <c r="C31" s="150" t="s">
        <v>66</v>
      </c>
      <c r="D31" s="158"/>
      <c r="E31" s="158"/>
      <c r="F31" s="158"/>
      <c r="G31" s="158"/>
      <c r="H31" s="158"/>
      <c r="I31" s="159"/>
      <c r="J31" s="34">
        <v>6</v>
      </c>
      <c r="K31" s="35" t="s">
        <v>327</v>
      </c>
      <c r="L31" s="36"/>
      <c r="M31" s="36"/>
      <c r="N31" s="37"/>
      <c r="O31" s="37"/>
      <c r="P31" s="33"/>
      <c r="Q31" s="160" t="s">
        <v>333</v>
      </c>
      <c r="R31" s="161"/>
      <c r="S31" s="161"/>
      <c r="T31" s="161"/>
      <c r="U31" s="161"/>
      <c r="V31" s="161"/>
      <c r="W31" s="161"/>
      <c r="X31" s="161"/>
      <c r="Y31" s="161"/>
      <c r="Z31" s="162"/>
    </row>
    <row r="32" spans="2:26" ht="24" customHeight="1">
      <c r="B32" s="32">
        <f t="shared" si="0"/>
        <v>22</v>
      </c>
      <c r="C32" s="150" t="s">
        <v>334</v>
      </c>
      <c r="D32" s="158"/>
      <c r="E32" s="158"/>
      <c r="F32" s="158"/>
      <c r="G32" s="158"/>
      <c r="H32" s="158"/>
      <c r="I32" s="159"/>
      <c r="J32" s="34">
        <v>10</v>
      </c>
      <c r="K32" s="35" t="s">
        <v>51</v>
      </c>
      <c r="L32" s="36"/>
      <c r="M32" s="36"/>
      <c r="N32" s="37"/>
      <c r="O32" s="37"/>
      <c r="P32" s="33"/>
      <c r="Q32" s="160" t="s">
        <v>334</v>
      </c>
      <c r="R32" s="161"/>
      <c r="S32" s="161"/>
      <c r="T32" s="161"/>
      <c r="U32" s="161"/>
      <c r="V32" s="161"/>
      <c r="W32" s="161"/>
      <c r="X32" s="161"/>
      <c r="Y32" s="161"/>
      <c r="Z32" s="162"/>
    </row>
    <row r="33" spans="2:28" ht="24" customHeight="1">
      <c r="B33" s="32">
        <f t="shared" si="0"/>
        <v>23</v>
      </c>
      <c r="C33" s="150" t="s">
        <v>335</v>
      </c>
      <c r="D33" s="158"/>
      <c r="E33" s="158"/>
      <c r="F33" s="158"/>
      <c r="G33" s="158"/>
      <c r="H33" s="158"/>
      <c r="I33" s="159"/>
      <c r="J33" s="34">
        <v>2</v>
      </c>
      <c r="K33" s="35" t="s">
        <v>327</v>
      </c>
      <c r="L33" s="36"/>
      <c r="M33" s="36"/>
      <c r="N33" s="37"/>
      <c r="O33" s="37"/>
      <c r="P33" s="33"/>
      <c r="Q33" s="160" t="s">
        <v>335</v>
      </c>
      <c r="R33" s="161"/>
      <c r="S33" s="161"/>
      <c r="T33" s="161"/>
      <c r="U33" s="161"/>
      <c r="V33" s="161"/>
      <c r="W33" s="161"/>
      <c r="X33" s="161"/>
      <c r="Y33" s="161"/>
      <c r="Z33" s="162"/>
    </row>
    <row r="34" spans="2:28" ht="24" customHeight="1">
      <c r="B34" s="32">
        <f t="shared" si="0"/>
        <v>24</v>
      </c>
      <c r="C34" s="150" t="s">
        <v>73</v>
      </c>
      <c r="D34" s="158"/>
      <c r="E34" s="158"/>
      <c r="F34" s="158"/>
      <c r="G34" s="158"/>
      <c r="H34" s="158"/>
      <c r="I34" s="159"/>
      <c r="J34" s="34">
        <v>1</v>
      </c>
      <c r="K34" s="35" t="s">
        <v>51</v>
      </c>
      <c r="L34" s="36"/>
      <c r="M34" s="36"/>
      <c r="N34" s="37"/>
      <c r="O34" s="37"/>
      <c r="P34" s="38"/>
      <c r="Q34" s="160" t="s">
        <v>73</v>
      </c>
      <c r="R34" s="161"/>
      <c r="S34" s="161"/>
      <c r="T34" s="161"/>
      <c r="U34" s="161"/>
      <c r="V34" s="161"/>
      <c r="W34" s="161"/>
      <c r="X34" s="161"/>
      <c r="Y34" s="161"/>
      <c r="Z34" s="162"/>
    </row>
    <row r="35" spans="2:28" ht="24" customHeight="1">
      <c r="B35" s="32">
        <f t="shared" si="0"/>
        <v>25</v>
      </c>
      <c r="C35" s="150" t="s">
        <v>336</v>
      </c>
      <c r="D35" s="158"/>
      <c r="E35" s="158"/>
      <c r="F35" s="158"/>
      <c r="G35" s="158"/>
      <c r="H35" s="158"/>
      <c r="I35" s="159"/>
      <c r="J35" s="34">
        <v>1</v>
      </c>
      <c r="K35" s="35" t="s">
        <v>51</v>
      </c>
      <c r="L35" s="36"/>
      <c r="M35" s="36"/>
      <c r="N35" s="37"/>
      <c r="O35" s="37"/>
      <c r="P35" s="38"/>
      <c r="Q35" s="160" t="s">
        <v>336</v>
      </c>
      <c r="R35" s="161"/>
      <c r="S35" s="161"/>
      <c r="T35" s="161"/>
      <c r="U35" s="161"/>
      <c r="V35" s="161"/>
      <c r="W35" s="161"/>
      <c r="X35" s="161"/>
      <c r="Y35" s="161"/>
      <c r="Z35" s="162"/>
    </row>
    <row r="36" spans="2:28" ht="24" customHeight="1">
      <c r="B36" s="32">
        <f t="shared" si="0"/>
        <v>26</v>
      </c>
      <c r="C36" s="150" t="s">
        <v>77</v>
      </c>
      <c r="D36" s="158"/>
      <c r="E36" s="158"/>
      <c r="F36" s="158"/>
      <c r="G36" s="158"/>
      <c r="H36" s="158"/>
      <c r="I36" s="159"/>
      <c r="J36" s="34">
        <v>1</v>
      </c>
      <c r="K36" s="35" t="s">
        <v>51</v>
      </c>
      <c r="L36" s="36"/>
      <c r="M36" s="36"/>
      <c r="N36" s="37"/>
      <c r="O36" s="37"/>
      <c r="P36" s="38"/>
      <c r="Q36" s="160" t="s">
        <v>77</v>
      </c>
      <c r="R36" s="161"/>
      <c r="S36" s="161"/>
      <c r="T36" s="161"/>
      <c r="U36" s="161"/>
      <c r="V36" s="161"/>
      <c r="W36" s="161"/>
      <c r="X36" s="161"/>
      <c r="Y36" s="161"/>
      <c r="Z36" s="162"/>
    </row>
    <row r="37" spans="2:28" ht="24" customHeight="1">
      <c r="B37" s="32">
        <f t="shared" si="0"/>
        <v>27</v>
      </c>
      <c r="C37" s="150" t="s">
        <v>337</v>
      </c>
      <c r="D37" s="158"/>
      <c r="E37" s="158"/>
      <c r="F37" s="158"/>
      <c r="G37" s="158"/>
      <c r="H37" s="158"/>
      <c r="I37" s="159"/>
      <c r="J37" s="34">
        <v>1</v>
      </c>
      <c r="K37" s="35" t="s">
        <v>51</v>
      </c>
      <c r="L37" s="36"/>
      <c r="M37" s="36"/>
      <c r="N37" s="37"/>
      <c r="O37" s="37"/>
      <c r="P37" s="38"/>
      <c r="Q37" s="160" t="s">
        <v>337</v>
      </c>
      <c r="R37" s="161"/>
      <c r="S37" s="161"/>
      <c r="T37" s="161"/>
      <c r="U37" s="161"/>
      <c r="V37" s="161"/>
      <c r="W37" s="161"/>
      <c r="X37" s="161"/>
      <c r="Y37" s="161"/>
      <c r="Z37" s="162"/>
    </row>
    <row r="38" spans="2:28" ht="24" customHeight="1">
      <c r="B38" s="32">
        <f t="shared" si="0"/>
        <v>28</v>
      </c>
      <c r="C38" s="150" t="s">
        <v>338</v>
      </c>
      <c r="D38" s="158"/>
      <c r="E38" s="158"/>
      <c r="F38" s="158"/>
      <c r="G38" s="158"/>
      <c r="H38" s="158"/>
      <c r="I38" s="159"/>
      <c r="J38" s="34">
        <v>1</v>
      </c>
      <c r="K38" s="35" t="s">
        <v>51</v>
      </c>
      <c r="L38" s="36"/>
      <c r="M38" s="36"/>
      <c r="N38" s="37"/>
      <c r="O38" s="37"/>
      <c r="P38" s="33"/>
      <c r="Q38" s="160" t="s">
        <v>338</v>
      </c>
      <c r="R38" s="161"/>
      <c r="S38" s="161"/>
      <c r="T38" s="161"/>
      <c r="U38" s="161"/>
      <c r="V38" s="161"/>
      <c r="W38" s="161"/>
      <c r="X38" s="161"/>
      <c r="Y38" s="161"/>
      <c r="Z38" s="162"/>
    </row>
    <row r="39" spans="2:28" ht="33.75" customHeight="1">
      <c r="B39" s="32">
        <f t="shared" si="0"/>
        <v>29</v>
      </c>
      <c r="C39" s="150" t="s">
        <v>339</v>
      </c>
      <c r="D39" s="158"/>
      <c r="E39" s="158"/>
      <c r="F39" s="158"/>
      <c r="G39" s="158"/>
      <c r="H39" s="158"/>
      <c r="I39" s="159"/>
      <c r="J39" s="34">
        <v>4</v>
      </c>
      <c r="K39" s="35" t="s">
        <v>327</v>
      </c>
      <c r="L39" s="36"/>
      <c r="M39" s="36"/>
      <c r="N39" s="37"/>
      <c r="O39" s="37"/>
      <c r="P39" s="33"/>
      <c r="Q39" s="160" t="s">
        <v>340</v>
      </c>
      <c r="R39" s="161"/>
      <c r="S39" s="161"/>
      <c r="T39" s="161"/>
      <c r="U39" s="161"/>
      <c r="V39" s="161"/>
      <c r="W39" s="161"/>
      <c r="X39" s="161"/>
      <c r="Y39" s="161"/>
      <c r="Z39" s="162"/>
    </row>
    <row r="40" spans="2:28" ht="24" customHeight="1">
      <c r="B40" s="32">
        <f t="shared" si="0"/>
        <v>30</v>
      </c>
      <c r="C40" s="150" t="s">
        <v>341</v>
      </c>
      <c r="D40" s="158"/>
      <c r="E40" s="158"/>
      <c r="F40" s="158"/>
      <c r="G40" s="158"/>
      <c r="H40" s="158"/>
      <c r="I40" s="159"/>
      <c r="J40" s="34">
        <v>1</v>
      </c>
      <c r="K40" s="35" t="s">
        <v>51</v>
      </c>
      <c r="L40" s="36"/>
      <c r="M40" s="36"/>
      <c r="N40" s="37"/>
      <c r="O40" s="37"/>
      <c r="P40" s="33"/>
      <c r="Q40" s="160" t="s">
        <v>341</v>
      </c>
      <c r="R40" s="161"/>
      <c r="S40" s="161"/>
      <c r="T40" s="161"/>
      <c r="U40" s="161"/>
      <c r="V40" s="161"/>
      <c r="W40" s="161"/>
      <c r="X40" s="161"/>
      <c r="Y40" s="161"/>
      <c r="Z40" s="162"/>
    </row>
    <row r="41" spans="2:28" ht="24" customHeight="1">
      <c r="B41" s="32">
        <f t="shared" si="0"/>
        <v>31</v>
      </c>
      <c r="C41" s="150" t="s">
        <v>342</v>
      </c>
      <c r="D41" s="158"/>
      <c r="E41" s="158"/>
      <c r="F41" s="158"/>
      <c r="G41" s="158"/>
      <c r="H41" s="158"/>
      <c r="I41" s="159"/>
      <c r="J41" s="34">
        <v>1</v>
      </c>
      <c r="K41" s="35" t="s">
        <v>51</v>
      </c>
      <c r="L41" s="36"/>
      <c r="M41" s="36"/>
      <c r="N41" s="37"/>
      <c r="O41" s="37"/>
      <c r="P41" s="38"/>
      <c r="Q41" s="160" t="s">
        <v>342</v>
      </c>
      <c r="R41" s="161"/>
      <c r="S41" s="161"/>
      <c r="T41" s="161"/>
      <c r="U41" s="161"/>
      <c r="V41" s="161"/>
      <c r="W41" s="161"/>
      <c r="X41" s="161"/>
      <c r="Y41" s="161"/>
      <c r="Z41" s="162"/>
      <c r="AB41" s="39"/>
    </row>
    <row r="42" spans="2:28" ht="24" customHeight="1">
      <c r="B42" s="32">
        <f t="shared" si="0"/>
        <v>32</v>
      </c>
      <c r="C42" s="150" t="s">
        <v>343</v>
      </c>
      <c r="D42" s="158"/>
      <c r="E42" s="158"/>
      <c r="F42" s="158"/>
      <c r="G42" s="158"/>
      <c r="H42" s="158"/>
      <c r="I42" s="159"/>
      <c r="J42" s="34">
        <v>1</v>
      </c>
      <c r="K42" s="35" t="s">
        <v>51</v>
      </c>
      <c r="L42" s="36"/>
      <c r="M42" s="36"/>
      <c r="N42" s="37"/>
      <c r="O42" s="37"/>
      <c r="P42" s="38"/>
      <c r="Q42" s="160" t="s">
        <v>343</v>
      </c>
      <c r="R42" s="161"/>
      <c r="S42" s="161"/>
      <c r="T42" s="161"/>
      <c r="U42" s="161"/>
      <c r="V42" s="161"/>
      <c r="W42" s="161"/>
      <c r="X42" s="161"/>
      <c r="Y42" s="161"/>
      <c r="Z42" s="162"/>
      <c r="AB42" s="39"/>
    </row>
    <row r="43" spans="2:28" ht="24" customHeight="1">
      <c r="B43" s="32">
        <f t="shared" si="0"/>
        <v>33</v>
      </c>
      <c r="C43" s="150" t="s">
        <v>81</v>
      </c>
      <c r="D43" s="158"/>
      <c r="E43" s="158"/>
      <c r="F43" s="158"/>
      <c r="G43" s="158"/>
      <c r="H43" s="158"/>
      <c r="I43" s="159"/>
      <c r="J43" s="34">
        <v>20</v>
      </c>
      <c r="K43" s="35" t="s">
        <v>51</v>
      </c>
      <c r="L43" s="36"/>
      <c r="M43" s="36"/>
      <c r="N43" s="37"/>
      <c r="O43" s="37"/>
      <c r="P43" s="38"/>
      <c r="Q43" s="160" t="s">
        <v>81</v>
      </c>
      <c r="R43" s="161"/>
      <c r="S43" s="161"/>
      <c r="T43" s="161"/>
      <c r="U43" s="161"/>
      <c r="V43" s="161"/>
      <c r="W43" s="161"/>
      <c r="X43" s="161"/>
      <c r="Y43" s="161"/>
      <c r="Z43" s="162"/>
    </row>
    <row r="44" spans="2:28" ht="24" customHeight="1">
      <c r="B44" s="32">
        <f t="shared" si="0"/>
        <v>34</v>
      </c>
      <c r="C44" s="150" t="s">
        <v>344</v>
      </c>
      <c r="D44" s="158"/>
      <c r="E44" s="158"/>
      <c r="F44" s="158"/>
      <c r="G44" s="158"/>
      <c r="H44" s="158"/>
      <c r="I44" s="159"/>
      <c r="J44" s="34">
        <v>34</v>
      </c>
      <c r="K44" s="35" t="s">
        <v>51</v>
      </c>
      <c r="L44" s="36"/>
      <c r="M44" s="36"/>
      <c r="N44" s="37"/>
      <c r="O44" s="37"/>
      <c r="P44" s="33"/>
      <c r="Q44" s="160" t="s">
        <v>344</v>
      </c>
      <c r="R44" s="161"/>
      <c r="S44" s="161"/>
      <c r="T44" s="161"/>
      <c r="U44" s="161"/>
      <c r="V44" s="161"/>
      <c r="W44" s="161"/>
      <c r="X44" s="161"/>
      <c r="Y44" s="161"/>
      <c r="Z44" s="162"/>
    </row>
    <row r="45" spans="2:28" ht="24" customHeight="1">
      <c r="B45" s="32">
        <f t="shared" si="0"/>
        <v>35</v>
      </c>
      <c r="C45" s="150" t="s">
        <v>75</v>
      </c>
      <c r="D45" s="158"/>
      <c r="E45" s="158"/>
      <c r="F45" s="158"/>
      <c r="G45" s="158"/>
      <c r="H45" s="158"/>
      <c r="I45" s="159"/>
      <c r="J45" s="34">
        <v>1</v>
      </c>
      <c r="K45" s="35" t="s">
        <v>51</v>
      </c>
      <c r="L45" s="36"/>
      <c r="M45" s="36"/>
      <c r="N45" s="37"/>
      <c r="O45" s="37"/>
      <c r="P45" s="38"/>
      <c r="Q45" s="160" t="s">
        <v>75</v>
      </c>
      <c r="R45" s="161"/>
      <c r="S45" s="161"/>
      <c r="T45" s="161"/>
      <c r="U45" s="161"/>
      <c r="V45" s="161"/>
      <c r="W45" s="161"/>
      <c r="X45" s="161"/>
      <c r="Y45" s="161"/>
      <c r="Z45" s="162"/>
    </row>
    <row r="46" spans="2:28" ht="30" customHeight="1">
      <c r="B46" s="32">
        <f t="shared" si="0"/>
        <v>36</v>
      </c>
      <c r="C46" s="150" t="s">
        <v>345</v>
      </c>
      <c r="D46" s="158"/>
      <c r="E46" s="158"/>
      <c r="F46" s="158"/>
      <c r="G46" s="158"/>
      <c r="H46" s="158"/>
      <c r="I46" s="159"/>
      <c r="J46" s="34">
        <v>14</v>
      </c>
      <c r="K46" s="35" t="s">
        <v>327</v>
      </c>
      <c r="L46" s="36"/>
      <c r="M46" s="36"/>
      <c r="N46" s="37"/>
      <c r="O46" s="37"/>
      <c r="P46" s="38"/>
      <c r="Q46" s="160" t="s">
        <v>319</v>
      </c>
      <c r="R46" s="161"/>
      <c r="S46" s="161"/>
      <c r="T46" s="161"/>
      <c r="U46" s="161"/>
      <c r="V46" s="161"/>
      <c r="W46" s="161"/>
      <c r="X46" s="161"/>
      <c r="Y46" s="161"/>
      <c r="Z46" s="162"/>
    </row>
    <row r="47" spans="2:28" ht="24" customHeight="1">
      <c r="B47" s="32">
        <f t="shared" si="0"/>
        <v>37</v>
      </c>
      <c r="C47" s="150" t="s">
        <v>346</v>
      </c>
      <c r="D47" s="158"/>
      <c r="E47" s="158"/>
      <c r="F47" s="158"/>
      <c r="G47" s="158"/>
      <c r="H47" s="158"/>
      <c r="I47" s="159"/>
      <c r="J47" s="34">
        <v>7</v>
      </c>
      <c r="K47" s="35" t="s">
        <v>51</v>
      </c>
      <c r="L47" s="36"/>
      <c r="M47" s="36"/>
      <c r="N47" s="37"/>
      <c r="O47" s="37"/>
      <c r="P47" s="38"/>
      <c r="Q47" s="160" t="s">
        <v>346</v>
      </c>
      <c r="R47" s="161"/>
      <c r="S47" s="161"/>
      <c r="T47" s="161"/>
      <c r="U47" s="161"/>
      <c r="V47" s="161"/>
      <c r="W47" s="161"/>
      <c r="X47" s="161"/>
      <c r="Y47" s="161"/>
      <c r="Z47" s="162"/>
    </row>
    <row r="48" spans="2:28" ht="24" customHeight="1">
      <c r="B48" s="32">
        <f t="shared" si="0"/>
        <v>38</v>
      </c>
      <c r="C48" s="150" t="s">
        <v>347</v>
      </c>
      <c r="D48" s="158"/>
      <c r="E48" s="158"/>
      <c r="F48" s="158"/>
      <c r="G48" s="158"/>
      <c r="H48" s="158"/>
      <c r="I48" s="159"/>
      <c r="J48" s="34">
        <v>2</v>
      </c>
      <c r="K48" s="35" t="s">
        <v>51</v>
      </c>
      <c r="L48" s="36"/>
      <c r="M48" s="36"/>
      <c r="N48" s="37"/>
      <c r="O48" s="37"/>
      <c r="P48" s="38"/>
      <c r="Q48" s="160" t="s">
        <v>347</v>
      </c>
      <c r="R48" s="161"/>
      <c r="S48" s="161"/>
      <c r="T48" s="161"/>
      <c r="U48" s="161"/>
      <c r="V48" s="161"/>
      <c r="W48" s="161"/>
      <c r="X48" s="161"/>
      <c r="Y48" s="161"/>
      <c r="Z48" s="162"/>
    </row>
    <row r="49" spans="2:28" ht="24" customHeight="1">
      <c r="B49" s="32">
        <f t="shared" si="0"/>
        <v>39</v>
      </c>
      <c r="C49" s="150" t="s">
        <v>348</v>
      </c>
      <c r="D49" s="158"/>
      <c r="E49" s="158"/>
      <c r="F49" s="158"/>
      <c r="G49" s="158"/>
      <c r="H49" s="158"/>
      <c r="I49" s="159"/>
      <c r="J49" s="34">
        <v>1</v>
      </c>
      <c r="K49" s="35" t="s">
        <v>51</v>
      </c>
      <c r="L49" s="36"/>
      <c r="M49" s="36"/>
      <c r="N49" s="37"/>
      <c r="O49" s="37"/>
      <c r="P49" s="33"/>
      <c r="Q49" s="160" t="s">
        <v>348</v>
      </c>
      <c r="R49" s="161"/>
      <c r="S49" s="161"/>
      <c r="T49" s="161"/>
      <c r="U49" s="161"/>
      <c r="V49" s="161"/>
      <c r="W49" s="161"/>
      <c r="X49" s="161"/>
      <c r="Y49" s="161"/>
      <c r="Z49" s="162"/>
    </row>
    <row r="50" spans="2:28" ht="24" customHeight="1">
      <c r="B50" s="32">
        <f t="shared" si="0"/>
        <v>40</v>
      </c>
      <c r="C50" s="150" t="s">
        <v>349</v>
      </c>
      <c r="D50" s="158"/>
      <c r="E50" s="158"/>
      <c r="F50" s="158"/>
      <c r="G50" s="158"/>
      <c r="H50" s="158"/>
      <c r="I50" s="159"/>
      <c r="J50" s="34">
        <v>4</v>
      </c>
      <c r="K50" s="35" t="s">
        <v>51</v>
      </c>
      <c r="L50" s="36"/>
      <c r="M50" s="36"/>
      <c r="N50" s="37"/>
      <c r="O50" s="37"/>
      <c r="P50" s="33"/>
      <c r="Q50" s="160" t="s">
        <v>349</v>
      </c>
      <c r="R50" s="161"/>
      <c r="S50" s="161"/>
      <c r="T50" s="161"/>
      <c r="U50" s="161"/>
      <c r="V50" s="161"/>
      <c r="W50" s="161"/>
      <c r="X50" s="161"/>
      <c r="Y50" s="161"/>
      <c r="Z50" s="162"/>
    </row>
    <row r="51" spans="2:28" ht="24" customHeight="1">
      <c r="B51" s="32">
        <f t="shared" si="0"/>
        <v>41</v>
      </c>
      <c r="C51" s="150" t="s">
        <v>350</v>
      </c>
      <c r="D51" s="158"/>
      <c r="E51" s="158"/>
      <c r="F51" s="158"/>
      <c r="G51" s="158"/>
      <c r="H51" s="158"/>
      <c r="I51" s="159"/>
      <c r="J51" s="34">
        <v>3</v>
      </c>
      <c r="K51" s="35" t="s">
        <v>51</v>
      </c>
      <c r="L51" s="36"/>
      <c r="M51" s="36"/>
      <c r="N51" s="37"/>
      <c r="O51" s="37"/>
      <c r="P51" s="33"/>
      <c r="Q51" s="160" t="s">
        <v>350</v>
      </c>
      <c r="R51" s="161"/>
      <c r="S51" s="161"/>
      <c r="T51" s="161"/>
      <c r="U51" s="161"/>
      <c r="V51" s="161"/>
      <c r="W51" s="161"/>
      <c r="X51" s="161"/>
      <c r="Y51" s="161"/>
      <c r="Z51" s="162"/>
    </row>
    <row r="52" spans="2:28" ht="24" customHeight="1">
      <c r="B52" s="32">
        <f t="shared" si="0"/>
        <v>42</v>
      </c>
      <c r="C52" s="150" t="s">
        <v>351</v>
      </c>
      <c r="D52" s="158"/>
      <c r="E52" s="158"/>
      <c r="F52" s="158"/>
      <c r="G52" s="158"/>
      <c r="H52" s="158"/>
      <c r="I52" s="159"/>
      <c r="J52" s="34">
        <v>2</v>
      </c>
      <c r="K52" s="35" t="s">
        <v>51</v>
      </c>
      <c r="L52" s="36"/>
      <c r="M52" s="36"/>
      <c r="N52" s="37"/>
      <c r="O52" s="37"/>
      <c r="P52" s="38"/>
      <c r="Q52" s="160" t="s">
        <v>351</v>
      </c>
      <c r="R52" s="161"/>
      <c r="S52" s="161"/>
      <c r="T52" s="161"/>
      <c r="U52" s="161"/>
      <c r="V52" s="161"/>
      <c r="W52" s="161"/>
      <c r="X52" s="161"/>
      <c r="Y52" s="161"/>
      <c r="Z52" s="162"/>
      <c r="AB52" s="39"/>
    </row>
    <row r="53" spans="2:28" ht="24" customHeight="1">
      <c r="B53" s="32">
        <f t="shared" si="0"/>
        <v>43</v>
      </c>
      <c r="C53" s="150" t="s">
        <v>352</v>
      </c>
      <c r="D53" s="158"/>
      <c r="E53" s="158"/>
      <c r="F53" s="158"/>
      <c r="G53" s="158"/>
      <c r="H53" s="158"/>
      <c r="I53" s="159"/>
      <c r="J53" s="34">
        <v>2</v>
      </c>
      <c r="K53" s="35" t="s">
        <v>51</v>
      </c>
      <c r="L53" s="36"/>
      <c r="M53" s="36"/>
      <c r="N53" s="37"/>
      <c r="O53" s="37"/>
      <c r="P53" s="38"/>
      <c r="Q53" s="160" t="s">
        <v>352</v>
      </c>
      <c r="R53" s="161"/>
      <c r="S53" s="161"/>
      <c r="T53" s="161"/>
      <c r="U53" s="161"/>
      <c r="V53" s="161"/>
      <c r="W53" s="161"/>
      <c r="X53" s="161"/>
      <c r="Y53" s="161"/>
      <c r="Z53" s="162"/>
      <c r="AB53" s="39"/>
    </row>
    <row r="54" spans="2:28" ht="24" customHeight="1">
      <c r="B54" s="32">
        <f t="shared" si="0"/>
        <v>44</v>
      </c>
      <c r="C54" s="150" t="s">
        <v>353</v>
      </c>
      <c r="D54" s="158"/>
      <c r="E54" s="158"/>
      <c r="F54" s="158"/>
      <c r="G54" s="158"/>
      <c r="H54" s="158"/>
      <c r="I54" s="159"/>
      <c r="J54" s="34">
        <v>2</v>
      </c>
      <c r="K54" s="35" t="s">
        <v>51</v>
      </c>
      <c r="L54" s="36"/>
      <c r="M54" s="36"/>
      <c r="N54" s="37"/>
      <c r="O54" s="37"/>
      <c r="P54" s="38"/>
      <c r="Q54" s="160" t="s">
        <v>354</v>
      </c>
      <c r="R54" s="161"/>
      <c r="S54" s="161"/>
      <c r="T54" s="161"/>
      <c r="U54" s="161"/>
      <c r="V54" s="161"/>
      <c r="W54" s="161"/>
      <c r="X54" s="161"/>
      <c r="Y54" s="161"/>
      <c r="Z54" s="162"/>
    </row>
    <row r="55" spans="2:28" ht="24" customHeight="1">
      <c r="B55" s="32">
        <f t="shared" si="0"/>
        <v>45</v>
      </c>
      <c r="C55" s="150" t="s">
        <v>355</v>
      </c>
      <c r="D55" s="158"/>
      <c r="E55" s="158"/>
      <c r="F55" s="158"/>
      <c r="G55" s="158"/>
      <c r="H55" s="158"/>
      <c r="I55" s="159"/>
      <c r="J55" s="34">
        <v>6</v>
      </c>
      <c r="K55" s="35" t="s">
        <v>327</v>
      </c>
      <c r="L55" s="36"/>
      <c r="M55" s="36"/>
      <c r="N55" s="37"/>
      <c r="O55" s="37"/>
      <c r="P55" s="33"/>
      <c r="Q55" s="160" t="s">
        <v>356</v>
      </c>
      <c r="R55" s="161"/>
      <c r="S55" s="161"/>
      <c r="T55" s="161"/>
      <c r="U55" s="161"/>
      <c r="V55" s="161"/>
      <c r="W55" s="161"/>
      <c r="X55" s="161"/>
      <c r="Y55" s="161"/>
      <c r="Z55" s="162"/>
    </row>
    <row r="56" spans="2:28" ht="33" customHeight="1">
      <c r="B56" s="32">
        <f t="shared" si="0"/>
        <v>46</v>
      </c>
      <c r="C56" s="150" t="s">
        <v>357</v>
      </c>
      <c r="D56" s="158"/>
      <c r="E56" s="158"/>
      <c r="F56" s="158"/>
      <c r="G56" s="158"/>
      <c r="H56" s="158"/>
      <c r="I56" s="159"/>
      <c r="J56" s="34">
        <v>6</v>
      </c>
      <c r="K56" s="35" t="s">
        <v>327</v>
      </c>
      <c r="L56" s="36"/>
      <c r="M56" s="36"/>
      <c r="N56" s="37"/>
      <c r="O56" s="37"/>
      <c r="P56" s="38"/>
      <c r="Q56" s="160" t="s">
        <v>358</v>
      </c>
      <c r="R56" s="161"/>
      <c r="S56" s="161"/>
      <c r="T56" s="161"/>
      <c r="U56" s="161"/>
      <c r="V56" s="161"/>
      <c r="W56" s="161"/>
      <c r="X56" s="161"/>
      <c r="Y56" s="161"/>
      <c r="Z56" s="162"/>
    </row>
    <row r="57" spans="2:28" ht="30" customHeight="1">
      <c r="B57" s="32">
        <f t="shared" si="0"/>
        <v>47</v>
      </c>
      <c r="C57" s="150" t="s">
        <v>359</v>
      </c>
      <c r="D57" s="158"/>
      <c r="E57" s="158"/>
      <c r="F57" s="158"/>
      <c r="G57" s="158"/>
      <c r="H57" s="158"/>
      <c r="I57" s="159"/>
      <c r="J57" s="34">
        <v>6</v>
      </c>
      <c r="K57" s="35" t="s">
        <v>327</v>
      </c>
      <c r="L57" s="36"/>
      <c r="M57" s="36"/>
      <c r="N57" s="37"/>
      <c r="O57" s="37"/>
      <c r="P57" s="38"/>
      <c r="Q57" s="160" t="s">
        <v>360</v>
      </c>
      <c r="R57" s="161"/>
      <c r="S57" s="161"/>
      <c r="T57" s="161"/>
      <c r="U57" s="161"/>
      <c r="V57" s="161"/>
      <c r="W57" s="161"/>
      <c r="X57" s="161"/>
      <c r="Y57" s="161"/>
      <c r="Z57" s="162"/>
    </row>
    <row r="58" spans="2:28" ht="24" customHeight="1">
      <c r="B58" s="32">
        <f t="shared" si="0"/>
        <v>48</v>
      </c>
      <c r="C58" s="150" t="s">
        <v>137</v>
      </c>
      <c r="D58" s="158"/>
      <c r="E58" s="158"/>
      <c r="F58" s="158"/>
      <c r="G58" s="158"/>
      <c r="H58" s="158"/>
      <c r="I58" s="159"/>
      <c r="J58" s="34">
        <v>4</v>
      </c>
      <c r="K58" s="35" t="s">
        <v>51</v>
      </c>
      <c r="L58" s="36"/>
      <c r="M58" s="36"/>
      <c r="N58" s="37"/>
      <c r="O58" s="37"/>
      <c r="P58" s="38"/>
      <c r="Q58" s="160" t="s">
        <v>137</v>
      </c>
      <c r="R58" s="161"/>
      <c r="S58" s="161"/>
      <c r="T58" s="161"/>
      <c r="U58" s="161"/>
      <c r="V58" s="161"/>
      <c r="W58" s="161"/>
      <c r="X58" s="161"/>
      <c r="Y58" s="161"/>
      <c r="Z58" s="162"/>
    </row>
    <row r="59" spans="2:28" ht="24" customHeight="1">
      <c r="B59" s="32">
        <f t="shared" si="0"/>
        <v>49</v>
      </c>
      <c r="C59" s="150" t="s">
        <v>139</v>
      </c>
      <c r="D59" s="158"/>
      <c r="E59" s="158"/>
      <c r="F59" s="158"/>
      <c r="G59" s="158"/>
      <c r="H59" s="158"/>
      <c r="I59" s="159"/>
      <c r="J59" s="34">
        <v>3</v>
      </c>
      <c r="K59" s="35" t="s">
        <v>51</v>
      </c>
      <c r="L59" s="36"/>
      <c r="M59" s="36"/>
      <c r="N59" s="37"/>
      <c r="O59" s="37"/>
      <c r="P59" s="38"/>
      <c r="Q59" s="160" t="s">
        <v>139</v>
      </c>
      <c r="R59" s="161"/>
      <c r="S59" s="161"/>
      <c r="T59" s="161"/>
      <c r="U59" s="161"/>
      <c r="V59" s="161"/>
      <c r="W59" s="161"/>
      <c r="X59" s="161"/>
      <c r="Y59" s="161"/>
      <c r="Z59" s="162"/>
    </row>
    <row r="60" spans="2:28" ht="24" customHeight="1">
      <c r="B60" s="32">
        <f t="shared" si="0"/>
        <v>50</v>
      </c>
      <c r="C60" s="150" t="s">
        <v>361</v>
      </c>
      <c r="D60" s="158"/>
      <c r="E60" s="158"/>
      <c r="F60" s="158"/>
      <c r="G60" s="158"/>
      <c r="H60" s="158"/>
      <c r="I60" s="159"/>
      <c r="J60" s="34">
        <v>1</v>
      </c>
      <c r="K60" s="35" t="s">
        <v>51</v>
      </c>
      <c r="L60" s="36"/>
      <c r="M60" s="36"/>
      <c r="N60" s="37"/>
      <c r="O60" s="37"/>
      <c r="P60" s="33"/>
      <c r="Q60" s="160" t="s">
        <v>361</v>
      </c>
      <c r="R60" s="161"/>
      <c r="S60" s="161"/>
      <c r="T60" s="161"/>
      <c r="U60" s="161"/>
      <c r="V60" s="161"/>
      <c r="W60" s="161"/>
      <c r="X60" s="161"/>
      <c r="Y60" s="161"/>
      <c r="Z60" s="162"/>
    </row>
    <row r="61" spans="2:28" ht="24" customHeight="1">
      <c r="B61" s="32">
        <f t="shared" si="0"/>
        <v>51</v>
      </c>
      <c r="C61" s="150" t="s">
        <v>362</v>
      </c>
      <c r="D61" s="158"/>
      <c r="E61" s="158"/>
      <c r="F61" s="158"/>
      <c r="G61" s="158"/>
      <c r="H61" s="158"/>
      <c r="I61" s="159"/>
      <c r="J61" s="34">
        <v>4</v>
      </c>
      <c r="K61" s="35" t="s">
        <v>51</v>
      </c>
      <c r="L61" s="36"/>
      <c r="M61" s="36"/>
      <c r="N61" s="37"/>
      <c r="O61" s="37"/>
      <c r="P61" s="33"/>
      <c r="Q61" s="160" t="s">
        <v>362</v>
      </c>
      <c r="R61" s="161"/>
      <c r="S61" s="161"/>
      <c r="T61" s="161"/>
      <c r="U61" s="161"/>
      <c r="V61" s="161"/>
      <c r="W61" s="161"/>
      <c r="X61" s="161"/>
      <c r="Y61" s="161"/>
      <c r="Z61" s="162"/>
    </row>
    <row r="62" spans="2:28" ht="30" customHeight="1">
      <c r="B62" s="32">
        <f t="shared" si="0"/>
        <v>52</v>
      </c>
      <c r="C62" s="150" t="s">
        <v>363</v>
      </c>
      <c r="D62" s="158"/>
      <c r="E62" s="158"/>
      <c r="F62" s="158"/>
      <c r="G62" s="158"/>
      <c r="H62" s="158"/>
      <c r="I62" s="159"/>
      <c r="J62" s="34">
        <v>14</v>
      </c>
      <c r="K62" s="35" t="s">
        <v>327</v>
      </c>
      <c r="L62" s="36"/>
      <c r="M62" s="36"/>
      <c r="N62" s="37"/>
      <c r="O62" s="37"/>
      <c r="P62" s="33"/>
      <c r="Q62" s="160" t="s">
        <v>364</v>
      </c>
      <c r="R62" s="161"/>
      <c r="S62" s="161"/>
      <c r="T62" s="161"/>
      <c r="U62" s="161"/>
      <c r="V62" s="161"/>
      <c r="W62" s="161"/>
      <c r="X62" s="161"/>
      <c r="Y62" s="161"/>
      <c r="Z62" s="162"/>
    </row>
    <row r="63" spans="2:28" ht="24" customHeight="1">
      <c r="B63" s="32">
        <f t="shared" si="0"/>
        <v>53</v>
      </c>
      <c r="C63" s="150" t="s">
        <v>365</v>
      </c>
      <c r="D63" s="158"/>
      <c r="E63" s="158"/>
      <c r="F63" s="158"/>
      <c r="G63" s="158"/>
      <c r="H63" s="158"/>
      <c r="I63" s="159"/>
      <c r="J63" s="34">
        <v>8</v>
      </c>
      <c r="K63" s="35" t="s">
        <v>51</v>
      </c>
      <c r="L63" s="36"/>
      <c r="M63" s="36"/>
      <c r="N63" s="37"/>
      <c r="O63" s="37"/>
      <c r="P63" s="38"/>
      <c r="Q63" s="160" t="s">
        <v>365</v>
      </c>
      <c r="R63" s="161"/>
      <c r="S63" s="161"/>
      <c r="T63" s="161"/>
      <c r="U63" s="161"/>
      <c r="V63" s="161"/>
      <c r="W63" s="161"/>
      <c r="X63" s="161"/>
      <c r="Y63" s="161"/>
      <c r="Z63" s="162"/>
      <c r="AB63" s="39"/>
    </row>
    <row r="64" spans="2:28" ht="24" customHeight="1">
      <c r="B64" s="32">
        <f t="shared" si="0"/>
        <v>54</v>
      </c>
      <c r="C64" s="150" t="s">
        <v>366</v>
      </c>
      <c r="D64" s="158"/>
      <c r="E64" s="158"/>
      <c r="F64" s="158"/>
      <c r="G64" s="158"/>
      <c r="H64" s="158"/>
      <c r="I64" s="159"/>
      <c r="J64" s="34">
        <v>1</v>
      </c>
      <c r="K64" s="35" t="s">
        <v>51</v>
      </c>
      <c r="L64" s="36"/>
      <c r="M64" s="36"/>
      <c r="N64" s="37"/>
      <c r="O64" s="37"/>
      <c r="P64" s="38"/>
      <c r="Q64" s="160" t="s">
        <v>366</v>
      </c>
      <c r="R64" s="161"/>
      <c r="S64" s="161"/>
      <c r="T64" s="161"/>
      <c r="U64" s="161"/>
      <c r="V64" s="161"/>
      <c r="W64" s="161"/>
      <c r="X64" s="161"/>
      <c r="Y64" s="161"/>
      <c r="Z64" s="162"/>
      <c r="AB64" s="39"/>
    </row>
    <row r="65" spans="2:28" ht="24" customHeight="1">
      <c r="B65" s="32">
        <f t="shared" si="0"/>
        <v>55</v>
      </c>
      <c r="C65" s="150" t="s">
        <v>367</v>
      </c>
      <c r="D65" s="158"/>
      <c r="E65" s="158"/>
      <c r="F65" s="158"/>
      <c r="G65" s="158"/>
      <c r="H65" s="158"/>
      <c r="I65" s="159"/>
      <c r="J65" s="34">
        <v>3</v>
      </c>
      <c r="K65" s="35" t="s">
        <v>51</v>
      </c>
      <c r="L65" s="36"/>
      <c r="M65" s="36"/>
      <c r="N65" s="37"/>
      <c r="O65" s="37"/>
      <c r="P65" s="38"/>
      <c r="Q65" s="160" t="s">
        <v>367</v>
      </c>
      <c r="R65" s="161"/>
      <c r="S65" s="161"/>
      <c r="T65" s="161"/>
      <c r="U65" s="161"/>
      <c r="V65" s="161"/>
      <c r="W65" s="161"/>
      <c r="X65" s="161"/>
      <c r="Y65" s="161"/>
      <c r="Z65" s="162"/>
    </row>
    <row r="66" spans="2:28" ht="24" customHeight="1">
      <c r="B66" s="32">
        <f t="shared" si="0"/>
        <v>56</v>
      </c>
      <c r="C66" s="150" t="s">
        <v>143</v>
      </c>
      <c r="D66" s="158"/>
      <c r="E66" s="158"/>
      <c r="F66" s="158"/>
      <c r="G66" s="158"/>
      <c r="H66" s="158"/>
      <c r="I66" s="159"/>
      <c r="J66" s="34">
        <v>1</v>
      </c>
      <c r="K66" s="35" t="s">
        <v>51</v>
      </c>
      <c r="L66" s="36"/>
      <c r="M66" s="36"/>
      <c r="N66" s="37"/>
      <c r="O66" s="37"/>
      <c r="P66" s="33"/>
      <c r="Q66" s="160" t="s">
        <v>143</v>
      </c>
      <c r="R66" s="161"/>
      <c r="S66" s="161"/>
      <c r="T66" s="161"/>
      <c r="U66" s="161"/>
      <c r="V66" s="161"/>
      <c r="W66" s="161"/>
      <c r="X66" s="161"/>
      <c r="Y66" s="161"/>
      <c r="Z66" s="162"/>
    </row>
    <row r="67" spans="2:28" ht="24" customHeight="1">
      <c r="B67" s="32">
        <f t="shared" si="0"/>
        <v>57</v>
      </c>
      <c r="C67" s="150" t="s">
        <v>368</v>
      </c>
      <c r="D67" s="158"/>
      <c r="E67" s="158"/>
      <c r="F67" s="158"/>
      <c r="G67" s="158"/>
      <c r="H67" s="158"/>
      <c r="I67" s="159"/>
      <c r="J67" s="34">
        <v>1</v>
      </c>
      <c r="K67" s="35" t="s">
        <v>51</v>
      </c>
      <c r="L67" s="36"/>
      <c r="M67" s="36"/>
      <c r="N67" s="37"/>
      <c r="O67" s="37"/>
      <c r="P67" s="38"/>
      <c r="Q67" s="160" t="s">
        <v>368</v>
      </c>
      <c r="R67" s="161"/>
      <c r="S67" s="161"/>
      <c r="T67" s="161"/>
      <c r="U67" s="161"/>
      <c r="V67" s="161"/>
      <c r="W67" s="161"/>
      <c r="X67" s="161"/>
      <c r="Y67" s="161"/>
      <c r="Z67" s="162"/>
    </row>
    <row r="68" spans="2:28" ht="24" customHeight="1">
      <c r="B68" s="32">
        <f t="shared" si="0"/>
        <v>58</v>
      </c>
      <c r="C68" s="150" t="s">
        <v>369</v>
      </c>
      <c r="D68" s="158"/>
      <c r="E68" s="158"/>
      <c r="F68" s="158"/>
      <c r="G68" s="158"/>
      <c r="H68" s="158"/>
      <c r="I68" s="159"/>
      <c r="J68" s="34">
        <v>2</v>
      </c>
      <c r="K68" s="35" t="s">
        <v>51</v>
      </c>
      <c r="L68" s="36"/>
      <c r="M68" s="36"/>
      <c r="N68" s="37"/>
      <c r="O68" s="37"/>
      <c r="P68" s="38"/>
      <c r="Q68" s="160" t="s">
        <v>370</v>
      </c>
      <c r="R68" s="161"/>
      <c r="S68" s="161"/>
      <c r="T68" s="161"/>
      <c r="U68" s="161"/>
      <c r="V68" s="161"/>
      <c r="W68" s="161"/>
      <c r="X68" s="161"/>
      <c r="Y68" s="161"/>
      <c r="Z68" s="162"/>
    </row>
    <row r="69" spans="2:28" ht="24" customHeight="1">
      <c r="B69" s="32">
        <f t="shared" si="0"/>
        <v>59</v>
      </c>
      <c r="C69" s="150" t="s">
        <v>371</v>
      </c>
      <c r="D69" s="158"/>
      <c r="E69" s="158"/>
      <c r="F69" s="158"/>
      <c r="G69" s="158"/>
      <c r="H69" s="158"/>
      <c r="I69" s="159"/>
      <c r="J69" s="34">
        <v>4</v>
      </c>
      <c r="K69" s="35" t="s">
        <v>51</v>
      </c>
      <c r="L69" s="36"/>
      <c r="M69" s="36"/>
      <c r="N69" s="37"/>
      <c r="O69" s="37"/>
      <c r="P69" s="38"/>
      <c r="Q69" s="160" t="s">
        <v>371</v>
      </c>
      <c r="R69" s="161"/>
      <c r="S69" s="161"/>
      <c r="T69" s="161"/>
      <c r="U69" s="161"/>
      <c r="V69" s="161"/>
      <c r="W69" s="161"/>
      <c r="X69" s="161"/>
      <c r="Y69" s="161"/>
      <c r="Z69" s="162"/>
    </row>
    <row r="70" spans="2:28" ht="24" customHeight="1">
      <c r="B70" s="32">
        <f t="shared" si="0"/>
        <v>60</v>
      </c>
      <c r="C70" s="150" t="s">
        <v>129</v>
      </c>
      <c r="D70" s="158"/>
      <c r="E70" s="158"/>
      <c r="F70" s="158"/>
      <c r="G70" s="158"/>
      <c r="H70" s="158"/>
      <c r="I70" s="159"/>
      <c r="J70" s="34">
        <v>20</v>
      </c>
      <c r="K70" s="35" t="s">
        <v>51</v>
      </c>
      <c r="L70" s="36"/>
      <c r="M70" s="36"/>
      <c r="N70" s="37"/>
      <c r="O70" s="37"/>
      <c r="P70" s="38"/>
      <c r="Q70" s="160" t="s">
        <v>129</v>
      </c>
      <c r="R70" s="161"/>
      <c r="S70" s="161"/>
      <c r="T70" s="161"/>
      <c r="U70" s="161"/>
      <c r="V70" s="161"/>
      <c r="W70" s="161"/>
      <c r="X70" s="161"/>
      <c r="Y70" s="161"/>
      <c r="Z70" s="162"/>
    </row>
    <row r="71" spans="2:28" ht="24" customHeight="1">
      <c r="B71" s="32">
        <f t="shared" si="0"/>
        <v>61</v>
      </c>
      <c r="C71" s="150" t="s">
        <v>372</v>
      </c>
      <c r="D71" s="158"/>
      <c r="E71" s="158"/>
      <c r="F71" s="158"/>
      <c r="G71" s="158"/>
      <c r="H71" s="158"/>
      <c r="I71" s="159"/>
      <c r="J71" s="34">
        <v>10</v>
      </c>
      <c r="K71" s="35" t="s">
        <v>51</v>
      </c>
      <c r="L71" s="36"/>
      <c r="M71" s="36"/>
      <c r="N71" s="37"/>
      <c r="O71" s="37"/>
      <c r="P71" s="33"/>
      <c r="Q71" s="160" t="s">
        <v>373</v>
      </c>
      <c r="R71" s="161"/>
      <c r="S71" s="161"/>
      <c r="T71" s="161"/>
      <c r="U71" s="161"/>
      <c r="V71" s="161"/>
      <c r="W71" s="161"/>
      <c r="X71" s="161"/>
      <c r="Y71" s="161"/>
      <c r="Z71" s="162"/>
    </row>
    <row r="72" spans="2:28" ht="24" customHeight="1">
      <c r="B72" s="32">
        <f t="shared" si="0"/>
        <v>62</v>
      </c>
      <c r="C72" s="150" t="s">
        <v>374</v>
      </c>
      <c r="D72" s="158"/>
      <c r="E72" s="158"/>
      <c r="F72" s="158"/>
      <c r="G72" s="158"/>
      <c r="H72" s="158"/>
      <c r="I72" s="159"/>
      <c r="J72" s="34">
        <v>8</v>
      </c>
      <c r="K72" s="35" t="s">
        <v>51</v>
      </c>
      <c r="L72" s="36"/>
      <c r="M72" s="36"/>
      <c r="N72" s="37"/>
      <c r="O72" s="37"/>
      <c r="P72" s="33"/>
      <c r="Q72" s="160" t="s">
        <v>375</v>
      </c>
      <c r="R72" s="161"/>
      <c r="S72" s="161"/>
      <c r="T72" s="161"/>
      <c r="U72" s="161"/>
      <c r="V72" s="161"/>
      <c r="W72" s="161"/>
      <c r="X72" s="161"/>
      <c r="Y72" s="161"/>
      <c r="Z72" s="162"/>
    </row>
    <row r="73" spans="2:28" ht="24" customHeight="1">
      <c r="B73" s="32">
        <f t="shared" si="0"/>
        <v>63</v>
      </c>
      <c r="C73" s="150" t="s">
        <v>376</v>
      </c>
      <c r="D73" s="158"/>
      <c r="E73" s="158"/>
      <c r="F73" s="158"/>
      <c r="G73" s="158"/>
      <c r="H73" s="158"/>
      <c r="I73" s="159"/>
      <c r="J73" s="34">
        <v>3</v>
      </c>
      <c r="K73" s="35" t="s">
        <v>51</v>
      </c>
      <c r="L73" s="36"/>
      <c r="M73" s="36"/>
      <c r="N73" s="37"/>
      <c r="O73" s="37"/>
      <c r="P73" s="33"/>
      <c r="Q73" s="160" t="s">
        <v>376</v>
      </c>
      <c r="R73" s="161"/>
      <c r="S73" s="161"/>
      <c r="T73" s="161"/>
      <c r="U73" s="161"/>
      <c r="V73" s="161"/>
      <c r="W73" s="161"/>
      <c r="X73" s="161"/>
      <c r="Y73" s="161"/>
      <c r="Z73" s="162"/>
    </row>
    <row r="74" spans="2:28" ht="24" customHeight="1">
      <c r="B74" s="32">
        <f t="shared" si="0"/>
        <v>64</v>
      </c>
      <c r="C74" s="150" t="s">
        <v>377</v>
      </c>
      <c r="D74" s="158"/>
      <c r="E74" s="158"/>
      <c r="F74" s="158"/>
      <c r="G74" s="158"/>
      <c r="H74" s="158"/>
      <c r="I74" s="159"/>
      <c r="J74" s="34">
        <v>10</v>
      </c>
      <c r="K74" s="35" t="s">
        <v>51</v>
      </c>
      <c r="L74" s="36"/>
      <c r="M74" s="36"/>
      <c r="N74" s="37"/>
      <c r="O74" s="37"/>
      <c r="P74" s="38"/>
      <c r="Q74" s="160" t="s">
        <v>378</v>
      </c>
      <c r="R74" s="161"/>
      <c r="S74" s="161"/>
      <c r="T74" s="161"/>
      <c r="U74" s="161"/>
      <c r="V74" s="161"/>
      <c r="W74" s="161"/>
      <c r="X74" s="161"/>
      <c r="Y74" s="161"/>
      <c r="Z74" s="162"/>
      <c r="AB74" s="39"/>
    </row>
    <row r="75" spans="2:28" ht="30" customHeight="1">
      <c r="B75" s="32">
        <f t="shared" si="0"/>
        <v>65</v>
      </c>
      <c r="C75" s="150" t="s">
        <v>379</v>
      </c>
      <c r="D75" s="158"/>
      <c r="E75" s="158"/>
      <c r="F75" s="158"/>
      <c r="G75" s="158"/>
      <c r="H75" s="158"/>
      <c r="I75" s="159"/>
      <c r="J75" s="34">
        <v>4</v>
      </c>
      <c r="K75" s="35" t="s">
        <v>327</v>
      </c>
      <c r="L75" s="36"/>
      <c r="M75" s="36"/>
      <c r="N75" s="37"/>
      <c r="O75" s="37"/>
      <c r="P75" s="38"/>
      <c r="Q75" s="160" t="s">
        <v>380</v>
      </c>
      <c r="R75" s="161"/>
      <c r="S75" s="161"/>
      <c r="T75" s="161"/>
      <c r="U75" s="161"/>
      <c r="V75" s="161"/>
      <c r="W75" s="161"/>
      <c r="X75" s="161"/>
      <c r="Y75" s="161"/>
      <c r="Z75" s="162"/>
      <c r="AB75" s="39"/>
    </row>
    <row r="76" spans="2:28" ht="24" customHeight="1">
      <c r="B76" s="32">
        <f t="shared" si="0"/>
        <v>66</v>
      </c>
      <c r="C76" s="150" t="s">
        <v>381</v>
      </c>
      <c r="D76" s="158"/>
      <c r="E76" s="158"/>
      <c r="F76" s="158"/>
      <c r="G76" s="158"/>
      <c r="H76" s="158"/>
      <c r="I76" s="159"/>
      <c r="J76" s="34">
        <v>4</v>
      </c>
      <c r="K76" s="35" t="s">
        <v>51</v>
      </c>
      <c r="L76" s="36"/>
      <c r="M76" s="36"/>
      <c r="N76" s="37"/>
      <c r="O76" s="37"/>
      <c r="P76" s="38"/>
      <c r="Q76" s="160" t="s">
        <v>382</v>
      </c>
      <c r="R76" s="161"/>
      <c r="S76" s="161"/>
      <c r="T76" s="161"/>
      <c r="U76" s="161"/>
      <c r="V76" s="161"/>
      <c r="W76" s="161"/>
      <c r="X76" s="161"/>
      <c r="Y76" s="161"/>
      <c r="Z76" s="162"/>
    </row>
    <row r="77" spans="2:28" ht="24" customHeight="1">
      <c r="B77" s="32">
        <f t="shared" ref="B77:B79" si="1">B76+1</f>
        <v>67</v>
      </c>
      <c r="C77" s="150" t="s">
        <v>383</v>
      </c>
      <c r="D77" s="158"/>
      <c r="E77" s="158"/>
      <c r="F77" s="158"/>
      <c r="G77" s="158"/>
      <c r="H77" s="158"/>
      <c r="I77" s="159"/>
      <c r="J77" s="34">
        <v>1</v>
      </c>
      <c r="K77" s="35" t="s">
        <v>51</v>
      </c>
      <c r="L77" s="36"/>
      <c r="M77" s="36"/>
      <c r="N77" s="37"/>
      <c r="O77" s="37"/>
      <c r="P77" s="33"/>
      <c r="Q77" s="160" t="s">
        <v>384</v>
      </c>
      <c r="R77" s="161"/>
      <c r="S77" s="161"/>
      <c r="T77" s="161"/>
      <c r="U77" s="161"/>
      <c r="V77" s="161"/>
      <c r="W77" s="161"/>
      <c r="X77" s="161"/>
      <c r="Y77" s="161"/>
      <c r="Z77" s="162"/>
    </row>
    <row r="78" spans="2:28" ht="24" customHeight="1">
      <c r="B78" s="32">
        <f t="shared" si="1"/>
        <v>68</v>
      </c>
      <c r="C78" s="150" t="s">
        <v>385</v>
      </c>
      <c r="D78" s="158"/>
      <c r="E78" s="158"/>
      <c r="F78" s="158"/>
      <c r="G78" s="158"/>
      <c r="H78" s="158"/>
      <c r="I78" s="159"/>
      <c r="J78" s="34">
        <v>5</v>
      </c>
      <c r="K78" s="35" t="s">
        <v>51</v>
      </c>
      <c r="L78" s="36"/>
      <c r="M78" s="36"/>
      <c r="N78" s="37"/>
      <c r="O78" s="37"/>
      <c r="P78" s="38"/>
      <c r="Q78" s="160" t="s">
        <v>385</v>
      </c>
      <c r="R78" s="161"/>
      <c r="S78" s="161"/>
      <c r="T78" s="161"/>
      <c r="U78" s="161"/>
      <c r="V78" s="161"/>
      <c r="W78" s="161"/>
      <c r="X78" s="161"/>
      <c r="Y78" s="161"/>
      <c r="Z78" s="162"/>
    </row>
    <row r="79" spans="2:28" ht="24" customHeight="1">
      <c r="B79" s="32">
        <f t="shared" si="1"/>
        <v>69</v>
      </c>
      <c r="C79" s="150" t="s">
        <v>386</v>
      </c>
      <c r="D79" s="158"/>
      <c r="E79" s="158"/>
      <c r="F79" s="158"/>
      <c r="G79" s="158"/>
      <c r="H79" s="158"/>
      <c r="I79" s="159"/>
      <c r="J79" s="34">
        <v>8</v>
      </c>
      <c r="K79" s="35" t="s">
        <v>327</v>
      </c>
      <c r="L79" s="36"/>
      <c r="M79" s="36"/>
      <c r="N79" s="37"/>
      <c r="O79" s="37"/>
      <c r="P79" s="38"/>
      <c r="Q79" s="160" t="s">
        <v>387</v>
      </c>
      <c r="R79" s="161"/>
      <c r="S79" s="161"/>
      <c r="T79" s="161"/>
      <c r="U79" s="161"/>
      <c r="V79" s="161"/>
      <c r="W79" s="161"/>
      <c r="X79" s="161"/>
      <c r="Y79" s="161"/>
      <c r="Z79" s="162"/>
    </row>
    <row r="80" spans="2:28" ht="24" customHeight="1">
      <c r="B80" s="40"/>
      <c r="C80" s="144"/>
      <c r="D80" s="145"/>
      <c r="E80" s="145"/>
      <c r="F80" s="145"/>
      <c r="G80" s="145"/>
      <c r="H80" s="145"/>
      <c r="I80" s="146"/>
      <c r="J80" s="41"/>
      <c r="K80" s="42"/>
      <c r="L80" s="43"/>
      <c r="M80" s="43"/>
      <c r="N80" s="44"/>
      <c r="O80" s="44"/>
      <c r="P80" s="45"/>
      <c r="Q80" s="147"/>
      <c r="R80" s="156"/>
      <c r="S80" s="156"/>
      <c r="T80" s="156"/>
      <c r="U80" s="156"/>
      <c r="V80" s="156"/>
      <c r="W80" s="156"/>
      <c r="X80" s="156"/>
      <c r="Y80" s="156"/>
      <c r="Z80" s="157"/>
    </row>
    <row r="81" spans="2:26" ht="7.5" customHeight="1">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sheetData>
  <mergeCells count="168">
    <mergeCell ref="A2:AA2"/>
    <mergeCell ref="A3:D4"/>
    <mergeCell ref="E3:N4"/>
    <mergeCell ref="O3:Q3"/>
    <mergeCell ref="R3:S3"/>
    <mergeCell ref="T3:U4"/>
    <mergeCell ref="V3:W4"/>
    <mergeCell ref="X3:X4"/>
    <mergeCell ref="Y3:AA4"/>
    <mergeCell ref="O4:Q4"/>
    <mergeCell ref="I8:J8"/>
    <mergeCell ref="K8:N8"/>
    <mergeCell ref="O8:Q8"/>
    <mergeCell ref="R8:U8"/>
    <mergeCell ref="V8:X8"/>
    <mergeCell ref="Y8:Z8"/>
    <mergeCell ref="R4:S4"/>
    <mergeCell ref="C13:I13"/>
    <mergeCell ref="Q13:Z13"/>
    <mergeCell ref="B6:D6"/>
    <mergeCell ref="E6:G6"/>
    <mergeCell ref="I6:J6"/>
    <mergeCell ref="I7:J7"/>
    <mergeCell ref="K7:N7"/>
    <mergeCell ref="O7:Q7"/>
    <mergeCell ref="R7:U7"/>
    <mergeCell ref="V7:W7"/>
    <mergeCell ref="X7:Z7"/>
    <mergeCell ref="C14:I14"/>
    <mergeCell ref="Q14:Z14"/>
    <mergeCell ref="C15:I15"/>
    <mergeCell ref="Q15:Z15"/>
    <mergeCell ref="C10:H10"/>
    <mergeCell ref="K10:M10"/>
    <mergeCell ref="Q10:Z10"/>
    <mergeCell ref="C11:I11"/>
    <mergeCell ref="C12:I12"/>
    <mergeCell ref="Q12:Z12"/>
    <mergeCell ref="C19:I19"/>
    <mergeCell ref="Q19:Z19"/>
    <mergeCell ref="C20:I20"/>
    <mergeCell ref="Q20:Z20"/>
    <mergeCell ref="C21:I21"/>
    <mergeCell ref="Q21:Z21"/>
    <mergeCell ref="C16:I16"/>
    <mergeCell ref="Q16:Z16"/>
    <mergeCell ref="C17:I17"/>
    <mergeCell ref="Q17:Z17"/>
    <mergeCell ref="C18:I18"/>
    <mergeCell ref="Q18:Z18"/>
    <mergeCell ref="C25:I25"/>
    <mergeCell ref="Q25:Z25"/>
    <mergeCell ref="C26:I26"/>
    <mergeCell ref="Q26:Z26"/>
    <mergeCell ref="C27:I27"/>
    <mergeCell ref="Q27:Z27"/>
    <mergeCell ref="C22:I22"/>
    <mergeCell ref="Q22:Z22"/>
    <mergeCell ref="C23:I23"/>
    <mergeCell ref="Q23:Z23"/>
    <mergeCell ref="C24:I24"/>
    <mergeCell ref="Q24:Z24"/>
    <mergeCell ref="C31:I31"/>
    <mergeCell ref="Q31:Z31"/>
    <mergeCell ref="C32:I32"/>
    <mergeCell ref="Q32:Z32"/>
    <mergeCell ref="C33:I33"/>
    <mergeCell ref="Q33:Z33"/>
    <mergeCell ref="C28:I28"/>
    <mergeCell ref="Q28:Z28"/>
    <mergeCell ref="C29:I29"/>
    <mergeCell ref="Q29:Z29"/>
    <mergeCell ref="C30:I30"/>
    <mergeCell ref="Q30:Z30"/>
    <mergeCell ref="C37:I37"/>
    <mergeCell ref="Q37:Z37"/>
    <mergeCell ref="C38:I38"/>
    <mergeCell ref="Q38:Z38"/>
    <mergeCell ref="C39:I39"/>
    <mergeCell ref="Q39:Z39"/>
    <mergeCell ref="C34:I34"/>
    <mergeCell ref="Q34:Z34"/>
    <mergeCell ref="C35:I35"/>
    <mergeCell ref="Q35:Z35"/>
    <mergeCell ref="C36:I36"/>
    <mergeCell ref="Q36:Z36"/>
    <mergeCell ref="C43:I43"/>
    <mergeCell ref="Q43:Z43"/>
    <mergeCell ref="C44:I44"/>
    <mergeCell ref="Q44:Z44"/>
    <mergeCell ref="C45:I45"/>
    <mergeCell ref="Q45:Z45"/>
    <mergeCell ref="C40:I40"/>
    <mergeCell ref="Q40:Z40"/>
    <mergeCell ref="C41:I41"/>
    <mergeCell ref="Q41:Z41"/>
    <mergeCell ref="C42:I42"/>
    <mergeCell ref="Q42:Z42"/>
    <mergeCell ref="C49:I49"/>
    <mergeCell ref="Q49:Z49"/>
    <mergeCell ref="C50:I50"/>
    <mergeCell ref="Q50:Z50"/>
    <mergeCell ref="C51:I51"/>
    <mergeCell ref="Q51:Z51"/>
    <mergeCell ref="C46:I46"/>
    <mergeCell ref="Q46:Z46"/>
    <mergeCell ref="C47:I47"/>
    <mergeCell ref="Q47:Z47"/>
    <mergeCell ref="C48:I48"/>
    <mergeCell ref="Q48:Z48"/>
    <mergeCell ref="C55:I55"/>
    <mergeCell ref="Q55:Z55"/>
    <mergeCell ref="C56:I56"/>
    <mergeCell ref="Q56:Z56"/>
    <mergeCell ref="C57:I57"/>
    <mergeCell ref="Q57:Z57"/>
    <mergeCell ref="C52:I52"/>
    <mergeCell ref="Q52:Z52"/>
    <mergeCell ref="C53:I53"/>
    <mergeCell ref="Q53:Z53"/>
    <mergeCell ref="C54:I54"/>
    <mergeCell ref="Q54:Z54"/>
    <mergeCell ref="C61:I61"/>
    <mergeCell ref="Q61:Z61"/>
    <mergeCell ref="C62:I62"/>
    <mergeCell ref="Q62:Z62"/>
    <mergeCell ref="C63:I63"/>
    <mergeCell ref="Q63:Z63"/>
    <mergeCell ref="C58:I58"/>
    <mergeCell ref="Q58:Z58"/>
    <mergeCell ref="C59:I59"/>
    <mergeCell ref="Q59:Z59"/>
    <mergeCell ref="C60:I60"/>
    <mergeCell ref="Q60:Z60"/>
    <mergeCell ref="C67:I67"/>
    <mergeCell ref="Q67:Z67"/>
    <mergeCell ref="C68:I68"/>
    <mergeCell ref="Q68:Z68"/>
    <mergeCell ref="C69:I69"/>
    <mergeCell ref="Q69:Z69"/>
    <mergeCell ref="C64:I64"/>
    <mergeCell ref="Q64:Z64"/>
    <mergeCell ref="C65:I65"/>
    <mergeCell ref="Q65:Z65"/>
    <mergeCell ref="C66:I66"/>
    <mergeCell ref="Q66:Z66"/>
    <mergeCell ref="C73:I73"/>
    <mergeCell ref="Q73:Z73"/>
    <mergeCell ref="C74:I74"/>
    <mergeCell ref="Q74:Z74"/>
    <mergeCell ref="C75:I75"/>
    <mergeCell ref="Q75:Z75"/>
    <mergeCell ref="C70:I70"/>
    <mergeCell ref="Q70:Z70"/>
    <mergeCell ref="C71:I71"/>
    <mergeCell ref="Q71:Z71"/>
    <mergeCell ref="C72:I72"/>
    <mergeCell ref="Q72:Z72"/>
    <mergeCell ref="C80:I80"/>
    <mergeCell ref="Q80:Z80"/>
    <mergeCell ref="C79:I79"/>
    <mergeCell ref="Q79:Z79"/>
    <mergeCell ref="C76:I76"/>
    <mergeCell ref="Q76:Z76"/>
    <mergeCell ref="C77:I77"/>
    <mergeCell ref="Q77:Z77"/>
    <mergeCell ref="C78:I78"/>
    <mergeCell ref="Q78:Z78"/>
  </mergeCells>
  <phoneticPr fontId="1"/>
  <dataValidations count="3">
    <dataValidation type="list" allowBlank="1" showInputMessage="1" showErrorMessage="1" sqref="Y8:Z8" xr:uid="{F2811DEE-6BE3-42B5-A44B-16D926E61942}">
      <formula1>"無し,カンマ,タブ"</formula1>
    </dataValidation>
    <dataValidation type="list" allowBlank="1" showInputMessage="1" showErrorMessage="1" sqref="R8" xr:uid="{C96B1877-2E64-4EE0-A19A-34BEE8C93ED8}">
      <formula1>"無し,シングルクォーテーション,ダブルクォーテーション"</formula1>
    </dataValidation>
    <dataValidation type="list" allowBlank="1" showInputMessage="1" showErrorMessage="1" sqref="K8" xr:uid="{B2E4C8A2-00E1-495C-999A-0996004DE31E}">
      <formula1>"CR-LF,LF"</formula1>
    </dataValidation>
  </dataValidations>
  <pageMargins left="0.59055118110236227" right="0.39" top="0.39370078740157483" bottom="0.39370078740157483" header="0.99" footer="0.51181102362204722"/>
  <pageSetup paperSize="9" scale="76" fitToHeight="0" orientation="portrait"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11BA-6FC4-4525-84D1-6504D565ACAD}">
  <sheetPr codeName="Sheet5"/>
  <dimension ref="A1:AG41"/>
  <sheetViews>
    <sheetView view="pageBreakPreview" zoomScaleNormal="100" zoomScaleSheetLayoutView="100" workbookViewId="0"/>
  </sheetViews>
  <sheetFormatPr defaultColWidth="9" defaultRowHeight="14.45" outlineLevelCol="1"/>
  <cols>
    <col min="1" max="1" width="1.7109375" style="19" customWidth="1"/>
    <col min="2" max="2" width="5.42578125" style="19" bestFit="1" customWidth="1"/>
    <col min="3" max="5" width="3.7109375" style="19" customWidth="1"/>
    <col min="6" max="6" width="5.42578125" style="19" customWidth="1"/>
    <col min="7" max="7" width="2.28515625" style="19" customWidth="1"/>
    <col min="8" max="8" width="3.28515625" style="19" customWidth="1"/>
    <col min="9" max="9" width="7.42578125" style="19" bestFit="1" customWidth="1"/>
    <col min="10" max="10" width="9.140625" style="19" customWidth="1"/>
    <col min="11" max="11" width="3.7109375" style="19" customWidth="1"/>
    <col min="12" max="12" width="5.140625" style="19" customWidth="1"/>
    <col min="13" max="13" width="7" style="19" customWidth="1"/>
    <col min="14" max="14" width="5.140625" style="19" customWidth="1"/>
    <col min="15" max="15" width="5.42578125" style="19" bestFit="1" customWidth="1"/>
    <col min="16" max="16" width="5.85546875" style="19" customWidth="1"/>
    <col min="17" max="17" width="1.85546875" style="19" customWidth="1"/>
    <col min="18" max="18" width="4.28515625" style="19" customWidth="1"/>
    <col min="19" max="19" width="8" style="19" customWidth="1"/>
    <col min="20" max="22" width="3.7109375" style="19" customWidth="1"/>
    <col min="23" max="23" width="5.28515625" style="19" customWidth="1"/>
    <col min="24" max="24" width="3.42578125" style="19" bestFit="1" customWidth="1"/>
    <col min="25" max="25" width="5.28515625" style="19" customWidth="1"/>
    <col min="26" max="26" width="5.7109375" style="19" customWidth="1"/>
    <col min="27" max="27" width="1.42578125" style="19" customWidth="1"/>
    <col min="28" max="28" width="9" style="19"/>
    <col min="29" max="29" width="14.140625" style="26" hidden="1" customWidth="1" outlineLevel="1"/>
    <col min="30" max="30" width="12.28515625" style="26" hidden="1" customWidth="1" outlineLevel="1"/>
    <col min="31" max="31" width="17.42578125" style="26" hidden="1" customWidth="1" outlineLevel="1"/>
    <col min="32" max="32" width="17.28515625" style="26" hidden="1" customWidth="1" outlineLevel="1"/>
    <col min="33" max="33" width="9" style="19" collapsed="1"/>
    <col min="34" max="16384" width="9" style="19"/>
  </cols>
  <sheetData>
    <row r="1" spans="1:33" ht="24" customHeight="1">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COUNTA(C11:C41)</f>
        <v>25</v>
      </c>
      <c r="AE1" s="46" t="s">
        <v>18</v>
      </c>
      <c r="AF1" s="48">
        <f>IF(Y8="無し",0,AD1-1)</f>
        <v>0</v>
      </c>
    </row>
    <row r="2" spans="1:33" s="20" customFormat="1" ht="24" customHeight="1">
      <c r="A2" s="96" t="s">
        <v>19</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1</v>
      </c>
      <c r="AE2" s="46" t="s">
        <v>21</v>
      </c>
      <c r="AF2" s="48">
        <f>IF(R8="無し",0,2)</f>
        <v>0</v>
      </c>
    </row>
    <row r="3" spans="1:33" ht="18" customHeight="1">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1">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1">
      <c r="AE5" s="19"/>
      <c r="AF5" s="19"/>
    </row>
    <row r="6" spans="1:33" ht="21" customHeight="1">
      <c r="A6" s="21"/>
      <c r="B6" s="107" t="s">
        <v>25</v>
      </c>
      <c r="C6" s="108"/>
      <c r="D6" s="109"/>
      <c r="E6" s="117" t="s">
        <v>388</v>
      </c>
      <c r="F6" s="118"/>
      <c r="G6" s="119"/>
      <c r="I6" s="117" t="s">
        <v>27</v>
      </c>
      <c r="J6" s="119"/>
      <c r="K6" s="22" t="s">
        <v>389</v>
      </c>
      <c r="L6" s="23"/>
      <c r="M6" s="23"/>
      <c r="N6" s="23"/>
      <c r="O6" s="23"/>
      <c r="P6" s="23"/>
      <c r="Q6" s="23"/>
      <c r="R6" s="23"/>
      <c r="S6" s="23"/>
      <c r="T6" s="23"/>
      <c r="U6" s="23"/>
      <c r="V6" s="23"/>
      <c r="W6" s="23"/>
      <c r="X6" s="23"/>
      <c r="Y6" s="23"/>
      <c r="Z6" s="24"/>
      <c r="AA6" s="25"/>
      <c r="AB6" s="26"/>
      <c r="AC6" s="46" t="s">
        <v>29</v>
      </c>
      <c r="AD6" s="48">
        <f>SUM(J11:J40)</f>
        <v>204</v>
      </c>
      <c r="AE6" s="19"/>
      <c r="AF6" s="19"/>
    </row>
    <row r="7" spans="1:33" ht="21" customHeight="1">
      <c r="I7" s="117" t="s">
        <v>30</v>
      </c>
      <c r="J7" s="119"/>
      <c r="K7" s="117" t="s">
        <v>390</v>
      </c>
      <c r="L7" s="118"/>
      <c r="M7" s="118"/>
      <c r="N7" s="119"/>
      <c r="O7" s="117" t="s">
        <v>32</v>
      </c>
      <c r="P7" s="118"/>
      <c r="Q7" s="119"/>
      <c r="R7" s="120"/>
      <c r="S7" s="121"/>
      <c r="T7" s="121"/>
      <c r="U7" s="121"/>
      <c r="V7" s="107" t="s">
        <v>33</v>
      </c>
      <c r="W7" s="167"/>
      <c r="X7" s="129">
        <f>AD10</f>
        <v>205</v>
      </c>
      <c r="Y7" s="130"/>
      <c r="Z7" s="131"/>
      <c r="AB7" s="26"/>
      <c r="AC7" s="46" t="s">
        <v>34</v>
      </c>
      <c r="AD7" s="48">
        <f>AD6+AF1</f>
        <v>204</v>
      </c>
      <c r="AE7" s="19"/>
      <c r="AF7" s="19"/>
    </row>
    <row r="8" spans="1:33" ht="21" customHeight="1">
      <c r="I8" s="117" t="s">
        <v>35</v>
      </c>
      <c r="J8" s="119"/>
      <c r="K8" s="117"/>
      <c r="L8" s="118"/>
      <c r="M8" s="118"/>
      <c r="N8" s="119"/>
      <c r="O8" s="117" t="s">
        <v>37</v>
      </c>
      <c r="P8" s="118"/>
      <c r="Q8" s="119"/>
      <c r="R8" s="117" t="s">
        <v>38</v>
      </c>
      <c r="S8" s="118"/>
      <c r="T8" s="118"/>
      <c r="U8" s="119"/>
      <c r="V8" s="117" t="s">
        <v>39</v>
      </c>
      <c r="W8" s="118"/>
      <c r="X8" s="119"/>
      <c r="Y8" s="117" t="s">
        <v>38</v>
      </c>
      <c r="Z8" s="119"/>
      <c r="AA8" s="27"/>
      <c r="AB8" s="26"/>
      <c r="AC8" s="46" t="s">
        <v>40</v>
      </c>
      <c r="AD8" s="48">
        <f>AD7+(AD1*AF2)</f>
        <v>204</v>
      </c>
      <c r="AE8" s="19"/>
      <c r="AF8" s="19"/>
    </row>
    <row r="9" spans="1:33" ht="5.25" customHeight="1">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1">
      <c r="B10" s="54" t="s">
        <v>41</v>
      </c>
      <c r="C10" s="117" t="s">
        <v>42</v>
      </c>
      <c r="D10" s="118"/>
      <c r="E10" s="118"/>
      <c r="F10" s="118"/>
      <c r="G10" s="118"/>
      <c r="H10" s="118"/>
      <c r="I10" s="55"/>
      <c r="J10" s="29" t="s">
        <v>43</v>
      </c>
      <c r="K10" s="117" t="s">
        <v>44</v>
      </c>
      <c r="L10" s="118"/>
      <c r="M10" s="119"/>
      <c r="N10" s="30" t="s">
        <v>45</v>
      </c>
      <c r="O10" s="30" t="s">
        <v>46</v>
      </c>
      <c r="P10" s="29" t="s">
        <v>47</v>
      </c>
      <c r="Q10" s="168" t="s">
        <v>391</v>
      </c>
      <c r="R10" s="132"/>
      <c r="S10" s="132"/>
      <c r="T10" s="132"/>
      <c r="U10" s="132"/>
      <c r="V10" s="132"/>
      <c r="W10" s="132"/>
      <c r="X10" s="132"/>
      <c r="Y10" s="132"/>
      <c r="Z10" s="169"/>
      <c r="AC10" s="46" t="s">
        <v>49</v>
      </c>
      <c r="AD10" s="48">
        <f>AD8+AD2</f>
        <v>205</v>
      </c>
      <c r="AE10" s="19"/>
      <c r="AF10" s="19"/>
    </row>
    <row r="11" spans="1:33" ht="30" customHeight="1">
      <c r="B11" s="64">
        <f>ROW($B$10)-ROW()+2</f>
        <v>1</v>
      </c>
      <c r="C11" s="65" t="s">
        <v>392</v>
      </c>
      <c r="D11" s="66"/>
      <c r="E11" s="66"/>
      <c r="F11" s="66"/>
      <c r="G11" s="66"/>
      <c r="H11" s="66"/>
      <c r="I11" s="67"/>
      <c r="J11" s="68">
        <v>2</v>
      </c>
      <c r="K11" s="35" t="s">
        <v>51</v>
      </c>
      <c r="L11" s="69"/>
      <c r="M11" s="69"/>
      <c r="N11" s="70"/>
      <c r="O11" s="70"/>
      <c r="P11" s="71"/>
      <c r="Q11" s="170" t="s">
        <v>393</v>
      </c>
      <c r="R11" s="161"/>
      <c r="S11" s="161"/>
      <c r="T11" s="161"/>
      <c r="U11" s="161"/>
      <c r="V11" s="161"/>
      <c r="W11" s="161"/>
      <c r="X11" s="161"/>
      <c r="Y11" s="161"/>
      <c r="Z11" s="162"/>
    </row>
    <row r="12" spans="1:33" ht="30.6" customHeight="1">
      <c r="B12" s="32">
        <f>B11+1</f>
        <v>2</v>
      </c>
      <c r="C12" s="72" t="s">
        <v>394</v>
      </c>
      <c r="D12" s="73"/>
      <c r="E12" s="73"/>
      <c r="F12" s="73"/>
      <c r="G12" s="73"/>
      <c r="H12" s="73"/>
      <c r="I12" s="74"/>
      <c r="J12" s="34">
        <v>8</v>
      </c>
      <c r="K12" s="35" t="s">
        <v>395</v>
      </c>
      <c r="L12" s="36"/>
      <c r="M12" s="36"/>
      <c r="N12" s="37"/>
      <c r="O12" s="37"/>
      <c r="P12" s="33"/>
      <c r="Q12" s="160" t="s">
        <v>396</v>
      </c>
      <c r="R12" s="161"/>
      <c r="S12" s="161"/>
      <c r="T12" s="161"/>
      <c r="U12" s="161"/>
      <c r="V12" s="161"/>
      <c r="W12" s="161"/>
      <c r="X12" s="161"/>
      <c r="Y12" s="161"/>
      <c r="Z12" s="162"/>
    </row>
    <row r="13" spans="1:33" ht="61.9" customHeight="1">
      <c r="B13" s="32">
        <f t="shared" ref="B13:B39" si="0">B12+1</f>
        <v>3</v>
      </c>
      <c r="C13" s="72" t="s">
        <v>397</v>
      </c>
      <c r="D13" s="73"/>
      <c r="E13" s="73"/>
      <c r="F13" s="73"/>
      <c r="G13" s="73"/>
      <c r="H13" s="73"/>
      <c r="I13" s="74"/>
      <c r="J13" s="34">
        <v>18</v>
      </c>
      <c r="K13" s="35" t="s">
        <v>51</v>
      </c>
      <c r="L13" s="36"/>
      <c r="M13" s="36"/>
      <c r="N13" s="37"/>
      <c r="O13" s="37"/>
      <c r="P13" s="38"/>
      <c r="Q13" s="170" t="s">
        <v>398</v>
      </c>
      <c r="R13" s="161"/>
      <c r="S13" s="161"/>
      <c r="T13" s="161"/>
      <c r="U13" s="161"/>
      <c r="V13" s="161"/>
      <c r="W13" s="161"/>
      <c r="X13" s="161"/>
      <c r="Y13" s="161"/>
      <c r="Z13" s="162"/>
    </row>
    <row r="14" spans="1:33" ht="75.599999999999994" customHeight="1">
      <c r="B14" s="32">
        <f t="shared" si="0"/>
        <v>4</v>
      </c>
      <c r="C14" s="72" t="s">
        <v>399</v>
      </c>
      <c r="D14" s="73"/>
      <c r="E14" s="73"/>
      <c r="F14" s="73"/>
      <c r="G14" s="73"/>
      <c r="H14" s="73"/>
      <c r="I14" s="74"/>
      <c r="J14" s="34">
        <v>1</v>
      </c>
      <c r="K14" s="35" t="s">
        <v>51</v>
      </c>
      <c r="L14" s="36"/>
      <c r="M14" s="36"/>
      <c r="N14" s="37"/>
      <c r="O14" s="37"/>
      <c r="P14" s="38"/>
      <c r="Q14" s="170" t="s">
        <v>400</v>
      </c>
      <c r="R14" s="161"/>
      <c r="S14" s="161"/>
      <c r="T14" s="161"/>
      <c r="U14" s="161"/>
      <c r="V14" s="161"/>
      <c r="W14" s="161"/>
      <c r="X14" s="161"/>
      <c r="Y14" s="161"/>
      <c r="Z14" s="162"/>
    </row>
    <row r="15" spans="1:33" ht="24" customHeight="1">
      <c r="B15" s="32">
        <f t="shared" si="0"/>
        <v>5</v>
      </c>
      <c r="C15" s="72" t="s">
        <v>401</v>
      </c>
      <c r="D15" s="73"/>
      <c r="E15" s="73"/>
      <c r="F15" s="73"/>
      <c r="G15" s="73"/>
      <c r="H15" s="73"/>
      <c r="I15" s="74"/>
      <c r="J15" s="34">
        <v>5</v>
      </c>
      <c r="K15" s="35" t="s">
        <v>51</v>
      </c>
      <c r="L15" s="36"/>
      <c r="M15" s="36"/>
      <c r="N15" s="37"/>
      <c r="O15" s="37"/>
      <c r="P15" s="38"/>
      <c r="Q15" s="170" t="s">
        <v>402</v>
      </c>
      <c r="R15" s="161"/>
      <c r="S15" s="161"/>
      <c r="T15" s="161"/>
      <c r="U15" s="161"/>
      <c r="V15" s="161"/>
      <c r="W15" s="161"/>
      <c r="X15" s="161"/>
      <c r="Y15" s="161"/>
      <c r="Z15" s="162"/>
    </row>
    <row r="16" spans="1:33" ht="61.15" customHeight="1">
      <c r="B16" s="32">
        <f t="shared" si="0"/>
        <v>6</v>
      </c>
      <c r="C16" s="72" t="s">
        <v>403</v>
      </c>
      <c r="D16" s="73"/>
      <c r="E16" s="73"/>
      <c r="F16" s="73"/>
      <c r="G16" s="73"/>
      <c r="H16" s="73"/>
      <c r="I16" s="74"/>
      <c r="J16" s="34">
        <v>3</v>
      </c>
      <c r="K16" s="35" t="s">
        <v>51</v>
      </c>
      <c r="L16" s="36"/>
      <c r="M16" s="36"/>
      <c r="N16" s="37"/>
      <c r="O16" s="37"/>
      <c r="P16" s="38"/>
      <c r="Q16" s="160" t="s">
        <v>404</v>
      </c>
      <c r="R16" s="161"/>
      <c r="S16" s="161"/>
      <c r="T16" s="161"/>
      <c r="U16" s="161"/>
      <c r="V16" s="161"/>
      <c r="W16" s="161"/>
      <c r="X16" s="161"/>
      <c r="Y16" s="161"/>
      <c r="Z16" s="162"/>
    </row>
    <row r="17" spans="1:33" ht="24" customHeight="1">
      <c r="B17" s="32">
        <f t="shared" si="0"/>
        <v>7</v>
      </c>
      <c r="C17" s="72" t="s">
        <v>405</v>
      </c>
      <c r="D17" s="73"/>
      <c r="E17" s="73"/>
      <c r="F17" s="73"/>
      <c r="G17" s="73"/>
      <c r="H17" s="73"/>
      <c r="I17" s="74"/>
      <c r="J17" s="34">
        <v>8</v>
      </c>
      <c r="K17" s="35" t="s">
        <v>51</v>
      </c>
      <c r="L17" s="36"/>
      <c r="M17" s="36"/>
      <c r="N17" s="37"/>
      <c r="O17" s="37"/>
      <c r="P17" s="33"/>
      <c r="Q17" s="160" t="s">
        <v>406</v>
      </c>
      <c r="R17" s="161"/>
      <c r="S17" s="161"/>
      <c r="T17" s="161"/>
      <c r="U17" s="161"/>
      <c r="V17" s="161"/>
      <c r="W17" s="161"/>
      <c r="X17" s="161"/>
      <c r="Y17" s="161"/>
      <c r="Z17" s="162"/>
    </row>
    <row r="18" spans="1:33" ht="132.6" customHeight="1">
      <c r="B18" s="32">
        <f t="shared" si="0"/>
        <v>8</v>
      </c>
      <c r="C18" s="72" t="s">
        <v>407</v>
      </c>
      <c r="D18" s="73"/>
      <c r="E18" s="73"/>
      <c r="F18" s="73"/>
      <c r="G18" s="73"/>
      <c r="H18" s="73"/>
      <c r="I18" s="74"/>
      <c r="J18" s="34">
        <v>1</v>
      </c>
      <c r="K18" s="35" t="s">
        <v>51</v>
      </c>
      <c r="L18" s="36"/>
      <c r="M18" s="36"/>
      <c r="N18" s="37"/>
      <c r="O18" s="37"/>
      <c r="P18" s="33"/>
      <c r="Q18" s="170" t="s">
        <v>408</v>
      </c>
      <c r="R18" s="161"/>
      <c r="S18" s="161"/>
      <c r="T18" s="161"/>
      <c r="U18" s="161"/>
      <c r="V18" s="161"/>
      <c r="W18" s="161"/>
      <c r="X18" s="161"/>
      <c r="Y18" s="161"/>
      <c r="Z18" s="162"/>
    </row>
    <row r="19" spans="1:33" s="26" customFormat="1" ht="50.45" customHeight="1">
      <c r="A19" s="19"/>
      <c r="B19" s="32">
        <f t="shared" si="0"/>
        <v>9</v>
      </c>
      <c r="C19" s="72" t="s">
        <v>409</v>
      </c>
      <c r="D19" s="73"/>
      <c r="E19" s="73"/>
      <c r="F19" s="73"/>
      <c r="G19" s="73"/>
      <c r="H19" s="73"/>
      <c r="I19" s="74"/>
      <c r="J19" s="34">
        <v>2</v>
      </c>
      <c r="K19" s="35" t="s">
        <v>51</v>
      </c>
      <c r="L19" s="36"/>
      <c r="M19" s="36"/>
      <c r="N19" s="37"/>
      <c r="O19" s="37"/>
      <c r="P19" s="38"/>
      <c r="Q19" s="160" t="s">
        <v>410</v>
      </c>
      <c r="R19" s="161"/>
      <c r="S19" s="161"/>
      <c r="T19" s="161"/>
      <c r="U19" s="161"/>
      <c r="V19" s="161"/>
      <c r="W19" s="161"/>
      <c r="X19" s="161"/>
      <c r="Y19" s="161"/>
      <c r="Z19" s="162"/>
      <c r="AA19" s="19"/>
      <c r="AB19" s="19"/>
      <c r="AG19" s="19"/>
    </row>
    <row r="20" spans="1:33" s="26" customFormat="1" ht="56.45" customHeight="1">
      <c r="A20" s="19"/>
      <c r="B20" s="32">
        <f t="shared" si="0"/>
        <v>10</v>
      </c>
      <c r="C20" s="72" t="s">
        <v>411</v>
      </c>
      <c r="D20" s="73"/>
      <c r="E20" s="73"/>
      <c r="F20" s="73"/>
      <c r="G20" s="73"/>
      <c r="H20" s="73"/>
      <c r="I20" s="74"/>
      <c r="J20" s="34">
        <v>20</v>
      </c>
      <c r="K20" s="35" t="s">
        <v>412</v>
      </c>
      <c r="L20" s="36"/>
      <c r="M20" s="36"/>
      <c r="N20" s="37"/>
      <c r="O20" s="37"/>
      <c r="P20" s="38"/>
      <c r="Q20" s="160" t="s">
        <v>413</v>
      </c>
      <c r="R20" s="161"/>
      <c r="S20" s="161"/>
      <c r="T20" s="161"/>
      <c r="U20" s="161"/>
      <c r="V20" s="161"/>
      <c r="W20" s="161"/>
      <c r="X20" s="161"/>
      <c r="Y20" s="161"/>
      <c r="Z20" s="162"/>
      <c r="AA20" s="19"/>
      <c r="AB20" s="19"/>
      <c r="AG20" s="19"/>
    </row>
    <row r="21" spans="1:33" s="26" customFormat="1" ht="68.45" customHeight="1">
      <c r="A21" s="19"/>
      <c r="B21" s="32">
        <f t="shared" si="0"/>
        <v>11</v>
      </c>
      <c r="C21" s="72" t="s">
        <v>414</v>
      </c>
      <c r="D21" s="73"/>
      <c r="E21" s="73"/>
      <c r="F21" s="73"/>
      <c r="G21" s="73"/>
      <c r="H21" s="73"/>
      <c r="I21" s="74"/>
      <c r="J21" s="34">
        <v>1</v>
      </c>
      <c r="K21" s="35" t="s">
        <v>51</v>
      </c>
      <c r="L21" s="36"/>
      <c r="M21" s="36"/>
      <c r="N21" s="37"/>
      <c r="O21" s="37" t="s">
        <v>415</v>
      </c>
      <c r="P21" s="38"/>
      <c r="Q21" s="160" t="s">
        <v>416</v>
      </c>
      <c r="R21" s="161"/>
      <c r="S21" s="161"/>
      <c r="T21" s="161"/>
      <c r="U21" s="161"/>
      <c r="V21" s="161"/>
      <c r="W21" s="161"/>
      <c r="X21" s="161"/>
      <c r="Y21" s="161"/>
      <c r="Z21" s="162"/>
      <c r="AA21" s="19"/>
      <c r="AB21" s="19"/>
      <c r="AG21" s="19"/>
    </row>
    <row r="22" spans="1:33" ht="304.14999999999998" customHeight="1">
      <c r="B22" s="32">
        <f t="shared" si="0"/>
        <v>12</v>
      </c>
      <c r="C22" s="72" t="s">
        <v>417</v>
      </c>
      <c r="D22" s="73"/>
      <c r="E22" s="73"/>
      <c r="F22" s="73"/>
      <c r="G22" s="73"/>
      <c r="H22" s="73"/>
      <c r="I22" s="74"/>
      <c r="J22" s="34">
        <v>14</v>
      </c>
      <c r="K22" s="35" t="s">
        <v>327</v>
      </c>
      <c r="L22" s="36"/>
      <c r="M22" s="36"/>
      <c r="N22" s="37"/>
      <c r="O22" s="37"/>
      <c r="P22" s="38"/>
      <c r="Q22" s="170" t="s">
        <v>418</v>
      </c>
      <c r="R22" s="161"/>
      <c r="S22" s="161"/>
      <c r="T22" s="161"/>
      <c r="U22" s="161"/>
      <c r="V22" s="161"/>
      <c r="W22" s="161"/>
      <c r="X22" s="161"/>
      <c r="Y22" s="161"/>
      <c r="Z22" s="162"/>
    </row>
    <row r="23" spans="1:33" s="26" customFormat="1" ht="65.45" customHeight="1">
      <c r="A23" s="19"/>
      <c r="B23" s="32">
        <f t="shared" si="0"/>
        <v>13</v>
      </c>
      <c r="C23" s="72" t="s">
        <v>419</v>
      </c>
      <c r="D23" s="73"/>
      <c r="E23" s="73"/>
      <c r="F23" s="73"/>
      <c r="G23" s="73"/>
      <c r="H23" s="73"/>
      <c r="I23" s="74"/>
      <c r="J23" s="34">
        <v>1</v>
      </c>
      <c r="K23" s="35" t="s">
        <v>51</v>
      </c>
      <c r="L23" s="36"/>
      <c r="M23" s="36"/>
      <c r="N23" s="37"/>
      <c r="O23" s="37" t="s">
        <v>415</v>
      </c>
      <c r="P23" s="38"/>
      <c r="Q23" s="160" t="s">
        <v>420</v>
      </c>
      <c r="R23" s="161"/>
      <c r="S23" s="161"/>
      <c r="T23" s="161"/>
      <c r="U23" s="161"/>
      <c r="V23" s="161"/>
      <c r="W23" s="161"/>
      <c r="X23" s="161"/>
      <c r="Y23" s="161"/>
      <c r="Z23" s="162"/>
      <c r="AA23" s="19"/>
      <c r="AB23" s="19"/>
      <c r="AG23" s="19"/>
    </row>
    <row r="24" spans="1:33" ht="312.60000000000002" customHeight="1">
      <c r="B24" s="32">
        <f t="shared" si="0"/>
        <v>14</v>
      </c>
      <c r="C24" s="72" t="s">
        <v>421</v>
      </c>
      <c r="D24" s="73"/>
      <c r="E24" s="73"/>
      <c r="F24" s="73"/>
      <c r="G24" s="73"/>
      <c r="H24" s="73"/>
      <c r="I24" s="74"/>
      <c r="J24" s="34">
        <v>14</v>
      </c>
      <c r="K24" s="35" t="s">
        <v>327</v>
      </c>
      <c r="L24" s="36"/>
      <c r="M24" s="36"/>
      <c r="N24" s="37"/>
      <c r="O24" s="37"/>
      <c r="P24" s="38"/>
      <c r="Q24" s="170" t="s">
        <v>422</v>
      </c>
      <c r="R24" s="161"/>
      <c r="S24" s="161"/>
      <c r="T24" s="161"/>
      <c r="U24" s="161"/>
      <c r="V24" s="161"/>
      <c r="W24" s="161"/>
      <c r="X24" s="161"/>
      <c r="Y24" s="161"/>
      <c r="Z24" s="162"/>
    </row>
    <row r="25" spans="1:33" s="26" customFormat="1" ht="56.45" customHeight="1">
      <c r="A25" s="19"/>
      <c r="B25" s="32">
        <f t="shared" si="0"/>
        <v>15</v>
      </c>
      <c r="C25" s="72" t="s">
        <v>423</v>
      </c>
      <c r="D25" s="73"/>
      <c r="E25" s="73"/>
      <c r="F25" s="73"/>
      <c r="G25" s="73"/>
      <c r="H25" s="73"/>
      <c r="I25" s="74"/>
      <c r="J25" s="34">
        <v>1</v>
      </c>
      <c r="K25" s="35" t="s">
        <v>51</v>
      </c>
      <c r="L25" s="36"/>
      <c r="M25" s="36"/>
      <c r="N25" s="37"/>
      <c r="O25" s="37" t="s">
        <v>415</v>
      </c>
      <c r="P25" s="38"/>
      <c r="Q25" s="160" t="s">
        <v>424</v>
      </c>
      <c r="R25" s="161"/>
      <c r="S25" s="161"/>
      <c r="T25" s="161"/>
      <c r="U25" s="161"/>
      <c r="V25" s="161"/>
      <c r="W25" s="161"/>
      <c r="X25" s="161"/>
      <c r="Y25" s="161"/>
      <c r="Z25" s="162"/>
      <c r="AA25" s="19"/>
      <c r="AB25" s="19"/>
      <c r="AG25" s="19"/>
    </row>
    <row r="26" spans="1:33" ht="63.6" customHeight="1">
      <c r="B26" s="32">
        <f t="shared" si="0"/>
        <v>16</v>
      </c>
      <c r="C26" s="72" t="s">
        <v>425</v>
      </c>
      <c r="D26" s="73"/>
      <c r="E26" s="73"/>
      <c r="F26" s="73"/>
      <c r="G26" s="73"/>
      <c r="H26" s="73"/>
      <c r="I26" s="74"/>
      <c r="J26" s="34">
        <v>14</v>
      </c>
      <c r="K26" s="35" t="s">
        <v>327</v>
      </c>
      <c r="L26" s="36"/>
      <c r="M26" s="36"/>
      <c r="N26" s="37"/>
      <c r="O26" s="37"/>
      <c r="P26" s="38"/>
      <c r="Q26" s="160" t="s">
        <v>426</v>
      </c>
      <c r="R26" s="161"/>
      <c r="S26" s="161"/>
      <c r="T26" s="161"/>
      <c r="U26" s="161"/>
      <c r="V26" s="161"/>
      <c r="W26" s="161"/>
      <c r="X26" s="161"/>
      <c r="Y26" s="161"/>
      <c r="Z26" s="162"/>
    </row>
    <row r="27" spans="1:33" ht="87" customHeight="1">
      <c r="B27" s="32">
        <f t="shared" si="0"/>
        <v>17</v>
      </c>
      <c r="C27" s="72" t="s">
        <v>427</v>
      </c>
      <c r="D27" s="73"/>
      <c r="E27" s="73"/>
      <c r="F27" s="73"/>
      <c r="G27" s="73"/>
      <c r="H27" s="73"/>
      <c r="I27" s="74"/>
      <c r="J27" s="34">
        <v>20</v>
      </c>
      <c r="K27" s="35" t="s">
        <v>51</v>
      </c>
      <c r="L27" s="36"/>
      <c r="M27" s="36"/>
      <c r="N27" s="37"/>
      <c r="O27" s="37"/>
      <c r="P27" s="38"/>
      <c r="Q27" s="170" t="s">
        <v>428</v>
      </c>
      <c r="R27" s="161"/>
      <c r="S27" s="161"/>
      <c r="T27" s="161"/>
      <c r="U27" s="161"/>
      <c r="V27" s="161"/>
      <c r="W27" s="161"/>
      <c r="X27" s="161"/>
      <c r="Y27" s="161"/>
      <c r="Z27" s="162"/>
    </row>
    <row r="28" spans="1:33" s="26" customFormat="1" ht="72" customHeight="1">
      <c r="A28" s="19"/>
      <c r="B28" s="32">
        <f t="shared" si="0"/>
        <v>18</v>
      </c>
      <c r="C28" s="72" t="s">
        <v>429</v>
      </c>
      <c r="D28" s="73"/>
      <c r="E28" s="73"/>
      <c r="F28" s="73"/>
      <c r="G28" s="73"/>
      <c r="H28" s="73"/>
      <c r="I28" s="74"/>
      <c r="J28" s="34">
        <v>10</v>
      </c>
      <c r="K28" s="35" t="s">
        <v>51</v>
      </c>
      <c r="L28" s="36"/>
      <c r="M28" s="36"/>
      <c r="N28" s="37"/>
      <c r="O28" s="37" t="s">
        <v>415</v>
      </c>
      <c r="P28" s="38"/>
      <c r="Q28" s="160" t="s">
        <v>430</v>
      </c>
      <c r="R28" s="161"/>
      <c r="S28" s="161"/>
      <c r="T28" s="161"/>
      <c r="U28" s="161"/>
      <c r="V28" s="161"/>
      <c r="W28" s="161"/>
      <c r="X28" s="161"/>
      <c r="Y28" s="161"/>
      <c r="Z28" s="162"/>
      <c r="AA28" s="19"/>
      <c r="AB28" s="19"/>
      <c r="AG28" s="19"/>
    </row>
    <row r="29" spans="1:33" s="26" customFormat="1" ht="86.45" customHeight="1">
      <c r="A29" s="19"/>
      <c r="B29" s="32">
        <f t="shared" si="0"/>
        <v>19</v>
      </c>
      <c r="C29" s="72" t="s">
        <v>431</v>
      </c>
      <c r="D29" s="73"/>
      <c r="E29" s="73"/>
      <c r="F29" s="73"/>
      <c r="G29" s="73"/>
      <c r="H29" s="73"/>
      <c r="I29" s="74"/>
      <c r="J29" s="34">
        <v>1</v>
      </c>
      <c r="K29" s="35" t="s">
        <v>51</v>
      </c>
      <c r="L29" s="36"/>
      <c r="M29" s="36"/>
      <c r="N29" s="37"/>
      <c r="O29" s="37" t="s">
        <v>415</v>
      </c>
      <c r="P29" s="33"/>
      <c r="Q29" s="160" t="s">
        <v>432</v>
      </c>
      <c r="R29" s="161"/>
      <c r="S29" s="161"/>
      <c r="T29" s="161"/>
      <c r="U29" s="161"/>
      <c r="V29" s="161"/>
      <c r="W29" s="161"/>
      <c r="X29" s="161"/>
      <c r="Y29" s="161"/>
      <c r="Z29" s="162"/>
      <c r="AA29" s="19"/>
      <c r="AB29" s="19"/>
      <c r="AG29" s="19"/>
    </row>
    <row r="30" spans="1:33" s="26" customFormat="1" ht="58.9" customHeight="1">
      <c r="A30" s="19"/>
      <c r="B30" s="32">
        <f t="shared" si="0"/>
        <v>20</v>
      </c>
      <c r="C30" s="72" t="s">
        <v>433</v>
      </c>
      <c r="D30" s="73"/>
      <c r="E30" s="73"/>
      <c r="F30" s="73"/>
      <c r="G30" s="73"/>
      <c r="H30" s="73"/>
      <c r="I30" s="74"/>
      <c r="J30" s="34">
        <v>10</v>
      </c>
      <c r="K30" s="35" t="s">
        <v>412</v>
      </c>
      <c r="L30" s="36"/>
      <c r="M30" s="36"/>
      <c r="N30" s="37"/>
      <c r="O30" s="37" t="s">
        <v>415</v>
      </c>
      <c r="P30" s="33"/>
      <c r="Q30" s="160" t="s">
        <v>434</v>
      </c>
      <c r="R30" s="161"/>
      <c r="S30" s="161"/>
      <c r="T30" s="161"/>
      <c r="U30" s="161"/>
      <c r="V30" s="161"/>
      <c r="W30" s="161"/>
      <c r="X30" s="161"/>
      <c r="Y30" s="161"/>
      <c r="Z30" s="162"/>
      <c r="AA30" s="19"/>
      <c r="AB30" s="39"/>
      <c r="AG30" s="19"/>
    </row>
    <row r="31" spans="1:33" s="26" customFormat="1" ht="58.9" customHeight="1">
      <c r="A31" s="19"/>
      <c r="B31" s="32">
        <f t="shared" si="0"/>
        <v>21</v>
      </c>
      <c r="C31" s="72" t="s">
        <v>435</v>
      </c>
      <c r="D31" s="73"/>
      <c r="E31" s="73"/>
      <c r="F31" s="73"/>
      <c r="G31" s="73"/>
      <c r="H31" s="73"/>
      <c r="I31" s="74"/>
      <c r="J31" s="34">
        <v>8</v>
      </c>
      <c r="K31" s="35" t="s">
        <v>51</v>
      </c>
      <c r="L31" s="36"/>
      <c r="M31" s="36"/>
      <c r="N31" s="37"/>
      <c r="O31" s="37" t="s">
        <v>415</v>
      </c>
      <c r="P31" s="38"/>
      <c r="Q31" s="160" t="s">
        <v>436</v>
      </c>
      <c r="R31" s="161"/>
      <c r="S31" s="161"/>
      <c r="T31" s="161"/>
      <c r="U31" s="161"/>
      <c r="V31" s="161"/>
      <c r="W31" s="161"/>
      <c r="X31" s="161"/>
      <c r="Y31" s="161"/>
      <c r="Z31" s="162"/>
      <c r="AA31" s="19"/>
      <c r="AB31" s="39"/>
      <c r="AG31" s="19"/>
    </row>
    <row r="32" spans="1:33" s="26" customFormat="1" ht="61.9" customHeight="1">
      <c r="A32" s="19"/>
      <c r="B32" s="32">
        <f t="shared" si="0"/>
        <v>22</v>
      </c>
      <c r="C32" s="72" t="s">
        <v>437</v>
      </c>
      <c r="D32" s="73"/>
      <c r="E32" s="73"/>
      <c r="F32" s="73"/>
      <c r="G32" s="73"/>
      <c r="H32" s="73"/>
      <c r="I32" s="74"/>
      <c r="J32" s="34">
        <v>2</v>
      </c>
      <c r="K32" s="35" t="s">
        <v>51</v>
      </c>
      <c r="L32" s="36"/>
      <c r="M32" s="36"/>
      <c r="N32" s="37"/>
      <c r="O32" s="37" t="s">
        <v>415</v>
      </c>
      <c r="P32" s="38"/>
      <c r="Q32" s="160" t="s">
        <v>438</v>
      </c>
      <c r="R32" s="161"/>
      <c r="S32" s="161"/>
      <c r="T32" s="161"/>
      <c r="U32" s="161"/>
      <c r="V32" s="161"/>
      <c r="W32" s="161"/>
      <c r="X32" s="161"/>
      <c r="Y32" s="161"/>
      <c r="Z32" s="162"/>
      <c r="AA32" s="19"/>
      <c r="AB32" s="19"/>
      <c r="AG32" s="19"/>
    </row>
    <row r="33" spans="1:33" s="26" customFormat="1" ht="73.900000000000006" customHeight="1">
      <c r="A33" s="19"/>
      <c r="B33" s="32">
        <f t="shared" si="0"/>
        <v>23</v>
      </c>
      <c r="C33" s="72" t="s">
        <v>439</v>
      </c>
      <c r="D33" s="73"/>
      <c r="E33" s="73"/>
      <c r="F33" s="73"/>
      <c r="G33" s="73"/>
      <c r="H33" s="73"/>
      <c r="I33" s="74"/>
      <c r="J33" s="34">
        <v>18</v>
      </c>
      <c r="K33" s="35" t="s">
        <v>412</v>
      </c>
      <c r="L33" s="36"/>
      <c r="M33" s="36"/>
      <c r="N33" s="37"/>
      <c r="O33" s="37" t="s">
        <v>415</v>
      </c>
      <c r="P33" s="38"/>
      <c r="Q33" s="160" t="s">
        <v>440</v>
      </c>
      <c r="R33" s="161"/>
      <c r="S33" s="161"/>
      <c r="T33" s="161"/>
      <c r="U33" s="161"/>
      <c r="V33" s="161"/>
      <c r="W33" s="161"/>
      <c r="X33" s="161"/>
      <c r="Y33" s="161"/>
      <c r="Z33" s="162"/>
      <c r="AA33" s="19"/>
      <c r="AB33" s="19"/>
      <c r="AG33" s="19"/>
    </row>
    <row r="34" spans="1:33" s="26" customFormat="1" ht="83.45" customHeight="1">
      <c r="A34" s="19"/>
      <c r="B34" s="32">
        <f t="shared" si="0"/>
        <v>24</v>
      </c>
      <c r="C34" s="72" t="s">
        <v>441</v>
      </c>
      <c r="D34" s="73"/>
      <c r="E34" s="73"/>
      <c r="F34" s="73"/>
      <c r="G34" s="73"/>
      <c r="H34" s="73"/>
      <c r="I34" s="74"/>
      <c r="J34" s="34">
        <v>2</v>
      </c>
      <c r="K34" s="35" t="s">
        <v>51</v>
      </c>
      <c r="L34" s="36"/>
      <c r="M34" s="36"/>
      <c r="N34" s="37"/>
      <c r="O34" s="37" t="s">
        <v>415</v>
      </c>
      <c r="P34" s="33"/>
      <c r="Q34" s="160" t="s">
        <v>442</v>
      </c>
      <c r="R34" s="161"/>
      <c r="S34" s="161"/>
      <c r="T34" s="161"/>
      <c r="U34" s="161"/>
      <c r="V34" s="161"/>
      <c r="W34" s="161"/>
      <c r="X34" s="161"/>
      <c r="Y34" s="161"/>
      <c r="Z34" s="162"/>
      <c r="AA34" s="19"/>
      <c r="AB34" s="19"/>
      <c r="AG34" s="19"/>
    </row>
    <row r="35" spans="1:33" s="26" customFormat="1" ht="65.45" customHeight="1">
      <c r="A35" s="19"/>
      <c r="B35" s="32">
        <f t="shared" si="0"/>
        <v>25</v>
      </c>
      <c r="C35" s="72" t="s">
        <v>443</v>
      </c>
      <c r="D35" s="73"/>
      <c r="E35" s="73"/>
      <c r="F35" s="73"/>
      <c r="G35" s="73"/>
      <c r="H35" s="73"/>
      <c r="I35" s="74"/>
      <c r="J35" s="34">
        <v>20</v>
      </c>
      <c r="K35" s="35" t="s">
        <v>412</v>
      </c>
      <c r="L35" s="36"/>
      <c r="M35" s="36"/>
      <c r="N35" s="37"/>
      <c r="O35" s="37" t="s">
        <v>415</v>
      </c>
      <c r="P35" s="38"/>
      <c r="Q35" s="160" t="s">
        <v>444</v>
      </c>
      <c r="R35" s="161"/>
      <c r="S35" s="161"/>
      <c r="T35" s="161"/>
      <c r="U35" s="161"/>
      <c r="V35" s="161"/>
      <c r="W35" s="161"/>
      <c r="X35" s="161"/>
      <c r="Y35" s="161"/>
      <c r="Z35" s="162"/>
      <c r="AA35" s="19"/>
      <c r="AB35" s="19"/>
      <c r="AG35" s="19"/>
    </row>
    <row r="36" spans="1:33" s="26" customFormat="1" ht="24" customHeight="1">
      <c r="A36" s="19"/>
      <c r="B36" s="32">
        <f t="shared" si="0"/>
        <v>26</v>
      </c>
      <c r="C36" s="72"/>
      <c r="D36" s="73"/>
      <c r="E36" s="73"/>
      <c r="F36" s="73"/>
      <c r="G36" s="73"/>
      <c r="H36" s="73"/>
      <c r="I36" s="74"/>
      <c r="J36" s="34"/>
      <c r="K36" s="35"/>
      <c r="L36" s="36"/>
      <c r="M36" s="36"/>
      <c r="N36" s="37"/>
      <c r="O36" s="37"/>
      <c r="P36" s="38"/>
      <c r="Q36" s="160"/>
      <c r="R36" s="161"/>
      <c r="S36" s="161"/>
      <c r="T36" s="161"/>
      <c r="U36" s="161"/>
      <c r="V36" s="161"/>
      <c r="W36" s="161"/>
      <c r="X36" s="161"/>
      <c r="Y36" s="161"/>
      <c r="Z36" s="162"/>
      <c r="AA36" s="19"/>
      <c r="AB36" s="19"/>
      <c r="AG36" s="19"/>
    </row>
    <row r="37" spans="1:33" s="26" customFormat="1" ht="24" customHeight="1">
      <c r="A37" s="19"/>
      <c r="B37" s="32">
        <f t="shared" si="0"/>
        <v>27</v>
      </c>
      <c r="C37" s="72"/>
      <c r="D37" s="73"/>
      <c r="E37" s="73"/>
      <c r="F37" s="73"/>
      <c r="G37" s="73"/>
      <c r="H37" s="73"/>
      <c r="I37" s="74"/>
      <c r="J37" s="34"/>
      <c r="K37" s="35"/>
      <c r="L37" s="36"/>
      <c r="M37" s="36"/>
      <c r="N37" s="37"/>
      <c r="O37" s="37"/>
      <c r="P37" s="38"/>
      <c r="Q37" s="160"/>
      <c r="R37" s="161"/>
      <c r="S37" s="161"/>
      <c r="T37" s="161"/>
      <c r="U37" s="161"/>
      <c r="V37" s="161"/>
      <c r="W37" s="161"/>
      <c r="X37" s="161"/>
      <c r="Y37" s="161"/>
      <c r="Z37" s="162"/>
      <c r="AA37" s="19"/>
      <c r="AB37" s="19"/>
      <c r="AG37" s="19"/>
    </row>
    <row r="38" spans="1:33" s="26" customFormat="1" ht="24" customHeight="1">
      <c r="A38" s="19"/>
      <c r="B38" s="32">
        <f t="shared" si="0"/>
        <v>28</v>
      </c>
      <c r="C38" s="72"/>
      <c r="D38" s="73"/>
      <c r="E38" s="73"/>
      <c r="F38" s="73"/>
      <c r="G38" s="73"/>
      <c r="H38" s="73"/>
      <c r="I38" s="74"/>
      <c r="J38" s="34"/>
      <c r="K38" s="35"/>
      <c r="L38" s="36"/>
      <c r="M38" s="36"/>
      <c r="N38" s="37"/>
      <c r="O38" s="37"/>
      <c r="P38" s="33"/>
      <c r="Q38" s="160"/>
      <c r="R38" s="161"/>
      <c r="S38" s="161"/>
      <c r="T38" s="161"/>
      <c r="U38" s="161"/>
      <c r="V38" s="161"/>
      <c r="W38" s="161"/>
      <c r="X38" s="161"/>
      <c r="Y38" s="161"/>
      <c r="Z38" s="162"/>
      <c r="AA38" s="19"/>
      <c r="AB38" s="19"/>
      <c r="AG38" s="19"/>
    </row>
    <row r="39" spans="1:33" s="26" customFormat="1" ht="24" customHeight="1">
      <c r="A39" s="19"/>
      <c r="B39" s="32">
        <f t="shared" si="0"/>
        <v>29</v>
      </c>
      <c r="C39" s="72"/>
      <c r="D39" s="73"/>
      <c r="E39" s="73"/>
      <c r="F39" s="73"/>
      <c r="G39" s="73"/>
      <c r="H39" s="73"/>
      <c r="I39" s="74"/>
      <c r="J39" s="34"/>
      <c r="K39" s="35"/>
      <c r="L39" s="36"/>
      <c r="M39" s="36"/>
      <c r="N39" s="37"/>
      <c r="O39" s="37"/>
      <c r="P39" s="33"/>
      <c r="Q39" s="160"/>
      <c r="R39" s="161"/>
      <c r="S39" s="161"/>
      <c r="T39" s="161"/>
      <c r="U39" s="161"/>
      <c r="V39" s="161"/>
      <c r="W39" s="161"/>
      <c r="X39" s="161"/>
      <c r="Y39" s="161"/>
      <c r="Z39" s="162"/>
      <c r="AA39" s="19"/>
      <c r="AB39" s="19"/>
      <c r="AG39" s="19"/>
    </row>
    <row r="40" spans="1:33" ht="24" customHeight="1">
      <c r="B40" s="40"/>
      <c r="C40" s="144"/>
      <c r="D40" s="145"/>
      <c r="E40" s="145"/>
      <c r="F40" s="145"/>
      <c r="G40" s="145"/>
      <c r="H40" s="145"/>
      <c r="I40" s="146"/>
      <c r="J40" s="41"/>
      <c r="K40" s="42"/>
      <c r="L40" s="43"/>
      <c r="M40" s="43"/>
      <c r="N40" s="44"/>
      <c r="O40" s="44"/>
      <c r="P40" s="45"/>
      <c r="Q40" s="147"/>
      <c r="R40" s="156"/>
      <c r="S40" s="156"/>
      <c r="T40" s="156"/>
      <c r="U40" s="156"/>
      <c r="V40" s="156"/>
      <c r="W40" s="156"/>
      <c r="X40" s="156"/>
      <c r="Y40" s="156"/>
      <c r="Z40" s="157"/>
    </row>
    <row r="41" spans="1:33" ht="7.5" customHeight="1">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sheetData>
  <mergeCells count="60">
    <mergeCell ref="Q38:Z38"/>
    <mergeCell ref="Q39:Z39"/>
    <mergeCell ref="C40:I40"/>
    <mergeCell ref="Q40:Z40"/>
    <mergeCell ref="Q33:Z33"/>
    <mergeCell ref="Q34:Z34"/>
    <mergeCell ref="Q35:Z35"/>
    <mergeCell ref="Q27:Z27"/>
    <mergeCell ref="Q36:Z36"/>
    <mergeCell ref="Q37:Z37"/>
    <mergeCell ref="Q32:Z32"/>
    <mergeCell ref="Q20:Z20"/>
    <mergeCell ref="Q21:Z21"/>
    <mergeCell ref="Q22:Z22"/>
    <mergeCell ref="Q23:Z23"/>
    <mergeCell ref="Q24:Z24"/>
    <mergeCell ref="Q25:Z25"/>
    <mergeCell ref="Q26:Z26"/>
    <mergeCell ref="Q28:Z28"/>
    <mergeCell ref="Q29:Z29"/>
    <mergeCell ref="Q30:Z30"/>
    <mergeCell ref="Q31:Z31"/>
    <mergeCell ref="Q19:Z19"/>
    <mergeCell ref="C10:H10"/>
    <mergeCell ref="K10:M10"/>
    <mergeCell ref="Q10:Z10"/>
    <mergeCell ref="Q11:Z11"/>
    <mergeCell ref="Q12:Z12"/>
    <mergeCell ref="Q13:Z13"/>
    <mergeCell ref="Q14:Z14"/>
    <mergeCell ref="Q15:Z15"/>
    <mergeCell ref="Q16:Z16"/>
    <mergeCell ref="Q17:Z17"/>
    <mergeCell ref="Q18:Z18"/>
    <mergeCell ref="O7:Q7"/>
    <mergeCell ref="R7:U7"/>
    <mergeCell ref="V7:W7"/>
    <mergeCell ref="X7:Z7"/>
    <mergeCell ref="I8:J8"/>
    <mergeCell ref="K8:N8"/>
    <mergeCell ref="O8:Q8"/>
    <mergeCell ref="R8:U8"/>
    <mergeCell ref="V8:X8"/>
    <mergeCell ref="Y8:Z8"/>
    <mergeCell ref="B6:D6"/>
    <mergeCell ref="E6:G6"/>
    <mergeCell ref="I6:J6"/>
    <mergeCell ref="I7:J7"/>
    <mergeCell ref="K7:N7"/>
    <mergeCell ref="A2:AA2"/>
    <mergeCell ref="A3:D4"/>
    <mergeCell ref="E3:N4"/>
    <mergeCell ref="O3:Q3"/>
    <mergeCell ref="R3:S3"/>
    <mergeCell ref="T3:U4"/>
    <mergeCell ref="V3:W4"/>
    <mergeCell ref="X3:X4"/>
    <mergeCell ref="Y3:AA4"/>
    <mergeCell ref="O4:Q4"/>
    <mergeCell ref="R4:S4"/>
  </mergeCells>
  <phoneticPr fontId="1"/>
  <dataValidations count="3">
    <dataValidation type="list" allowBlank="1" showInputMessage="1" showErrorMessage="1" sqref="K8" xr:uid="{06135510-775F-41EF-A91C-E55EE09CD8CF}">
      <formula1>"CR-LF,LF"</formula1>
    </dataValidation>
    <dataValidation type="list" allowBlank="1" showInputMessage="1" showErrorMessage="1" sqref="R8" xr:uid="{221F4E68-FBE1-4DA8-988A-C6CAC412310E}">
      <formula1>"無し,シングルクォーテーション,ダブルクォーテーション"</formula1>
    </dataValidation>
    <dataValidation type="list" allowBlank="1" showInputMessage="1" showErrorMessage="1" sqref="Y8:Z8" xr:uid="{2F5E5355-5F69-45C2-B8BB-097E122F98B4}">
      <formula1>"無し,カンマ,タブ"</formula1>
    </dataValidation>
  </dataValidations>
  <pageMargins left="0.70866141732283472" right="0.70866141732283472" top="0.74803149606299213" bottom="0.74803149606299213" header="0.31496062992125984" footer="0.31496062992125984"/>
  <pageSetup paperSize="9" scale="71"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24FDA4-F3FB-43D8-B2C6-E8D97FB4CA56}"/>
</file>

<file path=customXml/itemProps2.xml><?xml version="1.0" encoding="utf-8"?>
<ds:datastoreItem xmlns:ds="http://schemas.openxmlformats.org/officeDocument/2006/customXml" ds:itemID="{DC4920A1-D824-45B1-B245-CFC34F7E08C5}"/>
</file>

<file path=customXml/itemProps3.xml><?xml version="1.0" encoding="utf-8"?>
<ds:datastoreItem xmlns:ds="http://schemas.openxmlformats.org/officeDocument/2006/customXml" ds:itemID="{C3347D2D-33E8-4579-9E8C-F605E1A29CB4}"/>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