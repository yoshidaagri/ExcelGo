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9.共計\9.3.繰越\"/>
    </mc:Choice>
  </mc:AlternateContent>
  <xr:revisionPtr revIDLastSave="0" documentId="13_ncr:1_{A55D734C-0D5A-4E31-BD15-9A12410B7D68}" xr6:coauthVersionLast="47" xr6:coauthVersionMax="47" xr10:uidLastSave="{00000000-0000-0000-0000-000000000000}"/>
  <bookViews>
    <workbookView xWindow="28680" yWindow="-120" windowWidth="29040" windowHeight="15720" tabRatio="800" xr2:uid="{977A5EBC-9879-4A7A-832E-679A115D8B9A}"/>
  </bookViews>
  <sheets>
    <sheet name="変更履歴" sheetId="43" r:id="rId1"/>
    <sheet name="1.遷移図" sheetId="42" r:id="rId2"/>
    <sheet name="2.レイアウト（条件入力) " sheetId="68" r:id="rId3"/>
    <sheet name="3.項目説明(条件入力)" sheetId="65" r:id="rId4"/>
    <sheet name="4.項目チェック（単体）_条件入力" sheetId="58" r:id="rId5"/>
    <sheet name="5.項目チェック（関連）_条件入力 " sheetId="60" r:id="rId6"/>
    <sheet name="2.レイアウト（入力)" sheetId="64" r:id="rId7"/>
    <sheet name="3.項目説明(入力)" sheetId="72" r:id="rId8"/>
    <sheet name="4.項目チェック（単体）_入力" sheetId="74" r:id="rId9"/>
    <sheet name="5.項目チェック（関連）_入力" sheetId="63" r:id="rId10"/>
    <sheet name="2.レイアウト（確認）" sheetId="71" r:id="rId11"/>
    <sheet name="3.項目説明(確認)" sheetId="73" r:id="rId12"/>
    <sheet name="4.項目チェック（単体）_確認" sheetId="62" r:id="rId13"/>
    <sheet name="5.項目チェック（関連）_確認" sheetId="75" r:id="rId14"/>
    <sheet name="6．画面機能補足説明" sheetId="44" r:id="rId15"/>
  </sheets>
  <definedNames>
    <definedName name="_xlnm.Print_Area" localSheetId="1">'1.遷移図'!$A$1:$CQ$41</definedName>
    <definedName name="_xlnm.Print_Area" localSheetId="10">'2.レイアウト（確認）'!$A$1:$CG$87</definedName>
    <definedName name="_xlnm.Print_Area" localSheetId="2">'2.レイアウト（条件入力) '!$A$1:$CG$102</definedName>
    <definedName name="_xlnm.Print_Area" localSheetId="6">'2.レイアウト（入力)'!$A$1:$CG$62</definedName>
    <definedName name="_xlnm.Print_Area" localSheetId="11">'3.項目説明(確認)'!$A$1:$BJ$72</definedName>
    <definedName name="_xlnm.Print_Area" localSheetId="3">'3.項目説明(条件入力)'!$A$1:$BJ$48</definedName>
    <definedName name="_xlnm.Print_Area" localSheetId="7">'3.項目説明(入力)'!$A$1:$BJ$79</definedName>
    <definedName name="_xlnm.Print_Area" localSheetId="12">'4.項目チェック（単体）_確認'!$A$1:$BJ$43</definedName>
    <definedName name="_xlnm.Print_Area" localSheetId="4">'4.項目チェック（単体）_条件入力'!$A$1:$BJ$15</definedName>
    <definedName name="_xlnm.Print_Area" localSheetId="8">'4.項目チェック（単体）_入力'!$A$1:$BJ$37</definedName>
    <definedName name="_xlnm.Print_Area" localSheetId="13">'5.項目チェック（関連）_確認'!$A$1:$BJ$41</definedName>
    <definedName name="_xlnm.Print_Area" localSheetId="5">'5.項目チェック（関連）_条件入力 '!$A$1:$BJ$33</definedName>
    <definedName name="_xlnm.Print_Area" localSheetId="9">'5.項目チェック（関連）_入力'!$A$1:$BJ$39</definedName>
    <definedName name="_xlnm.Print_Area" localSheetId="14">'6．画面機能補足説明'!$A$1:$BJ$43</definedName>
    <definedName name="_xlnm.Print_Area" localSheetId="0">変更履歴!$A$1:$BJ$63</definedName>
    <definedName name="_xlnm.Print_Titles" localSheetId="11">'3.項目説明(確認)'!$1:$16</definedName>
    <definedName name="_xlnm.Print_Titles" localSheetId="3">'3.項目説明(条件入力)'!$1:$17</definedName>
    <definedName name="_xlnm.Print_Titles" localSheetId="7">'3.項目説明(入力)'!$1:$16</definedName>
    <definedName name="_xlnm.Print_Titles" localSheetId="12">'4.項目チェック（単体）_確認'!$1:$8</definedName>
    <definedName name="_xlnm.Print_Titles" localSheetId="4">'4.項目チェック（単体）_条件入力'!$1:$8</definedName>
    <definedName name="_xlnm.Print_Titles" localSheetId="8">'4.項目チェック（単体）_入力'!$1:$8</definedName>
    <definedName name="_xlnm.Print_Titles" localSheetId="13">'5.項目チェック（関連）_確認'!$1:$8</definedName>
    <definedName name="_xlnm.Print_Titles" localSheetId="5">'5.項目チェック（関連）_条件入力 '!$1:$8</definedName>
    <definedName name="_xlnm.Print_Titles" localSheetId="9">'5.項目チェック（関連）_入力'!$1:$8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65" l="1"/>
  <c r="A44" i="65"/>
  <c r="A43" i="65"/>
  <c r="A42" i="65"/>
  <c r="A41" i="65"/>
  <c r="A40" i="65"/>
  <c r="A39" i="65"/>
  <c r="A38" i="65"/>
  <c r="A37" i="65"/>
  <c r="A36" i="65"/>
  <c r="A35" i="65"/>
  <c r="A34" i="65"/>
  <c r="A33" i="65"/>
  <c r="A32" i="65"/>
  <c r="A31" i="65"/>
  <c r="A30" i="65"/>
  <c r="A29" i="65"/>
  <c r="A28" i="65"/>
  <c r="A27" i="65"/>
  <c r="A26" i="65"/>
  <c r="A25" i="65"/>
  <c r="A24" i="65"/>
  <c r="A23" i="65"/>
  <c r="A22" i="65"/>
  <c r="A21" i="65"/>
  <c r="A20" i="65"/>
  <c r="A19" i="65"/>
  <c r="A18" i="65"/>
  <c r="A12" i="74" l="1"/>
  <c r="A31" i="74"/>
  <c r="A30" i="74"/>
  <c r="A29" i="74"/>
  <c r="A28" i="74"/>
  <c r="A27" i="74"/>
  <c r="A26" i="74"/>
  <c r="A21" i="60"/>
  <c r="A13" i="60" l="1"/>
  <c r="A12" i="60"/>
  <c r="A11" i="60"/>
  <c r="A28" i="60" l="1"/>
  <c r="A29" i="60"/>
  <c r="A30" i="60"/>
  <c r="A11" i="63" l="1"/>
  <c r="A11" i="74" l="1"/>
  <c r="A25" i="74" l="1"/>
  <c r="A23" i="74"/>
  <c r="A15" i="60" l="1"/>
  <c r="A16" i="60"/>
  <c r="A17" i="60"/>
  <c r="A18" i="60"/>
  <c r="A19" i="60"/>
  <c r="A20" i="60"/>
  <c r="A22" i="60"/>
  <c r="A23" i="60"/>
  <c r="A24" i="60"/>
  <c r="A25" i="60"/>
  <c r="A26" i="60"/>
  <c r="A27" i="60"/>
  <c r="A14" i="60"/>
  <c r="A9" i="60"/>
  <c r="A24" i="74"/>
  <c r="A32" i="74"/>
  <c r="A33" i="74"/>
  <c r="A34" i="74"/>
  <c r="A35" i="74"/>
  <c r="A11" i="58"/>
  <c r="A12" i="58"/>
  <c r="A13" i="58"/>
  <c r="A65" i="73"/>
  <c r="A71" i="73"/>
  <c r="A70" i="73"/>
  <c r="A69" i="73"/>
  <c r="A68" i="73"/>
  <c r="A67" i="73"/>
  <c r="A66" i="73"/>
  <c r="A72" i="72"/>
  <c r="A71" i="72"/>
  <c r="A70" i="72"/>
  <c r="A69" i="72"/>
  <c r="A68" i="72"/>
  <c r="A67" i="72"/>
  <c r="A66" i="72"/>
  <c r="A65" i="72"/>
  <c r="A15" i="63" l="1"/>
  <c r="A16" i="63" l="1"/>
  <c r="A16" i="74" l="1"/>
  <c r="A14" i="63"/>
  <c r="A13" i="63"/>
  <c r="A15" i="74" l="1"/>
  <c r="A14" i="74"/>
  <c r="A12" i="63"/>
  <c r="A10" i="63"/>
  <c r="A9" i="63"/>
  <c r="A19" i="74"/>
  <c r="A18" i="74"/>
  <c r="A10" i="58"/>
  <c r="A64" i="73"/>
  <c r="A63" i="73"/>
  <c r="A62" i="73"/>
  <c r="A61" i="73"/>
  <c r="A60" i="73"/>
  <c r="A59" i="73"/>
  <c r="A58" i="73"/>
  <c r="A57" i="73"/>
  <c r="A56" i="73"/>
  <c r="A55" i="73"/>
  <c r="A54" i="73"/>
  <c r="A53" i="73"/>
  <c r="A52" i="73"/>
  <c r="A51" i="73"/>
  <c r="A50" i="73"/>
  <c r="A49" i="73"/>
  <c r="A48" i="73"/>
  <c r="A47" i="73"/>
  <c r="A46" i="73"/>
  <c r="A45" i="73"/>
  <c r="A44" i="73"/>
  <c r="A43" i="73"/>
  <c r="A42" i="73"/>
  <c r="A41" i="73"/>
  <c r="A40" i="73"/>
  <c r="A39" i="73"/>
  <c r="A38" i="73"/>
  <c r="A37" i="73"/>
  <c r="A36" i="73"/>
  <c r="A35" i="73"/>
  <c r="A34" i="73"/>
  <c r="A33" i="73"/>
  <c r="A32" i="73"/>
  <c r="A31" i="73"/>
  <c r="A30" i="73"/>
  <c r="A29" i="73"/>
  <c r="A28" i="73"/>
  <c r="A27" i="73"/>
  <c r="A25" i="73"/>
  <c r="A24" i="73"/>
  <c r="A23" i="73"/>
  <c r="A22" i="73"/>
  <c r="A26" i="73"/>
  <c r="A21" i="73"/>
  <c r="A20" i="73"/>
  <c r="A19" i="73"/>
  <c r="A18" i="73"/>
  <c r="A17" i="73"/>
  <c r="A64" i="72"/>
  <c r="A63" i="72"/>
  <c r="A62" i="72"/>
  <c r="A61" i="72"/>
  <c r="A60" i="72"/>
  <c r="A59" i="72"/>
  <c r="A58" i="72"/>
  <c r="A57" i="72"/>
  <c r="A56" i="72"/>
  <c r="A55" i="72"/>
  <c r="A54" i="72"/>
  <c r="A53" i="72"/>
  <c r="A52" i="72"/>
  <c r="A51" i="72"/>
  <c r="A50" i="72"/>
  <c r="A49" i="72"/>
  <c r="A48" i="72"/>
  <c r="A47" i="72"/>
  <c r="A46" i="72"/>
  <c r="A45" i="72"/>
  <c r="A44" i="72"/>
  <c r="A43" i="72"/>
  <c r="A42" i="72"/>
  <c r="A41" i="72"/>
  <c r="A40" i="72"/>
  <c r="A39" i="72"/>
  <c r="A38" i="72"/>
  <c r="A37" i="72"/>
  <c r="A36" i="72"/>
  <c r="A35" i="72"/>
  <c r="A34" i="72"/>
  <c r="A33" i="72"/>
  <c r="A32" i="72"/>
  <c r="A31" i="72"/>
  <c r="A30" i="72"/>
  <c r="A29" i="72"/>
  <c r="A28" i="72"/>
  <c r="A27" i="72"/>
  <c r="A25" i="72"/>
  <c r="A24" i="72"/>
  <c r="A23" i="72"/>
  <c r="A22" i="72"/>
  <c r="A26" i="72"/>
  <c r="A21" i="72"/>
  <c r="A20" i="72"/>
  <c r="A19" i="72"/>
  <c r="A18" i="72"/>
  <c r="BR28" i="71"/>
  <c r="BF28" i="71"/>
  <c r="BD28" i="64" l="1"/>
  <c r="BR28" i="64"/>
  <c r="H6" i="75" l="1"/>
  <c r="H4" i="75"/>
  <c r="A20" i="74"/>
  <c r="A22" i="74"/>
  <c r="A21" i="74"/>
  <c r="A17" i="74"/>
  <c r="A13" i="74"/>
  <c r="A10" i="74"/>
  <c r="A9" i="74"/>
  <c r="H6" i="74"/>
  <c r="H4" i="74"/>
  <c r="H6" i="73"/>
  <c r="A17" i="72"/>
  <c r="H6" i="72" l="1"/>
  <c r="L7" i="71"/>
  <c r="AD6" i="42" l="1"/>
  <c r="H6" i="65"/>
  <c r="L7" i="64"/>
  <c r="H6" i="63" l="1"/>
  <c r="H4" i="63"/>
  <c r="H6" i="62"/>
  <c r="H4" i="62"/>
  <c r="H6" i="60"/>
  <c r="H4" i="60"/>
  <c r="A9" i="58"/>
  <c r="H6" i="58"/>
  <c r="H4" i="58"/>
  <c r="V6" i="44" l="1"/>
  <c r="H4" i="44"/>
  <c r="J4" i="4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5E7CB86F-38DC-419F-804B-B424E4AD269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BB26D-F646-46ED-809C-5DF669D380BA}">
      <text>
        <r>
          <rPr>
            <sz val="9"/>
            <color indexed="81"/>
            <rFont val="MS P ゴシック"/>
            <family val="3"/>
            <charset val="128"/>
          </rPr>
          <t xml:space="preserve">必須チェック要の場合　”〇”
</t>
        </r>
      </text>
    </comment>
    <comment ref="U8" authorId="0" shapeId="0" xr:uid="{F5A883FA-5535-4BBE-B7CE-4909A84F2A3E}">
      <text>
        <r>
          <rPr>
            <sz val="9"/>
            <color indexed="81"/>
            <rFont val="MS P ゴシック"/>
            <family val="3"/>
            <charset val="128"/>
          </rPr>
          <t xml:space="preserve">numericチェック要の場合、”〇”
</t>
        </r>
      </text>
    </comment>
    <comment ref="X8" authorId="0" shapeId="0" xr:uid="{C552172D-BF1A-4BE8-8F4D-B02A32DA33FA}">
      <text>
        <r>
          <rPr>
            <sz val="9"/>
            <color indexed="81"/>
            <rFont val="MS P ゴシック"/>
            <family val="3"/>
            <charset val="128"/>
          </rPr>
          <t xml:space="preserve">文字数チェック要の場合　”〇”
</t>
        </r>
      </text>
    </comment>
    <comment ref="AA8" authorId="0" shapeId="0" xr:uid="{B9E58D4A-9A85-49D4-AB43-650B88E08DAB}">
      <text>
        <r>
          <rPr>
            <sz val="9"/>
            <color indexed="81"/>
            <rFont val="MS P ゴシック"/>
            <family val="3"/>
            <charset val="128"/>
          </rPr>
          <t>マスタ存在チェック要の場合　”〇”
チェック対象のマスタはチェック内容説明欄に記載する。</t>
        </r>
      </text>
    </comment>
    <comment ref="AG8" authorId="0" shapeId="0" xr:uid="{24A5B268-B194-406E-9689-14676321BBD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2B31BB3-CFDB-458F-9D98-40CB711D8B6C}">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C27E888E-68CA-45ED-AF36-110B241A6B99}">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8271347-A031-432E-A4BA-9ACD7223146A}">
      <text>
        <r>
          <rPr>
            <b/>
            <sz val="9"/>
            <color indexed="81"/>
            <rFont val="MS P ゴシック"/>
            <family val="3"/>
            <charset val="128"/>
          </rPr>
          <t>メッセージ文言は、
”／”（全角スラッシュ）に続けて記入すること。</t>
        </r>
      </text>
    </comment>
    <comment ref="BD8" authorId="1" shapeId="0" xr:uid="{03EA9D96-CE02-4213-BAE9-4EA782C19DA0}">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<sst xmlns="http://schemas.openxmlformats.org/spreadsheetml/2006/main" count="1562" uniqueCount="462">
  <si>
    <t>Ｐｈａｓｅ　外部設計工程</t>
    <rPh sb="6" eb="8">
      <t>ガイブ</t>
    </rPh>
    <rPh sb="8" eb="10">
      <t>セッケイ</t>
    </rPh>
    <rPh sb="10" eb="12">
      <t>コウテイ</t>
    </rPh>
    <phoneticPr fontId="5"/>
  </si>
  <si>
    <t>HOKUREN INTERNAL USE ONLY</t>
  </si>
  <si>
    <t>画面設計書　変更履歴</t>
    <rPh sb="0" eb="2">
      <t>ガメン</t>
    </rPh>
    <rPh sb="2" eb="5">
      <t>セッケイショ</t>
    </rPh>
    <rPh sb="6" eb="8">
      <t>ヘンコウ</t>
    </rPh>
    <rPh sb="8" eb="10">
      <t>リレキ</t>
    </rPh>
    <phoneticPr fontId="5"/>
  </si>
  <si>
    <t>様式No.</t>
    <rPh sb="0" eb="2">
      <t>ヨウシキ</t>
    </rPh>
    <phoneticPr fontId="5"/>
  </si>
  <si>
    <t>F4106-0</t>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</si>
  <si>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</si>
  <si>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</si>
  <si>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</si>
  <si>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</si>
  <si>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共計</t>
    <rPh sb="0" eb="2">
      <t>キョウケイ</t>
    </rPh>
    <phoneticPr fontId="18"/>
  </si>
  <si>
    <t>更新日</t>
    <rPh sb="0" eb="3">
      <t>コウシンビ</t>
    </rPh>
    <phoneticPr fontId="5"/>
  </si>
  <si>
    <t>機能名称</t>
    <rPh sb="0" eb="2">
      <t>キノウ</t>
    </rPh>
    <rPh sb="2" eb="4">
      <t>メイショウ</t>
    </rPh>
    <phoneticPr fontId="5"/>
  </si>
  <si>
    <t>販売共計年産繰越入力</t>
    <rPh sb="0" eb="2">
      <t>ハンバイ</t>
    </rPh>
    <rPh sb="4" eb="6">
      <t>ネンサン</t>
    </rPh>
    <phoneticPr fontId="18"/>
  </si>
  <si>
    <t>メニューコード</t>
    <phoneticPr fontId="5"/>
  </si>
  <si>
    <t>管理番号</t>
    <rPh sb="0" eb="2">
      <t>カンリ</t>
    </rPh>
    <rPh sb="2" eb="4">
      <t>バンゴウ</t>
    </rPh>
    <phoneticPr fontId="5"/>
  </si>
  <si>
    <t>案件名 / 障害・問合せ件名</t>
    <rPh sb="0" eb="3">
      <t>アンケンメイ</t>
    </rPh>
    <rPh sb="12" eb="14">
      <t>ケンメイ</t>
    </rPh>
    <phoneticPr fontId="19"/>
  </si>
  <si>
    <t>Ｐｈａｓｅ　外部設計局面</t>
    <rPh sb="6" eb="8">
      <t>ガイブ</t>
    </rPh>
    <rPh sb="8" eb="10">
      <t>セッケイ</t>
    </rPh>
    <rPh sb="10" eb="12">
      <t>キョクメン</t>
    </rPh>
    <phoneticPr fontId="5"/>
  </si>
  <si>
    <t>画 面 遷 移 図</t>
    <rPh sb="0" eb="1">
      <t>ガ</t>
    </rPh>
    <rPh sb="2" eb="3">
      <t>メン</t>
    </rPh>
    <rPh sb="4" eb="5">
      <t>セン</t>
    </rPh>
    <rPh sb="6" eb="7">
      <t>イ</t>
    </rPh>
    <rPh sb="8" eb="9">
      <t>ズ</t>
    </rPh>
    <phoneticPr fontId="5"/>
  </si>
  <si>
    <t>F4106-1</t>
    <phoneticPr fontId="5"/>
  </si>
  <si>
    <t>機能Ｎｏ．</t>
    <rPh sb="0" eb="2">
      <t>キノウ</t>
    </rPh>
    <phoneticPr fontId="5"/>
  </si>
  <si>
    <t>9.3.4</t>
    <phoneticPr fontId="5"/>
  </si>
  <si>
    <t>メニューコード</t>
    <phoneticPr fontId="11"/>
  </si>
  <si>
    <t>【画面利用条件】</t>
    <rPh sb="1" eb="3">
      <t>ガメン</t>
    </rPh>
    <rPh sb="3" eb="5">
      <t>リヨウ</t>
    </rPh>
    <rPh sb="5" eb="7">
      <t>ジョウケン</t>
    </rPh>
    <phoneticPr fontId="1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</si>
  <si>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1"/>
  </si>
  <si>
    <t>利用組織　：</t>
    <rPh sb="0" eb="2">
      <t>リヨウ</t>
    </rPh>
    <rPh sb="2" eb="4">
      <t>ソシキ</t>
    </rPh>
    <phoneticPr fontId="5"/>
  </si>
  <si>
    <t>検索</t>
    <rPh sb="0" eb="2">
      <t>ケンサク</t>
    </rPh>
    <phoneticPr fontId="5"/>
  </si>
  <si>
    <t>選択</t>
    <rPh sb="0" eb="2">
      <t>センタク</t>
    </rPh>
    <phoneticPr fontId="5"/>
  </si>
  <si>
    <t>画面レイアウト説明書</t>
    <rPh sb="0" eb="2">
      <t>ガメン</t>
    </rPh>
    <rPh sb="7" eb="10">
      <t>セツメイショ</t>
    </rPh>
    <phoneticPr fontId="5"/>
  </si>
  <si>
    <t>F4106-2</t>
    <phoneticPr fontId="5"/>
  </si>
  <si>
    <t>共計</t>
  </si>
  <si>
    <t>画面名</t>
    <rPh sb="0" eb="2">
      <t>ガメン</t>
    </rPh>
    <rPh sb="2" eb="3">
      <t>メイ</t>
    </rPh>
    <phoneticPr fontId="5"/>
  </si>
  <si>
    <t>販売共計年産繰越入力</t>
    <rPh sb="0" eb="2">
      <t>ハンバイ</t>
    </rPh>
    <rPh sb="2" eb="4">
      <t>キョウケイ</t>
    </rPh>
    <rPh sb="4" eb="6">
      <t>ネンサン</t>
    </rPh>
    <rPh sb="6" eb="8">
      <t>クリコシ</t>
    </rPh>
    <rPh sb="8" eb="10">
      <t>ニュウリョク</t>
    </rPh>
    <phoneticPr fontId="5"/>
  </si>
  <si>
    <t>管理メニュー領域</t>
    <rPh sb="0" eb="2">
      <t>カンリ</t>
    </rPh>
    <rPh sb="6" eb="8">
      <t>リョウイキ</t>
    </rPh>
    <phoneticPr fontId="5"/>
  </si>
  <si>
    <t>条件入力</t>
    <rPh sb="0" eb="4">
      <t>ジョウケンニュウリョク</t>
    </rPh>
    <phoneticPr fontId="5"/>
  </si>
  <si>
    <t>条件を入力し、販売共計繰越データを作成、照会、取消します。</t>
    <rPh sb="0" eb="2">
      <t>ジョウケン</t>
    </rPh>
    <rPh sb="3" eb="5">
      <t>ニュウリョク</t>
    </rPh>
    <rPh sb="7" eb="9">
      <t>ハンバイ</t>
    </rPh>
    <rPh sb="9" eb="11">
      <t>キョウケイ</t>
    </rPh>
    <rPh sb="11" eb="13">
      <t>クリコシ</t>
    </rPh>
    <rPh sb="17" eb="19">
      <t>サクセイ</t>
    </rPh>
    <rPh sb="20" eb="22">
      <t>ショウカイ</t>
    </rPh>
    <rPh sb="23" eb="25">
      <t>トリケシ</t>
    </rPh>
    <phoneticPr fontId="5"/>
  </si>
  <si>
    <t>検索条件</t>
    <rPh sb="0" eb="2">
      <t>ケンサク</t>
    </rPh>
    <rPh sb="2" eb="4">
      <t>ジョウケン</t>
    </rPh>
    <phoneticPr fontId="5"/>
  </si>
  <si>
    <t>業種</t>
    <rPh sb="0" eb="2">
      <t>ギョウシュ</t>
    </rPh>
    <phoneticPr fontId="5"/>
  </si>
  <si>
    <t>伝票番号</t>
    <rPh sb="0" eb="4">
      <t>デンピョウバンゴウ</t>
    </rPh>
    <phoneticPr fontId="5"/>
  </si>
  <si>
    <t>☑</t>
    <phoneticPr fontId="5"/>
  </si>
  <si>
    <t>伝票番号</t>
    <rPh sb="0" eb="2">
      <t>デンピョウ</t>
    </rPh>
    <rPh sb="2" eb="4">
      <t>バンゴウ</t>
    </rPh>
    <phoneticPr fontId="5"/>
  </si>
  <si>
    <t>下書保存</t>
    <rPh sb="0" eb="2">
      <t>シタガ</t>
    </rPh>
    <rPh sb="2" eb="4">
      <t>ホゾン</t>
    </rPh>
    <phoneticPr fontId="5"/>
  </si>
  <si>
    <t>2024</t>
    <phoneticPr fontId="5"/>
  </si>
  <si>
    <t>□</t>
    <phoneticPr fontId="5"/>
  </si>
  <si>
    <t>【イベント処理説明】</t>
    <rPh sb="5" eb="7">
      <t>ショリ</t>
    </rPh>
    <rPh sb="7" eb="9">
      <t>セツメイ</t>
    </rPh>
    <phoneticPr fontId="5"/>
  </si>
  <si>
    <t>イベント名称</t>
    <rPh sb="4" eb="6">
      <t>メイショウ</t>
    </rPh>
    <phoneticPr fontId="5"/>
  </si>
  <si>
    <t>イベント処理概要</t>
    <rPh sb="4" eb="6">
      <t>ショリ</t>
    </rPh>
    <rPh sb="6" eb="8">
      <t>ガイヨウ</t>
    </rPh>
    <phoneticPr fontId="5"/>
  </si>
  <si>
    <t>備考</t>
    <rPh sb="0" eb="2">
      <t>ビコウ</t>
    </rPh>
    <phoneticPr fontId="5"/>
  </si>
  <si>
    <t>【検索条件入力領域】</t>
    <rPh sb="1" eb="3">
      <t>ケンサク</t>
    </rPh>
    <rPh sb="3" eb="5">
      <t>ジョウケン</t>
    </rPh>
    <rPh sb="5" eb="7">
      <t>ニュウリョク</t>
    </rPh>
    <rPh sb="7" eb="9">
      <t>リョウイキ</t>
    </rPh>
    <phoneticPr fontId="5"/>
  </si>
  <si>
    <t>検索（業種）</t>
    <rPh sb="0" eb="2">
      <t>ケンサク</t>
    </rPh>
    <rPh sb="3" eb="5">
      <t>ギョウシュ</t>
    </rPh>
    <phoneticPr fontId="5"/>
  </si>
  <si>
    <t>照会</t>
    <rPh sb="0" eb="2">
      <t>ショウカイ</t>
    </rPh>
    <phoneticPr fontId="5"/>
  </si>
  <si>
    <t>クリア</t>
    <phoneticPr fontId="5"/>
  </si>
  <si>
    <t>検索条件入力領域を初期の状態に戻す。</t>
    <phoneticPr fontId="5"/>
  </si>
  <si>
    <t>表示</t>
    <rPh sb="0" eb="2">
      <t>ヒョウジ</t>
    </rPh>
    <phoneticPr fontId="5"/>
  </si>
  <si>
    <t>【検索結果表示領域】</t>
    <rPh sb="1" eb="3">
      <t>ケンサク</t>
    </rPh>
    <rPh sb="3" eb="5">
      <t>ケッカ</t>
    </rPh>
    <rPh sb="5" eb="9">
      <t>ヒョウジリョウイキ</t>
    </rPh>
    <phoneticPr fontId="5"/>
  </si>
  <si>
    <t>【画面制御説明】</t>
    <rPh sb="1" eb="3">
      <t>ガメン</t>
    </rPh>
    <rPh sb="3" eb="5">
      <t>セイギョ</t>
    </rPh>
    <rPh sb="5" eb="7">
      <t>セツメイ</t>
    </rPh>
    <phoneticPr fontId="5"/>
  </si>
  <si>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5"/>
  </si>
  <si>
    <t>項目名称</t>
    <rPh sb="0" eb="2">
      <t>コウモク</t>
    </rPh>
    <rPh sb="2" eb="4">
      <t>メイショウ</t>
    </rPh>
    <phoneticPr fontId="5"/>
  </si>
  <si>
    <t>制御条件</t>
    <rPh sb="0" eb="2">
      <t>セイギョ</t>
    </rPh>
    <rPh sb="2" eb="4">
      <t>ジョウケン</t>
    </rPh>
    <phoneticPr fontId="5"/>
  </si>
  <si>
    <t>カーソル（初期位置）</t>
    <phoneticPr fontId="5"/>
  </si>
  <si>
    <t>業種とする。</t>
    <rPh sb="0" eb="2">
      <t>ギョウシュ</t>
    </rPh>
    <phoneticPr fontId="5"/>
  </si>
  <si>
    <t>検索条件</t>
    <rPh sb="0" eb="4">
      <t>ケンサクジョウケン</t>
    </rPh>
    <phoneticPr fontId="5"/>
  </si>
  <si>
    <t>検索結果一覧</t>
    <rPh sb="0" eb="2">
      <t>ケンサク</t>
    </rPh>
    <rPh sb="2" eb="6">
      <t>ケッカイチラン</t>
    </rPh>
    <phoneticPr fontId="5"/>
  </si>
  <si>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5"/>
  </si>
  <si>
    <t>1頁あたり15件まで表示する。</t>
    <rPh sb="1" eb="2">
      <t>ページ</t>
    </rPh>
    <rPh sb="7" eb="8">
      <t>ケン</t>
    </rPh>
    <rPh sb="10" eb="12">
      <t>ヒョウジ</t>
    </rPh>
    <phoneticPr fontId="5"/>
  </si>
  <si>
    <t>収支管理品目</t>
    <rPh sb="0" eb="6">
      <t>シュウシカンリヒンモク</t>
    </rPh>
    <phoneticPr fontId="5"/>
  </si>
  <si>
    <t>01</t>
    <phoneticPr fontId="5"/>
  </si>
  <si>
    <t>191113 小豆</t>
    <rPh sb="7" eb="9">
      <t>アズキ</t>
    </rPh>
    <phoneticPr fontId="5"/>
  </si>
  <si>
    <t>条件入力 &gt; 入力</t>
    <rPh sb="0" eb="4">
      <t>ジョウケンニュウリョク</t>
    </rPh>
    <rPh sb="7" eb="9">
      <t>ニュウリョク</t>
    </rPh>
    <phoneticPr fontId="5"/>
  </si>
  <si>
    <t>販売共計年産繰越情報を確認します。</t>
    <rPh sb="0" eb="2">
      <t>ハンバイ</t>
    </rPh>
    <rPh sb="2" eb="4">
      <t>キョウケイ</t>
    </rPh>
    <rPh sb="4" eb="6">
      <t>ネンサン</t>
    </rPh>
    <rPh sb="6" eb="8">
      <t>クリコシ</t>
    </rPh>
    <rPh sb="8" eb="10">
      <t>ジョウホウ</t>
    </rPh>
    <rPh sb="11" eb="13">
      <t>カクニン</t>
    </rPh>
    <phoneticPr fontId="5"/>
  </si>
  <si>
    <t>小豆</t>
    <rPh sb="0" eb="2">
      <t>アズキ</t>
    </rPh>
    <phoneticPr fontId="5"/>
  </si>
  <si>
    <t>年産</t>
    <rPh sb="0" eb="2">
      <t>ネンサン</t>
    </rPh>
    <phoneticPr fontId="5"/>
  </si>
  <si>
    <t>繰越先</t>
    <phoneticPr fontId="5"/>
  </si>
  <si>
    <t>繰越元</t>
    <phoneticPr fontId="5"/>
  </si>
  <si>
    <t>繰越前残高</t>
    <rPh sb="0" eb="3">
      <t>クリコシマエ</t>
    </rPh>
    <rPh sb="3" eb="5">
      <t>ザンダカ</t>
    </rPh>
    <phoneticPr fontId="5"/>
  </si>
  <si>
    <t>繰越額</t>
    <rPh sb="0" eb="2">
      <t>クリコシ</t>
    </rPh>
    <rPh sb="2" eb="3">
      <t>ガク</t>
    </rPh>
    <phoneticPr fontId="5"/>
  </si>
  <si>
    <t>2025</t>
    <phoneticPr fontId="5"/>
  </si>
  <si>
    <t>100</t>
    <phoneticPr fontId="5"/>
  </si>
  <si>
    <t>200</t>
    <phoneticPr fontId="5"/>
  </si>
  <si>
    <t>合計</t>
    <rPh sb="0" eb="2">
      <t>ゴウケイ</t>
    </rPh>
    <phoneticPr fontId="5"/>
  </si>
  <si>
    <t>0</t>
    <phoneticPr fontId="5"/>
  </si>
  <si>
    <t>画面項目説明書</t>
    <rPh sb="0" eb="2">
      <t>ガメン</t>
    </rPh>
    <rPh sb="2" eb="4">
      <t>コウモク</t>
    </rPh>
    <rPh sb="4" eb="7">
      <t>セツメイショ</t>
    </rPh>
    <phoneticPr fontId="5"/>
  </si>
  <si>
    <t>No.</t>
    <phoneticPr fontId="5"/>
  </si>
  <si>
    <t>項目名</t>
    <phoneticPr fontId="5"/>
  </si>
  <si>
    <t>I/O</t>
  </si>
  <si>
    <t>桁数</t>
    <rPh sb="0" eb="2">
      <t>ケタスウ</t>
    </rPh>
    <phoneticPr fontId="5"/>
  </si>
  <si>
    <t>属性</t>
    <phoneticPr fontId="5"/>
  </si>
  <si>
    <t>符号</t>
    <phoneticPr fontId="5"/>
  </si>
  <si>
    <t>初期値</t>
    <rPh sb="2" eb="3">
      <t>チ</t>
    </rPh>
    <phoneticPr fontId="5"/>
  </si>
  <si>
    <t>前回</t>
    <rPh sb="0" eb="2">
      <t>ゼンカイ</t>
    </rPh>
    <phoneticPr fontId="5"/>
  </si>
  <si>
    <t>項目編集説明</t>
    <rPh sb="0" eb="2">
      <t>コウモク</t>
    </rPh>
    <rPh sb="2" eb="4">
      <t>ヘンシュウ</t>
    </rPh>
    <rPh sb="4" eb="6">
      <t>セツメイ</t>
    </rPh>
    <phoneticPr fontId="5"/>
  </si>
  <si>
    <t>入力</t>
    <rPh sb="0" eb="2">
      <t>ニュウリョク</t>
    </rPh>
    <phoneticPr fontId="5"/>
  </si>
  <si>
    <t>2</t>
    <phoneticPr fontId="5"/>
  </si>
  <si>
    <t>〇</t>
    <phoneticPr fontId="5"/>
  </si>
  <si>
    <t>4</t>
    <phoneticPr fontId="5"/>
  </si>
  <si>
    <t>6</t>
    <phoneticPr fontId="5"/>
  </si>
  <si>
    <t>12</t>
    <phoneticPr fontId="5"/>
  </si>
  <si>
    <t>O</t>
    <phoneticPr fontId="5"/>
  </si>
  <si>
    <t>伝票番号（明細）</t>
    <rPh sb="0" eb="4">
      <t>デンピョウバンゴウ</t>
    </rPh>
    <rPh sb="5" eb="7">
      <t>メイサイ</t>
    </rPh>
    <phoneticPr fontId="5"/>
  </si>
  <si>
    <t>【明細表示エリア】</t>
    <rPh sb="1" eb="3">
      <t>メイサイ</t>
    </rPh>
    <rPh sb="3" eb="5">
      <t>ヒョウジ</t>
    </rPh>
    <phoneticPr fontId="5"/>
  </si>
  <si>
    <t>1</t>
    <phoneticPr fontId="5"/>
  </si>
  <si>
    <t>画面項目チェック（単体）</t>
    <rPh sb="0" eb="2">
      <t>ガメン</t>
    </rPh>
    <rPh sb="2" eb="4">
      <t>コウモク</t>
    </rPh>
    <rPh sb="9" eb="11">
      <t>タンタイ</t>
    </rPh>
    <phoneticPr fontId="5"/>
  </si>
  <si>
    <t>F4106-4</t>
    <phoneticPr fontId="5"/>
  </si>
  <si>
    <t>業務名</t>
    <phoneticPr fontId="5"/>
  </si>
  <si>
    <t>項目名</t>
    <phoneticPr fontId="11"/>
  </si>
  <si>
    <t>必須
ﾁｪｯｸ</t>
    <rPh sb="0" eb="2">
      <t>ヒッス</t>
    </rPh>
    <phoneticPr fontId="11"/>
  </si>
  <si>
    <t>数字
ﾁｪｯｸ</t>
    <rPh sb="0" eb="2">
      <t>スウジ</t>
    </rPh>
    <phoneticPr fontId="11"/>
  </si>
  <si>
    <t>文字数
ﾁｪｯｸ</t>
    <rPh sb="0" eb="3">
      <t>モジスウ</t>
    </rPh>
    <phoneticPr fontId="11"/>
  </si>
  <si>
    <t>存在
ﾁｪｯｸ</t>
    <rPh sb="0" eb="2">
      <t>ソンザイ</t>
    </rPh>
    <phoneticPr fontId="11"/>
  </si>
  <si>
    <t>ｺｰﾄﾞﾁｪｯｸ</t>
    <phoneticPr fontId="11"/>
  </si>
  <si>
    <t>チェック補足説明／メッセージ文言</t>
    <rPh sb="4" eb="6">
      <t>ホソク</t>
    </rPh>
    <rPh sb="14" eb="16">
      <t>モンゴン</t>
    </rPh>
    <phoneticPr fontId="11"/>
  </si>
  <si>
    <t>メッセージ
コード</t>
    <phoneticPr fontId="11"/>
  </si>
  <si>
    <t>／業種を入力してください。</t>
    <rPh sb="1" eb="3">
      <t>ギョウシュ</t>
    </rPh>
    <rPh sb="4" eb="6">
      <t>ニュウリョク</t>
    </rPh>
    <phoneticPr fontId="5"/>
  </si>
  <si>
    <t>チェックなし</t>
    <phoneticPr fontId="5"/>
  </si>
  <si>
    <t>画面項目チェック（関連）</t>
    <rPh sb="0" eb="2">
      <t>ガメン</t>
    </rPh>
    <rPh sb="2" eb="4">
      <t>コウモク</t>
    </rPh>
    <rPh sb="9" eb="11">
      <t>カンレン</t>
    </rPh>
    <phoneticPr fontId="5"/>
  </si>
  <si>
    <t>F4106-5</t>
    <phoneticPr fontId="5"/>
  </si>
  <si>
    <t>関連チェック概要</t>
    <rPh sb="0" eb="2">
      <t>カンレン</t>
    </rPh>
    <rPh sb="6" eb="8">
      <t>ガイヨウ</t>
    </rPh>
    <phoneticPr fontId="17"/>
  </si>
  <si>
    <t>チェック詳細／メッセージ文言</t>
    <rPh sb="4" eb="6">
      <t>ショウサイ</t>
    </rPh>
    <rPh sb="12" eb="14">
      <t>モンゴン</t>
    </rPh>
    <phoneticPr fontId="5"/>
  </si>
  <si>
    <t>画面機能補足説明</t>
    <rPh sb="0" eb="2">
      <t>ガメン</t>
    </rPh>
    <rPh sb="2" eb="4">
      <t>キノウ</t>
    </rPh>
    <rPh sb="4" eb="6">
      <t>ホソク</t>
    </rPh>
    <rPh sb="6" eb="8">
      <t>セツメイ</t>
    </rPh>
    <phoneticPr fontId="5"/>
  </si>
  <si>
    <t>F4106-6</t>
    <phoneticPr fontId="5"/>
  </si>
  <si>
    <t>【画面機能補足説明】</t>
    <rPh sb="1" eb="3">
      <t>ガメン</t>
    </rPh>
    <rPh sb="3" eb="5">
      <t>キノウ</t>
    </rPh>
    <rPh sb="5" eb="7">
      <t>ホソク</t>
    </rPh>
    <rPh sb="7" eb="9">
      <t>セツメイ</t>
    </rPh>
    <phoneticPr fontId="5"/>
  </si>
  <si>
    <t>販売共計
支払金繰越額</t>
    <rPh sb="0" eb="4">
      <t>ハンバイキョウケイ</t>
    </rPh>
    <rPh sb="5" eb="8">
      <t>シハライキン</t>
    </rPh>
    <rPh sb="8" eb="10">
      <t>クリコシ</t>
    </rPh>
    <rPh sb="10" eb="11">
      <t>ガク</t>
    </rPh>
    <phoneticPr fontId="5"/>
  </si>
  <si>
    <t>販売共計
受入金繰越額</t>
    <rPh sb="8" eb="10">
      <t>クリコシ</t>
    </rPh>
    <rPh sb="10" eb="11">
      <t>ガク</t>
    </rPh>
    <phoneticPr fontId="5"/>
  </si>
  <si>
    <t>条件入力 &gt; 入力 &gt; 確認</t>
    <rPh sb="0" eb="4">
      <t>ジョウケンニュウリョク</t>
    </rPh>
    <rPh sb="7" eb="9">
      <t>ニュウリョク</t>
    </rPh>
    <rPh sb="12" eb="14">
      <t>カクニン</t>
    </rPh>
    <phoneticPr fontId="5"/>
  </si>
  <si>
    <t>販売共計年産繰越入力</t>
    <phoneticPr fontId="5"/>
  </si>
  <si>
    <t>添付ファイル</t>
    <rPh sb="0" eb="2">
      <t>テンプ</t>
    </rPh>
    <phoneticPr fontId="5"/>
  </si>
  <si>
    <t>参照ＵＲＬ</t>
    <rPh sb="0" eb="2">
      <t>サンショウ</t>
    </rPh>
    <phoneticPr fontId="5"/>
  </si>
  <si>
    <t>191113</t>
    <phoneticPr fontId="5"/>
  </si>
  <si>
    <r>
      <t>業種</t>
    </r>
    <r>
      <rPr>
        <sz val="10"/>
        <color rgb="FFFF0000"/>
        <rFont val="ＭＳ ゴシック"/>
        <family val="3"/>
        <charset val="128"/>
      </rPr>
      <t>(*)</t>
    </r>
    <rPh sb="0" eb="2">
      <t>ギョウシュ</t>
    </rPh>
    <phoneticPr fontId="5"/>
  </si>
  <si>
    <r>
      <t>共計組織</t>
    </r>
    <r>
      <rPr>
        <sz val="10"/>
        <color rgb="FFFF0000"/>
        <rFont val="ＭＳ ゴシック"/>
        <family val="3"/>
        <charset val="128"/>
      </rPr>
      <t>(*)</t>
    </r>
    <rPh sb="0" eb="2">
      <t>キョウケイ</t>
    </rPh>
    <rPh sb="2" eb="4">
      <t>ソシキ</t>
    </rPh>
    <phoneticPr fontId="5"/>
  </si>
  <si>
    <t>191113　小豆</t>
    <rPh sb="7" eb="9">
      <t>アズキ</t>
    </rPh>
    <phoneticPr fontId="5"/>
  </si>
  <si>
    <t>繰越元収支管理品目</t>
    <rPh sb="0" eb="3">
      <t>クリコシモト</t>
    </rPh>
    <rPh sb="3" eb="7">
      <t>シュウシカンリ</t>
    </rPh>
    <rPh sb="7" eb="9">
      <t>ヒンモク</t>
    </rPh>
    <phoneticPr fontId="5"/>
  </si>
  <si>
    <t>繰越額</t>
    <rPh sb="0" eb="3">
      <t>クリコシガク</t>
    </rPh>
    <phoneticPr fontId="5"/>
  </si>
  <si>
    <t>1,000</t>
    <phoneticPr fontId="5"/>
  </si>
  <si>
    <t>登録、修正</t>
    <rPh sb="0" eb="2">
      <t>トウロク</t>
    </rPh>
    <rPh sb="3" eb="5">
      <t>シュウセイ</t>
    </rPh>
    <phoneticPr fontId="5"/>
  </si>
  <si>
    <t>申請</t>
    <rPh sb="0" eb="2">
      <t>シンセイ</t>
    </rPh>
    <phoneticPr fontId="5"/>
  </si>
  <si>
    <t>内容入力画面へ遷移します。</t>
    <rPh sb="0" eb="2">
      <t>ナイヨウ</t>
    </rPh>
    <rPh sb="2" eb="4">
      <t>ニュウリョク</t>
    </rPh>
    <rPh sb="4" eb="6">
      <t>ガメン</t>
    </rPh>
    <rPh sb="7" eb="9">
      <t>センイ</t>
    </rPh>
    <phoneticPr fontId="5"/>
  </si>
  <si>
    <t>検索結果表示領域一覧表示順</t>
    <rPh sb="0" eb="4">
      <t>ケンサクケッカ</t>
    </rPh>
    <rPh sb="4" eb="8">
      <t>ヒョウジリョウイキ</t>
    </rPh>
    <rPh sb="8" eb="13">
      <t>イチランヒョウジジュン</t>
    </rPh>
    <phoneticPr fontId="5"/>
  </si>
  <si>
    <t>項目名（ソート項目順に列挙）</t>
    <rPh sb="0" eb="3">
      <t>コウモクメイ</t>
    </rPh>
    <rPh sb="7" eb="9">
      <t>コウモク</t>
    </rPh>
    <rPh sb="9" eb="10">
      <t>ジュン</t>
    </rPh>
    <rPh sb="11" eb="13">
      <t>レッキョ</t>
    </rPh>
    <phoneticPr fontId="5"/>
  </si>
  <si>
    <t>表示順</t>
    <rPh sb="0" eb="3">
      <t>ヒョウジジュン</t>
    </rPh>
    <phoneticPr fontId="5"/>
  </si>
  <si>
    <t>昇順</t>
    <rPh sb="0" eb="2">
      <t>ショウジュン</t>
    </rPh>
    <phoneticPr fontId="5"/>
  </si>
  <si>
    <t>収支管理品目コード</t>
    <rPh sb="0" eb="6">
      <t>シュウシカンリヒンモク</t>
    </rPh>
    <phoneticPr fontId="5"/>
  </si>
  <si>
    <t>検索結果表示領域一覧表示順（繰越元）</t>
    <rPh sb="0" eb="4">
      <t>ケンサクケッカ</t>
    </rPh>
    <rPh sb="4" eb="8">
      <t>ヒョウジリョウイキ</t>
    </rPh>
    <rPh sb="8" eb="13">
      <t>イチランヒョウジジュン</t>
    </rPh>
    <rPh sb="14" eb="16">
      <t>クリコシ</t>
    </rPh>
    <rPh sb="16" eb="17">
      <t>モト</t>
    </rPh>
    <phoneticPr fontId="5"/>
  </si>
  <si>
    <t>3</t>
    <phoneticPr fontId="5"/>
  </si>
  <si>
    <t>共計組織</t>
    <rPh sb="0" eb="2">
      <t>キョウケイ</t>
    </rPh>
    <rPh sb="2" eb="4">
      <t>ソシキ</t>
    </rPh>
    <phoneticPr fontId="5"/>
  </si>
  <si>
    <t>業種名</t>
    <rPh sb="0" eb="2">
      <t>ギョウシュ</t>
    </rPh>
    <rPh sb="2" eb="3">
      <t>メイ</t>
    </rPh>
    <phoneticPr fontId="5"/>
  </si>
  <si>
    <t>O</t>
  </si>
  <si>
    <t>15</t>
    <phoneticPr fontId="5"/>
  </si>
  <si>
    <t>共計組織名</t>
    <rPh sb="0" eb="2">
      <t>キョウケイ</t>
    </rPh>
    <rPh sb="2" eb="4">
      <t>ソシキ</t>
    </rPh>
    <rPh sb="4" eb="5">
      <t>メイ</t>
    </rPh>
    <phoneticPr fontId="5"/>
  </si>
  <si>
    <t>I</t>
  </si>
  <si>
    <t>数字</t>
    <rPh sb="0" eb="2">
      <t>スウジ</t>
    </rPh>
    <phoneticPr fontId="5"/>
  </si>
  <si>
    <t>ﾗｼﾞｵﾎﾞﾀﾝ</t>
    <phoneticPr fontId="5"/>
  </si>
  <si>
    <t>-</t>
    <phoneticPr fontId="5"/>
  </si>
  <si>
    <t>ﾁｪｯｸﾎﾞｯｸｽ</t>
    <phoneticPr fontId="5"/>
  </si>
  <si>
    <t>繰越元収支管理品目（明細）</t>
    <rPh sb="0" eb="2">
      <t>クリコシ</t>
    </rPh>
    <rPh sb="2" eb="3">
      <t>モト</t>
    </rPh>
    <rPh sb="3" eb="9">
      <t>シュウシカンリヒンモク</t>
    </rPh>
    <rPh sb="10" eb="12">
      <t>メイサイ</t>
    </rPh>
    <phoneticPr fontId="5"/>
  </si>
  <si>
    <t>繰越元収支管理品目名（明細）</t>
    <rPh sb="0" eb="2">
      <t>クリコシ</t>
    </rPh>
    <rPh sb="2" eb="3">
      <t>モト</t>
    </rPh>
    <rPh sb="3" eb="9">
      <t>シュウシカンリヒンモク</t>
    </rPh>
    <rPh sb="9" eb="10">
      <t>メイ</t>
    </rPh>
    <phoneticPr fontId="5"/>
  </si>
  <si>
    <t>年産（明細）</t>
    <rPh sb="0" eb="2">
      <t>ネンサン</t>
    </rPh>
    <phoneticPr fontId="5"/>
  </si>
  <si>
    <t>繰越額（明細）</t>
    <rPh sb="0" eb="3">
      <t>クリコシガク</t>
    </rPh>
    <phoneticPr fontId="5"/>
  </si>
  <si>
    <t>5</t>
    <phoneticPr fontId="5"/>
  </si>
  <si>
    <t>【検索条件エリア】</t>
    <rPh sb="1" eb="3">
      <t>ケンサク</t>
    </rPh>
    <rPh sb="3" eb="5">
      <t>ジョウケン</t>
    </rPh>
    <phoneticPr fontId="5"/>
  </si>
  <si>
    <t>金額コード／摘要コード</t>
    <rPh sb="0" eb="2">
      <t>キンガク</t>
    </rPh>
    <rPh sb="6" eb="8">
      <t>テキヨウ</t>
    </rPh>
    <phoneticPr fontId="5"/>
  </si>
  <si>
    <t>収支管理品目名</t>
    <rPh sb="0" eb="6">
      <t>シュウシカンリヒンモク</t>
    </rPh>
    <rPh sb="6" eb="7">
      <t>メイ</t>
    </rPh>
    <phoneticPr fontId="5"/>
  </si>
  <si>
    <t>参照URL</t>
    <rPh sb="0" eb="2">
      <t>サンショウ</t>
    </rPh>
    <phoneticPr fontId="5"/>
  </si>
  <si>
    <t>【繰越元明細表示エリア】</t>
    <rPh sb="1" eb="3">
      <t>クリコシ</t>
    </rPh>
    <rPh sb="3" eb="4">
      <t>モト</t>
    </rPh>
    <rPh sb="4" eb="6">
      <t>メイサイ</t>
    </rPh>
    <rPh sb="6" eb="8">
      <t>ヒョウジ</t>
    </rPh>
    <phoneticPr fontId="5"/>
  </si>
  <si>
    <t>【繰越先明細表示エリア】</t>
    <rPh sb="1" eb="3">
      <t>クリコシ</t>
    </rPh>
    <rPh sb="3" eb="4">
      <t>サキ</t>
    </rPh>
    <rPh sb="4" eb="6">
      <t>メイサイ</t>
    </rPh>
    <rPh sb="6" eb="8">
      <t>ヒョウジ</t>
    </rPh>
    <phoneticPr fontId="5"/>
  </si>
  <si>
    <t>販売共計支払金繰越額</t>
    <rPh sb="0" eb="2">
      <t>ハンバイ</t>
    </rPh>
    <rPh sb="2" eb="4">
      <t>キョウケイ</t>
    </rPh>
    <rPh sb="4" eb="6">
      <t>シハラ</t>
    </rPh>
    <rPh sb="6" eb="7">
      <t>キン</t>
    </rPh>
    <rPh sb="7" eb="9">
      <t>クリコシ</t>
    </rPh>
    <rPh sb="9" eb="10">
      <t>ガク</t>
    </rPh>
    <phoneticPr fontId="5"/>
  </si>
  <si>
    <t>販売共計受入金繰越額</t>
    <rPh sb="0" eb="2">
      <t>ハンバイ</t>
    </rPh>
    <rPh sb="2" eb="4">
      <t>キョウケイ</t>
    </rPh>
    <rPh sb="4" eb="6">
      <t>ウケイ</t>
    </rPh>
    <rPh sb="6" eb="7">
      <t>キン</t>
    </rPh>
    <rPh sb="7" eb="9">
      <t>クリコシ</t>
    </rPh>
    <rPh sb="9" eb="10">
      <t>ガク</t>
    </rPh>
    <phoneticPr fontId="5"/>
  </si>
  <si>
    <t>販売共計支払金繰越額（合計）</t>
    <rPh sb="0" eb="2">
      <t>ハンバイ</t>
    </rPh>
    <rPh sb="2" eb="4">
      <t>キョウケイ</t>
    </rPh>
    <rPh sb="4" eb="6">
      <t>シハラ</t>
    </rPh>
    <rPh sb="6" eb="7">
      <t>キン</t>
    </rPh>
    <rPh sb="7" eb="9">
      <t>クリコシ</t>
    </rPh>
    <rPh sb="9" eb="10">
      <t>ガク</t>
    </rPh>
    <rPh sb="11" eb="13">
      <t>ゴウケイ</t>
    </rPh>
    <phoneticPr fontId="5"/>
  </si>
  <si>
    <t>販売共計受入金繰越額（合計）</t>
    <rPh sb="0" eb="2">
      <t>ハンバイ</t>
    </rPh>
    <rPh sb="2" eb="4">
      <t>キョウケイ</t>
    </rPh>
    <rPh sb="4" eb="6">
      <t>ウケイ</t>
    </rPh>
    <rPh sb="6" eb="7">
      <t>キン</t>
    </rPh>
    <rPh sb="7" eb="9">
      <t>クリコシ</t>
    </rPh>
    <rPh sb="9" eb="10">
      <t>ガク</t>
    </rPh>
    <phoneticPr fontId="5"/>
  </si>
  <si>
    <t>収支管理品目</t>
    <rPh sb="0" eb="4">
      <t>シュウシカンリ</t>
    </rPh>
    <rPh sb="4" eb="6">
      <t>ヒンモク</t>
    </rPh>
    <phoneticPr fontId="5"/>
  </si>
  <si>
    <t>／収支管理品目を入力してください。</t>
    <rPh sb="1" eb="3">
      <t>シュウシ</t>
    </rPh>
    <rPh sb="3" eb="5">
      <t>カンリ</t>
    </rPh>
    <rPh sb="5" eb="7">
      <t>ヒンモク</t>
    </rPh>
    <rPh sb="8" eb="10">
      <t>ニュウリョク</t>
    </rPh>
    <phoneticPr fontId="5"/>
  </si>
  <si>
    <t>／収支管理品目はマスタに存在しません。</t>
    <phoneticPr fontId="5"/>
  </si>
  <si>
    <t>販売共計支払金繰越額</t>
    <phoneticPr fontId="5"/>
  </si>
  <si>
    <t>販売共計受入金繰越額</t>
    <phoneticPr fontId="5"/>
  </si>
  <si>
    <t>繰越元の業種と繰越先の業種が一致しない。
／繰越先の業種（収支管理品目）に誤りがあります。</t>
    <rPh sb="4" eb="6">
      <t>ギョウシュ</t>
    </rPh>
    <rPh sb="11" eb="13">
      <t>ギョウシュ</t>
    </rPh>
    <rPh sb="14" eb="16">
      <t>イッチ</t>
    </rPh>
    <rPh sb="22" eb="24">
      <t>クリコシ</t>
    </rPh>
    <rPh sb="24" eb="25">
      <t>サキ</t>
    </rPh>
    <rPh sb="26" eb="28">
      <t>ギョウシュ</t>
    </rPh>
    <rPh sb="29" eb="33">
      <t>シュウシカンリ</t>
    </rPh>
    <rPh sb="33" eb="35">
      <t>ヒンモク</t>
    </rPh>
    <rPh sb="37" eb="38">
      <t>アヤマ</t>
    </rPh>
    <phoneticPr fontId="5"/>
  </si>
  <si>
    <t>販売共計受入金</t>
    <phoneticPr fontId="5"/>
  </si>
  <si>
    <t>販売共計支払金</t>
    <phoneticPr fontId="5"/>
  </si>
  <si>
    <t>内訳コード</t>
    <rPh sb="0" eb="2">
      <t>ウチワケ</t>
    </rPh>
    <phoneticPr fontId="5"/>
  </si>
  <si>
    <t>01 品代</t>
    <rPh sb="3" eb="5">
      <t>シナダイ</t>
    </rPh>
    <phoneticPr fontId="5"/>
  </si>
  <si>
    <t>更新者</t>
    <rPh sb="0" eb="2">
      <t>コウシン</t>
    </rPh>
    <rPh sb="2" eb="3">
      <t>シャ</t>
    </rPh>
    <phoneticPr fontId="5"/>
  </si>
  <si>
    <t>更新日</t>
    <rPh sb="0" eb="2">
      <t>コウシン</t>
    </rPh>
    <rPh sb="2" eb="3">
      <t>ビ</t>
    </rPh>
    <phoneticPr fontId="5"/>
  </si>
  <si>
    <t>検索（共計組織）</t>
    <rPh sb="0" eb="2">
      <t>ケンサク</t>
    </rPh>
    <rPh sb="3" eb="5">
      <t>キョウケイ</t>
    </rPh>
    <rPh sb="5" eb="7">
      <t>ソシキ</t>
    </rPh>
    <phoneticPr fontId="5"/>
  </si>
  <si>
    <t>検索（収支管理品目）</t>
    <rPh sb="0" eb="2">
      <t>ケンサク</t>
    </rPh>
    <rPh sb="3" eb="7">
      <t>シュウシカンリ</t>
    </rPh>
    <rPh sb="7" eb="9">
      <t>ヒンモク</t>
    </rPh>
    <phoneticPr fontId="5"/>
  </si>
  <si>
    <t>登録</t>
    <rPh sb="0" eb="2">
      <t>トウロク</t>
    </rPh>
    <phoneticPr fontId="5"/>
  </si>
  <si>
    <t>販売共計年産繰越の入力画面へ遷移する。</t>
    <rPh sb="0" eb="2">
      <t>ハンバイ</t>
    </rPh>
    <rPh sb="2" eb="4">
      <t>キョウケイ</t>
    </rPh>
    <rPh sb="4" eb="6">
      <t>ネンサン</t>
    </rPh>
    <rPh sb="6" eb="8">
      <t>クリコシ</t>
    </rPh>
    <rPh sb="9" eb="11">
      <t>ニュウリョク</t>
    </rPh>
    <rPh sb="11" eb="13">
      <t>ガメン</t>
    </rPh>
    <rPh sb="14" eb="16">
      <t>センイ</t>
    </rPh>
    <phoneticPr fontId="5"/>
  </si>
  <si>
    <t>修正</t>
    <rPh sb="0" eb="2">
      <t>シュウセイ</t>
    </rPh>
    <phoneticPr fontId="5"/>
  </si>
  <si>
    <t>削除</t>
    <rPh sb="0" eb="2">
      <t>サクジョ</t>
    </rPh>
    <phoneticPr fontId="5"/>
  </si>
  <si>
    <t>10</t>
    <phoneticPr fontId="5"/>
  </si>
  <si>
    <t>10 雑穀</t>
    <phoneticPr fontId="5"/>
  </si>
  <si>
    <t>4137 雑穀課</t>
    <phoneticPr fontId="5"/>
  </si>
  <si>
    <t>-1,100</t>
    <phoneticPr fontId="5"/>
  </si>
  <si>
    <t>1,100</t>
    <phoneticPr fontId="5"/>
  </si>
  <si>
    <t>検索（添付ファイル）</t>
    <rPh sb="0" eb="2">
      <t>ケンサク</t>
    </rPh>
    <rPh sb="3" eb="5">
      <t>テンプ</t>
    </rPh>
    <phoneticPr fontId="5"/>
  </si>
  <si>
    <t>添付ファイル／表示補助画面をポップアップ表示する。</t>
    <rPh sb="0" eb="2">
      <t>テンプ</t>
    </rPh>
    <rPh sb="7" eb="9">
      <t>ヒョウジ</t>
    </rPh>
    <rPh sb="9" eb="13">
      <t>ホジョガメン</t>
    </rPh>
    <phoneticPr fontId="5"/>
  </si>
  <si>
    <t>検索（内訳コード）</t>
    <rPh sb="0" eb="2">
      <t>ケンサク</t>
    </rPh>
    <rPh sb="3" eb="5">
      <t>ウチワケ</t>
    </rPh>
    <phoneticPr fontId="5"/>
  </si>
  <si>
    <t>検索（金額コード）</t>
    <rPh sb="0" eb="2">
      <t>ケンサク</t>
    </rPh>
    <rPh sb="3" eb="5">
      <t>キンガク</t>
    </rPh>
    <phoneticPr fontId="5"/>
  </si>
  <si>
    <t>内訳コード入力／表示補助画面をポップアップ表示する。</t>
    <rPh sb="0" eb="2">
      <t>ウチワケ</t>
    </rPh>
    <phoneticPr fontId="5"/>
  </si>
  <si>
    <t>金額コード入力／表示補助画面をポップアップ表示する。</t>
    <rPh sb="0" eb="2">
      <t>キンガク</t>
    </rPh>
    <phoneticPr fontId="5"/>
  </si>
  <si>
    <t>行追加</t>
    <rPh sb="0" eb="3">
      <t>ギョウツイカ</t>
    </rPh>
    <phoneticPr fontId="5"/>
  </si>
  <si>
    <t>明細行の追加を行う。</t>
    <rPh sb="0" eb="3">
      <t>メイサイギョウ</t>
    </rPh>
    <rPh sb="4" eb="6">
      <t>ツイカ</t>
    </rPh>
    <rPh sb="7" eb="8">
      <t>オコナ</t>
    </rPh>
    <phoneticPr fontId="5"/>
  </si>
  <si>
    <t>行削除</t>
    <rPh sb="0" eb="1">
      <t>オコナ</t>
    </rPh>
    <rPh sb="1" eb="3">
      <t>サクジョ</t>
    </rPh>
    <phoneticPr fontId="5"/>
  </si>
  <si>
    <t>申請ボタンとします。</t>
    <rPh sb="0" eb="2">
      <t>シンセイ</t>
    </rPh>
    <phoneticPr fontId="5"/>
  </si>
  <si>
    <t>収支管理品目名</t>
    <rPh sb="6" eb="7">
      <t>メイ</t>
    </rPh>
    <phoneticPr fontId="5"/>
  </si>
  <si>
    <t>25</t>
    <phoneticPr fontId="5"/>
  </si>
  <si>
    <t>更新者</t>
    <rPh sb="0" eb="3">
      <t>コウシンシャ</t>
    </rPh>
    <phoneticPr fontId="5"/>
  </si>
  <si>
    <t>8</t>
    <phoneticPr fontId="5"/>
  </si>
  <si>
    <t>更新年月日（From）</t>
    <rPh sb="0" eb="2">
      <t>コウシン</t>
    </rPh>
    <rPh sb="2" eb="5">
      <t>ネンガッピ</t>
    </rPh>
    <phoneticPr fontId="5"/>
  </si>
  <si>
    <t>更新年月日（To）</t>
    <rPh sb="0" eb="2">
      <t>コウシン</t>
    </rPh>
    <rPh sb="2" eb="5">
      <t>ネンガッピ</t>
    </rPh>
    <phoneticPr fontId="5"/>
  </si>
  <si>
    <t>差戻、下書保存、依頼中を初期選択</t>
    <rPh sb="0" eb="2">
      <t>サシモドシ</t>
    </rPh>
    <rPh sb="3" eb="5">
      <t>シタガ</t>
    </rPh>
    <rPh sb="5" eb="7">
      <t>ホゾン</t>
    </rPh>
    <rPh sb="8" eb="11">
      <t>イライチュウ</t>
    </rPh>
    <rPh sb="12" eb="14">
      <t>ショキ</t>
    </rPh>
    <rPh sb="14" eb="16">
      <t>センタク</t>
    </rPh>
    <phoneticPr fontId="5"/>
  </si>
  <si>
    <t>選択（明細）</t>
    <rPh sb="0" eb="2">
      <t>センタク</t>
    </rPh>
    <rPh sb="3" eb="5">
      <t>メイサイ</t>
    </rPh>
    <phoneticPr fontId="5"/>
  </si>
  <si>
    <t>内訳コード名</t>
    <rPh sb="0" eb="2">
      <t>ウチワケ</t>
    </rPh>
    <rPh sb="5" eb="6">
      <t>メイ</t>
    </rPh>
    <phoneticPr fontId="5"/>
  </si>
  <si>
    <t>入力内訳コード</t>
    <rPh sb="0" eb="2">
      <t>ニュウリョク</t>
    </rPh>
    <rPh sb="2" eb="4">
      <t>ウチワケ</t>
    </rPh>
    <phoneticPr fontId="5"/>
  </si>
  <si>
    <t>入力内訳コード名</t>
    <rPh sb="0" eb="2">
      <t>ニュウリョク</t>
    </rPh>
    <rPh sb="2" eb="4">
      <t>ウチワケ</t>
    </rPh>
    <rPh sb="7" eb="8">
      <t>メイ</t>
    </rPh>
    <phoneticPr fontId="5"/>
  </si>
  <si>
    <t>入力繰越額（共計支払金）</t>
    <rPh sb="0" eb="2">
      <t>ニュウリョク</t>
    </rPh>
    <rPh sb="2" eb="4">
      <t>クリコシ</t>
    </rPh>
    <rPh sb="4" eb="5">
      <t>ガク</t>
    </rPh>
    <rPh sb="6" eb="8">
      <t>キョウケイ</t>
    </rPh>
    <rPh sb="8" eb="11">
      <t>シハライキン</t>
    </rPh>
    <phoneticPr fontId="5"/>
  </si>
  <si>
    <t>I/O</t>
    <phoneticPr fontId="5"/>
  </si>
  <si>
    <t>更新日（From）</t>
    <rPh sb="0" eb="2">
      <t>コウシン</t>
    </rPh>
    <rPh sb="2" eb="3">
      <t>ビ</t>
    </rPh>
    <phoneticPr fontId="5"/>
  </si>
  <si>
    <t>更新日（To）</t>
    <rPh sb="0" eb="3">
      <t>コウシンビ</t>
    </rPh>
    <phoneticPr fontId="5"/>
  </si>
  <si>
    <t>／業種はマスタに存在しません。</t>
    <rPh sb="1" eb="3">
      <t>ギョウシュ</t>
    </rPh>
    <phoneticPr fontId="5"/>
  </si>
  <si>
    <t>入力繰越額（共計受入金）</t>
    <rPh sb="0" eb="2">
      <t>ニュウリョク</t>
    </rPh>
    <rPh sb="2" eb="4">
      <t>クリコシ</t>
    </rPh>
    <rPh sb="4" eb="5">
      <t>ガク</t>
    </rPh>
    <phoneticPr fontId="5"/>
  </si>
  <si>
    <t>入力繰越額（共計支払金）</t>
    <phoneticPr fontId="5"/>
  </si>
  <si>
    <t>入力繰越額（共計受入金）</t>
    <rPh sb="0" eb="2">
      <t>ニュウリョク</t>
    </rPh>
    <phoneticPr fontId="5"/>
  </si>
  <si>
    <t>更新日(From)と更新日(To)の検索範囲チェック</t>
    <rPh sb="0" eb="3">
      <t>コウシンビ</t>
    </rPh>
    <rPh sb="18" eb="22">
      <t>ケンサクハンイ</t>
    </rPh>
    <phoneticPr fontId="5"/>
  </si>
  <si>
    <r>
      <t>収支管理品目</t>
    </r>
    <r>
      <rPr>
        <sz val="10"/>
        <color rgb="FFFF0000"/>
        <rFont val="ＭＳ ゴシック"/>
        <family val="3"/>
        <charset val="128"/>
      </rPr>
      <t>(*)</t>
    </r>
    <rPh sb="0" eb="6">
      <t>シュウシカンリヒンモク</t>
    </rPh>
    <phoneticPr fontId="5"/>
  </si>
  <si>
    <t>繰越元情報</t>
    <rPh sb="3" eb="5">
      <t>ジョウホウ</t>
    </rPh>
    <phoneticPr fontId="5"/>
  </si>
  <si>
    <t>繰越先情報</t>
    <rPh sb="3" eb="5">
      <t>ジョウホウ</t>
    </rPh>
    <phoneticPr fontId="5"/>
  </si>
  <si>
    <t>入力金額／摘要コード</t>
    <rPh sb="0" eb="2">
      <t>ニュウリョク</t>
    </rPh>
    <rPh sb="2" eb="4">
      <t>キンガク</t>
    </rPh>
    <rPh sb="5" eb="7">
      <t>テキヨウ</t>
    </rPh>
    <phoneticPr fontId="5"/>
  </si>
  <si>
    <t>入力金額／摘要コード名</t>
    <rPh sb="0" eb="2">
      <t>ニュウリョク</t>
    </rPh>
    <rPh sb="2" eb="4">
      <t>キンガク</t>
    </rPh>
    <rPh sb="5" eb="7">
      <t>テキヨウ</t>
    </rPh>
    <rPh sb="10" eb="11">
      <t>メイ</t>
    </rPh>
    <phoneticPr fontId="5"/>
  </si>
  <si>
    <t>入力繰越額（販売共計支払金）</t>
    <rPh sb="0" eb="2">
      <t>ニュウリョク</t>
    </rPh>
    <rPh sb="2" eb="4">
      <t>クリコシ</t>
    </rPh>
    <rPh sb="4" eb="5">
      <t>ガク</t>
    </rPh>
    <rPh sb="8" eb="10">
      <t>キョウケイ</t>
    </rPh>
    <rPh sb="10" eb="13">
      <t>シハライキン</t>
    </rPh>
    <phoneticPr fontId="5"/>
  </si>
  <si>
    <t>入力繰越額（販売共計受入金）</t>
    <rPh sb="0" eb="2">
      <t>ニュウリョク</t>
    </rPh>
    <rPh sb="2" eb="4">
      <t>クリコシ</t>
    </rPh>
    <rPh sb="4" eb="5">
      <t>ガク</t>
    </rPh>
    <phoneticPr fontId="5"/>
  </si>
  <si>
    <t>99編集</t>
    <rPh sb="2" eb="4">
      <t>ヘンシュウ</t>
    </rPh>
    <phoneticPr fontId="5"/>
  </si>
  <si>
    <t>繰越元共計年産</t>
    <rPh sb="0" eb="3">
      <t>クリコシモト</t>
    </rPh>
    <rPh sb="3" eb="7">
      <t>キョウケイネンサン</t>
    </rPh>
    <phoneticPr fontId="5"/>
  </si>
  <si>
    <t>年産（明細）</t>
    <rPh sb="0" eb="2">
      <t>ネンサン</t>
    </rPh>
    <rPh sb="3" eb="5">
      <t>メイサイ</t>
    </rPh>
    <phoneticPr fontId="5"/>
  </si>
  <si>
    <t>経理部、現業部門</t>
    <rPh sb="0" eb="3">
      <t>ケイリブ</t>
    </rPh>
    <rPh sb="4" eb="6">
      <t>ゲンギョウ</t>
    </rPh>
    <rPh sb="6" eb="8">
      <t>ブモン</t>
    </rPh>
    <phoneticPr fontId="5"/>
  </si>
  <si>
    <t>ログインしたユーザーの担当する業種のみを対象として抽出する。</t>
    <rPh sb="20" eb="22">
      <t>タイショウ</t>
    </rPh>
    <rPh sb="25" eb="27">
      <t>チュウシュツ</t>
    </rPh>
    <phoneticPr fontId="5"/>
  </si>
  <si>
    <t>繰越前残高（販売共計支払金）</t>
    <rPh sb="0" eb="2">
      <t>クリコシ</t>
    </rPh>
    <rPh sb="2" eb="3">
      <t>マエ</t>
    </rPh>
    <rPh sb="3" eb="5">
      <t>ザンダカ</t>
    </rPh>
    <rPh sb="6" eb="8">
      <t>ハンバイ</t>
    </rPh>
    <rPh sb="8" eb="10">
      <t>キョウケイ</t>
    </rPh>
    <rPh sb="10" eb="13">
      <t>シハライキン</t>
    </rPh>
    <phoneticPr fontId="5"/>
  </si>
  <si>
    <t>繰越額（販売共計支払金）</t>
    <rPh sb="0" eb="2">
      <t>クリコシ</t>
    </rPh>
    <rPh sb="2" eb="3">
      <t>ガク</t>
    </rPh>
    <rPh sb="6" eb="8">
      <t>キョウケイ</t>
    </rPh>
    <rPh sb="8" eb="11">
      <t>シハライキン</t>
    </rPh>
    <phoneticPr fontId="5"/>
  </si>
  <si>
    <t>繰越前残高（販売共計受入金）</t>
    <rPh sb="0" eb="2">
      <t>クリコシ</t>
    </rPh>
    <rPh sb="2" eb="3">
      <t>マエ</t>
    </rPh>
    <rPh sb="3" eb="5">
      <t>ザンダカ</t>
    </rPh>
    <rPh sb="8" eb="10">
      <t>キョウケイ</t>
    </rPh>
    <rPh sb="10" eb="12">
      <t>ウケイ</t>
    </rPh>
    <rPh sb="12" eb="13">
      <t>キン</t>
    </rPh>
    <phoneticPr fontId="5"/>
  </si>
  <si>
    <t>繰越額（販売共計受入金）</t>
    <rPh sb="0" eb="2">
      <t>クリコシ</t>
    </rPh>
    <rPh sb="2" eb="3">
      <t>ガク</t>
    </rPh>
    <phoneticPr fontId="5"/>
  </si>
  <si>
    <t>繰越前残高（合計販売共計支払金）</t>
    <rPh sb="0" eb="2">
      <t>クリコシ</t>
    </rPh>
    <rPh sb="2" eb="3">
      <t>マエ</t>
    </rPh>
    <rPh sb="3" eb="5">
      <t>ザンダカ</t>
    </rPh>
    <rPh sb="6" eb="8">
      <t>ゴウケイ</t>
    </rPh>
    <rPh sb="10" eb="12">
      <t>キョウケイ</t>
    </rPh>
    <rPh sb="12" eb="15">
      <t>シハライキン</t>
    </rPh>
    <phoneticPr fontId="5"/>
  </si>
  <si>
    <t>繰越額（合計販売共計支払金）</t>
    <rPh sb="0" eb="2">
      <t>クリコシ</t>
    </rPh>
    <rPh sb="2" eb="3">
      <t>ガク</t>
    </rPh>
    <rPh sb="8" eb="10">
      <t>キョウケイ</t>
    </rPh>
    <rPh sb="10" eb="13">
      <t>シハライキン</t>
    </rPh>
    <phoneticPr fontId="5"/>
  </si>
  <si>
    <t>繰越前残高（合計販売共計受入金）</t>
    <rPh sb="0" eb="2">
      <t>クリコシ</t>
    </rPh>
    <rPh sb="2" eb="3">
      <t>マエ</t>
    </rPh>
    <rPh sb="3" eb="5">
      <t>ザンダカ</t>
    </rPh>
    <rPh sb="10" eb="12">
      <t>キョウケイ</t>
    </rPh>
    <rPh sb="12" eb="14">
      <t>ウケイ</t>
    </rPh>
    <rPh sb="14" eb="15">
      <t>キン</t>
    </rPh>
    <phoneticPr fontId="5"/>
  </si>
  <si>
    <t>繰越額（合計販売共計受入金）</t>
    <rPh sb="0" eb="2">
      <t>クリコシ</t>
    </rPh>
    <rPh sb="2" eb="3">
      <t>ガク</t>
    </rPh>
    <phoneticPr fontId="5"/>
  </si>
  <si>
    <t>販売共計年産繰越の情報を入力して下さい。</t>
    <rPh sb="0" eb="2">
      <t>ハンバイ</t>
    </rPh>
    <rPh sb="2" eb="4">
      <t>キョウケイ</t>
    </rPh>
    <rPh sb="4" eb="6">
      <t>ネンサン</t>
    </rPh>
    <rPh sb="6" eb="8">
      <t>クリコシ</t>
    </rPh>
    <rPh sb="9" eb="11">
      <t>ジョウホウ</t>
    </rPh>
    <rPh sb="12" eb="14">
      <t>ニュウリョク</t>
    </rPh>
    <rPh sb="16" eb="17">
      <t>クダ</t>
    </rPh>
    <phoneticPr fontId="5"/>
  </si>
  <si>
    <t>共計次数</t>
    <rPh sb="0" eb="4">
      <t>キョウケイジスウ</t>
    </rPh>
    <phoneticPr fontId="5"/>
  </si>
  <si>
    <t>共計次数</t>
    <rPh sb="0" eb="2">
      <t>キョウケイ</t>
    </rPh>
    <rPh sb="2" eb="4">
      <t>ジスウ</t>
    </rPh>
    <phoneticPr fontId="5"/>
  </si>
  <si>
    <t>○</t>
  </si>
  <si>
    <t>承認状況</t>
    <rPh sb="0" eb="4">
      <t>ショウニンジョウキョウ</t>
    </rPh>
    <phoneticPr fontId="5"/>
  </si>
  <si>
    <t>承認状況（明細）</t>
    <rPh sb="0" eb="4">
      <t>ショウニンジョウキョウ</t>
    </rPh>
    <rPh sb="5" eb="7">
      <t>メイサイ</t>
    </rPh>
    <phoneticPr fontId="5"/>
  </si>
  <si>
    <t>金額コード／金額摘要コード</t>
    <rPh sb="0" eb="2">
      <t>キンガク</t>
    </rPh>
    <rPh sb="6" eb="8">
      <t>キンガク</t>
    </rPh>
    <rPh sb="8" eb="10">
      <t>テキヨウ</t>
    </rPh>
    <phoneticPr fontId="5"/>
  </si>
  <si>
    <t>金額／金額摘要コード</t>
    <rPh sb="0" eb="2">
      <t>キンガク</t>
    </rPh>
    <rPh sb="5" eb="7">
      <t>テキヨウ</t>
    </rPh>
    <phoneticPr fontId="5"/>
  </si>
  <si>
    <t>金額／金額摘要コード名</t>
    <rPh sb="0" eb="2">
      <t>キンガク</t>
    </rPh>
    <rPh sb="5" eb="7">
      <t>テキヨウ</t>
    </rPh>
    <rPh sb="10" eb="11">
      <t>メイ</t>
    </rPh>
    <phoneticPr fontId="5"/>
  </si>
  <si>
    <t>金額コード/金額摘要コード</t>
    <rPh sb="0" eb="2">
      <t>キンガク</t>
    </rPh>
    <rPh sb="8" eb="10">
      <t>テキヨウ</t>
    </rPh>
    <phoneticPr fontId="5"/>
  </si>
  <si>
    <t>検索（金額摘要コード）</t>
    <rPh sb="0" eb="2">
      <t>ケンサク</t>
    </rPh>
    <rPh sb="3" eb="5">
      <t>キンガク</t>
    </rPh>
    <rPh sb="5" eb="7">
      <t>テキヨウ</t>
    </rPh>
    <phoneticPr fontId="5"/>
  </si>
  <si>
    <t>金額コード/金額摘要コード</t>
    <rPh sb="0" eb="2">
      <t>キンガク</t>
    </rPh>
    <rPh sb="6" eb="8">
      <t>キンガク</t>
    </rPh>
    <rPh sb="8" eb="10">
      <t>テキヨウ</t>
    </rPh>
    <phoneticPr fontId="5"/>
  </si>
  <si>
    <t>入力金額／金額摘要コード</t>
    <rPh sb="0" eb="2">
      <t>ニュウリョク</t>
    </rPh>
    <rPh sb="2" eb="4">
      <t>キンガク</t>
    </rPh>
    <rPh sb="5" eb="7">
      <t>キンガク</t>
    </rPh>
    <rPh sb="7" eb="9">
      <t>テキヨウ</t>
    </rPh>
    <phoneticPr fontId="5"/>
  </si>
  <si>
    <t>入力金額／金額摘要コード名</t>
    <rPh sb="0" eb="2">
      <t>ニュウリョク</t>
    </rPh>
    <rPh sb="2" eb="4">
      <t>キンガク</t>
    </rPh>
    <rPh sb="12" eb="13">
      <t>メイ</t>
    </rPh>
    <phoneticPr fontId="5"/>
  </si>
  <si>
    <t>☑差戻　☑下書保存　☑依頼中　□承認済</t>
    <rPh sb="1" eb="3">
      <t>サシモドシ</t>
    </rPh>
    <rPh sb="5" eb="7">
      <t>シタガ</t>
    </rPh>
    <rPh sb="7" eb="9">
      <t>ホゾン</t>
    </rPh>
    <rPh sb="11" eb="13">
      <t>イライ</t>
    </rPh>
    <rPh sb="13" eb="14">
      <t>チュウ</t>
    </rPh>
    <rPh sb="16" eb="18">
      <t>ショウニン</t>
    </rPh>
    <rPh sb="18" eb="19">
      <t>スミ</t>
    </rPh>
    <phoneticPr fontId="5"/>
  </si>
  <si>
    <t>差戻→下書保存→依頼中→承認済</t>
    <rPh sb="0" eb="2">
      <t>サシモドシ</t>
    </rPh>
    <rPh sb="3" eb="5">
      <t>シタガ</t>
    </rPh>
    <rPh sb="5" eb="7">
      <t>ホゾン</t>
    </rPh>
    <rPh sb="14" eb="15">
      <t>スミ</t>
    </rPh>
    <phoneticPr fontId="5"/>
  </si>
  <si>
    <t>(1 of 1) &lt;&lt;  &lt;  1　　　　  &gt;  &gt;&gt;　</t>
    <phoneticPr fontId="5"/>
  </si>
  <si>
    <t>(1 of 1) &lt;&lt;  &lt; 1       &gt;  &gt;&gt;　</t>
    <phoneticPr fontId="5"/>
  </si>
  <si>
    <t>承認依頼取下</t>
    <rPh sb="0" eb="4">
      <t>ショウニンイライ</t>
    </rPh>
    <rPh sb="4" eb="6">
      <t>トリサ</t>
    </rPh>
    <phoneticPr fontId="5"/>
  </si>
  <si>
    <t>確認</t>
    <rPh sb="0" eb="2">
      <t>カクニン</t>
    </rPh>
    <phoneticPr fontId="5"/>
  </si>
  <si>
    <t>キャンセル</t>
    <phoneticPr fontId="5"/>
  </si>
  <si>
    <t>業種コード入力欄とする。</t>
    <rPh sb="0" eb="2">
      <t>ギョウシュ</t>
    </rPh>
    <rPh sb="5" eb="8">
      <t>ニュウリョクラン</t>
    </rPh>
    <phoneticPr fontId="5"/>
  </si>
  <si>
    <t>条件入力画面へ遷移する。</t>
    <rPh sb="0" eb="2">
      <t>ジョウケン</t>
    </rPh>
    <rPh sb="2" eb="4">
      <t>ニュウリョク</t>
    </rPh>
    <rPh sb="4" eb="6">
      <t>ガメン</t>
    </rPh>
    <phoneticPr fontId="5"/>
  </si>
  <si>
    <t>訂正</t>
    <rPh sb="0" eb="2">
      <t>テイセイ</t>
    </rPh>
    <phoneticPr fontId="5"/>
  </si>
  <si>
    <r>
      <t>年産</t>
    </r>
    <r>
      <rPr>
        <sz val="10"/>
        <color rgb="FFFF0000"/>
        <rFont val="ＭＳ ゴシック"/>
        <family val="3"/>
        <charset val="128"/>
      </rPr>
      <t>(*)</t>
    </r>
    <rPh sb="0" eb="2">
      <t>ネンサン</t>
    </rPh>
    <phoneticPr fontId="5"/>
  </si>
  <si>
    <t>○</t>
    <phoneticPr fontId="5"/>
  </si>
  <si>
    <t>／年産を入力してください。</t>
    <rPh sb="1" eb="3">
      <t>ネンサン</t>
    </rPh>
    <rPh sb="4" eb="6">
      <t>ニュウリョク</t>
    </rPh>
    <phoneticPr fontId="5"/>
  </si>
  <si>
    <t>YYYY/MM/DD</t>
    <phoneticPr fontId="5"/>
  </si>
  <si>
    <t>ＸＸＸＸＸＸＸＸＸＸ</t>
    <phoneticPr fontId="5"/>
  </si>
  <si>
    <t>年産</t>
    <phoneticPr fontId="5"/>
  </si>
  <si>
    <t>繰越元
共計年産</t>
    <phoneticPr fontId="5"/>
  </si>
  <si>
    <t>経理日</t>
    <rPh sb="0" eb="3">
      <t>ケイリビ</t>
    </rPh>
    <phoneticPr fontId="5"/>
  </si>
  <si>
    <t>共計
次数</t>
    <rPh sb="0" eb="2">
      <t>キョウケイ</t>
    </rPh>
    <rPh sb="3" eb="5">
      <t>ジスウ</t>
    </rPh>
    <phoneticPr fontId="5"/>
  </si>
  <si>
    <t>XXXXXX　ＸＸＸＸＸＸＸＸ</t>
    <phoneticPr fontId="5"/>
  </si>
  <si>
    <t>更新日</t>
    <phoneticPr fontId="5"/>
  </si>
  <si>
    <t>3</t>
  </si>
  <si>
    <t>経理日</t>
    <phoneticPr fontId="5"/>
  </si>
  <si>
    <t>4</t>
  </si>
  <si>
    <t>更新者</t>
    <phoneticPr fontId="5"/>
  </si>
  <si>
    <t>更新日（明細）</t>
    <rPh sb="0" eb="3">
      <t>コウシンビ</t>
    </rPh>
    <rPh sb="4" eb="6">
      <t>メイサイ</t>
    </rPh>
    <phoneticPr fontId="5"/>
  </si>
  <si>
    <t>-</t>
  </si>
  <si>
    <t>経理日（明細）</t>
    <rPh sb="0" eb="3">
      <t>ケイリビ</t>
    </rPh>
    <phoneticPr fontId="5"/>
  </si>
  <si>
    <t>更新者（明細）</t>
    <rPh sb="0" eb="3">
      <t>コウシンシャ</t>
    </rPh>
    <phoneticPr fontId="5"/>
  </si>
  <si>
    <t>文字
（全角）</t>
    <rPh sb="0" eb="2">
      <t>モジ</t>
    </rPh>
    <rPh sb="4" eb="6">
      <t>ゼンカク</t>
    </rPh>
    <phoneticPr fontId="5"/>
  </si>
  <si>
    <t>販売共計年産繰越情報の更新日を表示する</t>
    <rPh sb="0" eb="2">
      <t>ハンバイ</t>
    </rPh>
    <rPh sb="2" eb="4">
      <t>キョウケイ</t>
    </rPh>
    <rPh sb="4" eb="6">
      <t>ネンサン</t>
    </rPh>
    <rPh sb="6" eb="8">
      <t>クリコシ</t>
    </rPh>
    <rPh sb="8" eb="10">
      <t>ジョウホウ</t>
    </rPh>
    <rPh sb="11" eb="14">
      <t>コウシンビ</t>
    </rPh>
    <rPh sb="15" eb="17">
      <t>ヒョウジ</t>
    </rPh>
    <phoneticPr fontId="5"/>
  </si>
  <si>
    <t>販売共計年産繰越情報の経理日を表示する</t>
    <rPh sb="11" eb="14">
      <t>ケイリビ</t>
    </rPh>
    <rPh sb="15" eb="17">
      <t>ヒョウジ</t>
    </rPh>
    <phoneticPr fontId="5"/>
  </si>
  <si>
    <t>販売共計年産繰越情報の更新者をキーに職員マスタから取得した職員氏名を表示する</t>
    <rPh sb="11" eb="14">
      <t>コウシンシャ</t>
    </rPh>
    <rPh sb="18" eb="20">
      <t>ショクイン</t>
    </rPh>
    <rPh sb="29" eb="31">
      <t>ショクイン</t>
    </rPh>
    <rPh sb="31" eb="33">
      <t>シメイ</t>
    </rPh>
    <phoneticPr fontId="4"/>
  </si>
  <si>
    <t>確認画面</t>
    <rPh sb="0" eb="4">
      <t>カクニンガメン</t>
    </rPh>
    <phoneticPr fontId="5"/>
  </si>
  <si>
    <t>【登録・修正時】</t>
    <rPh sb="1" eb="3">
      <t>トウロク</t>
    </rPh>
    <rPh sb="6" eb="7">
      <t>ジ</t>
    </rPh>
    <phoneticPr fontId="3"/>
  </si>
  <si>
    <t>【削除時】</t>
    <rPh sb="1" eb="3">
      <t>サクジョ</t>
    </rPh>
    <rPh sb="3" eb="4">
      <t>ジ</t>
    </rPh>
    <phoneticPr fontId="3"/>
  </si>
  <si>
    <t>繰越元条件 ～ 繰越先のイメージは「登録・修正」と変わらないためイメージ割愛</t>
    <rPh sb="0" eb="3">
      <t>クリコシモト</t>
    </rPh>
    <rPh sb="3" eb="5">
      <t>ジョウケン</t>
    </rPh>
    <rPh sb="8" eb="10">
      <t>クリコシ</t>
    </rPh>
    <rPh sb="10" eb="11">
      <t>サキ</t>
    </rPh>
    <phoneticPr fontId="5"/>
  </si>
  <si>
    <t>【承認依頼取下時】</t>
    <rPh sb="1" eb="3">
      <t>ショウニン</t>
    </rPh>
    <rPh sb="3" eb="5">
      <t>イライ</t>
    </rPh>
    <rPh sb="5" eb="6">
      <t>トリ</t>
    </rPh>
    <rPh sb="6" eb="7">
      <t>シタ</t>
    </rPh>
    <rPh sb="7" eb="8">
      <t>ジ</t>
    </rPh>
    <phoneticPr fontId="3"/>
  </si>
  <si>
    <t>条件入力画面へ遷移します。</t>
    <rPh sb="4" eb="6">
      <t>ガメン</t>
    </rPh>
    <rPh sb="7" eb="9">
      <t>センイ</t>
    </rPh>
    <phoneticPr fontId="5"/>
  </si>
  <si>
    <t>画面に表示している情報の承認依頼を取下し、条件入力画面へ遷移します。</t>
    <rPh sb="0" eb="2">
      <t>ガメン</t>
    </rPh>
    <rPh sb="3" eb="5">
      <t>ヒョウジ</t>
    </rPh>
    <rPh sb="9" eb="11">
      <t>ジョウホウ</t>
    </rPh>
    <rPh sb="12" eb="16">
      <t>ショウニンイライ</t>
    </rPh>
    <rPh sb="17" eb="19">
      <t>トリサ</t>
    </rPh>
    <rPh sb="25" eb="27">
      <t>ガメン</t>
    </rPh>
    <rPh sb="28" eb="30">
      <t>センイ</t>
    </rPh>
    <phoneticPr fontId="5"/>
  </si>
  <si>
    <t>申請（登録・修正・削除）、承認依頼取下、キャンセル</t>
    <rPh sb="0" eb="2">
      <t>シンセイ</t>
    </rPh>
    <rPh sb="3" eb="5">
      <t>トウロク</t>
    </rPh>
    <rPh sb="6" eb="8">
      <t>シュウセイ</t>
    </rPh>
    <rPh sb="9" eb="10">
      <t>ジョ</t>
    </rPh>
    <phoneticPr fontId="5"/>
  </si>
  <si>
    <t>2025/8/29</t>
    <phoneticPr fontId="18"/>
  </si>
  <si>
    <t>2025/8/29</t>
    <phoneticPr fontId="5"/>
  </si>
  <si>
    <r>
      <t>共計次数</t>
    </r>
    <r>
      <rPr>
        <sz val="10"/>
        <color rgb="FFFF0000"/>
        <rFont val="ＭＳ ゴシック"/>
        <family val="3"/>
        <charset val="128"/>
      </rPr>
      <t>(*)</t>
    </r>
    <rPh sb="0" eb="4">
      <t>キョウケイジスウ</t>
    </rPh>
    <phoneticPr fontId="5"/>
  </si>
  <si>
    <t>確認画面ボタン押下時</t>
    <rPh sb="0" eb="2">
      <t>カクニン</t>
    </rPh>
    <rPh sb="2" eb="4">
      <t>ガメン</t>
    </rPh>
    <rPh sb="7" eb="9">
      <t>オウカ</t>
    </rPh>
    <rPh sb="9" eb="10">
      <t>ジ</t>
    </rPh>
    <phoneticPr fontId="5"/>
  </si>
  <si>
    <t>米穀業種の場合は金額摘要コード、それ以外の業種の場合は金額コードのリストを表示します。</t>
    <rPh sb="0" eb="2">
      <t>ベイコク</t>
    </rPh>
    <rPh sb="2" eb="4">
      <t>ギョウシュ</t>
    </rPh>
    <rPh sb="5" eb="7">
      <t>バアイ</t>
    </rPh>
    <rPh sb="18" eb="20">
      <t>イガイ</t>
    </rPh>
    <rPh sb="21" eb="23">
      <t>ギョウシュ</t>
    </rPh>
    <rPh sb="24" eb="26">
      <t>バアイ</t>
    </rPh>
    <rPh sb="37" eb="39">
      <t>ヒョウジ</t>
    </rPh>
    <phoneticPr fontId="5"/>
  </si>
  <si>
    <t>264 繰越金額（品代）</t>
    <rPh sb="4" eb="6">
      <t>クリコシ</t>
    </rPh>
    <rPh sb="6" eb="8">
      <t>キンガク</t>
    </rPh>
    <rPh sb="9" eb="11">
      <t>シナダイ</t>
    </rPh>
    <phoneticPr fontId="5"/>
  </si>
  <si>
    <t>統合会計システム</t>
    <phoneticPr fontId="5"/>
  </si>
  <si>
    <t>統合会計システム</t>
    <phoneticPr fontId="18"/>
  </si>
  <si>
    <t>繰越元の販売共計受入金繰越額の合計と繰越先の販売共計受入金繰越額を合算し、０以外の場合はエラー
／販売共計受入金の繰越額について、繰越元と繰越先の金額が合算して０となっていません。</t>
    <rPh sb="8" eb="11">
      <t>ウケイレキン</t>
    </rPh>
    <rPh sb="11" eb="14">
      <t>クリコシガク</t>
    </rPh>
    <rPh sb="15" eb="17">
      <t>ゴウケイ</t>
    </rPh>
    <rPh sb="18" eb="21">
      <t>クリコシサキ</t>
    </rPh>
    <rPh sb="22" eb="24">
      <t>ハンバイ</t>
    </rPh>
    <rPh sb="24" eb="26">
      <t>キョウケイ</t>
    </rPh>
    <rPh sb="26" eb="28">
      <t>ウケイレ</t>
    </rPh>
    <rPh sb="28" eb="29">
      <t>キン</t>
    </rPh>
    <rPh sb="73" eb="75">
      <t>キンガク</t>
    </rPh>
    <phoneticPr fontId="5"/>
  </si>
  <si>
    <t>繰越元の販売共計支払金繰越額の合計と繰越先の販売共計支払金繰越額を合算し、０以外の場合はエラー
／販売共計支払金の繰越額について、繰越元と繰越先の金額が合算して０となっていません。</t>
    <rPh sb="22" eb="29">
      <t>ハンバイキョウケイシハライキン</t>
    </rPh>
    <rPh sb="29" eb="32">
      <t>クリコシガク</t>
    </rPh>
    <rPh sb="33" eb="35">
      <t>ガッサン</t>
    </rPh>
    <rPh sb="38" eb="40">
      <t>イガイ</t>
    </rPh>
    <rPh sb="41" eb="43">
      <t>バアイ</t>
    </rPh>
    <rPh sb="53" eb="55">
      <t>シハライ</t>
    </rPh>
    <rPh sb="55" eb="56">
      <t>キン</t>
    </rPh>
    <phoneticPr fontId="5"/>
  </si>
  <si>
    <r>
      <t>取引日</t>
    </r>
    <r>
      <rPr>
        <sz val="10"/>
        <color rgb="FFFF0000"/>
        <rFont val="ＭＳ ゴシック"/>
        <family val="3"/>
        <charset val="128"/>
      </rPr>
      <t xml:space="preserve"> (*)</t>
    </r>
    <rPh sb="0" eb="3">
      <t>トリヒキビ</t>
    </rPh>
    <phoneticPr fontId="5"/>
  </si>
  <si>
    <t>取引日</t>
    <rPh sb="0" eb="3">
      <t>トリヒキビ</t>
    </rPh>
    <phoneticPr fontId="5"/>
  </si>
  <si>
    <t>2025/03/31</t>
    <phoneticPr fontId="5"/>
  </si>
  <si>
    <t>取引日</t>
    <phoneticPr fontId="5"/>
  </si>
  <si>
    <t>取引日を入力する。ＶＢ期間であれば前月末日、ＶＢ期間外であれば運用管理日（当日）を設定する。</t>
    <rPh sb="0" eb="3">
      <t>トリヒキビ</t>
    </rPh>
    <rPh sb="4" eb="6">
      <t>ニュウリョク</t>
    </rPh>
    <rPh sb="11" eb="13">
      <t>キカン</t>
    </rPh>
    <rPh sb="17" eb="19">
      <t>ゼンゲツ</t>
    </rPh>
    <rPh sb="19" eb="20">
      <t>マツ</t>
    </rPh>
    <rPh sb="20" eb="21">
      <t>ニチ</t>
    </rPh>
    <rPh sb="24" eb="26">
      <t>キカン</t>
    </rPh>
    <rPh sb="26" eb="27">
      <t>ガイ</t>
    </rPh>
    <rPh sb="31" eb="33">
      <t>ウンヨウ</t>
    </rPh>
    <rPh sb="33" eb="35">
      <t>カンリ</t>
    </rPh>
    <rPh sb="35" eb="36">
      <t>ビ</t>
    </rPh>
    <rPh sb="37" eb="39">
      <t>トウジツ</t>
    </rPh>
    <rPh sb="41" eb="43">
      <t>セッテイ</t>
    </rPh>
    <phoneticPr fontId="5"/>
  </si>
  <si>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rPh sb="25" eb="28">
      <t>トリヒキビ</t>
    </rPh>
    <rPh sb="29" eb="31">
      <t>ニュウリョク</t>
    </rPh>
    <rPh sb="31" eb="32">
      <t>ツキ</t>
    </rPh>
    <rPh sb="41" eb="43">
      <t>ニュウリョク</t>
    </rPh>
    <rPh sb="43" eb="44">
      <t>ツキ</t>
    </rPh>
    <rPh sb="45" eb="47">
      <t>ケイリ</t>
    </rPh>
    <rPh sb="63" eb="65">
      <t>ゼンゲツ</t>
    </rPh>
    <rPh sb="65" eb="67">
      <t>ケイリ</t>
    </rPh>
    <rPh sb="70" eb="72">
      <t>バアイ</t>
    </rPh>
    <rPh sb="74" eb="77">
      <t>トリヒキビ</t>
    </rPh>
    <rPh sb="78" eb="80">
      <t>ゼンゲツ</t>
    </rPh>
    <rPh sb="80" eb="81">
      <t>マツ</t>
    </rPh>
    <rPh sb="81" eb="82">
      <t>ビ</t>
    </rPh>
    <rPh sb="82" eb="84">
      <t>イゼン</t>
    </rPh>
    <rPh sb="85" eb="87">
      <t>ニュウリョク</t>
    </rPh>
    <phoneticPr fontId="5"/>
  </si>
  <si>
    <t>検索条件と対象データの
存在チェック</t>
    <phoneticPr fontId="5"/>
  </si>
  <si>
    <t>「照会」ボタン押下時、検索条件に合致するデータが存在しない場合はエラー
／条件に該当するデータはありません。</t>
    <phoneticPr fontId="5"/>
  </si>
  <si>
    <t>照会ボタン押下時</t>
    <rPh sb="0" eb="2">
      <t>ショウカイ</t>
    </rPh>
    <rPh sb="5" eb="7">
      <t>オウカ</t>
    </rPh>
    <rPh sb="7" eb="8">
      <t>ジ</t>
    </rPh>
    <phoneticPr fontId="5"/>
  </si>
  <si>
    <t>9.3.3</t>
    <phoneticPr fontId="5"/>
  </si>
  <si>
    <t>F4106-3D</t>
    <phoneticPr fontId="5"/>
  </si>
  <si>
    <t>入力した内容をチェックし、エラーの場合はエラーメッセージを表示。
エラーが無ければ、確認画面へ遷移する。</t>
    <rPh sb="42" eb="44">
      <t>カクニン</t>
    </rPh>
    <rPh sb="44" eb="46">
      <t>ガメン</t>
    </rPh>
    <phoneticPr fontId="5"/>
  </si>
  <si>
    <t>18</t>
    <phoneticPr fontId="5"/>
  </si>
  <si>
    <t>14</t>
    <phoneticPr fontId="5"/>
  </si>
  <si>
    <t>【承認情報エリア】</t>
    <rPh sb="1" eb="3">
      <t>ショウニン</t>
    </rPh>
    <rPh sb="3" eb="5">
      <t>ジョウホウ</t>
    </rPh>
    <phoneticPr fontId="5"/>
  </si>
  <si>
    <t>更新者（更新日時）</t>
    <rPh sb="0" eb="3">
      <t>コウシンシャ</t>
    </rPh>
    <rPh sb="4" eb="6">
      <t>コウシン</t>
    </rPh>
    <rPh sb="6" eb="8">
      <t>ニチジ</t>
    </rPh>
    <phoneticPr fontId="5"/>
  </si>
  <si>
    <t>更新者-日時を表示する。</t>
    <phoneticPr fontId="5"/>
  </si>
  <si>
    <t>更新者（所属）</t>
    <rPh sb="0" eb="3">
      <t>コウシンシャ</t>
    </rPh>
    <phoneticPr fontId="5"/>
  </si>
  <si>
    <t>文字
（全角）</t>
    <phoneticPr fontId="5"/>
  </si>
  <si>
    <t>更新者-所属を表示する。</t>
    <phoneticPr fontId="5"/>
  </si>
  <si>
    <t>更新者（担当者）</t>
    <rPh sb="0" eb="3">
      <t>コウシンシャ</t>
    </rPh>
    <rPh sb="4" eb="7">
      <t>タントウシャ</t>
    </rPh>
    <phoneticPr fontId="5"/>
  </si>
  <si>
    <t>更新者-担当者を表示する。</t>
    <phoneticPr fontId="5"/>
  </si>
  <si>
    <t>承認/差戻（更新日時）</t>
    <rPh sb="6" eb="10">
      <t>コウシンニチジ</t>
    </rPh>
    <phoneticPr fontId="5"/>
  </si>
  <si>
    <t>承認/差戻者-日時を表示する。</t>
    <phoneticPr fontId="5"/>
  </si>
  <si>
    <t>承認/差戻（所属）</t>
    <rPh sb="6" eb="8">
      <t>ショゾク</t>
    </rPh>
    <phoneticPr fontId="5"/>
  </si>
  <si>
    <t>承認/差戻者-所属を表示する。</t>
    <phoneticPr fontId="5"/>
  </si>
  <si>
    <t>承認/差戻（担当者）</t>
    <rPh sb="6" eb="9">
      <t>タントウシャ</t>
    </rPh>
    <phoneticPr fontId="5"/>
  </si>
  <si>
    <t>承認/差戻者-担当者を表示する。</t>
    <phoneticPr fontId="5"/>
  </si>
  <si>
    <t>差戻コメント</t>
    <phoneticPr fontId="5"/>
  </si>
  <si>
    <t>42</t>
    <phoneticPr fontId="5"/>
  </si>
  <si>
    <t>差戻コメントを表示する。</t>
    <phoneticPr fontId="5"/>
  </si>
  <si>
    <t>４文字である事を確認する。
／年産は４文字で入力してください。</t>
    <rPh sb="15" eb="17">
      <t>ネンサン</t>
    </rPh>
    <phoneticPr fontId="5"/>
  </si>
  <si>
    <t>２文字である事を確認する。
／共計次数は２文字で入力してください。</t>
    <rPh sb="15" eb="17">
      <t>キョウケイ</t>
    </rPh>
    <rPh sb="17" eb="19">
      <t>ジスウ</t>
    </rPh>
    <phoneticPr fontId="5"/>
  </si>
  <si>
    <t>販売共計支払金繰越額に入力した値が -9,999,999,999,999 ～ 9,999,999,999,999の範囲内であることを確認する。
／販売共計支払金繰越額は-9,999,999,999,999 ～ 9,999,999,999,999の範囲内で入力してください。</t>
    <phoneticPr fontId="5"/>
  </si>
  <si>
    <t>販売共計受入金繰越額に入力した値が -9,999,999,999,999 ～ 9,999,999,999,999の範囲内であることを確認する。
／販売共計受入金繰越額は-9,999,999,999,999 ～ 9,999,999,999,999の範囲内で入力してください。</t>
    <phoneticPr fontId="5"/>
  </si>
  <si>
    <t>／共計組織はマスタに存在しません。</t>
    <rPh sb="3" eb="5">
      <t>ソシキ</t>
    </rPh>
    <phoneticPr fontId="5"/>
  </si>
  <si>
    <t>収支管理品目</t>
    <phoneticPr fontId="5"/>
  </si>
  <si>
    <t>／収支管理品目コードはマスタに存在しません。</t>
    <phoneticPr fontId="5"/>
  </si>
  <si>
    <t>修正ボタンと明細未選択チェック</t>
    <rPh sb="0" eb="2">
      <t>シュウセイ</t>
    </rPh>
    <rPh sb="6" eb="8">
      <t>メイサイ</t>
    </rPh>
    <rPh sb="8" eb="11">
      <t>ミセンタク</t>
    </rPh>
    <phoneticPr fontId="5"/>
  </si>
  <si>
    <t>「修正」ボタン押下時、明細を選択していない場合エラー
／明細を選択してください。</t>
    <rPh sb="33" eb="35">
      <t>メイサイ</t>
    </rPh>
    <rPh sb="36" eb="38">
      <t>センタクセンタク</t>
    </rPh>
    <phoneticPr fontId="5"/>
  </si>
  <si>
    <t>修正ボタンと複数明細選択チェック</t>
    <rPh sb="0" eb="2">
      <t>シュウセイ</t>
    </rPh>
    <rPh sb="6" eb="8">
      <t>フクスウ</t>
    </rPh>
    <rPh sb="8" eb="10">
      <t>メイサイ</t>
    </rPh>
    <rPh sb="10" eb="12">
      <t>センタク</t>
    </rPh>
    <phoneticPr fontId="5"/>
  </si>
  <si>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</si>
  <si>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修正ボタンと承認状況（依頼中）のチェック</t>
    <rPh sb="0" eb="2">
      <t>シュウセイ</t>
    </rPh>
    <rPh sb="11" eb="14">
      <t>イライチュウ</t>
    </rPh>
    <phoneticPr fontId="5"/>
  </si>
  <si>
    <t>修正ボタン承認状況（承認済）のチェック</t>
    <rPh sb="0" eb="2">
      <t>シュウセイ</t>
    </rPh>
    <rPh sb="10" eb="13">
      <t>ショウニンズ</t>
    </rPh>
    <phoneticPr fontId="5"/>
  </si>
  <si>
    <t>削除ボタンと明細未選択のチェック</t>
    <rPh sb="0" eb="2">
      <t>サクジョ</t>
    </rPh>
    <phoneticPr fontId="5"/>
  </si>
  <si>
    <t>「削除」ボタン押下時、明細を選択していない場合エラー
／明細を選択してください。</t>
    <rPh sb="1" eb="3">
      <t>サクジョ</t>
    </rPh>
    <rPh sb="28" eb="30">
      <t>メイサイ</t>
    </rPh>
    <rPh sb="31" eb="33">
      <t>センタクセンタク</t>
    </rPh>
    <phoneticPr fontId="5"/>
  </si>
  <si>
    <t>削除ボタンと承認状況（依頼中）のチェック</t>
    <rPh sb="0" eb="2">
      <t>サクジョ</t>
    </rPh>
    <rPh sb="10" eb="13">
      <t>イライチュウ</t>
    </rPh>
    <phoneticPr fontId="5"/>
  </si>
  <si>
    <t>個別照会ボタンと明細未選択のチェック</t>
    <rPh sb="0" eb="2">
      <t>コベツ</t>
    </rPh>
    <rPh sb="2" eb="4">
      <t>ショウカイ</t>
    </rPh>
    <phoneticPr fontId="5"/>
  </si>
  <si>
    <t>「個別照会」ボタン押下時、明細を選択していない場合エラー
／明細を選択してください。</t>
    <rPh sb="1" eb="3">
      <t>コベツ</t>
    </rPh>
    <rPh sb="3" eb="5">
      <t>ショウカイ</t>
    </rPh>
    <rPh sb="30" eb="32">
      <t>メイサイ</t>
    </rPh>
    <rPh sb="33" eb="35">
      <t>センタクセンタク</t>
    </rPh>
    <phoneticPr fontId="5"/>
  </si>
  <si>
    <t>個別照会ボタンと複数明細選択のチェック</t>
    <rPh sb="0" eb="2">
      <t>コベツ</t>
    </rPh>
    <rPh sb="2" eb="4">
      <t>ショウカイ</t>
    </rPh>
    <rPh sb="8" eb="10">
      <t>フクスウ</t>
    </rPh>
    <rPh sb="10" eb="12">
      <t>メイサイ</t>
    </rPh>
    <rPh sb="12" eb="14">
      <t>センタク</t>
    </rPh>
    <phoneticPr fontId="5"/>
  </si>
  <si>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5"/>
  </si>
  <si>
    <t>承認依頼取下ボタンと明細未選択のチェック</t>
    <rPh sb="0" eb="2">
      <t>ショウニン</t>
    </rPh>
    <rPh sb="2" eb="4">
      <t>イライ</t>
    </rPh>
    <rPh sb="4" eb="5">
      <t>トリ</t>
    </rPh>
    <rPh sb="5" eb="6">
      <t>シタ</t>
    </rPh>
    <phoneticPr fontId="5"/>
  </si>
  <si>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5"/>
  </si>
  <si>
    <t>承認依頼取下ボタンと承認状況（差戻）のチェック</t>
    <rPh sb="0" eb="2">
      <t>ショウニン</t>
    </rPh>
    <rPh sb="2" eb="4">
      <t>イライ</t>
    </rPh>
    <rPh sb="4" eb="5">
      <t>トリ</t>
    </rPh>
    <rPh sb="5" eb="6">
      <t>シタ</t>
    </rPh>
    <rPh sb="15" eb="16">
      <t>サ</t>
    </rPh>
    <rPh sb="16" eb="17">
      <t>モド</t>
    </rPh>
    <phoneticPr fontId="5"/>
  </si>
  <si>
    <t>承認依頼取下ボタンと承認状況（下書保存）のチェック</t>
    <rPh sb="0" eb="2">
      <t>ショウニン</t>
    </rPh>
    <rPh sb="2" eb="4">
      <t>イライ</t>
    </rPh>
    <rPh sb="4" eb="5">
      <t>トリ</t>
    </rPh>
    <rPh sb="5" eb="6">
      <t>シタ</t>
    </rPh>
    <rPh sb="15" eb="17">
      <t>シタガ</t>
    </rPh>
    <rPh sb="17" eb="19">
      <t>ホゾン</t>
    </rPh>
    <phoneticPr fontId="5"/>
  </si>
  <si>
    <t>承認依頼取下ボタンと承認状況（承認済）のチェック</t>
    <rPh sb="0" eb="2">
      <t>ショウニン</t>
    </rPh>
    <rPh sb="2" eb="4">
      <t>イライ</t>
    </rPh>
    <rPh sb="4" eb="5">
      <t>トリ</t>
    </rPh>
    <rPh sb="5" eb="6">
      <t>シタ</t>
    </rPh>
    <rPh sb="15" eb="18">
      <t>ショウニンズ</t>
    </rPh>
    <phoneticPr fontId="5"/>
  </si>
  <si>
    <t>削除、個別照会、承認依頼取下</t>
    <rPh sb="0" eb="2">
      <t>サクジョ</t>
    </rPh>
    <rPh sb="8" eb="13">
      <t>ショウニンイライト</t>
    </rPh>
    <rPh sb="13" eb="14">
      <t>サ</t>
    </rPh>
    <phoneticPr fontId="5"/>
  </si>
  <si>
    <t>個別照会</t>
    <phoneticPr fontId="5"/>
  </si>
  <si>
    <t>繰越額（共計受入金）に入力した値が -9,999,999,999,999 ～ 9,999,999,999,999の範囲内であることを確認する。
／繰越額（共計受入金）は-9,999,999,999,999 ～ 9,999,999,999,999の範囲内で入力してください。</t>
    <phoneticPr fontId="5"/>
  </si>
  <si>
    <t>繰越額（共計支払金に入力した値が -9,999,999,999,999 ～ 9,999,999,999,999の範囲内であることを確認する。
／繰越額（共計支払金は-9,999,999,999,999 ～ 9,999,999,999,999の範囲内で入力してください。</t>
    <phoneticPr fontId="5"/>
  </si>
  <si>
    <t>共計次数（明細）</t>
    <rPh sb="0" eb="2">
      <t>キョウケイ</t>
    </rPh>
    <rPh sb="2" eb="4">
      <t>ジスウ</t>
    </rPh>
    <phoneticPr fontId="5"/>
  </si>
  <si>
    <t>／共計次数を入力してください。</t>
    <rPh sb="1" eb="3">
      <t>キョウケイ</t>
    </rPh>
    <rPh sb="3" eb="5">
      <t>ジスウ</t>
    </rPh>
    <rPh sb="6" eb="8">
      <t>ニュウリョク</t>
    </rPh>
    <phoneticPr fontId="5"/>
  </si>
  <si>
    <t>承認済の伝票を削除する場合はマイナス仕訳を起こす。</t>
    <phoneticPr fontId="5"/>
  </si>
  <si>
    <t>業種と共計組織</t>
    <phoneticPr fontId="5"/>
  </si>
  <si>
    <t>修正ボタンと入力組織のチェック</t>
    <rPh sb="0" eb="2">
      <t>シュウセイ</t>
    </rPh>
    <rPh sb="6" eb="10">
      <t>ニュウリョクソシキ</t>
    </rPh>
    <phoneticPr fontId="5"/>
  </si>
  <si>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5"/>
  </si>
  <si>
    <t>削除ボタンと入力組織のチェック</t>
    <rPh sb="0" eb="2">
      <t>サクジョ</t>
    </rPh>
    <rPh sb="6" eb="10">
      <t>ニュウリョクソシキ</t>
    </rPh>
    <phoneticPr fontId="5"/>
  </si>
  <si>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5"/>
  </si>
  <si>
    <t>承認依頼取下ボタンと入力組織のチェック</t>
    <rPh sb="10" eb="14">
      <t>ニュウリョクソシキ</t>
    </rPh>
    <phoneticPr fontId="5"/>
  </si>
  <si>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5"/>
  </si>
  <si>
    <t>入力組織と共計組織</t>
    <rPh sb="0" eb="2">
      <t>ニュウリョク</t>
    </rPh>
    <rPh sb="2" eb="4">
      <t>ソシキ</t>
    </rPh>
    <rPh sb="5" eb="9">
      <t>キョウケイソシキ</t>
    </rPh>
    <phoneticPr fontId="5"/>
  </si>
  <si>
    <t>入力組織と更新者</t>
    <rPh sb="0" eb="2">
      <t>ニュウリョク</t>
    </rPh>
    <rPh sb="2" eb="4">
      <t>ソシキ</t>
    </rPh>
    <rPh sb="5" eb="8">
      <t>コウシンシャ</t>
    </rPh>
    <phoneticPr fontId="5"/>
  </si>
  <si>
    <t>入力組織と収支管理品目</t>
    <rPh sb="0" eb="2">
      <t>ニュウリョク</t>
    </rPh>
    <rPh sb="2" eb="4">
      <t>ソシキ</t>
    </rPh>
    <rPh sb="5" eb="11">
      <t>シュウシカンリヒンモク</t>
    </rPh>
    <phoneticPr fontId="5"/>
  </si>
  <si>
    <t>繰越元の販売共計受入金繰越前残高から販売共計支払金繰越前残高を引いた額が、繰越先の販売共計支払金繰越額と販売共計受入金繰越額の合計と異なる場合、警告する。
／繰越元と繰越先の合計が一致していませんが、よろしいですか？</t>
    <rPh sb="13" eb="14">
      <t>マエ</t>
    </rPh>
    <rPh sb="14" eb="16">
      <t>ザンダカ</t>
    </rPh>
    <rPh sb="31" eb="32">
      <t>ヒ</t>
    </rPh>
    <rPh sb="34" eb="35">
      <t>ガク</t>
    </rPh>
    <rPh sb="39" eb="40">
      <t>サキ</t>
    </rPh>
    <rPh sb="63" eb="65">
      <t>ゴウケイ</t>
    </rPh>
    <rPh sb="66" eb="67">
      <t>コト</t>
    </rPh>
    <rPh sb="69" eb="71">
      <t>バアイ</t>
    </rPh>
    <rPh sb="72" eb="74">
      <t>ケイコク</t>
    </rPh>
    <phoneticPr fontId="5"/>
  </si>
  <si>
    <t>24058</t>
    <phoneticPr fontId="18"/>
  </si>
  <si>
    <t>基幹システム再構築　会計システム外部設計</t>
  </si>
  <si>
    <t>入力した内容をチェックし、エラーの場合はエラーメッセージを表示。
エラーが無ければ、入力した条件の検索結果を一覧表示する。</t>
    <phoneticPr fontId="5"/>
  </si>
  <si>
    <t>選択した明細行の削除を行う。</t>
    <rPh sb="0" eb="2">
      <t>センタク</t>
    </rPh>
    <rPh sb="4" eb="7">
      <t>メイサイギョウ</t>
    </rPh>
    <rPh sb="8" eb="10">
      <t>サクジョ</t>
    </rPh>
    <rPh sb="11" eb="12">
      <t>オコナ</t>
    </rPh>
    <phoneticPr fontId="5"/>
  </si>
  <si>
    <t>入力した内容をチェックし、エラーの場合はエラーメッセージを表示。
エラーが無ければ、修正状態で入力画面へ遷移する。</t>
    <rPh sb="42" eb="44">
      <t>シュウセイ</t>
    </rPh>
    <rPh sb="44" eb="46">
      <t>ジョウタイ</t>
    </rPh>
    <rPh sb="47" eb="51">
      <t>ニュウリョクガメン</t>
    </rPh>
    <rPh sb="52" eb="54">
      <t>センイ</t>
    </rPh>
    <phoneticPr fontId="5"/>
  </si>
  <si>
    <t>【検索条件エリア】</t>
    <rPh sb="1" eb="5">
      <t>ケンサクジョウケン</t>
    </rPh>
    <phoneticPr fontId="5"/>
  </si>
  <si>
    <t>入力した内容をチェックし、エラーの場合はエラーメッセージを表示。
エラーが無ければ、削除状態で確認画面へ遷移する。</t>
    <rPh sb="42" eb="44">
      <t>サクジョ</t>
    </rPh>
    <rPh sb="47" eb="49">
      <t>カクニン</t>
    </rPh>
    <rPh sb="49" eb="51">
      <t>ガメン</t>
    </rPh>
    <rPh sb="52" eb="54">
      <t>センイ</t>
    </rPh>
    <phoneticPr fontId="5"/>
  </si>
  <si>
    <t>入力した内容をチェックし、エラーの場合はエラーメッセージを表示。
エラーが無ければ、照会状態で確認画面へ遷移する。</t>
    <rPh sb="42" eb="44">
      <t>ショウカイ</t>
    </rPh>
    <rPh sb="47" eb="49">
      <t>カクニン</t>
    </rPh>
    <rPh sb="49" eb="51">
      <t>ガメン</t>
    </rPh>
    <rPh sb="52" eb="54">
      <t>センイ</t>
    </rPh>
    <phoneticPr fontId="5"/>
  </si>
  <si>
    <t>削除ボタンと複数明細選択のチェック</t>
    <rPh sb="0" eb="2">
      <t>サクジョ</t>
    </rPh>
    <rPh sb="6" eb="8">
      <t>フクスウ</t>
    </rPh>
    <rPh sb="8" eb="10">
      <t>メイサイ</t>
    </rPh>
    <rPh sb="10" eb="12">
      <t>センタク</t>
    </rPh>
    <phoneticPr fontId="5"/>
  </si>
  <si>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</si>
  <si>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収支管理品目（繰越先）</t>
    <rPh sb="0" eb="4">
      <t>シュウシカンリ</t>
    </rPh>
    <rPh sb="4" eb="6">
      <t>ヒンモク</t>
    </rPh>
    <rPh sb="7" eb="9">
      <t>クリコシ</t>
    </rPh>
    <rPh sb="9" eb="10">
      <t>サキ</t>
    </rPh>
    <phoneticPr fontId="5"/>
  </si>
  <si>
    <t>年産（繰越先）</t>
    <rPh sb="0" eb="2">
      <t>ネンサン</t>
    </rPh>
    <rPh sb="3" eb="6">
      <t>クリコシサキ</t>
    </rPh>
    <phoneticPr fontId="5"/>
  </si>
  <si>
    <t>共計次数（繰越先）</t>
    <rPh sb="0" eb="2">
      <t>キョウケイ</t>
    </rPh>
    <rPh sb="2" eb="4">
      <t>ジスウ</t>
    </rPh>
    <phoneticPr fontId="5"/>
  </si>
  <si>
    <r>
      <t>共計
次数</t>
    </r>
    <r>
      <rPr>
        <sz val="10"/>
        <color rgb="FFFF0000"/>
        <rFont val="ＭＳ ゴシック"/>
        <family val="3"/>
        <charset val="128"/>
      </rPr>
      <t>(*)</t>
    </r>
    <rPh sb="0" eb="2">
      <t>キョウケイ</t>
    </rPh>
    <rPh sb="3" eb="5">
      <t>ジスウ</t>
    </rPh>
    <phoneticPr fontId="5"/>
  </si>
  <si>
    <t>／共計組織を入力してください。</t>
    <rPh sb="1" eb="3">
      <t>キョウケイ</t>
    </rPh>
    <rPh sb="3" eb="5">
      <t>ソシキ</t>
    </rPh>
    <rPh sb="6" eb="8">
      <t>ニュウリョク</t>
    </rPh>
    <phoneticPr fontId="5"/>
  </si>
  <si>
    <t>販売共計年度繰越一覧を表示する際には、折り畳んで表示する。
「＋」押下で展開して表示する（条件の確認及び変更を行う場合）
「－」押下で折り畳んで表示する。</t>
    <rPh sb="0" eb="2">
      <t>ハンバイ</t>
    </rPh>
    <rPh sb="2" eb="4">
      <t>キョウケイ</t>
    </rPh>
    <rPh sb="4" eb="6">
      <t>ネンド</t>
    </rPh>
    <rPh sb="6" eb="8">
      <t>クリコシ</t>
    </rPh>
    <rPh sb="8" eb="10">
      <t>イチラン</t>
    </rPh>
    <phoneticPr fontId="5"/>
  </si>
  <si>
    <t>繰越元共計年産</t>
    <rPh sb="0" eb="3">
      <t>クリコシモト</t>
    </rPh>
    <rPh sb="3" eb="5">
      <t>キョウケイ</t>
    </rPh>
    <rPh sb="5" eb="6">
      <t>ネン</t>
    </rPh>
    <rPh sb="6" eb="7">
      <t>サン</t>
    </rPh>
    <phoneticPr fontId="5"/>
  </si>
  <si>
    <t>予め設定された申請・承認ルートの表示および再設定を行うための、申請・承認ルート表示画面を表示する。</t>
    <phoneticPr fontId="5"/>
  </si>
  <si>
    <t>承認ルート表示</t>
    <rPh sb="0" eb="2">
      <t>ショウニン</t>
    </rPh>
    <rPh sb="5" eb="7">
      <t>ヒョウジ</t>
    </rPh>
    <phoneticPr fontId="5"/>
  </si>
  <si>
    <t>20</t>
    <phoneticPr fontId="5"/>
  </si>
  <si>
    <t>検索（更新者）</t>
    <rPh sb="0" eb="2">
      <t>ケンサク</t>
    </rPh>
    <rPh sb="3" eb="6">
      <t>コウシンシャ</t>
    </rPh>
    <phoneticPr fontId="5"/>
  </si>
  <si>
    <t>承認ルート表示</t>
    <phoneticPr fontId="5"/>
  </si>
  <si>
    <t>登録、閉じる</t>
    <rPh sb="0" eb="2">
      <t>トウロク</t>
    </rPh>
    <rPh sb="3" eb="4">
      <t>ト</t>
    </rPh>
    <phoneticPr fontId="5"/>
  </si>
  <si>
    <t>共計実績のある収支管理品目のみ抽出し検索対象とする</t>
    <rPh sb="0" eb="2">
      <t>キョウケイ</t>
    </rPh>
    <rPh sb="2" eb="4">
      <t>ジッセキ</t>
    </rPh>
    <rPh sb="7" eb="9">
      <t>シュウシ</t>
    </rPh>
    <rPh sb="9" eb="11">
      <t>カンリ</t>
    </rPh>
    <rPh sb="11" eb="13">
      <t>ヒンモク</t>
    </rPh>
    <rPh sb="15" eb="17">
      <t>チュウシュツ</t>
    </rPh>
    <rPh sb="18" eb="20">
      <t>ケンサク</t>
    </rPh>
    <rPh sb="20" eb="22">
      <t>タイショウ</t>
    </rPh>
    <phoneticPr fontId="5"/>
  </si>
  <si>
    <t>入力した内容を単体チェックし、エラーの場合はエラーメッセージを表示。
エラーが無ければ、下書保存に更新する。</t>
    <rPh sb="0" eb="2">
      <t>ニュウリョク</t>
    </rPh>
    <rPh sb="4" eb="6">
      <t>ナイヨウ</t>
    </rPh>
    <rPh sb="7" eb="9">
      <t>タンタイ</t>
    </rPh>
    <rPh sb="19" eb="21">
      <t>バアイ</t>
    </rPh>
    <rPh sb="31" eb="33">
      <t>ヒョウジ</t>
    </rPh>
    <rPh sb="39" eb="40">
      <t>ナ</t>
    </rPh>
    <rPh sb="44" eb="46">
      <t>シタガキ</t>
    </rPh>
    <rPh sb="46" eb="48">
      <t>ホゾン</t>
    </rPh>
    <rPh sb="49" eb="51">
      <t>コウシン</t>
    </rPh>
    <phoneticPr fontId="5"/>
  </si>
  <si>
    <t>下書保存</t>
    <rPh sb="0" eb="2">
      <t>シタガキ</t>
    </rPh>
    <rPh sb="2" eb="4">
      <t>ホゾン</t>
    </rPh>
    <phoneticPr fontId="5"/>
  </si>
  <si>
    <t>〇</t>
  </si>
  <si>
    <t>初期値：ログイン者の名称</t>
    <rPh sb="0" eb="3">
      <t>ショキチ</t>
    </rPh>
    <rPh sb="8" eb="9">
      <t>シャ</t>
    </rPh>
    <rPh sb="10" eb="12">
      <t>メイショウ</t>
    </rPh>
    <phoneticPr fontId="5"/>
  </si>
  <si>
    <t>実在日でない場合、エラーとする。
／更新日は有効な日付を入力してください。</t>
    <rPh sb="18" eb="21">
      <t>コウシンビ</t>
    </rPh>
    <rPh sb="22" eb="24">
      <t>ユウコウ</t>
    </rPh>
    <rPh sb="25" eb="27">
      <t>ヒヅケ</t>
    </rPh>
    <rPh sb="28" eb="30">
      <t>ニュウリョク</t>
    </rPh>
    <phoneticPr fontId="5"/>
  </si>
  <si>
    <t>／取引日を入力してください。</t>
    <phoneticPr fontId="2"/>
  </si>
  <si>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5"/>
  </si>
  <si>
    <t>取引日が未来日の場合、エラーとする。
／取引日に未来日は入力できません。</t>
    <rPh sb="4" eb="7">
      <t>ミライビ</t>
    </rPh>
    <phoneticPr fontId="5"/>
  </si>
  <si>
    <t>／繰越額（共計支払金）は半角数値で入力してください。</t>
    <rPh sb="1" eb="3">
      <t>クリコシ</t>
    </rPh>
    <rPh sb="3" eb="4">
      <t>ガク</t>
    </rPh>
    <rPh sb="5" eb="7">
      <t>キョウケイ</t>
    </rPh>
    <rPh sb="7" eb="9">
      <t>シハライ</t>
    </rPh>
    <rPh sb="9" eb="10">
      <t>キン</t>
    </rPh>
    <rPh sb="12" eb="14">
      <t>ハンカク</t>
    </rPh>
    <rPh sb="14" eb="16">
      <t>スウチ</t>
    </rPh>
    <rPh sb="17" eb="19">
      <t>ニュウリョク</t>
    </rPh>
    <phoneticPr fontId="5"/>
  </si>
  <si>
    <t>／繰越額（共計受入金）は半角数値で入力してください。</t>
    <rPh sb="1" eb="3">
      <t>クリコシ</t>
    </rPh>
    <rPh sb="3" eb="4">
      <t>ガク</t>
    </rPh>
    <rPh sb="5" eb="7">
      <t>キョウケイ</t>
    </rPh>
    <rPh sb="7" eb="9">
      <t>ウケイレ</t>
    </rPh>
    <rPh sb="9" eb="10">
      <t>キン</t>
    </rPh>
    <rPh sb="12" eb="14">
      <t>ハンカク</t>
    </rPh>
    <rPh sb="14" eb="16">
      <t>スウチ</t>
    </rPh>
    <rPh sb="17" eb="19">
      <t>ニュウリョク</t>
    </rPh>
    <phoneticPr fontId="5"/>
  </si>
  <si>
    <t>／販売共計支払金繰越額は半角数値で入力してください。</t>
    <phoneticPr fontId="5"/>
  </si>
  <si>
    <t>／販売共計受入金繰越額は半角数値で入力してください。</t>
    <phoneticPr fontId="5"/>
  </si>
  <si>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5"/>
  </si>
  <si>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5"/>
  </si>
  <si>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5"/>
  </si>
  <si>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5"/>
  </si>
  <si>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5"/>
  </si>
  <si>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5"/>
  </si>
  <si>
    <t>１．照会・入力可能範囲</t>
    <rPh sb="2" eb="4">
      <t>ショウカイ</t>
    </rPh>
    <rPh sb="5" eb="7">
      <t>ニュウリョク</t>
    </rPh>
    <rPh sb="7" eb="9">
      <t>カノウ</t>
    </rPh>
    <rPh sb="9" eb="11">
      <t>ハンイ</t>
    </rPh>
    <phoneticPr fontId="5"/>
  </si>
  <si>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</si>
  <si>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5"/>
  </si>
  <si>
    <t>【特記事項】</t>
    <rPh sb="1" eb="3">
      <t>トッキ</t>
    </rPh>
    <rPh sb="3" eb="5">
      <t>ジコウ</t>
    </rPh>
    <phoneticPr fontId="5"/>
  </si>
  <si>
    <t>・経理部は全ての業種を照会できる。</t>
    <rPh sb="1" eb="4">
      <t>ケイリブ</t>
    </rPh>
    <rPh sb="5" eb="6">
      <t>スベ</t>
    </rPh>
    <rPh sb="8" eb="10">
      <t>ギョウシュ</t>
    </rPh>
    <rPh sb="11" eb="13">
      <t>ショウカイ</t>
    </rPh>
    <phoneticPr fontId="5"/>
  </si>
  <si>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</si>
  <si>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5"/>
  </si>
  <si>
    <t>・経理部は全ての業種を入力できる。</t>
    <rPh sb="1" eb="4">
      <t>ケイリブ</t>
    </rPh>
    <rPh sb="5" eb="6">
      <t>スベ</t>
    </rPh>
    <rPh sb="8" eb="10">
      <t>ギョウシュ</t>
    </rPh>
    <rPh sb="11" eb="13">
      <t>ニュウリョク</t>
    </rPh>
    <phoneticPr fontId="5"/>
  </si>
  <si>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</si>
  <si>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</si>
  <si>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5"/>
  </si>
  <si>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5"/>
  </si>
  <si>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5"/>
  </si>
  <si>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</si>
  <si>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5"/>
  </si>
  <si>
    <t>・経理部は全ての組織を照会できる。</t>
    <rPh sb="1" eb="4">
      <t>ケイリブ</t>
    </rPh>
    <rPh sb="5" eb="6">
      <t>スベ</t>
    </rPh>
    <rPh sb="8" eb="10">
      <t>ソシキ</t>
    </rPh>
    <rPh sb="11" eb="13">
      <t>ショウカイ</t>
    </rPh>
    <phoneticPr fontId="5"/>
  </si>
  <si>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</si>
  <si>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5"/>
  </si>
  <si>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5"/>
  </si>
  <si>
    <t>・経理部は全ての組織を入力できる。</t>
    <rPh sb="1" eb="4">
      <t>ケイリブ</t>
    </rPh>
    <rPh sb="5" eb="6">
      <t>スベ</t>
    </rPh>
    <rPh sb="8" eb="10">
      <t>ソシキ</t>
    </rPh>
    <rPh sb="11" eb="13">
      <t>ニュウリョク</t>
    </rPh>
    <phoneticPr fontId="5"/>
  </si>
  <si>
    <t>入力した内容をチェックし、エラーの場合はエラーメッセージを表示。
エラーが無ければ、業種、収支管理品目、繰越元共計年産、共計組織に入力したコードの名称を表示する。</t>
    <phoneticPr fontId="5"/>
  </si>
  <si>
    <t>入力した内容をチェックし、エラーの場合はエラーメッセージを表示。
エラーが無ければ、業種、収支管理品目、共計組織と繰越先情報の各行の収支管理品目に入力したコードの名称を表示する。</t>
    <phoneticPr fontId="5"/>
  </si>
  <si>
    <t>画面に入力した業種と入力者の所属する組織の組み合わせが「6．画面機能補足説明　＜業種照会可能範囲＞」で定める業種以外の場合エラー
／業種は共計組織に応じた業種を入力してください。</t>
    <phoneticPr fontId="5"/>
  </si>
  <si>
    <t>入力者の所属する組織が本所以外の場合、「6．画面機能補足説明　＜共計組織照会可能範囲＞」で定める共計組織以外の場合エラー
／共計組織は担当の所属コードを入力してください。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5"/>
  </si>
  <si>
    <t>「照会」ボタン押下時、入力した更新者の所属する組織が「6．画面機能補足説明　＜共計組織照会可能範囲＞」で定める組織以外の場合エラー
／更新者は自組織に応じた更新者を入力してください。</t>
    <phoneticPr fontId="5"/>
  </si>
  <si>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5"/>
  </si>
  <si>
    <t>業種と共計組織の組み合わせが「6．画面機能補足説明　＜業種入力可能範囲＞」で定める業種以外の場合エラー
／業種は共計組織に応じた業種を入力してください。</t>
    <rPh sb="53" eb="55">
      <t>ギョウシュ</t>
    </rPh>
    <rPh sb="56" eb="58">
      <t>キョウケイ</t>
    </rPh>
    <rPh sb="58" eb="60">
      <t>ソシキ</t>
    </rPh>
    <rPh sb="61" eb="62">
      <t>オウ</t>
    </rPh>
    <rPh sb="64" eb="66">
      <t>ギョウシュ</t>
    </rPh>
    <rPh sb="67" eb="69">
      <t>ニュウリョク</t>
    </rPh>
    <phoneticPr fontId="5"/>
  </si>
  <si>
    <t>入力した共計組織コードが「6．画面機能補足説明　＜共計組織入力可能範囲＞」で定める共計組織以外の場合エラー
／共計組織は担当の所属コードを入力してください。</t>
    <phoneticPr fontId="5"/>
  </si>
  <si>
    <t>業種検索子画面をポップアップ表示する</t>
    <phoneticPr fontId="5"/>
  </si>
  <si>
    <t>共計組織検索子画面をポップアップ表示する</t>
    <phoneticPr fontId="5"/>
  </si>
  <si>
    <t>収支管理品目検索子画面をポップアップ表示する</t>
    <phoneticPr fontId="5"/>
  </si>
  <si>
    <t>職員検索子画面をポップアップ表示する</t>
    <phoneticPr fontId="5"/>
  </si>
  <si>
    <t>金額摘要検索子画面をポップアップ表示する</t>
    <phoneticPr fontId="5"/>
  </si>
  <si>
    <t>入力した内容をチェックし、エラーの場合はエラーメッセージを表示。
エラーが無ければ、承認依頼取下状態で確認画面へ遷移する。</t>
    <rPh sb="0" eb="2">
      <t>ニュウリョク</t>
    </rPh>
    <rPh sb="4" eb="6">
      <t>ナイヨウ</t>
    </rPh>
    <rPh sb="17" eb="19">
      <t>バアイ</t>
    </rPh>
    <rPh sb="29" eb="31">
      <t>ヒョウジ</t>
    </rPh>
    <rPh sb="37" eb="38">
      <t>ナ</t>
    </rPh>
    <rPh sb="42" eb="44">
      <t>ショウニン</t>
    </rPh>
    <rPh sb="44" eb="46">
      <t>イライ</t>
    </rPh>
    <rPh sb="46" eb="47">
      <t>トリ</t>
    </rPh>
    <rPh sb="47" eb="48">
      <t>カ</t>
    </rPh>
    <rPh sb="48" eb="50">
      <t>ジョウタイ</t>
    </rPh>
    <rPh sb="53" eb="55">
      <t>ガメン</t>
    </rPh>
    <rPh sb="56" eb="58">
      <t>センイ</t>
    </rPh>
    <phoneticPr fontId="5"/>
  </si>
  <si>
    <t>文字</t>
    <phoneticPr fontId="5"/>
  </si>
  <si>
    <t>文字</t>
    <rPh sb="0" eb="2">
      <t>モジ</t>
    </rPh>
    <phoneticPr fontId="5"/>
  </si>
  <si>
    <t>19</t>
    <phoneticPr fontId="5"/>
  </si>
  <si>
    <t>入力した内容をチェックし、エラーの場合はエラーメッセージを表示。
エラーが無ければ、入力内容で更新し、条件入力画面へ遷移します。</t>
    <phoneticPr fontId="5"/>
  </si>
  <si>
    <t>更新日(From)、更新日(To)の両方を入力している且つ、
更新日(From)＞更新日(To)の場合はエラー
／更新日(From)は更新日(To)より過去の日付を入力してください。</t>
    <rPh sb="49" eb="51">
      <t>バアイ</t>
    </rPh>
    <phoneticPr fontId="5"/>
  </si>
  <si>
    <t>YY9999999-99</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</si>
</sst>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7">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u/>
      <sz val="11"/>
      <color rgb="FF262626"/>
      <name val="ＭＳ ゴシック"/>
      <family val="3"/>
      <charset val="128"/>
    </font>
    <font>
      <b/>
      <sz val="12"/>
      <name val="ＭＳ ゴシック"/>
      <family val="3"/>
      <charset val="128"/>
    </font>
    <font>
      <sz val="11"/>
      <name val="ＭＳ ゴシック"/>
      <family val="3"/>
      <charset val="128"/>
    </font>
    <font>
      <sz val="11"/>
      <color rgb="FF262626"/>
      <name val="ＭＳ ゴシック"/>
      <family val="3"/>
      <charset val="128"/>
    </font>
    <font>
      <b/>
      <sz val="14"/>
      <color rgb="FF404040"/>
      <name val="ＭＳ ゴシック"/>
      <family val="3"/>
      <charset val="128"/>
    </font>
    <font>
      <b/>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sz val="10"/>
      <name val="ＭＳ ゴシック"/>
      <family val="3"/>
      <charset val="128"/>
    </font>
    <font>
      <sz val="10"/>
      <color rgb="FF262626"/>
      <name val="ＭＳ ゴシック"/>
      <family val="3"/>
      <charset val="128"/>
    </font>
    <font>
      <b/>
      <sz val="12"/>
      <name val="ＭＳ Ｐゴシック"/>
      <family val="3"/>
      <charset val="128"/>
    </font>
    <font>
      <sz val="10"/>
      <color theme="0"/>
      <name val="ＭＳ ゴシック"/>
      <family val="3"/>
      <charset val="128"/>
    </font>
    <font>
      <sz val="10"/>
      <color rgb="FFFF0000"/>
      <name val="ＭＳ ゴシック"/>
      <family val="3"/>
      <charset val="128"/>
    </font>
    <font>
      <sz val="10"/>
      <name val="ＭＳ Ｐゴシック"/>
      <family val="3"/>
      <charset val="128"/>
    </font>
    <font>
      <sz val="11"/>
      <color rgb="FFFF0000"/>
      <name val="ＭＳ ゴシック"/>
      <family val="3"/>
      <charset val="128"/>
    </font>
    <font>
      <sz val="11"/>
      <color rgb="FFFF0000"/>
      <name val="ＭＳ Ｐゴシック"/>
      <family val="3"/>
      <charset val="128"/>
    </font>
    <font>
      <b/>
      <sz val="10"/>
      <color rgb="FF404040"/>
      <name val="ＭＳ ゴシック"/>
      <family val="3"/>
      <charset val="128"/>
    </font>
    <font>
      <b/>
      <sz val="12"/>
      <color rgb="FF404040"/>
      <name val="ＭＳ ゴシック"/>
      <family val="3"/>
      <charset val="128"/>
    </font>
    <font>
      <sz val="10"/>
      <color rgb="FF404040"/>
      <name val="ＭＳ ゴシック"/>
      <family val="3"/>
      <charset val="128"/>
    </font>
    <font>
      <sz val="10"/>
      <color rgb="FF404040"/>
      <name val="ＭＳ Ｐゴシック"/>
      <family val="3"/>
      <charset val="128"/>
    </font>
    <font>
      <b/>
      <sz val="12"/>
      <color rgb="FF404040"/>
      <name val="ＭＳ Ｐゴシック"/>
      <family val="3"/>
      <charset val="128"/>
    </font>
    <font>
      <b/>
      <sz val="10"/>
      <color theme="0"/>
      <name val="ＭＳ ゴシック"/>
      <family val="3"/>
      <charset val="128"/>
    </font>
    <font>
      <u/>
      <sz val="12"/>
      <name val="ＭＳ ゴシック"/>
      <family val="3"/>
      <charset val="128"/>
    </font>
    <font>
      <b/>
      <u/>
      <sz val="12"/>
      <name val="ＭＳ ゴシック"/>
      <family val="3"/>
      <charset val="128"/>
    </font>
    <font>
      <sz val="14"/>
      <name val="ＭＳ ゴシック"/>
      <family val="3"/>
      <charset val="128"/>
    </font>
  </fonts>
  <fills count="9">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medium">
        <color auto="1"/>
      </left>
      <right style="thin">
        <color auto="1"/>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s>
  <cellStyleXfs count="7">
    <xf numFmtId="0" fontId="0"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cellStyleXfs>
  <cellXfs count="725">
    <xf numFmtId="0" fontId="0" fillId="0" borderId="0" xfId="0"/>
    <xf numFmtId="49" fontId="6" fillId="0" borderId="0" xfId="0" applyNumberFormat="1" applyFont="1"/>
    <xf numFmtId="49" fontId="8" fillId="0" borderId="0" xfId="0" applyNumberFormat="1" applyFont="1"/>
    <xf numFmtId="49" fontId="8" fillId="0" borderId="0" xfId="0" applyNumberFormat="1" applyFont="1" applyAlignment="1">
      <alignment vertical="center"/>
    </xf>
    <xf numFmtId="49" fontId="9" fillId="0" borderId="0" xfId="0" applyNumberFormat="1" applyFont="1" applyAlignment="1">
      <alignment vertical="center"/>
    </xf>
    <xf numFmtId="49" fontId="10" fillId="0" borderId="0" xfId="0" applyNumberFormat="1" applyFont="1" applyAlignment="1">
      <alignment vertical="center"/>
    </xf>
    <xf numFmtId="49" fontId="10" fillId="0" borderId="6" xfId="0" applyNumberFormat="1" applyFont="1" applyBorder="1"/>
    <xf numFmtId="49" fontId="10" fillId="0" borderId="7" xfId="0" applyNumberFormat="1" applyFont="1" applyBorder="1"/>
    <xf numFmtId="49" fontId="10" fillId="0" borderId="8" xfId="0" applyNumberFormat="1" applyFont="1" applyBorder="1"/>
    <xf numFmtId="49" fontId="10" fillId="0" borderId="0" xfId="0" applyNumberFormat="1" applyFont="1"/>
    <xf numFmtId="49" fontId="10" fillId="0" borderId="2" xfId="0" applyNumberFormat="1" applyFont="1" applyBorder="1"/>
    <xf numFmtId="49" fontId="10" fillId="0" borderId="3" xfId="0" applyNumberFormat="1" applyFont="1" applyBorder="1"/>
    <xf numFmtId="49" fontId="10" fillId="0" borderId="4" xfId="0" applyNumberFormat="1" applyFont="1" applyBorder="1"/>
    <xf numFmtId="49" fontId="10" fillId="0" borderId="1" xfId="0" applyNumberFormat="1" applyFont="1" applyBorder="1"/>
    <xf numFmtId="49" fontId="10" fillId="0" borderId="5" xfId="0" applyNumberFormat="1" applyFont="1" applyBorder="1"/>
    <xf numFmtId="49" fontId="14" fillId="0" borderId="0" xfId="1" applyNumberFormat="1" applyFont="1" applyAlignment="1">
      <alignment vertical="center"/>
    </xf>
    <xf numFmtId="49" fontId="14" fillId="0" borderId="0" xfId="1" applyNumberFormat="1" applyFont="1" applyAlignment="1">
      <alignment horizontal="left" vertical="center"/>
    </xf>
    <xf numFmtId="49" fontId="15" fillId="0" borderId="0" xfId="1" applyNumberFormat="1" applyFont="1" applyAlignment="1">
      <alignment vertical="center"/>
    </xf>
    <xf numFmtId="49" fontId="15" fillId="0" borderId="0" xfId="1" applyNumberFormat="1" applyFont="1" applyAlignment="1">
      <alignment horizontal="left" vertical="center"/>
    </xf>
    <xf numFmtId="49" fontId="8" fillId="0" borderId="0" xfId="0" applyNumberFormat="1" applyFont="1" applyAlignment="1">
      <alignment horizontal="left" vertical="center"/>
    </xf>
    <xf numFmtId="49" fontId="8" fillId="0" borderId="0" xfId="0" applyNumberFormat="1" applyFont="1" applyAlignment="1">
      <alignment horizontal="right" vertical="center"/>
    </xf>
    <xf numFmtId="49" fontId="8" fillId="0" borderId="0" xfId="1" applyNumberFormat="1" applyFont="1"/>
    <xf numFmtId="49" fontId="8" fillId="0" borderId="6" xfId="0" applyNumberFormat="1" applyFont="1" applyBorder="1"/>
    <xf numFmtId="49" fontId="8" fillId="0" borderId="7" xfId="0" applyNumberFormat="1" applyFont="1" applyBorder="1"/>
    <xf numFmtId="49" fontId="8" fillId="0" borderId="2" xfId="0" applyNumberFormat="1" applyFont="1" applyBorder="1"/>
    <xf numFmtId="49" fontId="8" fillId="0" borderId="4" xfId="0" applyNumberFormat="1" applyFont="1" applyBorder="1"/>
    <xf numFmtId="49" fontId="8" fillId="0" borderId="1" xfId="0" applyNumberFormat="1" applyFont="1" applyBorder="1"/>
    <xf numFmtId="49" fontId="8" fillId="0" borderId="0" xfId="1" applyNumberFormat="1" applyFont="1" applyAlignment="1">
      <alignment vertical="center"/>
    </xf>
    <xf numFmtId="49" fontId="8" fillId="0" borderId="0" xfId="1" applyNumberFormat="1" applyFont="1" applyAlignment="1">
      <alignment horizontal="right" vertical="center"/>
    </xf>
    <xf numFmtId="49" fontId="9" fillId="0" borderId="0" xfId="1" applyNumberFormat="1" applyFont="1" applyAlignment="1">
      <alignment vertical="center"/>
    </xf>
    <xf numFmtId="49" fontId="10" fillId="0" borderId="0" xfId="1" applyNumberFormat="1" applyFont="1" applyAlignment="1">
      <alignment vertical="center"/>
    </xf>
    <xf numFmtId="49" fontId="8" fillId="0" borderId="9" xfId="1" applyNumberFormat="1" applyFont="1" applyBorder="1"/>
    <xf numFmtId="49" fontId="8" fillId="0" borderId="10" xfId="1" applyNumberFormat="1" applyFont="1" applyBorder="1"/>
    <xf numFmtId="49" fontId="8" fillId="0" borderId="11" xfId="1" applyNumberFormat="1" applyFont="1" applyBorder="1"/>
    <xf numFmtId="49" fontId="8" fillId="0" borderId="2" xfId="1" applyNumberFormat="1" applyFont="1" applyBorder="1"/>
    <xf numFmtId="49" fontId="8" fillId="0" borderId="2" xfId="1" applyNumberFormat="1" applyFont="1" applyBorder="1" applyAlignment="1">
      <alignment vertical="center"/>
    </xf>
    <xf numFmtId="49" fontId="8" fillId="0" borderId="0" xfId="1" applyNumberFormat="1" applyFont="1" applyAlignment="1">
      <alignment vertical="center" wrapText="1"/>
    </xf>
    <xf numFmtId="49" fontId="8" fillId="0" borderId="3" xfId="1" applyNumberFormat="1" applyFont="1" applyBorder="1"/>
    <xf numFmtId="49" fontId="8" fillId="0" borderId="4" xfId="1" applyNumberFormat="1" applyFont="1" applyBorder="1"/>
    <xf numFmtId="49" fontId="8" fillId="0" borderId="1" xfId="1" applyNumberFormat="1" applyFont="1" applyBorder="1"/>
    <xf numFmtId="49" fontId="8" fillId="0" borderId="5" xfId="1" applyNumberFormat="1" applyFont="1" applyBorder="1"/>
    <xf numFmtId="49" fontId="10" fillId="0" borderId="0" xfId="1" applyNumberFormat="1" applyFont="1"/>
    <xf numFmtId="49" fontId="8" fillId="0" borderId="3" xfId="0" applyNumberFormat="1" applyFont="1" applyBorder="1"/>
    <xf numFmtId="49" fontId="8" fillId="0" borderId="5" xfId="0" applyNumberFormat="1" applyFont="1" applyBorder="1"/>
    <xf numFmtId="49" fontId="8" fillId="0" borderId="8" xfId="0" applyNumberFormat="1" applyFont="1" applyBorder="1"/>
    <xf numFmtId="49" fontId="10" fillId="0" borderId="0" xfId="2" applyNumberFormat="1" applyFont="1" applyAlignment="1"/>
    <xf numFmtId="49" fontId="8" fillId="0" borderId="0" xfId="3" applyNumberFormat="1" applyFont="1" applyAlignment="1"/>
    <xf numFmtId="49" fontId="8" fillId="0" borderId="0" xfId="2" applyNumberFormat="1" applyFont="1" applyAlignment="1"/>
    <xf numFmtId="49" fontId="8" fillId="0" borderId="0" xfId="3" applyNumberFormat="1" applyFont="1">
      <alignment vertical="center"/>
    </xf>
    <xf numFmtId="49" fontId="8" fillId="0" borderId="0" xfId="2" applyNumberFormat="1" applyFont="1">
      <alignment vertical="center"/>
    </xf>
    <xf numFmtId="49" fontId="6" fillId="0" borderId="0" xfId="1" applyNumberFormat="1" applyFont="1"/>
    <xf numFmtId="49" fontId="8" fillId="0" borderId="0" xfId="6" applyNumberFormat="1" applyFont="1">
      <alignment vertical="center"/>
    </xf>
    <xf numFmtId="0" fontId="12" fillId="0" borderId="0" xfId="0" applyFont="1" applyAlignment="1">
      <alignment vertical="center"/>
    </xf>
    <xf numFmtId="0" fontId="8" fillId="0" borderId="0" xfId="0" applyFont="1" applyAlignment="1">
      <alignment vertical="center"/>
    </xf>
    <xf numFmtId="49" fontId="8" fillId="0" borderId="0" xfId="1" quotePrefix="1" applyNumberFormat="1" applyFont="1"/>
    <xf numFmtId="49" fontId="8" fillId="0" borderId="6" xfId="1" applyNumberFormat="1" applyFont="1" applyBorder="1"/>
    <xf numFmtId="49" fontId="8" fillId="0" borderId="7" xfId="1" applyNumberFormat="1" applyFont="1" applyBorder="1"/>
    <xf numFmtId="49" fontId="8" fillId="0" borderId="8" xfId="1" applyNumberFormat="1" applyFont="1" applyBorder="1"/>
    <xf numFmtId="49" fontId="8" fillId="0" borderId="0" xfId="5" applyNumberFormat="1" applyFont="1">
      <alignment vertical="center"/>
    </xf>
    <xf numFmtId="49" fontId="20" fillId="2" borderId="34" xfId="2" applyNumberFormat="1" applyFont="1" applyFill="1" applyBorder="1">
      <alignment vertical="center"/>
    </xf>
    <xf numFmtId="49" fontId="20" fillId="2" borderId="35" xfId="2" applyNumberFormat="1" applyFont="1" applyFill="1" applyBorder="1">
      <alignment vertical="center"/>
    </xf>
    <xf numFmtId="49" fontId="20" fillId="2" borderId="43" xfId="2" applyNumberFormat="1" applyFont="1" applyFill="1" applyBorder="1">
      <alignment vertical="center"/>
    </xf>
    <xf numFmtId="49" fontId="20" fillId="2" borderId="37" xfId="2" applyNumberFormat="1" applyFont="1" applyFill="1" applyBorder="1">
      <alignment vertical="center"/>
    </xf>
    <xf numFmtId="49" fontId="20" fillId="2" borderId="38" xfId="2" applyNumberFormat="1" applyFont="1" applyFill="1" applyBorder="1">
      <alignment vertical="center"/>
    </xf>
    <xf numFmtId="49" fontId="8" fillId="2" borderId="41" xfId="3" applyNumberFormat="1" applyFont="1" applyFill="1" applyBorder="1">
      <alignment vertical="center"/>
    </xf>
    <xf numFmtId="49" fontId="8" fillId="2" borderId="42" xfId="1" applyNumberFormat="1" applyFont="1" applyFill="1" applyBorder="1" applyAlignment="1">
      <alignment vertical="center"/>
    </xf>
    <xf numFmtId="49" fontId="8" fillId="2" borderId="44" xfId="1" applyNumberFormat="1" applyFont="1" applyFill="1" applyBorder="1" applyAlignment="1">
      <alignment vertical="center"/>
    </xf>
    <xf numFmtId="49" fontId="8" fillId="2" borderId="46" xfId="5" applyNumberFormat="1" applyFont="1" applyFill="1" applyBorder="1">
      <alignment vertical="center"/>
    </xf>
    <xf numFmtId="49" fontId="8" fillId="2" borderId="46" xfId="3" applyNumberFormat="1" applyFont="1" applyFill="1" applyBorder="1">
      <alignment vertical="center"/>
    </xf>
    <xf numFmtId="49" fontId="8" fillId="2" borderId="47" xfId="1" applyNumberFormat="1" applyFont="1" applyFill="1" applyBorder="1" applyAlignment="1">
      <alignment vertical="center"/>
    </xf>
    <xf numFmtId="49" fontId="21" fillId="2" borderId="40" xfId="2" applyNumberFormat="1" applyFont="1" applyFill="1" applyBorder="1" applyAlignment="1">
      <alignment horizontal="center" vertical="center" wrapText="1"/>
    </xf>
    <xf numFmtId="49" fontId="21" fillId="2" borderId="41" xfId="2" applyNumberFormat="1" applyFont="1" applyFill="1" applyBorder="1" applyAlignment="1">
      <alignment horizontal="center" vertical="center" wrapText="1"/>
    </xf>
    <xf numFmtId="49" fontId="21" fillId="2" borderId="43" xfId="2" applyNumberFormat="1" applyFont="1" applyFill="1" applyBorder="1" applyAlignment="1">
      <alignment horizontal="center" vertical="center" wrapText="1"/>
    </xf>
    <xf numFmtId="49" fontId="21" fillId="2" borderId="45" xfId="2" applyNumberFormat="1" applyFont="1" applyFill="1" applyBorder="1" applyAlignment="1">
      <alignment horizontal="center" vertical="center" wrapText="1"/>
    </xf>
    <xf numFmtId="49" fontId="21" fillId="2" borderId="46" xfId="2" applyNumberFormat="1" applyFont="1" applyFill="1" applyBorder="1" applyAlignment="1">
      <alignment horizontal="center" vertical="center" wrapText="1"/>
    </xf>
    <xf numFmtId="49" fontId="8" fillId="3" borderId="22" xfId="0" applyNumberFormat="1" applyFont="1" applyFill="1" applyBorder="1" applyAlignment="1">
      <alignment horizontal="left" vertical="center" wrapText="1"/>
    </xf>
    <xf numFmtId="49" fontId="8" fillId="3" borderId="18" xfId="0" applyNumberFormat="1" applyFont="1" applyFill="1" applyBorder="1" applyAlignment="1">
      <alignment horizontal="left" vertical="center" wrapText="1"/>
    </xf>
    <xf numFmtId="49" fontId="8" fillId="3" borderId="17" xfId="0" applyNumberFormat="1" applyFont="1" applyFill="1" applyBorder="1" applyAlignment="1">
      <alignment horizontal="center" vertical="center"/>
    </xf>
    <xf numFmtId="49" fontId="8" fillId="3" borderId="22" xfId="0" applyNumberFormat="1" applyFont="1" applyFill="1" applyBorder="1" applyAlignment="1">
      <alignment horizontal="center" vertical="center"/>
    </xf>
    <xf numFmtId="49" fontId="8" fillId="3" borderId="18" xfId="0" applyNumberFormat="1" applyFont="1" applyFill="1" applyBorder="1" applyAlignment="1">
      <alignment horizontal="center" vertical="center"/>
    </xf>
    <xf numFmtId="49" fontId="8" fillId="3" borderId="17" xfId="0" applyNumberFormat="1" applyFont="1" applyFill="1" applyBorder="1" applyAlignment="1">
      <alignment horizontal="left" vertical="center" wrapText="1"/>
    </xf>
    <xf numFmtId="49" fontId="8" fillId="3" borderId="22" xfId="0" applyNumberFormat="1" applyFont="1" applyFill="1" applyBorder="1" applyAlignment="1">
      <alignment horizontal="left" vertical="center"/>
    </xf>
    <xf numFmtId="49" fontId="8" fillId="3" borderId="18" xfId="0" applyNumberFormat="1" applyFont="1" applyFill="1" applyBorder="1" applyAlignment="1">
      <alignment horizontal="left" vertical="center"/>
    </xf>
    <xf numFmtId="49" fontId="8" fillId="3" borderId="17" xfId="0" applyNumberFormat="1" applyFont="1" applyFill="1" applyBorder="1" applyAlignment="1">
      <alignment horizontal="left" vertical="center"/>
    </xf>
    <xf numFmtId="49" fontId="9" fillId="0" borderId="0" xfId="2" applyNumberFormat="1" applyFont="1" applyAlignment="1"/>
    <xf numFmtId="49" fontId="27" fillId="3" borderId="9" xfId="3" applyNumberFormat="1" applyFont="1" applyFill="1" applyBorder="1">
      <alignment vertical="center"/>
    </xf>
    <xf numFmtId="49" fontId="10" fillId="3" borderId="10" xfId="5" applyNumberFormat="1" applyFont="1" applyFill="1" applyBorder="1">
      <alignment vertical="center"/>
    </xf>
    <xf numFmtId="49" fontId="10" fillId="3" borderId="11" xfId="5" applyNumberFormat="1" applyFont="1" applyFill="1" applyBorder="1">
      <alignment vertical="center"/>
    </xf>
    <xf numFmtId="49" fontId="28" fillId="3" borderId="10" xfId="2" applyNumberFormat="1" applyFont="1" applyFill="1" applyBorder="1" applyAlignment="1">
      <alignment horizontal="center" vertical="center" wrapText="1"/>
    </xf>
    <xf numFmtId="49" fontId="27" fillId="3" borderId="10" xfId="5" applyNumberFormat="1" applyFont="1" applyFill="1" applyBorder="1" applyAlignment="1">
      <alignment horizontal="centerContinuous" vertical="center"/>
    </xf>
    <xf numFmtId="49" fontId="27" fillId="3" borderId="10" xfId="5" quotePrefix="1" applyNumberFormat="1" applyFont="1" applyFill="1" applyBorder="1">
      <alignment vertical="center"/>
    </xf>
    <xf numFmtId="49" fontId="24" fillId="2" borderId="41" xfId="2" applyNumberFormat="1" applyFont="1" applyFill="1" applyBorder="1" applyAlignment="1">
      <alignment horizontal="left" vertical="center"/>
    </xf>
    <xf numFmtId="49" fontId="6" fillId="0" borderId="1" xfId="2" applyNumberFormat="1" applyFont="1" applyBorder="1" applyAlignment="1">
      <alignment horizontal="center" vertical="center"/>
    </xf>
    <xf numFmtId="49" fontId="8" fillId="0" borderId="1" xfId="3" applyNumberFormat="1" applyFont="1" applyBorder="1" applyAlignment="1"/>
    <xf numFmtId="49" fontId="8" fillId="0" borderId="1" xfId="5" applyNumberFormat="1" applyFont="1" applyBorder="1">
      <alignment vertical="center"/>
    </xf>
    <xf numFmtId="49" fontId="34" fillId="3" borderId="10" xfId="3" applyNumberFormat="1" applyFont="1" applyFill="1" applyBorder="1">
      <alignment vertical="center"/>
    </xf>
    <xf numFmtId="49" fontId="8" fillId="0" borderId="0" xfId="1" applyNumberFormat="1" applyFont="1" applyAlignment="1">
      <alignment horizontal="left" vertical="center"/>
    </xf>
    <xf numFmtId="49" fontId="12" fillId="0" borderId="0" xfId="1" applyNumberFormat="1" applyFont="1"/>
    <xf numFmtId="49" fontId="10" fillId="0" borderId="5" xfId="1" applyNumberFormat="1" applyFont="1" applyBorder="1"/>
    <xf numFmtId="49" fontId="10" fillId="0" borderId="1" xfId="1" applyNumberFormat="1" applyFont="1" applyBorder="1"/>
    <xf numFmtId="49" fontId="10" fillId="0" borderId="4" xfId="1" applyNumberFormat="1" applyFont="1" applyBorder="1"/>
    <xf numFmtId="49" fontId="8" fillId="0" borderId="3" xfId="1" applyNumberFormat="1" applyFont="1" applyBorder="1" applyAlignment="1">
      <alignment vertical="center"/>
    </xf>
    <xf numFmtId="49" fontId="8" fillId="0" borderId="5" xfId="1" applyNumberFormat="1" applyFont="1" applyBorder="1" applyAlignment="1">
      <alignment vertical="center"/>
    </xf>
    <xf numFmtId="49" fontId="8" fillId="0" borderId="1" xfId="1" applyNumberFormat="1" applyFont="1" applyBorder="1" applyAlignment="1">
      <alignment vertical="center"/>
    </xf>
    <xf numFmtId="49" fontId="8" fillId="0" borderId="4" xfId="1" applyNumberFormat="1" applyFont="1" applyBorder="1" applyAlignment="1">
      <alignment vertical="center"/>
    </xf>
    <xf numFmtId="49" fontId="27" fillId="3" borderId="10" xfId="1" applyNumberFormat="1" applyFont="1" applyFill="1" applyBorder="1" applyAlignment="1">
      <alignment horizontal="left" vertical="center"/>
    </xf>
    <xf numFmtId="49" fontId="6" fillId="0" borderId="3" xfId="1" applyNumberFormat="1" applyFont="1" applyBorder="1"/>
    <xf numFmtId="49" fontId="6" fillId="0" borderId="2" xfId="1" applyNumberFormat="1" applyFont="1" applyBorder="1"/>
    <xf numFmtId="49" fontId="6" fillId="0" borderId="8" xfId="1" applyNumberFormat="1" applyFont="1" applyBorder="1"/>
    <xf numFmtId="49" fontId="6" fillId="0" borderId="7" xfId="1" applyNumberFormat="1" applyFont="1" applyBorder="1"/>
    <xf numFmtId="49" fontId="6" fillId="0" borderId="6" xfId="1" applyNumberFormat="1" applyFont="1" applyBorder="1"/>
    <xf numFmtId="49" fontId="8" fillId="0" borderId="11" xfId="1" applyNumberFormat="1" applyFont="1" applyBorder="1" applyAlignment="1">
      <alignment vertical="center"/>
    </xf>
    <xf numFmtId="49" fontId="8" fillId="0" borderId="9" xfId="1" applyNumberFormat="1" applyFont="1" applyBorder="1" applyAlignment="1">
      <alignment vertical="center"/>
    </xf>
    <xf numFmtId="49" fontId="8" fillId="0" borderId="10" xfId="1" applyNumberFormat="1" applyFont="1" applyBorder="1" applyAlignment="1">
      <alignment vertical="center"/>
    </xf>
    <xf numFmtId="49" fontId="27" fillId="3" borderId="3" xfId="1" applyNumberFormat="1" applyFont="1" applyFill="1" applyBorder="1" applyAlignment="1">
      <alignment vertical="center"/>
    </xf>
    <xf numFmtId="49" fontId="27" fillId="3" borderId="2" xfId="1" applyNumberFormat="1" applyFont="1" applyFill="1" applyBorder="1" applyAlignment="1">
      <alignment horizontal="center" vertical="center"/>
    </xf>
    <xf numFmtId="49" fontId="27" fillId="3" borderId="2" xfId="1" applyNumberFormat="1" applyFont="1" applyFill="1" applyBorder="1" applyAlignment="1">
      <alignment vertical="center"/>
    </xf>
    <xf numFmtId="49" fontId="23" fillId="3" borderId="10" xfId="1" applyNumberFormat="1" applyFont="1" applyFill="1" applyBorder="1" applyAlignment="1">
      <alignment vertical="center"/>
    </xf>
    <xf numFmtId="49" fontId="27" fillId="3" borderId="0" xfId="5" applyNumberFormat="1" applyFont="1" applyFill="1">
      <alignment vertical="center"/>
    </xf>
    <xf numFmtId="49" fontId="8" fillId="7" borderId="41" xfId="3" applyNumberFormat="1" applyFont="1" applyFill="1" applyBorder="1">
      <alignment vertical="center"/>
    </xf>
    <xf numFmtId="49" fontId="27" fillId="3" borderId="9" xfId="1" applyNumberFormat="1" applyFont="1" applyFill="1" applyBorder="1" applyAlignment="1">
      <alignment horizontal="center" vertical="center"/>
    </xf>
    <xf numFmtId="49" fontId="27" fillId="3" borderId="10" xfId="1" applyNumberFormat="1" applyFont="1" applyFill="1" applyBorder="1" applyAlignment="1">
      <alignment horizontal="center" vertical="center"/>
    </xf>
    <xf numFmtId="49" fontId="27" fillId="3" borderId="11" xfId="1" applyNumberFormat="1" applyFont="1" applyFill="1" applyBorder="1" applyAlignment="1">
      <alignment horizontal="center" vertical="center"/>
    </xf>
    <xf numFmtId="49" fontId="23" fillId="3" borderId="9" xfId="1" applyNumberFormat="1" applyFont="1" applyFill="1" applyBorder="1" applyAlignment="1">
      <alignment vertical="center"/>
    </xf>
    <xf numFmtId="49" fontId="23" fillId="3" borderId="11" xfId="1" applyNumberFormat="1" applyFont="1" applyFill="1" applyBorder="1" applyAlignment="1">
      <alignment vertical="center"/>
    </xf>
    <xf numFmtId="49" fontId="23" fillId="3" borderId="10" xfId="1" quotePrefix="1" applyNumberFormat="1" applyFont="1" applyFill="1" applyBorder="1" applyAlignment="1">
      <alignment vertical="center"/>
    </xf>
    <xf numFmtId="49" fontId="27" fillId="2" borderId="3" xfId="5" applyNumberFormat="1" applyFont="1" applyFill="1" applyBorder="1">
      <alignment vertical="center"/>
    </xf>
    <xf numFmtId="49" fontId="23" fillId="3" borderId="10" xfId="2" applyNumberFormat="1" applyFont="1" applyFill="1" applyBorder="1">
      <alignment vertical="center"/>
    </xf>
    <xf numFmtId="49" fontId="10" fillId="0" borderId="0" xfId="5" applyNumberFormat="1" applyFont="1">
      <alignment vertical="center"/>
    </xf>
    <xf numFmtId="49" fontId="8" fillId="0" borderId="53" xfId="1" applyNumberFormat="1" applyFont="1" applyBorder="1" applyAlignment="1">
      <alignment vertical="center"/>
    </xf>
    <xf numFmtId="49" fontId="27" fillId="2" borderId="0" xfId="5" applyNumberFormat="1" applyFont="1" applyFill="1">
      <alignment vertical="center"/>
    </xf>
    <xf numFmtId="49" fontId="36" fillId="3" borderId="10" xfId="1" applyNumberFormat="1" applyFont="1" applyFill="1" applyBorder="1" applyAlignment="1">
      <alignment vertical="center"/>
    </xf>
    <xf numFmtId="49" fontId="27" fillId="6" borderId="9" xfId="5" applyNumberFormat="1" applyFont="1" applyFill="1" applyBorder="1">
      <alignment vertical="center"/>
    </xf>
    <xf numFmtId="49" fontId="27" fillId="6" borderId="10" xfId="5" applyNumberFormat="1" applyFont="1" applyFill="1" applyBorder="1">
      <alignment vertical="center"/>
    </xf>
    <xf numFmtId="49" fontId="27" fillId="6" borderId="10" xfId="5" quotePrefix="1" applyNumberFormat="1" applyFont="1" applyFill="1" applyBorder="1">
      <alignment vertical="center"/>
    </xf>
    <xf numFmtId="49" fontId="10" fillId="6" borderId="10" xfId="5" applyNumberFormat="1" applyFont="1" applyFill="1" applyBorder="1">
      <alignment vertical="center"/>
    </xf>
    <xf numFmtId="49" fontId="10" fillId="6" borderId="11" xfId="5" applyNumberFormat="1" applyFont="1" applyFill="1" applyBorder="1">
      <alignment vertical="center"/>
    </xf>
    <xf numFmtId="49" fontId="10" fillId="2" borderId="0" xfId="5" applyNumberFormat="1" applyFont="1" applyFill="1">
      <alignment vertical="center"/>
    </xf>
    <xf numFmtId="49" fontId="8" fillId="2" borderId="0" xfId="3" applyNumberFormat="1" applyFont="1" applyFill="1">
      <alignment vertical="center"/>
    </xf>
    <xf numFmtId="49" fontId="10" fillId="2" borderId="44" xfId="5" applyNumberFormat="1" applyFont="1" applyFill="1" applyBorder="1">
      <alignment vertical="center"/>
    </xf>
    <xf numFmtId="49" fontId="10" fillId="0" borderId="53" xfId="5" applyNumberFormat="1" applyFont="1" applyBorder="1">
      <alignment vertical="center"/>
    </xf>
    <xf numFmtId="49" fontId="27" fillId="2" borderId="0" xfId="5" quotePrefix="1" applyNumberFormat="1" applyFont="1" applyFill="1">
      <alignment vertical="center"/>
    </xf>
    <xf numFmtId="49" fontId="27" fillId="0" borderId="53" xfId="5" applyNumberFormat="1" applyFont="1" applyBorder="1">
      <alignment vertical="center"/>
    </xf>
    <xf numFmtId="49" fontId="27" fillId="0" borderId="0" xfId="5" applyNumberFormat="1" applyFont="1">
      <alignment vertical="center"/>
    </xf>
    <xf numFmtId="49" fontId="8" fillId="0" borderId="2" xfId="0" applyNumberFormat="1" applyFont="1" applyBorder="1" applyAlignment="1">
      <alignment vertical="center"/>
    </xf>
    <xf numFmtId="49" fontId="8" fillId="0" borderId="3" xfId="0" applyNumberFormat="1" applyFont="1" applyBorder="1" applyAlignment="1">
      <alignment vertical="center"/>
    </xf>
    <xf numFmtId="0" fontId="37" fillId="0" borderId="0" xfId="0" applyFont="1"/>
    <xf numFmtId="49" fontId="27" fillId="2" borderId="7" xfId="5" applyNumberFormat="1" applyFont="1" applyFill="1" applyBorder="1">
      <alignment vertical="center"/>
    </xf>
    <xf numFmtId="49" fontId="27" fillId="3" borderId="10" xfId="3" applyNumberFormat="1" applyFont="1" applyFill="1" applyBorder="1">
      <alignment vertical="center"/>
    </xf>
    <xf numFmtId="49" fontId="8" fillId="3" borderId="10" xfId="1" applyNumberFormat="1" applyFont="1" applyFill="1" applyBorder="1" applyAlignment="1">
      <alignment vertical="center"/>
    </xf>
    <xf numFmtId="49" fontId="27" fillId="3" borderId="7" xfId="3" applyNumberFormat="1" applyFont="1" applyFill="1" applyBorder="1">
      <alignment vertical="center"/>
    </xf>
    <xf numFmtId="49" fontId="27" fillId="3" borderId="11" xfId="3" applyNumberFormat="1" applyFont="1" applyFill="1" applyBorder="1">
      <alignment vertical="center"/>
    </xf>
    <xf numFmtId="49" fontId="8" fillId="3" borderId="9" xfId="1" applyNumberFormat="1" applyFont="1" applyFill="1" applyBorder="1" applyAlignment="1">
      <alignment vertical="center"/>
    </xf>
    <xf numFmtId="49" fontId="34" fillId="3" borderId="9" xfId="3" applyNumberFormat="1" applyFont="1" applyFill="1" applyBorder="1">
      <alignment vertical="center"/>
    </xf>
    <xf numFmtId="49" fontId="27" fillId="3" borderId="0" xfId="1" applyNumberFormat="1" applyFont="1" applyFill="1" applyAlignment="1">
      <alignment vertical="center"/>
    </xf>
    <xf numFmtId="49" fontId="27" fillId="3" borderId="0" xfId="1" applyNumberFormat="1" applyFont="1" applyFill="1" applyAlignment="1">
      <alignment horizontal="center" vertical="center"/>
    </xf>
    <xf numFmtId="49" fontId="27" fillId="3" borderId="3" xfId="1" applyNumberFormat="1" applyFont="1" applyFill="1" applyBorder="1" applyAlignment="1">
      <alignment horizontal="left" vertical="center"/>
    </xf>
    <xf numFmtId="49" fontId="27" fillId="3" borderId="11" xfId="1" applyNumberFormat="1" applyFont="1" applyFill="1" applyBorder="1" applyAlignment="1">
      <alignment horizontal="left" vertical="center"/>
    </xf>
    <xf numFmtId="49" fontId="27" fillId="3" borderId="0" xfId="1" quotePrefix="1" applyNumberFormat="1" applyFont="1" applyFill="1" applyAlignment="1">
      <alignment vertical="center"/>
    </xf>
    <xf numFmtId="49" fontId="8" fillId="2" borderId="0" xfId="5" applyNumberFormat="1" applyFont="1" applyFill="1">
      <alignment vertical="center"/>
    </xf>
    <xf numFmtId="49" fontId="8" fillId="0" borderId="53" xfId="0" applyNumberFormat="1" applyFont="1" applyBorder="1" applyAlignment="1">
      <alignment vertical="center"/>
    </xf>
    <xf numFmtId="49" fontId="28" fillId="3" borderId="10" xfId="2" applyNumberFormat="1" applyFont="1" applyFill="1" applyBorder="1" applyAlignment="1">
      <alignment horizontal="right" vertical="center" wrapText="1"/>
    </xf>
    <xf numFmtId="0" fontId="31" fillId="3" borderId="10" xfId="2" applyFont="1" applyFill="1" applyBorder="1" applyAlignment="1">
      <alignment horizontal="right" vertical="center" wrapText="1"/>
    </xf>
    <xf numFmtId="49" fontId="31" fillId="3" borderId="10" xfId="2" applyNumberFormat="1" applyFont="1" applyFill="1" applyBorder="1" applyAlignment="1">
      <alignment vertical="center" wrapText="1"/>
    </xf>
    <xf numFmtId="49" fontId="28" fillId="2" borderId="7" xfId="2" applyNumberFormat="1" applyFont="1" applyFill="1" applyBorder="1" applyAlignment="1">
      <alignment vertical="center" wrapText="1"/>
    </xf>
    <xf numFmtId="49" fontId="27" fillId="0" borderId="0" xfId="5" applyNumberFormat="1" applyFont="1" applyAlignment="1">
      <alignment vertical="center" wrapText="1"/>
    </xf>
    <xf numFmtId="49" fontId="31" fillId="0" borderId="0" xfId="2" applyNumberFormat="1" applyFont="1" applyAlignment="1">
      <alignment vertical="center" wrapText="1"/>
    </xf>
    <xf numFmtId="49" fontId="28" fillId="0" borderId="0" xfId="2" applyNumberFormat="1" applyFont="1" applyAlignment="1">
      <alignment horizontal="center" vertical="center" wrapText="1"/>
    </xf>
    <xf numFmtId="49" fontId="31" fillId="0" borderId="0" xfId="2" applyNumberFormat="1" applyFont="1" applyAlignment="1">
      <alignment horizontal="left" vertical="center"/>
    </xf>
    <xf numFmtId="49" fontId="27" fillId="0" borderId="0" xfId="5" quotePrefix="1" applyNumberFormat="1" applyFont="1">
      <alignment vertical="center"/>
    </xf>
    <xf numFmtId="0" fontId="31" fillId="0" borderId="0" xfId="2" applyFont="1" applyAlignment="1">
      <alignment horizontal="right" vertical="center" wrapText="1"/>
    </xf>
    <xf numFmtId="0" fontId="27" fillId="0" borderId="0" xfId="5" applyFont="1">
      <alignment vertical="center"/>
    </xf>
    <xf numFmtId="49" fontId="8" fillId="2" borderId="0" xfId="1" applyNumberFormat="1" applyFont="1" applyFill="1" applyAlignment="1">
      <alignment vertical="center"/>
    </xf>
    <xf numFmtId="49" fontId="8" fillId="0" borderId="2" xfId="0" applyNumberFormat="1" applyFont="1" applyBorder="1" applyAlignment="1">
      <alignment horizontal="center" vertical="center"/>
    </xf>
    <xf numFmtId="49" fontId="8" fillId="0" borderId="17" xfId="0" applyNumberFormat="1" applyFont="1" applyBorder="1" applyAlignment="1">
      <alignment horizontal="centerContinuous" vertical="center"/>
    </xf>
    <xf numFmtId="49" fontId="8" fillId="0" borderId="22" xfId="0" applyNumberFormat="1" applyFont="1" applyBorder="1" applyAlignment="1">
      <alignment horizontal="centerContinuous" vertical="center"/>
    </xf>
    <xf numFmtId="49" fontId="8" fillId="0" borderId="18" xfId="0" applyNumberFormat="1" applyFont="1" applyBorder="1" applyAlignment="1">
      <alignment horizontal="centerContinuous" vertical="center"/>
    </xf>
    <xf numFmtId="49" fontId="8" fillId="0" borderId="25" xfId="0" applyNumberFormat="1" applyFont="1" applyBorder="1" applyAlignment="1">
      <alignment horizontal="centerContinuous" vertical="center"/>
    </xf>
    <xf numFmtId="49" fontId="8" fillId="0" borderId="56" xfId="0" applyNumberFormat="1" applyFont="1" applyBorder="1" applyAlignment="1">
      <alignment horizontal="centerContinuous" vertical="center"/>
    </xf>
    <xf numFmtId="49" fontId="8" fillId="0" borderId="0" xfId="0" applyNumberFormat="1" applyFont="1" applyAlignment="1">
      <alignment horizontal="center" vertical="center"/>
    </xf>
    <xf numFmtId="49" fontId="8" fillId="0" borderId="8" xfId="1" applyNumberFormat="1" applyFont="1" applyBorder="1" applyAlignment="1">
      <alignment vertical="center"/>
    </xf>
    <xf numFmtId="49" fontId="8" fillId="3" borderId="7" xfId="1" applyNumberFormat="1" applyFont="1" applyFill="1" applyBorder="1" applyAlignment="1">
      <alignment vertical="center"/>
    </xf>
    <xf numFmtId="49" fontId="8" fillId="3" borderId="11" xfId="1" applyNumberFormat="1" applyFont="1" applyFill="1" applyBorder="1" applyAlignment="1">
      <alignment vertical="center"/>
    </xf>
    <xf numFmtId="49" fontId="8" fillId="3" borderId="0" xfId="1" applyNumberFormat="1" applyFont="1" applyFill="1" applyAlignment="1">
      <alignment vertical="center"/>
    </xf>
    <xf numFmtId="49" fontId="28" fillId="3" borderId="11" xfId="2" applyNumberFormat="1" applyFont="1" applyFill="1" applyBorder="1" applyAlignment="1">
      <alignment horizontal="right" vertical="center" wrapText="1"/>
    </xf>
    <xf numFmtId="49" fontId="8" fillId="0" borderId="9" xfId="0" applyNumberFormat="1" applyFont="1" applyBorder="1" applyAlignment="1">
      <alignment vertical="center"/>
    </xf>
    <xf numFmtId="49" fontId="27" fillId="3" borderId="9" xfId="0" applyNumberFormat="1" applyFont="1" applyFill="1" applyBorder="1" applyAlignment="1">
      <alignment vertical="center"/>
    </xf>
    <xf numFmtId="49" fontId="27" fillId="3" borderId="11" xfId="5" quotePrefix="1" applyNumberFormat="1" applyFont="1" applyFill="1" applyBorder="1" applyAlignment="1">
      <alignment horizontal="right" vertical="center"/>
    </xf>
    <xf numFmtId="49" fontId="31" fillId="3" borderId="10" xfId="2" applyNumberFormat="1" applyFont="1" applyFill="1" applyBorder="1" applyAlignment="1">
      <alignment horizontal="right" vertical="center" wrapText="1"/>
    </xf>
    <xf numFmtId="49" fontId="28" fillId="3" borderId="9" xfId="2" applyNumberFormat="1" applyFont="1" applyFill="1" applyBorder="1" applyAlignment="1">
      <alignment horizontal="right" vertical="center" wrapText="1"/>
    </xf>
    <xf numFmtId="49" fontId="27" fillId="3" borderId="9" xfId="2" applyNumberFormat="1" applyFont="1" applyFill="1" applyBorder="1">
      <alignment vertical="center"/>
    </xf>
    <xf numFmtId="49" fontId="27" fillId="3" borderId="4" xfId="5" applyNumberFormat="1" applyFont="1" applyFill="1" applyBorder="1">
      <alignment vertical="center"/>
    </xf>
    <xf numFmtId="49" fontId="27" fillId="2" borderId="10" xfId="5" applyNumberFormat="1" applyFont="1" applyFill="1" applyBorder="1">
      <alignment vertical="center"/>
    </xf>
    <xf numFmtId="49" fontId="27" fillId="3" borderId="9" xfId="0" applyNumberFormat="1" applyFont="1" applyFill="1" applyBorder="1" applyAlignment="1">
      <alignment horizontal="left" vertical="center"/>
    </xf>
    <xf numFmtId="49" fontId="27" fillId="3" borderId="10" xfId="0" applyNumberFormat="1" applyFont="1" applyFill="1" applyBorder="1" applyAlignment="1">
      <alignment horizontal="left" vertical="center"/>
    </xf>
    <xf numFmtId="49" fontId="27" fillId="3" borderId="11" xfId="0" applyNumberFormat="1" applyFont="1" applyFill="1" applyBorder="1" applyAlignment="1">
      <alignment vertical="center"/>
    </xf>
    <xf numFmtId="49" fontId="27" fillId="3" borderId="10" xfId="0" applyNumberFormat="1" applyFont="1" applyFill="1" applyBorder="1" applyAlignment="1">
      <alignment vertical="center"/>
    </xf>
    <xf numFmtId="49" fontId="27" fillId="3" borderId="4" xfId="3" applyNumberFormat="1" applyFont="1" applyFill="1" applyBorder="1">
      <alignment vertical="center"/>
    </xf>
    <xf numFmtId="49" fontId="27" fillId="3" borderId="1" xfId="3" applyNumberFormat="1" applyFont="1" applyFill="1" applyBorder="1">
      <alignment vertical="center"/>
    </xf>
    <xf numFmtId="49" fontId="34" fillId="3" borderId="1" xfId="3" applyNumberFormat="1" applyFont="1" applyFill="1" applyBorder="1">
      <alignment vertical="center"/>
    </xf>
    <xf numFmtId="49" fontId="27" fillId="3" borderId="5" xfId="3" applyNumberFormat="1" applyFont="1" applyFill="1" applyBorder="1">
      <alignment vertical="center"/>
    </xf>
    <xf numFmtId="49" fontId="27" fillId="3" borderId="1" xfId="0" applyNumberFormat="1" applyFont="1" applyFill="1" applyBorder="1" applyAlignment="1">
      <alignment vertical="center"/>
    </xf>
    <xf numFmtId="49" fontId="27" fillId="3" borderId="1" xfId="0" applyNumberFormat="1" applyFont="1" applyFill="1" applyBorder="1" applyAlignment="1">
      <alignment horizontal="center" vertical="center"/>
    </xf>
    <xf numFmtId="49" fontId="27" fillId="3" borderId="3" xfId="3" applyNumberFormat="1" applyFont="1" applyFill="1" applyBorder="1" applyAlignment="1">
      <alignment horizontal="center" vertical="center"/>
    </xf>
    <xf numFmtId="49" fontId="27" fillId="3" borderId="4" xfId="5" quotePrefix="1" applyNumberFormat="1" applyFont="1" applyFill="1" applyBorder="1" applyAlignment="1">
      <alignment horizontal="left" vertical="center"/>
    </xf>
    <xf numFmtId="49" fontId="27" fillId="3" borderId="1" xfId="5" quotePrefix="1" applyNumberFormat="1" applyFont="1" applyFill="1" applyBorder="1" applyAlignment="1">
      <alignment horizontal="left" vertical="center"/>
    </xf>
    <xf numFmtId="49" fontId="27" fillId="3" borderId="5" xfId="5" quotePrefix="1" applyNumberFormat="1" applyFont="1" applyFill="1" applyBorder="1" applyAlignment="1">
      <alignment horizontal="left" vertical="center"/>
    </xf>
    <xf numFmtId="49" fontId="27" fillId="3" borderId="1" xfId="5" applyNumberFormat="1" applyFont="1" applyFill="1" applyBorder="1">
      <alignment vertical="center"/>
    </xf>
    <xf numFmtId="49" fontId="27" fillId="3" borderId="5" xfId="5" applyNumberFormat="1" applyFont="1" applyFill="1" applyBorder="1">
      <alignment vertical="center"/>
    </xf>
    <xf numFmtId="49" fontId="8" fillId="3" borderId="1" xfId="5" applyNumberFormat="1" applyFont="1" applyFill="1" applyBorder="1">
      <alignment vertical="center"/>
    </xf>
    <xf numFmtId="49" fontId="27" fillId="2" borderId="11" xfId="5" applyNumberFormat="1" applyFont="1" applyFill="1" applyBorder="1">
      <alignment vertical="center"/>
    </xf>
    <xf numFmtId="49" fontId="41" fillId="2" borderId="7" xfId="5" applyNumberFormat="1" applyFont="1" applyFill="1" applyBorder="1" applyAlignment="1">
      <alignment horizontal="left" vertical="center"/>
    </xf>
    <xf numFmtId="49" fontId="42" fillId="2" borderId="7" xfId="5" applyNumberFormat="1" applyFont="1" applyFill="1" applyBorder="1" applyAlignment="1">
      <alignment horizontal="center" vertical="center"/>
    </xf>
    <xf numFmtId="49" fontId="39" fillId="2" borderId="7" xfId="5" applyNumberFormat="1" applyFont="1" applyFill="1" applyBorder="1" applyAlignment="1">
      <alignment horizontal="center" vertical="center"/>
    </xf>
    <xf numFmtId="49" fontId="39" fillId="2" borderId="7" xfId="3" applyNumberFormat="1" applyFont="1" applyFill="1" applyBorder="1" applyAlignment="1">
      <alignment horizontal="center" vertical="center" wrapText="1"/>
    </xf>
    <xf numFmtId="49" fontId="27" fillId="3" borderId="2" xfId="1" applyNumberFormat="1" applyFont="1" applyFill="1" applyBorder="1" applyAlignment="1">
      <alignment horizontal="left" vertical="center"/>
    </xf>
    <xf numFmtId="49" fontId="27" fillId="3" borderId="9" xfId="1" applyNumberFormat="1" applyFont="1" applyFill="1" applyBorder="1" applyAlignment="1">
      <alignment horizontal="left" vertical="center"/>
    </xf>
    <xf numFmtId="49" fontId="27" fillId="3" borderId="1" xfId="1" applyNumberFormat="1" applyFont="1" applyFill="1" applyBorder="1" applyAlignment="1">
      <alignment vertical="center"/>
    </xf>
    <xf numFmtId="49" fontId="27" fillId="3" borderId="1" xfId="1" applyNumberFormat="1" applyFont="1" applyFill="1" applyBorder="1" applyAlignment="1">
      <alignment horizontal="center" vertical="center"/>
    </xf>
    <xf numFmtId="49" fontId="27" fillId="3" borderId="5" xfId="1" applyNumberFormat="1" applyFont="1" applyFill="1" applyBorder="1" applyAlignment="1">
      <alignment vertical="center"/>
    </xf>
    <xf numFmtId="49" fontId="27" fillId="2" borderId="0" xfId="1" applyNumberFormat="1" applyFont="1" applyFill="1" applyAlignment="1">
      <alignment horizontal="left" vertical="center"/>
    </xf>
    <xf numFmtId="49" fontId="27" fillId="2" borderId="0" xfId="1" applyNumberFormat="1" applyFont="1" applyFill="1" applyAlignment="1">
      <alignment vertical="center"/>
    </xf>
    <xf numFmtId="49" fontId="27" fillId="2" borderId="0" xfId="1" applyNumberFormat="1" applyFont="1" applyFill="1" applyAlignment="1">
      <alignment horizontal="center" vertical="center"/>
    </xf>
    <xf numFmtId="49" fontId="27" fillId="2" borderId="0" xfId="3" applyNumberFormat="1" applyFont="1" applyFill="1">
      <alignment vertical="center"/>
    </xf>
    <xf numFmtId="49" fontId="33" fillId="2" borderId="0" xfId="6" applyNumberFormat="1" applyFont="1" applyFill="1">
      <alignment vertical="center"/>
    </xf>
    <xf numFmtId="49" fontId="33" fillId="2" borderId="0" xfId="1" applyNumberFormat="1" applyFont="1" applyFill="1" applyAlignment="1">
      <alignment vertical="center"/>
    </xf>
    <xf numFmtId="49" fontId="27" fillId="2" borderId="46" xfId="1" applyNumberFormat="1" applyFont="1" applyFill="1" applyBorder="1" applyAlignment="1">
      <alignment horizontal="left" vertical="center"/>
    </xf>
    <xf numFmtId="49" fontId="27" fillId="2" borderId="46" xfId="1" applyNumberFormat="1" applyFont="1" applyFill="1" applyBorder="1" applyAlignment="1">
      <alignment vertical="center"/>
    </xf>
    <xf numFmtId="49" fontId="27" fillId="2" borderId="46" xfId="1" applyNumberFormat="1" applyFont="1" applyFill="1" applyBorder="1" applyAlignment="1">
      <alignment horizontal="center" vertical="center"/>
    </xf>
    <xf numFmtId="49" fontId="27" fillId="2" borderId="46" xfId="3" applyNumberFormat="1" applyFont="1" applyFill="1" applyBorder="1">
      <alignment vertical="center"/>
    </xf>
    <xf numFmtId="49" fontId="27" fillId="3" borderId="10" xfId="3" applyNumberFormat="1" applyFont="1" applyFill="1" applyBorder="1" applyAlignment="1">
      <alignment horizontal="left" vertical="center"/>
    </xf>
    <xf numFmtId="49" fontId="27" fillId="3" borderId="10" xfId="1" quotePrefix="1" applyNumberFormat="1" applyFont="1" applyFill="1" applyBorder="1" applyAlignment="1">
      <alignment vertical="center"/>
    </xf>
    <xf numFmtId="49" fontId="8" fillId="0" borderId="17" xfId="1" applyNumberFormat="1" applyFont="1" applyBorder="1" applyAlignment="1">
      <alignment horizontal="centerContinuous" vertical="center"/>
    </xf>
    <xf numFmtId="49" fontId="8" fillId="0" borderId="22" xfId="1" applyNumberFormat="1" applyFont="1" applyBorder="1" applyAlignment="1">
      <alignment horizontal="centerContinuous" vertical="center"/>
    </xf>
    <xf numFmtId="49" fontId="8" fillId="0" borderId="18" xfId="1" applyNumberFormat="1" applyFont="1" applyBorder="1" applyAlignment="1">
      <alignment horizontal="centerContinuous" vertical="center"/>
    </xf>
    <xf numFmtId="49" fontId="6" fillId="0" borderId="17" xfId="0" applyNumberFormat="1" applyFont="1" applyBorder="1" applyAlignment="1">
      <alignment horizontal="centerContinuous" vertical="center" wrapText="1"/>
    </xf>
    <xf numFmtId="49" fontId="27" fillId="3" borderId="6" xfId="1" applyNumberFormat="1" applyFont="1" applyFill="1" applyBorder="1" applyAlignment="1">
      <alignment horizontal="left" vertical="center"/>
    </xf>
    <xf numFmtId="49" fontId="27" fillId="3" borderId="7" xfId="1" applyNumberFormat="1" applyFont="1" applyFill="1" applyBorder="1" applyAlignment="1">
      <alignment vertical="center"/>
    </xf>
    <xf numFmtId="49" fontId="10" fillId="0" borderId="46" xfId="1" applyNumberFormat="1" applyFont="1" applyBorder="1"/>
    <xf numFmtId="49" fontId="31" fillId="7" borderId="41" xfId="2" applyNumberFormat="1" applyFont="1" applyFill="1" applyBorder="1" applyAlignment="1">
      <alignment horizontal="left" vertical="center"/>
    </xf>
    <xf numFmtId="49" fontId="28" fillId="7" borderId="41" xfId="2" applyNumberFormat="1" applyFont="1" applyFill="1" applyBorder="1" applyAlignment="1">
      <alignment horizontal="center" vertical="center" wrapText="1"/>
    </xf>
    <xf numFmtId="49" fontId="28" fillId="2" borderId="41" xfId="2" applyNumberFormat="1" applyFont="1" applyFill="1" applyBorder="1" applyAlignment="1">
      <alignment horizontal="center" vertical="center" wrapText="1"/>
    </xf>
    <xf numFmtId="49" fontId="10" fillId="2" borderId="41" xfId="3" applyNumberFormat="1" applyFont="1" applyFill="1" applyBorder="1">
      <alignment vertical="center"/>
    </xf>
    <xf numFmtId="49" fontId="10" fillId="3" borderId="9" xfId="1" applyNumberFormat="1" applyFont="1" applyFill="1" applyBorder="1" applyAlignment="1">
      <alignment vertical="center"/>
    </xf>
    <xf numFmtId="49" fontId="10" fillId="3" borderId="10" xfId="1" applyNumberFormat="1" applyFont="1" applyFill="1" applyBorder="1" applyAlignment="1">
      <alignment vertical="center"/>
    </xf>
    <xf numFmtId="49" fontId="30" fillId="3" borderId="10" xfId="3" applyNumberFormat="1" applyFont="1" applyFill="1" applyBorder="1" applyAlignment="1">
      <alignment horizontal="center" vertical="center" wrapText="1"/>
    </xf>
    <xf numFmtId="49" fontId="27" fillId="3" borderId="11" xfId="0" applyNumberFormat="1" applyFont="1" applyFill="1" applyBorder="1" applyAlignment="1">
      <alignment horizontal="left" vertical="center"/>
    </xf>
    <xf numFmtId="49" fontId="10" fillId="3" borderId="10" xfId="0" applyNumberFormat="1" applyFont="1" applyFill="1" applyBorder="1" applyAlignment="1">
      <alignment vertical="center"/>
    </xf>
    <xf numFmtId="49" fontId="10" fillId="3" borderId="11" xfId="0" applyNumberFormat="1" applyFont="1" applyFill="1" applyBorder="1" applyAlignment="1">
      <alignment vertical="center"/>
    </xf>
    <xf numFmtId="49" fontId="27" fillId="3" borderId="10" xfId="0" quotePrefix="1" applyNumberFormat="1" applyFont="1" applyFill="1" applyBorder="1" applyAlignment="1">
      <alignment vertical="center"/>
    </xf>
    <xf numFmtId="49" fontId="43" fillId="3" borderId="10" xfId="3" applyNumberFormat="1" applyFont="1" applyFill="1" applyBorder="1">
      <alignment vertical="center"/>
    </xf>
    <xf numFmtId="49" fontId="43" fillId="3" borderId="11" xfId="3" applyNumberFormat="1" applyFont="1" applyFill="1" applyBorder="1">
      <alignment vertical="center"/>
    </xf>
    <xf numFmtId="49" fontId="30" fillId="3" borderId="11" xfId="3" applyNumberFormat="1" applyFont="1" applyFill="1" applyBorder="1" applyAlignment="1">
      <alignment horizontal="center" vertical="center" wrapText="1"/>
    </xf>
    <xf numFmtId="49" fontId="30" fillId="0" borderId="10" xfId="3" applyNumberFormat="1" applyFont="1" applyBorder="1" applyAlignment="1">
      <alignment horizontal="center" vertical="center" wrapText="1"/>
    </xf>
    <xf numFmtId="49" fontId="8" fillId="3" borderId="0" xfId="1" applyNumberFormat="1" applyFont="1" applyFill="1" applyAlignment="1">
      <alignment horizontal="right" vertical="center"/>
    </xf>
    <xf numFmtId="49" fontId="10" fillId="3" borderId="0" xfId="1" applyNumberFormat="1" applyFont="1" applyFill="1" applyAlignment="1">
      <alignment vertical="center"/>
    </xf>
    <xf numFmtId="49" fontId="6" fillId="3" borderId="0" xfId="1" applyNumberFormat="1" applyFont="1" applyFill="1"/>
    <xf numFmtId="49" fontId="6" fillId="3" borderId="6" xfId="1" applyNumberFormat="1" applyFont="1" applyFill="1" applyBorder="1"/>
    <xf numFmtId="49" fontId="6" fillId="3" borderId="7" xfId="1" applyNumberFormat="1" applyFont="1" applyFill="1" applyBorder="1"/>
    <xf numFmtId="49" fontId="6" fillId="3" borderId="8" xfId="1" applyNumberFormat="1" applyFont="1" applyFill="1" applyBorder="1"/>
    <xf numFmtId="49" fontId="8" fillId="3" borderId="6" xfId="1" applyNumberFormat="1" applyFont="1" applyFill="1" applyBorder="1"/>
    <xf numFmtId="49" fontId="8" fillId="3" borderId="2" xfId="1" applyNumberFormat="1" applyFont="1" applyFill="1" applyBorder="1" applyAlignment="1">
      <alignment vertical="center"/>
    </xf>
    <xf numFmtId="49" fontId="8" fillId="3" borderId="2" xfId="1" applyNumberFormat="1" applyFont="1" applyFill="1" applyBorder="1"/>
    <xf numFmtId="49" fontId="10" fillId="3" borderId="4" xfId="1" applyNumberFormat="1" applyFont="1" applyFill="1" applyBorder="1"/>
    <xf numFmtId="49" fontId="6" fillId="3" borderId="3" xfId="1" applyNumberFormat="1" applyFont="1" applyFill="1" applyBorder="1"/>
    <xf numFmtId="49" fontId="8" fillId="3" borderId="3" xfId="1" applyNumberFormat="1" applyFont="1" applyFill="1" applyBorder="1" applyAlignment="1">
      <alignment vertical="center"/>
    </xf>
    <xf numFmtId="49" fontId="8" fillId="3" borderId="3" xfId="0" applyNumberFormat="1" applyFont="1" applyFill="1" applyBorder="1" applyAlignment="1">
      <alignment vertical="center"/>
    </xf>
    <xf numFmtId="49" fontId="6" fillId="3" borderId="5" xfId="1" applyNumberFormat="1" applyFont="1" applyFill="1" applyBorder="1"/>
    <xf numFmtId="49" fontId="8" fillId="3" borderId="8" xfId="1" applyNumberFormat="1" applyFont="1" applyFill="1" applyBorder="1"/>
    <xf numFmtId="49" fontId="8" fillId="3" borderId="7" xfId="1" applyNumberFormat="1" applyFont="1" applyFill="1" applyBorder="1"/>
    <xf numFmtId="49" fontId="8" fillId="3" borderId="3" xfId="1" applyNumberFormat="1" applyFont="1" applyFill="1" applyBorder="1"/>
    <xf numFmtId="49" fontId="10" fillId="3" borderId="1" xfId="1" applyNumberFormat="1" applyFont="1" applyFill="1" applyBorder="1"/>
    <xf numFmtId="49" fontId="10" fillId="3" borderId="5" xfId="1" applyNumberFormat="1" applyFont="1" applyFill="1" applyBorder="1"/>
    <xf numFmtId="49" fontId="31" fillId="2" borderId="41" xfId="2" applyNumberFormat="1" applyFont="1" applyFill="1" applyBorder="1" applyAlignment="1">
      <alignment horizontal="left" vertical="center"/>
    </xf>
    <xf numFmtId="49" fontId="10" fillId="0" borderId="8" xfId="1" applyNumberFormat="1" applyFont="1" applyBorder="1" applyAlignment="1">
      <alignment vertical="center"/>
    </xf>
    <xf numFmtId="49" fontId="10" fillId="3" borderId="7" xfId="1" applyNumberFormat="1" applyFont="1" applyFill="1" applyBorder="1" applyAlignment="1">
      <alignment vertical="center"/>
    </xf>
    <xf numFmtId="49" fontId="10" fillId="0" borderId="11" xfId="1" applyNumberFormat="1" applyFont="1" applyBorder="1" applyAlignment="1">
      <alignment vertical="center"/>
    </xf>
    <xf numFmtId="49" fontId="34" fillId="3" borderId="10" xfId="1" applyNumberFormat="1" applyFont="1" applyFill="1" applyBorder="1" applyAlignment="1">
      <alignment vertical="center"/>
    </xf>
    <xf numFmtId="49" fontId="10" fillId="3" borderId="11" xfId="1" applyNumberFormat="1" applyFont="1" applyFill="1" applyBorder="1" applyAlignment="1">
      <alignment vertical="center"/>
    </xf>
    <xf numFmtId="49" fontId="10" fillId="0" borderId="5" xfId="0" applyNumberFormat="1" applyFont="1" applyBorder="1" applyAlignment="1">
      <alignment vertical="center"/>
    </xf>
    <xf numFmtId="49" fontId="10" fillId="3" borderId="1" xfId="5" applyNumberFormat="1" applyFont="1" applyFill="1" applyBorder="1">
      <alignment vertical="center"/>
    </xf>
    <xf numFmtId="49" fontId="6" fillId="3" borderId="2" xfId="1" applyNumberFormat="1" applyFont="1" applyFill="1" applyBorder="1"/>
    <xf numFmtId="49" fontId="8" fillId="3" borderId="2" xfId="0" applyNumberFormat="1" applyFont="1" applyFill="1" applyBorder="1" applyAlignment="1">
      <alignment vertical="center"/>
    </xf>
    <xf numFmtId="49" fontId="8" fillId="3" borderId="4" xfId="1" applyNumberFormat="1" applyFont="1" applyFill="1" applyBorder="1" applyAlignment="1">
      <alignment vertical="center"/>
    </xf>
    <xf numFmtId="49" fontId="8" fillId="3" borderId="53" xfId="1" applyNumberFormat="1" applyFont="1" applyFill="1" applyBorder="1" applyAlignment="1">
      <alignment vertical="center"/>
    </xf>
    <xf numFmtId="49" fontId="8" fillId="3" borderId="53" xfId="0" applyNumberFormat="1" applyFont="1" applyFill="1" applyBorder="1" applyAlignment="1">
      <alignment vertical="center"/>
    </xf>
    <xf numFmtId="49" fontId="27" fillId="3" borderId="53" xfId="5" applyNumberFormat="1" applyFont="1" applyFill="1" applyBorder="1">
      <alignment vertical="center"/>
    </xf>
    <xf numFmtId="49" fontId="10" fillId="3" borderId="53" xfId="5" applyNumberFormat="1" applyFont="1" applyFill="1" applyBorder="1">
      <alignment vertical="center"/>
    </xf>
    <xf numFmtId="49" fontId="8" fillId="3" borderId="5" xfId="1" applyNumberFormat="1" applyFont="1" applyFill="1" applyBorder="1" applyAlignment="1">
      <alignment vertical="center"/>
    </xf>
    <xf numFmtId="49" fontId="6" fillId="3" borderId="1" xfId="2" applyNumberFormat="1" applyFont="1" applyFill="1" applyBorder="1" applyAlignment="1">
      <alignment horizontal="center" vertical="center"/>
    </xf>
    <xf numFmtId="49" fontId="8" fillId="3" borderId="1" xfId="3" applyNumberFormat="1" applyFont="1" applyFill="1" applyBorder="1" applyAlignment="1"/>
    <xf numFmtId="49" fontId="8" fillId="3" borderId="1" xfId="1" applyNumberFormat="1" applyFont="1" applyFill="1" applyBorder="1" applyAlignment="1">
      <alignment vertical="center"/>
    </xf>
    <xf numFmtId="49" fontId="12" fillId="3" borderId="0" xfId="1" applyNumberFormat="1" applyFont="1" applyFill="1"/>
    <xf numFmtId="0" fontId="14" fillId="0" borderId="0" xfId="1" applyFont="1" applyAlignment="1">
      <alignment vertical="center"/>
    </xf>
    <xf numFmtId="49" fontId="8" fillId="3" borderId="9" xfId="1" applyNumberFormat="1" applyFont="1" applyFill="1" applyBorder="1" applyAlignment="1">
      <alignment horizontal="left" vertical="center"/>
    </xf>
    <xf numFmtId="49" fontId="8" fillId="3" borderId="10" xfId="1" applyNumberFormat="1" applyFont="1" applyFill="1" applyBorder="1" applyAlignment="1">
      <alignment horizontal="left" vertical="center"/>
    </xf>
    <xf numFmtId="49" fontId="8" fillId="3" borderId="11" xfId="1" applyNumberFormat="1" applyFont="1" applyFill="1" applyBorder="1" applyAlignment="1">
      <alignment horizontal="left" vertical="center"/>
    </xf>
    <xf numFmtId="49" fontId="8" fillId="3" borderId="10" xfId="1" applyNumberFormat="1" applyFont="1" applyFill="1" applyBorder="1" applyAlignment="1">
      <alignment horizontal="center" vertical="center"/>
    </xf>
    <xf numFmtId="49" fontId="8" fillId="3" borderId="11" xfId="1" applyNumberFormat="1" applyFont="1" applyFill="1" applyBorder="1" applyAlignment="1">
      <alignment horizontal="center" vertical="center"/>
    </xf>
    <xf numFmtId="49" fontId="27" fillId="3" borderId="10" xfId="0" applyNumberFormat="1" applyFont="1" applyFill="1" applyBorder="1" applyAlignment="1">
      <alignment horizontal="center" vertical="center"/>
    </xf>
    <xf numFmtId="49" fontId="27" fillId="3" borderId="9" xfId="1" applyNumberFormat="1" applyFont="1" applyFill="1" applyBorder="1" applyAlignment="1">
      <alignment vertical="center"/>
    </xf>
    <xf numFmtId="49" fontId="27" fillId="3" borderId="10" xfId="1" applyNumberFormat="1" applyFont="1" applyFill="1" applyBorder="1" applyAlignment="1">
      <alignment vertical="center"/>
    </xf>
    <xf numFmtId="49" fontId="27" fillId="3" borderId="11" xfId="1" applyNumberFormat="1" applyFont="1" applyFill="1" applyBorder="1" applyAlignment="1">
      <alignment vertical="center"/>
    </xf>
    <xf numFmtId="49" fontId="27" fillId="6" borderId="9" xfId="5" applyNumberFormat="1" applyFont="1" applyFill="1" applyBorder="1" applyAlignment="1">
      <alignment horizontal="center" vertical="center"/>
    </xf>
    <xf numFmtId="49" fontId="27" fillId="6" borderId="10" xfId="5" applyNumberFormat="1" applyFont="1" applyFill="1" applyBorder="1" applyAlignment="1">
      <alignment horizontal="center" vertical="center"/>
    </xf>
    <xf numFmtId="49" fontId="27" fillId="6" borderId="11" xfId="5" applyNumberFormat="1" applyFont="1" applyFill="1" applyBorder="1" applyAlignment="1">
      <alignment horizontal="center" vertical="center"/>
    </xf>
    <xf numFmtId="49" fontId="27" fillId="3" borderId="9" xfId="5" applyNumberFormat="1" applyFont="1" applyFill="1" applyBorder="1" applyAlignment="1">
      <alignment horizontal="right" vertical="center"/>
    </xf>
    <xf numFmtId="49" fontId="27" fillId="3" borderId="10" xfId="5" applyNumberFormat="1" applyFont="1" applyFill="1" applyBorder="1" applyAlignment="1">
      <alignment horizontal="right" vertical="center"/>
    </xf>
    <xf numFmtId="49" fontId="27" fillId="3" borderId="11" xfId="5" applyNumberFormat="1" applyFont="1" applyFill="1" applyBorder="1" applyAlignment="1">
      <alignment horizontal="right" vertical="center"/>
    </xf>
    <xf numFmtId="49" fontId="27" fillId="3" borderId="9" xfId="5" applyNumberFormat="1" applyFont="1" applyFill="1" applyBorder="1">
      <alignment vertical="center"/>
    </xf>
    <xf numFmtId="49" fontId="27" fillId="3" borderId="10" xfId="5" applyNumberFormat="1" applyFont="1" applyFill="1" applyBorder="1">
      <alignment vertical="center"/>
    </xf>
    <xf numFmtId="49" fontId="27" fillId="3" borderId="11" xfId="5" applyNumberFormat="1" applyFont="1" applyFill="1" applyBorder="1">
      <alignment vertical="center"/>
    </xf>
    <xf numFmtId="49" fontId="27" fillId="3" borderId="9" xfId="5" quotePrefix="1" applyNumberFormat="1" applyFont="1" applyFill="1" applyBorder="1" applyAlignment="1">
      <alignment horizontal="left" vertical="center"/>
    </xf>
    <xf numFmtId="49" fontId="27" fillId="3" borderId="10" xfId="5" quotePrefix="1" applyNumberFormat="1" applyFont="1" applyFill="1" applyBorder="1" applyAlignment="1">
      <alignment horizontal="left" vertical="center"/>
    </xf>
    <xf numFmtId="49" fontId="27" fillId="3" borderId="11" xfId="5" quotePrefix="1" applyNumberFormat="1" applyFont="1" applyFill="1" applyBorder="1" applyAlignment="1">
      <alignment horizontal="left" vertical="center"/>
    </xf>
    <xf numFmtId="49" fontId="20" fillId="2" borderId="0" xfId="2" applyNumberFormat="1" applyFont="1" applyFill="1">
      <alignment vertical="center"/>
    </xf>
    <xf numFmtId="49" fontId="28" fillId="2" borderId="0" xfId="2" applyNumberFormat="1" applyFont="1" applyFill="1" applyAlignment="1">
      <alignment horizontal="center" vertical="center" wrapText="1"/>
    </xf>
    <xf numFmtId="49" fontId="27" fillId="3" borderId="0" xfId="0" applyNumberFormat="1" applyFont="1" applyFill="1" applyAlignment="1">
      <alignment vertical="center"/>
    </xf>
    <xf numFmtId="49" fontId="27" fillId="3" borderId="0" xfId="0" applyNumberFormat="1" applyFont="1" applyFill="1" applyAlignment="1">
      <alignment horizontal="center" vertical="center"/>
    </xf>
    <xf numFmtId="49" fontId="27" fillId="2" borderId="0" xfId="5" applyNumberFormat="1" applyFont="1" applyFill="1" applyAlignment="1">
      <alignment horizontal="centerContinuous" vertical="center"/>
    </xf>
    <xf numFmtId="49" fontId="27" fillId="2" borderId="0" xfId="3" applyNumberFormat="1" applyFont="1" applyFill="1" applyAlignment="1">
      <alignment horizontal="center" vertical="center"/>
    </xf>
    <xf numFmtId="49" fontId="33" fillId="2" borderId="0" xfId="1" applyNumberFormat="1" applyFont="1" applyFill="1" applyAlignment="1">
      <alignment horizontal="left" vertical="center"/>
    </xf>
    <xf numFmtId="49" fontId="33" fillId="2" borderId="0" xfId="1" applyNumberFormat="1" applyFont="1" applyFill="1" applyAlignment="1">
      <alignment horizontal="center" vertical="center"/>
    </xf>
    <xf numFmtId="49" fontId="33" fillId="2" borderId="0" xfId="1" applyNumberFormat="1" applyFont="1" applyFill="1" applyAlignment="1">
      <alignment horizontal="right" vertical="center"/>
    </xf>
    <xf numFmtId="49" fontId="30" fillId="2" borderId="0" xfId="3" applyNumberFormat="1" applyFont="1" applyFill="1" applyAlignment="1">
      <alignment horizontal="center" vertical="center"/>
    </xf>
    <xf numFmtId="49" fontId="33" fillId="2" borderId="0" xfId="3" applyNumberFormat="1" applyFont="1" applyFill="1" applyAlignment="1">
      <alignment horizontal="left" vertical="center"/>
    </xf>
    <xf numFmtId="49" fontId="27" fillId="2" borderId="0" xfId="1" applyNumberFormat="1" applyFont="1" applyFill="1" applyAlignment="1">
      <alignment horizontal="right" vertical="center"/>
    </xf>
    <xf numFmtId="49" fontId="27" fillId="2" borderId="0" xfId="1" applyNumberFormat="1" applyFont="1" applyFill="1" applyAlignment="1">
      <alignment horizontal="left" vertical="center" wrapText="1"/>
    </xf>
    <xf numFmtId="49" fontId="27" fillId="2" borderId="0" xfId="1" applyNumberFormat="1" applyFont="1" applyFill="1" applyAlignment="1">
      <alignment vertical="center" wrapText="1"/>
    </xf>
    <xf numFmtId="49" fontId="28" fillId="2" borderId="0" xfId="2" applyNumberFormat="1" applyFont="1" applyFill="1" applyAlignment="1">
      <alignment vertical="center" wrapText="1"/>
    </xf>
    <xf numFmtId="49" fontId="22" fillId="2" borderId="0" xfId="3" applyNumberFormat="1" applyFont="1" applyFill="1" applyAlignment="1">
      <alignment horizontal="center" vertical="center" wrapText="1"/>
    </xf>
    <xf numFmtId="49" fontId="32" fillId="2" borderId="0" xfId="5" applyNumberFormat="1" applyFont="1" applyFill="1" applyAlignment="1">
      <alignment horizontal="center" vertical="center"/>
    </xf>
    <xf numFmtId="49" fontId="6" fillId="3" borderId="0" xfId="2" applyNumberFormat="1" applyFont="1" applyFill="1" applyAlignment="1">
      <alignment horizontal="center" vertical="center"/>
    </xf>
    <xf numFmtId="49" fontId="8" fillId="3" borderId="0" xfId="3" applyNumberFormat="1" applyFont="1" applyFill="1" applyAlignment="1"/>
    <xf numFmtId="49" fontId="8" fillId="3" borderId="0" xfId="5" applyNumberFormat="1" applyFont="1" applyFill="1">
      <alignment vertical="center"/>
    </xf>
    <xf numFmtId="49" fontId="10" fillId="2" borderId="0" xfId="3" applyNumberFormat="1" applyFont="1" applyFill="1">
      <alignment vertical="center"/>
    </xf>
    <xf numFmtId="49" fontId="27" fillId="3" borderId="0" xfId="1" applyNumberFormat="1" applyFont="1" applyFill="1" applyAlignment="1">
      <alignment horizontal="left" vertical="center"/>
    </xf>
    <xf numFmtId="49" fontId="27" fillId="3" borderId="0" xfId="3" applyNumberFormat="1" applyFont="1" applyFill="1" applyAlignment="1">
      <alignment horizontal="left" vertical="center"/>
    </xf>
    <xf numFmtId="49" fontId="35" fillId="2" borderId="0" xfId="5" applyNumberFormat="1" applyFont="1" applyFill="1" applyAlignment="1">
      <alignment horizontal="left" vertical="center"/>
    </xf>
    <xf numFmtId="49" fontId="22" fillId="2" borderId="0" xfId="5" applyNumberFormat="1" applyFont="1" applyFill="1" applyAlignment="1">
      <alignment horizontal="center" vertical="center"/>
    </xf>
    <xf numFmtId="49" fontId="8" fillId="3" borderId="0" xfId="1" applyNumberFormat="1" applyFont="1" applyFill="1"/>
    <xf numFmtId="49" fontId="31" fillId="2" borderId="0" xfId="2" applyNumberFormat="1" applyFont="1" applyFill="1" applyAlignment="1">
      <alignment horizontal="left" vertical="center"/>
    </xf>
    <xf numFmtId="49" fontId="27" fillId="5" borderId="0" xfId="1" applyNumberFormat="1" applyFont="1" applyFill="1" applyAlignment="1">
      <alignment horizontal="center" vertical="center"/>
    </xf>
    <xf numFmtId="49" fontId="27" fillId="5" borderId="0" xfId="1" applyNumberFormat="1" applyFont="1" applyFill="1" applyAlignment="1">
      <alignment horizontal="left" vertical="center"/>
    </xf>
    <xf numFmtId="49" fontId="10" fillId="5" borderId="0" xfId="3" applyNumberFormat="1" applyFont="1" applyFill="1">
      <alignment vertical="center"/>
    </xf>
    <xf numFmtId="49" fontId="27" fillId="5" borderId="0" xfId="1" applyNumberFormat="1" applyFont="1" applyFill="1" applyAlignment="1">
      <alignment vertical="center"/>
    </xf>
    <xf numFmtId="49" fontId="28" fillId="5" borderId="0" xfId="2" applyNumberFormat="1" applyFont="1" applyFill="1" applyAlignment="1">
      <alignment horizontal="center" vertical="center" wrapText="1"/>
    </xf>
    <xf numFmtId="49" fontId="28" fillId="5" borderId="0" xfId="2" applyNumberFormat="1" applyFont="1" applyFill="1" applyAlignment="1">
      <alignment vertical="center" wrapText="1"/>
    </xf>
    <xf numFmtId="49" fontId="10" fillId="5" borderId="0" xfId="5" applyNumberFormat="1" applyFont="1" applyFill="1">
      <alignment vertical="center"/>
    </xf>
    <xf numFmtId="49" fontId="23" fillId="5" borderId="0" xfId="1" applyNumberFormat="1" applyFont="1" applyFill="1" applyAlignment="1">
      <alignment horizontal="center" vertical="center"/>
    </xf>
    <xf numFmtId="49" fontId="8" fillId="5" borderId="0" xfId="3" applyNumberFormat="1" applyFont="1" applyFill="1">
      <alignment vertical="center"/>
    </xf>
    <xf numFmtId="49" fontId="23" fillId="5" borderId="0" xfId="1" applyNumberFormat="1" applyFont="1" applyFill="1" applyAlignment="1">
      <alignment vertical="center"/>
    </xf>
    <xf numFmtId="49" fontId="21" fillId="5" borderId="0" xfId="2" applyNumberFormat="1" applyFont="1" applyFill="1" applyAlignment="1">
      <alignment horizontal="center" vertical="center" wrapText="1"/>
    </xf>
    <xf numFmtId="49" fontId="21" fillId="5" borderId="0" xfId="2" applyNumberFormat="1" applyFont="1" applyFill="1" applyAlignment="1">
      <alignment vertical="center" wrapText="1"/>
    </xf>
    <xf numFmtId="49" fontId="8" fillId="5" borderId="0" xfId="5" applyNumberFormat="1" applyFont="1" applyFill="1">
      <alignment vertical="center"/>
    </xf>
    <xf numFmtId="49" fontId="8" fillId="0" borderId="0" xfId="6" applyNumberFormat="1" applyFont="1" applyAlignment="1">
      <alignment horizontal="left" vertical="center"/>
    </xf>
    <xf numFmtId="49" fontId="8" fillId="0" borderId="9" xfId="0" applyNumberFormat="1" applyFont="1" applyBorder="1" applyAlignment="1">
      <alignment horizontal="center" vertical="center"/>
    </xf>
    <xf numFmtId="49" fontId="8" fillId="0" borderId="10"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9" xfId="0" applyNumberFormat="1" applyFont="1" applyBorder="1" applyAlignment="1">
      <alignment horizontal="left" vertical="center"/>
    </xf>
    <xf numFmtId="49" fontId="8" fillId="0" borderId="10" xfId="0" applyNumberFormat="1" applyFont="1" applyBorder="1" applyAlignment="1">
      <alignment horizontal="left" vertical="center"/>
    </xf>
    <xf numFmtId="49" fontId="8" fillId="0" borderId="11" xfId="0" applyNumberFormat="1" applyFont="1" applyBorder="1" applyAlignment="1">
      <alignment horizontal="left" vertical="center"/>
    </xf>
    <xf numFmtId="49" fontId="8" fillId="0" borderId="9" xfId="1" applyNumberFormat="1" applyFont="1" applyBorder="1" applyAlignment="1">
      <alignment horizontal="center"/>
    </xf>
    <xf numFmtId="49" fontId="8" fillId="0" borderId="10" xfId="1" applyNumberFormat="1" applyFont="1" applyBorder="1" applyAlignment="1">
      <alignment horizontal="center"/>
    </xf>
    <xf numFmtId="49" fontId="8" fillId="0" borderId="11" xfId="1" applyNumberFormat="1" applyFont="1" applyBorder="1" applyAlignment="1">
      <alignment horizontal="center"/>
    </xf>
    <xf numFmtId="49" fontId="8" fillId="0" borderId="24" xfId="0" applyNumberFormat="1" applyFont="1" applyBorder="1" applyAlignment="1">
      <alignment horizontal="center" vertical="center"/>
    </xf>
    <xf numFmtId="49" fontId="8" fillId="0" borderId="9" xfId="1" applyNumberFormat="1" applyFont="1" applyBorder="1" applyAlignment="1">
      <alignment horizontal="center" vertical="center"/>
    </xf>
    <xf numFmtId="49" fontId="8" fillId="0" borderId="10" xfId="1" applyNumberFormat="1" applyFont="1" applyBorder="1" applyAlignment="1">
      <alignment horizontal="center" vertical="center"/>
    </xf>
    <xf numFmtId="49" fontId="8" fillId="0" borderId="11" xfId="1" applyNumberFormat="1" applyFont="1" applyBorder="1" applyAlignment="1">
      <alignment horizontal="center" vertical="center"/>
    </xf>
    <xf numFmtId="49" fontId="8" fillId="0" borderId="24" xfId="1" applyNumberFormat="1" applyFont="1" applyBorder="1" applyAlignment="1">
      <alignment horizontal="center" vertical="center"/>
    </xf>
    <xf numFmtId="49" fontId="8" fillId="0" borderId="24" xfId="1" applyNumberFormat="1" applyFont="1" applyBorder="1" applyAlignment="1">
      <alignment horizontal="left" vertical="center"/>
    </xf>
    <xf numFmtId="49" fontId="7" fillId="0" borderId="9" xfId="1" applyNumberFormat="1" applyFont="1" applyBorder="1" applyAlignment="1">
      <alignment horizontal="center" vertical="center"/>
    </xf>
    <xf numFmtId="49" fontId="7" fillId="0" borderId="10" xfId="1" applyNumberFormat="1" applyFont="1" applyBorder="1" applyAlignment="1">
      <alignment horizontal="center" vertical="center"/>
    </xf>
    <xf numFmtId="49" fontId="7" fillId="0" borderId="11" xfId="1"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49" fontId="8" fillId="0" borderId="24" xfId="0" applyNumberFormat="1" applyFont="1" applyBorder="1" applyAlignment="1">
      <alignment horizontal="center" vertical="center" shrinkToFit="1"/>
    </xf>
    <xf numFmtId="49" fontId="8" fillId="0" borderId="9" xfId="0" quotePrefix="1" applyNumberFormat="1" applyFont="1" applyBorder="1" applyAlignment="1">
      <alignment horizontal="center" vertical="center"/>
    </xf>
    <xf numFmtId="49" fontId="8" fillId="3" borderId="9" xfId="1" applyNumberFormat="1" applyFont="1" applyFill="1" applyBorder="1" applyAlignment="1">
      <alignment horizontal="left" vertical="center"/>
    </xf>
    <xf numFmtId="49" fontId="8" fillId="3" borderId="10" xfId="1" applyNumberFormat="1" applyFont="1" applyFill="1" applyBorder="1" applyAlignment="1">
      <alignment horizontal="left" vertical="center"/>
    </xf>
    <xf numFmtId="49" fontId="8" fillId="3" borderId="11" xfId="1" applyNumberFormat="1" applyFont="1" applyFill="1" applyBorder="1" applyAlignment="1">
      <alignment horizontal="left" vertical="center"/>
    </xf>
    <xf numFmtId="49" fontId="8" fillId="3" borderId="9" xfId="1" applyNumberFormat="1" applyFont="1" applyFill="1" applyBorder="1" applyAlignment="1">
      <alignment horizontal="left" vertical="top" wrapText="1"/>
    </xf>
    <xf numFmtId="49" fontId="8" fillId="3" borderId="10" xfId="1" applyNumberFormat="1" applyFont="1" applyFill="1" applyBorder="1" applyAlignment="1">
      <alignment horizontal="left" vertical="top" wrapText="1"/>
    </xf>
    <xf numFmtId="49" fontId="8" fillId="3" borderId="11" xfId="1" applyNumberFormat="1" applyFont="1" applyFill="1" applyBorder="1" applyAlignment="1">
      <alignment horizontal="left" vertical="top" wrapText="1"/>
    </xf>
    <xf numFmtId="49" fontId="8" fillId="3" borderId="9" xfId="1" applyNumberFormat="1" applyFont="1" applyFill="1" applyBorder="1" applyAlignment="1">
      <alignment horizontal="left" vertical="top"/>
    </xf>
    <xf numFmtId="49" fontId="8" fillId="3" borderId="10" xfId="1" applyNumberFormat="1" applyFont="1" applyFill="1" applyBorder="1" applyAlignment="1">
      <alignment horizontal="left" vertical="top"/>
    </xf>
    <xf numFmtId="49" fontId="8" fillId="3" borderId="11" xfId="1" applyNumberFormat="1" applyFont="1" applyFill="1" applyBorder="1" applyAlignment="1">
      <alignment horizontal="left" vertical="top"/>
    </xf>
    <xf numFmtId="49" fontId="8" fillId="3" borderId="9" xfId="1" applyNumberFormat="1" applyFont="1" applyFill="1" applyBorder="1" applyAlignment="1">
      <alignment vertical="top" wrapText="1"/>
    </xf>
    <xf numFmtId="49" fontId="8" fillId="3" borderId="10" xfId="1" applyNumberFormat="1" applyFont="1" applyFill="1" applyBorder="1" applyAlignment="1">
      <alignment vertical="top" wrapText="1"/>
    </xf>
    <xf numFmtId="49" fontId="8" fillId="3" borderId="11" xfId="1" applyNumberFormat="1" applyFont="1" applyFill="1" applyBorder="1" applyAlignment="1">
      <alignment vertical="top" wrapText="1"/>
    </xf>
    <xf numFmtId="49" fontId="8" fillId="3" borderId="2"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8" fillId="3" borderId="3" xfId="1" applyNumberFormat="1" applyFont="1" applyFill="1" applyBorder="1" applyAlignment="1">
      <alignment horizontal="left" vertical="top" wrapText="1"/>
    </xf>
    <xf numFmtId="49" fontId="8" fillId="3" borderId="4" xfId="1" applyNumberFormat="1" applyFont="1" applyFill="1" applyBorder="1" applyAlignment="1">
      <alignment horizontal="left" vertical="top"/>
    </xf>
    <xf numFmtId="49" fontId="8" fillId="3" borderId="1" xfId="1" applyNumberFormat="1" applyFont="1" applyFill="1" applyBorder="1" applyAlignment="1">
      <alignment horizontal="left" vertical="top"/>
    </xf>
    <xf numFmtId="49" fontId="8" fillId="3" borderId="5" xfId="1" applyNumberFormat="1" applyFont="1" applyFill="1" applyBorder="1" applyAlignment="1">
      <alignment horizontal="left" vertical="top"/>
    </xf>
    <xf numFmtId="49" fontId="8" fillId="3" borderId="4" xfId="1" applyNumberFormat="1" applyFont="1" applyFill="1" applyBorder="1" applyAlignment="1">
      <alignment horizontal="left" vertical="center"/>
    </xf>
    <xf numFmtId="49" fontId="8" fillId="3" borderId="1" xfId="1" applyNumberFormat="1" applyFont="1" applyFill="1" applyBorder="1" applyAlignment="1">
      <alignment horizontal="left" vertical="center"/>
    </xf>
    <xf numFmtId="49" fontId="8" fillId="3" borderId="5" xfId="1" applyNumberFormat="1" applyFont="1" applyFill="1" applyBorder="1" applyAlignment="1">
      <alignment horizontal="left" vertical="center"/>
    </xf>
    <xf numFmtId="49" fontId="8" fillId="3" borderId="4" xfId="1" applyNumberFormat="1" applyFont="1" applyFill="1" applyBorder="1" applyAlignment="1">
      <alignment horizontal="left" vertical="top" wrapText="1"/>
    </xf>
    <xf numFmtId="49" fontId="8" fillId="3" borderId="6" xfId="1" applyNumberFormat="1" applyFont="1" applyFill="1" applyBorder="1" applyAlignment="1">
      <alignment horizontal="left" vertical="center"/>
    </xf>
    <xf numFmtId="49" fontId="8" fillId="3" borderId="7" xfId="1" applyNumberFormat="1" applyFont="1" applyFill="1" applyBorder="1" applyAlignment="1">
      <alignment horizontal="left" vertical="center"/>
    </xf>
    <xf numFmtId="49" fontId="8" fillId="3" borderId="8" xfId="1" applyNumberFormat="1" applyFont="1" applyFill="1" applyBorder="1" applyAlignment="1">
      <alignment horizontal="left" vertical="center"/>
    </xf>
    <xf numFmtId="49" fontId="8" fillId="3" borderId="6" xfId="1" applyNumberFormat="1" applyFont="1" applyFill="1" applyBorder="1" applyAlignment="1">
      <alignment horizontal="left" vertical="top"/>
    </xf>
    <xf numFmtId="49" fontId="8" fillId="3" borderId="7" xfId="1" applyNumberFormat="1" applyFont="1" applyFill="1" applyBorder="1" applyAlignment="1">
      <alignment horizontal="left" vertical="top"/>
    </xf>
    <xf numFmtId="49" fontId="8" fillId="3" borderId="8" xfId="1" applyNumberFormat="1" applyFont="1" applyFill="1" applyBorder="1" applyAlignment="1">
      <alignment horizontal="left" vertical="top"/>
    </xf>
    <xf numFmtId="49" fontId="8" fillId="3" borderId="2" xfId="1" applyNumberFormat="1" applyFont="1" applyFill="1" applyBorder="1" applyAlignment="1">
      <alignment horizontal="left" vertical="center"/>
    </xf>
    <xf numFmtId="49" fontId="8" fillId="3" borderId="0" xfId="1" applyNumberFormat="1" applyFont="1" applyFill="1" applyAlignment="1">
      <alignment horizontal="left" vertical="center"/>
    </xf>
    <xf numFmtId="49" fontId="8" fillId="3" borderId="3" xfId="1" applyNumberFormat="1" applyFont="1" applyFill="1" applyBorder="1" applyAlignment="1">
      <alignment horizontal="left" vertical="center"/>
    </xf>
    <xf numFmtId="49" fontId="8" fillId="3" borderId="9" xfId="1" applyNumberFormat="1" applyFont="1" applyFill="1" applyBorder="1" applyAlignment="1">
      <alignment horizontal="center" vertical="center"/>
    </xf>
    <xf numFmtId="49" fontId="8" fillId="3" borderId="10" xfId="1" applyNumberFormat="1" applyFont="1" applyFill="1" applyBorder="1" applyAlignment="1">
      <alignment horizontal="center" vertical="center"/>
    </xf>
    <xf numFmtId="49" fontId="8" fillId="3" borderId="11" xfId="1" applyNumberFormat="1" applyFont="1" applyFill="1" applyBorder="1" applyAlignment="1">
      <alignment horizontal="center" vertical="center"/>
    </xf>
    <xf numFmtId="49" fontId="38" fillId="4" borderId="9" xfId="3" applyNumberFormat="1" applyFont="1" applyFill="1" applyBorder="1" applyAlignment="1">
      <alignment horizontal="center" vertical="center" wrapText="1"/>
    </xf>
    <xf numFmtId="49" fontId="38" fillId="4" borderId="10" xfId="3" applyNumberFormat="1" applyFont="1" applyFill="1" applyBorder="1" applyAlignment="1">
      <alignment horizontal="center" vertical="center" wrapText="1"/>
    </xf>
    <xf numFmtId="49" fontId="38" fillId="4" borderId="11" xfId="3" applyNumberFormat="1" applyFont="1" applyFill="1" applyBorder="1" applyAlignment="1">
      <alignment horizontal="center" vertical="center" wrapText="1"/>
    </xf>
    <xf numFmtId="49" fontId="25" fillId="2" borderId="35" xfId="2" applyNumberFormat="1" applyFont="1" applyFill="1" applyBorder="1" applyAlignment="1">
      <alignment horizontal="center" vertical="center"/>
    </xf>
    <xf numFmtId="49" fontId="26" fillId="2" borderId="35" xfId="2" applyNumberFormat="1" applyFont="1" applyFill="1" applyBorder="1" applyAlignment="1">
      <alignment horizontal="center" vertical="center"/>
    </xf>
    <xf numFmtId="49" fontId="26" fillId="2" borderId="0" xfId="2" applyNumberFormat="1" applyFont="1" applyFill="1" applyAlignment="1">
      <alignment horizontal="center" vertical="center"/>
    </xf>
    <xf numFmtId="49" fontId="26" fillId="2" borderId="38" xfId="2" applyNumberFormat="1" applyFont="1" applyFill="1" applyBorder="1" applyAlignment="1">
      <alignment horizontal="center" vertical="center"/>
    </xf>
    <xf numFmtId="49" fontId="45" fillId="2" borderId="35" xfId="2" applyNumberFormat="1" applyFont="1" applyFill="1" applyBorder="1" applyAlignment="1">
      <alignment horizontal="center" vertical="center"/>
    </xf>
    <xf numFmtId="49" fontId="45" fillId="2" borderId="36" xfId="2" applyNumberFormat="1" applyFont="1" applyFill="1" applyBorder="1" applyAlignment="1">
      <alignment horizontal="center" vertical="center"/>
    </xf>
    <xf numFmtId="49" fontId="45" fillId="2" borderId="0" xfId="2" applyNumberFormat="1" applyFont="1" applyFill="1" applyAlignment="1">
      <alignment horizontal="center" vertical="center"/>
    </xf>
    <xf numFmtId="49" fontId="45" fillId="2" borderId="44" xfId="2" applyNumberFormat="1" applyFont="1" applyFill="1" applyBorder="1" applyAlignment="1">
      <alignment horizontal="center" vertical="center"/>
    </xf>
    <xf numFmtId="49" fontId="45" fillId="2" borderId="38" xfId="2" applyNumberFormat="1" applyFont="1" applyFill="1" applyBorder="1" applyAlignment="1">
      <alignment horizontal="center" vertical="center"/>
    </xf>
    <xf numFmtId="49" fontId="45" fillId="2" borderId="39" xfId="2" applyNumberFormat="1" applyFont="1" applyFill="1" applyBorder="1" applyAlignment="1">
      <alignment horizontal="center" vertical="center"/>
    </xf>
    <xf numFmtId="49" fontId="29" fillId="3" borderId="9" xfId="3" applyNumberFormat="1" applyFont="1" applyFill="1" applyBorder="1" applyAlignment="1">
      <alignment horizontal="center" vertical="center"/>
    </xf>
    <xf numFmtId="49" fontId="29" fillId="3" borderId="10" xfId="3" applyNumberFormat="1" applyFont="1" applyFill="1" applyBorder="1" applyAlignment="1">
      <alignment horizontal="center" vertical="center"/>
    </xf>
    <xf numFmtId="49" fontId="29" fillId="3" borderId="11" xfId="3" applyNumberFormat="1" applyFont="1" applyFill="1" applyBorder="1" applyAlignment="1">
      <alignment horizontal="center" vertical="center"/>
    </xf>
    <xf numFmtId="49" fontId="44" fillId="2" borderId="35" xfId="2" applyNumberFormat="1" applyFont="1" applyFill="1" applyBorder="1" applyAlignment="1">
      <alignment horizontal="center" vertical="center"/>
    </xf>
    <xf numFmtId="49" fontId="44" fillId="2" borderId="36" xfId="2" applyNumberFormat="1" applyFont="1" applyFill="1" applyBorder="1" applyAlignment="1">
      <alignment horizontal="center" vertical="center"/>
    </xf>
    <xf numFmtId="49" fontId="44" fillId="2" borderId="0" xfId="2" applyNumberFormat="1" applyFont="1" applyFill="1" applyAlignment="1">
      <alignment horizontal="center" vertical="center"/>
    </xf>
    <xf numFmtId="49" fontId="44" fillId="2" borderId="44" xfId="2" applyNumberFormat="1" applyFont="1" applyFill="1" applyBorder="1" applyAlignment="1">
      <alignment horizontal="center" vertical="center"/>
    </xf>
    <xf numFmtId="49" fontId="44" fillId="2" borderId="38" xfId="2" applyNumberFormat="1" applyFont="1" applyFill="1" applyBorder="1" applyAlignment="1">
      <alignment horizontal="center" vertical="center"/>
    </xf>
    <xf numFmtId="49" fontId="44" fillId="2" borderId="39" xfId="2" applyNumberFormat="1" applyFont="1" applyFill="1" applyBorder="1" applyAlignment="1">
      <alignment horizontal="center" vertical="center"/>
    </xf>
    <xf numFmtId="49" fontId="38" fillId="4" borderId="9" xfId="3" applyNumberFormat="1" applyFont="1" applyFill="1" applyBorder="1" applyAlignment="1">
      <alignment horizontal="center" vertical="center"/>
    </xf>
    <xf numFmtId="49" fontId="38" fillId="4" borderId="10" xfId="3" applyNumberFormat="1" applyFont="1" applyFill="1" applyBorder="1" applyAlignment="1">
      <alignment horizontal="center" vertical="center"/>
    </xf>
    <xf numFmtId="49" fontId="38" fillId="4" borderId="11" xfId="3" applyNumberFormat="1" applyFont="1" applyFill="1" applyBorder="1" applyAlignment="1">
      <alignment horizontal="center" vertical="center"/>
    </xf>
    <xf numFmtId="0" fontId="8" fillId="3" borderId="10" xfId="1" applyFont="1" applyFill="1" applyBorder="1" applyAlignment="1">
      <alignment horizontal="left" vertical="center"/>
    </xf>
    <xf numFmtId="0" fontId="8" fillId="3" borderId="11" xfId="1" applyFont="1" applyFill="1" applyBorder="1" applyAlignment="1">
      <alignment horizontal="left" vertical="center"/>
    </xf>
    <xf numFmtId="49" fontId="38" fillId="4" borderId="6" xfId="3" applyNumberFormat="1" applyFont="1" applyFill="1" applyBorder="1" applyAlignment="1">
      <alignment horizontal="center" vertical="center" wrapText="1"/>
    </xf>
    <xf numFmtId="49" fontId="38" fillId="4" borderId="7" xfId="3" applyNumberFormat="1" applyFont="1" applyFill="1" applyBorder="1" applyAlignment="1">
      <alignment horizontal="center" vertical="center" wrapText="1"/>
    </xf>
    <xf numFmtId="49" fontId="38" fillId="4" borderId="8" xfId="3" applyNumberFormat="1" applyFont="1" applyFill="1" applyBorder="1" applyAlignment="1">
      <alignment horizontal="center" vertical="center" wrapText="1"/>
    </xf>
    <xf numFmtId="49" fontId="27" fillId="3" borderId="9" xfId="0" applyNumberFormat="1" applyFont="1" applyFill="1" applyBorder="1" applyAlignment="1">
      <alignment horizontal="center" vertical="center"/>
    </xf>
    <xf numFmtId="49" fontId="27" fillId="3" borderId="10" xfId="0" applyNumberFormat="1" applyFont="1" applyFill="1" applyBorder="1" applyAlignment="1">
      <alignment horizontal="center" vertical="center"/>
    </xf>
    <xf numFmtId="49" fontId="27" fillId="3" borderId="11" xfId="0" applyNumberFormat="1" applyFont="1" applyFill="1" applyBorder="1" applyAlignment="1">
      <alignment horizontal="center" vertical="center"/>
    </xf>
    <xf numFmtId="49" fontId="27" fillId="3" borderId="9" xfId="1" applyNumberFormat="1" applyFont="1" applyFill="1" applyBorder="1" applyAlignment="1">
      <alignment vertical="center"/>
    </xf>
    <xf numFmtId="49" fontId="27" fillId="3" borderId="10" xfId="1" applyNumberFormat="1" applyFont="1" applyFill="1" applyBorder="1" applyAlignment="1">
      <alignment vertical="center"/>
    </xf>
    <xf numFmtId="49" fontId="27" fillId="3" borderId="11" xfId="1" applyNumberFormat="1" applyFont="1" applyFill="1" applyBorder="1" applyAlignment="1">
      <alignment vertical="center"/>
    </xf>
    <xf numFmtId="49" fontId="8" fillId="3" borderId="0" xfId="1" applyNumberFormat="1" applyFont="1" applyFill="1" applyAlignment="1">
      <alignment horizontal="right" vertical="center"/>
    </xf>
    <xf numFmtId="49" fontId="7" fillId="3" borderId="9" xfId="1" applyNumberFormat="1" applyFont="1" applyFill="1" applyBorder="1" applyAlignment="1">
      <alignment horizontal="center" vertical="center"/>
    </xf>
    <xf numFmtId="49" fontId="7" fillId="3" borderId="10" xfId="1" applyNumberFormat="1" applyFont="1" applyFill="1" applyBorder="1" applyAlignment="1">
      <alignment horizontal="center" vertical="center"/>
    </xf>
    <xf numFmtId="49" fontId="7" fillId="3" borderId="11" xfId="1" applyNumberFormat="1" applyFont="1" applyFill="1" applyBorder="1" applyAlignment="1">
      <alignment horizontal="center" vertical="center"/>
    </xf>
    <xf numFmtId="49" fontId="30" fillId="4" borderId="9" xfId="3" applyNumberFormat="1" applyFont="1" applyFill="1" applyBorder="1" applyAlignment="1">
      <alignment horizontal="center" vertical="center"/>
    </xf>
    <xf numFmtId="49" fontId="30" fillId="4" borderId="10" xfId="3" applyNumberFormat="1" applyFont="1" applyFill="1" applyBorder="1" applyAlignment="1">
      <alignment horizontal="center" vertical="center"/>
    </xf>
    <xf numFmtId="49" fontId="30" fillId="4" borderId="11" xfId="3" applyNumberFormat="1" applyFont="1" applyFill="1" applyBorder="1" applyAlignment="1">
      <alignment horizontal="center" vertical="center"/>
    </xf>
    <xf numFmtId="49" fontId="27" fillId="3" borderId="6" xfId="1" applyNumberFormat="1" applyFont="1" applyFill="1" applyBorder="1" applyAlignment="1">
      <alignment horizontal="center" vertical="center"/>
    </xf>
    <xf numFmtId="49" fontId="27" fillId="3" borderId="7" xfId="1" applyNumberFormat="1" applyFont="1" applyFill="1" applyBorder="1" applyAlignment="1">
      <alignment horizontal="center" vertical="center"/>
    </xf>
    <xf numFmtId="49" fontId="27" fillId="3" borderId="8" xfId="1" applyNumberFormat="1" applyFont="1" applyFill="1" applyBorder="1" applyAlignment="1">
      <alignment horizontal="center" vertical="center"/>
    </xf>
    <xf numFmtId="49" fontId="40" fillId="4" borderId="6" xfId="0" applyNumberFormat="1" applyFont="1" applyFill="1" applyBorder="1" applyAlignment="1">
      <alignment horizontal="center" vertical="center"/>
    </xf>
    <xf numFmtId="49" fontId="40" fillId="4" borderId="7" xfId="0" applyNumberFormat="1" applyFont="1" applyFill="1" applyBorder="1" applyAlignment="1">
      <alignment horizontal="center" vertical="center"/>
    </xf>
    <xf numFmtId="49" fontId="40" fillId="4" borderId="8" xfId="0" applyNumberFormat="1" applyFont="1" applyFill="1" applyBorder="1" applyAlignment="1">
      <alignment horizontal="center" vertical="center"/>
    </xf>
    <xf numFmtId="49" fontId="40" fillId="4" borderId="4" xfId="0" applyNumberFormat="1" applyFont="1" applyFill="1" applyBorder="1" applyAlignment="1">
      <alignment horizontal="center" vertical="center"/>
    </xf>
    <xf numFmtId="49" fontId="40" fillId="4" borderId="1" xfId="0" applyNumberFormat="1" applyFont="1" applyFill="1" applyBorder="1" applyAlignment="1">
      <alignment horizontal="center" vertical="center"/>
    </xf>
    <xf numFmtId="49" fontId="40" fillId="4" borderId="5" xfId="0" applyNumberFormat="1" applyFont="1" applyFill="1" applyBorder="1" applyAlignment="1">
      <alignment horizontal="center" vertical="center"/>
    </xf>
    <xf numFmtId="49" fontId="38" fillId="4" borderId="6" xfId="1" applyNumberFormat="1" applyFont="1" applyFill="1" applyBorder="1" applyAlignment="1">
      <alignment horizontal="center" vertical="center"/>
    </xf>
    <xf numFmtId="49" fontId="38" fillId="4" borderId="7" xfId="1" applyNumberFormat="1" applyFont="1" applyFill="1" applyBorder="1" applyAlignment="1">
      <alignment horizontal="center" vertical="center"/>
    </xf>
    <xf numFmtId="49" fontId="38" fillId="4" borderId="8" xfId="1" applyNumberFormat="1" applyFont="1" applyFill="1" applyBorder="1" applyAlignment="1">
      <alignment horizontal="center" vertical="center"/>
    </xf>
    <xf numFmtId="49" fontId="38" fillId="4" borderId="4" xfId="1" applyNumberFormat="1" applyFont="1" applyFill="1" applyBorder="1" applyAlignment="1">
      <alignment horizontal="center" vertical="center"/>
    </xf>
    <xf numFmtId="49" fontId="38" fillId="4" borderId="1" xfId="1" applyNumberFormat="1" applyFont="1" applyFill="1" applyBorder="1" applyAlignment="1">
      <alignment horizontal="center" vertical="center"/>
    </xf>
    <xf numFmtId="49" fontId="38" fillId="4" borderId="5" xfId="1" applyNumberFormat="1" applyFont="1" applyFill="1" applyBorder="1" applyAlignment="1">
      <alignment horizontal="center" vertical="center"/>
    </xf>
    <xf numFmtId="49" fontId="38" fillId="4" borderId="6" xfId="1" applyNumberFormat="1" applyFont="1" applyFill="1" applyBorder="1" applyAlignment="1">
      <alignment horizontal="center" vertical="center" wrapText="1"/>
    </xf>
    <xf numFmtId="49" fontId="38" fillId="4" borderId="7" xfId="1" applyNumberFormat="1" applyFont="1" applyFill="1" applyBorder="1" applyAlignment="1">
      <alignment horizontal="center" vertical="center" wrapText="1"/>
    </xf>
    <xf numFmtId="49" fontId="38" fillId="4" borderId="8" xfId="1" applyNumberFormat="1" applyFont="1" applyFill="1" applyBorder="1" applyAlignment="1">
      <alignment horizontal="center" vertical="center" wrapText="1"/>
    </xf>
    <xf numFmtId="49" fontId="38" fillId="4" borderId="4" xfId="1" applyNumberFormat="1" applyFont="1" applyFill="1" applyBorder="1" applyAlignment="1">
      <alignment horizontal="center" vertical="center" wrapText="1"/>
    </xf>
    <xf numFmtId="49" fontId="38" fillId="4" borderId="1" xfId="1" applyNumberFormat="1" applyFont="1" applyFill="1" applyBorder="1" applyAlignment="1">
      <alignment horizontal="center" vertical="center" wrapText="1"/>
    </xf>
    <xf numFmtId="49" fontId="38" fillId="4" borderId="5" xfId="1" applyNumberFormat="1" applyFont="1" applyFill="1" applyBorder="1" applyAlignment="1">
      <alignment horizontal="center" vertical="center" wrapText="1"/>
    </xf>
    <xf numFmtId="49" fontId="8" fillId="0" borderId="17" xfId="1" applyNumberFormat="1" applyFont="1" applyBorder="1" applyAlignment="1">
      <alignment horizontal="left" vertical="center"/>
    </xf>
    <xf numFmtId="49" fontId="8" fillId="0" borderId="22" xfId="1" applyNumberFormat="1" applyFont="1" applyBorder="1" applyAlignment="1">
      <alignment horizontal="left" vertical="center"/>
    </xf>
    <xf numFmtId="49" fontId="8" fillId="0" borderId="18" xfId="1" applyNumberFormat="1" applyFont="1" applyBorder="1" applyAlignment="1">
      <alignment horizontal="left" vertical="center"/>
    </xf>
    <xf numFmtId="49" fontId="8" fillId="0" borderId="17" xfId="0" applyNumberFormat="1" applyFont="1" applyBorder="1" applyAlignment="1">
      <alignment horizontal="center" vertical="center"/>
    </xf>
    <xf numFmtId="49" fontId="8" fillId="0" borderId="22" xfId="0" applyNumberFormat="1" applyFont="1" applyBorder="1" applyAlignment="1">
      <alignment horizontal="center" vertical="center"/>
    </xf>
    <xf numFmtId="0" fontId="8" fillId="0" borderId="17" xfId="1" applyFont="1" applyBorder="1" applyAlignment="1">
      <alignment horizontal="center" vertical="center"/>
    </xf>
    <xf numFmtId="0" fontId="8" fillId="0" borderId="22" xfId="1" applyFont="1" applyBorder="1" applyAlignment="1">
      <alignment horizontal="center" vertical="center"/>
    </xf>
    <xf numFmtId="0" fontId="8" fillId="0" borderId="18" xfId="1" applyFont="1" applyBorder="1" applyAlignment="1">
      <alignment horizontal="center" vertical="center"/>
    </xf>
    <xf numFmtId="49" fontId="8" fillId="0" borderId="17" xfId="0" applyNumberFormat="1" applyFont="1" applyBorder="1" applyAlignment="1">
      <alignment horizontal="left" vertical="center"/>
    </xf>
    <xf numFmtId="49" fontId="8" fillId="0" borderId="22" xfId="0" applyNumberFormat="1" applyFont="1" applyBorder="1" applyAlignment="1">
      <alignment horizontal="left" vertical="center"/>
    </xf>
    <xf numFmtId="49" fontId="8" fillId="0" borderId="18" xfId="0" applyNumberFormat="1" applyFont="1" applyBorder="1" applyAlignment="1">
      <alignment horizontal="left" vertical="center"/>
    </xf>
    <xf numFmtId="49" fontId="8" fillId="0" borderId="17" xfId="1" applyNumberFormat="1" applyFont="1" applyBorder="1" applyAlignment="1">
      <alignment horizontal="center" vertical="center"/>
    </xf>
    <xf numFmtId="49" fontId="8" fillId="0" borderId="22" xfId="1" applyNumberFormat="1" applyFont="1" applyBorder="1" applyAlignment="1">
      <alignment horizontal="center" vertical="center"/>
    </xf>
    <xf numFmtId="49" fontId="8" fillId="0" borderId="18" xfId="1" applyNumberFormat="1" applyFont="1" applyBorder="1" applyAlignment="1">
      <alignment horizontal="center" vertical="center"/>
    </xf>
    <xf numFmtId="49" fontId="8" fillId="0" borderId="25" xfId="0" applyNumberFormat="1" applyFont="1" applyBorder="1" applyAlignment="1">
      <alignment horizontal="center" vertical="center"/>
    </xf>
    <xf numFmtId="49" fontId="8" fillId="0" borderId="56" xfId="0" applyNumberFormat="1" applyFont="1" applyBorder="1" applyAlignment="1">
      <alignment horizontal="center" vertical="center"/>
    </xf>
    <xf numFmtId="49" fontId="8" fillId="0" borderId="17" xfId="1" applyNumberFormat="1" applyFont="1" applyBorder="1" applyAlignment="1">
      <alignment vertical="center"/>
    </xf>
    <xf numFmtId="49" fontId="8" fillId="0" borderId="22" xfId="1" applyNumberFormat="1" applyFont="1" applyBorder="1" applyAlignment="1">
      <alignment vertical="center"/>
    </xf>
    <xf numFmtId="49" fontId="8" fillId="0" borderId="18" xfId="1" applyNumberFormat="1" applyFont="1" applyBorder="1" applyAlignment="1">
      <alignment vertical="center"/>
    </xf>
    <xf numFmtId="49" fontId="8" fillId="0" borderId="31" xfId="1" applyNumberFormat="1" applyFont="1" applyBorder="1" applyAlignment="1">
      <alignment horizontal="center" vertical="center"/>
    </xf>
    <xf numFmtId="49" fontId="8" fillId="0" borderId="18" xfId="0" applyNumberFormat="1" applyFont="1" applyBorder="1" applyAlignment="1">
      <alignment horizontal="center" vertical="center"/>
    </xf>
    <xf numFmtId="49" fontId="8" fillId="0" borderId="17" xfId="0" applyNumberFormat="1" applyFont="1" applyBorder="1" applyAlignment="1">
      <alignment horizontal="left" vertical="center" wrapText="1"/>
    </xf>
    <xf numFmtId="49" fontId="8" fillId="0" borderId="17" xfId="1" applyNumberFormat="1" applyFont="1" applyBorder="1" applyAlignment="1">
      <alignment vertical="center" wrapText="1"/>
    </xf>
    <xf numFmtId="49" fontId="8" fillId="0" borderId="22" xfId="1" applyNumberFormat="1" applyFont="1" applyBorder="1" applyAlignment="1">
      <alignment vertical="center" wrapText="1"/>
    </xf>
    <xf numFmtId="49" fontId="8" fillId="0" borderId="18" xfId="1" applyNumberFormat="1" applyFont="1" applyBorder="1" applyAlignment="1">
      <alignment vertical="center" wrapText="1"/>
    </xf>
    <xf numFmtId="49" fontId="8" fillId="0" borderId="19" xfId="1" applyNumberFormat="1" applyFont="1" applyBorder="1" applyAlignment="1">
      <alignment horizontal="left" vertical="center"/>
    </xf>
    <xf numFmtId="49" fontId="8" fillId="0" borderId="23" xfId="1" applyNumberFormat="1" applyFont="1" applyBorder="1" applyAlignment="1">
      <alignment horizontal="left" vertical="center"/>
    </xf>
    <xf numFmtId="49" fontId="8" fillId="0" borderId="20" xfId="1" applyNumberFormat="1" applyFont="1" applyBorder="1" applyAlignment="1">
      <alignment horizontal="left" vertical="center"/>
    </xf>
    <xf numFmtId="49" fontId="8" fillId="0" borderId="19" xfId="1" applyNumberFormat="1" applyFont="1" applyBorder="1" applyAlignment="1">
      <alignment horizontal="center" vertical="center"/>
    </xf>
    <xf numFmtId="49" fontId="8" fillId="0" borderId="23" xfId="1" applyNumberFormat="1" applyFont="1" applyBorder="1" applyAlignment="1">
      <alignment horizontal="center" vertical="center"/>
    </xf>
    <xf numFmtId="49" fontId="8" fillId="0" borderId="20" xfId="1" applyNumberFormat="1" applyFont="1" applyBorder="1" applyAlignment="1">
      <alignment horizontal="center" vertical="center"/>
    </xf>
    <xf numFmtId="49" fontId="8" fillId="0" borderId="17" xfId="1" applyNumberFormat="1" applyFont="1" applyBorder="1" applyAlignment="1">
      <alignment horizontal="left" vertical="center" wrapText="1"/>
    </xf>
    <xf numFmtId="49" fontId="8" fillId="0" borderId="17" xfId="0" applyNumberFormat="1" applyFont="1" applyBorder="1" applyAlignment="1">
      <alignment vertical="center"/>
    </xf>
    <xf numFmtId="49" fontId="8" fillId="0" borderId="22" xfId="0" applyNumberFormat="1" applyFont="1" applyBorder="1" applyAlignment="1">
      <alignment vertical="center"/>
    </xf>
    <xf numFmtId="49" fontId="8" fillId="0" borderId="18" xfId="0" applyNumberFormat="1" applyFont="1" applyBorder="1" applyAlignment="1">
      <alignment vertical="center"/>
    </xf>
    <xf numFmtId="49" fontId="8" fillId="0" borderId="31" xfId="0" applyNumberFormat="1" applyFont="1" applyBorder="1" applyAlignment="1">
      <alignment horizontal="center" vertical="center"/>
    </xf>
    <xf numFmtId="49" fontId="6" fillId="0" borderId="17"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8" fillId="0" borderId="17" xfId="0" quotePrefix="1" applyNumberFormat="1" applyFont="1" applyBorder="1" applyAlignment="1">
      <alignment horizontal="center" vertical="center"/>
    </xf>
    <xf numFmtId="49" fontId="8" fillId="0" borderId="31" xfId="0" quotePrefix="1" applyNumberFormat="1" applyFont="1" applyBorder="1" applyAlignment="1">
      <alignment horizontal="center" vertical="center"/>
    </xf>
    <xf numFmtId="49" fontId="8" fillId="0" borderId="17" xfId="0" applyNumberFormat="1" applyFont="1" applyBorder="1" applyAlignment="1">
      <alignment horizontal="center" vertical="center" wrapText="1"/>
    </xf>
    <xf numFmtId="49" fontId="8" fillId="0" borderId="22" xfId="0" applyNumberFormat="1" applyFont="1" applyBorder="1" applyAlignment="1">
      <alignment horizontal="center" vertical="center" wrapText="1"/>
    </xf>
    <xf numFmtId="49" fontId="8" fillId="0" borderId="18" xfId="0" applyNumberFormat="1" applyFont="1" applyBorder="1" applyAlignment="1">
      <alignment horizontal="center" vertical="center" wrapText="1"/>
    </xf>
    <xf numFmtId="49" fontId="8" fillId="0" borderId="26" xfId="0" applyNumberFormat="1" applyFont="1" applyBorder="1" applyAlignment="1">
      <alignment horizontal="center" vertical="center"/>
    </xf>
    <xf numFmtId="49" fontId="8" fillId="0" borderId="30" xfId="1" applyNumberFormat="1" applyFont="1" applyBorder="1" applyAlignment="1">
      <alignment horizontal="center" vertical="center"/>
    </xf>
    <xf numFmtId="49" fontId="8" fillId="0" borderId="25" xfId="1" applyNumberFormat="1" applyFont="1" applyBorder="1" applyAlignment="1">
      <alignment horizontal="left" vertical="center"/>
    </xf>
    <xf numFmtId="49" fontId="8" fillId="0" borderId="56" xfId="1" applyNumberFormat="1" applyFont="1" applyBorder="1" applyAlignment="1">
      <alignment horizontal="left" vertical="center"/>
    </xf>
    <xf numFmtId="49" fontId="8" fillId="0" borderId="26" xfId="1" applyNumberFormat="1" applyFont="1" applyBorder="1" applyAlignment="1">
      <alignment horizontal="left" vertical="center"/>
    </xf>
    <xf numFmtId="0" fontId="8" fillId="0" borderId="19" xfId="1" applyFont="1" applyBorder="1" applyAlignment="1">
      <alignment horizontal="center" vertical="center"/>
    </xf>
    <xf numFmtId="0" fontId="8" fillId="0" borderId="23" xfId="1" applyFont="1" applyBorder="1" applyAlignment="1">
      <alignment horizontal="center" vertical="center"/>
    </xf>
    <xf numFmtId="0" fontId="8" fillId="0" borderId="20" xfId="1" applyFont="1" applyBorder="1" applyAlignment="1">
      <alignment horizontal="center" vertical="center"/>
    </xf>
    <xf numFmtId="49" fontId="8" fillId="0" borderId="33" xfId="1" applyNumberFormat="1" applyFont="1" applyBorder="1" applyAlignment="1">
      <alignment horizontal="center" vertical="center"/>
    </xf>
    <xf numFmtId="49" fontId="8" fillId="0" borderId="22" xfId="1" applyNumberFormat="1" applyFont="1" applyBorder="1" applyAlignment="1">
      <alignment horizontal="left" vertical="center" wrapText="1"/>
    </xf>
    <xf numFmtId="49" fontId="8" fillId="0" borderId="18" xfId="1" applyNumberFormat="1" applyFont="1" applyBorder="1" applyAlignment="1">
      <alignment horizontal="left" vertical="center" wrapText="1"/>
    </xf>
    <xf numFmtId="49" fontId="8" fillId="0" borderId="27" xfId="1" applyNumberFormat="1" applyFont="1" applyBorder="1" applyAlignment="1">
      <alignment horizontal="center" vertical="center"/>
    </xf>
    <xf numFmtId="49" fontId="8" fillId="0" borderId="28" xfId="1" applyNumberFormat="1" applyFont="1" applyBorder="1" applyAlignment="1">
      <alignment horizontal="center" vertical="center"/>
    </xf>
    <xf numFmtId="49" fontId="8" fillId="0" borderId="29" xfId="1" applyNumberFormat="1" applyFont="1" applyBorder="1" applyAlignment="1">
      <alignment horizontal="center" vertical="center"/>
    </xf>
    <xf numFmtId="49" fontId="8" fillId="0" borderId="9" xfId="1" applyNumberFormat="1" applyFont="1" applyBorder="1" applyAlignment="1">
      <alignment horizontal="left" vertical="center"/>
    </xf>
    <xf numFmtId="0" fontId="8" fillId="0" borderId="10" xfId="1" applyFont="1" applyBorder="1" applyAlignment="1">
      <alignment horizontal="left" vertical="center"/>
    </xf>
    <xf numFmtId="0" fontId="8" fillId="0" borderId="11" xfId="1" applyFont="1" applyBorder="1" applyAlignment="1">
      <alignment horizontal="left" vertical="center"/>
    </xf>
    <xf numFmtId="49" fontId="8" fillId="0" borderId="6" xfId="1" applyNumberFormat="1" applyFont="1" applyBorder="1" applyAlignment="1">
      <alignment horizontal="center" vertical="center"/>
    </xf>
    <xf numFmtId="49" fontId="8" fillId="0" borderId="7" xfId="1" applyNumberFormat="1" applyFont="1" applyBorder="1" applyAlignment="1">
      <alignment horizontal="center" vertical="center"/>
    </xf>
    <xf numFmtId="49" fontId="8" fillId="0" borderId="8" xfId="1" applyNumberFormat="1" applyFont="1" applyBorder="1" applyAlignment="1">
      <alignment horizontal="center" vertical="center"/>
    </xf>
    <xf numFmtId="49" fontId="8" fillId="0" borderId="4" xfId="1" applyNumberFormat="1" applyFont="1" applyBorder="1" applyAlignment="1">
      <alignment horizontal="center" vertical="center"/>
    </xf>
    <xf numFmtId="49" fontId="8" fillId="0" borderId="1" xfId="1" applyNumberFormat="1" applyFont="1" applyBorder="1" applyAlignment="1">
      <alignment horizontal="center" vertical="center"/>
    </xf>
    <xf numFmtId="49" fontId="8" fillId="0" borderId="5" xfId="1" applyNumberFormat="1" applyFont="1" applyBorder="1" applyAlignment="1">
      <alignment horizontal="center" vertical="center"/>
    </xf>
    <xf numFmtId="49" fontId="8" fillId="0" borderId="10" xfId="1" applyNumberFormat="1" applyFont="1" applyBorder="1" applyAlignment="1">
      <alignment horizontal="left" vertical="center"/>
    </xf>
    <xf numFmtId="49" fontId="8" fillId="0" borderId="11" xfId="1" applyNumberFormat="1" applyFont="1" applyBorder="1" applyAlignment="1">
      <alignment horizontal="left" vertical="center"/>
    </xf>
    <xf numFmtId="49" fontId="8" fillId="0" borderId="57" xfId="0" applyNumberFormat="1" applyFont="1" applyBorder="1" applyAlignment="1">
      <alignment horizontal="left" vertical="center"/>
    </xf>
    <xf numFmtId="14" fontId="8" fillId="0" borderId="9" xfId="1" applyNumberFormat="1" applyFont="1" applyBorder="1" applyAlignment="1">
      <alignment horizontal="center" vertical="center"/>
    </xf>
    <xf numFmtId="14" fontId="8" fillId="0" borderId="10" xfId="1" applyNumberFormat="1" applyFont="1" applyBorder="1" applyAlignment="1">
      <alignment horizontal="center" vertical="center"/>
    </xf>
    <xf numFmtId="14" fontId="8" fillId="0" borderId="11" xfId="1" applyNumberFormat="1" applyFont="1" applyBorder="1" applyAlignment="1">
      <alignment horizontal="center" vertical="center"/>
    </xf>
    <xf numFmtId="49" fontId="8" fillId="0" borderId="52" xfId="0" applyNumberFormat="1" applyFont="1" applyBorder="1" applyAlignment="1">
      <alignment horizontal="center" vertical="center"/>
    </xf>
    <xf numFmtId="49" fontId="23" fillId="0" borderId="17" xfId="0" applyNumberFormat="1" applyFont="1" applyBorder="1" applyAlignment="1">
      <alignment horizontal="left" vertical="center" wrapText="1"/>
    </xf>
    <xf numFmtId="49" fontId="23" fillId="0" borderId="22" xfId="0" applyNumberFormat="1" applyFont="1" applyBorder="1" applyAlignment="1">
      <alignment horizontal="left" vertical="center" wrapText="1"/>
    </xf>
    <xf numFmtId="49" fontId="23" fillId="0" borderId="18" xfId="0" applyNumberFormat="1" applyFont="1" applyBorder="1" applyAlignment="1">
      <alignment horizontal="left" vertical="center" wrapText="1"/>
    </xf>
    <xf numFmtId="49" fontId="8" fillId="0" borderId="24" xfId="0" applyNumberFormat="1" applyFont="1" applyBorder="1" applyAlignment="1">
      <alignment horizontal="left" vertical="center"/>
    </xf>
    <xf numFmtId="49" fontId="8" fillId="0" borderId="54" xfId="0" applyNumberFormat="1" applyFont="1" applyBorder="1" applyAlignment="1">
      <alignment horizontal="center" vertical="center"/>
    </xf>
    <xf numFmtId="49" fontId="8" fillId="0" borderId="54" xfId="0" applyNumberFormat="1" applyFont="1" applyBorder="1" applyAlignment="1">
      <alignment horizontal="left" vertical="center"/>
    </xf>
    <xf numFmtId="49" fontId="8" fillId="0" borderId="15"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0" borderId="57" xfId="0" applyNumberFormat="1" applyFont="1" applyBorder="1" applyAlignment="1">
      <alignment horizontal="center" vertical="center"/>
    </xf>
    <xf numFmtId="49" fontId="8" fillId="0" borderId="19" xfId="0" applyNumberFormat="1" applyFont="1" applyBorder="1" applyAlignment="1">
      <alignment horizontal="center" vertical="center"/>
    </xf>
    <xf numFmtId="49" fontId="8" fillId="0" borderId="2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10" fillId="0" borderId="12" xfId="1" applyNumberFormat="1" applyFont="1" applyBorder="1" applyAlignment="1">
      <alignment horizontal="center" vertical="center"/>
    </xf>
    <xf numFmtId="49" fontId="10" fillId="0" borderId="13" xfId="1" applyNumberFormat="1" applyFont="1" applyBorder="1" applyAlignment="1">
      <alignment horizontal="center" vertical="center"/>
    </xf>
    <xf numFmtId="49" fontId="10" fillId="0" borderId="14" xfId="1" applyNumberFormat="1" applyFont="1" applyBorder="1" applyAlignment="1">
      <alignment horizontal="center" vertical="center"/>
    </xf>
    <xf numFmtId="49" fontId="8" fillId="0" borderId="55" xfId="0" applyNumberFormat="1" applyFont="1" applyBorder="1" applyAlignment="1">
      <alignment horizontal="center" vertical="center"/>
    </xf>
    <xf numFmtId="49" fontId="8" fillId="0" borderId="55" xfId="0" applyNumberFormat="1" applyFont="1" applyBorder="1" applyAlignment="1">
      <alignment horizontal="left" vertical="center"/>
    </xf>
    <xf numFmtId="49" fontId="8" fillId="0" borderId="6" xfId="1" applyNumberFormat="1" applyFont="1" applyBorder="1" applyAlignment="1">
      <alignment horizontal="center" vertical="center" wrapText="1"/>
    </xf>
    <xf numFmtId="49" fontId="8" fillId="0" borderId="7" xfId="1" applyNumberFormat="1" applyFont="1" applyBorder="1" applyAlignment="1">
      <alignment horizontal="center" vertical="center" wrapText="1"/>
    </xf>
    <xf numFmtId="49" fontId="8" fillId="0" borderId="8" xfId="1" applyNumberFormat="1" applyFont="1" applyBorder="1" applyAlignment="1">
      <alignment horizontal="center" vertical="center" wrapText="1"/>
    </xf>
    <xf numFmtId="49" fontId="8" fillId="0" borderId="4" xfId="1" applyNumberFormat="1" applyFont="1" applyBorder="1" applyAlignment="1">
      <alignment horizontal="center" vertical="center" wrapText="1"/>
    </xf>
    <xf numFmtId="49" fontId="8" fillId="0" borderId="1" xfId="1" applyNumberFormat="1" applyFont="1" applyBorder="1" applyAlignment="1">
      <alignment horizontal="center" vertical="center" wrapText="1"/>
    </xf>
    <xf numFmtId="49" fontId="8" fillId="0" borderId="5" xfId="1" applyNumberFormat="1" applyFont="1" applyBorder="1" applyAlignment="1">
      <alignment horizontal="center" vertical="center" wrapText="1"/>
    </xf>
    <xf numFmtId="49" fontId="8" fillId="0" borderId="58" xfId="1" applyNumberFormat="1" applyFont="1" applyBorder="1" applyAlignment="1">
      <alignment horizontal="center" vertical="center"/>
    </xf>
    <xf numFmtId="0" fontId="8" fillId="0" borderId="6" xfId="1" applyFont="1" applyBorder="1" applyAlignment="1">
      <alignment horizontal="center" vertical="center"/>
    </xf>
    <xf numFmtId="0" fontId="8" fillId="0" borderId="7" xfId="1" applyFont="1" applyBorder="1" applyAlignment="1">
      <alignment horizontal="center" vertical="center"/>
    </xf>
    <xf numFmtId="0" fontId="8" fillId="0" borderId="8" xfId="1" applyFont="1" applyBorder="1" applyAlignment="1">
      <alignment horizontal="center" vertical="center"/>
    </xf>
    <xf numFmtId="49" fontId="8" fillId="0" borderId="50" xfId="1" applyNumberFormat="1" applyFont="1" applyBorder="1" applyAlignment="1">
      <alignment horizontal="center" vertical="center"/>
    </xf>
    <xf numFmtId="49" fontId="8" fillId="0" borderId="48" xfId="1" applyNumberFormat="1" applyFont="1" applyBorder="1" applyAlignment="1">
      <alignment horizontal="center" vertical="center"/>
    </xf>
    <xf numFmtId="14" fontId="8" fillId="0" borderId="9" xfId="0" applyNumberFormat="1" applyFont="1" applyBorder="1" applyAlignment="1">
      <alignment horizontal="center" vertical="center"/>
    </xf>
    <xf numFmtId="49" fontId="8" fillId="0" borderId="17" xfId="0" quotePrefix="1" applyNumberFormat="1" applyFont="1" applyBorder="1" applyAlignment="1">
      <alignment horizontal="left" vertical="center" wrapText="1"/>
    </xf>
    <xf numFmtId="49" fontId="8" fillId="0" borderId="22" xfId="0" quotePrefix="1" applyNumberFormat="1" applyFont="1" applyBorder="1" applyAlignment="1">
      <alignment horizontal="left" vertical="center" wrapText="1"/>
    </xf>
    <xf numFmtId="49" fontId="8" fillId="0" borderId="18" xfId="0" quotePrefix="1" applyNumberFormat="1" applyFont="1" applyBorder="1" applyAlignment="1">
      <alignment horizontal="left" vertical="center" wrapText="1"/>
    </xf>
    <xf numFmtId="0" fontId="8" fillId="0" borderId="17" xfId="0" quotePrefix="1" applyFont="1" applyBorder="1" applyAlignment="1">
      <alignment horizontal="center" vertical="center"/>
    </xf>
    <xf numFmtId="0" fontId="8" fillId="0" borderId="22" xfId="0" applyFont="1" applyBorder="1" applyAlignment="1">
      <alignment horizontal="center" vertical="center"/>
    </xf>
    <xf numFmtId="0" fontId="8" fillId="0" borderId="18" xfId="0" applyFont="1" applyBorder="1" applyAlignment="1">
      <alignment horizontal="center" vertical="center"/>
    </xf>
    <xf numFmtId="49" fontId="8" fillId="0" borderId="50" xfId="0" applyNumberFormat="1" applyFont="1" applyBorder="1" applyAlignment="1">
      <alignment horizontal="center" vertical="center"/>
    </xf>
    <xf numFmtId="49" fontId="8" fillId="0" borderId="48" xfId="0" applyNumberFormat="1" applyFont="1" applyBorder="1" applyAlignment="1">
      <alignment horizontal="center" vertical="center"/>
    </xf>
    <xf numFmtId="49" fontId="8" fillId="0" borderId="49" xfId="0" applyNumberFormat="1" applyFont="1" applyBorder="1" applyAlignment="1">
      <alignment horizontal="center" vertical="center"/>
    </xf>
    <xf numFmtId="49" fontId="10" fillId="0" borderId="9" xfId="0" applyNumberFormat="1" applyFont="1" applyBorder="1" applyAlignment="1">
      <alignment horizontal="center" vertical="center" wrapText="1"/>
    </xf>
    <xf numFmtId="49" fontId="10" fillId="0" borderId="10" xfId="0" applyNumberFormat="1" applyFont="1" applyBorder="1" applyAlignment="1">
      <alignment horizontal="center" vertical="center" wrapText="1"/>
    </xf>
    <xf numFmtId="49" fontId="10" fillId="0" borderId="11"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22" xfId="0" quotePrefix="1" applyNumberFormat="1" applyFont="1" applyBorder="1" applyAlignment="1">
      <alignment horizontal="left" vertical="center"/>
    </xf>
    <xf numFmtId="49" fontId="8" fillId="0" borderId="18" xfId="0" quotePrefix="1" applyNumberFormat="1" applyFont="1" applyBorder="1" applyAlignment="1">
      <alignment horizontal="left" vertical="center"/>
    </xf>
    <xf numFmtId="49" fontId="8" fillId="0" borderId="6" xfId="0" applyNumberFormat="1" applyFont="1" applyBorder="1" applyAlignment="1">
      <alignment horizontal="left" vertical="center"/>
    </xf>
    <xf numFmtId="49" fontId="8" fillId="0" borderId="7" xfId="0" applyNumberFormat="1" applyFont="1" applyBorder="1" applyAlignment="1">
      <alignment horizontal="left" vertical="center"/>
    </xf>
    <xf numFmtId="49" fontId="8" fillId="0" borderId="8" xfId="0" applyNumberFormat="1" applyFont="1" applyBorder="1" applyAlignment="1">
      <alignment horizontal="left" vertical="center"/>
    </xf>
    <xf numFmtId="49" fontId="8" fillId="0" borderId="6" xfId="0" applyNumberFormat="1" applyFont="1" applyBorder="1" applyAlignment="1">
      <alignment horizontal="center" vertical="center"/>
    </xf>
    <xf numFmtId="49" fontId="8" fillId="0" borderId="7" xfId="0" applyNumberFormat="1" applyFont="1" applyBorder="1" applyAlignment="1">
      <alignment horizontal="center" vertical="center"/>
    </xf>
    <xf numFmtId="49" fontId="8" fillId="0" borderId="8" xfId="0" applyNumberFormat="1" applyFont="1" applyBorder="1" applyAlignment="1">
      <alignment horizontal="center" vertical="center"/>
    </xf>
    <xf numFmtId="49" fontId="8" fillId="0" borderId="6" xfId="0" quotePrefix="1" applyNumberFormat="1" applyFont="1" applyBorder="1" applyAlignment="1">
      <alignment horizontal="left" vertical="center" wrapText="1"/>
    </xf>
    <xf numFmtId="49" fontId="8" fillId="0" borderId="7" xfId="0" quotePrefix="1" applyNumberFormat="1" applyFont="1" applyBorder="1" applyAlignment="1">
      <alignment horizontal="left" vertical="center" wrapText="1"/>
    </xf>
    <xf numFmtId="49" fontId="8" fillId="0" borderId="8" xfId="0" quotePrefix="1" applyNumberFormat="1" applyFont="1" applyBorder="1" applyAlignment="1">
      <alignment horizontal="left" vertical="center" wrapText="1"/>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0" xfId="0" applyFont="1" applyBorder="1" applyAlignment="1">
      <alignment horizontal="center" vertical="center"/>
    </xf>
    <xf numFmtId="49" fontId="8" fillId="0" borderId="19" xfId="0" applyNumberFormat="1" applyFont="1" applyBorder="1" applyAlignment="1">
      <alignment horizontal="left" vertical="center"/>
    </xf>
    <xf numFmtId="49" fontId="8" fillId="0" borderId="23" xfId="0" applyNumberFormat="1" applyFont="1" applyBorder="1" applyAlignment="1">
      <alignment horizontal="left" vertical="center"/>
    </xf>
    <xf numFmtId="49" fontId="8" fillId="0" borderId="20" xfId="0" applyNumberFormat="1" applyFont="1" applyBorder="1" applyAlignment="1">
      <alignment horizontal="left" vertical="center"/>
    </xf>
    <xf numFmtId="0" fontId="8" fillId="0" borderId="17" xfId="0" applyFont="1" applyBorder="1" applyAlignment="1">
      <alignment horizontal="center" vertical="center"/>
    </xf>
    <xf numFmtId="49" fontId="12" fillId="0" borderId="17" xfId="0" applyNumberFormat="1" applyFont="1" applyBorder="1" applyAlignment="1">
      <alignment vertical="center" wrapText="1"/>
    </xf>
    <xf numFmtId="49" fontId="12" fillId="0" borderId="22" xfId="0" applyNumberFormat="1" applyFont="1" applyBorder="1" applyAlignment="1">
      <alignment vertical="center" wrapText="1"/>
    </xf>
    <xf numFmtId="49" fontId="12" fillId="0" borderId="18" xfId="0" applyNumberFormat="1" applyFont="1" applyBorder="1" applyAlignment="1">
      <alignment vertical="center" wrapText="1"/>
    </xf>
    <xf numFmtId="49" fontId="12" fillId="0" borderId="17" xfId="0" applyNumberFormat="1" applyFont="1" applyBorder="1" applyAlignment="1">
      <alignment horizontal="left" vertical="center" wrapText="1"/>
    </xf>
    <xf numFmtId="49" fontId="12" fillId="0" borderId="22" xfId="0" applyNumberFormat="1" applyFont="1" applyBorder="1" applyAlignment="1">
      <alignment horizontal="left" vertical="center" wrapText="1"/>
    </xf>
    <xf numFmtId="49" fontId="12" fillId="0" borderId="18" xfId="0" applyNumberFormat="1" applyFont="1" applyBorder="1" applyAlignment="1">
      <alignment horizontal="left" vertical="center" wrapText="1"/>
    </xf>
    <xf numFmtId="49" fontId="23" fillId="0" borderId="17" xfId="0" applyNumberFormat="1" applyFont="1" applyBorder="1" applyAlignment="1">
      <alignment horizontal="center" vertical="center"/>
    </xf>
    <xf numFmtId="49" fontId="23" fillId="0" borderId="22" xfId="0" applyNumberFormat="1" applyFont="1" applyBorder="1" applyAlignment="1">
      <alignment horizontal="center" vertical="center"/>
    </xf>
    <xf numFmtId="49" fontId="23" fillId="0" borderId="18" xfId="0" applyNumberFormat="1" applyFont="1" applyBorder="1" applyAlignment="1">
      <alignment horizontal="center" vertical="center"/>
    </xf>
    <xf numFmtId="49" fontId="8" fillId="0" borderId="19" xfId="0" applyNumberFormat="1" applyFont="1" applyBorder="1" applyAlignment="1">
      <alignment horizontal="left" vertical="center" wrapText="1"/>
    </xf>
    <xf numFmtId="49" fontId="8" fillId="0" borderId="23" xfId="0" applyNumberFormat="1" applyFont="1" applyBorder="1" applyAlignment="1">
      <alignment horizontal="left" vertical="center" wrapText="1"/>
    </xf>
    <xf numFmtId="49" fontId="8" fillId="0" borderId="20" xfId="0" applyNumberFormat="1" applyFont="1" applyBorder="1" applyAlignment="1">
      <alignment horizontal="left" vertical="center" wrapText="1"/>
    </xf>
    <xf numFmtId="49" fontId="8" fillId="0" borderId="22" xfId="0" applyNumberFormat="1" applyFont="1" applyBorder="1" applyAlignment="1">
      <alignment horizontal="left" vertical="center" wrapText="1"/>
    </xf>
    <xf numFmtId="49" fontId="8" fillId="0" borderId="18" xfId="0" applyNumberFormat="1" applyFont="1" applyBorder="1" applyAlignment="1">
      <alignment horizontal="left" vertical="center" wrapText="1"/>
    </xf>
    <xf numFmtId="49" fontId="28" fillId="2" borderId="7" xfId="2" applyNumberFormat="1" applyFont="1" applyFill="1" applyBorder="1" applyAlignment="1">
      <alignment horizontal="right" vertical="center" wrapText="1"/>
    </xf>
    <xf numFmtId="176" fontId="27" fillId="0" borderId="9" xfId="5" applyNumberFormat="1" applyFont="1" applyBorder="1" applyAlignment="1">
      <alignment horizontal="right" vertical="center"/>
    </xf>
    <xf numFmtId="176" fontId="27" fillId="0" borderId="10" xfId="5" applyNumberFormat="1" applyFont="1" applyBorder="1" applyAlignment="1">
      <alignment horizontal="right" vertical="center"/>
    </xf>
    <xf numFmtId="176" fontId="27" fillId="0" borderId="11" xfId="5" applyNumberFormat="1" applyFont="1" applyBorder="1" applyAlignment="1">
      <alignment horizontal="right" vertical="center"/>
    </xf>
    <xf numFmtId="49" fontId="8" fillId="3" borderId="9" xfId="0" applyNumberFormat="1" applyFont="1" applyFill="1" applyBorder="1" applyAlignment="1">
      <alignment horizontal="left" vertical="top" wrapText="1"/>
    </xf>
    <xf numFmtId="49" fontId="8" fillId="3" borderId="10" xfId="0" applyNumberFormat="1" applyFont="1" applyFill="1" applyBorder="1" applyAlignment="1">
      <alignment horizontal="left" vertical="top" wrapText="1"/>
    </xf>
    <xf numFmtId="49" fontId="8" fillId="3" borderId="11" xfId="0" applyNumberFormat="1" applyFont="1" applyFill="1" applyBorder="1" applyAlignment="1">
      <alignment horizontal="left" vertical="top" wrapText="1"/>
    </xf>
    <xf numFmtId="49" fontId="46" fillId="2" borderId="35" xfId="2" applyNumberFormat="1" applyFont="1" applyFill="1" applyBorder="1" applyAlignment="1">
      <alignment horizontal="center" vertical="center"/>
    </xf>
    <xf numFmtId="49" fontId="46" fillId="2" borderId="0" xfId="2" applyNumberFormat="1" applyFont="1" applyFill="1" applyAlignment="1">
      <alignment horizontal="center" vertical="center"/>
    </xf>
    <xf numFmtId="49" fontId="46" fillId="2" borderId="38" xfId="2" applyNumberFormat="1" applyFont="1" applyFill="1" applyBorder="1" applyAlignment="1">
      <alignment horizontal="center" vertical="center"/>
    </xf>
    <xf numFmtId="49" fontId="27" fillId="3" borderId="9" xfId="5" applyNumberFormat="1" applyFont="1" applyFill="1" applyBorder="1" applyAlignment="1">
      <alignment horizontal="right" vertical="center"/>
    </xf>
    <xf numFmtId="49" fontId="27" fillId="3" borderId="10" xfId="5" applyNumberFormat="1" applyFont="1" applyFill="1" applyBorder="1" applyAlignment="1">
      <alignment horizontal="right" vertical="center"/>
    </xf>
    <xf numFmtId="49" fontId="27" fillId="3" borderId="11" xfId="5" applyNumberFormat="1" applyFont="1" applyFill="1" applyBorder="1" applyAlignment="1">
      <alignment horizontal="right" vertical="center"/>
    </xf>
    <xf numFmtId="49" fontId="27" fillId="3" borderId="9" xfId="5" applyNumberFormat="1" applyFont="1" applyFill="1" applyBorder="1">
      <alignment vertical="center"/>
    </xf>
    <xf numFmtId="49" fontId="27" fillId="3" borderId="10" xfId="5" applyNumberFormat="1" applyFont="1" applyFill="1" applyBorder="1">
      <alignment vertical="center"/>
    </xf>
    <xf numFmtId="49" fontId="27" fillId="3" borderId="11" xfId="5" applyNumberFormat="1" applyFont="1" applyFill="1" applyBorder="1">
      <alignment vertical="center"/>
    </xf>
    <xf numFmtId="49" fontId="27" fillId="6" borderId="9" xfId="5" applyNumberFormat="1" applyFont="1" applyFill="1" applyBorder="1" applyAlignment="1">
      <alignment horizontal="center" vertical="center"/>
    </xf>
    <xf numFmtId="49" fontId="27" fillId="6" borderId="10" xfId="5" applyNumberFormat="1" applyFont="1" applyFill="1" applyBorder="1" applyAlignment="1">
      <alignment horizontal="center" vertical="center"/>
    </xf>
    <xf numFmtId="49" fontId="27" fillId="6" borderId="11" xfId="5" applyNumberFormat="1" applyFont="1" applyFill="1" applyBorder="1" applyAlignment="1">
      <alignment horizontal="center" vertical="center"/>
    </xf>
    <xf numFmtId="49" fontId="27" fillId="6" borderId="6" xfId="5" applyNumberFormat="1" applyFont="1" applyFill="1" applyBorder="1" applyAlignment="1">
      <alignment horizontal="center" vertical="center"/>
    </xf>
    <xf numFmtId="49" fontId="27" fillId="6" borderId="7" xfId="5" applyNumberFormat="1" applyFont="1" applyFill="1" applyBorder="1" applyAlignment="1">
      <alignment horizontal="center" vertical="center"/>
    </xf>
    <xf numFmtId="49" fontId="27" fillId="6" borderId="8" xfId="5" applyNumberFormat="1" applyFont="1" applyFill="1" applyBorder="1" applyAlignment="1">
      <alignment horizontal="center" vertical="center"/>
    </xf>
    <xf numFmtId="49" fontId="27" fillId="6" borderId="2" xfId="5" applyNumberFormat="1" applyFont="1" applyFill="1" applyBorder="1" applyAlignment="1">
      <alignment horizontal="center" vertical="center"/>
    </xf>
    <xf numFmtId="49" fontId="27" fillId="6" borderId="0" xfId="5" applyNumberFormat="1" applyFont="1" applyFill="1" applyAlignment="1">
      <alignment horizontal="center" vertical="center"/>
    </xf>
    <xf numFmtId="49" fontId="27" fillId="6" borderId="3" xfId="5" applyNumberFormat="1" applyFont="1" applyFill="1" applyBorder="1" applyAlignment="1">
      <alignment horizontal="center" vertical="center"/>
    </xf>
    <xf numFmtId="49" fontId="27" fillId="6" borderId="6" xfId="5" applyNumberFormat="1" applyFont="1" applyFill="1" applyBorder="1" applyAlignment="1">
      <alignment horizontal="center" vertical="center" wrapText="1"/>
    </xf>
    <xf numFmtId="49" fontId="31" fillId="6" borderId="9" xfId="2" applyNumberFormat="1" applyFont="1" applyFill="1" applyBorder="1" applyAlignment="1">
      <alignment horizontal="center" vertical="center" wrapText="1"/>
    </xf>
    <xf numFmtId="49" fontId="31" fillId="6" borderId="10" xfId="2" applyNumberFormat="1" applyFont="1" applyFill="1" applyBorder="1" applyAlignment="1">
      <alignment horizontal="center" vertical="center" wrapText="1"/>
    </xf>
    <xf numFmtId="49" fontId="31" fillId="6" borderId="11" xfId="2" applyNumberFormat="1" applyFont="1" applyFill="1" applyBorder="1" applyAlignment="1">
      <alignment horizontal="center" vertical="center" wrapText="1"/>
    </xf>
    <xf numFmtId="49" fontId="27" fillId="2" borderId="7" xfId="5" applyNumberFormat="1" applyFont="1" applyFill="1" applyBorder="1">
      <alignment vertical="center"/>
    </xf>
    <xf numFmtId="49" fontId="27" fillId="2" borderId="7" xfId="5" applyNumberFormat="1" applyFont="1" applyFill="1" applyBorder="1" applyAlignment="1">
      <alignment horizontal="right" vertical="center"/>
    </xf>
    <xf numFmtId="49" fontId="27" fillId="6" borderId="7" xfId="5" applyNumberFormat="1" applyFont="1" applyFill="1" applyBorder="1" applyAlignment="1">
      <alignment horizontal="center" vertical="center" wrapText="1"/>
    </xf>
    <xf numFmtId="49" fontId="27" fillId="6" borderId="8" xfId="5" applyNumberFormat="1" applyFont="1" applyFill="1" applyBorder="1" applyAlignment="1">
      <alignment horizontal="center" vertical="center" wrapText="1"/>
    </xf>
    <xf numFmtId="49" fontId="27" fillId="6" borderId="4" xfId="5" applyNumberFormat="1" applyFont="1" applyFill="1" applyBorder="1" applyAlignment="1">
      <alignment horizontal="center" vertical="center" wrapText="1"/>
    </xf>
    <xf numFmtId="49" fontId="27" fillId="6" borderId="1" xfId="5" applyNumberFormat="1" applyFont="1" applyFill="1" applyBorder="1" applyAlignment="1">
      <alignment horizontal="center" vertical="center" wrapText="1"/>
    </xf>
    <xf numFmtId="49" fontId="27" fillId="6" borderId="5" xfId="5" applyNumberFormat="1" applyFont="1" applyFill="1" applyBorder="1" applyAlignment="1">
      <alignment horizontal="center" vertical="center" wrapText="1"/>
    </xf>
    <xf numFmtId="49" fontId="27" fillId="6" borderId="4" xfId="5" applyNumberFormat="1" applyFont="1" applyFill="1" applyBorder="1" applyAlignment="1">
      <alignment horizontal="center" vertical="center"/>
    </xf>
    <xf numFmtId="49" fontId="27" fillId="6" borderId="1" xfId="5" applyNumberFormat="1" applyFont="1" applyFill="1" applyBorder="1" applyAlignment="1">
      <alignment horizontal="center" vertical="center"/>
    </xf>
    <xf numFmtId="49" fontId="27" fillId="6" borderId="5" xfId="5" applyNumberFormat="1" applyFont="1" applyFill="1" applyBorder="1" applyAlignment="1">
      <alignment horizontal="center" vertical="center"/>
    </xf>
    <xf numFmtId="49" fontId="31" fillId="3" borderId="9" xfId="2" applyNumberFormat="1" applyFont="1" applyFill="1" applyBorder="1" applyAlignment="1">
      <alignment horizontal="center" vertical="center" wrapText="1"/>
    </xf>
    <xf numFmtId="49" fontId="31" fillId="3" borderId="11" xfId="2" applyNumberFormat="1" applyFont="1" applyFill="1" applyBorder="1" applyAlignment="1">
      <alignment horizontal="center" vertical="center" wrapText="1"/>
    </xf>
    <xf numFmtId="49" fontId="27" fillId="6" borderId="2" xfId="5" applyNumberFormat="1" applyFont="1" applyFill="1" applyBorder="1" applyAlignment="1">
      <alignment horizontal="center" vertical="center" wrapText="1"/>
    </xf>
    <xf numFmtId="49" fontId="27" fillId="3" borderId="4" xfId="5" applyNumberFormat="1" applyFont="1" applyFill="1" applyBorder="1" applyAlignment="1">
      <alignment horizontal="left" vertical="center"/>
    </xf>
    <xf numFmtId="49" fontId="27" fillId="3" borderId="1" xfId="5" applyNumberFormat="1" applyFont="1" applyFill="1" applyBorder="1" applyAlignment="1">
      <alignment horizontal="left" vertical="center"/>
    </xf>
    <xf numFmtId="49" fontId="27" fillId="3" borderId="5" xfId="5" applyNumberFormat="1" applyFont="1" applyFill="1" applyBorder="1" applyAlignment="1">
      <alignment horizontal="left" vertical="center"/>
    </xf>
    <xf numFmtId="49" fontId="27" fillId="0" borderId="9" xfId="5" applyNumberFormat="1" applyFont="1" applyBorder="1" applyAlignment="1">
      <alignment horizontal="right" vertical="center"/>
    </xf>
    <xf numFmtId="49" fontId="27" fillId="0" borderId="10" xfId="5" applyNumberFormat="1" applyFont="1" applyBorder="1" applyAlignment="1">
      <alignment horizontal="right" vertical="center"/>
    </xf>
    <xf numFmtId="49" fontId="27" fillId="0" borderId="11" xfId="5" applyNumberFormat="1" applyFont="1" applyBorder="1" applyAlignment="1">
      <alignment horizontal="right" vertical="center"/>
    </xf>
    <xf numFmtId="0" fontId="8" fillId="0" borderId="0" xfId="0" applyFont="1" applyAlignment="1">
      <alignment horizontal="center" vertical="center"/>
    </xf>
    <xf numFmtId="49" fontId="8" fillId="0" borderId="30" xfId="0" applyNumberFormat="1" applyFont="1" applyBorder="1" applyAlignment="1">
      <alignment horizontal="center" vertical="center"/>
    </xf>
    <xf numFmtId="0" fontId="8" fillId="0" borderId="22" xfId="0" applyFont="1" applyBorder="1" applyAlignment="1">
      <alignment horizontal="left" vertical="center"/>
    </xf>
    <xf numFmtId="0" fontId="8" fillId="0" borderId="18" xfId="0" applyFont="1" applyBorder="1" applyAlignment="1">
      <alignment horizontal="left" vertical="center"/>
    </xf>
    <xf numFmtId="49" fontId="8" fillId="0" borderId="25" xfId="1" applyNumberFormat="1" applyFont="1" applyBorder="1" applyAlignment="1">
      <alignment horizontal="center" vertical="center"/>
    </xf>
    <xf numFmtId="49" fontId="8" fillId="0" borderId="51" xfId="1" applyNumberFormat="1" applyFont="1" applyBorder="1" applyAlignment="1">
      <alignment horizontal="center" vertical="center"/>
    </xf>
    <xf numFmtId="49" fontId="8" fillId="0" borderId="52" xfId="1" applyNumberFormat="1" applyFont="1" applyBorder="1" applyAlignment="1">
      <alignment horizontal="center" vertical="center"/>
    </xf>
    <xf numFmtId="49" fontId="8" fillId="0" borderId="26" xfId="1" applyNumberFormat="1" applyFont="1" applyBorder="1" applyAlignment="1">
      <alignment horizontal="center" vertical="center"/>
    </xf>
    <xf numFmtId="49" fontId="8" fillId="0" borderId="32" xfId="1" applyNumberFormat="1" applyFont="1" applyBorder="1" applyAlignment="1">
      <alignment horizontal="center" vertical="center"/>
    </xf>
    <xf numFmtId="49" fontId="8" fillId="3" borderId="17" xfId="0" applyNumberFormat="1" applyFont="1" applyFill="1" applyBorder="1" applyAlignment="1">
      <alignment vertical="center"/>
    </xf>
    <xf numFmtId="49" fontId="8" fillId="3" borderId="22" xfId="0" applyNumberFormat="1" applyFont="1" applyFill="1" applyBorder="1" applyAlignment="1">
      <alignment vertical="center"/>
    </xf>
    <xf numFmtId="49" fontId="8" fillId="3" borderId="18" xfId="0" applyNumberFormat="1" applyFont="1" applyFill="1" applyBorder="1" applyAlignment="1">
      <alignment vertical="center"/>
    </xf>
    <xf numFmtId="49" fontId="8" fillId="0" borderId="50" xfId="0" applyNumberFormat="1" applyFont="1" applyBorder="1" applyAlignment="1">
      <alignment horizontal="left" vertical="center"/>
    </xf>
    <xf numFmtId="49" fontId="8" fillId="0" borderId="48" xfId="0" applyNumberFormat="1" applyFont="1" applyBorder="1" applyAlignment="1">
      <alignment horizontal="left" vertical="center"/>
    </xf>
    <xf numFmtId="49" fontId="8" fillId="0" borderId="49" xfId="0" applyNumberFormat="1" applyFont="1" applyBorder="1" applyAlignment="1">
      <alignment horizontal="left" vertical="center"/>
    </xf>
    <xf numFmtId="49" fontId="12" fillId="3" borderId="17" xfId="0" applyNumberFormat="1" applyFont="1" applyFill="1" applyBorder="1" applyAlignment="1">
      <alignment vertical="center"/>
    </xf>
    <xf numFmtId="49" fontId="12" fillId="3" borderId="22" xfId="0" applyNumberFormat="1" applyFont="1" applyFill="1" applyBorder="1" applyAlignment="1">
      <alignment vertical="center"/>
    </xf>
    <xf numFmtId="49" fontId="12" fillId="3" borderId="18" xfId="0" applyNumberFormat="1" applyFont="1" applyFill="1" applyBorder="1" applyAlignment="1">
      <alignment vertical="center"/>
    </xf>
    <xf numFmtId="49" fontId="12" fillId="0" borderId="17" xfId="0" applyNumberFormat="1" applyFont="1" applyBorder="1" applyAlignment="1">
      <alignment vertical="center"/>
    </xf>
    <xf numFmtId="49" fontId="12" fillId="0" borderId="22" xfId="0" applyNumberFormat="1" applyFont="1" applyBorder="1" applyAlignment="1">
      <alignment vertical="center"/>
    </xf>
    <xf numFmtId="49" fontId="12" fillId="0" borderId="18" xfId="0" applyNumberFormat="1" applyFont="1" applyBorder="1" applyAlignment="1">
      <alignment vertical="center"/>
    </xf>
    <xf numFmtId="49" fontId="27" fillId="8" borderId="6" xfId="5" applyNumberFormat="1" applyFont="1" applyFill="1" applyBorder="1" applyAlignment="1">
      <alignment horizontal="center" vertical="center"/>
    </xf>
    <xf numFmtId="49" fontId="27" fillId="8" borderId="7" xfId="5" applyNumberFormat="1" applyFont="1" applyFill="1" applyBorder="1" applyAlignment="1">
      <alignment horizontal="center" vertical="center"/>
    </xf>
    <xf numFmtId="49" fontId="27" fillId="8" borderId="8" xfId="5" applyNumberFormat="1" applyFont="1" applyFill="1" applyBorder="1" applyAlignment="1">
      <alignment horizontal="center" vertical="center"/>
    </xf>
    <xf numFmtId="49" fontId="27" fillId="8" borderId="4" xfId="5" applyNumberFormat="1" applyFont="1" applyFill="1" applyBorder="1" applyAlignment="1">
      <alignment horizontal="center" vertical="center"/>
    </xf>
    <xf numFmtId="49" fontId="27" fillId="8" borderId="1" xfId="5" applyNumberFormat="1" applyFont="1" applyFill="1" applyBorder="1" applyAlignment="1">
      <alignment horizontal="center" vertical="center"/>
    </xf>
    <xf numFmtId="49" fontId="27" fillId="8" borderId="5" xfId="5" applyNumberFormat="1" applyFont="1" applyFill="1" applyBorder="1" applyAlignment="1">
      <alignment horizontal="center" vertical="center"/>
    </xf>
    <xf numFmtId="49" fontId="8" fillId="0" borderId="0" xfId="1" applyNumberFormat="1" applyFont="1" applyAlignment="1">
      <alignment horizontal="right" vertical="center"/>
    </xf>
    <xf numFmtId="49" fontId="27" fillId="3" borderId="9" xfId="5" quotePrefix="1" applyNumberFormat="1" applyFont="1" applyFill="1" applyBorder="1" applyAlignment="1">
      <alignment horizontal="left" vertical="center"/>
    </xf>
    <xf numFmtId="49" fontId="27" fillId="3" borderId="10" xfId="5" quotePrefix="1" applyNumberFormat="1" applyFont="1" applyFill="1" applyBorder="1" applyAlignment="1">
      <alignment horizontal="left" vertical="center"/>
    </xf>
    <xf numFmtId="49" fontId="27" fillId="3" borderId="11" xfId="5" quotePrefix="1" applyNumberFormat="1" applyFont="1" applyFill="1" applyBorder="1" applyAlignment="1">
      <alignment horizontal="left" vertical="center"/>
    </xf>
    <xf numFmtId="49" fontId="8" fillId="0" borderId="9" xfId="1" applyNumberFormat="1" applyFont="1" applyBorder="1" applyAlignment="1">
      <alignment horizontal="left" vertical="top"/>
    </xf>
    <xf numFmtId="49" fontId="8" fillId="0" borderId="10" xfId="1" applyNumberFormat="1" applyFont="1" applyBorder="1" applyAlignment="1">
      <alignment horizontal="left" vertical="top"/>
    </xf>
    <xf numFmtId="49" fontId="8" fillId="0" borderId="11" xfId="1" applyNumberFormat="1" applyFont="1" applyBorder="1" applyAlignment="1">
      <alignment horizontal="left" vertical="top"/>
    </xf>
    <xf numFmtId="49" fontId="8" fillId="0" borderId="9" xfId="1" applyNumberFormat="1" applyFont="1" applyBorder="1" applyAlignment="1">
      <alignment horizontal="left" vertical="top" wrapText="1"/>
    </xf>
    <xf numFmtId="49" fontId="8" fillId="0" borderId="10" xfId="1" applyNumberFormat="1" applyFont="1" applyBorder="1" applyAlignment="1">
      <alignment horizontal="left" vertical="top" wrapText="1"/>
    </xf>
    <xf numFmtId="49" fontId="8" fillId="0" borderId="11" xfId="1" applyNumberFormat="1" applyFont="1" applyBorder="1" applyAlignment="1">
      <alignment horizontal="left" vertical="top" wrapText="1"/>
    </xf>
    <xf numFmtId="49" fontId="8" fillId="0" borderId="9" xfId="0" applyNumberFormat="1" applyFont="1" applyBorder="1" applyAlignment="1">
      <alignment horizontal="left" vertical="top" wrapText="1"/>
    </xf>
    <xf numFmtId="49" fontId="8" fillId="0" borderId="10" xfId="0" applyNumberFormat="1" applyFont="1" applyBorder="1" applyAlignment="1">
      <alignment horizontal="left" vertical="top" wrapText="1"/>
    </xf>
    <xf numFmtId="49" fontId="8" fillId="0" borderId="11" xfId="0" applyNumberFormat="1" applyFont="1" applyBorder="1" applyAlignment="1">
      <alignment horizontal="left" vertical="top" wrapText="1"/>
    </xf>
    <xf numFmtId="49" fontId="8" fillId="0" borderId="50" xfId="0" quotePrefix="1" applyNumberFormat="1" applyFont="1" applyBorder="1" applyAlignment="1">
      <alignment horizontal="left" vertical="center" wrapText="1"/>
    </xf>
    <xf numFmtId="49" fontId="8" fillId="0" borderId="48" xfId="0" quotePrefix="1" applyNumberFormat="1" applyFont="1" applyBorder="1" applyAlignment="1">
      <alignment horizontal="left" vertical="center"/>
    </xf>
    <xf numFmtId="49" fontId="8" fillId="0" borderId="49" xfId="0" quotePrefix="1" applyNumberFormat="1" applyFont="1" applyBorder="1" applyAlignment="1">
      <alignment horizontal="left" vertical="center"/>
    </xf>
    <xf numFmtId="49" fontId="8" fillId="0" borderId="9" xfId="1" quotePrefix="1" applyNumberFormat="1" applyFont="1" applyBorder="1" applyAlignment="1">
      <alignment horizontal="center" vertical="center"/>
    </xf>
    <xf numFmtId="0" fontId="8" fillId="0" borderId="10" xfId="1" quotePrefix="1" applyFont="1" applyBorder="1" applyAlignment="1">
      <alignment horizontal="center" vertical="center"/>
    </xf>
    <xf numFmtId="0" fontId="8" fillId="0" borderId="11" xfId="1" quotePrefix="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40404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32</xdr:col>
      <xdr:colOff>111275</xdr:colOff>
      <xdr:row>27</xdr:row>
      <xdr:rowOff>65769</xdr:rowOff>
    </xdr:from>
    <xdr:to>
      <xdr:col>44</xdr:col>
      <xdr:colOff>4175</xdr:colOff>
      <xdr:row>27</xdr:row>
      <xdr:rowOff>66675</xdr:rowOff>
    </xdr:to>
    <xdr:cxnSp macro="">
      <xdr:nvCxnSpPr>
        <xdr:cNvPr id="8" name="直線矢印コネクタ 11">
          <a:extLst>
            <a:ext uri="{FF2B5EF4-FFF2-40B4-BE49-F238E27FC236}">
              <a16:creationId xmlns:a16="http://schemas.microsoft.com/office/drawing/2014/main" id="{57258F16-FDF3-4BD9-8670-1B3383DDACA1}"/>
            </a:ext>
          </a:extLst>
        </xdr:cNvPr>
        <xdr:cNvCxnSpPr/>
      </xdr:nvCxnSpPr>
      <xdr:spPr bwMode="auto">
        <a:xfrm>
          <a:off x="4321325" y="6695169"/>
          <a:ext cx="1836000"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126396</xdr:colOff>
      <xdr:row>27</xdr:row>
      <xdr:rowOff>242056</xdr:rowOff>
    </xdr:from>
    <xdr:to>
      <xdr:col>44</xdr:col>
      <xdr:colOff>19296</xdr:colOff>
      <xdr:row>27</xdr:row>
      <xdr:rowOff>242056</xdr:rowOff>
    </xdr:to>
    <xdr:cxnSp macro="">
      <xdr:nvCxnSpPr>
        <xdr:cNvPr id="9" name="直線矢印コネクタ 8">
          <a:extLst>
            <a:ext uri="{FF2B5EF4-FFF2-40B4-BE49-F238E27FC236}">
              <a16:creationId xmlns:a16="http://schemas.microsoft.com/office/drawing/2014/main" id="{C537A1CF-E0A8-478E-84FC-6C505106724C}"/>
            </a:ext>
          </a:extLst>
        </xdr:cNvPr>
        <xdr:cNvCxnSpPr/>
      </xdr:nvCxnSpPr>
      <xdr:spPr bwMode="auto">
        <a:xfrm flipH="1" flipV="1">
          <a:off x="4336446" y="6871456"/>
          <a:ext cx="183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10583</xdr:colOff>
      <xdr:row>25</xdr:row>
      <xdr:rowOff>243416</xdr:rowOff>
    </xdr:from>
    <xdr:to>
      <xdr:col>31</xdr:col>
      <xdr:colOff>148167</xdr:colOff>
      <xdr:row>28</xdr:row>
      <xdr:rowOff>222249</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2439458" y="6358466"/>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販売共計年産繰越入力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条件入力</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44</xdr:col>
      <xdr:colOff>39159</xdr:colOff>
      <xdr:row>25</xdr:row>
      <xdr:rowOff>139699</xdr:rowOff>
    </xdr:from>
    <xdr:to>
      <xdr:col>55</xdr:col>
      <xdr:colOff>17993</xdr:colOff>
      <xdr:row>28</xdr:row>
      <xdr:rowOff>118532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6192309" y="6254749"/>
          <a:ext cx="1760009" cy="75035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cs typeface="+mn-cs"/>
            </a:rPr>
            <a:t>販売</a:t>
          </a:r>
          <a:r>
            <a:rPr lang="ja-JP" altLang="ja-JP" sz="1200">
              <a:effectLst/>
              <a:latin typeface="ＭＳ 明朝" panose="02020609040205080304" pitchFamily="17" charset="-128"/>
              <a:ea typeface="ＭＳ 明朝" panose="02020609040205080304" pitchFamily="17" charset="-128"/>
              <a:cs typeface="+mn-cs"/>
            </a:rPr>
            <a:t>共計年</a:t>
          </a:r>
          <a:r>
            <a:rPr lang="ja-JP" altLang="en-US" sz="1200">
              <a:effectLst/>
              <a:latin typeface="ＭＳ 明朝" panose="02020609040205080304" pitchFamily="17" charset="-128"/>
              <a:ea typeface="ＭＳ 明朝" panose="02020609040205080304" pitchFamily="17" charset="-128"/>
              <a:cs typeface="+mn-cs"/>
            </a:rPr>
            <a:t>産</a:t>
          </a:r>
          <a:r>
            <a:rPr lang="ja-JP" altLang="ja-JP" sz="1200">
              <a:effectLst/>
              <a:latin typeface="ＭＳ 明朝" panose="02020609040205080304" pitchFamily="17" charset="-128"/>
              <a:ea typeface="ＭＳ 明朝" panose="02020609040205080304" pitchFamily="17" charset="-128"/>
              <a:cs typeface="+mn-cs"/>
            </a:rPr>
            <a:t>繰越入力</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21</xdr:col>
      <xdr:colOff>21167</xdr:colOff>
      <xdr:row>19</xdr:row>
      <xdr:rowOff>10584</xdr:rowOff>
    </xdr:from>
    <xdr:to>
      <xdr:col>32</xdr:col>
      <xdr:colOff>1</xdr:colOff>
      <xdr:row>21</xdr:row>
      <xdr:rowOff>243417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25</xdr:col>
      <xdr:colOff>59267</xdr:colOff>
      <xdr:row>22</xdr:row>
      <xdr:rowOff>9525</xdr:rowOff>
    </xdr:from>
    <xdr:to>
      <xdr:col>25</xdr:col>
      <xdr:colOff>59267</xdr:colOff>
      <xdr:row>25</xdr:row>
      <xdr:rowOff>168275</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V="1">
          <a:off x="3135842" y="5353050"/>
          <a:ext cx="0" cy="930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124883</xdr:colOff>
      <xdr:row>22</xdr:row>
      <xdr:rowOff>24342</xdr:rowOff>
    </xdr:from>
    <xdr:to>
      <xdr:col>26</xdr:col>
      <xdr:colOff>124883</xdr:colOff>
      <xdr:row>25</xdr:row>
      <xdr:rowOff>188817</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4334933" y="5367867"/>
          <a:ext cx="0" cy="936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66675</xdr:colOff>
      <xdr:row>28</xdr:row>
      <xdr:rowOff>133349</xdr:rowOff>
    </xdr:from>
    <xdr:to>
      <xdr:col>73</xdr:col>
      <xdr:colOff>69851</xdr:colOff>
      <xdr:row>31</xdr:row>
      <xdr:rowOff>81824</xdr:rowOff>
    </xdr:to>
    <xdr:grpSp>
      <xdr:nvGrpSpPr>
        <xdr:cNvPr id="3" name="グループ化 2">
          <a:extLst>
            <a:ext uri="{FF2B5EF4-FFF2-40B4-BE49-F238E27FC236}">
              <a16:creationId xmlns:a16="http://schemas.microsoft.com/office/drawing/2014/main" id="{E964A9B6-623A-7BE7-0119-2F5B386A0EBD}"/>
            </a:ext>
          </a:extLst>
        </xdr:cNvPr>
        <xdr:cNvGrpSpPr/>
      </xdr:nvGrpSpPr>
      <xdr:grpSpPr>
        <a:xfrm>
          <a:off x="4438650" y="7019924"/>
          <a:ext cx="7451726" cy="720000"/>
          <a:chOff x="4438650" y="7019924"/>
          <a:chExt cx="7451726" cy="720000"/>
        </a:xfrm>
      </xdr:grpSpPr>
      <xdr:cxnSp macro="">
        <xdr:nvCxnSpPr>
          <xdr:cNvPr id="24" name="直線矢印コネクタ 23">
            <a:extLst>
              <a:ext uri="{FF2B5EF4-FFF2-40B4-BE49-F238E27FC236}">
                <a16:creationId xmlns:a16="http://schemas.microsoft.com/office/drawing/2014/main" id="{9AE15BA8-F27F-45D2-ADB8-8604983AA30C}"/>
              </a:ext>
            </a:extLst>
          </xdr:cNvPr>
          <xdr:cNvCxnSpPr/>
        </xdr:nvCxnSpPr>
        <xdr:spPr bwMode="auto">
          <a:xfrm flipV="1">
            <a:off x="4438650" y="7136342"/>
            <a:ext cx="0" cy="5961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 name="直線コネクタ 47">
            <a:extLst>
              <a:ext uri="{FF2B5EF4-FFF2-40B4-BE49-F238E27FC236}">
                <a16:creationId xmlns:a16="http://schemas.microsoft.com/office/drawing/2014/main" id="{9A159FF4-5236-464C-8BA2-188D64516F89}"/>
              </a:ext>
            </a:extLst>
          </xdr:cNvPr>
          <xdr:cNvCxnSpPr/>
        </xdr:nvCxnSpPr>
        <xdr:spPr bwMode="auto">
          <a:xfrm>
            <a:off x="11890376" y="7019924"/>
            <a:ext cx="0" cy="720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8" name="直線コネクタ 17">
            <a:extLst>
              <a:ext uri="{FF2B5EF4-FFF2-40B4-BE49-F238E27FC236}">
                <a16:creationId xmlns:a16="http://schemas.microsoft.com/office/drawing/2014/main" id="{3FAEF664-0175-44D5-89C9-BB30AAAE6845}"/>
              </a:ext>
            </a:extLst>
          </xdr:cNvPr>
          <xdr:cNvCxnSpPr/>
        </xdr:nvCxnSpPr>
        <xdr:spPr bwMode="auto">
          <a:xfrm>
            <a:off x="4438650" y="7734300"/>
            <a:ext cx="74485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67</xdr:col>
      <xdr:colOff>19050</xdr:colOff>
      <xdr:row>25</xdr:row>
      <xdr:rowOff>152400</xdr:rowOff>
    </xdr:from>
    <xdr:to>
      <xdr:col>77</xdr:col>
      <xdr:colOff>159809</xdr:colOff>
      <xdr:row>28</xdr:row>
      <xdr:rowOff>131233</xdr:rowOff>
    </xdr:to>
    <xdr:sp macro="" textlink="">
      <xdr:nvSpPr>
        <xdr:cNvPr id="2" name="AutoShape 126">
          <a:extLst>
            <a:ext uri="{FF2B5EF4-FFF2-40B4-BE49-F238E27FC236}">
              <a16:creationId xmlns:a16="http://schemas.microsoft.com/office/drawing/2014/main" id="{59100572-7A2D-4038-B69C-BC9F63DC4AF6}"/>
            </a:ext>
          </a:extLst>
        </xdr:cNvPr>
        <xdr:cNvSpPr>
          <a:spLocks noChangeArrowheads="1"/>
        </xdr:cNvSpPr>
      </xdr:nvSpPr>
      <xdr:spPr bwMode="auto">
        <a:xfrm>
          <a:off x="9896475" y="6267450"/>
          <a:ext cx="1760009" cy="75035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cs typeface="+mn-cs"/>
            </a:rPr>
            <a:t>販売</a:t>
          </a:r>
          <a:r>
            <a:rPr lang="ja-JP" altLang="ja-JP" sz="1200">
              <a:effectLst/>
              <a:latin typeface="ＭＳ 明朝" panose="02020609040205080304" pitchFamily="17" charset="-128"/>
              <a:ea typeface="ＭＳ 明朝" panose="02020609040205080304" pitchFamily="17" charset="-128"/>
              <a:cs typeface="+mn-cs"/>
            </a:rPr>
            <a:t>共計年</a:t>
          </a:r>
          <a:r>
            <a:rPr lang="ja-JP" altLang="en-US" sz="1200">
              <a:effectLst/>
              <a:latin typeface="ＭＳ 明朝" panose="02020609040205080304" pitchFamily="17" charset="-128"/>
              <a:ea typeface="ＭＳ 明朝" panose="02020609040205080304" pitchFamily="17" charset="-128"/>
              <a:cs typeface="+mn-cs"/>
            </a:rPr>
            <a:t>産</a:t>
          </a:r>
          <a:r>
            <a:rPr lang="ja-JP" altLang="ja-JP" sz="1200">
              <a:effectLst/>
              <a:latin typeface="ＭＳ 明朝" panose="02020609040205080304" pitchFamily="17" charset="-128"/>
              <a:ea typeface="ＭＳ 明朝" panose="02020609040205080304" pitchFamily="17" charset="-128"/>
              <a:cs typeface="+mn-cs"/>
            </a:rPr>
            <a:t>繰越</a:t>
          </a:r>
          <a:r>
            <a:rPr lang="ja-JP" altLang="en-US" sz="1200">
              <a:effectLst/>
              <a:latin typeface="ＭＳ 明朝" panose="02020609040205080304" pitchFamily="17" charset="-128"/>
              <a:ea typeface="ＭＳ 明朝" panose="02020609040205080304" pitchFamily="17" charset="-128"/>
              <a:cs typeface="+mn-cs"/>
            </a:rPr>
            <a:t>確認</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55</xdr:col>
      <xdr:colOff>116871</xdr:colOff>
      <xdr:row>27</xdr:row>
      <xdr:rowOff>175381</xdr:rowOff>
    </xdr:from>
    <xdr:to>
      <xdr:col>67</xdr:col>
      <xdr:colOff>9771</xdr:colOff>
      <xdr:row>27</xdr:row>
      <xdr:rowOff>175381</xdr:rowOff>
    </xdr:to>
    <xdr:cxnSp macro="">
      <xdr:nvCxnSpPr>
        <xdr:cNvPr id="5" name="直線矢印コネクタ 4">
          <a:extLst>
            <a:ext uri="{FF2B5EF4-FFF2-40B4-BE49-F238E27FC236}">
              <a16:creationId xmlns:a16="http://schemas.microsoft.com/office/drawing/2014/main" id="{E9883679-FF36-4C57-8281-EB90795CD4E6}"/>
            </a:ext>
          </a:extLst>
        </xdr:cNvPr>
        <xdr:cNvCxnSpPr/>
      </xdr:nvCxnSpPr>
      <xdr:spPr bwMode="auto">
        <a:xfrm flipH="1" flipV="1">
          <a:off x="8051196" y="6804781"/>
          <a:ext cx="183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104775</xdr:colOff>
      <xdr:row>27</xdr:row>
      <xdr:rowOff>0</xdr:rowOff>
    </xdr:from>
    <xdr:to>
      <xdr:col>66</xdr:col>
      <xdr:colOff>159600</xdr:colOff>
      <xdr:row>27</xdr:row>
      <xdr:rowOff>906</xdr:rowOff>
    </xdr:to>
    <xdr:cxnSp macro="">
      <xdr:nvCxnSpPr>
        <xdr:cNvPr id="6" name="直線矢印コネクタ 11">
          <a:extLst>
            <a:ext uri="{FF2B5EF4-FFF2-40B4-BE49-F238E27FC236}">
              <a16:creationId xmlns:a16="http://schemas.microsoft.com/office/drawing/2014/main" id="{BC0EF60E-AFF1-4787-9952-15595D8504FF}"/>
            </a:ext>
          </a:extLst>
        </xdr:cNvPr>
        <xdr:cNvCxnSpPr/>
      </xdr:nvCxnSpPr>
      <xdr:spPr bwMode="auto">
        <a:xfrm>
          <a:off x="8039100" y="6629400"/>
          <a:ext cx="1836000"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98274</xdr:colOff>
      <xdr:row>28</xdr:row>
      <xdr:rowOff>164042</xdr:rowOff>
    </xdr:from>
    <xdr:to>
      <xdr:col>74</xdr:col>
      <xdr:colOff>98274</xdr:colOff>
      <xdr:row>31</xdr:row>
      <xdr:rowOff>256517</xdr:rowOff>
    </xdr:to>
    <xdr:cxnSp macro="">
      <xdr:nvCxnSpPr>
        <xdr:cNvPr id="11" name="直線矢印コネクタ 10">
          <a:extLst>
            <a:ext uri="{FF2B5EF4-FFF2-40B4-BE49-F238E27FC236}">
              <a16:creationId xmlns:a16="http://schemas.microsoft.com/office/drawing/2014/main" id="{C339A4E5-2E1C-4DB5-ABA0-164E6F533694}"/>
            </a:ext>
          </a:extLst>
        </xdr:cNvPr>
        <xdr:cNvCxnSpPr/>
      </xdr:nvCxnSpPr>
      <xdr:spPr bwMode="auto">
        <a:xfrm flipH="1" flipV="1">
          <a:off x="12080724" y="7050617"/>
          <a:ext cx="0" cy="864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22227</xdr:colOff>
      <xdr:row>28</xdr:row>
      <xdr:rowOff>219074</xdr:rowOff>
    </xdr:from>
    <xdr:to>
      <xdr:col>26</xdr:col>
      <xdr:colOff>28575</xdr:colOff>
      <xdr:row>32</xdr:row>
      <xdr:rowOff>19050</xdr:rowOff>
    </xdr:to>
    <xdr:cxnSp macro="">
      <xdr:nvCxnSpPr>
        <xdr:cNvPr id="15" name="直線コネクタ 47">
          <a:extLst>
            <a:ext uri="{FF2B5EF4-FFF2-40B4-BE49-F238E27FC236}">
              <a16:creationId xmlns:a16="http://schemas.microsoft.com/office/drawing/2014/main" id="{12274304-6D2E-4DF6-BFF0-D69D6D0D8A9A}"/>
            </a:ext>
          </a:extLst>
        </xdr:cNvPr>
        <xdr:cNvCxnSpPr/>
      </xdr:nvCxnSpPr>
      <xdr:spPr bwMode="auto">
        <a:xfrm>
          <a:off x="3260727" y="7105649"/>
          <a:ext cx="6348" cy="82867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32</xdr:row>
      <xdr:rowOff>9525</xdr:rowOff>
    </xdr:from>
    <xdr:to>
      <xdr:col>74</xdr:col>
      <xdr:colOff>95250</xdr:colOff>
      <xdr:row>32</xdr:row>
      <xdr:rowOff>9525</xdr:rowOff>
    </xdr:to>
    <xdr:cxnSp macro="">
      <xdr:nvCxnSpPr>
        <xdr:cNvPr id="22" name="直線コネクタ 21">
          <a:extLst>
            <a:ext uri="{FF2B5EF4-FFF2-40B4-BE49-F238E27FC236}">
              <a16:creationId xmlns:a16="http://schemas.microsoft.com/office/drawing/2014/main" id="{8A364CC7-5FFF-4AE0-8CAB-DD86D161B00F}"/>
            </a:ext>
          </a:extLst>
        </xdr:cNvPr>
        <xdr:cNvCxnSpPr/>
      </xdr:nvCxnSpPr>
      <xdr:spPr bwMode="auto">
        <a:xfrm>
          <a:off x="3267075" y="7924800"/>
          <a:ext cx="78390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22860</xdr:colOff>
      <xdr:row>26</xdr:row>
      <xdr:rowOff>24553</xdr:rowOff>
    </xdr:from>
    <xdr:to>
      <xdr:col>12</xdr:col>
      <xdr:colOff>7197</xdr:colOff>
      <xdr:row>29</xdr:row>
      <xdr:rowOff>11006</xdr:rowOff>
    </xdr:to>
    <xdr:sp macro="" textlink="">
      <xdr:nvSpPr>
        <xdr:cNvPr id="10" name="AutoShape 126">
          <a:extLst>
            <a:ext uri="{FF2B5EF4-FFF2-40B4-BE49-F238E27FC236}">
              <a16:creationId xmlns:a16="http://schemas.microsoft.com/office/drawing/2014/main" id="{6517DC0F-D01E-447D-BD51-2F0822F7E0CF}"/>
            </a:ext>
          </a:extLst>
        </xdr:cNvPr>
        <xdr:cNvSpPr>
          <a:spLocks noChangeArrowheads="1"/>
        </xdr:cNvSpPr>
      </xdr:nvSpPr>
      <xdr:spPr bwMode="auto">
        <a:xfrm>
          <a:off x="167640" y="631105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13</xdr:col>
      <xdr:colOff>15342</xdr:colOff>
      <xdr:row>26</xdr:row>
      <xdr:rowOff>7620</xdr:rowOff>
    </xdr:from>
    <xdr:to>
      <xdr:col>20</xdr:col>
      <xdr:colOff>2204</xdr:colOff>
      <xdr:row>27</xdr:row>
      <xdr:rowOff>213096</xdr:rowOff>
    </xdr:to>
    <xdr:sp macro="" textlink="">
      <xdr:nvSpPr>
        <xdr:cNvPr id="14" name="テキスト ボックス 13">
          <a:extLst>
            <a:ext uri="{FF2B5EF4-FFF2-40B4-BE49-F238E27FC236}">
              <a16:creationId xmlns:a16="http://schemas.microsoft.com/office/drawing/2014/main" id="{EFA1EE55-E6F1-44FA-B15B-BA62863D9151}"/>
            </a:ext>
          </a:extLst>
        </xdr:cNvPr>
        <xdr:cNvSpPr txBox="1"/>
      </xdr:nvSpPr>
      <xdr:spPr>
        <a:xfrm>
          <a:off x="1897482" y="629412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12</xdr:col>
      <xdr:colOff>55879</xdr:colOff>
      <xdr:row>27</xdr:row>
      <xdr:rowOff>61249</xdr:rowOff>
    </xdr:from>
    <xdr:to>
      <xdr:col>20</xdr:col>
      <xdr:colOff>126853</xdr:colOff>
      <xdr:row>27</xdr:row>
      <xdr:rowOff>61249</xdr:rowOff>
    </xdr:to>
    <xdr:cxnSp macro="">
      <xdr:nvCxnSpPr>
        <xdr:cNvPr id="20" name="直線矢印コネクタ 19">
          <a:extLst>
            <a:ext uri="{FF2B5EF4-FFF2-40B4-BE49-F238E27FC236}">
              <a16:creationId xmlns:a16="http://schemas.microsoft.com/office/drawing/2014/main" id="{9C184065-C29D-4C3E-B1B8-478BE864C7B7}"/>
            </a:ext>
          </a:extLst>
        </xdr:cNvPr>
        <xdr:cNvCxnSpPr/>
      </xdr:nvCxnSpPr>
      <xdr:spPr bwMode="auto">
        <a:xfrm flipV="1">
          <a:off x="1998979" y="6690649"/>
          <a:ext cx="13663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59689</xdr:colOff>
      <xdr:row>27</xdr:row>
      <xdr:rowOff>206029</xdr:rowOff>
    </xdr:from>
    <xdr:to>
      <xdr:col>20</xdr:col>
      <xdr:colOff>58422</xdr:colOff>
      <xdr:row>27</xdr:row>
      <xdr:rowOff>206029</xdr:rowOff>
    </xdr:to>
    <xdr:sp macro="" textlink="">
      <xdr:nvSpPr>
        <xdr:cNvPr id="23" name="Line 71">
          <a:extLst>
            <a:ext uri="{FF2B5EF4-FFF2-40B4-BE49-F238E27FC236}">
              <a16:creationId xmlns:a16="http://schemas.microsoft.com/office/drawing/2014/main" id="{0C5267B9-BCDD-4C88-9479-F4B91DB27202}"/>
            </a:ext>
          </a:extLst>
        </xdr:cNvPr>
        <xdr:cNvSpPr>
          <a:spLocks noChangeShapeType="1"/>
        </xdr:cNvSpPr>
      </xdr:nvSpPr>
      <xdr:spPr bwMode="auto">
        <a:xfrm flipH="1">
          <a:off x="2002789" y="6835429"/>
          <a:ext cx="129413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12</xdr:col>
      <xdr:colOff>120277</xdr:colOff>
      <xdr:row>28</xdr:row>
      <xdr:rowOff>19237</xdr:rowOff>
    </xdr:from>
    <xdr:ext cx="1107996" cy="384911"/>
    <xdr:sp macro="" textlink="">
      <xdr:nvSpPr>
        <xdr:cNvPr id="25" name="テキスト ボックス 24">
          <a:extLst>
            <a:ext uri="{FF2B5EF4-FFF2-40B4-BE49-F238E27FC236}">
              <a16:creationId xmlns:a16="http://schemas.microsoft.com/office/drawing/2014/main" id="{23217683-6684-48FF-BC9C-92D633CF880D}"/>
            </a:ext>
          </a:extLst>
        </xdr:cNvPr>
        <xdr:cNvSpPr txBox="1"/>
      </xdr:nvSpPr>
      <xdr:spPr>
        <a:xfrm>
          <a:off x="1857637" y="680865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67</xdr:col>
      <xdr:colOff>125730</xdr:colOff>
      <xdr:row>19</xdr:row>
      <xdr:rowOff>7620</xdr:rowOff>
    </xdr:from>
    <xdr:to>
      <xdr:col>78</xdr:col>
      <xdr:colOff>106469</xdr:colOff>
      <xdr:row>22</xdr:row>
      <xdr:rowOff>2328</xdr:rowOff>
    </xdr:to>
    <xdr:sp macro="" textlink="">
      <xdr:nvSpPr>
        <xdr:cNvPr id="4" name="AutoShape 126">
          <a:extLst>
            <a:ext uri="{FF2B5EF4-FFF2-40B4-BE49-F238E27FC236}">
              <a16:creationId xmlns:a16="http://schemas.microsoft.com/office/drawing/2014/main" id="{5F645446-8631-4B80-8C21-18152CDEC49A}"/>
            </a:ext>
          </a:extLst>
        </xdr:cNvPr>
        <xdr:cNvSpPr>
          <a:spLocks noChangeArrowheads="1"/>
        </xdr:cNvSpPr>
      </xdr:nvSpPr>
      <xdr:spPr bwMode="auto">
        <a:xfrm>
          <a:off x="9698355" y="4531995"/>
          <a:ext cx="1552364" cy="7376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72</xdr:col>
      <xdr:colOff>19050</xdr:colOff>
      <xdr:row>22</xdr:row>
      <xdr:rowOff>12276</xdr:rowOff>
    </xdr:from>
    <xdr:to>
      <xdr:col>72</xdr:col>
      <xdr:colOff>19050</xdr:colOff>
      <xdr:row>25</xdr:row>
      <xdr:rowOff>85725</xdr:rowOff>
    </xdr:to>
    <xdr:cxnSp macro="">
      <xdr:nvCxnSpPr>
        <xdr:cNvPr id="7" name="直線矢印コネクタ 6">
          <a:extLst>
            <a:ext uri="{FF2B5EF4-FFF2-40B4-BE49-F238E27FC236}">
              <a16:creationId xmlns:a16="http://schemas.microsoft.com/office/drawing/2014/main" id="{D64B2AFB-4C0B-4921-93EE-AF1316E4C40F}"/>
            </a:ext>
          </a:extLst>
        </xdr:cNvPr>
        <xdr:cNvCxnSpPr/>
      </xdr:nvCxnSpPr>
      <xdr:spPr bwMode="auto">
        <a:xfrm flipV="1">
          <a:off x="10306050" y="5279601"/>
          <a:ext cx="0" cy="8163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96096</xdr:colOff>
      <xdr:row>22</xdr:row>
      <xdr:rowOff>2328</xdr:rowOff>
    </xdr:from>
    <xdr:to>
      <xdr:col>73</xdr:col>
      <xdr:colOff>96096</xdr:colOff>
      <xdr:row>25</xdr:row>
      <xdr:rowOff>142875</xdr:rowOff>
    </xdr:to>
    <xdr:cxnSp macro="">
      <xdr:nvCxnSpPr>
        <xdr:cNvPr id="26" name="直線矢印コネクタ 25">
          <a:extLst>
            <a:ext uri="{FF2B5EF4-FFF2-40B4-BE49-F238E27FC236}">
              <a16:creationId xmlns:a16="http://schemas.microsoft.com/office/drawing/2014/main" id="{046E331B-BE8A-4E08-8628-B062C5B1FD26}"/>
            </a:ext>
          </a:extLst>
        </xdr:cNvPr>
        <xdr:cNvCxnSpPr/>
      </xdr:nvCxnSpPr>
      <xdr:spPr bwMode="auto">
        <a:xfrm>
          <a:off x="10525971" y="5269653"/>
          <a:ext cx="0" cy="88349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9</xdr:row>
      <xdr:rowOff>105834</xdr:rowOff>
    </xdr:from>
    <xdr:ext cx="1217825" cy="348691"/>
    <xdr:pic>
      <xdr:nvPicPr>
        <xdr:cNvPr id="2" name="図 1">
          <a:extLst>
            <a:ext uri="{FF2B5EF4-FFF2-40B4-BE49-F238E27FC236}">
              <a16:creationId xmlns:a16="http://schemas.microsoft.com/office/drawing/2014/main" id="{74012827-E8BA-40F7-BDEE-2DFD5356A9D3}"/>
            </a:ext>
          </a:extLst>
        </xdr:cNvPr>
        <xdr:cNvPicPr>
          <a:picLocks noChangeAspect="1"/>
        </xdr:cNvPicPr>
      </xdr:nvPicPr>
      <xdr:blipFill>
        <a:blip xmlns:r="http://schemas.openxmlformats.org/officeDocument/2006/relationships" r:embed="rId1"/>
        <a:stretch>
          <a:fillRect/>
        </a:stretch>
      </xdr:blipFill>
      <xdr:spPr>
        <a:xfrm>
          <a:off x="266700" y="1648884"/>
          <a:ext cx="1217825" cy="348691"/>
        </a:xfrm>
        <a:prstGeom prst="rect">
          <a:avLst/>
        </a:prstGeom>
      </xdr:spPr>
    </xdr:pic>
    <xdr:clientData/>
  </xdr:oneCellAnchor>
  <xdr:twoCellAnchor>
    <xdr:from>
      <xdr:col>42</xdr:col>
      <xdr:colOff>115982</xdr:colOff>
      <xdr:row>22</xdr:row>
      <xdr:rowOff>29697</xdr:rowOff>
    </xdr:from>
    <xdr:to>
      <xdr:col>48</xdr:col>
      <xdr:colOff>71882</xdr:colOff>
      <xdr:row>22</xdr:row>
      <xdr:rowOff>209697</xdr:rowOff>
    </xdr:to>
    <xdr:sp macro="" textlink="">
      <xdr:nvSpPr>
        <xdr:cNvPr id="4" name="正方形/長方形 3">
          <a:extLst>
            <a:ext uri="{FF2B5EF4-FFF2-40B4-BE49-F238E27FC236}">
              <a16:creationId xmlns:a16="http://schemas.microsoft.com/office/drawing/2014/main" id="{EEE5DE61-CDE2-4E1A-9B86-EC030D435E5F}"/>
            </a:ext>
          </a:extLst>
        </xdr:cNvPr>
        <xdr:cNvSpPr/>
      </xdr:nvSpPr>
      <xdr:spPr>
        <a:xfrm>
          <a:off x="5716682" y="4220697"/>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44623</xdr:colOff>
      <xdr:row>22</xdr:row>
      <xdr:rowOff>36421</xdr:rowOff>
    </xdr:from>
    <xdr:to>
      <xdr:col>55</xdr:col>
      <xdr:colOff>523</xdr:colOff>
      <xdr:row>22</xdr:row>
      <xdr:rowOff>216421</xdr:rowOff>
    </xdr:to>
    <xdr:sp macro="" textlink="">
      <xdr:nvSpPr>
        <xdr:cNvPr id="7" name="正方形/長方形 6">
          <a:extLst>
            <a:ext uri="{FF2B5EF4-FFF2-40B4-BE49-F238E27FC236}">
              <a16:creationId xmlns:a16="http://schemas.microsoft.com/office/drawing/2014/main" id="{4412C54F-07BC-4CB7-83E4-C66A1B647DED}"/>
            </a:ext>
          </a:extLst>
        </xdr:cNvPr>
        <xdr:cNvSpPr/>
      </xdr:nvSpPr>
      <xdr:spPr>
        <a:xfrm>
          <a:off x="6578773" y="4227421"/>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77</xdr:col>
      <xdr:colOff>28576</xdr:colOff>
      <xdr:row>15</xdr:row>
      <xdr:rowOff>19051</xdr:rowOff>
    </xdr:from>
    <xdr:to>
      <xdr:col>81</xdr:col>
      <xdr:colOff>66676</xdr:colOff>
      <xdr:row>15</xdr:row>
      <xdr:rowOff>238125</xdr:rowOff>
    </xdr:to>
    <xdr:sp macro="" textlink="">
      <xdr:nvSpPr>
        <xdr:cNvPr id="9" name="正方形/長方形 8">
          <a:extLst>
            <a:ext uri="{FF2B5EF4-FFF2-40B4-BE49-F238E27FC236}">
              <a16:creationId xmlns:a16="http://schemas.microsoft.com/office/drawing/2014/main" id="{690293E1-1882-42EF-956D-2F391307F37F}"/>
            </a:ext>
          </a:extLst>
        </xdr:cNvPr>
        <xdr:cNvSpPr/>
      </xdr:nvSpPr>
      <xdr:spPr bwMode="auto">
        <a:xfrm>
          <a:off x="10296526" y="2590801"/>
          <a:ext cx="571500" cy="152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0</xdr:colOff>
      <xdr:row>22</xdr:row>
      <xdr:rowOff>38100</xdr:rowOff>
    </xdr:from>
    <xdr:to>
      <xdr:col>41</xdr:col>
      <xdr:colOff>89250</xdr:colOff>
      <xdr:row>22</xdr:row>
      <xdr:rowOff>218100</xdr:rowOff>
    </xdr:to>
    <xdr:sp macro="" textlink="">
      <xdr:nvSpPr>
        <xdr:cNvPr id="14" name="正方形/長方形 13">
          <a:extLst>
            <a:ext uri="{FF2B5EF4-FFF2-40B4-BE49-F238E27FC236}">
              <a16:creationId xmlns:a16="http://schemas.microsoft.com/office/drawing/2014/main" id="{76A89193-FF68-476D-99A3-2EAC38C73A3B}"/>
            </a:ext>
          </a:extLst>
        </xdr:cNvPr>
        <xdr:cNvSpPr/>
      </xdr:nvSpPr>
      <xdr:spPr>
        <a:xfrm>
          <a:off x="4800600" y="4229100"/>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xdr:col>
      <xdr:colOff>0</xdr:colOff>
      <xdr:row>46</xdr:row>
      <xdr:rowOff>105834</xdr:rowOff>
    </xdr:from>
    <xdr:ext cx="1203537" cy="345516"/>
    <xdr:pic>
      <xdr:nvPicPr>
        <xdr:cNvPr id="15" name="図 14">
          <a:extLst>
            <a:ext uri="{FF2B5EF4-FFF2-40B4-BE49-F238E27FC236}">
              <a16:creationId xmlns:a16="http://schemas.microsoft.com/office/drawing/2014/main" id="{F44673E0-EA5F-4150-9937-5A976484CCBC}"/>
            </a:ext>
          </a:extLst>
        </xdr:cNvPr>
        <xdr:cNvPicPr>
          <a:picLocks noChangeAspect="1"/>
        </xdr:cNvPicPr>
      </xdr:nvPicPr>
      <xdr:blipFill>
        <a:blip xmlns:r="http://schemas.openxmlformats.org/officeDocument/2006/relationships" r:embed="rId1"/>
        <a:stretch>
          <a:fillRect/>
        </a:stretch>
      </xdr:blipFill>
      <xdr:spPr>
        <a:xfrm>
          <a:off x="266700" y="7649634"/>
          <a:ext cx="1203537" cy="345516"/>
        </a:xfrm>
        <a:prstGeom prst="rect">
          <a:avLst/>
        </a:prstGeom>
      </xdr:spPr>
    </xdr:pic>
    <xdr:clientData/>
  </xdr:oneCellAnchor>
  <xdr:twoCellAnchor>
    <xdr:from>
      <xdr:col>77</xdr:col>
      <xdr:colOff>28576</xdr:colOff>
      <xdr:row>52</xdr:row>
      <xdr:rowOff>19051</xdr:rowOff>
    </xdr:from>
    <xdr:to>
      <xdr:col>81</xdr:col>
      <xdr:colOff>66676</xdr:colOff>
      <xdr:row>52</xdr:row>
      <xdr:rowOff>238125</xdr:rowOff>
    </xdr:to>
    <xdr:sp macro="" textlink="">
      <xdr:nvSpPr>
        <xdr:cNvPr id="16" name="正方形/長方形 15">
          <a:extLst>
            <a:ext uri="{FF2B5EF4-FFF2-40B4-BE49-F238E27FC236}">
              <a16:creationId xmlns:a16="http://schemas.microsoft.com/office/drawing/2014/main" id="{7F43C4B8-DDE7-4251-B47B-3197A8CAE5E0}"/>
            </a:ext>
          </a:extLst>
        </xdr:cNvPr>
        <xdr:cNvSpPr/>
      </xdr:nvSpPr>
      <xdr:spPr bwMode="auto">
        <a:xfrm>
          <a:off x="10296526" y="8591551"/>
          <a:ext cx="571500" cy="152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1" baseline="0">
              <a:solidFill>
                <a:sysClr val="windowText" lastClr="000000"/>
              </a:solidFill>
              <a:latin typeface="HGPｺﾞｼｯｸE" panose="020B0900000000000000" pitchFamily="50" charset="-128"/>
              <a:ea typeface="HGPｺﾞｼｯｸE" panose="020B0900000000000000" pitchFamily="50" charset="-128"/>
            </a:rPr>
            <a:t>＋</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76199</xdr:colOff>
      <xdr:row>54</xdr:row>
      <xdr:rowOff>28574</xdr:rowOff>
    </xdr:from>
    <xdr:to>
      <xdr:col>54</xdr:col>
      <xdr:colOff>76199</xdr:colOff>
      <xdr:row>54</xdr:row>
      <xdr:rowOff>219075</xdr:rowOff>
    </xdr:to>
    <xdr:sp macro="" textlink="">
      <xdr:nvSpPr>
        <xdr:cNvPr id="17" name="正方形/長方形 16">
          <a:extLst>
            <a:ext uri="{FF2B5EF4-FFF2-40B4-BE49-F238E27FC236}">
              <a16:creationId xmlns:a16="http://schemas.microsoft.com/office/drawing/2014/main" id="{DD1E8325-DB8C-45D5-860A-1B3F14F876E6}"/>
            </a:ext>
          </a:extLst>
        </xdr:cNvPr>
        <xdr:cNvSpPr/>
      </xdr:nvSpPr>
      <xdr:spPr bwMode="auto">
        <a:xfrm>
          <a:off x="6877049" y="121538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92447</xdr:colOff>
      <xdr:row>54</xdr:row>
      <xdr:rowOff>38100</xdr:rowOff>
    </xdr:from>
    <xdr:to>
      <xdr:col>43</xdr:col>
      <xdr:colOff>6721</xdr:colOff>
      <xdr:row>54</xdr:row>
      <xdr:rowOff>228600</xdr:rowOff>
    </xdr:to>
    <xdr:sp macro="" textlink="">
      <xdr:nvSpPr>
        <xdr:cNvPr id="18" name="正方形/長方形 17">
          <a:extLst>
            <a:ext uri="{FF2B5EF4-FFF2-40B4-BE49-F238E27FC236}">
              <a16:creationId xmlns:a16="http://schemas.microsoft.com/office/drawing/2014/main" id="{246FC186-09E1-482C-93B8-B1133050B920}"/>
            </a:ext>
          </a:extLst>
        </xdr:cNvPr>
        <xdr:cNvSpPr/>
      </xdr:nvSpPr>
      <xdr:spPr bwMode="auto">
        <a:xfrm>
          <a:off x="5559797" y="9810750"/>
          <a:ext cx="180974"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38101</xdr:colOff>
      <xdr:row>54</xdr:row>
      <xdr:rowOff>38100</xdr:rowOff>
    </xdr:from>
    <xdr:to>
      <xdr:col>54</xdr:col>
      <xdr:colOff>85726</xdr:colOff>
      <xdr:row>54</xdr:row>
      <xdr:rowOff>219075</xdr:rowOff>
    </xdr:to>
    <xdr:sp macro="" textlink="">
      <xdr:nvSpPr>
        <xdr:cNvPr id="19" name="正方形/長方形 18">
          <a:extLst>
            <a:ext uri="{FF2B5EF4-FFF2-40B4-BE49-F238E27FC236}">
              <a16:creationId xmlns:a16="http://schemas.microsoft.com/office/drawing/2014/main" id="{1F424D95-2233-4A25-923E-990199D5F26C}"/>
            </a:ext>
          </a:extLst>
        </xdr:cNvPr>
        <xdr:cNvSpPr/>
      </xdr:nvSpPr>
      <xdr:spPr bwMode="auto">
        <a:xfrm>
          <a:off x="7105651" y="12163425"/>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50</xdr:col>
      <xdr:colOff>57149</xdr:colOff>
      <xdr:row>72</xdr:row>
      <xdr:rowOff>28574</xdr:rowOff>
    </xdr:from>
    <xdr:to>
      <xdr:col>53</xdr:col>
      <xdr:colOff>57149</xdr:colOff>
      <xdr:row>72</xdr:row>
      <xdr:rowOff>219075</xdr:rowOff>
    </xdr:to>
    <xdr:sp macro="" textlink="">
      <xdr:nvSpPr>
        <xdr:cNvPr id="20" name="正方形/長方形 19">
          <a:extLst>
            <a:ext uri="{FF2B5EF4-FFF2-40B4-BE49-F238E27FC236}">
              <a16:creationId xmlns:a16="http://schemas.microsoft.com/office/drawing/2014/main" id="{D4EC3C40-7E7F-4CEE-9DFC-6303191292ED}"/>
            </a:ext>
          </a:extLst>
        </xdr:cNvPr>
        <xdr:cNvSpPr/>
      </xdr:nvSpPr>
      <xdr:spPr bwMode="auto">
        <a:xfrm>
          <a:off x="6724649" y="127158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19051</xdr:colOff>
      <xdr:row>72</xdr:row>
      <xdr:rowOff>38100</xdr:rowOff>
    </xdr:from>
    <xdr:to>
      <xdr:col>53</xdr:col>
      <xdr:colOff>66676</xdr:colOff>
      <xdr:row>72</xdr:row>
      <xdr:rowOff>219075</xdr:rowOff>
    </xdr:to>
    <xdr:sp macro="" textlink="">
      <xdr:nvSpPr>
        <xdr:cNvPr id="21" name="正方形/長方形 20">
          <a:extLst>
            <a:ext uri="{FF2B5EF4-FFF2-40B4-BE49-F238E27FC236}">
              <a16:creationId xmlns:a16="http://schemas.microsoft.com/office/drawing/2014/main" id="{102A7F26-52CF-4467-976F-1A0E244D1DD5}"/>
            </a:ext>
          </a:extLst>
        </xdr:cNvPr>
        <xdr:cNvSpPr/>
      </xdr:nvSpPr>
      <xdr:spPr bwMode="auto">
        <a:xfrm>
          <a:off x="6953251"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50</xdr:col>
      <xdr:colOff>57149</xdr:colOff>
      <xdr:row>72</xdr:row>
      <xdr:rowOff>28574</xdr:rowOff>
    </xdr:from>
    <xdr:to>
      <xdr:col>53</xdr:col>
      <xdr:colOff>57149</xdr:colOff>
      <xdr:row>72</xdr:row>
      <xdr:rowOff>219075</xdr:rowOff>
    </xdr:to>
    <xdr:sp macro="" textlink="">
      <xdr:nvSpPr>
        <xdr:cNvPr id="22" name="正方形/長方形 21">
          <a:extLst>
            <a:ext uri="{FF2B5EF4-FFF2-40B4-BE49-F238E27FC236}">
              <a16:creationId xmlns:a16="http://schemas.microsoft.com/office/drawing/2014/main" id="{D11437EF-B6EC-475A-BFBC-4D110B8ACF43}"/>
            </a:ext>
          </a:extLst>
        </xdr:cNvPr>
        <xdr:cNvSpPr/>
      </xdr:nvSpPr>
      <xdr:spPr bwMode="auto">
        <a:xfrm>
          <a:off x="6724649" y="127158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38473</xdr:colOff>
      <xdr:row>72</xdr:row>
      <xdr:rowOff>53975</xdr:rowOff>
    </xdr:from>
    <xdr:to>
      <xdr:col>43</xdr:col>
      <xdr:colOff>87684</xdr:colOff>
      <xdr:row>72</xdr:row>
      <xdr:rowOff>244475</xdr:rowOff>
    </xdr:to>
    <xdr:sp macro="" textlink="">
      <xdr:nvSpPr>
        <xdr:cNvPr id="23" name="正方形/長方形 22">
          <a:extLst>
            <a:ext uri="{FF2B5EF4-FFF2-40B4-BE49-F238E27FC236}">
              <a16:creationId xmlns:a16="http://schemas.microsoft.com/office/drawing/2014/main" id="{C22CE789-3328-4858-8EAE-BEC7A7AA7FE6}"/>
            </a:ext>
          </a:extLst>
        </xdr:cNvPr>
        <xdr:cNvSpPr/>
      </xdr:nvSpPr>
      <xdr:spPr bwMode="auto">
        <a:xfrm>
          <a:off x="5639173" y="12741275"/>
          <a:ext cx="182561" cy="1143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19051</xdr:colOff>
      <xdr:row>72</xdr:row>
      <xdr:rowOff>38100</xdr:rowOff>
    </xdr:from>
    <xdr:to>
      <xdr:col>53</xdr:col>
      <xdr:colOff>66676</xdr:colOff>
      <xdr:row>72</xdr:row>
      <xdr:rowOff>219075</xdr:rowOff>
    </xdr:to>
    <xdr:sp macro="" textlink="">
      <xdr:nvSpPr>
        <xdr:cNvPr id="24" name="正方形/長方形 23">
          <a:extLst>
            <a:ext uri="{FF2B5EF4-FFF2-40B4-BE49-F238E27FC236}">
              <a16:creationId xmlns:a16="http://schemas.microsoft.com/office/drawing/2014/main" id="{61A77530-9D28-4DBF-930A-0BE1AC051CE1}"/>
            </a:ext>
          </a:extLst>
        </xdr:cNvPr>
        <xdr:cNvSpPr/>
      </xdr:nvSpPr>
      <xdr:spPr bwMode="auto">
        <a:xfrm>
          <a:off x="6953251"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38100</xdr:colOff>
      <xdr:row>22</xdr:row>
      <xdr:rowOff>38100</xdr:rowOff>
    </xdr:from>
    <xdr:to>
      <xdr:col>34</xdr:col>
      <xdr:colOff>127350</xdr:colOff>
      <xdr:row>22</xdr:row>
      <xdr:rowOff>218100</xdr:rowOff>
    </xdr:to>
    <xdr:sp macro="" textlink="">
      <xdr:nvSpPr>
        <xdr:cNvPr id="25" name="正方形/長方形 24">
          <a:extLst>
            <a:ext uri="{FF2B5EF4-FFF2-40B4-BE49-F238E27FC236}">
              <a16:creationId xmlns:a16="http://schemas.microsoft.com/office/drawing/2014/main" id="{B7BCDE5A-63B0-49AC-950C-DA5CB6878FC3}"/>
            </a:ext>
          </a:extLst>
        </xdr:cNvPr>
        <xdr:cNvSpPr/>
      </xdr:nvSpPr>
      <xdr:spPr>
        <a:xfrm>
          <a:off x="3905250" y="4229100"/>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3</xdr:col>
      <xdr:colOff>28575</xdr:colOff>
      <xdr:row>73</xdr:row>
      <xdr:rowOff>76200</xdr:rowOff>
    </xdr:from>
    <xdr:to>
      <xdr:col>10</xdr:col>
      <xdr:colOff>95251</xdr:colOff>
      <xdr:row>74</xdr:row>
      <xdr:rowOff>19050</xdr:rowOff>
    </xdr:to>
    <xdr:sp macro="" textlink="">
      <xdr:nvSpPr>
        <xdr:cNvPr id="13" name="正方形/長方形 12">
          <a:extLst>
            <a:ext uri="{FF2B5EF4-FFF2-40B4-BE49-F238E27FC236}">
              <a16:creationId xmlns:a16="http://schemas.microsoft.com/office/drawing/2014/main" id="{B60E128B-C948-4CAE-9C57-6E4380D40A32}"/>
            </a:ext>
          </a:extLst>
        </xdr:cNvPr>
        <xdr:cNvSpPr/>
      </xdr:nvSpPr>
      <xdr:spPr bwMode="auto">
        <a:xfrm>
          <a:off x="428625" y="169068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15240</xdr:colOff>
      <xdr:row>73</xdr:row>
      <xdr:rowOff>76200</xdr:rowOff>
    </xdr:from>
    <xdr:to>
      <xdr:col>18</xdr:col>
      <xdr:colOff>81916</xdr:colOff>
      <xdr:row>74</xdr:row>
      <xdr:rowOff>19050</xdr:rowOff>
    </xdr:to>
    <xdr:sp macro="" textlink="">
      <xdr:nvSpPr>
        <xdr:cNvPr id="32" name="正方形/長方形 31">
          <a:extLst>
            <a:ext uri="{FF2B5EF4-FFF2-40B4-BE49-F238E27FC236}">
              <a16:creationId xmlns:a16="http://schemas.microsoft.com/office/drawing/2014/main" id="{C2B60DBB-3925-48AF-9DCF-DB067E33B0CA}"/>
            </a:ext>
          </a:extLst>
        </xdr:cNvPr>
        <xdr:cNvSpPr/>
      </xdr:nvSpPr>
      <xdr:spPr bwMode="auto">
        <a:xfrm>
          <a:off x="1482090" y="169068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0</xdr:colOff>
      <xdr:row>73</xdr:row>
      <xdr:rowOff>76200</xdr:rowOff>
    </xdr:from>
    <xdr:to>
      <xdr:col>26</xdr:col>
      <xdr:colOff>66676</xdr:colOff>
      <xdr:row>74</xdr:row>
      <xdr:rowOff>19050</xdr:rowOff>
    </xdr:to>
    <xdr:sp macro="" textlink="">
      <xdr:nvSpPr>
        <xdr:cNvPr id="34" name="正方形/長方形 33">
          <a:extLst>
            <a:ext uri="{FF2B5EF4-FFF2-40B4-BE49-F238E27FC236}">
              <a16:creationId xmlns:a16="http://schemas.microsoft.com/office/drawing/2014/main" id="{652F2260-DE17-428E-B40E-E93C701EF414}"/>
            </a:ext>
          </a:extLst>
        </xdr:cNvPr>
        <xdr:cNvSpPr/>
      </xdr:nvSpPr>
      <xdr:spPr bwMode="auto">
        <a:xfrm>
          <a:off x="2533650" y="169068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12</xdr:col>
      <xdr:colOff>80069</xdr:colOff>
      <xdr:row>16</xdr:row>
      <xdr:rowOff>42653</xdr:rowOff>
    </xdr:from>
    <xdr:to>
      <xdr:col>16</xdr:col>
      <xdr:colOff>122669</xdr:colOff>
      <xdr:row>16</xdr:row>
      <xdr:rowOff>223628</xdr:rowOff>
    </xdr:to>
    <xdr:sp macro="" textlink="">
      <xdr:nvSpPr>
        <xdr:cNvPr id="3" name="正方形/長方形 2">
          <a:extLst>
            <a:ext uri="{FF2B5EF4-FFF2-40B4-BE49-F238E27FC236}">
              <a16:creationId xmlns:a16="http://schemas.microsoft.com/office/drawing/2014/main" id="{21F33724-668E-49AE-B1DB-84D3DCBD11AF}"/>
            </a:ext>
          </a:extLst>
        </xdr:cNvPr>
        <xdr:cNvSpPr/>
      </xdr:nvSpPr>
      <xdr:spPr bwMode="auto">
        <a:xfrm>
          <a:off x="1680269" y="3262103"/>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61686</xdr:colOff>
      <xdr:row>16</xdr:row>
      <xdr:rowOff>28574</xdr:rowOff>
    </xdr:from>
    <xdr:to>
      <xdr:col>20</xdr:col>
      <xdr:colOff>129637</xdr:colOff>
      <xdr:row>16</xdr:row>
      <xdr:rowOff>219075</xdr:rowOff>
    </xdr:to>
    <xdr:sp macro="" textlink="">
      <xdr:nvSpPr>
        <xdr:cNvPr id="6" name="正方形/長方形 5">
          <a:extLst>
            <a:ext uri="{FF2B5EF4-FFF2-40B4-BE49-F238E27FC236}">
              <a16:creationId xmlns:a16="http://schemas.microsoft.com/office/drawing/2014/main" id="{04F10299-E7AB-4561-92AC-8042F19B40B1}"/>
            </a:ext>
          </a:extLst>
        </xdr:cNvPr>
        <xdr:cNvSpPr/>
      </xdr:nvSpPr>
      <xdr:spPr bwMode="auto">
        <a:xfrm>
          <a:off x="2328636" y="3248024"/>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116488</xdr:colOff>
      <xdr:row>16</xdr:row>
      <xdr:rowOff>29209</xdr:rowOff>
    </xdr:from>
    <xdr:to>
      <xdr:col>56</xdr:col>
      <xdr:colOff>25738</xdr:colOff>
      <xdr:row>16</xdr:row>
      <xdr:rowOff>210184</xdr:rowOff>
    </xdr:to>
    <xdr:sp macro="" textlink="">
      <xdr:nvSpPr>
        <xdr:cNvPr id="8" name="正方形/長方形 7">
          <a:extLst>
            <a:ext uri="{FF2B5EF4-FFF2-40B4-BE49-F238E27FC236}">
              <a16:creationId xmlns:a16="http://schemas.microsoft.com/office/drawing/2014/main" id="{3187D003-97F9-4E6B-BE93-E245F12E5B5B}"/>
            </a:ext>
          </a:extLst>
        </xdr:cNvPr>
        <xdr:cNvSpPr/>
      </xdr:nvSpPr>
      <xdr:spPr bwMode="auto">
        <a:xfrm>
          <a:off x="6917338" y="3248659"/>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9525</xdr:colOff>
      <xdr:row>16</xdr:row>
      <xdr:rowOff>9525</xdr:rowOff>
    </xdr:from>
    <xdr:to>
      <xdr:col>60</xdr:col>
      <xdr:colOff>77476</xdr:colOff>
      <xdr:row>16</xdr:row>
      <xdr:rowOff>200026</xdr:rowOff>
    </xdr:to>
    <xdr:sp macro="" textlink="">
      <xdr:nvSpPr>
        <xdr:cNvPr id="10" name="正方形/長方形 9">
          <a:extLst>
            <a:ext uri="{FF2B5EF4-FFF2-40B4-BE49-F238E27FC236}">
              <a16:creationId xmlns:a16="http://schemas.microsoft.com/office/drawing/2014/main" id="{437F9F11-DD32-4350-8262-DEF1E1C51EF5}"/>
            </a:ext>
          </a:extLst>
        </xdr:cNvPr>
        <xdr:cNvSpPr/>
      </xdr:nvSpPr>
      <xdr:spPr bwMode="auto">
        <a:xfrm>
          <a:off x="7610475" y="3228975"/>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64801</xdr:colOff>
      <xdr:row>17</xdr:row>
      <xdr:rowOff>36196</xdr:rowOff>
    </xdr:from>
    <xdr:to>
      <xdr:col>22</xdr:col>
      <xdr:colOff>8610</xdr:colOff>
      <xdr:row>17</xdr:row>
      <xdr:rowOff>226697</xdr:rowOff>
    </xdr:to>
    <xdr:sp macro="" textlink="">
      <xdr:nvSpPr>
        <xdr:cNvPr id="44" name="正方形/長方形 43">
          <a:extLst>
            <a:ext uri="{FF2B5EF4-FFF2-40B4-BE49-F238E27FC236}">
              <a16:creationId xmlns:a16="http://schemas.microsoft.com/office/drawing/2014/main" id="{05F9DC82-451B-40B0-A276-E0DCB47EDE05}"/>
            </a:ext>
          </a:extLst>
        </xdr:cNvPr>
        <xdr:cNvSpPr/>
      </xdr:nvSpPr>
      <xdr:spPr bwMode="auto">
        <a:xfrm>
          <a:off x="2293651" y="3484246"/>
          <a:ext cx="439109"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95250</xdr:colOff>
      <xdr:row>19</xdr:row>
      <xdr:rowOff>30480</xdr:rowOff>
    </xdr:from>
    <xdr:to>
      <xdr:col>58</xdr:col>
      <xdr:colOff>114301</xdr:colOff>
      <xdr:row>19</xdr:row>
      <xdr:rowOff>220979</xdr:rowOff>
    </xdr:to>
    <xdr:sp macro="" textlink="">
      <xdr:nvSpPr>
        <xdr:cNvPr id="45" name="正方形/長方形 44">
          <a:extLst>
            <a:ext uri="{FF2B5EF4-FFF2-40B4-BE49-F238E27FC236}">
              <a16:creationId xmlns:a16="http://schemas.microsoft.com/office/drawing/2014/main" id="{EC00EBEC-B542-4036-9AC3-F6E068C7C6AA}"/>
            </a:ext>
          </a:extLst>
        </xdr:cNvPr>
        <xdr:cNvSpPr/>
      </xdr:nvSpPr>
      <xdr:spPr>
        <a:xfrm>
          <a:off x="6410325" y="3964305"/>
          <a:ext cx="885826"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63</xdr:col>
      <xdr:colOff>78105</xdr:colOff>
      <xdr:row>19</xdr:row>
      <xdr:rowOff>30480</xdr:rowOff>
    </xdr:from>
    <xdr:to>
      <xdr:col>70</xdr:col>
      <xdr:colOff>81916</xdr:colOff>
      <xdr:row>19</xdr:row>
      <xdr:rowOff>220979</xdr:rowOff>
    </xdr:to>
    <xdr:sp macro="" textlink="">
      <xdr:nvSpPr>
        <xdr:cNvPr id="46" name="正方形/長方形 45">
          <a:extLst>
            <a:ext uri="{FF2B5EF4-FFF2-40B4-BE49-F238E27FC236}">
              <a16:creationId xmlns:a16="http://schemas.microsoft.com/office/drawing/2014/main" id="{17BF4E0B-F23E-4C96-96D1-3C6AC9DA84F5}"/>
            </a:ext>
          </a:extLst>
        </xdr:cNvPr>
        <xdr:cNvSpPr/>
      </xdr:nvSpPr>
      <xdr:spPr>
        <a:xfrm>
          <a:off x="7879080" y="3964305"/>
          <a:ext cx="870586"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12</xdr:col>
      <xdr:colOff>71436</xdr:colOff>
      <xdr:row>20</xdr:row>
      <xdr:rowOff>33131</xdr:rowOff>
    </xdr:from>
    <xdr:to>
      <xdr:col>19</xdr:col>
      <xdr:colOff>19049</xdr:colOff>
      <xdr:row>20</xdr:row>
      <xdr:rowOff>209551</xdr:rowOff>
    </xdr:to>
    <xdr:sp macro="" textlink="">
      <xdr:nvSpPr>
        <xdr:cNvPr id="33" name="正方形/長方形 32">
          <a:extLst>
            <a:ext uri="{FF2B5EF4-FFF2-40B4-BE49-F238E27FC236}">
              <a16:creationId xmlns:a16="http://schemas.microsoft.com/office/drawing/2014/main" id="{CA6ABF15-A510-48A2-84FE-EBE1D453DFD1}"/>
            </a:ext>
          </a:extLst>
        </xdr:cNvPr>
        <xdr:cNvSpPr/>
      </xdr:nvSpPr>
      <xdr:spPr bwMode="auto">
        <a:xfrm>
          <a:off x="1671636" y="3995531"/>
          <a:ext cx="881063" cy="1764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72390</xdr:colOff>
      <xdr:row>17</xdr:row>
      <xdr:rowOff>38100</xdr:rowOff>
    </xdr:from>
    <xdr:to>
      <xdr:col>18</xdr:col>
      <xdr:colOff>10020</xdr:colOff>
      <xdr:row>17</xdr:row>
      <xdr:rowOff>230505</xdr:rowOff>
    </xdr:to>
    <xdr:sp macro="" textlink="">
      <xdr:nvSpPr>
        <xdr:cNvPr id="26" name="正方形/長方形 25">
          <a:extLst>
            <a:ext uri="{FF2B5EF4-FFF2-40B4-BE49-F238E27FC236}">
              <a16:creationId xmlns:a16="http://schemas.microsoft.com/office/drawing/2014/main" id="{7EFEAD17-4745-47EC-9C27-E9A7B4757188}"/>
            </a:ext>
          </a:extLst>
        </xdr:cNvPr>
        <xdr:cNvSpPr/>
      </xdr:nvSpPr>
      <xdr:spPr>
        <a:xfrm>
          <a:off x="1558290" y="3486150"/>
          <a:ext cx="680580" cy="19240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twoCellAnchor>
    <xdr:from>
      <xdr:col>56</xdr:col>
      <xdr:colOff>95250</xdr:colOff>
      <xdr:row>17</xdr:row>
      <xdr:rowOff>38100</xdr:rowOff>
    </xdr:from>
    <xdr:to>
      <xdr:col>61</xdr:col>
      <xdr:colOff>4500</xdr:colOff>
      <xdr:row>17</xdr:row>
      <xdr:rowOff>219075</xdr:rowOff>
    </xdr:to>
    <xdr:sp macro="" textlink="">
      <xdr:nvSpPr>
        <xdr:cNvPr id="12" name="正方形/長方形 11">
          <a:extLst>
            <a:ext uri="{FF2B5EF4-FFF2-40B4-BE49-F238E27FC236}">
              <a16:creationId xmlns:a16="http://schemas.microsoft.com/office/drawing/2014/main" id="{2DF9CAA0-A375-4FAE-B08D-081225E06A48}"/>
            </a:ext>
          </a:extLst>
        </xdr:cNvPr>
        <xdr:cNvSpPr/>
      </xdr:nvSpPr>
      <xdr:spPr bwMode="auto">
        <a:xfrm>
          <a:off x="7829550" y="22621875"/>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95250</xdr:colOff>
      <xdr:row>17</xdr:row>
      <xdr:rowOff>28575</xdr:rowOff>
    </xdr:from>
    <xdr:to>
      <xdr:col>75</xdr:col>
      <xdr:colOff>4500</xdr:colOff>
      <xdr:row>17</xdr:row>
      <xdr:rowOff>209550</xdr:rowOff>
    </xdr:to>
    <xdr:sp macro="" textlink="">
      <xdr:nvSpPr>
        <xdr:cNvPr id="27" name="正方形/長方形 26">
          <a:extLst>
            <a:ext uri="{FF2B5EF4-FFF2-40B4-BE49-F238E27FC236}">
              <a16:creationId xmlns:a16="http://schemas.microsoft.com/office/drawing/2014/main" id="{B8D27EA5-1916-4EA2-B226-02EB6DD6EEB7}"/>
            </a:ext>
          </a:extLst>
        </xdr:cNvPr>
        <xdr:cNvSpPr/>
      </xdr:nvSpPr>
      <xdr:spPr bwMode="auto">
        <a:xfrm>
          <a:off x="9696450" y="22612350"/>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67182</xdr:colOff>
      <xdr:row>18</xdr:row>
      <xdr:rowOff>29209</xdr:rowOff>
    </xdr:from>
    <xdr:to>
      <xdr:col>16</xdr:col>
      <xdr:colOff>109782</xdr:colOff>
      <xdr:row>18</xdr:row>
      <xdr:rowOff>210184</xdr:rowOff>
    </xdr:to>
    <xdr:sp macro="" textlink="">
      <xdr:nvSpPr>
        <xdr:cNvPr id="35" name="正方形/長方形 34">
          <a:extLst>
            <a:ext uri="{FF2B5EF4-FFF2-40B4-BE49-F238E27FC236}">
              <a16:creationId xmlns:a16="http://schemas.microsoft.com/office/drawing/2014/main" id="{F30EEDDE-681E-4902-AB81-49C43FB5B3D6}"/>
            </a:ext>
          </a:extLst>
        </xdr:cNvPr>
        <xdr:cNvSpPr/>
      </xdr:nvSpPr>
      <xdr:spPr bwMode="auto">
        <a:xfrm>
          <a:off x="1667382" y="22851109"/>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104775</xdr:colOff>
      <xdr:row>73</xdr:row>
      <xdr:rowOff>85725</xdr:rowOff>
    </xdr:from>
    <xdr:to>
      <xdr:col>34</xdr:col>
      <xdr:colOff>113150</xdr:colOff>
      <xdr:row>74</xdr:row>
      <xdr:rowOff>28875</xdr:rowOff>
    </xdr:to>
    <xdr:sp macro="" textlink="">
      <xdr:nvSpPr>
        <xdr:cNvPr id="5" name="正方形/長方形 4">
          <a:extLst>
            <a:ext uri="{FF2B5EF4-FFF2-40B4-BE49-F238E27FC236}">
              <a16:creationId xmlns:a16="http://schemas.microsoft.com/office/drawing/2014/main" id="{7D0ADE33-49B9-4C22-9694-0A9F28847340}"/>
            </a:ext>
          </a:extLst>
        </xdr:cNvPr>
        <xdr:cNvSpPr/>
      </xdr:nvSpPr>
      <xdr:spPr bwMode="auto">
        <a:xfrm>
          <a:off x="3571875" y="16916400"/>
          <a:ext cx="1075175"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57181</xdr:colOff>
      <xdr:row>19</xdr:row>
      <xdr:rowOff>28576</xdr:rowOff>
    </xdr:from>
    <xdr:to>
      <xdr:col>22</xdr:col>
      <xdr:colOff>990</xdr:colOff>
      <xdr:row>19</xdr:row>
      <xdr:rowOff>219077</xdr:rowOff>
    </xdr:to>
    <xdr:sp macro="" textlink="">
      <xdr:nvSpPr>
        <xdr:cNvPr id="28" name="正方形/長方形 27">
          <a:extLst>
            <a:ext uri="{FF2B5EF4-FFF2-40B4-BE49-F238E27FC236}">
              <a16:creationId xmlns:a16="http://schemas.microsoft.com/office/drawing/2014/main" id="{B6BB2901-C788-3E77-C459-1E740E3B795E}"/>
            </a:ext>
          </a:extLst>
        </xdr:cNvPr>
        <xdr:cNvSpPr/>
      </xdr:nvSpPr>
      <xdr:spPr bwMode="auto">
        <a:xfrm>
          <a:off x="2388901" y="3914776"/>
          <a:ext cx="461969"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64770</xdr:colOff>
      <xdr:row>19</xdr:row>
      <xdr:rowOff>30480</xdr:rowOff>
    </xdr:from>
    <xdr:to>
      <xdr:col>18</xdr:col>
      <xdr:colOff>2400</xdr:colOff>
      <xdr:row>19</xdr:row>
      <xdr:rowOff>222885</xdr:rowOff>
    </xdr:to>
    <xdr:sp macro="" textlink="">
      <xdr:nvSpPr>
        <xdr:cNvPr id="29" name="正方形/長方形 28">
          <a:extLst>
            <a:ext uri="{FF2B5EF4-FFF2-40B4-BE49-F238E27FC236}">
              <a16:creationId xmlns:a16="http://schemas.microsoft.com/office/drawing/2014/main" id="{1222B042-3C37-7D6C-2335-F415033365BC}"/>
            </a:ext>
          </a:extLst>
        </xdr:cNvPr>
        <xdr:cNvSpPr/>
      </xdr:nvSpPr>
      <xdr:spPr>
        <a:xfrm>
          <a:off x="1619250" y="3916680"/>
          <a:ext cx="714870" cy="19240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105834</xdr:rowOff>
    </xdr:from>
    <xdr:ext cx="1217825" cy="348691"/>
    <xdr:pic>
      <xdr:nvPicPr>
        <xdr:cNvPr id="2" name="図 1">
          <a:extLst>
            <a:ext uri="{FF2B5EF4-FFF2-40B4-BE49-F238E27FC236}">
              <a16:creationId xmlns:a16="http://schemas.microsoft.com/office/drawing/2014/main" id="{7E8398DF-1DF7-4FDE-8254-CD26AFCE0DD3}"/>
            </a:ext>
          </a:extLst>
        </xdr:cNvPr>
        <xdr:cNvPicPr>
          <a:picLocks noChangeAspect="1"/>
        </xdr:cNvPicPr>
      </xdr:nvPicPr>
      <xdr:blipFill>
        <a:blip xmlns:r="http://schemas.openxmlformats.org/officeDocument/2006/relationships" r:embed="rId1"/>
        <a:stretch>
          <a:fillRect/>
        </a:stretch>
      </xdr:blipFill>
      <xdr:spPr>
        <a:xfrm>
          <a:off x="266700" y="1820334"/>
          <a:ext cx="1217825" cy="348691"/>
        </a:xfrm>
        <a:prstGeom prst="rect">
          <a:avLst/>
        </a:prstGeom>
      </xdr:spPr>
    </xdr:pic>
    <xdr:clientData/>
  </xdr:oneCellAnchor>
  <xdr:twoCellAnchor>
    <xdr:from>
      <xdr:col>3</xdr:col>
      <xdr:colOff>9525</xdr:colOff>
      <xdr:row>36</xdr:row>
      <xdr:rowOff>114300</xdr:rowOff>
    </xdr:from>
    <xdr:to>
      <xdr:col>10</xdr:col>
      <xdr:colOff>38100</xdr:colOff>
      <xdr:row>37</xdr:row>
      <xdr:rowOff>116205</xdr:rowOff>
    </xdr:to>
    <xdr:sp macro="" textlink="">
      <xdr:nvSpPr>
        <xdr:cNvPr id="5" name="正方形/長方形 4">
          <a:extLst>
            <a:ext uri="{FF2B5EF4-FFF2-40B4-BE49-F238E27FC236}">
              <a16:creationId xmlns:a16="http://schemas.microsoft.com/office/drawing/2014/main" id="{1DA49537-0AD6-4991-A765-279287662C38}"/>
            </a:ext>
          </a:extLst>
        </xdr:cNvPr>
        <xdr:cNvSpPr/>
      </xdr:nvSpPr>
      <xdr:spPr bwMode="auto">
        <a:xfrm>
          <a:off x="438150" y="8277225"/>
          <a:ext cx="1028700"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36</xdr:row>
      <xdr:rowOff>114301</xdr:rowOff>
    </xdr:from>
    <xdr:to>
      <xdr:col>80</xdr:col>
      <xdr:colOff>10162</xdr:colOff>
      <xdr:row>37</xdr:row>
      <xdr:rowOff>100967</xdr:rowOff>
    </xdr:to>
    <xdr:sp macro="" textlink="">
      <xdr:nvSpPr>
        <xdr:cNvPr id="10" name="正方形/長方形 9">
          <a:extLst>
            <a:ext uri="{FF2B5EF4-FFF2-40B4-BE49-F238E27FC236}">
              <a16:creationId xmlns:a16="http://schemas.microsoft.com/office/drawing/2014/main" id="{28AE964C-2F7A-4382-8EFE-8D661B353A76}"/>
            </a:ext>
          </a:extLst>
        </xdr:cNvPr>
        <xdr:cNvSpPr/>
      </xdr:nvSpPr>
      <xdr:spPr bwMode="auto">
        <a:xfrm>
          <a:off x="10401314" y="8277226"/>
          <a:ext cx="10388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104775</xdr:colOff>
      <xdr:row>20</xdr:row>
      <xdr:rowOff>38100</xdr:rowOff>
    </xdr:from>
    <xdr:to>
      <xdr:col>39</xdr:col>
      <xdr:colOff>55857</xdr:colOff>
      <xdr:row>20</xdr:row>
      <xdr:rowOff>228600</xdr:rowOff>
    </xdr:to>
    <xdr:sp macro="" textlink="">
      <xdr:nvSpPr>
        <xdr:cNvPr id="21" name="正方形/長方形 20">
          <a:extLst>
            <a:ext uri="{FF2B5EF4-FFF2-40B4-BE49-F238E27FC236}">
              <a16:creationId xmlns:a16="http://schemas.microsoft.com/office/drawing/2014/main" id="{CACC132C-1CB8-40B2-B503-6C580E566CB9}"/>
            </a:ext>
          </a:extLst>
        </xdr:cNvPr>
        <xdr:cNvSpPr/>
      </xdr:nvSpPr>
      <xdr:spPr>
        <a:xfrm>
          <a:off x="4505325" y="4476750"/>
          <a:ext cx="7511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13</xdr:col>
      <xdr:colOff>89534</xdr:colOff>
      <xdr:row>17</xdr:row>
      <xdr:rowOff>19050</xdr:rowOff>
    </xdr:from>
    <xdr:to>
      <xdr:col>19</xdr:col>
      <xdr:colOff>78104</xdr:colOff>
      <xdr:row>17</xdr:row>
      <xdr:rowOff>232409</xdr:rowOff>
    </xdr:to>
    <xdr:sp macro="" textlink="">
      <xdr:nvSpPr>
        <xdr:cNvPr id="22" name="正方形/長方形 21">
          <a:extLst>
            <a:ext uri="{FF2B5EF4-FFF2-40B4-BE49-F238E27FC236}">
              <a16:creationId xmlns:a16="http://schemas.microsoft.com/office/drawing/2014/main" id="{37656BFA-49EF-4A62-B6AE-A432C4743C20}"/>
            </a:ext>
          </a:extLst>
        </xdr:cNvPr>
        <xdr:cNvSpPr/>
      </xdr:nvSpPr>
      <xdr:spPr>
        <a:xfrm>
          <a:off x="1699259" y="3962400"/>
          <a:ext cx="731520" cy="21335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191113</a:t>
          </a:r>
        </a:p>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twoCellAnchor>
    <xdr:from>
      <xdr:col>19</xdr:col>
      <xdr:colOff>114300</xdr:colOff>
      <xdr:row>17</xdr:row>
      <xdr:rowOff>28575</xdr:rowOff>
    </xdr:from>
    <xdr:to>
      <xdr:col>25</xdr:col>
      <xdr:colOff>65382</xdr:colOff>
      <xdr:row>17</xdr:row>
      <xdr:rowOff>219075</xdr:rowOff>
    </xdr:to>
    <xdr:sp macro="" textlink="">
      <xdr:nvSpPr>
        <xdr:cNvPr id="24" name="正方形/長方形 23">
          <a:extLst>
            <a:ext uri="{FF2B5EF4-FFF2-40B4-BE49-F238E27FC236}">
              <a16:creationId xmlns:a16="http://schemas.microsoft.com/office/drawing/2014/main" id="{A74C00D8-79FA-4D09-8D6C-85DAFFF5F693}"/>
            </a:ext>
          </a:extLst>
        </xdr:cNvPr>
        <xdr:cNvSpPr/>
      </xdr:nvSpPr>
      <xdr:spPr>
        <a:xfrm>
          <a:off x="2514600" y="4467225"/>
          <a:ext cx="7511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95250</xdr:colOff>
      <xdr:row>17</xdr:row>
      <xdr:rowOff>38100</xdr:rowOff>
    </xdr:from>
    <xdr:to>
      <xdr:col>55</xdr:col>
      <xdr:colOff>40500</xdr:colOff>
      <xdr:row>17</xdr:row>
      <xdr:rowOff>228601</xdr:rowOff>
    </xdr:to>
    <xdr:sp macro="" textlink="">
      <xdr:nvSpPr>
        <xdr:cNvPr id="45" name="正方形/長方形 44">
          <a:extLst>
            <a:ext uri="{FF2B5EF4-FFF2-40B4-BE49-F238E27FC236}">
              <a16:creationId xmlns:a16="http://schemas.microsoft.com/office/drawing/2014/main" id="{6C23DB85-48C8-48B3-86B6-1D6D81AFCFE2}"/>
            </a:ext>
          </a:extLst>
        </xdr:cNvPr>
        <xdr:cNvSpPr/>
      </xdr:nvSpPr>
      <xdr:spPr>
        <a:xfrm>
          <a:off x="8496300" y="4476750"/>
          <a:ext cx="612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2024</a:t>
          </a:r>
        </a:p>
        <a:p>
          <a:pPr algn="l"/>
          <a:endParaRPr kumimoji="1" lang="en-US" altLang="ja-JP" sz="105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9525</xdr:colOff>
      <xdr:row>17</xdr:row>
      <xdr:rowOff>28575</xdr:rowOff>
    </xdr:from>
    <xdr:to>
      <xdr:col>77</xdr:col>
      <xdr:colOff>88125</xdr:colOff>
      <xdr:row>17</xdr:row>
      <xdr:rowOff>219076</xdr:rowOff>
    </xdr:to>
    <xdr:sp macro="" textlink="">
      <xdr:nvSpPr>
        <xdr:cNvPr id="46" name="正方形/長方形 45">
          <a:extLst>
            <a:ext uri="{FF2B5EF4-FFF2-40B4-BE49-F238E27FC236}">
              <a16:creationId xmlns:a16="http://schemas.microsoft.com/office/drawing/2014/main" id="{62049825-06FE-4D0F-B566-B28FBBD186B2}"/>
            </a:ext>
          </a:extLst>
        </xdr:cNvPr>
        <xdr:cNvSpPr/>
      </xdr:nvSpPr>
      <xdr:spPr>
        <a:xfrm>
          <a:off x="9744075" y="3733800"/>
          <a:ext cx="612000" cy="19050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01</a:t>
          </a:r>
          <a:endParaRPr kumimoji="1" lang="en-US" altLang="ja-JP" sz="105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76201</xdr:colOff>
      <xdr:row>20</xdr:row>
      <xdr:rowOff>19050</xdr:rowOff>
    </xdr:from>
    <xdr:to>
      <xdr:col>46</xdr:col>
      <xdr:colOff>76201</xdr:colOff>
      <xdr:row>20</xdr:row>
      <xdr:rowOff>228600</xdr:rowOff>
    </xdr:to>
    <xdr:sp macro="" textlink="">
      <xdr:nvSpPr>
        <xdr:cNvPr id="3" name="正方形/長方形 2">
          <a:extLst>
            <a:ext uri="{FF2B5EF4-FFF2-40B4-BE49-F238E27FC236}">
              <a16:creationId xmlns:a16="http://schemas.microsoft.com/office/drawing/2014/main" id="{7FD48D46-397C-4BA9-B53D-ED100A679ED8}"/>
            </a:ext>
          </a:extLst>
        </xdr:cNvPr>
        <xdr:cNvSpPr/>
      </xdr:nvSpPr>
      <xdr:spPr bwMode="auto">
        <a:xfrm>
          <a:off x="5410201" y="4457700"/>
          <a:ext cx="8001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9525</xdr:colOff>
      <xdr:row>35</xdr:row>
      <xdr:rowOff>19050</xdr:rowOff>
    </xdr:from>
    <xdr:to>
      <xdr:col>67</xdr:col>
      <xdr:colOff>38100</xdr:colOff>
      <xdr:row>35</xdr:row>
      <xdr:rowOff>215266</xdr:rowOff>
    </xdr:to>
    <xdr:sp macro="" textlink="">
      <xdr:nvSpPr>
        <xdr:cNvPr id="16" name="正方形/長方形 15">
          <a:extLst>
            <a:ext uri="{FF2B5EF4-FFF2-40B4-BE49-F238E27FC236}">
              <a16:creationId xmlns:a16="http://schemas.microsoft.com/office/drawing/2014/main" id="{CED29043-B27E-4049-B3A3-FB1BC666195B}"/>
            </a:ext>
          </a:extLst>
        </xdr:cNvPr>
        <xdr:cNvSpPr/>
      </xdr:nvSpPr>
      <xdr:spPr bwMode="auto">
        <a:xfrm>
          <a:off x="7877175" y="7696200"/>
          <a:ext cx="962025" cy="1962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76200</xdr:colOff>
      <xdr:row>35</xdr:row>
      <xdr:rowOff>19049</xdr:rowOff>
    </xdr:from>
    <xdr:to>
      <xdr:col>75</xdr:col>
      <xdr:colOff>28575</xdr:colOff>
      <xdr:row>35</xdr:row>
      <xdr:rowOff>224790</xdr:rowOff>
    </xdr:to>
    <xdr:sp macro="" textlink="">
      <xdr:nvSpPr>
        <xdr:cNvPr id="65" name="正方形/長方形 64">
          <a:extLst>
            <a:ext uri="{FF2B5EF4-FFF2-40B4-BE49-F238E27FC236}">
              <a16:creationId xmlns:a16="http://schemas.microsoft.com/office/drawing/2014/main" id="{3D5B31DA-9F9A-4FB2-B175-03189D0E7F8B}"/>
            </a:ext>
          </a:extLst>
        </xdr:cNvPr>
        <xdr:cNvSpPr/>
      </xdr:nvSpPr>
      <xdr:spPr bwMode="auto">
        <a:xfrm>
          <a:off x="9010650" y="7696199"/>
          <a:ext cx="885825" cy="2057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81396</xdr:colOff>
      <xdr:row>19</xdr:row>
      <xdr:rowOff>35502</xdr:rowOff>
    </xdr:from>
    <xdr:to>
      <xdr:col>25</xdr:col>
      <xdr:colOff>64690</xdr:colOff>
      <xdr:row>19</xdr:row>
      <xdr:rowOff>226002</xdr:rowOff>
    </xdr:to>
    <xdr:sp macro="" textlink="">
      <xdr:nvSpPr>
        <xdr:cNvPr id="28" name="正方形/長方形 27">
          <a:extLst>
            <a:ext uri="{FF2B5EF4-FFF2-40B4-BE49-F238E27FC236}">
              <a16:creationId xmlns:a16="http://schemas.microsoft.com/office/drawing/2014/main" id="{C16A9412-C861-4633-AAE6-19B00E7B19A3}"/>
            </a:ext>
          </a:extLst>
        </xdr:cNvPr>
        <xdr:cNvSpPr/>
      </xdr:nvSpPr>
      <xdr:spPr>
        <a:xfrm>
          <a:off x="2481696" y="399790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112567</xdr:colOff>
      <xdr:row>19</xdr:row>
      <xdr:rowOff>34637</xdr:rowOff>
    </xdr:from>
    <xdr:to>
      <xdr:col>75</xdr:col>
      <xdr:colOff>43295</xdr:colOff>
      <xdr:row>19</xdr:row>
      <xdr:rowOff>225136</xdr:rowOff>
    </xdr:to>
    <xdr:sp macro="" textlink="">
      <xdr:nvSpPr>
        <xdr:cNvPr id="30" name="正方形/長方形 29">
          <a:extLst>
            <a:ext uri="{FF2B5EF4-FFF2-40B4-BE49-F238E27FC236}">
              <a16:creationId xmlns:a16="http://schemas.microsoft.com/office/drawing/2014/main" id="{ED135861-4B5C-4758-87BB-0982581A8E7D}"/>
            </a:ext>
          </a:extLst>
        </xdr:cNvPr>
        <xdr:cNvSpPr/>
      </xdr:nvSpPr>
      <xdr:spPr bwMode="auto">
        <a:xfrm>
          <a:off x="6780067" y="12836237"/>
          <a:ext cx="3264478" cy="190499"/>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62865</xdr:colOff>
      <xdr:row>33</xdr:row>
      <xdr:rowOff>15240</xdr:rowOff>
    </xdr:from>
    <xdr:to>
      <xdr:col>16</xdr:col>
      <xdr:colOff>48705</xdr:colOff>
      <xdr:row>33</xdr:row>
      <xdr:rowOff>205740</xdr:rowOff>
    </xdr:to>
    <xdr:sp macro="" textlink="">
      <xdr:nvSpPr>
        <xdr:cNvPr id="34" name="正方形/長方形 33">
          <a:extLst>
            <a:ext uri="{FF2B5EF4-FFF2-40B4-BE49-F238E27FC236}">
              <a16:creationId xmlns:a16="http://schemas.microsoft.com/office/drawing/2014/main" id="{6F3A6882-46DE-4934-84B0-F485BB14B78A}"/>
            </a:ext>
          </a:extLst>
        </xdr:cNvPr>
        <xdr:cNvSpPr/>
      </xdr:nvSpPr>
      <xdr:spPr>
        <a:xfrm>
          <a:off x="1548765" y="7673340"/>
          <a:ext cx="48114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33</xdr:row>
      <xdr:rowOff>19050</xdr:rowOff>
    </xdr:from>
    <xdr:to>
      <xdr:col>23</xdr:col>
      <xdr:colOff>76200</xdr:colOff>
      <xdr:row>33</xdr:row>
      <xdr:rowOff>219075</xdr:rowOff>
    </xdr:to>
    <xdr:sp macro="" textlink="">
      <xdr:nvSpPr>
        <xdr:cNvPr id="38" name="正方形/長方形 37">
          <a:extLst>
            <a:ext uri="{FF2B5EF4-FFF2-40B4-BE49-F238E27FC236}">
              <a16:creationId xmlns:a16="http://schemas.microsoft.com/office/drawing/2014/main" id="{0A556D31-AF88-440E-AB4E-52B20304A28F}"/>
            </a:ext>
          </a:extLst>
        </xdr:cNvPr>
        <xdr:cNvSpPr/>
      </xdr:nvSpPr>
      <xdr:spPr>
        <a:xfrm>
          <a:off x="2590800" y="7200900"/>
          <a:ext cx="552450"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57150</xdr:colOff>
      <xdr:row>33</xdr:row>
      <xdr:rowOff>28576</xdr:rowOff>
    </xdr:from>
    <xdr:to>
      <xdr:col>28</xdr:col>
      <xdr:colOff>57150</xdr:colOff>
      <xdr:row>33</xdr:row>
      <xdr:rowOff>219076</xdr:rowOff>
    </xdr:to>
    <xdr:sp macro="" textlink="">
      <xdr:nvSpPr>
        <xdr:cNvPr id="58" name="正方形/長方形 57">
          <a:extLst>
            <a:ext uri="{FF2B5EF4-FFF2-40B4-BE49-F238E27FC236}">
              <a16:creationId xmlns:a16="http://schemas.microsoft.com/office/drawing/2014/main" id="{624A93F1-E629-4134-92DD-C22FE0C1BA7A}"/>
            </a:ext>
          </a:extLst>
        </xdr:cNvPr>
        <xdr:cNvSpPr/>
      </xdr:nvSpPr>
      <xdr:spPr>
        <a:xfrm>
          <a:off x="3257550" y="7210426"/>
          <a:ext cx="5334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100" kern="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53339</xdr:colOff>
      <xdr:row>33</xdr:row>
      <xdr:rowOff>38100</xdr:rowOff>
    </xdr:from>
    <xdr:to>
      <xdr:col>67</xdr:col>
      <xdr:colOff>57149</xdr:colOff>
      <xdr:row>33</xdr:row>
      <xdr:rowOff>228599</xdr:rowOff>
    </xdr:to>
    <xdr:sp macro="" textlink="">
      <xdr:nvSpPr>
        <xdr:cNvPr id="69" name="正方形/長方形 68">
          <a:extLst>
            <a:ext uri="{FF2B5EF4-FFF2-40B4-BE49-F238E27FC236}">
              <a16:creationId xmlns:a16="http://schemas.microsoft.com/office/drawing/2014/main" id="{C9CE039C-676F-4B2D-B235-10641F5090E7}"/>
            </a:ext>
          </a:extLst>
        </xdr:cNvPr>
        <xdr:cNvSpPr/>
      </xdr:nvSpPr>
      <xdr:spPr>
        <a:xfrm>
          <a:off x="6863714" y="7696200"/>
          <a:ext cx="1365885"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47625</xdr:colOff>
      <xdr:row>33</xdr:row>
      <xdr:rowOff>15239</xdr:rowOff>
    </xdr:from>
    <xdr:to>
      <xdr:col>79</xdr:col>
      <xdr:colOff>78104</xdr:colOff>
      <xdr:row>33</xdr:row>
      <xdr:rowOff>219074</xdr:rowOff>
    </xdr:to>
    <xdr:sp macro="" textlink="">
      <xdr:nvSpPr>
        <xdr:cNvPr id="73" name="正方形/長方形 72">
          <a:extLst>
            <a:ext uri="{FF2B5EF4-FFF2-40B4-BE49-F238E27FC236}">
              <a16:creationId xmlns:a16="http://schemas.microsoft.com/office/drawing/2014/main" id="{14D02BA2-DD83-4E27-81C8-12188B87F223}"/>
            </a:ext>
          </a:extLst>
        </xdr:cNvPr>
        <xdr:cNvSpPr/>
      </xdr:nvSpPr>
      <xdr:spPr>
        <a:xfrm>
          <a:off x="8343900" y="7673339"/>
          <a:ext cx="1392554" cy="20383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1100</a:t>
          </a:r>
        </a:p>
      </xdr:txBody>
    </xdr:sp>
    <xdr:clientData/>
  </xdr:twoCellAnchor>
  <xdr:twoCellAnchor>
    <xdr:from>
      <xdr:col>13</xdr:col>
      <xdr:colOff>80069</xdr:colOff>
      <xdr:row>16</xdr:row>
      <xdr:rowOff>42653</xdr:rowOff>
    </xdr:from>
    <xdr:to>
      <xdr:col>17</xdr:col>
      <xdr:colOff>122669</xdr:colOff>
      <xdr:row>16</xdr:row>
      <xdr:rowOff>223628</xdr:rowOff>
    </xdr:to>
    <xdr:sp macro="" textlink="">
      <xdr:nvSpPr>
        <xdr:cNvPr id="4" name="正方形/長方形 3">
          <a:extLst>
            <a:ext uri="{FF2B5EF4-FFF2-40B4-BE49-F238E27FC236}">
              <a16:creationId xmlns:a16="http://schemas.microsoft.com/office/drawing/2014/main" id="{E931C794-D245-4056-AD72-534521462A4E}"/>
            </a:ext>
          </a:extLst>
        </xdr:cNvPr>
        <xdr:cNvSpPr/>
      </xdr:nvSpPr>
      <xdr:spPr bwMode="auto">
        <a:xfrm>
          <a:off x="1567874" y="3244958"/>
          <a:ext cx="53790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61686</xdr:colOff>
      <xdr:row>16</xdr:row>
      <xdr:rowOff>28574</xdr:rowOff>
    </xdr:from>
    <xdr:to>
      <xdr:col>21</xdr:col>
      <xdr:colOff>129637</xdr:colOff>
      <xdr:row>16</xdr:row>
      <xdr:rowOff>219075</xdr:rowOff>
    </xdr:to>
    <xdr:sp macro="" textlink="">
      <xdr:nvSpPr>
        <xdr:cNvPr id="7" name="正方形/長方形 6">
          <a:extLst>
            <a:ext uri="{FF2B5EF4-FFF2-40B4-BE49-F238E27FC236}">
              <a16:creationId xmlns:a16="http://schemas.microsoft.com/office/drawing/2014/main" id="{22F467AB-E052-4721-8552-5F87ECC9D4FD}"/>
            </a:ext>
          </a:extLst>
        </xdr:cNvPr>
        <xdr:cNvSpPr/>
      </xdr:nvSpPr>
      <xdr:spPr bwMode="auto">
        <a:xfrm>
          <a:off x="2162901" y="3227069"/>
          <a:ext cx="43752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75</xdr:col>
      <xdr:colOff>28575</xdr:colOff>
      <xdr:row>28</xdr:row>
      <xdr:rowOff>19050</xdr:rowOff>
    </xdr:from>
    <xdr:to>
      <xdr:col>80</xdr:col>
      <xdr:colOff>78015</xdr:colOff>
      <xdr:row>28</xdr:row>
      <xdr:rowOff>220981</xdr:rowOff>
    </xdr:to>
    <xdr:sp macro="" textlink="">
      <xdr:nvSpPr>
        <xdr:cNvPr id="18" name="正方形/長方形 17">
          <a:extLst>
            <a:ext uri="{FF2B5EF4-FFF2-40B4-BE49-F238E27FC236}">
              <a16:creationId xmlns:a16="http://schemas.microsoft.com/office/drawing/2014/main" id="{AD70C3D1-43DE-456B-B676-71C39BB66202}"/>
            </a:ext>
          </a:extLst>
        </xdr:cNvPr>
        <xdr:cNvSpPr/>
      </xdr:nvSpPr>
      <xdr:spPr>
        <a:xfrm>
          <a:off x="9067800" y="6438900"/>
          <a:ext cx="668565" cy="20193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-1100</a:t>
          </a:r>
        </a:p>
      </xdr:txBody>
    </xdr:sp>
    <xdr:clientData/>
  </xdr:twoCellAnchor>
  <xdr:twoCellAnchor>
    <xdr:from>
      <xdr:col>63</xdr:col>
      <xdr:colOff>28575</xdr:colOff>
      <xdr:row>28</xdr:row>
      <xdr:rowOff>20955</xdr:rowOff>
    </xdr:from>
    <xdr:to>
      <xdr:col>68</xdr:col>
      <xdr:colOff>87540</xdr:colOff>
      <xdr:row>28</xdr:row>
      <xdr:rowOff>217171</xdr:rowOff>
    </xdr:to>
    <xdr:sp macro="" textlink="">
      <xdr:nvSpPr>
        <xdr:cNvPr id="19" name="正方形/長方形 18">
          <a:extLst>
            <a:ext uri="{FF2B5EF4-FFF2-40B4-BE49-F238E27FC236}">
              <a16:creationId xmlns:a16="http://schemas.microsoft.com/office/drawing/2014/main" id="{3374FD6A-E92B-4806-BCCB-5C1E0B7AB2DE}"/>
            </a:ext>
          </a:extLst>
        </xdr:cNvPr>
        <xdr:cNvSpPr/>
      </xdr:nvSpPr>
      <xdr:spPr>
        <a:xfrm>
          <a:off x="7629525" y="6434455"/>
          <a:ext cx="662215" cy="19621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36</xdr:row>
      <xdr:rowOff>114300</xdr:rowOff>
    </xdr:from>
    <xdr:to>
      <xdr:col>44</xdr:col>
      <xdr:colOff>38100</xdr:colOff>
      <xdr:row>37</xdr:row>
      <xdr:rowOff>133350</xdr:rowOff>
    </xdr:to>
    <xdr:sp macro="" textlink="">
      <xdr:nvSpPr>
        <xdr:cNvPr id="17" name="正方形/長方形 16">
          <a:extLst>
            <a:ext uri="{FF2B5EF4-FFF2-40B4-BE49-F238E27FC236}">
              <a16:creationId xmlns:a16="http://schemas.microsoft.com/office/drawing/2014/main" id="{4F186972-9CF1-4273-ACEE-4685D3691A65}"/>
            </a:ext>
          </a:extLst>
        </xdr:cNvPr>
        <xdr:cNvSpPr/>
      </xdr:nvSpPr>
      <xdr:spPr bwMode="auto">
        <a:xfrm>
          <a:off x="5343525" y="8277225"/>
          <a:ext cx="981075"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48</xdr:col>
      <xdr:colOff>0</xdr:colOff>
      <xdr:row>20</xdr:row>
      <xdr:rowOff>28575</xdr:rowOff>
    </xdr:from>
    <xdr:to>
      <xdr:col>53</xdr:col>
      <xdr:colOff>84432</xdr:colOff>
      <xdr:row>20</xdr:row>
      <xdr:rowOff>219075</xdr:rowOff>
    </xdr:to>
    <xdr:sp macro="" textlink="">
      <xdr:nvSpPr>
        <xdr:cNvPr id="27" name="正方形/長方形 26">
          <a:extLst>
            <a:ext uri="{FF2B5EF4-FFF2-40B4-BE49-F238E27FC236}">
              <a16:creationId xmlns:a16="http://schemas.microsoft.com/office/drawing/2014/main" id="{33EF0B41-0322-4B36-8D5F-33142C77B142}"/>
            </a:ext>
          </a:extLst>
        </xdr:cNvPr>
        <xdr:cNvSpPr/>
      </xdr:nvSpPr>
      <xdr:spPr>
        <a:xfrm>
          <a:off x="6400800" y="4467225"/>
          <a:ext cx="7511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xdr:col>
      <xdr:colOff>116205</xdr:colOff>
      <xdr:row>33</xdr:row>
      <xdr:rowOff>26670</xdr:rowOff>
    </xdr:from>
    <xdr:to>
      <xdr:col>11</xdr:col>
      <xdr:colOff>46215</xdr:colOff>
      <xdr:row>33</xdr:row>
      <xdr:rowOff>220980</xdr:rowOff>
    </xdr:to>
    <xdr:sp macro="" textlink="">
      <xdr:nvSpPr>
        <xdr:cNvPr id="29" name="正方形/長方形 28">
          <a:extLst>
            <a:ext uri="{FF2B5EF4-FFF2-40B4-BE49-F238E27FC236}">
              <a16:creationId xmlns:a16="http://schemas.microsoft.com/office/drawing/2014/main" id="{55A0925D-91F5-46CB-8E6E-AC2BF94E2B63}"/>
            </a:ext>
          </a:extLst>
        </xdr:cNvPr>
        <xdr:cNvSpPr/>
      </xdr:nvSpPr>
      <xdr:spPr>
        <a:xfrm>
          <a:off x="735330" y="7684770"/>
          <a:ext cx="672960" cy="19431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Z9</a:t>
          </a:r>
        </a:p>
      </xdr:txBody>
    </xdr:sp>
    <xdr:clientData/>
  </xdr:twoCellAnchor>
  <xdr:twoCellAnchor>
    <xdr:from>
      <xdr:col>50</xdr:col>
      <xdr:colOff>80069</xdr:colOff>
      <xdr:row>16</xdr:row>
      <xdr:rowOff>42653</xdr:rowOff>
    </xdr:from>
    <xdr:to>
      <xdr:col>54</xdr:col>
      <xdr:colOff>122669</xdr:colOff>
      <xdr:row>16</xdr:row>
      <xdr:rowOff>223628</xdr:rowOff>
    </xdr:to>
    <xdr:sp macro="" textlink="">
      <xdr:nvSpPr>
        <xdr:cNvPr id="6" name="正方形/長方形 5">
          <a:extLst>
            <a:ext uri="{FF2B5EF4-FFF2-40B4-BE49-F238E27FC236}">
              <a16:creationId xmlns:a16="http://schemas.microsoft.com/office/drawing/2014/main" id="{46DA6FE2-7880-4650-A348-CE47B90261DC}"/>
            </a:ext>
          </a:extLst>
        </xdr:cNvPr>
        <xdr:cNvSpPr/>
      </xdr:nvSpPr>
      <xdr:spPr bwMode="auto">
        <a:xfrm>
          <a:off x="1813619" y="3747878"/>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61686</xdr:colOff>
      <xdr:row>16</xdr:row>
      <xdr:rowOff>28574</xdr:rowOff>
    </xdr:from>
    <xdr:to>
      <xdr:col>58</xdr:col>
      <xdr:colOff>129637</xdr:colOff>
      <xdr:row>16</xdr:row>
      <xdr:rowOff>219075</xdr:rowOff>
    </xdr:to>
    <xdr:sp macro="" textlink="">
      <xdr:nvSpPr>
        <xdr:cNvPr id="11" name="正方形/長方形 10">
          <a:extLst>
            <a:ext uri="{FF2B5EF4-FFF2-40B4-BE49-F238E27FC236}">
              <a16:creationId xmlns:a16="http://schemas.microsoft.com/office/drawing/2014/main" id="{C23D093A-3125-4344-A2F4-89FDD86EC274}"/>
            </a:ext>
          </a:extLst>
        </xdr:cNvPr>
        <xdr:cNvSpPr/>
      </xdr:nvSpPr>
      <xdr:spPr bwMode="auto">
        <a:xfrm>
          <a:off x="2461986" y="3733799"/>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44450</xdr:colOff>
      <xdr:row>28</xdr:row>
      <xdr:rowOff>44450</xdr:rowOff>
    </xdr:from>
    <xdr:to>
      <xdr:col>40</xdr:col>
      <xdr:colOff>9980</xdr:colOff>
      <xdr:row>28</xdr:row>
      <xdr:rowOff>234950</xdr:rowOff>
    </xdr:to>
    <xdr:sp macro="" textlink="">
      <xdr:nvSpPr>
        <xdr:cNvPr id="36" name="正方形/長方形 35">
          <a:extLst>
            <a:ext uri="{FF2B5EF4-FFF2-40B4-BE49-F238E27FC236}">
              <a16:creationId xmlns:a16="http://schemas.microsoft.com/office/drawing/2014/main" id="{7D701051-3B00-4221-8783-A4BC61B3A2A8}"/>
            </a:ext>
          </a:extLst>
        </xdr:cNvPr>
        <xdr:cNvSpPr/>
      </xdr:nvSpPr>
      <xdr:spPr bwMode="auto">
        <a:xfrm>
          <a:off x="3543300" y="6457950"/>
          <a:ext cx="129268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 </a:t>
          </a:r>
          <a:r>
            <a:rPr kumimoji="1" lang="ja-JP" altLang="en-US" sz="1000">
              <a:latin typeface="ＭＳ ゴシック" panose="020B0609070205080204" pitchFamily="49" charset="-128"/>
              <a:ea typeface="ＭＳ ゴシック" panose="020B0609070205080204" pitchFamily="49" charset="-128"/>
            </a:rPr>
            <a:t>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101600</xdr:colOff>
      <xdr:row>28</xdr:row>
      <xdr:rowOff>57150</xdr:rowOff>
    </xdr:from>
    <xdr:to>
      <xdr:col>40</xdr:col>
      <xdr:colOff>4005</xdr:colOff>
      <xdr:row>28</xdr:row>
      <xdr:rowOff>226695</xdr:rowOff>
    </xdr:to>
    <xdr:sp macro="" textlink="">
      <xdr:nvSpPr>
        <xdr:cNvPr id="37" name="正方形/長方形 36">
          <a:extLst>
            <a:ext uri="{FF2B5EF4-FFF2-40B4-BE49-F238E27FC236}">
              <a16:creationId xmlns:a16="http://schemas.microsoft.com/office/drawing/2014/main" id="{72C7016D-3682-4155-B50B-3A0AC80D17B1}"/>
            </a:ext>
          </a:extLst>
        </xdr:cNvPr>
        <xdr:cNvSpPr/>
      </xdr:nvSpPr>
      <xdr:spPr bwMode="auto">
        <a:xfrm>
          <a:off x="4686300" y="6470650"/>
          <a:ext cx="14370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0</xdr:colOff>
      <xdr:row>28</xdr:row>
      <xdr:rowOff>44450</xdr:rowOff>
    </xdr:from>
    <xdr:to>
      <xdr:col>54</xdr:col>
      <xdr:colOff>38100</xdr:colOff>
      <xdr:row>28</xdr:row>
      <xdr:rowOff>222250</xdr:rowOff>
    </xdr:to>
    <xdr:sp macro="" textlink="">
      <xdr:nvSpPr>
        <xdr:cNvPr id="39" name="正方形/長方形 38">
          <a:extLst>
            <a:ext uri="{FF2B5EF4-FFF2-40B4-BE49-F238E27FC236}">
              <a16:creationId xmlns:a16="http://schemas.microsoft.com/office/drawing/2014/main" id="{D44D1458-C014-4114-9310-5FA9A9DD06AA}"/>
            </a:ext>
          </a:extLst>
        </xdr:cNvPr>
        <xdr:cNvSpPr/>
      </xdr:nvSpPr>
      <xdr:spPr bwMode="auto">
        <a:xfrm>
          <a:off x="5067300" y="6457950"/>
          <a:ext cx="1485900"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264 </a:t>
          </a:r>
          <a:r>
            <a:rPr kumimoji="1" lang="ja-JP" altLang="en-US" sz="1000">
              <a:latin typeface="ＭＳ ゴシック" panose="020B0609070205080204" pitchFamily="49" charset="-128"/>
              <a:ea typeface="ＭＳ ゴシック" panose="020B0609070205080204" pitchFamily="49" charset="-128"/>
            </a:rPr>
            <a:t>繰越金額（品代）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12123</xdr:colOff>
      <xdr:row>28</xdr:row>
      <xdr:rowOff>50800</xdr:rowOff>
    </xdr:from>
    <xdr:to>
      <xdr:col>54</xdr:col>
      <xdr:colOff>35178</xdr:colOff>
      <xdr:row>28</xdr:row>
      <xdr:rowOff>220345</xdr:rowOff>
    </xdr:to>
    <xdr:sp macro="" textlink="">
      <xdr:nvSpPr>
        <xdr:cNvPr id="40" name="正方形/長方形 39">
          <a:extLst>
            <a:ext uri="{FF2B5EF4-FFF2-40B4-BE49-F238E27FC236}">
              <a16:creationId xmlns:a16="http://schemas.microsoft.com/office/drawing/2014/main" id="{64CF9E95-1F0F-4109-8643-512AE9AD16A9}"/>
            </a:ext>
          </a:extLst>
        </xdr:cNvPr>
        <xdr:cNvSpPr/>
      </xdr:nvSpPr>
      <xdr:spPr bwMode="auto">
        <a:xfrm>
          <a:off x="6743123" y="6481618"/>
          <a:ext cx="15005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69850</xdr:colOff>
      <xdr:row>33</xdr:row>
      <xdr:rowOff>25400</xdr:rowOff>
    </xdr:from>
    <xdr:to>
      <xdr:col>40</xdr:col>
      <xdr:colOff>35380</xdr:colOff>
      <xdr:row>33</xdr:row>
      <xdr:rowOff>215900</xdr:rowOff>
    </xdr:to>
    <xdr:sp macro="" textlink="">
      <xdr:nvSpPr>
        <xdr:cNvPr id="41" name="正方形/長方形 40">
          <a:extLst>
            <a:ext uri="{FF2B5EF4-FFF2-40B4-BE49-F238E27FC236}">
              <a16:creationId xmlns:a16="http://schemas.microsoft.com/office/drawing/2014/main" id="{EF4EAE4F-4261-4C23-B27D-3F7751FB8FFD}"/>
            </a:ext>
          </a:extLst>
        </xdr:cNvPr>
        <xdr:cNvSpPr/>
      </xdr:nvSpPr>
      <xdr:spPr bwMode="auto">
        <a:xfrm>
          <a:off x="3568700" y="7677150"/>
          <a:ext cx="129268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 </a:t>
          </a:r>
          <a:r>
            <a:rPr kumimoji="1" lang="ja-JP" altLang="en-US" sz="1000">
              <a:latin typeface="ＭＳ ゴシック" panose="020B0609070205080204" pitchFamily="49" charset="-128"/>
              <a:ea typeface="ＭＳ ゴシック" panose="020B0609070205080204" pitchFamily="49" charset="-128"/>
            </a:rPr>
            <a:t>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6350</xdr:colOff>
      <xdr:row>33</xdr:row>
      <xdr:rowOff>34131</xdr:rowOff>
    </xdr:from>
    <xdr:to>
      <xdr:col>40</xdr:col>
      <xdr:colOff>29405</xdr:colOff>
      <xdr:row>33</xdr:row>
      <xdr:rowOff>203676</xdr:rowOff>
    </xdr:to>
    <xdr:sp macro="" textlink="">
      <xdr:nvSpPr>
        <xdr:cNvPr id="42" name="正方形/長方形 41">
          <a:extLst>
            <a:ext uri="{FF2B5EF4-FFF2-40B4-BE49-F238E27FC236}">
              <a16:creationId xmlns:a16="http://schemas.microsoft.com/office/drawing/2014/main" id="{70908F82-BF5F-4E87-B826-B022C8492143}"/>
            </a:ext>
          </a:extLst>
        </xdr:cNvPr>
        <xdr:cNvSpPr/>
      </xdr:nvSpPr>
      <xdr:spPr bwMode="auto">
        <a:xfrm>
          <a:off x="4959350" y="7654131"/>
          <a:ext cx="15005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100012</xdr:colOff>
      <xdr:row>33</xdr:row>
      <xdr:rowOff>38100</xdr:rowOff>
    </xdr:from>
    <xdr:to>
      <xdr:col>54</xdr:col>
      <xdr:colOff>17462</xdr:colOff>
      <xdr:row>33</xdr:row>
      <xdr:rowOff>215900</xdr:rowOff>
    </xdr:to>
    <xdr:sp macro="" textlink="">
      <xdr:nvSpPr>
        <xdr:cNvPr id="43" name="正方形/長方形 42">
          <a:extLst>
            <a:ext uri="{FF2B5EF4-FFF2-40B4-BE49-F238E27FC236}">
              <a16:creationId xmlns:a16="http://schemas.microsoft.com/office/drawing/2014/main" id="{DE3D11EF-B9BD-4E8C-A2F5-E837A9711F30}"/>
            </a:ext>
          </a:extLst>
        </xdr:cNvPr>
        <xdr:cNvSpPr/>
      </xdr:nvSpPr>
      <xdr:spPr bwMode="auto">
        <a:xfrm>
          <a:off x="5307012" y="7658100"/>
          <a:ext cx="1568450"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264 </a:t>
          </a:r>
          <a:r>
            <a:rPr kumimoji="1" lang="ja-JP" altLang="en-US" sz="1000">
              <a:latin typeface="ＭＳ ゴシック" panose="020B0609070205080204" pitchFamily="49" charset="-128"/>
              <a:ea typeface="ＭＳ ゴシック" panose="020B0609070205080204" pitchFamily="49" charset="-128"/>
            </a:rPr>
            <a:t>繰越金額（品代）</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107950</xdr:colOff>
      <xdr:row>33</xdr:row>
      <xdr:rowOff>44450</xdr:rowOff>
    </xdr:from>
    <xdr:to>
      <xdr:col>54</xdr:col>
      <xdr:colOff>10355</xdr:colOff>
      <xdr:row>33</xdr:row>
      <xdr:rowOff>213995</xdr:rowOff>
    </xdr:to>
    <xdr:sp macro="" textlink="">
      <xdr:nvSpPr>
        <xdr:cNvPr id="44" name="正方形/長方形 43">
          <a:extLst>
            <a:ext uri="{FF2B5EF4-FFF2-40B4-BE49-F238E27FC236}">
              <a16:creationId xmlns:a16="http://schemas.microsoft.com/office/drawing/2014/main" id="{19522314-49FE-4353-9FEA-3AA2CE716EE6}"/>
            </a:ext>
          </a:extLst>
        </xdr:cNvPr>
        <xdr:cNvSpPr/>
      </xdr:nvSpPr>
      <xdr:spPr bwMode="auto">
        <a:xfrm>
          <a:off x="6381750" y="7696200"/>
          <a:ext cx="14370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77931</xdr:colOff>
      <xdr:row>18</xdr:row>
      <xdr:rowOff>25400</xdr:rowOff>
    </xdr:from>
    <xdr:to>
      <xdr:col>21</xdr:col>
      <xdr:colOff>63788</xdr:colOff>
      <xdr:row>18</xdr:row>
      <xdr:rowOff>230621</xdr:rowOff>
    </xdr:to>
    <xdr:sp macro="" textlink="">
      <xdr:nvSpPr>
        <xdr:cNvPr id="8" name="正方形/長方形 7">
          <a:extLst>
            <a:ext uri="{FF2B5EF4-FFF2-40B4-BE49-F238E27FC236}">
              <a16:creationId xmlns:a16="http://schemas.microsoft.com/office/drawing/2014/main" id="{D8EB1F19-0627-4544-BD27-5F7F6B57253C}"/>
            </a:ext>
          </a:extLst>
        </xdr:cNvPr>
        <xdr:cNvSpPr/>
      </xdr:nvSpPr>
      <xdr:spPr bwMode="auto">
        <a:xfrm>
          <a:off x="1811481" y="3978275"/>
          <a:ext cx="1052657" cy="20522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10</xdr:row>
      <xdr:rowOff>105834</xdr:rowOff>
    </xdr:from>
    <xdr:ext cx="1217825" cy="348691"/>
    <xdr:pic>
      <xdr:nvPicPr>
        <xdr:cNvPr id="2" name="図 1">
          <a:extLst>
            <a:ext uri="{FF2B5EF4-FFF2-40B4-BE49-F238E27FC236}">
              <a16:creationId xmlns:a16="http://schemas.microsoft.com/office/drawing/2014/main" id="{CBF8690A-CACF-40A1-8B94-B4CA91B3A0FA}"/>
            </a:ext>
          </a:extLst>
        </xdr:cNvPr>
        <xdr:cNvPicPr>
          <a:picLocks noChangeAspect="1"/>
        </xdr:cNvPicPr>
      </xdr:nvPicPr>
      <xdr:blipFill>
        <a:blip xmlns:r="http://schemas.openxmlformats.org/officeDocument/2006/relationships" r:embed="rId1"/>
        <a:stretch>
          <a:fillRect/>
        </a:stretch>
      </xdr:blipFill>
      <xdr:spPr>
        <a:xfrm>
          <a:off x="266700" y="1953684"/>
          <a:ext cx="1217825" cy="348691"/>
        </a:xfrm>
        <a:prstGeom prst="rect">
          <a:avLst/>
        </a:prstGeom>
      </xdr:spPr>
    </xdr:pic>
    <xdr:clientData/>
  </xdr:oneCellAnchor>
  <xdr:twoCellAnchor>
    <xdr:from>
      <xdr:col>3</xdr:col>
      <xdr:colOff>9525</xdr:colOff>
      <xdr:row>37</xdr:row>
      <xdr:rowOff>66675</xdr:rowOff>
    </xdr:from>
    <xdr:to>
      <xdr:col>10</xdr:col>
      <xdr:colOff>38100</xdr:colOff>
      <xdr:row>38</xdr:row>
      <xdr:rowOff>68580</xdr:rowOff>
    </xdr:to>
    <xdr:sp macro="" textlink="">
      <xdr:nvSpPr>
        <xdr:cNvPr id="3" name="正方形/長方形 2">
          <a:extLst>
            <a:ext uri="{FF2B5EF4-FFF2-40B4-BE49-F238E27FC236}">
              <a16:creationId xmlns:a16="http://schemas.microsoft.com/office/drawing/2014/main" id="{B46FF162-F944-4871-ADF9-2D8576BFA4C2}"/>
            </a:ext>
          </a:extLst>
        </xdr:cNvPr>
        <xdr:cNvSpPr/>
      </xdr:nvSpPr>
      <xdr:spPr bwMode="auto">
        <a:xfrm>
          <a:off x="409575" y="7496175"/>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37</xdr:row>
      <xdr:rowOff>66676</xdr:rowOff>
    </xdr:from>
    <xdr:to>
      <xdr:col>80</xdr:col>
      <xdr:colOff>10162</xdr:colOff>
      <xdr:row>38</xdr:row>
      <xdr:rowOff>53342</xdr:rowOff>
    </xdr:to>
    <xdr:sp macro="" textlink="">
      <xdr:nvSpPr>
        <xdr:cNvPr id="4" name="正方形/長方形 3">
          <a:extLst>
            <a:ext uri="{FF2B5EF4-FFF2-40B4-BE49-F238E27FC236}">
              <a16:creationId xmlns:a16="http://schemas.microsoft.com/office/drawing/2014/main" id="{ED28288C-4FF0-4D7E-835E-5BCB211BC31A}"/>
            </a:ext>
          </a:extLst>
        </xdr:cNvPr>
        <xdr:cNvSpPr/>
      </xdr:nvSpPr>
      <xdr:spPr bwMode="auto">
        <a:xfrm>
          <a:off x="9715514" y="7496176"/>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81396</xdr:colOff>
      <xdr:row>20</xdr:row>
      <xdr:rowOff>35502</xdr:rowOff>
    </xdr:from>
    <xdr:to>
      <xdr:col>25</xdr:col>
      <xdr:colOff>64690</xdr:colOff>
      <xdr:row>20</xdr:row>
      <xdr:rowOff>226002</xdr:rowOff>
    </xdr:to>
    <xdr:sp macro="" textlink="">
      <xdr:nvSpPr>
        <xdr:cNvPr id="6" name="正方形/長方形 5">
          <a:extLst>
            <a:ext uri="{FF2B5EF4-FFF2-40B4-BE49-F238E27FC236}">
              <a16:creationId xmlns:a16="http://schemas.microsoft.com/office/drawing/2014/main" id="{50996724-6495-45CB-98EC-4AD35B9499FF}"/>
            </a:ext>
          </a:extLst>
        </xdr:cNvPr>
        <xdr:cNvSpPr/>
      </xdr:nvSpPr>
      <xdr:spPr>
        <a:xfrm>
          <a:off x="2481696" y="399790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0</xdr:colOff>
      <xdr:row>42</xdr:row>
      <xdr:rowOff>105834</xdr:rowOff>
    </xdr:from>
    <xdr:ext cx="1217825" cy="348691"/>
    <xdr:pic>
      <xdr:nvPicPr>
        <xdr:cNvPr id="5" name="図 4">
          <a:extLst>
            <a:ext uri="{FF2B5EF4-FFF2-40B4-BE49-F238E27FC236}">
              <a16:creationId xmlns:a16="http://schemas.microsoft.com/office/drawing/2014/main" id="{41384680-9179-42C0-967F-E0C671DB3C86}"/>
            </a:ext>
          </a:extLst>
        </xdr:cNvPr>
        <xdr:cNvPicPr>
          <a:picLocks noChangeAspect="1"/>
        </xdr:cNvPicPr>
      </xdr:nvPicPr>
      <xdr:blipFill>
        <a:blip xmlns:r="http://schemas.openxmlformats.org/officeDocument/2006/relationships" r:embed="rId1"/>
        <a:stretch>
          <a:fillRect/>
        </a:stretch>
      </xdr:blipFill>
      <xdr:spPr>
        <a:xfrm>
          <a:off x="266700" y="1953684"/>
          <a:ext cx="1217825" cy="348691"/>
        </a:xfrm>
        <a:prstGeom prst="rect">
          <a:avLst/>
        </a:prstGeom>
      </xdr:spPr>
    </xdr:pic>
    <xdr:clientData/>
  </xdr:oneCellAnchor>
  <xdr:twoCellAnchor>
    <xdr:from>
      <xdr:col>3</xdr:col>
      <xdr:colOff>9525</xdr:colOff>
      <xdr:row>51</xdr:row>
      <xdr:rowOff>66675</xdr:rowOff>
    </xdr:from>
    <xdr:to>
      <xdr:col>10</xdr:col>
      <xdr:colOff>38100</xdr:colOff>
      <xdr:row>52</xdr:row>
      <xdr:rowOff>68580</xdr:rowOff>
    </xdr:to>
    <xdr:sp macro="" textlink="">
      <xdr:nvSpPr>
        <xdr:cNvPr id="7" name="正方形/長方形 6">
          <a:extLst>
            <a:ext uri="{FF2B5EF4-FFF2-40B4-BE49-F238E27FC236}">
              <a16:creationId xmlns:a16="http://schemas.microsoft.com/office/drawing/2014/main" id="{25C412B2-F85A-47D1-ACFA-39C13B7D31D2}"/>
            </a:ext>
          </a:extLst>
        </xdr:cNvPr>
        <xdr:cNvSpPr/>
      </xdr:nvSpPr>
      <xdr:spPr bwMode="auto">
        <a:xfrm>
          <a:off x="409575" y="8705850"/>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51</xdr:row>
      <xdr:rowOff>66676</xdr:rowOff>
    </xdr:from>
    <xdr:to>
      <xdr:col>80</xdr:col>
      <xdr:colOff>10162</xdr:colOff>
      <xdr:row>52</xdr:row>
      <xdr:rowOff>53342</xdr:rowOff>
    </xdr:to>
    <xdr:sp macro="" textlink="">
      <xdr:nvSpPr>
        <xdr:cNvPr id="8" name="正方形/長方形 7">
          <a:extLst>
            <a:ext uri="{FF2B5EF4-FFF2-40B4-BE49-F238E27FC236}">
              <a16:creationId xmlns:a16="http://schemas.microsoft.com/office/drawing/2014/main" id="{7B362B9C-7D38-44B5-8D34-C03E80F482E5}"/>
            </a:ext>
          </a:extLst>
        </xdr:cNvPr>
        <xdr:cNvSpPr/>
      </xdr:nvSpPr>
      <xdr:spPr bwMode="auto">
        <a:xfrm>
          <a:off x="9715514" y="8705851"/>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56</xdr:row>
      <xdr:rowOff>105834</xdr:rowOff>
    </xdr:from>
    <xdr:ext cx="1217825" cy="348691"/>
    <xdr:pic>
      <xdr:nvPicPr>
        <xdr:cNvPr id="26" name="図 25">
          <a:extLst>
            <a:ext uri="{FF2B5EF4-FFF2-40B4-BE49-F238E27FC236}">
              <a16:creationId xmlns:a16="http://schemas.microsoft.com/office/drawing/2014/main" id="{4F8C160C-89D1-4DC5-9CAE-C74725607CCE}"/>
            </a:ext>
          </a:extLst>
        </xdr:cNvPr>
        <xdr:cNvPicPr>
          <a:picLocks noChangeAspect="1"/>
        </xdr:cNvPicPr>
      </xdr:nvPicPr>
      <xdr:blipFill>
        <a:blip xmlns:r="http://schemas.openxmlformats.org/officeDocument/2006/relationships" r:embed="rId1"/>
        <a:stretch>
          <a:fillRect/>
        </a:stretch>
      </xdr:blipFill>
      <xdr:spPr>
        <a:xfrm>
          <a:off x="266700" y="9964209"/>
          <a:ext cx="1217825" cy="348691"/>
        </a:xfrm>
        <a:prstGeom prst="rect">
          <a:avLst/>
        </a:prstGeom>
      </xdr:spPr>
    </xdr:pic>
    <xdr:clientData/>
  </xdr:oneCellAnchor>
  <xdr:twoCellAnchor>
    <xdr:from>
      <xdr:col>3</xdr:col>
      <xdr:colOff>9525</xdr:colOff>
      <xdr:row>65</xdr:row>
      <xdr:rowOff>66675</xdr:rowOff>
    </xdr:from>
    <xdr:to>
      <xdr:col>10</xdr:col>
      <xdr:colOff>38100</xdr:colOff>
      <xdr:row>66</xdr:row>
      <xdr:rowOff>68580</xdr:rowOff>
    </xdr:to>
    <xdr:sp macro="" textlink="">
      <xdr:nvSpPr>
        <xdr:cNvPr id="27" name="正方形/長方形 26">
          <a:extLst>
            <a:ext uri="{FF2B5EF4-FFF2-40B4-BE49-F238E27FC236}">
              <a16:creationId xmlns:a16="http://schemas.microsoft.com/office/drawing/2014/main" id="{8D9159EE-CF54-4E49-97B8-376429B475A7}"/>
            </a:ext>
          </a:extLst>
        </xdr:cNvPr>
        <xdr:cNvSpPr/>
      </xdr:nvSpPr>
      <xdr:spPr bwMode="auto">
        <a:xfrm>
          <a:off x="409575" y="12039600"/>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65</xdr:row>
      <xdr:rowOff>66676</xdr:rowOff>
    </xdr:from>
    <xdr:to>
      <xdr:col>80</xdr:col>
      <xdr:colOff>10162</xdr:colOff>
      <xdr:row>66</xdr:row>
      <xdr:rowOff>53342</xdr:rowOff>
    </xdr:to>
    <xdr:sp macro="" textlink="">
      <xdr:nvSpPr>
        <xdr:cNvPr id="28" name="正方形/長方形 27">
          <a:extLst>
            <a:ext uri="{FF2B5EF4-FFF2-40B4-BE49-F238E27FC236}">
              <a16:creationId xmlns:a16="http://schemas.microsoft.com/office/drawing/2014/main" id="{56507877-26DC-46DF-BCD7-0C82D674A7F8}"/>
            </a:ext>
          </a:extLst>
        </xdr:cNvPr>
        <xdr:cNvSpPr/>
      </xdr:nvSpPr>
      <xdr:spPr bwMode="auto">
        <a:xfrm>
          <a:off x="9715514" y="12039601"/>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19050</xdr:colOff>
      <xdr:row>37</xdr:row>
      <xdr:rowOff>57150</xdr:rowOff>
    </xdr:from>
    <xdr:to>
      <xdr:col>72</xdr:col>
      <xdr:colOff>48248</xdr:colOff>
      <xdr:row>38</xdr:row>
      <xdr:rowOff>53341</xdr:rowOff>
    </xdr:to>
    <xdr:sp macro="" textlink="">
      <xdr:nvSpPr>
        <xdr:cNvPr id="9" name="正方形/長方形 8">
          <a:extLst>
            <a:ext uri="{FF2B5EF4-FFF2-40B4-BE49-F238E27FC236}">
              <a16:creationId xmlns:a16="http://schemas.microsoft.com/office/drawing/2014/main" id="{07E8FB4A-25C5-482B-989E-E95DA98385F5}"/>
            </a:ext>
          </a:extLst>
        </xdr:cNvPr>
        <xdr:cNvSpPr/>
      </xdr:nvSpPr>
      <xdr:spPr bwMode="auto">
        <a:xfrm>
          <a:off x="8686800" y="8458200"/>
          <a:ext cx="962648" cy="2438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28575</xdr:colOff>
      <xdr:row>51</xdr:row>
      <xdr:rowOff>66675</xdr:rowOff>
    </xdr:from>
    <xdr:to>
      <xdr:col>72</xdr:col>
      <xdr:colOff>55868</xdr:colOff>
      <xdr:row>52</xdr:row>
      <xdr:rowOff>66676</xdr:rowOff>
    </xdr:to>
    <xdr:sp macro="" textlink="">
      <xdr:nvSpPr>
        <xdr:cNvPr id="10" name="正方形/長方形 9">
          <a:extLst>
            <a:ext uri="{FF2B5EF4-FFF2-40B4-BE49-F238E27FC236}">
              <a16:creationId xmlns:a16="http://schemas.microsoft.com/office/drawing/2014/main" id="{335A3700-D84B-41D1-A61F-9D94C948D2DF}"/>
            </a:ext>
          </a:extLst>
        </xdr:cNvPr>
        <xdr:cNvSpPr/>
      </xdr:nvSpPr>
      <xdr:spPr bwMode="auto">
        <a:xfrm>
          <a:off x="8696325" y="11782425"/>
          <a:ext cx="960743" cy="247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28575</xdr:colOff>
      <xdr:row>65</xdr:row>
      <xdr:rowOff>57150</xdr:rowOff>
    </xdr:from>
    <xdr:to>
      <xdr:col>72</xdr:col>
      <xdr:colOff>55868</xdr:colOff>
      <xdr:row>66</xdr:row>
      <xdr:rowOff>57151</xdr:rowOff>
    </xdr:to>
    <xdr:sp macro="" textlink="">
      <xdr:nvSpPr>
        <xdr:cNvPr id="11" name="正方形/長方形 10">
          <a:extLst>
            <a:ext uri="{FF2B5EF4-FFF2-40B4-BE49-F238E27FC236}">
              <a16:creationId xmlns:a16="http://schemas.microsoft.com/office/drawing/2014/main" id="{C8FC36FF-5810-4757-9AB6-03B2405FD4AC}"/>
            </a:ext>
          </a:extLst>
        </xdr:cNvPr>
        <xdr:cNvSpPr/>
      </xdr:nvSpPr>
      <xdr:spPr bwMode="auto">
        <a:xfrm>
          <a:off x="8696325" y="15087600"/>
          <a:ext cx="960743" cy="247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125" style="41" customWidth="1"/>
    <col min="63" max="159" width="1.875" style="41" customWidth="1"/>
    <col min="160" max="16384" width="9" style="41"/>
  </cols>
  <sheetData>
    <row r="1" spans="1:63" s="27" customFormat="1" ht="18" customHeight="1">
      <c r="A1" s="27" t="s">
        <v>0</v>
      </c>
      <c r="BJ1" s="28" t="s">
        <v>1</v>
      </c>
    </row>
    <row r="2" spans="1:63" s="29" customFormat="1" ht="18" customHeight="1">
      <c r="A2" s="371" t="s">
        <v>2</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4</v>
      </c>
      <c r="BA2" s="367"/>
      <c r="BB2" s="367"/>
      <c r="BC2" s="368"/>
      <c r="BD2" s="366" t="s">
        <v>5</v>
      </c>
      <c r="BE2" s="367"/>
      <c r="BF2" s="367"/>
      <c r="BG2" s="368"/>
      <c r="BH2" s="367"/>
      <c r="BI2" s="367"/>
      <c r="BJ2" s="368"/>
    </row>
    <row r="3" spans="1:63" s="27" customFormat="1" ht="18" customHeight="1">
      <c r="A3" s="369" t="s">
        <v>6</v>
      </c>
      <c r="B3" s="369"/>
      <c r="C3" s="369"/>
      <c r="D3" s="369"/>
      <c r="E3" s="369"/>
      <c r="F3" s="369"/>
      <c r="G3" s="369"/>
      <c r="H3" s="370" t="s">
        <v>303</v>
      </c>
      <c r="I3" s="370"/>
      <c r="J3" s="370"/>
      <c r="K3" s="370"/>
      <c r="L3" s="370"/>
      <c r="M3" s="370"/>
      <c r="N3" s="370"/>
      <c r="O3" s="370"/>
      <c r="P3" s="370"/>
      <c r="Q3" s="370"/>
      <c r="R3" s="370"/>
      <c r="S3" s="370"/>
      <c r="T3" s="370"/>
      <c r="U3" s="370"/>
      <c r="V3" s="370"/>
      <c r="W3" s="370"/>
      <c r="X3" s="370"/>
      <c r="Y3" s="370"/>
      <c r="Z3" s="370"/>
      <c r="AA3" s="370"/>
      <c r="AB3" s="370"/>
      <c r="AC3" s="370"/>
      <c r="AD3" s="370"/>
      <c r="AE3" s="370"/>
      <c r="AF3" s="370"/>
      <c r="AG3" s="370"/>
      <c r="AH3" s="370"/>
      <c r="AI3" s="370"/>
      <c r="AJ3" s="370"/>
      <c r="AK3" s="370"/>
      <c r="AL3" s="370"/>
      <c r="AM3" s="370"/>
      <c r="AN3" s="370"/>
      <c r="AO3" s="370"/>
      <c r="AP3" s="370"/>
      <c r="AQ3" s="370"/>
      <c r="AR3" s="370"/>
      <c r="AS3" s="370"/>
      <c r="AT3" s="370"/>
      <c r="AU3" s="370"/>
      <c r="AV3" s="366" t="s">
        <v>7</v>
      </c>
      <c r="AW3" s="367"/>
      <c r="AX3" s="367"/>
      <c r="AY3" s="368"/>
      <c r="AZ3" s="356" t="s">
        <v>296</v>
      </c>
      <c r="BA3" s="357"/>
      <c r="BB3" s="357"/>
      <c r="BC3" s="357"/>
      <c r="BD3" s="357"/>
      <c r="BE3" s="357"/>
      <c r="BF3" s="357"/>
      <c r="BG3" s="357"/>
      <c r="BH3" s="357"/>
      <c r="BI3" s="357"/>
      <c r="BJ3" s="358"/>
    </row>
    <row r="4" spans="1:63" s="27" customFormat="1" ht="18" customHeight="1">
      <c r="A4" s="369" t="s">
        <v>8</v>
      </c>
      <c r="B4" s="369"/>
      <c r="C4" s="369"/>
      <c r="D4" s="369"/>
      <c r="E4" s="369"/>
      <c r="F4" s="369"/>
      <c r="G4" s="369"/>
      <c r="H4" s="370" t="s">
        <v>9</v>
      </c>
      <c r="I4" s="370"/>
      <c r="J4" s="370"/>
      <c r="K4" s="370"/>
      <c r="L4" s="370"/>
      <c r="M4" s="370"/>
      <c r="N4" s="370"/>
      <c r="O4" s="370"/>
      <c r="P4" s="370"/>
      <c r="Q4" s="370"/>
      <c r="R4" s="370"/>
      <c r="S4" s="370"/>
      <c r="T4" s="370"/>
      <c r="U4" s="370"/>
      <c r="V4" s="370"/>
      <c r="W4" s="370"/>
      <c r="X4" s="370"/>
      <c r="Y4" s="370"/>
      <c r="Z4" s="370"/>
      <c r="AA4" s="370"/>
      <c r="AB4" s="370"/>
      <c r="AC4" s="370"/>
      <c r="AD4" s="370"/>
      <c r="AE4" s="370"/>
      <c r="AF4" s="370"/>
      <c r="AG4" s="370"/>
      <c r="AH4" s="370"/>
      <c r="AI4" s="370"/>
      <c r="AJ4" s="370"/>
      <c r="AK4" s="370"/>
      <c r="AL4" s="370"/>
      <c r="AM4" s="370"/>
      <c r="AN4" s="370"/>
      <c r="AO4" s="370"/>
      <c r="AP4" s="370"/>
      <c r="AQ4" s="370"/>
      <c r="AR4" s="370"/>
      <c r="AS4" s="370"/>
      <c r="AT4" s="370"/>
      <c r="AU4" s="370"/>
      <c r="AV4" s="366" t="s">
        <v>10</v>
      </c>
      <c r="AW4" s="367"/>
      <c r="AX4" s="367"/>
      <c r="AY4" s="368"/>
      <c r="AZ4" s="366"/>
      <c r="BA4" s="367"/>
      <c r="BB4" s="367"/>
      <c r="BC4" s="367"/>
      <c r="BD4" s="367"/>
      <c r="BE4" s="367"/>
      <c r="BF4" s="367"/>
      <c r="BG4" s="367"/>
      <c r="BH4" s="367"/>
      <c r="BI4" s="367"/>
      <c r="BJ4" s="368"/>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11</v>
      </c>
      <c r="B6" s="357"/>
      <c r="C6" s="357"/>
      <c r="D6" s="357"/>
      <c r="E6" s="357"/>
      <c r="F6" s="357"/>
      <c r="G6" s="358"/>
      <c r="H6" s="359" t="s">
        <v>12</v>
      </c>
      <c r="I6" s="360"/>
      <c r="J6" s="360"/>
      <c r="K6" s="360"/>
      <c r="L6" s="360"/>
      <c r="M6" s="360"/>
      <c r="N6" s="360"/>
      <c r="O6" s="360"/>
      <c r="P6" s="360"/>
      <c r="Q6" s="360"/>
      <c r="R6" s="360"/>
      <c r="S6" s="360"/>
      <c r="T6" s="360"/>
      <c r="U6" s="360"/>
      <c r="V6" s="360"/>
      <c r="W6" s="360"/>
      <c r="X6" s="360"/>
      <c r="Y6" s="360"/>
      <c r="Z6" s="360"/>
      <c r="AA6" s="360"/>
      <c r="AB6" s="360"/>
      <c r="AC6" s="360"/>
      <c r="AD6" s="360"/>
      <c r="AE6" s="360"/>
      <c r="AF6" s="360"/>
      <c r="AG6" s="360"/>
      <c r="AH6" s="360"/>
      <c r="AI6" s="360"/>
      <c r="AJ6" s="360"/>
      <c r="AK6" s="360"/>
      <c r="AL6" s="360"/>
      <c r="AM6" s="360"/>
      <c r="AN6" s="360"/>
      <c r="AO6" s="360"/>
      <c r="AP6" s="360"/>
      <c r="AQ6" s="360"/>
      <c r="AR6" s="360"/>
      <c r="AS6" s="360"/>
      <c r="AT6" s="360"/>
      <c r="AU6" s="361"/>
      <c r="AV6" s="365" t="s">
        <v>13</v>
      </c>
      <c r="AW6" s="365"/>
      <c r="AX6" s="365"/>
      <c r="AY6" s="365"/>
      <c r="AZ6" s="365"/>
      <c r="BA6" s="365"/>
      <c r="BB6" s="365"/>
      <c r="BC6" s="365"/>
      <c r="BD6" s="365"/>
      <c r="BE6" s="365"/>
      <c r="BF6" s="365"/>
      <c r="BG6" s="365"/>
      <c r="BH6" s="365"/>
      <c r="BI6" s="365"/>
      <c r="BJ6" s="365"/>
      <c r="BK6" s="19"/>
    </row>
    <row r="7" spans="1:63" s="30" customFormat="1" ht="9" customHeight="1"/>
    <row r="8" spans="1:63" s="21" customFormat="1" ht="15.75" customHeight="1">
      <c r="A8" s="362" t="s">
        <v>14</v>
      </c>
      <c r="B8" s="363"/>
      <c r="C8" s="363"/>
      <c r="D8" s="363"/>
      <c r="E8" s="363"/>
      <c r="F8" s="363"/>
      <c r="G8" s="364"/>
      <c r="H8" s="31"/>
      <c r="I8" s="32" t="s">
        <v>15</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54" t="s">
        <v>380</v>
      </c>
      <c r="C10" s="27"/>
      <c r="D10" s="27"/>
      <c r="E10" s="27"/>
      <c r="F10" s="27"/>
      <c r="G10" s="27"/>
      <c r="H10" s="35"/>
      <c r="I10" s="21" t="s">
        <v>381</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4"/>
      <c r="H57" s="34"/>
      <c r="BJ57" s="37"/>
    </row>
    <row r="58" spans="1:62" s="21" customFormat="1" ht="20.25" customHeight="1">
      <c r="A58" s="34"/>
      <c r="H58" s="34"/>
      <c r="BJ58" s="37"/>
    </row>
    <row r="59" spans="1:62" s="21" customFormat="1" ht="20.25" customHeight="1">
      <c r="A59" s="34"/>
      <c r="H59" s="34"/>
      <c r="BJ59" s="37"/>
    </row>
    <row r="60" spans="1:62" s="21" customFormat="1" ht="20.25" customHeight="1">
      <c r="A60" s="34"/>
      <c r="H60" s="34"/>
      <c r="BJ60" s="37"/>
    </row>
    <row r="61" spans="1:62" s="21" customFormat="1" ht="20.25" customHeight="1">
      <c r="A61" s="34"/>
      <c r="H61" s="34"/>
      <c r="BJ61" s="37"/>
    </row>
    <row r="62" spans="1:62" s="21" customFormat="1" ht="20.25" customHeight="1">
      <c r="A62" s="38"/>
      <c r="B62" s="39"/>
      <c r="C62" s="39"/>
      <c r="D62" s="39"/>
      <c r="E62" s="39"/>
      <c r="F62" s="39"/>
      <c r="G62" s="39"/>
      <c r="H62" s="38"/>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40"/>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8"/>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875" defaultRowHeight="14.25"/>
  <cols>
    <col min="1" max="95" width="2.125" style="2" customWidth="1"/>
    <col min="96" max="16384" width="1.875" style="2"/>
  </cols>
  <sheetData>
    <row r="1" spans="1:107" s="3" customFormat="1" ht="18" customHeight="1">
      <c r="A1" s="3" t="s">
        <v>16</v>
      </c>
      <c r="CQ1" s="20" t="s">
        <v>1</v>
      </c>
    </row>
    <row r="2" spans="1:107" s="4" customFormat="1" ht="18" customHeight="1">
      <c r="A2" s="374" t="s">
        <v>17</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5"/>
      <c r="AV2" s="375"/>
      <c r="AW2" s="375"/>
      <c r="AX2" s="375"/>
      <c r="AY2" s="375"/>
      <c r="AZ2" s="375"/>
      <c r="BA2" s="375"/>
      <c r="BB2" s="375"/>
      <c r="BC2" s="375"/>
      <c r="BD2" s="375"/>
      <c r="BE2" s="375"/>
      <c r="BF2" s="375"/>
      <c r="BG2" s="375"/>
      <c r="BH2" s="375"/>
      <c r="BI2" s="375"/>
      <c r="BJ2" s="375"/>
      <c r="BK2" s="375"/>
      <c r="BL2" s="375"/>
      <c r="BM2" s="375"/>
      <c r="BN2" s="375"/>
      <c r="BO2" s="375"/>
      <c r="BP2" s="375"/>
      <c r="BQ2" s="375"/>
      <c r="BR2" s="375"/>
      <c r="BS2" s="375"/>
      <c r="BT2" s="375"/>
      <c r="BU2" s="375"/>
      <c r="BV2" s="375"/>
      <c r="BW2" s="375"/>
      <c r="BX2" s="376"/>
      <c r="BY2" s="356" t="s">
        <v>3</v>
      </c>
      <c r="BZ2" s="357"/>
      <c r="CA2" s="357"/>
      <c r="CB2" s="357"/>
      <c r="CC2" s="357"/>
      <c r="CD2" s="357"/>
      <c r="CE2" s="358"/>
      <c r="CF2" s="356" t="s">
        <v>18</v>
      </c>
      <c r="CG2" s="357"/>
      <c r="CH2" s="357"/>
      <c r="CI2" s="358"/>
      <c r="CJ2" s="356" t="s">
        <v>5</v>
      </c>
      <c r="CK2" s="357"/>
      <c r="CL2" s="357"/>
      <c r="CM2" s="358"/>
      <c r="CN2" s="357"/>
      <c r="CO2" s="357"/>
      <c r="CP2" s="357"/>
      <c r="CQ2" s="358"/>
    </row>
    <row r="3" spans="1:107" s="3" customFormat="1" ht="18" customHeight="1">
      <c r="A3" s="356" t="s">
        <v>6</v>
      </c>
      <c r="B3" s="357"/>
      <c r="C3" s="357"/>
      <c r="D3" s="357"/>
      <c r="E3" s="357"/>
      <c r="F3" s="357"/>
      <c r="G3" s="357"/>
      <c r="H3" s="357"/>
      <c r="I3" s="358"/>
      <c r="J3" s="359" t="s">
        <v>302</v>
      </c>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0"/>
      <c r="AV3" s="360"/>
      <c r="AW3" s="360"/>
      <c r="AX3" s="360"/>
      <c r="AY3" s="360"/>
      <c r="AZ3" s="360"/>
      <c r="BA3" s="360"/>
      <c r="BB3" s="360"/>
      <c r="BC3" s="360"/>
      <c r="BD3" s="360"/>
      <c r="BE3" s="360"/>
      <c r="BF3" s="360"/>
      <c r="BG3" s="360"/>
      <c r="BH3" s="360"/>
      <c r="BI3" s="360"/>
      <c r="BJ3" s="360"/>
      <c r="BK3" s="360"/>
      <c r="BL3" s="360"/>
      <c r="BM3" s="360"/>
      <c r="BN3" s="360"/>
      <c r="BO3" s="360"/>
      <c r="BP3" s="360"/>
      <c r="BQ3" s="360"/>
      <c r="BR3" s="360"/>
      <c r="BS3" s="360"/>
      <c r="BT3" s="360"/>
      <c r="BU3" s="360"/>
      <c r="BV3" s="360"/>
      <c r="BW3" s="360"/>
      <c r="BX3" s="361"/>
      <c r="BY3" s="356" t="s">
        <v>7</v>
      </c>
      <c r="BZ3" s="357"/>
      <c r="CA3" s="357"/>
      <c r="CB3" s="357"/>
      <c r="CC3" s="357"/>
      <c r="CD3" s="357"/>
      <c r="CE3" s="358"/>
      <c r="CF3" s="356" t="s">
        <v>297</v>
      </c>
      <c r="CG3" s="357"/>
      <c r="CH3" s="357"/>
      <c r="CI3" s="357"/>
      <c r="CJ3" s="357"/>
      <c r="CK3" s="357"/>
      <c r="CL3" s="357"/>
      <c r="CM3" s="357"/>
      <c r="CN3" s="357"/>
      <c r="CO3" s="357"/>
      <c r="CP3" s="357"/>
      <c r="CQ3" s="358"/>
    </row>
    <row r="4" spans="1:107" s="3" customFormat="1" ht="18" customHeight="1">
      <c r="A4" s="356" t="s">
        <v>8</v>
      </c>
      <c r="B4" s="357"/>
      <c r="C4" s="357"/>
      <c r="D4" s="357"/>
      <c r="E4" s="357"/>
      <c r="F4" s="357"/>
      <c r="G4" s="357"/>
      <c r="H4" s="357"/>
      <c r="I4" s="358"/>
      <c r="J4" s="359" t="str">
        <f>変更履歴!H4</f>
        <v>共計</v>
      </c>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7"/>
      <c r="AV4" s="377"/>
      <c r="AW4" s="377"/>
      <c r="AX4" s="377"/>
      <c r="AY4" s="377"/>
      <c r="AZ4" s="377"/>
      <c r="BA4" s="377"/>
      <c r="BB4" s="377"/>
      <c r="BC4" s="377"/>
      <c r="BD4" s="377"/>
      <c r="BE4" s="377"/>
      <c r="BF4" s="377"/>
      <c r="BG4" s="377"/>
      <c r="BH4" s="377"/>
      <c r="BI4" s="377"/>
      <c r="BJ4" s="377"/>
      <c r="BK4" s="377"/>
      <c r="BL4" s="377"/>
      <c r="BM4" s="377"/>
      <c r="BN4" s="377"/>
      <c r="BO4" s="377"/>
      <c r="BP4" s="377"/>
      <c r="BQ4" s="377"/>
      <c r="BR4" s="377"/>
      <c r="BS4" s="377"/>
      <c r="BT4" s="377"/>
      <c r="BU4" s="377"/>
      <c r="BV4" s="377"/>
      <c r="BW4" s="377"/>
      <c r="BX4" s="378"/>
      <c r="BY4" s="356" t="s">
        <v>10</v>
      </c>
      <c r="BZ4" s="357"/>
      <c r="CA4" s="357"/>
      <c r="CB4" s="357"/>
      <c r="CC4" s="357"/>
      <c r="CD4" s="357"/>
      <c r="CE4" s="358"/>
      <c r="CF4" s="356"/>
      <c r="CG4" s="357"/>
      <c r="CH4" s="357"/>
      <c r="CI4" s="357"/>
      <c r="CJ4" s="357"/>
      <c r="CK4" s="357"/>
      <c r="CL4" s="357"/>
      <c r="CM4" s="357"/>
      <c r="CN4" s="357"/>
      <c r="CO4" s="357"/>
      <c r="CP4" s="357"/>
      <c r="CQ4" s="358"/>
    </row>
    <row r="5" spans="1:107" s="5" customFormat="1" ht="4.5" customHeight="1"/>
    <row r="6" spans="1:107" ht="30.75" customHeight="1">
      <c r="A6" s="356" t="s">
        <v>19</v>
      </c>
      <c r="B6" s="357"/>
      <c r="C6" s="357"/>
      <c r="D6" s="357"/>
      <c r="E6" s="357"/>
      <c r="F6" s="357"/>
      <c r="G6" s="357"/>
      <c r="H6" s="357"/>
      <c r="I6" s="358"/>
      <c r="J6" s="380" t="s">
        <v>315</v>
      </c>
      <c r="K6" s="357"/>
      <c r="L6" s="357"/>
      <c r="M6" s="357"/>
      <c r="N6" s="357"/>
      <c r="O6" s="357"/>
      <c r="P6" s="357"/>
      <c r="Q6" s="357"/>
      <c r="R6" s="357"/>
      <c r="S6" s="357"/>
      <c r="T6" s="358"/>
      <c r="U6" s="356" t="s">
        <v>11</v>
      </c>
      <c r="V6" s="357"/>
      <c r="W6" s="357"/>
      <c r="X6" s="357"/>
      <c r="Y6" s="357"/>
      <c r="Z6" s="357"/>
      <c r="AA6" s="357"/>
      <c r="AB6" s="357"/>
      <c r="AC6" s="358"/>
      <c r="AD6" s="359" t="str">
        <f>変更履歴!H6</f>
        <v>販売共計年産繰越入力</v>
      </c>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7"/>
      <c r="BK6" s="377"/>
      <c r="BL6" s="377"/>
      <c r="BM6" s="377"/>
      <c r="BN6" s="377"/>
      <c r="BO6" s="377"/>
      <c r="BP6" s="377"/>
      <c r="BQ6" s="377"/>
      <c r="BR6" s="377"/>
      <c r="BS6" s="377"/>
      <c r="BT6" s="377"/>
      <c r="BU6" s="377"/>
      <c r="BV6" s="377"/>
      <c r="BW6" s="377"/>
      <c r="BX6" s="378"/>
      <c r="BY6" s="379" t="s">
        <v>21</v>
      </c>
      <c r="BZ6" s="379"/>
      <c r="CA6" s="379"/>
      <c r="CB6" s="379"/>
      <c r="CC6" s="379"/>
      <c r="CD6" s="379"/>
      <c r="CE6" s="379"/>
      <c r="CF6" s="365"/>
      <c r="CG6" s="365"/>
      <c r="CH6" s="365"/>
      <c r="CI6" s="365"/>
      <c r="CJ6" s="365"/>
      <c r="CK6" s="365"/>
      <c r="CL6" s="365"/>
      <c r="CM6" s="365"/>
      <c r="CN6" s="365"/>
      <c r="CO6" s="365"/>
      <c r="CP6" s="365"/>
      <c r="CQ6" s="365"/>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22</v>
      </c>
      <c r="C9" s="23"/>
      <c r="D9" s="23"/>
      <c r="E9" s="23"/>
      <c r="F9" s="23"/>
      <c r="G9" s="23"/>
      <c r="H9" s="23"/>
      <c r="I9" s="23"/>
      <c r="J9" s="23"/>
      <c r="K9" s="23" t="s">
        <v>23</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24</v>
      </c>
      <c r="J11" s="3" t="s">
        <v>231</v>
      </c>
      <c r="L11" s="53"/>
      <c r="M11" s="53"/>
      <c r="N11" s="53"/>
      <c r="Q11" s="53"/>
      <c r="R11" s="53"/>
      <c r="S11" s="53"/>
      <c r="AE11" s="53"/>
      <c r="AF11" s="53"/>
      <c r="AG11" s="53"/>
      <c r="AH11" s="53"/>
      <c r="AI11" s="53"/>
      <c r="AJ11" s="53"/>
      <c r="AK11" s="53"/>
      <c r="AL11" s="53"/>
      <c r="AM11" s="53"/>
      <c r="AN11" s="53"/>
      <c r="AO11" s="53"/>
      <c r="AS11" s="53"/>
      <c r="AW11" s="53"/>
      <c r="AX11" s="53"/>
      <c r="AY11" s="53"/>
      <c r="AZ11" s="53"/>
      <c r="BA11" s="53"/>
      <c r="BB11" s="53"/>
      <c r="BC11" s="53"/>
      <c r="BD11" s="53"/>
      <c r="BE11" s="53"/>
      <c r="BF11" s="53"/>
      <c r="BG11" s="53"/>
      <c r="BL11" s="53"/>
      <c r="BQ11" s="53"/>
      <c r="BR11" s="53"/>
      <c r="BS11" s="53"/>
      <c r="BT11" s="53"/>
      <c r="BU11" s="53"/>
      <c r="BV11" s="53"/>
      <c r="BW11" s="53"/>
      <c r="BX11" s="53"/>
      <c r="BY11" s="53"/>
      <c r="BZ11" s="53"/>
      <c r="CA11" s="53"/>
      <c r="CQ11" s="42"/>
    </row>
    <row r="12" spans="1:107" ht="30.75" customHeight="1">
      <c r="A12" s="24"/>
      <c r="L12" s="53"/>
      <c r="M12" s="53"/>
      <c r="N12" s="53"/>
      <c r="O12" s="53"/>
      <c r="P12" s="53"/>
      <c r="Q12" s="53"/>
      <c r="R12" s="53"/>
      <c r="S12" s="53"/>
      <c r="V12" s="53"/>
      <c r="W12" s="53"/>
      <c r="X12" s="53"/>
      <c r="Y12" s="53"/>
      <c r="Z12" s="53"/>
      <c r="AA12" s="53"/>
      <c r="AB12" s="53"/>
      <c r="AE12" s="53"/>
      <c r="AF12" s="53"/>
      <c r="AG12" s="53"/>
      <c r="AH12" s="53"/>
      <c r="AI12" s="53"/>
      <c r="AJ12" s="53"/>
      <c r="AK12" s="53"/>
      <c r="AL12" s="53"/>
      <c r="AM12" s="53"/>
      <c r="AN12" s="53"/>
      <c r="AO12" s="53"/>
      <c r="AS12" s="53"/>
      <c r="AW12" s="53"/>
      <c r="AX12" s="53"/>
      <c r="AY12" s="53"/>
      <c r="AZ12" s="53"/>
      <c r="BA12" s="53"/>
      <c r="BB12" s="53"/>
      <c r="BC12" s="53"/>
      <c r="BD12" s="53"/>
      <c r="BE12" s="53"/>
      <c r="BF12" s="53"/>
      <c r="BG12" s="53"/>
      <c r="BK12" s="53"/>
      <c r="BQ12" s="53"/>
      <c r="BR12" s="53"/>
      <c r="BS12" s="53"/>
      <c r="BT12" s="53"/>
      <c r="BU12" s="53"/>
      <c r="BV12" s="53"/>
      <c r="BW12" s="53"/>
      <c r="BX12" s="53"/>
      <c r="BY12" s="53"/>
      <c r="BZ12" s="53"/>
      <c r="CA12" s="53"/>
      <c r="CQ12" s="42"/>
    </row>
    <row r="13" spans="1:107" ht="30.75" customHeight="1">
      <c r="A13" s="24"/>
      <c r="L13" s="53"/>
      <c r="M13" s="53"/>
      <c r="N13" s="53"/>
      <c r="O13" s="53"/>
      <c r="Q13" s="53"/>
      <c r="R13" s="53"/>
      <c r="S13" s="53"/>
      <c r="V13" s="53"/>
      <c r="W13" s="53"/>
      <c r="X13" s="53"/>
      <c r="Y13" s="53"/>
      <c r="Z13" s="53"/>
      <c r="AA13" s="53"/>
      <c r="AB13" s="53"/>
      <c r="AE13" s="53"/>
      <c r="AF13" s="53"/>
      <c r="AG13" s="53"/>
      <c r="AH13" s="53"/>
      <c r="AI13" s="53"/>
      <c r="AJ13" s="53"/>
      <c r="AK13" s="53"/>
      <c r="AL13" s="53"/>
      <c r="AM13" s="53"/>
      <c r="AN13" s="53"/>
      <c r="AO13" s="53"/>
      <c r="AS13" s="53"/>
      <c r="AW13" s="53"/>
      <c r="AX13" s="53"/>
      <c r="AY13" s="53"/>
      <c r="AZ13" s="53"/>
      <c r="BA13" s="53"/>
      <c r="BB13" s="53"/>
      <c r="BC13" s="53"/>
      <c r="BD13" s="53"/>
      <c r="BE13" s="53"/>
      <c r="BF13" s="53"/>
      <c r="BG13" s="53"/>
      <c r="BK13" s="53"/>
      <c r="BQ13" s="3"/>
      <c r="BR13" s="3"/>
      <c r="BS13" s="3"/>
      <c r="BT13" s="3"/>
      <c r="BU13" s="3"/>
      <c r="BV13" s="3"/>
      <c r="BW13" s="3"/>
      <c r="BX13" s="3"/>
      <c r="BY13" s="3"/>
      <c r="BZ13" s="3"/>
      <c r="CA13" s="3"/>
      <c r="CB13" s="3"/>
      <c r="CC13" s="3"/>
      <c r="CQ13" s="42"/>
      <c r="DB13" s="53"/>
      <c r="DC13" s="53"/>
    </row>
    <row r="14" spans="1:107" ht="30.75" customHeight="1">
      <c r="A14" s="24"/>
      <c r="L14" s="53"/>
      <c r="M14" s="53"/>
      <c r="N14" s="53"/>
      <c r="O14" s="53"/>
      <c r="Q14" s="53"/>
      <c r="R14" s="53"/>
      <c r="S14" s="53"/>
      <c r="V14" s="53"/>
      <c r="W14" s="53"/>
      <c r="X14" s="53"/>
      <c r="Y14" s="53"/>
      <c r="Z14" s="53"/>
      <c r="AA14" s="53"/>
      <c r="AB14" s="53"/>
      <c r="AE14" s="53"/>
      <c r="AF14" s="53"/>
      <c r="AG14" s="53"/>
      <c r="AH14" s="53"/>
      <c r="AI14" s="53"/>
      <c r="AJ14" s="53"/>
      <c r="AK14" s="53"/>
      <c r="AL14" s="53"/>
      <c r="AM14" s="53"/>
      <c r="AN14" s="53"/>
      <c r="AO14" s="53"/>
      <c r="AS14" s="53"/>
      <c r="AW14" s="53"/>
      <c r="AX14" s="53"/>
      <c r="AY14" s="53"/>
      <c r="AZ14" s="53"/>
      <c r="BA14" s="53"/>
      <c r="BB14" s="53"/>
      <c r="BC14" s="53"/>
      <c r="BD14" s="53"/>
      <c r="BE14" s="53"/>
      <c r="BF14" s="53"/>
      <c r="BG14" s="53"/>
      <c r="BK14" s="53"/>
      <c r="CQ14" s="42"/>
      <c r="DB14" s="53"/>
      <c r="DC14" s="53"/>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2"/>
      <c r="DC15" s="52"/>
    </row>
    <row r="16" spans="1:107" s="9" customFormat="1" ht="20.25" customHeight="1">
      <c r="A16" s="10"/>
      <c r="CQ16" s="11"/>
      <c r="DB16" s="52"/>
      <c r="DC16" s="52"/>
    </row>
    <row r="17" spans="1:107" s="9" customFormat="1" ht="20.25" customHeight="1">
      <c r="A17" s="10"/>
      <c r="B17" s="2"/>
      <c r="M17" s="2"/>
      <c r="N17" s="2"/>
      <c r="O17" s="2"/>
      <c r="P17" s="2"/>
      <c r="Q17" s="2"/>
      <c r="R17" s="2"/>
      <c r="S17" s="2"/>
      <c r="T17" s="2"/>
      <c r="U17" s="2"/>
      <c r="V17" s="2"/>
      <c r="W17" s="47"/>
      <c r="X17" s="47"/>
      <c r="Y17" s="47"/>
      <c r="Z17" s="47"/>
      <c r="AA17" s="47"/>
      <c r="AB17" s="47"/>
      <c r="AC17" s="47"/>
      <c r="AD17" s="47"/>
      <c r="AE17" s="47"/>
      <c r="AF17" s="47"/>
      <c r="AG17" s="47"/>
      <c r="AH17" s="47"/>
      <c r="AI17" s="47"/>
      <c r="AJ17" s="47"/>
      <c r="AK17" s="47"/>
      <c r="AL17" s="47"/>
      <c r="AM17" s="47"/>
      <c r="AN17" s="47"/>
      <c r="AO17" s="47"/>
      <c r="AP17" s="46"/>
      <c r="AQ17" s="47"/>
      <c r="AR17" s="2"/>
      <c r="AS17" s="2"/>
      <c r="AT17" s="2"/>
      <c r="AU17" s="2"/>
      <c r="AV17" s="2"/>
      <c r="AW17" s="2"/>
      <c r="AX17" s="2"/>
      <c r="AY17" s="2"/>
      <c r="AZ17" s="2"/>
      <c r="BA17" s="2"/>
      <c r="BB17" s="47"/>
      <c r="BC17" s="49"/>
      <c r="BD17" s="49"/>
      <c r="BE17" s="49"/>
      <c r="BF17" s="47"/>
      <c r="BG17" s="49"/>
      <c r="BH17" s="49"/>
      <c r="BI17" s="49"/>
      <c r="BJ17" s="47"/>
      <c r="BK17" s="47"/>
      <c r="BL17" s="47"/>
      <c r="BM17" s="47"/>
      <c r="BN17" s="47"/>
      <c r="BO17" s="47"/>
      <c r="BP17" s="47"/>
      <c r="BQ17" s="47"/>
      <c r="BR17" s="47"/>
      <c r="BS17" s="2"/>
      <c r="BT17" s="2"/>
      <c r="BU17" s="2"/>
      <c r="BV17" s="2"/>
      <c r="BW17" s="2"/>
      <c r="BX17" s="2"/>
      <c r="BY17" s="2"/>
      <c r="BZ17" s="2"/>
      <c r="CA17" s="2"/>
      <c r="CB17" s="47"/>
      <c r="CC17" s="47"/>
      <c r="CD17" s="47"/>
      <c r="CE17" s="47"/>
      <c r="CF17" s="47"/>
      <c r="CG17" s="2"/>
      <c r="CH17" s="2"/>
      <c r="CI17" s="2"/>
      <c r="CJ17" s="47"/>
      <c r="CK17" s="47"/>
      <c r="CL17" s="47"/>
      <c r="CM17" s="2"/>
      <c r="CN17" s="2"/>
      <c r="CO17" s="2"/>
      <c r="CQ17" s="11"/>
      <c r="DB17" s="52"/>
      <c r="DC17" s="52"/>
    </row>
    <row r="18" spans="1:107" ht="20.25" customHeight="1">
      <c r="A18" s="24"/>
      <c r="F18" s="9"/>
      <c r="G18" s="9"/>
      <c r="H18" s="9"/>
      <c r="I18" s="9"/>
      <c r="J18" s="9"/>
      <c r="K18" s="9"/>
      <c r="L18" s="9"/>
      <c r="Y18" s="47"/>
      <c r="Z18" s="47"/>
      <c r="AA18" s="47"/>
      <c r="AB18" s="47"/>
      <c r="AC18" s="47"/>
      <c r="AD18" s="48"/>
      <c r="AE18" s="46"/>
      <c r="AF18" s="48"/>
      <c r="AG18" s="48"/>
      <c r="AH18" s="48"/>
      <c r="AI18" s="48"/>
      <c r="AJ18" s="48"/>
      <c r="AK18" s="48"/>
      <c r="AL18" s="48"/>
      <c r="AM18" s="48"/>
      <c r="AN18" s="48"/>
      <c r="AO18" s="47"/>
      <c r="AP18" s="47"/>
      <c r="AQ18" s="47"/>
      <c r="BB18" s="47"/>
      <c r="BC18" s="47"/>
      <c r="BD18" s="47"/>
      <c r="BE18" s="48"/>
      <c r="BF18" s="46"/>
      <c r="BG18" s="48"/>
      <c r="BH18" s="48"/>
      <c r="BI18" s="48"/>
      <c r="BJ18" s="48"/>
      <c r="BK18" s="48"/>
      <c r="BL18" s="48"/>
      <c r="BM18" s="48"/>
      <c r="BN18" s="48"/>
      <c r="BO18" s="48"/>
      <c r="BP18" s="47"/>
      <c r="BQ18" s="47"/>
      <c r="BR18" s="47"/>
      <c r="CB18" s="47"/>
      <c r="CC18" s="47"/>
      <c r="CD18" s="47"/>
      <c r="CE18" s="47"/>
      <c r="CF18" s="47"/>
      <c r="CJ18" s="47"/>
      <c r="CK18" s="47"/>
      <c r="CL18" s="47"/>
      <c r="CQ18" s="42"/>
      <c r="DB18" s="52"/>
      <c r="DC18" s="52"/>
    </row>
    <row r="19" spans="1:107" ht="20.25" customHeight="1">
      <c r="A19" s="24"/>
      <c r="W19" s="47"/>
      <c r="X19" s="47"/>
      <c r="Y19" s="47"/>
      <c r="Z19" s="47"/>
      <c r="AA19" s="47"/>
      <c r="AB19" s="47"/>
      <c r="AC19" s="47"/>
      <c r="AD19" s="47"/>
      <c r="AE19" s="47"/>
      <c r="AF19" s="47"/>
      <c r="AG19" s="47"/>
      <c r="AH19" s="47"/>
      <c r="AI19" s="47"/>
      <c r="AJ19" s="47"/>
      <c r="AK19" s="47"/>
      <c r="AL19" s="47"/>
      <c r="AM19" s="47"/>
      <c r="AN19" s="47"/>
      <c r="AO19" s="47"/>
      <c r="AP19" s="46"/>
      <c r="AQ19" s="47"/>
      <c r="BB19" s="47"/>
      <c r="BC19" s="47"/>
      <c r="BD19" s="47"/>
      <c r="BE19" s="47"/>
      <c r="BF19" s="47"/>
      <c r="BG19" s="47"/>
      <c r="BH19" s="47"/>
      <c r="BI19" s="47"/>
      <c r="BJ19" s="47"/>
      <c r="BK19" s="47"/>
      <c r="CJ19" s="47"/>
      <c r="CK19" s="47"/>
      <c r="CL19" s="47"/>
      <c r="CQ19" s="42"/>
      <c r="DB19" s="52"/>
      <c r="DC19" s="52"/>
    </row>
    <row r="20" spans="1:107" ht="20.25" customHeight="1">
      <c r="A20" s="24"/>
      <c r="W20" s="47"/>
      <c r="X20" s="47"/>
      <c r="Y20" s="47"/>
      <c r="Z20" s="47"/>
      <c r="AA20" s="47"/>
      <c r="AB20" s="47"/>
      <c r="AC20" s="47"/>
      <c r="AD20" s="47"/>
      <c r="AE20" s="47"/>
      <c r="AF20" s="47"/>
      <c r="AG20" s="47"/>
      <c r="AH20" s="47"/>
      <c r="AI20" s="47"/>
      <c r="AJ20" s="47"/>
      <c r="AK20" s="47"/>
      <c r="AL20" s="47"/>
      <c r="AM20" s="47"/>
      <c r="AO20" s="47"/>
      <c r="AP20" s="47"/>
      <c r="AQ20" s="47"/>
      <c r="BB20" s="47"/>
      <c r="BC20" s="49"/>
      <c r="BD20" s="49"/>
      <c r="BE20" s="49"/>
      <c r="BF20" s="47"/>
      <c r="BG20" s="49"/>
      <c r="BH20" s="49"/>
      <c r="BI20" s="46"/>
      <c r="BJ20" s="46"/>
      <c r="BK20" s="47"/>
      <c r="BL20" s="49"/>
      <c r="BM20" s="49"/>
      <c r="BN20" s="46"/>
      <c r="BO20" s="46"/>
      <c r="BP20" s="47"/>
      <c r="BQ20" s="47"/>
      <c r="BR20" s="47"/>
      <c r="BS20" s="47"/>
      <c r="BT20" s="47"/>
      <c r="BU20" s="47"/>
      <c r="BV20" s="47"/>
      <c r="BW20" s="47"/>
      <c r="CG20" s="47"/>
      <c r="CJ20" s="47"/>
      <c r="CK20" s="47"/>
      <c r="CL20" s="47"/>
      <c r="CQ20" s="42"/>
      <c r="DB20" s="52"/>
      <c r="DC20" s="52"/>
    </row>
    <row r="21" spans="1:107" ht="20.25" customHeight="1">
      <c r="A21" s="24"/>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CG21" s="47"/>
      <c r="CJ21" s="47"/>
      <c r="CK21" s="47"/>
      <c r="CL21" s="47"/>
      <c r="CQ21" s="42"/>
      <c r="DB21" s="52"/>
      <c r="DC21" s="52"/>
    </row>
    <row r="22" spans="1:107" ht="20.25" customHeight="1">
      <c r="A22" s="24"/>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CG22" s="47"/>
      <c r="CJ22" s="47"/>
      <c r="CK22" s="47"/>
      <c r="CL22" s="47"/>
      <c r="CQ22" s="42"/>
      <c r="DB22" s="52"/>
      <c r="DC22" s="52"/>
    </row>
    <row r="23" spans="1:107" ht="20.25" customHeight="1">
      <c r="A23" s="24"/>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CG23" s="47"/>
      <c r="CJ23" s="47"/>
      <c r="CK23" s="47"/>
      <c r="CL23" s="47"/>
      <c r="CQ23" s="42"/>
      <c r="DB23" s="52"/>
      <c r="DC23" s="52"/>
    </row>
    <row r="24" spans="1:107" ht="20.25" customHeight="1">
      <c r="A24" s="24"/>
      <c r="W24" s="47" t="s">
        <v>25</v>
      </c>
      <c r="X24" s="47"/>
      <c r="Y24" s="47"/>
      <c r="Z24" s="47"/>
      <c r="AA24" s="47"/>
      <c r="AB24" s="47"/>
      <c r="AC24" s="47" t="s">
        <v>26</v>
      </c>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t="s">
        <v>401</v>
      </c>
      <c r="BM24" s="47"/>
      <c r="BN24" s="47"/>
      <c r="BO24" s="47"/>
      <c r="BP24" s="47"/>
      <c r="BQ24" s="47"/>
      <c r="BR24" s="47"/>
      <c r="BS24" s="47"/>
      <c r="BT24" s="47"/>
      <c r="BU24" s="47"/>
      <c r="BV24" s="47"/>
      <c r="BW24" s="47"/>
      <c r="BX24" s="47" t="s">
        <v>402</v>
      </c>
      <c r="CG24" s="47"/>
      <c r="CJ24" s="47"/>
      <c r="CK24" s="47"/>
      <c r="CL24" s="47"/>
      <c r="CQ24" s="42"/>
      <c r="DB24" s="52"/>
      <c r="DC24" s="52"/>
    </row>
    <row r="25" spans="1:107" ht="20.25" customHeight="1">
      <c r="A25" s="24"/>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CG25" s="47"/>
      <c r="CJ25" s="47"/>
      <c r="CK25" s="47"/>
      <c r="CL25" s="47"/>
      <c r="CQ25" s="42"/>
      <c r="DB25" s="52"/>
      <c r="DC25" s="52"/>
    </row>
    <row r="26" spans="1:107" ht="20.25" customHeight="1">
      <c r="A26" s="24"/>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CG26" s="47"/>
      <c r="CJ26" s="47"/>
      <c r="CK26" s="47"/>
      <c r="CL26" s="47"/>
      <c r="CQ26" s="42"/>
    </row>
    <row r="27" spans="1:107" ht="20.25" customHeight="1">
      <c r="A27" s="24"/>
      <c r="W27" s="47"/>
      <c r="X27" s="47"/>
      <c r="Y27" s="47"/>
      <c r="Z27" s="47"/>
      <c r="AA27" s="47"/>
      <c r="AB27" s="47"/>
      <c r="AC27" s="47"/>
      <c r="AD27" s="47"/>
      <c r="AE27" s="47"/>
      <c r="AF27" s="47"/>
      <c r="AG27" s="47"/>
      <c r="AH27" s="47"/>
      <c r="AI27" s="47" t="s">
        <v>133</v>
      </c>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t="s">
        <v>288</v>
      </c>
      <c r="BH27" s="47"/>
      <c r="BI27" s="47"/>
      <c r="BJ27" s="47"/>
      <c r="BK27" s="47"/>
      <c r="BL27" s="47"/>
      <c r="BM27" s="47"/>
      <c r="BN27" s="47"/>
      <c r="BO27" s="47"/>
      <c r="BP27" s="47"/>
      <c r="BQ27" s="47"/>
      <c r="BR27" s="47"/>
      <c r="CB27" s="47"/>
      <c r="CC27" s="47"/>
      <c r="CD27" s="47"/>
      <c r="CE27" s="47"/>
      <c r="CF27" s="47"/>
      <c r="CJ27" s="47"/>
      <c r="CK27" s="47"/>
      <c r="CL27" s="47"/>
      <c r="CQ27" s="42"/>
    </row>
    <row r="28" spans="1:107" ht="20.25" customHeight="1">
      <c r="A28" s="24"/>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CB28" s="47"/>
      <c r="CC28" s="47"/>
      <c r="CD28" s="47"/>
      <c r="CE28" s="47"/>
      <c r="CF28" s="47"/>
      <c r="CJ28" s="47"/>
      <c r="CK28" s="47"/>
      <c r="CL28" s="47"/>
      <c r="CQ28" s="42"/>
    </row>
    <row r="29" spans="1:107" ht="20.25" customHeight="1">
      <c r="A29" s="24"/>
      <c r="W29" s="47"/>
      <c r="X29" s="47"/>
      <c r="Y29" s="47"/>
      <c r="Z29" s="47"/>
      <c r="AA29" s="47"/>
      <c r="AB29" s="47"/>
      <c r="AC29" s="47"/>
      <c r="AD29" s="47"/>
      <c r="AE29" s="47"/>
      <c r="AF29" s="47"/>
      <c r="AG29" s="47"/>
      <c r="AH29" s="47"/>
      <c r="AI29" s="47" t="s">
        <v>261</v>
      </c>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t="s">
        <v>264</v>
      </c>
      <c r="BH29" s="47"/>
      <c r="BI29" s="47"/>
      <c r="BJ29" s="47"/>
      <c r="BK29" s="47"/>
      <c r="BL29" s="47"/>
      <c r="BM29" s="47"/>
      <c r="BN29" s="47"/>
      <c r="BO29" s="47"/>
      <c r="BP29" s="84"/>
      <c r="BQ29" s="84"/>
      <c r="BR29" s="84"/>
      <c r="CB29" s="84"/>
      <c r="CC29" s="84"/>
      <c r="CD29" s="84"/>
      <c r="CE29" s="47"/>
      <c r="CF29" s="47"/>
      <c r="CJ29" s="47"/>
      <c r="CK29" s="47"/>
      <c r="CL29" s="47"/>
      <c r="CQ29" s="42"/>
    </row>
    <row r="30" spans="1:107" ht="20.25" customHeight="1">
      <c r="A30" s="24"/>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84"/>
      <c r="BQ30" s="84"/>
      <c r="BR30" s="84"/>
      <c r="CB30" s="84"/>
      <c r="CC30" s="84"/>
      <c r="CD30" s="84"/>
      <c r="CE30" s="47"/>
      <c r="CF30" s="47"/>
      <c r="CJ30" s="47"/>
      <c r="CK30" s="47"/>
      <c r="CL30" s="47"/>
      <c r="CQ30" s="42"/>
    </row>
    <row r="31" spans="1:107" ht="20.25" customHeight="1">
      <c r="A31" s="24"/>
      <c r="W31" s="47"/>
      <c r="X31" s="47"/>
      <c r="Y31" s="47"/>
      <c r="Z31" s="47"/>
      <c r="AA31" s="47"/>
      <c r="AB31" s="47"/>
      <c r="AC31" s="47" t="s">
        <v>295</v>
      </c>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84"/>
      <c r="BQ31" s="84"/>
      <c r="BR31" s="84"/>
      <c r="CB31" s="84"/>
      <c r="CC31" s="84"/>
      <c r="CD31" s="84"/>
      <c r="CE31" s="47"/>
      <c r="CF31" s="47"/>
      <c r="CJ31" s="47"/>
      <c r="CK31" s="47"/>
      <c r="CL31" s="47"/>
      <c r="CQ31" s="42"/>
    </row>
    <row r="32" spans="1:107" ht="20.25" customHeight="1">
      <c r="A32" s="24"/>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84"/>
      <c r="BQ32" s="84"/>
      <c r="BR32" s="84"/>
      <c r="CB32" s="84"/>
      <c r="CC32" s="84"/>
      <c r="CD32" s="84"/>
      <c r="CE32" s="47"/>
      <c r="CF32" s="47"/>
      <c r="CJ32" s="47"/>
      <c r="CK32" s="47"/>
      <c r="CL32" s="47"/>
      <c r="CQ32" s="42"/>
    </row>
    <row r="33" spans="1:95" ht="20.25" customHeight="1">
      <c r="A33" s="24"/>
      <c r="W33" s="47"/>
      <c r="X33" s="47"/>
      <c r="Y33" s="47"/>
      <c r="Z33" s="47"/>
      <c r="AA33" s="47"/>
      <c r="AB33" s="47"/>
      <c r="AC33" s="47" t="s">
        <v>362</v>
      </c>
      <c r="AD33" s="47"/>
      <c r="AE33" s="47"/>
      <c r="AF33" s="47"/>
      <c r="AG33" s="47"/>
      <c r="AH33" s="47"/>
      <c r="AI33" s="47"/>
      <c r="AJ33" s="47"/>
      <c r="AK33" s="47"/>
      <c r="AL33" s="47"/>
      <c r="AM33" s="47"/>
      <c r="AN33" s="47"/>
      <c r="AO33" s="47"/>
      <c r="AP33" s="47"/>
      <c r="AQ33" s="47"/>
      <c r="AR33" s="47"/>
      <c r="AS33" s="47"/>
      <c r="AT33" s="47"/>
      <c r="AU33" s="47"/>
      <c r="AV33" s="47"/>
      <c r="AW33" s="47"/>
      <c r="AX33" s="47"/>
      <c r="AY33" s="47"/>
      <c r="BB33" s="47"/>
      <c r="BC33" s="47"/>
      <c r="BD33" s="47"/>
      <c r="BE33" s="47"/>
      <c r="BF33" s="47"/>
      <c r="BG33" s="47"/>
      <c r="BH33" s="47"/>
      <c r="BI33" s="47"/>
      <c r="BJ33" s="47"/>
      <c r="BK33" s="47"/>
      <c r="BL33" s="47"/>
      <c r="BM33" s="47"/>
      <c r="BN33" s="47"/>
      <c r="BO33" s="47"/>
      <c r="BP33" s="84"/>
      <c r="BQ33" s="84"/>
      <c r="BR33" s="84"/>
      <c r="CB33" s="84"/>
      <c r="CC33" s="84"/>
      <c r="CD33" s="84"/>
      <c r="CE33" s="47"/>
      <c r="CF33" s="47"/>
      <c r="CJ33" s="47"/>
      <c r="CK33" s="47"/>
      <c r="CL33" s="47"/>
      <c r="CQ33" s="42"/>
    </row>
    <row r="34" spans="1:95" ht="20.25" customHeight="1">
      <c r="A34" s="24"/>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6"/>
      <c r="BB34" s="47"/>
      <c r="BC34" s="47"/>
      <c r="BD34" s="47"/>
      <c r="BE34" s="47"/>
      <c r="BF34" s="47"/>
      <c r="BG34" s="47"/>
      <c r="BH34" s="47"/>
      <c r="BI34" s="47"/>
      <c r="BJ34" s="47"/>
      <c r="BK34" s="47"/>
      <c r="BL34" s="47"/>
      <c r="BM34" s="47"/>
      <c r="BN34" s="47"/>
      <c r="BO34" s="47"/>
      <c r="BP34" s="47"/>
      <c r="BQ34" s="47"/>
      <c r="BR34" s="47"/>
      <c r="CB34" s="47"/>
      <c r="CC34" s="47"/>
      <c r="CD34" s="47"/>
      <c r="CE34" s="47"/>
      <c r="CF34" s="47"/>
      <c r="CJ34" s="47"/>
      <c r="CK34" s="47"/>
      <c r="CL34" s="47"/>
      <c r="CQ34" s="42"/>
    </row>
    <row r="35" spans="1:95" ht="20.25" customHeight="1">
      <c r="A35" s="24"/>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47"/>
      <c r="CF35" s="47"/>
      <c r="CG35" s="45"/>
      <c r="CH35" s="9"/>
      <c r="CI35" s="9"/>
      <c r="CJ35" s="9"/>
      <c r="CK35" s="9"/>
      <c r="CL35" s="9"/>
      <c r="CM35" s="9"/>
      <c r="CN35" s="9"/>
      <c r="CO35" s="9"/>
      <c r="CQ35" s="42"/>
    </row>
    <row r="36" spans="1:95" ht="20.25" customHeight="1">
      <c r="A36" s="24"/>
      <c r="M36" s="9"/>
      <c r="N36" s="9"/>
      <c r="O36" s="9"/>
      <c r="P36" s="9"/>
      <c r="Q36" s="9"/>
      <c r="R36" s="9"/>
      <c r="S36" s="9"/>
      <c r="T36" s="9"/>
      <c r="U36" s="9"/>
      <c r="V36" s="9"/>
      <c r="W36" s="45"/>
      <c r="X36" s="45"/>
      <c r="Y36" s="45"/>
      <c r="Z36" s="47"/>
      <c r="AA36" s="45"/>
      <c r="AB36" s="45"/>
      <c r="AC36" s="45"/>
      <c r="AD36" s="45"/>
      <c r="AE36" s="45"/>
      <c r="AF36" s="45"/>
      <c r="AG36" s="45"/>
      <c r="AH36" s="45"/>
      <c r="AI36" s="45"/>
      <c r="AJ36" s="45"/>
      <c r="AK36" s="45"/>
      <c r="AL36" s="45"/>
      <c r="AM36" s="45"/>
      <c r="AN36" s="45"/>
      <c r="AO36" s="45"/>
      <c r="AP36" s="47"/>
      <c r="AQ36" s="45"/>
      <c r="AR36" s="45"/>
      <c r="AS36" s="45"/>
      <c r="AT36" s="45"/>
      <c r="AU36" s="45"/>
      <c r="AV36" s="45"/>
      <c r="AW36" s="45"/>
      <c r="AX36" s="45"/>
      <c r="AY36" s="45"/>
      <c r="AZ36" s="45"/>
      <c r="BA36" s="45"/>
      <c r="BB36" s="45"/>
      <c r="BC36" s="45"/>
      <c r="BD36" s="45"/>
      <c r="BE36" s="45"/>
      <c r="BF36" s="45"/>
      <c r="BG36" s="47"/>
      <c r="BH36" s="45"/>
      <c r="BI36" s="45"/>
      <c r="BJ36" s="45"/>
      <c r="BK36" s="45"/>
      <c r="BL36" s="45"/>
      <c r="BM36" s="45"/>
      <c r="BN36" s="45"/>
      <c r="BO36" s="45"/>
      <c r="BP36" s="45"/>
      <c r="BQ36" s="45"/>
      <c r="BR36" s="45"/>
      <c r="CB36" s="45"/>
      <c r="CC36" s="45"/>
      <c r="CD36" s="45"/>
      <c r="CE36" s="47"/>
      <c r="CF36" s="47"/>
      <c r="CG36" s="47"/>
      <c r="CH36" s="47"/>
      <c r="CI36" s="47"/>
      <c r="CJ36" s="47"/>
      <c r="CK36" s="47"/>
      <c r="CL36" s="47"/>
      <c r="CQ36" s="42"/>
    </row>
    <row r="37" spans="1:95" ht="20.25" customHeight="1">
      <c r="A37" s="24"/>
      <c r="W37" s="47"/>
      <c r="X37" s="47"/>
      <c r="Y37" s="47"/>
      <c r="Z37" s="47"/>
      <c r="AA37" s="47"/>
      <c r="AB37" s="47"/>
      <c r="AC37" s="47"/>
      <c r="AD37" s="47"/>
      <c r="AE37" s="47"/>
      <c r="AF37" s="47"/>
      <c r="AO37" s="47"/>
      <c r="AP37" s="46"/>
      <c r="AQ37" s="48"/>
      <c r="AR37" s="47"/>
      <c r="AS37" s="47"/>
      <c r="AU37" s="47"/>
      <c r="AV37" s="47"/>
      <c r="AW37" s="47"/>
      <c r="BB37" s="47"/>
      <c r="BC37" s="47"/>
      <c r="BD37" s="47"/>
      <c r="BE37" s="47"/>
      <c r="BF37" s="47"/>
      <c r="BG37" s="47"/>
      <c r="BH37" s="47"/>
      <c r="BI37" s="47"/>
      <c r="BJ37" s="47"/>
      <c r="BK37" s="47"/>
      <c r="BL37" s="47"/>
      <c r="BM37" s="47"/>
      <c r="BN37" s="47"/>
      <c r="BO37" s="47"/>
      <c r="BP37" s="47"/>
      <c r="BQ37" s="47"/>
      <c r="BR37" s="47"/>
      <c r="CB37" s="47"/>
      <c r="CC37" s="47"/>
      <c r="CD37" s="47"/>
      <c r="CE37" s="47"/>
      <c r="CF37" s="47"/>
      <c r="CJ37" s="47"/>
      <c r="CK37" s="47"/>
      <c r="CL37" s="47"/>
      <c r="CQ37" s="42"/>
    </row>
    <row r="38" spans="1:95" ht="20.25" customHeight="1">
      <c r="A38" s="24"/>
      <c r="C38" s="48"/>
      <c r="W38" s="47"/>
      <c r="X38" s="47"/>
      <c r="Y38" s="47"/>
      <c r="Z38" s="47"/>
      <c r="AA38" s="47"/>
      <c r="AB38" s="47"/>
      <c r="AC38" s="47"/>
      <c r="AD38" s="47"/>
      <c r="AE38" s="47"/>
      <c r="AF38" s="47"/>
      <c r="AG38" s="47"/>
      <c r="AH38" s="47"/>
      <c r="AI38" s="47"/>
      <c r="AJ38" s="47"/>
      <c r="AK38" s="47"/>
      <c r="AL38" s="47"/>
      <c r="AM38" s="47"/>
      <c r="AN38" s="47"/>
      <c r="AO38" s="47"/>
      <c r="AP38" s="47"/>
      <c r="AQ38" s="47"/>
      <c r="BB38" s="47"/>
      <c r="BC38" s="47"/>
      <c r="BD38" s="47"/>
      <c r="BE38" s="47"/>
      <c r="BF38" s="47"/>
      <c r="BG38" s="47"/>
      <c r="BH38" s="47"/>
      <c r="BI38" s="47"/>
      <c r="BJ38" s="47"/>
      <c r="BK38" s="47"/>
      <c r="BL38" s="47"/>
      <c r="BM38" s="47"/>
      <c r="BN38" s="47"/>
      <c r="BO38" s="47"/>
      <c r="BP38" s="47"/>
      <c r="BQ38" s="47"/>
      <c r="BR38" s="47"/>
      <c r="CB38" s="47"/>
      <c r="CC38" s="47"/>
      <c r="CD38" s="47"/>
      <c r="CE38" s="47"/>
      <c r="CF38" s="47"/>
      <c r="CJ38" s="47"/>
      <c r="CK38" s="47"/>
      <c r="CL38" s="47"/>
      <c r="CQ38" s="42"/>
    </row>
    <row r="39" spans="1:95" s="9" customFormat="1" ht="20.25" customHeight="1">
      <c r="A39" s="10"/>
      <c r="U39" s="45"/>
      <c r="V39" s="45"/>
      <c r="W39" s="45"/>
      <c r="X39" s="45"/>
      <c r="Y39" s="45"/>
      <c r="Z39" s="2"/>
      <c r="AA39" s="2"/>
      <c r="AB39" s="48"/>
      <c r="AC39" s="2"/>
      <c r="AD39" s="2"/>
      <c r="AE39" s="2"/>
      <c r="AF39" s="2"/>
      <c r="AG39" s="2"/>
      <c r="AH39" s="2"/>
      <c r="AI39" s="2"/>
      <c r="AJ39" s="2"/>
      <c r="AK39" s="2"/>
      <c r="AL39" s="2"/>
      <c r="AM39" s="2"/>
      <c r="AN39" s="47"/>
      <c r="AO39" s="47"/>
      <c r="AP39" s="47"/>
      <c r="AQ39" s="47"/>
      <c r="AR39" s="47"/>
      <c r="AS39" s="47"/>
      <c r="AT39" s="47"/>
      <c r="AU39" s="48"/>
      <c r="AV39" s="46"/>
      <c r="AW39" s="48"/>
      <c r="AX39" s="48"/>
      <c r="AY39" s="48"/>
      <c r="AZ39" s="48"/>
      <c r="BA39" s="48"/>
      <c r="BB39" s="48"/>
      <c r="BC39" s="48"/>
      <c r="BD39" s="48"/>
      <c r="BE39" s="47"/>
      <c r="BF39" s="47"/>
      <c r="BG39" s="48"/>
      <c r="BH39" s="48"/>
      <c r="BI39" s="48"/>
      <c r="BJ39" s="48"/>
      <c r="BK39" s="2"/>
      <c r="BL39" s="2"/>
      <c r="BM39" s="2"/>
      <c r="BN39" s="2"/>
      <c r="BO39" s="2"/>
      <c r="BP39" s="2"/>
      <c r="BQ39" s="2"/>
      <c r="BR39" s="2"/>
      <c r="BS39" s="2"/>
      <c r="BT39" s="2"/>
      <c r="BU39" s="47"/>
      <c r="BV39" s="48"/>
      <c r="BW39" s="46"/>
      <c r="BX39" s="48"/>
      <c r="BY39" s="48"/>
      <c r="BZ39" s="48"/>
      <c r="CA39" s="48"/>
      <c r="CB39" s="48"/>
      <c r="CC39" s="48"/>
      <c r="CD39" s="48"/>
      <c r="CE39" s="48"/>
      <c r="CF39" s="48"/>
      <c r="CG39" s="47"/>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5"/>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0E6E-8D8C-4DA1-A6C7-A6F13CE360E0}">
  <sheetPr codeName="Sheet3">
    <pageSetUpPr fitToPage="1"/>
  </sheetPr>
  <dimension ref="A1:DN320"/>
  <sheetViews>
    <sheetView view="pageBreakPreview" zoomScaleNormal="100" zoomScaleSheetLayoutView="100" workbookViewId="0"/>
  </sheetViews>
  <sheetFormatPr defaultColWidth="1.875" defaultRowHeight="11.25"/>
  <cols>
    <col min="1" max="85" width="1.875" style="50" customWidth="1"/>
    <col min="86" max="16384" width="1.875" style="50"/>
  </cols>
  <sheetData>
    <row r="1" spans="1:90" s="21" customFormat="1" ht="19.5" customHeight="1">
      <c r="A1" s="183" t="s">
        <v>16</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451"/>
      <c r="AU1" s="451"/>
      <c r="AV1" s="451"/>
      <c r="AW1" s="451"/>
      <c r="AX1" s="451"/>
      <c r="AY1" s="451"/>
      <c r="AZ1" s="451"/>
      <c r="BA1" s="451"/>
      <c r="BB1" s="451"/>
      <c r="BC1" s="451"/>
      <c r="BD1" s="451"/>
      <c r="BE1" s="451"/>
      <c r="BF1" s="451"/>
      <c r="BG1" s="183"/>
      <c r="BH1" s="183"/>
      <c r="BI1" s="183"/>
      <c r="BJ1" s="183"/>
      <c r="BK1" s="183"/>
      <c r="BL1" s="183"/>
      <c r="BM1" s="183"/>
      <c r="BN1" s="183"/>
      <c r="BO1" s="183"/>
      <c r="BP1" s="183"/>
      <c r="BQ1" s="183"/>
      <c r="BR1" s="183"/>
      <c r="BS1" s="183"/>
      <c r="BT1" s="183"/>
      <c r="BU1" s="183"/>
      <c r="BV1" s="183"/>
      <c r="BW1" s="183"/>
      <c r="BX1" s="183"/>
      <c r="BY1" s="183"/>
      <c r="BZ1" s="183"/>
      <c r="CA1" s="183"/>
      <c r="CB1" s="183"/>
      <c r="CC1" s="183"/>
      <c r="CD1" s="183"/>
      <c r="CE1" s="183"/>
      <c r="CF1" s="183"/>
      <c r="CG1" s="254" t="s">
        <v>1</v>
      </c>
      <c r="CH1" s="27"/>
      <c r="CI1" s="27"/>
      <c r="CJ1" s="27"/>
      <c r="CK1" s="27"/>
      <c r="CL1" s="27"/>
    </row>
    <row r="2" spans="1:90" ht="19.5" customHeight="1">
      <c r="A2" s="452" t="s">
        <v>27</v>
      </c>
      <c r="B2" s="453"/>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3"/>
      <c r="AI2" s="453"/>
      <c r="AJ2" s="453"/>
      <c r="AK2" s="453"/>
      <c r="AL2" s="453"/>
      <c r="AM2" s="453"/>
      <c r="AN2" s="453"/>
      <c r="AO2" s="453"/>
      <c r="AP2" s="453"/>
      <c r="AQ2" s="453"/>
      <c r="AR2" s="453"/>
      <c r="AS2" s="453"/>
      <c r="AT2" s="453"/>
      <c r="AU2" s="453"/>
      <c r="AV2" s="453"/>
      <c r="AW2" s="453"/>
      <c r="AX2" s="453"/>
      <c r="AY2" s="453"/>
      <c r="AZ2" s="453"/>
      <c r="BA2" s="453"/>
      <c r="BB2" s="453"/>
      <c r="BC2" s="453"/>
      <c r="BD2" s="453"/>
      <c r="BE2" s="453"/>
      <c r="BF2" s="453"/>
      <c r="BG2" s="453"/>
      <c r="BH2" s="453"/>
      <c r="BI2" s="453"/>
      <c r="BJ2" s="453"/>
      <c r="BK2" s="453"/>
      <c r="BL2" s="453"/>
      <c r="BM2" s="453"/>
      <c r="BN2" s="453"/>
      <c r="BO2" s="454"/>
      <c r="BP2" s="412" t="s">
        <v>3</v>
      </c>
      <c r="BQ2" s="413"/>
      <c r="BR2" s="413"/>
      <c r="BS2" s="413"/>
      <c r="BT2" s="413"/>
      <c r="BU2" s="414"/>
      <c r="BV2" s="152" t="s">
        <v>28</v>
      </c>
      <c r="BW2" s="149"/>
      <c r="BX2" s="182"/>
      <c r="BY2" s="152"/>
      <c r="BZ2" s="182"/>
      <c r="CA2" s="412" t="s">
        <v>5</v>
      </c>
      <c r="CB2" s="413"/>
      <c r="CC2" s="414"/>
      <c r="CD2" s="412"/>
      <c r="CE2" s="413"/>
      <c r="CF2" s="413"/>
      <c r="CG2" s="414"/>
      <c r="CH2" s="29"/>
      <c r="CI2" s="29"/>
      <c r="CJ2" s="29"/>
      <c r="CK2" s="29"/>
      <c r="CL2" s="29"/>
    </row>
    <row r="3" spans="1:90" s="21" customFormat="1" ht="19.5" customHeight="1">
      <c r="A3" s="412" t="s">
        <v>6</v>
      </c>
      <c r="B3" s="413"/>
      <c r="C3" s="413"/>
      <c r="D3" s="413"/>
      <c r="E3" s="413"/>
      <c r="F3" s="413"/>
      <c r="G3" s="413"/>
      <c r="H3" s="413"/>
      <c r="I3" s="413"/>
      <c r="J3" s="413"/>
      <c r="K3" s="414"/>
      <c r="L3" s="381" t="s">
        <v>302</v>
      </c>
      <c r="M3" s="382"/>
      <c r="N3" s="382"/>
      <c r="O3" s="38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3"/>
      <c r="BP3" s="412" t="s">
        <v>7</v>
      </c>
      <c r="BQ3" s="413"/>
      <c r="BR3" s="413"/>
      <c r="BS3" s="413"/>
      <c r="BT3" s="413"/>
      <c r="BU3" s="414"/>
      <c r="BV3" s="412" t="s">
        <v>297</v>
      </c>
      <c r="BW3" s="413"/>
      <c r="BX3" s="413"/>
      <c r="BY3" s="413"/>
      <c r="BZ3" s="413"/>
      <c r="CA3" s="413"/>
      <c r="CB3" s="413"/>
      <c r="CC3" s="413"/>
      <c r="CD3" s="413"/>
      <c r="CE3" s="413"/>
      <c r="CF3" s="413"/>
      <c r="CG3" s="414"/>
      <c r="CH3" s="27"/>
      <c r="CI3" s="27"/>
      <c r="CJ3" s="27"/>
      <c r="CK3" s="27"/>
      <c r="CL3" s="27"/>
    </row>
    <row r="4" spans="1:90" s="21" customFormat="1" ht="19.5" customHeight="1">
      <c r="A4" s="412" t="s">
        <v>8</v>
      </c>
      <c r="B4" s="413"/>
      <c r="C4" s="413"/>
      <c r="D4" s="413"/>
      <c r="E4" s="413"/>
      <c r="F4" s="413"/>
      <c r="G4" s="413"/>
      <c r="H4" s="413"/>
      <c r="I4" s="413"/>
      <c r="J4" s="413"/>
      <c r="K4" s="414"/>
      <c r="L4" s="381" t="s">
        <v>29</v>
      </c>
      <c r="M4" s="440"/>
      <c r="N4" s="440"/>
      <c r="O4" s="440"/>
      <c r="P4" s="440"/>
      <c r="Q4" s="440"/>
      <c r="R4" s="440"/>
      <c r="S4" s="440"/>
      <c r="T4" s="440"/>
      <c r="U4" s="440"/>
      <c r="V4" s="440"/>
      <c r="W4" s="440"/>
      <c r="X4" s="440"/>
      <c r="Y4" s="440"/>
      <c r="Z4" s="440"/>
      <c r="AA4" s="440"/>
      <c r="AB4" s="440"/>
      <c r="AC4" s="440"/>
      <c r="AD4" s="440"/>
      <c r="AE4" s="440"/>
      <c r="AF4" s="440"/>
      <c r="AG4" s="440"/>
      <c r="AH4" s="440"/>
      <c r="AI4" s="440"/>
      <c r="AJ4" s="440"/>
      <c r="AK4" s="440"/>
      <c r="AL4" s="440"/>
      <c r="AM4" s="440"/>
      <c r="AN4" s="440"/>
      <c r="AO4" s="440"/>
      <c r="AP4" s="440"/>
      <c r="AQ4" s="440"/>
      <c r="AR4" s="440"/>
      <c r="AS4" s="440"/>
      <c r="AT4" s="440"/>
      <c r="AU4" s="440"/>
      <c r="AV4" s="440"/>
      <c r="AW4" s="440"/>
      <c r="AX4" s="440"/>
      <c r="AY4" s="440"/>
      <c r="AZ4" s="440"/>
      <c r="BA4" s="440"/>
      <c r="BB4" s="440"/>
      <c r="BC4" s="440"/>
      <c r="BD4" s="440"/>
      <c r="BE4" s="440"/>
      <c r="BF4" s="440"/>
      <c r="BG4" s="440"/>
      <c r="BH4" s="440"/>
      <c r="BI4" s="440"/>
      <c r="BJ4" s="440"/>
      <c r="BK4" s="440"/>
      <c r="BL4" s="440"/>
      <c r="BM4" s="440"/>
      <c r="BN4" s="440"/>
      <c r="BO4" s="441"/>
      <c r="BP4" s="412" t="s">
        <v>10</v>
      </c>
      <c r="BQ4" s="413"/>
      <c r="BR4" s="413"/>
      <c r="BS4" s="413"/>
      <c r="BT4" s="413"/>
      <c r="BU4" s="414"/>
      <c r="BV4" s="412"/>
      <c r="BW4" s="413"/>
      <c r="BX4" s="413"/>
      <c r="BY4" s="413"/>
      <c r="BZ4" s="413"/>
      <c r="CA4" s="413"/>
      <c r="CB4" s="413"/>
      <c r="CC4" s="413"/>
      <c r="CD4" s="413"/>
      <c r="CE4" s="413"/>
      <c r="CF4" s="413"/>
      <c r="CG4" s="414"/>
      <c r="CH4" s="27"/>
      <c r="CI4" s="27"/>
      <c r="CJ4" s="27"/>
      <c r="CK4" s="27"/>
      <c r="CL4" s="27"/>
    </row>
    <row r="5" spans="1:90" ht="6.75" customHeight="1">
      <c r="A5" s="25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30"/>
      <c r="CI5" s="30"/>
      <c r="CJ5" s="30"/>
      <c r="CK5" s="30"/>
      <c r="CL5" s="30"/>
    </row>
    <row r="6" spans="1:90" ht="6.75" customHeight="1">
      <c r="A6" s="256"/>
      <c r="B6" s="256"/>
      <c r="C6" s="256"/>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c r="CA6" s="256"/>
      <c r="CB6" s="256"/>
      <c r="CC6" s="256"/>
      <c r="CD6" s="256"/>
      <c r="CE6" s="256"/>
      <c r="CF6" s="256"/>
      <c r="CG6" s="256"/>
    </row>
    <row r="7" spans="1:90" s="27" customFormat="1" ht="19.5" customHeight="1">
      <c r="A7" s="412" t="s">
        <v>30</v>
      </c>
      <c r="B7" s="413"/>
      <c r="C7" s="413"/>
      <c r="D7" s="413"/>
      <c r="E7" s="413"/>
      <c r="F7" s="413"/>
      <c r="G7" s="413"/>
      <c r="H7" s="413"/>
      <c r="I7" s="413"/>
      <c r="J7" s="413"/>
      <c r="K7" s="414"/>
      <c r="L7" s="381" t="s">
        <v>123</v>
      </c>
      <c r="M7" s="440"/>
      <c r="N7" s="440"/>
      <c r="O7" s="440"/>
      <c r="P7" s="440"/>
      <c r="Q7" s="440"/>
      <c r="R7" s="440"/>
      <c r="S7" s="440"/>
      <c r="T7" s="440"/>
      <c r="U7" s="440"/>
      <c r="V7" s="440"/>
      <c r="W7" s="440"/>
      <c r="X7" s="440"/>
      <c r="Y7" s="440"/>
      <c r="Z7" s="440"/>
      <c r="AA7" s="440"/>
      <c r="AB7" s="440"/>
      <c r="AC7" s="440"/>
      <c r="AD7" s="440"/>
      <c r="AE7" s="440"/>
      <c r="AF7" s="440"/>
      <c r="AG7" s="440"/>
      <c r="AH7" s="440"/>
      <c r="AI7" s="440"/>
      <c r="AJ7" s="440"/>
      <c r="AK7" s="440"/>
      <c r="AL7" s="440"/>
      <c r="AM7" s="440"/>
      <c r="AN7" s="440"/>
      <c r="AO7" s="440"/>
      <c r="AP7" s="440"/>
      <c r="AQ7" s="440"/>
      <c r="AR7" s="440"/>
      <c r="AS7" s="440"/>
      <c r="AT7" s="440"/>
      <c r="AU7" s="440"/>
      <c r="AV7" s="440"/>
      <c r="AW7" s="440"/>
      <c r="AX7" s="440"/>
      <c r="AY7" s="440"/>
      <c r="AZ7" s="440"/>
      <c r="BA7" s="440"/>
      <c r="BB7" s="440"/>
      <c r="BC7" s="440"/>
      <c r="BD7" s="440"/>
      <c r="BE7" s="440"/>
      <c r="BF7" s="440"/>
      <c r="BG7" s="440"/>
      <c r="BH7" s="440"/>
      <c r="BI7" s="440"/>
      <c r="BJ7" s="440"/>
      <c r="BK7" s="440"/>
      <c r="BL7" s="440"/>
      <c r="BM7" s="440"/>
      <c r="BN7" s="440"/>
      <c r="BO7" s="440"/>
      <c r="BP7" s="440"/>
      <c r="BQ7" s="440"/>
      <c r="BR7" s="440"/>
      <c r="BS7" s="440"/>
      <c r="BT7" s="440"/>
      <c r="BU7" s="440"/>
      <c r="BV7" s="440"/>
      <c r="BW7" s="440"/>
      <c r="BX7" s="440"/>
      <c r="BY7" s="440"/>
      <c r="BZ7" s="440"/>
      <c r="CA7" s="440"/>
      <c r="CB7" s="440"/>
      <c r="CC7" s="440"/>
      <c r="CD7" s="440"/>
      <c r="CE7" s="440"/>
      <c r="CF7" s="440"/>
      <c r="CG7" s="441"/>
      <c r="CH7" s="96"/>
    </row>
    <row r="8" spans="1:90" ht="9" customHeight="1">
      <c r="A8" s="256"/>
      <c r="B8" s="256"/>
      <c r="C8" s="256"/>
      <c r="D8" s="256"/>
      <c r="E8" s="256"/>
      <c r="F8" s="256"/>
      <c r="G8" s="256"/>
      <c r="H8" s="256"/>
      <c r="I8" s="256"/>
      <c r="J8" s="256"/>
      <c r="K8" s="256"/>
      <c r="L8" s="256"/>
      <c r="M8" s="256"/>
      <c r="N8" s="256"/>
      <c r="O8" s="256"/>
      <c r="P8" s="256"/>
      <c r="Q8" s="256"/>
      <c r="R8" s="256"/>
      <c r="S8" s="256"/>
      <c r="T8" s="256"/>
      <c r="U8" s="256"/>
      <c r="V8" s="256"/>
      <c r="W8" s="256"/>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c r="BK8" s="256"/>
      <c r="BL8" s="256"/>
      <c r="BM8" s="256"/>
      <c r="BN8" s="256"/>
      <c r="BO8" s="256"/>
      <c r="BP8" s="256"/>
      <c r="BQ8" s="256"/>
      <c r="BR8" s="256"/>
      <c r="BS8" s="256"/>
      <c r="BT8" s="256"/>
      <c r="BU8" s="256"/>
      <c r="BV8" s="256"/>
      <c r="BW8" s="256"/>
      <c r="BX8" s="256"/>
      <c r="BY8" s="256"/>
      <c r="BZ8" s="256"/>
      <c r="CA8" s="256"/>
      <c r="CB8" s="256"/>
      <c r="CC8" s="256"/>
      <c r="CD8" s="256"/>
      <c r="CE8" s="256"/>
      <c r="CF8" s="256"/>
      <c r="CG8" s="256"/>
    </row>
    <row r="9" spans="1:90" ht="7.5" customHeight="1" thickBot="1">
      <c r="A9" s="257"/>
      <c r="B9" s="258"/>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8"/>
      <c r="BQ9" s="258"/>
      <c r="BR9" s="258"/>
      <c r="BS9" s="258"/>
      <c r="BT9" s="258"/>
      <c r="BU9" s="258"/>
      <c r="BV9" s="258"/>
      <c r="BW9" s="258"/>
      <c r="BX9" s="258"/>
      <c r="BY9" s="258"/>
      <c r="BZ9" s="258"/>
      <c r="CA9" s="258"/>
      <c r="CB9" s="258"/>
      <c r="CC9" s="258"/>
      <c r="CD9" s="258"/>
      <c r="CE9" s="258"/>
      <c r="CF9" s="258"/>
      <c r="CG9" s="259"/>
    </row>
    <row r="10" spans="1:90" ht="14.25" customHeight="1">
      <c r="A10" s="281"/>
      <c r="B10" s="59"/>
      <c r="C10" s="60"/>
      <c r="D10" s="60"/>
      <c r="E10" s="60"/>
      <c r="F10" s="60"/>
      <c r="G10" s="60"/>
      <c r="H10" s="60"/>
      <c r="I10" s="60"/>
      <c r="J10" s="60"/>
      <c r="K10" s="60"/>
      <c r="L10" s="418" t="s">
        <v>31</v>
      </c>
      <c r="M10" s="419"/>
      <c r="N10" s="419"/>
      <c r="O10" s="419"/>
      <c r="P10" s="419"/>
      <c r="Q10" s="419"/>
      <c r="R10" s="419"/>
      <c r="S10" s="419"/>
      <c r="T10" s="419"/>
      <c r="U10" s="419"/>
      <c r="V10" s="419"/>
      <c r="W10" s="419"/>
      <c r="X10" s="419"/>
      <c r="Y10" s="419"/>
      <c r="Z10" s="419"/>
      <c r="AA10" s="419"/>
      <c r="AB10" s="419"/>
      <c r="AC10" s="419"/>
      <c r="AD10" s="419"/>
      <c r="AE10" s="419"/>
      <c r="AF10" s="419"/>
      <c r="AG10" s="419"/>
      <c r="AH10" s="419"/>
      <c r="AI10" s="419"/>
      <c r="AJ10" s="419"/>
      <c r="AK10" s="419"/>
      <c r="AL10" s="419"/>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19"/>
      <c r="BQ10" s="419"/>
      <c r="BR10" s="419"/>
      <c r="BS10" s="419"/>
      <c r="BT10" s="419"/>
      <c r="BU10" s="419"/>
      <c r="BV10" s="431" t="s">
        <v>32</v>
      </c>
      <c r="BW10" s="431"/>
      <c r="BX10" s="431"/>
      <c r="BY10" s="431"/>
      <c r="BZ10" s="431"/>
      <c r="CA10" s="431"/>
      <c r="CB10" s="431"/>
      <c r="CC10" s="431"/>
      <c r="CD10" s="431"/>
      <c r="CE10" s="431"/>
      <c r="CF10" s="432"/>
      <c r="CG10" s="264"/>
    </row>
    <row r="11" spans="1:90" ht="14.25" customHeight="1">
      <c r="A11" s="281"/>
      <c r="B11" s="61"/>
      <c r="C11" s="315"/>
      <c r="D11" s="315"/>
      <c r="E11" s="315"/>
      <c r="F11" s="315"/>
      <c r="G11" s="315"/>
      <c r="H11" s="315"/>
      <c r="I11" s="315"/>
      <c r="J11" s="315"/>
      <c r="K11" s="315"/>
      <c r="L11" s="420"/>
      <c r="M11" s="420"/>
      <c r="N11" s="420"/>
      <c r="O11" s="420"/>
      <c r="P11" s="420"/>
      <c r="Q11" s="420"/>
      <c r="R11" s="420"/>
      <c r="S11" s="420"/>
      <c r="T11" s="420"/>
      <c r="U11" s="420"/>
      <c r="V11" s="420"/>
      <c r="W11" s="420"/>
      <c r="X11" s="420"/>
      <c r="Y11" s="420"/>
      <c r="Z11" s="420"/>
      <c r="AA11" s="420"/>
      <c r="AB11" s="420"/>
      <c r="AC11" s="420"/>
      <c r="AD11" s="420"/>
      <c r="AE11" s="420"/>
      <c r="AF11" s="420"/>
      <c r="AG11" s="420"/>
      <c r="AH11" s="420"/>
      <c r="AI11" s="420"/>
      <c r="AJ11" s="420"/>
      <c r="AK11" s="420"/>
      <c r="AL11" s="420"/>
      <c r="AM11" s="420"/>
      <c r="AN11" s="420"/>
      <c r="AO11" s="420"/>
      <c r="AP11" s="420"/>
      <c r="AQ11" s="420"/>
      <c r="AR11" s="420"/>
      <c r="AS11" s="420"/>
      <c r="AT11" s="420"/>
      <c r="AU11" s="420"/>
      <c r="AV11" s="420"/>
      <c r="AW11" s="420"/>
      <c r="AX11" s="420"/>
      <c r="AY11" s="420"/>
      <c r="AZ11" s="420"/>
      <c r="BA11" s="420"/>
      <c r="BB11" s="420"/>
      <c r="BC11" s="420"/>
      <c r="BD11" s="420"/>
      <c r="BE11" s="420"/>
      <c r="BF11" s="420"/>
      <c r="BG11" s="420"/>
      <c r="BH11" s="420"/>
      <c r="BI11" s="420"/>
      <c r="BJ11" s="420"/>
      <c r="BK11" s="420"/>
      <c r="BL11" s="420"/>
      <c r="BM11" s="420"/>
      <c r="BN11" s="420"/>
      <c r="BO11" s="420"/>
      <c r="BP11" s="420"/>
      <c r="BQ11" s="420"/>
      <c r="BR11" s="420"/>
      <c r="BS11" s="420"/>
      <c r="BT11" s="420"/>
      <c r="BU11" s="420"/>
      <c r="BV11" s="433"/>
      <c r="BW11" s="433"/>
      <c r="BX11" s="433"/>
      <c r="BY11" s="433"/>
      <c r="BZ11" s="433"/>
      <c r="CA11" s="433"/>
      <c r="CB11" s="433"/>
      <c r="CC11" s="433"/>
      <c r="CD11" s="433"/>
      <c r="CE11" s="433"/>
      <c r="CF11" s="434"/>
      <c r="CG11" s="264"/>
    </row>
    <row r="12" spans="1:90" s="27" customFormat="1" ht="19.5" customHeight="1" thickBot="1">
      <c r="A12" s="261"/>
      <c r="B12" s="62"/>
      <c r="C12" s="63"/>
      <c r="D12" s="63"/>
      <c r="E12" s="63"/>
      <c r="F12" s="63"/>
      <c r="G12" s="63"/>
      <c r="H12" s="63"/>
      <c r="I12" s="63"/>
      <c r="J12" s="63"/>
      <c r="K12" s="63"/>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c r="BB12" s="421"/>
      <c r="BC12" s="421"/>
      <c r="BD12" s="421"/>
      <c r="BE12" s="421"/>
      <c r="BF12" s="421"/>
      <c r="BG12" s="421"/>
      <c r="BH12" s="421"/>
      <c r="BI12" s="421"/>
      <c r="BJ12" s="421"/>
      <c r="BK12" s="421"/>
      <c r="BL12" s="421"/>
      <c r="BM12" s="421"/>
      <c r="BN12" s="421"/>
      <c r="BO12" s="421"/>
      <c r="BP12" s="421"/>
      <c r="BQ12" s="421"/>
      <c r="BR12" s="421"/>
      <c r="BS12" s="421"/>
      <c r="BT12" s="421"/>
      <c r="BU12" s="421"/>
      <c r="BV12" s="435"/>
      <c r="BW12" s="435"/>
      <c r="BX12" s="435"/>
      <c r="BY12" s="435"/>
      <c r="BZ12" s="435"/>
      <c r="CA12" s="435"/>
      <c r="CB12" s="435"/>
      <c r="CC12" s="435"/>
      <c r="CD12" s="435"/>
      <c r="CE12" s="435"/>
      <c r="CF12" s="436"/>
      <c r="CG12" s="265"/>
    </row>
    <row r="13" spans="1:90" s="27" customFormat="1" ht="19.5" customHeight="1" thickTop="1">
      <c r="A13" s="261"/>
      <c r="B13" s="70"/>
      <c r="C13" s="71"/>
      <c r="D13" s="239" t="s">
        <v>33</v>
      </c>
      <c r="E13" s="240"/>
      <c r="F13" s="240"/>
      <c r="G13" s="240"/>
      <c r="H13" s="240"/>
      <c r="I13" s="241"/>
      <c r="J13" s="241"/>
      <c r="K13" s="241"/>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c r="BK13" s="242"/>
      <c r="BL13" s="242"/>
      <c r="BM13" s="242"/>
      <c r="BN13" s="242"/>
      <c r="BO13" s="242"/>
      <c r="BP13" s="242"/>
      <c r="BQ13" s="242"/>
      <c r="BR13" s="242"/>
      <c r="BS13" s="242"/>
      <c r="BT13" s="242"/>
      <c r="BU13" s="242"/>
      <c r="BV13" s="242"/>
      <c r="BW13" s="242"/>
      <c r="BX13" s="242"/>
      <c r="BY13" s="242"/>
      <c r="BZ13" s="242"/>
      <c r="CA13" s="242"/>
      <c r="CB13" s="242"/>
      <c r="CC13" s="242"/>
      <c r="CD13" s="64"/>
      <c r="CE13" s="64"/>
      <c r="CF13" s="65"/>
      <c r="CG13" s="265"/>
    </row>
    <row r="14" spans="1:90" s="27" customFormat="1" ht="19.5" customHeight="1">
      <c r="A14" s="261"/>
      <c r="B14" s="72"/>
      <c r="C14" s="138"/>
      <c r="D14" s="428" t="s">
        <v>34</v>
      </c>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138"/>
      <c r="CE14" s="138"/>
      <c r="CF14" s="66"/>
      <c r="CG14" s="265"/>
    </row>
    <row r="15" spans="1:90" s="27" customFormat="1" ht="19.5" customHeight="1">
      <c r="A15" s="261"/>
      <c r="B15" s="72"/>
      <c r="C15" s="138"/>
      <c r="D15" s="223"/>
      <c r="E15" s="223"/>
      <c r="F15" s="223"/>
      <c r="G15" s="223"/>
      <c r="H15" s="223"/>
      <c r="I15" s="223"/>
      <c r="J15" s="223"/>
      <c r="K15" s="223"/>
      <c r="L15" s="223"/>
      <c r="M15" s="223"/>
      <c r="N15" s="223"/>
      <c r="O15" s="223"/>
      <c r="P15" s="223"/>
      <c r="Q15" s="223"/>
      <c r="R15" s="223"/>
      <c r="S15" s="223"/>
      <c r="T15" s="223"/>
      <c r="U15" s="223"/>
      <c r="V15" s="223"/>
      <c r="W15" s="316"/>
      <c r="X15" s="316"/>
      <c r="Y15" s="316"/>
      <c r="Z15" s="316"/>
      <c r="AA15" s="316"/>
      <c r="AB15" s="316"/>
      <c r="AC15" s="316"/>
      <c r="AD15" s="316"/>
      <c r="AE15" s="316"/>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130"/>
      <c r="BZ15" s="223"/>
      <c r="CA15" s="223"/>
      <c r="CB15" s="130"/>
      <c r="CC15" s="223"/>
      <c r="CD15" s="138"/>
      <c r="CE15" s="138"/>
      <c r="CF15" s="66"/>
      <c r="CG15" s="265"/>
    </row>
    <row r="16" spans="1:90" s="27" customFormat="1" ht="19.5" customHeight="1">
      <c r="A16" s="261"/>
      <c r="B16" s="72"/>
      <c r="C16" s="138"/>
      <c r="D16" s="437" t="s">
        <v>35</v>
      </c>
      <c r="E16" s="438"/>
      <c r="F16" s="438"/>
      <c r="G16" s="438"/>
      <c r="H16" s="438"/>
      <c r="I16" s="438"/>
      <c r="J16" s="438"/>
      <c r="K16" s="438"/>
      <c r="L16" s="438"/>
      <c r="M16" s="438"/>
      <c r="N16" s="438"/>
      <c r="O16" s="438"/>
      <c r="P16" s="438"/>
      <c r="Q16" s="438"/>
      <c r="R16" s="438"/>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8"/>
      <c r="BD16" s="438"/>
      <c r="BE16" s="438"/>
      <c r="BF16" s="438"/>
      <c r="BG16" s="438"/>
      <c r="BH16" s="438"/>
      <c r="BI16" s="438"/>
      <c r="BJ16" s="438"/>
      <c r="BK16" s="438"/>
      <c r="BL16" s="438"/>
      <c r="BM16" s="438"/>
      <c r="BN16" s="438"/>
      <c r="BO16" s="438"/>
      <c r="BP16" s="438"/>
      <c r="BQ16" s="438"/>
      <c r="BR16" s="438"/>
      <c r="BS16" s="438"/>
      <c r="BT16" s="438"/>
      <c r="BU16" s="438"/>
      <c r="BV16" s="438"/>
      <c r="BW16" s="438"/>
      <c r="BX16" s="438"/>
      <c r="BY16" s="438"/>
      <c r="BZ16" s="438"/>
      <c r="CA16" s="438"/>
      <c r="CB16" s="438"/>
      <c r="CC16" s="439"/>
      <c r="CD16" s="138"/>
      <c r="CE16" s="138"/>
      <c r="CF16" s="66"/>
      <c r="CG16" s="265"/>
    </row>
    <row r="17" spans="1:118" s="27" customFormat="1" ht="19.5" customHeight="1">
      <c r="A17" s="261"/>
      <c r="B17" s="72"/>
      <c r="C17" s="138"/>
      <c r="D17" s="85" t="s">
        <v>36</v>
      </c>
      <c r="E17" s="148"/>
      <c r="F17" s="148"/>
      <c r="G17" s="95"/>
      <c r="H17" s="148"/>
      <c r="I17" s="148"/>
      <c r="J17" s="148"/>
      <c r="K17" s="148"/>
      <c r="L17" s="148"/>
      <c r="M17" s="243"/>
      <c r="N17" s="244"/>
      <c r="O17" s="148"/>
      <c r="P17" s="148"/>
      <c r="Q17" s="148"/>
      <c r="R17" s="148"/>
      <c r="S17" s="148"/>
      <c r="T17" s="148"/>
      <c r="U17" s="148"/>
      <c r="V17" s="148"/>
      <c r="W17" s="148"/>
      <c r="X17" s="148"/>
      <c r="Y17" s="148"/>
      <c r="Z17" s="310"/>
      <c r="AA17" s="148"/>
      <c r="AB17" s="310"/>
      <c r="AC17" s="148"/>
      <c r="AD17" s="148"/>
      <c r="AE17" s="148"/>
      <c r="AF17" s="148"/>
      <c r="AG17" s="148"/>
      <c r="AH17" s="148"/>
      <c r="AI17" s="148"/>
      <c r="AJ17" s="148"/>
      <c r="AK17" s="310"/>
      <c r="AL17" s="310"/>
      <c r="AM17" s="148"/>
      <c r="AN17" s="148"/>
      <c r="AO17" s="148"/>
      <c r="AP17" s="148"/>
      <c r="AQ17" s="85" t="s">
        <v>143</v>
      </c>
      <c r="AR17" s="148"/>
      <c r="AS17" s="148"/>
      <c r="AT17" s="148"/>
      <c r="AU17" s="148"/>
      <c r="AV17" s="148"/>
      <c r="AW17" s="148"/>
      <c r="AX17" s="95"/>
      <c r="AY17" s="150"/>
      <c r="AZ17" s="153"/>
      <c r="BA17" s="244"/>
      <c r="BB17" s="148"/>
      <c r="BC17" s="148"/>
      <c r="BD17" s="148"/>
      <c r="BE17" s="148"/>
      <c r="BF17" s="148"/>
      <c r="BG17" s="148"/>
      <c r="BH17" s="148"/>
      <c r="BI17" s="148"/>
      <c r="BJ17" s="148"/>
      <c r="BK17" s="148"/>
      <c r="BL17" s="148"/>
      <c r="BM17" s="148"/>
      <c r="BN17" s="148"/>
      <c r="BO17" s="148"/>
      <c r="BP17" s="148"/>
      <c r="BQ17" s="148"/>
      <c r="BR17" s="148"/>
      <c r="BS17" s="148"/>
      <c r="BT17" s="148"/>
      <c r="BU17" s="148"/>
      <c r="BV17" s="148"/>
      <c r="BW17" s="148"/>
      <c r="BX17" s="148"/>
      <c r="BY17" s="148"/>
      <c r="BZ17" s="148"/>
      <c r="CA17" s="148"/>
      <c r="CB17" s="148"/>
      <c r="CC17" s="151"/>
      <c r="CD17" s="138"/>
      <c r="CE17" s="138"/>
      <c r="CF17" s="66"/>
      <c r="CG17" s="265"/>
    </row>
    <row r="18" spans="1:118" s="27" customFormat="1" ht="19.5" customHeight="1">
      <c r="A18" s="261"/>
      <c r="B18" s="72"/>
      <c r="C18" s="159"/>
      <c r="D18" s="309" t="s">
        <v>64</v>
      </c>
      <c r="E18" s="310"/>
      <c r="F18" s="310"/>
      <c r="G18" s="310"/>
      <c r="H18" s="310"/>
      <c r="I18" s="310"/>
      <c r="J18" s="95"/>
      <c r="K18" s="95"/>
      <c r="L18" s="311"/>
      <c r="M18" s="301"/>
      <c r="N18" s="105"/>
      <c r="O18" s="245"/>
      <c r="P18" s="245"/>
      <c r="Q18" s="245"/>
      <c r="R18" s="245"/>
      <c r="S18" s="245"/>
      <c r="T18" s="245"/>
      <c r="U18" s="245"/>
      <c r="V18" s="245"/>
      <c r="W18" s="245"/>
      <c r="X18" s="245"/>
      <c r="Y18" s="88"/>
      <c r="Z18" s="88"/>
      <c r="AA18" s="88"/>
      <c r="AB18" s="310"/>
      <c r="AC18" s="310"/>
      <c r="AD18" s="310"/>
      <c r="AE18" s="310"/>
      <c r="AF18" s="88"/>
      <c r="AG18" s="88"/>
      <c r="AH18" s="88"/>
      <c r="AI18" s="88"/>
      <c r="AJ18" s="310"/>
      <c r="AK18" s="310"/>
      <c r="AL18" s="310"/>
      <c r="AM18" s="88"/>
      <c r="AN18" s="86"/>
      <c r="AO18" s="86"/>
      <c r="AP18" s="86"/>
      <c r="AQ18" s="310"/>
      <c r="AR18" s="310"/>
      <c r="AS18" s="310"/>
      <c r="AT18" s="310"/>
      <c r="AU18" s="95"/>
      <c r="AV18" s="310"/>
      <c r="AW18" s="310"/>
      <c r="AX18" s="310"/>
      <c r="AY18" s="310"/>
      <c r="AZ18" s="193" t="s">
        <v>70</v>
      </c>
      <c r="BA18" s="194"/>
      <c r="BB18" s="194"/>
      <c r="BC18" s="299"/>
      <c r="BD18" s="195"/>
      <c r="BE18" s="196"/>
      <c r="BF18" s="196"/>
      <c r="BG18" s="196"/>
      <c r="BH18" s="196"/>
      <c r="BI18" s="196"/>
      <c r="BJ18" s="196"/>
      <c r="BK18" s="196"/>
      <c r="BL18" s="196"/>
      <c r="BM18" s="299"/>
      <c r="BN18" s="193" t="s">
        <v>242</v>
      </c>
      <c r="BO18" s="194"/>
      <c r="BP18" s="194"/>
      <c r="BQ18" s="299"/>
      <c r="BR18" s="195"/>
      <c r="BS18" s="196"/>
      <c r="BT18" s="196"/>
      <c r="BU18" s="196"/>
      <c r="BV18" s="196"/>
      <c r="BW18" s="310"/>
      <c r="BX18" s="310"/>
      <c r="BY18" s="310"/>
      <c r="BZ18" s="310"/>
      <c r="CA18" s="310"/>
      <c r="CB18" s="310"/>
      <c r="CC18" s="311"/>
      <c r="CD18" s="159"/>
      <c r="CE18" s="138"/>
      <c r="CF18" s="66"/>
      <c r="CG18" s="265"/>
      <c r="DN18" s="118"/>
    </row>
    <row r="19" spans="1:118" s="3" customFormat="1" ht="18.75" customHeight="1">
      <c r="A19" s="282"/>
      <c r="B19" s="72"/>
      <c r="C19" s="159"/>
      <c r="D19" s="197" t="s">
        <v>229</v>
      </c>
      <c r="E19" s="198"/>
      <c r="F19" s="198"/>
      <c r="G19" s="198"/>
      <c r="H19" s="198"/>
      <c r="I19" s="198"/>
      <c r="J19" s="198"/>
      <c r="K19" s="199"/>
      <c r="L19" s="200"/>
      <c r="M19" s="317"/>
      <c r="N19" s="317"/>
      <c r="O19" s="317"/>
      <c r="P19" s="317"/>
      <c r="Q19" s="317"/>
      <c r="R19" s="317"/>
      <c r="S19" s="317"/>
      <c r="T19" s="318"/>
      <c r="U19" s="318"/>
      <c r="V19" s="317"/>
      <c r="W19" s="317"/>
      <c r="X19" s="317"/>
      <c r="Y19" s="317"/>
      <c r="Z19" s="317"/>
      <c r="AA19" s="317"/>
      <c r="AB19" s="317"/>
      <c r="AC19" s="317"/>
      <c r="AD19" s="317"/>
      <c r="AE19" s="317"/>
      <c r="AF19" s="317"/>
      <c r="AG19" s="317"/>
      <c r="AH19" s="317"/>
      <c r="AI19" s="317"/>
      <c r="AJ19" s="317"/>
      <c r="AK19" s="317"/>
      <c r="AL19" s="317"/>
      <c r="AM19" s="317"/>
      <c r="AN19" s="317"/>
      <c r="AO19" s="317"/>
      <c r="AP19" s="201"/>
      <c r="AQ19" s="201"/>
      <c r="AR19" s="201"/>
      <c r="AS19" s="201"/>
      <c r="AT19" s="201"/>
      <c r="AU19" s="202"/>
      <c r="AV19" s="202"/>
      <c r="AW19" s="202"/>
      <c r="AX19" s="201"/>
      <c r="AY19" s="201"/>
      <c r="AZ19" s="201"/>
      <c r="BA19" s="317"/>
      <c r="BB19" s="317"/>
      <c r="BC19" s="317"/>
      <c r="BD19" s="317"/>
      <c r="BE19" s="317"/>
      <c r="BF19" s="317"/>
      <c r="BG19" s="317"/>
      <c r="BH19" s="317"/>
      <c r="BI19" s="317"/>
      <c r="BJ19" s="317"/>
      <c r="BK19" s="317"/>
      <c r="BL19" s="318"/>
      <c r="BM19" s="317"/>
      <c r="BN19" s="317"/>
      <c r="BO19" s="317"/>
      <c r="BP19" s="317"/>
      <c r="BQ19" s="317"/>
      <c r="BR19" s="317"/>
      <c r="BS19" s="317"/>
      <c r="BT19" s="317"/>
      <c r="BU19" s="317"/>
      <c r="BV19" s="317"/>
      <c r="BW19" s="317"/>
      <c r="BX19" s="317"/>
      <c r="BY19" s="317"/>
      <c r="BZ19" s="317"/>
      <c r="CA19" s="317"/>
      <c r="CB19" s="317"/>
      <c r="CC19" s="203"/>
      <c r="CD19" s="159"/>
      <c r="CE19" s="138"/>
      <c r="CF19" s="66"/>
      <c r="CG19" s="266"/>
    </row>
    <row r="20" spans="1:118" s="3" customFormat="1" ht="19.5" customHeight="1">
      <c r="A20" s="261"/>
      <c r="B20" s="72"/>
      <c r="C20" s="138"/>
      <c r="D20" s="186" t="s">
        <v>178</v>
      </c>
      <c r="E20" s="196"/>
      <c r="F20" s="196"/>
      <c r="G20" s="196"/>
      <c r="H20" s="196"/>
      <c r="I20" s="196"/>
      <c r="J20" s="194"/>
      <c r="K20" s="194"/>
      <c r="L20" s="246"/>
      <c r="M20" s="196"/>
      <c r="N20" s="196"/>
      <c r="O20" s="196"/>
      <c r="P20" s="196"/>
      <c r="Q20" s="196"/>
      <c r="R20" s="194"/>
      <c r="S20" s="299"/>
      <c r="T20" s="196"/>
      <c r="U20" s="299"/>
      <c r="V20" s="196"/>
      <c r="W20" s="196"/>
      <c r="X20" s="196"/>
      <c r="Y20" s="196"/>
      <c r="Z20" s="196"/>
      <c r="AA20" s="196"/>
      <c r="AB20" s="196"/>
      <c r="AC20" s="196"/>
      <c r="AD20" s="196"/>
      <c r="AE20" s="196"/>
      <c r="AF20" s="196"/>
      <c r="AG20" s="196"/>
      <c r="AH20" s="247"/>
      <c r="AI20" s="247"/>
      <c r="AJ20" s="247"/>
      <c r="AK20" s="247"/>
      <c r="AL20" s="247"/>
      <c r="AM20" s="247"/>
      <c r="AN20" s="247"/>
      <c r="AO20" s="247"/>
      <c r="AP20" s="248"/>
      <c r="AQ20" s="186" t="s">
        <v>179</v>
      </c>
      <c r="AR20" s="196"/>
      <c r="AS20" s="196"/>
      <c r="AT20" s="196"/>
      <c r="AU20" s="196"/>
      <c r="AV20" s="196"/>
      <c r="AW20" s="196"/>
      <c r="AX20" s="196"/>
      <c r="AY20" s="195"/>
      <c r="AZ20" s="196"/>
      <c r="BA20" s="196"/>
      <c r="BB20" s="194"/>
      <c r="BC20" s="299"/>
      <c r="BD20" s="196"/>
      <c r="BE20" s="299"/>
      <c r="BF20" s="196"/>
      <c r="BG20" s="196"/>
      <c r="BH20" s="196"/>
      <c r="BI20" s="196"/>
      <c r="BJ20" s="249" t="s">
        <v>151</v>
      </c>
      <c r="BK20" s="196"/>
      <c r="BL20" s="196"/>
      <c r="BM20" s="196"/>
      <c r="BN20" s="196"/>
      <c r="BO20" s="196"/>
      <c r="BP20" s="196"/>
      <c r="BQ20" s="196"/>
      <c r="BR20" s="196"/>
      <c r="BS20" s="196"/>
      <c r="BT20" s="196"/>
      <c r="BU20" s="196"/>
      <c r="BV20" s="196"/>
      <c r="BW20" s="196"/>
      <c r="BX20" s="250"/>
      <c r="BY20" s="250"/>
      <c r="BZ20" s="250"/>
      <c r="CA20" s="250"/>
      <c r="CB20" s="250"/>
      <c r="CC20" s="251"/>
      <c r="CD20" s="159"/>
      <c r="CE20" s="138"/>
      <c r="CF20" s="66"/>
      <c r="CG20" s="265"/>
      <c r="CH20" s="27"/>
      <c r="CI20" s="27"/>
      <c r="CJ20" s="27"/>
      <c r="CK20" s="179"/>
      <c r="CU20" s="179"/>
    </row>
    <row r="21" spans="1:118" s="27" customFormat="1" ht="18.75" customHeight="1">
      <c r="A21" s="261"/>
      <c r="B21" s="72"/>
      <c r="C21" s="138"/>
      <c r="D21" s="309" t="s">
        <v>37</v>
      </c>
      <c r="E21" s="310"/>
      <c r="F21" s="310"/>
      <c r="G21" s="310"/>
      <c r="H21" s="310"/>
      <c r="I21" s="310"/>
      <c r="J21" s="95"/>
      <c r="K21" s="95"/>
      <c r="L21" s="311"/>
      <c r="M21" s="301"/>
      <c r="N21" s="10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310"/>
      <c r="AR21" s="310"/>
      <c r="AS21" s="310"/>
      <c r="AT21" s="310"/>
      <c r="AU21" s="310"/>
      <c r="AV21" s="310"/>
      <c r="AW21" s="310"/>
      <c r="AX21" s="310"/>
      <c r="AY21" s="310"/>
      <c r="AZ21" s="310"/>
      <c r="BA21" s="310"/>
      <c r="BB21" s="310"/>
      <c r="BC21" s="310"/>
      <c r="BD21" s="310"/>
      <c r="BE21" s="310"/>
      <c r="BF21" s="310"/>
      <c r="BG21" s="310"/>
      <c r="BH21" s="310"/>
      <c r="BI21" s="310"/>
      <c r="BJ21" s="310"/>
      <c r="BK21" s="90"/>
      <c r="BL21" s="310"/>
      <c r="BM21" s="310"/>
      <c r="BN21" s="310"/>
      <c r="BO21" s="310"/>
      <c r="BP21" s="310"/>
      <c r="BQ21" s="310"/>
      <c r="BR21" s="245"/>
      <c r="BS21" s="245"/>
      <c r="BT21" s="245"/>
      <c r="BU21" s="245"/>
      <c r="BV21" s="245"/>
      <c r="BW21" s="245"/>
      <c r="BX21" s="245"/>
      <c r="BY21" s="245"/>
      <c r="BZ21" s="245"/>
      <c r="CA21" s="245"/>
      <c r="CB21" s="245"/>
      <c r="CC21" s="252"/>
      <c r="CD21" s="159"/>
      <c r="CE21" s="138"/>
      <c r="CF21" s="66"/>
      <c r="CG21" s="265"/>
    </row>
    <row r="22" spans="1:118" s="27" customFormat="1" ht="18.75" customHeight="1">
      <c r="A22" s="261"/>
      <c r="B22" s="72"/>
      <c r="C22" s="159"/>
      <c r="D22" s="186" t="s">
        <v>245</v>
      </c>
      <c r="E22" s="310"/>
      <c r="F22" s="310"/>
      <c r="G22" s="310"/>
      <c r="H22" s="310"/>
      <c r="I22" s="310"/>
      <c r="J22" s="95"/>
      <c r="K22" s="95"/>
      <c r="L22" s="311"/>
      <c r="M22" s="196"/>
      <c r="N22" s="194" t="s">
        <v>255</v>
      </c>
      <c r="O22" s="245"/>
      <c r="P22" s="245"/>
      <c r="Q22" s="245"/>
      <c r="R22" s="245"/>
      <c r="S22" s="245"/>
      <c r="T22" s="245"/>
      <c r="U22" s="245"/>
      <c r="V22" s="245"/>
      <c r="W22" s="245"/>
      <c r="X22" s="245"/>
      <c r="Y22" s="245"/>
      <c r="Z22" s="245"/>
      <c r="AA22" s="245"/>
      <c r="AB22" s="245"/>
      <c r="AC22" s="245"/>
      <c r="AD22" s="245"/>
      <c r="AE22" s="245"/>
      <c r="AF22" s="245"/>
      <c r="AG22" s="245"/>
      <c r="AH22" s="245"/>
      <c r="AI22" s="245"/>
      <c r="AJ22" s="245"/>
      <c r="AK22" s="245"/>
      <c r="AL22" s="253"/>
      <c r="AM22" s="245"/>
      <c r="AN22" s="245"/>
      <c r="AO22" s="245"/>
      <c r="AP22" s="245"/>
      <c r="AQ22" s="310"/>
      <c r="AR22" s="310"/>
      <c r="AS22" s="310"/>
      <c r="AT22" s="310"/>
      <c r="AU22" s="310"/>
      <c r="AV22" s="310"/>
      <c r="AW22" s="310"/>
      <c r="AX22" s="310"/>
      <c r="AY22" s="310"/>
      <c r="AZ22" s="310"/>
      <c r="BA22" s="310"/>
      <c r="BB22" s="310"/>
      <c r="BC22" s="310"/>
      <c r="BD22" s="310"/>
      <c r="BE22" s="310"/>
      <c r="BF22" s="310"/>
      <c r="BG22" s="310"/>
      <c r="BH22" s="310"/>
      <c r="BI22" s="310"/>
      <c r="BJ22" s="310"/>
      <c r="BK22" s="90"/>
      <c r="BL22" s="310"/>
      <c r="BM22" s="310"/>
      <c r="BN22" s="310"/>
      <c r="BO22" s="310"/>
      <c r="BP22" s="310"/>
      <c r="BQ22" s="310"/>
      <c r="BR22" s="245"/>
      <c r="BS22" s="245"/>
      <c r="BT22" s="245"/>
      <c r="BU22" s="245"/>
      <c r="BV22" s="245"/>
      <c r="BW22" s="245"/>
      <c r="BX22" s="245"/>
      <c r="BY22" s="245"/>
      <c r="BZ22" s="245"/>
      <c r="CA22" s="245"/>
      <c r="CB22" s="245"/>
      <c r="CC22" s="252"/>
      <c r="CD22" s="159"/>
      <c r="CE22" s="138"/>
      <c r="CF22" s="66"/>
      <c r="CG22" s="265"/>
    </row>
    <row r="23" spans="1:118" s="27" customFormat="1" ht="19.5" customHeight="1">
      <c r="A23" s="261"/>
      <c r="B23" s="72"/>
      <c r="C23" s="159"/>
      <c r="D23" s="455"/>
      <c r="E23" s="456"/>
      <c r="F23" s="456"/>
      <c r="G23" s="456"/>
      <c r="H23" s="456"/>
      <c r="I23" s="456"/>
      <c r="J23" s="456"/>
      <c r="K23" s="456"/>
      <c r="L23" s="456"/>
      <c r="M23" s="456"/>
      <c r="N23" s="456"/>
      <c r="O23" s="456"/>
      <c r="P23" s="456"/>
      <c r="Q23" s="456"/>
      <c r="R23" s="456"/>
      <c r="S23" s="456"/>
      <c r="T23" s="456"/>
      <c r="U23" s="456"/>
      <c r="V23" s="456"/>
      <c r="W23" s="456"/>
      <c r="X23" s="456"/>
      <c r="Y23" s="456"/>
      <c r="Z23" s="456"/>
      <c r="AA23" s="456"/>
      <c r="AB23" s="456"/>
      <c r="AC23" s="456"/>
      <c r="AD23" s="456"/>
      <c r="AE23" s="456"/>
      <c r="AF23" s="456"/>
      <c r="AG23" s="456"/>
      <c r="AH23" s="456"/>
      <c r="AI23" s="456"/>
      <c r="AJ23" s="456"/>
      <c r="AK23" s="456"/>
      <c r="AL23" s="456"/>
      <c r="AM23" s="456"/>
      <c r="AN23" s="456"/>
      <c r="AO23" s="456"/>
      <c r="AP23" s="456"/>
      <c r="AQ23" s="456"/>
      <c r="AR23" s="456"/>
      <c r="AS23" s="456"/>
      <c r="AT23" s="456"/>
      <c r="AU23" s="456"/>
      <c r="AV23" s="456"/>
      <c r="AW23" s="456"/>
      <c r="AX23" s="456"/>
      <c r="AY23" s="456"/>
      <c r="AZ23" s="456"/>
      <c r="BA23" s="456"/>
      <c r="BB23" s="456"/>
      <c r="BC23" s="456"/>
      <c r="BD23" s="456"/>
      <c r="BE23" s="456"/>
      <c r="BF23" s="456"/>
      <c r="BG23" s="456"/>
      <c r="BH23" s="456"/>
      <c r="BI23" s="456"/>
      <c r="BJ23" s="456"/>
      <c r="BK23" s="456"/>
      <c r="BL23" s="456"/>
      <c r="BM23" s="456"/>
      <c r="BN23" s="456"/>
      <c r="BO23" s="456"/>
      <c r="BP23" s="456"/>
      <c r="BQ23" s="456"/>
      <c r="BR23" s="456"/>
      <c r="BS23" s="456"/>
      <c r="BT23" s="456"/>
      <c r="BU23" s="456"/>
      <c r="BV23" s="456"/>
      <c r="BW23" s="456"/>
      <c r="BX23" s="456"/>
      <c r="BY23" s="456"/>
      <c r="BZ23" s="456"/>
      <c r="CA23" s="456"/>
      <c r="CB23" s="456"/>
      <c r="CC23" s="457"/>
      <c r="CD23" s="159"/>
      <c r="CE23" s="138"/>
      <c r="CF23" s="66"/>
      <c r="CG23" s="265"/>
    </row>
    <row r="24" spans="1:118" s="27" customFormat="1" ht="18.75" customHeight="1">
      <c r="A24" s="261"/>
      <c r="B24" s="72"/>
      <c r="C24" s="138"/>
      <c r="D24" s="319"/>
      <c r="E24" s="319"/>
      <c r="F24" s="319"/>
      <c r="G24" s="319"/>
      <c r="H24" s="319"/>
      <c r="I24" s="130"/>
      <c r="J24" s="130"/>
      <c r="K24" s="130"/>
      <c r="L24" s="130"/>
      <c r="M24" s="130"/>
      <c r="N24" s="130"/>
      <c r="O24" s="130"/>
      <c r="P24" s="130"/>
      <c r="Q24" s="130"/>
      <c r="R24" s="130"/>
      <c r="S24" s="130"/>
      <c r="T24" s="130"/>
      <c r="U24" s="130"/>
      <c r="V24" s="130"/>
      <c r="W24" s="316"/>
      <c r="X24" s="316"/>
      <c r="Y24" s="316"/>
      <c r="Z24" s="316"/>
      <c r="AA24" s="316"/>
      <c r="AB24" s="316"/>
      <c r="AC24" s="316"/>
      <c r="AD24" s="316"/>
      <c r="AE24" s="316"/>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41"/>
      <c r="BI24" s="130"/>
      <c r="BJ24" s="130"/>
      <c r="BK24" s="130"/>
      <c r="BL24" s="130"/>
      <c r="BM24" s="130"/>
      <c r="BN24" s="130"/>
      <c r="BO24" s="130"/>
      <c r="BP24" s="130"/>
      <c r="BQ24" s="130"/>
      <c r="BR24" s="130"/>
      <c r="BS24" s="130"/>
      <c r="BT24" s="130"/>
      <c r="BU24" s="130"/>
      <c r="BV24" s="130"/>
      <c r="BW24" s="130"/>
      <c r="BX24" s="130"/>
      <c r="BY24" s="130"/>
      <c r="BZ24" s="130"/>
      <c r="CA24" s="130"/>
      <c r="CB24" s="130"/>
      <c r="CC24" s="130"/>
      <c r="CD24" s="159"/>
      <c r="CE24" s="138"/>
      <c r="CF24" s="66"/>
      <c r="CG24" s="265"/>
    </row>
    <row r="25" spans="1:118" s="27" customFormat="1" ht="18.75" customHeight="1">
      <c r="A25" s="261"/>
      <c r="B25" s="72"/>
      <c r="C25" s="159"/>
      <c r="D25" s="220"/>
      <c r="E25" s="220"/>
      <c r="F25" s="220"/>
      <c r="G25" s="221"/>
      <c r="H25" s="221"/>
      <c r="I25" s="221"/>
      <c r="J25" s="221"/>
      <c r="K25" s="221"/>
      <c r="L25" s="221"/>
      <c r="M25" s="221"/>
      <c r="N25" s="221"/>
      <c r="O25" s="221"/>
      <c r="P25" s="221"/>
      <c r="Q25" s="221"/>
      <c r="R25" s="221"/>
      <c r="S25" s="221"/>
      <c r="T25" s="222"/>
      <c r="U25" s="222"/>
      <c r="V25" s="221"/>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2"/>
      <c r="AV25" s="222"/>
      <c r="AW25" s="222"/>
      <c r="AX25" s="221"/>
      <c r="AY25" s="221"/>
      <c r="AZ25" s="221"/>
      <c r="BA25" s="221"/>
      <c r="BB25" s="221"/>
      <c r="BC25" s="221"/>
      <c r="BD25" s="221"/>
      <c r="BE25" s="221"/>
      <c r="BF25" s="221"/>
      <c r="BG25" s="221"/>
      <c r="BH25" s="221"/>
      <c r="BI25" s="221"/>
      <c r="BJ25" s="221"/>
      <c r="BK25" s="221"/>
      <c r="BL25" s="222"/>
      <c r="BM25" s="221"/>
      <c r="BN25" s="221"/>
      <c r="BO25" s="221"/>
      <c r="BP25" s="221"/>
      <c r="BQ25" s="221"/>
      <c r="BR25" s="221"/>
      <c r="BS25" s="221"/>
      <c r="BT25" s="221"/>
      <c r="BU25" s="221"/>
      <c r="BV25" s="221"/>
      <c r="BW25" s="221"/>
      <c r="BX25" s="221"/>
      <c r="BY25" s="221"/>
      <c r="BZ25" s="221"/>
      <c r="CA25" s="221"/>
      <c r="CB25" s="221"/>
      <c r="CC25" s="320"/>
      <c r="CD25" s="159"/>
      <c r="CE25" s="138"/>
      <c r="CF25" s="66"/>
      <c r="CG25" s="265"/>
    </row>
    <row r="26" spans="1:118" s="27" customFormat="1" ht="18.75" customHeight="1">
      <c r="A26" s="261"/>
      <c r="B26" s="72"/>
      <c r="C26" s="159"/>
      <c r="D26" s="321"/>
      <c r="E26" s="321"/>
      <c r="F26" s="321"/>
      <c r="G26" s="322"/>
      <c r="H26" s="225"/>
      <c r="I26" s="225"/>
      <c r="J26" s="225"/>
      <c r="K26" s="225"/>
      <c r="L26" s="225"/>
      <c r="M26" s="322"/>
      <c r="N26" s="225"/>
      <c r="O26" s="321"/>
      <c r="P26" s="225"/>
      <c r="Q26" s="225"/>
      <c r="R26" s="225"/>
      <c r="S26" s="225"/>
      <c r="T26" s="322"/>
      <c r="U26" s="322"/>
      <c r="V26" s="225"/>
      <c r="W26" s="225"/>
      <c r="X26" s="322"/>
      <c r="Y26" s="225"/>
      <c r="Z26" s="225"/>
      <c r="AA26" s="225"/>
      <c r="AB26" s="225"/>
      <c r="AC26" s="322"/>
      <c r="AD26" s="322"/>
      <c r="AE26" s="225"/>
      <c r="AF26" s="322"/>
      <c r="AG26" s="322"/>
      <c r="AH26" s="321"/>
      <c r="AI26" s="225"/>
      <c r="AJ26" s="321"/>
      <c r="AK26" s="321"/>
      <c r="AL26" s="225"/>
      <c r="AM26" s="225"/>
      <c r="AN26" s="225"/>
      <c r="AO26" s="225"/>
      <c r="AP26" s="225"/>
      <c r="AQ26" s="225"/>
      <c r="AR26" s="225"/>
      <c r="AS26" s="225"/>
      <c r="AT26" s="225"/>
      <c r="AU26" s="225"/>
      <c r="AV26" s="322"/>
      <c r="AW26" s="322"/>
      <c r="AX26" s="225"/>
      <c r="AY26" s="225"/>
      <c r="AZ26" s="225"/>
      <c r="BA26" s="322"/>
      <c r="BB26" s="225"/>
      <c r="BC26" s="322"/>
      <c r="BD26" s="225"/>
      <c r="BE26" s="225"/>
      <c r="BF26" s="322"/>
      <c r="BG26" s="225"/>
      <c r="BH26" s="321"/>
      <c r="BI26" s="323"/>
      <c r="BJ26" s="225"/>
      <c r="BK26" s="225"/>
      <c r="BL26" s="225"/>
      <c r="BM26" s="225"/>
      <c r="BN26" s="225"/>
      <c r="BO26" s="322"/>
      <c r="BP26" s="322"/>
      <c r="BQ26" s="225"/>
      <c r="BR26" s="225"/>
      <c r="BS26" s="225"/>
      <c r="BT26" s="324"/>
      <c r="BU26" s="324"/>
      <c r="BV26" s="325"/>
      <c r="BW26" s="324"/>
      <c r="BX26" s="324"/>
      <c r="BY26" s="324"/>
      <c r="BZ26" s="324"/>
      <c r="CA26" s="324"/>
      <c r="CB26" s="324"/>
      <c r="CC26" s="324"/>
      <c r="CD26" s="138"/>
      <c r="CE26" s="138"/>
      <c r="CF26" s="66"/>
      <c r="CG26" s="265"/>
    </row>
    <row r="27" spans="1:118" s="27" customFormat="1" ht="18.75" customHeight="1">
      <c r="A27" s="261"/>
      <c r="B27" s="72"/>
      <c r="C27" s="138"/>
      <c r="D27" s="220"/>
      <c r="E27" s="220"/>
      <c r="F27" s="220"/>
      <c r="G27" s="222"/>
      <c r="H27" s="221"/>
      <c r="I27" s="221"/>
      <c r="J27" s="221"/>
      <c r="K27" s="221"/>
      <c r="L27" s="221"/>
      <c r="M27" s="222"/>
      <c r="N27" s="221"/>
      <c r="O27" s="220"/>
      <c r="P27" s="221"/>
      <c r="Q27" s="221"/>
      <c r="R27" s="221"/>
      <c r="S27" s="221"/>
      <c r="T27" s="222"/>
      <c r="U27" s="222"/>
      <c r="V27" s="221"/>
      <c r="W27" s="221"/>
      <c r="X27" s="222"/>
      <c r="Y27" s="221"/>
      <c r="Z27" s="221"/>
      <c r="AA27" s="221"/>
      <c r="AB27" s="221"/>
      <c r="AC27" s="222"/>
      <c r="AD27" s="222"/>
      <c r="AE27" s="221"/>
      <c r="AF27" s="222"/>
      <c r="AG27" s="222"/>
      <c r="AH27" s="221"/>
      <c r="AI27" s="221"/>
      <c r="AJ27" s="220"/>
      <c r="AK27" s="220"/>
      <c r="AL27" s="221"/>
      <c r="AM27" s="221"/>
      <c r="AN27" s="221"/>
      <c r="AO27" s="221"/>
      <c r="AP27" s="221"/>
      <c r="AQ27" s="221"/>
      <c r="AR27" s="221"/>
      <c r="AS27" s="221"/>
      <c r="AT27" s="221"/>
      <c r="AU27" s="221"/>
      <c r="AV27" s="222"/>
      <c r="AW27" s="222"/>
      <c r="AX27" s="221"/>
      <c r="AY27" s="221"/>
      <c r="AZ27" s="221"/>
      <c r="BA27" s="222"/>
      <c r="BB27" s="221"/>
      <c r="BC27" s="222"/>
      <c r="BD27" s="221"/>
      <c r="BE27" s="221"/>
      <c r="BF27" s="222"/>
      <c r="BG27" s="221"/>
      <c r="BH27" s="220"/>
      <c r="BI27" s="326"/>
      <c r="BJ27" s="221"/>
      <c r="BK27" s="221"/>
      <c r="BL27" s="221"/>
      <c r="BM27" s="221"/>
      <c r="BN27" s="221"/>
      <c r="BO27" s="222"/>
      <c r="BP27" s="222"/>
      <c r="BQ27" s="221"/>
      <c r="BR27" s="221"/>
      <c r="BS27" s="221"/>
      <c r="BT27" s="130"/>
      <c r="BU27" s="130"/>
      <c r="BV27" s="130"/>
      <c r="BW27" s="130"/>
      <c r="BX27" s="130"/>
      <c r="BY27" s="130"/>
      <c r="BZ27" s="130"/>
      <c r="CA27" s="130"/>
      <c r="CB27" s="130"/>
      <c r="CC27" s="130"/>
      <c r="CD27" s="159"/>
      <c r="CE27" s="138"/>
      <c r="CF27" s="66"/>
      <c r="CG27" s="265"/>
    </row>
    <row r="28" spans="1:118" s="27" customFormat="1" ht="18.75" customHeight="1">
      <c r="A28" s="261"/>
      <c r="B28" s="72"/>
      <c r="C28" s="138"/>
      <c r="D28" s="220"/>
      <c r="E28" s="220"/>
      <c r="F28" s="220"/>
      <c r="G28" s="222"/>
      <c r="H28" s="130"/>
      <c r="I28" s="221"/>
      <c r="J28" s="130"/>
      <c r="K28" s="130"/>
      <c r="L28" s="221"/>
      <c r="M28" s="222"/>
      <c r="N28" s="221"/>
      <c r="O28" s="130"/>
      <c r="P28" s="130"/>
      <c r="Q28" s="130"/>
      <c r="R28" s="130"/>
      <c r="S28" s="221"/>
      <c r="T28" s="130"/>
      <c r="U28" s="130"/>
      <c r="V28" s="130"/>
      <c r="W28" s="130"/>
      <c r="X28" s="130"/>
      <c r="Y28" s="221"/>
      <c r="Z28" s="130"/>
      <c r="AA28" s="316"/>
      <c r="AB28" s="221"/>
      <c r="AC28" s="316"/>
      <c r="AD28" s="316"/>
      <c r="AE28" s="316"/>
      <c r="AF28" s="316"/>
      <c r="AG28" s="316"/>
      <c r="AH28" s="221"/>
      <c r="AI28" s="221"/>
      <c r="AJ28" s="220"/>
      <c r="AK28" s="220"/>
      <c r="AL28" s="221"/>
      <c r="AM28" s="221"/>
      <c r="AN28" s="221"/>
      <c r="AO28" s="221"/>
      <c r="AP28" s="221"/>
      <c r="AQ28" s="221"/>
      <c r="AR28" s="221"/>
      <c r="AS28" s="221"/>
      <c r="AT28" s="221"/>
      <c r="AU28" s="221"/>
      <c r="AV28" s="222"/>
      <c r="AW28" s="222"/>
      <c r="AX28" s="221"/>
      <c r="AY28" s="221"/>
      <c r="AZ28" s="221"/>
      <c r="BA28" s="222"/>
      <c r="BB28" s="221"/>
      <c r="BC28" s="222"/>
      <c r="BD28" s="130"/>
      <c r="BE28" s="130"/>
      <c r="BF28" s="130"/>
      <c r="BG28" s="130"/>
      <c r="BH28" s="220"/>
      <c r="BI28" s="130"/>
      <c r="BJ28" s="130"/>
      <c r="BK28" s="130"/>
      <c r="BL28" s="221"/>
      <c r="BM28" s="221"/>
      <c r="BN28" s="221"/>
      <c r="BO28" s="316"/>
      <c r="BP28" s="222"/>
      <c r="BQ28" s="221"/>
      <c r="BR28" s="221"/>
      <c r="BS28" s="221"/>
      <c r="BT28" s="130"/>
      <c r="BU28" s="130"/>
      <c r="BV28" s="130"/>
      <c r="BW28" s="130"/>
      <c r="BX28" s="130"/>
      <c r="BY28" s="130"/>
      <c r="BZ28" s="130"/>
      <c r="CA28" s="130"/>
      <c r="CB28" s="130"/>
      <c r="CC28" s="130"/>
      <c r="CD28" s="159"/>
      <c r="CE28" s="138"/>
      <c r="CF28" s="66"/>
      <c r="CG28" s="265"/>
    </row>
    <row r="29" spans="1:118" s="27" customFormat="1" ht="18.75" customHeight="1">
      <c r="A29" s="261"/>
      <c r="B29" s="72"/>
      <c r="C29" s="159"/>
      <c r="D29" s="327"/>
      <c r="E29" s="327"/>
      <c r="F29" s="327"/>
      <c r="G29" s="327"/>
      <c r="H29" s="327"/>
      <c r="I29" s="327"/>
      <c r="J29" s="327"/>
      <c r="K29" s="327"/>
      <c r="L29" s="327"/>
      <c r="M29" s="327"/>
      <c r="N29" s="327"/>
      <c r="O29" s="327"/>
      <c r="P29" s="327"/>
      <c r="Q29" s="327"/>
      <c r="R29" s="130"/>
      <c r="S29" s="221"/>
      <c r="T29" s="130"/>
      <c r="U29" s="130"/>
      <c r="V29" s="130"/>
      <c r="W29" s="130"/>
      <c r="X29" s="130"/>
      <c r="Y29" s="221"/>
      <c r="Z29" s="130"/>
      <c r="AA29" s="316"/>
      <c r="AB29" s="221"/>
      <c r="AC29" s="316"/>
      <c r="AD29" s="316"/>
      <c r="AE29" s="316"/>
      <c r="AF29" s="316"/>
      <c r="AG29" s="316"/>
      <c r="AH29" s="221"/>
      <c r="AI29" s="328"/>
      <c r="AJ29" s="328"/>
      <c r="AK29" s="328"/>
      <c r="AL29" s="328"/>
      <c r="AM29" s="328"/>
      <c r="AN29" s="328"/>
      <c r="AO29" s="328"/>
      <c r="AP29" s="328"/>
      <c r="AQ29" s="328"/>
      <c r="AR29" s="328"/>
      <c r="AS29" s="328"/>
      <c r="AT29" s="328"/>
      <c r="AU29" s="328"/>
      <c r="AV29" s="328"/>
      <c r="AW29" s="222"/>
      <c r="AX29" s="221"/>
      <c r="AY29" s="221"/>
      <c r="AZ29" s="221"/>
      <c r="BA29" s="222"/>
      <c r="BB29" s="221"/>
      <c r="BC29" s="222"/>
      <c r="BD29" s="130"/>
      <c r="BE29" s="130"/>
      <c r="BF29" s="130"/>
      <c r="BG29" s="130"/>
      <c r="BH29" s="220"/>
      <c r="BI29" s="130"/>
      <c r="BJ29" s="130"/>
      <c r="BK29" s="130"/>
      <c r="BL29" s="328"/>
      <c r="BM29" s="328"/>
      <c r="BN29" s="221"/>
      <c r="BO29" s="316"/>
      <c r="BP29" s="328"/>
      <c r="BQ29" s="328"/>
      <c r="BR29" s="328"/>
      <c r="BS29" s="328"/>
      <c r="BT29" s="130"/>
      <c r="BU29" s="130"/>
      <c r="BV29" s="130"/>
      <c r="BW29" s="130"/>
      <c r="BX29" s="130"/>
      <c r="BY29" s="130"/>
      <c r="BZ29" s="130"/>
      <c r="CA29" s="130"/>
      <c r="CB29" s="130"/>
      <c r="CC29" s="130"/>
      <c r="CD29" s="159"/>
      <c r="CE29" s="138"/>
      <c r="CF29" s="66"/>
      <c r="CG29" s="265"/>
    </row>
    <row r="30" spans="1:118" s="27" customFormat="1" ht="18.75" customHeight="1">
      <c r="A30" s="261"/>
      <c r="B30" s="72"/>
      <c r="C30" s="159"/>
      <c r="D30" s="220"/>
      <c r="E30" s="220"/>
      <c r="F30" s="220"/>
      <c r="G30" s="222"/>
      <c r="H30" s="130"/>
      <c r="I30" s="221"/>
      <c r="J30" s="130"/>
      <c r="K30" s="130"/>
      <c r="L30" s="221"/>
      <c r="M30" s="222"/>
      <c r="N30" s="221"/>
      <c r="O30" s="130"/>
      <c r="P30" s="130"/>
      <c r="Q30" s="130"/>
      <c r="R30" s="130"/>
      <c r="S30" s="221"/>
      <c r="T30" s="130"/>
      <c r="U30" s="130"/>
      <c r="V30" s="130"/>
      <c r="W30" s="130"/>
      <c r="X30" s="130"/>
      <c r="Y30" s="328"/>
      <c r="Z30" s="328"/>
      <c r="AA30" s="328"/>
      <c r="AB30" s="328"/>
      <c r="AC30" s="328"/>
      <c r="AD30" s="328"/>
      <c r="AE30" s="328"/>
      <c r="AF30" s="328"/>
      <c r="AG30" s="316"/>
      <c r="AH30" s="221"/>
      <c r="AI30" s="221"/>
      <c r="AJ30" s="220"/>
      <c r="AK30" s="220"/>
      <c r="AL30" s="221"/>
      <c r="AM30" s="221"/>
      <c r="AN30" s="221"/>
      <c r="AO30" s="221"/>
      <c r="AP30" s="221"/>
      <c r="AQ30" s="221"/>
      <c r="AR30" s="221"/>
      <c r="AS30" s="221"/>
      <c r="AT30" s="221"/>
      <c r="AU30" s="221"/>
      <c r="AV30" s="222"/>
      <c r="AW30" s="222"/>
      <c r="AX30" s="221"/>
      <c r="AY30" s="221"/>
      <c r="AZ30" s="221"/>
      <c r="BA30" s="222"/>
      <c r="BB30" s="221"/>
      <c r="BC30" s="222"/>
      <c r="BD30" s="130"/>
      <c r="BE30" s="130"/>
      <c r="BF30" s="130"/>
      <c r="BG30" s="130"/>
      <c r="BH30" s="220"/>
      <c r="BI30" s="130"/>
      <c r="BJ30" s="130"/>
      <c r="BK30" s="130"/>
      <c r="BL30" s="221"/>
      <c r="BM30" s="221"/>
      <c r="BN30" s="221"/>
      <c r="BO30" s="328"/>
      <c r="BP30" s="222"/>
      <c r="BQ30" s="221"/>
      <c r="BR30" s="221"/>
      <c r="BS30" s="221"/>
      <c r="BT30" s="130"/>
      <c r="BU30" s="130"/>
      <c r="BV30" s="130"/>
      <c r="BW30" s="130"/>
      <c r="BX30" s="130"/>
      <c r="BY30" s="130"/>
      <c r="BZ30" s="130"/>
      <c r="CA30" s="130"/>
      <c r="CB30" s="130"/>
      <c r="CC30" s="130"/>
      <c r="CD30" s="159"/>
      <c r="CE30" s="138"/>
      <c r="CF30" s="66"/>
      <c r="CG30" s="265"/>
    </row>
    <row r="31" spans="1:118" s="27" customFormat="1" ht="18.75" customHeight="1">
      <c r="A31" s="261"/>
      <c r="B31" s="72"/>
      <c r="C31" s="138"/>
      <c r="D31" s="220"/>
      <c r="E31" s="220"/>
      <c r="F31" s="220"/>
      <c r="G31" s="222"/>
      <c r="H31" s="130"/>
      <c r="I31" s="221"/>
      <c r="J31" s="130"/>
      <c r="K31" s="130"/>
      <c r="L31" s="221"/>
      <c r="M31" s="222"/>
      <c r="N31" s="221"/>
      <c r="O31" s="130"/>
      <c r="P31" s="130"/>
      <c r="Q31" s="130"/>
      <c r="R31" s="130"/>
      <c r="S31" s="221"/>
      <c r="T31" s="130"/>
      <c r="U31" s="130"/>
      <c r="V31" s="130"/>
      <c r="W31" s="130"/>
      <c r="X31" s="130"/>
      <c r="Y31" s="221"/>
      <c r="Z31" s="130"/>
      <c r="AA31" s="316"/>
      <c r="AB31" s="221"/>
      <c r="AC31" s="316"/>
      <c r="AD31" s="316"/>
      <c r="AE31" s="316"/>
      <c r="AF31" s="316"/>
      <c r="AG31" s="316"/>
      <c r="AH31" s="328"/>
      <c r="AI31" s="328"/>
      <c r="AJ31" s="328"/>
      <c r="AK31" s="328"/>
      <c r="AL31" s="328"/>
      <c r="AM31" s="328"/>
      <c r="AN31" s="328"/>
      <c r="AO31" s="328"/>
      <c r="AP31" s="328"/>
      <c r="AQ31" s="328"/>
      <c r="AR31" s="328"/>
      <c r="AS31" s="328"/>
      <c r="AT31" s="328"/>
      <c r="AU31" s="328"/>
      <c r="AV31" s="328"/>
      <c r="AW31" s="222"/>
      <c r="AX31" s="221"/>
      <c r="AY31" s="221"/>
      <c r="AZ31" s="221"/>
      <c r="BA31" s="222"/>
      <c r="BB31" s="221"/>
      <c r="BC31" s="222"/>
      <c r="BD31" s="130"/>
      <c r="BE31" s="130"/>
      <c r="BF31" s="130"/>
      <c r="BG31" s="130"/>
      <c r="BH31" s="220"/>
      <c r="BI31" s="130"/>
      <c r="BJ31" s="130"/>
      <c r="BK31" s="130"/>
      <c r="BL31" s="328"/>
      <c r="BM31" s="328"/>
      <c r="BN31" s="221"/>
      <c r="BO31" s="316"/>
      <c r="BP31" s="328"/>
      <c r="BQ31" s="328"/>
      <c r="BR31" s="328"/>
      <c r="BS31" s="328"/>
      <c r="BT31" s="130"/>
      <c r="BU31" s="130"/>
      <c r="BV31" s="130"/>
      <c r="BW31" s="130"/>
      <c r="BX31" s="130"/>
      <c r="BY31" s="130"/>
      <c r="BZ31" s="130"/>
      <c r="CA31" s="130"/>
      <c r="CB31" s="130"/>
      <c r="CC31" s="130"/>
      <c r="CD31" s="138"/>
      <c r="CE31" s="138"/>
      <c r="CF31" s="66"/>
      <c r="CG31" s="265"/>
    </row>
    <row r="32" spans="1:118" s="27" customFormat="1" ht="18.75" customHeight="1">
      <c r="A32" s="261"/>
      <c r="B32" s="72"/>
      <c r="C32" s="138"/>
      <c r="D32" s="220"/>
      <c r="E32" s="220"/>
      <c r="F32" s="220"/>
      <c r="G32" s="222"/>
      <c r="H32" s="130"/>
      <c r="I32" s="221"/>
      <c r="J32" s="130"/>
      <c r="K32" s="130"/>
      <c r="L32" s="221"/>
      <c r="M32" s="222"/>
      <c r="N32" s="221"/>
      <c r="O32" s="130"/>
      <c r="P32" s="130"/>
      <c r="Q32" s="130"/>
      <c r="R32" s="130"/>
      <c r="S32" s="221"/>
      <c r="T32" s="130"/>
      <c r="U32" s="130"/>
      <c r="V32" s="130"/>
      <c r="W32" s="130"/>
      <c r="X32" s="130"/>
      <c r="Y32" s="221"/>
      <c r="Z32" s="130"/>
      <c r="AA32" s="316"/>
      <c r="AB32" s="221"/>
      <c r="AC32" s="316"/>
      <c r="AD32" s="316"/>
      <c r="AE32" s="316"/>
      <c r="AF32" s="316"/>
      <c r="AG32" s="316"/>
      <c r="AH32" s="221"/>
      <c r="AI32" s="221"/>
      <c r="AJ32" s="220"/>
      <c r="AK32" s="220"/>
      <c r="AL32" s="221"/>
      <c r="AM32" s="221"/>
      <c r="AN32" s="221"/>
      <c r="AO32" s="221"/>
      <c r="AP32" s="221"/>
      <c r="AQ32" s="221"/>
      <c r="AR32" s="221"/>
      <c r="AS32" s="221"/>
      <c r="AT32" s="221"/>
      <c r="AU32" s="221"/>
      <c r="AV32" s="222"/>
      <c r="AW32" s="222"/>
      <c r="AX32" s="221"/>
      <c r="AY32" s="221"/>
      <c r="AZ32" s="221"/>
      <c r="BA32" s="222"/>
      <c r="BB32" s="221"/>
      <c r="BC32" s="222"/>
      <c r="BD32" s="130"/>
      <c r="BE32" s="130"/>
      <c r="BF32" s="130"/>
      <c r="BG32" s="130"/>
      <c r="BH32" s="220"/>
      <c r="BI32" s="130"/>
      <c r="BJ32" s="130"/>
      <c r="BK32" s="130"/>
      <c r="BL32" s="221"/>
      <c r="BM32" s="221"/>
      <c r="BN32" s="221"/>
      <c r="BO32" s="316"/>
      <c r="BP32" s="222"/>
      <c r="BQ32" s="221"/>
      <c r="BR32" s="221"/>
      <c r="BS32" s="221"/>
      <c r="BT32" s="130"/>
      <c r="BU32" s="130"/>
      <c r="BV32" s="130"/>
      <c r="BW32" s="130"/>
      <c r="BX32" s="130"/>
      <c r="BY32" s="130"/>
      <c r="BZ32" s="130"/>
      <c r="CA32" s="130"/>
      <c r="CB32" s="130"/>
      <c r="CC32" s="130"/>
      <c r="CD32" s="159"/>
      <c r="CE32" s="138"/>
      <c r="CF32" s="66"/>
      <c r="CG32" s="265"/>
    </row>
    <row r="33" spans="1:85" s="27" customFormat="1" ht="18.75" customHeight="1">
      <c r="A33" s="261"/>
      <c r="B33" s="72"/>
      <c r="C33" s="138"/>
      <c r="D33" s="220"/>
      <c r="E33" s="220"/>
      <c r="F33" s="220"/>
      <c r="G33" s="222"/>
      <c r="H33" s="130"/>
      <c r="I33" s="221"/>
      <c r="J33" s="130"/>
      <c r="K33" s="130"/>
      <c r="L33" s="221"/>
      <c r="M33" s="222"/>
      <c r="N33" s="221"/>
      <c r="O33" s="130"/>
      <c r="P33" s="130"/>
      <c r="Q33" s="130"/>
      <c r="R33" s="130"/>
      <c r="S33" s="221"/>
      <c r="T33" s="130"/>
      <c r="U33" s="130"/>
      <c r="V33" s="130"/>
      <c r="W33" s="130"/>
      <c r="X33" s="130"/>
      <c r="Y33" s="221"/>
      <c r="Z33" s="130"/>
      <c r="AA33" s="316"/>
      <c r="AB33" s="221"/>
      <c r="AC33" s="316"/>
      <c r="AD33" s="316"/>
      <c r="AE33" s="316"/>
      <c r="AF33" s="316"/>
      <c r="AG33" s="316"/>
      <c r="AH33" s="221"/>
      <c r="AI33" s="221"/>
      <c r="AJ33" s="220"/>
      <c r="AK33" s="220"/>
      <c r="AL33" s="221"/>
      <c r="AM33" s="221"/>
      <c r="AN33" s="221"/>
      <c r="AO33" s="221"/>
      <c r="AP33" s="221"/>
      <c r="AQ33" s="221"/>
      <c r="AR33" s="221"/>
      <c r="AS33" s="221"/>
      <c r="AT33" s="221"/>
      <c r="AU33" s="221"/>
      <c r="AV33" s="222"/>
      <c r="AW33" s="222"/>
      <c r="AX33" s="221"/>
      <c r="AY33" s="221"/>
      <c r="AZ33" s="221"/>
      <c r="BA33" s="222"/>
      <c r="BB33" s="221"/>
      <c r="BC33" s="222"/>
      <c r="BD33" s="130"/>
      <c r="BE33" s="130"/>
      <c r="BF33" s="130"/>
      <c r="BG33" s="130"/>
      <c r="BH33" s="220"/>
      <c r="BI33" s="130"/>
      <c r="BJ33" s="130"/>
      <c r="BK33" s="130"/>
      <c r="BL33" s="221"/>
      <c r="BM33" s="221"/>
      <c r="BN33" s="221"/>
      <c r="BO33" s="316"/>
      <c r="BP33" s="222"/>
      <c r="BQ33" s="221"/>
      <c r="BR33" s="221"/>
      <c r="BS33" s="221"/>
      <c r="BT33" s="130"/>
      <c r="BU33" s="130"/>
      <c r="BV33" s="130"/>
      <c r="BW33" s="130"/>
      <c r="BX33" s="130"/>
      <c r="BY33" s="130"/>
      <c r="BZ33" s="130"/>
      <c r="CA33" s="130"/>
      <c r="CB33" s="130"/>
      <c r="CC33" s="130"/>
      <c r="CD33" s="138"/>
      <c r="CE33" s="138"/>
      <c r="CF33" s="66"/>
      <c r="CG33" s="265"/>
    </row>
    <row r="34" spans="1:85" s="27" customFormat="1" ht="18.75" customHeight="1">
      <c r="A34" s="261"/>
      <c r="B34" s="72"/>
      <c r="C34" s="138"/>
      <c r="D34" s="220"/>
      <c r="E34" s="220"/>
      <c r="F34" s="220"/>
      <c r="G34" s="222"/>
      <c r="H34" s="130"/>
      <c r="I34" s="221"/>
      <c r="J34" s="130"/>
      <c r="K34" s="130"/>
      <c r="L34" s="221"/>
      <c r="M34" s="222"/>
      <c r="N34" s="221"/>
      <c r="O34" s="130"/>
      <c r="P34" s="130"/>
      <c r="Q34" s="130"/>
      <c r="R34" s="130"/>
      <c r="S34" s="221"/>
      <c r="T34" s="130"/>
      <c r="U34" s="130"/>
      <c r="V34" s="130"/>
      <c r="W34" s="130"/>
      <c r="X34" s="130"/>
      <c r="Y34" s="221"/>
      <c r="Z34" s="130"/>
      <c r="AA34" s="316"/>
      <c r="AB34" s="221"/>
      <c r="AC34" s="316"/>
      <c r="AD34" s="316"/>
      <c r="AE34" s="316"/>
      <c r="AF34" s="316"/>
      <c r="AG34" s="316"/>
      <c r="AH34" s="221"/>
      <c r="AI34" s="221"/>
      <c r="AJ34" s="220"/>
      <c r="AK34" s="220"/>
      <c r="AL34" s="221"/>
      <c r="AM34" s="221"/>
      <c r="AN34" s="221"/>
      <c r="AO34" s="221"/>
      <c r="AP34" s="221"/>
      <c r="AQ34" s="221"/>
      <c r="AR34" s="221"/>
      <c r="AS34" s="221"/>
      <c r="AT34" s="221"/>
      <c r="AU34" s="221"/>
      <c r="AV34" s="222"/>
      <c r="AW34" s="222"/>
      <c r="AX34" s="221"/>
      <c r="AY34" s="221"/>
      <c r="AZ34" s="221"/>
      <c r="BA34" s="222"/>
      <c r="BB34" s="221"/>
      <c r="BC34" s="222"/>
      <c r="BD34" s="130"/>
      <c r="BE34" s="130"/>
      <c r="BF34" s="130"/>
      <c r="BG34" s="130"/>
      <c r="BH34" s="220"/>
      <c r="BI34" s="130"/>
      <c r="BJ34" s="130"/>
      <c r="BK34" s="130"/>
      <c r="BL34" s="221"/>
      <c r="BM34" s="221"/>
      <c r="BN34" s="221"/>
      <c r="BO34" s="316"/>
      <c r="BP34" s="222"/>
      <c r="BQ34" s="221"/>
      <c r="BR34" s="221"/>
      <c r="BS34" s="221"/>
      <c r="BT34" s="130"/>
      <c r="BU34" s="130"/>
      <c r="BV34" s="130"/>
      <c r="BW34" s="130"/>
      <c r="BX34" s="130"/>
      <c r="BY34" s="130"/>
      <c r="BZ34" s="130"/>
      <c r="CA34" s="130"/>
      <c r="CB34" s="130"/>
      <c r="CC34" s="130"/>
      <c r="CD34" s="138"/>
      <c r="CE34" s="138"/>
      <c r="CF34" s="66"/>
      <c r="CG34" s="265"/>
    </row>
    <row r="35" spans="1:85" s="27" customFormat="1" ht="18.75" customHeight="1">
      <c r="A35" s="261"/>
      <c r="B35" s="72"/>
      <c r="C35" s="159"/>
      <c r="D35" s="220"/>
      <c r="E35" s="220"/>
      <c r="F35" s="220"/>
      <c r="G35" s="222"/>
      <c r="H35" s="130"/>
      <c r="I35" s="221"/>
      <c r="J35" s="130"/>
      <c r="K35" s="130"/>
      <c r="L35" s="221"/>
      <c r="M35" s="222"/>
      <c r="N35" s="221"/>
      <c r="O35" s="130"/>
      <c r="P35" s="130"/>
      <c r="Q35" s="130"/>
      <c r="R35" s="130"/>
      <c r="S35" s="221"/>
      <c r="T35" s="130"/>
      <c r="U35" s="130"/>
      <c r="V35" s="130"/>
      <c r="W35" s="130"/>
      <c r="X35" s="130"/>
      <c r="Y35" s="221"/>
      <c r="Z35" s="130"/>
      <c r="AA35" s="316"/>
      <c r="AB35" s="221"/>
      <c r="AC35" s="316"/>
      <c r="AD35" s="316"/>
      <c r="AE35" s="316"/>
      <c r="AF35" s="316"/>
      <c r="AG35" s="316"/>
      <c r="AH35" s="221"/>
      <c r="AI35" s="221"/>
      <c r="AJ35" s="220"/>
      <c r="AK35" s="220"/>
      <c r="AL35" s="221"/>
      <c r="AM35" s="221"/>
      <c r="AN35" s="221"/>
      <c r="AO35" s="221"/>
      <c r="AP35" s="221"/>
      <c r="AQ35" s="221"/>
      <c r="AR35" s="221"/>
      <c r="AS35" s="221"/>
      <c r="AT35" s="221"/>
      <c r="AU35" s="221"/>
      <c r="AV35" s="222"/>
      <c r="AW35" s="222"/>
      <c r="AX35" s="221"/>
      <c r="AY35" s="221"/>
      <c r="AZ35" s="221"/>
      <c r="BA35" s="222"/>
      <c r="BB35" s="221"/>
      <c r="BC35" s="222"/>
      <c r="BD35" s="130"/>
      <c r="BE35" s="130"/>
      <c r="BF35" s="130"/>
      <c r="BG35" s="130"/>
      <c r="BH35" s="220"/>
      <c r="BI35" s="130"/>
      <c r="BJ35" s="130"/>
      <c r="BK35" s="130"/>
      <c r="BL35" s="221"/>
      <c r="BM35" s="221"/>
      <c r="BN35" s="221"/>
      <c r="BO35" s="316"/>
      <c r="BP35" s="222"/>
      <c r="BQ35" s="221"/>
      <c r="BR35" s="221"/>
      <c r="BS35" s="221"/>
      <c r="BT35" s="130"/>
      <c r="BU35" s="130"/>
      <c r="BV35" s="130"/>
      <c r="BW35" s="130"/>
      <c r="BX35" s="130"/>
      <c r="BY35" s="130"/>
      <c r="BZ35" s="130"/>
      <c r="CA35" s="130"/>
      <c r="CB35" s="130"/>
      <c r="CC35" s="130"/>
      <c r="CD35" s="159"/>
      <c r="CE35" s="138"/>
      <c r="CF35" s="66"/>
      <c r="CG35" s="265"/>
    </row>
    <row r="36" spans="1:85" s="27" customFormat="1" ht="18.75" customHeight="1">
      <c r="A36" s="261"/>
      <c r="B36" s="72"/>
      <c r="C36" s="159"/>
      <c r="D36" s="220"/>
      <c r="E36" s="220"/>
      <c r="F36" s="220"/>
      <c r="G36" s="222"/>
      <c r="H36" s="130"/>
      <c r="I36" s="221"/>
      <c r="J36" s="130"/>
      <c r="K36" s="130"/>
      <c r="L36" s="130"/>
      <c r="M36" s="130"/>
      <c r="N36" s="130"/>
      <c r="O36" s="130"/>
      <c r="P36" s="130"/>
      <c r="Q36" s="130"/>
      <c r="R36" s="130"/>
      <c r="S36" s="221"/>
      <c r="T36" s="130"/>
      <c r="U36" s="130"/>
      <c r="V36" s="130"/>
      <c r="W36" s="130"/>
      <c r="X36" s="130"/>
      <c r="Y36" s="221"/>
      <c r="Z36" s="130"/>
      <c r="AA36" s="316"/>
      <c r="AB36" s="130"/>
      <c r="AC36" s="316"/>
      <c r="AD36" s="316"/>
      <c r="AE36" s="316"/>
      <c r="AF36" s="316"/>
      <c r="AG36" s="316"/>
      <c r="AH36" s="221"/>
      <c r="AI36" s="221"/>
      <c r="AJ36" s="220"/>
      <c r="AK36" s="220"/>
      <c r="AL36" s="221"/>
      <c r="AM36" s="221"/>
      <c r="AN36" s="221"/>
      <c r="AO36" s="221"/>
      <c r="AP36" s="221"/>
      <c r="AQ36" s="221"/>
      <c r="AR36" s="221"/>
      <c r="AS36" s="221"/>
      <c r="AT36" s="221"/>
      <c r="AU36" s="221"/>
      <c r="AV36" s="130"/>
      <c r="AW36" s="130"/>
      <c r="AX36" s="221"/>
      <c r="AY36" s="130"/>
      <c r="AZ36" s="130"/>
      <c r="BA36" s="130"/>
      <c r="BB36" s="221"/>
      <c r="BC36" s="130"/>
      <c r="BD36" s="130"/>
      <c r="BE36" s="130"/>
      <c r="BF36" s="130"/>
      <c r="BG36" s="130"/>
      <c r="BH36" s="220"/>
      <c r="BI36" s="130"/>
      <c r="BJ36" s="130"/>
      <c r="BK36" s="130"/>
      <c r="BL36" s="130"/>
      <c r="BM36" s="130"/>
      <c r="BN36" s="221"/>
      <c r="BO36" s="316"/>
      <c r="BP36" s="130"/>
      <c r="BQ36" s="130"/>
      <c r="BR36" s="130"/>
      <c r="BS36" s="130"/>
      <c r="BT36" s="130"/>
      <c r="BU36" s="130"/>
      <c r="BV36" s="130"/>
      <c r="BW36" s="130"/>
      <c r="BX36" s="130"/>
      <c r="BY36" s="130"/>
      <c r="BZ36" s="130"/>
      <c r="CA36" s="130"/>
      <c r="CB36" s="130"/>
      <c r="CC36" s="130"/>
      <c r="CD36" s="159"/>
      <c r="CE36" s="138"/>
      <c r="CF36" s="66"/>
      <c r="CG36" s="265"/>
    </row>
    <row r="37" spans="1:85" s="27" customFormat="1" ht="18.75" customHeight="1">
      <c r="A37" s="261"/>
      <c r="B37" s="72"/>
      <c r="C37" s="159"/>
      <c r="D37" s="220"/>
      <c r="E37" s="220"/>
      <c r="F37" s="220"/>
      <c r="G37" s="222"/>
      <c r="H37" s="130"/>
      <c r="I37" s="221"/>
      <c r="J37" s="130"/>
      <c r="K37" s="130"/>
      <c r="L37" s="130"/>
      <c r="M37" s="130"/>
      <c r="N37" s="130"/>
      <c r="O37" s="130"/>
      <c r="P37" s="130"/>
      <c r="Q37" s="130"/>
      <c r="R37" s="130"/>
      <c r="S37" s="221"/>
      <c r="T37" s="130"/>
      <c r="U37" s="130"/>
      <c r="V37" s="130"/>
      <c r="W37" s="130"/>
      <c r="X37" s="130"/>
      <c r="Y37" s="221"/>
      <c r="Z37" s="130"/>
      <c r="AA37" s="316"/>
      <c r="AB37" s="130"/>
      <c r="AC37" s="316"/>
      <c r="AD37" s="316"/>
      <c r="AE37" s="316"/>
      <c r="AF37" s="316"/>
      <c r="AG37" s="316"/>
      <c r="AH37" s="221"/>
      <c r="AI37" s="329"/>
      <c r="AJ37" s="223"/>
      <c r="AK37" s="130"/>
      <c r="AL37" s="130"/>
      <c r="AM37" s="130"/>
      <c r="AN37" s="130"/>
      <c r="AO37" s="130"/>
      <c r="AP37" s="130"/>
      <c r="AQ37" s="130"/>
      <c r="AR37" s="130"/>
      <c r="AS37" s="130"/>
      <c r="AT37" s="130"/>
      <c r="AU37" s="130"/>
      <c r="AV37" s="130"/>
      <c r="AW37" s="130"/>
      <c r="AX37" s="221"/>
      <c r="AY37" s="130"/>
      <c r="AZ37" s="130"/>
      <c r="BA37" s="130"/>
      <c r="BB37" s="221"/>
      <c r="BC37" s="130"/>
      <c r="BD37" s="130"/>
      <c r="BE37" s="130"/>
      <c r="BF37" s="130"/>
      <c r="BG37" s="130"/>
      <c r="BH37" s="220"/>
      <c r="BI37" s="130"/>
      <c r="BJ37" s="130"/>
      <c r="BK37" s="130"/>
      <c r="BL37" s="130"/>
      <c r="BM37" s="130"/>
      <c r="BN37" s="221"/>
      <c r="BO37" s="316"/>
      <c r="BP37" s="130"/>
      <c r="BQ37" s="130"/>
      <c r="BR37" s="130"/>
      <c r="BS37" s="130"/>
      <c r="BT37" s="130"/>
      <c r="BU37" s="130"/>
      <c r="BV37" s="130"/>
      <c r="BW37" s="130"/>
      <c r="BX37" s="130"/>
      <c r="BY37" s="130"/>
      <c r="BZ37" s="130"/>
      <c r="CA37" s="130"/>
      <c r="CB37" s="130"/>
      <c r="CC37" s="130"/>
      <c r="CD37" s="159"/>
      <c r="CE37" s="138"/>
      <c r="CF37" s="66"/>
      <c r="CG37" s="265"/>
    </row>
    <row r="38" spans="1:85" s="27" customFormat="1" ht="18.75" customHeight="1">
      <c r="A38" s="261"/>
      <c r="B38" s="72"/>
      <c r="C38" s="159"/>
      <c r="D38" s="220"/>
      <c r="E38" s="220"/>
      <c r="F38" s="220"/>
      <c r="G38" s="222"/>
      <c r="H38" s="130"/>
      <c r="I38" s="221"/>
      <c r="J38" s="130"/>
      <c r="K38" s="130"/>
      <c r="L38" s="130"/>
      <c r="M38" s="130"/>
      <c r="N38" s="130"/>
      <c r="O38" s="130"/>
      <c r="P38" s="130"/>
      <c r="Q38" s="130"/>
      <c r="R38" s="130"/>
      <c r="S38" s="221"/>
      <c r="T38" s="130"/>
      <c r="U38" s="130"/>
      <c r="V38" s="130"/>
      <c r="W38" s="130"/>
      <c r="X38" s="130"/>
      <c r="Y38" s="221"/>
      <c r="Z38" s="130"/>
      <c r="AA38" s="316"/>
      <c r="AB38" s="130"/>
      <c r="AC38" s="316"/>
      <c r="AD38" s="316"/>
      <c r="AE38" s="316"/>
      <c r="AF38" s="316"/>
      <c r="AG38" s="316"/>
      <c r="AH38" s="221"/>
      <c r="AI38" s="329"/>
      <c r="AJ38" s="223"/>
      <c r="AK38" s="130"/>
      <c r="AL38" s="130"/>
      <c r="AM38" s="130"/>
      <c r="AN38" s="130"/>
      <c r="AO38" s="130"/>
      <c r="AP38" s="130"/>
      <c r="AQ38" s="130"/>
      <c r="AR38" s="130"/>
      <c r="AS38" s="130"/>
      <c r="AT38" s="130"/>
      <c r="AU38" s="130"/>
      <c r="AV38" s="130"/>
      <c r="AW38" s="130"/>
      <c r="AX38" s="221"/>
      <c r="AY38" s="130"/>
      <c r="AZ38" s="130"/>
      <c r="BA38" s="130"/>
      <c r="BB38" s="221"/>
      <c r="BC38" s="130"/>
      <c r="BD38" s="130"/>
      <c r="BE38" s="130"/>
      <c r="BF38" s="130"/>
      <c r="BG38" s="130"/>
      <c r="BH38" s="220"/>
      <c r="BI38" s="130"/>
      <c r="BJ38" s="130"/>
      <c r="BK38" s="130"/>
      <c r="BL38" s="130"/>
      <c r="BM38" s="130"/>
      <c r="BN38" s="221"/>
      <c r="BO38" s="316"/>
      <c r="BP38" s="130"/>
      <c r="BQ38" s="130"/>
      <c r="BR38" s="130"/>
      <c r="BS38" s="130"/>
      <c r="BT38" s="130"/>
      <c r="BU38" s="130"/>
      <c r="BV38" s="130"/>
      <c r="BW38" s="130"/>
      <c r="BX38" s="130"/>
      <c r="BY38" s="130"/>
      <c r="BZ38" s="130"/>
      <c r="CA38" s="130"/>
      <c r="CB38" s="130"/>
      <c r="CC38" s="130"/>
      <c r="CD38" s="159"/>
      <c r="CE38" s="138"/>
      <c r="CF38" s="66"/>
      <c r="CG38" s="265"/>
    </row>
    <row r="39" spans="1:85" s="27" customFormat="1" ht="18.75" customHeight="1">
      <c r="A39" s="261"/>
      <c r="B39" s="72"/>
      <c r="C39" s="159"/>
      <c r="D39" s="220"/>
      <c r="E39" s="220"/>
      <c r="F39" s="220"/>
      <c r="G39" s="222"/>
      <c r="H39" s="130"/>
      <c r="I39" s="221"/>
      <c r="J39" s="130"/>
      <c r="K39" s="130"/>
      <c r="L39" s="130"/>
      <c r="M39" s="130"/>
      <c r="N39" s="130"/>
      <c r="O39" s="130"/>
      <c r="P39" s="130"/>
      <c r="Q39" s="130"/>
      <c r="R39" s="130"/>
      <c r="S39" s="221"/>
      <c r="T39" s="130"/>
      <c r="U39" s="130"/>
      <c r="V39" s="130"/>
      <c r="W39" s="130"/>
      <c r="X39" s="130"/>
      <c r="Y39" s="221"/>
      <c r="Z39" s="130"/>
      <c r="AA39" s="316"/>
      <c r="AB39" s="130"/>
      <c r="AC39" s="316"/>
      <c r="AD39" s="316"/>
      <c r="AE39" s="316"/>
      <c r="AF39" s="316"/>
      <c r="AG39" s="316"/>
      <c r="AH39" s="221"/>
      <c r="AI39" s="329"/>
      <c r="AJ39" s="223"/>
      <c r="AK39" s="130"/>
      <c r="AL39" s="130"/>
      <c r="AM39" s="130"/>
      <c r="AN39" s="130"/>
      <c r="AO39" s="130"/>
      <c r="AP39" s="130"/>
      <c r="AQ39" s="130"/>
      <c r="AR39" s="130"/>
      <c r="AS39" s="130"/>
      <c r="AT39" s="130"/>
      <c r="AU39" s="130"/>
      <c r="AV39" s="130"/>
      <c r="AW39" s="130"/>
      <c r="AX39" s="221"/>
      <c r="AY39" s="130"/>
      <c r="AZ39" s="130"/>
      <c r="BA39" s="130"/>
      <c r="BB39" s="221"/>
      <c r="BC39" s="130"/>
      <c r="BD39" s="130"/>
      <c r="BE39" s="130"/>
      <c r="BF39" s="130"/>
      <c r="BG39" s="130"/>
      <c r="BH39" s="220"/>
      <c r="BI39" s="130"/>
      <c r="BJ39" s="130"/>
      <c r="BK39" s="130"/>
      <c r="BL39" s="130"/>
      <c r="BM39" s="130"/>
      <c r="BN39" s="221"/>
      <c r="BO39" s="316"/>
      <c r="BP39" s="130"/>
      <c r="BQ39" s="130"/>
      <c r="BR39" s="130"/>
      <c r="BS39" s="130"/>
      <c r="BT39" s="130"/>
      <c r="BU39" s="130"/>
      <c r="BV39" s="130"/>
      <c r="BW39" s="130"/>
      <c r="BX39" s="130"/>
      <c r="BY39" s="130"/>
      <c r="BZ39" s="130"/>
      <c r="CA39" s="130"/>
      <c r="CB39" s="130"/>
      <c r="CC39" s="130"/>
      <c r="CD39" s="159"/>
      <c r="CE39" s="138"/>
      <c r="CF39" s="66"/>
      <c r="CG39" s="265"/>
    </row>
    <row r="40" spans="1:85" s="27" customFormat="1" ht="18.75" customHeight="1">
      <c r="A40" s="261"/>
      <c r="B40" s="72"/>
      <c r="C40" s="159"/>
      <c r="D40" s="220"/>
      <c r="E40" s="220"/>
      <c r="F40" s="220"/>
      <c r="G40" s="222"/>
      <c r="H40" s="223"/>
      <c r="I40" s="221"/>
      <c r="J40" s="223"/>
      <c r="K40" s="223"/>
      <c r="L40" s="223"/>
      <c r="M40" s="223"/>
      <c r="N40" s="223"/>
      <c r="O40" s="223"/>
      <c r="P40" s="223"/>
      <c r="Q40" s="223"/>
      <c r="R40" s="223"/>
      <c r="S40" s="221"/>
      <c r="T40" s="223"/>
      <c r="U40" s="223"/>
      <c r="V40" s="223"/>
      <c r="W40" s="223"/>
      <c r="X40" s="223"/>
      <c r="Y40" s="221"/>
      <c r="Z40" s="223"/>
      <c r="AA40" s="316"/>
      <c r="AB40" s="223"/>
      <c r="AC40" s="316"/>
      <c r="AD40" s="316"/>
      <c r="AE40" s="316"/>
      <c r="AF40" s="316"/>
      <c r="AG40" s="316"/>
      <c r="AH40" s="221"/>
      <c r="AI40" s="329"/>
      <c r="AJ40" s="130"/>
      <c r="AK40" s="130"/>
      <c r="AL40" s="223"/>
      <c r="AM40" s="223"/>
      <c r="AN40" s="223"/>
      <c r="AO40" s="223"/>
      <c r="AP40" s="223"/>
      <c r="AQ40" s="223"/>
      <c r="AR40" s="223"/>
      <c r="AS40" s="223"/>
      <c r="AT40" s="223"/>
      <c r="AU40" s="223"/>
      <c r="AV40" s="223"/>
      <c r="AW40" s="223"/>
      <c r="AX40" s="221"/>
      <c r="AY40" s="223"/>
      <c r="AZ40" s="223"/>
      <c r="BA40" s="223"/>
      <c r="BB40" s="221"/>
      <c r="BC40" s="223"/>
      <c r="BD40" s="223"/>
      <c r="BE40" s="223"/>
      <c r="BF40" s="223"/>
      <c r="BG40" s="223"/>
      <c r="BH40" s="220"/>
      <c r="BI40" s="223"/>
      <c r="BJ40" s="223"/>
      <c r="BK40" s="223"/>
      <c r="BL40" s="223"/>
      <c r="BM40" s="223"/>
      <c r="BN40" s="221"/>
      <c r="BO40" s="316"/>
      <c r="BP40" s="223"/>
      <c r="BQ40" s="223"/>
      <c r="BR40" s="223"/>
      <c r="BS40" s="223"/>
      <c r="BT40" s="223"/>
      <c r="BU40" s="223"/>
      <c r="BV40" s="130"/>
      <c r="BW40" s="223"/>
      <c r="BX40" s="223"/>
      <c r="BY40" s="130"/>
      <c r="BZ40" s="223"/>
      <c r="CA40" s="130"/>
      <c r="CB40" s="223"/>
      <c r="CC40" s="223"/>
      <c r="CD40" s="138"/>
      <c r="CE40" s="138"/>
      <c r="CF40" s="66"/>
      <c r="CG40" s="265"/>
    </row>
    <row r="41" spans="1:85" s="27" customFormat="1" ht="18.75" customHeight="1">
      <c r="A41" s="261"/>
      <c r="B41" s="72"/>
      <c r="C41" s="138"/>
      <c r="D41" s="330"/>
      <c r="E41" s="330"/>
      <c r="F41" s="330"/>
      <c r="G41" s="330"/>
      <c r="H41" s="330"/>
      <c r="I41" s="330"/>
      <c r="J41" s="330"/>
      <c r="K41" s="330"/>
      <c r="L41" s="330"/>
      <c r="M41" s="330"/>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D41" s="330"/>
      <c r="BE41" s="330"/>
      <c r="BF41" s="330"/>
      <c r="BG41" s="330"/>
      <c r="BH41" s="330"/>
      <c r="BI41" s="330"/>
      <c r="BJ41" s="330"/>
      <c r="BK41" s="330"/>
      <c r="BL41" s="330"/>
      <c r="BM41" s="330"/>
      <c r="BN41" s="330"/>
      <c r="BO41" s="330"/>
      <c r="BP41" s="330"/>
      <c r="BQ41" s="330"/>
      <c r="BR41" s="330"/>
      <c r="BS41" s="330"/>
      <c r="BT41" s="330"/>
      <c r="BU41" s="330"/>
      <c r="BV41" s="330"/>
      <c r="BW41" s="330"/>
      <c r="BX41" s="330"/>
      <c r="BY41" s="330"/>
      <c r="BZ41" s="330"/>
      <c r="CA41" s="330"/>
      <c r="CB41" s="330"/>
      <c r="CC41" s="330"/>
      <c r="CD41" s="138"/>
      <c r="CE41" s="138"/>
      <c r="CF41" s="66"/>
      <c r="CG41" s="265"/>
    </row>
    <row r="42" spans="1:85" s="27" customFormat="1" ht="18.75" customHeight="1">
      <c r="A42" s="261"/>
      <c r="B42" s="72"/>
      <c r="C42" s="138"/>
      <c r="D42" s="331"/>
      <c r="E42" s="331"/>
      <c r="F42" s="331"/>
      <c r="G42" s="331"/>
      <c r="H42" s="331"/>
      <c r="I42" s="331"/>
      <c r="J42" s="331"/>
      <c r="K42" s="331"/>
      <c r="L42" s="331"/>
      <c r="M42" s="331"/>
      <c r="N42" s="331"/>
      <c r="O42" s="331"/>
      <c r="P42" s="331"/>
      <c r="Q42" s="331"/>
      <c r="R42" s="331"/>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c r="AP42" s="331"/>
      <c r="AQ42" s="331"/>
      <c r="AR42" s="331"/>
      <c r="AS42" s="331"/>
      <c r="AT42" s="331"/>
      <c r="AU42" s="331"/>
      <c r="AV42" s="331"/>
      <c r="AW42" s="331"/>
      <c r="AX42" s="331"/>
      <c r="AY42" s="331"/>
      <c r="AZ42" s="331"/>
      <c r="BA42" s="331"/>
      <c r="BB42" s="331"/>
      <c r="BC42" s="331"/>
      <c r="BD42" s="331"/>
      <c r="BE42" s="331"/>
      <c r="BF42" s="331"/>
      <c r="BG42" s="331"/>
      <c r="BH42" s="331"/>
      <c r="BI42" s="331"/>
      <c r="BJ42" s="331"/>
      <c r="BK42" s="331"/>
      <c r="BL42" s="331"/>
      <c r="BM42" s="331"/>
      <c r="BN42" s="331"/>
      <c r="BO42" s="331"/>
      <c r="BP42" s="331"/>
      <c r="BQ42" s="331"/>
      <c r="BR42" s="331"/>
      <c r="BS42" s="331"/>
      <c r="BT42" s="331"/>
      <c r="BU42" s="331"/>
      <c r="BV42" s="331"/>
      <c r="BW42" s="331"/>
      <c r="BX42" s="331"/>
      <c r="BY42" s="331"/>
      <c r="BZ42" s="331"/>
      <c r="CA42" s="331"/>
      <c r="CB42" s="331"/>
      <c r="CC42" s="331"/>
      <c r="CD42" s="138"/>
      <c r="CE42" s="138"/>
      <c r="CF42" s="66"/>
      <c r="CG42" s="265"/>
    </row>
    <row r="43" spans="1:85" s="27" customFormat="1" ht="19.5" customHeight="1" thickBot="1">
      <c r="A43" s="261"/>
      <c r="B43" s="73"/>
      <c r="C43" s="74"/>
      <c r="D43" s="74"/>
      <c r="E43" s="74"/>
      <c r="F43" s="74"/>
      <c r="G43" s="74"/>
      <c r="H43" s="74"/>
      <c r="I43" s="74"/>
      <c r="J43" s="74"/>
      <c r="K43" s="74"/>
      <c r="L43" s="67"/>
      <c r="M43" s="67"/>
      <c r="N43" s="67"/>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7"/>
      <c r="CA43" s="67"/>
      <c r="CB43" s="68"/>
      <c r="CC43" s="68"/>
      <c r="CD43" s="68"/>
      <c r="CE43" s="68"/>
      <c r="CF43" s="69"/>
      <c r="CG43" s="265"/>
    </row>
    <row r="44" spans="1:85" s="27" customFormat="1" ht="19.5" customHeight="1">
      <c r="A44" s="261"/>
      <c r="B44" s="332"/>
      <c r="C44" s="332"/>
      <c r="D44" s="333"/>
      <c r="E44" s="333"/>
      <c r="F44" s="333"/>
      <c r="G44" s="333"/>
      <c r="H44" s="333"/>
      <c r="I44" s="333"/>
      <c r="J44" s="334"/>
      <c r="K44" s="334"/>
      <c r="L44" s="334"/>
      <c r="M44" s="334"/>
      <c r="N44" s="334"/>
      <c r="O44" s="334"/>
      <c r="P44" s="334"/>
      <c r="Q44" s="334"/>
      <c r="R44" s="334"/>
      <c r="S44" s="334"/>
      <c r="T44" s="334"/>
      <c r="U44" s="334"/>
      <c r="V44" s="334"/>
      <c r="W44" s="334"/>
      <c r="X44" s="334"/>
      <c r="Y44" s="334"/>
      <c r="Z44" s="334"/>
      <c r="AA44" s="334"/>
      <c r="AB44" s="334"/>
      <c r="AC44" s="334"/>
      <c r="AD44" s="334"/>
      <c r="AE44" s="334"/>
      <c r="AF44" s="334"/>
      <c r="AG44" s="334"/>
      <c r="AH44" s="334"/>
      <c r="AI44" s="334"/>
      <c r="AJ44" s="334"/>
      <c r="AK44" s="334"/>
      <c r="AL44" s="334"/>
      <c r="AM44" s="334"/>
      <c r="AN44" s="334"/>
      <c r="AO44" s="334"/>
      <c r="AP44" s="334"/>
      <c r="AQ44" s="334"/>
      <c r="AR44" s="333"/>
      <c r="AS44" s="333"/>
      <c r="AT44" s="333"/>
      <c r="AU44" s="333"/>
      <c r="AV44" s="333"/>
      <c r="AW44" s="333"/>
      <c r="AX44" s="333"/>
      <c r="AY44" s="333"/>
      <c r="AZ44" s="333"/>
      <c r="BA44" s="333"/>
      <c r="BB44" s="333"/>
      <c r="BC44" s="333"/>
      <c r="BD44" s="333"/>
      <c r="BE44" s="333"/>
      <c r="BF44" s="333"/>
      <c r="BG44" s="333"/>
      <c r="BH44" s="333"/>
      <c r="BI44" s="333"/>
      <c r="BJ44" s="333"/>
      <c r="BK44" s="333"/>
      <c r="BL44" s="333"/>
      <c r="BM44" s="333"/>
      <c r="BN44" s="333"/>
      <c r="BO44" s="333"/>
      <c r="BP44" s="333"/>
      <c r="BQ44" s="333"/>
      <c r="BR44" s="333"/>
      <c r="BS44" s="333"/>
      <c r="BT44" s="333"/>
      <c r="BU44" s="333"/>
      <c r="BV44" s="333"/>
      <c r="BW44" s="333"/>
      <c r="BX44" s="334"/>
      <c r="BY44" s="333"/>
      <c r="BZ44" s="333"/>
      <c r="CA44" s="333"/>
      <c r="CB44" s="334"/>
      <c r="CC44" s="334"/>
      <c r="CD44" s="333"/>
      <c r="CE44" s="333"/>
      <c r="CF44" s="183"/>
      <c r="CG44" s="265"/>
    </row>
    <row r="45" spans="1:85" ht="8.25" customHeight="1">
      <c r="A45" s="281"/>
      <c r="B45" s="256"/>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c r="AM45" s="256"/>
      <c r="AN45" s="256"/>
      <c r="AO45" s="256"/>
      <c r="AP45" s="256"/>
      <c r="AQ45" s="256"/>
      <c r="AR45" s="256"/>
      <c r="AS45" s="256"/>
      <c r="AT45" s="256"/>
      <c r="AU45" s="256"/>
      <c r="AV45" s="256"/>
      <c r="AW45" s="256"/>
      <c r="AX45" s="256"/>
      <c r="AY45" s="256"/>
      <c r="AZ45" s="256"/>
      <c r="BA45" s="256"/>
      <c r="BB45" s="256"/>
      <c r="BC45" s="256"/>
      <c r="BD45" s="256"/>
      <c r="BE45" s="256"/>
      <c r="BF45" s="256"/>
      <c r="BG45" s="256"/>
      <c r="BH45" s="256"/>
      <c r="BI45" s="256"/>
      <c r="BJ45" s="256"/>
      <c r="BK45" s="256"/>
      <c r="BL45" s="256"/>
      <c r="BM45" s="256"/>
      <c r="BN45" s="256"/>
      <c r="BO45" s="256"/>
      <c r="BP45" s="256"/>
      <c r="BQ45" s="256"/>
      <c r="BR45" s="256"/>
      <c r="BS45" s="256"/>
      <c r="BT45" s="256"/>
      <c r="BU45" s="256"/>
      <c r="BV45" s="256"/>
      <c r="BW45" s="256"/>
      <c r="BX45" s="256"/>
      <c r="BY45" s="256"/>
      <c r="BZ45" s="256"/>
      <c r="CA45" s="256"/>
      <c r="CB45" s="256"/>
      <c r="CC45" s="256"/>
      <c r="CD45" s="256"/>
      <c r="CE45" s="256"/>
      <c r="CF45" s="256"/>
      <c r="CG45" s="267"/>
    </row>
    <row r="46" spans="1:85" s="21" customFormat="1" ht="19.5" customHeight="1" thickBot="1">
      <c r="A46" s="257"/>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258"/>
      <c r="BT46" s="258"/>
      <c r="BU46" s="258"/>
      <c r="BV46" s="258"/>
      <c r="BW46" s="258"/>
      <c r="BX46" s="258"/>
      <c r="BY46" s="258"/>
      <c r="BZ46" s="258"/>
      <c r="CA46" s="258"/>
      <c r="CB46" s="258"/>
      <c r="CC46" s="258"/>
      <c r="CD46" s="258"/>
      <c r="CE46" s="258"/>
      <c r="CF46" s="258"/>
      <c r="CG46" s="259"/>
    </row>
    <row r="47" spans="1:85" s="27" customFormat="1" ht="13.5" customHeight="1">
      <c r="A47" s="281"/>
      <c r="B47" s="59"/>
      <c r="C47" s="60"/>
      <c r="D47" s="60"/>
      <c r="E47" s="60"/>
      <c r="F47" s="60"/>
      <c r="G47" s="60"/>
      <c r="H47" s="60"/>
      <c r="I47" s="60"/>
      <c r="J47" s="60"/>
      <c r="K47" s="60"/>
      <c r="L47" s="418" t="s">
        <v>31</v>
      </c>
      <c r="M47" s="419"/>
      <c r="N47" s="419"/>
      <c r="O47" s="419"/>
      <c r="P47" s="419"/>
      <c r="Q47" s="419"/>
      <c r="R47" s="419"/>
      <c r="S47" s="419"/>
      <c r="T47" s="419"/>
      <c r="U47" s="419"/>
      <c r="V47" s="419"/>
      <c r="W47" s="419"/>
      <c r="X47" s="419"/>
      <c r="Y47" s="419"/>
      <c r="Z47" s="419"/>
      <c r="AA47" s="419"/>
      <c r="AB47" s="419"/>
      <c r="AC47" s="419"/>
      <c r="AD47" s="419"/>
      <c r="AE47" s="419"/>
      <c r="AF47" s="419"/>
      <c r="AG47" s="419"/>
      <c r="AH47" s="419"/>
      <c r="AI47" s="419"/>
      <c r="AJ47" s="419"/>
      <c r="AK47" s="419"/>
      <c r="AL47" s="419"/>
      <c r="AM47" s="419"/>
      <c r="AN47" s="419"/>
      <c r="AO47" s="419"/>
      <c r="AP47" s="419"/>
      <c r="AQ47" s="419"/>
      <c r="AR47" s="419"/>
      <c r="AS47" s="419"/>
      <c r="AT47" s="419"/>
      <c r="AU47" s="419"/>
      <c r="AV47" s="419"/>
      <c r="AW47" s="419"/>
      <c r="AX47" s="419"/>
      <c r="AY47" s="419"/>
      <c r="AZ47" s="419"/>
      <c r="BA47" s="419"/>
      <c r="BB47" s="419"/>
      <c r="BC47" s="419"/>
      <c r="BD47" s="419"/>
      <c r="BE47" s="419"/>
      <c r="BF47" s="419"/>
      <c r="BG47" s="419"/>
      <c r="BH47" s="419"/>
      <c r="BI47" s="419"/>
      <c r="BJ47" s="419"/>
      <c r="BK47" s="419"/>
      <c r="BL47" s="419"/>
      <c r="BM47" s="419"/>
      <c r="BN47" s="419"/>
      <c r="BO47" s="419"/>
      <c r="BP47" s="419"/>
      <c r="BQ47" s="419"/>
      <c r="BR47" s="419"/>
      <c r="BS47" s="419"/>
      <c r="BT47" s="419"/>
      <c r="BU47" s="419"/>
      <c r="BV47" s="422" t="s">
        <v>32</v>
      </c>
      <c r="BW47" s="422"/>
      <c r="BX47" s="422"/>
      <c r="BY47" s="422"/>
      <c r="BZ47" s="422"/>
      <c r="CA47" s="422"/>
      <c r="CB47" s="422"/>
      <c r="CC47" s="422"/>
      <c r="CD47" s="422"/>
      <c r="CE47" s="422"/>
      <c r="CF47" s="423"/>
      <c r="CG47" s="264"/>
    </row>
    <row r="48" spans="1:85" s="21" customFormat="1" ht="13.5" customHeight="1">
      <c r="A48" s="281"/>
      <c r="B48" s="61"/>
      <c r="C48" s="315"/>
      <c r="D48" s="315"/>
      <c r="E48" s="315"/>
      <c r="F48" s="315"/>
      <c r="G48" s="315"/>
      <c r="H48" s="315"/>
      <c r="I48" s="315"/>
      <c r="J48" s="315"/>
      <c r="K48" s="315"/>
      <c r="L48" s="420"/>
      <c r="M48" s="420"/>
      <c r="N48" s="420"/>
      <c r="O48" s="420"/>
      <c r="P48" s="420"/>
      <c r="Q48" s="420"/>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c r="AU48" s="420"/>
      <c r="AV48" s="420"/>
      <c r="AW48" s="420"/>
      <c r="AX48" s="420"/>
      <c r="AY48" s="420"/>
      <c r="AZ48" s="420"/>
      <c r="BA48" s="420"/>
      <c r="BB48" s="420"/>
      <c r="BC48" s="420"/>
      <c r="BD48" s="420"/>
      <c r="BE48" s="420"/>
      <c r="BF48" s="420"/>
      <c r="BG48" s="420"/>
      <c r="BH48" s="420"/>
      <c r="BI48" s="420"/>
      <c r="BJ48" s="420"/>
      <c r="BK48" s="420"/>
      <c r="BL48" s="420"/>
      <c r="BM48" s="420"/>
      <c r="BN48" s="420"/>
      <c r="BO48" s="420"/>
      <c r="BP48" s="420"/>
      <c r="BQ48" s="420"/>
      <c r="BR48" s="420"/>
      <c r="BS48" s="420"/>
      <c r="BT48" s="420"/>
      <c r="BU48" s="420"/>
      <c r="BV48" s="424"/>
      <c r="BW48" s="424"/>
      <c r="BX48" s="424"/>
      <c r="BY48" s="424"/>
      <c r="BZ48" s="424"/>
      <c r="CA48" s="424"/>
      <c r="CB48" s="424"/>
      <c r="CC48" s="424"/>
      <c r="CD48" s="424"/>
      <c r="CE48" s="424"/>
      <c r="CF48" s="425"/>
      <c r="CG48" s="264"/>
    </row>
    <row r="49" spans="1:85" s="21" customFormat="1" ht="19.5" customHeight="1" thickBot="1">
      <c r="A49" s="261"/>
      <c r="B49" s="62"/>
      <c r="C49" s="63"/>
      <c r="D49" s="63"/>
      <c r="E49" s="63"/>
      <c r="F49" s="63"/>
      <c r="G49" s="63"/>
      <c r="H49" s="63"/>
      <c r="I49" s="63"/>
      <c r="J49" s="63"/>
      <c r="K49" s="63"/>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c r="AJ49" s="421"/>
      <c r="AK49" s="421"/>
      <c r="AL49" s="421"/>
      <c r="AM49" s="421"/>
      <c r="AN49" s="421"/>
      <c r="AO49" s="421"/>
      <c r="AP49" s="421"/>
      <c r="AQ49" s="421"/>
      <c r="AR49" s="421"/>
      <c r="AS49" s="421"/>
      <c r="AT49" s="421"/>
      <c r="AU49" s="421"/>
      <c r="AV49" s="421"/>
      <c r="AW49" s="421"/>
      <c r="AX49" s="421"/>
      <c r="AY49" s="421"/>
      <c r="AZ49" s="421"/>
      <c r="BA49" s="421"/>
      <c r="BB49" s="421"/>
      <c r="BC49" s="421"/>
      <c r="BD49" s="421"/>
      <c r="BE49" s="421"/>
      <c r="BF49" s="421"/>
      <c r="BG49" s="421"/>
      <c r="BH49" s="421"/>
      <c r="BI49" s="421"/>
      <c r="BJ49" s="421"/>
      <c r="BK49" s="421"/>
      <c r="BL49" s="421"/>
      <c r="BM49" s="421"/>
      <c r="BN49" s="421"/>
      <c r="BO49" s="421"/>
      <c r="BP49" s="421"/>
      <c r="BQ49" s="421"/>
      <c r="BR49" s="421"/>
      <c r="BS49" s="421"/>
      <c r="BT49" s="421"/>
      <c r="BU49" s="421"/>
      <c r="BV49" s="426"/>
      <c r="BW49" s="426"/>
      <c r="BX49" s="426"/>
      <c r="BY49" s="426"/>
      <c r="BZ49" s="426"/>
      <c r="CA49" s="426"/>
      <c r="CB49" s="426"/>
      <c r="CC49" s="426"/>
      <c r="CD49" s="426"/>
      <c r="CE49" s="426"/>
      <c r="CF49" s="427"/>
      <c r="CG49" s="265"/>
    </row>
    <row r="50" spans="1:85" s="21" customFormat="1" ht="19.5" customHeight="1" thickTop="1">
      <c r="A50" s="261"/>
      <c r="B50" s="70"/>
      <c r="C50" s="241"/>
      <c r="D50" s="239" t="s">
        <v>33</v>
      </c>
      <c r="E50" s="240"/>
      <c r="F50" s="240"/>
      <c r="G50" s="240"/>
      <c r="H50" s="240"/>
      <c r="I50" s="241"/>
      <c r="J50" s="241"/>
      <c r="K50" s="241"/>
      <c r="L50" s="242"/>
      <c r="M50" s="242"/>
      <c r="N50" s="242"/>
      <c r="O50" s="242"/>
      <c r="P50" s="242"/>
      <c r="Q50" s="242"/>
      <c r="R50" s="242"/>
      <c r="S50" s="242"/>
      <c r="T50" s="242"/>
      <c r="U50" s="242"/>
      <c r="V50" s="242"/>
      <c r="W50" s="242"/>
      <c r="X50" s="242"/>
      <c r="Y50" s="242"/>
      <c r="Z50" s="242"/>
      <c r="AA50" s="242"/>
      <c r="AB50" s="242"/>
      <c r="AC50" s="242"/>
      <c r="AD50" s="242"/>
      <c r="AE50" s="242"/>
      <c r="AF50" s="242"/>
      <c r="AG50" s="242"/>
      <c r="AH50" s="242"/>
      <c r="AI50" s="242"/>
      <c r="AJ50" s="242"/>
      <c r="AK50" s="242"/>
      <c r="AL50" s="242"/>
      <c r="AM50" s="242"/>
      <c r="AN50" s="242"/>
      <c r="AO50" s="242"/>
      <c r="AP50" s="242"/>
      <c r="AQ50" s="242"/>
      <c r="AR50" s="242"/>
      <c r="AS50" s="242"/>
      <c r="AT50" s="242"/>
      <c r="AU50" s="242"/>
      <c r="AV50" s="242"/>
      <c r="AW50" s="242"/>
      <c r="AX50" s="242"/>
      <c r="AY50" s="242"/>
      <c r="AZ50" s="242"/>
      <c r="BA50" s="242"/>
      <c r="BB50" s="242"/>
      <c r="BC50" s="242"/>
      <c r="BD50" s="242"/>
      <c r="BE50" s="242"/>
      <c r="BF50" s="242"/>
      <c r="BG50" s="242"/>
      <c r="BH50" s="242"/>
      <c r="BI50" s="242"/>
      <c r="BJ50" s="242"/>
      <c r="BK50" s="242"/>
      <c r="BL50" s="242"/>
      <c r="BM50" s="242"/>
      <c r="BN50" s="242"/>
      <c r="BO50" s="242"/>
      <c r="BP50" s="242"/>
      <c r="BQ50" s="242"/>
      <c r="BR50" s="242"/>
      <c r="BS50" s="242"/>
      <c r="BT50" s="242"/>
      <c r="BU50" s="242"/>
      <c r="BV50" s="242"/>
      <c r="BW50" s="242"/>
      <c r="BX50" s="242"/>
      <c r="BY50" s="242"/>
      <c r="BZ50" s="242"/>
      <c r="CA50" s="242"/>
      <c r="CB50" s="242"/>
      <c r="CC50" s="242"/>
      <c r="CD50" s="64"/>
      <c r="CE50" s="64"/>
      <c r="CF50" s="65"/>
      <c r="CG50" s="265"/>
    </row>
    <row r="51" spans="1:85" s="21" customFormat="1" ht="19.5" customHeight="1">
      <c r="A51" s="261"/>
      <c r="B51" s="72"/>
      <c r="C51" s="335"/>
      <c r="D51" s="428" t="s">
        <v>34</v>
      </c>
      <c r="E51" s="429"/>
      <c r="F51" s="429"/>
      <c r="G51" s="429"/>
      <c r="H51" s="429"/>
      <c r="I51" s="429"/>
      <c r="J51" s="429"/>
      <c r="K51" s="429"/>
      <c r="L51" s="429"/>
      <c r="M51" s="429"/>
      <c r="N51" s="429"/>
      <c r="O51" s="429"/>
      <c r="P51" s="429"/>
      <c r="Q51" s="429"/>
      <c r="R51" s="429"/>
      <c r="S51" s="429"/>
      <c r="T51" s="429"/>
      <c r="U51" s="429"/>
      <c r="V51" s="429"/>
      <c r="W51" s="429"/>
      <c r="X51" s="429"/>
      <c r="Y51" s="429"/>
      <c r="Z51" s="429"/>
      <c r="AA51" s="429"/>
      <c r="AB51" s="429"/>
      <c r="AC51" s="429"/>
      <c r="AD51" s="429"/>
      <c r="AE51" s="429"/>
      <c r="AF51" s="429"/>
      <c r="AG51" s="429"/>
      <c r="AH51" s="429"/>
      <c r="AI51" s="429"/>
      <c r="AJ51" s="429"/>
      <c r="AK51" s="429"/>
      <c r="AL51" s="429"/>
      <c r="AM51" s="429"/>
      <c r="AN51" s="429"/>
      <c r="AO51" s="429"/>
      <c r="AP51" s="429"/>
      <c r="AQ51" s="429"/>
      <c r="AR51" s="429"/>
      <c r="AS51" s="429"/>
      <c r="AT51" s="429"/>
      <c r="AU51" s="429"/>
      <c r="AV51" s="429"/>
      <c r="AW51" s="429"/>
      <c r="AX51" s="429"/>
      <c r="AY51" s="429"/>
      <c r="AZ51" s="429"/>
      <c r="BA51" s="429"/>
      <c r="BB51" s="429"/>
      <c r="BC51" s="429"/>
      <c r="BD51" s="429"/>
      <c r="BE51" s="429"/>
      <c r="BF51" s="429"/>
      <c r="BG51" s="429"/>
      <c r="BH51" s="429"/>
      <c r="BI51" s="429"/>
      <c r="BJ51" s="429"/>
      <c r="BK51" s="429"/>
      <c r="BL51" s="429"/>
      <c r="BM51" s="429"/>
      <c r="BN51" s="429"/>
      <c r="BO51" s="429"/>
      <c r="BP51" s="429"/>
      <c r="BQ51" s="429"/>
      <c r="BR51" s="429"/>
      <c r="BS51" s="429"/>
      <c r="BT51" s="429"/>
      <c r="BU51" s="429"/>
      <c r="BV51" s="429"/>
      <c r="BW51" s="429"/>
      <c r="BX51" s="429"/>
      <c r="BY51" s="429"/>
      <c r="BZ51" s="429"/>
      <c r="CA51" s="429"/>
      <c r="CB51" s="429"/>
      <c r="CC51" s="430"/>
      <c r="CD51" s="138"/>
      <c r="CE51" s="138"/>
      <c r="CF51" s="66"/>
      <c r="CG51" s="265"/>
    </row>
    <row r="52" spans="1:85" s="21" customFormat="1" ht="19.5" customHeight="1">
      <c r="A52" s="261"/>
      <c r="B52" s="72"/>
      <c r="C52" s="335"/>
      <c r="D52" s="223"/>
      <c r="E52" s="223"/>
      <c r="F52" s="223"/>
      <c r="G52" s="223"/>
      <c r="H52" s="223"/>
      <c r="I52" s="223"/>
      <c r="J52" s="223"/>
      <c r="K52" s="223"/>
      <c r="L52" s="223"/>
      <c r="M52" s="223"/>
      <c r="N52" s="223"/>
      <c r="O52" s="223"/>
      <c r="P52" s="223"/>
      <c r="Q52" s="223"/>
      <c r="R52" s="223"/>
      <c r="S52" s="223"/>
      <c r="T52" s="223"/>
      <c r="U52" s="223"/>
      <c r="V52" s="223"/>
      <c r="W52" s="316"/>
      <c r="X52" s="316"/>
      <c r="Y52" s="316"/>
      <c r="Z52" s="316"/>
      <c r="AA52" s="316"/>
      <c r="AB52" s="316"/>
      <c r="AC52" s="316"/>
      <c r="AD52" s="316"/>
      <c r="AE52" s="316"/>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130"/>
      <c r="BZ52" s="223"/>
      <c r="CA52" s="223"/>
      <c r="CB52" s="130"/>
      <c r="CC52" s="223"/>
      <c r="CD52" s="138"/>
      <c r="CE52" s="138"/>
      <c r="CF52" s="66"/>
      <c r="CG52" s="265"/>
    </row>
    <row r="53" spans="1:85" s="21" customFormat="1" ht="19.5" customHeight="1">
      <c r="A53" s="261"/>
      <c r="B53" s="72"/>
      <c r="C53" s="335"/>
      <c r="D53" s="437" t="s">
        <v>35</v>
      </c>
      <c r="E53" s="438"/>
      <c r="F53" s="438"/>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438"/>
      <c r="AF53" s="438"/>
      <c r="AG53" s="438"/>
      <c r="AH53" s="438"/>
      <c r="AI53" s="438"/>
      <c r="AJ53" s="438"/>
      <c r="AK53" s="438"/>
      <c r="AL53" s="438"/>
      <c r="AM53" s="438"/>
      <c r="AN53" s="438"/>
      <c r="AO53" s="438"/>
      <c r="AP53" s="438"/>
      <c r="AQ53" s="438"/>
      <c r="AR53" s="438"/>
      <c r="AS53" s="438"/>
      <c r="AT53" s="438"/>
      <c r="AU53" s="438"/>
      <c r="AV53" s="438"/>
      <c r="AW53" s="438"/>
      <c r="AX53" s="438"/>
      <c r="AY53" s="438"/>
      <c r="AZ53" s="438"/>
      <c r="BA53" s="438"/>
      <c r="BB53" s="438"/>
      <c r="BC53" s="438"/>
      <c r="BD53" s="438"/>
      <c r="BE53" s="438"/>
      <c r="BF53" s="438"/>
      <c r="BG53" s="438"/>
      <c r="BH53" s="438"/>
      <c r="BI53" s="438"/>
      <c r="BJ53" s="438"/>
      <c r="BK53" s="438"/>
      <c r="BL53" s="438"/>
      <c r="BM53" s="438"/>
      <c r="BN53" s="438"/>
      <c r="BO53" s="438"/>
      <c r="BP53" s="438"/>
      <c r="BQ53" s="438"/>
      <c r="BR53" s="438"/>
      <c r="BS53" s="438"/>
      <c r="BT53" s="438"/>
      <c r="BU53" s="438"/>
      <c r="BV53" s="438"/>
      <c r="BW53" s="438"/>
      <c r="BX53" s="438"/>
      <c r="BY53" s="438"/>
      <c r="BZ53" s="438"/>
      <c r="CA53" s="438"/>
      <c r="CB53" s="438"/>
      <c r="CC53" s="439"/>
      <c r="CD53" s="138"/>
      <c r="CE53" s="138"/>
      <c r="CF53" s="66"/>
      <c r="CG53" s="265"/>
    </row>
    <row r="54" spans="1:85" s="21" customFormat="1" ht="19.5" customHeight="1">
      <c r="A54" s="261"/>
      <c r="B54" s="72"/>
      <c r="C54" s="335"/>
      <c r="D54" s="319"/>
      <c r="E54" s="319"/>
      <c r="F54" s="319"/>
      <c r="G54" s="319"/>
      <c r="H54" s="319"/>
      <c r="I54" s="130"/>
      <c r="J54" s="130"/>
      <c r="K54" s="130"/>
      <c r="L54" s="130"/>
      <c r="M54" s="130"/>
      <c r="N54" s="130"/>
      <c r="O54" s="130"/>
      <c r="P54" s="130"/>
      <c r="Q54" s="130"/>
      <c r="R54" s="130"/>
      <c r="S54" s="130"/>
      <c r="T54" s="130"/>
      <c r="U54" s="130"/>
      <c r="V54" s="130"/>
      <c r="W54" s="316"/>
      <c r="X54" s="316"/>
      <c r="Y54" s="316"/>
      <c r="Z54" s="316"/>
      <c r="AA54" s="316"/>
      <c r="AB54" s="316"/>
      <c r="AC54" s="316"/>
      <c r="AD54" s="316"/>
      <c r="AE54" s="316"/>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41"/>
      <c r="BI54" s="130"/>
      <c r="BJ54" s="130"/>
      <c r="BK54" s="130"/>
      <c r="BL54" s="130"/>
      <c r="BM54" s="130"/>
      <c r="BN54" s="130"/>
      <c r="BO54" s="130"/>
      <c r="BP54" s="130"/>
      <c r="BQ54" s="130"/>
      <c r="BR54" s="130"/>
      <c r="BS54" s="130"/>
      <c r="BT54" s="130"/>
      <c r="BU54" s="130"/>
      <c r="BV54" s="130"/>
      <c r="BW54" s="130"/>
      <c r="BX54" s="130"/>
      <c r="BY54" s="130"/>
      <c r="BZ54" s="130"/>
      <c r="CA54" s="130"/>
      <c r="CB54" s="130"/>
      <c r="CC54" s="130"/>
      <c r="CD54" s="159"/>
      <c r="CE54" s="138"/>
      <c r="CF54" s="66"/>
      <c r="CG54" s="265"/>
    </row>
    <row r="55" spans="1:85" s="21" customFormat="1" ht="19.5" customHeight="1">
      <c r="A55" s="261"/>
      <c r="B55" s="72"/>
      <c r="C55" s="137"/>
      <c r="D55" s="442" t="s">
        <v>257</v>
      </c>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443"/>
      <c r="BJ55" s="443"/>
      <c r="BK55" s="443"/>
      <c r="BL55" s="443"/>
      <c r="BM55" s="443"/>
      <c r="BN55" s="443"/>
      <c r="BO55" s="443"/>
      <c r="BP55" s="443"/>
      <c r="BQ55" s="443"/>
      <c r="BR55" s="443"/>
      <c r="BS55" s="443"/>
      <c r="BT55" s="443"/>
      <c r="BU55" s="443"/>
      <c r="BV55" s="443"/>
      <c r="BW55" s="443"/>
      <c r="BX55" s="443"/>
      <c r="BY55" s="443"/>
      <c r="BZ55" s="443"/>
      <c r="CA55" s="443"/>
      <c r="CB55" s="443"/>
      <c r="CC55" s="444"/>
      <c r="CD55" s="159"/>
      <c r="CE55" s="138"/>
      <c r="CF55" s="66"/>
      <c r="CG55" s="265"/>
    </row>
    <row r="56" spans="1:85" s="21" customFormat="1" ht="19.5" customHeight="1">
      <c r="A56" s="261"/>
      <c r="B56" s="72"/>
      <c r="C56" s="137"/>
      <c r="D56" s="461" t="s">
        <v>38</v>
      </c>
      <c r="E56" s="462"/>
      <c r="F56" s="463"/>
      <c r="G56" s="467" t="s">
        <v>245</v>
      </c>
      <c r="H56" s="468"/>
      <c r="I56" s="468"/>
      <c r="J56" s="468"/>
      <c r="K56" s="469"/>
      <c r="L56" s="467" t="s">
        <v>10</v>
      </c>
      <c r="M56" s="468"/>
      <c r="N56" s="468"/>
      <c r="O56" s="468"/>
      <c r="P56" s="468"/>
      <c r="Q56" s="469"/>
      <c r="R56" s="467" t="s">
        <v>272</v>
      </c>
      <c r="S56" s="468"/>
      <c r="T56" s="468"/>
      <c r="U56" s="468"/>
      <c r="V56" s="468"/>
      <c r="W56" s="469"/>
      <c r="X56" s="467" t="s">
        <v>203</v>
      </c>
      <c r="Y56" s="468"/>
      <c r="Z56" s="468"/>
      <c r="AA56" s="468"/>
      <c r="AB56" s="468"/>
      <c r="AC56" s="468"/>
      <c r="AD56" s="468"/>
      <c r="AE56" s="468"/>
      <c r="AF56" s="468"/>
      <c r="AG56" s="468"/>
      <c r="AH56" s="468"/>
      <c r="AI56" s="468"/>
      <c r="AJ56" s="469"/>
      <c r="AK56" s="473" t="s">
        <v>271</v>
      </c>
      <c r="AL56" s="474"/>
      <c r="AM56" s="474"/>
      <c r="AN56" s="474"/>
      <c r="AO56" s="475"/>
      <c r="AP56" s="467" t="s">
        <v>130</v>
      </c>
      <c r="AQ56" s="468"/>
      <c r="AR56" s="468"/>
      <c r="AS56" s="468"/>
      <c r="AT56" s="468"/>
      <c r="AU56" s="468"/>
      <c r="AV56" s="468"/>
      <c r="AW56" s="468"/>
      <c r="AX56" s="468"/>
      <c r="AY56" s="468"/>
      <c r="AZ56" s="468"/>
      <c r="BA56" s="468"/>
      <c r="BB56" s="468"/>
      <c r="BC56" s="468"/>
      <c r="BD56" s="469"/>
      <c r="BE56" s="467" t="s">
        <v>270</v>
      </c>
      <c r="BF56" s="468"/>
      <c r="BG56" s="468"/>
      <c r="BH56" s="469"/>
      <c r="BI56" s="473" t="s">
        <v>273</v>
      </c>
      <c r="BJ56" s="468"/>
      <c r="BK56" s="468"/>
      <c r="BL56" s="469"/>
      <c r="BM56" s="467" t="s">
        <v>131</v>
      </c>
      <c r="BN56" s="468"/>
      <c r="BO56" s="468"/>
      <c r="BP56" s="468"/>
      <c r="BQ56" s="468"/>
      <c r="BR56" s="468"/>
      <c r="BS56" s="468"/>
      <c r="BT56" s="468"/>
      <c r="BU56" s="468"/>
      <c r="BV56" s="469"/>
      <c r="BW56" s="467" t="s">
        <v>39</v>
      </c>
      <c r="BX56" s="468"/>
      <c r="BY56" s="468"/>
      <c r="BZ56" s="468"/>
      <c r="CA56" s="468"/>
      <c r="CB56" s="468"/>
      <c r="CC56" s="469"/>
      <c r="CD56" s="159"/>
      <c r="CE56" s="138"/>
      <c r="CF56" s="66"/>
      <c r="CG56" s="265"/>
    </row>
    <row r="57" spans="1:85" s="21" customFormat="1" ht="19.5" customHeight="1">
      <c r="A57" s="261"/>
      <c r="B57" s="72"/>
      <c r="C57" s="137"/>
      <c r="D57" s="464"/>
      <c r="E57" s="465"/>
      <c r="F57" s="466"/>
      <c r="G57" s="470"/>
      <c r="H57" s="471"/>
      <c r="I57" s="471"/>
      <c r="J57" s="471"/>
      <c r="K57" s="472"/>
      <c r="L57" s="470"/>
      <c r="M57" s="471"/>
      <c r="N57" s="471"/>
      <c r="O57" s="471"/>
      <c r="P57" s="471"/>
      <c r="Q57" s="472"/>
      <c r="R57" s="470"/>
      <c r="S57" s="471"/>
      <c r="T57" s="471"/>
      <c r="U57" s="471"/>
      <c r="V57" s="471"/>
      <c r="W57" s="472"/>
      <c r="X57" s="470"/>
      <c r="Y57" s="471"/>
      <c r="Z57" s="471"/>
      <c r="AA57" s="471"/>
      <c r="AB57" s="471"/>
      <c r="AC57" s="471"/>
      <c r="AD57" s="471"/>
      <c r="AE57" s="471"/>
      <c r="AF57" s="471"/>
      <c r="AG57" s="471"/>
      <c r="AH57" s="471"/>
      <c r="AI57" s="471"/>
      <c r="AJ57" s="472"/>
      <c r="AK57" s="476"/>
      <c r="AL57" s="477"/>
      <c r="AM57" s="477"/>
      <c r="AN57" s="477"/>
      <c r="AO57" s="478"/>
      <c r="AP57" s="470"/>
      <c r="AQ57" s="471"/>
      <c r="AR57" s="471"/>
      <c r="AS57" s="471"/>
      <c r="AT57" s="471"/>
      <c r="AU57" s="471"/>
      <c r="AV57" s="471"/>
      <c r="AW57" s="471"/>
      <c r="AX57" s="471"/>
      <c r="AY57" s="471"/>
      <c r="AZ57" s="471"/>
      <c r="BA57" s="471"/>
      <c r="BB57" s="471"/>
      <c r="BC57" s="471"/>
      <c r="BD57" s="472"/>
      <c r="BE57" s="470"/>
      <c r="BF57" s="471"/>
      <c r="BG57" s="471"/>
      <c r="BH57" s="472"/>
      <c r="BI57" s="470"/>
      <c r="BJ57" s="471"/>
      <c r="BK57" s="471"/>
      <c r="BL57" s="472"/>
      <c r="BM57" s="470"/>
      <c r="BN57" s="471"/>
      <c r="BO57" s="471"/>
      <c r="BP57" s="471"/>
      <c r="BQ57" s="471"/>
      <c r="BR57" s="471"/>
      <c r="BS57" s="471"/>
      <c r="BT57" s="471"/>
      <c r="BU57" s="471"/>
      <c r="BV57" s="472"/>
      <c r="BW57" s="470"/>
      <c r="BX57" s="471"/>
      <c r="BY57" s="471"/>
      <c r="BZ57" s="471"/>
      <c r="CA57" s="471"/>
      <c r="CB57" s="471"/>
      <c r="CC57" s="472"/>
      <c r="CD57" s="159"/>
      <c r="CE57" s="138"/>
      <c r="CF57" s="66"/>
      <c r="CG57" s="265"/>
    </row>
    <row r="58" spans="1:85" s="21" customFormat="1" ht="19.5" customHeight="1">
      <c r="A58" s="261"/>
      <c r="B58" s="72"/>
      <c r="C58" s="137"/>
      <c r="D58" s="445" t="s">
        <v>38</v>
      </c>
      <c r="E58" s="446"/>
      <c r="F58" s="447"/>
      <c r="G58" s="215" t="s">
        <v>40</v>
      </c>
      <c r="H58" s="155"/>
      <c r="I58" s="155"/>
      <c r="J58" s="155"/>
      <c r="K58" s="114"/>
      <c r="L58" s="236" t="s">
        <v>268</v>
      </c>
      <c r="M58" s="237"/>
      <c r="N58" s="237"/>
      <c r="O58" s="237"/>
      <c r="P58" s="237"/>
      <c r="Q58" s="237"/>
      <c r="R58" s="216" t="s">
        <v>268</v>
      </c>
      <c r="S58" s="301"/>
      <c r="T58" s="301"/>
      <c r="U58" s="301"/>
      <c r="V58" s="121"/>
      <c r="W58" s="302"/>
      <c r="X58" s="85" t="s">
        <v>269</v>
      </c>
      <c r="Y58" s="154"/>
      <c r="Z58" s="155"/>
      <c r="AA58" s="336"/>
      <c r="AB58" s="155"/>
      <c r="AC58" s="155"/>
      <c r="AD58" s="154"/>
      <c r="AE58" s="154"/>
      <c r="AF58" s="155"/>
      <c r="AG58" s="155"/>
      <c r="AH58" s="154"/>
      <c r="AI58" s="154"/>
      <c r="AJ58" s="114"/>
      <c r="AK58" s="116"/>
      <c r="AL58" s="154" t="s">
        <v>41</v>
      </c>
      <c r="AM58" s="155"/>
      <c r="AN58" s="155"/>
      <c r="AO58" s="114"/>
      <c r="AP58" s="154" t="s">
        <v>129</v>
      </c>
      <c r="AQ58" s="155"/>
      <c r="AR58" s="336"/>
      <c r="AS58" s="154"/>
      <c r="AT58" s="155"/>
      <c r="AU58" s="154"/>
      <c r="AV58" s="154"/>
      <c r="AW58" s="154"/>
      <c r="AX58" s="155"/>
      <c r="AY58" s="155"/>
      <c r="AZ58" s="155"/>
      <c r="BA58" s="336"/>
      <c r="BB58" s="155"/>
      <c r="BC58" s="155"/>
      <c r="BD58" s="114"/>
      <c r="BE58" s="154"/>
      <c r="BF58" s="337" t="s">
        <v>41</v>
      </c>
      <c r="BG58" s="155"/>
      <c r="BH58" s="154"/>
      <c r="BI58" s="116"/>
      <c r="BJ58" s="154" t="s">
        <v>65</v>
      </c>
      <c r="BK58" s="155"/>
      <c r="BL58" s="156"/>
      <c r="BM58" s="115"/>
      <c r="BN58" s="155"/>
      <c r="BO58" s="158" t="s">
        <v>189</v>
      </c>
      <c r="BP58" s="155"/>
      <c r="BQ58" s="155"/>
      <c r="BR58" s="154"/>
      <c r="BS58" s="154"/>
      <c r="BT58" s="154"/>
      <c r="BU58" s="154"/>
      <c r="BV58" s="114"/>
      <c r="BW58" s="458" t="s">
        <v>461</v>
      </c>
      <c r="BX58" s="459"/>
      <c r="BY58" s="459"/>
      <c r="BZ58" s="459"/>
      <c r="CA58" s="459"/>
      <c r="CB58" s="459"/>
      <c r="CC58" s="460"/>
      <c r="CD58" s="159"/>
      <c r="CE58" s="138"/>
      <c r="CF58" s="66"/>
      <c r="CG58" s="265"/>
    </row>
    <row r="59" spans="1:85" s="41" customFormat="1" ht="19.5" customHeight="1">
      <c r="A59" s="261"/>
      <c r="B59" s="72"/>
      <c r="C59" s="137"/>
      <c r="D59" s="445" t="s">
        <v>42</v>
      </c>
      <c r="E59" s="446"/>
      <c r="F59" s="447"/>
      <c r="G59" s="216" t="s">
        <v>40</v>
      </c>
      <c r="H59" s="105"/>
      <c r="I59" s="121"/>
      <c r="J59" s="121"/>
      <c r="K59" s="302"/>
      <c r="L59" s="216" t="s">
        <v>268</v>
      </c>
      <c r="M59" s="301"/>
      <c r="N59" s="301"/>
      <c r="O59" s="301"/>
      <c r="P59" s="301"/>
      <c r="Q59" s="302"/>
      <c r="R59" s="216" t="s">
        <v>268</v>
      </c>
      <c r="S59" s="301"/>
      <c r="T59" s="217"/>
      <c r="U59" s="217"/>
      <c r="V59" s="218"/>
      <c r="W59" s="219"/>
      <c r="X59" s="85" t="s">
        <v>269</v>
      </c>
      <c r="Y59" s="301"/>
      <c r="Z59" s="121"/>
      <c r="AA59" s="105"/>
      <c r="AB59" s="121"/>
      <c r="AC59" s="121"/>
      <c r="AD59" s="301"/>
      <c r="AE59" s="301"/>
      <c r="AF59" s="121"/>
      <c r="AG59" s="121"/>
      <c r="AH59" s="301"/>
      <c r="AI59" s="301"/>
      <c r="AJ59" s="302"/>
      <c r="AK59" s="300"/>
      <c r="AL59" s="301" t="s">
        <v>41</v>
      </c>
      <c r="AM59" s="121"/>
      <c r="AN59" s="121"/>
      <c r="AO59" s="302"/>
      <c r="AP59" s="105" t="s">
        <v>274</v>
      </c>
      <c r="AQ59" s="121"/>
      <c r="AR59" s="301"/>
      <c r="AS59" s="301"/>
      <c r="AT59" s="121"/>
      <c r="AU59" s="301"/>
      <c r="AV59" s="301"/>
      <c r="AW59" s="301"/>
      <c r="AX59" s="121"/>
      <c r="AY59" s="121"/>
      <c r="AZ59" s="121"/>
      <c r="BA59" s="105"/>
      <c r="BB59" s="121"/>
      <c r="BC59" s="121"/>
      <c r="BD59" s="302"/>
      <c r="BE59" s="300"/>
      <c r="BF59" s="230" t="s">
        <v>41</v>
      </c>
      <c r="BG59" s="105"/>
      <c r="BH59" s="301"/>
      <c r="BI59" s="300"/>
      <c r="BJ59" s="301" t="s">
        <v>65</v>
      </c>
      <c r="BK59" s="121"/>
      <c r="BL59" s="157"/>
      <c r="BM59" s="120"/>
      <c r="BN59" s="121"/>
      <c r="BO59" s="231" t="s">
        <v>189</v>
      </c>
      <c r="BP59" s="121"/>
      <c r="BQ59" s="121"/>
      <c r="BR59" s="301"/>
      <c r="BS59" s="301"/>
      <c r="BT59" s="301"/>
      <c r="BU59" s="301"/>
      <c r="BV59" s="302"/>
      <c r="BW59" s="458" t="s">
        <v>461</v>
      </c>
      <c r="BX59" s="459"/>
      <c r="BY59" s="459"/>
      <c r="BZ59" s="459"/>
      <c r="CA59" s="459"/>
      <c r="CB59" s="459"/>
      <c r="CC59" s="460"/>
      <c r="CD59" s="138"/>
      <c r="CE59" s="138"/>
      <c r="CF59" s="66"/>
      <c r="CG59" s="265"/>
    </row>
    <row r="60" spans="1:85" s="97" customFormat="1" ht="19.5" customHeight="1">
      <c r="A60" s="261"/>
      <c r="B60" s="72"/>
      <c r="C60" s="335"/>
      <c r="D60" s="445" t="s">
        <v>42</v>
      </c>
      <c r="E60" s="446"/>
      <c r="F60" s="447"/>
      <c r="G60" s="120"/>
      <c r="H60" s="121"/>
      <c r="I60" s="121"/>
      <c r="J60" s="121"/>
      <c r="K60" s="302"/>
      <c r="L60" s="105"/>
      <c r="M60" s="105"/>
      <c r="N60" s="121"/>
      <c r="O60" s="105"/>
      <c r="P60" s="301"/>
      <c r="Q60" s="301"/>
      <c r="R60" s="300"/>
      <c r="S60" s="301"/>
      <c r="T60" s="301"/>
      <c r="U60" s="301"/>
      <c r="V60" s="301"/>
      <c r="W60" s="122"/>
      <c r="X60" s="301"/>
      <c r="Y60" s="301"/>
      <c r="Z60" s="105"/>
      <c r="AA60" s="301"/>
      <c r="AB60" s="121"/>
      <c r="AC60" s="121"/>
      <c r="AD60" s="301"/>
      <c r="AE60" s="301"/>
      <c r="AF60" s="121"/>
      <c r="AG60" s="105"/>
      <c r="AH60" s="301"/>
      <c r="AI60" s="301"/>
      <c r="AJ60" s="302"/>
      <c r="AK60" s="300"/>
      <c r="AL60" s="301"/>
      <c r="AM60" s="121"/>
      <c r="AN60" s="121"/>
      <c r="AO60" s="122"/>
      <c r="AP60" s="121"/>
      <c r="AQ60" s="121"/>
      <c r="AR60" s="301"/>
      <c r="AS60" s="301"/>
      <c r="AT60" s="121"/>
      <c r="AU60" s="301"/>
      <c r="AV60" s="301"/>
      <c r="AW60" s="301"/>
      <c r="AX60" s="121"/>
      <c r="AY60" s="121"/>
      <c r="AZ60" s="105"/>
      <c r="BA60" s="301"/>
      <c r="BB60" s="121"/>
      <c r="BC60" s="121"/>
      <c r="BD60" s="122"/>
      <c r="BE60" s="301"/>
      <c r="BF60" s="105"/>
      <c r="BG60" s="301"/>
      <c r="BH60" s="301"/>
      <c r="BI60" s="300"/>
      <c r="BJ60" s="301"/>
      <c r="BK60" s="121"/>
      <c r="BL60" s="302"/>
      <c r="BM60" s="120"/>
      <c r="BN60" s="121"/>
      <c r="BO60" s="121"/>
      <c r="BP60" s="121"/>
      <c r="BQ60" s="121"/>
      <c r="BR60" s="301"/>
      <c r="BS60" s="301"/>
      <c r="BT60" s="301"/>
      <c r="BU60" s="301"/>
      <c r="BV60" s="302"/>
      <c r="BW60" s="448"/>
      <c r="BX60" s="449"/>
      <c r="BY60" s="449"/>
      <c r="BZ60" s="449"/>
      <c r="CA60" s="449"/>
      <c r="CB60" s="449"/>
      <c r="CC60" s="450"/>
      <c r="CD60" s="159"/>
      <c r="CE60" s="138"/>
      <c r="CF60" s="66"/>
      <c r="CG60" s="265"/>
    </row>
    <row r="61" spans="1:85" s="97" customFormat="1" ht="19.5" customHeight="1">
      <c r="A61" s="261"/>
      <c r="B61" s="72"/>
      <c r="C61" s="335"/>
      <c r="D61" s="445" t="s">
        <v>42</v>
      </c>
      <c r="E61" s="446"/>
      <c r="F61" s="447"/>
      <c r="G61" s="120"/>
      <c r="H61" s="121"/>
      <c r="I61" s="121"/>
      <c r="J61" s="121"/>
      <c r="K61" s="302"/>
      <c r="L61" s="105"/>
      <c r="M61" s="105"/>
      <c r="N61" s="121"/>
      <c r="O61" s="105"/>
      <c r="P61" s="301"/>
      <c r="Q61" s="301"/>
      <c r="R61" s="300"/>
      <c r="S61" s="301"/>
      <c r="T61" s="301"/>
      <c r="U61" s="301"/>
      <c r="V61" s="301"/>
      <c r="W61" s="122"/>
      <c r="X61" s="301"/>
      <c r="Y61" s="301"/>
      <c r="Z61" s="105"/>
      <c r="AA61" s="301"/>
      <c r="AB61" s="121"/>
      <c r="AC61" s="121"/>
      <c r="AD61" s="301"/>
      <c r="AE61" s="301"/>
      <c r="AF61" s="121"/>
      <c r="AG61" s="105"/>
      <c r="AH61" s="301"/>
      <c r="AI61" s="301"/>
      <c r="AJ61" s="302"/>
      <c r="AK61" s="300"/>
      <c r="AL61" s="301"/>
      <c r="AM61" s="121"/>
      <c r="AN61" s="121"/>
      <c r="AO61" s="122"/>
      <c r="AP61" s="121"/>
      <c r="AQ61" s="121"/>
      <c r="AR61" s="301"/>
      <c r="AS61" s="301"/>
      <c r="AT61" s="121"/>
      <c r="AU61" s="301"/>
      <c r="AV61" s="301"/>
      <c r="AW61" s="301"/>
      <c r="AX61" s="121"/>
      <c r="AY61" s="121"/>
      <c r="AZ61" s="105"/>
      <c r="BA61" s="301"/>
      <c r="BB61" s="121"/>
      <c r="BC61" s="121"/>
      <c r="BD61" s="122"/>
      <c r="BE61" s="301"/>
      <c r="BF61" s="105"/>
      <c r="BG61" s="301"/>
      <c r="BH61" s="301"/>
      <c r="BI61" s="300"/>
      <c r="BJ61" s="301"/>
      <c r="BK61" s="121"/>
      <c r="BL61" s="302"/>
      <c r="BM61" s="120"/>
      <c r="BN61" s="121"/>
      <c r="BO61" s="121"/>
      <c r="BP61" s="121"/>
      <c r="BQ61" s="121"/>
      <c r="BR61" s="301"/>
      <c r="BS61" s="301"/>
      <c r="BT61" s="301"/>
      <c r="BU61" s="301"/>
      <c r="BV61" s="302"/>
      <c r="BW61" s="448"/>
      <c r="BX61" s="449"/>
      <c r="BY61" s="449"/>
      <c r="BZ61" s="449"/>
      <c r="CA61" s="449"/>
      <c r="CB61" s="449"/>
      <c r="CC61" s="450"/>
      <c r="CD61" s="159"/>
      <c r="CE61" s="138"/>
      <c r="CF61" s="66"/>
      <c r="CG61" s="265"/>
    </row>
    <row r="62" spans="1:85" s="97" customFormat="1" ht="19.5" customHeight="1">
      <c r="A62" s="261"/>
      <c r="B62" s="72"/>
      <c r="C62" s="137"/>
      <c r="D62" s="445" t="s">
        <v>42</v>
      </c>
      <c r="E62" s="446"/>
      <c r="F62" s="447"/>
      <c r="G62" s="120"/>
      <c r="H62" s="121"/>
      <c r="I62" s="121"/>
      <c r="J62" s="121"/>
      <c r="K62" s="302"/>
      <c r="L62" s="105"/>
      <c r="M62" s="105"/>
      <c r="N62" s="121"/>
      <c r="O62" s="105"/>
      <c r="P62" s="301"/>
      <c r="Q62" s="301"/>
      <c r="R62" s="300"/>
      <c r="S62" s="301"/>
      <c r="T62" s="301"/>
      <c r="U62" s="301"/>
      <c r="V62" s="301"/>
      <c r="W62" s="122"/>
      <c r="X62" s="301"/>
      <c r="Y62" s="301"/>
      <c r="Z62" s="105"/>
      <c r="AA62" s="301"/>
      <c r="AB62" s="121"/>
      <c r="AC62" s="121"/>
      <c r="AD62" s="301"/>
      <c r="AE62" s="301"/>
      <c r="AF62" s="121"/>
      <c r="AG62" s="105"/>
      <c r="AH62" s="301"/>
      <c r="AI62" s="301"/>
      <c r="AJ62" s="302"/>
      <c r="AK62" s="300"/>
      <c r="AL62" s="301"/>
      <c r="AM62" s="121"/>
      <c r="AN62" s="121"/>
      <c r="AO62" s="122"/>
      <c r="AP62" s="121"/>
      <c r="AQ62" s="121"/>
      <c r="AR62" s="301"/>
      <c r="AS62" s="301"/>
      <c r="AT62" s="121"/>
      <c r="AU62" s="301"/>
      <c r="AV62" s="301"/>
      <c r="AW62" s="301"/>
      <c r="AX62" s="121"/>
      <c r="AY62" s="121"/>
      <c r="AZ62" s="105"/>
      <c r="BA62" s="301"/>
      <c r="BB62" s="121"/>
      <c r="BC62" s="121"/>
      <c r="BD62" s="122"/>
      <c r="BE62" s="301"/>
      <c r="BF62" s="105"/>
      <c r="BG62" s="301"/>
      <c r="BH62" s="301"/>
      <c r="BI62" s="300"/>
      <c r="BJ62" s="301"/>
      <c r="BK62" s="121"/>
      <c r="BL62" s="302"/>
      <c r="BM62" s="120"/>
      <c r="BN62" s="121"/>
      <c r="BO62" s="121"/>
      <c r="BP62" s="121"/>
      <c r="BQ62" s="121"/>
      <c r="BR62" s="301"/>
      <c r="BS62" s="301"/>
      <c r="BT62" s="301"/>
      <c r="BU62" s="301"/>
      <c r="BV62" s="302"/>
      <c r="BW62" s="448"/>
      <c r="BX62" s="449"/>
      <c r="BY62" s="449"/>
      <c r="BZ62" s="449"/>
      <c r="CA62" s="449"/>
      <c r="CB62" s="449"/>
      <c r="CC62" s="450"/>
      <c r="CD62" s="159"/>
      <c r="CE62" s="138"/>
      <c r="CF62" s="66"/>
      <c r="CG62" s="265"/>
    </row>
    <row r="63" spans="1:85" s="97" customFormat="1" ht="19.5" customHeight="1">
      <c r="A63" s="261"/>
      <c r="B63" s="72"/>
      <c r="C63" s="137"/>
      <c r="D63" s="445" t="s">
        <v>42</v>
      </c>
      <c r="E63" s="446"/>
      <c r="F63" s="447"/>
      <c r="G63" s="120"/>
      <c r="H63" s="121"/>
      <c r="I63" s="121"/>
      <c r="J63" s="121"/>
      <c r="K63" s="302"/>
      <c r="L63" s="105"/>
      <c r="M63" s="105"/>
      <c r="N63" s="121"/>
      <c r="O63" s="105"/>
      <c r="P63" s="301"/>
      <c r="Q63" s="301"/>
      <c r="R63" s="300"/>
      <c r="S63" s="301"/>
      <c r="T63" s="301"/>
      <c r="U63" s="301"/>
      <c r="V63" s="301"/>
      <c r="W63" s="122"/>
      <c r="X63" s="301"/>
      <c r="Y63" s="301"/>
      <c r="Z63" s="105"/>
      <c r="AA63" s="301"/>
      <c r="AB63" s="121"/>
      <c r="AC63" s="121"/>
      <c r="AD63" s="301"/>
      <c r="AE63" s="301"/>
      <c r="AF63" s="121"/>
      <c r="AG63" s="105"/>
      <c r="AH63" s="301"/>
      <c r="AI63" s="301"/>
      <c r="AJ63" s="302"/>
      <c r="AK63" s="300"/>
      <c r="AL63" s="301"/>
      <c r="AM63" s="121"/>
      <c r="AN63" s="121"/>
      <c r="AO63" s="122"/>
      <c r="AP63" s="121"/>
      <c r="AQ63" s="121"/>
      <c r="AR63" s="301"/>
      <c r="AS63" s="301"/>
      <c r="AT63" s="121"/>
      <c r="AU63" s="301"/>
      <c r="AV63" s="301"/>
      <c r="AW63" s="301"/>
      <c r="AX63" s="121"/>
      <c r="AY63" s="121"/>
      <c r="AZ63" s="105"/>
      <c r="BA63" s="301"/>
      <c r="BB63" s="121"/>
      <c r="BC63" s="121"/>
      <c r="BD63" s="122"/>
      <c r="BE63" s="301"/>
      <c r="BF63" s="105"/>
      <c r="BG63" s="301"/>
      <c r="BH63" s="301"/>
      <c r="BI63" s="300"/>
      <c r="BJ63" s="301"/>
      <c r="BK63" s="121"/>
      <c r="BL63" s="302"/>
      <c r="BM63" s="120"/>
      <c r="BN63" s="121"/>
      <c r="BO63" s="121"/>
      <c r="BP63" s="121"/>
      <c r="BQ63" s="121"/>
      <c r="BR63" s="301"/>
      <c r="BS63" s="301"/>
      <c r="BT63" s="301"/>
      <c r="BU63" s="301"/>
      <c r="BV63" s="302"/>
      <c r="BW63" s="448"/>
      <c r="BX63" s="449"/>
      <c r="BY63" s="449"/>
      <c r="BZ63" s="449"/>
      <c r="CA63" s="449"/>
      <c r="CB63" s="449"/>
      <c r="CC63" s="450"/>
      <c r="CD63" s="159"/>
      <c r="CE63" s="138"/>
      <c r="CF63" s="66"/>
      <c r="CG63" s="265"/>
    </row>
    <row r="64" spans="1:85" ht="19.5" customHeight="1">
      <c r="A64" s="261"/>
      <c r="B64" s="72"/>
      <c r="C64" s="335"/>
      <c r="D64" s="445" t="s">
        <v>42</v>
      </c>
      <c r="E64" s="446"/>
      <c r="F64" s="447"/>
      <c r="G64" s="120"/>
      <c r="H64" s="121"/>
      <c r="I64" s="121"/>
      <c r="J64" s="121"/>
      <c r="K64" s="302"/>
      <c r="L64" s="105"/>
      <c r="M64" s="105"/>
      <c r="N64" s="121"/>
      <c r="O64" s="105"/>
      <c r="P64" s="301"/>
      <c r="Q64" s="301"/>
      <c r="R64" s="300"/>
      <c r="S64" s="301"/>
      <c r="T64" s="301"/>
      <c r="U64" s="301"/>
      <c r="V64" s="301"/>
      <c r="W64" s="122"/>
      <c r="X64" s="301"/>
      <c r="Y64" s="301"/>
      <c r="Z64" s="105"/>
      <c r="AA64" s="301"/>
      <c r="AB64" s="121"/>
      <c r="AC64" s="121"/>
      <c r="AD64" s="301"/>
      <c r="AE64" s="301"/>
      <c r="AF64" s="121"/>
      <c r="AG64" s="105"/>
      <c r="AH64" s="301"/>
      <c r="AI64" s="301"/>
      <c r="AJ64" s="302"/>
      <c r="AK64" s="300"/>
      <c r="AL64" s="301"/>
      <c r="AM64" s="121"/>
      <c r="AN64" s="121"/>
      <c r="AO64" s="122"/>
      <c r="AP64" s="121"/>
      <c r="AQ64" s="121"/>
      <c r="AR64" s="301"/>
      <c r="AS64" s="301"/>
      <c r="AT64" s="121"/>
      <c r="AU64" s="301"/>
      <c r="AV64" s="301"/>
      <c r="AW64" s="301"/>
      <c r="AX64" s="121"/>
      <c r="AY64" s="121"/>
      <c r="AZ64" s="105"/>
      <c r="BA64" s="301"/>
      <c r="BB64" s="121"/>
      <c r="BC64" s="121"/>
      <c r="BD64" s="122"/>
      <c r="BE64" s="301"/>
      <c r="BF64" s="105"/>
      <c r="BG64" s="301"/>
      <c r="BH64" s="301"/>
      <c r="BI64" s="300"/>
      <c r="BJ64" s="301"/>
      <c r="BK64" s="121"/>
      <c r="BL64" s="302"/>
      <c r="BM64" s="120"/>
      <c r="BN64" s="121"/>
      <c r="BO64" s="121"/>
      <c r="BP64" s="121"/>
      <c r="BQ64" s="121"/>
      <c r="BR64" s="301"/>
      <c r="BS64" s="301"/>
      <c r="BT64" s="301"/>
      <c r="BU64" s="301"/>
      <c r="BV64" s="302"/>
      <c r="BW64" s="448"/>
      <c r="BX64" s="449"/>
      <c r="BY64" s="449"/>
      <c r="BZ64" s="449"/>
      <c r="CA64" s="449"/>
      <c r="CB64" s="449"/>
      <c r="CC64" s="450"/>
      <c r="CD64" s="138"/>
      <c r="CE64" s="138"/>
      <c r="CF64" s="66"/>
      <c r="CG64" s="265"/>
    </row>
    <row r="65" spans="1:85" ht="19.5" customHeight="1">
      <c r="A65" s="261"/>
      <c r="B65" s="72"/>
      <c r="C65" s="335"/>
      <c r="D65" s="445" t="s">
        <v>42</v>
      </c>
      <c r="E65" s="446"/>
      <c r="F65" s="447"/>
      <c r="G65" s="120"/>
      <c r="H65" s="121"/>
      <c r="I65" s="121"/>
      <c r="J65" s="121"/>
      <c r="K65" s="302"/>
      <c r="L65" s="105"/>
      <c r="M65" s="105"/>
      <c r="N65" s="121"/>
      <c r="O65" s="105"/>
      <c r="P65" s="301"/>
      <c r="Q65" s="301"/>
      <c r="R65" s="300"/>
      <c r="S65" s="301"/>
      <c r="T65" s="301"/>
      <c r="U65" s="301"/>
      <c r="V65" s="301"/>
      <c r="W65" s="122"/>
      <c r="X65" s="301"/>
      <c r="Y65" s="301"/>
      <c r="Z65" s="105"/>
      <c r="AA65" s="301"/>
      <c r="AB65" s="121"/>
      <c r="AC65" s="121"/>
      <c r="AD65" s="301"/>
      <c r="AE65" s="301"/>
      <c r="AF65" s="121"/>
      <c r="AG65" s="105"/>
      <c r="AH65" s="301"/>
      <c r="AI65" s="301"/>
      <c r="AJ65" s="302"/>
      <c r="AK65" s="300"/>
      <c r="AL65" s="301"/>
      <c r="AM65" s="121"/>
      <c r="AN65" s="121"/>
      <c r="AO65" s="122"/>
      <c r="AP65" s="121"/>
      <c r="AQ65" s="121"/>
      <c r="AR65" s="301"/>
      <c r="AS65" s="301"/>
      <c r="AT65" s="121"/>
      <c r="AU65" s="301"/>
      <c r="AV65" s="301"/>
      <c r="AW65" s="301"/>
      <c r="AX65" s="121"/>
      <c r="AY65" s="121"/>
      <c r="AZ65" s="105"/>
      <c r="BA65" s="301"/>
      <c r="BB65" s="121"/>
      <c r="BC65" s="121"/>
      <c r="BD65" s="122"/>
      <c r="BE65" s="301"/>
      <c r="BF65" s="105"/>
      <c r="BG65" s="301"/>
      <c r="BH65" s="301"/>
      <c r="BI65" s="300"/>
      <c r="BJ65" s="301"/>
      <c r="BK65" s="121"/>
      <c r="BL65" s="302"/>
      <c r="BM65" s="120"/>
      <c r="BN65" s="121"/>
      <c r="BO65" s="121"/>
      <c r="BP65" s="121"/>
      <c r="BQ65" s="121"/>
      <c r="BR65" s="301"/>
      <c r="BS65" s="301"/>
      <c r="BT65" s="301"/>
      <c r="BU65" s="301"/>
      <c r="BV65" s="302"/>
      <c r="BW65" s="448"/>
      <c r="BX65" s="449"/>
      <c r="BY65" s="449"/>
      <c r="BZ65" s="449"/>
      <c r="CA65" s="449"/>
      <c r="CB65" s="449"/>
      <c r="CC65" s="450"/>
      <c r="CD65" s="159"/>
      <c r="CE65" s="138"/>
      <c r="CF65" s="66"/>
      <c r="CG65" s="265"/>
    </row>
    <row r="66" spans="1:85" ht="19.5" customHeight="1">
      <c r="A66" s="261"/>
      <c r="B66" s="72"/>
      <c r="C66" s="335"/>
      <c r="D66" s="445" t="s">
        <v>42</v>
      </c>
      <c r="E66" s="446"/>
      <c r="F66" s="447"/>
      <c r="G66" s="120"/>
      <c r="H66" s="121"/>
      <c r="I66" s="121"/>
      <c r="J66" s="121"/>
      <c r="K66" s="302"/>
      <c r="L66" s="105"/>
      <c r="M66" s="105"/>
      <c r="N66" s="121"/>
      <c r="O66" s="105"/>
      <c r="P66" s="301"/>
      <c r="Q66" s="301"/>
      <c r="R66" s="300"/>
      <c r="S66" s="301"/>
      <c r="T66" s="301"/>
      <c r="U66" s="301"/>
      <c r="V66" s="301"/>
      <c r="W66" s="122"/>
      <c r="X66" s="301"/>
      <c r="Y66" s="301"/>
      <c r="Z66" s="105"/>
      <c r="AA66" s="301"/>
      <c r="AB66" s="121"/>
      <c r="AC66" s="121"/>
      <c r="AD66" s="301"/>
      <c r="AE66" s="301"/>
      <c r="AF66" s="121"/>
      <c r="AG66" s="105"/>
      <c r="AH66" s="301"/>
      <c r="AI66" s="301"/>
      <c r="AJ66" s="302"/>
      <c r="AK66" s="300"/>
      <c r="AL66" s="301"/>
      <c r="AM66" s="121"/>
      <c r="AN66" s="121"/>
      <c r="AO66" s="122"/>
      <c r="AP66" s="121"/>
      <c r="AQ66" s="121"/>
      <c r="AR66" s="301"/>
      <c r="AS66" s="301"/>
      <c r="AT66" s="121"/>
      <c r="AU66" s="301"/>
      <c r="AV66" s="301"/>
      <c r="AW66" s="301"/>
      <c r="AX66" s="121"/>
      <c r="AY66" s="121"/>
      <c r="AZ66" s="105"/>
      <c r="BA66" s="301"/>
      <c r="BB66" s="121"/>
      <c r="BC66" s="121"/>
      <c r="BD66" s="122"/>
      <c r="BE66" s="301"/>
      <c r="BF66" s="105"/>
      <c r="BG66" s="301"/>
      <c r="BH66" s="301"/>
      <c r="BI66" s="300"/>
      <c r="BJ66" s="301"/>
      <c r="BK66" s="121"/>
      <c r="BL66" s="302"/>
      <c r="BM66" s="120"/>
      <c r="BN66" s="121"/>
      <c r="BO66" s="121"/>
      <c r="BP66" s="121"/>
      <c r="BQ66" s="121"/>
      <c r="BR66" s="301"/>
      <c r="BS66" s="301"/>
      <c r="BT66" s="301"/>
      <c r="BU66" s="301"/>
      <c r="BV66" s="302"/>
      <c r="BW66" s="448"/>
      <c r="BX66" s="449"/>
      <c r="BY66" s="449"/>
      <c r="BZ66" s="449"/>
      <c r="CA66" s="449"/>
      <c r="CB66" s="449"/>
      <c r="CC66" s="450"/>
      <c r="CD66" s="138"/>
      <c r="CE66" s="138"/>
      <c r="CF66" s="66"/>
      <c r="CG66" s="265"/>
    </row>
    <row r="67" spans="1:85" ht="19.5" customHeight="1">
      <c r="A67" s="261"/>
      <c r="B67" s="72"/>
      <c r="C67" s="335"/>
      <c r="D67" s="445" t="s">
        <v>42</v>
      </c>
      <c r="E67" s="446"/>
      <c r="F67" s="447"/>
      <c r="G67" s="120"/>
      <c r="H67" s="121"/>
      <c r="I67" s="121"/>
      <c r="J67" s="121"/>
      <c r="K67" s="302"/>
      <c r="L67" s="105"/>
      <c r="M67" s="105"/>
      <c r="N67" s="121"/>
      <c r="O67" s="105"/>
      <c r="P67" s="301"/>
      <c r="Q67" s="301"/>
      <c r="R67" s="300"/>
      <c r="S67" s="301"/>
      <c r="T67" s="301"/>
      <c r="U67" s="301"/>
      <c r="V67" s="301"/>
      <c r="W67" s="122"/>
      <c r="X67" s="301"/>
      <c r="Y67" s="301"/>
      <c r="Z67" s="105"/>
      <c r="AA67" s="301"/>
      <c r="AB67" s="121"/>
      <c r="AC67" s="121"/>
      <c r="AD67" s="301"/>
      <c r="AE67" s="301"/>
      <c r="AF67" s="121"/>
      <c r="AG67" s="105"/>
      <c r="AH67" s="301"/>
      <c r="AI67" s="301"/>
      <c r="AJ67" s="302"/>
      <c r="AK67" s="300"/>
      <c r="AL67" s="301"/>
      <c r="AM67" s="121"/>
      <c r="AN67" s="121"/>
      <c r="AO67" s="122"/>
      <c r="AP67" s="121"/>
      <c r="AQ67" s="121"/>
      <c r="AR67" s="301"/>
      <c r="AS67" s="301"/>
      <c r="AT67" s="121"/>
      <c r="AU67" s="301"/>
      <c r="AV67" s="301"/>
      <c r="AW67" s="301"/>
      <c r="AX67" s="121"/>
      <c r="AY67" s="121"/>
      <c r="AZ67" s="105"/>
      <c r="BA67" s="301"/>
      <c r="BB67" s="121"/>
      <c r="BC67" s="121"/>
      <c r="BD67" s="122"/>
      <c r="BE67" s="301"/>
      <c r="BF67" s="105"/>
      <c r="BG67" s="301"/>
      <c r="BH67" s="301"/>
      <c r="BI67" s="300"/>
      <c r="BJ67" s="301"/>
      <c r="BK67" s="121"/>
      <c r="BL67" s="302"/>
      <c r="BM67" s="120"/>
      <c r="BN67" s="121"/>
      <c r="BO67" s="121"/>
      <c r="BP67" s="121"/>
      <c r="BQ67" s="121"/>
      <c r="BR67" s="301"/>
      <c r="BS67" s="301"/>
      <c r="BT67" s="301"/>
      <c r="BU67" s="301"/>
      <c r="BV67" s="302"/>
      <c r="BW67" s="448"/>
      <c r="BX67" s="449"/>
      <c r="BY67" s="449"/>
      <c r="BZ67" s="449"/>
      <c r="CA67" s="449"/>
      <c r="CB67" s="449"/>
      <c r="CC67" s="450"/>
      <c r="CD67" s="138"/>
      <c r="CE67" s="138"/>
      <c r="CF67" s="66"/>
      <c r="CG67" s="265"/>
    </row>
    <row r="68" spans="1:85" ht="19.5" customHeight="1">
      <c r="A68" s="261"/>
      <c r="B68" s="72"/>
      <c r="C68" s="137"/>
      <c r="D68" s="445" t="s">
        <v>42</v>
      </c>
      <c r="E68" s="446"/>
      <c r="F68" s="447"/>
      <c r="G68" s="120"/>
      <c r="H68" s="121"/>
      <c r="I68" s="121"/>
      <c r="J68" s="121"/>
      <c r="K68" s="302"/>
      <c r="L68" s="105"/>
      <c r="M68" s="105"/>
      <c r="N68" s="121"/>
      <c r="O68" s="105"/>
      <c r="P68" s="301"/>
      <c r="Q68" s="301"/>
      <c r="R68" s="300"/>
      <c r="S68" s="301"/>
      <c r="T68" s="301"/>
      <c r="U68" s="301"/>
      <c r="V68" s="301"/>
      <c r="W68" s="122"/>
      <c r="X68" s="301"/>
      <c r="Y68" s="301"/>
      <c r="Z68" s="105"/>
      <c r="AA68" s="301"/>
      <c r="AB68" s="121"/>
      <c r="AC68" s="121"/>
      <c r="AD68" s="301"/>
      <c r="AE68" s="301"/>
      <c r="AF68" s="121"/>
      <c r="AG68" s="105"/>
      <c r="AH68" s="301"/>
      <c r="AI68" s="301"/>
      <c r="AJ68" s="302"/>
      <c r="AK68" s="300"/>
      <c r="AL68" s="301"/>
      <c r="AM68" s="121"/>
      <c r="AN68" s="121"/>
      <c r="AO68" s="122"/>
      <c r="AP68" s="121"/>
      <c r="AQ68" s="121"/>
      <c r="AR68" s="301"/>
      <c r="AS68" s="301"/>
      <c r="AT68" s="121"/>
      <c r="AU68" s="301"/>
      <c r="AV68" s="301"/>
      <c r="AW68" s="301"/>
      <c r="AX68" s="121"/>
      <c r="AY68" s="121"/>
      <c r="AZ68" s="105"/>
      <c r="BA68" s="301"/>
      <c r="BB68" s="121"/>
      <c r="BC68" s="121"/>
      <c r="BD68" s="122"/>
      <c r="BE68" s="301"/>
      <c r="BF68" s="105"/>
      <c r="BG68" s="301"/>
      <c r="BH68" s="301"/>
      <c r="BI68" s="300"/>
      <c r="BJ68" s="301"/>
      <c r="BK68" s="121"/>
      <c r="BL68" s="302"/>
      <c r="BM68" s="120"/>
      <c r="BN68" s="121"/>
      <c r="BO68" s="121"/>
      <c r="BP68" s="121"/>
      <c r="BQ68" s="121"/>
      <c r="BR68" s="301"/>
      <c r="BS68" s="301"/>
      <c r="BT68" s="301"/>
      <c r="BU68" s="301"/>
      <c r="BV68" s="302"/>
      <c r="BW68" s="448"/>
      <c r="BX68" s="449"/>
      <c r="BY68" s="449"/>
      <c r="BZ68" s="449"/>
      <c r="CA68" s="449"/>
      <c r="CB68" s="449"/>
      <c r="CC68" s="450"/>
      <c r="CD68" s="159"/>
      <c r="CE68" s="138"/>
      <c r="CF68" s="66"/>
      <c r="CG68" s="265"/>
    </row>
    <row r="69" spans="1:85" ht="19.5" customHeight="1">
      <c r="A69" s="261"/>
      <c r="B69" s="72"/>
      <c r="C69" s="137"/>
      <c r="D69" s="445" t="s">
        <v>42</v>
      </c>
      <c r="E69" s="446"/>
      <c r="F69" s="447"/>
      <c r="G69" s="120"/>
      <c r="H69" s="121"/>
      <c r="I69" s="121"/>
      <c r="J69" s="121"/>
      <c r="K69" s="302"/>
      <c r="L69" s="105"/>
      <c r="M69" s="105"/>
      <c r="N69" s="121"/>
      <c r="O69" s="105"/>
      <c r="P69" s="301"/>
      <c r="Q69" s="301"/>
      <c r="R69" s="300"/>
      <c r="S69" s="301"/>
      <c r="T69" s="301"/>
      <c r="U69" s="301"/>
      <c r="V69" s="301"/>
      <c r="W69" s="122"/>
      <c r="X69" s="301"/>
      <c r="Y69" s="301"/>
      <c r="Z69" s="105"/>
      <c r="AA69" s="301"/>
      <c r="AB69" s="121"/>
      <c r="AC69" s="121"/>
      <c r="AD69" s="301"/>
      <c r="AE69" s="301"/>
      <c r="AF69" s="121"/>
      <c r="AG69" s="105"/>
      <c r="AH69" s="301"/>
      <c r="AI69" s="301"/>
      <c r="AJ69" s="302"/>
      <c r="AK69" s="300"/>
      <c r="AL69" s="301"/>
      <c r="AM69" s="121"/>
      <c r="AN69" s="121"/>
      <c r="AO69" s="122"/>
      <c r="AP69" s="121"/>
      <c r="AQ69" s="121"/>
      <c r="AR69" s="301"/>
      <c r="AS69" s="301"/>
      <c r="AT69" s="121"/>
      <c r="AU69" s="301"/>
      <c r="AV69" s="301"/>
      <c r="AW69" s="301"/>
      <c r="AX69" s="121"/>
      <c r="AY69" s="121"/>
      <c r="AZ69" s="105"/>
      <c r="BA69" s="301"/>
      <c r="BB69" s="121"/>
      <c r="BC69" s="121"/>
      <c r="BD69" s="122"/>
      <c r="BE69" s="301"/>
      <c r="BF69" s="105"/>
      <c r="BG69" s="301"/>
      <c r="BH69" s="301"/>
      <c r="BI69" s="300"/>
      <c r="BJ69" s="301"/>
      <c r="BK69" s="121"/>
      <c r="BL69" s="302"/>
      <c r="BM69" s="120"/>
      <c r="BN69" s="121"/>
      <c r="BO69" s="121"/>
      <c r="BP69" s="121"/>
      <c r="BQ69" s="121"/>
      <c r="BR69" s="301"/>
      <c r="BS69" s="301"/>
      <c r="BT69" s="301"/>
      <c r="BU69" s="301"/>
      <c r="BV69" s="302"/>
      <c r="BW69" s="448"/>
      <c r="BX69" s="449"/>
      <c r="BY69" s="449"/>
      <c r="BZ69" s="449"/>
      <c r="CA69" s="449"/>
      <c r="CB69" s="449"/>
      <c r="CC69" s="450"/>
      <c r="CD69" s="159"/>
      <c r="CE69" s="138"/>
      <c r="CF69" s="66"/>
      <c r="CG69" s="265"/>
    </row>
    <row r="70" spans="1:85" ht="19.5" customHeight="1">
      <c r="A70" s="261"/>
      <c r="B70" s="72"/>
      <c r="C70" s="137"/>
      <c r="D70" s="445" t="s">
        <v>42</v>
      </c>
      <c r="E70" s="446"/>
      <c r="F70" s="447"/>
      <c r="G70" s="120"/>
      <c r="H70" s="121"/>
      <c r="I70" s="121"/>
      <c r="J70" s="121"/>
      <c r="K70" s="302"/>
      <c r="L70" s="105"/>
      <c r="M70" s="105"/>
      <c r="N70" s="121"/>
      <c r="O70" s="105"/>
      <c r="P70" s="301"/>
      <c r="Q70" s="301"/>
      <c r="R70" s="300"/>
      <c r="S70" s="301"/>
      <c r="T70" s="301"/>
      <c r="U70" s="301"/>
      <c r="V70" s="301"/>
      <c r="W70" s="122"/>
      <c r="X70" s="301"/>
      <c r="Y70" s="301"/>
      <c r="Z70" s="105"/>
      <c r="AA70" s="301"/>
      <c r="AB70" s="121"/>
      <c r="AC70" s="121"/>
      <c r="AD70" s="301"/>
      <c r="AE70" s="301"/>
      <c r="AF70" s="121"/>
      <c r="AG70" s="105"/>
      <c r="AH70" s="301"/>
      <c r="AI70" s="301"/>
      <c r="AJ70" s="302"/>
      <c r="AK70" s="300"/>
      <c r="AL70" s="301"/>
      <c r="AM70" s="121"/>
      <c r="AN70" s="121"/>
      <c r="AO70" s="122"/>
      <c r="AP70" s="121"/>
      <c r="AQ70" s="121"/>
      <c r="AR70" s="301"/>
      <c r="AS70" s="301"/>
      <c r="AT70" s="121"/>
      <c r="AU70" s="301"/>
      <c r="AV70" s="301"/>
      <c r="AW70" s="301"/>
      <c r="AX70" s="121"/>
      <c r="AY70" s="121"/>
      <c r="AZ70" s="105"/>
      <c r="BA70" s="301"/>
      <c r="BB70" s="121"/>
      <c r="BC70" s="121"/>
      <c r="BD70" s="122"/>
      <c r="BE70" s="301"/>
      <c r="BF70" s="105"/>
      <c r="BG70" s="301"/>
      <c r="BH70" s="301"/>
      <c r="BI70" s="300"/>
      <c r="BJ70" s="301"/>
      <c r="BK70" s="121"/>
      <c r="BL70" s="302"/>
      <c r="BM70" s="120"/>
      <c r="BN70" s="121"/>
      <c r="BO70" s="121"/>
      <c r="BP70" s="121"/>
      <c r="BQ70" s="121"/>
      <c r="BR70" s="301"/>
      <c r="BS70" s="301"/>
      <c r="BT70" s="301"/>
      <c r="BU70" s="301"/>
      <c r="BV70" s="302"/>
      <c r="BW70" s="448"/>
      <c r="BX70" s="449"/>
      <c r="BY70" s="449"/>
      <c r="BZ70" s="449"/>
      <c r="CA70" s="449"/>
      <c r="CB70" s="449"/>
      <c r="CC70" s="450"/>
      <c r="CD70" s="159"/>
      <c r="CE70" s="138"/>
      <c r="CF70" s="66"/>
      <c r="CG70" s="265"/>
    </row>
    <row r="71" spans="1:85" ht="19.5" customHeight="1">
      <c r="A71" s="261"/>
      <c r="B71" s="72"/>
      <c r="C71" s="137"/>
      <c r="D71" s="445" t="s">
        <v>42</v>
      </c>
      <c r="E71" s="446"/>
      <c r="F71" s="447"/>
      <c r="G71" s="120"/>
      <c r="H71" s="121"/>
      <c r="I71" s="121"/>
      <c r="J71" s="121"/>
      <c r="K71" s="302"/>
      <c r="L71" s="105"/>
      <c r="M71" s="105"/>
      <c r="N71" s="121"/>
      <c r="O71" s="105"/>
      <c r="P71" s="301"/>
      <c r="Q71" s="301"/>
      <c r="R71" s="300"/>
      <c r="S71" s="301"/>
      <c r="T71" s="301"/>
      <c r="U71" s="301"/>
      <c r="V71" s="301"/>
      <c r="W71" s="122"/>
      <c r="X71" s="301"/>
      <c r="Y71" s="301"/>
      <c r="Z71" s="105"/>
      <c r="AA71" s="301"/>
      <c r="AB71" s="121"/>
      <c r="AC71" s="121"/>
      <c r="AD71" s="301"/>
      <c r="AE71" s="301"/>
      <c r="AF71" s="121"/>
      <c r="AG71" s="105"/>
      <c r="AH71" s="301"/>
      <c r="AI71" s="301"/>
      <c r="AJ71" s="302"/>
      <c r="AK71" s="300"/>
      <c r="AL71" s="301"/>
      <c r="AM71" s="121"/>
      <c r="AN71" s="121"/>
      <c r="AO71" s="122"/>
      <c r="AP71" s="121"/>
      <c r="AQ71" s="121"/>
      <c r="AR71" s="301"/>
      <c r="AS71" s="301"/>
      <c r="AT71" s="121"/>
      <c r="AU71" s="301"/>
      <c r="AV71" s="301"/>
      <c r="AW71" s="301"/>
      <c r="AX71" s="121"/>
      <c r="AY71" s="121"/>
      <c r="AZ71" s="105"/>
      <c r="BA71" s="301"/>
      <c r="BB71" s="121"/>
      <c r="BC71" s="121"/>
      <c r="BD71" s="122"/>
      <c r="BE71" s="301"/>
      <c r="BF71" s="105"/>
      <c r="BG71" s="301"/>
      <c r="BH71" s="301"/>
      <c r="BI71" s="300"/>
      <c r="BJ71" s="301"/>
      <c r="BK71" s="121"/>
      <c r="BL71" s="302"/>
      <c r="BM71" s="120"/>
      <c r="BN71" s="121"/>
      <c r="BO71" s="121"/>
      <c r="BP71" s="121"/>
      <c r="BQ71" s="121"/>
      <c r="BR71" s="301"/>
      <c r="BS71" s="301"/>
      <c r="BT71" s="301"/>
      <c r="BU71" s="301"/>
      <c r="BV71" s="302"/>
      <c r="BW71" s="448"/>
      <c r="BX71" s="449"/>
      <c r="BY71" s="449"/>
      <c r="BZ71" s="449"/>
      <c r="CA71" s="449"/>
      <c r="CB71" s="449"/>
      <c r="CC71" s="450"/>
      <c r="CD71" s="159"/>
      <c r="CE71" s="138"/>
      <c r="CF71" s="66"/>
      <c r="CG71" s="265"/>
    </row>
    <row r="72" spans="1:85" ht="19.5" customHeight="1">
      <c r="A72" s="261"/>
      <c r="B72" s="72"/>
      <c r="C72" s="137"/>
      <c r="D72" s="445" t="s">
        <v>42</v>
      </c>
      <c r="E72" s="446"/>
      <c r="F72" s="447"/>
      <c r="G72" s="120"/>
      <c r="H72" s="121"/>
      <c r="I72" s="121"/>
      <c r="J72" s="121"/>
      <c r="K72" s="302"/>
      <c r="L72" s="105"/>
      <c r="M72" s="105"/>
      <c r="N72" s="121"/>
      <c r="O72" s="105"/>
      <c r="P72" s="301"/>
      <c r="Q72" s="301"/>
      <c r="R72" s="300"/>
      <c r="S72" s="301"/>
      <c r="T72" s="301"/>
      <c r="U72" s="301"/>
      <c r="V72" s="301"/>
      <c r="W72" s="122"/>
      <c r="X72" s="301"/>
      <c r="Y72" s="301"/>
      <c r="Z72" s="105"/>
      <c r="AA72" s="301"/>
      <c r="AB72" s="121"/>
      <c r="AC72" s="121"/>
      <c r="AD72" s="301"/>
      <c r="AE72" s="301"/>
      <c r="AF72" s="121"/>
      <c r="AG72" s="105"/>
      <c r="AH72" s="301"/>
      <c r="AI72" s="301"/>
      <c r="AJ72" s="302"/>
      <c r="AK72" s="300"/>
      <c r="AL72" s="301"/>
      <c r="AM72" s="121"/>
      <c r="AN72" s="121"/>
      <c r="AO72" s="122"/>
      <c r="AP72" s="121"/>
      <c r="AQ72" s="121"/>
      <c r="AR72" s="301"/>
      <c r="AS72" s="301"/>
      <c r="AT72" s="121"/>
      <c r="AU72" s="301"/>
      <c r="AV72" s="301"/>
      <c r="AW72" s="301"/>
      <c r="AX72" s="121"/>
      <c r="AY72" s="121"/>
      <c r="AZ72" s="105"/>
      <c r="BA72" s="301"/>
      <c r="BB72" s="121"/>
      <c r="BC72" s="121"/>
      <c r="BD72" s="122"/>
      <c r="BE72" s="301"/>
      <c r="BF72" s="105"/>
      <c r="BG72" s="301"/>
      <c r="BH72" s="301"/>
      <c r="BI72" s="300"/>
      <c r="BJ72" s="301"/>
      <c r="BK72" s="121"/>
      <c r="BL72" s="302"/>
      <c r="BM72" s="120"/>
      <c r="BN72" s="121"/>
      <c r="BO72" s="121"/>
      <c r="BP72" s="121"/>
      <c r="BQ72" s="121"/>
      <c r="BR72" s="301"/>
      <c r="BS72" s="301"/>
      <c r="BT72" s="301"/>
      <c r="BU72" s="301"/>
      <c r="BV72" s="302"/>
      <c r="BW72" s="448"/>
      <c r="BX72" s="449"/>
      <c r="BY72" s="449"/>
      <c r="BZ72" s="449"/>
      <c r="CA72" s="449"/>
      <c r="CB72" s="449"/>
      <c r="CC72" s="450"/>
      <c r="CD72" s="159"/>
      <c r="CE72" s="138"/>
      <c r="CF72" s="66"/>
      <c r="CG72" s="265"/>
    </row>
    <row r="73" spans="1:85" ht="19.5" customHeight="1">
      <c r="A73" s="261"/>
      <c r="B73" s="72"/>
      <c r="C73" s="137"/>
      <c r="D73" s="415" t="s">
        <v>258</v>
      </c>
      <c r="E73" s="416"/>
      <c r="F73" s="416"/>
      <c r="G73" s="416"/>
      <c r="H73" s="416"/>
      <c r="I73" s="416"/>
      <c r="J73" s="416"/>
      <c r="K73" s="416"/>
      <c r="L73" s="416"/>
      <c r="M73" s="416"/>
      <c r="N73" s="416"/>
      <c r="O73" s="416"/>
      <c r="P73" s="416"/>
      <c r="Q73" s="416"/>
      <c r="R73" s="416"/>
      <c r="S73" s="416"/>
      <c r="T73" s="416"/>
      <c r="U73" s="416"/>
      <c r="V73" s="416"/>
      <c r="W73" s="416"/>
      <c r="X73" s="416"/>
      <c r="Y73" s="416"/>
      <c r="Z73" s="416"/>
      <c r="AA73" s="416"/>
      <c r="AB73" s="416"/>
      <c r="AC73" s="416"/>
      <c r="AD73" s="416"/>
      <c r="AE73" s="416"/>
      <c r="AF73" s="416"/>
      <c r="AG73" s="416"/>
      <c r="AH73" s="416"/>
      <c r="AI73" s="416"/>
      <c r="AJ73" s="416"/>
      <c r="AK73" s="416"/>
      <c r="AL73" s="416"/>
      <c r="AM73" s="416"/>
      <c r="AN73" s="416"/>
      <c r="AO73" s="416"/>
      <c r="AP73" s="416"/>
      <c r="AQ73" s="416"/>
      <c r="AR73" s="416"/>
      <c r="AS73" s="416"/>
      <c r="AT73" s="416"/>
      <c r="AU73" s="416"/>
      <c r="AV73" s="416"/>
      <c r="AW73" s="416"/>
      <c r="AX73" s="416"/>
      <c r="AY73" s="416"/>
      <c r="AZ73" s="416"/>
      <c r="BA73" s="416"/>
      <c r="BB73" s="416"/>
      <c r="BC73" s="416"/>
      <c r="BD73" s="416"/>
      <c r="BE73" s="416"/>
      <c r="BF73" s="416"/>
      <c r="BG73" s="416"/>
      <c r="BH73" s="416"/>
      <c r="BI73" s="416"/>
      <c r="BJ73" s="416"/>
      <c r="BK73" s="416"/>
      <c r="BL73" s="416"/>
      <c r="BM73" s="416"/>
      <c r="BN73" s="416"/>
      <c r="BO73" s="416"/>
      <c r="BP73" s="416"/>
      <c r="BQ73" s="416"/>
      <c r="BR73" s="416"/>
      <c r="BS73" s="416"/>
      <c r="BT73" s="416"/>
      <c r="BU73" s="416"/>
      <c r="BV73" s="416"/>
      <c r="BW73" s="416"/>
      <c r="BX73" s="416"/>
      <c r="BY73" s="416"/>
      <c r="BZ73" s="416"/>
      <c r="CA73" s="416"/>
      <c r="CB73" s="416"/>
      <c r="CC73" s="417"/>
      <c r="CD73" s="138"/>
      <c r="CE73" s="138"/>
      <c r="CF73" s="66"/>
      <c r="CG73" s="265"/>
    </row>
    <row r="74" spans="1:85" ht="19.5" customHeight="1">
      <c r="A74" s="261"/>
      <c r="B74" s="72"/>
      <c r="C74" s="138"/>
      <c r="D74" s="211"/>
      <c r="E74" s="211"/>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3"/>
      <c r="AT74" s="213"/>
      <c r="AU74" s="213"/>
      <c r="AV74" s="213"/>
      <c r="AW74" s="213"/>
      <c r="AX74" s="213"/>
      <c r="AY74" s="213"/>
      <c r="AZ74" s="213"/>
      <c r="BA74" s="213"/>
      <c r="BB74" s="213"/>
      <c r="BC74" s="213"/>
      <c r="BD74" s="213"/>
      <c r="BE74" s="213"/>
      <c r="BF74" s="213"/>
      <c r="BG74" s="213"/>
      <c r="BH74" s="213"/>
      <c r="BI74" s="213"/>
      <c r="BJ74" s="213"/>
      <c r="BK74" s="213"/>
      <c r="BL74" s="213"/>
      <c r="BM74" s="214"/>
      <c r="BN74" s="214"/>
      <c r="BO74" s="214"/>
      <c r="BP74" s="214"/>
      <c r="BQ74" s="214"/>
      <c r="BR74" s="214"/>
      <c r="BS74" s="214"/>
      <c r="BT74" s="214"/>
      <c r="BU74" s="214"/>
      <c r="BV74" s="214"/>
      <c r="BW74" s="213"/>
      <c r="BX74" s="213"/>
      <c r="BY74" s="213"/>
      <c r="BZ74" s="213"/>
      <c r="CA74" s="213"/>
      <c r="CB74" s="213"/>
      <c r="CC74" s="213"/>
      <c r="CD74" s="138"/>
      <c r="CE74" s="138"/>
      <c r="CF74" s="66"/>
      <c r="CG74" s="265"/>
    </row>
    <row r="75" spans="1:85" ht="19.5" customHeight="1">
      <c r="A75" s="261"/>
      <c r="B75" s="72"/>
      <c r="C75" s="138"/>
      <c r="D75" s="338"/>
      <c r="E75" s="331"/>
      <c r="F75" s="331"/>
      <c r="G75" s="331"/>
      <c r="H75" s="331"/>
      <c r="I75" s="331"/>
      <c r="J75" s="331"/>
      <c r="K75" s="331"/>
      <c r="L75" s="220"/>
      <c r="M75" s="221"/>
      <c r="N75" s="221"/>
      <c r="O75" s="221"/>
      <c r="P75" s="221"/>
      <c r="Q75" s="221"/>
      <c r="R75" s="221"/>
      <c r="S75" s="221"/>
      <c r="T75" s="220"/>
      <c r="U75" s="221"/>
      <c r="V75" s="221"/>
      <c r="W75" s="221"/>
      <c r="X75" s="222"/>
      <c r="Y75" s="221"/>
      <c r="Z75" s="221"/>
      <c r="AA75" s="222"/>
      <c r="AB75" s="223"/>
      <c r="AC75" s="224"/>
      <c r="AD75" s="224"/>
      <c r="AE75" s="224"/>
      <c r="AF75" s="225"/>
      <c r="AG75" s="225"/>
      <c r="AH75" s="225"/>
      <c r="AI75" s="225"/>
      <c r="AJ75" s="225"/>
      <c r="AK75" s="225"/>
      <c r="AL75" s="225"/>
      <c r="AM75" s="221"/>
      <c r="AN75" s="331"/>
      <c r="AO75" s="331"/>
      <c r="AP75" s="331"/>
      <c r="AQ75" s="331"/>
      <c r="AR75" s="331"/>
      <c r="AS75" s="339"/>
      <c r="AT75" s="339"/>
      <c r="AU75" s="339"/>
      <c r="AV75" s="339"/>
      <c r="AW75" s="339"/>
      <c r="AX75" s="339"/>
      <c r="AY75" s="339"/>
      <c r="AZ75" s="339"/>
      <c r="BA75" s="339"/>
      <c r="BB75" s="339"/>
      <c r="BC75" s="339"/>
      <c r="BD75" s="339"/>
      <c r="BE75" s="339"/>
      <c r="BF75" s="339"/>
      <c r="BG75" s="339"/>
      <c r="BH75" s="339"/>
      <c r="BI75" s="339"/>
      <c r="BJ75" s="339"/>
      <c r="BK75" s="339"/>
      <c r="BL75" s="339"/>
      <c r="BM75" s="330"/>
      <c r="BN75" s="330"/>
      <c r="BO75" s="330"/>
      <c r="BP75" s="330"/>
      <c r="BQ75" s="330"/>
      <c r="BR75" s="330"/>
      <c r="BS75" s="330"/>
      <c r="BT75" s="330"/>
      <c r="BU75" s="330"/>
      <c r="BV75" s="330"/>
      <c r="BW75" s="339"/>
      <c r="BX75" s="339"/>
      <c r="BY75" s="339"/>
      <c r="BZ75" s="339"/>
      <c r="CA75" s="339"/>
      <c r="CB75" s="339"/>
      <c r="CC75" s="339"/>
      <c r="CD75" s="138"/>
      <c r="CE75" s="138"/>
      <c r="CF75" s="66"/>
      <c r="CG75" s="265"/>
    </row>
    <row r="76" spans="1:85" ht="19.5" customHeight="1" thickBot="1">
      <c r="A76" s="261"/>
      <c r="B76" s="73"/>
      <c r="C76" s="74"/>
      <c r="D76" s="74"/>
      <c r="E76" s="74"/>
      <c r="F76" s="74"/>
      <c r="G76" s="74"/>
      <c r="H76" s="74"/>
      <c r="I76" s="74"/>
      <c r="J76" s="74"/>
      <c r="K76" s="74"/>
      <c r="L76" s="226"/>
      <c r="M76" s="227"/>
      <c r="N76" s="227"/>
      <c r="O76" s="227"/>
      <c r="P76" s="227"/>
      <c r="Q76" s="227"/>
      <c r="R76" s="227"/>
      <c r="S76" s="227"/>
      <c r="T76" s="226"/>
      <c r="U76" s="227"/>
      <c r="V76" s="227"/>
      <c r="W76" s="227"/>
      <c r="X76" s="228"/>
      <c r="Y76" s="227"/>
      <c r="Z76" s="227"/>
      <c r="AA76" s="228"/>
      <c r="AB76" s="229"/>
      <c r="AC76" s="229"/>
      <c r="AD76" s="229"/>
      <c r="AE76" s="229"/>
      <c r="AF76" s="229"/>
      <c r="AG76" s="229"/>
      <c r="AH76" s="227"/>
      <c r="AI76" s="227"/>
      <c r="AJ76" s="227"/>
      <c r="AK76" s="227"/>
      <c r="AL76" s="227"/>
      <c r="AM76" s="227"/>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7"/>
      <c r="CA76" s="67"/>
      <c r="CB76" s="68"/>
      <c r="CC76" s="68"/>
      <c r="CD76" s="68"/>
      <c r="CE76" s="68"/>
      <c r="CF76" s="69"/>
      <c r="CG76" s="265"/>
    </row>
    <row r="77" spans="1:85" ht="19.5" customHeight="1">
      <c r="A77" s="261"/>
      <c r="B77" s="332"/>
      <c r="C77" s="332"/>
      <c r="D77" s="333"/>
      <c r="E77" s="333"/>
      <c r="F77" s="333"/>
      <c r="G77" s="333"/>
      <c r="H77" s="333"/>
      <c r="I77" s="333"/>
      <c r="J77" s="334"/>
      <c r="K77" s="334"/>
      <c r="L77" s="334"/>
      <c r="M77" s="334"/>
      <c r="N77" s="334"/>
      <c r="O77" s="334"/>
      <c r="P77" s="334"/>
      <c r="Q77" s="334"/>
      <c r="R77" s="334"/>
      <c r="S77" s="334"/>
      <c r="T77" s="334"/>
      <c r="U77" s="334"/>
      <c r="V77" s="334"/>
      <c r="W77" s="334"/>
      <c r="X77" s="334"/>
      <c r="Y77" s="334"/>
      <c r="Z77" s="334"/>
      <c r="AA77" s="334"/>
      <c r="AB77" s="334"/>
      <c r="AC77" s="334"/>
      <c r="AD77" s="334"/>
      <c r="AE77" s="334"/>
      <c r="AF77" s="334"/>
      <c r="AG77" s="334"/>
      <c r="AH77" s="334"/>
      <c r="AI77" s="334"/>
      <c r="AJ77" s="334"/>
      <c r="AK77" s="334"/>
      <c r="AL77" s="334"/>
      <c r="AM77" s="334"/>
      <c r="AN77" s="334"/>
      <c r="AO77" s="334"/>
      <c r="AP77" s="334"/>
      <c r="AQ77" s="334"/>
      <c r="AR77" s="333"/>
      <c r="AS77" s="333"/>
      <c r="AT77" s="333"/>
      <c r="AU77" s="333"/>
      <c r="AV77" s="333"/>
      <c r="AW77" s="333"/>
      <c r="AX77" s="333"/>
      <c r="AY77" s="333"/>
      <c r="AZ77" s="333"/>
      <c r="BA77" s="333"/>
      <c r="BB77" s="333"/>
      <c r="BC77" s="333"/>
      <c r="BD77" s="333"/>
      <c r="BE77" s="333"/>
      <c r="BF77" s="333"/>
      <c r="BG77" s="333"/>
      <c r="BH77" s="333"/>
      <c r="BI77" s="333"/>
      <c r="BJ77" s="333"/>
      <c r="BK77" s="333"/>
      <c r="BL77" s="333"/>
      <c r="BM77" s="333"/>
      <c r="BN77" s="333"/>
      <c r="BO77" s="333"/>
      <c r="BP77" s="333"/>
      <c r="BQ77" s="333"/>
      <c r="BR77" s="333"/>
      <c r="BS77" s="333"/>
      <c r="BT77" s="333"/>
      <c r="BU77" s="333"/>
      <c r="BV77" s="333"/>
      <c r="BW77" s="333"/>
      <c r="BX77" s="334"/>
      <c r="BY77" s="333"/>
      <c r="BZ77" s="333"/>
      <c r="CA77" s="333"/>
      <c r="CB77" s="334"/>
      <c r="CC77" s="334"/>
      <c r="CD77" s="333"/>
      <c r="CE77" s="333"/>
      <c r="CF77" s="183"/>
      <c r="CG77" s="265"/>
    </row>
    <row r="78" spans="1:85" ht="19.5" customHeight="1">
      <c r="A78" s="281"/>
      <c r="B78" s="256"/>
      <c r="C78" s="256"/>
      <c r="D78" s="256"/>
      <c r="E78" s="256"/>
      <c r="F78" s="256"/>
      <c r="G78" s="256"/>
      <c r="H78" s="256"/>
      <c r="I78" s="256"/>
      <c r="J78" s="256"/>
      <c r="K78" s="256"/>
      <c r="L78" s="256"/>
      <c r="M78" s="256"/>
      <c r="N78" s="256"/>
      <c r="O78" s="256"/>
      <c r="P78" s="256"/>
      <c r="Q78" s="256"/>
      <c r="R78" s="256"/>
      <c r="S78" s="256"/>
      <c r="T78" s="256"/>
      <c r="U78" s="256"/>
      <c r="V78" s="256"/>
      <c r="W78" s="256"/>
      <c r="X78" s="256"/>
      <c r="Y78" s="256"/>
      <c r="Z78" s="256"/>
      <c r="AA78" s="256"/>
      <c r="AB78" s="256"/>
      <c r="AC78" s="256"/>
      <c r="AD78" s="256"/>
      <c r="AE78" s="256"/>
      <c r="AF78" s="256"/>
      <c r="AG78" s="256"/>
      <c r="AH78" s="256"/>
      <c r="AI78" s="256"/>
      <c r="AJ78" s="256"/>
      <c r="AK78" s="256"/>
      <c r="AL78" s="256"/>
      <c r="AM78" s="256"/>
      <c r="AN78" s="256"/>
      <c r="AO78" s="256"/>
      <c r="AP78" s="256"/>
      <c r="AQ78" s="256"/>
      <c r="AR78" s="256"/>
      <c r="AS78" s="256"/>
      <c r="AT78" s="256"/>
      <c r="AU78" s="256"/>
      <c r="AV78" s="256"/>
      <c r="AW78" s="256"/>
      <c r="AX78" s="256"/>
      <c r="AY78" s="256"/>
      <c r="AZ78" s="256"/>
      <c r="BA78" s="256"/>
      <c r="BB78" s="256"/>
      <c r="BC78" s="256"/>
      <c r="BD78" s="256"/>
      <c r="BE78" s="256"/>
      <c r="BF78" s="256"/>
      <c r="BG78" s="256"/>
      <c r="BH78" s="256"/>
      <c r="BI78" s="256"/>
      <c r="BJ78" s="256"/>
      <c r="BK78" s="256"/>
      <c r="BL78" s="256"/>
      <c r="BM78" s="256"/>
      <c r="BN78" s="256"/>
      <c r="BO78" s="256"/>
      <c r="BP78" s="256"/>
      <c r="BQ78" s="256"/>
      <c r="BR78" s="256"/>
      <c r="BS78" s="256"/>
      <c r="BT78" s="256"/>
      <c r="BU78" s="256"/>
      <c r="BV78" s="256"/>
      <c r="BW78" s="256"/>
      <c r="BX78" s="256"/>
      <c r="BY78" s="256"/>
      <c r="BZ78" s="256"/>
      <c r="CA78" s="256"/>
      <c r="CB78" s="256"/>
      <c r="CC78" s="256"/>
      <c r="CD78" s="256"/>
      <c r="CE78" s="256"/>
      <c r="CF78" s="256"/>
      <c r="CG78" s="267"/>
    </row>
    <row r="79" spans="1:85" ht="19.5" customHeight="1">
      <c r="A79" s="260"/>
      <c r="B79" s="269" t="s">
        <v>43</v>
      </c>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9"/>
      <c r="CD79" s="269"/>
      <c r="CE79" s="269"/>
      <c r="CF79" s="269"/>
      <c r="CG79" s="268"/>
    </row>
    <row r="80" spans="1:85" ht="19.5" customHeight="1">
      <c r="A80" s="261"/>
      <c r="B80" s="412" t="s">
        <v>44</v>
      </c>
      <c r="C80" s="413"/>
      <c r="D80" s="413"/>
      <c r="E80" s="413"/>
      <c r="F80" s="413"/>
      <c r="G80" s="413"/>
      <c r="H80" s="413"/>
      <c r="I80" s="413"/>
      <c r="J80" s="413"/>
      <c r="K80" s="413"/>
      <c r="L80" s="413"/>
      <c r="M80" s="413"/>
      <c r="N80" s="413"/>
      <c r="O80" s="413"/>
      <c r="P80" s="414"/>
      <c r="Q80" s="412" t="s">
        <v>45</v>
      </c>
      <c r="R80" s="413"/>
      <c r="S80" s="413"/>
      <c r="T80" s="413"/>
      <c r="U80" s="413"/>
      <c r="V80" s="413"/>
      <c r="W80" s="413"/>
      <c r="X80" s="413"/>
      <c r="Y80" s="413"/>
      <c r="Z80" s="413"/>
      <c r="AA80" s="413"/>
      <c r="AB80" s="413"/>
      <c r="AC80" s="413"/>
      <c r="AD80" s="413"/>
      <c r="AE80" s="413"/>
      <c r="AF80" s="413"/>
      <c r="AG80" s="413"/>
      <c r="AH80" s="413"/>
      <c r="AI80" s="413"/>
      <c r="AJ80" s="413"/>
      <c r="AK80" s="413"/>
      <c r="AL80" s="413"/>
      <c r="AM80" s="413"/>
      <c r="AN80" s="413"/>
      <c r="AO80" s="413"/>
      <c r="AP80" s="413"/>
      <c r="AQ80" s="413"/>
      <c r="AR80" s="413"/>
      <c r="AS80" s="413"/>
      <c r="AT80" s="413"/>
      <c r="AU80" s="413"/>
      <c r="AV80" s="413"/>
      <c r="AW80" s="413"/>
      <c r="AX80" s="413"/>
      <c r="AY80" s="413"/>
      <c r="AZ80" s="413"/>
      <c r="BA80" s="413"/>
      <c r="BB80" s="413"/>
      <c r="BC80" s="413"/>
      <c r="BD80" s="413"/>
      <c r="BE80" s="413"/>
      <c r="BF80" s="413"/>
      <c r="BG80" s="413"/>
      <c r="BH80" s="413"/>
      <c r="BI80" s="413"/>
      <c r="BJ80" s="413"/>
      <c r="BK80" s="413"/>
      <c r="BL80" s="413"/>
      <c r="BM80" s="414"/>
      <c r="BN80" s="412" t="s">
        <v>46</v>
      </c>
      <c r="BO80" s="413"/>
      <c r="BP80" s="413"/>
      <c r="BQ80" s="413"/>
      <c r="BR80" s="413"/>
      <c r="BS80" s="413"/>
      <c r="BT80" s="413"/>
      <c r="BU80" s="413"/>
      <c r="BV80" s="413"/>
      <c r="BW80" s="413"/>
      <c r="BX80" s="413"/>
      <c r="BY80" s="413"/>
      <c r="BZ80" s="413"/>
      <c r="CA80" s="413"/>
      <c r="CB80" s="413"/>
      <c r="CC80" s="413"/>
      <c r="CD80" s="413"/>
      <c r="CE80" s="413"/>
      <c r="CF80" s="414"/>
      <c r="CG80" s="265"/>
    </row>
    <row r="81" spans="1:85" ht="33" customHeight="1">
      <c r="A81" s="261"/>
      <c r="B81" s="403" t="s">
        <v>47</v>
      </c>
      <c r="C81" s="404"/>
      <c r="D81" s="404"/>
      <c r="E81" s="404"/>
      <c r="F81" s="404"/>
      <c r="G81" s="404"/>
      <c r="H81" s="404"/>
      <c r="I81" s="404"/>
      <c r="J81" s="404"/>
      <c r="K81" s="404"/>
      <c r="L81" s="404"/>
      <c r="M81" s="404"/>
      <c r="N81" s="404"/>
      <c r="O81" s="404"/>
      <c r="P81" s="405"/>
      <c r="Q81" s="412"/>
      <c r="R81" s="413"/>
      <c r="S81" s="413"/>
      <c r="T81" s="413"/>
      <c r="U81" s="413"/>
      <c r="V81" s="413"/>
      <c r="W81" s="413"/>
      <c r="X81" s="413"/>
      <c r="Y81" s="413"/>
      <c r="Z81" s="413"/>
      <c r="AA81" s="413"/>
      <c r="AB81" s="413"/>
      <c r="AC81" s="413"/>
      <c r="AD81" s="413"/>
      <c r="AE81" s="413"/>
      <c r="AF81" s="413"/>
      <c r="AG81" s="413"/>
      <c r="AH81" s="413"/>
      <c r="AI81" s="413"/>
      <c r="AJ81" s="413"/>
      <c r="AK81" s="413"/>
      <c r="AL81" s="413"/>
      <c r="AM81" s="413"/>
      <c r="AN81" s="413"/>
      <c r="AO81" s="413"/>
      <c r="AP81" s="413"/>
      <c r="AQ81" s="413"/>
      <c r="AR81" s="413"/>
      <c r="AS81" s="413"/>
      <c r="AT81" s="413"/>
      <c r="AU81" s="413"/>
      <c r="AV81" s="413"/>
      <c r="AW81" s="413"/>
      <c r="AX81" s="413"/>
      <c r="AY81" s="413"/>
      <c r="AZ81" s="413"/>
      <c r="BA81" s="413"/>
      <c r="BB81" s="413"/>
      <c r="BC81" s="413"/>
      <c r="BD81" s="413"/>
      <c r="BE81" s="413"/>
      <c r="BF81" s="413"/>
      <c r="BG81" s="413"/>
      <c r="BH81" s="413"/>
      <c r="BI81" s="413"/>
      <c r="BJ81" s="413"/>
      <c r="BK81" s="413"/>
      <c r="BL81" s="413"/>
      <c r="BM81" s="414"/>
      <c r="BN81" s="387"/>
      <c r="BO81" s="388"/>
      <c r="BP81" s="388"/>
      <c r="BQ81" s="388"/>
      <c r="BR81" s="388"/>
      <c r="BS81" s="388"/>
      <c r="BT81" s="388"/>
      <c r="BU81" s="388"/>
      <c r="BV81" s="388"/>
      <c r="BW81" s="388"/>
      <c r="BX81" s="388"/>
      <c r="BY81" s="388"/>
      <c r="BZ81" s="388"/>
      <c r="CA81" s="388"/>
      <c r="CB81" s="388"/>
      <c r="CC81" s="388"/>
      <c r="CD81" s="388"/>
      <c r="CE81" s="388"/>
      <c r="CF81" s="389"/>
      <c r="CG81" s="265"/>
    </row>
    <row r="82" spans="1:85" ht="36.75" customHeight="1">
      <c r="A82" s="262"/>
      <c r="B82" s="381" t="s">
        <v>48</v>
      </c>
      <c r="C82" s="382"/>
      <c r="D82" s="382"/>
      <c r="E82" s="382"/>
      <c r="F82" s="382"/>
      <c r="G82" s="382"/>
      <c r="H82" s="382"/>
      <c r="I82" s="382"/>
      <c r="J82" s="382"/>
      <c r="K82" s="382"/>
      <c r="L82" s="382"/>
      <c r="M82" s="382"/>
      <c r="N82" s="382"/>
      <c r="O82" s="382"/>
      <c r="P82" s="383"/>
      <c r="Q82" s="384" t="s">
        <v>450</v>
      </c>
      <c r="R82" s="385"/>
      <c r="S82" s="385"/>
      <c r="T82" s="385"/>
      <c r="U82" s="385"/>
      <c r="V82" s="385"/>
      <c r="W82" s="385"/>
      <c r="X82" s="385"/>
      <c r="Y82" s="385"/>
      <c r="Z82" s="385"/>
      <c r="AA82" s="385"/>
      <c r="AB82" s="385"/>
      <c r="AC82" s="385"/>
      <c r="AD82" s="385"/>
      <c r="AE82" s="385"/>
      <c r="AF82" s="385"/>
      <c r="AG82" s="385"/>
      <c r="AH82" s="385"/>
      <c r="AI82" s="385"/>
      <c r="AJ82" s="385"/>
      <c r="AK82" s="385"/>
      <c r="AL82" s="385"/>
      <c r="AM82" s="385"/>
      <c r="AN82" s="385"/>
      <c r="AO82" s="385"/>
      <c r="AP82" s="385"/>
      <c r="AQ82" s="385"/>
      <c r="AR82" s="385"/>
      <c r="AS82" s="385"/>
      <c r="AT82" s="385"/>
      <c r="AU82" s="385"/>
      <c r="AV82" s="385"/>
      <c r="AW82" s="385"/>
      <c r="AX82" s="385"/>
      <c r="AY82" s="385"/>
      <c r="AZ82" s="385"/>
      <c r="BA82" s="385"/>
      <c r="BB82" s="385"/>
      <c r="BC82" s="385"/>
      <c r="BD82" s="385"/>
      <c r="BE82" s="385"/>
      <c r="BF82" s="385"/>
      <c r="BG82" s="385"/>
      <c r="BH82" s="385"/>
      <c r="BI82" s="385"/>
      <c r="BJ82" s="385"/>
      <c r="BK82" s="385"/>
      <c r="BL82" s="385"/>
      <c r="BM82" s="386"/>
      <c r="BN82" s="387"/>
      <c r="BO82" s="388"/>
      <c r="BP82" s="388"/>
      <c r="BQ82" s="388"/>
      <c r="BR82" s="388"/>
      <c r="BS82" s="388"/>
      <c r="BT82" s="388"/>
      <c r="BU82" s="388"/>
      <c r="BV82" s="388"/>
      <c r="BW82" s="388"/>
      <c r="BX82" s="388"/>
      <c r="BY82" s="388"/>
      <c r="BZ82" s="388"/>
      <c r="CA82" s="388"/>
      <c r="CB82" s="388"/>
      <c r="CC82" s="388"/>
      <c r="CD82" s="388"/>
      <c r="CE82" s="388"/>
      <c r="CF82" s="389"/>
      <c r="CG82" s="270"/>
    </row>
    <row r="83" spans="1:85" ht="36.75" customHeight="1">
      <c r="A83" s="262"/>
      <c r="B83" s="381" t="s">
        <v>180</v>
      </c>
      <c r="C83" s="382"/>
      <c r="D83" s="382"/>
      <c r="E83" s="382"/>
      <c r="F83" s="382"/>
      <c r="G83" s="382"/>
      <c r="H83" s="382"/>
      <c r="I83" s="382"/>
      <c r="J83" s="382"/>
      <c r="K83" s="382"/>
      <c r="L83" s="382"/>
      <c r="M83" s="382"/>
      <c r="N83" s="382"/>
      <c r="O83" s="382"/>
      <c r="P83" s="383"/>
      <c r="Q83" s="384" t="s">
        <v>451</v>
      </c>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c r="AS83" s="385"/>
      <c r="AT83" s="385"/>
      <c r="AU83" s="385"/>
      <c r="AV83" s="385"/>
      <c r="AW83" s="385"/>
      <c r="AX83" s="385"/>
      <c r="AY83" s="385"/>
      <c r="AZ83" s="385"/>
      <c r="BA83" s="385"/>
      <c r="BB83" s="385"/>
      <c r="BC83" s="385"/>
      <c r="BD83" s="385"/>
      <c r="BE83" s="385"/>
      <c r="BF83" s="385"/>
      <c r="BG83" s="385"/>
      <c r="BH83" s="385"/>
      <c r="BI83" s="385"/>
      <c r="BJ83" s="385"/>
      <c r="BK83" s="385"/>
      <c r="BL83" s="385"/>
      <c r="BM83" s="386"/>
      <c r="BN83" s="387"/>
      <c r="BO83" s="388"/>
      <c r="BP83" s="388"/>
      <c r="BQ83" s="388"/>
      <c r="BR83" s="388"/>
      <c r="BS83" s="388"/>
      <c r="BT83" s="388"/>
      <c r="BU83" s="388"/>
      <c r="BV83" s="388"/>
      <c r="BW83" s="388"/>
      <c r="BX83" s="388"/>
      <c r="BY83" s="388"/>
      <c r="BZ83" s="388"/>
      <c r="CA83" s="388"/>
      <c r="CB83" s="388"/>
      <c r="CC83" s="388"/>
      <c r="CD83" s="388"/>
      <c r="CE83" s="388"/>
      <c r="CF83" s="389"/>
      <c r="CG83" s="270"/>
    </row>
    <row r="84" spans="1:85" ht="36.75" customHeight="1">
      <c r="A84" s="262"/>
      <c r="B84" s="381" t="s">
        <v>181</v>
      </c>
      <c r="C84" s="382"/>
      <c r="D84" s="382"/>
      <c r="E84" s="382"/>
      <c r="F84" s="382"/>
      <c r="G84" s="382"/>
      <c r="H84" s="382"/>
      <c r="I84" s="382"/>
      <c r="J84" s="382"/>
      <c r="K84" s="382"/>
      <c r="L84" s="382"/>
      <c r="M84" s="382"/>
      <c r="N84" s="382"/>
      <c r="O84" s="382"/>
      <c r="P84" s="383"/>
      <c r="Q84" s="384" t="s">
        <v>452</v>
      </c>
      <c r="R84" s="385"/>
      <c r="S84" s="385"/>
      <c r="T84" s="385"/>
      <c r="U84" s="385"/>
      <c r="V84" s="385"/>
      <c r="W84" s="385"/>
      <c r="X84" s="385"/>
      <c r="Y84" s="385"/>
      <c r="Z84" s="385"/>
      <c r="AA84" s="385"/>
      <c r="AB84" s="385"/>
      <c r="AC84" s="385"/>
      <c r="AD84" s="385"/>
      <c r="AE84" s="385"/>
      <c r="AF84" s="385"/>
      <c r="AG84" s="385"/>
      <c r="AH84" s="385"/>
      <c r="AI84" s="385"/>
      <c r="AJ84" s="385"/>
      <c r="AK84" s="385"/>
      <c r="AL84" s="385"/>
      <c r="AM84" s="385"/>
      <c r="AN84" s="385"/>
      <c r="AO84" s="385"/>
      <c r="AP84" s="385"/>
      <c r="AQ84" s="385"/>
      <c r="AR84" s="385"/>
      <c r="AS84" s="385"/>
      <c r="AT84" s="385"/>
      <c r="AU84" s="385"/>
      <c r="AV84" s="385"/>
      <c r="AW84" s="385"/>
      <c r="AX84" s="385"/>
      <c r="AY84" s="385"/>
      <c r="AZ84" s="385"/>
      <c r="BA84" s="385"/>
      <c r="BB84" s="385"/>
      <c r="BC84" s="385"/>
      <c r="BD84" s="385"/>
      <c r="BE84" s="385"/>
      <c r="BF84" s="385"/>
      <c r="BG84" s="385"/>
      <c r="BH84" s="385"/>
      <c r="BI84" s="385"/>
      <c r="BJ84" s="385"/>
      <c r="BK84" s="385"/>
      <c r="BL84" s="385"/>
      <c r="BM84" s="386"/>
      <c r="BN84" s="387"/>
      <c r="BO84" s="388"/>
      <c r="BP84" s="388"/>
      <c r="BQ84" s="388"/>
      <c r="BR84" s="388"/>
      <c r="BS84" s="388"/>
      <c r="BT84" s="388"/>
      <c r="BU84" s="388"/>
      <c r="BV84" s="388"/>
      <c r="BW84" s="388"/>
      <c r="BX84" s="388"/>
      <c r="BY84" s="388"/>
      <c r="BZ84" s="388"/>
      <c r="CA84" s="388"/>
      <c r="CB84" s="388"/>
      <c r="CC84" s="388"/>
      <c r="CD84" s="388"/>
      <c r="CE84" s="388"/>
      <c r="CF84" s="389"/>
      <c r="CG84" s="270"/>
    </row>
    <row r="85" spans="1:85" ht="36.75" customHeight="1">
      <c r="A85" s="262"/>
      <c r="B85" s="381" t="s">
        <v>400</v>
      </c>
      <c r="C85" s="382"/>
      <c r="D85" s="382"/>
      <c r="E85" s="382"/>
      <c r="F85" s="382"/>
      <c r="G85" s="382"/>
      <c r="H85" s="382"/>
      <c r="I85" s="382"/>
      <c r="J85" s="382"/>
      <c r="K85" s="382"/>
      <c r="L85" s="382"/>
      <c r="M85" s="382"/>
      <c r="N85" s="382"/>
      <c r="O85" s="382"/>
      <c r="P85" s="383"/>
      <c r="Q85" s="384" t="s">
        <v>453</v>
      </c>
      <c r="R85" s="385"/>
      <c r="S85" s="385"/>
      <c r="T85" s="385"/>
      <c r="U85" s="385"/>
      <c r="V85" s="385"/>
      <c r="W85" s="385"/>
      <c r="X85" s="385"/>
      <c r="Y85" s="385"/>
      <c r="Z85" s="385"/>
      <c r="AA85" s="385"/>
      <c r="AB85" s="385"/>
      <c r="AC85" s="385"/>
      <c r="AD85" s="385"/>
      <c r="AE85" s="385"/>
      <c r="AF85" s="385"/>
      <c r="AG85" s="385"/>
      <c r="AH85" s="385"/>
      <c r="AI85" s="385"/>
      <c r="AJ85" s="385"/>
      <c r="AK85" s="385"/>
      <c r="AL85" s="385"/>
      <c r="AM85" s="385"/>
      <c r="AN85" s="385"/>
      <c r="AO85" s="385"/>
      <c r="AP85" s="385"/>
      <c r="AQ85" s="385"/>
      <c r="AR85" s="385"/>
      <c r="AS85" s="385"/>
      <c r="AT85" s="385"/>
      <c r="AU85" s="385"/>
      <c r="AV85" s="385"/>
      <c r="AW85" s="385"/>
      <c r="AX85" s="385"/>
      <c r="AY85" s="385"/>
      <c r="AZ85" s="385"/>
      <c r="BA85" s="385"/>
      <c r="BB85" s="385"/>
      <c r="BC85" s="385"/>
      <c r="BD85" s="385"/>
      <c r="BE85" s="385"/>
      <c r="BF85" s="385"/>
      <c r="BG85" s="385"/>
      <c r="BH85" s="385"/>
      <c r="BI85" s="385"/>
      <c r="BJ85" s="385"/>
      <c r="BK85" s="385"/>
      <c r="BL85" s="385"/>
      <c r="BM85" s="386"/>
      <c r="BN85" s="387"/>
      <c r="BO85" s="388"/>
      <c r="BP85" s="388"/>
      <c r="BQ85" s="388"/>
      <c r="BR85" s="388"/>
      <c r="BS85" s="388"/>
      <c r="BT85" s="388"/>
      <c r="BU85" s="388"/>
      <c r="BV85" s="388"/>
      <c r="BW85" s="388"/>
      <c r="BX85" s="388"/>
      <c r="BY85" s="388"/>
      <c r="BZ85" s="388"/>
      <c r="CA85" s="388"/>
      <c r="CB85" s="388"/>
      <c r="CC85" s="388"/>
      <c r="CD85" s="388"/>
      <c r="CE85" s="388"/>
      <c r="CF85" s="389"/>
      <c r="CG85" s="270"/>
    </row>
    <row r="86" spans="1:85" ht="36.75" customHeight="1">
      <c r="A86" s="262"/>
      <c r="B86" s="381" t="s">
        <v>182</v>
      </c>
      <c r="C86" s="382"/>
      <c r="D86" s="382"/>
      <c r="E86" s="382"/>
      <c r="F86" s="382"/>
      <c r="G86" s="382"/>
      <c r="H86" s="382"/>
      <c r="I86" s="382"/>
      <c r="J86" s="382"/>
      <c r="K86" s="382"/>
      <c r="L86" s="382"/>
      <c r="M86" s="382"/>
      <c r="N86" s="382"/>
      <c r="O86" s="382"/>
      <c r="P86" s="383"/>
      <c r="Q86" s="390" t="s">
        <v>183</v>
      </c>
      <c r="R86" s="391"/>
      <c r="S86" s="391"/>
      <c r="T86" s="391"/>
      <c r="U86" s="391"/>
      <c r="V86" s="391"/>
      <c r="W86" s="391"/>
      <c r="X86" s="391"/>
      <c r="Y86" s="391"/>
      <c r="Z86" s="391"/>
      <c r="AA86" s="391"/>
      <c r="AB86" s="391"/>
      <c r="AC86" s="391"/>
      <c r="AD86" s="391"/>
      <c r="AE86" s="391"/>
      <c r="AF86" s="391"/>
      <c r="AG86" s="391"/>
      <c r="AH86" s="391"/>
      <c r="AI86" s="391"/>
      <c r="AJ86" s="391"/>
      <c r="AK86" s="391"/>
      <c r="AL86" s="391"/>
      <c r="AM86" s="391"/>
      <c r="AN86" s="391"/>
      <c r="AO86" s="391"/>
      <c r="AP86" s="391"/>
      <c r="AQ86" s="391"/>
      <c r="AR86" s="391"/>
      <c r="AS86" s="391"/>
      <c r="AT86" s="391"/>
      <c r="AU86" s="391"/>
      <c r="AV86" s="391"/>
      <c r="AW86" s="391"/>
      <c r="AX86" s="391"/>
      <c r="AY86" s="391"/>
      <c r="AZ86" s="391"/>
      <c r="BA86" s="391"/>
      <c r="BB86" s="391"/>
      <c r="BC86" s="391"/>
      <c r="BD86" s="391"/>
      <c r="BE86" s="391"/>
      <c r="BF86" s="391"/>
      <c r="BG86" s="391"/>
      <c r="BH86" s="391"/>
      <c r="BI86" s="391"/>
      <c r="BJ86" s="391"/>
      <c r="BK86" s="391"/>
      <c r="BL86" s="391"/>
      <c r="BM86" s="392"/>
      <c r="BN86" s="387"/>
      <c r="BO86" s="388"/>
      <c r="BP86" s="388"/>
      <c r="BQ86" s="388"/>
      <c r="BR86" s="388"/>
      <c r="BS86" s="388"/>
      <c r="BT86" s="388"/>
      <c r="BU86" s="388"/>
      <c r="BV86" s="388"/>
      <c r="BW86" s="388"/>
      <c r="BX86" s="388"/>
      <c r="BY86" s="388"/>
      <c r="BZ86" s="388"/>
      <c r="CA86" s="388"/>
      <c r="CB86" s="388"/>
      <c r="CC86" s="388"/>
      <c r="CD86" s="388"/>
      <c r="CE86" s="388"/>
      <c r="CF86" s="389"/>
      <c r="CG86" s="270"/>
    </row>
    <row r="87" spans="1:85" ht="36.75" customHeight="1">
      <c r="A87" s="262"/>
      <c r="B87" s="381" t="s">
        <v>49</v>
      </c>
      <c r="C87" s="382"/>
      <c r="D87" s="382"/>
      <c r="E87" s="382"/>
      <c r="F87" s="382"/>
      <c r="G87" s="382"/>
      <c r="H87" s="382"/>
      <c r="I87" s="382"/>
      <c r="J87" s="382"/>
      <c r="K87" s="382"/>
      <c r="L87" s="382"/>
      <c r="M87" s="382"/>
      <c r="N87" s="382"/>
      <c r="O87" s="382"/>
      <c r="P87" s="383"/>
      <c r="Q87" s="384" t="s">
        <v>382</v>
      </c>
      <c r="R87" s="385"/>
      <c r="S87" s="385"/>
      <c r="T87" s="385"/>
      <c r="U87" s="385"/>
      <c r="V87" s="385"/>
      <c r="W87" s="385"/>
      <c r="X87" s="385"/>
      <c r="Y87" s="385"/>
      <c r="Z87" s="385"/>
      <c r="AA87" s="385"/>
      <c r="AB87" s="385"/>
      <c r="AC87" s="385"/>
      <c r="AD87" s="385"/>
      <c r="AE87" s="385"/>
      <c r="AF87" s="385"/>
      <c r="AG87" s="385"/>
      <c r="AH87" s="385"/>
      <c r="AI87" s="385"/>
      <c r="AJ87" s="385"/>
      <c r="AK87" s="385"/>
      <c r="AL87" s="385"/>
      <c r="AM87" s="385"/>
      <c r="AN87" s="385"/>
      <c r="AO87" s="385"/>
      <c r="AP87" s="385"/>
      <c r="AQ87" s="385"/>
      <c r="AR87" s="385"/>
      <c r="AS87" s="385"/>
      <c r="AT87" s="385"/>
      <c r="AU87" s="385"/>
      <c r="AV87" s="385"/>
      <c r="AW87" s="385"/>
      <c r="AX87" s="385"/>
      <c r="AY87" s="385"/>
      <c r="AZ87" s="385"/>
      <c r="BA87" s="385"/>
      <c r="BB87" s="385"/>
      <c r="BC87" s="385"/>
      <c r="BD87" s="385"/>
      <c r="BE87" s="385"/>
      <c r="BF87" s="385"/>
      <c r="BG87" s="385"/>
      <c r="BH87" s="385"/>
      <c r="BI87" s="385"/>
      <c r="BJ87" s="385"/>
      <c r="BK87" s="385"/>
      <c r="BL87" s="385"/>
      <c r="BM87" s="386"/>
      <c r="BN87" s="387"/>
      <c r="BO87" s="388"/>
      <c r="BP87" s="388"/>
      <c r="BQ87" s="388"/>
      <c r="BR87" s="388"/>
      <c r="BS87" s="388"/>
      <c r="BT87" s="388"/>
      <c r="BU87" s="388"/>
      <c r="BV87" s="388"/>
      <c r="BW87" s="388"/>
      <c r="BX87" s="388"/>
      <c r="BY87" s="388"/>
      <c r="BZ87" s="388"/>
      <c r="CA87" s="388"/>
      <c r="CB87" s="388"/>
      <c r="CC87" s="388"/>
      <c r="CD87" s="388"/>
      <c r="CE87" s="388"/>
      <c r="CF87" s="389"/>
      <c r="CG87" s="270"/>
    </row>
    <row r="88" spans="1:85" ht="36.75" customHeight="1">
      <c r="A88" s="262"/>
      <c r="B88" s="381" t="s">
        <v>50</v>
      </c>
      <c r="C88" s="382"/>
      <c r="D88" s="382"/>
      <c r="E88" s="382"/>
      <c r="F88" s="382"/>
      <c r="G88" s="382"/>
      <c r="H88" s="382"/>
      <c r="I88" s="382"/>
      <c r="J88" s="382"/>
      <c r="K88" s="382"/>
      <c r="L88" s="382"/>
      <c r="M88" s="382"/>
      <c r="N88" s="382"/>
      <c r="O88" s="382"/>
      <c r="P88" s="383"/>
      <c r="Q88" s="384" t="s">
        <v>51</v>
      </c>
      <c r="R88" s="385"/>
      <c r="S88" s="385"/>
      <c r="T88" s="385"/>
      <c r="U88" s="385"/>
      <c r="V88" s="385"/>
      <c r="W88" s="385"/>
      <c r="X88" s="385"/>
      <c r="Y88" s="385"/>
      <c r="Z88" s="385"/>
      <c r="AA88" s="385"/>
      <c r="AB88" s="385"/>
      <c r="AC88" s="385"/>
      <c r="AD88" s="385"/>
      <c r="AE88" s="385"/>
      <c r="AF88" s="385"/>
      <c r="AG88" s="385"/>
      <c r="AH88" s="385"/>
      <c r="AI88" s="385"/>
      <c r="AJ88" s="385"/>
      <c r="AK88" s="385"/>
      <c r="AL88" s="385"/>
      <c r="AM88" s="385"/>
      <c r="AN88" s="385"/>
      <c r="AO88" s="385"/>
      <c r="AP88" s="385"/>
      <c r="AQ88" s="385"/>
      <c r="AR88" s="385"/>
      <c r="AS88" s="385"/>
      <c r="AT88" s="385"/>
      <c r="AU88" s="385"/>
      <c r="AV88" s="385"/>
      <c r="AW88" s="385"/>
      <c r="AX88" s="385"/>
      <c r="AY88" s="385"/>
      <c r="AZ88" s="385"/>
      <c r="BA88" s="385"/>
      <c r="BB88" s="385"/>
      <c r="BC88" s="385"/>
      <c r="BD88" s="385"/>
      <c r="BE88" s="385"/>
      <c r="BF88" s="385"/>
      <c r="BG88" s="385"/>
      <c r="BH88" s="385"/>
      <c r="BI88" s="385"/>
      <c r="BJ88" s="385"/>
      <c r="BK88" s="385"/>
      <c r="BL88" s="385"/>
      <c r="BM88" s="386"/>
      <c r="BN88" s="384"/>
      <c r="BO88" s="388"/>
      <c r="BP88" s="388"/>
      <c r="BQ88" s="388"/>
      <c r="BR88" s="388"/>
      <c r="BS88" s="388"/>
      <c r="BT88" s="388"/>
      <c r="BU88" s="388"/>
      <c r="BV88" s="388"/>
      <c r="BW88" s="388"/>
      <c r="BX88" s="388"/>
      <c r="BY88" s="388"/>
      <c r="BZ88" s="388"/>
      <c r="CA88" s="388"/>
      <c r="CB88" s="388"/>
      <c r="CC88" s="388"/>
      <c r="CD88" s="388"/>
      <c r="CE88" s="388"/>
      <c r="CF88" s="389"/>
      <c r="CG88" s="270"/>
    </row>
    <row r="89" spans="1:85" ht="53.25" customHeight="1">
      <c r="A89" s="262"/>
      <c r="B89" s="381" t="s">
        <v>52</v>
      </c>
      <c r="C89" s="382"/>
      <c r="D89" s="382"/>
      <c r="E89" s="382"/>
      <c r="F89" s="382"/>
      <c r="G89" s="382"/>
      <c r="H89" s="382"/>
      <c r="I89" s="382"/>
      <c r="J89" s="382"/>
      <c r="K89" s="382"/>
      <c r="L89" s="382"/>
      <c r="M89" s="382"/>
      <c r="N89" s="382"/>
      <c r="O89" s="382"/>
      <c r="P89" s="383"/>
      <c r="Q89" s="393" t="s">
        <v>442</v>
      </c>
      <c r="R89" s="394"/>
      <c r="S89" s="394"/>
      <c r="T89" s="394"/>
      <c r="U89" s="394"/>
      <c r="V89" s="394"/>
      <c r="W89" s="394"/>
      <c r="X89" s="394"/>
      <c r="Y89" s="394"/>
      <c r="Z89" s="394"/>
      <c r="AA89" s="394"/>
      <c r="AB89" s="394"/>
      <c r="AC89" s="394"/>
      <c r="AD89" s="394"/>
      <c r="AE89" s="394"/>
      <c r="AF89" s="394"/>
      <c r="AG89" s="394"/>
      <c r="AH89" s="394"/>
      <c r="AI89" s="394"/>
      <c r="AJ89" s="394"/>
      <c r="AK89" s="394"/>
      <c r="AL89" s="394"/>
      <c r="AM89" s="394"/>
      <c r="AN89" s="394"/>
      <c r="AO89" s="394"/>
      <c r="AP89" s="394"/>
      <c r="AQ89" s="394"/>
      <c r="AR89" s="394"/>
      <c r="AS89" s="394"/>
      <c r="AT89" s="394"/>
      <c r="AU89" s="394"/>
      <c r="AV89" s="394"/>
      <c r="AW89" s="394"/>
      <c r="AX89" s="394"/>
      <c r="AY89" s="394"/>
      <c r="AZ89" s="394"/>
      <c r="BA89" s="394"/>
      <c r="BB89" s="394"/>
      <c r="BC89" s="394"/>
      <c r="BD89" s="394"/>
      <c r="BE89" s="394"/>
      <c r="BF89" s="394"/>
      <c r="BG89" s="394"/>
      <c r="BH89" s="394"/>
      <c r="BI89" s="394"/>
      <c r="BJ89" s="394"/>
      <c r="BK89" s="394"/>
      <c r="BL89" s="394"/>
      <c r="BM89" s="395"/>
      <c r="BN89" s="387"/>
      <c r="BO89" s="388"/>
      <c r="BP89" s="388"/>
      <c r="BQ89" s="388"/>
      <c r="BR89" s="388"/>
      <c r="BS89" s="388"/>
      <c r="BT89" s="388"/>
      <c r="BU89" s="388"/>
      <c r="BV89" s="388"/>
      <c r="BW89" s="388"/>
      <c r="BX89" s="388"/>
      <c r="BY89" s="388"/>
      <c r="BZ89" s="388"/>
      <c r="CA89" s="388"/>
      <c r="CB89" s="388"/>
      <c r="CC89" s="388"/>
      <c r="CD89" s="388"/>
      <c r="CE89" s="388"/>
      <c r="CF89" s="389"/>
      <c r="CG89" s="270"/>
    </row>
    <row r="90" spans="1:85" ht="36.75" customHeight="1">
      <c r="A90" s="262"/>
      <c r="B90" s="409" t="s">
        <v>53</v>
      </c>
      <c r="C90" s="410"/>
      <c r="D90" s="410"/>
      <c r="E90" s="410"/>
      <c r="F90" s="410"/>
      <c r="G90" s="410"/>
      <c r="H90" s="410"/>
      <c r="I90" s="410"/>
      <c r="J90" s="410"/>
      <c r="K90" s="410"/>
      <c r="L90" s="410"/>
      <c r="M90" s="410"/>
      <c r="N90" s="410"/>
      <c r="O90" s="410"/>
      <c r="P90" s="411"/>
      <c r="Q90" s="384"/>
      <c r="R90" s="385"/>
      <c r="S90" s="385"/>
      <c r="T90" s="385"/>
      <c r="U90" s="385"/>
      <c r="V90" s="385"/>
      <c r="W90" s="385"/>
      <c r="X90" s="385"/>
      <c r="Y90" s="385"/>
      <c r="Z90" s="385"/>
      <c r="AA90" s="385"/>
      <c r="AB90" s="385"/>
      <c r="AC90" s="385"/>
      <c r="AD90" s="385"/>
      <c r="AE90" s="385"/>
      <c r="AF90" s="385"/>
      <c r="AG90" s="385"/>
      <c r="AH90" s="385"/>
      <c r="AI90" s="385"/>
      <c r="AJ90" s="385"/>
      <c r="AK90" s="385"/>
      <c r="AL90" s="385"/>
      <c r="AM90" s="385"/>
      <c r="AN90" s="385"/>
      <c r="AO90" s="385"/>
      <c r="AP90" s="385"/>
      <c r="AQ90" s="385"/>
      <c r="AR90" s="385"/>
      <c r="AS90" s="385"/>
      <c r="AT90" s="385"/>
      <c r="AU90" s="385"/>
      <c r="AV90" s="385"/>
      <c r="AW90" s="385"/>
      <c r="AX90" s="385"/>
      <c r="AY90" s="385"/>
      <c r="AZ90" s="385"/>
      <c r="BA90" s="385"/>
      <c r="BB90" s="385"/>
      <c r="BC90" s="385"/>
      <c r="BD90" s="385"/>
      <c r="BE90" s="385"/>
      <c r="BF90" s="385"/>
      <c r="BG90" s="385"/>
      <c r="BH90" s="385"/>
      <c r="BI90" s="385"/>
      <c r="BJ90" s="385"/>
      <c r="BK90" s="385"/>
      <c r="BL90" s="385"/>
      <c r="BM90" s="386"/>
      <c r="BN90" s="387"/>
      <c r="BO90" s="388"/>
      <c r="BP90" s="388"/>
      <c r="BQ90" s="388"/>
      <c r="BR90" s="388"/>
      <c r="BS90" s="388"/>
      <c r="BT90" s="388"/>
      <c r="BU90" s="388"/>
      <c r="BV90" s="388"/>
      <c r="BW90" s="388"/>
      <c r="BX90" s="388"/>
      <c r="BY90" s="388"/>
      <c r="BZ90" s="388"/>
      <c r="CA90" s="388"/>
      <c r="CB90" s="388"/>
      <c r="CC90" s="388"/>
      <c r="CD90" s="388"/>
      <c r="CE90" s="388"/>
      <c r="CF90" s="389"/>
      <c r="CG90" s="270"/>
    </row>
    <row r="91" spans="1:85" s="21" customFormat="1" ht="30.75" customHeight="1">
      <c r="A91" s="262"/>
      <c r="B91" s="381" t="s">
        <v>184</v>
      </c>
      <c r="C91" s="382"/>
      <c r="D91" s="382"/>
      <c r="E91" s="382"/>
      <c r="F91" s="382"/>
      <c r="G91" s="382"/>
      <c r="H91" s="382"/>
      <c r="I91" s="382"/>
      <c r="J91" s="382"/>
      <c r="K91" s="382"/>
      <c r="L91" s="382"/>
      <c r="M91" s="382"/>
      <c r="N91" s="382"/>
      <c r="O91" s="382"/>
      <c r="P91" s="383"/>
      <c r="Q91" s="384" t="s">
        <v>384</v>
      </c>
      <c r="R91" s="385"/>
      <c r="S91" s="385"/>
      <c r="T91" s="385"/>
      <c r="U91" s="385"/>
      <c r="V91" s="385"/>
      <c r="W91" s="385"/>
      <c r="X91" s="385"/>
      <c r="Y91" s="385"/>
      <c r="Z91" s="385"/>
      <c r="AA91" s="385"/>
      <c r="AB91" s="385"/>
      <c r="AC91" s="385"/>
      <c r="AD91" s="385"/>
      <c r="AE91" s="385"/>
      <c r="AF91" s="385"/>
      <c r="AG91" s="385"/>
      <c r="AH91" s="385"/>
      <c r="AI91" s="385"/>
      <c r="AJ91" s="385"/>
      <c r="AK91" s="385"/>
      <c r="AL91" s="385"/>
      <c r="AM91" s="385"/>
      <c r="AN91" s="385"/>
      <c r="AO91" s="385"/>
      <c r="AP91" s="385"/>
      <c r="AQ91" s="385"/>
      <c r="AR91" s="385"/>
      <c r="AS91" s="385"/>
      <c r="AT91" s="385"/>
      <c r="AU91" s="385"/>
      <c r="AV91" s="385"/>
      <c r="AW91" s="385"/>
      <c r="AX91" s="385"/>
      <c r="AY91" s="385"/>
      <c r="AZ91" s="385"/>
      <c r="BA91" s="385"/>
      <c r="BB91" s="385"/>
      <c r="BC91" s="385"/>
      <c r="BD91" s="385"/>
      <c r="BE91" s="385"/>
      <c r="BF91" s="385"/>
      <c r="BG91" s="385"/>
      <c r="BH91" s="385"/>
      <c r="BI91" s="385"/>
      <c r="BJ91" s="385"/>
      <c r="BK91" s="385"/>
      <c r="BL91" s="385"/>
      <c r="BM91" s="386"/>
      <c r="BN91" s="387"/>
      <c r="BO91" s="388"/>
      <c r="BP91" s="388"/>
      <c r="BQ91" s="388"/>
      <c r="BR91" s="388"/>
      <c r="BS91" s="388"/>
      <c r="BT91" s="388"/>
      <c r="BU91" s="388"/>
      <c r="BV91" s="388"/>
      <c r="BW91" s="388"/>
      <c r="BX91" s="388"/>
      <c r="BY91" s="388"/>
      <c r="BZ91" s="388"/>
      <c r="CA91" s="388"/>
      <c r="CB91" s="388"/>
      <c r="CC91" s="388"/>
      <c r="CD91" s="388"/>
      <c r="CE91" s="388"/>
      <c r="CF91" s="389"/>
      <c r="CG91" s="270"/>
    </row>
    <row r="92" spans="1:85" s="21" customFormat="1" ht="30.75" customHeight="1">
      <c r="A92" s="262"/>
      <c r="B92" s="409" t="s">
        <v>185</v>
      </c>
      <c r="C92" s="410"/>
      <c r="D92" s="410"/>
      <c r="E92" s="410"/>
      <c r="F92" s="410"/>
      <c r="G92" s="410"/>
      <c r="H92" s="410"/>
      <c r="I92" s="410"/>
      <c r="J92" s="410"/>
      <c r="K92" s="410"/>
      <c r="L92" s="410"/>
      <c r="M92" s="410"/>
      <c r="N92" s="410"/>
      <c r="O92" s="410"/>
      <c r="P92" s="411"/>
      <c r="Q92" s="384" t="s">
        <v>386</v>
      </c>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c r="BK92" s="385"/>
      <c r="BL92" s="385"/>
      <c r="BM92" s="386"/>
      <c r="BN92" s="387"/>
      <c r="BO92" s="388"/>
      <c r="BP92" s="388"/>
      <c r="BQ92" s="388"/>
      <c r="BR92" s="388"/>
      <c r="BS92" s="388"/>
      <c r="BT92" s="388"/>
      <c r="BU92" s="388"/>
      <c r="BV92" s="388"/>
      <c r="BW92" s="388"/>
      <c r="BX92" s="388"/>
      <c r="BY92" s="388"/>
      <c r="BZ92" s="388"/>
      <c r="CA92" s="388"/>
      <c r="CB92" s="388"/>
      <c r="CC92" s="388"/>
      <c r="CD92" s="388"/>
      <c r="CE92" s="388"/>
      <c r="CF92" s="389"/>
      <c r="CG92" s="270"/>
    </row>
    <row r="93" spans="1:85" s="21" customFormat="1" ht="30.75" customHeight="1">
      <c r="A93" s="262"/>
      <c r="B93" s="381" t="s">
        <v>363</v>
      </c>
      <c r="C93" s="382"/>
      <c r="D93" s="382"/>
      <c r="E93" s="382"/>
      <c r="F93" s="382"/>
      <c r="G93" s="382"/>
      <c r="H93" s="382"/>
      <c r="I93" s="382"/>
      <c r="J93" s="382"/>
      <c r="K93" s="382"/>
      <c r="L93" s="382"/>
      <c r="M93" s="382"/>
      <c r="N93" s="382"/>
      <c r="O93" s="382"/>
      <c r="P93" s="383"/>
      <c r="Q93" s="384" t="s">
        <v>387</v>
      </c>
      <c r="R93" s="385"/>
      <c r="S93" s="385"/>
      <c r="T93" s="385"/>
      <c r="U93" s="385"/>
      <c r="V93" s="385"/>
      <c r="W93" s="385"/>
      <c r="X93" s="385"/>
      <c r="Y93" s="385"/>
      <c r="Z93" s="385"/>
      <c r="AA93" s="385"/>
      <c r="AB93" s="385"/>
      <c r="AC93" s="385"/>
      <c r="AD93" s="385"/>
      <c r="AE93" s="385"/>
      <c r="AF93" s="385"/>
      <c r="AG93" s="385"/>
      <c r="AH93" s="385"/>
      <c r="AI93" s="385"/>
      <c r="AJ93" s="385"/>
      <c r="AK93" s="385"/>
      <c r="AL93" s="385"/>
      <c r="AM93" s="385"/>
      <c r="AN93" s="385"/>
      <c r="AO93" s="385"/>
      <c r="AP93" s="385"/>
      <c r="AQ93" s="385"/>
      <c r="AR93" s="385"/>
      <c r="AS93" s="385"/>
      <c r="AT93" s="385"/>
      <c r="AU93" s="385"/>
      <c r="AV93" s="385"/>
      <c r="AW93" s="385"/>
      <c r="AX93" s="385"/>
      <c r="AY93" s="385"/>
      <c r="AZ93" s="385"/>
      <c r="BA93" s="385"/>
      <c r="BB93" s="385"/>
      <c r="BC93" s="385"/>
      <c r="BD93" s="385"/>
      <c r="BE93" s="385"/>
      <c r="BF93" s="385"/>
      <c r="BG93" s="385"/>
      <c r="BH93" s="385"/>
      <c r="BI93" s="385"/>
      <c r="BJ93" s="385"/>
      <c r="BK93" s="385"/>
      <c r="BL93" s="385"/>
      <c r="BM93" s="386"/>
      <c r="BN93" s="387"/>
      <c r="BO93" s="388"/>
      <c r="BP93" s="388"/>
      <c r="BQ93" s="388"/>
      <c r="BR93" s="388"/>
      <c r="BS93" s="388"/>
      <c r="BT93" s="388"/>
      <c r="BU93" s="388"/>
      <c r="BV93" s="388"/>
      <c r="BW93" s="388"/>
      <c r="BX93" s="388"/>
      <c r="BY93" s="388"/>
      <c r="BZ93" s="388"/>
      <c r="CA93" s="388"/>
      <c r="CB93" s="388"/>
      <c r="CC93" s="388"/>
      <c r="CD93" s="388"/>
      <c r="CE93" s="388"/>
      <c r="CF93" s="389"/>
      <c r="CG93" s="270"/>
    </row>
    <row r="94" spans="1:85" s="21" customFormat="1" ht="30.75" customHeight="1">
      <c r="A94" s="262"/>
      <c r="B94" s="381" t="s">
        <v>259</v>
      </c>
      <c r="C94" s="382"/>
      <c r="D94" s="382"/>
      <c r="E94" s="382"/>
      <c r="F94" s="382"/>
      <c r="G94" s="382"/>
      <c r="H94" s="382"/>
      <c r="I94" s="382"/>
      <c r="J94" s="382"/>
      <c r="K94" s="382"/>
      <c r="L94" s="382"/>
      <c r="M94" s="382"/>
      <c r="N94" s="382"/>
      <c r="O94" s="382"/>
      <c r="P94" s="383"/>
      <c r="Q94" s="384" t="s">
        <v>455</v>
      </c>
      <c r="R94" s="385"/>
      <c r="S94" s="385"/>
      <c r="T94" s="385"/>
      <c r="U94" s="385"/>
      <c r="V94" s="385"/>
      <c r="W94" s="385"/>
      <c r="X94" s="385"/>
      <c r="Y94" s="385"/>
      <c r="Z94" s="385"/>
      <c r="AA94" s="385"/>
      <c r="AB94" s="385"/>
      <c r="AC94" s="385"/>
      <c r="AD94" s="385"/>
      <c r="AE94" s="385"/>
      <c r="AF94" s="385"/>
      <c r="AG94" s="385"/>
      <c r="AH94" s="385"/>
      <c r="AI94" s="385"/>
      <c r="AJ94" s="385"/>
      <c r="AK94" s="385"/>
      <c r="AL94" s="385"/>
      <c r="AM94" s="385"/>
      <c r="AN94" s="385"/>
      <c r="AO94" s="385"/>
      <c r="AP94" s="385"/>
      <c r="AQ94" s="385"/>
      <c r="AR94" s="385"/>
      <c r="AS94" s="385"/>
      <c r="AT94" s="385"/>
      <c r="AU94" s="385"/>
      <c r="AV94" s="385"/>
      <c r="AW94" s="385"/>
      <c r="AX94" s="385"/>
      <c r="AY94" s="385"/>
      <c r="AZ94" s="385"/>
      <c r="BA94" s="385"/>
      <c r="BB94" s="385"/>
      <c r="BC94" s="385"/>
      <c r="BD94" s="385"/>
      <c r="BE94" s="385"/>
      <c r="BF94" s="385"/>
      <c r="BG94" s="385"/>
      <c r="BH94" s="385"/>
      <c r="BI94" s="385"/>
      <c r="BJ94" s="385"/>
      <c r="BK94" s="385"/>
      <c r="BL94" s="385"/>
      <c r="BM94" s="386"/>
      <c r="BN94" s="384"/>
      <c r="BO94" s="385"/>
      <c r="BP94" s="385"/>
      <c r="BQ94" s="385"/>
      <c r="BR94" s="385"/>
      <c r="BS94" s="385"/>
      <c r="BT94" s="385"/>
      <c r="BU94" s="385"/>
      <c r="BV94" s="385"/>
      <c r="BW94" s="385"/>
      <c r="BX94" s="385"/>
      <c r="BY94" s="385"/>
      <c r="BZ94" s="385"/>
      <c r="CA94" s="385"/>
      <c r="CB94" s="385"/>
      <c r="CC94" s="385"/>
      <c r="CD94" s="385"/>
      <c r="CE94" s="385"/>
      <c r="CF94" s="386"/>
      <c r="CG94" s="270"/>
    </row>
    <row r="95" spans="1:85" ht="19.5" customHeight="1">
      <c r="A95" s="262"/>
      <c r="B95" s="340" t="s">
        <v>54</v>
      </c>
      <c r="C95" s="340"/>
      <c r="D95" s="340"/>
      <c r="E95" s="340"/>
      <c r="F95" s="340"/>
      <c r="G95" s="340"/>
      <c r="H95" s="340"/>
      <c r="I95" s="340"/>
      <c r="J95" s="340"/>
      <c r="K95" s="340"/>
      <c r="L95" s="340"/>
      <c r="M95" s="340"/>
      <c r="N95" s="340"/>
      <c r="O95" s="340"/>
      <c r="P95" s="340"/>
      <c r="Q95" s="340"/>
      <c r="R95" s="340" t="s">
        <v>55</v>
      </c>
      <c r="S95" s="340"/>
      <c r="T95" s="340"/>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0"/>
      <c r="BE95" s="340"/>
      <c r="BF95" s="340"/>
      <c r="BG95" s="340"/>
      <c r="BH95" s="340"/>
      <c r="BI95" s="340"/>
      <c r="BJ95" s="340"/>
      <c r="BK95" s="340"/>
      <c r="BL95" s="340"/>
      <c r="BM95" s="340"/>
      <c r="BN95" s="340"/>
      <c r="BO95" s="340"/>
      <c r="BP95" s="340"/>
      <c r="BQ95" s="340"/>
      <c r="BR95" s="340"/>
      <c r="BS95" s="340"/>
      <c r="BT95" s="340"/>
      <c r="BU95" s="340"/>
      <c r="BV95" s="340"/>
      <c r="BW95" s="340"/>
      <c r="BX95" s="340"/>
      <c r="BY95" s="340"/>
      <c r="BZ95" s="340"/>
      <c r="CA95" s="340"/>
      <c r="CB95" s="340"/>
      <c r="CC95" s="340"/>
      <c r="CD95" s="340"/>
      <c r="CE95" s="340"/>
      <c r="CF95" s="340"/>
      <c r="CG95" s="270"/>
    </row>
    <row r="96" spans="1:85" ht="19.5" customHeight="1">
      <c r="A96" s="261"/>
      <c r="B96" s="412" t="s">
        <v>56</v>
      </c>
      <c r="C96" s="413"/>
      <c r="D96" s="413"/>
      <c r="E96" s="413"/>
      <c r="F96" s="413"/>
      <c r="G96" s="413"/>
      <c r="H96" s="413"/>
      <c r="I96" s="413"/>
      <c r="J96" s="413"/>
      <c r="K96" s="413"/>
      <c r="L96" s="413"/>
      <c r="M96" s="413"/>
      <c r="N96" s="413"/>
      <c r="O96" s="413"/>
      <c r="P96" s="414"/>
      <c r="Q96" s="412" t="s">
        <v>57</v>
      </c>
      <c r="R96" s="413"/>
      <c r="S96" s="413"/>
      <c r="T96" s="413"/>
      <c r="U96" s="413"/>
      <c r="V96" s="413"/>
      <c r="W96" s="413"/>
      <c r="X96" s="413"/>
      <c r="Y96" s="413"/>
      <c r="Z96" s="413"/>
      <c r="AA96" s="413"/>
      <c r="AB96" s="413"/>
      <c r="AC96" s="413"/>
      <c r="AD96" s="413"/>
      <c r="AE96" s="413"/>
      <c r="AF96" s="413"/>
      <c r="AG96" s="413"/>
      <c r="AH96" s="413"/>
      <c r="AI96" s="413"/>
      <c r="AJ96" s="413"/>
      <c r="AK96" s="413"/>
      <c r="AL96" s="413"/>
      <c r="AM96" s="413"/>
      <c r="AN96" s="413"/>
      <c r="AO96" s="413"/>
      <c r="AP96" s="413"/>
      <c r="AQ96" s="413"/>
      <c r="AR96" s="413"/>
      <c r="AS96" s="413"/>
      <c r="AT96" s="413"/>
      <c r="AU96" s="413"/>
      <c r="AV96" s="413"/>
      <c r="AW96" s="413"/>
      <c r="AX96" s="413"/>
      <c r="AY96" s="413"/>
      <c r="AZ96" s="413"/>
      <c r="BA96" s="413"/>
      <c r="BB96" s="413"/>
      <c r="BC96" s="413"/>
      <c r="BD96" s="413"/>
      <c r="BE96" s="413"/>
      <c r="BF96" s="413"/>
      <c r="BG96" s="413"/>
      <c r="BH96" s="413"/>
      <c r="BI96" s="413"/>
      <c r="BJ96" s="413"/>
      <c r="BK96" s="413"/>
      <c r="BL96" s="413"/>
      <c r="BM96" s="414"/>
      <c r="BN96" s="412" t="s">
        <v>46</v>
      </c>
      <c r="BO96" s="413"/>
      <c r="BP96" s="413"/>
      <c r="BQ96" s="413"/>
      <c r="BR96" s="413"/>
      <c r="BS96" s="413"/>
      <c r="BT96" s="413"/>
      <c r="BU96" s="413"/>
      <c r="BV96" s="413"/>
      <c r="BW96" s="413"/>
      <c r="BX96" s="413"/>
      <c r="BY96" s="413"/>
      <c r="BZ96" s="413"/>
      <c r="CA96" s="413"/>
      <c r="CB96" s="413"/>
      <c r="CC96" s="413"/>
      <c r="CD96" s="413"/>
      <c r="CE96" s="413"/>
      <c r="CF96" s="414"/>
      <c r="CG96" s="265"/>
    </row>
    <row r="97" spans="1:85" ht="35.25" customHeight="1">
      <c r="A97" s="262"/>
      <c r="B97" s="403" t="s">
        <v>58</v>
      </c>
      <c r="C97" s="404"/>
      <c r="D97" s="404"/>
      <c r="E97" s="404"/>
      <c r="F97" s="404"/>
      <c r="G97" s="404"/>
      <c r="H97" s="404"/>
      <c r="I97" s="404"/>
      <c r="J97" s="404"/>
      <c r="K97" s="404"/>
      <c r="L97" s="404"/>
      <c r="M97" s="404"/>
      <c r="N97" s="404"/>
      <c r="O97" s="404"/>
      <c r="P97" s="405"/>
      <c r="Q97" s="406" t="s">
        <v>59</v>
      </c>
      <c r="R97" s="407"/>
      <c r="S97" s="407"/>
      <c r="T97" s="407"/>
      <c r="U97" s="407"/>
      <c r="V97" s="407"/>
      <c r="W97" s="407"/>
      <c r="X97" s="407"/>
      <c r="Y97" s="407"/>
      <c r="Z97" s="407"/>
      <c r="AA97" s="407"/>
      <c r="AB97" s="407"/>
      <c r="AC97" s="407"/>
      <c r="AD97" s="407"/>
      <c r="AE97" s="407"/>
      <c r="AF97" s="407"/>
      <c r="AG97" s="407"/>
      <c r="AH97" s="407"/>
      <c r="AI97" s="407"/>
      <c r="AJ97" s="407"/>
      <c r="AK97" s="407"/>
      <c r="AL97" s="407"/>
      <c r="AM97" s="407"/>
      <c r="AN97" s="407"/>
      <c r="AO97" s="407"/>
      <c r="AP97" s="407"/>
      <c r="AQ97" s="407"/>
      <c r="AR97" s="407"/>
      <c r="AS97" s="407"/>
      <c r="AT97" s="407"/>
      <c r="AU97" s="407"/>
      <c r="AV97" s="407"/>
      <c r="AW97" s="407"/>
      <c r="AX97" s="407"/>
      <c r="AY97" s="407"/>
      <c r="AZ97" s="407"/>
      <c r="BA97" s="407"/>
      <c r="BB97" s="407"/>
      <c r="BC97" s="407"/>
      <c r="BD97" s="407"/>
      <c r="BE97" s="407"/>
      <c r="BF97" s="407"/>
      <c r="BG97" s="407"/>
      <c r="BH97" s="407"/>
      <c r="BI97" s="407"/>
      <c r="BJ97" s="407"/>
      <c r="BK97" s="407"/>
      <c r="BL97" s="407"/>
      <c r="BM97" s="408"/>
      <c r="BN97" s="406"/>
      <c r="BO97" s="407"/>
      <c r="BP97" s="407"/>
      <c r="BQ97" s="407"/>
      <c r="BR97" s="407"/>
      <c r="BS97" s="407"/>
      <c r="BT97" s="407"/>
      <c r="BU97" s="407"/>
      <c r="BV97" s="407"/>
      <c r="BW97" s="407"/>
      <c r="BX97" s="407"/>
      <c r="BY97" s="407"/>
      <c r="BZ97" s="407"/>
      <c r="CA97" s="407"/>
      <c r="CB97" s="407"/>
      <c r="CC97" s="407"/>
      <c r="CD97" s="407"/>
      <c r="CE97" s="407"/>
      <c r="CF97" s="408"/>
      <c r="CG97" s="270"/>
    </row>
    <row r="98" spans="1:85" ht="45" customHeight="1">
      <c r="A98" s="262"/>
      <c r="B98" s="381" t="s">
        <v>60</v>
      </c>
      <c r="C98" s="382"/>
      <c r="D98" s="382"/>
      <c r="E98" s="382"/>
      <c r="F98" s="382"/>
      <c r="G98" s="382"/>
      <c r="H98" s="382"/>
      <c r="I98" s="382"/>
      <c r="J98" s="382"/>
      <c r="K98" s="382"/>
      <c r="L98" s="382"/>
      <c r="M98" s="382"/>
      <c r="N98" s="382"/>
      <c r="O98" s="382"/>
      <c r="P98" s="383"/>
      <c r="Q98" s="384" t="s">
        <v>395</v>
      </c>
      <c r="R98" s="388"/>
      <c r="S98" s="388"/>
      <c r="T98" s="388"/>
      <c r="U98" s="388"/>
      <c r="V98" s="388"/>
      <c r="W98" s="388"/>
      <c r="X98" s="388"/>
      <c r="Y98" s="388"/>
      <c r="Z98" s="388"/>
      <c r="AA98" s="388"/>
      <c r="AB98" s="388"/>
      <c r="AC98" s="388"/>
      <c r="AD98" s="388"/>
      <c r="AE98" s="388"/>
      <c r="AF98" s="388"/>
      <c r="AG98" s="388"/>
      <c r="AH98" s="388"/>
      <c r="AI98" s="388"/>
      <c r="AJ98" s="388"/>
      <c r="AK98" s="388"/>
      <c r="AL98" s="388"/>
      <c r="AM98" s="388"/>
      <c r="AN98" s="388"/>
      <c r="AO98" s="388"/>
      <c r="AP98" s="388"/>
      <c r="AQ98" s="388"/>
      <c r="AR98" s="388"/>
      <c r="AS98" s="388"/>
      <c r="AT98" s="388"/>
      <c r="AU98" s="388"/>
      <c r="AV98" s="388"/>
      <c r="AW98" s="388"/>
      <c r="AX98" s="388"/>
      <c r="AY98" s="388"/>
      <c r="AZ98" s="388"/>
      <c r="BA98" s="388"/>
      <c r="BB98" s="388"/>
      <c r="BC98" s="388"/>
      <c r="BD98" s="388"/>
      <c r="BE98" s="388"/>
      <c r="BF98" s="388"/>
      <c r="BG98" s="388"/>
      <c r="BH98" s="388"/>
      <c r="BI98" s="388"/>
      <c r="BJ98" s="388"/>
      <c r="BK98" s="388"/>
      <c r="BL98" s="388"/>
      <c r="BM98" s="389"/>
      <c r="BN98" s="387"/>
      <c r="BO98" s="388"/>
      <c r="BP98" s="388"/>
      <c r="BQ98" s="388"/>
      <c r="BR98" s="388"/>
      <c r="BS98" s="388"/>
      <c r="BT98" s="388"/>
      <c r="BU98" s="388"/>
      <c r="BV98" s="388"/>
      <c r="BW98" s="388"/>
      <c r="BX98" s="388"/>
      <c r="BY98" s="388"/>
      <c r="BZ98" s="388"/>
      <c r="CA98" s="388"/>
      <c r="CB98" s="388"/>
      <c r="CC98" s="388"/>
      <c r="CD98" s="388"/>
      <c r="CE98" s="388"/>
      <c r="CF98" s="389"/>
      <c r="CG98" s="270"/>
    </row>
    <row r="99" spans="1:85" ht="31.5" customHeight="1">
      <c r="A99" s="262"/>
      <c r="B99" s="399" t="s">
        <v>61</v>
      </c>
      <c r="C99" s="400"/>
      <c r="D99" s="400"/>
      <c r="E99" s="400"/>
      <c r="F99" s="400"/>
      <c r="G99" s="400"/>
      <c r="H99" s="400"/>
      <c r="I99" s="400"/>
      <c r="J99" s="400"/>
      <c r="K99" s="400"/>
      <c r="L99" s="400"/>
      <c r="M99" s="400"/>
      <c r="N99" s="400"/>
      <c r="O99" s="400"/>
      <c r="P99" s="401"/>
      <c r="Q99" s="402" t="s">
        <v>62</v>
      </c>
      <c r="R99" s="397"/>
      <c r="S99" s="397"/>
      <c r="T99" s="397"/>
      <c r="U99" s="397"/>
      <c r="V99" s="397"/>
      <c r="W99" s="397"/>
      <c r="X99" s="397"/>
      <c r="Y99" s="397"/>
      <c r="Z99" s="397"/>
      <c r="AA99" s="397"/>
      <c r="AB99" s="397"/>
      <c r="AC99" s="397"/>
      <c r="AD99" s="397"/>
      <c r="AE99" s="397"/>
      <c r="AF99" s="397"/>
      <c r="AG99" s="397"/>
      <c r="AH99" s="397"/>
      <c r="AI99" s="397"/>
      <c r="AJ99" s="397"/>
      <c r="AK99" s="397"/>
      <c r="AL99" s="397"/>
      <c r="AM99" s="397"/>
      <c r="AN99" s="397"/>
      <c r="AO99" s="397"/>
      <c r="AP99" s="397"/>
      <c r="AQ99" s="397"/>
      <c r="AR99" s="397"/>
      <c r="AS99" s="397"/>
      <c r="AT99" s="397"/>
      <c r="AU99" s="397"/>
      <c r="AV99" s="397"/>
      <c r="AW99" s="397"/>
      <c r="AX99" s="397"/>
      <c r="AY99" s="397"/>
      <c r="AZ99" s="397"/>
      <c r="BA99" s="397"/>
      <c r="BB99" s="397"/>
      <c r="BC99" s="397"/>
      <c r="BD99" s="397"/>
      <c r="BE99" s="397"/>
      <c r="BF99" s="397"/>
      <c r="BG99" s="397"/>
      <c r="BH99" s="397"/>
      <c r="BI99" s="397"/>
      <c r="BJ99" s="397"/>
      <c r="BK99" s="397"/>
      <c r="BL99" s="397"/>
      <c r="BM99" s="398"/>
      <c r="BN99" s="396" t="s">
        <v>63</v>
      </c>
      <c r="BO99" s="397"/>
      <c r="BP99" s="397"/>
      <c r="BQ99" s="397"/>
      <c r="BR99" s="397"/>
      <c r="BS99" s="397"/>
      <c r="BT99" s="397"/>
      <c r="BU99" s="397"/>
      <c r="BV99" s="397"/>
      <c r="BW99" s="397"/>
      <c r="BX99" s="397"/>
      <c r="BY99" s="397"/>
      <c r="BZ99" s="397"/>
      <c r="CA99" s="397"/>
      <c r="CB99" s="397"/>
      <c r="CC99" s="397"/>
      <c r="CD99" s="397"/>
      <c r="CE99" s="397"/>
      <c r="CF99" s="398"/>
      <c r="CG99" s="270"/>
    </row>
    <row r="100" spans="1:85" ht="19.5" customHeight="1">
      <c r="A100" s="262"/>
      <c r="B100" s="399"/>
      <c r="C100" s="400"/>
      <c r="D100" s="400"/>
      <c r="E100" s="400"/>
      <c r="F100" s="400"/>
      <c r="G100" s="400"/>
      <c r="H100" s="400"/>
      <c r="I100" s="400"/>
      <c r="J100" s="400"/>
      <c r="K100" s="400"/>
      <c r="L100" s="400"/>
      <c r="M100" s="400"/>
      <c r="N100" s="400"/>
      <c r="O100" s="400"/>
      <c r="P100" s="401"/>
      <c r="Q100" s="396"/>
      <c r="R100" s="397"/>
      <c r="S100" s="397"/>
      <c r="T100" s="397"/>
      <c r="U100" s="397"/>
      <c r="V100" s="397"/>
      <c r="W100" s="397"/>
      <c r="X100" s="397"/>
      <c r="Y100" s="397"/>
      <c r="Z100" s="397"/>
      <c r="AA100" s="397"/>
      <c r="AB100" s="397"/>
      <c r="AC100" s="397"/>
      <c r="AD100" s="397"/>
      <c r="AE100" s="397"/>
      <c r="AF100" s="397"/>
      <c r="AG100" s="397"/>
      <c r="AH100" s="397"/>
      <c r="AI100" s="397"/>
      <c r="AJ100" s="397"/>
      <c r="AK100" s="397"/>
      <c r="AL100" s="397"/>
      <c r="AM100" s="397"/>
      <c r="AN100" s="397"/>
      <c r="AO100" s="397"/>
      <c r="AP100" s="397"/>
      <c r="AQ100" s="397"/>
      <c r="AR100" s="397"/>
      <c r="AS100" s="397"/>
      <c r="AT100" s="397"/>
      <c r="AU100" s="397"/>
      <c r="AV100" s="397"/>
      <c r="AW100" s="397"/>
      <c r="AX100" s="397"/>
      <c r="AY100" s="397"/>
      <c r="AZ100" s="397"/>
      <c r="BA100" s="397"/>
      <c r="BB100" s="397"/>
      <c r="BC100" s="397"/>
      <c r="BD100" s="397"/>
      <c r="BE100" s="397"/>
      <c r="BF100" s="397"/>
      <c r="BG100" s="397"/>
      <c r="BH100" s="397"/>
      <c r="BI100" s="397"/>
      <c r="BJ100" s="397"/>
      <c r="BK100" s="397"/>
      <c r="BL100" s="397"/>
      <c r="BM100" s="398"/>
      <c r="BN100" s="396"/>
      <c r="BO100" s="397"/>
      <c r="BP100" s="397"/>
      <c r="BQ100" s="397"/>
      <c r="BR100" s="397"/>
      <c r="BS100" s="397"/>
      <c r="BT100" s="397"/>
      <c r="BU100" s="397"/>
      <c r="BV100" s="397"/>
      <c r="BW100" s="397"/>
      <c r="BX100" s="397"/>
      <c r="BY100" s="397"/>
      <c r="BZ100" s="397"/>
      <c r="CA100" s="397"/>
      <c r="CB100" s="397"/>
      <c r="CC100" s="397"/>
      <c r="CD100" s="397"/>
      <c r="CE100" s="397"/>
      <c r="CF100" s="398"/>
      <c r="CG100" s="270"/>
    </row>
    <row r="101" spans="1:85" ht="19.5" customHeight="1">
      <c r="A101" s="263"/>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c r="AN101" s="271"/>
      <c r="AO101" s="271"/>
      <c r="AP101" s="271"/>
      <c r="AQ101" s="271"/>
      <c r="AR101" s="271"/>
      <c r="AS101" s="271"/>
      <c r="AT101" s="271"/>
      <c r="AU101" s="271"/>
      <c r="AV101" s="271"/>
      <c r="AW101" s="271"/>
      <c r="AX101" s="271"/>
      <c r="AY101" s="271"/>
      <c r="AZ101" s="271"/>
      <c r="BA101" s="271"/>
      <c r="BB101" s="271"/>
      <c r="BC101" s="271"/>
      <c r="BD101" s="271"/>
      <c r="BE101" s="271"/>
      <c r="BF101" s="271"/>
      <c r="BG101" s="271"/>
      <c r="BH101" s="271"/>
      <c r="BI101" s="271"/>
      <c r="BJ101" s="271"/>
      <c r="BK101" s="271"/>
      <c r="BL101" s="271"/>
      <c r="BM101" s="271"/>
      <c r="BN101" s="271"/>
      <c r="BO101" s="271"/>
      <c r="BP101" s="271"/>
      <c r="BQ101" s="271"/>
      <c r="BR101" s="271"/>
      <c r="BS101" s="271"/>
      <c r="BT101" s="271"/>
      <c r="BU101" s="271"/>
      <c r="BV101" s="271"/>
      <c r="BW101" s="271"/>
      <c r="BX101" s="271"/>
      <c r="BY101" s="271"/>
      <c r="BZ101" s="271"/>
      <c r="CA101" s="271"/>
      <c r="CB101" s="271"/>
      <c r="CC101" s="271"/>
      <c r="CD101" s="271"/>
      <c r="CE101" s="271"/>
      <c r="CF101" s="271"/>
      <c r="CG101" s="272"/>
    </row>
    <row r="102" spans="1:85" ht="19.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c r="BM102" s="97"/>
      <c r="BN102" s="97"/>
      <c r="BO102" s="97"/>
      <c r="BP102" s="97"/>
      <c r="BQ102" s="97"/>
      <c r="BR102" s="97"/>
      <c r="BS102" s="97"/>
      <c r="BT102" s="97"/>
      <c r="BU102" s="97"/>
      <c r="BV102" s="97"/>
      <c r="BW102" s="97"/>
      <c r="BX102" s="97"/>
      <c r="BY102" s="97"/>
      <c r="BZ102" s="97"/>
      <c r="CA102" s="97"/>
      <c r="CB102" s="97"/>
      <c r="CC102" s="97"/>
      <c r="CD102" s="97"/>
      <c r="CE102" s="97"/>
      <c r="CF102" s="97"/>
      <c r="CG102" s="97"/>
    </row>
    <row r="103" spans="1:85" ht="19.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c r="BM103" s="97"/>
      <c r="BN103" s="97"/>
      <c r="BO103" s="97"/>
      <c r="BP103" s="97"/>
      <c r="BQ103" s="97"/>
      <c r="BR103" s="97"/>
      <c r="BS103" s="97"/>
      <c r="BT103" s="97"/>
      <c r="BU103" s="97"/>
      <c r="BV103" s="97"/>
      <c r="BW103" s="97"/>
      <c r="BX103" s="97"/>
      <c r="BY103" s="97"/>
      <c r="BZ103" s="97"/>
      <c r="CA103" s="97"/>
      <c r="CB103" s="97"/>
      <c r="CC103" s="97"/>
      <c r="CD103" s="97"/>
      <c r="CE103" s="97"/>
      <c r="CF103" s="97"/>
      <c r="CG103" s="97"/>
    </row>
    <row r="104" spans="1:85" ht="19.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97"/>
    </row>
    <row r="105" spans="1:85" ht="19.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7"/>
      <c r="CE105" s="97"/>
      <c r="CF105" s="97"/>
      <c r="CG105" s="97"/>
    </row>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sheetData>
  <mergeCells count="127">
    <mergeCell ref="BW72:CC72"/>
    <mergeCell ref="D56:F57"/>
    <mergeCell ref="G56:K57"/>
    <mergeCell ref="L56:Q57"/>
    <mergeCell ref="R56:W57"/>
    <mergeCell ref="AK56:AO57"/>
    <mergeCell ref="X56:AJ57"/>
    <mergeCell ref="AP56:BD57"/>
    <mergeCell ref="BE56:BH57"/>
    <mergeCell ref="BI56:BL57"/>
    <mergeCell ref="BM56:BV57"/>
    <mergeCell ref="BW56:CC57"/>
    <mergeCell ref="BW63:CC63"/>
    <mergeCell ref="BW64:CC64"/>
    <mergeCell ref="BW65:CC65"/>
    <mergeCell ref="BW66:CC66"/>
    <mergeCell ref="BW67:CC67"/>
    <mergeCell ref="BW68:CC68"/>
    <mergeCell ref="BW69:CC69"/>
    <mergeCell ref="BW70:CC70"/>
    <mergeCell ref="BW71:CC71"/>
    <mergeCell ref="AT1:BF1"/>
    <mergeCell ref="A2:BO2"/>
    <mergeCell ref="BP2:BU2"/>
    <mergeCell ref="A3:K3"/>
    <mergeCell ref="L3:BO3"/>
    <mergeCell ref="BP3:BU3"/>
    <mergeCell ref="D67:F67"/>
    <mergeCell ref="D59:F59"/>
    <mergeCell ref="D60:F60"/>
    <mergeCell ref="D61:F61"/>
    <mergeCell ref="D64:F64"/>
    <mergeCell ref="D65:F65"/>
    <mergeCell ref="D66:F66"/>
    <mergeCell ref="A4:K4"/>
    <mergeCell ref="D58:F58"/>
    <mergeCell ref="D62:F62"/>
    <mergeCell ref="D63:F63"/>
    <mergeCell ref="D53:CC53"/>
    <mergeCell ref="D23:CC23"/>
    <mergeCell ref="L7:CG7"/>
    <mergeCell ref="BW58:CC58"/>
    <mergeCell ref="BW59:CC59"/>
    <mergeCell ref="B80:P80"/>
    <mergeCell ref="Q80:BM80"/>
    <mergeCell ref="BN80:CF80"/>
    <mergeCell ref="B82:P82"/>
    <mergeCell ref="Q82:BM82"/>
    <mergeCell ref="BN82:CF82"/>
    <mergeCell ref="Q84:BM84"/>
    <mergeCell ref="B83:P83"/>
    <mergeCell ref="Q83:BM83"/>
    <mergeCell ref="BN83:CF83"/>
    <mergeCell ref="B81:P81"/>
    <mergeCell ref="Q81:BM81"/>
    <mergeCell ref="BN81:CF81"/>
    <mergeCell ref="D73:CC73"/>
    <mergeCell ref="L47:BU49"/>
    <mergeCell ref="BV47:CF49"/>
    <mergeCell ref="D51:CC51"/>
    <mergeCell ref="CA2:CC2"/>
    <mergeCell ref="CD2:CG2"/>
    <mergeCell ref="A7:K7"/>
    <mergeCell ref="BV3:CG3"/>
    <mergeCell ref="L10:BU12"/>
    <mergeCell ref="BV10:CF12"/>
    <mergeCell ref="D14:CC14"/>
    <mergeCell ref="D16:CC16"/>
    <mergeCell ref="L4:BO4"/>
    <mergeCell ref="BP4:BU4"/>
    <mergeCell ref="BV4:CG4"/>
    <mergeCell ref="D55:CC55"/>
    <mergeCell ref="D68:F68"/>
    <mergeCell ref="D69:F69"/>
    <mergeCell ref="D70:F70"/>
    <mergeCell ref="D71:F71"/>
    <mergeCell ref="D72:F72"/>
    <mergeCell ref="BW60:CC60"/>
    <mergeCell ref="BW61:CC61"/>
    <mergeCell ref="BW62:CC62"/>
    <mergeCell ref="B94:P94"/>
    <mergeCell ref="Q94:BM94"/>
    <mergeCell ref="BN94:CF94"/>
    <mergeCell ref="B90:P90"/>
    <mergeCell ref="Q90:BM90"/>
    <mergeCell ref="BN90:CF90"/>
    <mergeCell ref="B96:P96"/>
    <mergeCell ref="Q96:BM96"/>
    <mergeCell ref="BN96:CF96"/>
    <mergeCell ref="B89:P89"/>
    <mergeCell ref="Q89:BM89"/>
    <mergeCell ref="BN89:CF89"/>
    <mergeCell ref="BN100:CF100"/>
    <mergeCell ref="B98:P98"/>
    <mergeCell ref="Q98:BM98"/>
    <mergeCell ref="BN98:CF98"/>
    <mergeCell ref="B99:P99"/>
    <mergeCell ref="Q99:BM99"/>
    <mergeCell ref="BN99:CF99"/>
    <mergeCell ref="B100:P100"/>
    <mergeCell ref="Q100:BM100"/>
    <mergeCell ref="B97:P97"/>
    <mergeCell ref="Q97:BM97"/>
    <mergeCell ref="BN97:CF97"/>
    <mergeCell ref="Q91:BM91"/>
    <mergeCell ref="B91:P91"/>
    <mergeCell ref="BN91:CF91"/>
    <mergeCell ref="B92:P92"/>
    <mergeCell ref="Q92:BM92"/>
    <mergeCell ref="BN92:CF92"/>
    <mergeCell ref="B93:P93"/>
    <mergeCell ref="Q93:BM93"/>
    <mergeCell ref="BN93:CF93"/>
    <mergeCell ref="B87:P87"/>
    <mergeCell ref="Q87:BM87"/>
    <mergeCell ref="BN87:CF87"/>
    <mergeCell ref="B84:P84"/>
    <mergeCell ref="B86:P86"/>
    <mergeCell ref="BN84:CF84"/>
    <mergeCell ref="BN86:CF86"/>
    <mergeCell ref="Q86:BM86"/>
    <mergeCell ref="Q88:BM88"/>
    <mergeCell ref="BN88:CF88"/>
    <mergeCell ref="B88:P88"/>
    <mergeCell ref="B85:P85"/>
    <mergeCell ref="Q85:BM85"/>
    <mergeCell ref="BN85:CF85"/>
  </mergeCells>
  <phoneticPr fontId="5"/>
  <pageMargins left="0.45" right="0.23" top="0.51" bottom="0.19685039370078741" header="0.7" footer="0.27559055118110237"/>
  <pageSetup paperSize="9" scale="62" fitToHeight="0" orientation="portrait" horizontalDpi="360" verticalDpi="360" r:id="rId1"/>
  <headerFooter>
    <oddHeader xml:space="preserve">&amp;R&amp;P    </oddHeader>
  </headerFooter>
  <rowBreaks count="1" manualBreakCount="1">
    <brk id="4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0574-3FC4-4CAE-B4FD-8373B604FAFB}">
  <sheetPr codeName="Sheet6"/>
  <dimension ref="A1:BK66"/>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71" t="s">
        <v>80</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316</v>
      </c>
      <c r="BA2" s="367"/>
      <c r="BB2" s="367"/>
      <c r="BC2" s="368"/>
      <c r="BD2" s="366" t="s">
        <v>5</v>
      </c>
      <c r="BE2" s="367"/>
      <c r="BF2" s="368"/>
      <c r="BG2" s="366"/>
      <c r="BH2" s="367"/>
      <c r="BI2" s="367"/>
      <c r="BJ2" s="368"/>
    </row>
    <row r="3" spans="1:63" ht="21" customHeight="1">
      <c r="A3" s="366" t="s">
        <v>6</v>
      </c>
      <c r="B3" s="367"/>
      <c r="C3" s="367"/>
      <c r="D3" s="367"/>
      <c r="E3" s="367"/>
      <c r="F3" s="367"/>
      <c r="G3" s="368"/>
      <c r="H3" s="537" t="s">
        <v>302</v>
      </c>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7"/>
      <c r="AV3" s="366" t="s">
        <v>7</v>
      </c>
      <c r="AW3" s="367"/>
      <c r="AX3" s="367"/>
      <c r="AY3" s="368"/>
      <c r="AZ3" s="549">
        <v>45898</v>
      </c>
      <c r="BA3" s="550"/>
      <c r="BB3" s="550"/>
      <c r="BC3" s="550"/>
      <c r="BD3" s="550"/>
      <c r="BE3" s="550"/>
      <c r="BF3" s="550"/>
      <c r="BG3" s="550"/>
      <c r="BH3" s="550"/>
      <c r="BI3" s="550"/>
      <c r="BJ3" s="551"/>
    </row>
    <row r="4" spans="1:63" ht="21" customHeight="1">
      <c r="A4" s="366" t="s">
        <v>8</v>
      </c>
      <c r="B4" s="367"/>
      <c r="C4" s="367"/>
      <c r="D4" s="367"/>
      <c r="E4" s="367"/>
      <c r="F4" s="367"/>
      <c r="G4" s="368"/>
      <c r="H4" s="537" t="s">
        <v>29</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366" t="s">
        <v>10</v>
      </c>
      <c r="AW4" s="367"/>
      <c r="AX4" s="367"/>
      <c r="AY4" s="368"/>
      <c r="AZ4" s="366"/>
      <c r="BA4" s="367"/>
      <c r="BB4" s="367"/>
      <c r="BC4" s="367"/>
      <c r="BD4" s="367"/>
      <c r="BE4" s="367"/>
      <c r="BF4" s="367"/>
      <c r="BG4" s="367"/>
      <c r="BH4" s="367"/>
      <c r="BI4" s="367"/>
      <c r="BJ4" s="368"/>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66" t="s">
        <v>30</v>
      </c>
      <c r="B6" s="367"/>
      <c r="C6" s="367"/>
      <c r="D6" s="367"/>
      <c r="E6" s="367"/>
      <c r="F6" s="367"/>
      <c r="G6" s="368"/>
      <c r="H6" s="537" t="str">
        <f>変更履歴!H6</f>
        <v>販売共計年産繰越入力</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96"/>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5" t="s">
        <v>81</v>
      </c>
      <c r="B9" s="365"/>
      <c r="C9" s="365"/>
      <c r="D9" s="556" t="s">
        <v>137</v>
      </c>
      <c r="E9" s="556"/>
      <c r="F9" s="556"/>
      <c r="G9" s="556"/>
      <c r="H9" s="556"/>
      <c r="I9" s="556"/>
      <c r="J9" s="556"/>
      <c r="K9" s="556"/>
      <c r="L9" s="556"/>
      <c r="M9" s="556"/>
      <c r="N9" s="556"/>
      <c r="O9" s="556"/>
      <c r="P9" s="556"/>
      <c r="Q9" s="556"/>
      <c r="R9" s="556"/>
      <c r="S9" s="556"/>
      <c r="T9" s="556"/>
      <c r="U9" s="556"/>
      <c r="V9" s="556"/>
      <c r="W9" s="556"/>
      <c r="X9" s="556"/>
      <c r="Y9" s="556"/>
      <c r="Z9" s="556"/>
      <c r="AA9" s="556"/>
      <c r="AB9" s="556"/>
      <c r="AC9" s="556"/>
      <c r="AD9" s="556"/>
      <c r="AE9" s="556"/>
      <c r="AF9" s="556"/>
      <c r="AG9" s="556"/>
      <c r="AH9" s="556"/>
      <c r="AI9" s="556"/>
      <c r="AJ9" s="556"/>
      <c r="AK9" s="556"/>
      <c r="AL9" s="556"/>
      <c r="AM9" s="556"/>
      <c r="AN9" s="556"/>
      <c r="AO9" s="556"/>
      <c r="AP9" s="556"/>
      <c r="AQ9" s="556"/>
      <c r="AR9" s="556"/>
      <c r="AS9" s="556"/>
      <c r="AT9" s="356" t="s">
        <v>138</v>
      </c>
      <c r="AU9" s="357"/>
      <c r="AV9" s="357"/>
      <c r="AW9" s="357"/>
      <c r="AX9" s="357"/>
      <c r="AY9" s="357"/>
      <c r="AZ9" s="357"/>
      <c r="BA9" s="357"/>
      <c r="BB9" s="357"/>
      <c r="BC9" s="357"/>
      <c r="BD9" s="357"/>
      <c r="BE9" s="357"/>
      <c r="BF9" s="357"/>
      <c r="BG9" s="357"/>
      <c r="BH9" s="357"/>
      <c r="BI9" s="357"/>
      <c r="BJ9" s="358"/>
      <c r="BK9" s="173"/>
    </row>
    <row r="10" spans="1:63" ht="25.5" customHeight="1">
      <c r="A10" s="557" t="s">
        <v>99</v>
      </c>
      <c r="B10" s="557"/>
      <c r="C10" s="557"/>
      <c r="D10" s="558" t="s">
        <v>245</v>
      </c>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9" t="s">
        <v>256</v>
      </c>
      <c r="AU10" s="560"/>
      <c r="AV10" s="560"/>
      <c r="AW10" s="560"/>
      <c r="AX10" s="560"/>
      <c r="AY10" s="560"/>
      <c r="AZ10" s="560"/>
      <c r="BA10" s="560"/>
      <c r="BB10" s="560"/>
      <c r="BC10" s="560"/>
      <c r="BD10" s="560"/>
      <c r="BE10" s="560"/>
      <c r="BF10" s="560"/>
      <c r="BG10" s="560"/>
      <c r="BH10" s="560"/>
      <c r="BI10" s="560"/>
      <c r="BJ10" s="561"/>
      <c r="BK10" s="3"/>
    </row>
    <row r="11" spans="1:63" ht="25.5" customHeight="1">
      <c r="A11" s="569" t="s">
        <v>91</v>
      </c>
      <c r="B11" s="569"/>
      <c r="C11" s="569"/>
      <c r="D11" s="570" t="s">
        <v>275</v>
      </c>
      <c r="E11" s="570"/>
      <c r="F11" s="570"/>
      <c r="G11" s="570"/>
      <c r="H11" s="570"/>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482" t="s">
        <v>139</v>
      </c>
      <c r="AU11" s="483"/>
      <c r="AV11" s="483"/>
      <c r="AW11" s="483"/>
      <c r="AX11" s="483"/>
      <c r="AY11" s="483"/>
      <c r="AZ11" s="483"/>
      <c r="BA11" s="483"/>
      <c r="BB11" s="483"/>
      <c r="BC11" s="483"/>
      <c r="BD11" s="483"/>
      <c r="BE11" s="483"/>
      <c r="BF11" s="483"/>
      <c r="BG11" s="483"/>
      <c r="BH11" s="483"/>
      <c r="BI11" s="483"/>
      <c r="BJ11" s="499"/>
      <c r="BK11" s="173"/>
    </row>
    <row r="12" spans="1:63" ht="25.5" customHeight="1">
      <c r="A12" s="569" t="s">
        <v>276</v>
      </c>
      <c r="B12" s="569"/>
      <c r="C12" s="569"/>
      <c r="D12" s="570" t="s">
        <v>277</v>
      </c>
      <c r="E12" s="570"/>
      <c r="F12" s="570"/>
      <c r="G12" s="570"/>
      <c r="H12" s="570"/>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482" t="s">
        <v>139</v>
      </c>
      <c r="AU12" s="483"/>
      <c r="AV12" s="483"/>
      <c r="AW12" s="483"/>
      <c r="AX12" s="483"/>
      <c r="AY12" s="483"/>
      <c r="AZ12" s="483"/>
      <c r="BA12" s="483"/>
      <c r="BB12" s="483"/>
      <c r="BC12" s="483"/>
      <c r="BD12" s="483"/>
      <c r="BE12" s="483"/>
      <c r="BF12" s="483"/>
      <c r="BG12" s="483"/>
      <c r="BH12" s="483"/>
      <c r="BI12" s="483"/>
      <c r="BJ12" s="499"/>
      <c r="BK12" s="173"/>
    </row>
    <row r="13" spans="1:63" ht="25.5" customHeight="1">
      <c r="A13" s="569" t="s">
        <v>278</v>
      </c>
      <c r="B13" s="569"/>
      <c r="C13" s="569"/>
      <c r="D13" s="570" t="s">
        <v>279</v>
      </c>
      <c r="E13" s="570"/>
      <c r="F13" s="570"/>
      <c r="G13" s="570"/>
      <c r="H13" s="570"/>
      <c r="I13" s="570"/>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482" t="s">
        <v>139</v>
      </c>
      <c r="AU13" s="483"/>
      <c r="AV13" s="483"/>
      <c r="AW13" s="483"/>
      <c r="AX13" s="483"/>
      <c r="AY13" s="483"/>
      <c r="AZ13" s="483"/>
      <c r="BA13" s="483"/>
      <c r="BB13" s="483"/>
      <c r="BC13" s="483"/>
      <c r="BD13" s="483"/>
      <c r="BE13" s="483"/>
      <c r="BF13" s="483"/>
      <c r="BG13" s="483"/>
      <c r="BH13" s="483"/>
      <c r="BI13" s="483"/>
      <c r="BJ13" s="499"/>
      <c r="BK13" s="173"/>
    </row>
    <row r="14" spans="1:63" ht="25.5" customHeight="1">
      <c r="A14" s="562" t="s">
        <v>157</v>
      </c>
      <c r="B14" s="562"/>
      <c r="C14" s="562"/>
      <c r="D14" s="548" t="s">
        <v>39</v>
      </c>
      <c r="E14" s="548"/>
      <c r="F14" s="548"/>
      <c r="G14" s="548"/>
      <c r="H14" s="548"/>
      <c r="I14" s="548"/>
      <c r="J14" s="548"/>
      <c r="K14" s="548"/>
      <c r="L14" s="548"/>
      <c r="M14" s="548"/>
      <c r="N14" s="548"/>
      <c r="O14" s="548"/>
      <c r="P14" s="548"/>
      <c r="Q14" s="548"/>
      <c r="R14" s="548"/>
      <c r="S14" s="548"/>
      <c r="T14" s="548"/>
      <c r="U14" s="548"/>
      <c r="V14" s="548"/>
      <c r="W14" s="548"/>
      <c r="X14" s="548"/>
      <c r="Y14" s="548"/>
      <c r="Z14" s="548"/>
      <c r="AA14" s="548"/>
      <c r="AB14" s="548"/>
      <c r="AC14" s="548"/>
      <c r="AD14" s="548"/>
      <c r="AE14" s="548"/>
      <c r="AF14" s="548"/>
      <c r="AG14" s="548"/>
      <c r="AH14" s="548"/>
      <c r="AI14" s="548"/>
      <c r="AJ14" s="548"/>
      <c r="AK14" s="548"/>
      <c r="AL14" s="548"/>
      <c r="AM14" s="548"/>
      <c r="AN14" s="548"/>
      <c r="AO14" s="548"/>
      <c r="AP14" s="548"/>
      <c r="AQ14" s="548"/>
      <c r="AR14" s="548"/>
      <c r="AS14" s="548"/>
      <c r="AT14" s="563" t="s">
        <v>139</v>
      </c>
      <c r="AU14" s="564"/>
      <c r="AV14" s="564"/>
      <c r="AW14" s="564"/>
      <c r="AX14" s="564"/>
      <c r="AY14" s="564"/>
      <c r="AZ14" s="564"/>
      <c r="BA14" s="564"/>
      <c r="BB14" s="564"/>
      <c r="BC14" s="564"/>
      <c r="BD14" s="564"/>
      <c r="BE14" s="564"/>
      <c r="BF14" s="564"/>
      <c r="BG14" s="564"/>
      <c r="BH14" s="564"/>
      <c r="BI14" s="564"/>
      <c r="BJ14" s="565"/>
      <c r="BK14" s="173"/>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540" t="s">
        <v>81</v>
      </c>
      <c r="B16" s="541"/>
      <c r="C16" s="542"/>
      <c r="D16" s="540" t="s">
        <v>82</v>
      </c>
      <c r="E16" s="541"/>
      <c r="F16" s="541"/>
      <c r="G16" s="541"/>
      <c r="H16" s="541"/>
      <c r="I16" s="541"/>
      <c r="J16" s="541"/>
      <c r="K16" s="541"/>
      <c r="L16" s="541"/>
      <c r="M16" s="541"/>
      <c r="N16" s="541"/>
      <c r="O16" s="541"/>
      <c r="P16" s="541"/>
      <c r="Q16" s="541"/>
      <c r="R16" s="542"/>
      <c r="S16" s="540" t="s">
        <v>83</v>
      </c>
      <c r="T16" s="541"/>
      <c r="U16" s="542"/>
      <c r="V16" s="534" t="s">
        <v>84</v>
      </c>
      <c r="W16" s="535"/>
      <c r="X16" s="535"/>
      <c r="Y16" s="536"/>
      <c r="Z16" s="540" t="s">
        <v>85</v>
      </c>
      <c r="AA16" s="541"/>
      <c r="AB16" s="541"/>
      <c r="AC16" s="542"/>
      <c r="AD16" s="571" t="s">
        <v>86</v>
      </c>
      <c r="AE16" s="572"/>
      <c r="AF16" s="573"/>
      <c r="AG16" s="571" t="s">
        <v>87</v>
      </c>
      <c r="AH16" s="572"/>
      <c r="AI16" s="573"/>
      <c r="AJ16" s="571" t="s">
        <v>88</v>
      </c>
      <c r="AK16" s="572"/>
      <c r="AL16" s="573"/>
      <c r="AM16" s="540" t="s">
        <v>89</v>
      </c>
      <c r="AN16" s="541"/>
      <c r="AO16" s="541"/>
      <c r="AP16" s="541"/>
      <c r="AQ16" s="541"/>
      <c r="AR16" s="541"/>
      <c r="AS16" s="541"/>
      <c r="AT16" s="541"/>
      <c r="AU16" s="541"/>
      <c r="AV16" s="541"/>
      <c r="AW16" s="541"/>
      <c r="AX16" s="541"/>
      <c r="AY16" s="541"/>
      <c r="AZ16" s="541"/>
      <c r="BA16" s="541"/>
      <c r="BB16" s="541"/>
      <c r="BC16" s="541"/>
      <c r="BD16" s="541"/>
      <c r="BE16" s="541"/>
      <c r="BF16" s="541"/>
      <c r="BG16" s="541"/>
      <c r="BH16" s="541"/>
      <c r="BI16" s="541"/>
      <c r="BJ16" s="542"/>
    </row>
    <row r="17" spans="1:62" s="16" customFormat="1" ht="20.25" customHeight="1">
      <c r="A17" s="543"/>
      <c r="B17" s="544"/>
      <c r="C17" s="545"/>
      <c r="D17" s="543"/>
      <c r="E17" s="544"/>
      <c r="F17" s="544"/>
      <c r="G17" s="544"/>
      <c r="H17" s="544"/>
      <c r="I17" s="544"/>
      <c r="J17" s="544"/>
      <c r="K17" s="544"/>
      <c r="L17" s="544"/>
      <c r="M17" s="544"/>
      <c r="N17" s="544"/>
      <c r="O17" s="544"/>
      <c r="P17" s="544"/>
      <c r="Q17" s="544"/>
      <c r="R17" s="545"/>
      <c r="S17" s="543"/>
      <c r="T17" s="544"/>
      <c r="U17" s="545"/>
      <c r="V17" s="566" t="s">
        <v>90</v>
      </c>
      <c r="W17" s="567"/>
      <c r="X17" s="567" t="s">
        <v>52</v>
      </c>
      <c r="Y17" s="568"/>
      <c r="Z17" s="543"/>
      <c r="AA17" s="544"/>
      <c r="AB17" s="544"/>
      <c r="AC17" s="545"/>
      <c r="AD17" s="574"/>
      <c r="AE17" s="575"/>
      <c r="AF17" s="576"/>
      <c r="AG17" s="574"/>
      <c r="AH17" s="575"/>
      <c r="AI17" s="576"/>
      <c r="AJ17" s="574"/>
      <c r="AK17" s="575"/>
      <c r="AL17" s="576"/>
      <c r="AM17" s="543"/>
      <c r="AN17" s="544"/>
      <c r="AO17" s="544"/>
      <c r="AP17" s="544"/>
      <c r="AQ17" s="544"/>
      <c r="AR17" s="544"/>
      <c r="AS17" s="544"/>
      <c r="AT17" s="544"/>
      <c r="AU17" s="544"/>
      <c r="AV17" s="544"/>
      <c r="AW17" s="544"/>
      <c r="AX17" s="544"/>
      <c r="AY17" s="544"/>
      <c r="AZ17" s="544"/>
      <c r="BA17" s="544"/>
      <c r="BB17" s="544"/>
      <c r="BC17" s="544"/>
      <c r="BD17" s="544"/>
      <c r="BE17" s="544"/>
      <c r="BF17" s="544"/>
      <c r="BG17" s="544"/>
      <c r="BH17" s="544"/>
      <c r="BI17" s="544"/>
      <c r="BJ17" s="545"/>
    </row>
    <row r="18" spans="1:62" ht="30.75" customHeight="1">
      <c r="A18" s="578">
        <f>ROW()-17</f>
        <v>1</v>
      </c>
      <c r="B18" s="579"/>
      <c r="C18" s="580"/>
      <c r="D18" s="495" t="s">
        <v>158</v>
      </c>
      <c r="E18" s="496"/>
      <c r="F18" s="496"/>
      <c r="G18" s="496"/>
      <c r="H18" s="496"/>
      <c r="I18" s="496"/>
      <c r="J18" s="496"/>
      <c r="K18" s="496"/>
      <c r="L18" s="496"/>
      <c r="M18" s="496"/>
      <c r="N18" s="496"/>
      <c r="O18" s="496"/>
      <c r="P18" s="496"/>
      <c r="Q18" s="496"/>
      <c r="R18" s="497"/>
      <c r="S18" s="490"/>
      <c r="T18" s="491"/>
      <c r="U18" s="492"/>
      <c r="V18" s="581" t="s">
        <v>281</v>
      </c>
      <c r="W18" s="582"/>
      <c r="X18" s="577" t="s">
        <v>281</v>
      </c>
      <c r="Y18" s="542"/>
      <c r="Z18" s="490"/>
      <c r="AA18" s="491"/>
      <c r="AB18" s="491"/>
      <c r="AC18" s="492"/>
      <c r="AD18" s="490"/>
      <c r="AE18" s="491"/>
      <c r="AF18" s="492"/>
      <c r="AG18" s="490"/>
      <c r="AH18" s="491"/>
      <c r="AI18" s="492"/>
      <c r="AJ18" s="490"/>
      <c r="AK18" s="491"/>
      <c r="AL18" s="492"/>
      <c r="AM18" s="479"/>
      <c r="AN18" s="480"/>
      <c r="AO18" s="480"/>
      <c r="AP18" s="480"/>
      <c r="AQ18" s="480"/>
      <c r="AR18" s="480"/>
      <c r="AS18" s="480"/>
      <c r="AT18" s="480"/>
      <c r="AU18" s="480"/>
      <c r="AV18" s="480"/>
      <c r="AW18" s="480"/>
      <c r="AX18" s="480"/>
      <c r="AY18" s="480"/>
      <c r="AZ18" s="480"/>
      <c r="BA18" s="480"/>
      <c r="BB18" s="480"/>
      <c r="BC18" s="480"/>
      <c r="BD18" s="480"/>
      <c r="BE18" s="480"/>
      <c r="BF18" s="480"/>
      <c r="BG18" s="480"/>
      <c r="BH18" s="480"/>
      <c r="BI18" s="480"/>
      <c r="BJ18" s="481"/>
    </row>
    <row r="19" spans="1:62" ht="30.75" customHeight="1">
      <c r="A19" s="484">
        <f>ROW()-17</f>
        <v>2</v>
      </c>
      <c r="B19" s="485"/>
      <c r="C19" s="486"/>
      <c r="D19" s="479" t="s">
        <v>36</v>
      </c>
      <c r="E19" s="480"/>
      <c r="F19" s="480"/>
      <c r="G19" s="480"/>
      <c r="H19" s="480"/>
      <c r="I19" s="480"/>
      <c r="J19" s="480"/>
      <c r="K19" s="480"/>
      <c r="L19" s="480"/>
      <c r="M19" s="480"/>
      <c r="N19" s="480"/>
      <c r="O19" s="480"/>
      <c r="P19" s="480"/>
      <c r="Q19" s="480"/>
      <c r="R19" s="481"/>
      <c r="S19" s="490" t="s">
        <v>213</v>
      </c>
      <c r="T19" s="491"/>
      <c r="U19" s="492"/>
      <c r="V19" s="482" t="s">
        <v>91</v>
      </c>
      <c r="W19" s="483"/>
      <c r="X19" s="514" t="s">
        <v>91</v>
      </c>
      <c r="Y19" s="499"/>
      <c r="Z19" s="177" t="s">
        <v>457</v>
      </c>
      <c r="AA19" s="175"/>
      <c r="AB19" s="175"/>
      <c r="AC19" s="176"/>
      <c r="AD19" s="482"/>
      <c r="AE19" s="483"/>
      <c r="AF19" s="499"/>
      <c r="AG19" s="482"/>
      <c r="AH19" s="483"/>
      <c r="AI19" s="499"/>
      <c r="AJ19" s="493"/>
      <c r="AK19" s="494"/>
      <c r="AL19" s="523"/>
      <c r="AM19" s="500" t="s">
        <v>232</v>
      </c>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9"/>
    </row>
    <row r="20" spans="1:62" ht="30.75" customHeight="1">
      <c r="A20" s="484">
        <f t="shared" ref="A20:A45" si="0">ROW()-17</f>
        <v>3</v>
      </c>
      <c r="B20" s="485"/>
      <c r="C20" s="486"/>
      <c r="D20" s="479" t="s">
        <v>144</v>
      </c>
      <c r="E20" s="480"/>
      <c r="F20" s="480"/>
      <c r="G20" s="480"/>
      <c r="H20" s="480"/>
      <c r="I20" s="480"/>
      <c r="J20" s="480"/>
      <c r="K20" s="480"/>
      <c r="L20" s="480"/>
      <c r="M20" s="480"/>
      <c r="N20" s="480"/>
      <c r="O20" s="480"/>
      <c r="P20" s="480"/>
      <c r="Q20" s="480"/>
      <c r="R20" s="481"/>
      <c r="S20" s="174" t="s">
        <v>145</v>
      </c>
      <c r="T20" s="175"/>
      <c r="U20" s="176"/>
      <c r="V20" s="482" t="s">
        <v>151</v>
      </c>
      <c r="W20" s="483"/>
      <c r="X20" s="514" t="s">
        <v>186</v>
      </c>
      <c r="Y20" s="499"/>
      <c r="Z20" s="515" t="s">
        <v>324</v>
      </c>
      <c r="AA20" s="516"/>
      <c r="AB20" s="516"/>
      <c r="AC20" s="517"/>
      <c r="AD20" s="482"/>
      <c r="AE20" s="483"/>
      <c r="AF20" s="499"/>
      <c r="AG20" s="482"/>
      <c r="AH20" s="483"/>
      <c r="AI20" s="499"/>
      <c r="AJ20" s="493"/>
      <c r="AK20" s="494"/>
      <c r="AL20" s="523"/>
      <c r="AM20" s="500"/>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9"/>
    </row>
    <row r="21" spans="1:62" ht="30.75" customHeight="1">
      <c r="A21" s="484">
        <f t="shared" si="0"/>
        <v>4</v>
      </c>
      <c r="B21" s="485"/>
      <c r="C21" s="486"/>
      <c r="D21" s="479" t="s">
        <v>143</v>
      </c>
      <c r="E21" s="480"/>
      <c r="F21" s="480"/>
      <c r="G21" s="480"/>
      <c r="H21" s="480"/>
      <c r="I21" s="480"/>
      <c r="J21" s="480"/>
      <c r="K21" s="480"/>
      <c r="L21" s="480"/>
      <c r="M21" s="480"/>
      <c r="N21" s="480"/>
      <c r="O21" s="480"/>
      <c r="P21" s="480"/>
      <c r="Q21" s="480"/>
      <c r="R21" s="481"/>
      <c r="S21" s="490" t="s">
        <v>213</v>
      </c>
      <c r="T21" s="491"/>
      <c r="U21" s="492"/>
      <c r="V21" s="482" t="s">
        <v>93</v>
      </c>
      <c r="W21" s="483"/>
      <c r="X21" s="514" t="s">
        <v>93</v>
      </c>
      <c r="Y21" s="499"/>
      <c r="Z21" s="174" t="s">
        <v>149</v>
      </c>
      <c r="AA21" s="175"/>
      <c r="AB21" s="175"/>
      <c r="AC21" s="176"/>
      <c r="AD21" s="482"/>
      <c r="AE21" s="483"/>
      <c r="AF21" s="499"/>
      <c r="AG21" s="482"/>
      <c r="AH21" s="483"/>
      <c r="AI21" s="499"/>
      <c r="AJ21" s="490"/>
      <c r="AK21" s="491"/>
      <c r="AL21" s="492"/>
      <c r="AM21" s="51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1"/>
    </row>
    <row r="22" spans="1:62" ht="30.75" customHeight="1">
      <c r="A22" s="484">
        <f t="shared" si="0"/>
        <v>5</v>
      </c>
      <c r="B22" s="485"/>
      <c r="C22" s="486"/>
      <c r="D22" s="479" t="s">
        <v>147</v>
      </c>
      <c r="E22" s="480"/>
      <c r="F22" s="480"/>
      <c r="G22" s="480"/>
      <c r="H22" s="480"/>
      <c r="I22" s="480"/>
      <c r="J22" s="480"/>
      <c r="K22" s="480"/>
      <c r="L22" s="480"/>
      <c r="M22" s="480"/>
      <c r="N22" s="480"/>
      <c r="O22" s="480"/>
      <c r="P22" s="480"/>
      <c r="Q22" s="480"/>
      <c r="R22" s="481"/>
      <c r="S22" s="174" t="s">
        <v>145</v>
      </c>
      <c r="T22" s="175"/>
      <c r="U22" s="176"/>
      <c r="V22" s="482" t="s">
        <v>151</v>
      </c>
      <c r="W22" s="483"/>
      <c r="X22" s="514" t="s">
        <v>146</v>
      </c>
      <c r="Y22" s="499"/>
      <c r="Z22" s="515" t="s">
        <v>324</v>
      </c>
      <c r="AA22" s="516"/>
      <c r="AB22" s="516"/>
      <c r="AC22" s="517"/>
      <c r="AD22" s="482"/>
      <c r="AE22" s="483"/>
      <c r="AF22" s="499"/>
      <c r="AG22" s="482"/>
      <c r="AH22" s="483"/>
      <c r="AI22" s="499"/>
      <c r="AJ22" s="490"/>
      <c r="AK22" s="491"/>
      <c r="AL22" s="492"/>
      <c r="AM22" s="51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1"/>
    </row>
    <row r="23" spans="1:62" ht="30.75" customHeight="1">
      <c r="A23" s="484">
        <f t="shared" si="0"/>
        <v>6</v>
      </c>
      <c r="B23" s="485"/>
      <c r="C23" s="486"/>
      <c r="D23" s="487" t="s">
        <v>64</v>
      </c>
      <c r="E23" s="488"/>
      <c r="F23" s="488"/>
      <c r="G23" s="488"/>
      <c r="H23" s="488"/>
      <c r="I23" s="488"/>
      <c r="J23" s="488"/>
      <c r="K23" s="488"/>
      <c r="L23" s="488"/>
      <c r="M23" s="488"/>
      <c r="N23" s="488"/>
      <c r="O23" s="488"/>
      <c r="P23" s="488"/>
      <c r="Q23" s="488"/>
      <c r="R23" s="489"/>
      <c r="S23" s="490" t="s">
        <v>213</v>
      </c>
      <c r="T23" s="491"/>
      <c r="U23" s="492"/>
      <c r="V23" s="493" t="s">
        <v>94</v>
      </c>
      <c r="W23" s="494"/>
      <c r="X23" s="552" t="s">
        <v>94</v>
      </c>
      <c r="Y23" s="523"/>
      <c r="Z23" s="177" t="s">
        <v>456</v>
      </c>
      <c r="AA23" s="175"/>
      <c r="AB23" s="175"/>
      <c r="AC23" s="176"/>
      <c r="AD23" s="482"/>
      <c r="AE23" s="483"/>
      <c r="AF23" s="499"/>
      <c r="AG23" s="482"/>
      <c r="AH23" s="483"/>
      <c r="AI23" s="499"/>
      <c r="AJ23" s="493"/>
      <c r="AK23" s="494"/>
      <c r="AL23" s="523"/>
      <c r="AM23" s="500"/>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9"/>
    </row>
    <row r="24" spans="1:62" ht="30.75" customHeight="1">
      <c r="A24" s="484">
        <f t="shared" si="0"/>
        <v>7</v>
      </c>
      <c r="B24" s="485"/>
      <c r="C24" s="486"/>
      <c r="D24" s="487" t="s">
        <v>201</v>
      </c>
      <c r="E24" s="488"/>
      <c r="F24" s="488"/>
      <c r="G24" s="488"/>
      <c r="H24" s="488"/>
      <c r="I24" s="488"/>
      <c r="J24" s="488"/>
      <c r="K24" s="488"/>
      <c r="L24" s="488"/>
      <c r="M24" s="488"/>
      <c r="N24" s="488"/>
      <c r="O24" s="488"/>
      <c r="P24" s="488"/>
      <c r="Q24" s="488"/>
      <c r="R24" s="489"/>
      <c r="S24" s="174" t="s">
        <v>145</v>
      </c>
      <c r="T24" s="175"/>
      <c r="U24" s="176"/>
      <c r="V24" s="482" t="s">
        <v>151</v>
      </c>
      <c r="W24" s="483"/>
      <c r="X24" s="514" t="s">
        <v>202</v>
      </c>
      <c r="Y24" s="499"/>
      <c r="Z24" s="515" t="s">
        <v>324</v>
      </c>
      <c r="AA24" s="516"/>
      <c r="AB24" s="516"/>
      <c r="AC24" s="517"/>
      <c r="AD24" s="482"/>
      <c r="AE24" s="483"/>
      <c r="AF24" s="499"/>
      <c r="AG24" s="482"/>
      <c r="AH24" s="483"/>
      <c r="AI24" s="499"/>
      <c r="AJ24" s="493"/>
      <c r="AK24" s="494"/>
      <c r="AL24" s="523"/>
      <c r="AM24" s="553"/>
      <c r="AN24" s="554"/>
      <c r="AO24" s="554"/>
      <c r="AP24" s="554"/>
      <c r="AQ24" s="554"/>
      <c r="AR24" s="554"/>
      <c r="AS24" s="554"/>
      <c r="AT24" s="554"/>
      <c r="AU24" s="554"/>
      <c r="AV24" s="554"/>
      <c r="AW24" s="554"/>
      <c r="AX24" s="554"/>
      <c r="AY24" s="554"/>
      <c r="AZ24" s="554"/>
      <c r="BA24" s="554"/>
      <c r="BB24" s="554"/>
      <c r="BC24" s="554"/>
      <c r="BD24" s="554"/>
      <c r="BE24" s="554"/>
      <c r="BF24" s="554"/>
      <c r="BG24" s="554"/>
      <c r="BH24" s="554"/>
      <c r="BI24" s="554"/>
      <c r="BJ24" s="555"/>
    </row>
    <row r="25" spans="1:62" ht="30.75" customHeight="1">
      <c r="A25" s="484">
        <f t="shared" si="0"/>
        <v>8</v>
      </c>
      <c r="B25" s="485"/>
      <c r="C25" s="486"/>
      <c r="D25" s="479" t="s">
        <v>70</v>
      </c>
      <c r="E25" s="480"/>
      <c r="F25" s="480"/>
      <c r="G25" s="480"/>
      <c r="H25" s="480"/>
      <c r="I25" s="480"/>
      <c r="J25" s="480"/>
      <c r="K25" s="480"/>
      <c r="L25" s="480"/>
      <c r="M25" s="480"/>
      <c r="N25" s="480"/>
      <c r="O25" s="480"/>
      <c r="P25" s="480"/>
      <c r="Q25" s="480"/>
      <c r="R25" s="481"/>
      <c r="S25" s="490" t="s">
        <v>213</v>
      </c>
      <c r="T25" s="491"/>
      <c r="U25" s="492"/>
      <c r="V25" s="490" t="s">
        <v>93</v>
      </c>
      <c r="W25" s="491"/>
      <c r="X25" s="498" t="s">
        <v>93</v>
      </c>
      <c r="Y25" s="492"/>
      <c r="Z25" s="177" t="s">
        <v>149</v>
      </c>
      <c r="AA25" s="175"/>
      <c r="AB25" s="175"/>
      <c r="AC25" s="176"/>
      <c r="AD25" s="490"/>
      <c r="AE25" s="491"/>
      <c r="AF25" s="492"/>
      <c r="AG25" s="490"/>
      <c r="AH25" s="491"/>
      <c r="AI25" s="492"/>
      <c r="AJ25" s="490"/>
      <c r="AK25" s="491"/>
      <c r="AL25" s="492"/>
      <c r="AM25" s="510"/>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1"/>
    </row>
    <row r="26" spans="1:62" ht="30.75" customHeight="1">
      <c r="A26" s="484">
        <f t="shared" si="0"/>
        <v>9</v>
      </c>
      <c r="B26" s="485"/>
      <c r="C26" s="486"/>
      <c r="D26" s="479" t="s">
        <v>243</v>
      </c>
      <c r="E26" s="480"/>
      <c r="F26" s="480"/>
      <c r="G26" s="480"/>
      <c r="H26" s="480"/>
      <c r="I26" s="480"/>
      <c r="J26" s="480"/>
      <c r="K26" s="480"/>
      <c r="L26" s="480"/>
      <c r="M26" s="480"/>
      <c r="N26" s="480"/>
      <c r="O26" s="480"/>
      <c r="P26" s="480"/>
      <c r="Q26" s="480"/>
      <c r="R26" s="481"/>
      <c r="S26" s="490" t="s">
        <v>213</v>
      </c>
      <c r="T26" s="491"/>
      <c r="U26" s="492"/>
      <c r="V26" s="490" t="s">
        <v>91</v>
      </c>
      <c r="W26" s="491"/>
      <c r="X26" s="498" t="s">
        <v>91</v>
      </c>
      <c r="Y26" s="492"/>
      <c r="Z26" s="490" t="s">
        <v>456</v>
      </c>
      <c r="AA26" s="491"/>
      <c r="AB26" s="491"/>
      <c r="AC26" s="492"/>
      <c r="AD26" s="490"/>
      <c r="AE26" s="491"/>
      <c r="AF26" s="492"/>
      <c r="AG26" s="490"/>
      <c r="AH26" s="491"/>
      <c r="AI26" s="492"/>
      <c r="AJ26" s="490"/>
      <c r="AK26" s="491"/>
      <c r="AL26" s="492"/>
      <c r="AM26" s="510"/>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1"/>
    </row>
    <row r="27" spans="1:62" ht="30.75" customHeight="1">
      <c r="A27" s="484">
        <f t="shared" si="0"/>
        <v>10</v>
      </c>
      <c r="B27" s="485"/>
      <c r="C27" s="486"/>
      <c r="D27" s="479" t="s">
        <v>396</v>
      </c>
      <c r="E27" s="480"/>
      <c r="F27" s="480"/>
      <c r="G27" s="480"/>
      <c r="H27" s="480"/>
      <c r="I27" s="480"/>
      <c r="J27" s="480"/>
      <c r="K27" s="480"/>
      <c r="L27" s="480"/>
      <c r="M27" s="480"/>
      <c r="N27" s="480"/>
      <c r="O27" s="480"/>
      <c r="P27" s="480"/>
      <c r="Q27" s="480"/>
      <c r="R27" s="481"/>
      <c r="S27" s="490" t="s">
        <v>213</v>
      </c>
      <c r="T27" s="491"/>
      <c r="U27" s="492"/>
      <c r="V27" s="490" t="s">
        <v>93</v>
      </c>
      <c r="W27" s="491"/>
      <c r="X27" s="498" t="s">
        <v>93</v>
      </c>
      <c r="Y27" s="492"/>
      <c r="Z27" s="177" t="s">
        <v>149</v>
      </c>
      <c r="AA27" s="175"/>
      <c r="AB27" s="175"/>
      <c r="AC27" s="176"/>
      <c r="AD27" s="490"/>
      <c r="AE27" s="491"/>
      <c r="AF27" s="492"/>
      <c r="AG27" s="490"/>
      <c r="AH27" s="491"/>
      <c r="AI27" s="492"/>
      <c r="AJ27" s="490"/>
      <c r="AK27" s="491"/>
      <c r="AL27" s="492"/>
      <c r="AM27" s="51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1"/>
    </row>
    <row r="28" spans="1:62" ht="33" customHeight="1">
      <c r="A28" s="484">
        <f t="shared" si="0"/>
        <v>11</v>
      </c>
      <c r="B28" s="485"/>
      <c r="C28" s="486"/>
      <c r="D28" s="501" t="s">
        <v>203</v>
      </c>
      <c r="E28" s="502"/>
      <c r="F28" s="502"/>
      <c r="G28" s="502"/>
      <c r="H28" s="502"/>
      <c r="I28" s="502"/>
      <c r="J28" s="502"/>
      <c r="K28" s="502"/>
      <c r="L28" s="502"/>
      <c r="M28" s="502"/>
      <c r="N28" s="502"/>
      <c r="O28" s="502"/>
      <c r="P28" s="502"/>
      <c r="Q28" s="502"/>
      <c r="R28" s="503"/>
      <c r="S28" s="490" t="s">
        <v>213</v>
      </c>
      <c r="T28" s="491"/>
      <c r="U28" s="492"/>
      <c r="V28" s="490" t="s">
        <v>399</v>
      </c>
      <c r="W28" s="524"/>
      <c r="X28" s="498" t="s">
        <v>399</v>
      </c>
      <c r="Y28" s="492"/>
      <c r="Z28" s="515" t="s">
        <v>324</v>
      </c>
      <c r="AA28" s="516"/>
      <c r="AB28" s="516"/>
      <c r="AC28" s="517"/>
      <c r="AD28" s="490"/>
      <c r="AE28" s="491"/>
      <c r="AF28" s="492"/>
      <c r="AG28" s="490" t="s">
        <v>406</v>
      </c>
      <c r="AH28" s="491"/>
      <c r="AI28" s="492"/>
      <c r="AJ28" s="490"/>
      <c r="AK28" s="491"/>
      <c r="AL28" s="492"/>
      <c r="AM28" s="525" t="s">
        <v>407</v>
      </c>
      <c r="AN28" s="526"/>
      <c r="AO28" s="526"/>
      <c r="AP28" s="526"/>
      <c r="AQ28" s="526"/>
      <c r="AR28" s="526"/>
      <c r="AS28" s="526"/>
      <c r="AT28" s="526"/>
      <c r="AU28" s="526"/>
      <c r="AV28" s="526"/>
      <c r="AW28" s="526"/>
      <c r="AX28" s="526"/>
      <c r="AY28" s="526"/>
      <c r="AZ28" s="526"/>
      <c r="BA28" s="526"/>
      <c r="BB28" s="526"/>
      <c r="BC28" s="526"/>
      <c r="BD28" s="526"/>
      <c r="BE28" s="526"/>
      <c r="BF28" s="526"/>
      <c r="BG28" s="526"/>
      <c r="BH28" s="526"/>
      <c r="BI28" s="526"/>
      <c r="BJ28" s="527"/>
    </row>
    <row r="29" spans="1:62" ht="30.75" customHeight="1">
      <c r="A29" s="484">
        <f t="shared" si="0"/>
        <v>12</v>
      </c>
      <c r="B29" s="485"/>
      <c r="C29" s="486"/>
      <c r="D29" s="487" t="s">
        <v>205</v>
      </c>
      <c r="E29" s="488"/>
      <c r="F29" s="488"/>
      <c r="G29" s="488"/>
      <c r="H29" s="488"/>
      <c r="I29" s="488"/>
      <c r="J29" s="488"/>
      <c r="K29" s="488"/>
      <c r="L29" s="488"/>
      <c r="M29" s="488"/>
      <c r="N29" s="488"/>
      <c r="O29" s="488"/>
      <c r="P29" s="488"/>
      <c r="Q29" s="488"/>
      <c r="R29" s="489"/>
      <c r="S29" s="490" t="s">
        <v>213</v>
      </c>
      <c r="T29" s="491"/>
      <c r="U29" s="492"/>
      <c r="V29" s="482" t="s">
        <v>204</v>
      </c>
      <c r="W29" s="483"/>
      <c r="X29" s="514" t="s">
        <v>186</v>
      </c>
      <c r="Y29" s="499"/>
      <c r="Z29" s="482" t="s">
        <v>149</v>
      </c>
      <c r="AA29" s="483"/>
      <c r="AB29" s="483"/>
      <c r="AC29" s="499"/>
      <c r="AD29" s="482"/>
      <c r="AE29" s="483"/>
      <c r="AF29" s="499"/>
      <c r="AG29" s="482"/>
      <c r="AH29" s="483"/>
      <c r="AI29" s="499"/>
      <c r="AJ29" s="493"/>
      <c r="AK29" s="494"/>
      <c r="AL29" s="523"/>
      <c r="AM29" s="500"/>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9"/>
    </row>
    <row r="30" spans="1:62" ht="30.75" customHeight="1">
      <c r="A30" s="484">
        <f t="shared" si="0"/>
        <v>13</v>
      </c>
      <c r="B30" s="485"/>
      <c r="C30" s="486"/>
      <c r="D30" s="487" t="s">
        <v>206</v>
      </c>
      <c r="E30" s="488"/>
      <c r="F30" s="488"/>
      <c r="G30" s="488"/>
      <c r="H30" s="488"/>
      <c r="I30" s="488"/>
      <c r="J30" s="488"/>
      <c r="K30" s="488"/>
      <c r="L30" s="488"/>
      <c r="M30" s="488"/>
      <c r="N30" s="488"/>
      <c r="O30" s="488"/>
      <c r="P30" s="488"/>
      <c r="Q30" s="488"/>
      <c r="R30" s="489"/>
      <c r="S30" s="490" t="s">
        <v>213</v>
      </c>
      <c r="T30" s="491"/>
      <c r="U30" s="492"/>
      <c r="V30" s="482" t="s">
        <v>204</v>
      </c>
      <c r="W30" s="483"/>
      <c r="X30" s="514" t="s">
        <v>186</v>
      </c>
      <c r="Y30" s="499"/>
      <c r="Z30" s="482" t="s">
        <v>149</v>
      </c>
      <c r="AA30" s="483"/>
      <c r="AB30" s="483"/>
      <c r="AC30" s="499"/>
      <c r="AD30" s="482"/>
      <c r="AE30" s="483"/>
      <c r="AF30" s="499"/>
      <c r="AG30" s="482"/>
      <c r="AH30" s="483"/>
      <c r="AI30" s="499"/>
      <c r="AJ30" s="493"/>
      <c r="AK30" s="494"/>
      <c r="AL30" s="523"/>
      <c r="AM30" s="500"/>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9"/>
    </row>
    <row r="31" spans="1:62" ht="35.25" customHeight="1">
      <c r="A31" s="484">
        <f t="shared" si="0"/>
        <v>14</v>
      </c>
      <c r="B31" s="485"/>
      <c r="C31" s="486"/>
      <c r="D31" s="479" t="s">
        <v>37</v>
      </c>
      <c r="E31" s="480"/>
      <c r="F31" s="480"/>
      <c r="G31" s="480"/>
      <c r="H31" s="480"/>
      <c r="I31" s="480"/>
      <c r="J31" s="480"/>
      <c r="K31" s="480"/>
      <c r="L31" s="480"/>
      <c r="M31" s="480"/>
      <c r="N31" s="480"/>
      <c r="O31" s="480"/>
      <c r="P31" s="480"/>
      <c r="Q31" s="480"/>
      <c r="R31" s="481"/>
      <c r="S31" s="490" t="s">
        <v>213</v>
      </c>
      <c r="T31" s="491"/>
      <c r="U31" s="492"/>
      <c r="V31" s="490" t="s">
        <v>95</v>
      </c>
      <c r="W31" s="491"/>
      <c r="X31" s="498" t="s">
        <v>95</v>
      </c>
      <c r="Y31" s="492"/>
      <c r="Z31" s="490" t="s">
        <v>456</v>
      </c>
      <c r="AA31" s="491"/>
      <c r="AB31" s="491"/>
      <c r="AC31" s="492"/>
      <c r="AD31" s="490"/>
      <c r="AE31" s="491"/>
      <c r="AF31" s="492"/>
      <c r="AG31" s="490"/>
      <c r="AH31" s="491"/>
      <c r="AI31" s="492"/>
      <c r="AJ31" s="490"/>
      <c r="AK31" s="491"/>
      <c r="AL31" s="492"/>
      <c r="AM31" s="51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1"/>
    </row>
    <row r="32" spans="1:62" ht="40.5" customHeight="1">
      <c r="A32" s="484">
        <f t="shared" si="0"/>
        <v>15</v>
      </c>
      <c r="B32" s="485"/>
      <c r="C32" s="486"/>
      <c r="D32" s="487" t="s">
        <v>245</v>
      </c>
      <c r="E32" s="488"/>
      <c r="F32" s="488"/>
      <c r="G32" s="488"/>
      <c r="H32" s="488"/>
      <c r="I32" s="488"/>
      <c r="J32" s="488"/>
      <c r="K32" s="488"/>
      <c r="L32" s="488"/>
      <c r="M32" s="488"/>
      <c r="N32" s="488"/>
      <c r="O32" s="488"/>
      <c r="P32" s="488"/>
      <c r="Q32" s="488"/>
      <c r="R32" s="489"/>
      <c r="S32" s="490" t="s">
        <v>213</v>
      </c>
      <c r="T32" s="491"/>
      <c r="U32" s="492"/>
      <c r="V32" s="518" t="s">
        <v>151</v>
      </c>
      <c r="W32" s="483"/>
      <c r="X32" s="519" t="s">
        <v>151</v>
      </c>
      <c r="Y32" s="499"/>
      <c r="Z32" s="520" t="s">
        <v>152</v>
      </c>
      <c r="AA32" s="521"/>
      <c r="AB32" s="521"/>
      <c r="AC32" s="522"/>
      <c r="AD32" s="482"/>
      <c r="AE32" s="483"/>
      <c r="AF32" s="499"/>
      <c r="AG32" s="482" t="s">
        <v>92</v>
      </c>
      <c r="AH32" s="483"/>
      <c r="AI32" s="499"/>
      <c r="AJ32" s="493"/>
      <c r="AK32" s="494"/>
      <c r="AL32" s="523"/>
      <c r="AM32" s="487" t="s">
        <v>207</v>
      </c>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9"/>
    </row>
    <row r="33" spans="1:62" ht="30.75" customHeight="1">
      <c r="A33" s="484">
        <f t="shared" si="0"/>
        <v>16</v>
      </c>
      <c r="B33" s="485"/>
      <c r="C33" s="486"/>
      <c r="D33" s="495" t="s">
        <v>98</v>
      </c>
      <c r="E33" s="496"/>
      <c r="F33" s="496"/>
      <c r="G33" s="496"/>
      <c r="H33" s="496"/>
      <c r="I33" s="496"/>
      <c r="J33" s="496"/>
      <c r="K33" s="496"/>
      <c r="L33" s="496"/>
      <c r="M33" s="496"/>
      <c r="N33" s="496"/>
      <c r="O33" s="496"/>
      <c r="P33" s="496"/>
      <c r="Q33" s="496"/>
      <c r="R33" s="497"/>
      <c r="S33" s="490"/>
      <c r="T33" s="491"/>
      <c r="U33" s="492"/>
      <c r="V33" s="490" t="s">
        <v>281</v>
      </c>
      <c r="W33" s="491"/>
      <c r="X33" s="498" t="s">
        <v>281</v>
      </c>
      <c r="Y33" s="492"/>
      <c r="Z33" s="490"/>
      <c r="AA33" s="491"/>
      <c r="AB33" s="491"/>
      <c r="AC33" s="492"/>
      <c r="AD33" s="490"/>
      <c r="AE33" s="491"/>
      <c r="AF33" s="492"/>
      <c r="AG33" s="490"/>
      <c r="AH33" s="491"/>
      <c r="AI33" s="492"/>
      <c r="AJ33" s="490"/>
      <c r="AK33" s="491"/>
      <c r="AL33" s="492"/>
      <c r="AM33" s="479"/>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1"/>
    </row>
    <row r="34" spans="1:62" ht="30.75" customHeight="1">
      <c r="A34" s="484">
        <f t="shared" si="0"/>
        <v>17</v>
      </c>
      <c r="B34" s="485"/>
      <c r="C34" s="486"/>
      <c r="D34" s="511" t="s">
        <v>208</v>
      </c>
      <c r="E34" s="512"/>
      <c r="F34" s="512"/>
      <c r="G34" s="512"/>
      <c r="H34" s="512"/>
      <c r="I34" s="512"/>
      <c r="J34" s="512"/>
      <c r="K34" s="512"/>
      <c r="L34" s="512"/>
      <c r="M34" s="512"/>
      <c r="N34" s="512"/>
      <c r="O34" s="512"/>
      <c r="P34" s="512"/>
      <c r="Q34" s="512"/>
      <c r="R34" s="513"/>
      <c r="S34" s="174" t="s">
        <v>148</v>
      </c>
      <c r="T34" s="178"/>
      <c r="U34" s="176"/>
      <c r="V34" s="518" t="s">
        <v>151</v>
      </c>
      <c r="W34" s="483"/>
      <c r="X34" s="519" t="s">
        <v>151</v>
      </c>
      <c r="Y34" s="499"/>
      <c r="Z34" s="520" t="s">
        <v>150</v>
      </c>
      <c r="AA34" s="521"/>
      <c r="AB34" s="521"/>
      <c r="AC34" s="522"/>
      <c r="AD34" s="482"/>
      <c r="AE34" s="483"/>
      <c r="AF34" s="499"/>
      <c r="AG34" s="482"/>
      <c r="AH34" s="483"/>
      <c r="AI34" s="499"/>
      <c r="AJ34" s="493"/>
      <c r="AK34" s="494"/>
      <c r="AL34" s="523"/>
      <c r="AM34" s="487"/>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9"/>
    </row>
    <row r="35" spans="1:62" ht="30.75" customHeight="1">
      <c r="A35" s="484">
        <f t="shared" si="0"/>
        <v>18</v>
      </c>
      <c r="B35" s="485"/>
      <c r="C35" s="486"/>
      <c r="D35" s="487" t="s">
        <v>246</v>
      </c>
      <c r="E35" s="488"/>
      <c r="F35" s="488"/>
      <c r="G35" s="488"/>
      <c r="H35" s="488"/>
      <c r="I35" s="488"/>
      <c r="J35" s="488"/>
      <c r="K35" s="488"/>
      <c r="L35" s="488"/>
      <c r="M35" s="488"/>
      <c r="N35" s="488"/>
      <c r="O35" s="488"/>
      <c r="P35" s="488"/>
      <c r="Q35" s="488"/>
      <c r="R35" s="489"/>
      <c r="S35" s="482" t="s">
        <v>96</v>
      </c>
      <c r="T35" s="483"/>
      <c r="U35" s="499"/>
      <c r="V35" s="482" t="s">
        <v>151</v>
      </c>
      <c r="W35" s="483"/>
      <c r="X35" s="514" t="s">
        <v>157</v>
      </c>
      <c r="Y35" s="499"/>
      <c r="Z35" s="515" t="s">
        <v>324</v>
      </c>
      <c r="AA35" s="516"/>
      <c r="AB35" s="516"/>
      <c r="AC35" s="517"/>
      <c r="AD35" s="482"/>
      <c r="AE35" s="483"/>
      <c r="AF35" s="499"/>
      <c r="AG35" s="482"/>
      <c r="AH35" s="483"/>
      <c r="AI35" s="499"/>
      <c r="AJ35" s="482"/>
      <c r="AK35" s="483"/>
      <c r="AL35" s="499"/>
      <c r="AM35" s="500"/>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9"/>
    </row>
    <row r="36" spans="1:62" ht="30.75" customHeight="1">
      <c r="A36" s="484">
        <f t="shared" si="0"/>
        <v>19</v>
      </c>
      <c r="B36" s="485"/>
      <c r="C36" s="486"/>
      <c r="D36" s="495" t="s">
        <v>280</v>
      </c>
      <c r="E36" s="496"/>
      <c r="F36" s="496"/>
      <c r="G36" s="496"/>
      <c r="H36" s="496"/>
      <c r="I36" s="496"/>
      <c r="J36" s="496"/>
      <c r="K36" s="496"/>
      <c r="L36" s="496"/>
      <c r="M36" s="496"/>
      <c r="N36" s="496"/>
      <c r="O36" s="496"/>
      <c r="P36" s="496"/>
      <c r="Q36" s="496"/>
      <c r="R36" s="497"/>
      <c r="S36" s="232" t="s">
        <v>145</v>
      </c>
      <c r="T36" s="233"/>
      <c r="U36" s="234"/>
      <c r="V36" s="490" t="s">
        <v>281</v>
      </c>
      <c r="W36" s="491"/>
      <c r="X36" s="498" t="s">
        <v>186</v>
      </c>
      <c r="Y36" s="492"/>
      <c r="Z36" s="232" t="s">
        <v>149</v>
      </c>
      <c r="AA36" s="233"/>
      <c r="AB36" s="233"/>
      <c r="AC36" s="234"/>
      <c r="AD36" s="490"/>
      <c r="AE36" s="491"/>
      <c r="AF36" s="492"/>
      <c r="AG36" s="490"/>
      <c r="AH36" s="491"/>
      <c r="AI36" s="492"/>
      <c r="AJ36" s="490"/>
      <c r="AK36" s="491"/>
      <c r="AL36" s="492"/>
      <c r="AM36" s="510" t="s">
        <v>285</v>
      </c>
      <c r="AN36" s="532"/>
      <c r="AO36" s="532"/>
      <c r="AP36" s="532"/>
      <c r="AQ36" s="532"/>
      <c r="AR36" s="532"/>
      <c r="AS36" s="532"/>
      <c r="AT36" s="532"/>
      <c r="AU36" s="532"/>
      <c r="AV36" s="532"/>
      <c r="AW36" s="532"/>
      <c r="AX36" s="532"/>
      <c r="AY36" s="532"/>
      <c r="AZ36" s="532"/>
      <c r="BA36" s="532"/>
      <c r="BB36" s="532"/>
      <c r="BC36" s="532"/>
      <c r="BD36" s="532"/>
      <c r="BE36" s="532"/>
      <c r="BF36" s="532"/>
      <c r="BG36" s="532"/>
      <c r="BH36" s="532"/>
      <c r="BI36" s="532"/>
      <c r="BJ36" s="533"/>
    </row>
    <row r="37" spans="1:62" ht="30.75" customHeight="1">
      <c r="A37" s="484">
        <f t="shared" si="0"/>
        <v>20</v>
      </c>
      <c r="B37" s="485"/>
      <c r="C37" s="486"/>
      <c r="D37" s="495" t="s">
        <v>282</v>
      </c>
      <c r="E37" s="496"/>
      <c r="F37" s="496"/>
      <c r="G37" s="496"/>
      <c r="H37" s="496"/>
      <c r="I37" s="496"/>
      <c r="J37" s="496"/>
      <c r="K37" s="496"/>
      <c r="L37" s="496"/>
      <c r="M37" s="496"/>
      <c r="N37" s="496"/>
      <c r="O37" s="496"/>
      <c r="P37" s="496"/>
      <c r="Q37" s="496"/>
      <c r="R37" s="497"/>
      <c r="S37" s="232" t="s">
        <v>145</v>
      </c>
      <c r="T37" s="233"/>
      <c r="U37" s="234"/>
      <c r="V37" s="490" t="s">
        <v>281</v>
      </c>
      <c r="W37" s="491"/>
      <c r="X37" s="498" t="s">
        <v>186</v>
      </c>
      <c r="Y37" s="492"/>
      <c r="Z37" s="232" t="s">
        <v>149</v>
      </c>
      <c r="AA37" s="233"/>
      <c r="AB37" s="233"/>
      <c r="AC37" s="234"/>
      <c r="AD37" s="490"/>
      <c r="AE37" s="491"/>
      <c r="AF37" s="492"/>
      <c r="AG37" s="490"/>
      <c r="AH37" s="491"/>
      <c r="AI37" s="492"/>
      <c r="AJ37" s="490"/>
      <c r="AK37" s="491"/>
      <c r="AL37" s="492"/>
      <c r="AM37" s="510" t="s">
        <v>286</v>
      </c>
      <c r="AN37" s="532"/>
      <c r="AO37" s="532"/>
      <c r="AP37" s="532"/>
      <c r="AQ37" s="532"/>
      <c r="AR37" s="532"/>
      <c r="AS37" s="532"/>
      <c r="AT37" s="532"/>
      <c r="AU37" s="532"/>
      <c r="AV37" s="532"/>
      <c r="AW37" s="532"/>
      <c r="AX37" s="532"/>
      <c r="AY37" s="532"/>
      <c r="AZ37" s="532"/>
      <c r="BA37" s="532"/>
      <c r="BB37" s="532"/>
      <c r="BC37" s="532"/>
      <c r="BD37" s="532"/>
      <c r="BE37" s="532"/>
      <c r="BF37" s="532"/>
      <c r="BG37" s="532"/>
      <c r="BH37" s="532"/>
      <c r="BI37" s="532"/>
      <c r="BJ37" s="533"/>
    </row>
    <row r="38" spans="1:62" ht="30.75" customHeight="1">
      <c r="A38" s="484">
        <f t="shared" si="0"/>
        <v>21</v>
      </c>
      <c r="B38" s="485"/>
      <c r="C38" s="486"/>
      <c r="D38" s="495" t="s">
        <v>283</v>
      </c>
      <c r="E38" s="496"/>
      <c r="F38" s="496"/>
      <c r="G38" s="496"/>
      <c r="H38" s="496"/>
      <c r="I38" s="496"/>
      <c r="J38" s="496"/>
      <c r="K38" s="496"/>
      <c r="L38" s="496"/>
      <c r="M38" s="496"/>
      <c r="N38" s="496"/>
      <c r="O38" s="496"/>
      <c r="P38" s="496"/>
      <c r="Q38" s="496"/>
      <c r="R38" s="497"/>
      <c r="S38" s="232" t="s">
        <v>145</v>
      </c>
      <c r="T38" s="233"/>
      <c r="U38" s="234"/>
      <c r="V38" s="490" t="s">
        <v>281</v>
      </c>
      <c r="W38" s="491"/>
      <c r="X38" s="498" t="s">
        <v>399</v>
      </c>
      <c r="Y38" s="492"/>
      <c r="Z38" s="235" t="s">
        <v>284</v>
      </c>
      <c r="AA38" s="233"/>
      <c r="AB38" s="233"/>
      <c r="AC38" s="234"/>
      <c r="AD38" s="490"/>
      <c r="AE38" s="491"/>
      <c r="AF38" s="492"/>
      <c r="AG38" s="490"/>
      <c r="AH38" s="491"/>
      <c r="AI38" s="492"/>
      <c r="AJ38" s="490"/>
      <c r="AK38" s="491"/>
      <c r="AL38" s="492"/>
      <c r="AM38" s="510" t="s">
        <v>287</v>
      </c>
      <c r="AN38" s="532"/>
      <c r="AO38" s="532"/>
      <c r="AP38" s="532"/>
      <c r="AQ38" s="532"/>
      <c r="AR38" s="532"/>
      <c r="AS38" s="532"/>
      <c r="AT38" s="532"/>
      <c r="AU38" s="532"/>
      <c r="AV38" s="532"/>
      <c r="AW38" s="532"/>
      <c r="AX38" s="532"/>
      <c r="AY38" s="532"/>
      <c r="AZ38" s="532"/>
      <c r="BA38" s="532"/>
      <c r="BB38" s="532"/>
      <c r="BC38" s="532"/>
      <c r="BD38" s="532"/>
      <c r="BE38" s="532"/>
      <c r="BF38" s="532"/>
      <c r="BG38" s="532"/>
      <c r="BH38" s="532"/>
      <c r="BI38" s="532"/>
      <c r="BJ38" s="533"/>
    </row>
    <row r="39" spans="1:62" ht="30.75" customHeight="1">
      <c r="A39" s="484">
        <f t="shared" si="0"/>
        <v>22</v>
      </c>
      <c r="B39" s="485"/>
      <c r="C39" s="486"/>
      <c r="D39" s="479" t="s">
        <v>230</v>
      </c>
      <c r="E39" s="480"/>
      <c r="F39" s="480"/>
      <c r="G39" s="480"/>
      <c r="H39" s="480"/>
      <c r="I39" s="480"/>
      <c r="J39" s="480"/>
      <c r="K39" s="480"/>
      <c r="L39" s="480"/>
      <c r="M39" s="480"/>
      <c r="N39" s="480"/>
      <c r="O39" s="480"/>
      <c r="P39" s="480"/>
      <c r="Q39" s="480"/>
      <c r="R39" s="481"/>
      <c r="S39" s="490" t="s">
        <v>96</v>
      </c>
      <c r="T39" s="491"/>
      <c r="U39" s="492"/>
      <c r="V39" s="482" t="s">
        <v>151</v>
      </c>
      <c r="W39" s="483"/>
      <c r="X39" s="498" t="s">
        <v>93</v>
      </c>
      <c r="Y39" s="492"/>
      <c r="Z39" s="490" t="s">
        <v>149</v>
      </c>
      <c r="AA39" s="491"/>
      <c r="AB39" s="491"/>
      <c r="AC39" s="492"/>
      <c r="AD39" s="490"/>
      <c r="AE39" s="491"/>
      <c r="AF39" s="492"/>
      <c r="AG39" s="490"/>
      <c r="AH39" s="491"/>
      <c r="AI39" s="492"/>
      <c r="AJ39" s="490"/>
      <c r="AK39" s="491"/>
      <c r="AL39" s="492"/>
      <c r="AM39" s="51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1"/>
    </row>
    <row r="40" spans="1:62" ht="30.75" customHeight="1">
      <c r="A40" s="484">
        <f t="shared" si="0"/>
        <v>23</v>
      </c>
      <c r="B40" s="485"/>
      <c r="C40" s="486"/>
      <c r="D40" s="479" t="s">
        <v>153</v>
      </c>
      <c r="E40" s="480"/>
      <c r="F40" s="480"/>
      <c r="G40" s="480"/>
      <c r="H40" s="480"/>
      <c r="I40" s="480"/>
      <c r="J40" s="480"/>
      <c r="K40" s="480"/>
      <c r="L40" s="480"/>
      <c r="M40" s="480"/>
      <c r="N40" s="480"/>
      <c r="O40" s="480"/>
      <c r="P40" s="480"/>
      <c r="Q40" s="480"/>
      <c r="R40" s="481"/>
      <c r="S40" s="490" t="s">
        <v>96</v>
      </c>
      <c r="T40" s="491"/>
      <c r="U40" s="492"/>
      <c r="V40" s="482" t="s">
        <v>151</v>
      </c>
      <c r="W40" s="483"/>
      <c r="X40" s="498" t="s">
        <v>94</v>
      </c>
      <c r="Y40" s="492"/>
      <c r="Z40" s="490" t="s">
        <v>456</v>
      </c>
      <c r="AA40" s="491"/>
      <c r="AB40" s="491"/>
      <c r="AC40" s="492"/>
      <c r="AD40" s="490"/>
      <c r="AE40" s="491"/>
      <c r="AF40" s="492"/>
      <c r="AG40" s="490"/>
      <c r="AH40" s="491"/>
      <c r="AI40" s="492"/>
      <c r="AJ40" s="490"/>
      <c r="AK40" s="491"/>
      <c r="AL40" s="492"/>
      <c r="AM40" s="51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1"/>
    </row>
    <row r="41" spans="1:62" ht="30.75" customHeight="1">
      <c r="A41" s="484">
        <f t="shared" si="0"/>
        <v>24</v>
      </c>
      <c r="B41" s="485"/>
      <c r="C41" s="486"/>
      <c r="D41" s="479" t="s">
        <v>154</v>
      </c>
      <c r="E41" s="480"/>
      <c r="F41" s="480"/>
      <c r="G41" s="480"/>
      <c r="H41" s="480"/>
      <c r="I41" s="480"/>
      <c r="J41" s="480"/>
      <c r="K41" s="480"/>
      <c r="L41" s="480"/>
      <c r="M41" s="480"/>
      <c r="N41" s="480"/>
      <c r="O41" s="480"/>
      <c r="P41" s="480"/>
      <c r="Q41" s="480"/>
      <c r="R41" s="481"/>
      <c r="S41" s="490" t="s">
        <v>96</v>
      </c>
      <c r="T41" s="491"/>
      <c r="U41" s="492"/>
      <c r="V41" s="482" t="s">
        <v>151</v>
      </c>
      <c r="W41" s="483"/>
      <c r="X41" s="498" t="s">
        <v>146</v>
      </c>
      <c r="Y41" s="492"/>
      <c r="Z41" s="515" t="s">
        <v>324</v>
      </c>
      <c r="AA41" s="516"/>
      <c r="AB41" s="516"/>
      <c r="AC41" s="517"/>
      <c r="AD41" s="490"/>
      <c r="AE41" s="491"/>
      <c r="AF41" s="492"/>
      <c r="AG41" s="490"/>
      <c r="AH41" s="491"/>
      <c r="AI41" s="492"/>
      <c r="AJ41" s="490"/>
      <c r="AK41" s="491"/>
      <c r="AL41" s="492"/>
      <c r="AM41" s="51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1"/>
    </row>
    <row r="42" spans="1:62" ht="30.75" customHeight="1">
      <c r="A42" s="484">
        <f t="shared" si="0"/>
        <v>25</v>
      </c>
      <c r="B42" s="485"/>
      <c r="C42" s="486"/>
      <c r="D42" s="479" t="s">
        <v>155</v>
      </c>
      <c r="E42" s="480"/>
      <c r="F42" s="480"/>
      <c r="G42" s="480"/>
      <c r="H42" s="480"/>
      <c r="I42" s="480"/>
      <c r="J42" s="480"/>
      <c r="K42" s="480"/>
      <c r="L42" s="480"/>
      <c r="M42" s="480"/>
      <c r="N42" s="480"/>
      <c r="O42" s="480"/>
      <c r="P42" s="480"/>
      <c r="Q42" s="480"/>
      <c r="R42" s="481"/>
      <c r="S42" s="490" t="s">
        <v>96</v>
      </c>
      <c r="T42" s="491"/>
      <c r="U42" s="492"/>
      <c r="V42" s="482" t="s">
        <v>151</v>
      </c>
      <c r="W42" s="483"/>
      <c r="X42" s="498" t="s">
        <v>93</v>
      </c>
      <c r="Y42" s="492"/>
      <c r="Z42" s="490" t="s">
        <v>149</v>
      </c>
      <c r="AA42" s="491"/>
      <c r="AB42" s="491"/>
      <c r="AC42" s="492"/>
      <c r="AD42" s="490"/>
      <c r="AE42" s="491"/>
      <c r="AF42" s="492"/>
      <c r="AG42" s="490"/>
      <c r="AH42" s="491"/>
      <c r="AI42" s="492"/>
      <c r="AJ42" s="490"/>
      <c r="AK42" s="491"/>
      <c r="AL42" s="492"/>
      <c r="AM42" s="51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1"/>
    </row>
    <row r="43" spans="1:62" ht="30.75" customHeight="1">
      <c r="A43" s="484">
        <f t="shared" si="0"/>
        <v>26</v>
      </c>
      <c r="B43" s="485"/>
      <c r="C43" s="486"/>
      <c r="D43" s="479" t="s">
        <v>366</v>
      </c>
      <c r="E43" s="480"/>
      <c r="F43" s="480"/>
      <c r="G43" s="480"/>
      <c r="H43" s="480"/>
      <c r="I43" s="480"/>
      <c r="J43" s="480"/>
      <c r="K43" s="480"/>
      <c r="L43" s="480"/>
      <c r="M43" s="480"/>
      <c r="N43" s="480"/>
      <c r="O43" s="480"/>
      <c r="P43" s="480"/>
      <c r="Q43" s="480"/>
      <c r="R43" s="481"/>
      <c r="S43" s="490" t="s">
        <v>96</v>
      </c>
      <c r="T43" s="491"/>
      <c r="U43" s="492"/>
      <c r="V43" s="482" t="s">
        <v>151</v>
      </c>
      <c r="W43" s="483"/>
      <c r="X43" s="498" t="s">
        <v>91</v>
      </c>
      <c r="Y43" s="492"/>
      <c r="Z43" s="490" t="s">
        <v>149</v>
      </c>
      <c r="AA43" s="491"/>
      <c r="AB43" s="491"/>
      <c r="AC43" s="492"/>
      <c r="AD43" s="490"/>
      <c r="AE43" s="491"/>
      <c r="AF43" s="492"/>
      <c r="AG43" s="490"/>
      <c r="AH43" s="491"/>
      <c r="AI43" s="492"/>
      <c r="AJ43" s="490"/>
      <c r="AK43" s="491"/>
      <c r="AL43" s="492"/>
      <c r="AM43" s="510" t="s">
        <v>228</v>
      </c>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1"/>
    </row>
    <row r="44" spans="1:62" ht="30.75" customHeight="1">
      <c r="A44" s="484">
        <f t="shared" si="0"/>
        <v>27</v>
      </c>
      <c r="B44" s="485"/>
      <c r="C44" s="486"/>
      <c r="D44" s="479" t="s">
        <v>156</v>
      </c>
      <c r="E44" s="480"/>
      <c r="F44" s="480"/>
      <c r="G44" s="480"/>
      <c r="H44" s="480"/>
      <c r="I44" s="480"/>
      <c r="J44" s="480"/>
      <c r="K44" s="480"/>
      <c r="L44" s="480"/>
      <c r="M44" s="480"/>
      <c r="N44" s="480"/>
      <c r="O44" s="480"/>
      <c r="P44" s="480"/>
      <c r="Q44" s="480"/>
      <c r="R44" s="481"/>
      <c r="S44" s="490" t="s">
        <v>96</v>
      </c>
      <c r="T44" s="491"/>
      <c r="U44" s="492"/>
      <c r="V44" s="482" t="s">
        <v>151</v>
      </c>
      <c r="W44" s="483"/>
      <c r="X44" s="498" t="s">
        <v>318</v>
      </c>
      <c r="Y44" s="492"/>
      <c r="Z44" s="490" t="s">
        <v>149</v>
      </c>
      <c r="AA44" s="491"/>
      <c r="AB44" s="491"/>
      <c r="AC44" s="492"/>
      <c r="AD44" s="490" t="s">
        <v>92</v>
      </c>
      <c r="AE44" s="491"/>
      <c r="AF44" s="492"/>
      <c r="AG44" s="490"/>
      <c r="AH44" s="491"/>
      <c r="AI44" s="492"/>
      <c r="AJ44" s="490"/>
      <c r="AK44" s="491"/>
      <c r="AL44" s="492"/>
      <c r="AM44" s="51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1"/>
    </row>
    <row r="45" spans="1:62" ht="30.75" customHeight="1">
      <c r="A45" s="484">
        <f t="shared" si="0"/>
        <v>28</v>
      </c>
      <c r="B45" s="485"/>
      <c r="C45" s="486"/>
      <c r="D45" s="479" t="s">
        <v>97</v>
      </c>
      <c r="E45" s="480"/>
      <c r="F45" s="480"/>
      <c r="G45" s="480"/>
      <c r="H45" s="480"/>
      <c r="I45" s="480"/>
      <c r="J45" s="480"/>
      <c r="K45" s="480"/>
      <c r="L45" s="480"/>
      <c r="M45" s="480"/>
      <c r="N45" s="480"/>
      <c r="O45" s="480"/>
      <c r="P45" s="480"/>
      <c r="Q45" s="480"/>
      <c r="R45" s="481"/>
      <c r="S45" s="490" t="s">
        <v>96</v>
      </c>
      <c r="T45" s="491"/>
      <c r="U45" s="492"/>
      <c r="V45" s="482" t="s">
        <v>151</v>
      </c>
      <c r="W45" s="483"/>
      <c r="X45" s="498" t="s">
        <v>95</v>
      </c>
      <c r="Y45" s="492"/>
      <c r="Z45" s="490" t="s">
        <v>456</v>
      </c>
      <c r="AA45" s="491"/>
      <c r="AB45" s="491"/>
      <c r="AC45" s="492"/>
      <c r="AD45" s="490"/>
      <c r="AE45" s="491"/>
      <c r="AF45" s="492"/>
      <c r="AG45" s="490"/>
      <c r="AH45" s="491"/>
      <c r="AI45" s="492"/>
      <c r="AJ45" s="490"/>
      <c r="AK45" s="491"/>
      <c r="AL45" s="492"/>
      <c r="AM45" s="51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1"/>
    </row>
    <row r="46" spans="1:62" ht="30.75" customHeight="1">
      <c r="A46" s="484"/>
      <c r="B46" s="485"/>
      <c r="C46" s="486"/>
      <c r="D46" s="479"/>
      <c r="E46" s="480"/>
      <c r="F46" s="480"/>
      <c r="G46" s="480"/>
      <c r="H46" s="480"/>
      <c r="I46" s="480"/>
      <c r="J46" s="480"/>
      <c r="K46" s="480"/>
      <c r="L46" s="480"/>
      <c r="M46" s="480"/>
      <c r="N46" s="480"/>
      <c r="O46" s="480"/>
      <c r="P46" s="480"/>
      <c r="Q46" s="480"/>
      <c r="R46" s="481"/>
      <c r="S46" s="490"/>
      <c r="T46" s="491"/>
      <c r="U46" s="492"/>
      <c r="V46" s="490"/>
      <c r="W46" s="491"/>
      <c r="X46" s="498"/>
      <c r="Y46" s="492"/>
      <c r="Z46" s="490"/>
      <c r="AA46" s="491"/>
      <c r="AB46" s="491"/>
      <c r="AC46" s="492"/>
      <c r="AD46" s="490"/>
      <c r="AE46" s="491"/>
      <c r="AF46" s="492"/>
      <c r="AG46" s="490"/>
      <c r="AH46" s="491"/>
      <c r="AI46" s="492"/>
      <c r="AJ46" s="490"/>
      <c r="AK46" s="491"/>
      <c r="AL46" s="492"/>
      <c r="AM46" s="51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1"/>
    </row>
    <row r="47" spans="1:62" ht="30.75" customHeight="1">
      <c r="A47" s="528"/>
      <c r="B47" s="529"/>
      <c r="C47" s="530"/>
      <c r="D47" s="504"/>
      <c r="E47" s="505"/>
      <c r="F47" s="505"/>
      <c r="G47" s="505"/>
      <c r="H47" s="505"/>
      <c r="I47" s="505"/>
      <c r="J47" s="505"/>
      <c r="K47" s="505"/>
      <c r="L47" s="505"/>
      <c r="M47" s="505"/>
      <c r="N47" s="505"/>
      <c r="O47" s="505"/>
      <c r="P47" s="505"/>
      <c r="Q47" s="505"/>
      <c r="R47" s="506"/>
      <c r="S47" s="507"/>
      <c r="T47" s="508"/>
      <c r="U47" s="509"/>
      <c r="V47" s="507"/>
      <c r="W47" s="508"/>
      <c r="X47" s="531"/>
      <c r="Y47" s="509"/>
      <c r="Z47" s="507"/>
      <c r="AA47" s="508"/>
      <c r="AB47" s="508"/>
      <c r="AC47" s="509"/>
      <c r="AD47" s="507"/>
      <c r="AE47" s="508"/>
      <c r="AF47" s="509"/>
      <c r="AG47" s="507"/>
      <c r="AH47" s="508"/>
      <c r="AI47" s="509"/>
      <c r="AJ47" s="507"/>
      <c r="AK47" s="508"/>
      <c r="AL47" s="509"/>
      <c r="AM47" s="504"/>
      <c r="AN47" s="505"/>
      <c r="AO47" s="505"/>
      <c r="AP47" s="505"/>
      <c r="AQ47" s="505"/>
      <c r="AR47" s="505"/>
      <c r="AS47" s="505"/>
      <c r="AT47" s="505"/>
      <c r="AU47" s="505"/>
      <c r="AV47" s="505"/>
      <c r="AW47" s="505"/>
      <c r="AX47" s="505"/>
      <c r="AY47" s="505"/>
      <c r="AZ47" s="505"/>
      <c r="BA47" s="505"/>
      <c r="BB47" s="505"/>
      <c r="BC47" s="505"/>
      <c r="BD47" s="505"/>
      <c r="BE47" s="505"/>
      <c r="BF47" s="505"/>
      <c r="BG47" s="505"/>
      <c r="BH47" s="505"/>
      <c r="BI47" s="505"/>
      <c r="BJ47" s="506"/>
    </row>
    <row r="48" spans="1:62" ht="8.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sheetData>
  <mergeCells count="329">
    <mergeCell ref="S19:U19"/>
    <mergeCell ref="A11:C11"/>
    <mergeCell ref="D11:AS11"/>
    <mergeCell ref="AT11:BJ11"/>
    <mergeCell ref="A12:C12"/>
    <mergeCell ref="D12:AS12"/>
    <mergeCell ref="AT12:BJ12"/>
    <mergeCell ref="A13:C13"/>
    <mergeCell ref="D13:AS13"/>
    <mergeCell ref="AT13:BJ13"/>
    <mergeCell ref="AD16:AF17"/>
    <mergeCell ref="AG16:AI17"/>
    <mergeCell ref="AJ16:AL17"/>
    <mergeCell ref="X18:Y18"/>
    <mergeCell ref="Z18:AC18"/>
    <mergeCell ref="AD18:AF18"/>
    <mergeCell ref="AG18:AI18"/>
    <mergeCell ref="AJ18:AL18"/>
    <mergeCell ref="AJ19:AL19"/>
    <mergeCell ref="AM18:BJ18"/>
    <mergeCell ref="A18:C18"/>
    <mergeCell ref="D18:R18"/>
    <mergeCell ref="S18:U18"/>
    <mergeCell ref="V18:W18"/>
    <mergeCell ref="AM37:BJ37"/>
    <mergeCell ref="A38:C38"/>
    <mergeCell ref="A41:C41"/>
    <mergeCell ref="V41:W41"/>
    <mergeCell ref="AD41:AF41"/>
    <mergeCell ref="A36:C36"/>
    <mergeCell ref="D36:R36"/>
    <mergeCell ref="V36:W36"/>
    <mergeCell ref="X36:Y36"/>
    <mergeCell ref="AD36:AF36"/>
    <mergeCell ref="AG36:AI36"/>
    <mergeCell ref="AJ36:AL36"/>
    <mergeCell ref="AM36:BJ36"/>
    <mergeCell ref="V38:W38"/>
    <mergeCell ref="X38:Y38"/>
    <mergeCell ref="X37:Y37"/>
    <mergeCell ref="AJ37:AL37"/>
    <mergeCell ref="AD32:AF32"/>
    <mergeCell ref="AD40:AF40"/>
    <mergeCell ref="X32:Y32"/>
    <mergeCell ref="V29:W29"/>
    <mergeCell ref="X29:Y29"/>
    <mergeCell ref="V37:W37"/>
    <mergeCell ref="A43:C43"/>
    <mergeCell ref="V43:W43"/>
    <mergeCell ref="X43:Y43"/>
    <mergeCell ref="AD43:AF43"/>
    <mergeCell ref="S43:U43"/>
    <mergeCell ref="Z43:AC43"/>
    <mergeCell ref="X41:Y41"/>
    <mergeCell ref="AD37:AF37"/>
    <mergeCell ref="D41:R41"/>
    <mergeCell ref="S32:U32"/>
    <mergeCell ref="D32:R32"/>
    <mergeCell ref="S29:U29"/>
    <mergeCell ref="V32:W32"/>
    <mergeCell ref="Z32:AC32"/>
    <mergeCell ref="X30:Y30"/>
    <mergeCell ref="Z30:AC30"/>
    <mergeCell ref="AD30:AF30"/>
    <mergeCell ref="A32:C32"/>
    <mergeCell ref="X19:Y19"/>
    <mergeCell ref="AD19:AF19"/>
    <mergeCell ref="AG19:AI19"/>
    <mergeCell ref="Z20:AC20"/>
    <mergeCell ref="Z22:AC22"/>
    <mergeCell ref="Z24:AC24"/>
    <mergeCell ref="Z28:AC28"/>
    <mergeCell ref="AD27:AF27"/>
    <mergeCell ref="AG27:AI27"/>
    <mergeCell ref="D9:AS9"/>
    <mergeCell ref="AT9:BJ9"/>
    <mergeCell ref="A10:C10"/>
    <mergeCell ref="D10:AS10"/>
    <mergeCell ref="AT10:BJ10"/>
    <mergeCell ref="A14:C14"/>
    <mergeCell ref="AT14:BJ14"/>
    <mergeCell ref="AM19:BJ19"/>
    <mergeCell ref="X22:Y22"/>
    <mergeCell ref="S16:U17"/>
    <mergeCell ref="V17:W17"/>
    <mergeCell ref="X17:Y17"/>
    <mergeCell ref="Z16:AC17"/>
    <mergeCell ref="V22:W22"/>
    <mergeCell ref="X20:Y20"/>
    <mergeCell ref="AD20:AF20"/>
    <mergeCell ref="AG20:AI20"/>
    <mergeCell ref="AJ20:AL20"/>
    <mergeCell ref="AM20:BJ20"/>
    <mergeCell ref="A20:C20"/>
    <mergeCell ref="D20:R20"/>
    <mergeCell ref="V20:W20"/>
    <mergeCell ref="A19:C19"/>
    <mergeCell ref="D21:R21"/>
    <mergeCell ref="AM27:BJ27"/>
    <mergeCell ref="AM26:BJ26"/>
    <mergeCell ref="AJ26:AL26"/>
    <mergeCell ref="AD22:AF22"/>
    <mergeCell ref="AG22:AI22"/>
    <mergeCell ref="AJ22:AL22"/>
    <mergeCell ref="AM22:BJ22"/>
    <mergeCell ref="X21:Y21"/>
    <mergeCell ref="AD21:AF21"/>
    <mergeCell ref="AG21:AI21"/>
    <mergeCell ref="AJ21:AL21"/>
    <mergeCell ref="AM21:BJ21"/>
    <mergeCell ref="X23:Y23"/>
    <mergeCell ref="AM23:BJ23"/>
    <mergeCell ref="AJ24:AL24"/>
    <mergeCell ref="AM24:BJ24"/>
    <mergeCell ref="AD26:AF26"/>
    <mergeCell ref="AJ27:AL27"/>
    <mergeCell ref="AD23:AF23"/>
    <mergeCell ref="AG23:AI23"/>
    <mergeCell ref="AJ23:AL23"/>
    <mergeCell ref="AJ25:AL25"/>
    <mergeCell ref="S25:U25"/>
    <mergeCell ref="A21:C21"/>
    <mergeCell ref="D31:R31"/>
    <mergeCell ref="S31:U31"/>
    <mergeCell ref="V31:W31"/>
    <mergeCell ref="X31:Y31"/>
    <mergeCell ref="Z31:AC31"/>
    <mergeCell ref="AD31:AF31"/>
    <mergeCell ref="AG31:AI31"/>
    <mergeCell ref="A22:C22"/>
    <mergeCell ref="V30:W30"/>
    <mergeCell ref="Z29:AC29"/>
    <mergeCell ref="A24:C24"/>
    <mergeCell ref="D24:R24"/>
    <mergeCell ref="V24:W24"/>
    <mergeCell ref="X24:Y24"/>
    <mergeCell ref="AD24:AF24"/>
    <mergeCell ref="AG24:AI24"/>
    <mergeCell ref="S21:U21"/>
    <mergeCell ref="A31:C31"/>
    <mergeCell ref="A27:C27"/>
    <mergeCell ref="AG30:AI30"/>
    <mergeCell ref="H4:AU4"/>
    <mergeCell ref="A2:AU2"/>
    <mergeCell ref="AM25:BJ25"/>
    <mergeCell ref="A16:C17"/>
    <mergeCell ref="D16:R17"/>
    <mergeCell ref="AD25:AF25"/>
    <mergeCell ref="AG25:AI25"/>
    <mergeCell ref="AZ2:BC2"/>
    <mergeCell ref="A3:G3"/>
    <mergeCell ref="H3:AU3"/>
    <mergeCell ref="AV3:AY3"/>
    <mergeCell ref="A4:G4"/>
    <mergeCell ref="A6:G6"/>
    <mergeCell ref="AV4:AY4"/>
    <mergeCell ref="AZ4:BJ4"/>
    <mergeCell ref="X25:Y25"/>
    <mergeCell ref="AM16:BJ17"/>
    <mergeCell ref="V25:W25"/>
    <mergeCell ref="A25:C25"/>
    <mergeCell ref="A9:C9"/>
    <mergeCell ref="D14:AS14"/>
    <mergeCell ref="AZ3:BJ3"/>
    <mergeCell ref="H6:BJ6"/>
    <mergeCell ref="D25:R25"/>
    <mergeCell ref="AG46:AI46"/>
    <mergeCell ref="AV2:AY2"/>
    <mergeCell ref="S39:U39"/>
    <mergeCell ref="Z39:AC39"/>
    <mergeCell ref="V39:W39"/>
    <mergeCell ref="X39:Y39"/>
    <mergeCell ref="D39:R39"/>
    <mergeCell ref="AG44:AI44"/>
    <mergeCell ref="AJ44:AL44"/>
    <mergeCell ref="AG43:AI43"/>
    <mergeCell ref="AJ43:AL43"/>
    <mergeCell ref="AD39:AF39"/>
    <mergeCell ref="AG39:AI39"/>
    <mergeCell ref="AG41:AI41"/>
    <mergeCell ref="AM42:BJ42"/>
    <mergeCell ref="AM43:BJ43"/>
    <mergeCell ref="AG38:AI38"/>
    <mergeCell ref="AJ32:AL32"/>
    <mergeCell ref="AJ38:AL38"/>
    <mergeCell ref="AG42:AI42"/>
    <mergeCell ref="AJ42:AL42"/>
    <mergeCell ref="BD2:BF2"/>
    <mergeCell ref="BG2:BJ2"/>
    <mergeCell ref="V16:Y16"/>
    <mergeCell ref="AM31:BJ31"/>
    <mergeCell ref="A47:C47"/>
    <mergeCell ref="V47:W47"/>
    <mergeCell ref="X47:Y47"/>
    <mergeCell ref="A26:C26"/>
    <mergeCell ref="AM32:BJ32"/>
    <mergeCell ref="AJ39:AL39"/>
    <mergeCell ref="AM39:BJ39"/>
    <mergeCell ref="AJ31:AL31"/>
    <mergeCell ref="AM44:BJ44"/>
    <mergeCell ref="AD47:AF47"/>
    <mergeCell ref="AG47:AI47"/>
    <mergeCell ref="AJ46:AL46"/>
    <mergeCell ref="AM46:BJ46"/>
    <mergeCell ref="AM47:BJ47"/>
    <mergeCell ref="AM38:BJ38"/>
    <mergeCell ref="AM40:BJ40"/>
    <mergeCell ref="A46:C46"/>
    <mergeCell ref="AJ47:AL47"/>
    <mergeCell ref="AG26:AI26"/>
    <mergeCell ref="AM41:BJ41"/>
    <mergeCell ref="D46:R46"/>
    <mergeCell ref="S46:U46"/>
    <mergeCell ref="AD46:AF46"/>
    <mergeCell ref="AM29:BJ29"/>
    <mergeCell ref="A30:C30"/>
    <mergeCell ref="D30:R30"/>
    <mergeCell ref="S30:U30"/>
    <mergeCell ref="AD29:AF29"/>
    <mergeCell ref="AG29:AI29"/>
    <mergeCell ref="AJ29:AL29"/>
    <mergeCell ref="A28:C28"/>
    <mergeCell ref="V28:W28"/>
    <mergeCell ref="X28:Y28"/>
    <mergeCell ref="AD28:AF28"/>
    <mergeCell ref="AG28:AI28"/>
    <mergeCell ref="AJ28:AL28"/>
    <mergeCell ref="AM28:BJ28"/>
    <mergeCell ref="AJ30:AL30"/>
    <mergeCell ref="AD44:AF44"/>
    <mergeCell ref="A42:C42"/>
    <mergeCell ref="V42:W42"/>
    <mergeCell ref="X42:Y42"/>
    <mergeCell ref="AD42:AF42"/>
    <mergeCell ref="D42:R42"/>
    <mergeCell ref="S42:U42"/>
    <mergeCell ref="Z42:AC42"/>
    <mergeCell ref="D43:R43"/>
    <mergeCell ref="A44:C44"/>
    <mergeCell ref="V44:W44"/>
    <mergeCell ref="X44:Y44"/>
    <mergeCell ref="D44:R44"/>
    <mergeCell ref="A34:C34"/>
    <mergeCell ref="V34:W34"/>
    <mergeCell ref="X34:Y34"/>
    <mergeCell ref="Z34:AC34"/>
    <mergeCell ref="AD34:AF34"/>
    <mergeCell ref="AJ34:AL34"/>
    <mergeCell ref="AG40:AI40"/>
    <mergeCell ref="AJ40:AL40"/>
    <mergeCell ref="A37:C37"/>
    <mergeCell ref="X40:Y40"/>
    <mergeCell ref="AG34:AI34"/>
    <mergeCell ref="D38:R38"/>
    <mergeCell ref="D37:R37"/>
    <mergeCell ref="AG37:AI37"/>
    <mergeCell ref="Z35:AC35"/>
    <mergeCell ref="A45:C45"/>
    <mergeCell ref="A35:C35"/>
    <mergeCell ref="D35:R35"/>
    <mergeCell ref="S35:U35"/>
    <mergeCell ref="V35:W35"/>
    <mergeCell ref="X35:Y35"/>
    <mergeCell ref="AD35:AF35"/>
    <mergeCell ref="AG35:AI35"/>
    <mergeCell ref="AJ35:AL35"/>
    <mergeCell ref="AJ41:AL41"/>
    <mergeCell ref="D45:R45"/>
    <mergeCell ref="S45:U45"/>
    <mergeCell ref="A39:C39"/>
    <mergeCell ref="A40:C40"/>
    <mergeCell ref="V40:W40"/>
    <mergeCell ref="AD45:AF45"/>
    <mergeCell ref="AG45:AI45"/>
    <mergeCell ref="AJ45:AL45"/>
    <mergeCell ref="S41:U41"/>
    <mergeCell ref="Z41:AC41"/>
    <mergeCell ref="S40:U40"/>
    <mergeCell ref="Z40:AC40"/>
    <mergeCell ref="V45:W45"/>
    <mergeCell ref="X45:Y45"/>
    <mergeCell ref="AM34:BJ34"/>
    <mergeCell ref="AD38:AF38"/>
    <mergeCell ref="D40:R40"/>
    <mergeCell ref="Z46:AC46"/>
    <mergeCell ref="D47:R47"/>
    <mergeCell ref="S47:U47"/>
    <mergeCell ref="Z47:AC47"/>
    <mergeCell ref="D26:R26"/>
    <mergeCell ref="S26:U26"/>
    <mergeCell ref="Z26:AC26"/>
    <mergeCell ref="V26:W26"/>
    <mergeCell ref="X26:Y26"/>
    <mergeCell ref="V46:W46"/>
    <mergeCell ref="X46:Y46"/>
    <mergeCell ref="S44:U44"/>
    <mergeCell ref="Z44:AC44"/>
    <mergeCell ref="D27:R27"/>
    <mergeCell ref="S27:U27"/>
    <mergeCell ref="V27:W27"/>
    <mergeCell ref="X27:Y27"/>
    <mergeCell ref="AM45:BJ45"/>
    <mergeCell ref="AM35:BJ35"/>
    <mergeCell ref="Z45:AC45"/>
    <mergeCell ref="D34:R34"/>
    <mergeCell ref="AM33:BJ33"/>
    <mergeCell ref="D19:R19"/>
    <mergeCell ref="V19:W19"/>
    <mergeCell ref="D22:R22"/>
    <mergeCell ref="V21:W21"/>
    <mergeCell ref="A23:C23"/>
    <mergeCell ref="D23:R23"/>
    <mergeCell ref="S23:U23"/>
    <mergeCell ref="V23:W23"/>
    <mergeCell ref="S28:U28"/>
    <mergeCell ref="A33:C33"/>
    <mergeCell ref="D33:R33"/>
    <mergeCell ref="S33:U33"/>
    <mergeCell ref="V33:W33"/>
    <mergeCell ref="X33:Y33"/>
    <mergeCell ref="Z33:AC33"/>
    <mergeCell ref="AD33:AF33"/>
    <mergeCell ref="AG33:AI33"/>
    <mergeCell ref="AJ33:AL33"/>
    <mergeCell ref="AG32:AI32"/>
    <mergeCell ref="AM30:BJ30"/>
    <mergeCell ref="A29:C29"/>
    <mergeCell ref="D29:R29"/>
    <mergeCell ref="D28:R28"/>
  </mergeCells>
  <phoneticPr fontId="5"/>
  <pageMargins left="0.74803149606299213" right="0.39370078740157483" top="0.51181102362204722" bottom="0.86614173228346458" header="0.74803149606299213" footer="0.35433070866141736"/>
  <pageSetup paperSize="9" scale="52"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44"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24"/>
  <sheetViews>
    <sheetView view="pageBreakPreview" zoomScaleNormal="100" zoomScaleSheetLayoutView="100" workbookViewId="0"/>
  </sheetViews>
  <sheetFormatPr defaultColWidth="1.875" defaultRowHeight="14.25"/>
  <cols>
    <col min="1" max="89" width="2.125" style="15" customWidth="1"/>
    <col min="90" max="16384" width="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100</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101</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6" t="s">
        <v>81</v>
      </c>
      <c r="B8" s="357"/>
      <c r="C8" s="358"/>
      <c r="D8" s="356" t="s">
        <v>103</v>
      </c>
      <c r="E8" s="357"/>
      <c r="F8" s="357"/>
      <c r="G8" s="357"/>
      <c r="H8" s="357"/>
      <c r="I8" s="357"/>
      <c r="J8" s="357"/>
      <c r="K8" s="357"/>
      <c r="L8" s="357"/>
      <c r="M8" s="357"/>
      <c r="N8" s="357"/>
      <c r="O8" s="357"/>
      <c r="P8" s="357"/>
      <c r="Q8" s="358"/>
      <c r="R8" s="593" t="s">
        <v>104</v>
      </c>
      <c r="S8" s="594"/>
      <c r="T8" s="595"/>
      <c r="U8" s="593" t="s">
        <v>105</v>
      </c>
      <c r="V8" s="594"/>
      <c r="W8" s="595"/>
      <c r="X8" s="593" t="s">
        <v>106</v>
      </c>
      <c r="Y8" s="594"/>
      <c r="Z8" s="595"/>
      <c r="AA8" s="593" t="s">
        <v>107</v>
      </c>
      <c r="AB8" s="594"/>
      <c r="AC8" s="595"/>
      <c r="AD8" s="593" t="s">
        <v>108</v>
      </c>
      <c r="AE8" s="594"/>
      <c r="AF8" s="595"/>
      <c r="AG8" s="356" t="s">
        <v>109</v>
      </c>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587">
        <f t="shared" ref="A9" si="0">ROW()-8</f>
        <v>1</v>
      </c>
      <c r="B9" s="588"/>
      <c r="C9" s="589"/>
      <c r="D9" s="601" t="s">
        <v>36</v>
      </c>
      <c r="E9" s="602"/>
      <c r="F9" s="602"/>
      <c r="G9" s="602"/>
      <c r="H9" s="602"/>
      <c r="I9" s="602"/>
      <c r="J9" s="602"/>
      <c r="K9" s="602"/>
      <c r="L9" s="602"/>
      <c r="M9" s="602"/>
      <c r="N9" s="602"/>
      <c r="O9" s="602"/>
      <c r="P9" s="602"/>
      <c r="Q9" s="603"/>
      <c r="R9" s="604"/>
      <c r="S9" s="605"/>
      <c r="T9" s="606"/>
      <c r="U9" s="604"/>
      <c r="V9" s="605"/>
      <c r="W9" s="606"/>
      <c r="X9" s="604"/>
      <c r="Y9" s="605"/>
      <c r="Z9" s="606"/>
      <c r="AA9" s="604" t="s">
        <v>244</v>
      </c>
      <c r="AB9" s="605"/>
      <c r="AC9" s="606"/>
      <c r="AD9" s="604"/>
      <c r="AE9" s="605"/>
      <c r="AF9" s="606"/>
      <c r="AG9" s="607" t="s">
        <v>216</v>
      </c>
      <c r="AH9" s="608"/>
      <c r="AI9" s="608"/>
      <c r="AJ9" s="608"/>
      <c r="AK9" s="608"/>
      <c r="AL9" s="608"/>
      <c r="AM9" s="608"/>
      <c r="AN9" s="608"/>
      <c r="AO9" s="608"/>
      <c r="AP9" s="608"/>
      <c r="AQ9" s="608"/>
      <c r="AR9" s="608"/>
      <c r="AS9" s="608"/>
      <c r="AT9" s="608"/>
      <c r="AU9" s="608"/>
      <c r="AV9" s="608"/>
      <c r="AW9" s="608"/>
      <c r="AX9" s="608"/>
      <c r="AY9" s="608"/>
      <c r="AZ9" s="608"/>
      <c r="BA9" s="608"/>
      <c r="BB9" s="608"/>
      <c r="BC9" s="609"/>
      <c r="BD9" s="482"/>
      <c r="BE9" s="483"/>
      <c r="BF9" s="483"/>
      <c r="BG9" s="483"/>
      <c r="BH9" s="483"/>
      <c r="BI9" s="483"/>
      <c r="BJ9" s="499"/>
    </row>
    <row r="10" spans="1:63" ht="30" customHeight="1">
      <c r="A10" s="587">
        <f>ROW()-8</f>
        <v>2</v>
      </c>
      <c r="B10" s="588"/>
      <c r="C10" s="589"/>
      <c r="D10" s="487" t="s">
        <v>143</v>
      </c>
      <c r="E10" s="488"/>
      <c r="F10" s="488"/>
      <c r="G10" s="488"/>
      <c r="H10" s="488"/>
      <c r="I10" s="488"/>
      <c r="J10" s="488"/>
      <c r="K10" s="488"/>
      <c r="L10" s="488"/>
      <c r="M10" s="488"/>
      <c r="N10" s="488"/>
      <c r="O10" s="488"/>
      <c r="P10" s="488"/>
      <c r="Q10" s="489"/>
      <c r="R10" s="482"/>
      <c r="S10" s="483"/>
      <c r="T10" s="499"/>
      <c r="U10" s="482"/>
      <c r="V10" s="483"/>
      <c r="W10" s="499"/>
      <c r="X10" s="482"/>
      <c r="Y10" s="483"/>
      <c r="Z10" s="499"/>
      <c r="AA10" s="482" t="s">
        <v>244</v>
      </c>
      <c r="AB10" s="483"/>
      <c r="AC10" s="499"/>
      <c r="AD10" s="482"/>
      <c r="AE10" s="483"/>
      <c r="AF10" s="499"/>
      <c r="AG10" s="584" t="s">
        <v>341</v>
      </c>
      <c r="AH10" s="585"/>
      <c r="AI10" s="585"/>
      <c r="AJ10" s="585"/>
      <c r="AK10" s="585"/>
      <c r="AL10" s="585"/>
      <c r="AM10" s="585"/>
      <c r="AN10" s="585"/>
      <c r="AO10" s="585"/>
      <c r="AP10" s="585"/>
      <c r="AQ10" s="585"/>
      <c r="AR10" s="585"/>
      <c r="AS10" s="585"/>
      <c r="AT10" s="585"/>
      <c r="AU10" s="585"/>
      <c r="AV10" s="585"/>
      <c r="AW10" s="585"/>
      <c r="AX10" s="585"/>
      <c r="AY10" s="585"/>
      <c r="AZ10" s="585"/>
      <c r="BA10" s="585"/>
      <c r="BB10" s="585"/>
      <c r="BC10" s="586"/>
      <c r="BD10" s="482"/>
      <c r="BE10" s="483"/>
      <c r="BF10" s="483"/>
      <c r="BG10" s="483"/>
      <c r="BH10" s="483"/>
      <c r="BI10" s="483"/>
      <c r="BJ10" s="499"/>
    </row>
    <row r="11" spans="1:63" ht="30" customHeight="1">
      <c r="A11" s="587">
        <f t="shared" ref="A11:A13" si="1">ROW()-8</f>
        <v>3</v>
      </c>
      <c r="B11" s="588"/>
      <c r="C11" s="589"/>
      <c r="D11" s="487" t="s">
        <v>342</v>
      </c>
      <c r="E11" s="488"/>
      <c r="F11" s="488"/>
      <c r="G11" s="488"/>
      <c r="H11" s="488"/>
      <c r="I11" s="488"/>
      <c r="J11" s="488"/>
      <c r="K11" s="488"/>
      <c r="L11" s="488"/>
      <c r="M11" s="488"/>
      <c r="N11" s="488"/>
      <c r="O11" s="488"/>
      <c r="P11" s="488"/>
      <c r="Q11" s="489"/>
      <c r="R11" s="482"/>
      <c r="S11" s="483"/>
      <c r="T11" s="499"/>
      <c r="U11" s="482"/>
      <c r="V11" s="483"/>
      <c r="W11" s="499"/>
      <c r="X11" s="482"/>
      <c r="Y11" s="483"/>
      <c r="Z11" s="499"/>
      <c r="AA11" s="482" t="s">
        <v>244</v>
      </c>
      <c r="AB11" s="483"/>
      <c r="AC11" s="499"/>
      <c r="AD11" s="482"/>
      <c r="AE11" s="483"/>
      <c r="AF11" s="499"/>
      <c r="AG11" s="584" t="s">
        <v>343</v>
      </c>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590"/>
      <c r="BE11" s="591"/>
      <c r="BF11" s="591"/>
      <c r="BG11" s="591"/>
      <c r="BH11" s="591"/>
      <c r="BI11" s="591"/>
      <c r="BJ11" s="592"/>
    </row>
    <row r="12" spans="1:63" s="16" customFormat="1" ht="50.45" customHeight="1">
      <c r="A12" s="587">
        <f t="shared" si="1"/>
        <v>4</v>
      </c>
      <c r="B12" s="588"/>
      <c r="C12" s="589"/>
      <c r="D12" s="487" t="s">
        <v>214</v>
      </c>
      <c r="E12" s="488"/>
      <c r="F12" s="488"/>
      <c r="G12" s="488"/>
      <c r="H12" s="488"/>
      <c r="I12" s="488"/>
      <c r="J12" s="488"/>
      <c r="K12" s="488"/>
      <c r="L12" s="488"/>
      <c r="M12" s="488"/>
      <c r="N12" s="488"/>
      <c r="O12" s="488"/>
      <c r="P12" s="488"/>
      <c r="Q12" s="489"/>
      <c r="R12" s="482"/>
      <c r="S12" s="483"/>
      <c r="T12" s="499"/>
      <c r="U12" s="482" t="s">
        <v>266</v>
      </c>
      <c r="V12" s="483"/>
      <c r="W12" s="499"/>
      <c r="X12" s="482"/>
      <c r="Y12" s="483"/>
      <c r="Z12" s="499"/>
      <c r="AA12" s="482"/>
      <c r="AB12" s="483"/>
      <c r="AC12" s="499"/>
      <c r="AD12" s="482"/>
      <c r="AE12" s="483"/>
      <c r="AF12" s="499"/>
      <c r="AG12" s="584" t="s">
        <v>408</v>
      </c>
      <c r="AH12" s="599"/>
      <c r="AI12" s="599"/>
      <c r="AJ12" s="599"/>
      <c r="AK12" s="599"/>
      <c r="AL12" s="599"/>
      <c r="AM12" s="599"/>
      <c r="AN12" s="599"/>
      <c r="AO12" s="599"/>
      <c r="AP12" s="599"/>
      <c r="AQ12" s="599"/>
      <c r="AR12" s="599"/>
      <c r="AS12" s="599"/>
      <c r="AT12" s="599"/>
      <c r="AU12" s="599"/>
      <c r="AV12" s="599"/>
      <c r="AW12" s="599"/>
      <c r="AX12" s="599"/>
      <c r="AY12" s="599"/>
      <c r="AZ12" s="599"/>
      <c r="BA12" s="599"/>
      <c r="BB12" s="599"/>
      <c r="BC12" s="600"/>
      <c r="BD12" s="482"/>
      <c r="BE12" s="483"/>
      <c r="BF12" s="483"/>
      <c r="BG12" s="483"/>
      <c r="BH12" s="483"/>
      <c r="BI12" s="483"/>
      <c r="BJ12" s="499"/>
    </row>
    <row r="13" spans="1:63" ht="45.95" customHeight="1">
      <c r="A13" s="587">
        <f t="shared" si="1"/>
        <v>5</v>
      </c>
      <c r="B13" s="588"/>
      <c r="C13" s="589"/>
      <c r="D13" s="487" t="s">
        <v>215</v>
      </c>
      <c r="E13" s="488"/>
      <c r="F13" s="488"/>
      <c r="G13" s="488"/>
      <c r="H13" s="488"/>
      <c r="I13" s="488"/>
      <c r="J13" s="488"/>
      <c r="K13" s="488"/>
      <c r="L13" s="488"/>
      <c r="M13" s="488"/>
      <c r="N13" s="488"/>
      <c r="O13" s="488"/>
      <c r="P13" s="488"/>
      <c r="Q13" s="489"/>
      <c r="R13" s="482"/>
      <c r="S13" s="483"/>
      <c r="T13" s="499"/>
      <c r="U13" s="482" t="s">
        <v>266</v>
      </c>
      <c r="V13" s="483"/>
      <c r="W13" s="499"/>
      <c r="X13" s="482"/>
      <c r="Y13" s="483"/>
      <c r="Z13" s="499"/>
      <c r="AA13" s="482"/>
      <c r="AB13" s="483"/>
      <c r="AC13" s="499"/>
      <c r="AD13" s="482"/>
      <c r="AE13" s="483"/>
      <c r="AF13" s="499"/>
      <c r="AG13" s="584" t="s">
        <v>408</v>
      </c>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482"/>
      <c r="BE13" s="483"/>
      <c r="BF13" s="483"/>
      <c r="BG13" s="483"/>
      <c r="BH13" s="483"/>
      <c r="BI13" s="483"/>
      <c r="BJ13" s="499"/>
    </row>
    <row r="14" spans="1:63" ht="30" customHeight="1">
      <c r="A14" s="610"/>
      <c r="B14" s="611"/>
      <c r="C14" s="612"/>
      <c r="D14" s="613"/>
      <c r="E14" s="614"/>
      <c r="F14" s="614"/>
      <c r="G14" s="614"/>
      <c r="H14" s="614"/>
      <c r="I14" s="614"/>
      <c r="J14" s="614"/>
      <c r="K14" s="614"/>
      <c r="L14" s="614"/>
      <c r="M14" s="614"/>
      <c r="N14" s="614"/>
      <c r="O14" s="614"/>
      <c r="P14" s="614"/>
      <c r="Q14" s="615"/>
      <c r="R14" s="563"/>
      <c r="S14" s="564"/>
      <c r="T14" s="565"/>
      <c r="U14" s="563"/>
      <c r="V14" s="564"/>
      <c r="W14" s="565"/>
      <c r="X14" s="563"/>
      <c r="Y14" s="564"/>
      <c r="Z14" s="565"/>
      <c r="AA14" s="563"/>
      <c r="AB14" s="564"/>
      <c r="AC14" s="565"/>
      <c r="AD14" s="563"/>
      <c r="AE14" s="564"/>
      <c r="AF14" s="565"/>
      <c r="AG14" s="613"/>
      <c r="AH14" s="614"/>
      <c r="AI14" s="614"/>
      <c r="AJ14" s="614"/>
      <c r="AK14" s="614"/>
      <c r="AL14" s="614"/>
      <c r="AM14" s="614"/>
      <c r="AN14" s="614"/>
      <c r="AO14" s="614"/>
      <c r="AP14" s="614"/>
      <c r="AQ14" s="614"/>
      <c r="AR14" s="614"/>
      <c r="AS14" s="614"/>
      <c r="AT14" s="614"/>
      <c r="AU14" s="614"/>
      <c r="AV14" s="614"/>
      <c r="AW14" s="614"/>
      <c r="AX14" s="614"/>
      <c r="AY14" s="614"/>
      <c r="AZ14" s="614"/>
      <c r="BA14" s="614"/>
      <c r="BB14" s="614"/>
      <c r="BC14" s="615"/>
      <c r="BD14" s="563"/>
      <c r="BE14" s="564"/>
      <c r="BF14" s="564"/>
      <c r="BG14" s="564"/>
      <c r="BH14" s="564"/>
      <c r="BI14" s="564"/>
      <c r="BJ14" s="565"/>
    </row>
    <row r="15" spans="1:63" s="17" customFormat="1" ht="5.25" customHeight="1">
      <c r="B15" s="18"/>
      <c r="C15" s="18"/>
      <c r="D15" s="18"/>
      <c r="E15" s="18"/>
      <c r="F15" s="18"/>
      <c r="G15" s="18"/>
      <c r="H15" s="18"/>
      <c r="I15" s="18"/>
      <c r="J15" s="18"/>
      <c r="K15" s="18"/>
      <c r="L15" s="18"/>
      <c r="M15" s="18"/>
      <c r="N15" s="18"/>
      <c r="O15" s="18"/>
      <c r="P15" s="18"/>
      <c r="Q15" s="18"/>
      <c r="R15" s="18"/>
      <c r="S15" s="18"/>
    </row>
    <row r="16" spans="1:63" ht="24" customHeight="1"/>
    <row r="17" ht="24" customHeight="1"/>
    <row r="18" ht="24" customHeight="1"/>
    <row r="19" ht="24" customHeight="1"/>
    <row r="20" ht="24" customHeight="1"/>
    <row r="21" ht="17.100000000000001" customHeight="1"/>
    <row r="22" ht="17.100000000000001" customHeight="1"/>
    <row r="23" ht="17.100000000000001" customHeight="1"/>
    <row r="24" ht="17.100000000000001" customHeight="1"/>
  </sheetData>
  <mergeCells count="78">
    <mergeCell ref="AA13:AC13"/>
    <mergeCell ref="AD13:AF13"/>
    <mergeCell ref="AG13:BC13"/>
    <mergeCell ref="A13:C13"/>
    <mergeCell ref="D13:Q13"/>
    <mergeCell ref="R13:T13"/>
    <mergeCell ref="U13:W13"/>
    <mergeCell ref="X13:Z13"/>
    <mergeCell ref="BD14:BJ14"/>
    <mergeCell ref="A14:C14"/>
    <mergeCell ref="D14:Q14"/>
    <mergeCell ref="R14:T14"/>
    <mergeCell ref="U14:W14"/>
    <mergeCell ref="X14:Z14"/>
    <mergeCell ref="AA14:AC14"/>
    <mergeCell ref="AD14:AF14"/>
    <mergeCell ref="AG14:BC14"/>
    <mergeCell ref="BD13:BJ13"/>
    <mergeCell ref="A9:C9"/>
    <mergeCell ref="D9:Q9"/>
    <mergeCell ref="R9:T9"/>
    <mergeCell ref="U9:W9"/>
    <mergeCell ref="X9:Z9"/>
    <mergeCell ref="AA9:AC9"/>
    <mergeCell ref="AD9:AF9"/>
    <mergeCell ref="AG9:BC9"/>
    <mergeCell ref="BD9:BJ9"/>
    <mergeCell ref="BD12:BJ12"/>
    <mergeCell ref="AD12:AF12"/>
    <mergeCell ref="D12:Q12"/>
    <mergeCell ref="R12:T12"/>
    <mergeCell ref="U12:W12"/>
    <mergeCell ref="X12:Z12"/>
    <mergeCell ref="AA12:AC12"/>
    <mergeCell ref="AG12:BC12"/>
    <mergeCell ref="A12:C12"/>
    <mergeCell ref="A11:C11"/>
    <mergeCell ref="D11:Q11"/>
    <mergeCell ref="R11:T11"/>
    <mergeCell ref="U11:W11"/>
    <mergeCell ref="X11:Z11"/>
    <mergeCell ref="AA11:AC11"/>
    <mergeCell ref="AD11:AF11"/>
    <mergeCell ref="AG11:BC11"/>
    <mergeCell ref="BD11:BJ11"/>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U10:W10"/>
    <mergeCell ref="X10:Z10"/>
    <mergeCell ref="AA10:AC10"/>
    <mergeCell ref="AD10:AF10"/>
    <mergeCell ref="AG10:BC10"/>
    <mergeCell ref="BD10:BJ10"/>
    <mergeCell ref="A10:C10"/>
    <mergeCell ref="D10:Q10"/>
    <mergeCell ref="R10:T10"/>
    <mergeCell ref="A4:G4"/>
    <mergeCell ref="H4:AU4"/>
    <mergeCell ref="AV4:AY4"/>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6"/>
  <sheetViews>
    <sheetView view="pageBreakPreview" zoomScaleNormal="100" zoomScaleSheetLayoutView="100" workbookViewId="0"/>
  </sheetViews>
  <sheetFormatPr defaultColWidth="1.875" defaultRowHeight="14.25"/>
  <cols>
    <col min="1" max="74" width="2.125" style="15" customWidth="1"/>
    <col min="75" max="16384" width="1.875" style="15"/>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113</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114</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6" t="s">
        <v>81</v>
      </c>
      <c r="B8" s="357"/>
      <c r="C8" s="358"/>
      <c r="D8" s="356" t="s">
        <v>115</v>
      </c>
      <c r="E8" s="357"/>
      <c r="F8" s="357"/>
      <c r="G8" s="357"/>
      <c r="H8" s="357"/>
      <c r="I8" s="357"/>
      <c r="J8" s="357"/>
      <c r="K8" s="357"/>
      <c r="L8" s="357"/>
      <c r="M8" s="357"/>
      <c r="N8" s="357"/>
      <c r="O8" s="357"/>
      <c r="P8" s="358"/>
      <c r="Q8" s="356" t="s">
        <v>116</v>
      </c>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43.7" customHeight="1">
      <c r="A9" s="616">
        <f>ROW()-8</f>
        <v>1</v>
      </c>
      <c r="B9" s="588"/>
      <c r="C9" s="589"/>
      <c r="D9" s="617" t="s">
        <v>220</v>
      </c>
      <c r="E9" s="618"/>
      <c r="F9" s="618"/>
      <c r="G9" s="618"/>
      <c r="H9" s="618"/>
      <c r="I9" s="618"/>
      <c r="J9" s="618"/>
      <c r="K9" s="618"/>
      <c r="L9" s="618"/>
      <c r="M9" s="618"/>
      <c r="N9" s="618"/>
      <c r="O9" s="618"/>
      <c r="P9" s="619"/>
      <c r="Q9" s="620" t="s">
        <v>460</v>
      </c>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c r="BC9" s="622"/>
      <c r="BD9" s="482"/>
      <c r="BE9" s="483"/>
      <c r="BF9" s="483"/>
      <c r="BG9" s="483"/>
      <c r="BH9" s="483"/>
      <c r="BI9" s="483"/>
      <c r="BJ9" s="499"/>
    </row>
    <row r="10" spans="1:63" ht="42" customHeight="1">
      <c r="A10" s="616" t="s">
        <v>91</v>
      </c>
      <c r="B10" s="588"/>
      <c r="C10" s="589"/>
      <c r="D10" s="617" t="s">
        <v>369</v>
      </c>
      <c r="E10" s="618"/>
      <c r="F10" s="618"/>
      <c r="G10" s="618"/>
      <c r="H10" s="618"/>
      <c r="I10" s="618"/>
      <c r="J10" s="618"/>
      <c r="K10" s="618"/>
      <c r="L10" s="618"/>
      <c r="M10" s="618"/>
      <c r="N10" s="618"/>
      <c r="O10" s="618"/>
      <c r="P10" s="619"/>
      <c r="Q10" s="620" t="s">
        <v>444</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482"/>
      <c r="BE10" s="483"/>
      <c r="BF10" s="483"/>
      <c r="BG10" s="483"/>
      <c r="BH10" s="483"/>
      <c r="BI10" s="483"/>
      <c r="BJ10" s="499"/>
    </row>
    <row r="11" spans="1:63" ht="50.45" customHeight="1">
      <c r="A11" s="616">
        <f t="shared" ref="A11:A13" si="0">ROW()-8</f>
        <v>3</v>
      </c>
      <c r="B11" s="588"/>
      <c r="C11" s="589"/>
      <c r="D11" s="620" t="s">
        <v>376</v>
      </c>
      <c r="E11" s="621"/>
      <c r="F11" s="621"/>
      <c r="G11" s="621"/>
      <c r="H11" s="621"/>
      <c r="I11" s="621"/>
      <c r="J11" s="621"/>
      <c r="K11" s="621"/>
      <c r="L11" s="621"/>
      <c r="M11" s="621"/>
      <c r="N11" s="621"/>
      <c r="O11" s="621"/>
      <c r="P11" s="622"/>
      <c r="Q11" s="620" t="s">
        <v>445</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482"/>
      <c r="BE11" s="483"/>
      <c r="BF11" s="483"/>
      <c r="BG11" s="483"/>
      <c r="BH11" s="483"/>
      <c r="BI11" s="483"/>
      <c r="BJ11" s="499"/>
    </row>
    <row r="12" spans="1:63" ht="48.95" customHeight="1">
      <c r="A12" s="616">
        <f t="shared" si="0"/>
        <v>4</v>
      </c>
      <c r="B12" s="588"/>
      <c r="C12" s="589"/>
      <c r="D12" s="620" t="s">
        <v>377</v>
      </c>
      <c r="E12" s="621"/>
      <c r="F12" s="621"/>
      <c r="G12" s="621"/>
      <c r="H12" s="621"/>
      <c r="I12" s="621"/>
      <c r="J12" s="621"/>
      <c r="K12" s="621"/>
      <c r="L12" s="621"/>
      <c r="M12" s="621"/>
      <c r="N12" s="621"/>
      <c r="O12" s="621"/>
      <c r="P12" s="622"/>
      <c r="Q12" s="620" t="s">
        <v>446</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482"/>
      <c r="BE12" s="483"/>
      <c r="BF12" s="483"/>
      <c r="BG12" s="483"/>
      <c r="BH12" s="483"/>
      <c r="BI12" s="483"/>
      <c r="BJ12" s="499"/>
    </row>
    <row r="13" spans="1:63" ht="50.45" customHeight="1">
      <c r="A13" s="616">
        <f t="shared" si="0"/>
        <v>5</v>
      </c>
      <c r="B13" s="588"/>
      <c r="C13" s="589"/>
      <c r="D13" s="620" t="s">
        <v>378</v>
      </c>
      <c r="E13" s="621"/>
      <c r="F13" s="621"/>
      <c r="G13" s="621"/>
      <c r="H13" s="621"/>
      <c r="I13" s="621"/>
      <c r="J13" s="621"/>
      <c r="K13" s="621"/>
      <c r="L13" s="621"/>
      <c r="M13" s="621"/>
      <c r="N13" s="621"/>
      <c r="O13" s="621"/>
      <c r="P13" s="622"/>
      <c r="Q13" s="620" t="s">
        <v>447</v>
      </c>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c r="BC13" s="622"/>
      <c r="BD13" s="482"/>
      <c r="BE13" s="483"/>
      <c r="BF13" s="483"/>
      <c r="BG13" s="483"/>
      <c r="BH13" s="483"/>
      <c r="BI13" s="483"/>
      <c r="BJ13" s="499"/>
    </row>
    <row r="14" spans="1:63" ht="42" customHeight="1">
      <c r="A14" s="616">
        <f>ROW()-8</f>
        <v>6</v>
      </c>
      <c r="B14" s="588"/>
      <c r="C14" s="589"/>
      <c r="D14" s="617" t="s">
        <v>312</v>
      </c>
      <c r="E14" s="618"/>
      <c r="F14" s="618"/>
      <c r="G14" s="618"/>
      <c r="H14" s="618"/>
      <c r="I14" s="618"/>
      <c r="J14" s="618"/>
      <c r="K14" s="618"/>
      <c r="L14" s="618"/>
      <c r="M14" s="618"/>
      <c r="N14" s="618"/>
      <c r="O14" s="618"/>
      <c r="P14" s="619"/>
      <c r="Q14" s="620" t="s">
        <v>313</v>
      </c>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2"/>
      <c r="BD14" s="482"/>
      <c r="BE14" s="483"/>
      <c r="BF14" s="483"/>
      <c r="BG14" s="483"/>
      <c r="BH14" s="483"/>
      <c r="BI14" s="483"/>
      <c r="BJ14" s="499"/>
    </row>
    <row r="15" spans="1:63" ht="30" customHeight="1">
      <c r="A15" s="616">
        <f t="shared" ref="A15:A30" si="1">ROW()-8</f>
        <v>7</v>
      </c>
      <c r="B15" s="588"/>
      <c r="C15" s="589"/>
      <c r="D15" s="617" t="s">
        <v>344</v>
      </c>
      <c r="E15" s="618"/>
      <c r="F15" s="618"/>
      <c r="G15" s="618"/>
      <c r="H15" s="618"/>
      <c r="I15" s="618"/>
      <c r="J15" s="618"/>
      <c r="K15" s="618"/>
      <c r="L15" s="618"/>
      <c r="M15" s="618"/>
      <c r="N15" s="618"/>
      <c r="O15" s="618"/>
      <c r="P15" s="619"/>
      <c r="Q15" s="620" t="s">
        <v>345</v>
      </c>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c r="BC15" s="622"/>
      <c r="BD15" s="482"/>
      <c r="BE15" s="483"/>
      <c r="BF15" s="483"/>
      <c r="BG15" s="483"/>
      <c r="BH15" s="483"/>
      <c r="BI15" s="483"/>
      <c r="BJ15" s="499"/>
    </row>
    <row r="16" spans="1:63" ht="30" customHeight="1">
      <c r="A16" s="616">
        <f t="shared" si="1"/>
        <v>8</v>
      </c>
      <c r="B16" s="588"/>
      <c r="C16" s="589"/>
      <c r="D16" s="617" t="s">
        <v>346</v>
      </c>
      <c r="E16" s="618"/>
      <c r="F16" s="618"/>
      <c r="G16" s="618"/>
      <c r="H16" s="618"/>
      <c r="I16" s="618"/>
      <c r="J16" s="618"/>
      <c r="K16" s="618"/>
      <c r="L16" s="618"/>
      <c r="M16" s="618"/>
      <c r="N16" s="618"/>
      <c r="O16" s="618"/>
      <c r="P16" s="619"/>
      <c r="Q16" s="620" t="s">
        <v>347</v>
      </c>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c r="BC16" s="622"/>
      <c r="BD16" s="482"/>
      <c r="BE16" s="483"/>
      <c r="BF16" s="483"/>
      <c r="BG16" s="483"/>
      <c r="BH16" s="483"/>
      <c r="BI16" s="483"/>
      <c r="BJ16" s="499"/>
    </row>
    <row r="17" spans="1:62" ht="30" customHeight="1">
      <c r="A17" s="616">
        <f t="shared" si="1"/>
        <v>9</v>
      </c>
      <c r="B17" s="588"/>
      <c r="C17" s="589"/>
      <c r="D17" s="617" t="s">
        <v>348</v>
      </c>
      <c r="E17" s="618"/>
      <c r="F17" s="618"/>
      <c r="G17" s="618"/>
      <c r="H17" s="618"/>
      <c r="I17" s="618"/>
      <c r="J17" s="618"/>
      <c r="K17" s="618"/>
      <c r="L17" s="618"/>
      <c r="M17" s="618"/>
      <c r="N17" s="618"/>
      <c r="O17" s="618"/>
      <c r="P17" s="619"/>
      <c r="Q17" s="620" t="s">
        <v>416</v>
      </c>
      <c r="R17" s="621"/>
      <c r="S17" s="621"/>
      <c r="T17" s="621"/>
      <c r="U17" s="621"/>
      <c r="V17" s="621"/>
      <c r="W17" s="621"/>
      <c r="X17" s="621"/>
      <c r="Y17" s="621"/>
      <c r="Z17" s="621"/>
      <c r="AA17" s="621"/>
      <c r="AB17" s="621"/>
      <c r="AC17" s="621"/>
      <c r="AD17" s="621"/>
      <c r="AE17" s="621"/>
      <c r="AF17" s="621"/>
      <c r="AG17" s="621"/>
      <c r="AH17" s="621"/>
      <c r="AI17" s="621"/>
      <c r="AJ17" s="621"/>
      <c r="AK17" s="621"/>
      <c r="AL17" s="621"/>
      <c r="AM17" s="621"/>
      <c r="AN17" s="621"/>
      <c r="AO17" s="621"/>
      <c r="AP17" s="621"/>
      <c r="AQ17" s="621"/>
      <c r="AR17" s="621"/>
      <c r="AS17" s="621"/>
      <c r="AT17" s="621"/>
      <c r="AU17" s="621"/>
      <c r="AV17" s="621"/>
      <c r="AW17" s="621"/>
      <c r="AX17" s="621"/>
      <c r="AY17" s="621"/>
      <c r="AZ17" s="621"/>
      <c r="BA17" s="621"/>
      <c r="BB17" s="621"/>
      <c r="BC17" s="622"/>
      <c r="BD17" s="482"/>
      <c r="BE17" s="483"/>
      <c r="BF17" s="483"/>
      <c r="BG17" s="483"/>
      <c r="BH17" s="483"/>
      <c r="BI17" s="483"/>
      <c r="BJ17" s="499"/>
    </row>
    <row r="18" spans="1:62" ht="42" customHeight="1">
      <c r="A18" s="616">
        <f t="shared" si="1"/>
        <v>10</v>
      </c>
      <c r="B18" s="588"/>
      <c r="C18" s="589"/>
      <c r="D18" s="617" t="s">
        <v>349</v>
      </c>
      <c r="E18" s="618"/>
      <c r="F18" s="618"/>
      <c r="G18" s="618"/>
      <c r="H18" s="618"/>
      <c r="I18" s="618"/>
      <c r="J18" s="618"/>
      <c r="K18" s="618"/>
      <c r="L18" s="618"/>
      <c r="M18" s="618"/>
      <c r="N18" s="618"/>
      <c r="O18" s="618"/>
      <c r="P18" s="619"/>
      <c r="Q18" s="620" t="s">
        <v>417</v>
      </c>
      <c r="R18" s="621"/>
      <c r="S18" s="621"/>
      <c r="T18" s="621"/>
      <c r="U18" s="621"/>
      <c r="V18" s="621"/>
      <c r="W18" s="621"/>
      <c r="X18" s="621"/>
      <c r="Y18" s="621"/>
      <c r="Z18" s="621"/>
      <c r="AA18" s="621"/>
      <c r="AB18" s="621"/>
      <c r="AC18" s="621"/>
      <c r="AD18" s="621"/>
      <c r="AE18" s="621"/>
      <c r="AF18" s="621"/>
      <c r="AG18" s="621"/>
      <c r="AH18" s="621"/>
      <c r="AI18" s="621"/>
      <c r="AJ18" s="621"/>
      <c r="AK18" s="621"/>
      <c r="AL18" s="621"/>
      <c r="AM18" s="621"/>
      <c r="AN18" s="621"/>
      <c r="AO18" s="621"/>
      <c r="AP18" s="621"/>
      <c r="AQ18" s="621"/>
      <c r="AR18" s="621"/>
      <c r="AS18" s="621"/>
      <c r="AT18" s="621"/>
      <c r="AU18" s="621"/>
      <c r="AV18" s="621"/>
      <c r="AW18" s="621"/>
      <c r="AX18" s="621"/>
      <c r="AY18" s="621"/>
      <c r="AZ18" s="621"/>
      <c r="BA18" s="621"/>
      <c r="BB18" s="621"/>
      <c r="BC18" s="622"/>
      <c r="BD18" s="482"/>
      <c r="BE18" s="483"/>
      <c r="BF18" s="483"/>
      <c r="BG18" s="483"/>
      <c r="BH18" s="483"/>
      <c r="BI18" s="483"/>
      <c r="BJ18" s="499"/>
    </row>
    <row r="19" spans="1:62" ht="30" customHeight="1">
      <c r="A19" s="616">
        <f t="shared" si="1"/>
        <v>11</v>
      </c>
      <c r="B19" s="588"/>
      <c r="C19" s="589"/>
      <c r="D19" s="617" t="s">
        <v>350</v>
      </c>
      <c r="E19" s="618"/>
      <c r="F19" s="618"/>
      <c r="G19" s="618"/>
      <c r="H19" s="618"/>
      <c r="I19" s="618"/>
      <c r="J19" s="618"/>
      <c r="K19" s="618"/>
      <c r="L19" s="618"/>
      <c r="M19" s="618"/>
      <c r="N19" s="618"/>
      <c r="O19" s="618"/>
      <c r="P19" s="619"/>
      <c r="Q19" s="620" t="s">
        <v>351</v>
      </c>
      <c r="R19" s="621"/>
      <c r="S19" s="621"/>
      <c r="T19" s="621"/>
      <c r="U19" s="621"/>
      <c r="V19" s="621"/>
      <c r="W19" s="621"/>
      <c r="X19" s="621"/>
      <c r="Y19" s="621"/>
      <c r="Z19" s="621"/>
      <c r="AA19" s="621"/>
      <c r="AB19" s="621"/>
      <c r="AC19" s="621"/>
      <c r="AD19" s="621"/>
      <c r="AE19" s="621"/>
      <c r="AF19" s="621"/>
      <c r="AG19" s="621"/>
      <c r="AH19" s="621"/>
      <c r="AI19" s="621"/>
      <c r="AJ19" s="621"/>
      <c r="AK19" s="621"/>
      <c r="AL19" s="621"/>
      <c r="AM19" s="621"/>
      <c r="AN19" s="621"/>
      <c r="AO19" s="621"/>
      <c r="AP19" s="621"/>
      <c r="AQ19" s="621"/>
      <c r="AR19" s="621"/>
      <c r="AS19" s="621"/>
      <c r="AT19" s="621"/>
      <c r="AU19" s="621"/>
      <c r="AV19" s="621"/>
      <c r="AW19" s="621"/>
      <c r="AX19" s="621"/>
      <c r="AY19" s="621"/>
      <c r="AZ19" s="621"/>
      <c r="BA19" s="621"/>
      <c r="BB19" s="621"/>
      <c r="BC19" s="622"/>
      <c r="BD19" s="482"/>
      <c r="BE19" s="483"/>
      <c r="BF19" s="483"/>
      <c r="BG19" s="483"/>
      <c r="BH19" s="483"/>
      <c r="BI19" s="483"/>
      <c r="BJ19" s="499"/>
    </row>
    <row r="20" spans="1:62" ht="42.95" customHeight="1">
      <c r="A20" s="616">
        <f t="shared" si="1"/>
        <v>12</v>
      </c>
      <c r="B20" s="588"/>
      <c r="C20" s="589"/>
      <c r="D20" s="617" t="s">
        <v>352</v>
      </c>
      <c r="E20" s="618"/>
      <c r="F20" s="618"/>
      <c r="G20" s="618"/>
      <c r="H20" s="618"/>
      <c r="I20" s="618"/>
      <c r="J20" s="618"/>
      <c r="K20" s="618"/>
      <c r="L20" s="618"/>
      <c r="M20" s="618"/>
      <c r="N20" s="618"/>
      <c r="O20" s="618"/>
      <c r="P20" s="619"/>
      <c r="Q20" s="620" t="s">
        <v>418</v>
      </c>
      <c r="R20" s="621"/>
      <c r="S20" s="621"/>
      <c r="T20" s="621"/>
      <c r="U20" s="621"/>
      <c r="V20" s="621"/>
      <c r="W20" s="621"/>
      <c r="X20" s="621"/>
      <c r="Y20" s="621"/>
      <c r="Z20" s="621"/>
      <c r="AA20" s="621"/>
      <c r="AB20" s="621"/>
      <c r="AC20" s="621"/>
      <c r="AD20" s="621"/>
      <c r="AE20" s="621"/>
      <c r="AF20" s="621"/>
      <c r="AG20" s="621"/>
      <c r="AH20" s="621"/>
      <c r="AI20" s="621"/>
      <c r="AJ20" s="621"/>
      <c r="AK20" s="621"/>
      <c r="AL20" s="621"/>
      <c r="AM20" s="621"/>
      <c r="AN20" s="621"/>
      <c r="AO20" s="621"/>
      <c r="AP20" s="621"/>
      <c r="AQ20" s="621"/>
      <c r="AR20" s="621"/>
      <c r="AS20" s="621"/>
      <c r="AT20" s="621"/>
      <c r="AU20" s="621"/>
      <c r="AV20" s="621"/>
      <c r="AW20" s="621"/>
      <c r="AX20" s="621"/>
      <c r="AY20" s="621"/>
      <c r="AZ20" s="621"/>
      <c r="BA20" s="621"/>
      <c r="BB20" s="621"/>
      <c r="BC20" s="622"/>
      <c r="BD20" s="482"/>
      <c r="BE20" s="483"/>
      <c r="BF20" s="483"/>
      <c r="BG20" s="483"/>
      <c r="BH20" s="483"/>
      <c r="BI20" s="483"/>
      <c r="BJ20" s="499"/>
    </row>
    <row r="21" spans="1:62" ht="30" customHeight="1">
      <c r="A21" s="616">
        <f t="shared" si="1"/>
        <v>13</v>
      </c>
      <c r="B21" s="588"/>
      <c r="C21" s="589"/>
      <c r="D21" s="617" t="s">
        <v>388</v>
      </c>
      <c r="E21" s="618"/>
      <c r="F21" s="618"/>
      <c r="G21" s="618"/>
      <c r="H21" s="618"/>
      <c r="I21" s="618"/>
      <c r="J21" s="618"/>
      <c r="K21" s="618"/>
      <c r="L21" s="618"/>
      <c r="M21" s="618"/>
      <c r="N21" s="618"/>
      <c r="O21" s="618"/>
      <c r="P21" s="619"/>
      <c r="Q21" s="620" t="s">
        <v>389</v>
      </c>
      <c r="R21" s="621"/>
      <c r="S21" s="621"/>
      <c r="T21" s="621"/>
      <c r="U21" s="621"/>
      <c r="V21" s="621"/>
      <c r="W21" s="621"/>
      <c r="X21" s="621"/>
      <c r="Y21" s="621"/>
      <c r="Z21" s="621"/>
      <c r="AA21" s="621"/>
      <c r="AB21" s="621"/>
      <c r="AC21" s="621"/>
      <c r="AD21" s="621"/>
      <c r="AE21" s="621"/>
      <c r="AF21" s="621"/>
      <c r="AG21" s="621"/>
      <c r="AH21" s="621"/>
      <c r="AI21" s="621"/>
      <c r="AJ21" s="621"/>
      <c r="AK21" s="621"/>
      <c r="AL21" s="621"/>
      <c r="AM21" s="621"/>
      <c r="AN21" s="621"/>
      <c r="AO21" s="621"/>
      <c r="AP21" s="621"/>
      <c r="AQ21" s="621"/>
      <c r="AR21" s="621"/>
      <c r="AS21" s="621"/>
      <c r="AT21" s="621"/>
      <c r="AU21" s="621"/>
      <c r="AV21" s="621"/>
      <c r="AW21" s="621"/>
      <c r="AX21" s="621"/>
      <c r="AY21" s="621"/>
      <c r="AZ21" s="621"/>
      <c r="BA21" s="621"/>
      <c r="BB21" s="621"/>
      <c r="BC21" s="622"/>
      <c r="BD21" s="482"/>
      <c r="BE21" s="483"/>
      <c r="BF21" s="483"/>
      <c r="BG21" s="483"/>
      <c r="BH21" s="483"/>
      <c r="BI21" s="483"/>
      <c r="BJ21" s="499"/>
    </row>
    <row r="22" spans="1:62" ht="30" customHeight="1">
      <c r="A22" s="616">
        <f t="shared" si="1"/>
        <v>14</v>
      </c>
      <c r="B22" s="588"/>
      <c r="C22" s="589"/>
      <c r="D22" s="617" t="s">
        <v>353</v>
      </c>
      <c r="E22" s="618"/>
      <c r="F22" s="618"/>
      <c r="G22" s="618"/>
      <c r="H22" s="618"/>
      <c r="I22" s="618"/>
      <c r="J22" s="618"/>
      <c r="K22" s="618"/>
      <c r="L22" s="618"/>
      <c r="M22" s="618"/>
      <c r="N22" s="618"/>
      <c r="O22" s="618"/>
      <c r="P22" s="619"/>
      <c r="Q22" s="620" t="s">
        <v>354</v>
      </c>
      <c r="R22" s="621"/>
      <c r="S22" s="621"/>
      <c r="T22" s="621"/>
      <c r="U22" s="621"/>
      <c r="V22" s="621"/>
      <c r="W22" s="621"/>
      <c r="X22" s="621"/>
      <c r="Y22" s="621"/>
      <c r="Z22" s="621"/>
      <c r="AA22" s="621"/>
      <c r="AB22" s="621"/>
      <c r="AC22" s="621"/>
      <c r="AD22" s="621"/>
      <c r="AE22" s="621"/>
      <c r="AF22" s="621"/>
      <c r="AG22" s="621"/>
      <c r="AH22" s="621"/>
      <c r="AI22" s="621"/>
      <c r="AJ22" s="621"/>
      <c r="AK22" s="621"/>
      <c r="AL22" s="621"/>
      <c r="AM22" s="621"/>
      <c r="AN22" s="621"/>
      <c r="AO22" s="621"/>
      <c r="AP22" s="621"/>
      <c r="AQ22" s="621"/>
      <c r="AR22" s="621"/>
      <c r="AS22" s="621"/>
      <c r="AT22" s="621"/>
      <c r="AU22" s="621"/>
      <c r="AV22" s="621"/>
      <c r="AW22" s="621"/>
      <c r="AX22" s="621"/>
      <c r="AY22" s="621"/>
      <c r="AZ22" s="621"/>
      <c r="BA22" s="621"/>
      <c r="BB22" s="621"/>
      <c r="BC22" s="622"/>
      <c r="BD22" s="482"/>
      <c r="BE22" s="483"/>
      <c r="BF22" s="483"/>
      <c r="BG22" s="483"/>
      <c r="BH22" s="483"/>
      <c r="BI22" s="483"/>
      <c r="BJ22" s="499"/>
    </row>
    <row r="23" spans="1:62" ht="30" customHeight="1">
      <c r="A23" s="616">
        <f t="shared" si="1"/>
        <v>15</v>
      </c>
      <c r="B23" s="588"/>
      <c r="C23" s="589"/>
      <c r="D23" s="617" t="s">
        <v>355</v>
      </c>
      <c r="E23" s="618"/>
      <c r="F23" s="618"/>
      <c r="G23" s="618"/>
      <c r="H23" s="618"/>
      <c r="I23" s="618"/>
      <c r="J23" s="618"/>
      <c r="K23" s="618"/>
      <c r="L23" s="618"/>
      <c r="M23" s="618"/>
      <c r="N23" s="618"/>
      <c r="O23" s="618"/>
      <c r="P23" s="619"/>
      <c r="Q23" s="620" t="s">
        <v>356</v>
      </c>
      <c r="R23" s="621"/>
      <c r="S23" s="621"/>
      <c r="T23" s="621"/>
      <c r="U23" s="621"/>
      <c r="V23" s="621"/>
      <c r="W23" s="621"/>
      <c r="X23" s="621"/>
      <c r="Y23" s="621"/>
      <c r="Z23" s="621"/>
      <c r="AA23" s="621"/>
      <c r="AB23" s="621"/>
      <c r="AC23" s="621"/>
      <c r="AD23" s="621"/>
      <c r="AE23" s="621"/>
      <c r="AF23" s="621"/>
      <c r="AG23" s="621"/>
      <c r="AH23" s="621"/>
      <c r="AI23" s="621"/>
      <c r="AJ23" s="621"/>
      <c r="AK23" s="621"/>
      <c r="AL23" s="621"/>
      <c r="AM23" s="621"/>
      <c r="AN23" s="621"/>
      <c r="AO23" s="621"/>
      <c r="AP23" s="621"/>
      <c r="AQ23" s="621"/>
      <c r="AR23" s="621"/>
      <c r="AS23" s="621"/>
      <c r="AT23" s="621"/>
      <c r="AU23" s="621"/>
      <c r="AV23" s="621"/>
      <c r="AW23" s="621"/>
      <c r="AX23" s="621"/>
      <c r="AY23" s="621"/>
      <c r="AZ23" s="621"/>
      <c r="BA23" s="621"/>
      <c r="BB23" s="621"/>
      <c r="BC23" s="622"/>
      <c r="BD23" s="482"/>
      <c r="BE23" s="483"/>
      <c r="BF23" s="483"/>
      <c r="BG23" s="483"/>
      <c r="BH23" s="483"/>
      <c r="BI23" s="483"/>
      <c r="BJ23" s="499"/>
    </row>
    <row r="24" spans="1:62" ht="30" customHeight="1">
      <c r="A24" s="616">
        <f t="shared" si="1"/>
        <v>16</v>
      </c>
      <c r="B24" s="588"/>
      <c r="C24" s="589"/>
      <c r="D24" s="617" t="s">
        <v>357</v>
      </c>
      <c r="E24" s="618"/>
      <c r="F24" s="618"/>
      <c r="G24" s="618"/>
      <c r="H24" s="618"/>
      <c r="I24" s="618"/>
      <c r="J24" s="618"/>
      <c r="K24" s="618"/>
      <c r="L24" s="618"/>
      <c r="M24" s="618"/>
      <c r="N24" s="618"/>
      <c r="O24" s="618"/>
      <c r="P24" s="619"/>
      <c r="Q24" s="620" t="s">
        <v>358</v>
      </c>
      <c r="R24" s="621"/>
      <c r="S24" s="621"/>
      <c r="T24" s="621"/>
      <c r="U24" s="621"/>
      <c r="V24" s="621"/>
      <c r="W24" s="621"/>
      <c r="X24" s="621"/>
      <c r="Y24" s="621"/>
      <c r="Z24" s="621"/>
      <c r="AA24" s="621"/>
      <c r="AB24" s="621"/>
      <c r="AC24" s="621"/>
      <c r="AD24" s="621"/>
      <c r="AE24" s="621"/>
      <c r="AF24" s="621"/>
      <c r="AG24" s="621"/>
      <c r="AH24" s="621"/>
      <c r="AI24" s="621"/>
      <c r="AJ24" s="621"/>
      <c r="AK24" s="621"/>
      <c r="AL24" s="621"/>
      <c r="AM24" s="621"/>
      <c r="AN24" s="621"/>
      <c r="AO24" s="621"/>
      <c r="AP24" s="621"/>
      <c r="AQ24" s="621"/>
      <c r="AR24" s="621"/>
      <c r="AS24" s="621"/>
      <c r="AT24" s="621"/>
      <c r="AU24" s="621"/>
      <c r="AV24" s="621"/>
      <c r="AW24" s="621"/>
      <c r="AX24" s="621"/>
      <c r="AY24" s="621"/>
      <c r="AZ24" s="621"/>
      <c r="BA24" s="621"/>
      <c r="BB24" s="621"/>
      <c r="BC24" s="622"/>
      <c r="BD24" s="482"/>
      <c r="BE24" s="483"/>
      <c r="BF24" s="483"/>
      <c r="BG24" s="483"/>
      <c r="BH24" s="483"/>
      <c r="BI24" s="483"/>
      <c r="BJ24" s="499"/>
    </row>
    <row r="25" spans="1:62" ht="51" customHeight="1">
      <c r="A25" s="616">
        <f t="shared" si="1"/>
        <v>17</v>
      </c>
      <c r="B25" s="588"/>
      <c r="C25" s="589"/>
      <c r="D25" s="617" t="s">
        <v>359</v>
      </c>
      <c r="E25" s="618"/>
      <c r="F25" s="618"/>
      <c r="G25" s="618"/>
      <c r="H25" s="618"/>
      <c r="I25" s="618"/>
      <c r="J25" s="618"/>
      <c r="K25" s="618"/>
      <c r="L25" s="618"/>
      <c r="M25" s="618"/>
      <c r="N25" s="618"/>
      <c r="O25" s="618"/>
      <c r="P25" s="619"/>
      <c r="Q25" s="620" t="s">
        <v>419</v>
      </c>
      <c r="R25" s="621"/>
      <c r="S25" s="621"/>
      <c r="T25" s="621"/>
      <c r="U25" s="621"/>
      <c r="V25" s="621"/>
      <c r="W25" s="621"/>
      <c r="X25" s="621"/>
      <c r="Y25" s="621"/>
      <c r="Z25" s="621"/>
      <c r="AA25" s="621"/>
      <c r="AB25" s="621"/>
      <c r="AC25" s="621"/>
      <c r="AD25" s="621"/>
      <c r="AE25" s="621"/>
      <c r="AF25" s="621"/>
      <c r="AG25" s="621"/>
      <c r="AH25" s="621"/>
      <c r="AI25" s="621"/>
      <c r="AJ25" s="621"/>
      <c r="AK25" s="621"/>
      <c r="AL25" s="621"/>
      <c r="AM25" s="621"/>
      <c r="AN25" s="621"/>
      <c r="AO25" s="621"/>
      <c r="AP25" s="621"/>
      <c r="AQ25" s="621"/>
      <c r="AR25" s="621"/>
      <c r="AS25" s="621"/>
      <c r="AT25" s="621"/>
      <c r="AU25" s="621"/>
      <c r="AV25" s="621"/>
      <c r="AW25" s="621"/>
      <c r="AX25" s="621"/>
      <c r="AY25" s="621"/>
      <c r="AZ25" s="621"/>
      <c r="BA25" s="621"/>
      <c r="BB25" s="621"/>
      <c r="BC25" s="622"/>
      <c r="BD25" s="482"/>
      <c r="BE25" s="483"/>
      <c r="BF25" s="483"/>
      <c r="BG25" s="483"/>
      <c r="BH25" s="483"/>
      <c r="BI25" s="483"/>
      <c r="BJ25" s="499"/>
    </row>
    <row r="26" spans="1:62" ht="51" customHeight="1">
      <c r="A26" s="616">
        <f t="shared" si="1"/>
        <v>18</v>
      </c>
      <c r="B26" s="588"/>
      <c r="C26" s="589"/>
      <c r="D26" s="617" t="s">
        <v>360</v>
      </c>
      <c r="E26" s="618"/>
      <c r="F26" s="618"/>
      <c r="G26" s="618"/>
      <c r="H26" s="618"/>
      <c r="I26" s="618"/>
      <c r="J26" s="618"/>
      <c r="K26" s="618"/>
      <c r="L26" s="618"/>
      <c r="M26" s="618"/>
      <c r="N26" s="618"/>
      <c r="O26" s="618"/>
      <c r="P26" s="619"/>
      <c r="Q26" s="620" t="s">
        <v>420</v>
      </c>
      <c r="R26" s="621"/>
      <c r="S26" s="621"/>
      <c r="T26" s="621"/>
      <c r="U26" s="621"/>
      <c r="V26" s="621"/>
      <c r="W26" s="621"/>
      <c r="X26" s="621"/>
      <c r="Y26" s="621"/>
      <c r="Z26" s="621"/>
      <c r="AA26" s="621"/>
      <c r="AB26" s="621"/>
      <c r="AC26" s="621"/>
      <c r="AD26" s="621"/>
      <c r="AE26" s="621"/>
      <c r="AF26" s="621"/>
      <c r="AG26" s="621"/>
      <c r="AH26" s="621"/>
      <c r="AI26" s="621"/>
      <c r="AJ26" s="621"/>
      <c r="AK26" s="621"/>
      <c r="AL26" s="621"/>
      <c r="AM26" s="621"/>
      <c r="AN26" s="621"/>
      <c r="AO26" s="621"/>
      <c r="AP26" s="621"/>
      <c r="AQ26" s="621"/>
      <c r="AR26" s="621"/>
      <c r="AS26" s="621"/>
      <c r="AT26" s="621"/>
      <c r="AU26" s="621"/>
      <c r="AV26" s="621"/>
      <c r="AW26" s="621"/>
      <c r="AX26" s="621"/>
      <c r="AY26" s="621"/>
      <c r="AZ26" s="621"/>
      <c r="BA26" s="621"/>
      <c r="BB26" s="621"/>
      <c r="BC26" s="622"/>
      <c r="BD26" s="482"/>
      <c r="BE26" s="483"/>
      <c r="BF26" s="483"/>
      <c r="BG26" s="483"/>
      <c r="BH26" s="483"/>
      <c r="BI26" s="483"/>
      <c r="BJ26" s="499"/>
    </row>
    <row r="27" spans="1:62" ht="51" customHeight="1">
      <c r="A27" s="616">
        <f t="shared" si="1"/>
        <v>19</v>
      </c>
      <c r="B27" s="588"/>
      <c r="C27" s="589"/>
      <c r="D27" s="617" t="s">
        <v>361</v>
      </c>
      <c r="E27" s="618"/>
      <c r="F27" s="618"/>
      <c r="G27" s="618"/>
      <c r="H27" s="618"/>
      <c r="I27" s="618"/>
      <c r="J27" s="618"/>
      <c r="K27" s="618"/>
      <c r="L27" s="618"/>
      <c r="M27" s="618"/>
      <c r="N27" s="618"/>
      <c r="O27" s="618"/>
      <c r="P27" s="619"/>
      <c r="Q27" s="620" t="s">
        <v>421</v>
      </c>
      <c r="R27" s="621"/>
      <c r="S27" s="621"/>
      <c r="T27" s="621"/>
      <c r="U27" s="621"/>
      <c r="V27" s="621"/>
      <c r="W27" s="621"/>
      <c r="X27" s="621"/>
      <c r="Y27" s="621"/>
      <c r="Z27" s="621"/>
      <c r="AA27" s="621"/>
      <c r="AB27" s="621"/>
      <c r="AC27" s="621"/>
      <c r="AD27" s="621"/>
      <c r="AE27" s="621"/>
      <c r="AF27" s="621"/>
      <c r="AG27" s="621"/>
      <c r="AH27" s="621"/>
      <c r="AI27" s="621"/>
      <c r="AJ27" s="621"/>
      <c r="AK27" s="621"/>
      <c r="AL27" s="621"/>
      <c r="AM27" s="621"/>
      <c r="AN27" s="621"/>
      <c r="AO27" s="621"/>
      <c r="AP27" s="621"/>
      <c r="AQ27" s="621"/>
      <c r="AR27" s="621"/>
      <c r="AS27" s="621"/>
      <c r="AT27" s="621"/>
      <c r="AU27" s="621"/>
      <c r="AV27" s="621"/>
      <c r="AW27" s="621"/>
      <c r="AX27" s="621"/>
      <c r="AY27" s="621"/>
      <c r="AZ27" s="621"/>
      <c r="BA27" s="621"/>
      <c r="BB27" s="621"/>
      <c r="BC27" s="622"/>
      <c r="BD27" s="482"/>
      <c r="BE27" s="483"/>
      <c r="BF27" s="483"/>
      <c r="BG27" s="483"/>
      <c r="BH27" s="483"/>
      <c r="BI27" s="483"/>
      <c r="BJ27" s="499"/>
    </row>
    <row r="28" spans="1:62" ht="45" customHeight="1">
      <c r="A28" s="616">
        <f t="shared" si="1"/>
        <v>20</v>
      </c>
      <c r="B28" s="588"/>
      <c r="C28" s="589"/>
      <c r="D28" s="617" t="s">
        <v>370</v>
      </c>
      <c r="E28" s="618"/>
      <c r="F28" s="618"/>
      <c r="G28" s="618"/>
      <c r="H28" s="618"/>
      <c r="I28" s="618"/>
      <c r="J28" s="618"/>
      <c r="K28" s="618"/>
      <c r="L28" s="618"/>
      <c r="M28" s="618"/>
      <c r="N28" s="618"/>
      <c r="O28" s="618"/>
      <c r="P28" s="619"/>
      <c r="Q28" s="620" t="s">
        <v>371</v>
      </c>
      <c r="R28" s="621"/>
      <c r="S28" s="621"/>
      <c r="T28" s="621"/>
      <c r="U28" s="621"/>
      <c r="V28" s="621"/>
      <c r="W28" s="621"/>
      <c r="X28" s="621"/>
      <c r="Y28" s="621"/>
      <c r="Z28" s="621"/>
      <c r="AA28" s="621"/>
      <c r="AB28" s="621"/>
      <c r="AC28" s="621"/>
      <c r="AD28" s="621"/>
      <c r="AE28" s="621"/>
      <c r="AF28" s="621"/>
      <c r="AG28" s="621"/>
      <c r="AH28" s="621"/>
      <c r="AI28" s="621"/>
      <c r="AJ28" s="621"/>
      <c r="AK28" s="621"/>
      <c r="AL28" s="621"/>
      <c r="AM28" s="621"/>
      <c r="AN28" s="621"/>
      <c r="AO28" s="621"/>
      <c r="AP28" s="621"/>
      <c r="AQ28" s="621"/>
      <c r="AR28" s="621"/>
      <c r="AS28" s="621"/>
      <c r="AT28" s="621"/>
      <c r="AU28" s="621"/>
      <c r="AV28" s="621"/>
      <c r="AW28" s="621"/>
      <c r="AX28" s="621"/>
      <c r="AY28" s="621"/>
      <c r="AZ28" s="621"/>
      <c r="BA28" s="621"/>
      <c r="BB28" s="621"/>
      <c r="BC28" s="622"/>
      <c r="BD28" s="623"/>
      <c r="BE28" s="624"/>
      <c r="BF28" s="624"/>
      <c r="BG28" s="624"/>
      <c r="BH28" s="624"/>
      <c r="BI28" s="624"/>
      <c r="BJ28" s="625"/>
    </row>
    <row r="29" spans="1:62" ht="45" customHeight="1">
      <c r="A29" s="616">
        <f t="shared" si="1"/>
        <v>21</v>
      </c>
      <c r="B29" s="588"/>
      <c r="C29" s="589"/>
      <c r="D29" s="617" t="s">
        <v>372</v>
      </c>
      <c r="E29" s="618"/>
      <c r="F29" s="618"/>
      <c r="G29" s="618"/>
      <c r="H29" s="618"/>
      <c r="I29" s="618"/>
      <c r="J29" s="618"/>
      <c r="K29" s="618"/>
      <c r="L29" s="618"/>
      <c r="M29" s="618"/>
      <c r="N29" s="618"/>
      <c r="O29" s="618"/>
      <c r="P29" s="619"/>
      <c r="Q29" s="620" t="s">
        <v>373</v>
      </c>
      <c r="R29" s="621"/>
      <c r="S29" s="621"/>
      <c r="T29" s="621"/>
      <c r="U29" s="621"/>
      <c r="V29" s="621"/>
      <c r="W29" s="621"/>
      <c r="X29" s="621"/>
      <c r="Y29" s="621"/>
      <c r="Z29" s="621"/>
      <c r="AA29" s="621"/>
      <c r="AB29" s="621"/>
      <c r="AC29" s="621"/>
      <c r="AD29" s="621"/>
      <c r="AE29" s="621"/>
      <c r="AF29" s="621"/>
      <c r="AG29" s="621"/>
      <c r="AH29" s="621"/>
      <c r="AI29" s="621"/>
      <c r="AJ29" s="621"/>
      <c r="AK29" s="621"/>
      <c r="AL29" s="621"/>
      <c r="AM29" s="621"/>
      <c r="AN29" s="621"/>
      <c r="AO29" s="621"/>
      <c r="AP29" s="621"/>
      <c r="AQ29" s="621"/>
      <c r="AR29" s="621"/>
      <c r="AS29" s="621"/>
      <c r="AT29" s="621"/>
      <c r="AU29" s="621"/>
      <c r="AV29" s="621"/>
      <c r="AW29" s="621"/>
      <c r="AX29" s="621"/>
      <c r="AY29" s="621"/>
      <c r="AZ29" s="621"/>
      <c r="BA29" s="621"/>
      <c r="BB29" s="621"/>
      <c r="BC29" s="622"/>
      <c r="BD29" s="623"/>
      <c r="BE29" s="624"/>
      <c r="BF29" s="624"/>
      <c r="BG29" s="624"/>
      <c r="BH29" s="624"/>
      <c r="BI29" s="624"/>
      <c r="BJ29" s="625"/>
    </row>
    <row r="30" spans="1:62" ht="45" customHeight="1">
      <c r="A30" s="616">
        <f t="shared" si="1"/>
        <v>22</v>
      </c>
      <c r="B30" s="588"/>
      <c r="C30" s="589"/>
      <c r="D30" s="617" t="s">
        <v>374</v>
      </c>
      <c r="E30" s="618"/>
      <c r="F30" s="618"/>
      <c r="G30" s="618"/>
      <c r="H30" s="618"/>
      <c r="I30" s="618"/>
      <c r="J30" s="618"/>
      <c r="K30" s="618"/>
      <c r="L30" s="618"/>
      <c r="M30" s="618"/>
      <c r="N30" s="618"/>
      <c r="O30" s="618"/>
      <c r="P30" s="619"/>
      <c r="Q30" s="620" t="s">
        <v>375</v>
      </c>
      <c r="R30" s="621"/>
      <c r="S30" s="621"/>
      <c r="T30" s="621"/>
      <c r="U30" s="621"/>
      <c r="V30" s="621"/>
      <c r="W30" s="621"/>
      <c r="X30" s="621"/>
      <c r="Y30" s="621"/>
      <c r="Z30" s="621"/>
      <c r="AA30" s="621"/>
      <c r="AB30" s="621"/>
      <c r="AC30" s="621"/>
      <c r="AD30" s="621"/>
      <c r="AE30" s="621"/>
      <c r="AF30" s="621"/>
      <c r="AG30" s="621"/>
      <c r="AH30" s="621"/>
      <c r="AI30" s="621"/>
      <c r="AJ30" s="621"/>
      <c r="AK30" s="621"/>
      <c r="AL30" s="621"/>
      <c r="AM30" s="621"/>
      <c r="AN30" s="621"/>
      <c r="AO30" s="621"/>
      <c r="AP30" s="621"/>
      <c r="AQ30" s="621"/>
      <c r="AR30" s="621"/>
      <c r="AS30" s="621"/>
      <c r="AT30" s="621"/>
      <c r="AU30" s="621"/>
      <c r="AV30" s="621"/>
      <c r="AW30" s="621"/>
      <c r="AX30" s="621"/>
      <c r="AY30" s="621"/>
      <c r="AZ30" s="621"/>
      <c r="BA30" s="621"/>
      <c r="BB30" s="621"/>
      <c r="BC30" s="622"/>
      <c r="BD30" s="623"/>
      <c r="BE30" s="624"/>
      <c r="BF30" s="624"/>
      <c r="BG30" s="624"/>
      <c r="BH30" s="624"/>
      <c r="BI30" s="624"/>
      <c r="BJ30" s="625"/>
    </row>
    <row r="31" spans="1:62" ht="30" customHeight="1">
      <c r="A31" s="616"/>
      <c r="B31" s="588"/>
      <c r="C31" s="589"/>
      <c r="D31" s="487"/>
      <c r="E31" s="488"/>
      <c r="F31" s="488"/>
      <c r="G31" s="488"/>
      <c r="H31" s="488"/>
      <c r="I31" s="488"/>
      <c r="J31" s="488"/>
      <c r="K31" s="488"/>
      <c r="L31" s="488"/>
      <c r="M31" s="488"/>
      <c r="N31" s="488"/>
      <c r="O31" s="488"/>
      <c r="P31" s="489"/>
      <c r="Q31" s="500"/>
      <c r="R31" s="629"/>
      <c r="S31" s="629"/>
      <c r="T31" s="629"/>
      <c r="U31" s="629"/>
      <c r="V31" s="629"/>
      <c r="W31" s="629"/>
      <c r="X31" s="629"/>
      <c r="Y31" s="629"/>
      <c r="Z31" s="629"/>
      <c r="AA31" s="629"/>
      <c r="AB31" s="629"/>
      <c r="AC31" s="629"/>
      <c r="AD31" s="629"/>
      <c r="AE31" s="629"/>
      <c r="AF31" s="629"/>
      <c r="AG31" s="629"/>
      <c r="AH31" s="629"/>
      <c r="AI31" s="629"/>
      <c r="AJ31" s="629"/>
      <c r="AK31" s="629"/>
      <c r="AL31" s="629"/>
      <c r="AM31" s="629"/>
      <c r="AN31" s="629"/>
      <c r="AO31" s="629"/>
      <c r="AP31" s="629"/>
      <c r="AQ31" s="629"/>
      <c r="AR31" s="629"/>
      <c r="AS31" s="629"/>
      <c r="AT31" s="629"/>
      <c r="AU31" s="629"/>
      <c r="AV31" s="629"/>
      <c r="AW31" s="629"/>
      <c r="AX31" s="629"/>
      <c r="AY31" s="629"/>
      <c r="AZ31" s="629"/>
      <c r="BA31" s="629"/>
      <c r="BB31" s="629"/>
      <c r="BC31" s="630"/>
      <c r="BD31" s="482"/>
      <c r="BE31" s="483"/>
      <c r="BF31" s="483"/>
      <c r="BG31" s="483"/>
      <c r="BH31" s="483"/>
      <c r="BI31" s="483"/>
      <c r="BJ31" s="499"/>
    </row>
    <row r="32" spans="1:62" ht="30" customHeight="1">
      <c r="A32" s="610"/>
      <c r="B32" s="611"/>
      <c r="C32" s="612"/>
      <c r="D32" s="613"/>
      <c r="E32" s="614"/>
      <c r="F32" s="614"/>
      <c r="G32" s="614"/>
      <c r="H32" s="614"/>
      <c r="I32" s="614"/>
      <c r="J32" s="614"/>
      <c r="K32" s="614"/>
      <c r="L32" s="614"/>
      <c r="M32" s="614"/>
      <c r="N32" s="614"/>
      <c r="O32" s="614"/>
      <c r="P32" s="615"/>
      <c r="Q32" s="626"/>
      <c r="R32" s="627"/>
      <c r="S32" s="627"/>
      <c r="T32" s="627"/>
      <c r="U32" s="627"/>
      <c r="V32" s="627"/>
      <c r="W32" s="627"/>
      <c r="X32" s="627"/>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c r="AY32" s="627"/>
      <c r="AZ32" s="627"/>
      <c r="BA32" s="627"/>
      <c r="BB32" s="627"/>
      <c r="BC32" s="628"/>
      <c r="BD32" s="563"/>
      <c r="BE32" s="564"/>
      <c r="BF32" s="564"/>
      <c r="BG32" s="564"/>
      <c r="BH32" s="564"/>
      <c r="BI32" s="564"/>
      <c r="BJ32" s="565"/>
    </row>
    <row r="33" spans="2:17" s="17" customFormat="1" ht="3" customHeight="1">
      <c r="B33" s="18"/>
      <c r="C33" s="18"/>
      <c r="D33" s="18"/>
      <c r="E33" s="18"/>
      <c r="F33" s="18"/>
      <c r="G33" s="18"/>
      <c r="H33" s="18"/>
      <c r="I33" s="18"/>
      <c r="J33" s="18"/>
      <c r="K33" s="18"/>
      <c r="L33" s="18"/>
      <c r="M33" s="18"/>
      <c r="N33" s="18"/>
      <c r="O33" s="18"/>
      <c r="P33" s="18"/>
      <c r="Q33" s="18"/>
    </row>
    <row r="34" spans="2:17" ht="21" customHeight="1">
      <c r="B34" s="16"/>
      <c r="C34" s="16"/>
      <c r="D34" s="16"/>
      <c r="E34" s="16"/>
      <c r="F34" s="16"/>
      <c r="G34" s="16"/>
      <c r="H34" s="16"/>
      <c r="I34" s="16"/>
      <c r="J34" s="16"/>
      <c r="K34" s="16"/>
      <c r="L34" s="16"/>
      <c r="M34" s="16"/>
      <c r="N34" s="16"/>
      <c r="O34" s="16"/>
      <c r="P34" s="16"/>
      <c r="Q34" s="16"/>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32:C32"/>
    <mergeCell ref="D32:P32"/>
    <mergeCell ref="Q32:BC32"/>
    <mergeCell ref="BD32:BJ32"/>
    <mergeCell ref="A12:C12"/>
    <mergeCell ref="D12:P12"/>
    <mergeCell ref="Q12:BC12"/>
    <mergeCell ref="BD12:BJ12"/>
    <mergeCell ref="Q13:BC13"/>
    <mergeCell ref="A13:C13"/>
    <mergeCell ref="D13:P13"/>
    <mergeCell ref="BD13:BJ13"/>
    <mergeCell ref="A29:C29"/>
    <mergeCell ref="D29:P29"/>
    <mergeCell ref="Q29:BC29"/>
    <mergeCell ref="BD29:BJ29"/>
    <mergeCell ref="A30:C30"/>
    <mergeCell ref="D30:P30"/>
    <mergeCell ref="Q30:BC30"/>
    <mergeCell ref="BD30:BJ30"/>
    <mergeCell ref="A31:C31"/>
    <mergeCell ref="D31:P31"/>
    <mergeCell ref="Q31:BC31"/>
    <mergeCell ref="BD31:BJ31"/>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2:C22"/>
    <mergeCell ref="D22:P22"/>
    <mergeCell ref="Q22:BC22"/>
    <mergeCell ref="BD22:BJ22"/>
    <mergeCell ref="A19:C19"/>
    <mergeCell ref="D19:P19"/>
    <mergeCell ref="Q19:BC19"/>
    <mergeCell ref="BD19:BJ19"/>
    <mergeCell ref="A20:C20"/>
    <mergeCell ref="D20:P20"/>
    <mergeCell ref="Q20:BC20"/>
    <mergeCell ref="BD20:BJ20"/>
    <mergeCell ref="A21:C21"/>
    <mergeCell ref="D21:P21"/>
    <mergeCell ref="Q21:BC21"/>
    <mergeCell ref="BD21:BJ21"/>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9:C9"/>
    <mergeCell ref="D9:P9"/>
    <mergeCell ref="Q9:BC9"/>
    <mergeCell ref="BD9:BJ9"/>
    <mergeCell ref="A14:C14"/>
    <mergeCell ref="D14:P14"/>
    <mergeCell ref="Q14:BC14"/>
    <mergeCell ref="BD14:BJ14"/>
    <mergeCell ref="A10:C10"/>
    <mergeCell ref="D10:P10"/>
    <mergeCell ref="Q10:BC10"/>
    <mergeCell ref="BD10:BJ10"/>
    <mergeCell ref="A11:C11"/>
    <mergeCell ref="D11:P11"/>
    <mergeCell ref="Q11:BC11"/>
    <mergeCell ref="BD11:BJ11"/>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2FB2-5B5E-4BFD-AC40-09D8753A7287}">
  <sheetPr codeName="Sheet4"/>
  <dimension ref="A1:FR316"/>
  <sheetViews>
    <sheetView view="pageBreakPreview" zoomScaleNormal="110" zoomScaleSheetLayoutView="100" workbookViewId="0"/>
  </sheetViews>
  <sheetFormatPr defaultColWidth="1.875" defaultRowHeight="11.25"/>
  <cols>
    <col min="1" max="85" width="1.875" style="50" customWidth="1"/>
    <col min="86" max="16384" width="1.875" style="50"/>
  </cols>
  <sheetData>
    <row r="1" spans="1:90" s="21" customFormat="1" ht="19.5" customHeight="1">
      <c r="A1" s="183" t="s">
        <v>16</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451"/>
      <c r="AU1" s="451"/>
      <c r="AV1" s="451"/>
      <c r="AW1" s="451"/>
      <c r="AX1" s="451"/>
      <c r="AY1" s="451"/>
      <c r="AZ1" s="451"/>
      <c r="BA1" s="451"/>
      <c r="BB1" s="451"/>
      <c r="BC1" s="451"/>
      <c r="BD1" s="451"/>
      <c r="BE1" s="451"/>
      <c r="BF1" s="451"/>
      <c r="BG1" s="183"/>
      <c r="BH1" s="183"/>
      <c r="BI1" s="183"/>
      <c r="BJ1" s="183"/>
      <c r="BK1" s="183"/>
      <c r="BL1" s="183"/>
      <c r="BM1" s="183"/>
      <c r="BN1" s="183"/>
      <c r="BO1" s="183"/>
      <c r="BP1" s="183"/>
      <c r="BQ1" s="183"/>
      <c r="BR1" s="183"/>
      <c r="BS1" s="183"/>
      <c r="BT1" s="183"/>
      <c r="BU1" s="183"/>
      <c r="BV1" s="183"/>
      <c r="BW1" s="183"/>
      <c r="BX1" s="183"/>
      <c r="BY1" s="183"/>
      <c r="BZ1" s="183"/>
      <c r="CA1" s="183"/>
      <c r="CB1" s="183"/>
      <c r="CC1" s="183"/>
      <c r="CD1" s="183"/>
      <c r="CE1" s="183"/>
      <c r="CF1" s="183"/>
      <c r="CG1" s="254" t="s">
        <v>1</v>
      </c>
      <c r="CH1" s="27"/>
      <c r="CI1" s="27"/>
      <c r="CJ1" s="27"/>
      <c r="CK1" s="27"/>
      <c r="CL1" s="27"/>
    </row>
    <row r="2" spans="1:90" ht="19.5" customHeight="1">
      <c r="A2" s="452" t="s">
        <v>27</v>
      </c>
      <c r="B2" s="453"/>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3"/>
      <c r="AI2" s="453"/>
      <c r="AJ2" s="453"/>
      <c r="AK2" s="453"/>
      <c r="AL2" s="453"/>
      <c r="AM2" s="453"/>
      <c r="AN2" s="453"/>
      <c r="AO2" s="453"/>
      <c r="AP2" s="453"/>
      <c r="AQ2" s="453"/>
      <c r="AR2" s="453"/>
      <c r="AS2" s="453"/>
      <c r="AT2" s="453"/>
      <c r="AU2" s="453"/>
      <c r="AV2" s="453"/>
      <c r="AW2" s="453"/>
      <c r="AX2" s="453"/>
      <c r="AY2" s="453"/>
      <c r="AZ2" s="453"/>
      <c r="BA2" s="453"/>
      <c r="BB2" s="453"/>
      <c r="BC2" s="453"/>
      <c r="BD2" s="453"/>
      <c r="BE2" s="453"/>
      <c r="BF2" s="453"/>
      <c r="BG2" s="453"/>
      <c r="BH2" s="453"/>
      <c r="BI2" s="453"/>
      <c r="BJ2" s="453"/>
      <c r="BK2" s="453"/>
      <c r="BL2" s="453"/>
      <c r="BM2" s="453"/>
      <c r="BN2" s="453"/>
      <c r="BO2" s="454"/>
      <c r="BP2" s="412" t="s">
        <v>3</v>
      </c>
      <c r="BQ2" s="413"/>
      <c r="BR2" s="413"/>
      <c r="BS2" s="413"/>
      <c r="BT2" s="413"/>
      <c r="BU2" s="414"/>
      <c r="BV2" s="152" t="s">
        <v>28</v>
      </c>
      <c r="BW2" s="149"/>
      <c r="BX2" s="182"/>
      <c r="BY2" s="152"/>
      <c r="BZ2" s="182"/>
      <c r="CA2" s="412" t="s">
        <v>5</v>
      </c>
      <c r="CB2" s="413"/>
      <c r="CC2" s="414"/>
      <c r="CD2" s="412"/>
      <c r="CE2" s="413"/>
      <c r="CF2" s="413"/>
      <c r="CG2" s="414"/>
      <c r="CH2" s="29"/>
      <c r="CI2" s="29"/>
      <c r="CJ2" s="29"/>
      <c r="CK2" s="29"/>
      <c r="CL2" s="29"/>
    </row>
    <row r="3" spans="1:90" s="21" customFormat="1" ht="19.5" customHeight="1">
      <c r="A3" s="412" t="s">
        <v>6</v>
      </c>
      <c r="B3" s="413"/>
      <c r="C3" s="413"/>
      <c r="D3" s="413"/>
      <c r="E3" s="413"/>
      <c r="F3" s="413"/>
      <c r="G3" s="413"/>
      <c r="H3" s="413"/>
      <c r="I3" s="413"/>
      <c r="J3" s="413"/>
      <c r="K3" s="414"/>
      <c r="L3" s="381" t="s">
        <v>302</v>
      </c>
      <c r="M3" s="382"/>
      <c r="N3" s="382"/>
      <c r="O3" s="38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3"/>
      <c r="BP3" s="412" t="s">
        <v>7</v>
      </c>
      <c r="BQ3" s="413"/>
      <c r="BR3" s="413"/>
      <c r="BS3" s="413"/>
      <c r="BT3" s="413"/>
      <c r="BU3" s="414"/>
      <c r="BV3" s="412" t="s">
        <v>297</v>
      </c>
      <c r="BW3" s="413"/>
      <c r="BX3" s="413"/>
      <c r="BY3" s="413"/>
      <c r="BZ3" s="413"/>
      <c r="CA3" s="413"/>
      <c r="CB3" s="413"/>
      <c r="CC3" s="413"/>
      <c r="CD3" s="413"/>
      <c r="CE3" s="413"/>
      <c r="CF3" s="413"/>
      <c r="CG3" s="414"/>
      <c r="CH3" s="27"/>
      <c r="CI3" s="27"/>
      <c r="CJ3" s="27"/>
      <c r="CK3" s="27"/>
      <c r="CL3" s="27"/>
    </row>
    <row r="4" spans="1:90" s="21" customFormat="1" ht="19.5" customHeight="1">
      <c r="A4" s="412" t="s">
        <v>8</v>
      </c>
      <c r="B4" s="413"/>
      <c r="C4" s="413"/>
      <c r="D4" s="413"/>
      <c r="E4" s="413"/>
      <c r="F4" s="413"/>
      <c r="G4" s="413"/>
      <c r="H4" s="413"/>
      <c r="I4" s="413"/>
      <c r="J4" s="413"/>
      <c r="K4" s="414"/>
      <c r="L4" s="381" t="s">
        <v>29</v>
      </c>
      <c r="M4" s="440"/>
      <c r="N4" s="440"/>
      <c r="O4" s="440"/>
      <c r="P4" s="440"/>
      <c r="Q4" s="440"/>
      <c r="R4" s="440"/>
      <c r="S4" s="440"/>
      <c r="T4" s="440"/>
      <c r="U4" s="440"/>
      <c r="V4" s="440"/>
      <c r="W4" s="440"/>
      <c r="X4" s="440"/>
      <c r="Y4" s="440"/>
      <c r="Z4" s="440"/>
      <c r="AA4" s="440"/>
      <c r="AB4" s="440"/>
      <c r="AC4" s="440"/>
      <c r="AD4" s="440"/>
      <c r="AE4" s="440"/>
      <c r="AF4" s="440"/>
      <c r="AG4" s="440"/>
      <c r="AH4" s="440"/>
      <c r="AI4" s="440"/>
      <c r="AJ4" s="440"/>
      <c r="AK4" s="440"/>
      <c r="AL4" s="440"/>
      <c r="AM4" s="440"/>
      <c r="AN4" s="440"/>
      <c r="AO4" s="440"/>
      <c r="AP4" s="440"/>
      <c r="AQ4" s="440"/>
      <c r="AR4" s="440"/>
      <c r="AS4" s="440"/>
      <c r="AT4" s="440"/>
      <c r="AU4" s="440"/>
      <c r="AV4" s="440"/>
      <c r="AW4" s="440"/>
      <c r="AX4" s="440"/>
      <c r="AY4" s="440"/>
      <c r="AZ4" s="440"/>
      <c r="BA4" s="440"/>
      <c r="BB4" s="440"/>
      <c r="BC4" s="440"/>
      <c r="BD4" s="440"/>
      <c r="BE4" s="440"/>
      <c r="BF4" s="440"/>
      <c r="BG4" s="440"/>
      <c r="BH4" s="440"/>
      <c r="BI4" s="440"/>
      <c r="BJ4" s="440"/>
      <c r="BK4" s="440"/>
      <c r="BL4" s="440"/>
      <c r="BM4" s="440"/>
      <c r="BN4" s="440"/>
      <c r="BO4" s="441"/>
      <c r="BP4" s="412" t="s">
        <v>10</v>
      </c>
      <c r="BQ4" s="413"/>
      <c r="BR4" s="413"/>
      <c r="BS4" s="413"/>
      <c r="BT4" s="413"/>
      <c r="BU4" s="414"/>
      <c r="BV4" s="412"/>
      <c r="BW4" s="413"/>
      <c r="BX4" s="413"/>
      <c r="BY4" s="413"/>
      <c r="BZ4" s="413"/>
      <c r="CA4" s="413"/>
      <c r="CB4" s="413"/>
      <c r="CC4" s="413"/>
      <c r="CD4" s="413"/>
      <c r="CE4" s="413"/>
      <c r="CF4" s="413"/>
      <c r="CG4" s="414"/>
      <c r="CH4" s="27"/>
      <c r="CI4" s="27"/>
      <c r="CJ4" s="27"/>
      <c r="CK4" s="27"/>
      <c r="CL4" s="27"/>
    </row>
    <row r="5" spans="1:90" ht="6.75" customHeight="1">
      <c r="A5" s="25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30"/>
      <c r="CI5" s="30"/>
      <c r="CJ5" s="30"/>
      <c r="CK5" s="30"/>
      <c r="CL5" s="30"/>
    </row>
    <row r="6" spans="1:90" ht="6.75" customHeight="1">
      <c r="A6" s="256"/>
      <c r="B6" s="256"/>
      <c r="C6" s="256"/>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56"/>
      <c r="BL6" s="256"/>
      <c r="BM6" s="256"/>
      <c r="BN6" s="256"/>
      <c r="BO6" s="256"/>
      <c r="BP6" s="256"/>
      <c r="BQ6" s="256"/>
      <c r="BR6" s="256"/>
      <c r="BS6" s="256"/>
      <c r="BT6" s="256"/>
      <c r="BU6" s="256"/>
      <c r="BV6" s="256"/>
      <c r="BW6" s="256"/>
      <c r="BX6" s="256"/>
      <c r="BY6" s="256"/>
      <c r="BZ6" s="256"/>
      <c r="CA6" s="256"/>
      <c r="CB6" s="256"/>
      <c r="CC6" s="256"/>
      <c r="CD6" s="256"/>
      <c r="CE6" s="256"/>
      <c r="CF6" s="256"/>
      <c r="CG6" s="256"/>
    </row>
    <row r="7" spans="1:90" s="27" customFormat="1" ht="19.5" customHeight="1">
      <c r="A7" s="412" t="s">
        <v>30</v>
      </c>
      <c r="B7" s="413"/>
      <c r="C7" s="413"/>
      <c r="D7" s="413"/>
      <c r="E7" s="413"/>
      <c r="F7" s="413"/>
      <c r="G7" s="413"/>
      <c r="H7" s="413"/>
      <c r="I7" s="413"/>
      <c r="J7" s="413"/>
      <c r="K7" s="414"/>
      <c r="L7" s="381" t="str">
        <f>変更履歴!H6</f>
        <v>販売共計年産繰越入力</v>
      </c>
      <c r="M7" s="440"/>
      <c r="N7" s="440"/>
      <c r="O7" s="440"/>
      <c r="P7" s="440"/>
      <c r="Q7" s="440"/>
      <c r="R7" s="440"/>
      <c r="S7" s="440"/>
      <c r="T7" s="440"/>
      <c r="U7" s="440"/>
      <c r="V7" s="440"/>
      <c r="W7" s="440"/>
      <c r="X7" s="440"/>
      <c r="Y7" s="440"/>
      <c r="Z7" s="440"/>
      <c r="AA7" s="440"/>
      <c r="AB7" s="440"/>
      <c r="AC7" s="440"/>
      <c r="AD7" s="440"/>
      <c r="AE7" s="440"/>
      <c r="AF7" s="440"/>
      <c r="AG7" s="440"/>
      <c r="AH7" s="440"/>
      <c r="AI7" s="440"/>
      <c r="AJ7" s="440"/>
      <c r="AK7" s="440"/>
      <c r="AL7" s="440"/>
      <c r="AM7" s="440"/>
      <c r="AN7" s="440"/>
      <c r="AO7" s="440"/>
      <c r="AP7" s="440"/>
      <c r="AQ7" s="440"/>
      <c r="AR7" s="440"/>
      <c r="AS7" s="440"/>
      <c r="AT7" s="440"/>
      <c r="AU7" s="440"/>
      <c r="AV7" s="440"/>
      <c r="AW7" s="440"/>
      <c r="AX7" s="440"/>
      <c r="AY7" s="440"/>
      <c r="AZ7" s="440"/>
      <c r="BA7" s="440"/>
      <c r="BB7" s="440"/>
      <c r="BC7" s="440"/>
      <c r="BD7" s="440"/>
      <c r="BE7" s="440"/>
      <c r="BF7" s="440"/>
      <c r="BG7" s="440"/>
      <c r="BH7" s="440"/>
      <c r="BI7" s="440"/>
      <c r="BJ7" s="440"/>
      <c r="BK7" s="440"/>
      <c r="BL7" s="440"/>
      <c r="BM7" s="440"/>
      <c r="BN7" s="440"/>
      <c r="BO7" s="440"/>
      <c r="BP7" s="440"/>
      <c r="BQ7" s="440"/>
      <c r="BR7" s="440"/>
      <c r="BS7" s="440"/>
      <c r="BT7" s="440"/>
      <c r="BU7" s="440"/>
      <c r="BV7" s="440"/>
      <c r="BW7" s="440"/>
      <c r="BX7" s="440"/>
      <c r="BY7" s="440"/>
      <c r="BZ7" s="440"/>
      <c r="CA7" s="440"/>
      <c r="CB7" s="440"/>
      <c r="CC7" s="440"/>
      <c r="CD7" s="440"/>
      <c r="CE7" s="440"/>
      <c r="CF7" s="440"/>
      <c r="CG7" s="441"/>
      <c r="CH7" s="96"/>
    </row>
    <row r="8" spans="1:90" ht="9" customHeight="1">
      <c r="A8" s="256"/>
      <c r="B8" s="256"/>
      <c r="C8" s="256"/>
      <c r="D8" s="256"/>
      <c r="E8" s="256"/>
      <c r="F8" s="256"/>
      <c r="G8" s="256"/>
      <c r="H8" s="256"/>
      <c r="I8" s="256"/>
      <c r="J8" s="256"/>
      <c r="K8" s="256"/>
      <c r="L8" s="256"/>
      <c r="M8" s="256"/>
      <c r="N8" s="256"/>
      <c r="O8" s="256"/>
      <c r="P8" s="256"/>
      <c r="Q8" s="256"/>
      <c r="R8" s="256"/>
      <c r="S8" s="256"/>
      <c r="T8" s="256"/>
      <c r="U8" s="256"/>
      <c r="V8" s="256"/>
      <c r="W8" s="256"/>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256"/>
      <c r="BF8" s="256"/>
      <c r="BG8" s="256"/>
      <c r="BH8" s="256"/>
      <c r="BI8" s="256"/>
      <c r="BJ8" s="256"/>
      <c r="BK8" s="256"/>
      <c r="BL8" s="256"/>
      <c r="BM8" s="256"/>
      <c r="BN8" s="256"/>
      <c r="BO8" s="256"/>
      <c r="BP8" s="256"/>
      <c r="BQ8" s="256"/>
      <c r="BR8" s="256"/>
      <c r="BS8" s="256"/>
      <c r="BT8" s="256"/>
      <c r="BU8" s="256"/>
      <c r="BV8" s="256"/>
      <c r="BW8" s="256"/>
      <c r="BX8" s="256"/>
      <c r="BY8" s="256"/>
      <c r="BZ8" s="256"/>
      <c r="CA8" s="256"/>
      <c r="CB8" s="256"/>
      <c r="CC8" s="256"/>
      <c r="CD8" s="256"/>
      <c r="CE8" s="256"/>
      <c r="CF8" s="256"/>
      <c r="CG8" s="256"/>
    </row>
    <row r="9" spans="1:90" ht="7.5" customHeight="1" thickBot="1">
      <c r="A9" s="257"/>
      <c r="B9" s="258"/>
      <c r="C9" s="258"/>
      <c r="D9" s="258"/>
      <c r="E9" s="258"/>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8"/>
      <c r="BQ9" s="258"/>
      <c r="BR9" s="258"/>
      <c r="BS9" s="258"/>
      <c r="BT9" s="258"/>
      <c r="BU9" s="258"/>
      <c r="BV9" s="258"/>
      <c r="BW9" s="258"/>
      <c r="BX9" s="258"/>
      <c r="BY9" s="258"/>
      <c r="BZ9" s="258"/>
      <c r="CA9" s="258"/>
      <c r="CB9" s="258"/>
      <c r="CC9" s="258"/>
      <c r="CD9" s="258"/>
      <c r="CE9" s="258"/>
      <c r="CF9" s="258"/>
      <c r="CG9" s="259"/>
    </row>
    <row r="10" spans="1:90" ht="14.25" customHeight="1">
      <c r="A10" s="281"/>
      <c r="B10" s="59"/>
      <c r="C10" s="60"/>
      <c r="D10" s="60"/>
      <c r="E10" s="60"/>
      <c r="F10" s="60"/>
      <c r="G10" s="60"/>
      <c r="H10" s="60"/>
      <c r="I10" s="60"/>
      <c r="J10" s="60"/>
      <c r="K10" s="60"/>
      <c r="L10" s="638" t="s">
        <v>31</v>
      </c>
      <c r="M10" s="638"/>
      <c r="N10" s="638"/>
      <c r="O10" s="638"/>
      <c r="P10" s="638"/>
      <c r="Q10" s="638"/>
      <c r="R10" s="638"/>
      <c r="S10" s="638"/>
      <c r="T10" s="638"/>
      <c r="U10" s="638"/>
      <c r="V10" s="638"/>
      <c r="W10" s="638"/>
      <c r="X10" s="638"/>
      <c r="Y10" s="638"/>
      <c r="Z10" s="638"/>
      <c r="AA10" s="638"/>
      <c r="AB10" s="638"/>
      <c r="AC10" s="638"/>
      <c r="AD10" s="638"/>
      <c r="AE10" s="638"/>
      <c r="AF10" s="638"/>
      <c r="AG10" s="638"/>
      <c r="AH10" s="638"/>
      <c r="AI10" s="638"/>
      <c r="AJ10" s="638"/>
      <c r="AK10" s="638"/>
      <c r="AL10" s="638"/>
      <c r="AM10" s="638"/>
      <c r="AN10" s="638"/>
      <c r="AO10" s="638"/>
      <c r="AP10" s="638"/>
      <c r="AQ10" s="638"/>
      <c r="AR10" s="638"/>
      <c r="AS10" s="638"/>
      <c r="AT10" s="638"/>
      <c r="AU10" s="638"/>
      <c r="AV10" s="638"/>
      <c r="AW10" s="638"/>
      <c r="AX10" s="638"/>
      <c r="AY10" s="638"/>
      <c r="AZ10" s="638"/>
      <c r="BA10" s="638"/>
      <c r="BB10" s="638"/>
      <c r="BC10" s="638"/>
      <c r="BD10" s="638"/>
      <c r="BE10" s="638"/>
      <c r="BF10" s="638"/>
      <c r="BG10" s="638"/>
      <c r="BH10" s="638"/>
      <c r="BI10" s="638"/>
      <c r="BJ10" s="638"/>
      <c r="BK10" s="638"/>
      <c r="BL10" s="638"/>
      <c r="BM10" s="638"/>
      <c r="BN10" s="638"/>
      <c r="BO10" s="638"/>
      <c r="BP10" s="638"/>
      <c r="BQ10" s="638"/>
      <c r="BR10" s="638"/>
      <c r="BS10" s="638"/>
      <c r="BT10" s="638"/>
      <c r="BU10" s="638"/>
      <c r="BV10" s="422" t="s">
        <v>32</v>
      </c>
      <c r="BW10" s="422"/>
      <c r="BX10" s="422"/>
      <c r="BY10" s="422"/>
      <c r="BZ10" s="422"/>
      <c r="CA10" s="422"/>
      <c r="CB10" s="422"/>
      <c r="CC10" s="422"/>
      <c r="CD10" s="422"/>
      <c r="CE10" s="422"/>
      <c r="CF10" s="423"/>
      <c r="CG10" s="264"/>
    </row>
    <row r="11" spans="1:90" ht="14.25" customHeight="1">
      <c r="A11" s="281"/>
      <c r="B11" s="61"/>
      <c r="C11" s="315"/>
      <c r="D11" s="315"/>
      <c r="E11" s="315"/>
      <c r="F11" s="315"/>
      <c r="G11" s="315"/>
      <c r="H11" s="315"/>
      <c r="I11" s="315"/>
      <c r="J11" s="315"/>
      <c r="K11" s="315"/>
      <c r="L11" s="639"/>
      <c r="M11" s="639"/>
      <c r="N11" s="639"/>
      <c r="O11" s="639"/>
      <c r="P11" s="639"/>
      <c r="Q11" s="639"/>
      <c r="R11" s="639"/>
      <c r="S11" s="639"/>
      <c r="T11" s="639"/>
      <c r="U11" s="639"/>
      <c r="V11" s="639"/>
      <c r="W11" s="639"/>
      <c r="X11" s="639"/>
      <c r="Y11" s="639"/>
      <c r="Z11" s="639"/>
      <c r="AA11" s="639"/>
      <c r="AB11" s="639"/>
      <c r="AC11" s="639"/>
      <c r="AD11" s="639"/>
      <c r="AE11" s="639"/>
      <c r="AF11" s="639"/>
      <c r="AG11" s="639"/>
      <c r="AH11" s="639"/>
      <c r="AI11" s="639"/>
      <c r="AJ11" s="639"/>
      <c r="AK11" s="639"/>
      <c r="AL11" s="639"/>
      <c r="AM11" s="639"/>
      <c r="AN11" s="639"/>
      <c r="AO11" s="639"/>
      <c r="AP11" s="639"/>
      <c r="AQ11" s="639"/>
      <c r="AR11" s="639"/>
      <c r="AS11" s="639"/>
      <c r="AT11" s="639"/>
      <c r="AU11" s="639"/>
      <c r="AV11" s="639"/>
      <c r="AW11" s="639"/>
      <c r="AX11" s="639"/>
      <c r="AY11" s="639"/>
      <c r="AZ11" s="639"/>
      <c r="BA11" s="639"/>
      <c r="BB11" s="639"/>
      <c r="BC11" s="639"/>
      <c r="BD11" s="639"/>
      <c r="BE11" s="639"/>
      <c r="BF11" s="639"/>
      <c r="BG11" s="639"/>
      <c r="BH11" s="639"/>
      <c r="BI11" s="639"/>
      <c r="BJ11" s="639"/>
      <c r="BK11" s="639"/>
      <c r="BL11" s="639"/>
      <c r="BM11" s="639"/>
      <c r="BN11" s="639"/>
      <c r="BO11" s="639"/>
      <c r="BP11" s="639"/>
      <c r="BQ11" s="639"/>
      <c r="BR11" s="639"/>
      <c r="BS11" s="639"/>
      <c r="BT11" s="639"/>
      <c r="BU11" s="639"/>
      <c r="BV11" s="424"/>
      <c r="BW11" s="424"/>
      <c r="BX11" s="424"/>
      <c r="BY11" s="424"/>
      <c r="BZ11" s="424"/>
      <c r="CA11" s="424"/>
      <c r="CB11" s="424"/>
      <c r="CC11" s="424"/>
      <c r="CD11" s="424"/>
      <c r="CE11" s="424"/>
      <c r="CF11" s="425"/>
      <c r="CG11" s="264"/>
    </row>
    <row r="12" spans="1:90" s="27" customFormat="1" ht="19.5" customHeight="1" thickBot="1">
      <c r="A12" s="261"/>
      <c r="B12" s="62"/>
      <c r="C12" s="63"/>
      <c r="D12" s="63"/>
      <c r="E12" s="63"/>
      <c r="F12" s="63"/>
      <c r="G12" s="63"/>
      <c r="H12" s="63"/>
      <c r="I12" s="63"/>
      <c r="J12" s="63"/>
      <c r="K12" s="63"/>
      <c r="L12" s="640"/>
      <c r="M12" s="640"/>
      <c r="N12" s="640"/>
      <c r="O12" s="640"/>
      <c r="P12" s="640"/>
      <c r="Q12" s="640"/>
      <c r="R12" s="640"/>
      <c r="S12" s="640"/>
      <c r="T12" s="640"/>
      <c r="U12" s="640"/>
      <c r="V12" s="640"/>
      <c r="W12" s="640"/>
      <c r="X12" s="640"/>
      <c r="Y12" s="640"/>
      <c r="Z12" s="640"/>
      <c r="AA12" s="640"/>
      <c r="AB12" s="640"/>
      <c r="AC12" s="640"/>
      <c r="AD12" s="640"/>
      <c r="AE12" s="640"/>
      <c r="AF12" s="640"/>
      <c r="AG12" s="640"/>
      <c r="AH12" s="640"/>
      <c r="AI12" s="640"/>
      <c r="AJ12" s="640"/>
      <c r="AK12" s="640"/>
      <c r="AL12" s="640"/>
      <c r="AM12" s="640"/>
      <c r="AN12" s="640"/>
      <c r="AO12" s="640"/>
      <c r="AP12" s="640"/>
      <c r="AQ12" s="640"/>
      <c r="AR12" s="640"/>
      <c r="AS12" s="640"/>
      <c r="AT12" s="640"/>
      <c r="AU12" s="640"/>
      <c r="AV12" s="640"/>
      <c r="AW12" s="640"/>
      <c r="AX12" s="640"/>
      <c r="AY12" s="640"/>
      <c r="AZ12" s="640"/>
      <c r="BA12" s="640"/>
      <c r="BB12" s="640"/>
      <c r="BC12" s="640"/>
      <c r="BD12" s="640"/>
      <c r="BE12" s="640"/>
      <c r="BF12" s="640"/>
      <c r="BG12" s="640"/>
      <c r="BH12" s="640"/>
      <c r="BI12" s="640"/>
      <c r="BJ12" s="640"/>
      <c r="BK12" s="640"/>
      <c r="BL12" s="640"/>
      <c r="BM12" s="640"/>
      <c r="BN12" s="640"/>
      <c r="BO12" s="640"/>
      <c r="BP12" s="640"/>
      <c r="BQ12" s="640"/>
      <c r="BR12" s="640"/>
      <c r="BS12" s="640"/>
      <c r="BT12" s="640"/>
      <c r="BU12" s="640"/>
      <c r="BV12" s="426"/>
      <c r="BW12" s="426"/>
      <c r="BX12" s="426"/>
      <c r="BY12" s="426"/>
      <c r="BZ12" s="426"/>
      <c r="CA12" s="426"/>
      <c r="CB12" s="426"/>
      <c r="CC12" s="426"/>
      <c r="CD12" s="426"/>
      <c r="CE12" s="426"/>
      <c r="CF12" s="427"/>
      <c r="CG12" s="265"/>
    </row>
    <row r="13" spans="1:90" s="27" customFormat="1" ht="19.5" customHeight="1" thickTop="1">
      <c r="A13" s="261"/>
      <c r="B13" s="70"/>
      <c r="C13" s="241"/>
      <c r="D13" s="273" t="s">
        <v>67</v>
      </c>
      <c r="E13" s="241"/>
      <c r="F13" s="241"/>
      <c r="G13" s="241"/>
      <c r="H13" s="241"/>
      <c r="I13" s="241"/>
      <c r="J13" s="240"/>
      <c r="K13" s="240"/>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c r="BK13" s="242"/>
      <c r="BL13" s="242"/>
      <c r="BM13" s="242"/>
      <c r="BN13" s="242"/>
      <c r="BO13" s="242"/>
      <c r="BP13" s="242"/>
      <c r="BQ13" s="242"/>
      <c r="BR13" s="242"/>
      <c r="BS13" s="242"/>
      <c r="BT13" s="242"/>
      <c r="BU13" s="242"/>
      <c r="BV13" s="242"/>
      <c r="BW13" s="242"/>
      <c r="BX13" s="242"/>
      <c r="BY13" s="242"/>
      <c r="BZ13" s="242"/>
      <c r="CA13" s="242"/>
      <c r="CB13" s="242"/>
      <c r="CC13" s="242"/>
      <c r="CD13" s="64"/>
      <c r="CE13" s="64"/>
      <c r="CF13" s="65"/>
      <c r="CG13" s="265"/>
    </row>
    <row r="14" spans="1:90" s="27" customFormat="1" ht="19.5" customHeight="1">
      <c r="A14" s="261"/>
      <c r="B14" s="72"/>
      <c r="C14" s="335"/>
      <c r="D14" s="428" t="s">
        <v>241</v>
      </c>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138"/>
      <c r="CE14" s="138"/>
      <c r="CF14" s="66"/>
      <c r="CG14" s="265"/>
    </row>
    <row r="15" spans="1:90" s="27" customFormat="1" ht="21" customHeight="1">
      <c r="A15" s="261"/>
      <c r="B15" s="72"/>
      <c r="C15" s="335"/>
      <c r="D15" s="223"/>
      <c r="E15" s="223"/>
      <c r="F15" s="223"/>
      <c r="G15" s="223"/>
      <c r="H15" s="223"/>
      <c r="I15" s="223"/>
      <c r="J15" s="223"/>
      <c r="K15" s="223"/>
      <c r="L15" s="223"/>
      <c r="M15" s="223"/>
      <c r="N15" s="223"/>
      <c r="O15" s="223"/>
      <c r="P15" s="223"/>
      <c r="Q15" s="223"/>
      <c r="R15" s="223"/>
      <c r="S15" s="223"/>
      <c r="T15" s="223"/>
      <c r="U15" s="223"/>
      <c r="V15" s="223"/>
      <c r="W15" s="316"/>
      <c r="X15" s="316"/>
      <c r="Y15" s="316"/>
      <c r="Z15" s="316"/>
      <c r="AA15" s="316"/>
      <c r="AB15" s="316"/>
      <c r="AC15" s="316"/>
      <c r="AD15" s="316"/>
      <c r="AE15" s="316"/>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130"/>
      <c r="BZ15" s="223"/>
      <c r="CA15" s="223"/>
      <c r="CB15" s="130"/>
      <c r="CC15" s="223"/>
      <c r="CD15" s="138"/>
      <c r="CE15" s="138"/>
      <c r="CF15" s="66"/>
      <c r="CG15" s="265"/>
    </row>
    <row r="16" spans="1:90" s="27" customFormat="1" ht="19.5" customHeight="1">
      <c r="A16" s="261"/>
      <c r="B16" s="72"/>
      <c r="C16" s="137"/>
      <c r="D16" s="647" t="s">
        <v>60</v>
      </c>
      <c r="E16" s="648"/>
      <c r="F16" s="648"/>
      <c r="G16" s="648"/>
      <c r="H16" s="648"/>
      <c r="I16" s="648"/>
      <c r="J16" s="648"/>
      <c r="K16" s="648"/>
      <c r="L16" s="648"/>
      <c r="M16" s="648"/>
      <c r="N16" s="648"/>
      <c r="O16" s="648"/>
      <c r="P16" s="648"/>
      <c r="Q16" s="648"/>
      <c r="R16" s="648"/>
      <c r="S16" s="648"/>
      <c r="T16" s="648"/>
      <c r="U16" s="648"/>
      <c r="V16" s="648"/>
      <c r="W16" s="648"/>
      <c r="X16" s="648"/>
      <c r="Y16" s="648"/>
      <c r="Z16" s="648"/>
      <c r="AA16" s="648"/>
      <c r="AB16" s="648"/>
      <c r="AC16" s="648"/>
      <c r="AD16" s="648"/>
      <c r="AE16" s="648"/>
      <c r="AF16" s="648"/>
      <c r="AG16" s="648"/>
      <c r="AH16" s="648"/>
      <c r="AI16" s="648"/>
      <c r="AJ16" s="648"/>
      <c r="AK16" s="648"/>
      <c r="AL16" s="648"/>
      <c r="AM16" s="648"/>
      <c r="AN16" s="648"/>
      <c r="AO16" s="648"/>
      <c r="AP16" s="648"/>
      <c r="AQ16" s="648"/>
      <c r="AR16" s="648"/>
      <c r="AS16" s="648"/>
      <c r="AT16" s="648"/>
      <c r="AU16" s="648"/>
      <c r="AV16" s="648"/>
      <c r="AW16" s="648"/>
      <c r="AX16" s="648"/>
      <c r="AY16" s="648"/>
      <c r="AZ16" s="648"/>
      <c r="BA16" s="648"/>
      <c r="BB16" s="648"/>
      <c r="BC16" s="648"/>
      <c r="BD16" s="648"/>
      <c r="BE16" s="648"/>
      <c r="BF16" s="648"/>
      <c r="BG16" s="648"/>
      <c r="BH16" s="648"/>
      <c r="BI16" s="648"/>
      <c r="BJ16" s="648"/>
      <c r="BK16" s="648"/>
      <c r="BL16" s="648"/>
      <c r="BM16" s="648"/>
      <c r="BN16" s="648"/>
      <c r="BO16" s="648"/>
      <c r="BP16" s="648"/>
      <c r="BQ16" s="648"/>
      <c r="BR16" s="648"/>
      <c r="BS16" s="648"/>
      <c r="BT16" s="648"/>
      <c r="BU16" s="648"/>
      <c r="BV16" s="648"/>
      <c r="BW16" s="648"/>
      <c r="BX16" s="648"/>
      <c r="BY16" s="648"/>
      <c r="BZ16" s="648"/>
      <c r="CA16" s="648"/>
      <c r="CB16" s="648"/>
      <c r="CC16" s="649"/>
      <c r="CD16" s="159"/>
      <c r="CE16" s="138"/>
      <c r="CF16" s="66"/>
      <c r="CG16" s="265"/>
    </row>
    <row r="17" spans="1:174" s="27" customFormat="1" ht="19.350000000000001" customHeight="1">
      <c r="A17" s="261"/>
      <c r="B17" s="72"/>
      <c r="C17" s="335"/>
      <c r="D17" s="85" t="s">
        <v>127</v>
      </c>
      <c r="E17" s="148"/>
      <c r="F17" s="148"/>
      <c r="G17" s="95"/>
      <c r="H17" s="148"/>
      <c r="I17" s="148"/>
      <c r="J17" s="148"/>
      <c r="K17" s="148"/>
      <c r="L17" s="150"/>
      <c r="M17" s="274"/>
      <c r="N17" s="275"/>
      <c r="O17" s="244"/>
      <c r="P17" s="148"/>
      <c r="Q17" s="148"/>
      <c r="R17" s="148"/>
      <c r="S17" s="148"/>
      <c r="T17" s="148"/>
      <c r="U17" s="148"/>
      <c r="V17" s="148"/>
      <c r="W17" s="148"/>
      <c r="X17" s="148"/>
      <c r="Y17" s="148"/>
      <c r="Z17" s="148"/>
      <c r="AA17" s="310"/>
      <c r="AB17" s="148"/>
      <c r="AC17" s="310"/>
      <c r="AD17" s="148"/>
      <c r="AE17" s="148"/>
      <c r="AF17" s="148"/>
      <c r="AG17" s="148"/>
      <c r="AH17" s="148"/>
      <c r="AI17" s="148"/>
      <c r="AJ17" s="148"/>
      <c r="AK17" s="310"/>
      <c r="AL17" s="310"/>
      <c r="AM17" s="148"/>
      <c r="AN17" s="148"/>
      <c r="AO17" s="148"/>
      <c r="AP17" s="148"/>
      <c r="AQ17" s="85" t="s">
        <v>128</v>
      </c>
      <c r="AR17" s="148"/>
      <c r="AS17" s="148"/>
      <c r="AT17" s="95"/>
      <c r="AU17" s="148"/>
      <c r="AV17" s="148"/>
      <c r="AW17" s="148"/>
      <c r="AX17" s="276"/>
      <c r="AY17" s="243"/>
      <c r="AZ17" s="244"/>
      <c r="BA17" s="148"/>
      <c r="BB17" s="148"/>
      <c r="BC17" s="148"/>
      <c r="BD17" s="148"/>
      <c r="BE17" s="148"/>
      <c r="BF17" s="148"/>
      <c r="BG17" s="148"/>
      <c r="BH17" s="148"/>
      <c r="BI17" s="148"/>
      <c r="BJ17" s="148"/>
      <c r="BK17" s="148"/>
      <c r="BL17" s="310"/>
      <c r="BM17" s="148"/>
      <c r="BN17" s="148"/>
      <c r="BO17" s="148"/>
      <c r="BP17" s="310"/>
      <c r="BQ17" s="148"/>
      <c r="BR17" s="148"/>
      <c r="BS17" s="148"/>
      <c r="BT17" s="148"/>
      <c r="BU17" s="148"/>
      <c r="BV17" s="148"/>
      <c r="BW17" s="148"/>
      <c r="BX17" s="310"/>
      <c r="BY17" s="310"/>
      <c r="BZ17" s="148"/>
      <c r="CA17" s="148"/>
      <c r="CB17" s="148"/>
      <c r="CC17" s="151"/>
      <c r="CD17" s="138"/>
      <c r="CE17" s="138"/>
      <c r="CF17" s="66"/>
      <c r="CG17" s="265"/>
    </row>
    <row r="18" spans="1:174" s="27" customFormat="1" ht="19.5" customHeight="1">
      <c r="A18" s="261"/>
      <c r="B18" s="72"/>
      <c r="C18" s="137"/>
      <c r="D18" s="190" t="s">
        <v>221</v>
      </c>
      <c r="E18" s="105"/>
      <c r="F18" s="301"/>
      <c r="G18" s="301"/>
      <c r="H18" s="301"/>
      <c r="I18" s="301"/>
      <c r="J18" s="301"/>
      <c r="K18" s="277"/>
      <c r="L18" s="301"/>
      <c r="M18" s="276"/>
      <c r="N18" s="301"/>
      <c r="O18" s="301"/>
      <c r="P18" s="301"/>
      <c r="Q18" s="301"/>
      <c r="R18" s="301"/>
      <c r="S18" s="301"/>
      <c r="T18" s="301"/>
      <c r="U18" s="301"/>
      <c r="V18" s="301"/>
      <c r="W18" s="301"/>
      <c r="X18" s="301"/>
      <c r="Y18" s="301"/>
      <c r="Z18" s="301"/>
      <c r="AA18" s="301" t="s">
        <v>69</v>
      </c>
      <c r="AB18" s="301"/>
      <c r="AC18" s="301"/>
      <c r="AD18" s="301"/>
      <c r="AE18" s="301"/>
      <c r="AF18" s="301"/>
      <c r="AG18" s="301"/>
      <c r="AH18" s="301"/>
      <c r="AI18" s="231"/>
      <c r="AJ18" s="301"/>
      <c r="AK18" s="301"/>
      <c r="AL18" s="301"/>
      <c r="AM18" s="231"/>
      <c r="AN18" s="301"/>
      <c r="AO18" s="301"/>
      <c r="AP18" s="301"/>
      <c r="AQ18" s="190" t="s">
        <v>265</v>
      </c>
      <c r="AR18" s="105"/>
      <c r="AS18" s="301"/>
      <c r="AT18" s="277"/>
      <c r="AU18" s="301"/>
      <c r="AV18" s="244"/>
      <c r="AW18" s="244"/>
      <c r="AX18" s="278"/>
      <c r="AY18" s="300"/>
      <c r="AZ18" s="301"/>
      <c r="BA18" s="301"/>
      <c r="BB18" s="301"/>
      <c r="BC18" s="301"/>
      <c r="BD18" s="301"/>
      <c r="BE18" s="301"/>
      <c r="BF18" s="301"/>
      <c r="BG18" s="255"/>
      <c r="BH18" s="255"/>
      <c r="BI18" s="255"/>
      <c r="BJ18" s="255"/>
      <c r="BK18" s="255"/>
      <c r="BL18" s="300" t="s">
        <v>298</v>
      </c>
      <c r="BM18" s="301"/>
      <c r="BN18" s="301"/>
      <c r="BO18" s="301"/>
      <c r="BP18" s="277"/>
      <c r="BQ18" s="301"/>
      <c r="BR18" s="301"/>
      <c r="BS18" s="302"/>
      <c r="BT18" s="231"/>
      <c r="BU18" s="301"/>
      <c r="BV18" s="301"/>
      <c r="BW18" s="255"/>
      <c r="BX18" s="255"/>
      <c r="BY18" s="255"/>
      <c r="BZ18" s="255"/>
      <c r="CA18" s="255"/>
      <c r="CB18" s="255"/>
      <c r="CC18" s="302"/>
      <c r="CD18" s="172"/>
      <c r="CE18" s="172"/>
      <c r="CF18" s="172"/>
      <c r="CG18" s="284"/>
    </row>
    <row r="19" spans="1:174" s="27" customFormat="1" ht="19.350000000000001" customHeight="1">
      <c r="A19" s="261"/>
      <c r="B19" s="72"/>
      <c r="C19" s="335"/>
      <c r="D19" s="309" t="s">
        <v>306</v>
      </c>
      <c r="E19" s="310"/>
      <c r="F19" s="310"/>
      <c r="G19" s="310"/>
      <c r="H19" s="95"/>
      <c r="I19" s="148"/>
      <c r="J19" s="310"/>
      <c r="K19" s="148"/>
      <c r="L19" s="310"/>
      <c r="M19" s="310"/>
      <c r="N19" s="309"/>
      <c r="O19" s="310"/>
      <c r="P19" s="310"/>
      <c r="Q19" s="310"/>
      <c r="R19" s="310"/>
      <c r="S19" s="310"/>
      <c r="T19" s="310"/>
      <c r="U19" s="310"/>
      <c r="V19" s="310"/>
      <c r="W19" s="310"/>
      <c r="X19" s="310"/>
      <c r="Y19" s="89"/>
      <c r="Z19" s="310"/>
      <c r="AA19" s="310"/>
      <c r="AB19" s="148"/>
      <c r="AC19" s="310"/>
      <c r="AD19" s="310"/>
      <c r="AE19" s="148"/>
      <c r="AF19" s="148"/>
      <c r="AG19" s="148"/>
      <c r="AH19" s="148"/>
      <c r="AI19" s="148"/>
      <c r="AJ19" s="148"/>
      <c r="AK19" s="310"/>
      <c r="AL19" s="310"/>
      <c r="AM19" s="148"/>
      <c r="AN19" s="148"/>
      <c r="AO19" s="148"/>
      <c r="AP19" s="148"/>
      <c r="AQ19" s="310"/>
      <c r="AR19" s="310"/>
      <c r="AS19" s="310"/>
      <c r="AT19" s="310"/>
      <c r="AU19" s="95"/>
      <c r="AV19" s="310"/>
      <c r="AW19" s="310"/>
      <c r="AX19" s="310"/>
      <c r="AY19" s="310"/>
      <c r="AZ19" s="310"/>
      <c r="BA19" s="310"/>
      <c r="BB19" s="310"/>
      <c r="BC19" s="310"/>
      <c r="BD19" s="310"/>
      <c r="BE19" s="310"/>
      <c r="BF19" s="310"/>
      <c r="BG19" s="310"/>
      <c r="BH19" s="310"/>
      <c r="BI19" s="310"/>
      <c r="BJ19" s="89"/>
      <c r="BK19" s="310"/>
      <c r="BL19" s="310"/>
      <c r="BM19" s="310"/>
      <c r="BN19" s="310"/>
      <c r="BO19" s="310"/>
      <c r="BP19" s="310"/>
      <c r="BQ19" s="310"/>
      <c r="BR19" s="310"/>
      <c r="BS19" s="310"/>
      <c r="BT19" s="310"/>
      <c r="BU19" s="310"/>
      <c r="BV19" s="310"/>
      <c r="BW19" s="310"/>
      <c r="BX19" s="310"/>
      <c r="BY19" s="310"/>
      <c r="BZ19" s="310"/>
      <c r="CA19" s="310"/>
      <c r="CB19" s="310"/>
      <c r="CC19" s="311"/>
      <c r="CD19" s="138"/>
      <c r="CE19" s="138"/>
      <c r="CF19" s="66"/>
      <c r="CG19" s="265"/>
    </row>
    <row r="20" spans="1:174" s="3" customFormat="1" ht="19.5" customHeight="1">
      <c r="A20" s="282"/>
      <c r="B20" s="72"/>
      <c r="C20" s="137"/>
      <c r="D20" s="309" t="s">
        <v>124</v>
      </c>
      <c r="E20" s="310"/>
      <c r="F20" s="310"/>
      <c r="G20" s="310"/>
      <c r="H20" s="310"/>
      <c r="I20" s="310"/>
      <c r="J20" s="310"/>
      <c r="K20" s="310"/>
      <c r="L20" s="310"/>
      <c r="M20" s="279"/>
      <c r="N20" s="310"/>
      <c r="O20" s="310" t="s">
        <v>79</v>
      </c>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310"/>
      <c r="AO20" s="310"/>
      <c r="AP20" s="310"/>
      <c r="AQ20" s="309" t="s">
        <v>125</v>
      </c>
      <c r="AR20" s="310"/>
      <c r="AS20" s="310"/>
      <c r="AT20" s="310"/>
      <c r="AU20" s="310"/>
      <c r="AV20" s="310"/>
      <c r="AW20" s="310"/>
      <c r="AX20" s="311"/>
      <c r="AY20" s="310"/>
      <c r="AZ20" s="310"/>
      <c r="BA20" s="310"/>
      <c r="BB20" s="310"/>
      <c r="BC20" s="310"/>
      <c r="BD20" s="310"/>
      <c r="BE20" s="310"/>
      <c r="BF20" s="310"/>
      <c r="BG20" s="310"/>
      <c r="BH20" s="310"/>
      <c r="BI20" s="310"/>
      <c r="BJ20" s="310"/>
      <c r="BK20" s="310"/>
      <c r="BL20" s="90"/>
      <c r="BM20" s="310"/>
      <c r="BN20" s="310"/>
      <c r="BO20" s="310"/>
      <c r="BP20" s="310"/>
      <c r="BQ20" s="310"/>
      <c r="BR20" s="86"/>
      <c r="BS20" s="86"/>
      <c r="BT20" s="86"/>
      <c r="BU20" s="86"/>
      <c r="BV20" s="86"/>
      <c r="BW20" s="86"/>
      <c r="BX20" s="86"/>
      <c r="BY20" s="86"/>
      <c r="BZ20" s="86"/>
      <c r="CA20" s="86"/>
      <c r="CB20" s="86"/>
      <c r="CC20" s="87"/>
      <c r="CD20" s="159"/>
      <c r="CE20" s="138"/>
      <c r="CF20" s="66"/>
      <c r="CG20" s="266"/>
      <c r="FP20"/>
      <c r="FQ20" s="146"/>
      <c r="FR20"/>
    </row>
    <row r="21" spans="1:174" s="27" customFormat="1" ht="19.5" customHeight="1">
      <c r="A21" s="261"/>
      <c r="B21" s="72"/>
      <c r="C21" s="137"/>
      <c r="D21" s="132"/>
      <c r="E21" s="133"/>
      <c r="F21" s="133"/>
      <c r="G21" s="133"/>
      <c r="H21" s="133"/>
      <c r="I21" s="133"/>
      <c r="J21" s="133"/>
      <c r="K21" s="133"/>
      <c r="L21" s="133"/>
      <c r="M21" s="133"/>
      <c r="N21" s="133"/>
      <c r="O21" s="133"/>
      <c r="P21" s="133"/>
      <c r="Q21" s="133"/>
      <c r="R21" s="133"/>
      <c r="S21" s="133"/>
      <c r="T21" s="133"/>
      <c r="U21" s="133"/>
      <c r="V21" s="133"/>
      <c r="W21" s="133"/>
      <c r="X21" s="133"/>
      <c r="Y21" s="134"/>
      <c r="Z21" s="133"/>
      <c r="AA21" s="133"/>
      <c r="AB21" s="133"/>
      <c r="AC21" s="133"/>
      <c r="AD21" s="133"/>
      <c r="AE21" s="135"/>
      <c r="AF21" s="135"/>
      <c r="AG21" s="135"/>
      <c r="AH21" s="135"/>
      <c r="AI21" s="135"/>
      <c r="AJ21" s="135"/>
      <c r="AK21" s="135"/>
      <c r="AL21" s="135"/>
      <c r="AM21" s="135"/>
      <c r="AN21" s="135"/>
      <c r="AO21" s="135"/>
      <c r="AP21" s="135"/>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4"/>
      <c r="BM21" s="133"/>
      <c r="BN21" s="133"/>
      <c r="BO21" s="133"/>
      <c r="BP21" s="133"/>
      <c r="BQ21" s="133"/>
      <c r="BR21" s="135"/>
      <c r="BS21" s="135"/>
      <c r="BT21" s="135"/>
      <c r="BU21" s="135"/>
      <c r="BV21" s="135"/>
      <c r="BW21" s="135"/>
      <c r="BX21" s="135"/>
      <c r="BY21" s="135"/>
      <c r="BZ21" s="135"/>
      <c r="CA21" s="135"/>
      <c r="CB21" s="135"/>
      <c r="CC21" s="136"/>
      <c r="CD21" s="172"/>
      <c r="CE21" s="172"/>
      <c r="CF21" s="172"/>
      <c r="CG21" s="284"/>
    </row>
    <row r="22" spans="1:174" s="27" customFormat="1" ht="19.5" customHeight="1">
      <c r="A22" s="261"/>
      <c r="B22" s="72"/>
      <c r="C22" s="137"/>
      <c r="D22" s="130"/>
      <c r="E22" s="130"/>
      <c r="F22" s="130"/>
      <c r="G22" s="130"/>
      <c r="H22" s="130"/>
      <c r="I22" s="130"/>
      <c r="J22" s="130"/>
      <c r="K22" s="130"/>
      <c r="L22" s="130"/>
      <c r="M22" s="130"/>
      <c r="N22" s="130"/>
      <c r="O22" s="130"/>
      <c r="P22" s="130"/>
      <c r="Q22" s="130"/>
      <c r="R22" s="130"/>
      <c r="S22" s="130"/>
      <c r="T22" s="130"/>
      <c r="U22" s="130"/>
      <c r="V22" s="130"/>
      <c r="W22" s="316"/>
      <c r="X22" s="316"/>
      <c r="Y22" s="316"/>
      <c r="Z22" s="316"/>
      <c r="AA22" s="316"/>
      <c r="AB22" s="316"/>
      <c r="AC22" s="316"/>
      <c r="AD22" s="316"/>
      <c r="AE22" s="341"/>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41"/>
      <c r="BM22" s="130"/>
      <c r="BN22" s="130"/>
      <c r="BO22" s="130"/>
      <c r="BP22" s="130"/>
      <c r="BQ22" s="130"/>
      <c r="BR22" s="137"/>
      <c r="BS22" s="137"/>
      <c r="BT22" s="137"/>
      <c r="BU22" s="137"/>
      <c r="BV22" s="137"/>
      <c r="BW22" s="137"/>
      <c r="BX22" s="137"/>
      <c r="BY22" s="137"/>
      <c r="BZ22" s="137"/>
      <c r="CA22" s="137"/>
      <c r="CB22" s="137"/>
      <c r="CC22" s="137"/>
      <c r="CD22" s="159"/>
      <c r="CE22" s="138"/>
      <c r="CF22" s="172"/>
      <c r="CG22" s="284"/>
    </row>
    <row r="23" spans="1:174" s="27" customFormat="1" ht="19.5" customHeight="1">
      <c r="A23" s="261"/>
      <c r="B23" s="72"/>
      <c r="C23" s="126"/>
      <c r="D23" s="647" t="s">
        <v>222</v>
      </c>
      <c r="E23" s="648"/>
      <c r="F23" s="648"/>
      <c r="G23" s="648"/>
      <c r="H23" s="648"/>
      <c r="I23" s="648"/>
      <c r="J23" s="648"/>
      <c r="K23" s="648"/>
      <c r="L23" s="648"/>
      <c r="M23" s="648"/>
      <c r="N23" s="648"/>
      <c r="O23" s="648"/>
      <c r="P23" s="648"/>
      <c r="Q23" s="648"/>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648"/>
      <c r="BB23" s="648"/>
      <c r="BC23" s="648"/>
      <c r="BD23" s="648"/>
      <c r="BE23" s="648"/>
      <c r="BF23" s="648"/>
      <c r="BG23" s="648"/>
      <c r="BH23" s="648"/>
      <c r="BI23" s="648"/>
      <c r="BJ23" s="648"/>
      <c r="BK23" s="648"/>
      <c r="BL23" s="648"/>
      <c r="BM23" s="648"/>
      <c r="BN23" s="648"/>
      <c r="BO23" s="648"/>
      <c r="BP23" s="648"/>
      <c r="BQ23" s="648"/>
      <c r="BR23" s="648"/>
      <c r="BS23" s="648"/>
      <c r="BT23" s="648"/>
      <c r="BU23" s="648"/>
      <c r="BV23" s="648"/>
      <c r="BW23" s="648"/>
      <c r="BX23" s="648"/>
      <c r="BY23" s="648"/>
      <c r="BZ23" s="648"/>
      <c r="CA23" s="648"/>
      <c r="CB23" s="648"/>
      <c r="CC23" s="649"/>
      <c r="CD23" s="137"/>
      <c r="CE23" s="138"/>
      <c r="CF23" s="172"/>
      <c r="CG23" s="284"/>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row>
    <row r="24" spans="1:174" s="27" customFormat="1" ht="19.5" customHeight="1">
      <c r="A24" s="261"/>
      <c r="B24" s="72"/>
      <c r="C24" s="126"/>
      <c r="D24" s="653" t="s">
        <v>64</v>
      </c>
      <c r="E24" s="654"/>
      <c r="F24" s="654"/>
      <c r="G24" s="654"/>
      <c r="H24" s="654"/>
      <c r="I24" s="654"/>
      <c r="J24" s="654"/>
      <c r="K24" s="654"/>
      <c r="L24" s="654"/>
      <c r="M24" s="654"/>
      <c r="N24" s="654"/>
      <c r="O24" s="654"/>
      <c r="P24" s="654"/>
      <c r="Q24" s="654"/>
      <c r="R24" s="654"/>
      <c r="S24" s="655"/>
      <c r="T24" s="650" t="s">
        <v>70</v>
      </c>
      <c r="U24" s="651"/>
      <c r="V24" s="651"/>
      <c r="W24" s="651"/>
      <c r="X24" s="652"/>
      <c r="Y24" s="656" t="s">
        <v>273</v>
      </c>
      <c r="Z24" s="651"/>
      <c r="AA24" s="651"/>
      <c r="AB24" s="651"/>
      <c r="AC24" s="652"/>
      <c r="AD24" s="650" t="s">
        <v>176</v>
      </c>
      <c r="AE24" s="651"/>
      <c r="AF24" s="651"/>
      <c r="AG24" s="651"/>
      <c r="AH24" s="651"/>
      <c r="AI24" s="651"/>
      <c r="AJ24" s="651"/>
      <c r="AK24" s="651"/>
      <c r="AL24" s="651"/>
      <c r="AM24" s="651"/>
      <c r="AN24" s="651"/>
      <c r="AO24" s="652"/>
      <c r="AP24" s="650" t="s">
        <v>250</v>
      </c>
      <c r="AQ24" s="651"/>
      <c r="AR24" s="651"/>
      <c r="AS24" s="651"/>
      <c r="AT24" s="651"/>
      <c r="AU24" s="651"/>
      <c r="AV24" s="651"/>
      <c r="AW24" s="651"/>
      <c r="AX24" s="651"/>
      <c r="AY24" s="651"/>
      <c r="AZ24" s="651"/>
      <c r="BA24" s="651"/>
      <c r="BB24" s="651"/>
      <c r="BC24" s="652"/>
      <c r="BD24" s="651" t="s">
        <v>175</v>
      </c>
      <c r="BE24" s="651"/>
      <c r="BF24" s="651"/>
      <c r="BG24" s="651"/>
      <c r="BH24" s="651"/>
      <c r="BI24" s="651"/>
      <c r="BJ24" s="651"/>
      <c r="BK24" s="651"/>
      <c r="BL24" s="651"/>
      <c r="BM24" s="651"/>
      <c r="BN24" s="651"/>
      <c r="BO24" s="651"/>
      <c r="BP24" s="651"/>
      <c r="BQ24" s="652"/>
      <c r="BR24" s="657" t="s">
        <v>174</v>
      </c>
      <c r="BS24" s="658"/>
      <c r="BT24" s="658"/>
      <c r="BU24" s="658"/>
      <c r="BV24" s="658"/>
      <c r="BW24" s="658"/>
      <c r="BX24" s="658"/>
      <c r="BY24" s="658"/>
      <c r="BZ24" s="658"/>
      <c r="CA24" s="658"/>
      <c r="CB24" s="658"/>
      <c r="CC24" s="659"/>
      <c r="CD24" s="137"/>
      <c r="CE24" s="138"/>
      <c r="CF24" s="172"/>
      <c r="CG24" s="284"/>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65"/>
      <c r="DT24" s="165"/>
      <c r="DU24" s="165"/>
      <c r="DV24" s="165"/>
      <c r="DW24" s="165"/>
      <c r="DX24" s="165"/>
      <c r="DY24" s="165"/>
      <c r="DZ24" s="165"/>
      <c r="EA24" s="165"/>
      <c r="EB24" s="165"/>
      <c r="EC24" s="165"/>
      <c r="ED24" s="165"/>
      <c r="EE24" s="165"/>
      <c r="EF24" s="165"/>
    </row>
    <row r="25" spans="1:174" s="27" customFormat="1" ht="19.5" customHeight="1">
      <c r="A25" s="261"/>
      <c r="B25" s="72"/>
      <c r="C25" s="126"/>
      <c r="D25" s="653"/>
      <c r="E25" s="654"/>
      <c r="F25" s="654"/>
      <c r="G25" s="654"/>
      <c r="H25" s="654"/>
      <c r="I25" s="654"/>
      <c r="J25" s="654"/>
      <c r="K25" s="654"/>
      <c r="L25" s="654"/>
      <c r="M25" s="654"/>
      <c r="N25" s="654"/>
      <c r="O25" s="654"/>
      <c r="P25" s="654"/>
      <c r="Q25" s="654"/>
      <c r="R25" s="654"/>
      <c r="S25" s="655"/>
      <c r="T25" s="653"/>
      <c r="U25" s="654"/>
      <c r="V25" s="654"/>
      <c r="W25" s="654"/>
      <c r="X25" s="655"/>
      <c r="Y25" s="653"/>
      <c r="Z25" s="654"/>
      <c r="AA25" s="654"/>
      <c r="AB25" s="654"/>
      <c r="AC25" s="655"/>
      <c r="AD25" s="667"/>
      <c r="AE25" s="668"/>
      <c r="AF25" s="668"/>
      <c r="AG25" s="668"/>
      <c r="AH25" s="668"/>
      <c r="AI25" s="668"/>
      <c r="AJ25" s="668"/>
      <c r="AK25" s="668"/>
      <c r="AL25" s="668"/>
      <c r="AM25" s="668"/>
      <c r="AN25" s="668"/>
      <c r="AO25" s="669"/>
      <c r="AP25" s="667"/>
      <c r="AQ25" s="668"/>
      <c r="AR25" s="668"/>
      <c r="AS25" s="668"/>
      <c r="AT25" s="668"/>
      <c r="AU25" s="668"/>
      <c r="AV25" s="668"/>
      <c r="AW25" s="668"/>
      <c r="AX25" s="668"/>
      <c r="AY25" s="668"/>
      <c r="AZ25" s="668"/>
      <c r="BA25" s="668"/>
      <c r="BB25" s="668"/>
      <c r="BC25" s="669"/>
      <c r="BD25" s="647" t="s">
        <v>73</v>
      </c>
      <c r="BE25" s="648"/>
      <c r="BF25" s="648"/>
      <c r="BG25" s="648"/>
      <c r="BH25" s="648"/>
      <c r="BI25" s="648"/>
      <c r="BJ25" s="648"/>
      <c r="BK25" s="649"/>
      <c r="BL25" s="647" t="s">
        <v>74</v>
      </c>
      <c r="BM25" s="648"/>
      <c r="BN25" s="648"/>
      <c r="BO25" s="648"/>
      <c r="BP25" s="648"/>
      <c r="BQ25" s="649"/>
      <c r="BR25" s="647" t="s">
        <v>73</v>
      </c>
      <c r="BS25" s="648"/>
      <c r="BT25" s="648"/>
      <c r="BU25" s="648"/>
      <c r="BV25" s="648"/>
      <c r="BW25" s="649"/>
      <c r="BX25" s="647" t="s">
        <v>74</v>
      </c>
      <c r="BY25" s="648"/>
      <c r="BZ25" s="648"/>
      <c r="CA25" s="648"/>
      <c r="CB25" s="648"/>
      <c r="CC25" s="649"/>
      <c r="CD25" s="137"/>
      <c r="CE25" s="138"/>
      <c r="CF25" s="172"/>
      <c r="CG25" s="284"/>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65"/>
      <c r="DT25" s="165"/>
      <c r="DU25" s="165"/>
      <c r="DV25" s="165"/>
      <c r="DW25" s="165"/>
      <c r="DX25" s="165"/>
      <c r="DY25" s="165"/>
      <c r="DZ25" s="165"/>
      <c r="EA25" s="165"/>
      <c r="EB25" s="165"/>
      <c r="EC25" s="165"/>
      <c r="ED25" s="165"/>
      <c r="EE25" s="165"/>
      <c r="EF25" s="165"/>
    </row>
    <row r="26" spans="1:174" s="27" customFormat="1" ht="19.5" customHeight="1">
      <c r="A26" s="261"/>
      <c r="B26" s="72"/>
      <c r="C26" s="130"/>
      <c r="D26" s="644" t="s">
        <v>66</v>
      </c>
      <c r="E26" s="645"/>
      <c r="F26" s="645"/>
      <c r="G26" s="645"/>
      <c r="H26" s="645"/>
      <c r="I26" s="645"/>
      <c r="J26" s="645"/>
      <c r="K26" s="645"/>
      <c r="L26" s="645"/>
      <c r="M26" s="645"/>
      <c r="N26" s="645"/>
      <c r="O26" s="645"/>
      <c r="P26" s="645"/>
      <c r="Q26" s="645"/>
      <c r="R26" s="645"/>
      <c r="S26" s="646"/>
      <c r="T26" s="312" t="s">
        <v>41</v>
      </c>
      <c r="U26" s="313"/>
      <c r="V26" s="313"/>
      <c r="W26" s="313"/>
      <c r="X26" s="314"/>
      <c r="Y26" s="312" t="s">
        <v>65</v>
      </c>
      <c r="Z26" s="313"/>
      <c r="AA26" s="313"/>
      <c r="AB26" s="313"/>
      <c r="AC26" s="314"/>
      <c r="AD26" s="644" t="s">
        <v>177</v>
      </c>
      <c r="AE26" s="645"/>
      <c r="AF26" s="645"/>
      <c r="AG26" s="645"/>
      <c r="AH26" s="645"/>
      <c r="AI26" s="645"/>
      <c r="AJ26" s="645"/>
      <c r="AK26" s="645"/>
      <c r="AL26" s="645"/>
      <c r="AM26" s="645"/>
      <c r="AN26" s="645"/>
      <c r="AO26" s="646"/>
      <c r="AP26" s="644"/>
      <c r="AQ26" s="645"/>
      <c r="AR26" s="645"/>
      <c r="AS26" s="645"/>
      <c r="AT26" s="645"/>
      <c r="AU26" s="645"/>
      <c r="AV26" s="645"/>
      <c r="AW26" s="645"/>
      <c r="AX26" s="645"/>
      <c r="AY26" s="645"/>
      <c r="AZ26" s="645"/>
      <c r="BA26" s="645"/>
      <c r="BB26" s="645"/>
      <c r="BC26" s="646"/>
      <c r="BD26" s="676" t="s">
        <v>132</v>
      </c>
      <c r="BE26" s="677"/>
      <c r="BF26" s="677"/>
      <c r="BG26" s="677"/>
      <c r="BH26" s="677"/>
      <c r="BI26" s="677"/>
      <c r="BJ26" s="677"/>
      <c r="BK26" s="678"/>
      <c r="BL26" s="644"/>
      <c r="BM26" s="645"/>
      <c r="BN26" s="645"/>
      <c r="BO26" s="645"/>
      <c r="BP26" s="645"/>
      <c r="BQ26" s="646"/>
      <c r="BR26" s="632">
        <v>2000</v>
      </c>
      <c r="BS26" s="633"/>
      <c r="BT26" s="633"/>
      <c r="BU26" s="633"/>
      <c r="BV26" s="633"/>
      <c r="BW26" s="634"/>
      <c r="BX26" s="309"/>
      <c r="BY26" s="310"/>
      <c r="BZ26" s="310"/>
      <c r="CA26" s="310"/>
      <c r="CB26" s="310"/>
      <c r="CC26" s="311"/>
      <c r="CD26" s="137"/>
      <c r="CE26" s="138"/>
      <c r="CF26" s="172"/>
      <c r="CG26" s="284"/>
      <c r="CK26" s="166"/>
      <c r="CL26" s="166"/>
      <c r="CM26" s="143"/>
      <c r="CN26" s="143"/>
      <c r="CO26" s="143"/>
      <c r="CP26" s="167"/>
      <c r="CQ26" s="168"/>
      <c r="CR26" s="167"/>
      <c r="CS26" s="167"/>
      <c r="CT26" s="167"/>
      <c r="CU26" s="167"/>
      <c r="CV26" s="167"/>
      <c r="CW26" s="143"/>
      <c r="CX26" s="143"/>
      <c r="CY26" s="143"/>
      <c r="CZ26" s="143"/>
      <c r="DA26" s="143"/>
      <c r="DB26" s="143"/>
      <c r="DC26" s="143"/>
      <c r="DD26" s="143"/>
      <c r="DE26" s="143"/>
      <c r="DF26" s="143"/>
      <c r="DG26" s="143"/>
      <c r="DH26" s="143"/>
      <c r="DI26" s="143"/>
      <c r="DJ26" s="143"/>
      <c r="DK26" s="143"/>
      <c r="DL26" s="169"/>
      <c r="DM26" s="143"/>
      <c r="DN26" s="143"/>
      <c r="DO26" s="143"/>
      <c r="DP26" s="169"/>
      <c r="DQ26" s="143"/>
      <c r="DR26" s="143"/>
      <c r="DS26" s="143"/>
      <c r="DT26" s="143"/>
      <c r="DU26" s="143"/>
      <c r="DV26" s="143"/>
      <c r="DW26" s="143"/>
      <c r="DX26" s="143"/>
      <c r="DY26" s="143"/>
      <c r="DZ26" s="143"/>
      <c r="EA26" s="143"/>
      <c r="EB26" s="143"/>
      <c r="EC26" s="143"/>
      <c r="ED26" s="143"/>
      <c r="EE26" s="143"/>
      <c r="EF26" s="143"/>
    </row>
    <row r="27" spans="1:174" s="27" customFormat="1" ht="19.5" customHeight="1">
      <c r="A27" s="261"/>
      <c r="B27" s="72"/>
      <c r="C27" s="130"/>
      <c r="D27" s="644" t="s">
        <v>66</v>
      </c>
      <c r="E27" s="645"/>
      <c r="F27" s="645"/>
      <c r="G27" s="645"/>
      <c r="H27" s="645"/>
      <c r="I27" s="645"/>
      <c r="J27" s="645"/>
      <c r="K27" s="645"/>
      <c r="L27" s="645"/>
      <c r="M27" s="645"/>
      <c r="N27" s="645"/>
      <c r="O27" s="645"/>
      <c r="P27" s="645"/>
      <c r="Q27" s="645"/>
      <c r="R27" s="645"/>
      <c r="S27" s="646"/>
      <c r="T27" s="312" t="s">
        <v>41</v>
      </c>
      <c r="U27" s="313"/>
      <c r="V27" s="313"/>
      <c r="W27" s="313"/>
      <c r="X27" s="314"/>
      <c r="Y27" s="312" t="s">
        <v>65</v>
      </c>
      <c r="Z27" s="313"/>
      <c r="AA27" s="313"/>
      <c r="AB27" s="313"/>
      <c r="AC27" s="314"/>
      <c r="AD27" s="644" t="s">
        <v>177</v>
      </c>
      <c r="AE27" s="645"/>
      <c r="AF27" s="645"/>
      <c r="AG27" s="645"/>
      <c r="AH27" s="645"/>
      <c r="AI27" s="645"/>
      <c r="AJ27" s="645"/>
      <c r="AK27" s="645"/>
      <c r="AL27" s="645"/>
      <c r="AM27" s="645"/>
      <c r="AN27" s="645"/>
      <c r="AO27" s="646"/>
      <c r="AP27" s="644"/>
      <c r="AQ27" s="645"/>
      <c r="AR27" s="645"/>
      <c r="AS27" s="645"/>
      <c r="AT27" s="645"/>
      <c r="AU27" s="645"/>
      <c r="AV27" s="645"/>
      <c r="AW27" s="645"/>
      <c r="AX27" s="645"/>
      <c r="AY27" s="645"/>
      <c r="AZ27" s="645"/>
      <c r="BA27" s="645"/>
      <c r="BB27" s="645"/>
      <c r="BC27" s="646"/>
      <c r="BD27" s="676" t="s">
        <v>76</v>
      </c>
      <c r="BE27" s="677"/>
      <c r="BF27" s="677"/>
      <c r="BG27" s="677"/>
      <c r="BH27" s="677"/>
      <c r="BI27" s="677"/>
      <c r="BJ27" s="677"/>
      <c r="BK27" s="678"/>
      <c r="BL27" s="644"/>
      <c r="BM27" s="645"/>
      <c r="BN27" s="645"/>
      <c r="BO27" s="645"/>
      <c r="BP27" s="645"/>
      <c r="BQ27" s="646"/>
      <c r="BR27" s="632" t="s">
        <v>77</v>
      </c>
      <c r="BS27" s="633"/>
      <c r="BT27" s="633"/>
      <c r="BU27" s="633"/>
      <c r="BV27" s="633"/>
      <c r="BW27" s="634"/>
      <c r="BX27" s="309"/>
      <c r="BY27" s="310"/>
      <c r="BZ27" s="310"/>
      <c r="CA27" s="310"/>
      <c r="CB27" s="310"/>
      <c r="CC27" s="311"/>
      <c r="CD27" s="137"/>
      <c r="CE27" s="138"/>
      <c r="CF27" s="172"/>
      <c r="CG27" s="284"/>
      <c r="CK27" s="166"/>
      <c r="CL27" s="166"/>
      <c r="CM27" s="143"/>
      <c r="CN27" s="143"/>
      <c r="CO27" s="143"/>
      <c r="CP27" s="143"/>
      <c r="CQ27" s="143"/>
      <c r="CR27" s="143"/>
      <c r="CS27" s="143"/>
      <c r="CT27" s="143"/>
      <c r="CU27" s="169"/>
      <c r="CV27" s="143"/>
      <c r="CW27" s="143"/>
      <c r="CX27" s="143"/>
      <c r="CY27" s="143"/>
      <c r="CZ27" s="143"/>
      <c r="DA27" s="143"/>
      <c r="DB27" s="143"/>
      <c r="DC27" s="143"/>
      <c r="DD27" s="143"/>
      <c r="DE27" s="143"/>
      <c r="DF27" s="143"/>
      <c r="DG27" s="143"/>
      <c r="DH27" s="143"/>
      <c r="DI27" s="143"/>
      <c r="DJ27" s="143"/>
      <c r="DK27" s="143"/>
      <c r="DL27" s="169"/>
      <c r="DM27" s="143"/>
      <c r="DN27" s="143"/>
      <c r="DO27" s="143"/>
      <c r="DP27" s="169"/>
      <c r="DQ27" s="143"/>
      <c r="DR27" s="143"/>
      <c r="DS27" s="143"/>
      <c r="DT27" s="143"/>
      <c r="DU27" s="143"/>
      <c r="DV27" s="143"/>
      <c r="DW27" s="143"/>
      <c r="DX27" s="143"/>
      <c r="DY27" s="143"/>
      <c r="DZ27" s="143"/>
      <c r="EA27" s="143"/>
      <c r="EB27" s="143"/>
      <c r="EC27" s="143"/>
      <c r="ED27" s="143"/>
      <c r="EE27" s="143"/>
      <c r="EF27" s="143"/>
    </row>
    <row r="28" spans="1:174" s="27" customFormat="1" ht="19.5" customHeight="1">
      <c r="A28" s="261"/>
      <c r="B28" s="72"/>
      <c r="C28" s="130"/>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210"/>
      <c r="AP28" s="641" t="s">
        <v>78</v>
      </c>
      <c r="AQ28" s="642"/>
      <c r="AR28" s="642"/>
      <c r="AS28" s="642"/>
      <c r="AT28" s="642"/>
      <c r="AU28" s="642"/>
      <c r="AV28" s="642"/>
      <c r="AW28" s="642"/>
      <c r="AX28" s="642"/>
      <c r="AY28" s="642"/>
      <c r="AZ28" s="642"/>
      <c r="BA28" s="642"/>
      <c r="BB28" s="642"/>
      <c r="BC28" s="643"/>
      <c r="BD28" s="632">
        <f>BD26+BD27</f>
        <v>1100</v>
      </c>
      <c r="BE28" s="633"/>
      <c r="BF28" s="633"/>
      <c r="BG28" s="633"/>
      <c r="BH28" s="633"/>
      <c r="BI28" s="633"/>
      <c r="BJ28" s="633"/>
      <c r="BK28" s="634"/>
      <c r="BL28" s="641" t="s">
        <v>79</v>
      </c>
      <c r="BM28" s="642"/>
      <c r="BN28" s="642"/>
      <c r="BO28" s="642"/>
      <c r="BP28" s="642"/>
      <c r="BQ28" s="643"/>
      <c r="BR28" s="632">
        <f>BR26+BR27</f>
        <v>2200</v>
      </c>
      <c r="BS28" s="633"/>
      <c r="BT28" s="633"/>
      <c r="BU28" s="633"/>
      <c r="BV28" s="633"/>
      <c r="BW28" s="634"/>
      <c r="BX28" s="306"/>
      <c r="BY28" s="307"/>
      <c r="BZ28" s="307"/>
      <c r="CA28" s="307"/>
      <c r="CB28" s="307"/>
      <c r="CC28" s="308"/>
      <c r="CD28" s="137"/>
      <c r="CE28" s="138"/>
      <c r="CF28" s="172"/>
      <c r="CG28" s="284"/>
      <c r="CK28" s="166"/>
      <c r="CL28" s="166"/>
      <c r="CM28" s="143"/>
      <c r="CN28" s="143"/>
      <c r="CO28" s="143"/>
      <c r="CP28" s="143"/>
      <c r="CQ28" s="143"/>
      <c r="CR28" s="143"/>
      <c r="CS28" s="143"/>
      <c r="CT28" s="143"/>
      <c r="CU28" s="169"/>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row>
    <row r="29" spans="1:174" s="27" customFormat="1" ht="19.5" customHeight="1">
      <c r="A29" s="261"/>
      <c r="B29" s="72"/>
      <c r="C29" s="126"/>
      <c r="D29" s="673" t="s">
        <v>66</v>
      </c>
      <c r="E29" s="674"/>
      <c r="F29" s="674"/>
      <c r="G29" s="674"/>
      <c r="H29" s="674"/>
      <c r="I29" s="674"/>
      <c r="J29" s="674"/>
      <c r="K29" s="674"/>
      <c r="L29" s="674"/>
      <c r="M29" s="674"/>
      <c r="N29" s="674"/>
      <c r="O29" s="674"/>
      <c r="P29" s="674"/>
      <c r="Q29" s="674"/>
      <c r="R29" s="674"/>
      <c r="S29" s="675"/>
      <c r="T29" s="204" t="s">
        <v>41</v>
      </c>
      <c r="U29" s="205"/>
      <c r="V29" s="205"/>
      <c r="W29" s="205"/>
      <c r="X29" s="206"/>
      <c r="Y29" s="204" t="s">
        <v>65</v>
      </c>
      <c r="Z29" s="205"/>
      <c r="AA29" s="205"/>
      <c r="AB29" s="205"/>
      <c r="AC29" s="206"/>
      <c r="AD29" s="191"/>
      <c r="AE29" s="207"/>
      <c r="AF29" s="207"/>
      <c r="AG29" s="207"/>
      <c r="AH29" s="207"/>
      <c r="AI29" s="207"/>
      <c r="AJ29" s="207"/>
      <c r="AK29" s="207"/>
      <c r="AL29" s="207"/>
      <c r="AM29" s="207"/>
      <c r="AN29" s="207"/>
      <c r="AO29" s="207"/>
      <c r="AP29" s="191"/>
      <c r="AQ29" s="207"/>
      <c r="AR29" s="207"/>
      <c r="AS29" s="207"/>
      <c r="AT29" s="207"/>
      <c r="AU29" s="207"/>
      <c r="AV29" s="207"/>
      <c r="AW29" s="207"/>
      <c r="AX29" s="207"/>
      <c r="AY29" s="280"/>
      <c r="AZ29" s="207"/>
      <c r="BA29" s="207"/>
      <c r="BB29" s="207"/>
      <c r="BC29" s="208"/>
      <c r="BD29" s="644"/>
      <c r="BE29" s="645"/>
      <c r="BF29" s="645"/>
      <c r="BG29" s="645"/>
      <c r="BH29" s="645"/>
      <c r="BI29" s="645"/>
      <c r="BJ29" s="645"/>
      <c r="BK29" s="646"/>
      <c r="BL29" s="309"/>
      <c r="BM29" s="310"/>
      <c r="BN29" s="310"/>
      <c r="BO29" s="310"/>
      <c r="BP29" s="310"/>
      <c r="BQ29" s="311"/>
      <c r="BR29" s="632"/>
      <c r="BS29" s="633"/>
      <c r="BT29" s="633"/>
      <c r="BU29" s="633"/>
      <c r="BV29" s="633"/>
      <c r="BW29" s="634"/>
      <c r="BX29" s="309"/>
      <c r="BY29" s="310"/>
      <c r="BZ29" s="310"/>
      <c r="CA29" s="310"/>
      <c r="CB29" s="310"/>
      <c r="CC29" s="311"/>
      <c r="CD29" s="137"/>
      <c r="CE29" s="138"/>
      <c r="CF29" s="172"/>
      <c r="CG29" s="284"/>
      <c r="CK29" s="166"/>
      <c r="CL29" s="166"/>
      <c r="CM29" s="143"/>
      <c r="CN29" s="143"/>
      <c r="CO29" s="143"/>
      <c r="CP29" s="143"/>
      <c r="CQ29" s="143"/>
      <c r="CR29" s="143"/>
      <c r="CS29" s="143"/>
      <c r="CT29" s="143"/>
      <c r="CU29" s="169"/>
      <c r="CV29" s="143"/>
      <c r="CW29" s="143"/>
      <c r="CX29" s="143"/>
      <c r="CY29" s="143"/>
      <c r="CZ29" s="143"/>
      <c r="DA29" s="143"/>
      <c r="DB29" s="143"/>
      <c r="DC29" s="143"/>
      <c r="DD29" s="143"/>
      <c r="DE29" s="143"/>
      <c r="DF29" s="143"/>
      <c r="DG29" s="143"/>
      <c r="DH29" s="143"/>
      <c r="DI29" s="143"/>
      <c r="DJ29" s="143"/>
      <c r="DK29" s="143"/>
      <c r="DL29" s="169"/>
      <c r="DM29" s="143"/>
      <c r="DN29" s="143"/>
      <c r="DO29" s="143"/>
      <c r="DP29" s="169"/>
      <c r="DQ29" s="143"/>
      <c r="DR29" s="143"/>
      <c r="DS29" s="143"/>
      <c r="DT29" s="143"/>
      <c r="DU29" s="143"/>
      <c r="DV29" s="143"/>
      <c r="DW29" s="143"/>
      <c r="DX29" s="143"/>
      <c r="DY29" s="143"/>
      <c r="DZ29" s="143"/>
      <c r="EA29" s="143"/>
      <c r="EB29" s="143"/>
      <c r="EC29" s="143"/>
      <c r="ED29" s="143"/>
      <c r="EE29" s="143"/>
      <c r="EF29" s="143"/>
    </row>
    <row r="30" spans="1:174" s="27" customFormat="1" ht="19.5" customHeight="1">
      <c r="A30" s="261"/>
      <c r="B30" s="72"/>
      <c r="C30" s="137"/>
      <c r="D30" s="137"/>
      <c r="E30" s="130"/>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661"/>
      <c r="AK30" s="661"/>
      <c r="AL30" s="661"/>
      <c r="AM30" s="661"/>
      <c r="AN30" s="661"/>
      <c r="AO30" s="661"/>
      <c r="AP30" s="660"/>
      <c r="AQ30" s="660"/>
      <c r="AR30" s="660"/>
      <c r="AS30" s="660"/>
      <c r="AT30" s="660"/>
      <c r="AU30" s="660"/>
      <c r="AV30" s="631"/>
      <c r="AW30" s="631"/>
      <c r="AX30" s="631"/>
      <c r="AY30" s="631"/>
      <c r="AZ30" s="631"/>
      <c r="BA30" s="631"/>
      <c r="BB30" s="661"/>
      <c r="BC30" s="661"/>
      <c r="BD30" s="661"/>
      <c r="BE30" s="661"/>
      <c r="BF30" s="661"/>
      <c r="BG30" s="661"/>
      <c r="BH30" s="661"/>
      <c r="BI30" s="661"/>
      <c r="BJ30" s="661"/>
      <c r="BK30" s="661"/>
      <c r="BL30" s="661"/>
      <c r="BM30" s="661"/>
      <c r="BN30" s="631"/>
      <c r="BO30" s="631"/>
      <c r="BP30" s="631"/>
      <c r="BQ30" s="631"/>
      <c r="BR30" s="631"/>
      <c r="BS30" s="631"/>
      <c r="BT30" s="631"/>
      <c r="BU30" s="631"/>
      <c r="BV30" s="631"/>
      <c r="BW30" s="631"/>
      <c r="BX30" s="631"/>
      <c r="BY30" s="631"/>
      <c r="BZ30" s="164"/>
      <c r="CA30" s="164"/>
      <c r="CB30" s="137"/>
      <c r="CC30" s="137"/>
      <c r="CD30" s="159"/>
      <c r="CE30" s="138"/>
      <c r="CF30" s="172"/>
      <c r="CG30" s="285"/>
      <c r="CK30" s="170"/>
      <c r="CL30" s="170"/>
      <c r="CM30" s="143"/>
      <c r="CN30" s="143"/>
      <c r="CO30" s="143"/>
      <c r="CP30" s="143"/>
      <c r="CQ30" s="143"/>
      <c r="CR30" s="143"/>
      <c r="CS30" s="143"/>
      <c r="CT30" s="143"/>
      <c r="CU30" s="169"/>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71"/>
      <c r="DT30" s="171"/>
      <c r="DU30" s="171"/>
      <c r="DV30" s="171"/>
      <c r="DW30" s="171"/>
      <c r="DX30" s="171"/>
      <c r="DY30" s="171"/>
      <c r="DZ30" s="143"/>
      <c r="EA30" s="171"/>
      <c r="EB30" s="171"/>
      <c r="EC30" s="171"/>
      <c r="ED30" s="171"/>
      <c r="EE30" s="171"/>
      <c r="EF30" s="171"/>
    </row>
    <row r="31" spans="1:174" s="27" customFormat="1" ht="19.5" customHeight="1">
      <c r="A31" s="261"/>
      <c r="B31" s="72"/>
      <c r="C31" s="137"/>
      <c r="D31" s="647" t="s">
        <v>223</v>
      </c>
      <c r="E31" s="648"/>
      <c r="F31" s="648"/>
      <c r="G31" s="648"/>
      <c r="H31" s="648"/>
      <c r="I31" s="648"/>
      <c r="J31" s="648"/>
      <c r="K31" s="648"/>
      <c r="L31" s="648"/>
      <c r="M31" s="648"/>
      <c r="N31" s="648"/>
      <c r="O31" s="648"/>
      <c r="P31" s="648"/>
      <c r="Q31" s="648"/>
      <c r="R31" s="648"/>
      <c r="S31" s="648"/>
      <c r="T31" s="648"/>
      <c r="U31" s="648"/>
      <c r="V31" s="648"/>
      <c r="W31" s="648"/>
      <c r="X31" s="648"/>
      <c r="Y31" s="648"/>
      <c r="Z31" s="648"/>
      <c r="AA31" s="648"/>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8"/>
      <c r="BF31" s="648"/>
      <c r="BG31" s="648"/>
      <c r="BH31" s="648"/>
      <c r="BI31" s="648"/>
      <c r="BJ31" s="648"/>
      <c r="BK31" s="648"/>
      <c r="BL31" s="648"/>
      <c r="BM31" s="648"/>
      <c r="BN31" s="648"/>
      <c r="BO31" s="648"/>
      <c r="BP31" s="648"/>
      <c r="BQ31" s="648"/>
      <c r="BR31" s="648"/>
      <c r="BS31" s="648"/>
      <c r="BT31" s="648"/>
      <c r="BU31" s="648"/>
      <c r="BV31" s="648"/>
      <c r="BW31" s="648"/>
      <c r="BX31" s="648"/>
      <c r="BY31" s="648"/>
      <c r="BZ31" s="648"/>
      <c r="CA31" s="648"/>
      <c r="CB31" s="648"/>
      <c r="CC31" s="649"/>
      <c r="CD31" s="130"/>
      <c r="CE31" s="141"/>
      <c r="CF31" s="130"/>
      <c r="CG31" s="284"/>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28"/>
      <c r="DR31" s="58"/>
      <c r="DS31" s="48"/>
    </row>
    <row r="32" spans="1:174" s="27" customFormat="1" ht="19.5" customHeight="1">
      <c r="A32" s="261"/>
      <c r="B32" s="72"/>
      <c r="C32" s="137"/>
      <c r="D32" s="650" t="s">
        <v>42</v>
      </c>
      <c r="E32" s="652"/>
      <c r="F32" s="653" t="s">
        <v>221</v>
      </c>
      <c r="G32" s="654"/>
      <c r="H32" s="654"/>
      <c r="I32" s="654"/>
      <c r="J32" s="654"/>
      <c r="K32" s="654"/>
      <c r="L32" s="654"/>
      <c r="M32" s="654"/>
      <c r="N32" s="654"/>
      <c r="O32" s="654"/>
      <c r="P32" s="654"/>
      <c r="Q32" s="654"/>
      <c r="R32" s="654"/>
      <c r="S32" s="655"/>
      <c r="T32" s="653" t="s">
        <v>265</v>
      </c>
      <c r="U32" s="654"/>
      <c r="V32" s="654"/>
      <c r="W32" s="654"/>
      <c r="X32" s="655"/>
      <c r="Y32" s="672" t="s">
        <v>393</v>
      </c>
      <c r="Z32" s="654"/>
      <c r="AA32" s="654"/>
      <c r="AB32" s="654"/>
      <c r="AC32" s="655"/>
      <c r="AD32" s="650" t="s">
        <v>176</v>
      </c>
      <c r="AE32" s="651"/>
      <c r="AF32" s="651"/>
      <c r="AG32" s="651"/>
      <c r="AH32" s="651"/>
      <c r="AI32" s="651"/>
      <c r="AJ32" s="651"/>
      <c r="AK32" s="651"/>
      <c r="AL32" s="651"/>
      <c r="AM32" s="651"/>
      <c r="AN32" s="651"/>
      <c r="AO32" s="652"/>
      <c r="AP32" s="650" t="s">
        <v>250</v>
      </c>
      <c r="AQ32" s="651"/>
      <c r="AR32" s="651"/>
      <c r="AS32" s="651"/>
      <c r="AT32" s="651"/>
      <c r="AU32" s="651"/>
      <c r="AV32" s="651"/>
      <c r="AW32" s="651"/>
      <c r="AX32" s="651"/>
      <c r="AY32" s="651"/>
      <c r="AZ32" s="651"/>
      <c r="BA32" s="651"/>
      <c r="BB32" s="651"/>
      <c r="BC32" s="652"/>
      <c r="BD32" s="656" t="s">
        <v>120</v>
      </c>
      <c r="BE32" s="662"/>
      <c r="BF32" s="662"/>
      <c r="BG32" s="662"/>
      <c r="BH32" s="662"/>
      <c r="BI32" s="662"/>
      <c r="BJ32" s="662"/>
      <c r="BK32" s="662"/>
      <c r="BL32" s="662"/>
      <c r="BM32" s="662"/>
      <c r="BN32" s="662"/>
      <c r="BO32" s="662"/>
      <c r="BP32" s="663"/>
      <c r="BQ32" s="656" t="s">
        <v>121</v>
      </c>
      <c r="BR32" s="662"/>
      <c r="BS32" s="662"/>
      <c r="BT32" s="662"/>
      <c r="BU32" s="662"/>
      <c r="BV32" s="662"/>
      <c r="BW32" s="662"/>
      <c r="BX32" s="662"/>
      <c r="BY32" s="662"/>
      <c r="BZ32" s="662"/>
      <c r="CA32" s="662"/>
      <c r="CB32" s="662"/>
      <c r="CC32" s="663"/>
      <c r="CD32" s="130"/>
      <c r="CE32" s="141"/>
      <c r="CF32" s="130"/>
      <c r="CG32" s="286"/>
      <c r="CH32" s="143"/>
      <c r="CI32" s="143"/>
      <c r="CJ32" s="143"/>
      <c r="CK32" s="143"/>
      <c r="CL32" s="143"/>
      <c r="CM32" s="143"/>
      <c r="CN32" s="143"/>
      <c r="CO32" s="143"/>
      <c r="CP32" s="143"/>
      <c r="CQ32" s="143"/>
      <c r="CR32" s="143"/>
      <c r="CS32" s="143"/>
      <c r="CT32" s="143"/>
      <c r="CU32" s="143"/>
      <c r="CV32" s="143"/>
      <c r="CW32" s="143"/>
      <c r="CX32" s="143"/>
      <c r="CY32" s="143"/>
      <c r="CZ32" s="143"/>
      <c r="DA32" s="143"/>
      <c r="DB32" s="143"/>
      <c r="DC32" s="143"/>
      <c r="DD32" s="143"/>
      <c r="DE32" s="143"/>
      <c r="DF32" s="143"/>
      <c r="DG32" s="143"/>
      <c r="DH32" s="143"/>
      <c r="DI32" s="143"/>
      <c r="DJ32" s="143"/>
      <c r="DK32" s="143"/>
      <c r="DL32" s="143"/>
      <c r="DM32" s="143"/>
      <c r="DN32" s="143"/>
      <c r="DO32" s="143"/>
      <c r="DP32" s="143"/>
      <c r="DQ32" s="128"/>
      <c r="DR32" s="58"/>
      <c r="DS32" s="48"/>
    </row>
    <row r="33" spans="1:123" s="27" customFormat="1" ht="19.5" customHeight="1">
      <c r="A33" s="261"/>
      <c r="B33" s="72"/>
      <c r="C33" s="137"/>
      <c r="D33" s="667"/>
      <c r="E33" s="669"/>
      <c r="F33" s="667"/>
      <c r="G33" s="668"/>
      <c r="H33" s="668"/>
      <c r="I33" s="668"/>
      <c r="J33" s="668"/>
      <c r="K33" s="668"/>
      <c r="L33" s="668"/>
      <c r="M33" s="668"/>
      <c r="N33" s="668"/>
      <c r="O33" s="668"/>
      <c r="P33" s="668"/>
      <c r="Q33" s="654"/>
      <c r="R33" s="654"/>
      <c r="S33" s="655"/>
      <c r="T33" s="653"/>
      <c r="U33" s="654"/>
      <c r="V33" s="654"/>
      <c r="W33" s="654"/>
      <c r="X33" s="655"/>
      <c r="Y33" s="653"/>
      <c r="Z33" s="654"/>
      <c r="AA33" s="654"/>
      <c r="AB33" s="654"/>
      <c r="AC33" s="655"/>
      <c r="AD33" s="667"/>
      <c r="AE33" s="668"/>
      <c r="AF33" s="668"/>
      <c r="AG33" s="668"/>
      <c r="AH33" s="668"/>
      <c r="AI33" s="668"/>
      <c r="AJ33" s="668"/>
      <c r="AK33" s="668"/>
      <c r="AL33" s="668"/>
      <c r="AM33" s="668"/>
      <c r="AN33" s="668"/>
      <c r="AO33" s="669"/>
      <c r="AP33" s="667"/>
      <c r="AQ33" s="668"/>
      <c r="AR33" s="668"/>
      <c r="AS33" s="668"/>
      <c r="AT33" s="668"/>
      <c r="AU33" s="668"/>
      <c r="AV33" s="668"/>
      <c r="AW33" s="668"/>
      <c r="AX33" s="668"/>
      <c r="AY33" s="668"/>
      <c r="AZ33" s="668"/>
      <c r="BA33" s="668"/>
      <c r="BB33" s="668"/>
      <c r="BC33" s="669"/>
      <c r="BD33" s="664"/>
      <c r="BE33" s="665"/>
      <c r="BF33" s="665"/>
      <c r="BG33" s="665"/>
      <c r="BH33" s="665"/>
      <c r="BI33" s="665"/>
      <c r="BJ33" s="665"/>
      <c r="BK33" s="665"/>
      <c r="BL33" s="665"/>
      <c r="BM33" s="665"/>
      <c r="BN33" s="665"/>
      <c r="BO33" s="665"/>
      <c r="BP33" s="666"/>
      <c r="BQ33" s="664"/>
      <c r="BR33" s="665"/>
      <c r="BS33" s="665"/>
      <c r="BT33" s="665"/>
      <c r="BU33" s="665"/>
      <c r="BV33" s="665"/>
      <c r="BW33" s="665"/>
      <c r="BX33" s="665"/>
      <c r="BY33" s="665"/>
      <c r="BZ33" s="665"/>
      <c r="CA33" s="665"/>
      <c r="CB33" s="665"/>
      <c r="CC33" s="666"/>
      <c r="CD33" s="130"/>
      <c r="CE33" s="141"/>
      <c r="CF33" s="130"/>
      <c r="CG33" s="286"/>
      <c r="CH33" s="143"/>
      <c r="CI33" s="143"/>
      <c r="CJ33" s="143"/>
      <c r="CK33" s="143"/>
      <c r="CL33" s="143"/>
      <c r="CM33" s="143"/>
      <c r="CN33" s="143"/>
      <c r="CO33" s="143"/>
      <c r="CP33" s="143"/>
      <c r="CQ33" s="143"/>
      <c r="CR33" s="143"/>
      <c r="CS33" s="143"/>
      <c r="CT33" s="143"/>
      <c r="CU33" s="143"/>
      <c r="CV33" s="143"/>
      <c r="CW33" s="143"/>
      <c r="CX33" s="143"/>
      <c r="CY33" s="143"/>
      <c r="CZ33" s="143"/>
      <c r="DA33" s="143"/>
      <c r="DB33" s="143"/>
      <c r="DC33" s="143"/>
      <c r="DD33" s="143"/>
      <c r="DE33" s="143"/>
      <c r="DF33" s="143"/>
      <c r="DG33" s="143"/>
      <c r="DH33" s="143"/>
      <c r="DI33" s="143"/>
      <c r="DJ33" s="143"/>
      <c r="DK33" s="143"/>
      <c r="DL33" s="143"/>
      <c r="DM33" s="143"/>
      <c r="DN33" s="143"/>
      <c r="DO33" s="143"/>
      <c r="DP33" s="143"/>
      <c r="DQ33" s="128"/>
      <c r="DR33" s="58"/>
      <c r="DS33" s="48"/>
    </row>
    <row r="34" spans="1:123" s="27" customFormat="1" ht="19.350000000000001" customHeight="1">
      <c r="A34" s="261"/>
      <c r="B34" s="72"/>
      <c r="C34" s="137"/>
      <c r="D34" s="670" t="s">
        <v>42</v>
      </c>
      <c r="E34" s="671"/>
      <c r="F34" s="309"/>
      <c r="G34" s="310"/>
      <c r="H34" s="310"/>
      <c r="I34" s="310"/>
      <c r="J34" s="310"/>
      <c r="K34" s="310"/>
      <c r="L34" s="310"/>
      <c r="M34" s="310"/>
      <c r="N34" s="90"/>
      <c r="O34" s="310"/>
      <c r="P34" s="310"/>
      <c r="Q34" s="310"/>
      <c r="R34" s="310"/>
      <c r="S34" s="310"/>
      <c r="T34" s="309"/>
      <c r="U34" s="310"/>
      <c r="V34" s="310"/>
      <c r="W34" s="310"/>
      <c r="X34" s="311"/>
      <c r="Y34" s="309"/>
      <c r="Z34" s="310"/>
      <c r="AA34" s="310"/>
      <c r="AB34" s="310"/>
      <c r="AC34" s="311"/>
      <c r="AD34" s="310"/>
      <c r="AE34" s="310"/>
      <c r="AF34" s="310"/>
      <c r="AG34" s="310"/>
      <c r="AH34" s="310"/>
      <c r="AI34" s="310"/>
      <c r="AJ34" s="307"/>
      <c r="AK34" s="307"/>
      <c r="AL34" s="307"/>
      <c r="AM34" s="307"/>
      <c r="AN34" s="307"/>
      <c r="AO34" s="307"/>
      <c r="AP34" s="306"/>
      <c r="AQ34" s="307"/>
      <c r="AR34" s="307"/>
      <c r="AS34" s="307"/>
      <c r="AT34" s="307"/>
      <c r="AU34" s="307"/>
      <c r="AV34" s="161"/>
      <c r="AW34" s="161"/>
      <c r="AX34" s="161"/>
      <c r="AY34" s="161"/>
      <c r="AZ34" s="161"/>
      <c r="BA34" s="161"/>
      <c r="BB34" s="307"/>
      <c r="BC34" s="307"/>
      <c r="BD34" s="306"/>
      <c r="BE34" s="307"/>
      <c r="BF34" s="307"/>
      <c r="BG34" s="307"/>
      <c r="BH34" s="307"/>
      <c r="BI34" s="307"/>
      <c r="BJ34" s="307"/>
      <c r="BK34" s="307"/>
      <c r="BL34" s="307"/>
      <c r="BM34" s="307"/>
      <c r="BN34" s="307"/>
      <c r="BO34" s="161"/>
      <c r="BP34" s="184"/>
      <c r="BQ34" s="161"/>
      <c r="BR34" s="161"/>
      <c r="BS34" s="161"/>
      <c r="BT34" s="161"/>
      <c r="BU34" s="162"/>
      <c r="BV34" s="163"/>
      <c r="BW34" s="163"/>
      <c r="BX34" s="310"/>
      <c r="BY34" s="310"/>
      <c r="BZ34" s="310"/>
      <c r="CA34" s="310"/>
      <c r="CB34" s="310"/>
      <c r="CC34" s="311"/>
      <c r="CD34" s="130"/>
      <c r="CE34" s="141"/>
      <c r="CF34" s="130"/>
      <c r="CG34" s="286"/>
      <c r="CH34" s="143"/>
      <c r="CI34" s="143"/>
      <c r="CJ34" s="143"/>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3"/>
      <c r="DI34" s="143"/>
      <c r="DJ34" s="143"/>
      <c r="DK34" s="143"/>
      <c r="DL34" s="143"/>
      <c r="DM34" s="143"/>
      <c r="DN34" s="143"/>
      <c r="DO34" s="143"/>
      <c r="DP34" s="143"/>
      <c r="DQ34" s="128"/>
      <c r="DR34" s="58"/>
      <c r="DS34" s="48"/>
    </row>
    <row r="35" spans="1:123" s="27" customFormat="1" ht="19.5" customHeight="1">
      <c r="A35" s="261"/>
      <c r="B35" s="72"/>
      <c r="C35" s="137"/>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210"/>
      <c r="AP35" s="641" t="s">
        <v>78</v>
      </c>
      <c r="AQ35" s="642"/>
      <c r="AR35" s="642"/>
      <c r="AS35" s="642"/>
      <c r="AT35" s="642"/>
      <c r="AU35" s="642"/>
      <c r="AV35" s="642"/>
      <c r="AW35" s="642"/>
      <c r="AX35" s="642"/>
      <c r="AY35" s="642"/>
      <c r="AZ35" s="642"/>
      <c r="BA35" s="642"/>
      <c r="BB35" s="642"/>
      <c r="BC35" s="643"/>
      <c r="BD35" s="309"/>
      <c r="BE35" s="310"/>
      <c r="BF35" s="310"/>
      <c r="BG35" s="310"/>
      <c r="BH35" s="310"/>
      <c r="BI35" s="310"/>
      <c r="BJ35" s="310"/>
      <c r="BK35" s="310"/>
      <c r="BL35" s="310"/>
      <c r="BM35" s="310"/>
      <c r="BN35" s="310"/>
      <c r="BO35" s="310"/>
      <c r="BP35" s="310"/>
      <c r="BQ35" s="309"/>
      <c r="BR35" s="310"/>
      <c r="BS35" s="310"/>
      <c r="BT35" s="310"/>
      <c r="BU35" s="310"/>
      <c r="BV35" s="310"/>
      <c r="BW35" s="310"/>
      <c r="BX35" s="310"/>
      <c r="BY35" s="310"/>
      <c r="BZ35" s="310"/>
      <c r="CA35" s="310"/>
      <c r="CB35" s="310"/>
      <c r="CC35" s="87"/>
      <c r="CD35" s="137"/>
      <c r="CE35" s="137"/>
      <c r="CF35" s="139"/>
      <c r="CG35" s="287"/>
      <c r="CH35" s="128"/>
      <c r="CI35" s="128"/>
      <c r="CJ35" s="128"/>
      <c r="CK35" s="128"/>
      <c r="CL35" s="128"/>
      <c r="CM35" s="128"/>
      <c r="CN35" s="128"/>
      <c r="CO35" s="128"/>
      <c r="CP35" s="128"/>
      <c r="CQ35" s="128"/>
      <c r="CR35" s="58"/>
      <c r="CS35" s="48"/>
    </row>
    <row r="36" spans="1:123" s="27" customFormat="1" ht="19.5" customHeight="1">
      <c r="A36" s="261"/>
      <c r="B36" s="72"/>
      <c r="C36" s="137"/>
      <c r="D36" s="303"/>
      <c r="E36" s="304"/>
      <c r="F36" s="304"/>
      <c r="G36" s="304"/>
      <c r="H36" s="304"/>
      <c r="I36" s="304"/>
      <c r="J36" s="304"/>
      <c r="K36" s="304"/>
      <c r="L36" s="304"/>
      <c r="M36" s="304"/>
      <c r="N36" s="304"/>
      <c r="O36" s="304"/>
      <c r="P36" s="304"/>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c r="AV36" s="304"/>
      <c r="AW36" s="304"/>
      <c r="AX36" s="304"/>
      <c r="AY36" s="304"/>
      <c r="AZ36" s="304"/>
      <c r="BA36" s="304"/>
      <c r="BB36" s="304"/>
      <c r="BC36" s="304"/>
      <c r="BD36" s="304"/>
      <c r="BE36" s="304"/>
      <c r="BF36" s="304"/>
      <c r="BG36" s="304"/>
      <c r="BH36" s="304"/>
      <c r="BI36" s="304"/>
      <c r="BJ36" s="304"/>
      <c r="BK36" s="304"/>
      <c r="BL36" s="304"/>
      <c r="BM36" s="304"/>
      <c r="BN36" s="304"/>
      <c r="BO36" s="304"/>
      <c r="BP36" s="304"/>
      <c r="BQ36" s="304"/>
      <c r="BR36" s="304"/>
      <c r="BS36" s="304"/>
      <c r="BT36" s="304"/>
      <c r="BU36" s="304"/>
      <c r="BV36" s="304"/>
      <c r="BW36" s="304"/>
      <c r="BX36" s="304"/>
      <c r="BY36" s="304"/>
      <c r="BZ36" s="304"/>
      <c r="CA36" s="304"/>
      <c r="CB36" s="304"/>
      <c r="CC36" s="305"/>
      <c r="CD36" s="130"/>
      <c r="CE36" s="141"/>
      <c r="CF36" s="130"/>
      <c r="CG36" s="284"/>
      <c r="CH36" s="143"/>
      <c r="CI36" s="143"/>
      <c r="CJ36" s="143"/>
      <c r="CK36" s="143"/>
      <c r="CL36" s="143"/>
      <c r="CM36" s="143"/>
      <c r="CN36" s="143"/>
      <c r="CO36" s="143"/>
      <c r="CP36" s="143"/>
      <c r="CQ36" s="143"/>
      <c r="CR36" s="143"/>
      <c r="CS36" s="143"/>
      <c r="CT36" s="143"/>
      <c r="CU36" s="143"/>
      <c r="CV36" s="143"/>
      <c r="CW36" s="143"/>
      <c r="CX36" s="143"/>
      <c r="CY36" s="143"/>
      <c r="CZ36" s="143"/>
      <c r="DA36" s="143"/>
      <c r="DB36" s="143"/>
      <c r="DC36" s="143"/>
      <c r="DD36" s="143"/>
      <c r="DE36" s="143"/>
      <c r="DF36" s="143"/>
      <c r="DG36" s="143"/>
      <c r="DH36" s="143"/>
      <c r="DI36" s="143"/>
      <c r="DJ36" s="143"/>
      <c r="DK36" s="143"/>
      <c r="DL36" s="143"/>
      <c r="DM36" s="143"/>
      <c r="DN36" s="143"/>
      <c r="DO36" s="143"/>
      <c r="DP36" s="143"/>
      <c r="DQ36" s="128"/>
      <c r="DR36" s="58"/>
      <c r="DS36" s="48"/>
    </row>
    <row r="37" spans="1:123" s="27" customFormat="1" ht="19.5" customHeight="1">
      <c r="A37" s="261"/>
      <c r="B37" s="72"/>
      <c r="C37" s="137"/>
      <c r="D37" s="342"/>
      <c r="E37" s="342"/>
      <c r="F37" s="342"/>
      <c r="G37" s="343"/>
      <c r="H37" s="344"/>
      <c r="I37" s="345"/>
      <c r="J37" s="344"/>
      <c r="K37" s="344"/>
      <c r="L37" s="344"/>
      <c r="M37" s="344"/>
      <c r="N37" s="344"/>
      <c r="O37" s="345"/>
      <c r="P37" s="344"/>
      <c r="Q37" s="344"/>
      <c r="R37" s="344"/>
      <c r="S37" s="344"/>
      <c r="T37" s="344"/>
      <c r="U37" s="345"/>
      <c r="V37" s="344"/>
      <c r="W37" s="346"/>
      <c r="X37" s="346"/>
      <c r="Y37" s="346"/>
      <c r="Z37" s="346"/>
      <c r="AA37" s="346"/>
      <c r="AB37" s="346"/>
      <c r="AC37" s="346"/>
      <c r="AD37" s="347"/>
      <c r="AE37" s="347"/>
      <c r="AF37" s="348"/>
      <c r="AG37" s="348"/>
      <c r="AH37" s="344"/>
      <c r="AI37" s="344"/>
      <c r="AJ37" s="344"/>
      <c r="AK37" s="344"/>
      <c r="AL37" s="344"/>
      <c r="AM37" s="344"/>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8"/>
      <c r="CA37" s="348"/>
      <c r="CB37" s="344"/>
      <c r="CC37" s="344"/>
      <c r="CD37" s="138"/>
      <c r="CE37" s="138"/>
      <c r="CF37" s="66"/>
      <c r="CG37" s="265"/>
    </row>
    <row r="38" spans="1:123" s="27" customFormat="1" ht="19.5" customHeight="1" thickBot="1">
      <c r="A38" s="261"/>
      <c r="B38" s="73"/>
      <c r="C38" s="74"/>
      <c r="D38" s="74"/>
      <c r="E38" s="74"/>
      <c r="F38" s="74"/>
      <c r="G38" s="74"/>
      <c r="H38" s="74"/>
      <c r="I38" s="74"/>
      <c r="J38" s="74"/>
      <c r="K38" s="74"/>
      <c r="L38" s="67"/>
      <c r="M38" s="67"/>
      <c r="N38" s="67"/>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7"/>
      <c r="CA38" s="67"/>
      <c r="CB38" s="68"/>
      <c r="CC38" s="68"/>
      <c r="CD38" s="68"/>
      <c r="CE38" s="68"/>
      <c r="CF38" s="69"/>
      <c r="CG38" s="265"/>
    </row>
    <row r="39" spans="1:123" s="27" customFormat="1" ht="19.5" customHeight="1">
      <c r="A39" s="283"/>
      <c r="B39" s="289"/>
      <c r="C39" s="289"/>
      <c r="D39" s="290"/>
      <c r="E39" s="290"/>
      <c r="F39" s="290"/>
      <c r="G39" s="290"/>
      <c r="H39" s="290"/>
      <c r="I39" s="290"/>
      <c r="J39" s="209"/>
      <c r="K39" s="209"/>
      <c r="L39" s="209"/>
      <c r="M39" s="209"/>
      <c r="N39" s="209"/>
      <c r="O39" s="209"/>
      <c r="P39" s="209"/>
      <c r="Q39" s="209"/>
      <c r="R39" s="209"/>
      <c r="S39" s="209"/>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0"/>
      <c r="BO39" s="290"/>
      <c r="BP39" s="290"/>
      <c r="BQ39" s="290"/>
      <c r="BR39" s="290"/>
      <c r="BS39" s="290"/>
      <c r="BT39" s="290"/>
      <c r="BU39" s="290"/>
      <c r="BV39" s="290"/>
      <c r="BW39" s="290"/>
      <c r="BX39" s="209"/>
      <c r="BY39" s="290"/>
      <c r="BZ39" s="290"/>
      <c r="CA39" s="290"/>
      <c r="CB39" s="209"/>
      <c r="CC39" s="209"/>
      <c r="CD39" s="290"/>
      <c r="CE39" s="290"/>
      <c r="CF39" s="291"/>
      <c r="CG39" s="288"/>
    </row>
    <row r="40" spans="1:123" ht="8.25" customHeight="1">
      <c r="A40" s="281"/>
      <c r="B40" s="256"/>
      <c r="C40" s="256"/>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c r="BZ40" s="256"/>
      <c r="CA40" s="256"/>
      <c r="CB40" s="256"/>
      <c r="CC40" s="256"/>
      <c r="CD40" s="256"/>
      <c r="CE40" s="256"/>
      <c r="CF40" s="256"/>
      <c r="CG40" s="264"/>
    </row>
    <row r="41" spans="1:123" s="21" customFormat="1" ht="19.5" customHeight="1">
      <c r="A41" s="260"/>
      <c r="B41" s="269" t="s">
        <v>43</v>
      </c>
      <c r="C41" s="269"/>
      <c r="D41" s="269"/>
      <c r="E41" s="269"/>
      <c r="F41" s="269"/>
      <c r="G41" s="269"/>
      <c r="H41" s="269"/>
      <c r="I41" s="269"/>
      <c r="J41" s="269"/>
      <c r="K41" s="269"/>
      <c r="L41" s="269"/>
      <c r="M41" s="269"/>
      <c r="N41" s="269"/>
      <c r="O41" s="269"/>
      <c r="P41" s="269"/>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69"/>
      <c r="BK41" s="269"/>
      <c r="BL41" s="269"/>
      <c r="BM41" s="269"/>
      <c r="BN41" s="269"/>
      <c r="BO41" s="269"/>
      <c r="BP41" s="269"/>
      <c r="BQ41" s="269"/>
      <c r="BR41" s="269"/>
      <c r="BS41" s="269"/>
      <c r="BT41" s="269"/>
      <c r="BU41" s="269"/>
      <c r="BV41" s="269"/>
      <c r="BW41" s="269"/>
      <c r="BX41" s="269"/>
      <c r="BY41" s="269"/>
      <c r="BZ41" s="269"/>
      <c r="CA41" s="269"/>
      <c r="CB41" s="269"/>
      <c r="CC41" s="269"/>
      <c r="CD41" s="269"/>
      <c r="CE41" s="269"/>
      <c r="CF41" s="269"/>
      <c r="CG41" s="268"/>
    </row>
    <row r="42" spans="1:123" s="27" customFormat="1" ht="19.5" customHeight="1">
      <c r="A42" s="35"/>
      <c r="B42" s="412" t="s">
        <v>44</v>
      </c>
      <c r="C42" s="413"/>
      <c r="D42" s="413"/>
      <c r="E42" s="413"/>
      <c r="F42" s="413"/>
      <c r="G42" s="413"/>
      <c r="H42" s="413"/>
      <c r="I42" s="413"/>
      <c r="J42" s="413"/>
      <c r="K42" s="413"/>
      <c r="L42" s="413"/>
      <c r="M42" s="413"/>
      <c r="N42" s="413"/>
      <c r="O42" s="413"/>
      <c r="P42" s="414"/>
      <c r="Q42" s="412" t="s">
        <v>45</v>
      </c>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3"/>
      <c r="BK42" s="413"/>
      <c r="BL42" s="413"/>
      <c r="BM42" s="414"/>
      <c r="BN42" s="294" t="s">
        <v>46</v>
      </c>
      <c r="BO42" s="297"/>
      <c r="BP42" s="297"/>
      <c r="BQ42" s="297"/>
      <c r="BR42" s="297"/>
      <c r="BS42" s="297"/>
      <c r="BT42" s="297"/>
      <c r="BU42" s="297"/>
      <c r="BV42" s="297"/>
      <c r="BW42" s="297"/>
      <c r="BX42" s="297"/>
      <c r="BY42" s="297"/>
      <c r="BZ42" s="297"/>
      <c r="CA42" s="297"/>
      <c r="CB42" s="297"/>
      <c r="CC42" s="297"/>
      <c r="CD42" s="297"/>
      <c r="CE42" s="297"/>
      <c r="CF42" s="298"/>
      <c r="CG42" s="265"/>
    </row>
    <row r="43" spans="1:123" ht="36.75" customHeight="1">
      <c r="A43" s="34"/>
      <c r="B43" s="381" t="s">
        <v>48</v>
      </c>
      <c r="C43" s="382"/>
      <c r="D43" s="382"/>
      <c r="E43" s="382"/>
      <c r="F43" s="382"/>
      <c r="G43" s="382"/>
      <c r="H43" s="382"/>
      <c r="I43" s="382"/>
      <c r="J43" s="382"/>
      <c r="K43" s="382"/>
      <c r="L43" s="382"/>
      <c r="M43" s="382"/>
      <c r="N43" s="382"/>
      <c r="O43" s="382"/>
      <c r="P43" s="383"/>
      <c r="Q43" s="384" t="s">
        <v>450</v>
      </c>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6"/>
      <c r="BN43" s="387"/>
      <c r="BO43" s="388"/>
      <c r="BP43" s="388"/>
      <c r="BQ43" s="388"/>
      <c r="BR43" s="388"/>
      <c r="BS43" s="388"/>
      <c r="BT43" s="388"/>
      <c r="BU43" s="388"/>
      <c r="BV43" s="388"/>
      <c r="BW43" s="388"/>
      <c r="BX43" s="388"/>
      <c r="BY43" s="388"/>
      <c r="BZ43" s="388"/>
      <c r="CA43" s="388"/>
      <c r="CB43" s="388"/>
      <c r="CC43" s="388"/>
      <c r="CD43" s="388"/>
      <c r="CE43" s="388"/>
      <c r="CF43" s="389"/>
      <c r="CG43" s="270"/>
    </row>
    <row r="44" spans="1:123" ht="36.75" customHeight="1">
      <c r="A44" s="34"/>
      <c r="B44" s="381" t="s">
        <v>180</v>
      </c>
      <c r="C44" s="382"/>
      <c r="D44" s="382"/>
      <c r="E44" s="382"/>
      <c r="F44" s="382"/>
      <c r="G44" s="382"/>
      <c r="H44" s="382"/>
      <c r="I44" s="382"/>
      <c r="J44" s="382"/>
      <c r="K44" s="382"/>
      <c r="L44" s="382"/>
      <c r="M44" s="382"/>
      <c r="N44" s="382"/>
      <c r="O44" s="382"/>
      <c r="P44" s="383"/>
      <c r="Q44" s="384" t="s">
        <v>451</v>
      </c>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6"/>
      <c r="BN44" s="387"/>
      <c r="BO44" s="388"/>
      <c r="BP44" s="388"/>
      <c r="BQ44" s="388"/>
      <c r="BR44" s="388"/>
      <c r="BS44" s="388"/>
      <c r="BT44" s="388"/>
      <c r="BU44" s="388"/>
      <c r="BV44" s="388"/>
      <c r="BW44" s="388"/>
      <c r="BX44" s="388"/>
      <c r="BY44" s="388"/>
      <c r="BZ44" s="388"/>
      <c r="CA44" s="388"/>
      <c r="CB44" s="388"/>
      <c r="CC44" s="388"/>
      <c r="CD44" s="388"/>
      <c r="CE44" s="388"/>
      <c r="CF44" s="389"/>
      <c r="CG44" s="270"/>
    </row>
    <row r="45" spans="1:123" ht="36.75" customHeight="1">
      <c r="A45" s="34"/>
      <c r="B45" s="381" t="s">
        <v>181</v>
      </c>
      <c r="C45" s="382"/>
      <c r="D45" s="382"/>
      <c r="E45" s="382"/>
      <c r="F45" s="382"/>
      <c r="G45" s="382"/>
      <c r="H45" s="382"/>
      <c r="I45" s="382"/>
      <c r="J45" s="382"/>
      <c r="K45" s="382"/>
      <c r="L45" s="382"/>
      <c r="M45" s="382"/>
      <c r="N45" s="382"/>
      <c r="O45" s="382"/>
      <c r="P45" s="383"/>
      <c r="Q45" s="384" t="s">
        <v>452</v>
      </c>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6"/>
      <c r="BN45" s="384" t="s">
        <v>403</v>
      </c>
      <c r="BO45" s="385"/>
      <c r="BP45" s="385"/>
      <c r="BQ45" s="385"/>
      <c r="BR45" s="385"/>
      <c r="BS45" s="385"/>
      <c r="BT45" s="385"/>
      <c r="BU45" s="385"/>
      <c r="BV45" s="385"/>
      <c r="BW45" s="385"/>
      <c r="BX45" s="385"/>
      <c r="BY45" s="385"/>
      <c r="BZ45" s="385"/>
      <c r="CA45" s="385"/>
      <c r="CB45" s="385"/>
      <c r="CC45" s="385"/>
      <c r="CD45" s="385"/>
      <c r="CE45" s="385"/>
      <c r="CF45" s="386"/>
      <c r="CG45" s="270"/>
    </row>
    <row r="46" spans="1:123" s="21" customFormat="1" ht="30.75" customHeight="1">
      <c r="A46" s="34"/>
      <c r="B46" s="381" t="s">
        <v>191</v>
      </c>
      <c r="C46" s="382"/>
      <c r="D46" s="382"/>
      <c r="E46" s="382"/>
      <c r="F46" s="382"/>
      <c r="G46" s="382"/>
      <c r="H46" s="382"/>
      <c r="I46" s="382"/>
      <c r="J46" s="382"/>
      <c r="K46" s="382"/>
      <c r="L46" s="382"/>
      <c r="M46" s="382"/>
      <c r="N46" s="382"/>
      <c r="O46" s="382"/>
      <c r="P46" s="383"/>
      <c r="Q46" s="384" t="s">
        <v>192</v>
      </c>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6"/>
      <c r="BN46" s="387"/>
      <c r="BO46" s="388"/>
      <c r="BP46" s="388"/>
      <c r="BQ46" s="388"/>
      <c r="BR46" s="388"/>
      <c r="BS46" s="388"/>
      <c r="BT46" s="388"/>
      <c r="BU46" s="388"/>
      <c r="BV46" s="388"/>
      <c r="BW46" s="388"/>
      <c r="BX46" s="388"/>
      <c r="BY46" s="388"/>
      <c r="BZ46" s="388"/>
      <c r="CA46" s="388"/>
      <c r="CB46" s="388"/>
      <c r="CC46" s="388"/>
      <c r="CD46" s="388"/>
      <c r="CE46" s="388"/>
      <c r="CF46" s="389"/>
      <c r="CG46" s="270"/>
    </row>
    <row r="47" spans="1:123" ht="36.75" customHeight="1">
      <c r="A47" s="34"/>
      <c r="B47" s="381" t="s">
        <v>193</v>
      </c>
      <c r="C47" s="382"/>
      <c r="D47" s="382"/>
      <c r="E47" s="382"/>
      <c r="F47" s="382"/>
      <c r="G47" s="382"/>
      <c r="H47" s="382"/>
      <c r="I47" s="382"/>
      <c r="J47" s="382"/>
      <c r="K47" s="382"/>
      <c r="L47" s="382"/>
      <c r="M47" s="382"/>
      <c r="N47" s="382"/>
      <c r="O47" s="382"/>
      <c r="P47" s="383"/>
      <c r="Q47" s="384" t="s">
        <v>195</v>
      </c>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6"/>
      <c r="BN47" s="387"/>
      <c r="BO47" s="388"/>
      <c r="BP47" s="388"/>
      <c r="BQ47" s="388"/>
      <c r="BR47" s="388"/>
      <c r="BS47" s="388"/>
      <c r="BT47" s="388"/>
      <c r="BU47" s="388"/>
      <c r="BV47" s="388"/>
      <c r="BW47" s="388"/>
      <c r="BX47" s="388"/>
      <c r="BY47" s="388"/>
      <c r="BZ47" s="388"/>
      <c r="CA47" s="388"/>
      <c r="CB47" s="388"/>
      <c r="CC47" s="388"/>
      <c r="CD47" s="388"/>
      <c r="CE47" s="388"/>
      <c r="CF47" s="389"/>
      <c r="CG47" s="270"/>
    </row>
    <row r="48" spans="1:123" ht="36.75" customHeight="1">
      <c r="A48" s="34"/>
      <c r="B48" s="381" t="s">
        <v>194</v>
      </c>
      <c r="C48" s="382"/>
      <c r="D48" s="382"/>
      <c r="E48" s="382"/>
      <c r="F48" s="382"/>
      <c r="G48" s="382"/>
      <c r="H48" s="382"/>
      <c r="I48" s="382"/>
      <c r="J48" s="382"/>
      <c r="K48" s="382"/>
      <c r="L48" s="382"/>
      <c r="M48" s="382"/>
      <c r="N48" s="382"/>
      <c r="O48" s="382"/>
      <c r="P48" s="383"/>
      <c r="Q48" s="384" t="s">
        <v>196</v>
      </c>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6"/>
      <c r="BN48" s="387"/>
      <c r="BO48" s="388"/>
      <c r="BP48" s="388"/>
      <c r="BQ48" s="388"/>
      <c r="BR48" s="388"/>
      <c r="BS48" s="388"/>
      <c r="BT48" s="388"/>
      <c r="BU48" s="388"/>
      <c r="BV48" s="388"/>
      <c r="BW48" s="388"/>
      <c r="BX48" s="388"/>
      <c r="BY48" s="388"/>
      <c r="BZ48" s="388"/>
      <c r="CA48" s="388"/>
      <c r="CB48" s="388"/>
      <c r="CC48" s="388"/>
      <c r="CD48" s="388"/>
      <c r="CE48" s="388"/>
      <c r="CF48" s="389"/>
      <c r="CG48" s="270"/>
    </row>
    <row r="49" spans="1:85" ht="36.75" customHeight="1">
      <c r="A49" s="34"/>
      <c r="B49" s="381" t="s">
        <v>251</v>
      </c>
      <c r="C49" s="382"/>
      <c r="D49" s="382"/>
      <c r="E49" s="382"/>
      <c r="F49" s="382"/>
      <c r="G49" s="382"/>
      <c r="H49" s="382"/>
      <c r="I49" s="382"/>
      <c r="J49" s="382"/>
      <c r="K49" s="382"/>
      <c r="L49" s="382"/>
      <c r="M49" s="382"/>
      <c r="N49" s="382"/>
      <c r="O49" s="382"/>
      <c r="P49" s="383"/>
      <c r="Q49" s="384" t="s">
        <v>454</v>
      </c>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6"/>
      <c r="BN49" s="387"/>
      <c r="BO49" s="388"/>
      <c r="BP49" s="388"/>
      <c r="BQ49" s="388"/>
      <c r="BR49" s="388"/>
      <c r="BS49" s="388"/>
      <c r="BT49" s="388"/>
      <c r="BU49" s="388"/>
      <c r="BV49" s="388"/>
      <c r="BW49" s="388"/>
      <c r="BX49" s="388"/>
      <c r="BY49" s="388"/>
      <c r="BZ49" s="388"/>
      <c r="CA49" s="388"/>
      <c r="CB49" s="388"/>
      <c r="CC49" s="388"/>
      <c r="CD49" s="388"/>
      <c r="CE49" s="388"/>
      <c r="CF49" s="389"/>
      <c r="CG49" s="270"/>
    </row>
    <row r="50" spans="1:85" ht="36.75" customHeight="1">
      <c r="A50" s="34"/>
      <c r="B50" s="381" t="s">
        <v>49</v>
      </c>
      <c r="C50" s="382"/>
      <c r="D50" s="382"/>
      <c r="E50" s="382"/>
      <c r="F50" s="382"/>
      <c r="G50" s="382"/>
      <c r="H50" s="382"/>
      <c r="I50" s="382"/>
      <c r="J50" s="382"/>
      <c r="K50" s="382"/>
      <c r="L50" s="382"/>
      <c r="M50" s="382"/>
      <c r="N50" s="382"/>
      <c r="O50" s="382"/>
      <c r="P50" s="383"/>
      <c r="Q50" s="384" t="s">
        <v>382</v>
      </c>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6"/>
      <c r="BN50" s="387"/>
      <c r="BO50" s="388"/>
      <c r="BP50" s="388"/>
      <c r="BQ50" s="388"/>
      <c r="BR50" s="388"/>
      <c r="BS50" s="388"/>
      <c r="BT50" s="388"/>
      <c r="BU50" s="388"/>
      <c r="BV50" s="388"/>
      <c r="BW50" s="388"/>
      <c r="BX50" s="388"/>
      <c r="BY50" s="388"/>
      <c r="BZ50" s="388"/>
      <c r="CA50" s="388"/>
      <c r="CB50" s="388"/>
      <c r="CC50" s="388"/>
      <c r="CD50" s="388"/>
      <c r="CE50" s="388"/>
      <c r="CF50" s="389"/>
      <c r="CG50" s="270"/>
    </row>
    <row r="51" spans="1:85" ht="36.75" customHeight="1">
      <c r="A51" s="34"/>
      <c r="B51" s="381" t="s">
        <v>50</v>
      </c>
      <c r="C51" s="382"/>
      <c r="D51" s="382"/>
      <c r="E51" s="382"/>
      <c r="F51" s="382"/>
      <c r="G51" s="382"/>
      <c r="H51" s="382"/>
      <c r="I51" s="382"/>
      <c r="J51" s="382"/>
      <c r="K51" s="382"/>
      <c r="L51" s="382"/>
      <c r="M51" s="382"/>
      <c r="N51" s="382"/>
      <c r="O51" s="382"/>
      <c r="P51" s="383"/>
      <c r="Q51" s="384" t="s">
        <v>51</v>
      </c>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6"/>
      <c r="BN51" s="384"/>
      <c r="BO51" s="388"/>
      <c r="BP51" s="388"/>
      <c r="BQ51" s="388"/>
      <c r="BR51" s="388"/>
      <c r="BS51" s="388"/>
      <c r="BT51" s="388"/>
      <c r="BU51" s="388"/>
      <c r="BV51" s="388"/>
      <c r="BW51" s="388"/>
      <c r="BX51" s="388"/>
      <c r="BY51" s="388"/>
      <c r="BZ51" s="388"/>
      <c r="CA51" s="388"/>
      <c r="CB51" s="388"/>
      <c r="CC51" s="388"/>
      <c r="CD51" s="388"/>
      <c r="CE51" s="388"/>
      <c r="CF51" s="389"/>
      <c r="CG51" s="270"/>
    </row>
    <row r="52" spans="1:85" ht="55.5" customHeight="1">
      <c r="A52" s="34"/>
      <c r="B52" s="381" t="s">
        <v>52</v>
      </c>
      <c r="C52" s="382"/>
      <c r="D52" s="382"/>
      <c r="E52" s="382"/>
      <c r="F52" s="382"/>
      <c r="G52" s="382"/>
      <c r="H52" s="382"/>
      <c r="I52" s="382"/>
      <c r="J52" s="382"/>
      <c r="K52" s="382"/>
      <c r="L52" s="382"/>
      <c r="M52" s="382"/>
      <c r="N52" s="382"/>
      <c r="O52" s="382"/>
      <c r="P52" s="383"/>
      <c r="Q52" s="393" t="s">
        <v>443</v>
      </c>
      <c r="R52" s="394"/>
      <c r="S52" s="394"/>
      <c r="T52" s="394"/>
      <c r="U52" s="394"/>
      <c r="V52" s="394"/>
      <c r="W52" s="394"/>
      <c r="X52" s="394"/>
      <c r="Y52" s="394"/>
      <c r="Z52" s="394"/>
      <c r="AA52" s="394"/>
      <c r="AB52" s="394"/>
      <c r="AC52" s="394"/>
      <c r="AD52" s="394"/>
      <c r="AE52" s="394"/>
      <c r="AF52" s="394"/>
      <c r="AG52" s="394"/>
      <c r="AH52" s="394"/>
      <c r="AI52" s="394"/>
      <c r="AJ52" s="394"/>
      <c r="AK52" s="394"/>
      <c r="AL52" s="394"/>
      <c r="AM52" s="394"/>
      <c r="AN52" s="394"/>
      <c r="AO52" s="394"/>
      <c r="AP52" s="394"/>
      <c r="AQ52" s="394"/>
      <c r="AR52" s="394"/>
      <c r="AS52" s="394"/>
      <c r="AT52" s="394"/>
      <c r="AU52" s="394"/>
      <c r="AV52" s="394"/>
      <c r="AW52" s="394"/>
      <c r="AX52" s="394"/>
      <c r="AY52" s="394"/>
      <c r="AZ52" s="394"/>
      <c r="BA52" s="394"/>
      <c r="BB52" s="394"/>
      <c r="BC52" s="394"/>
      <c r="BD52" s="394"/>
      <c r="BE52" s="394"/>
      <c r="BF52" s="394"/>
      <c r="BG52" s="394"/>
      <c r="BH52" s="394"/>
      <c r="BI52" s="394"/>
      <c r="BJ52" s="394"/>
      <c r="BK52" s="394"/>
      <c r="BL52" s="394"/>
      <c r="BM52" s="395"/>
      <c r="BN52" s="387"/>
      <c r="BO52" s="388"/>
      <c r="BP52" s="388"/>
      <c r="BQ52" s="388"/>
      <c r="BR52" s="388"/>
      <c r="BS52" s="388"/>
      <c r="BT52" s="388"/>
      <c r="BU52" s="388"/>
      <c r="BV52" s="388"/>
      <c r="BW52" s="388"/>
      <c r="BX52" s="388"/>
      <c r="BY52" s="388"/>
      <c r="BZ52" s="388"/>
      <c r="CA52" s="388"/>
      <c r="CB52" s="388"/>
      <c r="CC52" s="388"/>
      <c r="CD52" s="388"/>
      <c r="CE52" s="388"/>
      <c r="CF52" s="389"/>
      <c r="CG52" s="270"/>
    </row>
    <row r="53" spans="1:85" s="21" customFormat="1" ht="33.75" customHeight="1">
      <c r="A53" s="34"/>
      <c r="B53" s="381" t="s">
        <v>197</v>
      </c>
      <c r="C53" s="382"/>
      <c r="D53" s="382"/>
      <c r="E53" s="382"/>
      <c r="F53" s="382"/>
      <c r="G53" s="382"/>
      <c r="H53" s="382"/>
      <c r="I53" s="382"/>
      <c r="J53" s="382"/>
      <c r="K53" s="382"/>
      <c r="L53" s="382"/>
      <c r="M53" s="382"/>
      <c r="N53" s="382"/>
      <c r="O53" s="382"/>
      <c r="P53" s="383"/>
      <c r="Q53" s="384" t="s">
        <v>198</v>
      </c>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6"/>
      <c r="BN53" s="387"/>
      <c r="BO53" s="388"/>
      <c r="BP53" s="388"/>
      <c r="BQ53" s="388"/>
      <c r="BR53" s="388"/>
      <c r="BS53" s="388"/>
      <c r="BT53" s="388"/>
      <c r="BU53" s="388"/>
      <c r="BV53" s="388"/>
      <c r="BW53" s="388"/>
      <c r="BX53" s="388"/>
      <c r="BY53" s="388"/>
      <c r="BZ53" s="388"/>
      <c r="CA53" s="388"/>
      <c r="CB53" s="388"/>
      <c r="CC53" s="388"/>
      <c r="CD53" s="388"/>
      <c r="CE53" s="388"/>
      <c r="CF53" s="389"/>
      <c r="CG53" s="270"/>
    </row>
    <row r="54" spans="1:85" s="21" customFormat="1" ht="30.75" customHeight="1">
      <c r="A54" s="34"/>
      <c r="B54" s="381" t="s">
        <v>199</v>
      </c>
      <c r="C54" s="382"/>
      <c r="D54" s="382"/>
      <c r="E54" s="382"/>
      <c r="F54" s="382"/>
      <c r="G54" s="382"/>
      <c r="H54" s="382"/>
      <c r="I54" s="382"/>
      <c r="J54" s="382"/>
      <c r="K54" s="382"/>
      <c r="L54" s="382"/>
      <c r="M54" s="382"/>
      <c r="N54" s="382"/>
      <c r="O54" s="382"/>
      <c r="P54" s="383"/>
      <c r="Q54" s="384" t="s">
        <v>383</v>
      </c>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6"/>
      <c r="BN54" s="387"/>
      <c r="BO54" s="388"/>
      <c r="BP54" s="388"/>
      <c r="BQ54" s="388"/>
      <c r="BR54" s="388"/>
      <c r="BS54" s="388"/>
      <c r="BT54" s="388"/>
      <c r="BU54" s="388"/>
      <c r="BV54" s="388"/>
      <c r="BW54" s="388"/>
      <c r="BX54" s="388"/>
      <c r="BY54" s="388"/>
      <c r="BZ54" s="388"/>
      <c r="CA54" s="388"/>
      <c r="CB54" s="388"/>
      <c r="CC54" s="388"/>
      <c r="CD54" s="388"/>
      <c r="CE54" s="388"/>
      <c r="CF54" s="389"/>
      <c r="CG54" s="270"/>
    </row>
    <row r="55" spans="1:85" s="21" customFormat="1" ht="33.75" customHeight="1">
      <c r="A55" s="34"/>
      <c r="B55" s="381" t="s">
        <v>261</v>
      </c>
      <c r="C55" s="382"/>
      <c r="D55" s="382"/>
      <c r="E55" s="382"/>
      <c r="F55" s="382"/>
      <c r="G55" s="382"/>
      <c r="H55" s="382"/>
      <c r="I55" s="382"/>
      <c r="J55" s="382"/>
      <c r="K55" s="382"/>
      <c r="L55" s="382"/>
      <c r="M55" s="382"/>
      <c r="N55" s="382"/>
      <c r="O55" s="382"/>
      <c r="P55" s="383"/>
      <c r="Q55" s="384" t="s">
        <v>263</v>
      </c>
      <c r="R55" s="385"/>
      <c r="S55" s="385"/>
      <c r="T55" s="385"/>
      <c r="U55" s="385"/>
      <c r="V55" s="385"/>
      <c r="W55" s="385"/>
      <c r="X55" s="385"/>
      <c r="Y55" s="385"/>
      <c r="Z55" s="385"/>
      <c r="AA55" s="385"/>
      <c r="AB55" s="385"/>
      <c r="AC55" s="385"/>
      <c r="AD55" s="385"/>
      <c r="AE55" s="385"/>
      <c r="AF55" s="385"/>
      <c r="AG55" s="385"/>
      <c r="AH55" s="385"/>
      <c r="AI55" s="385"/>
      <c r="AJ55" s="385"/>
      <c r="AK55" s="385"/>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6"/>
      <c r="BN55" s="387"/>
      <c r="BO55" s="388"/>
      <c r="BP55" s="388"/>
      <c r="BQ55" s="388"/>
      <c r="BR55" s="388"/>
      <c r="BS55" s="388"/>
      <c r="BT55" s="388"/>
      <c r="BU55" s="388"/>
      <c r="BV55" s="388"/>
      <c r="BW55" s="388"/>
      <c r="BX55" s="388"/>
      <c r="BY55" s="388"/>
      <c r="BZ55" s="388"/>
      <c r="CA55" s="388"/>
      <c r="CB55" s="388"/>
      <c r="CC55" s="388"/>
      <c r="CD55" s="388"/>
      <c r="CE55" s="388"/>
      <c r="CF55" s="389"/>
      <c r="CG55" s="270"/>
    </row>
    <row r="56" spans="1:85" s="21" customFormat="1" ht="30.75" customHeight="1">
      <c r="A56" s="34"/>
      <c r="B56" s="381" t="s">
        <v>405</v>
      </c>
      <c r="C56" s="382"/>
      <c r="D56" s="382"/>
      <c r="E56" s="382"/>
      <c r="F56" s="382"/>
      <c r="G56" s="382"/>
      <c r="H56" s="382"/>
      <c r="I56" s="382"/>
      <c r="J56" s="382"/>
      <c r="K56" s="382"/>
      <c r="L56" s="382"/>
      <c r="M56" s="382"/>
      <c r="N56" s="382"/>
      <c r="O56" s="382"/>
      <c r="P56" s="383"/>
      <c r="Q56" s="635" t="s">
        <v>404</v>
      </c>
      <c r="R56" s="636"/>
      <c r="S56" s="636"/>
      <c r="T56" s="636"/>
      <c r="U56" s="636"/>
      <c r="V56" s="636"/>
      <c r="W56" s="636"/>
      <c r="X56" s="636"/>
      <c r="Y56" s="636"/>
      <c r="Z56" s="636"/>
      <c r="AA56" s="636"/>
      <c r="AB56" s="636"/>
      <c r="AC56" s="636"/>
      <c r="AD56" s="636"/>
      <c r="AE56" s="636"/>
      <c r="AF56" s="636"/>
      <c r="AG56" s="636"/>
      <c r="AH56" s="636"/>
      <c r="AI56" s="636"/>
      <c r="AJ56" s="636"/>
      <c r="AK56" s="636"/>
      <c r="AL56" s="636"/>
      <c r="AM56" s="636"/>
      <c r="AN56" s="636"/>
      <c r="AO56" s="636"/>
      <c r="AP56" s="636"/>
      <c r="AQ56" s="636"/>
      <c r="AR56" s="636"/>
      <c r="AS56" s="636"/>
      <c r="AT56" s="636"/>
      <c r="AU56" s="636"/>
      <c r="AV56" s="636"/>
      <c r="AW56" s="636"/>
      <c r="AX56" s="636"/>
      <c r="AY56" s="636"/>
      <c r="AZ56" s="636"/>
      <c r="BA56" s="636"/>
      <c r="BB56" s="636"/>
      <c r="BC56" s="636"/>
      <c r="BD56" s="636"/>
      <c r="BE56" s="636"/>
      <c r="BF56" s="636"/>
      <c r="BG56" s="636"/>
      <c r="BH56" s="636"/>
      <c r="BI56" s="636"/>
      <c r="BJ56" s="636"/>
      <c r="BK56" s="636"/>
      <c r="BL56" s="636"/>
      <c r="BM56" s="637"/>
      <c r="BN56" s="387"/>
      <c r="BO56" s="388"/>
      <c r="BP56" s="388"/>
      <c r="BQ56" s="388"/>
      <c r="BR56" s="388"/>
      <c r="BS56" s="388"/>
      <c r="BT56" s="388"/>
      <c r="BU56" s="388"/>
      <c r="BV56" s="388"/>
      <c r="BW56" s="388"/>
      <c r="BX56" s="388"/>
      <c r="BY56" s="388"/>
      <c r="BZ56" s="388"/>
      <c r="CA56" s="388"/>
      <c r="CB56" s="388"/>
      <c r="CC56" s="388"/>
      <c r="CD56" s="388"/>
      <c r="CE56" s="388"/>
      <c r="CF56" s="389"/>
      <c r="CG56" s="270"/>
    </row>
    <row r="57" spans="1:85" s="21" customFormat="1" ht="33.75" customHeight="1">
      <c r="A57" s="34"/>
      <c r="B57" s="381" t="s">
        <v>260</v>
      </c>
      <c r="C57" s="382"/>
      <c r="D57" s="382"/>
      <c r="E57" s="382"/>
      <c r="F57" s="382"/>
      <c r="G57" s="382"/>
      <c r="H57" s="382"/>
      <c r="I57" s="382"/>
      <c r="J57" s="382"/>
      <c r="K57" s="382"/>
      <c r="L57" s="382"/>
      <c r="M57" s="382"/>
      <c r="N57" s="382"/>
      <c r="O57" s="382"/>
      <c r="P57" s="383"/>
      <c r="Q57" s="384" t="s">
        <v>317</v>
      </c>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6"/>
      <c r="BN57" s="387"/>
      <c r="BO57" s="388"/>
      <c r="BP57" s="388"/>
      <c r="BQ57" s="388"/>
      <c r="BR57" s="388"/>
      <c r="BS57" s="388"/>
      <c r="BT57" s="388"/>
      <c r="BU57" s="388"/>
      <c r="BV57" s="388"/>
      <c r="BW57" s="388"/>
      <c r="BX57" s="388"/>
      <c r="BY57" s="388"/>
      <c r="BZ57" s="388"/>
      <c r="CA57" s="388"/>
      <c r="CB57" s="388"/>
      <c r="CC57" s="388"/>
      <c r="CD57" s="388"/>
      <c r="CE57" s="388"/>
      <c r="CF57" s="389"/>
      <c r="CG57" s="270"/>
    </row>
    <row r="58" spans="1:85" s="21" customFormat="1" ht="23.25" customHeight="1">
      <c r="A58" s="34"/>
      <c r="B58" s="340" t="s">
        <v>54</v>
      </c>
      <c r="C58" s="340"/>
      <c r="D58" s="340"/>
      <c r="E58" s="340"/>
      <c r="F58" s="340"/>
      <c r="G58" s="340"/>
      <c r="H58" s="340"/>
      <c r="I58" s="340"/>
      <c r="J58" s="340"/>
      <c r="K58" s="340"/>
      <c r="L58" s="340"/>
      <c r="M58" s="340"/>
      <c r="N58" s="340"/>
      <c r="O58" s="340"/>
      <c r="P58" s="340"/>
      <c r="Q58" s="340"/>
      <c r="R58" s="340" t="s">
        <v>55</v>
      </c>
      <c r="S58" s="340"/>
      <c r="T58" s="340"/>
      <c r="U58" s="340"/>
      <c r="V58" s="340"/>
      <c r="W58" s="340"/>
      <c r="X58" s="340"/>
      <c r="Y58" s="340"/>
      <c r="Z58" s="340"/>
      <c r="AA58" s="340"/>
      <c r="AB58" s="340"/>
      <c r="AC58" s="340"/>
      <c r="AD58" s="340"/>
      <c r="AE58" s="340"/>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340"/>
      <c r="BM58" s="340"/>
      <c r="BN58" s="340"/>
      <c r="BO58" s="340"/>
      <c r="BP58" s="340"/>
      <c r="BQ58" s="340"/>
      <c r="BR58" s="340"/>
      <c r="BS58" s="340"/>
      <c r="BT58" s="340"/>
      <c r="BU58" s="340"/>
      <c r="BV58" s="340"/>
      <c r="BW58" s="340"/>
      <c r="BX58" s="340"/>
      <c r="BY58" s="340"/>
      <c r="BZ58" s="340"/>
      <c r="CA58" s="340"/>
      <c r="CB58" s="340"/>
      <c r="CC58" s="340"/>
      <c r="CD58" s="340"/>
      <c r="CE58" s="340"/>
      <c r="CF58" s="340"/>
      <c r="CG58" s="270"/>
    </row>
    <row r="59" spans="1:85" s="27" customFormat="1" ht="19.5" customHeight="1">
      <c r="A59" s="35"/>
      <c r="B59" s="412" t="s">
        <v>56</v>
      </c>
      <c r="C59" s="413"/>
      <c r="D59" s="413"/>
      <c r="E59" s="413"/>
      <c r="F59" s="413"/>
      <c r="G59" s="413"/>
      <c r="H59" s="413"/>
      <c r="I59" s="413"/>
      <c r="J59" s="413"/>
      <c r="K59" s="413"/>
      <c r="L59" s="413"/>
      <c r="M59" s="413"/>
      <c r="N59" s="413"/>
      <c r="O59" s="413"/>
      <c r="P59" s="414"/>
      <c r="Q59" s="412" t="s">
        <v>57</v>
      </c>
      <c r="R59" s="413"/>
      <c r="S59" s="413"/>
      <c r="T59" s="413"/>
      <c r="U59" s="413"/>
      <c r="V59" s="413"/>
      <c r="W59" s="413"/>
      <c r="X59" s="413"/>
      <c r="Y59" s="413"/>
      <c r="Z59" s="413"/>
      <c r="AA59" s="413"/>
      <c r="AB59" s="413"/>
      <c r="AC59" s="413"/>
      <c r="AD59" s="413"/>
      <c r="AE59" s="413"/>
      <c r="AF59" s="413"/>
      <c r="AG59" s="413"/>
      <c r="AH59" s="413"/>
      <c r="AI59" s="413"/>
      <c r="AJ59" s="413"/>
      <c r="AK59" s="413"/>
      <c r="AL59" s="413"/>
      <c r="AM59" s="413"/>
      <c r="AN59" s="413"/>
      <c r="AO59" s="413"/>
      <c r="AP59" s="413"/>
      <c r="AQ59" s="413"/>
      <c r="AR59" s="413"/>
      <c r="AS59" s="413"/>
      <c r="AT59" s="413"/>
      <c r="AU59" s="413"/>
      <c r="AV59" s="413"/>
      <c r="AW59" s="413"/>
      <c r="AX59" s="413"/>
      <c r="AY59" s="413"/>
      <c r="AZ59" s="413"/>
      <c r="BA59" s="413"/>
      <c r="BB59" s="413"/>
      <c r="BC59" s="413"/>
      <c r="BD59" s="413"/>
      <c r="BE59" s="413"/>
      <c r="BF59" s="413"/>
      <c r="BG59" s="413"/>
      <c r="BH59" s="413"/>
      <c r="BI59" s="413"/>
      <c r="BJ59" s="413"/>
      <c r="BK59" s="413"/>
      <c r="BL59" s="413"/>
      <c r="BM59" s="414"/>
      <c r="BN59" s="294" t="s">
        <v>46</v>
      </c>
      <c r="BO59" s="297"/>
      <c r="BP59" s="297"/>
      <c r="BQ59" s="297"/>
      <c r="BR59" s="297"/>
      <c r="BS59" s="297"/>
      <c r="BT59" s="297"/>
      <c r="BU59" s="297"/>
      <c r="BV59" s="297"/>
      <c r="BW59" s="297"/>
      <c r="BX59" s="297"/>
      <c r="BY59" s="297"/>
      <c r="BZ59" s="297"/>
      <c r="CA59" s="297"/>
      <c r="CB59" s="297"/>
      <c r="CC59" s="297"/>
      <c r="CD59" s="297"/>
      <c r="CE59" s="297"/>
      <c r="CF59" s="298"/>
      <c r="CG59" s="265"/>
    </row>
    <row r="60" spans="1:85" s="21" customFormat="1" ht="30.75" customHeight="1">
      <c r="A60" s="34"/>
      <c r="B60" s="294" t="s">
        <v>58</v>
      </c>
      <c r="C60" s="295"/>
      <c r="D60" s="295"/>
      <c r="E60" s="295"/>
      <c r="F60" s="295"/>
      <c r="G60" s="295"/>
      <c r="H60" s="295"/>
      <c r="I60" s="295"/>
      <c r="J60" s="295"/>
      <c r="K60" s="295"/>
      <c r="L60" s="295"/>
      <c r="M60" s="295"/>
      <c r="N60" s="295"/>
      <c r="O60" s="295"/>
      <c r="P60" s="296"/>
      <c r="Q60" s="387" t="s">
        <v>262</v>
      </c>
      <c r="R60" s="388"/>
      <c r="S60" s="388"/>
      <c r="T60" s="388"/>
      <c r="U60" s="388"/>
      <c r="V60" s="388"/>
      <c r="W60" s="388"/>
      <c r="X60" s="388"/>
      <c r="Y60" s="388"/>
      <c r="Z60" s="388"/>
      <c r="AA60" s="388"/>
      <c r="AB60" s="388"/>
      <c r="AC60" s="388"/>
      <c r="AD60" s="388"/>
      <c r="AE60" s="388"/>
      <c r="AF60" s="388"/>
      <c r="AG60" s="388"/>
      <c r="AH60" s="388"/>
      <c r="AI60" s="388"/>
      <c r="AJ60" s="388"/>
      <c r="AK60" s="388"/>
      <c r="AL60" s="388"/>
      <c r="AM60" s="388"/>
      <c r="AN60" s="388"/>
      <c r="AO60" s="388"/>
      <c r="AP60" s="388"/>
      <c r="AQ60" s="388"/>
      <c r="AR60" s="388"/>
      <c r="AS60" s="388"/>
      <c r="AT60" s="388"/>
      <c r="AU60" s="388"/>
      <c r="AV60" s="388"/>
      <c r="AW60" s="388"/>
      <c r="AX60" s="388"/>
      <c r="AY60" s="388"/>
      <c r="AZ60" s="388"/>
      <c r="BA60" s="388"/>
      <c r="BB60" s="388"/>
      <c r="BC60" s="388"/>
      <c r="BD60" s="388"/>
      <c r="BE60" s="388"/>
      <c r="BF60" s="388"/>
      <c r="BG60" s="388"/>
      <c r="BH60" s="388"/>
      <c r="BI60" s="388"/>
      <c r="BJ60" s="388"/>
      <c r="BK60" s="388"/>
      <c r="BL60" s="388"/>
      <c r="BM60" s="389"/>
      <c r="BN60" s="387"/>
      <c r="BO60" s="388"/>
      <c r="BP60" s="388"/>
      <c r="BQ60" s="388"/>
      <c r="BR60" s="388"/>
      <c r="BS60" s="388"/>
      <c r="BT60" s="388"/>
      <c r="BU60" s="388"/>
      <c r="BV60" s="388"/>
      <c r="BW60" s="388"/>
      <c r="BX60" s="388"/>
      <c r="BY60" s="388"/>
      <c r="BZ60" s="388"/>
      <c r="CA60" s="388"/>
      <c r="CB60" s="388"/>
      <c r="CC60" s="388"/>
      <c r="CD60" s="388"/>
      <c r="CE60" s="388"/>
      <c r="CF60" s="389"/>
      <c r="CG60" s="270"/>
    </row>
    <row r="61" spans="1:85" s="41" customFormat="1" ht="4.5" customHeight="1">
      <c r="A61" s="100"/>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c r="BK61" s="271"/>
      <c r="BL61" s="271"/>
      <c r="BM61" s="271"/>
      <c r="BN61" s="271"/>
      <c r="BO61" s="271"/>
      <c r="BP61" s="271"/>
      <c r="BQ61" s="271"/>
      <c r="BR61" s="271"/>
      <c r="BS61" s="271"/>
      <c r="BT61" s="271"/>
      <c r="BU61" s="271"/>
      <c r="BV61" s="271"/>
      <c r="BW61" s="271"/>
      <c r="BX61" s="271"/>
      <c r="BY61" s="271"/>
      <c r="BZ61" s="271"/>
      <c r="CA61" s="271"/>
      <c r="CB61" s="271"/>
      <c r="CC61" s="271"/>
      <c r="CD61" s="271"/>
      <c r="CE61" s="271"/>
      <c r="CF61" s="271"/>
      <c r="CG61" s="272"/>
    </row>
    <row r="62" spans="1:85" s="97" customFormat="1" ht="3" customHeight="1">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row>
    <row r="63" spans="1:85" s="97" customFormat="1" ht="19.5" customHeight="1"/>
    <row r="64" spans="1:85" s="97" customFormat="1" ht="19.5" customHeight="1"/>
    <row r="65" s="97" customFormat="1"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sheetData>
  <mergeCells count="119">
    <mergeCell ref="D27:S27"/>
    <mergeCell ref="AP28:BC28"/>
    <mergeCell ref="BN48:CF48"/>
    <mergeCell ref="B53:P53"/>
    <mergeCell ref="BN54:CF54"/>
    <mergeCell ref="BN55:CF55"/>
    <mergeCell ref="BD24:BQ24"/>
    <mergeCell ref="BD25:BK25"/>
    <mergeCell ref="BL25:BQ25"/>
    <mergeCell ref="AD24:AO25"/>
    <mergeCell ref="AP24:BC25"/>
    <mergeCell ref="AD26:AO26"/>
    <mergeCell ref="AD27:AO27"/>
    <mergeCell ref="AP26:BC26"/>
    <mergeCell ref="AP27:BC27"/>
    <mergeCell ref="D29:S29"/>
    <mergeCell ref="BD26:BK26"/>
    <mergeCell ref="BD27:BK27"/>
    <mergeCell ref="BD28:BK28"/>
    <mergeCell ref="BD29:BK29"/>
    <mergeCell ref="BL27:BQ27"/>
    <mergeCell ref="BR26:BW26"/>
    <mergeCell ref="BR28:BW28"/>
    <mergeCell ref="BL26:BQ26"/>
    <mergeCell ref="B56:P56"/>
    <mergeCell ref="Q54:BM54"/>
    <mergeCell ref="AD32:AO33"/>
    <mergeCell ref="AP32:BC33"/>
    <mergeCell ref="D34:E34"/>
    <mergeCell ref="D32:E33"/>
    <mergeCell ref="Y32:AC33"/>
    <mergeCell ref="T32:X33"/>
    <mergeCell ref="F32:S33"/>
    <mergeCell ref="B54:P54"/>
    <mergeCell ref="B50:P50"/>
    <mergeCell ref="Q50:BM50"/>
    <mergeCell ref="B42:P42"/>
    <mergeCell ref="AP35:BC35"/>
    <mergeCell ref="Q45:BM45"/>
    <mergeCell ref="Q55:BM55"/>
    <mergeCell ref="B48:P48"/>
    <mergeCell ref="Q48:BM48"/>
    <mergeCell ref="BD32:BP33"/>
    <mergeCell ref="Q44:BM44"/>
    <mergeCell ref="BN44:CF44"/>
    <mergeCell ref="B45:P45"/>
    <mergeCell ref="BN45:CF45"/>
    <mergeCell ref="BL28:BQ28"/>
    <mergeCell ref="B46:P46"/>
    <mergeCell ref="D26:S26"/>
    <mergeCell ref="B47:P47"/>
    <mergeCell ref="Q47:BM47"/>
    <mergeCell ref="BN47:CF47"/>
    <mergeCell ref="D16:CC16"/>
    <mergeCell ref="T24:X25"/>
    <mergeCell ref="Y24:AC25"/>
    <mergeCell ref="D23:CC23"/>
    <mergeCell ref="D24:S25"/>
    <mergeCell ref="BR24:CC24"/>
    <mergeCell ref="BR25:BW25"/>
    <mergeCell ref="BX25:CC25"/>
    <mergeCell ref="AP30:AU30"/>
    <mergeCell ref="AJ30:AO30"/>
    <mergeCell ref="AV30:BA30"/>
    <mergeCell ref="BB30:BG30"/>
    <mergeCell ref="BH30:BM30"/>
    <mergeCell ref="BN43:CF43"/>
    <mergeCell ref="Q46:BM46"/>
    <mergeCell ref="Q42:BM42"/>
    <mergeCell ref="D31:CC31"/>
    <mergeCell ref="BQ32:CC33"/>
    <mergeCell ref="BR27:BW27"/>
    <mergeCell ref="BR29:BW29"/>
    <mergeCell ref="BN57:CF57"/>
    <mergeCell ref="BN56:CF56"/>
    <mergeCell ref="Q56:BM56"/>
    <mergeCell ref="Q53:BM53"/>
    <mergeCell ref="AT1:BF1"/>
    <mergeCell ref="A2:BO2"/>
    <mergeCell ref="D14:CC14"/>
    <mergeCell ref="A4:K4"/>
    <mergeCell ref="L4:BO4"/>
    <mergeCell ref="A7:K7"/>
    <mergeCell ref="L7:CG7"/>
    <mergeCell ref="L10:BU12"/>
    <mergeCell ref="BV10:CF12"/>
    <mergeCell ref="A3:K3"/>
    <mergeCell ref="L3:BO3"/>
    <mergeCell ref="BP3:BU3"/>
    <mergeCell ref="BV3:CG3"/>
    <mergeCell ref="BP4:BU4"/>
    <mergeCell ref="BV4:CG4"/>
    <mergeCell ref="BP2:BU2"/>
    <mergeCell ref="CA2:CC2"/>
    <mergeCell ref="CD2:CG2"/>
    <mergeCell ref="BN30:BS30"/>
    <mergeCell ref="BT30:BY30"/>
    <mergeCell ref="BN60:CF60"/>
    <mergeCell ref="Q43:BM43"/>
    <mergeCell ref="B43:P43"/>
    <mergeCell ref="BN50:CF50"/>
    <mergeCell ref="B51:P51"/>
    <mergeCell ref="Q51:BM51"/>
    <mergeCell ref="BN51:CF51"/>
    <mergeCell ref="B52:P52"/>
    <mergeCell ref="Q52:BM52"/>
    <mergeCell ref="BN52:CF52"/>
    <mergeCell ref="BN46:CF46"/>
    <mergeCell ref="BN53:CF53"/>
    <mergeCell ref="Q57:BM57"/>
    <mergeCell ref="B57:P57"/>
    <mergeCell ref="B49:P49"/>
    <mergeCell ref="Q49:BM49"/>
    <mergeCell ref="BN49:CF49"/>
    <mergeCell ref="B59:P59"/>
    <mergeCell ref="Q60:BM60"/>
    <mergeCell ref="Q59:BM59"/>
    <mergeCell ref="B44:P44"/>
    <mergeCell ref="B55:P55"/>
  </mergeCells>
  <phoneticPr fontId="5"/>
  <pageMargins left="0.45" right="0.23" top="0.51" bottom="0.19685039370078741" header="0.7" footer="0.27559055118110237"/>
  <pageSetup paperSize="9" scale="62"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CE23-2D0A-41C8-A87A-9B5C5C2DFFE1}">
  <sheetPr codeName="Sheet7"/>
  <dimension ref="A1:BU97"/>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71" t="s">
        <v>80</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316</v>
      </c>
      <c r="BA2" s="367"/>
      <c r="BB2" s="367"/>
      <c r="BC2" s="368"/>
      <c r="BD2" s="366" t="s">
        <v>5</v>
      </c>
      <c r="BE2" s="367"/>
      <c r="BF2" s="368"/>
      <c r="BG2" s="366"/>
      <c r="BH2" s="367"/>
      <c r="BI2" s="367"/>
      <c r="BJ2" s="368"/>
    </row>
    <row r="3" spans="1:63" ht="21" customHeight="1">
      <c r="A3" s="366" t="s">
        <v>6</v>
      </c>
      <c r="B3" s="367"/>
      <c r="C3" s="367"/>
      <c r="D3" s="367"/>
      <c r="E3" s="367"/>
      <c r="F3" s="367"/>
      <c r="G3" s="368"/>
      <c r="H3" s="537" t="s">
        <v>302</v>
      </c>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7"/>
      <c r="AV3" s="366" t="s">
        <v>7</v>
      </c>
      <c r="AW3" s="367"/>
      <c r="AX3" s="367"/>
      <c r="AY3" s="368"/>
      <c r="AZ3" s="549">
        <v>45898</v>
      </c>
      <c r="BA3" s="550"/>
      <c r="BB3" s="550"/>
      <c r="BC3" s="550"/>
      <c r="BD3" s="550"/>
      <c r="BE3" s="550"/>
      <c r="BF3" s="550"/>
      <c r="BG3" s="550"/>
      <c r="BH3" s="550"/>
      <c r="BI3" s="550"/>
      <c r="BJ3" s="551"/>
    </row>
    <row r="4" spans="1:63" ht="21" customHeight="1">
      <c r="A4" s="366" t="s">
        <v>8</v>
      </c>
      <c r="B4" s="367"/>
      <c r="C4" s="367"/>
      <c r="D4" s="367"/>
      <c r="E4" s="367"/>
      <c r="F4" s="367"/>
      <c r="G4" s="368"/>
      <c r="H4" s="537" t="s">
        <v>29</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366" t="s">
        <v>10</v>
      </c>
      <c r="AW4" s="367"/>
      <c r="AX4" s="367"/>
      <c r="AY4" s="368"/>
      <c r="AZ4" s="366"/>
      <c r="BA4" s="367"/>
      <c r="BB4" s="367"/>
      <c r="BC4" s="367"/>
      <c r="BD4" s="367"/>
      <c r="BE4" s="367"/>
      <c r="BF4" s="367"/>
      <c r="BG4" s="367"/>
      <c r="BH4" s="367"/>
      <c r="BI4" s="367"/>
      <c r="BJ4" s="368"/>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66" t="s">
        <v>30</v>
      </c>
      <c r="B6" s="367"/>
      <c r="C6" s="367"/>
      <c r="D6" s="367"/>
      <c r="E6" s="367"/>
      <c r="F6" s="367"/>
      <c r="G6" s="368"/>
      <c r="H6" s="537" t="str">
        <f>変更履歴!H6</f>
        <v>販売共計年産繰越入力</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96"/>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5" t="s">
        <v>81</v>
      </c>
      <c r="B9" s="365"/>
      <c r="C9" s="365"/>
      <c r="D9" s="556" t="s">
        <v>137</v>
      </c>
      <c r="E9" s="556"/>
      <c r="F9" s="556"/>
      <c r="G9" s="556"/>
      <c r="H9" s="556"/>
      <c r="I9" s="556"/>
      <c r="J9" s="556"/>
      <c r="K9" s="556"/>
      <c r="L9" s="556"/>
      <c r="M9" s="556"/>
      <c r="N9" s="556"/>
      <c r="O9" s="556"/>
      <c r="P9" s="556"/>
      <c r="Q9" s="556"/>
      <c r="R9" s="556"/>
      <c r="S9" s="556"/>
      <c r="T9" s="556"/>
      <c r="U9" s="556"/>
      <c r="V9" s="556"/>
      <c r="W9" s="556"/>
      <c r="X9" s="556"/>
      <c r="Y9" s="556"/>
      <c r="Z9" s="556"/>
      <c r="AA9" s="556"/>
      <c r="AB9" s="556"/>
      <c r="AC9" s="556"/>
      <c r="AD9" s="556"/>
      <c r="AE9" s="556"/>
      <c r="AF9" s="556"/>
      <c r="AG9" s="556"/>
      <c r="AH9" s="556"/>
      <c r="AI9" s="556"/>
      <c r="AJ9" s="556"/>
      <c r="AK9" s="556"/>
      <c r="AL9" s="556"/>
      <c r="AM9" s="556"/>
      <c r="AN9" s="556"/>
      <c r="AO9" s="556"/>
      <c r="AP9" s="556"/>
      <c r="AQ9" s="556"/>
      <c r="AR9" s="556"/>
      <c r="AS9" s="556"/>
      <c r="AT9" s="356" t="s">
        <v>138</v>
      </c>
      <c r="AU9" s="357"/>
      <c r="AV9" s="357"/>
      <c r="AW9" s="357"/>
      <c r="AX9" s="357"/>
      <c r="AY9" s="357"/>
      <c r="AZ9" s="357"/>
      <c r="BA9" s="357"/>
      <c r="BB9" s="357"/>
      <c r="BC9" s="357"/>
      <c r="BD9" s="357"/>
      <c r="BE9" s="357"/>
      <c r="BF9" s="357"/>
      <c r="BG9" s="357"/>
      <c r="BH9" s="357"/>
      <c r="BI9" s="357"/>
      <c r="BJ9" s="358"/>
      <c r="BK9" s="173"/>
    </row>
    <row r="10" spans="1:63" ht="25.5" customHeight="1">
      <c r="A10" s="557" t="s">
        <v>99</v>
      </c>
      <c r="B10" s="557"/>
      <c r="C10" s="557"/>
      <c r="D10" s="558" t="s">
        <v>140</v>
      </c>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9" t="s">
        <v>139</v>
      </c>
      <c r="AU10" s="560"/>
      <c r="AV10" s="560"/>
      <c r="AW10" s="560"/>
      <c r="AX10" s="560"/>
      <c r="AY10" s="560"/>
      <c r="AZ10" s="560"/>
      <c r="BA10" s="560"/>
      <c r="BB10" s="560"/>
      <c r="BC10" s="560"/>
      <c r="BD10" s="560"/>
      <c r="BE10" s="560"/>
      <c r="BF10" s="560"/>
      <c r="BG10" s="560"/>
      <c r="BH10" s="560"/>
      <c r="BI10" s="560"/>
      <c r="BJ10" s="561"/>
      <c r="BK10" s="3"/>
    </row>
    <row r="11" spans="1:63" ht="25.5" customHeight="1">
      <c r="A11" s="569" t="s">
        <v>91</v>
      </c>
      <c r="B11" s="569"/>
      <c r="C11" s="569"/>
      <c r="D11" s="570" t="s">
        <v>70</v>
      </c>
      <c r="E11" s="570"/>
      <c r="F11" s="570"/>
      <c r="G11" s="570"/>
      <c r="H11" s="570"/>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482" t="s">
        <v>139</v>
      </c>
      <c r="AU11" s="483"/>
      <c r="AV11" s="483"/>
      <c r="AW11" s="483"/>
      <c r="AX11" s="483"/>
      <c r="AY11" s="483"/>
      <c r="AZ11" s="483"/>
      <c r="BA11" s="483"/>
      <c r="BB11" s="483"/>
      <c r="BC11" s="483"/>
      <c r="BD11" s="483"/>
      <c r="BE11" s="483"/>
      <c r="BF11" s="483"/>
      <c r="BG11" s="483"/>
      <c r="BH11" s="483"/>
      <c r="BI11" s="483"/>
      <c r="BJ11" s="499"/>
      <c r="BK11" s="173"/>
    </row>
    <row r="12" spans="1:63" ht="25.5" customHeight="1">
      <c r="A12" s="569" t="s">
        <v>142</v>
      </c>
      <c r="B12" s="569"/>
      <c r="C12" s="569"/>
      <c r="D12" s="570" t="s">
        <v>243</v>
      </c>
      <c r="E12" s="570"/>
      <c r="F12" s="570"/>
      <c r="G12" s="570"/>
      <c r="H12" s="570"/>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482" t="s">
        <v>139</v>
      </c>
      <c r="AU12" s="483"/>
      <c r="AV12" s="483"/>
      <c r="AW12" s="483"/>
      <c r="AX12" s="483"/>
      <c r="AY12" s="483"/>
      <c r="AZ12" s="483"/>
      <c r="BA12" s="483"/>
      <c r="BB12" s="483"/>
      <c r="BC12" s="483"/>
      <c r="BD12" s="483"/>
      <c r="BE12" s="483"/>
      <c r="BF12" s="483"/>
      <c r="BG12" s="483"/>
      <c r="BH12" s="483"/>
      <c r="BI12" s="483"/>
      <c r="BJ12" s="499"/>
      <c r="BK12" s="173"/>
    </row>
    <row r="13" spans="1:63" ht="25.5" customHeight="1">
      <c r="A13" s="562" t="s">
        <v>93</v>
      </c>
      <c r="B13" s="562"/>
      <c r="C13" s="562"/>
      <c r="D13" s="548" t="s">
        <v>247</v>
      </c>
      <c r="E13" s="548"/>
      <c r="F13" s="548"/>
      <c r="G13" s="548"/>
      <c r="H13" s="548"/>
      <c r="I13" s="548"/>
      <c r="J13" s="548"/>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c r="AH13" s="548"/>
      <c r="AI13" s="548"/>
      <c r="AJ13" s="548"/>
      <c r="AK13" s="548"/>
      <c r="AL13" s="548"/>
      <c r="AM13" s="548"/>
      <c r="AN13" s="548"/>
      <c r="AO13" s="548"/>
      <c r="AP13" s="548"/>
      <c r="AQ13" s="548"/>
      <c r="AR13" s="548"/>
      <c r="AS13" s="548"/>
      <c r="AT13" s="563" t="s">
        <v>139</v>
      </c>
      <c r="AU13" s="564"/>
      <c r="AV13" s="564"/>
      <c r="AW13" s="564"/>
      <c r="AX13" s="564"/>
      <c r="AY13" s="564"/>
      <c r="AZ13" s="564"/>
      <c r="BA13" s="564"/>
      <c r="BB13" s="564"/>
      <c r="BC13" s="564"/>
      <c r="BD13" s="564"/>
      <c r="BE13" s="564"/>
      <c r="BF13" s="564"/>
      <c r="BG13" s="564"/>
      <c r="BH13" s="564"/>
      <c r="BI13" s="564"/>
      <c r="BJ13" s="565"/>
      <c r="BK13" s="17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540" t="s">
        <v>81</v>
      </c>
      <c r="B15" s="541"/>
      <c r="C15" s="542"/>
      <c r="D15" s="540" t="s">
        <v>82</v>
      </c>
      <c r="E15" s="541"/>
      <c r="F15" s="541"/>
      <c r="G15" s="541"/>
      <c r="H15" s="541"/>
      <c r="I15" s="541"/>
      <c r="J15" s="541"/>
      <c r="K15" s="541"/>
      <c r="L15" s="541"/>
      <c r="M15" s="541"/>
      <c r="N15" s="541"/>
      <c r="O15" s="541"/>
      <c r="P15" s="541"/>
      <c r="Q15" s="541"/>
      <c r="R15" s="542"/>
      <c r="S15" s="540" t="s">
        <v>83</v>
      </c>
      <c r="T15" s="541"/>
      <c r="U15" s="542"/>
      <c r="V15" s="534" t="s">
        <v>84</v>
      </c>
      <c r="W15" s="535"/>
      <c r="X15" s="535"/>
      <c r="Y15" s="536"/>
      <c r="Z15" s="540" t="s">
        <v>85</v>
      </c>
      <c r="AA15" s="541"/>
      <c r="AB15" s="541"/>
      <c r="AC15" s="542"/>
      <c r="AD15" s="571" t="s">
        <v>86</v>
      </c>
      <c r="AE15" s="572"/>
      <c r="AF15" s="573"/>
      <c r="AG15" s="571" t="s">
        <v>87</v>
      </c>
      <c r="AH15" s="572"/>
      <c r="AI15" s="573"/>
      <c r="AJ15" s="571" t="s">
        <v>88</v>
      </c>
      <c r="AK15" s="572"/>
      <c r="AL15" s="573"/>
      <c r="AM15" s="540" t="s">
        <v>89</v>
      </c>
      <c r="AN15" s="541"/>
      <c r="AO15" s="541"/>
      <c r="AP15" s="541"/>
      <c r="AQ15" s="541"/>
      <c r="AR15" s="541"/>
      <c r="AS15" s="541"/>
      <c r="AT15" s="541"/>
      <c r="AU15" s="541"/>
      <c r="AV15" s="541"/>
      <c r="AW15" s="541"/>
      <c r="AX15" s="541"/>
      <c r="AY15" s="541"/>
      <c r="AZ15" s="541"/>
      <c r="BA15" s="541"/>
      <c r="BB15" s="541"/>
      <c r="BC15" s="541"/>
      <c r="BD15" s="541"/>
      <c r="BE15" s="541"/>
      <c r="BF15" s="541"/>
      <c r="BG15" s="541"/>
      <c r="BH15" s="541"/>
      <c r="BI15" s="541"/>
      <c r="BJ15" s="542"/>
    </row>
    <row r="16" spans="1:63" s="16" customFormat="1" ht="20.25" customHeight="1">
      <c r="A16" s="543"/>
      <c r="B16" s="544"/>
      <c r="C16" s="545"/>
      <c r="D16" s="543"/>
      <c r="E16" s="544"/>
      <c r="F16" s="544"/>
      <c r="G16" s="544"/>
      <c r="H16" s="544"/>
      <c r="I16" s="544"/>
      <c r="J16" s="544"/>
      <c r="K16" s="544"/>
      <c r="L16" s="544"/>
      <c r="M16" s="544"/>
      <c r="N16" s="544"/>
      <c r="O16" s="544"/>
      <c r="P16" s="544"/>
      <c r="Q16" s="544"/>
      <c r="R16" s="545"/>
      <c r="S16" s="543"/>
      <c r="T16" s="544"/>
      <c r="U16" s="545"/>
      <c r="V16" s="566" t="s">
        <v>90</v>
      </c>
      <c r="W16" s="567"/>
      <c r="X16" s="567" t="s">
        <v>52</v>
      </c>
      <c r="Y16" s="568"/>
      <c r="Z16" s="543"/>
      <c r="AA16" s="544"/>
      <c r="AB16" s="544"/>
      <c r="AC16" s="545"/>
      <c r="AD16" s="574"/>
      <c r="AE16" s="575"/>
      <c r="AF16" s="576"/>
      <c r="AG16" s="574"/>
      <c r="AH16" s="575"/>
      <c r="AI16" s="576"/>
      <c r="AJ16" s="574"/>
      <c r="AK16" s="575"/>
      <c r="AL16" s="576"/>
      <c r="AM16" s="543"/>
      <c r="AN16" s="544"/>
      <c r="AO16" s="544"/>
      <c r="AP16" s="544"/>
      <c r="AQ16" s="544"/>
      <c r="AR16" s="544"/>
      <c r="AS16" s="544"/>
      <c r="AT16" s="544"/>
      <c r="AU16" s="544"/>
      <c r="AV16" s="544"/>
      <c r="AW16" s="544"/>
      <c r="AX16" s="544"/>
      <c r="AY16" s="544"/>
      <c r="AZ16" s="544"/>
      <c r="BA16" s="544"/>
      <c r="BB16" s="544"/>
      <c r="BC16" s="544"/>
      <c r="BD16" s="544"/>
      <c r="BE16" s="544"/>
      <c r="BF16" s="544"/>
      <c r="BG16" s="544"/>
      <c r="BH16" s="544"/>
      <c r="BI16" s="544"/>
      <c r="BJ16" s="545"/>
    </row>
    <row r="17" spans="1:62" ht="30.75" customHeight="1">
      <c r="A17" s="484">
        <f>ROW()-16</f>
        <v>1</v>
      </c>
      <c r="B17" s="485"/>
      <c r="C17" s="486"/>
      <c r="D17" s="495" t="s">
        <v>158</v>
      </c>
      <c r="E17" s="496"/>
      <c r="F17" s="496"/>
      <c r="G17" s="496"/>
      <c r="H17" s="496"/>
      <c r="I17" s="496"/>
      <c r="J17" s="496"/>
      <c r="K17" s="496"/>
      <c r="L17" s="496"/>
      <c r="M17" s="496"/>
      <c r="N17" s="496"/>
      <c r="O17" s="496"/>
      <c r="P17" s="496"/>
      <c r="Q17" s="496"/>
      <c r="R17" s="497"/>
      <c r="S17" s="490"/>
      <c r="T17" s="491"/>
      <c r="U17" s="492"/>
      <c r="V17" s="490" t="s">
        <v>281</v>
      </c>
      <c r="W17" s="524"/>
      <c r="X17" s="498" t="s">
        <v>281</v>
      </c>
      <c r="Y17" s="492"/>
      <c r="Z17" s="490"/>
      <c r="AA17" s="491"/>
      <c r="AB17" s="491"/>
      <c r="AC17" s="492"/>
      <c r="AD17" s="490"/>
      <c r="AE17" s="491"/>
      <c r="AF17" s="492"/>
      <c r="AG17" s="490"/>
      <c r="AH17" s="491"/>
      <c r="AI17" s="492"/>
      <c r="AJ17" s="490"/>
      <c r="AK17" s="491"/>
      <c r="AL17" s="492"/>
      <c r="AM17" s="479"/>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1"/>
    </row>
    <row r="18" spans="1:62" ht="30.75" customHeight="1">
      <c r="A18" s="484">
        <f t="shared" ref="A18:A72" si="0">ROW()-16</f>
        <v>2</v>
      </c>
      <c r="B18" s="485"/>
      <c r="C18" s="486"/>
      <c r="D18" s="479" t="s">
        <v>36</v>
      </c>
      <c r="E18" s="480"/>
      <c r="F18" s="480"/>
      <c r="G18" s="480"/>
      <c r="H18" s="480"/>
      <c r="I18" s="480"/>
      <c r="J18" s="480"/>
      <c r="K18" s="480"/>
      <c r="L18" s="480"/>
      <c r="M18" s="480"/>
      <c r="N18" s="480"/>
      <c r="O18" s="480"/>
      <c r="P18" s="480"/>
      <c r="Q18" s="480"/>
      <c r="R18" s="481"/>
      <c r="S18" s="174" t="s">
        <v>213</v>
      </c>
      <c r="T18" s="175"/>
      <c r="U18" s="176"/>
      <c r="V18" s="482" t="s">
        <v>91</v>
      </c>
      <c r="W18" s="483"/>
      <c r="X18" s="514" t="s">
        <v>91</v>
      </c>
      <c r="Y18" s="499"/>
      <c r="Z18" s="177" t="s">
        <v>456</v>
      </c>
      <c r="AA18" s="175"/>
      <c r="AB18" s="175"/>
      <c r="AC18" s="176"/>
      <c r="AD18" s="482"/>
      <c r="AE18" s="483"/>
      <c r="AF18" s="499"/>
      <c r="AG18" s="482"/>
      <c r="AH18" s="483"/>
      <c r="AI18" s="499"/>
      <c r="AJ18" s="493"/>
      <c r="AK18" s="494"/>
      <c r="AL18" s="523"/>
      <c r="AM18" s="500" t="s">
        <v>232</v>
      </c>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9"/>
    </row>
    <row r="19" spans="1:62" ht="30.75" customHeight="1">
      <c r="A19" s="484">
        <f t="shared" si="0"/>
        <v>3</v>
      </c>
      <c r="B19" s="485"/>
      <c r="C19" s="486"/>
      <c r="D19" s="479" t="s">
        <v>144</v>
      </c>
      <c r="E19" s="480"/>
      <c r="F19" s="480"/>
      <c r="G19" s="480"/>
      <c r="H19" s="480"/>
      <c r="I19" s="480"/>
      <c r="J19" s="480"/>
      <c r="K19" s="480"/>
      <c r="L19" s="480"/>
      <c r="M19" s="480"/>
      <c r="N19" s="480"/>
      <c r="O19" s="480"/>
      <c r="P19" s="480"/>
      <c r="Q19" s="480"/>
      <c r="R19" s="481"/>
      <c r="S19" s="174" t="s">
        <v>145</v>
      </c>
      <c r="T19" s="175"/>
      <c r="U19" s="176"/>
      <c r="V19" s="482" t="s">
        <v>151</v>
      </c>
      <c r="W19" s="483"/>
      <c r="X19" s="514" t="s">
        <v>186</v>
      </c>
      <c r="Y19" s="499"/>
      <c r="Z19" s="515" t="s">
        <v>324</v>
      </c>
      <c r="AA19" s="516"/>
      <c r="AB19" s="516"/>
      <c r="AC19" s="517"/>
      <c r="AD19" s="482"/>
      <c r="AE19" s="483"/>
      <c r="AF19" s="499"/>
      <c r="AG19" s="482"/>
      <c r="AH19" s="483"/>
      <c r="AI19" s="499"/>
      <c r="AJ19" s="493"/>
      <c r="AK19" s="494"/>
      <c r="AL19" s="523"/>
      <c r="AM19" s="500"/>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9"/>
    </row>
    <row r="20" spans="1:62" ht="30.75" customHeight="1">
      <c r="A20" s="484">
        <f t="shared" si="0"/>
        <v>4</v>
      </c>
      <c r="B20" s="485"/>
      <c r="C20" s="486"/>
      <c r="D20" s="479" t="s">
        <v>143</v>
      </c>
      <c r="E20" s="480"/>
      <c r="F20" s="480"/>
      <c r="G20" s="480"/>
      <c r="H20" s="480"/>
      <c r="I20" s="480"/>
      <c r="J20" s="480"/>
      <c r="K20" s="480"/>
      <c r="L20" s="480"/>
      <c r="M20" s="480"/>
      <c r="N20" s="480"/>
      <c r="O20" s="480"/>
      <c r="P20" s="480"/>
      <c r="Q20" s="480"/>
      <c r="R20" s="481"/>
      <c r="S20" s="174" t="s">
        <v>213</v>
      </c>
      <c r="T20" s="178"/>
      <c r="U20" s="176"/>
      <c r="V20" s="482" t="s">
        <v>93</v>
      </c>
      <c r="W20" s="483"/>
      <c r="X20" s="514" t="s">
        <v>93</v>
      </c>
      <c r="Y20" s="499"/>
      <c r="Z20" s="174" t="s">
        <v>149</v>
      </c>
      <c r="AA20" s="175"/>
      <c r="AB20" s="175"/>
      <c r="AC20" s="176"/>
      <c r="AD20" s="482"/>
      <c r="AE20" s="483"/>
      <c r="AF20" s="499"/>
      <c r="AG20" s="482"/>
      <c r="AH20" s="483"/>
      <c r="AI20" s="499"/>
      <c r="AJ20" s="490"/>
      <c r="AK20" s="491"/>
      <c r="AL20" s="492"/>
      <c r="AM20" s="510"/>
      <c r="AN20" s="480"/>
      <c r="AO20" s="480"/>
      <c r="AP20" s="480"/>
      <c r="AQ20" s="480"/>
      <c r="AR20" s="480"/>
      <c r="AS20" s="480"/>
      <c r="AT20" s="480"/>
      <c r="AU20" s="480"/>
      <c r="AV20" s="480"/>
      <c r="AW20" s="480"/>
      <c r="AX20" s="480"/>
      <c r="AY20" s="480"/>
      <c r="AZ20" s="480"/>
      <c r="BA20" s="480"/>
      <c r="BB20" s="480"/>
      <c r="BC20" s="480"/>
      <c r="BD20" s="480"/>
      <c r="BE20" s="480"/>
      <c r="BF20" s="480"/>
      <c r="BG20" s="480"/>
      <c r="BH20" s="480"/>
      <c r="BI20" s="480"/>
      <c r="BJ20" s="481"/>
    </row>
    <row r="21" spans="1:62" ht="30.75" customHeight="1">
      <c r="A21" s="484">
        <f t="shared" si="0"/>
        <v>5</v>
      </c>
      <c r="B21" s="485"/>
      <c r="C21" s="486"/>
      <c r="D21" s="479" t="s">
        <v>147</v>
      </c>
      <c r="E21" s="480"/>
      <c r="F21" s="480"/>
      <c r="G21" s="480"/>
      <c r="H21" s="480"/>
      <c r="I21" s="480"/>
      <c r="J21" s="480"/>
      <c r="K21" s="480"/>
      <c r="L21" s="480"/>
      <c r="M21" s="480"/>
      <c r="N21" s="480"/>
      <c r="O21" s="480"/>
      <c r="P21" s="480"/>
      <c r="Q21" s="480"/>
      <c r="R21" s="481"/>
      <c r="S21" s="174" t="s">
        <v>145</v>
      </c>
      <c r="T21" s="175"/>
      <c r="U21" s="176"/>
      <c r="V21" s="482" t="s">
        <v>151</v>
      </c>
      <c r="W21" s="483"/>
      <c r="X21" s="514" t="s">
        <v>146</v>
      </c>
      <c r="Y21" s="499"/>
      <c r="Z21" s="515" t="s">
        <v>324</v>
      </c>
      <c r="AA21" s="516"/>
      <c r="AB21" s="516"/>
      <c r="AC21" s="517"/>
      <c r="AD21" s="482"/>
      <c r="AE21" s="483"/>
      <c r="AF21" s="499"/>
      <c r="AG21" s="482"/>
      <c r="AH21" s="483"/>
      <c r="AI21" s="499"/>
      <c r="AJ21" s="490"/>
      <c r="AK21" s="491"/>
      <c r="AL21" s="492"/>
      <c r="AM21" s="51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1"/>
    </row>
    <row r="22" spans="1:62" ht="30.75" customHeight="1">
      <c r="A22" s="484">
        <f t="shared" si="0"/>
        <v>6</v>
      </c>
      <c r="B22" s="485"/>
      <c r="C22" s="486"/>
      <c r="D22" s="479" t="s">
        <v>64</v>
      </c>
      <c r="E22" s="480"/>
      <c r="F22" s="480"/>
      <c r="G22" s="480"/>
      <c r="H22" s="480"/>
      <c r="I22" s="480"/>
      <c r="J22" s="480"/>
      <c r="K22" s="480"/>
      <c r="L22" s="480"/>
      <c r="M22" s="480"/>
      <c r="N22" s="480"/>
      <c r="O22" s="480"/>
      <c r="P22" s="480"/>
      <c r="Q22" s="480"/>
      <c r="R22" s="481"/>
      <c r="S22" s="490" t="s">
        <v>83</v>
      </c>
      <c r="T22" s="491"/>
      <c r="U22" s="492"/>
      <c r="V22" s="490" t="s">
        <v>94</v>
      </c>
      <c r="W22" s="524"/>
      <c r="X22" s="498" t="s">
        <v>94</v>
      </c>
      <c r="Y22" s="492"/>
      <c r="Z22" s="490" t="s">
        <v>456</v>
      </c>
      <c r="AA22" s="491"/>
      <c r="AB22" s="491"/>
      <c r="AC22" s="492"/>
      <c r="AD22" s="490"/>
      <c r="AE22" s="491"/>
      <c r="AF22" s="492"/>
      <c r="AG22" s="490"/>
      <c r="AH22" s="491"/>
      <c r="AI22" s="492"/>
      <c r="AJ22" s="490"/>
      <c r="AK22" s="491"/>
      <c r="AL22" s="492"/>
      <c r="AM22" s="51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1"/>
    </row>
    <row r="23" spans="1:62" ht="30.75" customHeight="1">
      <c r="A23" s="484">
        <f t="shared" si="0"/>
        <v>7</v>
      </c>
      <c r="B23" s="485"/>
      <c r="C23" s="486"/>
      <c r="D23" s="479" t="s">
        <v>160</v>
      </c>
      <c r="E23" s="480"/>
      <c r="F23" s="480"/>
      <c r="G23" s="480"/>
      <c r="H23" s="480"/>
      <c r="I23" s="480"/>
      <c r="J23" s="480"/>
      <c r="K23" s="480"/>
      <c r="L23" s="480"/>
      <c r="M23" s="480"/>
      <c r="N23" s="480"/>
      <c r="O23" s="480"/>
      <c r="P23" s="480"/>
      <c r="Q23" s="480"/>
      <c r="R23" s="481"/>
      <c r="S23" s="490" t="s">
        <v>96</v>
      </c>
      <c r="T23" s="491"/>
      <c r="U23" s="492"/>
      <c r="V23" s="490" t="s">
        <v>151</v>
      </c>
      <c r="W23" s="524"/>
      <c r="X23" s="498" t="s">
        <v>146</v>
      </c>
      <c r="Y23" s="492"/>
      <c r="Z23" s="515" t="s">
        <v>324</v>
      </c>
      <c r="AA23" s="516"/>
      <c r="AB23" s="516"/>
      <c r="AC23" s="517"/>
      <c r="AD23" s="490"/>
      <c r="AE23" s="491"/>
      <c r="AF23" s="492"/>
      <c r="AG23" s="490"/>
      <c r="AH23" s="491"/>
      <c r="AI23" s="492"/>
      <c r="AJ23" s="490"/>
      <c r="AK23" s="491"/>
      <c r="AL23" s="492"/>
      <c r="AM23" s="51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1"/>
    </row>
    <row r="24" spans="1:62" ht="30.75" customHeight="1">
      <c r="A24" s="484">
        <f t="shared" si="0"/>
        <v>8</v>
      </c>
      <c r="B24" s="485"/>
      <c r="C24" s="486"/>
      <c r="D24" s="479" t="s">
        <v>70</v>
      </c>
      <c r="E24" s="480"/>
      <c r="F24" s="480"/>
      <c r="G24" s="480"/>
      <c r="H24" s="480"/>
      <c r="I24" s="480"/>
      <c r="J24" s="480"/>
      <c r="K24" s="480"/>
      <c r="L24" s="480"/>
      <c r="M24" s="480"/>
      <c r="N24" s="480"/>
      <c r="O24" s="480"/>
      <c r="P24" s="480"/>
      <c r="Q24" s="480"/>
      <c r="R24" s="481"/>
      <c r="S24" s="490" t="s">
        <v>83</v>
      </c>
      <c r="T24" s="491"/>
      <c r="U24" s="492"/>
      <c r="V24" s="490" t="s">
        <v>93</v>
      </c>
      <c r="W24" s="524"/>
      <c r="X24" s="498" t="s">
        <v>93</v>
      </c>
      <c r="Y24" s="492"/>
      <c r="Z24" s="490" t="s">
        <v>149</v>
      </c>
      <c r="AA24" s="491"/>
      <c r="AB24" s="491"/>
      <c r="AC24" s="492"/>
      <c r="AD24" s="490"/>
      <c r="AE24" s="491"/>
      <c r="AF24" s="492"/>
      <c r="AG24" s="490"/>
      <c r="AH24" s="491"/>
      <c r="AI24" s="492"/>
      <c r="AJ24" s="490"/>
      <c r="AK24" s="491"/>
      <c r="AL24" s="492"/>
      <c r="AM24" s="510"/>
      <c r="AN24" s="480"/>
      <c r="AO24" s="480"/>
      <c r="AP24" s="480"/>
      <c r="AQ24" s="480"/>
      <c r="AR24" s="480"/>
      <c r="AS24" s="480"/>
      <c r="AT24" s="480"/>
      <c r="AU24" s="480"/>
      <c r="AV24" s="480"/>
      <c r="AW24" s="480"/>
      <c r="AX24" s="480"/>
      <c r="AY24" s="480"/>
      <c r="AZ24" s="480"/>
      <c r="BA24" s="480"/>
      <c r="BB24" s="480"/>
      <c r="BC24" s="480"/>
      <c r="BD24" s="480"/>
      <c r="BE24" s="480"/>
      <c r="BF24" s="480"/>
      <c r="BG24" s="480"/>
      <c r="BH24" s="480"/>
      <c r="BI24" s="480"/>
      <c r="BJ24" s="481"/>
    </row>
    <row r="25" spans="1:62" ht="30.75" customHeight="1">
      <c r="A25" s="484">
        <f t="shared" si="0"/>
        <v>9</v>
      </c>
      <c r="B25" s="485"/>
      <c r="C25" s="486"/>
      <c r="D25" s="479" t="s">
        <v>243</v>
      </c>
      <c r="E25" s="480"/>
      <c r="F25" s="480"/>
      <c r="G25" s="480"/>
      <c r="H25" s="480"/>
      <c r="I25" s="480"/>
      <c r="J25" s="480"/>
      <c r="K25" s="480"/>
      <c r="L25" s="480"/>
      <c r="M25" s="480"/>
      <c r="N25" s="480"/>
      <c r="O25" s="480"/>
      <c r="P25" s="480"/>
      <c r="Q25" s="480"/>
      <c r="R25" s="481"/>
      <c r="S25" s="490" t="s">
        <v>83</v>
      </c>
      <c r="T25" s="491"/>
      <c r="U25" s="492"/>
      <c r="V25" s="490" t="s">
        <v>91</v>
      </c>
      <c r="W25" s="524"/>
      <c r="X25" s="498" t="s">
        <v>91</v>
      </c>
      <c r="Y25" s="492"/>
      <c r="Z25" s="490" t="s">
        <v>149</v>
      </c>
      <c r="AA25" s="491"/>
      <c r="AB25" s="491"/>
      <c r="AC25" s="492"/>
      <c r="AD25" s="490"/>
      <c r="AE25" s="491"/>
      <c r="AF25" s="492"/>
      <c r="AG25" s="490"/>
      <c r="AH25" s="491"/>
      <c r="AI25" s="492"/>
      <c r="AJ25" s="490"/>
      <c r="AK25" s="491"/>
      <c r="AL25" s="492"/>
      <c r="AM25" s="510" t="s">
        <v>228</v>
      </c>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1"/>
    </row>
    <row r="26" spans="1:62" ht="48.6" customHeight="1">
      <c r="A26" s="484">
        <f t="shared" si="0"/>
        <v>10</v>
      </c>
      <c r="B26" s="485"/>
      <c r="C26" s="486"/>
      <c r="D26" s="479" t="s">
        <v>309</v>
      </c>
      <c r="E26" s="480"/>
      <c r="F26" s="480"/>
      <c r="G26" s="480"/>
      <c r="H26" s="480"/>
      <c r="I26" s="480"/>
      <c r="J26" s="480"/>
      <c r="K26" s="480"/>
      <c r="L26" s="480"/>
      <c r="M26" s="480"/>
      <c r="N26" s="480"/>
      <c r="O26" s="480"/>
      <c r="P26" s="480"/>
      <c r="Q26" s="480"/>
      <c r="R26" s="481"/>
      <c r="S26" s="490" t="s">
        <v>83</v>
      </c>
      <c r="T26" s="491"/>
      <c r="U26" s="492"/>
      <c r="V26" s="490" t="s">
        <v>204</v>
      </c>
      <c r="W26" s="524"/>
      <c r="X26" s="498" t="s">
        <v>186</v>
      </c>
      <c r="Y26" s="492"/>
      <c r="Z26" s="490" t="s">
        <v>149</v>
      </c>
      <c r="AA26" s="491"/>
      <c r="AB26" s="491"/>
      <c r="AC26" s="492"/>
      <c r="AD26" s="490"/>
      <c r="AE26" s="491"/>
      <c r="AF26" s="492"/>
      <c r="AG26" s="490" t="s">
        <v>92</v>
      </c>
      <c r="AH26" s="491"/>
      <c r="AI26" s="492"/>
      <c r="AJ26" s="490"/>
      <c r="AK26" s="491"/>
      <c r="AL26" s="492"/>
      <c r="AM26" s="510" t="s">
        <v>310</v>
      </c>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1"/>
    </row>
    <row r="27" spans="1:62" ht="30.75" customHeight="1">
      <c r="A27" s="484">
        <f t="shared" si="0"/>
        <v>11</v>
      </c>
      <c r="B27" s="485"/>
      <c r="C27" s="486"/>
      <c r="D27" s="479" t="s">
        <v>124</v>
      </c>
      <c r="E27" s="480"/>
      <c r="F27" s="480"/>
      <c r="G27" s="480"/>
      <c r="H27" s="480"/>
      <c r="I27" s="480"/>
      <c r="J27" s="480"/>
      <c r="K27" s="480"/>
      <c r="L27" s="480"/>
      <c r="M27" s="480"/>
      <c r="N27" s="480"/>
      <c r="O27" s="480"/>
      <c r="P27" s="480"/>
      <c r="Q27" s="480"/>
      <c r="R27" s="481"/>
      <c r="S27" s="490" t="s">
        <v>96</v>
      </c>
      <c r="T27" s="491"/>
      <c r="U27" s="492"/>
      <c r="V27" s="490" t="s">
        <v>151</v>
      </c>
      <c r="W27" s="524"/>
      <c r="X27" s="498" t="s">
        <v>91</v>
      </c>
      <c r="Y27" s="492"/>
      <c r="Z27" s="490" t="s">
        <v>149</v>
      </c>
      <c r="AA27" s="491"/>
      <c r="AB27" s="491"/>
      <c r="AC27" s="492"/>
      <c r="AD27" s="490"/>
      <c r="AE27" s="491"/>
      <c r="AF27" s="492"/>
      <c r="AG27" s="490"/>
      <c r="AH27" s="491"/>
      <c r="AI27" s="492"/>
      <c r="AJ27" s="490"/>
      <c r="AK27" s="491"/>
      <c r="AL27" s="492"/>
      <c r="AM27" s="51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1"/>
    </row>
    <row r="28" spans="1:62" ht="30.75" customHeight="1">
      <c r="A28" s="484">
        <f t="shared" si="0"/>
        <v>12</v>
      </c>
      <c r="B28" s="485"/>
      <c r="C28" s="486"/>
      <c r="D28" s="479" t="s">
        <v>161</v>
      </c>
      <c r="E28" s="480"/>
      <c r="F28" s="480"/>
      <c r="G28" s="480"/>
      <c r="H28" s="480"/>
      <c r="I28" s="480"/>
      <c r="J28" s="480"/>
      <c r="K28" s="480"/>
      <c r="L28" s="480"/>
      <c r="M28" s="480"/>
      <c r="N28" s="480"/>
      <c r="O28" s="480"/>
      <c r="P28" s="480"/>
      <c r="Q28" s="480"/>
      <c r="R28" s="481"/>
      <c r="S28" s="490" t="s">
        <v>83</v>
      </c>
      <c r="T28" s="491"/>
      <c r="U28" s="492"/>
      <c r="V28" s="490" t="s">
        <v>76</v>
      </c>
      <c r="W28" s="524"/>
      <c r="X28" s="498" t="s">
        <v>76</v>
      </c>
      <c r="Y28" s="492"/>
      <c r="Z28" s="490" t="s">
        <v>456</v>
      </c>
      <c r="AA28" s="491"/>
      <c r="AB28" s="491"/>
      <c r="AC28" s="492"/>
      <c r="AD28" s="490"/>
      <c r="AE28" s="491"/>
      <c r="AF28" s="492"/>
      <c r="AG28" s="490"/>
      <c r="AH28" s="491"/>
      <c r="AI28" s="492"/>
      <c r="AJ28" s="490"/>
      <c r="AK28" s="491"/>
      <c r="AL28" s="492"/>
      <c r="AM28" s="510"/>
      <c r="AN28" s="480"/>
      <c r="AO28" s="480"/>
      <c r="AP28" s="480"/>
      <c r="AQ28" s="480"/>
      <c r="AR28" s="480"/>
      <c r="AS28" s="480"/>
      <c r="AT28" s="480"/>
      <c r="AU28" s="480"/>
      <c r="AV28" s="480"/>
      <c r="AW28" s="480"/>
      <c r="AX28" s="480"/>
      <c r="AY28" s="480"/>
      <c r="AZ28" s="480"/>
      <c r="BA28" s="480"/>
      <c r="BB28" s="480"/>
      <c r="BC28" s="480"/>
      <c r="BD28" s="480"/>
      <c r="BE28" s="480"/>
      <c r="BF28" s="480"/>
      <c r="BG28" s="480"/>
      <c r="BH28" s="480"/>
      <c r="BI28" s="480"/>
      <c r="BJ28" s="481"/>
    </row>
    <row r="29" spans="1:62" ht="30.75" customHeight="1">
      <c r="A29" s="484">
        <f t="shared" si="0"/>
        <v>13</v>
      </c>
      <c r="B29" s="485"/>
      <c r="C29" s="486"/>
      <c r="D29" s="495" t="s">
        <v>162</v>
      </c>
      <c r="E29" s="496"/>
      <c r="F29" s="496"/>
      <c r="G29" s="496"/>
      <c r="H29" s="496"/>
      <c r="I29" s="496"/>
      <c r="J29" s="496"/>
      <c r="K29" s="496"/>
      <c r="L29" s="496"/>
      <c r="M29" s="496"/>
      <c r="N29" s="496"/>
      <c r="O29" s="496"/>
      <c r="P29" s="496"/>
      <c r="Q29" s="496"/>
      <c r="R29" s="497"/>
      <c r="S29" s="490"/>
      <c r="T29" s="491"/>
      <c r="U29" s="492"/>
      <c r="V29" s="490" t="s">
        <v>281</v>
      </c>
      <c r="W29" s="524"/>
      <c r="X29" s="498" t="s">
        <v>281</v>
      </c>
      <c r="Y29" s="492"/>
      <c r="Z29" s="490"/>
      <c r="AA29" s="491"/>
      <c r="AB29" s="491"/>
      <c r="AC29" s="492"/>
      <c r="AD29" s="490"/>
      <c r="AE29" s="491"/>
      <c r="AF29" s="492"/>
      <c r="AG29" s="490"/>
      <c r="AH29" s="491"/>
      <c r="AI29" s="492"/>
      <c r="AJ29" s="490"/>
      <c r="AK29" s="491"/>
      <c r="AL29" s="492"/>
      <c r="AM29" s="479"/>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1"/>
    </row>
    <row r="30" spans="1:62" ht="30.75" customHeight="1">
      <c r="A30" s="484">
        <f t="shared" si="0"/>
        <v>14</v>
      </c>
      <c r="B30" s="485"/>
      <c r="C30" s="486"/>
      <c r="D30" s="479" t="s">
        <v>64</v>
      </c>
      <c r="E30" s="480"/>
      <c r="F30" s="480"/>
      <c r="G30" s="480"/>
      <c r="H30" s="480"/>
      <c r="I30" s="480"/>
      <c r="J30" s="480"/>
      <c r="K30" s="480"/>
      <c r="L30" s="480"/>
      <c r="M30" s="480"/>
      <c r="N30" s="480"/>
      <c r="O30" s="480"/>
      <c r="P30" s="480"/>
      <c r="Q30" s="480"/>
      <c r="R30" s="481"/>
      <c r="S30" s="490" t="s">
        <v>96</v>
      </c>
      <c r="T30" s="491"/>
      <c r="U30" s="492"/>
      <c r="V30" s="490" t="s">
        <v>151</v>
      </c>
      <c r="W30" s="524"/>
      <c r="X30" s="498" t="s">
        <v>94</v>
      </c>
      <c r="Y30" s="492"/>
      <c r="Z30" s="490" t="s">
        <v>456</v>
      </c>
      <c r="AA30" s="491"/>
      <c r="AB30" s="491"/>
      <c r="AC30" s="492"/>
      <c r="AD30" s="490"/>
      <c r="AE30" s="491"/>
      <c r="AF30" s="492"/>
      <c r="AG30" s="490"/>
      <c r="AH30" s="491"/>
      <c r="AI30" s="492"/>
      <c r="AJ30" s="490"/>
      <c r="AK30" s="491"/>
      <c r="AL30" s="492"/>
      <c r="AM30" s="479"/>
      <c r="AN30" s="480"/>
      <c r="AO30" s="480"/>
      <c r="AP30" s="480"/>
      <c r="AQ30" s="480"/>
      <c r="AR30" s="480"/>
      <c r="AS30" s="480"/>
      <c r="AT30" s="480"/>
      <c r="AU30" s="480"/>
      <c r="AV30" s="480"/>
      <c r="AW30" s="480"/>
      <c r="AX30" s="480"/>
      <c r="AY30" s="480"/>
      <c r="AZ30" s="480"/>
      <c r="BA30" s="480"/>
      <c r="BB30" s="480"/>
      <c r="BC30" s="480"/>
      <c r="BD30" s="480"/>
      <c r="BE30" s="480"/>
      <c r="BF30" s="480"/>
      <c r="BG30" s="480"/>
      <c r="BH30" s="480"/>
      <c r="BI30" s="480"/>
      <c r="BJ30" s="481"/>
    </row>
    <row r="31" spans="1:62" ht="30.75" customHeight="1">
      <c r="A31" s="484">
        <f t="shared" si="0"/>
        <v>15</v>
      </c>
      <c r="B31" s="485"/>
      <c r="C31" s="486"/>
      <c r="D31" s="479" t="s">
        <v>160</v>
      </c>
      <c r="E31" s="480"/>
      <c r="F31" s="480"/>
      <c r="G31" s="480"/>
      <c r="H31" s="480"/>
      <c r="I31" s="480"/>
      <c r="J31" s="480"/>
      <c r="K31" s="480"/>
      <c r="L31" s="480"/>
      <c r="M31" s="480"/>
      <c r="N31" s="480"/>
      <c r="O31" s="480"/>
      <c r="P31" s="480"/>
      <c r="Q31" s="480"/>
      <c r="R31" s="481"/>
      <c r="S31" s="490" t="s">
        <v>96</v>
      </c>
      <c r="T31" s="491"/>
      <c r="U31" s="492"/>
      <c r="V31" s="490" t="s">
        <v>151</v>
      </c>
      <c r="W31" s="524"/>
      <c r="X31" s="498" t="s">
        <v>146</v>
      </c>
      <c r="Y31" s="492"/>
      <c r="Z31" s="515" t="s">
        <v>324</v>
      </c>
      <c r="AA31" s="516"/>
      <c r="AB31" s="516"/>
      <c r="AC31" s="517"/>
      <c r="AD31" s="490"/>
      <c r="AE31" s="491"/>
      <c r="AF31" s="492"/>
      <c r="AG31" s="490"/>
      <c r="AH31" s="491"/>
      <c r="AI31" s="492"/>
      <c r="AJ31" s="490"/>
      <c r="AK31" s="491"/>
      <c r="AL31" s="492"/>
      <c r="AM31" s="51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1"/>
    </row>
    <row r="32" spans="1:62" ht="30.75" customHeight="1">
      <c r="A32" s="484">
        <f t="shared" si="0"/>
        <v>16</v>
      </c>
      <c r="B32" s="485"/>
      <c r="C32" s="486"/>
      <c r="D32" s="479" t="s">
        <v>70</v>
      </c>
      <c r="E32" s="480"/>
      <c r="F32" s="480"/>
      <c r="G32" s="480"/>
      <c r="H32" s="480"/>
      <c r="I32" s="480"/>
      <c r="J32" s="480"/>
      <c r="K32" s="480"/>
      <c r="L32" s="480"/>
      <c r="M32" s="480"/>
      <c r="N32" s="480"/>
      <c r="O32" s="480"/>
      <c r="P32" s="480"/>
      <c r="Q32" s="480"/>
      <c r="R32" s="481"/>
      <c r="S32" s="490" t="s">
        <v>96</v>
      </c>
      <c r="T32" s="491"/>
      <c r="U32" s="492"/>
      <c r="V32" s="490" t="s">
        <v>151</v>
      </c>
      <c r="W32" s="524"/>
      <c r="X32" s="498" t="s">
        <v>93</v>
      </c>
      <c r="Y32" s="492"/>
      <c r="Z32" s="490" t="s">
        <v>149</v>
      </c>
      <c r="AA32" s="491"/>
      <c r="AB32" s="491"/>
      <c r="AC32" s="492"/>
      <c r="AD32" s="490"/>
      <c r="AE32" s="491"/>
      <c r="AF32" s="492"/>
      <c r="AG32" s="490"/>
      <c r="AH32" s="491"/>
      <c r="AI32" s="492"/>
      <c r="AJ32" s="490"/>
      <c r="AK32" s="491"/>
      <c r="AL32" s="492"/>
      <c r="AM32" s="510"/>
      <c r="AN32" s="480"/>
      <c r="AO32" s="480"/>
      <c r="AP32" s="480"/>
      <c r="AQ32" s="480"/>
      <c r="AR32" s="480"/>
      <c r="AS32" s="480"/>
      <c r="AT32" s="480"/>
      <c r="AU32" s="480"/>
      <c r="AV32" s="480"/>
      <c r="AW32" s="480"/>
      <c r="AX32" s="480"/>
      <c r="AY32" s="480"/>
      <c r="AZ32" s="480"/>
      <c r="BA32" s="480"/>
      <c r="BB32" s="480"/>
      <c r="BC32" s="480"/>
      <c r="BD32" s="480"/>
      <c r="BE32" s="480"/>
      <c r="BF32" s="480"/>
      <c r="BG32" s="480"/>
      <c r="BH32" s="480"/>
      <c r="BI32" s="480"/>
      <c r="BJ32" s="481"/>
    </row>
    <row r="33" spans="1:62" ht="30.75" customHeight="1">
      <c r="A33" s="484">
        <f t="shared" si="0"/>
        <v>17</v>
      </c>
      <c r="B33" s="485"/>
      <c r="C33" s="486"/>
      <c r="D33" s="479" t="s">
        <v>243</v>
      </c>
      <c r="E33" s="480"/>
      <c r="F33" s="480"/>
      <c r="G33" s="480"/>
      <c r="H33" s="480"/>
      <c r="I33" s="480"/>
      <c r="J33" s="480"/>
      <c r="K33" s="480"/>
      <c r="L33" s="480"/>
      <c r="M33" s="480"/>
      <c r="N33" s="480"/>
      <c r="O33" s="480"/>
      <c r="P33" s="480"/>
      <c r="Q33" s="480"/>
      <c r="R33" s="481"/>
      <c r="S33" s="490" t="s">
        <v>96</v>
      </c>
      <c r="T33" s="491"/>
      <c r="U33" s="492"/>
      <c r="V33" s="490" t="s">
        <v>151</v>
      </c>
      <c r="W33" s="524"/>
      <c r="X33" s="685" t="s">
        <v>91</v>
      </c>
      <c r="Y33" s="686"/>
      <c r="Z33" s="490" t="s">
        <v>149</v>
      </c>
      <c r="AA33" s="491"/>
      <c r="AB33" s="491"/>
      <c r="AC33" s="492"/>
      <c r="AD33" s="490"/>
      <c r="AE33" s="491"/>
      <c r="AF33" s="492"/>
      <c r="AG33" s="490"/>
      <c r="AH33" s="491"/>
      <c r="AI33" s="492"/>
      <c r="AJ33" s="490"/>
      <c r="AK33" s="491"/>
      <c r="AL33" s="492"/>
      <c r="AM33" s="510" t="s">
        <v>228</v>
      </c>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1"/>
    </row>
    <row r="34" spans="1:62" ht="30.75" customHeight="1">
      <c r="A34" s="484">
        <f t="shared" si="0"/>
        <v>18</v>
      </c>
      <c r="B34" s="485"/>
      <c r="C34" s="486"/>
      <c r="D34" s="479" t="s">
        <v>176</v>
      </c>
      <c r="E34" s="480"/>
      <c r="F34" s="480"/>
      <c r="G34" s="480"/>
      <c r="H34" s="480"/>
      <c r="I34" s="480"/>
      <c r="J34" s="480"/>
      <c r="K34" s="480"/>
      <c r="L34" s="480"/>
      <c r="M34" s="480"/>
      <c r="N34" s="480"/>
      <c r="O34" s="480"/>
      <c r="P34" s="480"/>
      <c r="Q34" s="480"/>
      <c r="R34" s="481"/>
      <c r="S34" s="490" t="s">
        <v>96</v>
      </c>
      <c r="T34" s="491"/>
      <c r="U34" s="492"/>
      <c r="V34" s="490" t="s">
        <v>151</v>
      </c>
      <c r="W34" s="524"/>
      <c r="X34" s="498" t="s">
        <v>91</v>
      </c>
      <c r="Y34" s="492"/>
      <c r="Z34" s="490" t="s">
        <v>456</v>
      </c>
      <c r="AA34" s="491"/>
      <c r="AB34" s="491"/>
      <c r="AC34" s="492"/>
      <c r="AD34" s="490"/>
      <c r="AE34" s="491"/>
      <c r="AF34" s="492"/>
      <c r="AG34" s="490"/>
      <c r="AH34" s="491"/>
      <c r="AI34" s="492"/>
      <c r="AJ34" s="490"/>
      <c r="AK34" s="491"/>
      <c r="AL34" s="492"/>
      <c r="AM34" s="510"/>
      <c r="AN34" s="480"/>
      <c r="AO34" s="480"/>
      <c r="AP34" s="480"/>
      <c r="AQ34" s="480"/>
      <c r="AR34" s="480"/>
      <c r="AS34" s="480"/>
      <c r="AT34" s="480"/>
      <c r="AU34" s="480"/>
      <c r="AV34" s="480"/>
      <c r="AW34" s="480"/>
      <c r="AX34" s="480"/>
      <c r="AY34" s="480"/>
      <c r="AZ34" s="480"/>
      <c r="BA34" s="480"/>
      <c r="BB34" s="480"/>
      <c r="BC34" s="480"/>
      <c r="BD34" s="480"/>
      <c r="BE34" s="480"/>
      <c r="BF34" s="480"/>
      <c r="BG34" s="480"/>
      <c r="BH34" s="480"/>
      <c r="BI34" s="480"/>
      <c r="BJ34" s="481"/>
    </row>
    <row r="35" spans="1:62" ht="30.75" customHeight="1">
      <c r="A35" s="484">
        <f t="shared" si="0"/>
        <v>19</v>
      </c>
      <c r="B35" s="485"/>
      <c r="C35" s="486"/>
      <c r="D35" s="479" t="s">
        <v>209</v>
      </c>
      <c r="E35" s="480"/>
      <c r="F35" s="480"/>
      <c r="G35" s="480"/>
      <c r="H35" s="480"/>
      <c r="I35" s="480"/>
      <c r="J35" s="480"/>
      <c r="K35" s="480"/>
      <c r="L35" s="480"/>
      <c r="M35" s="480"/>
      <c r="N35" s="480"/>
      <c r="O35" s="480"/>
      <c r="P35" s="480"/>
      <c r="Q35" s="480"/>
      <c r="R35" s="481"/>
      <c r="S35" s="490" t="s">
        <v>96</v>
      </c>
      <c r="T35" s="491"/>
      <c r="U35" s="492"/>
      <c r="V35" s="490" t="s">
        <v>151</v>
      </c>
      <c r="W35" s="524"/>
      <c r="X35" s="498" t="s">
        <v>186</v>
      </c>
      <c r="Y35" s="492"/>
      <c r="Z35" s="515" t="s">
        <v>324</v>
      </c>
      <c r="AA35" s="516"/>
      <c r="AB35" s="516"/>
      <c r="AC35" s="517"/>
      <c r="AD35" s="490"/>
      <c r="AE35" s="491"/>
      <c r="AF35" s="492"/>
      <c r="AG35" s="490"/>
      <c r="AH35" s="491"/>
      <c r="AI35" s="492"/>
      <c r="AJ35" s="490"/>
      <c r="AK35" s="491"/>
      <c r="AL35" s="492"/>
      <c r="AM35" s="51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1"/>
    </row>
    <row r="36" spans="1:62" ht="30.75" customHeight="1">
      <c r="A36" s="484">
        <f t="shared" si="0"/>
        <v>20</v>
      </c>
      <c r="B36" s="485"/>
      <c r="C36" s="486"/>
      <c r="D36" s="479" t="s">
        <v>248</v>
      </c>
      <c r="E36" s="480"/>
      <c r="F36" s="480"/>
      <c r="G36" s="480"/>
      <c r="H36" s="480"/>
      <c r="I36" s="480"/>
      <c r="J36" s="480"/>
      <c r="K36" s="480"/>
      <c r="L36" s="480"/>
      <c r="M36" s="480"/>
      <c r="N36" s="480"/>
      <c r="O36" s="480"/>
      <c r="P36" s="480"/>
      <c r="Q36" s="480"/>
      <c r="R36" s="481"/>
      <c r="S36" s="490" t="s">
        <v>96</v>
      </c>
      <c r="T36" s="491"/>
      <c r="U36" s="492"/>
      <c r="V36" s="490" t="s">
        <v>151</v>
      </c>
      <c r="W36" s="524"/>
      <c r="X36" s="498" t="s">
        <v>142</v>
      </c>
      <c r="Y36" s="492"/>
      <c r="Z36" s="490" t="s">
        <v>456</v>
      </c>
      <c r="AA36" s="491"/>
      <c r="AB36" s="491"/>
      <c r="AC36" s="492"/>
      <c r="AD36" s="490"/>
      <c r="AE36" s="491"/>
      <c r="AF36" s="492"/>
      <c r="AG36" s="490"/>
      <c r="AH36" s="491"/>
      <c r="AI36" s="492"/>
      <c r="AJ36" s="490"/>
      <c r="AK36" s="491"/>
      <c r="AL36" s="492"/>
      <c r="AM36" s="510" t="s">
        <v>300</v>
      </c>
      <c r="AN36" s="480"/>
      <c r="AO36" s="480"/>
      <c r="AP36" s="480"/>
      <c r="AQ36" s="480"/>
      <c r="AR36" s="480"/>
      <c r="AS36" s="480"/>
      <c r="AT36" s="480"/>
      <c r="AU36" s="480"/>
      <c r="AV36" s="480"/>
      <c r="AW36" s="480"/>
      <c r="AX36" s="480"/>
      <c r="AY36" s="480"/>
      <c r="AZ36" s="480"/>
      <c r="BA36" s="480"/>
      <c r="BB36" s="480"/>
      <c r="BC36" s="480"/>
      <c r="BD36" s="480"/>
      <c r="BE36" s="480"/>
      <c r="BF36" s="480"/>
      <c r="BG36" s="480"/>
      <c r="BH36" s="480"/>
      <c r="BI36" s="480"/>
      <c r="BJ36" s="481"/>
    </row>
    <row r="37" spans="1:62" ht="30.75" customHeight="1">
      <c r="A37" s="484">
        <f t="shared" si="0"/>
        <v>21</v>
      </c>
      <c r="B37" s="485"/>
      <c r="C37" s="486"/>
      <c r="D37" s="479" t="s">
        <v>249</v>
      </c>
      <c r="E37" s="480"/>
      <c r="F37" s="480"/>
      <c r="G37" s="480"/>
      <c r="H37" s="480"/>
      <c r="I37" s="480"/>
      <c r="J37" s="480"/>
      <c r="K37" s="480"/>
      <c r="L37" s="480"/>
      <c r="M37" s="480"/>
      <c r="N37" s="480"/>
      <c r="O37" s="480"/>
      <c r="P37" s="480"/>
      <c r="Q37" s="480"/>
      <c r="R37" s="481"/>
      <c r="S37" s="490" t="s">
        <v>96</v>
      </c>
      <c r="T37" s="491"/>
      <c r="U37" s="492"/>
      <c r="V37" s="490" t="s">
        <v>151</v>
      </c>
      <c r="W37" s="524"/>
      <c r="X37" s="498" t="s">
        <v>186</v>
      </c>
      <c r="Y37" s="492"/>
      <c r="Z37" s="515" t="s">
        <v>324</v>
      </c>
      <c r="AA37" s="516"/>
      <c r="AB37" s="516"/>
      <c r="AC37" s="517"/>
      <c r="AD37" s="490"/>
      <c r="AE37" s="491"/>
      <c r="AF37" s="492"/>
      <c r="AG37" s="490"/>
      <c r="AH37" s="491"/>
      <c r="AI37" s="492"/>
      <c r="AJ37" s="490"/>
      <c r="AK37" s="491"/>
      <c r="AL37" s="492"/>
      <c r="AM37" s="51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1"/>
    </row>
    <row r="38" spans="1:62" ht="30.75" customHeight="1">
      <c r="A38" s="484">
        <f t="shared" si="0"/>
        <v>22</v>
      </c>
      <c r="B38" s="485"/>
      <c r="C38" s="486"/>
      <c r="D38" s="510" t="s">
        <v>233</v>
      </c>
      <c r="E38" s="532"/>
      <c r="F38" s="532"/>
      <c r="G38" s="532"/>
      <c r="H38" s="532"/>
      <c r="I38" s="532"/>
      <c r="J38" s="532"/>
      <c r="K38" s="532"/>
      <c r="L38" s="532"/>
      <c r="M38" s="532"/>
      <c r="N38" s="532"/>
      <c r="O38" s="532"/>
      <c r="P38" s="532"/>
      <c r="Q38" s="532"/>
      <c r="R38" s="533"/>
      <c r="S38" s="490" t="s">
        <v>96</v>
      </c>
      <c r="T38" s="491"/>
      <c r="U38" s="492"/>
      <c r="V38" s="490" t="s">
        <v>151</v>
      </c>
      <c r="W38" s="524"/>
      <c r="X38" s="498" t="s">
        <v>318</v>
      </c>
      <c r="Y38" s="492"/>
      <c r="Z38" s="490" t="s">
        <v>149</v>
      </c>
      <c r="AA38" s="491"/>
      <c r="AB38" s="491"/>
      <c r="AC38" s="492"/>
      <c r="AD38" s="490" t="s">
        <v>92</v>
      </c>
      <c r="AE38" s="491"/>
      <c r="AF38" s="492"/>
      <c r="AG38" s="490"/>
      <c r="AH38" s="491"/>
      <c r="AI38" s="492"/>
      <c r="AJ38" s="490"/>
      <c r="AK38" s="491"/>
      <c r="AL38" s="492"/>
      <c r="AM38" s="510"/>
      <c r="AN38" s="480"/>
      <c r="AO38" s="480"/>
      <c r="AP38" s="480"/>
      <c r="AQ38" s="480"/>
      <c r="AR38" s="480"/>
      <c r="AS38" s="480"/>
      <c r="AT38" s="480"/>
      <c r="AU38" s="480"/>
      <c r="AV38" s="480"/>
      <c r="AW38" s="480"/>
      <c r="AX38" s="480"/>
      <c r="AY38" s="480"/>
      <c r="AZ38" s="480"/>
      <c r="BA38" s="480"/>
      <c r="BB38" s="480"/>
      <c r="BC38" s="480"/>
      <c r="BD38" s="480"/>
      <c r="BE38" s="480"/>
      <c r="BF38" s="480"/>
      <c r="BG38" s="480"/>
      <c r="BH38" s="480"/>
      <c r="BI38" s="480"/>
      <c r="BJ38" s="481"/>
    </row>
    <row r="39" spans="1:62" ht="30.75" customHeight="1">
      <c r="A39" s="484">
        <f t="shared" si="0"/>
        <v>23</v>
      </c>
      <c r="B39" s="485"/>
      <c r="C39" s="486"/>
      <c r="D39" s="510" t="s">
        <v>234</v>
      </c>
      <c r="E39" s="532"/>
      <c r="F39" s="532"/>
      <c r="G39" s="532"/>
      <c r="H39" s="532"/>
      <c r="I39" s="532"/>
      <c r="J39" s="532"/>
      <c r="K39" s="532"/>
      <c r="L39" s="532"/>
      <c r="M39" s="532"/>
      <c r="N39" s="532"/>
      <c r="O39" s="532"/>
      <c r="P39" s="532"/>
      <c r="Q39" s="532"/>
      <c r="R39" s="533"/>
      <c r="S39" s="490" t="s">
        <v>96</v>
      </c>
      <c r="T39" s="491"/>
      <c r="U39" s="492"/>
      <c r="V39" s="490" t="s">
        <v>151</v>
      </c>
      <c r="W39" s="524"/>
      <c r="X39" s="498" t="s">
        <v>318</v>
      </c>
      <c r="Y39" s="492"/>
      <c r="Z39" s="490" t="s">
        <v>149</v>
      </c>
      <c r="AA39" s="491"/>
      <c r="AB39" s="491"/>
      <c r="AC39" s="492"/>
      <c r="AD39" s="490" t="s">
        <v>92</v>
      </c>
      <c r="AE39" s="491"/>
      <c r="AF39" s="492"/>
      <c r="AG39" s="490"/>
      <c r="AH39" s="491"/>
      <c r="AI39" s="492"/>
      <c r="AJ39" s="490"/>
      <c r="AK39" s="491"/>
      <c r="AL39" s="492"/>
      <c r="AM39" s="51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1"/>
    </row>
    <row r="40" spans="1:62" ht="30.75" customHeight="1">
      <c r="A40" s="484">
        <f t="shared" si="0"/>
        <v>24</v>
      </c>
      <c r="B40" s="485"/>
      <c r="C40" s="486"/>
      <c r="D40" s="510" t="s">
        <v>235</v>
      </c>
      <c r="E40" s="532"/>
      <c r="F40" s="532"/>
      <c r="G40" s="532"/>
      <c r="H40" s="532"/>
      <c r="I40" s="532"/>
      <c r="J40" s="532"/>
      <c r="K40" s="532"/>
      <c r="L40" s="532"/>
      <c r="M40" s="532"/>
      <c r="N40" s="532"/>
      <c r="O40" s="532"/>
      <c r="P40" s="532"/>
      <c r="Q40" s="532"/>
      <c r="R40" s="533"/>
      <c r="S40" s="490" t="s">
        <v>96</v>
      </c>
      <c r="T40" s="491"/>
      <c r="U40" s="492"/>
      <c r="V40" s="490" t="s">
        <v>151</v>
      </c>
      <c r="W40" s="524"/>
      <c r="X40" s="498" t="s">
        <v>318</v>
      </c>
      <c r="Y40" s="492"/>
      <c r="Z40" s="490" t="s">
        <v>149</v>
      </c>
      <c r="AA40" s="491"/>
      <c r="AB40" s="491"/>
      <c r="AC40" s="492"/>
      <c r="AD40" s="490" t="s">
        <v>92</v>
      </c>
      <c r="AE40" s="491"/>
      <c r="AF40" s="492"/>
      <c r="AG40" s="490"/>
      <c r="AH40" s="491"/>
      <c r="AI40" s="492"/>
      <c r="AJ40" s="490"/>
      <c r="AK40" s="491"/>
      <c r="AL40" s="492"/>
      <c r="AM40" s="51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1"/>
    </row>
    <row r="41" spans="1:62" ht="30.75" customHeight="1">
      <c r="A41" s="484">
        <f t="shared" si="0"/>
        <v>25</v>
      </c>
      <c r="B41" s="485"/>
      <c r="C41" s="486"/>
      <c r="D41" s="510" t="s">
        <v>236</v>
      </c>
      <c r="E41" s="532"/>
      <c r="F41" s="532"/>
      <c r="G41" s="532"/>
      <c r="H41" s="532"/>
      <c r="I41" s="532"/>
      <c r="J41" s="532"/>
      <c r="K41" s="532"/>
      <c r="L41" s="532"/>
      <c r="M41" s="532"/>
      <c r="N41" s="532"/>
      <c r="O41" s="532"/>
      <c r="P41" s="532"/>
      <c r="Q41" s="532"/>
      <c r="R41" s="533"/>
      <c r="S41" s="490" t="s">
        <v>96</v>
      </c>
      <c r="T41" s="491"/>
      <c r="U41" s="492"/>
      <c r="V41" s="490" t="s">
        <v>151</v>
      </c>
      <c r="W41" s="524"/>
      <c r="X41" s="498" t="s">
        <v>318</v>
      </c>
      <c r="Y41" s="492"/>
      <c r="Z41" s="490" t="s">
        <v>149</v>
      </c>
      <c r="AA41" s="491"/>
      <c r="AB41" s="491"/>
      <c r="AC41" s="492"/>
      <c r="AD41" s="490" t="s">
        <v>92</v>
      </c>
      <c r="AE41" s="491"/>
      <c r="AF41" s="492"/>
      <c r="AG41" s="490"/>
      <c r="AH41" s="491"/>
      <c r="AI41" s="492"/>
      <c r="AJ41" s="490"/>
      <c r="AK41" s="491"/>
      <c r="AL41" s="492"/>
      <c r="AM41" s="51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1"/>
    </row>
    <row r="42" spans="1:62" ht="30.75" customHeight="1">
      <c r="A42" s="484">
        <f t="shared" si="0"/>
        <v>26</v>
      </c>
      <c r="B42" s="485"/>
      <c r="C42" s="486"/>
      <c r="D42" s="510" t="s">
        <v>237</v>
      </c>
      <c r="E42" s="532"/>
      <c r="F42" s="532"/>
      <c r="G42" s="532"/>
      <c r="H42" s="532"/>
      <c r="I42" s="532"/>
      <c r="J42" s="532"/>
      <c r="K42" s="532"/>
      <c r="L42" s="532"/>
      <c r="M42" s="532"/>
      <c r="N42" s="532"/>
      <c r="O42" s="532"/>
      <c r="P42" s="532"/>
      <c r="Q42" s="532"/>
      <c r="R42" s="533"/>
      <c r="S42" s="490" t="s">
        <v>96</v>
      </c>
      <c r="T42" s="491"/>
      <c r="U42" s="492"/>
      <c r="V42" s="490" t="s">
        <v>151</v>
      </c>
      <c r="W42" s="524"/>
      <c r="X42" s="498" t="s">
        <v>318</v>
      </c>
      <c r="Y42" s="492"/>
      <c r="Z42" s="490" t="s">
        <v>149</v>
      </c>
      <c r="AA42" s="491"/>
      <c r="AB42" s="491"/>
      <c r="AC42" s="492"/>
      <c r="AD42" s="490" t="s">
        <v>92</v>
      </c>
      <c r="AE42" s="491"/>
      <c r="AF42" s="492"/>
      <c r="AG42" s="490"/>
      <c r="AH42" s="491"/>
      <c r="AI42" s="492"/>
      <c r="AJ42" s="490"/>
      <c r="AK42" s="491"/>
      <c r="AL42" s="492"/>
      <c r="AM42" s="51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1"/>
    </row>
    <row r="43" spans="1:62" ht="30.75" customHeight="1">
      <c r="A43" s="484">
        <f t="shared" si="0"/>
        <v>27</v>
      </c>
      <c r="B43" s="485"/>
      <c r="C43" s="486"/>
      <c r="D43" s="510" t="s">
        <v>238</v>
      </c>
      <c r="E43" s="532"/>
      <c r="F43" s="532"/>
      <c r="G43" s="532"/>
      <c r="H43" s="532"/>
      <c r="I43" s="532"/>
      <c r="J43" s="532"/>
      <c r="K43" s="532"/>
      <c r="L43" s="532"/>
      <c r="M43" s="532"/>
      <c r="N43" s="532"/>
      <c r="O43" s="532"/>
      <c r="P43" s="532"/>
      <c r="Q43" s="532"/>
      <c r="R43" s="533"/>
      <c r="S43" s="490" t="s">
        <v>96</v>
      </c>
      <c r="T43" s="491"/>
      <c r="U43" s="492"/>
      <c r="V43" s="490" t="s">
        <v>151</v>
      </c>
      <c r="W43" s="524"/>
      <c r="X43" s="498" t="s">
        <v>318</v>
      </c>
      <c r="Y43" s="492"/>
      <c r="Z43" s="490" t="s">
        <v>149</v>
      </c>
      <c r="AA43" s="491"/>
      <c r="AB43" s="491"/>
      <c r="AC43" s="492"/>
      <c r="AD43" s="490" t="s">
        <v>92</v>
      </c>
      <c r="AE43" s="491"/>
      <c r="AF43" s="492"/>
      <c r="AG43" s="490"/>
      <c r="AH43" s="491"/>
      <c r="AI43" s="492"/>
      <c r="AJ43" s="490"/>
      <c r="AK43" s="491"/>
      <c r="AL43" s="492"/>
      <c r="AM43" s="51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1"/>
    </row>
    <row r="44" spans="1:62" ht="30.75" customHeight="1">
      <c r="A44" s="484">
        <f t="shared" si="0"/>
        <v>28</v>
      </c>
      <c r="B44" s="485"/>
      <c r="C44" s="486"/>
      <c r="D44" s="510" t="s">
        <v>239</v>
      </c>
      <c r="E44" s="532"/>
      <c r="F44" s="532"/>
      <c r="G44" s="532"/>
      <c r="H44" s="532"/>
      <c r="I44" s="532"/>
      <c r="J44" s="532"/>
      <c r="K44" s="532"/>
      <c r="L44" s="532"/>
      <c r="M44" s="532"/>
      <c r="N44" s="532"/>
      <c r="O44" s="532"/>
      <c r="P44" s="532"/>
      <c r="Q44" s="532"/>
      <c r="R44" s="533"/>
      <c r="S44" s="490" t="s">
        <v>96</v>
      </c>
      <c r="T44" s="491"/>
      <c r="U44" s="492"/>
      <c r="V44" s="490" t="s">
        <v>151</v>
      </c>
      <c r="W44" s="524"/>
      <c r="X44" s="498" t="s">
        <v>318</v>
      </c>
      <c r="Y44" s="492"/>
      <c r="Z44" s="490" t="s">
        <v>149</v>
      </c>
      <c r="AA44" s="491"/>
      <c r="AB44" s="491"/>
      <c r="AC44" s="492"/>
      <c r="AD44" s="490" t="s">
        <v>92</v>
      </c>
      <c r="AE44" s="491"/>
      <c r="AF44" s="492"/>
      <c r="AG44" s="490"/>
      <c r="AH44" s="491"/>
      <c r="AI44" s="492"/>
      <c r="AJ44" s="490"/>
      <c r="AK44" s="491"/>
      <c r="AL44" s="492"/>
      <c r="AM44" s="51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1"/>
    </row>
    <row r="45" spans="1:62" ht="30.75" customHeight="1">
      <c r="A45" s="484">
        <f t="shared" si="0"/>
        <v>29</v>
      </c>
      <c r="B45" s="485"/>
      <c r="C45" s="486"/>
      <c r="D45" s="510" t="s">
        <v>240</v>
      </c>
      <c r="E45" s="532"/>
      <c r="F45" s="532"/>
      <c r="G45" s="532"/>
      <c r="H45" s="532"/>
      <c r="I45" s="532"/>
      <c r="J45" s="532"/>
      <c r="K45" s="532"/>
      <c r="L45" s="532"/>
      <c r="M45" s="532"/>
      <c r="N45" s="532"/>
      <c r="O45" s="532"/>
      <c r="P45" s="532"/>
      <c r="Q45" s="532"/>
      <c r="R45" s="533"/>
      <c r="S45" s="490" t="s">
        <v>96</v>
      </c>
      <c r="T45" s="491"/>
      <c r="U45" s="492"/>
      <c r="V45" s="490" t="s">
        <v>151</v>
      </c>
      <c r="W45" s="524"/>
      <c r="X45" s="498" t="s">
        <v>318</v>
      </c>
      <c r="Y45" s="492"/>
      <c r="Z45" s="490" t="s">
        <v>149</v>
      </c>
      <c r="AA45" s="491"/>
      <c r="AB45" s="491"/>
      <c r="AC45" s="492"/>
      <c r="AD45" s="490" t="s">
        <v>92</v>
      </c>
      <c r="AE45" s="491"/>
      <c r="AF45" s="492"/>
      <c r="AG45" s="490"/>
      <c r="AH45" s="491"/>
      <c r="AI45" s="492"/>
      <c r="AJ45" s="490"/>
      <c r="AK45" s="491"/>
      <c r="AL45" s="492"/>
      <c r="AM45" s="51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1"/>
    </row>
    <row r="46" spans="1:62" ht="30.75" customHeight="1">
      <c r="A46" s="484">
        <f t="shared" si="0"/>
        <v>30</v>
      </c>
      <c r="B46" s="485"/>
      <c r="C46" s="486"/>
      <c r="D46" s="479" t="s">
        <v>210</v>
      </c>
      <c r="E46" s="480"/>
      <c r="F46" s="480"/>
      <c r="G46" s="480"/>
      <c r="H46" s="480"/>
      <c r="I46" s="480"/>
      <c r="J46" s="480"/>
      <c r="K46" s="480"/>
      <c r="L46" s="480"/>
      <c r="M46" s="480"/>
      <c r="N46" s="480"/>
      <c r="O46" s="480"/>
      <c r="P46" s="480"/>
      <c r="Q46" s="480"/>
      <c r="R46" s="481"/>
      <c r="S46" s="490" t="s">
        <v>83</v>
      </c>
      <c r="T46" s="491"/>
      <c r="U46" s="492"/>
      <c r="V46" s="490" t="s">
        <v>91</v>
      </c>
      <c r="W46" s="524"/>
      <c r="X46" s="498" t="s">
        <v>91</v>
      </c>
      <c r="Y46" s="492"/>
      <c r="Z46" s="490" t="s">
        <v>456</v>
      </c>
      <c r="AA46" s="491"/>
      <c r="AB46" s="491"/>
      <c r="AC46" s="492"/>
      <c r="AD46" s="490"/>
      <c r="AE46" s="491"/>
      <c r="AF46" s="492"/>
      <c r="AG46" s="490"/>
      <c r="AH46" s="491"/>
      <c r="AI46" s="492"/>
      <c r="AJ46" s="490"/>
      <c r="AK46" s="491"/>
      <c r="AL46" s="492"/>
      <c r="AM46" s="51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1"/>
    </row>
    <row r="47" spans="1:62" ht="30.75" customHeight="1">
      <c r="A47" s="484">
        <f t="shared" si="0"/>
        <v>31</v>
      </c>
      <c r="B47" s="485"/>
      <c r="C47" s="486"/>
      <c r="D47" s="479" t="s">
        <v>211</v>
      </c>
      <c r="E47" s="480"/>
      <c r="F47" s="480"/>
      <c r="G47" s="480"/>
      <c r="H47" s="480"/>
      <c r="I47" s="480"/>
      <c r="J47" s="480"/>
      <c r="K47" s="480"/>
      <c r="L47" s="480"/>
      <c r="M47" s="480"/>
      <c r="N47" s="480"/>
      <c r="O47" s="480"/>
      <c r="P47" s="480"/>
      <c r="Q47" s="480"/>
      <c r="R47" s="481"/>
      <c r="S47" s="490" t="s">
        <v>96</v>
      </c>
      <c r="T47" s="491"/>
      <c r="U47" s="492"/>
      <c r="V47" s="490" t="s">
        <v>151</v>
      </c>
      <c r="W47" s="524"/>
      <c r="X47" s="498" t="s">
        <v>186</v>
      </c>
      <c r="Y47" s="492"/>
      <c r="Z47" s="515" t="s">
        <v>324</v>
      </c>
      <c r="AA47" s="516"/>
      <c r="AB47" s="516"/>
      <c r="AC47" s="517"/>
      <c r="AD47" s="490"/>
      <c r="AE47" s="491"/>
      <c r="AF47" s="492"/>
      <c r="AG47" s="490"/>
      <c r="AH47" s="491"/>
      <c r="AI47" s="492"/>
      <c r="AJ47" s="490"/>
      <c r="AK47" s="491"/>
      <c r="AL47" s="492"/>
      <c r="AM47" s="51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1"/>
    </row>
    <row r="48" spans="1:62" ht="30.75" customHeight="1">
      <c r="A48" s="484">
        <f t="shared" si="0"/>
        <v>32</v>
      </c>
      <c r="B48" s="485"/>
      <c r="C48" s="486"/>
      <c r="D48" s="479" t="s">
        <v>224</v>
      </c>
      <c r="E48" s="480"/>
      <c r="F48" s="480"/>
      <c r="G48" s="480"/>
      <c r="H48" s="480"/>
      <c r="I48" s="480"/>
      <c r="J48" s="480"/>
      <c r="K48" s="480"/>
      <c r="L48" s="480"/>
      <c r="M48" s="480"/>
      <c r="N48" s="480"/>
      <c r="O48" s="480"/>
      <c r="P48" s="480"/>
      <c r="Q48" s="480"/>
      <c r="R48" s="481"/>
      <c r="S48" s="490" t="s">
        <v>83</v>
      </c>
      <c r="T48" s="491"/>
      <c r="U48" s="492"/>
      <c r="V48" s="490" t="s">
        <v>142</v>
      </c>
      <c r="W48" s="524"/>
      <c r="X48" s="498" t="s">
        <v>142</v>
      </c>
      <c r="Y48" s="492"/>
      <c r="Z48" s="490" t="s">
        <v>456</v>
      </c>
      <c r="AA48" s="491"/>
      <c r="AB48" s="491"/>
      <c r="AC48" s="492"/>
      <c r="AD48" s="490"/>
      <c r="AE48" s="491"/>
      <c r="AF48" s="492"/>
      <c r="AG48" s="490"/>
      <c r="AH48" s="491"/>
      <c r="AI48" s="492"/>
      <c r="AJ48" s="490"/>
      <c r="AK48" s="491"/>
      <c r="AL48" s="492"/>
      <c r="AM48" s="51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1"/>
    </row>
    <row r="49" spans="1:62" ht="30.75" customHeight="1">
      <c r="A49" s="484">
        <f t="shared" si="0"/>
        <v>33</v>
      </c>
      <c r="B49" s="485"/>
      <c r="C49" s="486"/>
      <c r="D49" s="479" t="s">
        <v>225</v>
      </c>
      <c r="E49" s="480"/>
      <c r="F49" s="480"/>
      <c r="G49" s="480"/>
      <c r="H49" s="480"/>
      <c r="I49" s="480"/>
      <c r="J49" s="480"/>
      <c r="K49" s="480"/>
      <c r="L49" s="480"/>
      <c r="M49" s="480"/>
      <c r="N49" s="480"/>
      <c r="O49" s="480"/>
      <c r="P49" s="480"/>
      <c r="Q49" s="480"/>
      <c r="R49" s="481"/>
      <c r="S49" s="490" t="s">
        <v>96</v>
      </c>
      <c r="T49" s="491"/>
      <c r="U49" s="492"/>
      <c r="V49" s="490" t="s">
        <v>151</v>
      </c>
      <c r="W49" s="524"/>
      <c r="X49" s="498" t="s">
        <v>186</v>
      </c>
      <c r="Y49" s="492"/>
      <c r="Z49" s="515" t="s">
        <v>324</v>
      </c>
      <c r="AA49" s="516"/>
      <c r="AB49" s="516"/>
      <c r="AC49" s="517"/>
      <c r="AD49" s="490"/>
      <c r="AE49" s="491"/>
      <c r="AF49" s="492"/>
      <c r="AG49" s="490"/>
      <c r="AH49" s="491"/>
      <c r="AI49" s="492"/>
      <c r="AJ49" s="490"/>
      <c r="AK49" s="491"/>
      <c r="AL49" s="492"/>
      <c r="AM49" s="51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1"/>
    </row>
    <row r="50" spans="1:62" ht="30.75" customHeight="1">
      <c r="A50" s="484">
        <f t="shared" si="0"/>
        <v>34</v>
      </c>
      <c r="B50" s="485"/>
      <c r="C50" s="486"/>
      <c r="D50" s="510" t="s">
        <v>226</v>
      </c>
      <c r="E50" s="532"/>
      <c r="F50" s="532"/>
      <c r="G50" s="532"/>
      <c r="H50" s="532"/>
      <c r="I50" s="532"/>
      <c r="J50" s="532"/>
      <c r="K50" s="532"/>
      <c r="L50" s="532"/>
      <c r="M50" s="532"/>
      <c r="N50" s="532"/>
      <c r="O50" s="532"/>
      <c r="P50" s="532"/>
      <c r="Q50" s="532"/>
      <c r="R50" s="533"/>
      <c r="S50" s="490" t="s">
        <v>83</v>
      </c>
      <c r="T50" s="491"/>
      <c r="U50" s="492"/>
      <c r="V50" s="490" t="s">
        <v>186</v>
      </c>
      <c r="W50" s="524"/>
      <c r="X50" s="498" t="s">
        <v>318</v>
      </c>
      <c r="Y50" s="492"/>
      <c r="Z50" s="490" t="s">
        <v>149</v>
      </c>
      <c r="AA50" s="491"/>
      <c r="AB50" s="491"/>
      <c r="AC50" s="492"/>
      <c r="AD50" s="490" t="s">
        <v>92</v>
      </c>
      <c r="AE50" s="491"/>
      <c r="AF50" s="492"/>
      <c r="AG50" s="490"/>
      <c r="AH50" s="491"/>
      <c r="AI50" s="492"/>
      <c r="AJ50" s="490"/>
      <c r="AK50" s="491"/>
      <c r="AL50" s="492"/>
      <c r="AM50" s="51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1"/>
    </row>
    <row r="51" spans="1:62" ht="30.75" customHeight="1">
      <c r="A51" s="484">
        <f t="shared" si="0"/>
        <v>35</v>
      </c>
      <c r="B51" s="485"/>
      <c r="C51" s="486"/>
      <c r="D51" s="510" t="s">
        <v>227</v>
      </c>
      <c r="E51" s="532"/>
      <c r="F51" s="532"/>
      <c r="G51" s="532"/>
      <c r="H51" s="532"/>
      <c r="I51" s="532"/>
      <c r="J51" s="532"/>
      <c r="K51" s="532"/>
      <c r="L51" s="532"/>
      <c r="M51" s="532"/>
      <c r="N51" s="532"/>
      <c r="O51" s="532"/>
      <c r="P51" s="532"/>
      <c r="Q51" s="532"/>
      <c r="R51" s="533"/>
      <c r="S51" s="490" t="s">
        <v>83</v>
      </c>
      <c r="T51" s="491"/>
      <c r="U51" s="492"/>
      <c r="V51" s="490" t="s">
        <v>186</v>
      </c>
      <c r="W51" s="524"/>
      <c r="X51" s="498" t="s">
        <v>318</v>
      </c>
      <c r="Y51" s="492"/>
      <c r="Z51" s="490" t="s">
        <v>149</v>
      </c>
      <c r="AA51" s="491"/>
      <c r="AB51" s="491"/>
      <c r="AC51" s="492"/>
      <c r="AD51" s="490" t="s">
        <v>92</v>
      </c>
      <c r="AE51" s="491"/>
      <c r="AF51" s="492"/>
      <c r="AG51" s="490"/>
      <c r="AH51" s="491"/>
      <c r="AI51" s="492"/>
      <c r="AJ51" s="490"/>
      <c r="AK51" s="491"/>
      <c r="AL51" s="492"/>
      <c r="AM51" s="51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1"/>
    </row>
    <row r="52" spans="1:62" ht="30.75" customHeight="1">
      <c r="A52" s="484">
        <f t="shared" si="0"/>
        <v>36</v>
      </c>
      <c r="B52" s="485"/>
      <c r="C52" s="486"/>
      <c r="D52" s="495" t="s">
        <v>163</v>
      </c>
      <c r="E52" s="496"/>
      <c r="F52" s="496"/>
      <c r="G52" s="496"/>
      <c r="H52" s="496"/>
      <c r="I52" s="496"/>
      <c r="J52" s="496"/>
      <c r="K52" s="496"/>
      <c r="L52" s="496"/>
      <c r="M52" s="496"/>
      <c r="N52" s="496"/>
      <c r="O52" s="496"/>
      <c r="P52" s="496"/>
      <c r="Q52" s="496"/>
      <c r="R52" s="497"/>
      <c r="S52" s="490"/>
      <c r="T52" s="491"/>
      <c r="U52" s="492"/>
      <c r="V52" s="490" t="s">
        <v>281</v>
      </c>
      <c r="W52" s="524"/>
      <c r="X52" s="498" t="s">
        <v>281</v>
      </c>
      <c r="Y52" s="492"/>
      <c r="Z52" s="490"/>
      <c r="AA52" s="491"/>
      <c r="AB52" s="491"/>
      <c r="AC52" s="492"/>
      <c r="AD52" s="490"/>
      <c r="AE52" s="491"/>
      <c r="AF52" s="492"/>
      <c r="AG52" s="490"/>
      <c r="AH52" s="491"/>
      <c r="AI52" s="492"/>
      <c r="AJ52" s="490"/>
      <c r="AK52" s="491"/>
      <c r="AL52" s="492"/>
      <c r="AM52" s="479"/>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1"/>
    </row>
    <row r="53" spans="1:62" ht="30.75" customHeight="1">
      <c r="A53" s="484">
        <f t="shared" si="0"/>
        <v>37</v>
      </c>
      <c r="B53" s="485"/>
      <c r="C53" s="486"/>
      <c r="D53" s="479" t="s">
        <v>64</v>
      </c>
      <c r="E53" s="480"/>
      <c r="F53" s="480"/>
      <c r="G53" s="480"/>
      <c r="H53" s="480"/>
      <c r="I53" s="480"/>
      <c r="J53" s="480"/>
      <c r="K53" s="480"/>
      <c r="L53" s="480"/>
      <c r="M53" s="480"/>
      <c r="N53" s="480"/>
      <c r="O53" s="480"/>
      <c r="P53" s="480"/>
      <c r="Q53" s="480"/>
      <c r="R53" s="481"/>
      <c r="S53" s="490" t="s">
        <v>83</v>
      </c>
      <c r="T53" s="491"/>
      <c r="U53" s="492"/>
      <c r="V53" s="490" t="s">
        <v>94</v>
      </c>
      <c r="W53" s="524"/>
      <c r="X53" s="498" t="s">
        <v>94</v>
      </c>
      <c r="Y53" s="492"/>
      <c r="Z53" s="490" t="s">
        <v>456</v>
      </c>
      <c r="AA53" s="491"/>
      <c r="AB53" s="491"/>
      <c r="AC53" s="492"/>
      <c r="AD53" s="490"/>
      <c r="AE53" s="491"/>
      <c r="AF53" s="492"/>
      <c r="AG53" s="490"/>
      <c r="AH53" s="491"/>
      <c r="AI53" s="492"/>
      <c r="AJ53" s="490"/>
      <c r="AK53" s="491"/>
      <c r="AL53" s="492"/>
      <c r="AM53" s="479"/>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1"/>
    </row>
    <row r="54" spans="1:62" ht="30.75" customHeight="1">
      <c r="A54" s="484">
        <f t="shared" si="0"/>
        <v>38</v>
      </c>
      <c r="B54" s="485"/>
      <c r="C54" s="486"/>
      <c r="D54" s="479" t="s">
        <v>160</v>
      </c>
      <c r="E54" s="480"/>
      <c r="F54" s="480"/>
      <c r="G54" s="480"/>
      <c r="H54" s="480"/>
      <c r="I54" s="480"/>
      <c r="J54" s="480"/>
      <c r="K54" s="480"/>
      <c r="L54" s="480"/>
      <c r="M54" s="480"/>
      <c r="N54" s="480"/>
      <c r="O54" s="480"/>
      <c r="P54" s="480"/>
      <c r="Q54" s="480"/>
      <c r="R54" s="481"/>
      <c r="S54" s="490" t="s">
        <v>96</v>
      </c>
      <c r="T54" s="491"/>
      <c r="U54" s="492"/>
      <c r="V54" s="490" t="s">
        <v>151</v>
      </c>
      <c r="W54" s="524"/>
      <c r="X54" s="498" t="s">
        <v>146</v>
      </c>
      <c r="Y54" s="492"/>
      <c r="Z54" s="515" t="s">
        <v>324</v>
      </c>
      <c r="AA54" s="516"/>
      <c r="AB54" s="516"/>
      <c r="AC54" s="517"/>
      <c r="AD54" s="490"/>
      <c r="AE54" s="491"/>
      <c r="AF54" s="492"/>
      <c r="AG54" s="490"/>
      <c r="AH54" s="491"/>
      <c r="AI54" s="492"/>
      <c r="AJ54" s="490"/>
      <c r="AK54" s="491"/>
      <c r="AL54" s="492"/>
      <c r="AM54" s="51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1"/>
    </row>
    <row r="55" spans="1:62" ht="30.75" customHeight="1">
      <c r="A55" s="484">
        <f t="shared" si="0"/>
        <v>39</v>
      </c>
      <c r="B55" s="485"/>
      <c r="C55" s="486"/>
      <c r="D55" s="479" t="s">
        <v>70</v>
      </c>
      <c r="E55" s="480"/>
      <c r="F55" s="480"/>
      <c r="G55" s="480"/>
      <c r="H55" s="480"/>
      <c r="I55" s="480"/>
      <c r="J55" s="480"/>
      <c r="K55" s="480"/>
      <c r="L55" s="480"/>
      <c r="M55" s="480"/>
      <c r="N55" s="480"/>
      <c r="O55" s="480"/>
      <c r="P55" s="480"/>
      <c r="Q55" s="480"/>
      <c r="R55" s="481"/>
      <c r="S55" s="490" t="s">
        <v>83</v>
      </c>
      <c r="T55" s="491"/>
      <c r="U55" s="492"/>
      <c r="V55" s="490" t="s">
        <v>93</v>
      </c>
      <c r="W55" s="524"/>
      <c r="X55" s="498" t="s">
        <v>93</v>
      </c>
      <c r="Y55" s="492"/>
      <c r="Z55" s="490" t="s">
        <v>149</v>
      </c>
      <c r="AA55" s="491"/>
      <c r="AB55" s="491"/>
      <c r="AC55" s="492"/>
      <c r="AD55" s="490"/>
      <c r="AE55" s="491"/>
      <c r="AF55" s="492"/>
      <c r="AG55" s="490"/>
      <c r="AH55" s="491"/>
      <c r="AI55" s="492"/>
      <c r="AJ55" s="490"/>
      <c r="AK55" s="491"/>
      <c r="AL55" s="492"/>
      <c r="AM55" s="51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1"/>
    </row>
    <row r="56" spans="1:62" ht="30.75" customHeight="1">
      <c r="A56" s="484">
        <f t="shared" si="0"/>
        <v>40</v>
      </c>
      <c r="B56" s="485"/>
      <c r="C56" s="486"/>
      <c r="D56" s="479" t="s">
        <v>243</v>
      </c>
      <c r="E56" s="480"/>
      <c r="F56" s="480"/>
      <c r="G56" s="480"/>
      <c r="H56" s="480"/>
      <c r="I56" s="480"/>
      <c r="J56" s="480"/>
      <c r="K56" s="480"/>
      <c r="L56" s="480"/>
      <c r="M56" s="480"/>
      <c r="N56" s="480"/>
      <c r="O56" s="480"/>
      <c r="P56" s="480"/>
      <c r="Q56" s="480"/>
      <c r="R56" s="481"/>
      <c r="S56" s="490" t="s">
        <v>83</v>
      </c>
      <c r="T56" s="491"/>
      <c r="U56" s="492"/>
      <c r="V56" s="683" t="s">
        <v>91</v>
      </c>
      <c r="W56" s="684"/>
      <c r="X56" s="685" t="s">
        <v>91</v>
      </c>
      <c r="Y56" s="686"/>
      <c r="Z56" s="490" t="s">
        <v>149</v>
      </c>
      <c r="AA56" s="491"/>
      <c r="AB56" s="491"/>
      <c r="AC56" s="492"/>
      <c r="AD56" s="490"/>
      <c r="AE56" s="491"/>
      <c r="AF56" s="492"/>
      <c r="AG56" s="490"/>
      <c r="AH56" s="491"/>
      <c r="AI56" s="492"/>
      <c r="AJ56" s="490"/>
      <c r="AK56" s="491"/>
      <c r="AL56" s="492"/>
      <c r="AM56" s="510" t="s">
        <v>228</v>
      </c>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1"/>
    </row>
    <row r="57" spans="1:62" ht="30.75" customHeight="1">
      <c r="A57" s="484">
        <f t="shared" si="0"/>
        <v>41</v>
      </c>
      <c r="B57" s="485"/>
      <c r="C57" s="486"/>
      <c r="D57" s="479" t="s">
        <v>176</v>
      </c>
      <c r="E57" s="480"/>
      <c r="F57" s="480"/>
      <c r="G57" s="480"/>
      <c r="H57" s="480"/>
      <c r="I57" s="480"/>
      <c r="J57" s="480"/>
      <c r="K57" s="480"/>
      <c r="L57" s="480"/>
      <c r="M57" s="480"/>
      <c r="N57" s="480"/>
      <c r="O57" s="480"/>
      <c r="P57" s="480"/>
      <c r="Q57" s="480"/>
      <c r="R57" s="481"/>
      <c r="S57" s="490" t="s">
        <v>83</v>
      </c>
      <c r="T57" s="491"/>
      <c r="U57" s="492"/>
      <c r="V57" s="490" t="s">
        <v>91</v>
      </c>
      <c r="W57" s="524"/>
      <c r="X57" s="498" t="s">
        <v>91</v>
      </c>
      <c r="Y57" s="492"/>
      <c r="Z57" s="490" t="s">
        <v>456</v>
      </c>
      <c r="AA57" s="491"/>
      <c r="AB57" s="491"/>
      <c r="AC57" s="492"/>
      <c r="AD57" s="490"/>
      <c r="AE57" s="491"/>
      <c r="AF57" s="492"/>
      <c r="AG57" s="490"/>
      <c r="AH57" s="491"/>
      <c r="AI57" s="492"/>
      <c r="AJ57" s="490"/>
      <c r="AK57" s="491"/>
      <c r="AL57" s="492"/>
      <c r="AM57" s="51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1"/>
    </row>
    <row r="58" spans="1:62" ht="30.75" customHeight="1">
      <c r="A58" s="484">
        <f t="shared" si="0"/>
        <v>42</v>
      </c>
      <c r="B58" s="485"/>
      <c r="C58" s="486"/>
      <c r="D58" s="479" t="s">
        <v>209</v>
      </c>
      <c r="E58" s="480"/>
      <c r="F58" s="480"/>
      <c r="G58" s="480"/>
      <c r="H58" s="480"/>
      <c r="I58" s="480"/>
      <c r="J58" s="480"/>
      <c r="K58" s="480"/>
      <c r="L58" s="480"/>
      <c r="M58" s="480"/>
      <c r="N58" s="480"/>
      <c r="O58" s="480"/>
      <c r="P58" s="480"/>
      <c r="Q58" s="480"/>
      <c r="R58" s="481"/>
      <c r="S58" s="490" t="s">
        <v>96</v>
      </c>
      <c r="T58" s="491"/>
      <c r="U58" s="492"/>
      <c r="V58" s="490" t="s">
        <v>151</v>
      </c>
      <c r="W58" s="524"/>
      <c r="X58" s="498" t="s">
        <v>186</v>
      </c>
      <c r="Y58" s="492"/>
      <c r="Z58" s="515" t="s">
        <v>324</v>
      </c>
      <c r="AA58" s="516"/>
      <c r="AB58" s="516"/>
      <c r="AC58" s="517"/>
      <c r="AD58" s="490"/>
      <c r="AE58" s="491"/>
      <c r="AF58" s="492"/>
      <c r="AG58" s="490"/>
      <c r="AH58" s="491"/>
      <c r="AI58" s="492"/>
      <c r="AJ58" s="490"/>
      <c r="AK58" s="491"/>
      <c r="AL58" s="492"/>
      <c r="AM58" s="51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1"/>
    </row>
    <row r="59" spans="1:62" ht="30.75" customHeight="1">
      <c r="A59" s="484">
        <f t="shared" si="0"/>
        <v>43</v>
      </c>
      <c r="B59" s="485"/>
      <c r="C59" s="486"/>
      <c r="D59" s="479" t="s">
        <v>248</v>
      </c>
      <c r="E59" s="480"/>
      <c r="F59" s="480"/>
      <c r="G59" s="480"/>
      <c r="H59" s="480"/>
      <c r="I59" s="480"/>
      <c r="J59" s="480"/>
      <c r="K59" s="480"/>
      <c r="L59" s="480"/>
      <c r="M59" s="480"/>
      <c r="N59" s="480"/>
      <c r="O59" s="480"/>
      <c r="P59" s="480"/>
      <c r="Q59" s="480"/>
      <c r="R59" s="481"/>
      <c r="S59" s="490" t="s">
        <v>83</v>
      </c>
      <c r="T59" s="491"/>
      <c r="U59" s="492"/>
      <c r="V59" s="490" t="s">
        <v>142</v>
      </c>
      <c r="W59" s="524"/>
      <c r="X59" s="498" t="s">
        <v>142</v>
      </c>
      <c r="Y59" s="492"/>
      <c r="Z59" s="490" t="s">
        <v>456</v>
      </c>
      <c r="AA59" s="491"/>
      <c r="AB59" s="491"/>
      <c r="AC59" s="492"/>
      <c r="AD59" s="490"/>
      <c r="AE59" s="491"/>
      <c r="AF59" s="492"/>
      <c r="AG59" s="490"/>
      <c r="AH59" s="491"/>
      <c r="AI59" s="492"/>
      <c r="AJ59" s="490"/>
      <c r="AK59" s="491"/>
      <c r="AL59" s="492"/>
      <c r="AM59" s="510" t="s">
        <v>300</v>
      </c>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1"/>
    </row>
    <row r="60" spans="1:62" ht="30.75" customHeight="1">
      <c r="A60" s="484">
        <f t="shared" si="0"/>
        <v>44</v>
      </c>
      <c r="B60" s="485"/>
      <c r="C60" s="486"/>
      <c r="D60" s="479" t="s">
        <v>249</v>
      </c>
      <c r="E60" s="480"/>
      <c r="F60" s="480"/>
      <c r="G60" s="480"/>
      <c r="H60" s="480"/>
      <c r="I60" s="480"/>
      <c r="J60" s="480"/>
      <c r="K60" s="480"/>
      <c r="L60" s="480"/>
      <c r="M60" s="480"/>
      <c r="N60" s="480"/>
      <c r="O60" s="480"/>
      <c r="P60" s="480"/>
      <c r="Q60" s="480"/>
      <c r="R60" s="481"/>
      <c r="S60" s="490" t="s">
        <v>96</v>
      </c>
      <c r="T60" s="491"/>
      <c r="U60" s="492"/>
      <c r="V60" s="490" t="s">
        <v>151</v>
      </c>
      <c r="W60" s="524"/>
      <c r="X60" s="498" t="s">
        <v>146</v>
      </c>
      <c r="Y60" s="492"/>
      <c r="Z60" s="515" t="s">
        <v>324</v>
      </c>
      <c r="AA60" s="516"/>
      <c r="AB60" s="516"/>
      <c r="AC60" s="517"/>
      <c r="AD60" s="490"/>
      <c r="AE60" s="491"/>
      <c r="AF60" s="492"/>
      <c r="AG60" s="490"/>
      <c r="AH60" s="491"/>
      <c r="AI60" s="492"/>
      <c r="AJ60" s="490"/>
      <c r="AK60" s="491"/>
      <c r="AL60" s="492"/>
      <c r="AM60" s="51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1"/>
    </row>
    <row r="61" spans="1:62" ht="30.75" customHeight="1">
      <c r="A61" s="484">
        <f t="shared" si="0"/>
        <v>45</v>
      </c>
      <c r="B61" s="485"/>
      <c r="C61" s="486"/>
      <c r="D61" s="479" t="s">
        <v>164</v>
      </c>
      <c r="E61" s="480"/>
      <c r="F61" s="480"/>
      <c r="G61" s="480"/>
      <c r="H61" s="480"/>
      <c r="I61" s="480"/>
      <c r="J61" s="480"/>
      <c r="K61" s="480"/>
      <c r="L61" s="480"/>
      <c r="M61" s="480"/>
      <c r="N61" s="480"/>
      <c r="O61" s="480"/>
      <c r="P61" s="480"/>
      <c r="Q61" s="480"/>
      <c r="R61" s="481"/>
      <c r="S61" s="490" t="s">
        <v>83</v>
      </c>
      <c r="T61" s="491"/>
      <c r="U61" s="492"/>
      <c r="V61" s="490" t="s">
        <v>319</v>
      </c>
      <c r="W61" s="524"/>
      <c r="X61" s="498" t="s">
        <v>318</v>
      </c>
      <c r="Y61" s="492"/>
      <c r="Z61" s="490" t="s">
        <v>149</v>
      </c>
      <c r="AA61" s="491"/>
      <c r="AB61" s="491"/>
      <c r="AC61" s="492"/>
      <c r="AD61" s="490" t="s">
        <v>92</v>
      </c>
      <c r="AE61" s="491"/>
      <c r="AF61" s="492"/>
      <c r="AG61" s="490"/>
      <c r="AH61" s="491"/>
      <c r="AI61" s="492"/>
      <c r="AJ61" s="490"/>
      <c r="AK61" s="491"/>
      <c r="AL61" s="492"/>
      <c r="AM61" s="51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1"/>
    </row>
    <row r="62" spans="1:62" ht="30.75" customHeight="1">
      <c r="A62" s="484">
        <f t="shared" si="0"/>
        <v>46</v>
      </c>
      <c r="B62" s="485"/>
      <c r="C62" s="486"/>
      <c r="D62" s="479" t="s">
        <v>165</v>
      </c>
      <c r="E62" s="480"/>
      <c r="F62" s="480"/>
      <c r="G62" s="480"/>
      <c r="H62" s="480"/>
      <c r="I62" s="480"/>
      <c r="J62" s="480"/>
      <c r="K62" s="480"/>
      <c r="L62" s="480"/>
      <c r="M62" s="480"/>
      <c r="N62" s="480"/>
      <c r="O62" s="480"/>
      <c r="P62" s="480"/>
      <c r="Q62" s="480"/>
      <c r="R62" s="481"/>
      <c r="S62" s="490" t="s">
        <v>83</v>
      </c>
      <c r="T62" s="491"/>
      <c r="U62" s="492"/>
      <c r="V62" s="490" t="s">
        <v>319</v>
      </c>
      <c r="W62" s="524"/>
      <c r="X62" s="498" t="s">
        <v>318</v>
      </c>
      <c r="Y62" s="492"/>
      <c r="Z62" s="490" t="s">
        <v>149</v>
      </c>
      <c r="AA62" s="491"/>
      <c r="AB62" s="491"/>
      <c r="AC62" s="492"/>
      <c r="AD62" s="490" t="s">
        <v>92</v>
      </c>
      <c r="AE62" s="491"/>
      <c r="AF62" s="492"/>
      <c r="AG62" s="490"/>
      <c r="AH62" s="491"/>
      <c r="AI62" s="492"/>
      <c r="AJ62" s="490"/>
      <c r="AK62" s="491"/>
      <c r="AL62" s="492"/>
      <c r="AM62" s="510"/>
      <c r="AN62" s="480"/>
      <c r="AO62" s="480"/>
      <c r="AP62" s="480"/>
      <c r="AQ62" s="480"/>
      <c r="AR62" s="480"/>
      <c r="AS62" s="480"/>
      <c r="AT62" s="480"/>
      <c r="AU62" s="480"/>
      <c r="AV62" s="480"/>
      <c r="AW62" s="480"/>
      <c r="AX62" s="480"/>
      <c r="AY62" s="480"/>
      <c r="AZ62" s="480"/>
      <c r="BA62" s="480"/>
      <c r="BB62" s="480"/>
      <c r="BC62" s="480"/>
      <c r="BD62" s="480"/>
      <c r="BE62" s="480"/>
      <c r="BF62" s="480"/>
      <c r="BG62" s="480"/>
      <c r="BH62" s="480"/>
      <c r="BI62" s="480"/>
      <c r="BJ62" s="481"/>
    </row>
    <row r="63" spans="1:62" ht="30.75" customHeight="1">
      <c r="A63" s="484">
        <f t="shared" si="0"/>
        <v>47</v>
      </c>
      <c r="B63" s="485"/>
      <c r="C63" s="486"/>
      <c r="D63" s="479" t="s">
        <v>166</v>
      </c>
      <c r="E63" s="480"/>
      <c r="F63" s="480"/>
      <c r="G63" s="480"/>
      <c r="H63" s="480"/>
      <c r="I63" s="480"/>
      <c r="J63" s="480"/>
      <c r="K63" s="480"/>
      <c r="L63" s="480"/>
      <c r="M63" s="480"/>
      <c r="N63" s="480"/>
      <c r="O63" s="480"/>
      <c r="P63" s="480"/>
      <c r="Q63" s="480"/>
      <c r="R63" s="481"/>
      <c r="S63" s="490" t="s">
        <v>96</v>
      </c>
      <c r="T63" s="491"/>
      <c r="U63" s="492"/>
      <c r="V63" s="490" t="s">
        <v>151</v>
      </c>
      <c r="W63" s="524"/>
      <c r="X63" s="498" t="s">
        <v>318</v>
      </c>
      <c r="Y63" s="492"/>
      <c r="Z63" s="490" t="s">
        <v>149</v>
      </c>
      <c r="AA63" s="491"/>
      <c r="AB63" s="491"/>
      <c r="AC63" s="492"/>
      <c r="AD63" s="490" t="s">
        <v>92</v>
      </c>
      <c r="AE63" s="491"/>
      <c r="AF63" s="492"/>
      <c r="AG63" s="490"/>
      <c r="AH63" s="491"/>
      <c r="AI63" s="492"/>
      <c r="AJ63" s="490"/>
      <c r="AK63" s="491"/>
      <c r="AL63" s="492"/>
      <c r="AM63" s="510"/>
      <c r="AN63" s="480"/>
      <c r="AO63" s="480"/>
      <c r="AP63" s="480"/>
      <c r="AQ63" s="480"/>
      <c r="AR63" s="480"/>
      <c r="AS63" s="480"/>
      <c r="AT63" s="480"/>
      <c r="AU63" s="480"/>
      <c r="AV63" s="480"/>
      <c r="AW63" s="480"/>
      <c r="AX63" s="480"/>
      <c r="AY63" s="480"/>
      <c r="AZ63" s="480"/>
      <c r="BA63" s="480"/>
      <c r="BB63" s="480"/>
      <c r="BC63" s="480"/>
      <c r="BD63" s="480"/>
      <c r="BE63" s="480"/>
      <c r="BF63" s="480"/>
      <c r="BG63" s="480"/>
      <c r="BH63" s="480"/>
      <c r="BI63" s="480"/>
      <c r="BJ63" s="481"/>
    </row>
    <row r="64" spans="1:62" ht="30.75" customHeight="1">
      <c r="A64" s="484">
        <f t="shared" si="0"/>
        <v>48</v>
      </c>
      <c r="B64" s="485"/>
      <c r="C64" s="486"/>
      <c r="D64" s="479" t="s">
        <v>167</v>
      </c>
      <c r="E64" s="480"/>
      <c r="F64" s="480"/>
      <c r="G64" s="480"/>
      <c r="H64" s="480"/>
      <c r="I64" s="480"/>
      <c r="J64" s="480"/>
      <c r="K64" s="480"/>
      <c r="L64" s="480"/>
      <c r="M64" s="480"/>
      <c r="N64" s="480"/>
      <c r="O64" s="480"/>
      <c r="P64" s="480"/>
      <c r="Q64" s="480"/>
      <c r="R64" s="481"/>
      <c r="S64" s="490" t="s">
        <v>96</v>
      </c>
      <c r="T64" s="491"/>
      <c r="U64" s="492"/>
      <c r="V64" s="490" t="s">
        <v>151</v>
      </c>
      <c r="W64" s="524"/>
      <c r="X64" s="498" t="s">
        <v>318</v>
      </c>
      <c r="Y64" s="492"/>
      <c r="Z64" s="490" t="s">
        <v>149</v>
      </c>
      <c r="AA64" s="491"/>
      <c r="AB64" s="491"/>
      <c r="AC64" s="492"/>
      <c r="AD64" s="490" t="s">
        <v>92</v>
      </c>
      <c r="AE64" s="491"/>
      <c r="AF64" s="492"/>
      <c r="AG64" s="490"/>
      <c r="AH64" s="491"/>
      <c r="AI64" s="492"/>
      <c r="AJ64" s="490"/>
      <c r="AK64" s="491"/>
      <c r="AL64" s="492"/>
      <c r="AM64" s="510"/>
      <c r="AN64" s="480"/>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1"/>
    </row>
    <row r="65" spans="1:73" ht="30.75" customHeight="1">
      <c r="A65" s="484">
        <f t="shared" si="0"/>
        <v>49</v>
      </c>
      <c r="B65" s="485"/>
      <c r="C65" s="486"/>
      <c r="D65" s="495" t="s">
        <v>320</v>
      </c>
      <c r="E65" s="496"/>
      <c r="F65" s="496"/>
      <c r="G65" s="496"/>
      <c r="H65" s="496"/>
      <c r="I65" s="496"/>
      <c r="J65" s="496"/>
      <c r="K65" s="496"/>
      <c r="L65" s="496"/>
      <c r="M65" s="496"/>
      <c r="N65" s="496"/>
      <c r="O65" s="496"/>
      <c r="P65" s="496"/>
      <c r="Q65" s="496"/>
      <c r="R65" s="497"/>
      <c r="S65" s="490"/>
      <c r="T65" s="491"/>
      <c r="U65" s="492"/>
      <c r="V65" s="490" t="s">
        <v>281</v>
      </c>
      <c r="W65" s="524"/>
      <c r="X65" s="498" t="s">
        <v>281</v>
      </c>
      <c r="Y65" s="492"/>
      <c r="Z65" s="490"/>
      <c r="AA65" s="491"/>
      <c r="AB65" s="491"/>
      <c r="AC65" s="492"/>
      <c r="AD65" s="490"/>
      <c r="AE65" s="491"/>
      <c r="AF65" s="492"/>
      <c r="AG65" s="490"/>
      <c r="AH65" s="491"/>
      <c r="AI65" s="492"/>
      <c r="AJ65" s="490"/>
      <c r="AK65" s="491"/>
      <c r="AL65" s="492"/>
      <c r="AM65" s="479"/>
      <c r="AN65" s="480"/>
      <c r="AO65" s="480"/>
      <c r="AP65" s="480"/>
      <c r="AQ65" s="480"/>
      <c r="AR65" s="480"/>
      <c r="AS65" s="480"/>
      <c r="AT65" s="480"/>
      <c r="AU65" s="480"/>
      <c r="AV65" s="480"/>
      <c r="AW65" s="480"/>
      <c r="AX65" s="480"/>
      <c r="AY65" s="480"/>
      <c r="AZ65" s="480"/>
      <c r="BA65" s="480"/>
      <c r="BB65" s="480"/>
      <c r="BC65" s="480"/>
      <c r="BD65" s="480"/>
      <c r="BE65" s="480"/>
      <c r="BF65" s="480"/>
      <c r="BG65" s="480"/>
      <c r="BH65" s="480"/>
      <c r="BI65" s="480"/>
      <c r="BJ65" s="481"/>
    </row>
    <row r="66" spans="1:73" ht="30" customHeight="1">
      <c r="A66" s="484">
        <f t="shared" si="0"/>
        <v>50</v>
      </c>
      <c r="B66" s="485"/>
      <c r="C66" s="486"/>
      <c r="D66" s="487" t="s">
        <v>321</v>
      </c>
      <c r="E66" s="488"/>
      <c r="F66" s="488"/>
      <c r="G66" s="488"/>
      <c r="H66" s="488"/>
      <c r="I66" s="488"/>
      <c r="J66" s="488"/>
      <c r="K66" s="488"/>
      <c r="L66" s="488"/>
      <c r="M66" s="488"/>
      <c r="N66" s="488"/>
      <c r="O66" s="488"/>
      <c r="P66" s="488"/>
      <c r="Q66" s="488"/>
      <c r="R66" s="489"/>
      <c r="S66" s="174" t="s">
        <v>96</v>
      </c>
      <c r="T66" s="175"/>
      <c r="U66" s="176"/>
      <c r="V66" s="482" t="s">
        <v>151</v>
      </c>
      <c r="W66" s="680"/>
      <c r="X66" s="514" t="s">
        <v>458</v>
      </c>
      <c r="Y66" s="499"/>
      <c r="Z66" s="174" t="s">
        <v>149</v>
      </c>
      <c r="AA66" s="175"/>
      <c r="AB66" s="175"/>
      <c r="AC66" s="176"/>
      <c r="AD66" s="482"/>
      <c r="AE66" s="483"/>
      <c r="AF66" s="499"/>
      <c r="AG66" s="482"/>
      <c r="AH66" s="483"/>
      <c r="AI66" s="499"/>
      <c r="AJ66" s="482"/>
      <c r="AK66" s="483"/>
      <c r="AL66" s="499"/>
      <c r="AM66" s="500" t="s">
        <v>322</v>
      </c>
      <c r="AN66" s="681"/>
      <c r="AO66" s="681"/>
      <c r="AP66" s="681"/>
      <c r="AQ66" s="681"/>
      <c r="AR66" s="681"/>
      <c r="AS66" s="681"/>
      <c r="AT66" s="681"/>
      <c r="AU66" s="681"/>
      <c r="AV66" s="681"/>
      <c r="AW66" s="681"/>
      <c r="AX66" s="681"/>
      <c r="AY66" s="681"/>
      <c r="AZ66" s="681"/>
      <c r="BA66" s="681"/>
      <c r="BB66" s="681"/>
      <c r="BC66" s="681"/>
      <c r="BD66" s="681"/>
      <c r="BE66" s="681"/>
      <c r="BF66" s="681"/>
      <c r="BG66" s="681"/>
      <c r="BH66" s="681"/>
      <c r="BI66" s="681"/>
      <c r="BJ66" s="682"/>
      <c r="BR66" s="679"/>
      <c r="BS66" s="679"/>
      <c r="BT66" s="679"/>
      <c r="BU66" s="293"/>
    </row>
    <row r="67" spans="1:73" ht="30" customHeight="1">
      <c r="A67" s="484">
        <f t="shared" si="0"/>
        <v>51</v>
      </c>
      <c r="B67" s="485"/>
      <c r="C67" s="486"/>
      <c r="D67" s="487" t="s">
        <v>323</v>
      </c>
      <c r="E67" s="488"/>
      <c r="F67" s="488"/>
      <c r="G67" s="488"/>
      <c r="H67" s="488"/>
      <c r="I67" s="488"/>
      <c r="J67" s="488"/>
      <c r="K67" s="488"/>
      <c r="L67" s="488"/>
      <c r="M67" s="488"/>
      <c r="N67" s="488"/>
      <c r="O67" s="488"/>
      <c r="P67" s="488"/>
      <c r="Q67" s="488"/>
      <c r="R67" s="489"/>
      <c r="S67" s="174" t="s">
        <v>96</v>
      </c>
      <c r="T67" s="175"/>
      <c r="U67" s="176"/>
      <c r="V67" s="482" t="s">
        <v>151</v>
      </c>
      <c r="W67" s="680"/>
      <c r="X67" s="514" t="s">
        <v>146</v>
      </c>
      <c r="Y67" s="499"/>
      <c r="Z67" s="515" t="s">
        <v>324</v>
      </c>
      <c r="AA67" s="516"/>
      <c r="AB67" s="516"/>
      <c r="AC67" s="517"/>
      <c r="AD67" s="482"/>
      <c r="AE67" s="483"/>
      <c r="AF67" s="499"/>
      <c r="AG67" s="482"/>
      <c r="AH67" s="483"/>
      <c r="AI67" s="499"/>
      <c r="AJ67" s="482"/>
      <c r="AK67" s="483"/>
      <c r="AL67" s="499"/>
      <c r="AM67" s="500" t="s">
        <v>325</v>
      </c>
      <c r="AN67" s="681"/>
      <c r="AO67" s="681"/>
      <c r="AP67" s="681"/>
      <c r="AQ67" s="681"/>
      <c r="AR67" s="681"/>
      <c r="AS67" s="681"/>
      <c r="AT67" s="681"/>
      <c r="AU67" s="681"/>
      <c r="AV67" s="681"/>
      <c r="AW67" s="681"/>
      <c r="AX67" s="681"/>
      <c r="AY67" s="681"/>
      <c r="AZ67" s="681"/>
      <c r="BA67" s="681"/>
      <c r="BB67" s="681"/>
      <c r="BC67" s="681"/>
      <c r="BD67" s="681"/>
      <c r="BE67" s="681"/>
      <c r="BF67" s="681"/>
      <c r="BG67" s="681"/>
      <c r="BH67" s="681"/>
      <c r="BI67" s="681"/>
      <c r="BJ67" s="682"/>
      <c r="BR67" s="679"/>
      <c r="BS67" s="679"/>
      <c r="BT67" s="679"/>
      <c r="BU67" s="293"/>
    </row>
    <row r="68" spans="1:73" ht="30" customHeight="1">
      <c r="A68" s="484">
        <f t="shared" si="0"/>
        <v>52</v>
      </c>
      <c r="B68" s="485"/>
      <c r="C68" s="486"/>
      <c r="D68" s="487" t="s">
        <v>326</v>
      </c>
      <c r="E68" s="488"/>
      <c r="F68" s="488"/>
      <c r="G68" s="488"/>
      <c r="H68" s="488"/>
      <c r="I68" s="488"/>
      <c r="J68" s="488"/>
      <c r="K68" s="488"/>
      <c r="L68" s="488"/>
      <c r="M68" s="488"/>
      <c r="N68" s="488"/>
      <c r="O68" s="488"/>
      <c r="P68" s="488"/>
      <c r="Q68" s="488"/>
      <c r="R68" s="489"/>
      <c r="S68" s="174" t="s">
        <v>96</v>
      </c>
      <c r="T68" s="175"/>
      <c r="U68" s="176"/>
      <c r="V68" s="482" t="s">
        <v>151</v>
      </c>
      <c r="W68" s="680"/>
      <c r="X68" s="514" t="s">
        <v>399</v>
      </c>
      <c r="Y68" s="499"/>
      <c r="Z68" s="515" t="s">
        <v>324</v>
      </c>
      <c r="AA68" s="516"/>
      <c r="AB68" s="516"/>
      <c r="AC68" s="517"/>
      <c r="AD68" s="482"/>
      <c r="AE68" s="483"/>
      <c r="AF68" s="499"/>
      <c r="AG68" s="482"/>
      <c r="AH68" s="483"/>
      <c r="AI68" s="499"/>
      <c r="AJ68" s="482"/>
      <c r="AK68" s="483"/>
      <c r="AL68" s="499"/>
      <c r="AM68" s="500" t="s">
        <v>327</v>
      </c>
      <c r="AN68" s="681"/>
      <c r="AO68" s="681"/>
      <c r="AP68" s="681"/>
      <c r="AQ68" s="681"/>
      <c r="AR68" s="681"/>
      <c r="AS68" s="681"/>
      <c r="AT68" s="681"/>
      <c r="AU68" s="681"/>
      <c r="AV68" s="681"/>
      <c r="AW68" s="681"/>
      <c r="AX68" s="681"/>
      <c r="AY68" s="681"/>
      <c r="AZ68" s="681"/>
      <c r="BA68" s="681"/>
      <c r="BB68" s="681"/>
      <c r="BC68" s="681"/>
      <c r="BD68" s="681"/>
      <c r="BE68" s="681"/>
      <c r="BF68" s="681"/>
      <c r="BG68" s="681"/>
      <c r="BH68" s="681"/>
      <c r="BI68" s="681"/>
      <c r="BJ68" s="682"/>
      <c r="BR68" s="679"/>
      <c r="BS68" s="679"/>
      <c r="BT68" s="679"/>
      <c r="BU68" s="293"/>
    </row>
    <row r="69" spans="1:73" ht="30" customHeight="1">
      <c r="A69" s="484">
        <f t="shared" si="0"/>
        <v>53</v>
      </c>
      <c r="B69" s="485"/>
      <c r="C69" s="486"/>
      <c r="D69" s="487" t="s">
        <v>328</v>
      </c>
      <c r="E69" s="488"/>
      <c r="F69" s="488"/>
      <c r="G69" s="488"/>
      <c r="H69" s="488"/>
      <c r="I69" s="488"/>
      <c r="J69" s="488"/>
      <c r="K69" s="488"/>
      <c r="L69" s="488"/>
      <c r="M69" s="488"/>
      <c r="N69" s="488"/>
      <c r="O69" s="488"/>
      <c r="P69" s="488"/>
      <c r="Q69" s="488"/>
      <c r="R69" s="489"/>
      <c r="S69" s="174" t="s">
        <v>96</v>
      </c>
      <c r="T69" s="175"/>
      <c r="U69" s="176"/>
      <c r="V69" s="482" t="s">
        <v>151</v>
      </c>
      <c r="W69" s="680"/>
      <c r="X69" s="514" t="s">
        <v>458</v>
      </c>
      <c r="Y69" s="499"/>
      <c r="Z69" s="174" t="s">
        <v>149</v>
      </c>
      <c r="AA69" s="175"/>
      <c r="AB69" s="175"/>
      <c r="AC69" s="176"/>
      <c r="AD69" s="482"/>
      <c r="AE69" s="483"/>
      <c r="AF69" s="499"/>
      <c r="AG69" s="482"/>
      <c r="AH69" s="483"/>
      <c r="AI69" s="499"/>
      <c r="AJ69" s="482"/>
      <c r="AK69" s="483"/>
      <c r="AL69" s="499"/>
      <c r="AM69" s="500" t="s">
        <v>329</v>
      </c>
      <c r="AN69" s="681"/>
      <c r="AO69" s="681"/>
      <c r="AP69" s="681"/>
      <c r="AQ69" s="681"/>
      <c r="AR69" s="681"/>
      <c r="AS69" s="681"/>
      <c r="AT69" s="681"/>
      <c r="AU69" s="681"/>
      <c r="AV69" s="681"/>
      <c r="AW69" s="681"/>
      <c r="AX69" s="681"/>
      <c r="AY69" s="681"/>
      <c r="AZ69" s="681"/>
      <c r="BA69" s="681"/>
      <c r="BB69" s="681"/>
      <c r="BC69" s="681"/>
      <c r="BD69" s="681"/>
      <c r="BE69" s="681"/>
      <c r="BF69" s="681"/>
      <c r="BG69" s="681"/>
      <c r="BH69" s="681"/>
      <c r="BI69" s="681"/>
      <c r="BJ69" s="682"/>
      <c r="BR69" s="679"/>
      <c r="BS69" s="679"/>
      <c r="BT69" s="679"/>
      <c r="BU69" s="293"/>
    </row>
    <row r="70" spans="1:73" ht="30" customHeight="1">
      <c r="A70" s="484">
        <f t="shared" si="0"/>
        <v>54</v>
      </c>
      <c r="B70" s="485"/>
      <c r="C70" s="486"/>
      <c r="D70" s="487" t="s">
        <v>330</v>
      </c>
      <c r="E70" s="488"/>
      <c r="F70" s="488"/>
      <c r="G70" s="488"/>
      <c r="H70" s="488"/>
      <c r="I70" s="488"/>
      <c r="J70" s="488"/>
      <c r="K70" s="488"/>
      <c r="L70" s="488"/>
      <c r="M70" s="488"/>
      <c r="N70" s="488"/>
      <c r="O70" s="488"/>
      <c r="P70" s="488"/>
      <c r="Q70" s="488"/>
      <c r="R70" s="489"/>
      <c r="S70" s="174" t="s">
        <v>96</v>
      </c>
      <c r="T70" s="175"/>
      <c r="U70" s="176"/>
      <c r="V70" s="482" t="s">
        <v>151</v>
      </c>
      <c r="W70" s="680"/>
      <c r="X70" s="514" t="s">
        <v>146</v>
      </c>
      <c r="Y70" s="499"/>
      <c r="Z70" s="515" t="s">
        <v>324</v>
      </c>
      <c r="AA70" s="516"/>
      <c r="AB70" s="516"/>
      <c r="AC70" s="517"/>
      <c r="AD70" s="482"/>
      <c r="AE70" s="483"/>
      <c r="AF70" s="499"/>
      <c r="AG70" s="482"/>
      <c r="AH70" s="483"/>
      <c r="AI70" s="499"/>
      <c r="AJ70" s="482"/>
      <c r="AK70" s="483"/>
      <c r="AL70" s="499"/>
      <c r="AM70" s="500" t="s">
        <v>331</v>
      </c>
      <c r="AN70" s="681"/>
      <c r="AO70" s="681"/>
      <c r="AP70" s="681"/>
      <c r="AQ70" s="681"/>
      <c r="AR70" s="681"/>
      <c r="AS70" s="681"/>
      <c r="AT70" s="681"/>
      <c r="AU70" s="681"/>
      <c r="AV70" s="681"/>
      <c r="AW70" s="681"/>
      <c r="AX70" s="681"/>
      <c r="AY70" s="681"/>
      <c r="AZ70" s="681"/>
      <c r="BA70" s="681"/>
      <c r="BB70" s="681"/>
      <c r="BC70" s="681"/>
      <c r="BD70" s="681"/>
      <c r="BE70" s="681"/>
      <c r="BF70" s="681"/>
      <c r="BG70" s="681"/>
      <c r="BH70" s="681"/>
      <c r="BI70" s="681"/>
      <c r="BJ70" s="682"/>
      <c r="BR70" s="679"/>
      <c r="BS70" s="679"/>
      <c r="BT70" s="679"/>
      <c r="BU70" s="293"/>
    </row>
    <row r="71" spans="1:73" ht="30" customHeight="1">
      <c r="A71" s="484">
        <f t="shared" si="0"/>
        <v>55</v>
      </c>
      <c r="B71" s="485"/>
      <c r="C71" s="486"/>
      <c r="D71" s="487" t="s">
        <v>332</v>
      </c>
      <c r="E71" s="488"/>
      <c r="F71" s="488"/>
      <c r="G71" s="488"/>
      <c r="H71" s="488"/>
      <c r="I71" s="488"/>
      <c r="J71" s="488"/>
      <c r="K71" s="488"/>
      <c r="L71" s="488"/>
      <c r="M71" s="488"/>
      <c r="N71" s="488"/>
      <c r="O71" s="488"/>
      <c r="P71" s="488"/>
      <c r="Q71" s="488"/>
      <c r="R71" s="489"/>
      <c r="S71" s="174" t="s">
        <v>96</v>
      </c>
      <c r="T71" s="175"/>
      <c r="U71" s="176"/>
      <c r="V71" s="482" t="s">
        <v>151</v>
      </c>
      <c r="W71" s="680"/>
      <c r="X71" s="514" t="s">
        <v>399</v>
      </c>
      <c r="Y71" s="499"/>
      <c r="Z71" s="515" t="s">
        <v>324</v>
      </c>
      <c r="AA71" s="516"/>
      <c r="AB71" s="516"/>
      <c r="AC71" s="517"/>
      <c r="AD71" s="482"/>
      <c r="AE71" s="483"/>
      <c r="AF71" s="499"/>
      <c r="AG71" s="482"/>
      <c r="AH71" s="483"/>
      <c r="AI71" s="499"/>
      <c r="AJ71" s="482"/>
      <c r="AK71" s="483"/>
      <c r="AL71" s="499"/>
      <c r="AM71" s="500" t="s">
        <v>333</v>
      </c>
      <c r="AN71" s="681"/>
      <c r="AO71" s="681"/>
      <c r="AP71" s="681"/>
      <c r="AQ71" s="681"/>
      <c r="AR71" s="681"/>
      <c r="AS71" s="681"/>
      <c r="AT71" s="681"/>
      <c r="AU71" s="681"/>
      <c r="AV71" s="681"/>
      <c r="AW71" s="681"/>
      <c r="AX71" s="681"/>
      <c r="AY71" s="681"/>
      <c r="AZ71" s="681"/>
      <c r="BA71" s="681"/>
      <c r="BB71" s="681"/>
      <c r="BC71" s="681"/>
      <c r="BD71" s="681"/>
      <c r="BE71" s="681"/>
      <c r="BF71" s="681"/>
      <c r="BG71" s="681"/>
      <c r="BH71" s="681"/>
      <c r="BI71" s="681"/>
      <c r="BJ71" s="682"/>
      <c r="BR71" s="679"/>
      <c r="BS71" s="679"/>
      <c r="BT71" s="679"/>
      <c r="BU71" s="293"/>
    </row>
    <row r="72" spans="1:73" ht="30" customHeight="1">
      <c r="A72" s="484">
        <f t="shared" si="0"/>
        <v>56</v>
      </c>
      <c r="B72" s="485"/>
      <c r="C72" s="486"/>
      <c r="D72" s="487" t="s">
        <v>334</v>
      </c>
      <c r="E72" s="488"/>
      <c r="F72" s="488"/>
      <c r="G72" s="488"/>
      <c r="H72" s="488"/>
      <c r="I72" s="488"/>
      <c r="J72" s="488"/>
      <c r="K72" s="488"/>
      <c r="L72" s="488"/>
      <c r="M72" s="488"/>
      <c r="N72" s="488"/>
      <c r="O72" s="488"/>
      <c r="P72" s="488"/>
      <c r="Q72" s="488"/>
      <c r="R72" s="489"/>
      <c r="S72" s="174" t="s">
        <v>96</v>
      </c>
      <c r="T72" s="175"/>
      <c r="U72" s="176"/>
      <c r="V72" s="482" t="s">
        <v>151</v>
      </c>
      <c r="W72" s="680"/>
      <c r="X72" s="514" t="s">
        <v>335</v>
      </c>
      <c r="Y72" s="499"/>
      <c r="Z72" s="515" t="s">
        <v>324</v>
      </c>
      <c r="AA72" s="516"/>
      <c r="AB72" s="516"/>
      <c r="AC72" s="517"/>
      <c r="AD72" s="482"/>
      <c r="AE72" s="483"/>
      <c r="AF72" s="499"/>
      <c r="AG72" s="482"/>
      <c r="AH72" s="483"/>
      <c r="AI72" s="499"/>
      <c r="AJ72" s="482"/>
      <c r="AK72" s="483"/>
      <c r="AL72" s="499"/>
      <c r="AM72" s="500" t="s">
        <v>336</v>
      </c>
      <c r="AN72" s="681"/>
      <c r="AO72" s="681"/>
      <c r="AP72" s="681"/>
      <c r="AQ72" s="681"/>
      <c r="AR72" s="681"/>
      <c r="AS72" s="681"/>
      <c r="AT72" s="681"/>
      <c r="AU72" s="681"/>
      <c r="AV72" s="681"/>
      <c r="AW72" s="681"/>
      <c r="AX72" s="681"/>
      <c r="AY72" s="681"/>
      <c r="AZ72" s="681"/>
      <c r="BA72" s="681"/>
      <c r="BB72" s="681"/>
      <c r="BC72" s="681"/>
      <c r="BD72" s="681"/>
      <c r="BE72" s="681"/>
      <c r="BF72" s="681"/>
      <c r="BG72" s="681"/>
      <c r="BH72" s="681"/>
      <c r="BI72" s="681"/>
      <c r="BJ72" s="682"/>
      <c r="BR72" s="679"/>
      <c r="BS72" s="679"/>
      <c r="BT72" s="679"/>
      <c r="BU72" s="293"/>
    </row>
    <row r="73" spans="1:73" ht="30.75" customHeight="1">
      <c r="A73" s="484"/>
      <c r="B73" s="485"/>
      <c r="C73" s="486"/>
      <c r="D73" s="479"/>
      <c r="E73" s="480"/>
      <c r="F73" s="480"/>
      <c r="G73" s="480"/>
      <c r="H73" s="480"/>
      <c r="I73" s="480"/>
      <c r="J73" s="480"/>
      <c r="K73" s="480"/>
      <c r="L73" s="480"/>
      <c r="M73" s="480"/>
      <c r="N73" s="480"/>
      <c r="O73" s="480"/>
      <c r="P73" s="480"/>
      <c r="Q73" s="480"/>
      <c r="R73" s="481"/>
      <c r="S73" s="490"/>
      <c r="T73" s="491"/>
      <c r="U73" s="492"/>
      <c r="V73" s="490"/>
      <c r="W73" s="524"/>
      <c r="X73" s="498"/>
      <c r="Y73" s="492"/>
      <c r="Z73" s="490"/>
      <c r="AA73" s="491"/>
      <c r="AB73" s="491"/>
      <c r="AC73" s="492"/>
      <c r="AD73" s="490"/>
      <c r="AE73" s="491"/>
      <c r="AF73" s="492"/>
      <c r="AG73" s="490"/>
      <c r="AH73" s="491"/>
      <c r="AI73" s="492"/>
      <c r="AJ73" s="490"/>
      <c r="AK73" s="491"/>
      <c r="AL73" s="492"/>
      <c r="AM73" s="510"/>
      <c r="AN73" s="480"/>
      <c r="AO73" s="480"/>
      <c r="AP73" s="480"/>
      <c r="AQ73" s="480"/>
      <c r="AR73" s="480"/>
      <c r="AS73" s="480"/>
      <c r="AT73" s="480"/>
      <c r="AU73" s="480"/>
      <c r="AV73" s="480"/>
      <c r="AW73" s="480"/>
      <c r="AX73" s="480"/>
      <c r="AY73" s="480"/>
      <c r="AZ73" s="480"/>
      <c r="BA73" s="480"/>
      <c r="BB73" s="480"/>
      <c r="BC73" s="480"/>
      <c r="BD73" s="480"/>
      <c r="BE73" s="480"/>
      <c r="BF73" s="480"/>
      <c r="BG73" s="480"/>
      <c r="BH73" s="480"/>
      <c r="BI73" s="480"/>
      <c r="BJ73" s="481"/>
    </row>
    <row r="74" spans="1:73" ht="30.75" customHeight="1">
      <c r="A74" s="484"/>
      <c r="B74" s="485"/>
      <c r="C74" s="486"/>
      <c r="D74" s="479"/>
      <c r="E74" s="480"/>
      <c r="F74" s="480"/>
      <c r="G74" s="480"/>
      <c r="H74" s="480"/>
      <c r="I74" s="480"/>
      <c r="J74" s="480"/>
      <c r="K74" s="480"/>
      <c r="L74" s="480"/>
      <c r="M74" s="480"/>
      <c r="N74" s="480"/>
      <c r="O74" s="480"/>
      <c r="P74" s="480"/>
      <c r="Q74" s="480"/>
      <c r="R74" s="481"/>
      <c r="S74" s="490"/>
      <c r="T74" s="491"/>
      <c r="U74" s="492"/>
      <c r="V74" s="490"/>
      <c r="W74" s="524"/>
      <c r="X74" s="498"/>
      <c r="Y74" s="492"/>
      <c r="Z74" s="490"/>
      <c r="AA74" s="491"/>
      <c r="AB74" s="491"/>
      <c r="AC74" s="492"/>
      <c r="AD74" s="490"/>
      <c r="AE74" s="491"/>
      <c r="AF74" s="492"/>
      <c r="AG74" s="490"/>
      <c r="AH74" s="491"/>
      <c r="AI74" s="492"/>
      <c r="AJ74" s="490"/>
      <c r="AK74" s="491"/>
      <c r="AL74" s="492"/>
      <c r="AM74" s="510"/>
      <c r="AN74" s="480"/>
      <c r="AO74" s="480"/>
      <c r="AP74" s="480"/>
      <c r="AQ74" s="480"/>
      <c r="AR74" s="480"/>
      <c r="AS74" s="480"/>
      <c r="AT74" s="480"/>
      <c r="AU74" s="480"/>
      <c r="AV74" s="480"/>
      <c r="AW74" s="480"/>
      <c r="AX74" s="480"/>
      <c r="AY74" s="480"/>
      <c r="AZ74" s="480"/>
      <c r="BA74" s="480"/>
      <c r="BB74" s="480"/>
      <c r="BC74" s="480"/>
      <c r="BD74" s="480"/>
      <c r="BE74" s="480"/>
      <c r="BF74" s="480"/>
      <c r="BG74" s="480"/>
      <c r="BH74" s="480"/>
      <c r="BI74" s="480"/>
      <c r="BJ74" s="481"/>
    </row>
    <row r="75" spans="1:73" ht="30.75" customHeight="1">
      <c r="A75" s="484"/>
      <c r="B75" s="485"/>
      <c r="C75" s="486"/>
      <c r="D75" s="479"/>
      <c r="E75" s="480"/>
      <c r="F75" s="480"/>
      <c r="G75" s="480"/>
      <c r="H75" s="480"/>
      <c r="I75" s="480"/>
      <c r="J75" s="480"/>
      <c r="K75" s="480"/>
      <c r="L75" s="480"/>
      <c r="M75" s="480"/>
      <c r="N75" s="480"/>
      <c r="O75" s="480"/>
      <c r="P75" s="480"/>
      <c r="Q75" s="480"/>
      <c r="R75" s="481"/>
      <c r="S75" s="490"/>
      <c r="T75" s="491"/>
      <c r="U75" s="492"/>
      <c r="V75" s="490"/>
      <c r="W75" s="524"/>
      <c r="X75" s="498"/>
      <c r="Y75" s="492"/>
      <c r="Z75" s="490"/>
      <c r="AA75" s="491"/>
      <c r="AB75" s="491"/>
      <c r="AC75" s="492"/>
      <c r="AD75" s="490"/>
      <c r="AE75" s="491"/>
      <c r="AF75" s="492"/>
      <c r="AG75" s="490"/>
      <c r="AH75" s="491"/>
      <c r="AI75" s="492"/>
      <c r="AJ75" s="490"/>
      <c r="AK75" s="491"/>
      <c r="AL75" s="492"/>
      <c r="AM75" s="510"/>
      <c r="AN75" s="480"/>
      <c r="AO75" s="480"/>
      <c r="AP75" s="480"/>
      <c r="AQ75" s="480"/>
      <c r="AR75" s="480"/>
      <c r="AS75" s="480"/>
      <c r="AT75" s="480"/>
      <c r="AU75" s="480"/>
      <c r="AV75" s="480"/>
      <c r="AW75" s="480"/>
      <c r="AX75" s="480"/>
      <c r="AY75" s="480"/>
      <c r="AZ75" s="480"/>
      <c r="BA75" s="480"/>
      <c r="BB75" s="480"/>
      <c r="BC75" s="480"/>
      <c r="BD75" s="480"/>
      <c r="BE75" s="480"/>
      <c r="BF75" s="480"/>
      <c r="BG75" s="480"/>
      <c r="BH75" s="480"/>
      <c r="BI75" s="480"/>
      <c r="BJ75" s="481"/>
    </row>
    <row r="76" spans="1:73" ht="30.75" customHeight="1">
      <c r="A76" s="484"/>
      <c r="B76" s="485"/>
      <c r="C76" s="486"/>
      <c r="D76" s="479"/>
      <c r="E76" s="480"/>
      <c r="F76" s="480"/>
      <c r="G76" s="480"/>
      <c r="H76" s="480"/>
      <c r="I76" s="480"/>
      <c r="J76" s="480"/>
      <c r="K76" s="480"/>
      <c r="L76" s="480"/>
      <c r="M76" s="480"/>
      <c r="N76" s="480"/>
      <c r="O76" s="480"/>
      <c r="P76" s="480"/>
      <c r="Q76" s="480"/>
      <c r="R76" s="481"/>
      <c r="S76" s="490"/>
      <c r="T76" s="491"/>
      <c r="U76" s="492"/>
      <c r="V76" s="490"/>
      <c r="W76" s="524"/>
      <c r="X76" s="498"/>
      <c r="Y76" s="492"/>
      <c r="Z76" s="490"/>
      <c r="AA76" s="491"/>
      <c r="AB76" s="491"/>
      <c r="AC76" s="492"/>
      <c r="AD76" s="490"/>
      <c r="AE76" s="491"/>
      <c r="AF76" s="492"/>
      <c r="AG76" s="490"/>
      <c r="AH76" s="491"/>
      <c r="AI76" s="492"/>
      <c r="AJ76" s="490"/>
      <c r="AK76" s="491"/>
      <c r="AL76" s="492"/>
      <c r="AM76" s="510"/>
      <c r="AN76" s="480"/>
      <c r="AO76" s="480"/>
      <c r="AP76" s="480"/>
      <c r="AQ76" s="480"/>
      <c r="AR76" s="480"/>
      <c r="AS76" s="480"/>
      <c r="AT76" s="480"/>
      <c r="AU76" s="480"/>
      <c r="AV76" s="480"/>
      <c r="AW76" s="480"/>
      <c r="AX76" s="480"/>
      <c r="AY76" s="480"/>
      <c r="AZ76" s="480"/>
      <c r="BA76" s="480"/>
      <c r="BB76" s="480"/>
      <c r="BC76" s="480"/>
      <c r="BD76" s="480"/>
      <c r="BE76" s="480"/>
      <c r="BF76" s="480"/>
      <c r="BG76" s="480"/>
      <c r="BH76" s="480"/>
      <c r="BI76" s="480"/>
      <c r="BJ76" s="481"/>
    </row>
    <row r="77" spans="1:73" ht="30.75" customHeight="1">
      <c r="A77" s="484"/>
      <c r="B77" s="485"/>
      <c r="C77" s="486"/>
      <c r="D77" s="479"/>
      <c r="E77" s="480"/>
      <c r="F77" s="480"/>
      <c r="G77" s="480"/>
      <c r="H77" s="480"/>
      <c r="I77" s="480"/>
      <c r="J77" s="480"/>
      <c r="K77" s="480"/>
      <c r="L77" s="480"/>
      <c r="M77" s="480"/>
      <c r="N77" s="480"/>
      <c r="O77" s="480"/>
      <c r="P77" s="480"/>
      <c r="Q77" s="480"/>
      <c r="R77" s="481"/>
      <c r="S77" s="490"/>
      <c r="T77" s="491"/>
      <c r="U77" s="492"/>
      <c r="V77" s="490"/>
      <c r="W77" s="524"/>
      <c r="X77" s="498"/>
      <c r="Y77" s="492"/>
      <c r="Z77" s="490"/>
      <c r="AA77" s="491"/>
      <c r="AB77" s="491"/>
      <c r="AC77" s="492"/>
      <c r="AD77" s="490"/>
      <c r="AE77" s="491"/>
      <c r="AF77" s="492"/>
      <c r="AG77" s="490"/>
      <c r="AH77" s="491"/>
      <c r="AI77" s="492"/>
      <c r="AJ77" s="490"/>
      <c r="AK77" s="491"/>
      <c r="AL77" s="492"/>
      <c r="AM77" s="510"/>
      <c r="AN77" s="480"/>
      <c r="AO77" s="480"/>
      <c r="AP77" s="480"/>
      <c r="AQ77" s="480"/>
      <c r="AR77" s="480"/>
      <c r="AS77" s="480"/>
      <c r="AT77" s="480"/>
      <c r="AU77" s="480"/>
      <c r="AV77" s="480"/>
      <c r="AW77" s="480"/>
      <c r="AX77" s="480"/>
      <c r="AY77" s="480"/>
      <c r="AZ77" s="480"/>
      <c r="BA77" s="480"/>
      <c r="BB77" s="480"/>
      <c r="BC77" s="480"/>
      <c r="BD77" s="480"/>
      <c r="BE77" s="480"/>
      <c r="BF77" s="480"/>
      <c r="BG77" s="480"/>
      <c r="BH77" s="480"/>
      <c r="BI77" s="480"/>
      <c r="BJ77" s="481"/>
    </row>
    <row r="78" spans="1:73" ht="30.75" customHeight="1">
      <c r="A78" s="528"/>
      <c r="B78" s="529"/>
      <c r="C78" s="530"/>
      <c r="D78" s="504"/>
      <c r="E78" s="505"/>
      <c r="F78" s="505"/>
      <c r="G78" s="505"/>
      <c r="H78" s="505"/>
      <c r="I78" s="505"/>
      <c r="J78" s="505"/>
      <c r="K78" s="505"/>
      <c r="L78" s="505"/>
      <c r="M78" s="505"/>
      <c r="N78" s="505"/>
      <c r="O78" s="505"/>
      <c r="P78" s="505"/>
      <c r="Q78" s="505"/>
      <c r="R78" s="506"/>
      <c r="S78" s="507"/>
      <c r="T78" s="508"/>
      <c r="U78" s="509"/>
      <c r="V78" s="507"/>
      <c r="W78" s="687"/>
      <c r="X78" s="531"/>
      <c r="Y78" s="509"/>
      <c r="Z78" s="507"/>
      <c r="AA78" s="508"/>
      <c r="AB78" s="508"/>
      <c r="AC78" s="509"/>
      <c r="AD78" s="507"/>
      <c r="AE78" s="508"/>
      <c r="AF78" s="509"/>
      <c r="AG78" s="507"/>
      <c r="AH78" s="508"/>
      <c r="AI78" s="509"/>
      <c r="AJ78" s="507"/>
      <c r="AK78" s="508"/>
      <c r="AL78" s="509"/>
      <c r="AM78" s="504"/>
      <c r="AN78" s="505"/>
      <c r="AO78" s="505"/>
      <c r="AP78" s="505"/>
      <c r="AQ78" s="505"/>
      <c r="AR78" s="505"/>
      <c r="AS78" s="505"/>
      <c r="AT78" s="505"/>
      <c r="AU78" s="505"/>
      <c r="AV78" s="505"/>
      <c r="AW78" s="505"/>
      <c r="AX78" s="505"/>
      <c r="AY78" s="505"/>
      <c r="AZ78" s="505"/>
      <c r="BA78" s="505"/>
      <c r="BB78" s="505"/>
      <c r="BC78" s="505"/>
      <c r="BD78" s="505"/>
      <c r="BE78" s="505"/>
      <c r="BF78" s="505"/>
      <c r="BG78" s="505"/>
      <c r="BH78" s="505"/>
      <c r="BI78" s="505"/>
      <c r="BJ78" s="506"/>
    </row>
    <row r="79" spans="1:73" ht="8.25" customHeight="1"/>
    <row r="80" spans="1:73"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sheetData>
  <mergeCells count="653">
    <mergeCell ref="A78:C78"/>
    <mergeCell ref="D78:R78"/>
    <mergeCell ref="S78:U78"/>
    <mergeCell ref="V78:W78"/>
    <mergeCell ref="X78:Y78"/>
    <mergeCell ref="AJ76:AL76"/>
    <mergeCell ref="Z78:AC78"/>
    <mergeCell ref="AD78:AF78"/>
    <mergeCell ref="AG78:AI78"/>
    <mergeCell ref="AJ78:AL78"/>
    <mergeCell ref="D76:R76"/>
    <mergeCell ref="S76:U76"/>
    <mergeCell ref="V76:W76"/>
    <mergeCell ref="X76:Y76"/>
    <mergeCell ref="Z76:AC76"/>
    <mergeCell ref="AD76:AF76"/>
    <mergeCell ref="AG76:AI76"/>
    <mergeCell ref="AM74:BJ74"/>
    <mergeCell ref="AM78:BJ78"/>
    <mergeCell ref="Z77:AC77"/>
    <mergeCell ref="AD77:AF77"/>
    <mergeCell ref="AG77:AI77"/>
    <mergeCell ref="AJ77:AL77"/>
    <mergeCell ref="AM77:BJ77"/>
    <mergeCell ref="A75:C75"/>
    <mergeCell ref="D75:R75"/>
    <mergeCell ref="S75:U75"/>
    <mergeCell ref="V75:W75"/>
    <mergeCell ref="X75:Y75"/>
    <mergeCell ref="AM76:BJ76"/>
    <mergeCell ref="A77:C77"/>
    <mergeCell ref="D77:R77"/>
    <mergeCell ref="S77:U77"/>
    <mergeCell ref="V77:W77"/>
    <mergeCell ref="X77:Y77"/>
    <mergeCell ref="Z75:AC75"/>
    <mergeCell ref="AD75:AF75"/>
    <mergeCell ref="AG75:AI75"/>
    <mergeCell ref="AJ75:AL75"/>
    <mergeCell ref="AM75:BJ75"/>
    <mergeCell ref="A76:C76"/>
    <mergeCell ref="A74:C74"/>
    <mergeCell ref="D74:R74"/>
    <mergeCell ref="S74:U74"/>
    <mergeCell ref="V74:W74"/>
    <mergeCell ref="X74:Y74"/>
    <mergeCell ref="Z74:AC74"/>
    <mergeCell ref="AD74:AF74"/>
    <mergeCell ref="AG74:AI74"/>
    <mergeCell ref="AJ74:AL74"/>
    <mergeCell ref="AM46:BJ46"/>
    <mergeCell ref="A73:C73"/>
    <mergeCell ref="D73:R73"/>
    <mergeCell ref="S73:U73"/>
    <mergeCell ref="V73:W73"/>
    <mergeCell ref="X73:Y73"/>
    <mergeCell ref="Z73:AC73"/>
    <mergeCell ref="AD73:AF73"/>
    <mergeCell ref="AG73:AI73"/>
    <mergeCell ref="AJ73:AL73"/>
    <mergeCell ref="AM73:BJ73"/>
    <mergeCell ref="A46:C46"/>
    <mergeCell ref="D46:R46"/>
    <mergeCell ref="S46:U46"/>
    <mergeCell ref="V46:W46"/>
    <mergeCell ref="X46:Y46"/>
    <mergeCell ref="Z46:AC46"/>
    <mergeCell ref="AD46:AF46"/>
    <mergeCell ref="AG46:AI46"/>
    <mergeCell ref="AJ46:AL46"/>
    <mergeCell ref="A53:C53"/>
    <mergeCell ref="D53:R53"/>
    <mergeCell ref="S53:U53"/>
    <mergeCell ref="V53:W53"/>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M43:BJ43"/>
    <mergeCell ref="A43:C43"/>
    <mergeCell ref="D43:R43"/>
    <mergeCell ref="S43:U43"/>
    <mergeCell ref="V43:W43"/>
    <mergeCell ref="X43:Y43"/>
    <mergeCell ref="Z43:AC43"/>
    <mergeCell ref="AD43:AF43"/>
    <mergeCell ref="AG43:AI43"/>
    <mergeCell ref="AJ43:AL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9:BJ39"/>
    <mergeCell ref="A39:C39"/>
    <mergeCell ref="D39:R39"/>
    <mergeCell ref="S39:U39"/>
    <mergeCell ref="V39:W39"/>
    <mergeCell ref="X39:Y39"/>
    <mergeCell ref="Z39:AC39"/>
    <mergeCell ref="AD39:AF39"/>
    <mergeCell ref="AG39:AI39"/>
    <mergeCell ref="AJ39:AL39"/>
    <mergeCell ref="AM35:BJ35"/>
    <mergeCell ref="A38:C38"/>
    <mergeCell ref="D38:R38"/>
    <mergeCell ref="S38:U38"/>
    <mergeCell ref="V38:W38"/>
    <mergeCell ref="X38:Y38"/>
    <mergeCell ref="Z38:AC38"/>
    <mergeCell ref="AD38:AF38"/>
    <mergeCell ref="AG38:AI38"/>
    <mergeCell ref="AJ38:AL38"/>
    <mergeCell ref="AM38:BJ38"/>
    <mergeCell ref="A35:C35"/>
    <mergeCell ref="D35:R35"/>
    <mergeCell ref="S35:U35"/>
    <mergeCell ref="V35:W35"/>
    <mergeCell ref="X35:Y35"/>
    <mergeCell ref="Z35:AC35"/>
    <mergeCell ref="AD35:AF35"/>
    <mergeCell ref="AG35:AI35"/>
    <mergeCell ref="AJ35:AL35"/>
    <mergeCell ref="A36:C36"/>
    <mergeCell ref="D36:R36"/>
    <mergeCell ref="S36:U36"/>
    <mergeCell ref="V36:W36"/>
    <mergeCell ref="AM33:BJ33"/>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D30:R30"/>
    <mergeCell ref="S30:U30"/>
    <mergeCell ref="V30:W30"/>
    <mergeCell ref="X30:Y30"/>
    <mergeCell ref="Z30:AC30"/>
    <mergeCell ref="AD30:AF30"/>
    <mergeCell ref="AG30:AI30"/>
    <mergeCell ref="AJ30:AL30"/>
    <mergeCell ref="AM32:BJ32"/>
    <mergeCell ref="AM27:BJ27"/>
    <mergeCell ref="A29:C29"/>
    <mergeCell ref="D29:R29"/>
    <mergeCell ref="S29:U29"/>
    <mergeCell ref="V29:W29"/>
    <mergeCell ref="X29:Y29"/>
    <mergeCell ref="Z29:AC29"/>
    <mergeCell ref="AD29:AF29"/>
    <mergeCell ref="AG29:AI29"/>
    <mergeCell ref="AJ29:AL29"/>
    <mergeCell ref="AM29:BJ29"/>
    <mergeCell ref="A27:C27"/>
    <mergeCell ref="D27:R27"/>
    <mergeCell ref="S27:U27"/>
    <mergeCell ref="V27:W27"/>
    <mergeCell ref="X27:Y27"/>
    <mergeCell ref="Z27:AC27"/>
    <mergeCell ref="AD27:AF27"/>
    <mergeCell ref="AG27:AI27"/>
    <mergeCell ref="AJ27:AL27"/>
    <mergeCell ref="A28:C28"/>
    <mergeCell ref="D28:R28"/>
    <mergeCell ref="S28:U28"/>
    <mergeCell ref="V28:W28"/>
    <mergeCell ref="AM25:BJ25"/>
    <mergeCell ref="A25:C25"/>
    <mergeCell ref="D25:R25"/>
    <mergeCell ref="S25:U25"/>
    <mergeCell ref="V25:W25"/>
    <mergeCell ref="X25:Y25"/>
    <mergeCell ref="Z25:AC25"/>
    <mergeCell ref="AD25:AF25"/>
    <mergeCell ref="AG25:AI25"/>
    <mergeCell ref="AJ25:AL25"/>
    <mergeCell ref="AM17:BJ17"/>
    <mergeCell ref="AM22:BJ22"/>
    <mergeCell ref="A24:C24"/>
    <mergeCell ref="D24:R24"/>
    <mergeCell ref="S24:U24"/>
    <mergeCell ref="V24:W24"/>
    <mergeCell ref="X24:Y24"/>
    <mergeCell ref="Z24:AC24"/>
    <mergeCell ref="AD24:AF24"/>
    <mergeCell ref="AG24:AI24"/>
    <mergeCell ref="AJ24:AL24"/>
    <mergeCell ref="AM24:BJ24"/>
    <mergeCell ref="A22:C22"/>
    <mergeCell ref="D22:R22"/>
    <mergeCell ref="S22:U22"/>
    <mergeCell ref="V22:W22"/>
    <mergeCell ref="X22:Y22"/>
    <mergeCell ref="Z22:AC22"/>
    <mergeCell ref="AD22:AF22"/>
    <mergeCell ref="AG22:AI22"/>
    <mergeCell ref="AJ22:AL22"/>
    <mergeCell ref="A18:C18"/>
    <mergeCell ref="D18:R18"/>
    <mergeCell ref="V18:W18"/>
    <mergeCell ref="D15:R16"/>
    <mergeCell ref="S15:U16"/>
    <mergeCell ref="V15:Y15"/>
    <mergeCell ref="Z15:AC16"/>
    <mergeCell ref="AD15:AF16"/>
    <mergeCell ref="Z17:AC17"/>
    <mergeCell ref="AD17:AF17"/>
    <mergeCell ref="AG17:AI17"/>
    <mergeCell ref="AJ17:AL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2:C12"/>
    <mergeCell ref="D12:AS12"/>
    <mergeCell ref="AT12:BJ12"/>
    <mergeCell ref="A11:C11"/>
    <mergeCell ref="D11:AS11"/>
    <mergeCell ref="AT11:BJ11"/>
    <mergeCell ref="A13:C13"/>
    <mergeCell ref="D13:AS13"/>
    <mergeCell ref="AT13:BJ13"/>
    <mergeCell ref="A23:C23"/>
    <mergeCell ref="D23:R23"/>
    <mergeCell ref="S23:U23"/>
    <mergeCell ref="V23:W23"/>
    <mergeCell ref="X23:Y23"/>
    <mergeCell ref="Z23:AC23"/>
    <mergeCell ref="AD23:AF23"/>
    <mergeCell ref="AG23:AI23"/>
    <mergeCell ref="AJ23:AL23"/>
    <mergeCell ref="AM23:BJ23"/>
    <mergeCell ref="AG15:AI16"/>
    <mergeCell ref="AJ15:AL16"/>
    <mergeCell ref="AM15:BJ16"/>
    <mergeCell ref="V16:W16"/>
    <mergeCell ref="X16:Y16"/>
    <mergeCell ref="A17:C17"/>
    <mergeCell ref="D17:R17"/>
    <mergeCell ref="S17:U17"/>
    <mergeCell ref="V17:W17"/>
    <mergeCell ref="X17:Y17"/>
    <mergeCell ref="A15:C16"/>
    <mergeCell ref="AJ28:AL28"/>
    <mergeCell ref="AM28:BJ28"/>
    <mergeCell ref="A52:C52"/>
    <mergeCell ref="D52:R52"/>
    <mergeCell ref="S52:U52"/>
    <mergeCell ref="V52:W52"/>
    <mergeCell ref="X52:Y52"/>
    <mergeCell ref="Z52:AC52"/>
    <mergeCell ref="AD52:AF52"/>
    <mergeCell ref="AG52:AI52"/>
    <mergeCell ref="AJ52:AL52"/>
    <mergeCell ref="AM52:BJ52"/>
    <mergeCell ref="AM30:BJ30"/>
    <mergeCell ref="A31:C31"/>
    <mergeCell ref="D31:R31"/>
    <mergeCell ref="S31:U31"/>
    <mergeCell ref="V31:W31"/>
    <mergeCell ref="X31:Y31"/>
    <mergeCell ref="Z31:AC31"/>
    <mergeCell ref="AD31:AF31"/>
    <mergeCell ref="AG31:AI31"/>
    <mergeCell ref="AJ31:AL31"/>
    <mergeCell ref="AM31:BJ31"/>
    <mergeCell ref="A30:C30"/>
    <mergeCell ref="X53:Y53"/>
    <mergeCell ref="Z53:AC53"/>
    <mergeCell ref="AD53:AF53"/>
    <mergeCell ref="AG53:AI53"/>
    <mergeCell ref="AJ53:AL53"/>
    <mergeCell ref="AM53:BJ53"/>
    <mergeCell ref="A54:C54"/>
    <mergeCell ref="D54:R54"/>
    <mergeCell ref="S54:U54"/>
    <mergeCell ref="V54:W54"/>
    <mergeCell ref="X54:Y54"/>
    <mergeCell ref="Z54:AC54"/>
    <mergeCell ref="AD54:AF54"/>
    <mergeCell ref="AG54:AI54"/>
    <mergeCell ref="AJ54:AL54"/>
    <mergeCell ref="AM54:BJ54"/>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60:BJ60"/>
    <mergeCell ref="A60:C60"/>
    <mergeCell ref="D60:R60"/>
    <mergeCell ref="S60:U60"/>
    <mergeCell ref="V60:W60"/>
    <mergeCell ref="X60:Y60"/>
    <mergeCell ref="Z60:AC60"/>
    <mergeCell ref="AD60:AF60"/>
    <mergeCell ref="AG60:AI60"/>
    <mergeCell ref="AJ60:AL60"/>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M59:BJ59"/>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1:BJ61"/>
    <mergeCell ref="A62:C62"/>
    <mergeCell ref="D62:R62"/>
    <mergeCell ref="A59:C59"/>
    <mergeCell ref="D59:R59"/>
    <mergeCell ref="S59:U59"/>
    <mergeCell ref="V59:W59"/>
    <mergeCell ref="X59:Y59"/>
    <mergeCell ref="Z59:AC59"/>
    <mergeCell ref="AD59:AF59"/>
    <mergeCell ref="AG59:AI59"/>
    <mergeCell ref="AJ59:AL59"/>
    <mergeCell ref="X18:Y18"/>
    <mergeCell ref="AD18:AF18"/>
    <mergeCell ref="AG18:AI18"/>
    <mergeCell ref="AJ18:AL18"/>
    <mergeCell ref="AM18:BJ18"/>
    <mergeCell ref="A19:C19"/>
    <mergeCell ref="D19:R19"/>
    <mergeCell ref="V19:W19"/>
    <mergeCell ref="X19:Y19"/>
    <mergeCell ref="AD19:AF19"/>
    <mergeCell ref="AG19:AI19"/>
    <mergeCell ref="AJ19:AL19"/>
    <mergeCell ref="AM19:BJ19"/>
    <mergeCell ref="Z19:AC19"/>
    <mergeCell ref="A20:C20"/>
    <mergeCell ref="D20:R20"/>
    <mergeCell ref="V20:W20"/>
    <mergeCell ref="X20:Y20"/>
    <mergeCell ref="AD20:AF20"/>
    <mergeCell ref="AG20:AI20"/>
    <mergeCell ref="AJ20:AL20"/>
    <mergeCell ref="AM20:BJ20"/>
    <mergeCell ref="A21:C21"/>
    <mergeCell ref="D21:R21"/>
    <mergeCell ref="V21:W21"/>
    <mergeCell ref="X21:Y21"/>
    <mergeCell ref="AD21:AF21"/>
    <mergeCell ref="AG21:AI21"/>
    <mergeCell ref="AJ21:AL21"/>
    <mergeCell ref="AM21:BJ21"/>
    <mergeCell ref="Z21:AC21"/>
    <mergeCell ref="AM26:BJ26"/>
    <mergeCell ref="A34:C34"/>
    <mergeCell ref="D34:R34"/>
    <mergeCell ref="S34:U34"/>
    <mergeCell ref="V34:W34"/>
    <mergeCell ref="X34:Y34"/>
    <mergeCell ref="Z34:AC34"/>
    <mergeCell ref="AD34:AF34"/>
    <mergeCell ref="AG34:AI34"/>
    <mergeCell ref="AJ34:AL34"/>
    <mergeCell ref="AM34:BJ34"/>
    <mergeCell ref="A26:C26"/>
    <mergeCell ref="D26:R26"/>
    <mergeCell ref="S26:U26"/>
    <mergeCell ref="V26:W26"/>
    <mergeCell ref="X26:Y26"/>
    <mergeCell ref="Z26:AC26"/>
    <mergeCell ref="AD26:AF26"/>
    <mergeCell ref="AG26:AI26"/>
    <mergeCell ref="AJ26:AL26"/>
    <mergeCell ref="X28:Y28"/>
    <mergeCell ref="Z28:AC28"/>
    <mergeCell ref="AD28:AF28"/>
    <mergeCell ref="AG28:AI28"/>
    <mergeCell ref="X36:Y36"/>
    <mergeCell ref="Z36:AC36"/>
    <mergeCell ref="AD36:AF36"/>
    <mergeCell ref="AG36:AI36"/>
    <mergeCell ref="AJ36:AL36"/>
    <mergeCell ref="AM36:BJ36"/>
    <mergeCell ref="A37:C37"/>
    <mergeCell ref="D37:R37"/>
    <mergeCell ref="S37:U37"/>
    <mergeCell ref="V37:W37"/>
    <mergeCell ref="X37:Y37"/>
    <mergeCell ref="Z37:AC37"/>
    <mergeCell ref="AD37:AF37"/>
    <mergeCell ref="AG37:AI37"/>
    <mergeCell ref="AJ37:AL37"/>
    <mergeCell ref="AM37:BJ37"/>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49:C49"/>
    <mergeCell ref="D49:R49"/>
    <mergeCell ref="S49:U49"/>
    <mergeCell ref="V49:W49"/>
    <mergeCell ref="X49:Y49"/>
    <mergeCell ref="Z49:AC49"/>
    <mergeCell ref="AD49:AF49"/>
    <mergeCell ref="AG49:AI49"/>
    <mergeCell ref="AJ49:AL49"/>
    <mergeCell ref="AM50:BJ50"/>
    <mergeCell ref="A50:C50"/>
    <mergeCell ref="D50:R50"/>
    <mergeCell ref="S50:U50"/>
    <mergeCell ref="V50:W50"/>
    <mergeCell ref="X50:Y50"/>
    <mergeCell ref="Z50:AC50"/>
    <mergeCell ref="AD50:AF50"/>
    <mergeCell ref="AG50:AI50"/>
    <mergeCell ref="AJ50:AL50"/>
    <mergeCell ref="AM51:BJ51"/>
    <mergeCell ref="A57:C57"/>
    <mergeCell ref="D57:R57"/>
    <mergeCell ref="S57:U57"/>
    <mergeCell ref="V57:W57"/>
    <mergeCell ref="X57:Y57"/>
    <mergeCell ref="Z57:AC57"/>
    <mergeCell ref="AD57:AF57"/>
    <mergeCell ref="AG57:AI57"/>
    <mergeCell ref="AJ57:AL57"/>
    <mergeCell ref="AM57:BJ57"/>
    <mergeCell ref="A51:C51"/>
    <mergeCell ref="D51:R51"/>
    <mergeCell ref="S51:U51"/>
    <mergeCell ref="V51:W51"/>
    <mergeCell ref="X51:Y51"/>
    <mergeCell ref="Z51:AC51"/>
    <mergeCell ref="AD51:AF51"/>
    <mergeCell ref="AG51:AI51"/>
    <mergeCell ref="AJ51:AL51"/>
    <mergeCell ref="AM55:BJ55"/>
    <mergeCell ref="A56:C56"/>
    <mergeCell ref="D56:R56"/>
    <mergeCell ref="S56:U56"/>
    <mergeCell ref="AM58:BJ58"/>
    <mergeCell ref="A58:C58"/>
    <mergeCell ref="D58:R58"/>
    <mergeCell ref="S58:U58"/>
    <mergeCell ref="V58:W58"/>
    <mergeCell ref="X58:Y58"/>
    <mergeCell ref="Z58:AC58"/>
    <mergeCell ref="AD58:AF58"/>
    <mergeCell ref="AG58:AI58"/>
    <mergeCell ref="AJ58:AL58"/>
    <mergeCell ref="AM65:BJ65"/>
    <mergeCell ref="A66:C66"/>
    <mergeCell ref="D66:R66"/>
    <mergeCell ref="V66:W66"/>
    <mergeCell ref="X66:Y66"/>
    <mergeCell ref="AD66:AF66"/>
    <mergeCell ref="AG66:AI66"/>
    <mergeCell ref="AJ66:AL66"/>
    <mergeCell ref="AM66:BJ66"/>
    <mergeCell ref="A65:C65"/>
    <mergeCell ref="D65:R65"/>
    <mergeCell ref="S65:U65"/>
    <mergeCell ref="V65:W65"/>
    <mergeCell ref="X65:Y65"/>
    <mergeCell ref="Z65:AC65"/>
    <mergeCell ref="AD65:AF65"/>
    <mergeCell ref="AG65:AI65"/>
    <mergeCell ref="AJ65:AL65"/>
    <mergeCell ref="BR66:BT66"/>
    <mergeCell ref="A67:C67"/>
    <mergeCell ref="D67:R67"/>
    <mergeCell ref="V67:W67"/>
    <mergeCell ref="X67:Y67"/>
    <mergeCell ref="Z67:AC67"/>
    <mergeCell ref="AD67:AF67"/>
    <mergeCell ref="AG67:AI67"/>
    <mergeCell ref="AJ67:AL67"/>
    <mergeCell ref="AM67:BJ67"/>
    <mergeCell ref="BR67:BT67"/>
    <mergeCell ref="BR68:BT68"/>
    <mergeCell ref="A69:C69"/>
    <mergeCell ref="D69:R69"/>
    <mergeCell ref="V69:W69"/>
    <mergeCell ref="X69:Y69"/>
    <mergeCell ref="AD69:AF69"/>
    <mergeCell ref="AG69:AI69"/>
    <mergeCell ref="AJ69:AL69"/>
    <mergeCell ref="AM69:BJ69"/>
    <mergeCell ref="BR69:BT69"/>
    <mergeCell ref="A68:C68"/>
    <mergeCell ref="D68:R68"/>
    <mergeCell ref="V68:W68"/>
    <mergeCell ref="X68:Y68"/>
    <mergeCell ref="Z68:AC68"/>
    <mergeCell ref="AD68:AF68"/>
    <mergeCell ref="AG68:AI68"/>
    <mergeCell ref="AJ68:AL68"/>
    <mergeCell ref="AM68:BJ68"/>
    <mergeCell ref="BR70:BT70"/>
    <mergeCell ref="A71:C71"/>
    <mergeCell ref="D71:R71"/>
    <mergeCell ref="V71:W71"/>
    <mergeCell ref="X71:Y71"/>
    <mergeCell ref="Z71:AC71"/>
    <mergeCell ref="AD71:AF71"/>
    <mergeCell ref="AG71:AI71"/>
    <mergeCell ref="AJ71:AL71"/>
    <mergeCell ref="AM71:BJ71"/>
    <mergeCell ref="BR71:BT71"/>
    <mergeCell ref="A70:C70"/>
    <mergeCell ref="D70:R70"/>
    <mergeCell ref="V70:W70"/>
    <mergeCell ref="X70:Y70"/>
    <mergeCell ref="Z70:AC70"/>
    <mergeCell ref="AD70:AF70"/>
    <mergeCell ref="AG70:AI70"/>
    <mergeCell ref="AJ70:AL70"/>
    <mergeCell ref="AM70:BJ70"/>
    <mergeCell ref="BR72:BT72"/>
    <mergeCell ref="A72:C72"/>
    <mergeCell ref="D72:R72"/>
    <mergeCell ref="V72:W72"/>
    <mergeCell ref="X72:Y72"/>
    <mergeCell ref="Z72:AC72"/>
    <mergeCell ref="AD72:AF72"/>
    <mergeCell ref="AG72:AI72"/>
    <mergeCell ref="AJ72:AL72"/>
    <mergeCell ref="AM72:BJ72"/>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6B0A-5F45-423F-A2ED-7DFD9C7DDDBA}">
  <sheetPr codeName="Sheet10"/>
  <dimension ref="A1:BK46"/>
  <sheetViews>
    <sheetView view="pageBreakPreview" zoomScaleNormal="100" zoomScaleSheetLayoutView="100" workbookViewId="0"/>
  </sheetViews>
  <sheetFormatPr defaultColWidth="1.875" defaultRowHeight="14.25"/>
  <cols>
    <col min="1" max="89" width="2.125" style="15" customWidth="1"/>
    <col min="90" max="16384" width="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100</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101</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6" t="s">
        <v>81</v>
      </c>
      <c r="B8" s="357"/>
      <c r="C8" s="358"/>
      <c r="D8" s="356" t="s">
        <v>103</v>
      </c>
      <c r="E8" s="357"/>
      <c r="F8" s="357"/>
      <c r="G8" s="357"/>
      <c r="H8" s="357"/>
      <c r="I8" s="357"/>
      <c r="J8" s="357"/>
      <c r="K8" s="357"/>
      <c r="L8" s="357"/>
      <c r="M8" s="357"/>
      <c r="N8" s="357"/>
      <c r="O8" s="357"/>
      <c r="P8" s="357"/>
      <c r="Q8" s="358"/>
      <c r="R8" s="593" t="s">
        <v>104</v>
      </c>
      <c r="S8" s="594"/>
      <c r="T8" s="595"/>
      <c r="U8" s="593" t="s">
        <v>105</v>
      </c>
      <c r="V8" s="594"/>
      <c r="W8" s="595"/>
      <c r="X8" s="593" t="s">
        <v>106</v>
      </c>
      <c r="Y8" s="594"/>
      <c r="Z8" s="595"/>
      <c r="AA8" s="593" t="s">
        <v>107</v>
      </c>
      <c r="AB8" s="594"/>
      <c r="AC8" s="595"/>
      <c r="AD8" s="593" t="s">
        <v>108</v>
      </c>
      <c r="AE8" s="594"/>
      <c r="AF8" s="595"/>
      <c r="AG8" s="356" t="s">
        <v>109</v>
      </c>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587">
        <f t="shared" ref="A9:A35" si="0">ROW()-8</f>
        <v>1</v>
      </c>
      <c r="B9" s="588"/>
      <c r="C9" s="589"/>
      <c r="D9" s="487" t="s">
        <v>36</v>
      </c>
      <c r="E9" s="488"/>
      <c r="F9" s="488"/>
      <c r="G9" s="488"/>
      <c r="H9" s="488"/>
      <c r="I9" s="488"/>
      <c r="J9" s="488"/>
      <c r="K9" s="488"/>
      <c r="L9" s="488"/>
      <c r="M9" s="488"/>
      <c r="N9" s="488"/>
      <c r="O9" s="488"/>
      <c r="P9" s="488"/>
      <c r="Q9" s="489"/>
      <c r="R9" s="590" t="s">
        <v>244</v>
      </c>
      <c r="S9" s="591"/>
      <c r="T9" s="592"/>
      <c r="U9" s="482"/>
      <c r="V9" s="483"/>
      <c r="W9" s="499"/>
      <c r="X9" s="482"/>
      <c r="Y9" s="483"/>
      <c r="Z9" s="499"/>
      <c r="AA9" s="482"/>
      <c r="AB9" s="483"/>
      <c r="AC9" s="499"/>
      <c r="AD9" s="482"/>
      <c r="AE9" s="483"/>
      <c r="AF9" s="499"/>
      <c r="AG9" s="584" t="s">
        <v>111</v>
      </c>
      <c r="AH9" s="599"/>
      <c r="AI9" s="599"/>
      <c r="AJ9" s="599"/>
      <c r="AK9" s="599"/>
      <c r="AL9" s="599"/>
      <c r="AM9" s="599"/>
      <c r="AN9" s="599"/>
      <c r="AO9" s="599"/>
      <c r="AP9" s="599"/>
      <c r="AQ9" s="599"/>
      <c r="AR9" s="599"/>
      <c r="AS9" s="599"/>
      <c r="AT9" s="599"/>
      <c r="AU9" s="599"/>
      <c r="AV9" s="599"/>
      <c r="AW9" s="599"/>
      <c r="AX9" s="599"/>
      <c r="AY9" s="599"/>
      <c r="AZ9" s="599"/>
      <c r="BA9" s="599"/>
      <c r="BB9" s="599"/>
      <c r="BC9" s="600"/>
      <c r="BD9" s="482"/>
      <c r="BE9" s="483"/>
      <c r="BF9" s="483"/>
      <c r="BG9" s="483"/>
      <c r="BH9" s="483"/>
      <c r="BI9" s="483"/>
      <c r="BJ9" s="499"/>
    </row>
    <row r="10" spans="1:63" ht="30" customHeight="1">
      <c r="A10" s="587">
        <f t="shared" si="0"/>
        <v>2</v>
      </c>
      <c r="B10" s="588"/>
      <c r="C10" s="589"/>
      <c r="D10" s="487"/>
      <c r="E10" s="488"/>
      <c r="F10" s="488"/>
      <c r="G10" s="488"/>
      <c r="H10" s="488"/>
      <c r="I10" s="488"/>
      <c r="J10" s="488"/>
      <c r="K10" s="488"/>
      <c r="L10" s="488"/>
      <c r="M10" s="488"/>
      <c r="N10" s="488"/>
      <c r="O10" s="488"/>
      <c r="P10" s="488"/>
      <c r="Q10" s="489"/>
      <c r="R10" s="482"/>
      <c r="S10" s="483"/>
      <c r="T10" s="499"/>
      <c r="U10" s="482"/>
      <c r="V10" s="483"/>
      <c r="W10" s="499"/>
      <c r="X10" s="482"/>
      <c r="Y10" s="483"/>
      <c r="Z10" s="499"/>
      <c r="AA10" s="482" t="s">
        <v>244</v>
      </c>
      <c r="AB10" s="483"/>
      <c r="AC10" s="499"/>
      <c r="AD10" s="482"/>
      <c r="AE10" s="483"/>
      <c r="AF10" s="499"/>
      <c r="AG10" s="584" t="s">
        <v>216</v>
      </c>
      <c r="AH10" s="599"/>
      <c r="AI10" s="599"/>
      <c r="AJ10" s="599"/>
      <c r="AK10" s="599"/>
      <c r="AL10" s="599"/>
      <c r="AM10" s="599"/>
      <c r="AN10" s="599"/>
      <c r="AO10" s="599"/>
      <c r="AP10" s="599"/>
      <c r="AQ10" s="599"/>
      <c r="AR10" s="599"/>
      <c r="AS10" s="599"/>
      <c r="AT10" s="599"/>
      <c r="AU10" s="599"/>
      <c r="AV10" s="599"/>
      <c r="AW10" s="599"/>
      <c r="AX10" s="599"/>
      <c r="AY10" s="599"/>
      <c r="AZ10" s="599"/>
      <c r="BA10" s="599"/>
      <c r="BB10" s="599"/>
      <c r="BC10" s="600"/>
      <c r="BD10" s="482"/>
      <c r="BE10" s="483"/>
      <c r="BF10" s="483"/>
      <c r="BG10" s="483"/>
      <c r="BH10" s="483"/>
      <c r="BI10" s="483"/>
      <c r="BJ10" s="499"/>
    </row>
    <row r="11" spans="1:63" ht="30" customHeight="1">
      <c r="A11" s="587">
        <f>ROW()-8</f>
        <v>3</v>
      </c>
      <c r="B11" s="588"/>
      <c r="C11" s="589"/>
      <c r="D11" s="487" t="s">
        <v>143</v>
      </c>
      <c r="E11" s="488"/>
      <c r="F11" s="488"/>
      <c r="G11" s="488"/>
      <c r="H11" s="488"/>
      <c r="I11" s="488"/>
      <c r="J11" s="488"/>
      <c r="K11" s="488"/>
      <c r="L11" s="488"/>
      <c r="M11" s="488"/>
      <c r="N11" s="488"/>
      <c r="O11" s="488"/>
      <c r="P11" s="488"/>
      <c r="Q11" s="489"/>
      <c r="R11" s="590" t="s">
        <v>244</v>
      </c>
      <c r="S11" s="591"/>
      <c r="T11" s="592"/>
      <c r="U11" s="482"/>
      <c r="V11" s="483"/>
      <c r="W11" s="499"/>
      <c r="X11" s="482"/>
      <c r="Y11" s="483"/>
      <c r="Z11" s="499"/>
      <c r="AA11" s="482"/>
      <c r="AB11" s="483"/>
      <c r="AC11" s="499"/>
      <c r="AD11" s="482"/>
      <c r="AE11" s="483"/>
      <c r="AF11" s="499"/>
      <c r="AG11" s="584" t="s">
        <v>394</v>
      </c>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482"/>
      <c r="BE11" s="483"/>
      <c r="BF11" s="483"/>
      <c r="BG11" s="483"/>
      <c r="BH11" s="483"/>
      <c r="BI11" s="483"/>
      <c r="BJ11" s="499"/>
    </row>
    <row r="12" spans="1:63" ht="30" customHeight="1">
      <c r="A12" s="587">
        <f t="shared" ref="A12" si="1">ROW()-8</f>
        <v>4</v>
      </c>
      <c r="B12" s="588"/>
      <c r="C12" s="589"/>
      <c r="D12" s="688"/>
      <c r="E12" s="689"/>
      <c r="F12" s="689"/>
      <c r="G12" s="689"/>
      <c r="H12" s="689"/>
      <c r="I12" s="689"/>
      <c r="J12" s="689"/>
      <c r="K12" s="689"/>
      <c r="L12" s="689"/>
      <c r="M12" s="689"/>
      <c r="N12" s="689"/>
      <c r="O12" s="689"/>
      <c r="P12" s="689"/>
      <c r="Q12" s="690"/>
      <c r="R12" s="482"/>
      <c r="S12" s="483"/>
      <c r="T12" s="499"/>
      <c r="U12" s="482"/>
      <c r="V12" s="483"/>
      <c r="W12" s="499"/>
      <c r="X12" s="482"/>
      <c r="Y12" s="483"/>
      <c r="Z12" s="499"/>
      <c r="AA12" s="482" t="s">
        <v>244</v>
      </c>
      <c r="AB12" s="483"/>
      <c r="AC12" s="499"/>
      <c r="AD12" s="482"/>
      <c r="AE12" s="483"/>
      <c r="AF12" s="499"/>
      <c r="AG12" s="584" t="s">
        <v>341</v>
      </c>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6"/>
      <c r="BD12" s="482"/>
      <c r="BE12" s="483"/>
      <c r="BF12" s="483"/>
      <c r="BG12" s="483"/>
      <c r="BH12" s="483"/>
      <c r="BI12" s="483"/>
      <c r="BJ12" s="499"/>
    </row>
    <row r="13" spans="1:63" ht="30" customHeight="1">
      <c r="A13" s="587">
        <f t="shared" si="0"/>
        <v>5</v>
      </c>
      <c r="B13" s="588"/>
      <c r="C13" s="589"/>
      <c r="D13" s="487" t="s">
        <v>168</v>
      </c>
      <c r="E13" s="488"/>
      <c r="F13" s="488"/>
      <c r="G13" s="488"/>
      <c r="H13" s="488"/>
      <c r="I13" s="488"/>
      <c r="J13" s="488"/>
      <c r="K13" s="488"/>
      <c r="L13" s="488"/>
      <c r="M13" s="488"/>
      <c r="N13" s="488"/>
      <c r="O13" s="488"/>
      <c r="P13" s="488"/>
      <c r="Q13" s="489"/>
      <c r="R13" s="590" t="s">
        <v>244</v>
      </c>
      <c r="S13" s="591"/>
      <c r="T13" s="592"/>
      <c r="U13" s="482"/>
      <c r="V13" s="483"/>
      <c r="W13" s="499"/>
      <c r="X13" s="482"/>
      <c r="Y13" s="483"/>
      <c r="Z13" s="499"/>
      <c r="AA13" s="482"/>
      <c r="AB13" s="483"/>
      <c r="AC13" s="499"/>
      <c r="AD13" s="482"/>
      <c r="AE13" s="483"/>
      <c r="AF13" s="499"/>
      <c r="AG13" s="584" t="s">
        <v>169</v>
      </c>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482"/>
      <c r="BE13" s="483"/>
      <c r="BF13" s="483"/>
      <c r="BG13" s="483"/>
      <c r="BH13" s="483"/>
      <c r="BI13" s="483"/>
      <c r="BJ13" s="499"/>
    </row>
    <row r="14" spans="1:63" ht="30" customHeight="1">
      <c r="A14" s="587">
        <f t="shared" si="0"/>
        <v>6</v>
      </c>
      <c r="B14" s="588"/>
      <c r="C14" s="589"/>
      <c r="D14" s="487"/>
      <c r="E14" s="488"/>
      <c r="F14" s="488"/>
      <c r="G14" s="488"/>
      <c r="H14" s="488"/>
      <c r="I14" s="488"/>
      <c r="J14" s="488"/>
      <c r="K14" s="488"/>
      <c r="L14" s="488"/>
      <c r="M14" s="488"/>
      <c r="N14" s="488"/>
      <c r="O14" s="488"/>
      <c r="P14" s="488"/>
      <c r="Q14" s="489"/>
      <c r="R14" s="482"/>
      <c r="S14" s="483"/>
      <c r="T14" s="499"/>
      <c r="U14" s="482"/>
      <c r="V14" s="483"/>
      <c r="W14" s="499"/>
      <c r="X14" s="482"/>
      <c r="Y14" s="483"/>
      <c r="Z14" s="499"/>
      <c r="AA14" s="482" t="s">
        <v>244</v>
      </c>
      <c r="AB14" s="483"/>
      <c r="AC14" s="499"/>
      <c r="AD14" s="482"/>
      <c r="AE14" s="483"/>
      <c r="AF14" s="499"/>
      <c r="AG14" s="584" t="s">
        <v>170</v>
      </c>
      <c r="AH14" s="599"/>
      <c r="AI14" s="599"/>
      <c r="AJ14" s="599"/>
      <c r="AK14" s="599"/>
      <c r="AL14" s="599"/>
      <c r="AM14" s="599"/>
      <c r="AN14" s="599"/>
      <c r="AO14" s="599"/>
      <c r="AP14" s="599"/>
      <c r="AQ14" s="599"/>
      <c r="AR14" s="599"/>
      <c r="AS14" s="599"/>
      <c r="AT14" s="599"/>
      <c r="AU14" s="599"/>
      <c r="AV14" s="599"/>
      <c r="AW14" s="599"/>
      <c r="AX14" s="599"/>
      <c r="AY14" s="599"/>
      <c r="AZ14" s="599"/>
      <c r="BA14" s="599"/>
      <c r="BB14" s="599"/>
      <c r="BC14" s="600"/>
      <c r="BD14" s="482"/>
      <c r="BE14" s="483"/>
      <c r="BF14" s="483"/>
      <c r="BG14" s="483"/>
      <c r="BH14" s="483"/>
      <c r="BI14" s="483"/>
      <c r="BJ14" s="499"/>
    </row>
    <row r="15" spans="1:63" ht="30" customHeight="1">
      <c r="A15" s="587">
        <f t="shared" si="0"/>
        <v>7</v>
      </c>
      <c r="B15" s="588"/>
      <c r="C15" s="589"/>
      <c r="D15" s="487" t="s">
        <v>70</v>
      </c>
      <c r="E15" s="488"/>
      <c r="F15" s="488"/>
      <c r="G15" s="488"/>
      <c r="H15" s="488"/>
      <c r="I15" s="488"/>
      <c r="J15" s="488"/>
      <c r="K15" s="488"/>
      <c r="L15" s="488"/>
      <c r="M15" s="488"/>
      <c r="N15" s="488"/>
      <c r="O15" s="488"/>
      <c r="P15" s="488"/>
      <c r="Q15" s="489"/>
      <c r="R15" s="482" t="s">
        <v>266</v>
      </c>
      <c r="S15" s="483"/>
      <c r="T15" s="499"/>
      <c r="U15" s="482"/>
      <c r="V15" s="483"/>
      <c r="W15" s="499"/>
      <c r="X15" s="482"/>
      <c r="Y15" s="483"/>
      <c r="Z15" s="499"/>
      <c r="AA15" s="482"/>
      <c r="AB15" s="483"/>
      <c r="AC15" s="499"/>
      <c r="AD15" s="482"/>
      <c r="AE15" s="483"/>
      <c r="AF15" s="499"/>
      <c r="AG15" s="584" t="s">
        <v>267</v>
      </c>
      <c r="AH15" s="599"/>
      <c r="AI15" s="599"/>
      <c r="AJ15" s="599"/>
      <c r="AK15" s="599"/>
      <c r="AL15" s="599"/>
      <c r="AM15" s="599"/>
      <c r="AN15" s="599"/>
      <c r="AO15" s="599"/>
      <c r="AP15" s="599"/>
      <c r="AQ15" s="599"/>
      <c r="AR15" s="599"/>
      <c r="AS15" s="599"/>
      <c r="AT15" s="599"/>
      <c r="AU15" s="599"/>
      <c r="AV15" s="599"/>
      <c r="AW15" s="599"/>
      <c r="AX15" s="599"/>
      <c r="AY15" s="599"/>
      <c r="AZ15" s="599"/>
      <c r="BA15" s="599"/>
      <c r="BB15" s="599"/>
      <c r="BC15" s="600"/>
      <c r="BD15" s="482"/>
      <c r="BE15" s="483"/>
      <c r="BF15" s="483"/>
      <c r="BG15" s="483"/>
      <c r="BH15" s="483"/>
      <c r="BI15" s="483"/>
      <c r="BJ15" s="499"/>
    </row>
    <row r="16" spans="1:63" s="16" customFormat="1" ht="30" customHeight="1">
      <c r="A16" s="587">
        <f t="shared" si="0"/>
        <v>8</v>
      </c>
      <c r="B16" s="588"/>
      <c r="C16" s="589"/>
      <c r="D16" s="487"/>
      <c r="E16" s="488"/>
      <c r="F16" s="488"/>
      <c r="G16" s="488"/>
      <c r="H16" s="488"/>
      <c r="I16" s="488"/>
      <c r="J16" s="488"/>
      <c r="K16" s="488"/>
      <c r="L16" s="488"/>
      <c r="M16" s="488"/>
      <c r="N16" s="488"/>
      <c r="O16" s="488"/>
      <c r="P16" s="488"/>
      <c r="Q16" s="489"/>
      <c r="R16" s="482"/>
      <c r="S16" s="483"/>
      <c r="T16" s="499"/>
      <c r="U16" s="482"/>
      <c r="V16" s="483"/>
      <c r="W16" s="499"/>
      <c r="X16" s="490" t="s">
        <v>244</v>
      </c>
      <c r="Y16" s="491"/>
      <c r="Z16" s="492"/>
      <c r="AA16" s="490"/>
      <c r="AB16" s="491"/>
      <c r="AC16" s="492"/>
      <c r="AD16" s="490"/>
      <c r="AE16" s="491"/>
      <c r="AF16" s="492"/>
      <c r="AG16" s="584" t="s">
        <v>337</v>
      </c>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482"/>
      <c r="BE16" s="483"/>
      <c r="BF16" s="483"/>
      <c r="BG16" s="483"/>
      <c r="BH16" s="483"/>
      <c r="BI16" s="483"/>
      <c r="BJ16" s="499"/>
    </row>
    <row r="17" spans="1:62" ht="30" customHeight="1">
      <c r="A17" s="587">
        <f>ROW()-8</f>
        <v>9</v>
      </c>
      <c r="B17" s="588"/>
      <c r="C17" s="589"/>
      <c r="D17" s="487" t="s">
        <v>243</v>
      </c>
      <c r="E17" s="488"/>
      <c r="F17" s="488"/>
      <c r="G17" s="488"/>
      <c r="H17" s="488"/>
      <c r="I17" s="488"/>
      <c r="J17" s="488"/>
      <c r="K17" s="488"/>
      <c r="L17" s="488"/>
      <c r="M17" s="488"/>
      <c r="N17" s="488"/>
      <c r="O17" s="488"/>
      <c r="P17" s="488"/>
      <c r="Q17" s="489"/>
      <c r="R17" s="482" t="s">
        <v>266</v>
      </c>
      <c r="S17" s="483"/>
      <c r="T17" s="499"/>
      <c r="U17" s="482"/>
      <c r="V17" s="483"/>
      <c r="W17" s="499"/>
      <c r="X17" s="482"/>
      <c r="Y17" s="483"/>
      <c r="Z17" s="499"/>
      <c r="AA17" s="482"/>
      <c r="AB17" s="483"/>
      <c r="AC17" s="499"/>
      <c r="AD17" s="482"/>
      <c r="AE17" s="483"/>
      <c r="AF17" s="499"/>
      <c r="AG17" s="584" t="s">
        <v>367</v>
      </c>
      <c r="AH17" s="599"/>
      <c r="AI17" s="599"/>
      <c r="AJ17" s="599"/>
      <c r="AK17" s="599"/>
      <c r="AL17" s="599"/>
      <c r="AM17" s="599"/>
      <c r="AN17" s="599"/>
      <c r="AO17" s="599"/>
      <c r="AP17" s="599"/>
      <c r="AQ17" s="599"/>
      <c r="AR17" s="599"/>
      <c r="AS17" s="599"/>
      <c r="AT17" s="599"/>
      <c r="AU17" s="599"/>
      <c r="AV17" s="599"/>
      <c r="AW17" s="599"/>
      <c r="AX17" s="599"/>
      <c r="AY17" s="599"/>
      <c r="AZ17" s="599"/>
      <c r="BA17" s="599"/>
      <c r="BB17" s="599"/>
      <c r="BC17" s="600"/>
      <c r="BD17" s="482"/>
      <c r="BE17" s="483"/>
      <c r="BF17" s="483"/>
      <c r="BG17" s="483"/>
      <c r="BH17" s="483"/>
      <c r="BI17" s="483"/>
      <c r="BJ17" s="499"/>
    </row>
    <row r="18" spans="1:62" ht="30" customHeight="1">
      <c r="A18" s="587">
        <f t="shared" si="0"/>
        <v>10</v>
      </c>
      <c r="B18" s="588"/>
      <c r="C18" s="589"/>
      <c r="D18" s="688"/>
      <c r="E18" s="689"/>
      <c r="F18" s="689"/>
      <c r="G18" s="689"/>
      <c r="H18" s="689"/>
      <c r="I18" s="689"/>
      <c r="J18" s="689"/>
      <c r="K18" s="689"/>
      <c r="L18" s="689"/>
      <c r="M18" s="689"/>
      <c r="N18" s="689"/>
      <c r="O18" s="689"/>
      <c r="P18" s="689"/>
      <c r="Q18" s="690"/>
      <c r="R18" s="482"/>
      <c r="S18" s="483"/>
      <c r="T18" s="499"/>
      <c r="U18" s="482"/>
      <c r="V18" s="483"/>
      <c r="W18" s="499"/>
      <c r="X18" s="482" t="s">
        <v>266</v>
      </c>
      <c r="Y18" s="483"/>
      <c r="Z18" s="499"/>
      <c r="AA18" s="482"/>
      <c r="AB18" s="483"/>
      <c r="AC18" s="499"/>
      <c r="AD18" s="482"/>
      <c r="AE18" s="483"/>
      <c r="AF18" s="499"/>
      <c r="AG18" s="584" t="s">
        <v>338</v>
      </c>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482"/>
      <c r="BE18" s="483"/>
      <c r="BF18" s="483"/>
      <c r="BG18" s="483"/>
      <c r="BH18" s="483"/>
      <c r="BI18" s="483"/>
      <c r="BJ18" s="499"/>
    </row>
    <row r="19" spans="1:62" ht="30" customHeight="1">
      <c r="A19" s="587">
        <f t="shared" si="0"/>
        <v>11</v>
      </c>
      <c r="B19" s="588"/>
      <c r="C19" s="589"/>
      <c r="D19" s="487" t="s">
        <v>307</v>
      </c>
      <c r="E19" s="488"/>
      <c r="F19" s="488"/>
      <c r="G19" s="488"/>
      <c r="H19" s="488"/>
      <c r="I19" s="488"/>
      <c r="J19" s="488"/>
      <c r="K19" s="488"/>
      <c r="L19" s="488"/>
      <c r="M19" s="488"/>
      <c r="N19" s="488"/>
      <c r="O19" s="488"/>
      <c r="P19" s="488"/>
      <c r="Q19" s="489"/>
      <c r="R19" s="482" t="s">
        <v>244</v>
      </c>
      <c r="S19" s="483"/>
      <c r="T19" s="499"/>
      <c r="U19" s="482"/>
      <c r="V19" s="483"/>
      <c r="W19" s="499"/>
      <c r="X19" s="482"/>
      <c r="Y19" s="483"/>
      <c r="Z19" s="499"/>
      <c r="AA19" s="482"/>
      <c r="AB19" s="483"/>
      <c r="AC19" s="499"/>
      <c r="AD19" s="482"/>
      <c r="AE19" s="483"/>
      <c r="AF19" s="499"/>
      <c r="AG19" s="584" t="s">
        <v>409</v>
      </c>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482"/>
      <c r="BE19" s="483"/>
      <c r="BF19" s="483"/>
      <c r="BG19" s="483"/>
      <c r="BH19" s="483"/>
      <c r="BI19" s="483"/>
      <c r="BJ19" s="499"/>
    </row>
    <row r="20" spans="1:62" ht="51" customHeight="1">
      <c r="A20" s="587">
        <f t="shared" si="0"/>
        <v>12</v>
      </c>
      <c r="B20" s="588"/>
      <c r="C20" s="589"/>
      <c r="D20" s="487"/>
      <c r="E20" s="488"/>
      <c r="F20" s="488"/>
      <c r="G20" s="488"/>
      <c r="H20" s="488"/>
      <c r="I20" s="488"/>
      <c r="J20" s="488"/>
      <c r="K20" s="488"/>
      <c r="L20" s="488"/>
      <c r="M20" s="488"/>
      <c r="N20" s="488"/>
      <c r="O20" s="488"/>
      <c r="P20" s="488"/>
      <c r="Q20" s="489"/>
      <c r="R20" s="482"/>
      <c r="S20" s="483"/>
      <c r="T20" s="499"/>
      <c r="U20" s="482" t="s">
        <v>266</v>
      </c>
      <c r="V20" s="483"/>
      <c r="W20" s="499"/>
      <c r="X20" s="482"/>
      <c r="Y20" s="483"/>
      <c r="Z20" s="499"/>
      <c r="AA20" s="482"/>
      <c r="AB20" s="483"/>
      <c r="AC20" s="499"/>
      <c r="AD20" s="482"/>
      <c r="AE20" s="483"/>
      <c r="AF20" s="499"/>
      <c r="AG20" s="584" t="s">
        <v>410</v>
      </c>
      <c r="AH20" s="585"/>
      <c r="AI20" s="585"/>
      <c r="AJ20" s="585"/>
      <c r="AK20" s="585"/>
      <c r="AL20" s="585"/>
      <c r="AM20" s="585"/>
      <c r="AN20" s="585"/>
      <c r="AO20" s="585"/>
      <c r="AP20" s="585"/>
      <c r="AQ20" s="585"/>
      <c r="AR20" s="585"/>
      <c r="AS20" s="585"/>
      <c r="AT20" s="585"/>
      <c r="AU20" s="585"/>
      <c r="AV20" s="585"/>
      <c r="AW20" s="585"/>
      <c r="AX20" s="585"/>
      <c r="AY20" s="585"/>
      <c r="AZ20" s="585"/>
      <c r="BA20" s="585"/>
      <c r="BB20" s="585"/>
      <c r="BC20" s="586"/>
      <c r="BD20" s="482"/>
      <c r="BE20" s="483"/>
      <c r="BF20" s="483"/>
      <c r="BG20" s="483"/>
      <c r="BH20" s="483"/>
      <c r="BI20" s="483"/>
      <c r="BJ20" s="499"/>
    </row>
    <row r="21" spans="1:62" ht="30" customHeight="1">
      <c r="A21" s="587">
        <f>ROW()-8</f>
        <v>13</v>
      </c>
      <c r="B21" s="588"/>
      <c r="C21" s="589"/>
      <c r="D21" s="487"/>
      <c r="E21" s="488"/>
      <c r="F21" s="488"/>
      <c r="G21" s="488"/>
      <c r="H21" s="488"/>
      <c r="I21" s="488"/>
      <c r="J21" s="488"/>
      <c r="K21" s="488"/>
      <c r="L21" s="488"/>
      <c r="M21" s="488"/>
      <c r="N21" s="488"/>
      <c r="O21" s="488"/>
      <c r="P21" s="488"/>
      <c r="Q21" s="489"/>
      <c r="R21" s="482"/>
      <c r="S21" s="483"/>
      <c r="T21" s="499"/>
      <c r="U21" s="482"/>
      <c r="V21" s="483"/>
      <c r="W21" s="499"/>
      <c r="X21" s="482"/>
      <c r="Y21" s="483"/>
      <c r="Z21" s="499"/>
      <c r="AA21" s="482"/>
      <c r="AB21" s="483"/>
      <c r="AC21" s="499"/>
      <c r="AD21" s="482" t="s">
        <v>244</v>
      </c>
      <c r="AE21" s="483"/>
      <c r="AF21" s="499"/>
      <c r="AG21" s="584" t="s">
        <v>411</v>
      </c>
      <c r="AH21" s="585"/>
      <c r="AI21" s="585"/>
      <c r="AJ21" s="585"/>
      <c r="AK21" s="585"/>
      <c r="AL21" s="585"/>
      <c r="AM21" s="585"/>
      <c r="AN21" s="585"/>
      <c r="AO21" s="585"/>
      <c r="AP21" s="585"/>
      <c r="AQ21" s="585"/>
      <c r="AR21" s="585"/>
      <c r="AS21" s="585"/>
      <c r="AT21" s="585"/>
      <c r="AU21" s="585"/>
      <c r="AV21" s="585"/>
      <c r="AW21" s="585"/>
      <c r="AX21" s="585"/>
      <c r="AY21" s="585"/>
      <c r="AZ21" s="585"/>
      <c r="BA21" s="585"/>
      <c r="BB21" s="585"/>
      <c r="BC21" s="586"/>
      <c r="BD21" s="482"/>
      <c r="BE21" s="483"/>
      <c r="BF21" s="483"/>
      <c r="BG21" s="483"/>
      <c r="BH21" s="483"/>
      <c r="BI21" s="483"/>
      <c r="BJ21" s="499"/>
    </row>
    <row r="22" spans="1:62" ht="30" customHeight="1">
      <c r="A22" s="587">
        <f t="shared" si="0"/>
        <v>14</v>
      </c>
      <c r="B22" s="588"/>
      <c r="C22" s="589"/>
      <c r="D22" s="487" t="s">
        <v>218</v>
      </c>
      <c r="E22" s="488"/>
      <c r="F22" s="488"/>
      <c r="G22" s="488"/>
      <c r="H22" s="488"/>
      <c r="I22" s="488"/>
      <c r="J22" s="488"/>
      <c r="K22" s="488"/>
      <c r="L22" s="488"/>
      <c r="M22" s="488"/>
      <c r="N22" s="488"/>
      <c r="O22" s="488"/>
      <c r="P22" s="488"/>
      <c r="Q22" s="489"/>
      <c r="R22" s="482"/>
      <c r="S22" s="483"/>
      <c r="T22" s="499"/>
      <c r="U22" s="482" t="s">
        <v>244</v>
      </c>
      <c r="V22" s="483"/>
      <c r="W22" s="499"/>
      <c r="X22" s="482"/>
      <c r="Y22" s="483"/>
      <c r="Z22" s="499"/>
      <c r="AA22" s="482"/>
      <c r="AB22" s="483"/>
      <c r="AC22" s="499"/>
      <c r="AD22" s="482"/>
      <c r="AE22" s="483"/>
      <c r="AF22" s="499"/>
      <c r="AG22" s="584" t="s">
        <v>412</v>
      </c>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482"/>
      <c r="BE22" s="483"/>
      <c r="BF22" s="483"/>
      <c r="BG22" s="483"/>
      <c r="BH22" s="483"/>
      <c r="BI22" s="483"/>
      <c r="BJ22" s="499"/>
    </row>
    <row r="23" spans="1:62" ht="102.95" customHeight="1">
      <c r="A23" s="587">
        <f t="shared" si="0"/>
        <v>15</v>
      </c>
      <c r="B23" s="588"/>
      <c r="C23" s="589"/>
      <c r="D23" s="694"/>
      <c r="E23" s="695"/>
      <c r="F23" s="695"/>
      <c r="G23" s="695"/>
      <c r="H23" s="695"/>
      <c r="I23" s="695"/>
      <c r="J23" s="695"/>
      <c r="K23" s="695"/>
      <c r="L23" s="695"/>
      <c r="M23" s="695"/>
      <c r="N23" s="695"/>
      <c r="O23" s="695"/>
      <c r="P23" s="695"/>
      <c r="Q23" s="696"/>
      <c r="R23" s="490"/>
      <c r="S23" s="491"/>
      <c r="T23" s="492"/>
      <c r="U23" s="490"/>
      <c r="V23" s="491"/>
      <c r="W23" s="492"/>
      <c r="X23" s="490" t="s">
        <v>244</v>
      </c>
      <c r="Y23" s="491"/>
      <c r="Z23" s="492"/>
      <c r="AA23" s="490"/>
      <c r="AB23" s="491"/>
      <c r="AC23" s="492"/>
      <c r="AD23" s="490"/>
      <c r="AE23" s="491"/>
      <c r="AF23" s="492"/>
      <c r="AG23" s="584" t="s">
        <v>365</v>
      </c>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482"/>
      <c r="BE23" s="483"/>
      <c r="BF23" s="483"/>
      <c r="BG23" s="483"/>
      <c r="BH23" s="483"/>
      <c r="BI23" s="483"/>
      <c r="BJ23" s="499"/>
    </row>
    <row r="24" spans="1:62" ht="30" customHeight="1">
      <c r="A24" s="587">
        <f t="shared" si="0"/>
        <v>16</v>
      </c>
      <c r="B24" s="588"/>
      <c r="C24" s="589"/>
      <c r="D24" s="691" t="s">
        <v>219</v>
      </c>
      <c r="E24" s="692"/>
      <c r="F24" s="692"/>
      <c r="G24" s="692"/>
      <c r="H24" s="692"/>
      <c r="I24" s="692"/>
      <c r="J24" s="692"/>
      <c r="K24" s="692"/>
      <c r="L24" s="692"/>
      <c r="M24" s="692"/>
      <c r="N24" s="692"/>
      <c r="O24" s="692"/>
      <c r="P24" s="692"/>
      <c r="Q24" s="693"/>
      <c r="R24" s="590"/>
      <c r="S24" s="591"/>
      <c r="T24" s="592"/>
      <c r="U24" s="590" t="s">
        <v>244</v>
      </c>
      <c r="V24" s="591"/>
      <c r="W24" s="592"/>
      <c r="X24" s="590"/>
      <c r="Y24" s="591"/>
      <c r="Z24" s="592"/>
      <c r="AA24" s="482"/>
      <c r="AB24" s="483"/>
      <c r="AC24" s="499"/>
      <c r="AD24" s="590"/>
      <c r="AE24" s="591"/>
      <c r="AF24" s="592"/>
      <c r="AG24" s="584" t="s">
        <v>413</v>
      </c>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482"/>
      <c r="BE24" s="483"/>
      <c r="BF24" s="483"/>
      <c r="BG24" s="483"/>
      <c r="BH24" s="483"/>
      <c r="BI24" s="483"/>
      <c r="BJ24" s="499"/>
    </row>
    <row r="25" spans="1:62" ht="102.95" customHeight="1">
      <c r="A25" s="587">
        <f t="shared" si="0"/>
        <v>17</v>
      </c>
      <c r="B25" s="588"/>
      <c r="C25" s="589"/>
      <c r="D25" s="694"/>
      <c r="E25" s="695"/>
      <c r="F25" s="695"/>
      <c r="G25" s="695"/>
      <c r="H25" s="695"/>
      <c r="I25" s="695"/>
      <c r="J25" s="695"/>
      <c r="K25" s="695"/>
      <c r="L25" s="695"/>
      <c r="M25" s="695"/>
      <c r="N25" s="695"/>
      <c r="O25" s="695"/>
      <c r="P25" s="695"/>
      <c r="Q25" s="696"/>
      <c r="R25" s="490"/>
      <c r="S25" s="491"/>
      <c r="T25" s="492"/>
      <c r="U25" s="490"/>
      <c r="V25" s="491"/>
      <c r="W25" s="492"/>
      <c r="X25" s="490" t="s">
        <v>244</v>
      </c>
      <c r="Y25" s="491"/>
      <c r="Z25" s="492"/>
      <c r="AA25" s="490"/>
      <c r="AB25" s="491"/>
      <c r="AC25" s="492"/>
      <c r="AD25" s="490"/>
      <c r="AE25" s="491"/>
      <c r="AF25" s="492"/>
      <c r="AG25" s="584" t="s">
        <v>364</v>
      </c>
      <c r="AH25" s="599"/>
      <c r="AI25" s="599"/>
      <c r="AJ25" s="599"/>
      <c r="AK25" s="599"/>
      <c r="AL25" s="599"/>
      <c r="AM25" s="599"/>
      <c r="AN25" s="599"/>
      <c r="AO25" s="599"/>
      <c r="AP25" s="599"/>
      <c r="AQ25" s="599"/>
      <c r="AR25" s="599"/>
      <c r="AS25" s="599"/>
      <c r="AT25" s="599"/>
      <c r="AU25" s="599"/>
      <c r="AV25" s="599"/>
      <c r="AW25" s="599"/>
      <c r="AX25" s="599"/>
      <c r="AY25" s="599"/>
      <c r="AZ25" s="599"/>
      <c r="BA25" s="599"/>
      <c r="BB25" s="599"/>
      <c r="BC25" s="600"/>
      <c r="BD25" s="482"/>
      <c r="BE25" s="483"/>
      <c r="BF25" s="483"/>
      <c r="BG25" s="483"/>
      <c r="BH25" s="483"/>
      <c r="BI25" s="483"/>
      <c r="BJ25" s="499"/>
    </row>
    <row r="26" spans="1:62" ht="30" customHeight="1">
      <c r="A26" s="587">
        <f t="shared" si="0"/>
        <v>18</v>
      </c>
      <c r="B26" s="588"/>
      <c r="C26" s="589"/>
      <c r="D26" s="487" t="s">
        <v>390</v>
      </c>
      <c r="E26" s="488"/>
      <c r="F26" s="488"/>
      <c r="G26" s="488"/>
      <c r="H26" s="488"/>
      <c r="I26" s="488"/>
      <c r="J26" s="488"/>
      <c r="K26" s="488"/>
      <c r="L26" s="488"/>
      <c r="M26" s="488"/>
      <c r="N26" s="488"/>
      <c r="O26" s="488"/>
      <c r="P26" s="488"/>
      <c r="Q26" s="489"/>
      <c r="R26" s="590" t="s">
        <v>244</v>
      </c>
      <c r="S26" s="591"/>
      <c r="T26" s="592"/>
      <c r="U26" s="482"/>
      <c r="V26" s="483"/>
      <c r="W26" s="499"/>
      <c r="X26" s="482"/>
      <c r="Y26" s="483"/>
      <c r="Z26" s="499"/>
      <c r="AA26" s="482"/>
      <c r="AB26" s="483"/>
      <c r="AC26" s="499"/>
      <c r="AD26" s="482"/>
      <c r="AE26" s="483"/>
      <c r="AF26" s="499"/>
      <c r="AG26" s="584" t="s">
        <v>169</v>
      </c>
      <c r="AH26" s="599"/>
      <c r="AI26" s="599"/>
      <c r="AJ26" s="599"/>
      <c r="AK26" s="599"/>
      <c r="AL26" s="599"/>
      <c r="AM26" s="599"/>
      <c r="AN26" s="599"/>
      <c r="AO26" s="599"/>
      <c r="AP26" s="599"/>
      <c r="AQ26" s="599"/>
      <c r="AR26" s="599"/>
      <c r="AS26" s="599"/>
      <c r="AT26" s="599"/>
      <c r="AU26" s="599"/>
      <c r="AV26" s="599"/>
      <c r="AW26" s="599"/>
      <c r="AX26" s="599"/>
      <c r="AY26" s="599"/>
      <c r="AZ26" s="599"/>
      <c r="BA26" s="599"/>
      <c r="BB26" s="599"/>
      <c r="BC26" s="600"/>
      <c r="BD26" s="482"/>
      <c r="BE26" s="483"/>
      <c r="BF26" s="483"/>
      <c r="BG26" s="483"/>
      <c r="BH26" s="483"/>
      <c r="BI26" s="483"/>
      <c r="BJ26" s="499"/>
    </row>
    <row r="27" spans="1:62" ht="30" customHeight="1">
      <c r="A27" s="587">
        <f t="shared" si="0"/>
        <v>19</v>
      </c>
      <c r="B27" s="588"/>
      <c r="C27" s="589"/>
      <c r="D27" s="487"/>
      <c r="E27" s="488"/>
      <c r="F27" s="488"/>
      <c r="G27" s="488"/>
      <c r="H27" s="488"/>
      <c r="I27" s="488"/>
      <c r="J27" s="488"/>
      <c r="K27" s="488"/>
      <c r="L27" s="488"/>
      <c r="M27" s="488"/>
      <c r="N27" s="488"/>
      <c r="O27" s="488"/>
      <c r="P27" s="488"/>
      <c r="Q27" s="489"/>
      <c r="R27" s="482"/>
      <c r="S27" s="483"/>
      <c r="T27" s="499"/>
      <c r="U27" s="482"/>
      <c r="V27" s="483"/>
      <c r="W27" s="499"/>
      <c r="X27" s="482"/>
      <c r="Y27" s="483"/>
      <c r="Z27" s="499"/>
      <c r="AA27" s="482" t="s">
        <v>244</v>
      </c>
      <c r="AB27" s="483"/>
      <c r="AC27" s="499"/>
      <c r="AD27" s="482"/>
      <c r="AE27" s="483"/>
      <c r="AF27" s="499"/>
      <c r="AG27" s="584" t="s">
        <v>170</v>
      </c>
      <c r="AH27" s="599"/>
      <c r="AI27" s="599"/>
      <c r="AJ27" s="599"/>
      <c r="AK27" s="599"/>
      <c r="AL27" s="599"/>
      <c r="AM27" s="599"/>
      <c r="AN27" s="599"/>
      <c r="AO27" s="599"/>
      <c r="AP27" s="599"/>
      <c r="AQ27" s="599"/>
      <c r="AR27" s="599"/>
      <c r="AS27" s="599"/>
      <c r="AT27" s="599"/>
      <c r="AU27" s="599"/>
      <c r="AV27" s="599"/>
      <c r="AW27" s="599"/>
      <c r="AX27" s="599"/>
      <c r="AY27" s="599"/>
      <c r="AZ27" s="599"/>
      <c r="BA27" s="599"/>
      <c r="BB27" s="599"/>
      <c r="BC27" s="600"/>
      <c r="BD27" s="482"/>
      <c r="BE27" s="483"/>
      <c r="BF27" s="483"/>
      <c r="BG27" s="483"/>
      <c r="BH27" s="483"/>
      <c r="BI27" s="483"/>
      <c r="BJ27" s="499"/>
    </row>
    <row r="28" spans="1:62" ht="30" customHeight="1">
      <c r="A28" s="587">
        <f t="shared" si="0"/>
        <v>20</v>
      </c>
      <c r="B28" s="588"/>
      <c r="C28" s="589"/>
      <c r="D28" s="487" t="s">
        <v>391</v>
      </c>
      <c r="E28" s="488"/>
      <c r="F28" s="488"/>
      <c r="G28" s="488"/>
      <c r="H28" s="488"/>
      <c r="I28" s="488"/>
      <c r="J28" s="488"/>
      <c r="K28" s="488"/>
      <c r="L28" s="488"/>
      <c r="M28" s="488"/>
      <c r="N28" s="488"/>
      <c r="O28" s="488"/>
      <c r="P28" s="488"/>
      <c r="Q28" s="489"/>
      <c r="R28" s="482" t="s">
        <v>266</v>
      </c>
      <c r="S28" s="483"/>
      <c r="T28" s="499"/>
      <c r="U28" s="482"/>
      <c r="V28" s="483"/>
      <c r="W28" s="499"/>
      <c r="X28" s="482"/>
      <c r="Y28" s="483"/>
      <c r="Z28" s="499"/>
      <c r="AA28" s="482"/>
      <c r="AB28" s="483"/>
      <c r="AC28" s="499"/>
      <c r="AD28" s="482"/>
      <c r="AE28" s="483"/>
      <c r="AF28" s="499"/>
      <c r="AG28" s="584" t="s">
        <v>267</v>
      </c>
      <c r="AH28" s="599"/>
      <c r="AI28" s="599"/>
      <c r="AJ28" s="599"/>
      <c r="AK28" s="599"/>
      <c r="AL28" s="599"/>
      <c r="AM28" s="599"/>
      <c r="AN28" s="599"/>
      <c r="AO28" s="599"/>
      <c r="AP28" s="599"/>
      <c r="AQ28" s="599"/>
      <c r="AR28" s="599"/>
      <c r="AS28" s="599"/>
      <c r="AT28" s="599"/>
      <c r="AU28" s="599"/>
      <c r="AV28" s="599"/>
      <c r="AW28" s="599"/>
      <c r="AX28" s="599"/>
      <c r="AY28" s="599"/>
      <c r="AZ28" s="599"/>
      <c r="BA28" s="599"/>
      <c r="BB28" s="599"/>
      <c r="BC28" s="600"/>
      <c r="BD28" s="482"/>
      <c r="BE28" s="483"/>
      <c r="BF28" s="483"/>
      <c r="BG28" s="483"/>
      <c r="BH28" s="483"/>
      <c r="BI28" s="483"/>
      <c r="BJ28" s="499"/>
    </row>
    <row r="29" spans="1:62" s="16" customFormat="1" ht="30" customHeight="1">
      <c r="A29" s="587">
        <f t="shared" si="0"/>
        <v>21</v>
      </c>
      <c r="B29" s="588"/>
      <c r="C29" s="589"/>
      <c r="D29" s="487"/>
      <c r="E29" s="488"/>
      <c r="F29" s="488"/>
      <c r="G29" s="488"/>
      <c r="H29" s="488"/>
      <c r="I29" s="488"/>
      <c r="J29" s="488"/>
      <c r="K29" s="488"/>
      <c r="L29" s="488"/>
      <c r="M29" s="488"/>
      <c r="N29" s="488"/>
      <c r="O29" s="488"/>
      <c r="P29" s="488"/>
      <c r="Q29" s="489"/>
      <c r="R29" s="482"/>
      <c r="S29" s="483"/>
      <c r="T29" s="499"/>
      <c r="U29" s="482"/>
      <c r="V29" s="483"/>
      <c r="W29" s="499"/>
      <c r="X29" s="490" t="s">
        <v>244</v>
      </c>
      <c r="Y29" s="491"/>
      <c r="Z29" s="492"/>
      <c r="AA29" s="490"/>
      <c r="AB29" s="491"/>
      <c r="AC29" s="492"/>
      <c r="AD29" s="490"/>
      <c r="AE29" s="491"/>
      <c r="AF29" s="492"/>
      <c r="AG29" s="584" t="s">
        <v>337</v>
      </c>
      <c r="AH29" s="599"/>
      <c r="AI29" s="599"/>
      <c r="AJ29" s="599"/>
      <c r="AK29" s="599"/>
      <c r="AL29" s="599"/>
      <c r="AM29" s="599"/>
      <c r="AN29" s="599"/>
      <c r="AO29" s="599"/>
      <c r="AP29" s="599"/>
      <c r="AQ29" s="599"/>
      <c r="AR29" s="599"/>
      <c r="AS29" s="599"/>
      <c r="AT29" s="599"/>
      <c r="AU29" s="599"/>
      <c r="AV29" s="599"/>
      <c r="AW29" s="599"/>
      <c r="AX29" s="599"/>
      <c r="AY29" s="599"/>
      <c r="AZ29" s="599"/>
      <c r="BA29" s="599"/>
      <c r="BB29" s="599"/>
      <c r="BC29" s="600"/>
      <c r="BD29" s="482"/>
      <c r="BE29" s="483"/>
      <c r="BF29" s="483"/>
      <c r="BG29" s="483"/>
      <c r="BH29" s="483"/>
      <c r="BI29" s="483"/>
      <c r="BJ29" s="499"/>
    </row>
    <row r="30" spans="1:62" ht="30" customHeight="1">
      <c r="A30" s="587">
        <f>ROW()-8</f>
        <v>22</v>
      </c>
      <c r="B30" s="588"/>
      <c r="C30" s="589"/>
      <c r="D30" s="487" t="s">
        <v>392</v>
      </c>
      <c r="E30" s="488"/>
      <c r="F30" s="488"/>
      <c r="G30" s="488"/>
      <c r="H30" s="488"/>
      <c r="I30" s="488"/>
      <c r="J30" s="488"/>
      <c r="K30" s="488"/>
      <c r="L30" s="488"/>
      <c r="M30" s="488"/>
      <c r="N30" s="488"/>
      <c r="O30" s="488"/>
      <c r="P30" s="488"/>
      <c r="Q30" s="489"/>
      <c r="R30" s="482" t="s">
        <v>266</v>
      </c>
      <c r="S30" s="483"/>
      <c r="T30" s="499"/>
      <c r="U30" s="482"/>
      <c r="V30" s="483"/>
      <c r="W30" s="499"/>
      <c r="X30" s="482"/>
      <c r="Y30" s="483"/>
      <c r="Z30" s="499"/>
      <c r="AA30" s="482"/>
      <c r="AB30" s="483"/>
      <c r="AC30" s="499"/>
      <c r="AD30" s="482"/>
      <c r="AE30" s="483"/>
      <c r="AF30" s="499"/>
      <c r="AG30" s="584" t="s">
        <v>367</v>
      </c>
      <c r="AH30" s="599"/>
      <c r="AI30" s="599"/>
      <c r="AJ30" s="599"/>
      <c r="AK30" s="599"/>
      <c r="AL30" s="599"/>
      <c r="AM30" s="599"/>
      <c r="AN30" s="599"/>
      <c r="AO30" s="599"/>
      <c r="AP30" s="599"/>
      <c r="AQ30" s="599"/>
      <c r="AR30" s="599"/>
      <c r="AS30" s="599"/>
      <c r="AT30" s="599"/>
      <c r="AU30" s="599"/>
      <c r="AV30" s="599"/>
      <c r="AW30" s="599"/>
      <c r="AX30" s="599"/>
      <c r="AY30" s="599"/>
      <c r="AZ30" s="599"/>
      <c r="BA30" s="599"/>
      <c r="BB30" s="599"/>
      <c r="BC30" s="600"/>
      <c r="BD30" s="482"/>
      <c r="BE30" s="483"/>
      <c r="BF30" s="483"/>
      <c r="BG30" s="483"/>
      <c r="BH30" s="483"/>
      <c r="BI30" s="483"/>
      <c r="BJ30" s="499"/>
    </row>
    <row r="31" spans="1:62" ht="30" customHeight="1">
      <c r="A31" s="587">
        <f t="shared" si="0"/>
        <v>23</v>
      </c>
      <c r="B31" s="588"/>
      <c r="C31" s="589"/>
      <c r="D31" s="688"/>
      <c r="E31" s="689"/>
      <c r="F31" s="689"/>
      <c r="G31" s="689"/>
      <c r="H31" s="689"/>
      <c r="I31" s="689"/>
      <c r="J31" s="689"/>
      <c r="K31" s="689"/>
      <c r="L31" s="689"/>
      <c r="M31" s="689"/>
      <c r="N31" s="689"/>
      <c r="O31" s="689"/>
      <c r="P31" s="689"/>
      <c r="Q31" s="690"/>
      <c r="R31" s="482"/>
      <c r="S31" s="483"/>
      <c r="T31" s="499"/>
      <c r="U31" s="482"/>
      <c r="V31" s="483"/>
      <c r="W31" s="499"/>
      <c r="X31" s="482" t="s">
        <v>266</v>
      </c>
      <c r="Y31" s="483"/>
      <c r="Z31" s="499"/>
      <c r="AA31" s="482"/>
      <c r="AB31" s="483"/>
      <c r="AC31" s="499"/>
      <c r="AD31" s="482"/>
      <c r="AE31" s="483"/>
      <c r="AF31" s="499"/>
      <c r="AG31" s="584" t="s">
        <v>338</v>
      </c>
      <c r="AH31" s="599"/>
      <c r="AI31" s="599"/>
      <c r="AJ31" s="599"/>
      <c r="AK31" s="599"/>
      <c r="AL31" s="599"/>
      <c r="AM31" s="599"/>
      <c r="AN31" s="599"/>
      <c r="AO31" s="599"/>
      <c r="AP31" s="599"/>
      <c r="AQ31" s="599"/>
      <c r="AR31" s="599"/>
      <c r="AS31" s="599"/>
      <c r="AT31" s="599"/>
      <c r="AU31" s="599"/>
      <c r="AV31" s="599"/>
      <c r="AW31" s="599"/>
      <c r="AX31" s="599"/>
      <c r="AY31" s="599"/>
      <c r="AZ31" s="599"/>
      <c r="BA31" s="599"/>
      <c r="BB31" s="599"/>
      <c r="BC31" s="600"/>
      <c r="BD31" s="482"/>
      <c r="BE31" s="483"/>
      <c r="BF31" s="483"/>
      <c r="BG31" s="483"/>
      <c r="BH31" s="483"/>
      <c r="BI31" s="483"/>
      <c r="BJ31" s="499"/>
    </row>
    <row r="32" spans="1:62" ht="30" customHeight="1">
      <c r="A32" s="587">
        <f t="shared" si="0"/>
        <v>24</v>
      </c>
      <c r="B32" s="588"/>
      <c r="C32" s="589"/>
      <c r="D32" s="487" t="s">
        <v>171</v>
      </c>
      <c r="E32" s="488"/>
      <c r="F32" s="488"/>
      <c r="G32" s="488"/>
      <c r="H32" s="488"/>
      <c r="I32" s="488"/>
      <c r="J32" s="488"/>
      <c r="K32" s="488"/>
      <c r="L32" s="488"/>
      <c r="M32" s="488"/>
      <c r="N32" s="488"/>
      <c r="O32" s="488"/>
      <c r="P32" s="488"/>
      <c r="Q32" s="489"/>
      <c r="R32" s="482"/>
      <c r="S32" s="483"/>
      <c r="T32" s="499"/>
      <c r="U32" s="482" t="s">
        <v>244</v>
      </c>
      <c r="V32" s="483"/>
      <c r="W32" s="499"/>
      <c r="X32" s="482"/>
      <c r="Y32" s="483"/>
      <c r="Z32" s="499"/>
      <c r="AA32" s="482"/>
      <c r="AB32" s="483"/>
      <c r="AC32" s="499"/>
      <c r="AD32" s="482"/>
      <c r="AE32" s="483"/>
      <c r="AF32" s="499"/>
      <c r="AG32" s="584" t="s">
        <v>414</v>
      </c>
      <c r="AH32" s="599"/>
      <c r="AI32" s="599"/>
      <c r="AJ32" s="599"/>
      <c r="AK32" s="599"/>
      <c r="AL32" s="599"/>
      <c r="AM32" s="599"/>
      <c r="AN32" s="599"/>
      <c r="AO32" s="599"/>
      <c r="AP32" s="599"/>
      <c r="AQ32" s="599"/>
      <c r="AR32" s="599"/>
      <c r="AS32" s="599"/>
      <c r="AT32" s="599"/>
      <c r="AU32" s="599"/>
      <c r="AV32" s="599"/>
      <c r="AW32" s="599"/>
      <c r="AX32" s="599"/>
      <c r="AY32" s="599"/>
      <c r="AZ32" s="599"/>
      <c r="BA32" s="599"/>
      <c r="BB32" s="599"/>
      <c r="BC32" s="600"/>
      <c r="BD32" s="482"/>
      <c r="BE32" s="483"/>
      <c r="BF32" s="483"/>
      <c r="BG32" s="483"/>
      <c r="BH32" s="483"/>
      <c r="BI32" s="483"/>
      <c r="BJ32" s="499"/>
    </row>
    <row r="33" spans="1:62" ht="102.95" customHeight="1">
      <c r="A33" s="587">
        <f t="shared" si="0"/>
        <v>25</v>
      </c>
      <c r="B33" s="588"/>
      <c r="C33" s="589"/>
      <c r="D33" s="694"/>
      <c r="E33" s="695"/>
      <c r="F33" s="695"/>
      <c r="G33" s="695"/>
      <c r="H33" s="695"/>
      <c r="I33" s="695"/>
      <c r="J33" s="695"/>
      <c r="K33" s="695"/>
      <c r="L33" s="695"/>
      <c r="M33" s="695"/>
      <c r="N33" s="695"/>
      <c r="O33" s="695"/>
      <c r="P33" s="695"/>
      <c r="Q33" s="696"/>
      <c r="R33" s="490"/>
      <c r="S33" s="491"/>
      <c r="T33" s="492"/>
      <c r="U33" s="490"/>
      <c r="V33" s="491"/>
      <c r="W33" s="492"/>
      <c r="X33" s="490" t="s">
        <v>244</v>
      </c>
      <c r="Y33" s="491"/>
      <c r="Z33" s="492"/>
      <c r="AA33" s="490"/>
      <c r="AB33" s="491"/>
      <c r="AC33" s="492"/>
      <c r="AD33" s="490"/>
      <c r="AE33" s="491"/>
      <c r="AF33" s="492"/>
      <c r="AG33" s="584" t="s">
        <v>339</v>
      </c>
      <c r="AH33" s="599"/>
      <c r="AI33" s="599"/>
      <c r="AJ33" s="599"/>
      <c r="AK33" s="599"/>
      <c r="AL33" s="599"/>
      <c r="AM33" s="599"/>
      <c r="AN33" s="599"/>
      <c r="AO33" s="599"/>
      <c r="AP33" s="599"/>
      <c r="AQ33" s="599"/>
      <c r="AR33" s="599"/>
      <c r="AS33" s="599"/>
      <c r="AT33" s="599"/>
      <c r="AU33" s="599"/>
      <c r="AV33" s="599"/>
      <c r="AW33" s="599"/>
      <c r="AX33" s="599"/>
      <c r="AY33" s="599"/>
      <c r="AZ33" s="599"/>
      <c r="BA33" s="599"/>
      <c r="BB33" s="599"/>
      <c r="BC33" s="600"/>
      <c r="BD33" s="482"/>
      <c r="BE33" s="483"/>
      <c r="BF33" s="483"/>
      <c r="BG33" s="483"/>
      <c r="BH33" s="483"/>
      <c r="BI33" s="483"/>
      <c r="BJ33" s="499"/>
    </row>
    <row r="34" spans="1:62" ht="30" customHeight="1">
      <c r="A34" s="587">
        <f t="shared" si="0"/>
        <v>26</v>
      </c>
      <c r="B34" s="588"/>
      <c r="C34" s="589"/>
      <c r="D34" s="487" t="s">
        <v>172</v>
      </c>
      <c r="E34" s="488"/>
      <c r="F34" s="488"/>
      <c r="G34" s="488"/>
      <c r="H34" s="488"/>
      <c r="I34" s="488"/>
      <c r="J34" s="488"/>
      <c r="K34" s="488"/>
      <c r="L34" s="488"/>
      <c r="M34" s="488"/>
      <c r="N34" s="488"/>
      <c r="O34" s="488"/>
      <c r="P34" s="488"/>
      <c r="Q34" s="489"/>
      <c r="R34" s="590"/>
      <c r="S34" s="591"/>
      <c r="T34" s="592"/>
      <c r="U34" s="590" t="s">
        <v>244</v>
      </c>
      <c r="V34" s="591"/>
      <c r="W34" s="592"/>
      <c r="X34" s="590"/>
      <c r="Y34" s="591"/>
      <c r="Z34" s="592"/>
      <c r="AA34" s="482"/>
      <c r="AB34" s="483"/>
      <c r="AC34" s="499"/>
      <c r="AD34" s="590"/>
      <c r="AE34" s="591"/>
      <c r="AF34" s="592"/>
      <c r="AG34" s="584" t="s">
        <v>415</v>
      </c>
      <c r="AH34" s="599"/>
      <c r="AI34" s="599"/>
      <c r="AJ34" s="599"/>
      <c r="AK34" s="599"/>
      <c r="AL34" s="599"/>
      <c r="AM34" s="599"/>
      <c r="AN34" s="599"/>
      <c r="AO34" s="599"/>
      <c r="AP34" s="599"/>
      <c r="AQ34" s="599"/>
      <c r="AR34" s="599"/>
      <c r="AS34" s="599"/>
      <c r="AT34" s="599"/>
      <c r="AU34" s="599"/>
      <c r="AV34" s="599"/>
      <c r="AW34" s="599"/>
      <c r="AX34" s="599"/>
      <c r="AY34" s="599"/>
      <c r="AZ34" s="599"/>
      <c r="BA34" s="599"/>
      <c r="BB34" s="599"/>
      <c r="BC34" s="600"/>
      <c r="BD34" s="482"/>
      <c r="BE34" s="483"/>
      <c r="BF34" s="483"/>
      <c r="BG34" s="483"/>
      <c r="BH34" s="483"/>
      <c r="BI34" s="483"/>
      <c r="BJ34" s="499"/>
    </row>
    <row r="35" spans="1:62" ht="102.95" customHeight="1">
      <c r="A35" s="587">
        <f t="shared" si="0"/>
        <v>27</v>
      </c>
      <c r="B35" s="588"/>
      <c r="C35" s="589"/>
      <c r="D35" s="694"/>
      <c r="E35" s="695"/>
      <c r="F35" s="695"/>
      <c r="G35" s="695"/>
      <c r="H35" s="695"/>
      <c r="I35" s="695"/>
      <c r="J35" s="695"/>
      <c r="K35" s="695"/>
      <c r="L35" s="695"/>
      <c r="M35" s="695"/>
      <c r="N35" s="695"/>
      <c r="O35" s="695"/>
      <c r="P35" s="695"/>
      <c r="Q35" s="696"/>
      <c r="R35" s="490"/>
      <c r="S35" s="491"/>
      <c r="T35" s="492"/>
      <c r="U35" s="490"/>
      <c r="V35" s="491"/>
      <c r="W35" s="492"/>
      <c r="X35" s="490" t="s">
        <v>244</v>
      </c>
      <c r="Y35" s="491"/>
      <c r="Z35" s="492"/>
      <c r="AA35" s="490"/>
      <c r="AB35" s="491"/>
      <c r="AC35" s="492"/>
      <c r="AD35" s="490"/>
      <c r="AE35" s="491"/>
      <c r="AF35" s="492"/>
      <c r="AG35" s="584" t="s">
        <v>340</v>
      </c>
      <c r="AH35" s="599"/>
      <c r="AI35" s="599"/>
      <c r="AJ35" s="599"/>
      <c r="AK35" s="599"/>
      <c r="AL35" s="599"/>
      <c r="AM35" s="599"/>
      <c r="AN35" s="599"/>
      <c r="AO35" s="599"/>
      <c r="AP35" s="599"/>
      <c r="AQ35" s="599"/>
      <c r="AR35" s="599"/>
      <c r="AS35" s="599"/>
      <c r="AT35" s="599"/>
      <c r="AU35" s="599"/>
      <c r="AV35" s="599"/>
      <c r="AW35" s="599"/>
      <c r="AX35" s="599"/>
      <c r="AY35" s="599"/>
      <c r="AZ35" s="599"/>
      <c r="BA35" s="599"/>
      <c r="BB35" s="599"/>
      <c r="BC35" s="600"/>
      <c r="BD35" s="482"/>
      <c r="BE35" s="483"/>
      <c r="BF35" s="483"/>
      <c r="BG35" s="483"/>
      <c r="BH35" s="483"/>
      <c r="BI35" s="483"/>
      <c r="BJ35" s="499"/>
    </row>
    <row r="36" spans="1:62" ht="30" customHeight="1">
      <c r="A36" s="610"/>
      <c r="B36" s="611"/>
      <c r="C36" s="612"/>
      <c r="D36" s="613"/>
      <c r="E36" s="614"/>
      <c r="F36" s="614"/>
      <c r="G36" s="614"/>
      <c r="H36" s="614"/>
      <c r="I36" s="614"/>
      <c r="J36" s="614"/>
      <c r="K36" s="614"/>
      <c r="L36" s="614"/>
      <c r="M36" s="614"/>
      <c r="N36" s="614"/>
      <c r="O36" s="614"/>
      <c r="P36" s="614"/>
      <c r="Q36" s="615"/>
      <c r="R36" s="563"/>
      <c r="S36" s="564"/>
      <c r="T36" s="565"/>
      <c r="U36" s="563"/>
      <c r="V36" s="564"/>
      <c r="W36" s="565"/>
      <c r="X36" s="563"/>
      <c r="Y36" s="564"/>
      <c r="Z36" s="565"/>
      <c r="AA36" s="563"/>
      <c r="AB36" s="564"/>
      <c r="AC36" s="565"/>
      <c r="AD36" s="563"/>
      <c r="AE36" s="564"/>
      <c r="AF36" s="565"/>
      <c r="AG36" s="613"/>
      <c r="AH36" s="614"/>
      <c r="AI36" s="614"/>
      <c r="AJ36" s="614"/>
      <c r="AK36" s="614"/>
      <c r="AL36" s="614"/>
      <c r="AM36" s="614"/>
      <c r="AN36" s="614"/>
      <c r="AO36" s="614"/>
      <c r="AP36" s="614"/>
      <c r="AQ36" s="614"/>
      <c r="AR36" s="614"/>
      <c r="AS36" s="614"/>
      <c r="AT36" s="614"/>
      <c r="AU36" s="614"/>
      <c r="AV36" s="614"/>
      <c r="AW36" s="614"/>
      <c r="AX36" s="614"/>
      <c r="AY36" s="614"/>
      <c r="AZ36" s="614"/>
      <c r="BA36" s="614"/>
      <c r="BB36" s="614"/>
      <c r="BC36" s="615"/>
      <c r="BD36" s="563"/>
      <c r="BE36" s="564"/>
      <c r="BF36" s="564"/>
      <c r="BG36" s="564"/>
      <c r="BH36" s="564"/>
      <c r="BI36" s="564"/>
      <c r="BJ36" s="565"/>
    </row>
    <row r="37" spans="1:62" s="17" customFormat="1" ht="5.25" customHeight="1">
      <c r="B37" s="18"/>
      <c r="C37" s="18"/>
      <c r="D37" s="18"/>
      <c r="E37" s="18"/>
      <c r="F37" s="18"/>
      <c r="G37" s="18"/>
      <c r="H37" s="18"/>
      <c r="I37" s="18"/>
      <c r="J37" s="18"/>
      <c r="K37" s="18"/>
      <c r="L37" s="18"/>
      <c r="M37" s="18"/>
      <c r="N37" s="18"/>
      <c r="O37" s="18"/>
      <c r="P37" s="18"/>
      <c r="Q37" s="18"/>
      <c r="R37" s="18"/>
      <c r="S37" s="18"/>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BD23:BJ23"/>
    <mergeCell ref="A25:C25"/>
    <mergeCell ref="D25:Q25"/>
    <mergeCell ref="R25:T25"/>
    <mergeCell ref="U25:W25"/>
    <mergeCell ref="X25:Z25"/>
    <mergeCell ref="AA25:AC25"/>
    <mergeCell ref="AD25:AF25"/>
    <mergeCell ref="AG25:BC25"/>
    <mergeCell ref="BD25:BJ25"/>
    <mergeCell ref="BD24:BJ24"/>
    <mergeCell ref="AD24:AF24"/>
    <mergeCell ref="AG24:BC24"/>
    <mergeCell ref="A23:C23"/>
    <mergeCell ref="D23:Q23"/>
    <mergeCell ref="R23:T23"/>
    <mergeCell ref="U23:W23"/>
    <mergeCell ref="X23:Z23"/>
    <mergeCell ref="AA23:AC23"/>
    <mergeCell ref="AD23:AF23"/>
    <mergeCell ref="AG23:BC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BD10:BJ10"/>
    <mergeCell ref="AG9:BC9"/>
    <mergeCell ref="BD9:BJ9"/>
    <mergeCell ref="A10:C10"/>
    <mergeCell ref="D10:Q10"/>
    <mergeCell ref="R10:T10"/>
    <mergeCell ref="U10:W10"/>
    <mergeCell ref="X10:Z10"/>
    <mergeCell ref="AA10:AC10"/>
    <mergeCell ref="AD10:AF10"/>
    <mergeCell ref="AG10:BC10"/>
    <mergeCell ref="A20:C20"/>
    <mergeCell ref="A17:C17"/>
    <mergeCell ref="D17:Q17"/>
    <mergeCell ref="R17:T17"/>
    <mergeCell ref="BD21:BJ21"/>
    <mergeCell ref="AG20:BC20"/>
    <mergeCell ref="BD20:BJ20"/>
    <mergeCell ref="A18:C18"/>
    <mergeCell ref="D18:Q18"/>
    <mergeCell ref="R18:T18"/>
    <mergeCell ref="U18:W18"/>
    <mergeCell ref="X18:Z18"/>
    <mergeCell ref="AA18:AC18"/>
    <mergeCell ref="AD18:AF18"/>
    <mergeCell ref="AG18:BC18"/>
    <mergeCell ref="A19:C19"/>
    <mergeCell ref="D19:Q19"/>
    <mergeCell ref="R19:T19"/>
    <mergeCell ref="U19:W19"/>
    <mergeCell ref="X19:Z19"/>
    <mergeCell ref="A21:C21"/>
    <mergeCell ref="D21:Q21"/>
    <mergeCell ref="R21:T21"/>
    <mergeCell ref="U21:W21"/>
    <mergeCell ref="X21:Z21"/>
    <mergeCell ref="AA21:AC21"/>
    <mergeCell ref="AD21:AF21"/>
    <mergeCell ref="AG21:BC21"/>
    <mergeCell ref="AG22:BC22"/>
    <mergeCell ref="A22:C22"/>
    <mergeCell ref="D22:Q22"/>
    <mergeCell ref="R22:T22"/>
    <mergeCell ref="U22:W22"/>
    <mergeCell ref="X22:Z22"/>
    <mergeCell ref="AA22:AC22"/>
    <mergeCell ref="AD22:AF22"/>
    <mergeCell ref="AG34:BC34"/>
    <mergeCell ref="BD34:BJ34"/>
    <mergeCell ref="A32:C32"/>
    <mergeCell ref="D32:Q32"/>
    <mergeCell ref="R32:T32"/>
    <mergeCell ref="U32:W32"/>
    <mergeCell ref="X32:Z32"/>
    <mergeCell ref="AA32:AC32"/>
    <mergeCell ref="AD32:AF32"/>
    <mergeCell ref="AG32:BC32"/>
    <mergeCell ref="BD32:BJ32"/>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6:BC36"/>
    <mergeCell ref="BD36:BJ36"/>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D35:AF35"/>
    <mergeCell ref="AG35:BC35"/>
    <mergeCell ref="BD35:BJ35"/>
    <mergeCell ref="A16:C16"/>
    <mergeCell ref="D16:Q16"/>
    <mergeCell ref="R16:T16"/>
    <mergeCell ref="U16:W16"/>
    <mergeCell ref="X16:Z16"/>
    <mergeCell ref="AD33:AF33"/>
    <mergeCell ref="AG33:BC33"/>
    <mergeCell ref="BD33:BJ33"/>
    <mergeCell ref="A24:C24"/>
    <mergeCell ref="D24:Q24"/>
    <mergeCell ref="R24:T24"/>
    <mergeCell ref="U24:W24"/>
    <mergeCell ref="X24:Z24"/>
    <mergeCell ref="AA24:AC24"/>
    <mergeCell ref="AA19:AC19"/>
    <mergeCell ref="AD19:AF19"/>
    <mergeCell ref="AG19:BC19"/>
    <mergeCell ref="D20:Q20"/>
    <mergeCell ref="R20:T20"/>
    <mergeCell ref="U20:W20"/>
    <mergeCell ref="X20:Z20"/>
    <mergeCell ref="AA20:AC20"/>
    <mergeCell ref="AD20:AF20"/>
    <mergeCell ref="BD22:BJ22"/>
    <mergeCell ref="AA15:AC15"/>
    <mergeCell ref="AD15:AF15"/>
    <mergeCell ref="AG15:BC15"/>
    <mergeCell ref="BD15:BJ15"/>
    <mergeCell ref="U17:W17"/>
    <mergeCell ref="X17:Z17"/>
    <mergeCell ref="AA17:AC17"/>
    <mergeCell ref="AD17:AF17"/>
    <mergeCell ref="AG17:BC17"/>
    <mergeCell ref="AD16:AF16"/>
    <mergeCell ref="AA16:AC16"/>
    <mergeCell ref="BD19:BJ19"/>
    <mergeCell ref="AD14:AF14"/>
    <mergeCell ref="AG14:BC14"/>
    <mergeCell ref="BD14:BJ14"/>
    <mergeCell ref="A11:C11"/>
    <mergeCell ref="D11:Q11"/>
    <mergeCell ref="R11:T11"/>
    <mergeCell ref="U11:W11"/>
    <mergeCell ref="X11:Z11"/>
    <mergeCell ref="AA11:AC11"/>
    <mergeCell ref="AD11:AF11"/>
    <mergeCell ref="AG11:BC11"/>
    <mergeCell ref="BD11:BJ11"/>
    <mergeCell ref="A14:C14"/>
    <mergeCell ref="D14:Q14"/>
    <mergeCell ref="BD18:BJ18"/>
    <mergeCell ref="AG16:BC16"/>
    <mergeCell ref="BD16:BJ16"/>
    <mergeCell ref="BD17:BJ17"/>
    <mergeCell ref="A15:C15"/>
    <mergeCell ref="D15:Q15"/>
    <mergeCell ref="R15:T15"/>
    <mergeCell ref="U15:W15"/>
    <mergeCell ref="X15:Z15"/>
    <mergeCell ref="BD12:BJ12"/>
    <mergeCell ref="R14:T14"/>
    <mergeCell ref="A12:C12"/>
    <mergeCell ref="D12:Q12"/>
    <mergeCell ref="R12:T12"/>
    <mergeCell ref="U12:W12"/>
    <mergeCell ref="X12:Z12"/>
    <mergeCell ref="AA12:AC12"/>
    <mergeCell ref="AD12:AF12"/>
    <mergeCell ref="AG12:BC12"/>
    <mergeCell ref="A13:C13"/>
    <mergeCell ref="D13:Q13"/>
    <mergeCell ref="R13:T13"/>
    <mergeCell ref="U13:W13"/>
    <mergeCell ref="X13:Z13"/>
    <mergeCell ref="AA13:AC13"/>
    <mergeCell ref="AD13:AF13"/>
    <mergeCell ref="AG13:BC13"/>
    <mergeCell ref="BD13:BJ13"/>
    <mergeCell ref="U14:W14"/>
    <mergeCell ref="X14:Z14"/>
    <mergeCell ref="AA14:AC14"/>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3"/>
  <dimension ref="A1:BK52"/>
  <sheetViews>
    <sheetView view="pageBreakPreview" zoomScaleNormal="100" zoomScaleSheetLayoutView="100" workbookViewId="0"/>
  </sheetViews>
  <sheetFormatPr defaultColWidth="1.875" defaultRowHeight="14.25"/>
  <cols>
    <col min="1" max="74" width="2.125" style="15" customWidth="1"/>
    <col min="75" max="16384" width="1.875" style="15"/>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113</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114</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6" t="s">
        <v>81</v>
      </c>
      <c r="B8" s="357"/>
      <c r="C8" s="358"/>
      <c r="D8" s="356" t="s">
        <v>115</v>
      </c>
      <c r="E8" s="357"/>
      <c r="F8" s="357"/>
      <c r="G8" s="357"/>
      <c r="H8" s="357"/>
      <c r="I8" s="357"/>
      <c r="J8" s="357"/>
      <c r="K8" s="357"/>
      <c r="L8" s="357"/>
      <c r="M8" s="357"/>
      <c r="N8" s="357"/>
      <c r="O8" s="357"/>
      <c r="P8" s="358"/>
      <c r="Q8" s="356" t="s">
        <v>116</v>
      </c>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53.45" customHeight="1">
      <c r="A9" s="616">
        <f>ROW()-8</f>
        <v>1</v>
      </c>
      <c r="B9" s="588"/>
      <c r="C9" s="589"/>
      <c r="D9" s="697" t="s">
        <v>299</v>
      </c>
      <c r="E9" s="698"/>
      <c r="F9" s="698"/>
      <c r="G9" s="698"/>
      <c r="H9" s="698"/>
      <c r="I9" s="698"/>
      <c r="J9" s="698"/>
      <c r="K9" s="698"/>
      <c r="L9" s="698"/>
      <c r="M9" s="698"/>
      <c r="N9" s="698"/>
      <c r="O9" s="698"/>
      <c r="P9" s="699"/>
      <c r="Q9" s="620" t="s">
        <v>305</v>
      </c>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c r="BC9" s="622"/>
      <c r="BD9" s="482"/>
      <c r="BE9" s="483"/>
      <c r="BF9" s="483"/>
      <c r="BG9" s="483"/>
      <c r="BH9" s="483"/>
      <c r="BI9" s="483"/>
      <c r="BJ9" s="499"/>
    </row>
    <row r="10" spans="1:63" ht="56.45" customHeight="1">
      <c r="A10" s="616">
        <f>ROW()-8</f>
        <v>2</v>
      </c>
      <c r="B10" s="588"/>
      <c r="C10" s="589"/>
      <c r="D10" s="487"/>
      <c r="E10" s="488"/>
      <c r="F10" s="488"/>
      <c r="G10" s="488"/>
      <c r="H10" s="488"/>
      <c r="I10" s="488"/>
      <c r="J10" s="488"/>
      <c r="K10" s="488"/>
      <c r="L10" s="488"/>
      <c r="M10" s="488"/>
      <c r="N10" s="488"/>
      <c r="O10" s="488"/>
      <c r="P10" s="489"/>
      <c r="Q10" s="620" t="s">
        <v>304</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482"/>
      <c r="BE10" s="483"/>
      <c r="BF10" s="483"/>
      <c r="BG10" s="483"/>
      <c r="BH10" s="483"/>
      <c r="BI10" s="483"/>
      <c r="BJ10" s="499"/>
    </row>
    <row r="11" spans="1:63" ht="56.45" customHeight="1">
      <c r="A11" s="616">
        <f>ROW()-8</f>
        <v>3</v>
      </c>
      <c r="B11" s="588"/>
      <c r="C11" s="589"/>
      <c r="D11" s="487"/>
      <c r="E11" s="488"/>
      <c r="F11" s="488"/>
      <c r="G11" s="488"/>
      <c r="H11" s="488"/>
      <c r="I11" s="488"/>
      <c r="J11" s="488"/>
      <c r="K11" s="488"/>
      <c r="L11" s="488"/>
      <c r="M11" s="488"/>
      <c r="N11" s="488"/>
      <c r="O11" s="488"/>
      <c r="P11" s="489"/>
      <c r="Q11" s="620" t="s">
        <v>379</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482"/>
      <c r="BE11" s="483"/>
      <c r="BF11" s="483"/>
      <c r="BG11" s="483"/>
      <c r="BH11" s="483"/>
      <c r="BI11" s="483"/>
      <c r="BJ11" s="499"/>
    </row>
    <row r="12" spans="1:63" ht="30" customHeight="1">
      <c r="A12" s="616">
        <f>ROW()-8</f>
        <v>4</v>
      </c>
      <c r="B12" s="588"/>
      <c r="C12" s="589"/>
      <c r="D12" s="697"/>
      <c r="E12" s="698"/>
      <c r="F12" s="698"/>
      <c r="G12" s="698"/>
      <c r="H12" s="698"/>
      <c r="I12" s="698"/>
      <c r="J12" s="698"/>
      <c r="K12" s="698"/>
      <c r="L12" s="698"/>
      <c r="M12" s="698"/>
      <c r="N12" s="698"/>
      <c r="O12" s="698"/>
      <c r="P12" s="699"/>
      <c r="Q12" s="620" t="s">
        <v>173</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482"/>
      <c r="BE12" s="483"/>
      <c r="BF12" s="483"/>
      <c r="BG12" s="483"/>
      <c r="BH12" s="483"/>
      <c r="BI12" s="483"/>
      <c r="BJ12" s="499"/>
    </row>
    <row r="13" spans="1:63" ht="51" customHeight="1">
      <c r="A13" s="616">
        <f t="shared" ref="A13:A16" si="0">ROW()-8</f>
        <v>5</v>
      </c>
      <c r="B13" s="588"/>
      <c r="C13" s="589"/>
      <c r="D13" s="617"/>
      <c r="E13" s="618"/>
      <c r="F13" s="618"/>
      <c r="G13" s="618"/>
      <c r="H13" s="618"/>
      <c r="I13" s="618"/>
      <c r="J13" s="618"/>
      <c r="K13" s="618"/>
      <c r="L13" s="618"/>
      <c r="M13" s="618"/>
      <c r="N13" s="618"/>
      <c r="O13" s="618"/>
      <c r="P13" s="619"/>
      <c r="Q13" s="620" t="s">
        <v>311</v>
      </c>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c r="BC13" s="622"/>
      <c r="BD13" s="482"/>
      <c r="BE13" s="483"/>
      <c r="BF13" s="483"/>
      <c r="BG13" s="483"/>
      <c r="BH13" s="483"/>
      <c r="BI13" s="483"/>
      <c r="BJ13" s="499"/>
    </row>
    <row r="14" spans="1:63" ht="58.5" customHeight="1">
      <c r="A14" s="616">
        <f t="shared" si="0"/>
        <v>6</v>
      </c>
      <c r="B14" s="588"/>
      <c r="C14" s="589"/>
      <c r="D14" s="697" t="s">
        <v>314</v>
      </c>
      <c r="E14" s="698"/>
      <c r="F14" s="698"/>
      <c r="G14" s="698"/>
      <c r="H14" s="698"/>
      <c r="I14" s="698"/>
      <c r="J14" s="698"/>
      <c r="K14" s="698"/>
      <c r="L14" s="698"/>
      <c r="M14" s="698"/>
      <c r="N14" s="698"/>
      <c r="O14" s="698"/>
      <c r="P14" s="699"/>
      <c r="Q14" s="620" t="s">
        <v>448</v>
      </c>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2"/>
      <c r="BD14" s="482"/>
      <c r="BE14" s="483"/>
      <c r="BF14" s="483"/>
      <c r="BG14" s="483"/>
      <c r="BH14" s="483"/>
      <c r="BI14" s="483"/>
      <c r="BJ14" s="499"/>
    </row>
    <row r="15" spans="1:63" ht="50.45" customHeight="1">
      <c r="A15" s="616">
        <f t="shared" si="0"/>
        <v>7</v>
      </c>
      <c r="B15" s="588"/>
      <c r="C15" s="589"/>
      <c r="D15" s="487"/>
      <c r="E15" s="488"/>
      <c r="F15" s="488"/>
      <c r="G15" s="488"/>
      <c r="H15" s="488"/>
      <c r="I15" s="488"/>
      <c r="J15" s="488"/>
      <c r="K15" s="488"/>
      <c r="L15" s="488"/>
      <c r="M15" s="488"/>
      <c r="N15" s="488"/>
      <c r="O15" s="488"/>
      <c r="P15" s="489"/>
      <c r="Q15" s="620" t="s">
        <v>449</v>
      </c>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c r="BC15" s="622"/>
      <c r="BD15" s="482"/>
      <c r="BE15" s="483"/>
      <c r="BF15" s="483"/>
      <c r="BG15" s="483"/>
      <c r="BH15" s="483"/>
      <c r="BI15" s="483"/>
      <c r="BJ15" s="499"/>
    </row>
    <row r="16" spans="1:63" ht="30" customHeight="1">
      <c r="A16" s="616">
        <f t="shared" si="0"/>
        <v>8</v>
      </c>
      <c r="B16" s="588"/>
      <c r="C16" s="589"/>
      <c r="D16" s="617" t="s">
        <v>312</v>
      </c>
      <c r="E16" s="618"/>
      <c r="F16" s="618"/>
      <c r="G16" s="618"/>
      <c r="H16" s="618"/>
      <c r="I16" s="618"/>
      <c r="J16" s="618"/>
      <c r="K16" s="618"/>
      <c r="L16" s="618"/>
      <c r="M16" s="618"/>
      <c r="N16" s="618"/>
      <c r="O16" s="618"/>
      <c r="P16" s="619"/>
      <c r="Q16" s="620" t="s">
        <v>313</v>
      </c>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c r="BC16" s="622"/>
      <c r="BD16" s="482"/>
      <c r="BE16" s="483"/>
      <c r="BF16" s="483"/>
      <c r="BG16" s="483"/>
      <c r="BH16" s="483"/>
      <c r="BI16" s="483"/>
      <c r="BJ16" s="499"/>
    </row>
    <row r="17" spans="1:62" ht="30" customHeight="1">
      <c r="A17" s="616"/>
      <c r="B17" s="588"/>
      <c r="C17" s="589"/>
      <c r="D17" s="487"/>
      <c r="E17" s="488"/>
      <c r="F17" s="488"/>
      <c r="G17" s="488"/>
      <c r="H17" s="488"/>
      <c r="I17" s="488"/>
      <c r="J17" s="488"/>
      <c r="K17" s="488"/>
      <c r="L17" s="488"/>
      <c r="M17" s="488"/>
      <c r="N17" s="488"/>
      <c r="O17" s="488"/>
      <c r="P17" s="489"/>
      <c r="Q17" s="500"/>
      <c r="R17" s="629"/>
      <c r="S17" s="629"/>
      <c r="T17" s="629"/>
      <c r="U17" s="629"/>
      <c r="V17" s="629"/>
      <c r="W17" s="629"/>
      <c r="X17" s="629"/>
      <c r="Y17" s="629"/>
      <c r="Z17" s="629"/>
      <c r="AA17" s="629"/>
      <c r="AB17" s="629"/>
      <c r="AC17" s="629"/>
      <c r="AD17" s="629"/>
      <c r="AE17" s="629"/>
      <c r="AF17" s="629"/>
      <c r="AG17" s="629"/>
      <c r="AH17" s="629"/>
      <c r="AI17" s="629"/>
      <c r="AJ17" s="629"/>
      <c r="AK17" s="629"/>
      <c r="AL17" s="629"/>
      <c r="AM17" s="629"/>
      <c r="AN17" s="629"/>
      <c r="AO17" s="629"/>
      <c r="AP17" s="629"/>
      <c r="AQ17" s="629"/>
      <c r="AR17" s="629"/>
      <c r="AS17" s="629"/>
      <c r="AT17" s="629"/>
      <c r="AU17" s="629"/>
      <c r="AV17" s="629"/>
      <c r="AW17" s="629"/>
      <c r="AX17" s="629"/>
      <c r="AY17" s="629"/>
      <c r="AZ17" s="629"/>
      <c r="BA17" s="629"/>
      <c r="BB17" s="629"/>
      <c r="BC17" s="630"/>
      <c r="BD17" s="482"/>
      <c r="BE17" s="483"/>
      <c r="BF17" s="483"/>
      <c r="BG17" s="483"/>
      <c r="BH17" s="483"/>
      <c r="BI17" s="483"/>
      <c r="BJ17" s="499"/>
    </row>
    <row r="18" spans="1:62" ht="30" customHeight="1">
      <c r="A18" s="616"/>
      <c r="B18" s="588"/>
      <c r="C18" s="589"/>
      <c r="D18" s="487"/>
      <c r="E18" s="488"/>
      <c r="F18" s="488"/>
      <c r="G18" s="488"/>
      <c r="H18" s="488"/>
      <c r="I18" s="488"/>
      <c r="J18" s="488"/>
      <c r="K18" s="488"/>
      <c r="L18" s="488"/>
      <c r="M18" s="488"/>
      <c r="N18" s="488"/>
      <c r="O18" s="488"/>
      <c r="P18" s="489"/>
      <c r="Q18" s="500"/>
      <c r="R18" s="629"/>
      <c r="S18" s="629"/>
      <c r="T18" s="629"/>
      <c r="U18" s="629"/>
      <c r="V18" s="629"/>
      <c r="W18" s="629"/>
      <c r="X18" s="629"/>
      <c r="Y18" s="629"/>
      <c r="Z18" s="629"/>
      <c r="AA18" s="629"/>
      <c r="AB18" s="629"/>
      <c r="AC18" s="629"/>
      <c r="AD18" s="629"/>
      <c r="AE18" s="629"/>
      <c r="AF18" s="629"/>
      <c r="AG18" s="629"/>
      <c r="AH18" s="629"/>
      <c r="AI18" s="629"/>
      <c r="AJ18" s="629"/>
      <c r="AK18" s="629"/>
      <c r="AL18" s="629"/>
      <c r="AM18" s="629"/>
      <c r="AN18" s="629"/>
      <c r="AO18" s="629"/>
      <c r="AP18" s="629"/>
      <c r="AQ18" s="629"/>
      <c r="AR18" s="629"/>
      <c r="AS18" s="629"/>
      <c r="AT18" s="629"/>
      <c r="AU18" s="629"/>
      <c r="AV18" s="629"/>
      <c r="AW18" s="629"/>
      <c r="AX18" s="629"/>
      <c r="AY18" s="629"/>
      <c r="AZ18" s="629"/>
      <c r="BA18" s="629"/>
      <c r="BB18" s="629"/>
      <c r="BC18" s="630"/>
      <c r="BD18" s="482"/>
      <c r="BE18" s="483"/>
      <c r="BF18" s="483"/>
      <c r="BG18" s="483"/>
      <c r="BH18" s="483"/>
      <c r="BI18" s="483"/>
      <c r="BJ18" s="499"/>
    </row>
    <row r="19" spans="1:62" ht="30" customHeight="1">
      <c r="A19" s="616"/>
      <c r="B19" s="588"/>
      <c r="C19" s="589"/>
      <c r="D19" s="487"/>
      <c r="E19" s="488"/>
      <c r="F19" s="488"/>
      <c r="G19" s="488"/>
      <c r="H19" s="488"/>
      <c r="I19" s="488"/>
      <c r="J19" s="488"/>
      <c r="K19" s="488"/>
      <c r="L19" s="488"/>
      <c r="M19" s="488"/>
      <c r="N19" s="488"/>
      <c r="O19" s="488"/>
      <c r="P19" s="489"/>
      <c r="Q19" s="500"/>
      <c r="R19" s="629"/>
      <c r="S19" s="629"/>
      <c r="T19" s="629"/>
      <c r="U19" s="629"/>
      <c r="V19" s="629"/>
      <c r="W19" s="629"/>
      <c r="X19" s="629"/>
      <c r="Y19" s="629"/>
      <c r="Z19" s="629"/>
      <c r="AA19" s="629"/>
      <c r="AB19" s="629"/>
      <c r="AC19" s="629"/>
      <c r="AD19" s="629"/>
      <c r="AE19" s="629"/>
      <c r="AF19" s="629"/>
      <c r="AG19" s="629"/>
      <c r="AH19" s="629"/>
      <c r="AI19" s="629"/>
      <c r="AJ19" s="629"/>
      <c r="AK19" s="629"/>
      <c r="AL19" s="629"/>
      <c r="AM19" s="629"/>
      <c r="AN19" s="629"/>
      <c r="AO19" s="629"/>
      <c r="AP19" s="629"/>
      <c r="AQ19" s="629"/>
      <c r="AR19" s="629"/>
      <c r="AS19" s="629"/>
      <c r="AT19" s="629"/>
      <c r="AU19" s="629"/>
      <c r="AV19" s="629"/>
      <c r="AW19" s="629"/>
      <c r="AX19" s="629"/>
      <c r="AY19" s="629"/>
      <c r="AZ19" s="629"/>
      <c r="BA19" s="629"/>
      <c r="BB19" s="629"/>
      <c r="BC19" s="630"/>
      <c r="BD19" s="482"/>
      <c r="BE19" s="483"/>
      <c r="BF19" s="483"/>
      <c r="BG19" s="483"/>
      <c r="BH19" s="483"/>
      <c r="BI19" s="483"/>
      <c r="BJ19" s="499"/>
    </row>
    <row r="20" spans="1:62" ht="30" customHeight="1">
      <c r="A20" s="616"/>
      <c r="B20" s="588"/>
      <c r="C20" s="589"/>
      <c r="D20" s="487"/>
      <c r="E20" s="488"/>
      <c r="F20" s="488"/>
      <c r="G20" s="488"/>
      <c r="H20" s="488"/>
      <c r="I20" s="488"/>
      <c r="J20" s="488"/>
      <c r="K20" s="488"/>
      <c r="L20" s="488"/>
      <c r="M20" s="488"/>
      <c r="N20" s="488"/>
      <c r="O20" s="488"/>
      <c r="P20" s="489"/>
      <c r="Q20" s="500"/>
      <c r="R20" s="629"/>
      <c r="S20" s="629"/>
      <c r="T20" s="629"/>
      <c r="U20" s="629"/>
      <c r="V20" s="629"/>
      <c r="W20" s="629"/>
      <c r="X20" s="629"/>
      <c r="Y20" s="629"/>
      <c r="Z20" s="629"/>
      <c r="AA20" s="629"/>
      <c r="AB20" s="629"/>
      <c r="AC20" s="629"/>
      <c r="AD20" s="629"/>
      <c r="AE20" s="629"/>
      <c r="AF20" s="629"/>
      <c r="AG20" s="629"/>
      <c r="AH20" s="629"/>
      <c r="AI20" s="629"/>
      <c r="AJ20" s="629"/>
      <c r="AK20" s="629"/>
      <c r="AL20" s="629"/>
      <c r="AM20" s="629"/>
      <c r="AN20" s="629"/>
      <c r="AO20" s="629"/>
      <c r="AP20" s="629"/>
      <c r="AQ20" s="629"/>
      <c r="AR20" s="629"/>
      <c r="AS20" s="629"/>
      <c r="AT20" s="629"/>
      <c r="AU20" s="629"/>
      <c r="AV20" s="629"/>
      <c r="AW20" s="629"/>
      <c r="AX20" s="629"/>
      <c r="AY20" s="629"/>
      <c r="AZ20" s="629"/>
      <c r="BA20" s="629"/>
      <c r="BB20" s="629"/>
      <c r="BC20" s="630"/>
      <c r="BD20" s="482"/>
      <c r="BE20" s="483"/>
      <c r="BF20" s="483"/>
      <c r="BG20" s="483"/>
      <c r="BH20" s="483"/>
      <c r="BI20" s="483"/>
      <c r="BJ20" s="499"/>
    </row>
    <row r="21" spans="1:62" ht="30" customHeight="1">
      <c r="A21" s="616"/>
      <c r="B21" s="588"/>
      <c r="C21" s="589"/>
      <c r="D21" s="487"/>
      <c r="E21" s="488"/>
      <c r="F21" s="488"/>
      <c r="G21" s="488"/>
      <c r="H21" s="488"/>
      <c r="I21" s="488"/>
      <c r="J21" s="488"/>
      <c r="K21" s="488"/>
      <c r="L21" s="488"/>
      <c r="M21" s="488"/>
      <c r="N21" s="488"/>
      <c r="O21" s="488"/>
      <c r="P21" s="489"/>
      <c r="Q21" s="500"/>
      <c r="R21" s="629"/>
      <c r="S21" s="629"/>
      <c r="T21" s="629"/>
      <c r="U21" s="629"/>
      <c r="V21" s="629"/>
      <c r="W21" s="629"/>
      <c r="X21" s="629"/>
      <c r="Y21" s="629"/>
      <c r="Z21" s="629"/>
      <c r="AA21" s="629"/>
      <c r="AB21" s="629"/>
      <c r="AC21" s="629"/>
      <c r="AD21" s="629"/>
      <c r="AE21" s="629"/>
      <c r="AF21" s="629"/>
      <c r="AG21" s="629"/>
      <c r="AH21" s="629"/>
      <c r="AI21" s="629"/>
      <c r="AJ21" s="629"/>
      <c r="AK21" s="629"/>
      <c r="AL21" s="629"/>
      <c r="AM21" s="629"/>
      <c r="AN21" s="629"/>
      <c r="AO21" s="629"/>
      <c r="AP21" s="629"/>
      <c r="AQ21" s="629"/>
      <c r="AR21" s="629"/>
      <c r="AS21" s="629"/>
      <c r="AT21" s="629"/>
      <c r="AU21" s="629"/>
      <c r="AV21" s="629"/>
      <c r="AW21" s="629"/>
      <c r="AX21" s="629"/>
      <c r="AY21" s="629"/>
      <c r="AZ21" s="629"/>
      <c r="BA21" s="629"/>
      <c r="BB21" s="629"/>
      <c r="BC21" s="630"/>
      <c r="BD21" s="482"/>
      <c r="BE21" s="483"/>
      <c r="BF21" s="483"/>
      <c r="BG21" s="483"/>
      <c r="BH21" s="483"/>
      <c r="BI21" s="483"/>
      <c r="BJ21" s="499"/>
    </row>
    <row r="22" spans="1:62" ht="30" customHeight="1">
      <c r="A22" s="616"/>
      <c r="B22" s="588"/>
      <c r="C22" s="589"/>
      <c r="D22" s="487"/>
      <c r="E22" s="488"/>
      <c r="F22" s="488"/>
      <c r="G22" s="488"/>
      <c r="H22" s="488"/>
      <c r="I22" s="488"/>
      <c r="J22" s="488"/>
      <c r="K22" s="488"/>
      <c r="L22" s="488"/>
      <c r="M22" s="488"/>
      <c r="N22" s="488"/>
      <c r="O22" s="488"/>
      <c r="P22" s="489"/>
      <c r="Q22" s="500"/>
      <c r="R22" s="629"/>
      <c r="S22" s="629"/>
      <c r="T22" s="629"/>
      <c r="U22" s="629"/>
      <c r="V22" s="629"/>
      <c r="W22" s="629"/>
      <c r="X22" s="629"/>
      <c r="Y22" s="629"/>
      <c r="Z22" s="629"/>
      <c r="AA22" s="629"/>
      <c r="AB22" s="629"/>
      <c r="AC22" s="629"/>
      <c r="AD22" s="629"/>
      <c r="AE22" s="629"/>
      <c r="AF22" s="629"/>
      <c r="AG22" s="629"/>
      <c r="AH22" s="629"/>
      <c r="AI22" s="629"/>
      <c r="AJ22" s="629"/>
      <c r="AK22" s="629"/>
      <c r="AL22" s="629"/>
      <c r="AM22" s="629"/>
      <c r="AN22" s="629"/>
      <c r="AO22" s="629"/>
      <c r="AP22" s="629"/>
      <c r="AQ22" s="629"/>
      <c r="AR22" s="629"/>
      <c r="AS22" s="629"/>
      <c r="AT22" s="629"/>
      <c r="AU22" s="629"/>
      <c r="AV22" s="629"/>
      <c r="AW22" s="629"/>
      <c r="AX22" s="629"/>
      <c r="AY22" s="629"/>
      <c r="AZ22" s="629"/>
      <c r="BA22" s="629"/>
      <c r="BB22" s="629"/>
      <c r="BC22" s="630"/>
      <c r="BD22" s="482"/>
      <c r="BE22" s="483"/>
      <c r="BF22" s="483"/>
      <c r="BG22" s="483"/>
      <c r="BH22" s="483"/>
      <c r="BI22" s="483"/>
      <c r="BJ22" s="499"/>
    </row>
    <row r="23" spans="1:62" ht="30" customHeight="1">
      <c r="A23" s="616"/>
      <c r="B23" s="588"/>
      <c r="C23" s="589"/>
      <c r="D23" s="487"/>
      <c r="E23" s="488"/>
      <c r="F23" s="488"/>
      <c r="G23" s="488"/>
      <c r="H23" s="488"/>
      <c r="I23" s="488"/>
      <c r="J23" s="488"/>
      <c r="K23" s="488"/>
      <c r="L23" s="488"/>
      <c r="M23" s="488"/>
      <c r="N23" s="488"/>
      <c r="O23" s="488"/>
      <c r="P23" s="489"/>
      <c r="Q23" s="500"/>
      <c r="R23" s="629"/>
      <c r="S23" s="629"/>
      <c r="T23" s="629"/>
      <c r="U23" s="629"/>
      <c r="V23" s="629"/>
      <c r="W23" s="629"/>
      <c r="X23" s="629"/>
      <c r="Y23" s="629"/>
      <c r="Z23" s="629"/>
      <c r="AA23" s="629"/>
      <c r="AB23" s="629"/>
      <c r="AC23" s="629"/>
      <c r="AD23" s="629"/>
      <c r="AE23" s="629"/>
      <c r="AF23" s="629"/>
      <c r="AG23" s="629"/>
      <c r="AH23" s="629"/>
      <c r="AI23" s="629"/>
      <c r="AJ23" s="629"/>
      <c r="AK23" s="629"/>
      <c r="AL23" s="629"/>
      <c r="AM23" s="629"/>
      <c r="AN23" s="629"/>
      <c r="AO23" s="629"/>
      <c r="AP23" s="629"/>
      <c r="AQ23" s="629"/>
      <c r="AR23" s="629"/>
      <c r="AS23" s="629"/>
      <c r="AT23" s="629"/>
      <c r="AU23" s="629"/>
      <c r="AV23" s="629"/>
      <c r="AW23" s="629"/>
      <c r="AX23" s="629"/>
      <c r="AY23" s="629"/>
      <c r="AZ23" s="629"/>
      <c r="BA23" s="629"/>
      <c r="BB23" s="629"/>
      <c r="BC23" s="630"/>
      <c r="BD23" s="482"/>
      <c r="BE23" s="483"/>
      <c r="BF23" s="483"/>
      <c r="BG23" s="483"/>
      <c r="BH23" s="483"/>
      <c r="BI23" s="483"/>
      <c r="BJ23" s="499"/>
    </row>
    <row r="24" spans="1:62" ht="30" customHeight="1">
      <c r="A24" s="616"/>
      <c r="B24" s="588"/>
      <c r="C24" s="589"/>
      <c r="D24" s="487"/>
      <c r="E24" s="488"/>
      <c r="F24" s="488"/>
      <c r="G24" s="488"/>
      <c r="H24" s="488"/>
      <c r="I24" s="488"/>
      <c r="J24" s="488"/>
      <c r="K24" s="488"/>
      <c r="L24" s="488"/>
      <c r="M24" s="488"/>
      <c r="N24" s="488"/>
      <c r="O24" s="488"/>
      <c r="P24" s="489"/>
      <c r="Q24" s="500"/>
      <c r="R24" s="629"/>
      <c r="S24" s="629"/>
      <c r="T24" s="629"/>
      <c r="U24" s="629"/>
      <c r="V24" s="629"/>
      <c r="W24" s="629"/>
      <c r="X24" s="629"/>
      <c r="Y24" s="629"/>
      <c r="Z24" s="629"/>
      <c r="AA24" s="629"/>
      <c r="AB24" s="629"/>
      <c r="AC24" s="629"/>
      <c r="AD24" s="629"/>
      <c r="AE24" s="629"/>
      <c r="AF24" s="629"/>
      <c r="AG24" s="629"/>
      <c r="AH24" s="629"/>
      <c r="AI24" s="629"/>
      <c r="AJ24" s="629"/>
      <c r="AK24" s="629"/>
      <c r="AL24" s="629"/>
      <c r="AM24" s="629"/>
      <c r="AN24" s="629"/>
      <c r="AO24" s="629"/>
      <c r="AP24" s="629"/>
      <c r="AQ24" s="629"/>
      <c r="AR24" s="629"/>
      <c r="AS24" s="629"/>
      <c r="AT24" s="629"/>
      <c r="AU24" s="629"/>
      <c r="AV24" s="629"/>
      <c r="AW24" s="629"/>
      <c r="AX24" s="629"/>
      <c r="AY24" s="629"/>
      <c r="AZ24" s="629"/>
      <c r="BA24" s="629"/>
      <c r="BB24" s="629"/>
      <c r="BC24" s="630"/>
      <c r="BD24" s="482"/>
      <c r="BE24" s="483"/>
      <c r="BF24" s="483"/>
      <c r="BG24" s="483"/>
      <c r="BH24" s="483"/>
      <c r="BI24" s="483"/>
      <c r="BJ24" s="499"/>
    </row>
    <row r="25" spans="1:62" ht="30" customHeight="1">
      <c r="A25" s="616"/>
      <c r="B25" s="588"/>
      <c r="C25" s="589"/>
      <c r="D25" s="487"/>
      <c r="E25" s="488"/>
      <c r="F25" s="488"/>
      <c r="G25" s="488"/>
      <c r="H25" s="488"/>
      <c r="I25" s="488"/>
      <c r="J25" s="488"/>
      <c r="K25" s="488"/>
      <c r="L25" s="488"/>
      <c r="M25" s="488"/>
      <c r="N25" s="488"/>
      <c r="O25" s="488"/>
      <c r="P25" s="489"/>
      <c r="Q25" s="500"/>
      <c r="R25" s="629"/>
      <c r="S25" s="629"/>
      <c r="T25" s="629"/>
      <c r="U25" s="629"/>
      <c r="V25" s="629"/>
      <c r="W25" s="629"/>
      <c r="X25" s="629"/>
      <c r="Y25" s="629"/>
      <c r="Z25" s="629"/>
      <c r="AA25" s="629"/>
      <c r="AB25" s="629"/>
      <c r="AC25" s="629"/>
      <c r="AD25" s="629"/>
      <c r="AE25" s="629"/>
      <c r="AF25" s="629"/>
      <c r="AG25" s="629"/>
      <c r="AH25" s="629"/>
      <c r="AI25" s="629"/>
      <c r="AJ25" s="629"/>
      <c r="AK25" s="629"/>
      <c r="AL25" s="629"/>
      <c r="AM25" s="629"/>
      <c r="AN25" s="629"/>
      <c r="AO25" s="629"/>
      <c r="AP25" s="629"/>
      <c r="AQ25" s="629"/>
      <c r="AR25" s="629"/>
      <c r="AS25" s="629"/>
      <c r="AT25" s="629"/>
      <c r="AU25" s="629"/>
      <c r="AV25" s="629"/>
      <c r="AW25" s="629"/>
      <c r="AX25" s="629"/>
      <c r="AY25" s="629"/>
      <c r="AZ25" s="629"/>
      <c r="BA25" s="629"/>
      <c r="BB25" s="629"/>
      <c r="BC25" s="630"/>
      <c r="BD25" s="482"/>
      <c r="BE25" s="483"/>
      <c r="BF25" s="483"/>
      <c r="BG25" s="483"/>
      <c r="BH25" s="483"/>
      <c r="BI25" s="483"/>
      <c r="BJ25" s="499"/>
    </row>
    <row r="26" spans="1:62" ht="30" customHeight="1">
      <c r="A26" s="616"/>
      <c r="B26" s="588"/>
      <c r="C26" s="589"/>
      <c r="D26" s="487"/>
      <c r="E26" s="488"/>
      <c r="F26" s="488"/>
      <c r="G26" s="488"/>
      <c r="H26" s="488"/>
      <c r="I26" s="488"/>
      <c r="J26" s="488"/>
      <c r="K26" s="488"/>
      <c r="L26" s="488"/>
      <c r="M26" s="488"/>
      <c r="N26" s="488"/>
      <c r="O26" s="488"/>
      <c r="P26" s="489"/>
      <c r="Q26" s="500"/>
      <c r="R26" s="629"/>
      <c r="S26" s="629"/>
      <c r="T26" s="629"/>
      <c r="U26" s="629"/>
      <c r="V26" s="629"/>
      <c r="W26" s="629"/>
      <c r="X26" s="629"/>
      <c r="Y26" s="629"/>
      <c r="Z26" s="629"/>
      <c r="AA26" s="629"/>
      <c r="AB26" s="629"/>
      <c r="AC26" s="629"/>
      <c r="AD26" s="629"/>
      <c r="AE26" s="629"/>
      <c r="AF26" s="629"/>
      <c r="AG26" s="629"/>
      <c r="AH26" s="629"/>
      <c r="AI26" s="629"/>
      <c r="AJ26" s="629"/>
      <c r="AK26" s="629"/>
      <c r="AL26" s="629"/>
      <c r="AM26" s="629"/>
      <c r="AN26" s="629"/>
      <c r="AO26" s="629"/>
      <c r="AP26" s="629"/>
      <c r="AQ26" s="629"/>
      <c r="AR26" s="629"/>
      <c r="AS26" s="629"/>
      <c r="AT26" s="629"/>
      <c r="AU26" s="629"/>
      <c r="AV26" s="629"/>
      <c r="AW26" s="629"/>
      <c r="AX26" s="629"/>
      <c r="AY26" s="629"/>
      <c r="AZ26" s="629"/>
      <c r="BA26" s="629"/>
      <c r="BB26" s="629"/>
      <c r="BC26" s="630"/>
      <c r="BD26" s="482"/>
      <c r="BE26" s="483"/>
      <c r="BF26" s="483"/>
      <c r="BG26" s="483"/>
      <c r="BH26" s="483"/>
      <c r="BI26" s="483"/>
      <c r="BJ26" s="499"/>
    </row>
    <row r="27" spans="1:62" ht="30" customHeight="1">
      <c r="A27" s="616"/>
      <c r="B27" s="588"/>
      <c r="C27" s="589"/>
      <c r="D27" s="487"/>
      <c r="E27" s="488"/>
      <c r="F27" s="488"/>
      <c r="G27" s="488"/>
      <c r="H27" s="488"/>
      <c r="I27" s="488"/>
      <c r="J27" s="488"/>
      <c r="K27" s="488"/>
      <c r="L27" s="488"/>
      <c r="M27" s="488"/>
      <c r="N27" s="488"/>
      <c r="O27" s="488"/>
      <c r="P27" s="489"/>
      <c r="Q27" s="500"/>
      <c r="R27" s="629"/>
      <c r="S27" s="629"/>
      <c r="T27" s="629"/>
      <c r="U27" s="629"/>
      <c r="V27" s="629"/>
      <c r="W27" s="629"/>
      <c r="X27" s="629"/>
      <c r="Y27" s="629"/>
      <c r="Z27" s="629"/>
      <c r="AA27" s="629"/>
      <c r="AB27" s="629"/>
      <c r="AC27" s="629"/>
      <c r="AD27" s="629"/>
      <c r="AE27" s="629"/>
      <c r="AF27" s="629"/>
      <c r="AG27" s="629"/>
      <c r="AH27" s="629"/>
      <c r="AI27" s="629"/>
      <c r="AJ27" s="629"/>
      <c r="AK27" s="629"/>
      <c r="AL27" s="629"/>
      <c r="AM27" s="629"/>
      <c r="AN27" s="629"/>
      <c r="AO27" s="629"/>
      <c r="AP27" s="629"/>
      <c r="AQ27" s="629"/>
      <c r="AR27" s="629"/>
      <c r="AS27" s="629"/>
      <c r="AT27" s="629"/>
      <c r="AU27" s="629"/>
      <c r="AV27" s="629"/>
      <c r="AW27" s="629"/>
      <c r="AX27" s="629"/>
      <c r="AY27" s="629"/>
      <c r="AZ27" s="629"/>
      <c r="BA27" s="629"/>
      <c r="BB27" s="629"/>
      <c r="BC27" s="630"/>
      <c r="BD27" s="482"/>
      <c r="BE27" s="483"/>
      <c r="BF27" s="483"/>
      <c r="BG27" s="483"/>
      <c r="BH27" s="483"/>
      <c r="BI27" s="483"/>
      <c r="BJ27" s="499"/>
    </row>
    <row r="28" spans="1:62" ht="30" customHeight="1">
      <c r="A28" s="616"/>
      <c r="B28" s="588"/>
      <c r="C28" s="589"/>
      <c r="D28" s="487"/>
      <c r="E28" s="488"/>
      <c r="F28" s="488"/>
      <c r="G28" s="488"/>
      <c r="H28" s="488"/>
      <c r="I28" s="488"/>
      <c r="J28" s="488"/>
      <c r="K28" s="488"/>
      <c r="L28" s="488"/>
      <c r="M28" s="488"/>
      <c r="N28" s="488"/>
      <c r="O28" s="488"/>
      <c r="P28" s="489"/>
      <c r="Q28" s="500"/>
      <c r="R28" s="629"/>
      <c r="S28" s="629"/>
      <c r="T28" s="629"/>
      <c r="U28" s="629"/>
      <c r="V28" s="629"/>
      <c r="W28" s="629"/>
      <c r="X28" s="629"/>
      <c r="Y28" s="629"/>
      <c r="Z28" s="629"/>
      <c r="AA28" s="629"/>
      <c r="AB28" s="629"/>
      <c r="AC28" s="629"/>
      <c r="AD28" s="629"/>
      <c r="AE28" s="629"/>
      <c r="AF28" s="629"/>
      <c r="AG28" s="629"/>
      <c r="AH28" s="629"/>
      <c r="AI28" s="629"/>
      <c r="AJ28" s="629"/>
      <c r="AK28" s="629"/>
      <c r="AL28" s="629"/>
      <c r="AM28" s="629"/>
      <c r="AN28" s="629"/>
      <c r="AO28" s="629"/>
      <c r="AP28" s="629"/>
      <c r="AQ28" s="629"/>
      <c r="AR28" s="629"/>
      <c r="AS28" s="629"/>
      <c r="AT28" s="629"/>
      <c r="AU28" s="629"/>
      <c r="AV28" s="629"/>
      <c r="AW28" s="629"/>
      <c r="AX28" s="629"/>
      <c r="AY28" s="629"/>
      <c r="AZ28" s="629"/>
      <c r="BA28" s="629"/>
      <c r="BB28" s="629"/>
      <c r="BC28" s="630"/>
      <c r="BD28" s="482"/>
      <c r="BE28" s="483"/>
      <c r="BF28" s="483"/>
      <c r="BG28" s="483"/>
      <c r="BH28" s="483"/>
      <c r="BI28" s="483"/>
      <c r="BJ28" s="499"/>
    </row>
    <row r="29" spans="1:62" ht="30" customHeight="1">
      <c r="A29" s="616"/>
      <c r="B29" s="588"/>
      <c r="C29" s="589"/>
      <c r="D29" s="487"/>
      <c r="E29" s="488"/>
      <c r="F29" s="488"/>
      <c r="G29" s="488"/>
      <c r="H29" s="488"/>
      <c r="I29" s="488"/>
      <c r="J29" s="488"/>
      <c r="K29" s="488"/>
      <c r="L29" s="488"/>
      <c r="M29" s="488"/>
      <c r="N29" s="488"/>
      <c r="O29" s="488"/>
      <c r="P29" s="489"/>
      <c r="Q29" s="500"/>
      <c r="R29" s="629"/>
      <c r="S29" s="629"/>
      <c r="T29" s="629"/>
      <c r="U29" s="629"/>
      <c r="V29" s="629"/>
      <c r="W29" s="629"/>
      <c r="X29" s="629"/>
      <c r="Y29" s="629"/>
      <c r="Z29" s="629"/>
      <c r="AA29" s="629"/>
      <c r="AB29" s="629"/>
      <c r="AC29" s="629"/>
      <c r="AD29" s="629"/>
      <c r="AE29" s="629"/>
      <c r="AF29" s="629"/>
      <c r="AG29" s="629"/>
      <c r="AH29" s="629"/>
      <c r="AI29" s="629"/>
      <c r="AJ29" s="629"/>
      <c r="AK29" s="629"/>
      <c r="AL29" s="629"/>
      <c r="AM29" s="629"/>
      <c r="AN29" s="629"/>
      <c r="AO29" s="629"/>
      <c r="AP29" s="629"/>
      <c r="AQ29" s="629"/>
      <c r="AR29" s="629"/>
      <c r="AS29" s="629"/>
      <c r="AT29" s="629"/>
      <c r="AU29" s="629"/>
      <c r="AV29" s="629"/>
      <c r="AW29" s="629"/>
      <c r="AX29" s="629"/>
      <c r="AY29" s="629"/>
      <c r="AZ29" s="629"/>
      <c r="BA29" s="629"/>
      <c r="BB29" s="629"/>
      <c r="BC29" s="630"/>
      <c r="BD29" s="482"/>
      <c r="BE29" s="483"/>
      <c r="BF29" s="483"/>
      <c r="BG29" s="483"/>
      <c r="BH29" s="483"/>
      <c r="BI29" s="483"/>
      <c r="BJ29" s="499"/>
    </row>
    <row r="30" spans="1:62" ht="30" customHeight="1">
      <c r="A30" s="616"/>
      <c r="B30" s="588"/>
      <c r="C30" s="589"/>
      <c r="D30" s="487"/>
      <c r="E30" s="488"/>
      <c r="F30" s="488"/>
      <c r="G30" s="488"/>
      <c r="H30" s="488"/>
      <c r="I30" s="488"/>
      <c r="J30" s="488"/>
      <c r="K30" s="488"/>
      <c r="L30" s="488"/>
      <c r="M30" s="488"/>
      <c r="N30" s="488"/>
      <c r="O30" s="488"/>
      <c r="P30" s="489"/>
      <c r="Q30" s="500"/>
      <c r="R30" s="629"/>
      <c r="S30" s="629"/>
      <c r="T30" s="629"/>
      <c r="U30" s="629"/>
      <c r="V30" s="629"/>
      <c r="W30" s="629"/>
      <c r="X30" s="629"/>
      <c r="Y30" s="629"/>
      <c r="Z30" s="629"/>
      <c r="AA30" s="629"/>
      <c r="AB30" s="629"/>
      <c r="AC30" s="629"/>
      <c r="AD30" s="629"/>
      <c r="AE30" s="629"/>
      <c r="AF30" s="629"/>
      <c r="AG30" s="629"/>
      <c r="AH30" s="629"/>
      <c r="AI30" s="629"/>
      <c r="AJ30" s="629"/>
      <c r="AK30" s="629"/>
      <c r="AL30" s="629"/>
      <c r="AM30" s="629"/>
      <c r="AN30" s="629"/>
      <c r="AO30" s="629"/>
      <c r="AP30" s="629"/>
      <c r="AQ30" s="629"/>
      <c r="AR30" s="629"/>
      <c r="AS30" s="629"/>
      <c r="AT30" s="629"/>
      <c r="AU30" s="629"/>
      <c r="AV30" s="629"/>
      <c r="AW30" s="629"/>
      <c r="AX30" s="629"/>
      <c r="AY30" s="629"/>
      <c r="AZ30" s="629"/>
      <c r="BA30" s="629"/>
      <c r="BB30" s="629"/>
      <c r="BC30" s="630"/>
      <c r="BD30" s="482"/>
      <c r="BE30" s="483"/>
      <c r="BF30" s="483"/>
      <c r="BG30" s="483"/>
      <c r="BH30" s="483"/>
      <c r="BI30" s="483"/>
      <c r="BJ30" s="499"/>
    </row>
    <row r="31" spans="1:62" ht="30" customHeight="1">
      <c r="A31" s="616"/>
      <c r="B31" s="588"/>
      <c r="C31" s="589"/>
      <c r="D31" s="487"/>
      <c r="E31" s="488"/>
      <c r="F31" s="488"/>
      <c r="G31" s="488"/>
      <c r="H31" s="488"/>
      <c r="I31" s="488"/>
      <c r="J31" s="488"/>
      <c r="K31" s="488"/>
      <c r="L31" s="488"/>
      <c r="M31" s="488"/>
      <c r="N31" s="488"/>
      <c r="O31" s="488"/>
      <c r="P31" s="489"/>
      <c r="Q31" s="500"/>
      <c r="R31" s="629"/>
      <c r="S31" s="629"/>
      <c r="T31" s="629"/>
      <c r="U31" s="629"/>
      <c r="V31" s="629"/>
      <c r="W31" s="629"/>
      <c r="X31" s="629"/>
      <c r="Y31" s="629"/>
      <c r="Z31" s="629"/>
      <c r="AA31" s="629"/>
      <c r="AB31" s="629"/>
      <c r="AC31" s="629"/>
      <c r="AD31" s="629"/>
      <c r="AE31" s="629"/>
      <c r="AF31" s="629"/>
      <c r="AG31" s="629"/>
      <c r="AH31" s="629"/>
      <c r="AI31" s="629"/>
      <c r="AJ31" s="629"/>
      <c r="AK31" s="629"/>
      <c r="AL31" s="629"/>
      <c r="AM31" s="629"/>
      <c r="AN31" s="629"/>
      <c r="AO31" s="629"/>
      <c r="AP31" s="629"/>
      <c r="AQ31" s="629"/>
      <c r="AR31" s="629"/>
      <c r="AS31" s="629"/>
      <c r="AT31" s="629"/>
      <c r="AU31" s="629"/>
      <c r="AV31" s="629"/>
      <c r="AW31" s="629"/>
      <c r="AX31" s="629"/>
      <c r="AY31" s="629"/>
      <c r="AZ31" s="629"/>
      <c r="BA31" s="629"/>
      <c r="BB31" s="629"/>
      <c r="BC31" s="630"/>
      <c r="BD31" s="482"/>
      <c r="BE31" s="483"/>
      <c r="BF31" s="483"/>
      <c r="BG31" s="483"/>
      <c r="BH31" s="483"/>
      <c r="BI31" s="483"/>
      <c r="BJ31" s="499"/>
    </row>
    <row r="32" spans="1:62" ht="30" customHeight="1">
      <c r="A32" s="616"/>
      <c r="B32" s="588"/>
      <c r="C32" s="589"/>
      <c r="D32" s="487"/>
      <c r="E32" s="488"/>
      <c r="F32" s="488"/>
      <c r="G32" s="488"/>
      <c r="H32" s="488"/>
      <c r="I32" s="488"/>
      <c r="J32" s="488"/>
      <c r="K32" s="488"/>
      <c r="L32" s="488"/>
      <c r="M32" s="488"/>
      <c r="N32" s="488"/>
      <c r="O32" s="488"/>
      <c r="P32" s="489"/>
      <c r="Q32" s="500"/>
      <c r="R32" s="629"/>
      <c r="S32" s="629"/>
      <c r="T32" s="629"/>
      <c r="U32" s="629"/>
      <c r="V32" s="629"/>
      <c r="W32" s="629"/>
      <c r="X32" s="629"/>
      <c r="Y32" s="629"/>
      <c r="Z32" s="629"/>
      <c r="AA32" s="629"/>
      <c r="AB32" s="629"/>
      <c r="AC32" s="629"/>
      <c r="AD32" s="629"/>
      <c r="AE32" s="629"/>
      <c r="AF32" s="629"/>
      <c r="AG32" s="629"/>
      <c r="AH32" s="629"/>
      <c r="AI32" s="629"/>
      <c r="AJ32" s="629"/>
      <c r="AK32" s="629"/>
      <c r="AL32" s="629"/>
      <c r="AM32" s="629"/>
      <c r="AN32" s="629"/>
      <c r="AO32" s="629"/>
      <c r="AP32" s="629"/>
      <c r="AQ32" s="629"/>
      <c r="AR32" s="629"/>
      <c r="AS32" s="629"/>
      <c r="AT32" s="629"/>
      <c r="AU32" s="629"/>
      <c r="AV32" s="629"/>
      <c r="AW32" s="629"/>
      <c r="AX32" s="629"/>
      <c r="AY32" s="629"/>
      <c r="AZ32" s="629"/>
      <c r="BA32" s="629"/>
      <c r="BB32" s="629"/>
      <c r="BC32" s="630"/>
      <c r="BD32" s="482"/>
      <c r="BE32" s="483"/>
      <c r="BF32" s="483"/>
      <c r="BG32" s="483"/>
      <c r="BH32" s="483"/>
      <c r="BI32" s="483"/>
      <c r="BJ32" s="499"/>
    </row>
    <row r="33" spans="1:62" ht="30" customHeight="1">
      <c r="A33" s="616"/>
      <c r="B33" s="588"/>
      <c r="C33" s="589"/>
      <c r="D33" s="487"/>
      <c r="E33" s="488"/>
      <c r="F33" s="488"/>
      <c r="G33" s="488"/>
      <c r="H33" s="488"/>
      <c r="I33" s="488"/>
      <c r="J33" s="488"/>
      <c r="K33" s="488"/>
      <c r="L33" s="488"/>
      <c r="M33" s="488"/>
      <c r="N33" s="488"/>
      <c r="O33" s="488"/>
      <c r="P33" s="489"/>
      <c r="Q33" s="500"/>
      <c r="R33" s="629"/>
      <c r="S33" s="629"/>
      <c r="T33" s="629"/>
      <c r="U33" s="629"/>
      <c r="V33" s="629"/>
      <c r="W33" s="629"/>
      <c r="X33" s="629"/>
      <c r="Y33" s="629"/>
      <c r="Z33" s="629"/>
      <c r="AA33" s="629"/>
      <c r="AB33" s="629"/>
      <c r="AC33" s="629"/>
      <c r="AD33" s="629"/>
      <c r="AE33" s="629"/>
      <c r="AF33" s="629"/>
      <c r="AG33" s="629"/>
      <c r="AH33" s="629"/>
      <c r="AI33" s="629"/>
      <c r="AJ33" s="629"/>
      <c r="AK33" s="629"/>
      <c r="AL33" s="629"/>
      <c r="AM33" s="629"/>
      <c r="AN33" s="629"/>
      <c r="AO33" s="629"/>
      <c r="AP33" s="629"/>
      <c r="AQ33" s="629"/>
      <c r="AR33" s="629"/>
      <c r="AS33" s="629"/>
      <c r="AT33" s="629"/>
      <c r="AU33" s="629"/>
      <c r="AV33" s="629"/>
      <c r="AW33" s="629"/>
      <c r="AX33" s="629"/>
      <c r="AY33" s="629"/>
      <c r="AZ33" s="629"/>
      <c r="BA33" s="629"/>
      <c r="BB33" s="629"/>
      <c r="BC33" s="630"/>
      <c r="BD33" s="482"/>
      <c r="BE33" s="483"/>
      <c r="BF33" s="483"/>
      <c r="BG33" s="483"/>
      <c r="BH33" s="483"/>
      <c r="BI33" s="483"/>
      <c r="BJ33" s="499"/>
    </row>
    <row r="34" spans="1:62" ht="30" customHeight="1">
      <c r="A34" s="616"/>
      <c r="B34" s="588"/>
      <c r="C34" s="589"/>
      <c r="D34" s="487"/>
      <c r="E34" s="488"/>
      <c r="F34" s="488"/>
      <c r="G34" s="488"/>
      <c r="H34" s="488"/>
      <c r="I34" s="488"/>
      <c r="J34" s="488"/>
      <c r="K34" s="488"/>
      <c r="L34" s="488"/>
      <c r="M34" s="488"/>
      <c r="N34" s="488"/>
      <c r="O34" s="488"/>
      <c r="P34" s="489"/>
      <c r="Q34" s="500"/>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29"/>
      <c r="AT34" s="629"/>
      <c r="AU34" s="629"/>
      <c r="AV34" s="629"/>
      <c r="AW34" s="629"/>
      <c r="AX34" s="629"/>
      <c r="AY34" s="629"/>
      <c r="AZ34" s="629"/>
      <c r="BA34" s="629"/>
      <c r="BB34" s="629"/>
      <c r="BC34" s="630"/>
      <c r="BD34" s="482"/>
      <c r="BE34" s="483"/>
      <c r="BF34" s="483"/>
      <c r="BG34" s="483"/>
      <c r="BH34" s="483"/>
      <c r="BI34" s="483"/>
      <c r="BJ34" s="499"/>
    </row>
    <row r="35" spans="1:62" ht="30" customHeight="1">
      <c r="A35" s="616"/>
      <c r="B35" s="588"/>
      <c r="C35" s="589"/>
      <c r="D35" s="487"/>
      <c r="E35" s="488"/>
      <c r="F35" s="488"/>
      <c r="G35" s="488"/>
      <c r="H35" s="488"/>
      <c r="I35" s="488"/>
      <c r="J35" s="488"/>
      <c r="K35" s="488"/>
      <c r="L35" s="488"/>
      <c r="M35" s="488"/>
      <c r="N35" s="488"/>
      <c r="O35" s="488"/>
      <c r="P35" s="489"/>
      <c r="Q35" s="500"/>
      <c r="R35" s="629"/>
      <c r="S35" s="629"/>
      <c r="T35" s="629"/>
      <c r="U35" s="629"/>
      <c r="V35" s="629"/>
      <c r="W35" s="629"/>
      <c r="X35" s="629"/>
      <c r="Y35" s="629"/>
      <c r="Z35" s="629"/>
      <c r="AA35" s="629"/>
      <c r="AB35" s="629"/>
      <c r="AC35" s="629"/>
      <c r="AD35" s="629"/>
      <c r="AE35" s="629"/>
      <c r="AF35" s="629"/>
      <c r="AG35" s="629"/>
      <c r="AH35" s="629"/>
      <c r="AI35" s="629"/>
      <c r="AJ35" s="629"/>
      <c r="AK35" s="629"/>
      <c r="AL35" s="629"/>
      <c r="AM35" s="629"/>
      <c r="AN35" s="629"/>
      <c r="AO35" s="629"/>
      <c r="AP35" s="629"/>
      <c r="AQ35" s="629"/>
      <c r="AR35" s="629"/>
      <c r="AS35" s="629"/>
      <c r="AT35" s="629"/>
      <c r="AU35" s="629"/>
      <c r="AV35" s="629"/>
      <c r="AW35" s="629"/>
      <c r="AX35" s="629"/>
      <c r="AY35" s="629"/>
      <c r="AZ35" s="629"/>
      <c r="BA35" s="629"/>
      <c r="BB35" s="629"/>
      <c r="BC35" s="630"/>
      <c r="BD35" s="482"/>
      <c r="BE35" s="483"/>
      <c r="BF35" s="483"/>
      <c r="BG35" s="483"/>
      <c r="BH35" s="483"/>
      <c r="BI35" s="483"/>
      <c r="BJ35" s="499"/>
    </row>
    <row r="36" spans="1:62" ht="30" customHeight="1">
      <c r="A36" s="616"/>
      <c r="B36" s="588"/>
      <c r="C36" s="589"/>
      <c r="D36" s="487"/>
      <c r="E36" s="488"/>
      <c r="F36" s="488"/>
      <c r="G36" s="488"/>
      <c r="H36" s="488"/>
      <c r="I36" s="488"/>
      <c r="J36" s="488"/>
      <c r="K36" s="488"/>
      <c r="L36" s="488"/>
      <c r="M36" s="488"/>
      <c r="N36" s="488"/>
      <c r="O36" s="488"/>
      <c r="P36" s="489"/>
      <c r="Q36" s="500"/>
      <c r="R36" s="629"/>
      <c r="S36" s="629"/>
      <c r="T36" s="629"/>
      <c r="U36" s="629"/>
      <c r="V36" s="629"/>
      <c r="W36" s="629"/>
      <c r="X36" s="629"/>
      <c r="Y36" s="629"/>
      <c r="Z36" s="629"/>
      <c r="AA36" s="629"/>
      <c r="AB36" s="629"/>
      <c r="AC36" s="629"/>
      <c r="AD36" s="629"/>
      <c r="AE36" s="629"/>
      <c r="AF36" s="629"/>
      <c r="AG36" s="629"/>
      <c r="AH36" s="629"/>
      <c r="AI36" s="629"/>
      <c r="AJ36" s="629"/>
      <c r="AK36" s="629"/>
      <c r="AL36" s="629"/>
      <c r="AM36" s="629"/>
      <c r="AN36" s="629"/>
      <c r="AO36" s="629"/>
      <c r="AP36" s="629"/>
      <c r="AQ36" s="629"/>
      <c r="AR36" s="629"/>
      <c r="AS36" s="629"/>
      <c r="AT36" s="629"/>
      <c r="AU36" s="629"/>
      <c r="AV36" s="629"/>
      <c r="AW36" s="629"/>
      <c r="AX36" s="629"/>
      <c r="AY36" s="629"/>
      <c r="AZ36" s="629"/>
      <c r="BA36" s="629"/>
      <c r="BB36" s="629"/>
      <c r="BC36" s="630"/>
      <c r="BD36" s="482"/>
      <c r="BE36" s="483"/>
      <c r="BF36" s="483"/>
      <c r="BG36" s="483"/>
      <c r="BH36" s="483"/>
      <c r="BI36" s="483"/>
      <c r="BJ36" s="499"/>
    </row>
    <row r="37" spans="1:62" ht="30" customHeight="1">
      <c r="A37" s="616"/>
      <c r="B37" s="588"/>
      <c r="C37" s="589"/>
      <c r="D37" s="487"/>
      <c r="E37" s="488"/>
      <c r="F37" s="488"/>
      <c r="G37" s="488"/>
      <c r="H37" s="488"/>
      <c r="I37" s="488"/>
      <c r="J37" s="488"/>
      <c r="K37" s="488"/>
      <c r="L37" s="488"/>
      <c r="M37" s="488"/>
      <c r="N37" s="488"/>
      <c r="O37" s="488"/>
      <c r="P37" s="489"/>
      <c r="Q37" s="500"/>
      <c r="R37" s="629"/>
      <c r="S37" s="629"/>
      <c r="T37" s="629"/>
      <c r="U37" s="629"/>
      <c r="V37" s="629"/>
      <c r="W37" s="629"/>
      <c r="X37" s="629"/>
      <c r="Y37" s="629"/>
      <c r="Z37" s="629"/>
      <c r="AA37" s="629"/>
      <c r="AB37" s="629"/>
      <c r="AC37" s="629"/>
      <c r="AD37" s="629"/>
      <c r="AE37" s="629"/>
      <c r="AF37" s="629"/>
      <c r="AG37" s="629"/>
      <c r="AH37" s="629"/>
      <c r="AI37" s="629"/>
      <c r="AJ37" s="629"/>
      <c r="AK37" s="629"/>
      <c r="AL37" s="629"/>
      <c r="AM37" s="629"/>
      <c r="AN37" s="629"/>
      <c r="AO37" s="629"/>
      <c r="AP37" s="629"/>
      <c r="AQ37" s="629"/>
      <c r="AR37" s="629"/>
      <c r="AS37" s="629"/>
      <c r="AT37" s="629"/>
      <c r="AU37" s="629"/>
      <c r="AV37" s="629"/>
      <c r="AW37" s="629"/>
      <c r="AX37" s="629"/>
      <c r="AY37" s="629"/>
      <c r="AZ37" s="629"/>
      <c r="BA37" s="629"/>
      <c r="BB37" s="629"/>
      <c r="BC37" s="630"/>
      <c r="BD37" s="482"/>
      <c r="BE37" s="483"/>
      <c r="BF37" s="483"/>
      <c r="BG37" s="483"/>
      <c r="BH37" s="483"/>
      <c r="BI37" s="483"/>
      <c r="BJ37" s="499"/>
    </row>
    <row r="38" spans="1:62" ht="30" customHeight="1">
      <c r="A38" s="610"/>
      <c r="B38" s="611"/>
      <c r="C38" s="612"/>
      <c r="D38" s="613"/>
      <c r="E38" s="614"/>
      <c r="F38" s="614"/>
      <c r="G38" s="614"/>
      <c r="H38" s="614"/>
      <c r="I38" s="614"/>
      <c r="J38" s="614"/>
      <c r="K38" s="614"/>
      <c r="L38" s="614"/>
      <c r="M38" s="614"/>
      <c r="N38" s="614"/>
      <c r="O38" s="614"/>
      <c r="P38" s="615"/>
      <c r="Q38" s="626"/>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7"/>
      <c r="AX38" s="627"/>
      <c r="AY38" s="627"/>
      <c r="AZ38" s="627"/>
      <c r="BA38" s="627"/>
      <c r="BB38" s="627"/>
      <c r="BC38" s="628"/>
      <c r="BD38" s="563"/>
      <c r="BE38" s="564"/>
      <c r="BF38" s="564"/>
      <c r="BG38" s="564"/>
      <c r="BH38" s="564"/>
      <c r="BI38" s="564"/>
      <c r="BJ38" s="565"/>
    </row>
    <row r="39" spans="1:62" s="17" customFormat="1" ht="3" customHeight="1">
      <c r="B39" s="18"/>
      <c r="C39" s="18"/>
      <c r="D39" s="18"/>
      <c r="E39" s="18"/>
      <c r="F39" s="18"/>
      <c r="G39" s="18"/>
      <c r="H39" s="18"/>
      <c r="I39" s="18"/>
      <c r="J39" s="18"/>
      <c r="K39" s="18"/>
      <c r="L39" s="18"/>
      <c r="M39" s="18"/>
      <c r="N39" s="18"/>
      <c r="O39" s="18"/>
      <c r="P39" s="18"/>
      <c r="Q39" s="18"/>
    </row>
    <row r="40" spans="1:62" ht="21" customHeight="1">
      <c r="B40" s="16"/>
      <c r="C40" s="16"/>
      <c r="D40" s="16"/>
      <c r="E40" s="16"/>
      <c r="F40" s="16"/>
      <c r="G40" s="16"/>
      <c r="H40" s="16"/>
      <c r="I40" s="16"/>
      <c r="J40" s="16"/>
      <c r="K40" s="16"/>
      <c r="L40" s="16"/>
      <c r="M40" s="16"/>
      <c r="N40" s="16"/>
      <c r="O40" s="16"/>
      <c r="P40" s="16"/>
      <c r="Q40" s="16"/>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P9"/>
    <mergeCell ref="Q9:BC9"/>
    <mergeCell ref="BD9:BJ9"/>
    <mergeCell ref="A10:C10"/>
    <mergeCell ref="D10:P10"/>
    <mergeCell ref="Q10:BC10"/>
    <mergeCell ref="BD10:BJ10"/>
    <mergeCell ref="A12:C12"/>
    <mergeCell ref="A11:C11"/>
    <mergeCell ref="D11:P11"/>
    <mergeCell ref="Q11:BC11"/>
    <mergeCell ref="BD11:BJ11"/>
    <mergeCell ref="A15:C15"/>
    <mergeCell ref="D15:P15"/>
    <mergeCell ref="Q15:BC15"/>
    <mergeCell ref="BD15:BJ15"/>
    <mergeCell ref="A18:C18"/>
    <mergeCell ref="D18:P18"/>
    <mergeCell ref="Q18:BC18"/>
    <mergeCell ref="BD18:BJ18"/>
    <mergeCell ref="D12:P12"/>
    <mergeCell ref="Q12:BC12"/>
    <mergeCell ref="BD12:BJ12"/>
    <mergeCell ref="A14:C14"/>
    <mergeCell ref="D14:P14"/>
    <mergeCell ref="Q14:BC14"/>
    <mergeCell ref="BD14:BJ14"/>
    <mergeCell ref="A13:C13"/>
    <mergeCell ref="D13:P13"/>
    <mergeCell ref="Q13:BC13"/>
    <mergeCell ref="BD13:BJ13"/>
    <mergeCell ref="A19:C19"/>
    <mergeCell ref="D19:P19"/>
    <mergeCell ref="Q19:BC19"/>
    <mergeCell ref="BD19:BJ19"/>
    <mergeCell ref="A17:C17"/>
    <mergeCell ref="D17:P17"/>
    <mergeCell ref="Q17:BC17"/>
    <mergeCell ref="BD17:BJ17"/>
    <mergeCell ref="A16:C16"/>
    <mergeCell ref="D16:P16"/>
    <mergeCell ref="Q16:BC16"/>
    <mergeCell ref="BD16:BJ16"/>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7:C37"/>
    <mergeCell ref="D37:P37"/>
    <mergeCell ref="Q37:BC37"/>
    <mergeCell ref="BD37:BJ37"/>
    <mergeCell ref="A38:C38"/>
    <mergeCell ref="D38:P38"/>
    <mergeCell ref="Q38:BC38"/>
    <mergeCell ref="BD38:BJ38"/>
    <mergeCell ref="A36:C36"/>
    <mergeCell ref="D36:P36"/>
    <mergeCell ref="Q36:BC36"/>
    <mergeCell ref="BD36:BJ36"/>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D3FF-F4A6-4CE8-8F2E-84B75605B6D2}">
  <sheetPr codeName="Sheet5"/>
  <dimension ref="A1:FR341"/>
  <sheetViews>
    <sheetView view="pageBreakPreview" zoomScaleNormal="100" zoomScaleSheetLayoutView="100" workbookViewId="0"/>
  </sheetViews>
  <sheetFormatPr defaultColWidth="1.875" defaultRowHeight="11.25"/>
  <cols>
    <col min="1" max="85" width="1.875" style="50" customWidth="1"/>
    <col min="86" max="16384" width="1.875" style="50"/>
  </cols>
  <sheetData>
    <row r="1" spans="1:90" s="21" customFormat="1" ht="19.5" customHeight="1">
      <c r="A1" s="27" t="s">
        <v>16</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706"/>
      <c r="AU1" s="706"/>
      <c r="AV1" s="706"/>
      <c r="AW1" s="706"/>
      <c r="AX1" s="706"/>
      <c r="AY1" s="706"/>
      <c r="AZ1" s="706"/>
      <c r="BA1" s="706"/>
      <c r="BB1" s="706"/>
      <c r="BC1" s="706"/>
      <c r="BD1" s="706"/>
      <c r="BE1" s="706"/>
      <c r="BF1" s="706"/>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71" t="s">
        <v>27</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72"/>
      <c r="AX2" s="372"/>
      <c r="AY2" s="372"/>
      <c r="AZ2" s="372"/>
      <c r="BA2" s="372"/>
      <c r="BB2" s="372"/>
      <c r="BC2" s="372"/>
      <c r="BD2" s="372"/>
      <c r="BE2" s="372"/>
      <c r="BF2" s="372"/>
      <c r="BG2" s="372"/>
      <c r="BH2" s="372"/>
      <c r="BI2" s="372"/>
      <c r="BJ2" s="372"/>
      <c r="BK2" s="372"/>
      <c r="BL2" s="372"/>
      <c r="BM2" s="372"/>
      <c r="BN2" s="372"/>
      <c r="BO2" s="373"/>
      <c r="BP2" s="366" t="s">
        <v>3</v>
      </c>
      <c r="BQ2" s="367"/>
      <c r="BR2" s="367"/>
      <c r="BS2" s="367"/>
      <c r="BT2" s="367"/>
      <c r="BU2" s="368"/>
      <c r="BV2" s="112" t="s">
        <v>28</v>
      </c>
      <c r="BW2" s="113"/>
      <c r="BX2" s="111"/>
      <c r="BY2" s="112"/>
      <c r="BZ2" s="111"/>
      <c r="CA2" s="366" t="s">
        <v>5</v>
      </c>
      <c r="CB2" s="367"/>
      <c r="CC2" s="368"/>
      <c r="CD2" s="366"/>
      <c r="CE2" s="367"/>
      <c r="CF2" s="367"/>
      <c r="CG2" s="368"/>
      <c r="CH2" s="29"/>
      <c r="CI2" s="29"/>
      <c r="CJ2" s="29"/>
      <c r="CK2" s="29"/>
      <c r="CL2" s="29"/>
    </row>
    <row r="3" spans="1:90" s="21" customFormat="1" ht="19.5" customHeight="1">
      <c r="A3" s="366" t="s">
        <v>6</v>
      </c>
      <c r="B3" s="367"/>
      <c r="C3" s="367"/>
      <c r="D3" s="367"/>
      <c r="E3" s="367"/>
      <c r="F3" s="367"/>
      <c r="G3" s="367"/>
      <c r="H3" s="367"/>
      <c r="I3" s="367"/>
      <c r="J3" s="367"/>
      <c r="K3" s="368"/>
      <c r="L3" s="537" t="s">
        <v>302</v>
      </c>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6"/>
      <c r="AV3" s="546"/>
      <c r="AW3" s="546"/>
      <c r="AX3" s="546"/>
      <c r="AY3" s="546"/>
      <c r="AZ3" s="546"/>
      <c r="BA3" s="546"/>
      <c r="BB3" s="546"/>
      <c r="BC3" s="546"/>
      <c r="BD3" s="546"/>
      <c r="BE3" s="546"/>
      <c r="BF3" s="546"/>
      <c r="BG3" s="546"/>
      <c r="BH3" s="546"/>
      <c r="BI3" s="546"/>
      <c r="BJ3" s="546"/>
      <c r="BK3" s="546"/>
      <c r="BL3" s="546"/>
      <c r="BM3" s="546"/>
      <c r="BN3" s="546"/>
      <c r="BO3" s="547"/>
      <c r="BP3" s="366" t="s">
        <v>7</v>
      </c>
      <c r="BQ3" s="367"/>
      <c r="BR3" s="367"/>
      <c r="BS3" s="367"/>
      <c r="BT3" s="367"/>
      <c r="BU3" s="368"/>
      <c r="BV3" s="366" t="s">
        <v>297</v>
      </c>
      <c r="BW3" s="367"/>
      <c r="BX3" s="367"/>
      <c r="BY3" s="367"/>
      <c r="BZ3" s="367"/>
      <c r="CA3" s="367"/>
      <c r="CB3" s="367"/>
      <c r="CC3" s="367"/>
      <c r="CD3" s="367"/>
      <c r="CE3" s="367"/>
      <c r="CF3" s="367"/>
      <c r="CG3" s="368"/>
      <c r="CH3" s="27"/>
      <c r="CI3" s="27"/>
      <c r="CJ3" s="27"/>
      <c r="CK3" s="27"/>
      <c r="CL3" s="27"/>
    </row>
    <row r="4" spans="1:90" s="21" customFormat="1" ht="19.5" customHeight="1">
      <c r="A4" s="366" t="s">
        <v>8</v>
      </c>
      <c r="B4" s="367"/>
      <c r="C4" s="367"/>
      <c r="D4" s="367"/>
      <c r="E4" s="367"/>
      <c r="F4" s="367"/>
      <c r="G4" s="367"/>
      <c r="H4" s="367"/>
      <c r="I4" s="367"/>
      <c r="J4" s="367"/>
      <c r="K4" s="368"/>
      <c r="L4" s="537" t="s">
        <v>29</v>
      </c>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8"/>
      <c r="BH4" s="538"/>
      <c r="BI4" s="538"/>
      <c r="BJ4" s="538"/>
      <c r="BK4" s="538"/>
      <c r="BL4" s="538"/>
      <c r="BM4" s="538"/>
      <c r="BN4" s="538"/>
      <c r="BO4" s="539"/>
      <c r="BP4" s="366" t="s">
        <v>10</v>
      </c>
      <c r="BQ4" s="367"/>
      <c r="BR4" s="367"/>
      <c r="BS4" s="367"/>
      <c r="BT4" s="367"/>
      <c r="BU4" s="368"/>
      <c r="BV4" s="366"/>
      <c r="BW4" s="367"/>
      <c r="BX4" s="367"/>
      <c r="BY4" s="367"/>
      <c r="BZ4" s="367"/>
      <c r="CA4" s="367"/>
      <c r="CB4" s="367"/>
      <c r="CC4" s="367"/>
      <c r="CD4" s="367"/>
      <c r="CE4" s="367"/>
      <c r="CF4" s="367"/>
      <c r="CG4" s="368"/>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66" t="s">
        <v>30</v>
      </c>
      <c r="B7" s="367"/>
      <c r="C7" s="367"/>
      <c r="D7" s="367"/>
      <c r="E7" s="367"/>
      <c r="F7" s="367"/>
      <c r="G7" s="367"/>
      <c r="H7" s="367"/>
      <c r="I7" s="367"/>
      <c r="J7" s="367"/>
      <c r="K7" s="368"/>
      <c r="L7" s="537" t="str">
        <f>変更履歴!H6</f>
        <v>販売共計年産繰越入力</v>
      </c>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9"/>
      <c r="CH7" s="96"/>
    </row>
    <row r="8" spans="1:90" ht="9" customHeight="1"/>
    <row r="9" spans="1:90" ht="7.5" customHeight="1">
      <c r="A9" s="110"/>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8"/>
    </row>
    <row r="10" spans="1:90" ht="18" customHeight="1" thickBot="1">
      <c r="A10" s="107"/>
      <c r="B10" s="238" t="s">
        <v>289</v>
      </c>
      <c r="CG10" s="106"/>
    </row>
    <row r="11" spans="1:90" ht="14.25" customHeight="1">
      <c r="A11" s="107"/>
      <c r="B11" s="59"/>
      <c r="C11" s="60"/>
      <c r="D11" s="60"/>
      <c r="E11" s="60"/>
      <c r="F11" s="60"/>
      <c r="G11" s="60"/>
      <c r="H11" s="60"/>
      <c r="I11" s="60"/>
      <c r="J11" s="60"/>
      <c r="K11" s="60"/>
      <c r="L11" s="418" t="s">
        <v>31</v>
      </c>
      <c r="M11" s="419"/>
      <c r="N11" s="419"/>
      <c r="O11" s="419"/>
      <c r="P11" s="419"/>
      <c r="Q11" s="419"/>
      <c r="R11" s="419"/>
      <c r="S11" s="419"/>
      <c r="T11" s="419"/>
      <c r="U11" s="419"/>
      <c r="V11" s="419"/>
      <c r="W11" s="419"/>
      <c r="X11" s="419"/>
      <c r="Y11" s="419"/>
      <c r="Z11" s="419"/>
      <c r="AA11" s="419"/>
      <c r="AB11" s="419"/>
      <c r="AC11" s="419"/>
      <c r="AD11" s="419"/>
      <c r="AE11" s="419"/>
      <c r="AF11" s="419"/>
      <c r="AG11" s="419"/>
      <c r="AH11" s="419"/>
      <c r="AI11" s="419"/>
      <c r="AJ11" s="419"/>
      <c r="AK11" s="419"/>
      <c r="AL11" s="419"/>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19"/>
      <c r="BQ11" s="419"/>
      <c r="BR11" s="419"/>
      <c r="BS11" s="419"/>
      <c r="BT11" s="419"/>
      <c r="BU11" s="419"/>
      <c r="BV11" s="422" t="s">
        <v>32</v>
      </c>
      <c r="BW11" s="422"/>
      <c r="BX11" s="422"/>
      <c r="BY11" s="422"/>
      <c r="BZ11" s="422"/>
      <c r="CA11" s="422"/>
      <c r="CB11" s="422"/>
      <c r="CC11" s="422"/>
      <c r="CD11" s="422"/>
      <c r="CE11" s="422"/>
      <c r="CF11" s="423"/>
      <c r="CG11" s="106"/>
    </row>
    <row r="12" spans="1:90" ht="14.25" customHeight="1">
      <c r="A12" s="107"/>
      <c r="B12" s="61"/>
      <c r="C12" s="315"/>
      <c r="D12" s="315"/>
      <c r="E12" s="315"/>
      <c r="F12" s="315"/>
      <c r="G12" s="315"/>
      <c r="H12" s="315"/>
      <c r="I12" s="315"/>
      <c r="J12" s="315"/>
      <c r="K12" s="315"/>
      <c r="L12" s="420"/>
      <c r="M12" s="420"/>
      <c r="N12" s="420"/>
      <c r="O12" s="420"/>
      <c r="P12" s="420"/>
      <c r="Q12" s="420"/>
      <c r="R12" s="420"/>
      <c r="S12" s="420"/>
      <c r="T12" s="420"/>
      <c r="U12" s="420"/>
      <c r="V12" s="420"/>
      <c r="W12" s="420"/>
      <c r="X12" s="420"/>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c r="BK12" s="420"/>
      <c r="BL12" s="420"/>
      <c r="BM12" s="420"/>
      <c r="BN12" s="420"/>
      <c r="BO12" s="420"/>
      <c r="BP12" s="420"/>
      <c r="BQ12" s="420"/>
      <c r="BR12" s="420"/>
      <c r="BS12" s="420"/>
      <c r="BT12" s="420"/>
      <c r="BU12" s="420"/>
      <c r="BV12" s="424"/>
      <c r="BW12" s="424"/>
      <c r="BX12" s="424"/>
      <c r="BY12" s="424"/>
      <c r="BZ12" s="424"/>
      <c r="CA12" s="424"/>
      <c r="CB12" s="424"/>
      <c r="CC12" s="424"/>
      <c r="CD12" s="424"/>
      <c r="CE12" s="424"/>
      <c r="CF12" s="425"/>
      <c r="CG12" s="106"/>
    </row>
    <row r="13" spans="1:90" s="27" customFormat="1" ht="19.5" customHeight="1" thickBot="1">
      <c r="A13" s="35"/>
      <c r="B13" s="62"/>
      <c r="C13" s="63"/>
      <c r="D13" s="63"/>
      <c r="E13" s="63"/>
      <c r="F13" s="63"/>
      <c r="G13" s="63"/>
      <c r="H13" s="63"/>
      <c r="I13" s="63"/>
      <c r="J13" s="63"/>
      <c r="K13" s="63"/>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c r="BK13" s="421"/>
      <c r="BL13" s="421"/>
      <c r="BM13" s="421"/>
      <c r="BN13" s="421"/>
      <c r="BO13" s="421"/>
      <c r="BP13" s="421"/>
      <c r="BQ13" s="421"/>
      <c r="BR13" s="421"/>
      <c r="BS13" s="421"/>
      <c r="BT13" s="421"/>
      <c r="BU13" s="421"/>
      <c r="BV13" s="426"/>
      <c r="BW13" s="426"/>
      <c r="BX13" s="426"/>
      <c r="BY13" s="426"/>
      <c r="BZ13" s="426"/>
      <c r="CA13" s="426"/>
      <c r="CB13" s="426"/>
      <c r="CC13" s="426"/>
      <c r="CD13" s="426"/>
      <c r="CE13" s="426"/>
      <c r="CF13" s="427"/>
      <c r="CG13" s="101"/>
    </row>
    <row r="14" spans="1:90" s="27" customFormat="1" ht="19.5" customHeight="1" thickTop="1">
      <c r="A14" s="35"/>
      <c r="B14" s="70"/>
      <c r="C14" s="71"/>
      <c r="D14" s="91" t="s">
        <v>122</v>
      </c>
      <c r="E14" s="71"/>
      <c r="F14" s="71"/>
      <c r="G14" s="71"/>
      <c r="H14" s="71"/>
      <c r="I14" s="71"/>
      <c r="J14" s="71"/>
      <c r="K14" s="71"/>
      <c r="L14" s="64"/>
      <c r="M14" s="64"/>
      <c r="N14" s="119"/>
      <c r="O14" s="119"/>
      <c r="P14" s="119"/>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5"/>
      <c r="CG14" s="101"/>
    </row>
    <row r="15" spans="1:90" s="27" customFormat="1" ht="19.5" customHeight="1">
      <c r="A15" s="35"/>
      <c r="B15" s="72"/>
      <c r="C15" s="138"/>
      <c r="D15" s="428" t="s">
        <v>68</v>
      </c>
      <c r="E15" s="429"/>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138"/>
      <c r="CE15" s="138"/>
      <c r="CF15" s="66"/>
      <c r="CG15" s="101"/>
    </row>
    <row r="16" spans="1:90" s="27" customFormat="1" ht="21" customHeight="1">
      <c r="A16" s="35"/>
      <c r="B16" s="72"/>
      <c r="C16" s="138"/>
      <c r="D16" s="223"/>
      <c r="E16" s="223"/>
      <c r="F16" s="223"/>
      <c r="G16" s="223"/>
      <c r="H16" s="223"/>
      <c r="I16" s="223"/>
      <c r="J16" s="223"/>
      <c r="K16" s="223"/>
      <c r="L16" s="223"/>
      <c r="M16" s="223"/>
      <c r="N16" s="223"/>
      <c r="O16" s="223"/>
      <c r="P16" s="223"/>
      <c r="Q16" s="223"/>
      <c r="R16" s="223"/>
      <c r="S16" s="223"/>
      <c r="T16" s="223"/>
      <c r="U16" s="223"/>
      <c r="V16" s="223"/>
      <c r="W16" s="316"/>
      <c r="X16" s="316"/>
      <c r="Y16" s="316"/>
      <c r="Z16" s="316"/>
      <c r="AA16" s="316"/>
      <c r="AB16" s="316"/>
      <c r="AC16" s="316"/>
      <c r="AD16" s="316"/>
      <c r="AE16" s="316"/>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130"/>
      <c r="BZ16" s="223"/>
      <c r="CA16" s="223"/>
      <c r="CB16" s="130"/>
      <c r="CC16" s="223"/>
      <c r="CD16" s="138"/>
      <c r="CE16" s="138"/>
      <c r="CF16" s="66"/>
      <c r="CG16" s="101"/>
    </row>
    <row r="17" spans="1:174" s="27" customFormat="1" ht="19.5" customHeight="1">
      <c r="A17" s="35"/>
      <c r="B17" s="72"/>
      <c r="C17" s="159"/>
      <c r="D17" s="647" t="s">
        <v>60</v>
      </c>
      <c r="E17" s="648"/>
      <c r="F17" s="648"/>
      <c r="G17" s="648"/>
      <c r="H17" s="648"/>
      <c r="I17" s="648"/>
      <c r="J17" s="648"/>
      <c r="K17" s="648"/>
      <c r="L17" s="648"/>
      <c r="M17" s="648"/>
      <c r="N17" s="648"/>
      <c r="O17" s="648"/>
      <c r="P17" s="648"/>
      <c r="Q17" s="648"/>
      <c r="R17" s="648"/>
      <c r="S17" s="648"/>
      <c r="T17" s="648"/>
      <c r="U17" s="648"/>
      <c r="V17" s="648"/>
      <c r="W17" s="648"/>
      <c r="X17" s="648"/>
      <c r="Y17" s="648"/>
      <c r="Z17" s="648"/>
      <c r="AA17" s="648"/>
      <c r="AB17" s="648"/>
      <c r="AC17" s="648"/>
      <c r="AD17" s="648"/>
      <c r="AE17" s="648"/>
      <c r="AF17" s="648"/>
      <c r="AG17" s="648"/>
      <c r="AH17" s="648"/>
      <c r="AI17" s="648"/>
      <c r="AJ17" s="648"/>
      <c r="AK17" s="648"/>
      <c r="AL17" s="648"/>
      <c r="AM17" s="648"/>
      <c r="AN17" s="648"/>
      <c r="AO17" s="648"/>
      <c r="AP17" s="648"/>
      <c r="AQ17" s="648"/>
      <c r="AR17" s="648"/>
      <c r="AS17" s="648"/>
      <c r="AT17" s="648"/>
      <c r="AU17" s="648"/>
      <c r="AV17" s="648"/>
      <c r="AW17" s="648"/>
      <c r="AX17" s="648"/>
      <c r="AY17" s="648"/>
      <c r="AZ17" s="648"/>
      <c r="BA17" s="648"/>
      <c r="BB17" s="648"/>
      <c r="BC17" s="648"/>
      <c r="BD17" s="648"/>
      <c r="BE17" s="648"/>
      <c r="BF17" s="648"/>
      <c r="BG17" s="648"/>
      <c r="BH17" s="648"/>
      <c r="BI17" s="648"/>
      <c r="BJ17" s="648"/>
      <c r="BK17" s="648"/>
      <c r="BL17" s="648"/>
      <c r="BM17" s="648"/>
      <c r="BN17" s="648"/>
      <c r="BO17" s="648"/>
      <c r="BP17" s="648"/>
      <c r="BQ17" s="648"/>
      <c r="BR17" s="648"/>
      <c r="BS17" s="648"/>
      <c r="BT17" s="648"/>
      <c r="BU17" s="648"/>
      <c r="BV17" s="648"/>
      <c r="BW17" s="648"/>
      <c r="BX17" s="648"/>
      <c r="BY17" s="648"/>
      <c r="BZ17" s="648"/>
      <c r="CA17" s="648"/>
      <c r="CB17" s="648"/>
      <c r="CC17" s="649"/>
      <c r="CD17" s="159"/>
      <c r="CE17" s="138"/>
      <c r="CF17" s="66"/>
      <c r="CG17" s="101"/>
    </row>
    <row r="18" spans="1:174" s="27" customFormat="1" ht="19.350000000000001" customHeight="1">
      <c r="A18" s="35"/>
      <c r="B18" s="72"/>
      <c r="C18" s="138"/>
      <c r="D18" s="85" t="s">
        <v>36</v>
      </c>
      <c r="E18" s="148"/>
      <c r="F18" s="148"/>
      <c r="G18" s="95"/>
      <c r="H18" s="148"/>
      <c r="I18" s="148"/>
      <c r="J18" s="148"/>
      <c r="K18" s="148"/>
      <c r="L18" s="150"/>
      <c r="M18" s="180"/>
      <c r="N18" s="181"/>
      <c r="O18" s="117" t="s">
        <v>187</v>
      </c>
      <c r="P18" s="148"/>
      <c r="Q18" s="148"/>
      <c r="R18" s="148"/>
      <c r="S18" s="148"/>
      <c r="T18" s="148"/>
      <c r="U18" s="148"/>
      <c r="V18" s="148"/>
      <c r="W18" s="148"/>
      <c r="X18" s="148"/>
      <c r="Y18" s="148"/>
      <c r="Z18" s="148"/>
      <c r="AA18" s="310"/>
      <c r="AB18" s="148"/>
      <c r="AC18" s="310"/>
      <c r="AD18" s="148"/>
      <c r="AE18" s="148"/>
      <c r="AF18" s="148"/>
      <c r="AG18" s="148"/>
      <c r="AH18" s="148"/>
      <c r="AI18" s="148"/>
      <c r="AJ18" s="148"/>
      <c r="AK18" s="310"/>
      <c r="AL18" s="310"/>
      <c r="AM18" s="148"/>
      <c r="AN18" s="148"/>
      <c r="AO18" s="148"/>
      <c r="AP18" s="148"/>
      <c r="AQ18" s="85" t="s">
        <v>143</v>
      </c>
      <c r="AR18" s="148"/>
      <c r="AS18" s="148"/>
      <c r="AT18" s="95"/>
      <c r="AU18" s="148"/>
      <c r="AV18" s="148"/>
      <c r="AW18" s="148"/>
      <c r="AX18" s="111"/>
      <c r="AY18" s="152"/>
      <c r="AZ18" s="117" t="s">
        <v>188</v>
      </c>
      <c r="BA18" s="148"/>
      <c r="BB18" s="148"/>
      <c r="BC18" s="148"/>
      <c r="BD18" s="148"/>
      <c r="BE18" s="148"/>
      <c r="BF18" s="148"/>
      <c r="BG18" s="148"/>
      <c r="BH18" s="148"/>
      <c r="BI18" s="148"/>
      <c r="BJ18" s="148"/>
      <c r="BK18" s="148"/>
      <c r="BL18" s="148"/>
      <c r="BM18" s="148"/>
      <c r="BN18" s="310"/>
      <c r="BO18" s="148"/>
      <c r="BP18" s="310"/>
      <c r="BQ18" s="148"/>
      <c r="BR18" s="148"/>
      <c r="BS18" s="148"/>
      <c r="BT18" s="148"/>
      <c r="BU18" s="148"/>
      <c r="BV18" s="148"/>
      <c r="BW18" s="148"/>
      <c r="BX18" s="310"/>
      <c r="BY18" s="310"/>
      <c r="BZ18" s="148"/>
      <c r="CA18" s="148"/>
      <c r="CB18" s="148"/>
      <c r="CC18" s="151"/>
      <c r="CD18" s="138"/>
      <c r="CE18" s="138"/>
      <c r="CF18" s="66"/>
      <c r="CG18" s="101"/>
    </row>
    <row r="19" spans="1:174" s="27" customFormat="1" ht="19.5" customHeight="1">
      <c r="A19" s="35"/>
      <c r="B19" s="72"/>
      <c r="C19" s="159"/>
      <c r="D19" s="190" t="s">
        <v>64</v>
      </c>
      <c r="E19" s="105"/>
      <c r="F19" s="117"/>
      <c r="G19" s="117"/>
      <c r="H19" s="117"/>
      <c r="I19" s="117"/>
      <c r="J19" s="117"/>
      <c r="K19" s="131"/>
      <c r="L19" s="117"/>
      <c r="M19" s="124"/>
      <c r="N19" s="112"/>
      <c r="O19" s="117" t="s">
        <v>126</v>
      </c>
      <c r="P19" s="117"/>
      <c r="Q19" s="117"/>
      <c r="R19" s="117"/>
      <c r="S19" s="117"/>
      <c r="T19" s="117"/>
      <c r="U19" s="117"/>
      <c r="V19" s="117" t="s">
        <v>69</v>
      </c>
      <c r="W19" s="117"/>
      <c r="X19" s="117"/>
      <c r="Y19" s="117"/>
      <c r="Z19" s="117"/>
      <c r="AA19" s="117"/>
      <c r="AB19" s="117"/>
      <c r="AC19" s="117"/>
      <c r="AD19" s="117"/>
      <c r="AE19" s="117"/>
      <c r="AF19" s="117"/>
      <c r="AG19" s="117"/>
      <c r="AH19" s="117"/>
      <c r="AI19" s="125"/>
      <c r="AJ19" s="117"/>
      <c r="AK19" s="117"/>
      <c r="AL19" s="117"/>
      <c r="AM19" s="125"/>
      <c r="AN19" s="117"/>
      <c r="AO19" s="117"/>
      <c r="AP19" s="117"/>
      <c r="AQ19" s="190" t="s">
        <v>70</v>
      </c>
      <c r="AR19" s="105"/>
      <c r="AS19" s="117"/>
      <c r="AT19" s="131"/>
      <c r="AU19" s="117"/>
      <c r="AV19" s="149"/>
      <c r="AW19" s="149"/>
      <c r="AX19" s="182"/>
      <c r="AY19" s="117"/>
      <c r="AZ19" s="117" t="s">
        <v>41</v>
      </c>
      <c r="BA19" s="117"/>
      <c r="BB19" s="117"/>
      <c r="BC19" s="117"/>
      <c r="BD19" s="117"/>
      <c r="BE19" s="117"/>
      <c r="BF19" s="117"/>
      <c r="BG19" s="127"/>
      <c r="BH19" s="105"/>
      <c r="BI19" s="117"/>
      <c r="BJ19" s="131"/>
      <c r="BK19" s="124"/>
      <c r="BL19" s="123" t="s">
        <v>242</v>
      </c>
      <c r="BM19" s="117"/>
      <c r="BN19" s="117"/>
      <c r="BO19" s="117"/>
      <c r="BP19" s="131"/>
      <c r="BQ19" s="124"/>
      <c r="BR19" s="117"/>
      <c r="BS19" s="117" t="s">
        <v>65</v>
      </c>
      <c r="BT19" s="125"/>
      <c r="BU19" s="117"/>
      <c r="BV19" s="117"/>
      <c r="BW19" s="183"/>
      <c r="BX19" s="183"/>
      <c r="BY19" s="183"/>
      <c r="BZ19" s="183"/>
      <c r="CA19" s="183"/>
      <c r="CB19" s="183"/>
      <c r="CC19" s="124"/>
      <c r="CD19" s="172"/>
      <c r="CE19" s="172"/>
      <c r="CF19" s="172"/>
      <c r="CG19" s="129"/>
    </row>
    <row r="20" spans="1:174" s="27" customFormat="1" ht="19.350000000000001" customHeight="1">
      <c r="A20" s="35"/>
      <c r="B20" s="72"/>
      <c r="C20" s="138"/>
      <c r="D20" s="309" t="s">
        <v>307</v>
      </c>
      <c r="E20" s="148"/>
      <c r="F20" s="148"/>
      <c r="G20" s="95"/>
      <c r="H20" s="148"/>
      <c r="I20" s="148"/>
      <c r="J20" s="148"/>
      <c r="K20" s="148"/>
      <c r="L20" s="148"/>
      <c r="M20" s="111"/>
      <c r="N20" s="149"/>
      <c r="O20" s="148" t="s">
        <v>308</v>
      </c>
      <c r="P20" s="148"/>
      <c r="Q20" s="148"/>
      <c r="R20" s="148"/>
      <c r="S20" s="148"/>
      <c r="T20" s="148"/>
      <c r="U20" s="148"/>
      <c r="V20" s="148"/>
      <c r="W20" s="148"/>
      <c r="X20" s="148"/>
      <c r="Y20" s="148"/>
      <c r="Z20" s="148"/>
      <c r="AA20" s="310"/>
      <c r="AB20" s="148"/>
      <c r="AC20" s="310"/>
      <c r="AD20" s="148"/>
      <c r="AE20" s="148"/>
      <c r="AF20" s="148"/>
      <c r="AG20" s="148"/>
      <c r="AH20" s="148"/>
      <c r="AI20" s="148"/>
      <c r="AJ20" s="148"/>
      <c r="AK20" s="310"/>
      <c r="AL20" s="310"/>
      <c r="AM20" s="148"/>
      <c r="AN20" s="148"/>
      <c r="AO20" s="148"/>
      <c r="AP20" s="148"/>
      <c r="AQ20" s="310"/>
      <c r="AR20" s="310"/>
      <c r="AS20" s="310"/>
      <c r="AT20" s="310"/>
      <c r="AU20" s="95"/>
      <c r="AV20" s="310"/>
      <c r="AW20" s="310"/>
      <c r="AX20" s="310"/>
      <c r="AY20" s="310"/>
      <c r="AZ20" s="310"/>
      <c r="BA20" s="310"/>
      <c r="BB20" s="310"/>
      <c r="BC20" s="310"/>
      <c r="BD20" s="310"/>
      <c r="BE20" s="310"/>
      <c r="BF20" s="310"/>
      <c r="BG20" s="310"/>
      <c r="BH20" s="310"/>
      <c r="BI20" s="310"/>
      <c r="BJ20" s="89"/>
      <c r="BK20" s="310"/>
      <c r="BL20" s="310"/>
      <c r="BM20" s="310"/>
      <c r="BN20" s="310"/>
      <c r="BO20" s="310"/>
      <c r="BP20" s="310"/>
      <c r="BQ20" s="310"/>
      <c r="BR20" s="310"/>
      <c r="BS20" s="310"/>
      <c r="BT20" s="310"/>
      <c r="BU20" s="310"/>
      <c r="BV20" s="310"/>
      <c r="BW20" s="310"/>
      <c r="BX20" s="310"/>
      <c r="BY20" s="310"/>
      <c r="BZ20" s="310"/>
      <c r="CA20" s="310"/>
      <c r="CB20" s="310"/>
      <c r="CC20" s="311"/>
      <c r="CD20" s="138"/>
      <c r="CE20" s="138"/>
      <c r="CF20" s="66"/>
      <c r="CG20" s="101"/>
    </row>
    <row r="21" spans="1:174" s="3" customFormat="1" ht="19.5" customHeight="1">
      <c r="A21" s="144"/>
      <c r="B21" s="72"/>
      <c r="C21" s="159"/>
      <c r="D21" s="309" t="s">
        <v>124</v>
      </c>
      <c r="E21" s="310"/>
      <c r="F21" s="310"/>
      <c r="G21" s="310"/>
      <c r="H21" s="310"/>
      <c r="I21" s="310"/>
      <c r="J21" s="310"/>
      <c r="K21" s="310"/>
      <c r="L21" s="310"/>
      <c r="M21" s="311"/>
      <c r="N21" s="185"/>
      <c r="O21" s="310" t="s">
        <v>79</v>
      </c>
      <c r="P21" s="310"/>
      <c r="Q21" s="310"/>
      <c r="R21" s="310"/>
      <c r="S21" s="310"/>
      <c r="T21" s="310"/>
      <c r="U21" s="310"/>
      <c r="V21" s="310"/>
      <c r="W21" s="310"/>
      <c r="X21" s="310"/>
      <c r="Y21" s="310"/>
      <c r="Z21" s="310"/>
      <c r="AA21" s="310"/>
      <c r="AB21" s="310"/>
      <c r="AC21" s="310"/>
      <c r="AD21" s="310"/>
      <c r="AE21" s="310"/>
      <c r="AF21" s="310"/>
      <c r="AG21" s="310"/>
      <c r="AH21" s="310"/>
      <c r="AI21" s="310"/>
      <c r="AJ21" s="310"/>
      <c r="AK21" s="310"/>
      <c r="AL21" s="310"/>
      <c r="AM21" s="310"/>
      <c r="AN21" s="310"/>
      <c r="AO21" s="310"/>
      <c r="AP21" s="310"/>
      <c r="AQ21" s="309" t="s">
        <v>125</v>
      </c>
      <c r="AR21" s="310"/>
      <c r="AS21" s="310"/>
      <c r="AT21" s="310"/>
      <c r="AU21" s="310"/>
      <c r="AV21" s="310"/>
      <c r="AW21" s="310"/>
      <c r="AX21" s="311"/>
      <c r="AY21" s="310"/>
      <c r="AZ21" s="310"/>
      <c r="BA21" s="310"/>
      <c r="BB21" s="310"/>
      <c r="BC21" s="310"/>
      <c r="BD21" s="310"/>
      <c r="BE21" s="310"/>
      <c r="BF21" s="310"/>
      <c r="BG21" s="310"/>
      <c r="BH21" s="310"/>
      <c r="BI21" s="310"/>
      <c r="BJ21" s="310"/>
      <c r="BK21" s="310"/>
      <c r="BL21" s="90"/>
      <c r="BM21" s="310"/>
      <c r="BN21" s="310"/>
      <c r="BO21" s="310"/>
      <c r="BP21" s="310"/>
      <c r="BQ21" s="310"/>
      <c r="BR21" s="86"/>
      <c r="BS21" s="86"/>
      <c r="BT21" s="86"/>
      <c r="BU21" s="86"/>
      <c r="BV21" s="86"/>
      <c r="BW21" s="86"/>
      <c r="BX21" s="86"/>
      <c r="BY21" s="86"/>
      <c r="BZ21" s="86"/>
      <c r="CA21" s="86"/>
      <c r="CB21" s="86"/>
      <c r="CC21" s="87"/>
      <c r="CD21" s="159"/>
      <c r="CE21" s="138"/>
      <c r="CF21" s="66"/>
      <c r="CG21" s="145"/>
      <c r="FP21"/>
      <c r="FQ21" s="146"/>
      <c r="FR21"/>
    </row>
    <row r="22" spans="1:174" s="27" customFormat="1" ht="19.5" customHeight="1">
      <c r="A22" s="35"/>
      <c r="B22" s="72"/>
      <c r="C22" s="159"/>
      <c r="D22" s="130"/>
      <c r="E22" s="130"/>
      <c r="F22" s="130"/>
      <c r="G22" s="130"/>
      <c r="H22" s="130"/>
      <c r="I22" s="130"/>
      <c r="J22" s="130"/>
      <c r="K22" s="130"/>
      <c r="L22" s="130"/>
      <c r="M22" s="130"/>
      <c r="N22" s="130"/>
      <c r="O22" s="130"/>
      <c r="P22" s="130"/>
      <c r="Q22" s="130"/>
      <c r="R22" s="130"/>
      <c r="S22" s="130"/>
      <c r="T22" s="130"/>
      <c r="U22" s="130"/>
      <c r="V22" s="130"/>
      <c r="W22" s="316"/>
      <c r="X22" s="316"/>
      <c r="Y22" s="316"/>
      <c r="Z22" s="316"/>
      <c r="AA22" s="316"/>
      <c r="AB22" s="316"/>
      <c r="AC22" s="316"/>
      <c r="AD22" s="316"/>
      <c r="AE22" s="341"/>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41"/>
      <c r="BM22" s="130"/>
      <c r="BN22" s="130"/>
      <c r="BO22" s="130"/>
      <c r="BP22" s="130"/>
      <c r="BQ22" s="130"/>
      <c r="BR22" s="137"/>
      <c r="BS22" s="137"/>
      <c r="BT22" s="137"/>
      <c r="BU22" s="137"/>
      <c r="BV22" s="137"/>
      <c r="BW22" s="137"/>
      <c r="BX22" s="137"/>
      <c r="BY22" s="137"/>
      <c r="BZ22" s="137"/>
      <c r="CA22" s="137"/>
      <c r="CB22" s="137"/>
      <c r="CC22" s="137"/>
      <c r="CD22" s="159"/>
      <c r="CE22" s="138"/>
      <c r="CF22" s="172"/>
      <c r="CG22" s="160"/>
    </row>
    <row r="23" spans="1:174" s="27" customFormat="1" ht="19.5" customHeight="1">
      <c r="A23" s="35"/>
      <c r="B23" s="72"/>
      <c r="C23" s="126"/>
      <c r="D23" s="647" t="s">
        <v>72</v>
      </c>
      <c r="E23" s="648"/>
      <c r="F23" s="648"/>
      <c r="G23" s="648"/>
      <c r="H23" s="648"/>
      <c r="I23" s="648"/>
      <c r="J23" s="648"/>
      <c r="K23" s="648"/>
      <c r="L23" s="648"/>
      <c r="M23" s="648"/>
      <c r="N23" s="648"/>
      <c r="O23" s="648"/>
      <c r="P23" s="648"/>
      <c r="Q23" s="648"/>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648"/>
      <c r="BB23" s="648"/>
      <c r="BC23" s="648"/>
      <c r="BD23" s="648"/>
      <c r="BE23" s="648"/>
      <c r="BF23" s="648"/>
      <c r="BG23" s="648"/>
      <c r="BH23" s="648"/>
      <c r="BI23" s="648"/>
      <c r="BJ23" s="648"/>
      <c r="BK23" s="648"/>
      <c r="BL23" s="648"/>
      <c r="BM23" s="648"/>
      <c r="BN23" s="648"/>
      <c r="BO23" s="648"/>
      <c r="BP23" s="648"/>
      <c r="BQ23" s="648"/>
      <c r="BR23" s="648"/>
      <c r="BS23" s="648"/>
      <c r="BT23" s="648"/>
      <c r="BU23" s="648"/>
      <c r="BV23" s="648"/>
      <c r="BW23" s="648"/>
      <c r="BX23" s="648"/>
      <c r="BY23" s="648"/>
      <c r="BZ23" s="648"/>
      <c r="CA23" s="648"/>
      <c r="CB23" s="648"/>
      <c r="CC23" s="649"/>
      <c r="CD23" s="137"/>
      <c r="CE23" s="138"/>
      <c r="CF23" s="172"/>
      <c r="CG23" s="129"/>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row>
    <row r="24" spans="1:174" s="27" customFormat="1" ht="19.5" customHeight="1">
      <c r="A24" s="35"/>
      <c r="B24" s="72"/>
      <c r="C24" s="126"/>
      <c r="D24" s="650" t="s">
        <v>64</v>
      </c>
      <c r="E24" s="651"/>
      <c r="F24" s="651"/>
      <c r="G24" s="651"/>
      <c r="H24" s="651"/>
      <c r="I24" s="651"/>
      <c r="J24" s="651"/>
      <c r="K24" s="651"/>
      <c r="L24" s="651"/>
      <c r="M24" s="651"/>
      <c r="N24" s="651"/>
      <c r="O24" s="651"/>
      <c r="P24" s="651"/>
      <c r="Q24" s="651"/>
      <c r="R24" s="651"/>
      <c r="S24" s="652"/>
      <c r="T24" s="650" t="s">
        <v>70</v>
      </c>
      <c r="U24" s="651"/>
      <c r="V24" s="651"/>
      <c r="W24" s="651"/>
      <c r="X24" s="652"/>
      <c r="Y24" s="656" t="s">
        <v>273</v>
      </c>
      <c r="Z24" s="651"/>
      <c r="AA24" s="651"/>
      <c r="AB24" s="651"/>
      <c r="AC24" s="652"/>
      <c r="AD24" s="650" t="s">
        <v>176</v>
      </c>
      <c r="AE24" s="651"/>
      <c r="AF24" s="651"/>
      <c r="AG24" s="651"/>
      <c r="AH24" s="651"/>
      <c r="AI24" s="651"/>
      <c r="AJ24" s="651"/>
      <c r="AK24" s="651"/>
      <c r="AL24" s="651"/>
      <c r="AM24" s="651"/>
      <c r="AN24" s="651"/>
      <c r="AO24" s="651"/>
      <c r="AP24" s="652"/>
      <c r="AQ24" s="650" t="s">
        <v>252</v>
      </c>
      <c r="AR24" s="651"/>
      <c r="AS24" s="651"/>
      <c r="AT24" s="651"/>
      <c r="AU24" s="651"/>
      <c r="AV24" s="651"/>
      <c r="AW24" s="651"/>
      <c r="AX24" s="651"/>
      <c r="AY24" s="651"/>
      <c r="AZ24" s="651"/>
      <c r="BA24" s="651"/>
      <c r="BB24" s="651"/>
      <c r="BC24" s="651"/>
      <c r="BD24" s="651"/>
      <c r="BE24" s="652"/>
      <c r="BF24" s="647" t="s">
        <v>175</v>
      </c>
      <c r="BG24" s="648"/>
      <c r="BH24" s="648"/>
      <c r="BI24" s="648"/>
      <c r="BJ24" s="648"/>
      <c r="BK24" s="648"/>
      <c r="BL24" s="648"/>
      <c r="BM24" s="648"/>
      <c r="BN24" s="648"/>
      <c r="BO24" s="648"/>
      <c r="BP24" s="648"/>
      <c r="BQ24" s="649"/>
      <c r="BR24" s="657" t="s">
        <v>174</v>
      </c>
      <c r="BS24" s="658"/>
      <c r="BT24" s="658"/>
      <c r="BU24" s="658"/>
      <c r="BV24" s="658"/>
      <c r="BW24" s="658"/>
      <c r="BX24" s="658"/>
      <c r="BY24" s="658"/>
      <c r="BZ24" s="658"/>
      <c r="CA24" s="658"/>
      <c r="CB24" s="658"/>
      <c r="CC24" s="659"/>
      <c r="CD24" s="137"/>
      <c r="CE24" s="138"/>
      <c r="CF24" s="172"/>
      <c r="CG24" s="129"/>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65"/>
      <c r="DT24" s="165"/>
      <c r="DU24" s="165"/>
      <c r="DV24" s="165"/>
      <c r="DW24" s="165"/>
      <c r="DX24" s="165"/>
      <c r="DY24" s="165"/>
      <c r="DZ24" s="165"/>
      <c r="EA24" s="165"/>
      <c r="EB24" s="165"/>
      <c r="EC24" s="165"/>
      <c r="ED24" s="165"/>
      <c r="EE24" s="165"/>
      <c r="EF24" s="165"/>
    </row>
    <row r="25" spans="1:174" s="27" customFormat="1" ht="19.5" customHeight="1">
      <c r="A25" s="35"/>
      <c r="B25" s="72"/>
      <c r="C25" s="126"/>
      <c r="D25" s="667"/>
      <c r="E25" s="668"/>
      <c r="F25" s="668"/>
      <c r="G25" s="668"/>
      <c r="H25" s="668"/>
      <c r="I25" s="668"/>
      <c r="J25" s="668"/>
      <c r="K25" s="668"/>
      <c r="L25" s="668"/>
      <c r="M25" s="668"/>
      <c r="N25" s="668"/>
      <c r="O25" s="668"/>
      <c r="P25" s="668"/>
      <c r="Q25" s="668"/>
      <c r="R25" s="668"/>
      <c r="S25" s="669"/>
      <c r="T25" s="667"/>
      <c r="U25" s="668"/>
      <c r="V25" s="668"/>
      <c r="W25" s="668"/>
      <c r="X25" s="669"/>
      <c r="Y25" s="667"/>
      <c r="Z25" s="668"/>
      <c r="AA25" s="668"/>
      <c r="AB25" s="668"/>
      <c r="AC25" s="669"/>
      <c r="AD25" s="667"/>
      <c r="AE25" s="668"/>
      <c r="AF25" s="668"/>
      <c r="AG25" s="668"/>
      <c r="AH25" s="668"/>
      <c r="AI25" s="668"/>
      <c r="AJ25" s="668"/>
      <c r="AK25" s="668"/>
      <c r="AL25" s="668"/>
      <c r="AM25" s="668"/>
      <c r="AN25" s="668"/>
      <c r="AO25" s="668"/>
      <c r="AP25" s="669"/>
      <c r="AQ25" s="667"/>
      <c r="AR25" s="668"/>
      <c r="AS25" s="668"/>
      <c r="AT25" s="668"/>
      <c r="AU25" s="668"/>
      <c r="AV25" s="668"/>
      <c r="AW25" s="668"/>
      <c r="AX25" s="668"/>
      <c r="AY25" s="668"/>
      <c r="AZ25" s="668"/>
      <c r="BA25" s="668"/>
      <c r="BB25" s="668"/>
      <c r="BC25" s="668"/>
      <c r="BD25" s="668"/>
      <c r="BE25" s="669"/>
      <c r="BF25" s="647" t="s">
        <v>73</v>
      </c>
      <c r="BG25" s="648"/>
      <c r="BH25" s="648"/>
      <c r="BI25" s="648"/>
      <c r="BJ25" s="648"/>
      <c r="BK25" s="649"/>
      <c r="BL25" s="647" t="s">
        <v>74</v>
      </c>
      <c r="BM25" s="648"/>
      <c r="BN25" s="648"/>
      <c r="BO25" s="648"/>
      <c r="BP25" s="648"/>
      <c r="BQ25" s="649"/>
      <c r="BR25" s="647" t="s">
        <v>73</v>
      </c>
      <c r="BS25" s="648"/>
      <c r="BT25" s="648"/>
      <c r="BU25" s="648"/>
      <c r="BV25" s="648"/>
      <c r="BW25" s="649"/>
      <c r="BX25" s="647" t="s">
        <v>74</v>
      </c>
      <c r="BY25" s="648"/>
      <c r="BZ25" s="648"/>
      <c r="CA25" s="648"/>
      <c r="CB25" s="648"/>
      <c r="CC25" s="649"/>
      <c r="CD25" s="137"/>
      <c r="CE25" s="138"/>
      <c r="CF25" s="172"/>
      <c r="CG25" s="129"/>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65"/>
      <c r="DT25" s="165"/>
      <c r="DU25" s="165"/>
      <c r="DV25" s="165"/>
      <c r="DW25" s="165"/>
      <c r="DX25" s="165"/>
      <c r="DY25" s="165"/>
      <c r="DZ25" s="165"/>
      <c r="EA25" s="165"/>
      <c r="EB25" s="165"/>
      <c r="EC25" s="165"/>
      <c r="ED25" s="165"/>
      <c r="EE25" s="165"/>
      <c r="EF25" s="165"/>
    </row>
    <row r="26" spans="1:174" s="27" customFormat="1" ht="19.5" customHeight="1">
      <c r="A26" s="35"/>
      <c r="B26" s="72"/>
      <c r="C26" s="126"/>
      <c r="D26" s="309" t="s">
        <v>66</v>
      </c>
      <c r="E26" s="310"/>
      <c r="F26" s="310"/>
      <c r="G26" s="310"/>
      <c r="H26" s="310"/>
      <c r="I26" s="310"/>
      <c r="J26" s="310"/>
      <c r="K26" s="310"/>
      <c r="L26" s="310"/>
      <c r="M26" s="310"/>
      <c r="N26" s="310"/>
      <c r="O26" s="310"/>
      <c r="P26" s="310"/>
      <c r="Q26" s="310"/>
      <c r="R26" s="90"/>
      <c r="S26" s="310"/>
      <c r="T26" s="707" t="s">
        <v>41</v>
      </c>
      <c r="U26" s="708"/>
      <c r="V26" s="708"/>
      <c r="W26" s="708"/>
      <c r="X26" s="709"/>
      <c r="Y26" s="707" t="s">
        <v>65</v>
      </c>
      <c r="Z26" s="708"/>
      <c r="AA26" s="708"/>
      <c r="AB26" s="708"/>
      <c r="AC26" s="709"/>
      <c r="AD26" s="309" t="s">
        <v>177</v>
      </c>
      <c r="AE26" s="310"/>
      <c r="AF26" s="310"/>
      <c r="AG26" s="310"/>
      <c r="AH26" s="310"/>
      <c r="AI26" s="310"/>
      <c r="AJ26" s="310"/>
      <c r="AK26" s="310"/>
      <c r="AL26" s="310"/>
      <c r="AM26" s="310"/>
      <c r="AN26" s="310"/>
      <c r="AO26" s="310"/>
      <c r="AP26" s="310"/>
      <c r="AQ26" s="309"/>
      <c r="AR26" s="310"/>
      <c r="AS26" s="310"/>
      <c r="AT26" s="310"/>
      <c r="AU26" s="310"/>
      <c r="AV26" s="310"/>
      <c r="AW26" s="310"/>
      <c r="AX26" s="310"/>
      <c r="AY26" s="310"/>
      <c r="AZ26" s="310"/>
      <c r="BA26" s="310"/>
      <c r="BB26" s="310"/>
      <c r="BC26" s="310"/>
      <c r="BD26" s="310"/>
      <c r="BE26" s="311"/>
      <c r="BF26" s="676" t="s">
        <v>132</v>
      </c>
      <c r="BG26" s="677"/>
      <c r="BH26" s="677"/>
      <c r="BI26" s="677"/>
      <c r="BJ26" s="677"/>
      <c r="BK26" s="678"/>
      <c r="BL26" s="309"/>
      <c r="BM26" s="310"/>
      <c r="BN26" s="310"/>
      <c r="BO26" s="310"/>
      <c r="BP26" s="310"/>
      <c r="BQ26" s="311"/>
      <c r="BR26" s="632">
        <v>2000</v>
      </c>
      <c r="BS26" s="633"/>
      <c r="BT26" s="633"/>
      <c r="BU26" s="633"/>
      <c r="BV26" s="633"/>
      <c r="BW26" s="634"/>
      <c r="BX26" s="309"/>
      <c r="BY26" s="310"/>
      <c r="BZ26" s="310"/>
      <c r="CA26" s="310"/>
      <c r="CB26" s="310"/>
      <c r="CC26" s="311"/>
      <c r="CD26" s="137"/>
      <c r="CE26" s="138"/>
      <c r="CF26" s="172"/>
      <c r="CG26" s="129"/>
      <c r="CK26" s="166"/>
      <c r="CL26" s="166"/>
      <c r="CM26" s="143"/>
      <c r="CN26" s="143"/>
      <c r="CO26" s="143"/>
      <c r="CP26" s="167"/>
      <c r="CQ26" s="168"/>
      <c r="CR26" s="167"/>
      <c r="CS26" s="167"/>
      <c r="CT26" s="167"/>
      <c r="CU26" s="167"/>
      <c r="CV26" s="167"/>
      <c r="CW26" s="143"/>
      <c r="CX26" s="143"/>
      <c r="CY26" s="143"/>
      <c r="CZ26" s="143"/>
      <c r="DA26" s="143"/>
      <c r="DB26" s="143"/>
      <c r="DC26" s="143"/>
      <c r="DD26" s="143"/>
      <c r="DE26" s="143"/>
      <c r="DF26" s="143"/>
      <c r="DG26" s="143"/>
      <c r="DH26" s="143"/>
      <c r="DI26" s="143"/>
      <c r="DJ26" s="143"/>
      <c r="DK26" s="143"/>
      <c r="DL26" s="169"/>
      <c r="DM26" s="143"/>
      <c r="DN26" s="143"/>
      <c r="DO26" s="143"/>
      <c r="DP26" s="169"/>
      <c r="DQ26" s="143"/>
      <c r="DR26" s="143"/>
      <c r="DS26" s="143"/>
      <c r="DT26" s="143"/>
      <c r="DU26" s="143"/>
      <c r="DV26" s="143"/>
      <c r="DW26" s="143"/>
      <c r="DX26" s="143"/>
      <c r="DY26" s="143"/>
      <c r="DZ26" s="143"/>
      <c r="EA26" s="143"/>
      <c r="EB26" s="143"/>
      <c r="EC26" s="143"/>
      <c r="ED26" s="143"/>
      <c r="EE26" s="143"/>
      <c r="EF26" s="143"/>
    </row>
    <row r="27" spans="1:174" s="27" customFormat="1" ht="19.5" customHeight="1">
      <c r="A27" s="35"/>
      <c r="B27" s="72"/>
      <c r="C27" s="126"/>
      <c r="D27" s="309" t="s">
        <v>66</v>
      </c>
      <c r="E27" s="310"/>
      <c r="F27" s="310"/>
      <c r="G27" s="310"/>
      <c r="H27" s="310"/>
      <c r="I27" s="310"/>
      <c r="J27" s="310"/>
      <c r="K27" s="310"/>
      <c r="L27" s="310"/>
      <c r="M27" s="310"/>
      <c r="N27" s="310"/>
      <c r="O27" s="310"/>
      <c r="P27" s="310"/>
      <c r="Q27" s="310"/>
      <c r="R27" s="90"/>
      <c r="S27" s="310"/>
      <c r="T27" s="707" t="s">
        <v>41</v>
      </c>
      <c r="U27" s="708"/>
      <c r="V27" s="708"/>
      <c r="W27" s="708"/>
      <c r="X27" s="709"/>
      <c r="Y27" s="707" t="s">
        <v>65</v>
      </c>
      <c r="Z27" s="708"/>
      <c r="AA27" s="708"/>
      <c r="AB27" s="708"/>
      <c r="AC27" s="709"/>
      <c r="AD27" s="309" t="s">
        <v>177</v>
      </c>
      <c r="AE27" s="310"/>
      <c r="AF27" s="310"/>
      <c r="AG27" s="310"/>
      <c r="AH27" s="310"/>
      <c r="AI27" s="310"/>
      <c r="AJ27" s="310"/>
      <c r="AK27" s="310"/>
      <c r="AL27" s="310"/>
      <c r="AM27" s="310"/>
      <c r="AN27" s="310"/>
      <c r="AO27" s="310"/>
      <c r="AP27" s="310"/>
      <c r="AQ27" s="309"/>
      <c r="AR27" s="310"/>
      <c r="AS27" s="310"/>
      <c r="AT27" s="310"/>
      <c r="AU27" s="310"/>
      <c r="AV27" s="310"/>
      <c r="AW27" s="310"/>
      <c r="AX27" s="310"/>
      <c r="AY27" s="310"/>
      <c r="AZ27" s="310"/>
      <c r="BA27" s="310"/>
      <c r="BB27" s="310"/>
      <c r="BC27" s="310"/>
      <c r="BD27" s="310"/>
      <c r="BE27" s="311"/>
      <c r="BF27" s="676" t="s">
        <v>76</v>
      </c>
      <c r="BG27" s="677"/>
      <c r="BH27" s="677"/>
      <c r="BI27" s="677"/>
      <c r="BJ27" s="677"/>
      <c r="BK27" s="678"/>
      <c r="BL27" s="309"/>
      <c r="BM27" s="310"/>
      <c r="BN27" s="310"/>
      <c r="BO27" s="310"/>
      <c r="BP27" s="310"/>
      <c r="BQ27" s="311"/>
      <c r="BR27" s="632" t="s">
        <v>77</v>
      </c>
      <c r="BS27" s="633"/>
      <c r="BT27" s="633"/>
      <c r="BU27" s="633"/>
      <c r="BV27" s="633"/>
      <c r="BW27" s="634"/>
      <c r="BX27" s="309"/>
      <c r="BY27" s="310"/>
      <c r="BZ27" s="310"/>
      <c r="CA27" s="310"/>
      <c r="CB27" s="310"/>
      <c r="CC27" s="311"/>
      <c r="CD27" s="137"/>
      <c r="CE27" s="138"/>
      <c r="CF27" s="172"/>
      <c r="CG27" s="129"/>
      <c r="CK27" s="166"/>
      <c r="CL27" s="166"/>
      <c r="CM27" s="143"/>
      <c r="CN27" s="143"/>
      <c r="CO27" s="143"/>
      <c r="CP27" s="143"/>
      <c r="CQ27" s="143"/>
      <c r="CR27" s="143"/>
      <c r="CS27" s="143"/>
      <c r="CT27" s="143"/>
      <c r="CU27" s="169"/>
      <c r="CV27" s="143"/>
      <c r="CW27" s="143"/>
      <c r="CX27" s="143"/>
      <c r="CY27" s="143"/>
      <c r="CZ27" s="143"/>
      <c r="DA27" s="143"/>
      <c r="DB27" s="143"/>
      <c r="DC27" s="143"/>
      <c r="DD27" s="143"/>
      <c r="DE27" s="143"/>
      <c r="DF27" s="143"/>
      <c r="DG27" s="143"/>
      <c r="DH27" s="143"/>
      <c r="DI27" s="143"/>
      <c r="DJ27" s="143"/>
      <c r="DK27" s="143"/>
      <c r="DL27" s="169"/>
      <c r="DM27" s="143"/>
      <c r="DN27" s="143"/>
      <c r="DO27" s="143"/>
      <c r="DP27" s="169"/>
      <c r="DQ27" s="143"/>
      <c r="DR27" s="143"/>
      <c r="DS27" s="143"/>
      <c r="DT27" s="143"/>
      <c r="DU27" s="143"/>
      <c r="DV27" s="143"/>
      <c r="DW27" s="143"/>
      <c r="DX27" s="143"/>
      <c r="DY27" s="143"/>
      <c r="DZ27" s="143"/>
      <c r="EA27" s="143"/>
      <c r="EB27" s="143"/>
      <c r="EC27" s="143"/>
      <c r="ED27" s="143"/>
      <c r="EE27" s="143"/>
      <c r="EF27" s="143"/>
    </row>
    <row r="28" spans="1:174" s="27" customFormat="1" ht="19.5" customHeight="1">
      <c r="A28" s="35"/>
      <c r="B28" s="72"/>
      <c r="C28" s="130"/>
      <c r="D28" s="192"/>
      <c r="E28" s="130"/>
      <c r="F28" s="130"/>
      <c r="G28" s="130"/>
      <c r="H28" s="130"/>
      <c r="I28" s="130"/>
      <c r="J28" s="130"/>
      <c r="K28" s="130"/>
      <c r="L28" s="130"/>
      <c r="M28" s="130"/>
      <c r="N28" s="130"/>
      <c r="O28" s="130"/>
      <c r="P28" s="130"/>
      <c r="Q28" s="130"/>
      <c r="R28" s="130"/>
      <c r="S28" s="130"/>
      <c r="T28" s="130"/>
      <c r="U28" s="130"/>
      <c r="V28" s="130"/>
      <c r="W28" s="316"/>
      <c r="X28" s="316"/>
      <c r="Y28" s="316"/>
      <c r="Z28" s="316"/>
      <c r="AA28" s="316"/>
      <c r="AB28" s="316"/>
      <c r="AC28" s="316"/>
      <c r="AD28" s="316"/>
      <c r="AE28" s="341"/>
      <c r="AF28" s="130"/>
      <c r="AG28" s="130"/>
      <c r="AH28" s="130"/>
      <c r="AI28" s="130"/>
      <c r="AJ28" s="130"/>
      <c r="AK28" s="130"/>
      <c r="AL28" s="130"/>
      <c r="AM28" s="130"/>
      <c r="AN28" s="130"/>
      <c r="AO28" s="130"/>
      <c r="AP28" s="130"/>
      <c r="AQ28" s="641" t="s">
        <v>78</v>
      </c>
      <c r="AR28" s="642"/>
      <c r="AS28" s="642"/>
      <c r="AT28" s="642"/>
      <c r="AU28" s="642"/>
      <c r="AV28" s="642"/>
      <c r="AW28" s="642"/>
      <c r="AX28" s="642"/>
      <c r="AY28" s="642"/>
      <c r="AZ28" s="642"/>
      <c r="BA28" s="642"/>
      <c r="BB28" s="642"/>
      <c r="BC28" s="642"/>
      <c r="BD28" s="642"/>
      <c r="BE28" s="643"/>
      <c r="BF28" s="632">
        <f>BF26+BF27</f>
        <v>1100</v>
      </c>
      <c r="BG28" s="633"/>
      <c r="BH28" s="633"/>
      <c r="BI28" s="633"/>
      <c r="BJ28" s="633"/>
      <c r="BK28" s="634"/>
      <c r="BL28" s="641" t="s">
        <v>79</v>
      </c>
      <c r="BM28" s="642"/>
      <c r="BN28" s="642"/>
      <c r="BO28" s="642"/>
      <c r="BP28" s="642"/>
      <c r="BQ28" s="643"/>
      <c r="BR28" s="632">
        <f>BR26+BR27</f>
        <v>2200</v>
      </c>
      <c r="BS28" s="633"/>
      <c r="BT28" s="633"/>
      <c r="BU28" s="633"/>
      <c r="BV28" s="633"/>
      <c r="BW28" s="634"/>
      <c r="BX28" s="306"/>
      <c r="BY28" s="307"/>
      <c r="BZ28" s="307"/>
      <c r="CA28" s="307"/>
      <c r="CB28" s="307"/>
      <c r="CC28" s="308"/>
      <c r="CD28" s="137"/>
      <c r="CE28" s="138"/>
      <c r="CF28" s="172"/>
      <c r="CG28" s="129"/>
      <c r="CK28" s="166"/>
      <c r="CL28" s="166"/>
      <c r="CM28" s="143"/>
      <c r="CN28" s="143"/>
      <c r="CO28" s="143"/>
      <c r="CP28" s="143"/>
      <c r="CQ28" s="143"/>
      <c r="CR28" s="143"/>
      <c r="CS28" s="143"/>
      <c r="CT28" s="143"/>
      <c r="CU28" s="169"/>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row>
    <row r="29" spans="1:174" s="27" customFormat="1" ht="19.5" customHeight="1">
      <c r="A29" s="35"/>
      <c r="B29" s="72"/>
      <c r="C29" s="126"/>
      <c r="D29" s="191" t="s">
        <v>66</v>
      </c>
      <c r="E29" s="310"/>
      <c r="F29" s="310"/>
      <c r="G29" s="310"/>
      <c r="H29" s="310"/>
      <c r="I29" s="310"/>
      <c r="J29" s="310"/>
      <c r="K29" s="310"/>
      <c r="L29" s="310"/>
      <c r="M29" s="310"/>
      <c r="N29" s="310"/>
      <c r="O29" s="310"/>
      <c r="P29" s="310"/>
      <c r="Q29" s="310"/>
      <c r="R29" s="90"/>
      <c r="S29" s="310"/>
      <c r="T29" s="707" t="s">
        <v>41</v>
      </c>
      <c r="U29" s="708"/>
      <c r="V29" s="708"/>
      <c r="W29" s="708"/>
      <c r="X29" s="709"/>
      <c r="Y29" s="707" t="s">
        <v>65</v>
      </c>
      <c r="Z29" s="708"/>
      <c r="AA29" s="708"/>
      <c r="AB29" s="708"/>
      <c r="AC29" s="709"/>
      <c r="AD29" s="309" t="s">
        <v>177</v>
      </c>
      <c r="AE29" s="310"/>
      <c r="AF29" s="310"/>
      <c r="AG29" s="310"/>
      <c r="AH29" s="310"/>
      <c r="AI29" s="310"/>
      <c r="AJ29" s="310"/>
      <c r="AK29" s="310"/>
      <c r="AL29" s="310"/>
      <c r="AM29" s="310"/>
      <c r="AN29" s="310"/>
      <c r="AO29" s="310"/>
      <c r="AP29" s="310"/>
      <c r="AQ29" s="309" t="s">
        <v>301</v>
      </c>
      <c r="AR29" s="310"/>
      <c r="AS29" s="310"/>
      <c r="AT29" s="310"/>
      <c r="AU29" s="310"/>
      <c r="AV29" s="310"/>
      <c r="AW29" s="310"/>
      <c r="AX29" s="310"/>
      <c r="AY29" s="310"/>
      <c r="AZ29" s="310"/>
      <c r="BA29" s="310"/>
      <c r="BB29" s="310"/>
      <c r="BC29" s="310"/>
      <c r="BD29" s="310"/>
      <c r="BE29" s="311"/>
      <c r="BF29" s="676"/>
      <c r="BG29" s="677"/>
      <c r="BH29" s="677"/>
      <c r="BI29" s="677"/>
      <c r="BJ29" s="677"/>
      <c r="BK29" s="678"/>
      <c r="BL29" s="309"/>
      <c r="BM29" s="310"/>
      <c r="BN29" s="310"/>
      <c r="BO29" s="310"/>
      <c r="BP29" s="310"/>
      <c r="BQ29" s="311" t="s">
        <v>79</v>
      </c>
      <c r="BR29" s="632"/>
      <c r="BS29" s="633"/>
      <c r="BT29" s="633"/>
      <c r="BU29" s="633"/>
      <c r="BV29" s="633"/>
      <c r="BW29" s="634"/>
      <c r="BX29" s="309"/>
      <c r="BY29" s="310"/>
      <c r="BZ29" s="310"/>
      <c r="CA29" s="310"/>
      <c r="CB29" s="310"/>
      <c r="CC29" s="187" t="s">
        <v>189</v>
      </c>
      <c r="CD29" s="137"/>
      <c r="CE29" s="138"/>
      <c r="CF29" s="172"/>
      <c r="CG29" s="129"/>
      <c r="CK29" s="166"/>
      <c r="CL29" s="166"/>
      <c r="CM29" s="143"/>
      <c r="CN29" s="143"/>
      <c r="CO29" s="143"/>
      <c r="CP29" s="143"/>
      <c r="CQ29" s="143"/>
      <c r="CR29" s="143"/>
      <c r="CS29" s="143"/>
      <c r="CT29" s="143"/>
      <c r="CU29" s="169"/>
      <c r="CV29" s="143"/>
      <c r="CW29" s="143"/>
      <c r="CX29" s="143"/>
      <c r="CY29" s="143"/>
      <c r="CZ29" s="143"/>
      <c r="DA29" s="143"/>
      <c r="DB29" s="143"/>
      <c r="DC29" s="143"/>
      <c r="DD29" s="143"/>
      <c r="DE29" s="143"/>
      <c r="DF29" s="143"/>
      <c r="DG29" s="143"/>
      <c r="DH29" s="143"/>
      <c r="DI29" s="143"/>
      <c r="DJ29" s="143"/>
      <c r="DK29" s="143"/>
      <c r="DL29" s="169"/>
      <c r="DM29" s="143"/>
      <c r="DN29" s="143"/>
      <c r="DO29" s="143"/>
      <c r="DP29" s="169"/>
      <c r="DQ29" s="143"/>
      <c r="DR29" s="143"/>
      <c r="DS29" s="143"/>
      <c r="DT29" s="143"/>
      <c r="DU29" s="143"/>
      <c r="DV29" s="143"/>
      <c r="DW29" s="143"/>
      <c r="DX29" s="143"/>
      <c r="DY29" s="143"/>
      <c r="DZ29" s="143"/>
      <c r="EA29" s="143"/>
      <c r="EB29" s="143"/>
      <c r="EC29" s="143"/>
      <c r="ED29" s="143"/>
      <c r="EE29" s="143"/>
      <c r="EF29" s="143"/>
    </row>
    <row r="30" spans="1:174" s="27" customFormat="1" ht="19.5" customHeight="1">
      <c r="A30" s="35"/>
      <c r="B30" s="72"/>
      <c r="C30" s="159"/>
      <c r="D30" s="159"/>
      <c r="E30" s="130"/>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661"/>
      <c r="AK30" s="661"/>
      <c r="AL30" s="661"/>
      <c r="AM30" s="661"/>
      <c r="AN30" s="661"/>
      <c r="AO30" s="661"/>
      <c r="AP30" s="660"/>
      <c r="AQ30" s="660"/>
      <c r="AR30" s="660"/>
      <c r="AS30" s="660"/>
      <c r="AT30" s="660"/>
      <c r="AU30" s="660"/>
      <c r="AV30" s="631"/>
      <c r="AW30" s="631"/>
      <c r="AX30" s="631"/>
      <c r="AY30" s="631"/>
      <c r="AZ30" s="631"/>
      <c r="BA30" s="631"/>
      <c r="BB30" s="661"/>
      <c r="BC30" s="661"/>
      <c r="BD30" s="661"/>
      <c r="BE30" s="661"/>
      <c r="BF30" s="661"/>
      <c r="BG30" s="661"/>
      <c r="BH30" s="661"/>
      <c r="BI30" s="661"/>
      <c r="BJ30" s="661"/>
      <c r="BK30" s="661"/>
      <c r="BL30" s="661"/>
      <c r="BM30" s="661"/>
      <c r="BN30" s="631"/>
      <c r="BO30" s="631"/>
      <c r="BP30" s="631"/>
      <c r="BQ30" s="631"/>
      <c r="BR30" s="631"/>
      <c r="BS30" s="631"/>
      <c r="BT30" s="631"/>
      <c r="BU30" s="631"/>
      <c r="BV30" s="631"/>
      <c r="BW30" s="631"/>
      <c r="BX30" s="631"/>
      <c r="BY30" s="631"/>
      <c r="BZ30" s="164"/>
      <c r="CA30" s="164"/>
      <c r="CB30" s="137"/>
      <c r="CC30" s="137"/>
      <c r="CD30" s="159"/>
      <c r="CE30" s="138"/>
      <c r="CF30" s="172"/>
      <c r="CG30" s="160"/>
      <c r="CK30" s="170"/>
      <c r="CL30" s="170"/>
      <c r="CM30" s="143"/>
      <c r="CN30" s="143"/>
      <c r="CO30" s="143"/>
      <c r="CP30" s="143"/>
      <c r="CQ30" s="143"/>
      <c r="CR30" s="143"/>
      <c r="CS30" s="143"/>
      <c r="CT30" s="143"/>
      <c r="CU30" s="169"/>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71"/>
      <c r="DT30" s="171"/>
      <c r="DU30" s="171"/>
      <c r="DV30" s="171"/>
      <c r="DW30" s="171"/>
      <c r="DX30" s="171"/>
      <c r="DY30" s="171"/>
      <c r="DZ30" s="143"/>
      <c r="EA30" s="171"/>
      <c r="EB30" s="171"/>
      <c r="EC30" s="171"/>
      <c r="ED30" s="171"/>
      <c r="EE30" s="171"/>
      <c r="EF30" s="171"/>
    </row>
    <row r="31" spans="1:174" s="27" customFormat="1" ht="19.5" customHeight="1">
      <c r="A31" s="35"/>
      <c r="B31" s="72"/>
      <c r="C31" s="159"/>
      <c r="D31" s="647" t="s">
        <v>71</v>
      </c>
      <c r="E31" s="648"/>
      <c r="F31" s="648"/>
      <c r="G31" s="648"/>
      <c r="H31" s="648"/>
      <c r="I31" s="648"/>
      <c r="J31" s="648"/>
      <c r="K31" s="648"/>
      <c r="L31" s="648"/>
      <c r="M31" s="648"/>
      <c r="N31" s="648"/>
      <c r="O31" s="648"/>
      <c r="P31" s="648"/>
      <c r="Q31" s="648"/>
      <c r="R31" s="648"/>
      <c r="S31" s="648"/>
      <c r="T31" s="648"/>
      <c r="U31" s="648"/>
      <c r="V31" s="648"/>
      <c r="W31" s="648"/>
      <c r="X31" s="648"/>
      <c r="Y31" s="648"/>
      <c r="Z31" s="648"/>
      <c r="AA31" s="648"/>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8"/>
      <c r="BF31" s="648"/>
      <c r="BG31" s="648"/>
      <c r="BH31" s="648"/>
      <c r="BI31" s="648"/>
      <c r="BJ31" s="648"/>
      <c r="BK31" s="648"/>
      <c r="BL31" s="648"/>
      <c r="BM31" s="648"/>
      <c r="BN31" s="648"/>
      <c r="BO31" s="648"/>
      <c r="BP31" s="648"/>
      <c r="BQ31" s="648"/>
      <c r="BR31" s="648"/>
      <c r="BS31" s="648"/>
      <c r="BT31" s="648"/>
      <c r="BU31" s="648"/>
      <c r="BV31" s="648"/>
      <c r="BW31" s="648"/>
      <c r="BX31" s="648"/>
      <c r="BY31" s="648"/>
      <c r="BZ31" s="648"/>
      <c r="CA31" s="648"/>
      <c r="CB31" s="648"/>
      <c r="CC31" s="649"/>
      <c r="CD31" s="130"/>
      <c r="CE31" s="141"/>
      <c r="CF31" s="130"/>
      <c r="CG31" s="129"/>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28"/>
      <c r="DR31" s="58"/>
      <c r="DS31" s="48"/>
    </row>
    <row r="32" spans="1:174" s="27" customFormat="1" ht="19.5" customHeight="1">
      <c r="A32" s="35"/>
      <c r="B32" s="72"/>
      <c r="C32" s="159"/>
      <c r="D32" s="650" t="s">
        <v>64</v>
      </c>
      <c r="E32" s="651"/>
      <c r="F32" s="651"/>
      <c r="G32" s="651"/>
      <c r="H32" s="651"/>
      <c r="I32" s="651"/>
      <c r="J32" s="651"/>
      <c r="K32" s="651"/>
      <c r="L32" s="651"/>
      <c r="M32" s="651"/>
      <c r="N32" s="651"/>
      <c r="O32" s="651"/>
      <c r="P32" s="651"/>
      <c r="Q32" s="651"/>
      <c r="R32" s="651"/>
      <c r="S32" s="652"/>
      <c r="T32" s="653" t="s">
        <v>70</v>
      </c>
      <c r="U32" s="654"/>
      <c r="V32" s="654"/>
      <c r="W32" s="654"/>
      <c r="X32" s="655"/>
      <c r="Y32" s="672" t="s">
        <v>273</v>
      </c>
      <c r="Z32" s="654"/>
      <c r="AA32" s="654"/>
      <c r="AB32" s="654"/>
      <c r="AC32" s="655"/>
      <c r="AD32" s="650" t="s">
        <v>176</v>
      </c>
      <c r="AE32" s="651"/>
      <c r="AF32" s="651"/>
      <c r="AG32" s="651"/>
      <c r="AH32" s="651"/>
      <c r="AI32" s="651"/>
      <c r="AJ32" s="651"/>
      <c r="AK32" s="651"/>
      <c r="AL32" s="651"/>
      <c r="AM32" s="651"/>
      <c r="AN32" s="651"/>
      <c r="AO32" s="651"/>
      <c r="AP32" s="652"/>
      <c r="AQ32" s="650" t="s">
        <v>252</v>
      </c>
      <c r="AR32" s="651"/>
      <c r="AS32" s="651"/>
      <c r="AT32" s="651"/>
      <c r="AU32" s="651"/>
      <c r="AV32" s="651"/>
      <c r="AW32" s="651"/>
      <c r="AX32" s="651"/>
      <c r="AY32" s="651"/>
      <c r="AZ32" s="651"/>
      <c r="BA32" s="651"/>
      <c r="BB32" s="651"/>
      <c r="BC32" s="651"/>
      <c r="BD32" s="651"/>
      <c r="BE32" s="652"/>
      <c r="BF32" s="656" t="s">
        <v>120</v>
      </c>
      <c r="BG32" s="662"/>
      <c r="BH32" s="662"/>
      <c r="BI32" s="662"/>
      <c r="BJ32" s="662"/>
      <c r="BK32" s="662"/>
      <c r="BL32" s="662"/>
      <c r="BM32" s="662"/>
      <c r="BN32" s="662"/>
      <c r="BO32" s="662"/>
      <c r="BP32" s="662"/>
      <c r="BQ32" s="663"/>
      <c r="BR32" s="656" t="s">
        <v>121</v>
      </c>
      <c r="BS32" s="662"/>
      <c r="BT32" s="662"/>
      <c r="BU32" s="662"/>
      <c r="BV32" s="662"/>
      <c r="BW32" s="662"/>
      <c r="BX32" s="662"/>
      <c r="BY32" s="662"/>
      <c r="BZ32" s="662"/>
      <c r="CA32" s="662"/>
      <c r="CB32" s="662"/>
      <c r="CC32" s="663"/>
      <c r="CD32" s="130"/>
      <c r="CE32" s="141"/>
      <c r="CF32" s="130"/>
      <c r="CG32" s="142"/>
      <c r="CH32" s="143"/>
      <c r="CI32" s="143"/>
      <c r="CJ32" s="143"/>
      <c r="CK32" s="143"/>
      <c r="CL32" s="143"/>
      <c r="CM32" s="143"/>
      <c r="CN32" s="143"/>
      <c r="CO32" s="143"/>
      <c r="CP32" s="143"/>
      <c r="CQ32" s="143"/>
      <c r="CR32" s="143"/>
      <c r="CS32" s="143"/>
      <c r="CT32" s="143"/>
      <c r="CU32" s="143"/>
      <c r="CV32" s="143"/>
      <c r="CW32" s="143"/>
      <c r="CX32" s="143"/>
      <c r="CY32" s="143"/>
      <c r="CZ32" s="143"/>
      <c r="DA32" s="143"/>
      <c r="DB32" s="143"/>
      <c r="DC32" s="143"/>
      <c r="DD32" s="143"/>
      <c r="DE32" s="143"/>
      <c r="DF32" s="143"/>
      <c r="DG32" s="143"/>
      <c r="DH32" s="143"/>
      <c r="DI32" s="143"/>
      <c r="DJ32" s="143"/>
      <c r="DK32" s="143"/>
      <c r="DL32" s="143"/>
      <c r="DM32" s="143"/>
      <c r="DN32" s="143"/>
      <c r="DO32" s="143"/>
      <c r="DP32" s="143"/>
      <c r="DQ32" s="128"/>
      <c r="DR32" s="58"/>
      <c r="DS32" s="48"/>
    </row>
    <row r="33" spans="1:123" s="27" customFormat="1" ht="19.5" customHeight="1">
      <c r="A33" s="35"/>
      <c r="B33" s="72"/>
      <c r="C33" s="159"/>
      <c r="D33" s="667"/>
      <c r="E33" s="668"/>
      <c r="F33" s="668"/>
      <c r="G33" s="668"/>
      <c r="H33" s="668"/>
      <c r="I33" s="668"/>
      <c r="J33" s="668"/>
      <c r="K33" s="668"/>
      <c r="L33" s="668"/>
      <c r="M33" s="668"/>
      <c r="N33" s="668"/>
      <c r="O33" s="668"/>
      <c r="P33" s="668"/>
      <c r="Q33" s="668"/>
      <c r="R33" s="668"/>
      <c r="S33" s="669"/>
      <c r="T33" s="653"/>
      <c r="U33" s="654"/>
      <c r="V33" s="654"/>
      <c r="W33" s="654"/>
      <c r="X33" s="655"/>
      <c r="Y33" s="653"/>
      <c r="Z33" s="654"/>
      <c r="AA33" s="654"/>
      <c r="AB33" s="654"/>
      <c r="AC33" s="655"/>
      <c r="AD33" s="667"/>
      <c r="AE33" s="668"/>
      <c r="AF33" s="668"/>
      <c r="AG33" s="668"/>
      <c r="AH33" s="668"/>
      <c r="AI33" s="668"/>
      <c r="AJ33" s="668"/>
      <c r="AK33" s="668"/>
      <c r="AL33" s="668"/>
      <c r="AM33" s="668"/>
      <c r="AN33" s="668"/>
      <c r="AO33" s="668"/>
      <c r="AP33" s="669"/>
      <c r="AQ33" s="667"/>
      <c r="AR33" s="668"/>
      <c r="AS33" s="668"/>
      <c r="AT33" s="668"/>
      <c r="AU33" s="668"/>
      <c r="AV33" s="668"/>
      <c r="AW33" s="668"/>
      <c r="AX33" s="668"/>
      <c r="AY33" s="668"/>
      <c r="AZ33" s="668"/>
      <c r="BA33" s="668"/>
      <c r="BB33" s="668"/>
      <c r="BC33" s="668"/>
      <c r="BD33" s="668"/>
      <c r="BE33" s="669"/>
      <c r="BF33" s="664"/>
      <c r="BG33" s="665"/>
      <c r="BH33" s="665"/>
      <c r="BI33" s="665"/>
      <c r="BJ33" s="665"/>
      <c r="BK33" s="665"/>
      <c r="BL33" s="665"/>
      <c r="BM33" s="665"/>
      <c r="BN33" s="665"/>
      <c r="BO33" s="665"/>
      <c r="BP33" s="665"/>
      <c r="BQ33" s="666"/>
      <c r="BR33" s="664"/>
      <c r="BS33" s="665"/>
      <c r="BT33" s="665"/>
      <c r="BU33" s="665"/>
      <c r="BV33" s="665"/>
      <c r="BW33" s="665"/>
      <c r="BX33" s="665"/>
      <c r="BY33" s="665"/>
      <c r="BZ33" s="665"/>
      <c r="CA33" s="665"/>
      <c r="CB33" s="665"/>
      <c r="CC33" s="666"/>
      <c r="CD33" s="130"/>
      <c r="CE33" s="141"/>
      <c r="CF33" s="130"/>
      <c r="CG33" s="142"/>
      <c r="CH33" s="143"/>
      <c r="CI33" s="143"/>
      <c r="CJ33" s="143"/>
      <c r="CK33" s="143"/>
      <c r="CL33" s="143"/>
      <c r="CM33" s="143"/>
      <c r="CN33" s="143"/>
      <c r="CO33" s="143"/>
      <c r="CP33" s="143"/>
      <c r="CQ33" s="143"/>
      <c r="CR33" s="143"/>
      <c r="CS33" s="143"/>
      <c r="CT33" s="143"/>
      <c r="CU33" s="143"/>
      <c r="CV33" s="143"/>
      <c r="CW33" s="143"/>
      <c r="CX33" s="143"/>
      <c r="CY33" s="143"/>
      <c r="CZ33" s="143"/>
      <c r="DA33" s="143"/>
      <c r="DB33" s="143"/>
      <c r="DC33" s="143"/>
      <c r="DD33" s="143"/>
      <c r="DE33" s="143"/>
      <c r="DF33" s="143"/>
      <c r="DG33" s="143"/>
      <c r="DH33" s="143"/>
      <c r="DI33" s="143"/>
      <c r="DJ33" s="143"/>
      <c r="DK33" s="143"/>
      <c r="DL33" s="143"/>
      <c r="DM33" s="143"/>
      <c r="DN33" s="143"/>
      <c r="DO33" s="143"/>
      <c r="DP33" s="143"/>
      <c r="DQ33" s="128"/>
      <c r="DR33" s="58"/>
      <c r="DS33" s="48"/>
    </row>
    <row r="34" spans="1:123" s="27" customFormat="1" ht="19.350000000000001" customHeight="1">
      <c r="A34" s="35"/>
      <c r="B34" s="72"/>
      <c r="C34" s="159"/>
      <c r="D34" s="309" t="s">
        <v>66</v>
      </c>
      <c r="E34" s="310"/>
      <c r="F34" s="310"/>
      <c r="G34" s="310"/>
      <c r="H34" s="310"/>
      <c r="I34" s="310"/>
      <c r="J34" s="310"/>
      <c r="K34" s="310"/>
      <c r="L34" s="90"/>
      <c r="M34" s="310"/>
      <c r="N34" s="90"/>
      <c r="O34" s="310"/>
      <c r="P34" s="310"/>
      <c r="Q34" s="310"/>
      <c r="R34" s="310"/>
      <c r="S34" s="311"/>
      <c r="T34" s="707" t="s">
        <v>75</v>
      </c>
      <c r="U34" s="708"/>
      <c r="V34" s="708"/>
      <c r="W34" s="708"/>
      <c r="X34" s="709"/>
      <c r="Y34" s="707" t="s">
        <v>65</v>
      </c>
      <c r="Z34" s="708"/>
      <c r="AA34" s="708"/>
      <c r="AB34" s="708"/>
      <c r="AC34" s="709"/>
      <c r="AD34" s="309" t="s">
        <v>177</v>
      </c>
      <c r="AE34" s="310"/>
      <c r="AF34" s="310"/>
      <c r="AG34" s="310"/>
      <c r="AH34" s="310"/>
      <c r="AI34" s="310"/>
      <c r="AJ34" s="310"/>
      <c r="AK34" s="307"/>
      <c r="AL34" s="307"/>
      <c r="AM34" s="307"/>
      <c r="AN34" s="307"/>
      <c r="AO34" s="307"/>
      <c r="AP34" s="307"/>
      <c r="AQ34" s="309" t="s">
        <v>301</v>
      </c>
      <c r="AR34" s="307"/>
      <c r="AS34" s="307"/>
      <c r="AT34" s="307"/>
      <c r="AU34" s="307"/>
      <c r="AV34" s="307"/>
      <c r="AW34" s="161"/>
      <c r="AX34" s="161"/>
      <c r="AY34" s="161"/>
      <c r="AZ34" s="161"/>
      <c r="BA34" s="161"/>
      <c r="BB34" s="161"/>
      <c r="BC34" s="161"/>
      <c r="BD34" s="307"/>
      <c r="BE34" s="307"/>
      <c r="BF34" s="306"/>
      <c r="BG34" s="307"/>
      <c r="BH34" s="307"/>
      <c r="BI34" s="307"/>
      <c r="BJ34" s="307"/>
      <c r="BK34" s="307"/>
      <c r="BL34" s="307"/>
      <c r="BM34" s="307"/>
      <c r="BN34" s="307"/>
      <c r="BO34" s="307"/>
      <c r="BP34" s="188"/>
      <c r="BQ34" s="188" t="s">
        <v>79</v>
      </c>
      <c r="BR34" s="189"/>
      <c r="BS34" s="161"/>
      <c r="BT34" s="161"/>
      <c r="BU34" s="161"/>
      <c r="BV34" s="162"/>
      <c r="BW34" s="163"/>
      <c r="BX34" s="163"/>
      <c r="BY34" s="310"/>
      <c r="BZ34" s="310"/>
      <c r="CA34" s="310"/>
      <c r="CB34" s="307"/>
      <c r="CC34" s="308" t="s">
        <v>190</v>
      </c>
      <c r="CD34" s="130"/>
      <c r="CE34" s="141"/>
      <c r="CF34" s="130"/>
      <c r="CG34" s="142"/>
      <c r="CH34" s="143"/>
      <c r="CI34" s="143"/>
      <c r="CJ34" s="143"/>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3"/>
      <c r="DI34" s="143"/>
      <c r="DJ34" s="143"/>
      <c r="DK34" s="143"/>
      <c r="DL34" s="143"/>
      <c r="DM34" s="143"/>
      <c r="DN34" s="143"/>
      <c r="DO34" s="143"/>
      <c r="DP34" s="143"/>
      <c r="DQ34" s="128"/>
      <c r="DR34" s="58"/>
      <c r="DS34" s="48"/>
    </row>
    <row r="35" spans="1:123" s="27" customFormat="1" ht="19.5" customHeight="1">
      <c r="A35" s="35"/>
      <c r="B35" s="72"/>
      <c r="C35" s="159"/>
      <c r="D35" s="130"/>
      <c r="E35" s="130"/>
      <c r="F35" s="147"/>
      <c r="G35" s="130"/>
      <c r="H35" s="130"/>
      <c r="I35" s="130"/>
      <c r="J35" s="130"/>
      <c r="K35" s="130"/>
      <c r="L35" s="130"/>
      <c r="M35" s="130"/>
      <c r="N35" s="130"/>
      <c r="O35" s="130"/>
      <c r="P35" s="130"/>
      <c r="Q35" s="130"/>
      <c r="R35" s="130"/>
      <c r="S35" s="130"/>
      <c r="T35" s="130"/>
      <c r="U35" s="130"/>
      <c r="V35" s="130"/>
      <c r="W35" s="316"/>
      <c r="X35" s="316"/>
      <c r="Y35" s="316"/>
      <c r="Z35" s="316"/>
      <c r="AA35" s="316"/>
      <c r="AB35" s="316"/>
      <c r="AC35" s="316"/>
      <c r="AD35" s="316"/>
      <c r="AE35" s="341"/>
      <c r="AF35" s="130"/>
      <c r="AG35" s="130"/>
      <c r="AH35" s="130"/>
      <c r="AI35" s="137"/>
      <c r="AJ35" s="130"/>
      <c r="AK35" s="130"/>
      <c r="AL35" s="130"/>
      <c r="AM35" s="130"/>
      <c r="AN35" s="130"/>
      <c r="AO35" s="130"/>
      <c r="AP35" s="130"/>
      <c r="AQ35" s="641" t="s">
        <v>78</v>
      </c>
      <c r="AR35" s="642"/>
      <c r="AS35" s="642"/>
      <c r="AT35" s="642"/>
      <c r="AU35" s="642"/>
      <c r="AV35" s="642"/>
      <c r="AW35" s="642"/>
      <c r="AX35" s="642"/>
      <c r="AY35" s="642"/>
      <c r="AZ35" s="642"/>
      <c r="BA35" s="642"/>
      <c r="BB35" s="642"/>
      <c r="BC35" s="642"/>
      <c r="BD35" s="642"/>
      <c r="BE35" s="643"/>
      <c r="BF35" s="309"/>
      <c r="BG35" s="310"/>
      <c r="BH35" s="310"/>
      <c r="BI35" s="310"/>
      <c r="BJ35" s="310"/>
      <c r="BK35" s="310"/>
      <c r="BL35" s="310"/>
      <c r="BM35" s="310"/>
      <c r="BN35" s="310"/>
      <c r="BO35" s="310"/>
      <c r="BP35" s="188"/>
      <c r="BQ35" s="188" t="s">
        <v>79</v>
      </c>
      <c r="BR35" s="309"/>
      <c r="BS35" s="310"/>
      <c r="BT35" s="310"/>
      <c r="BU35" s="310"/>
      <c r="BV35" s="310"/>
      <c r="BW35" s="310"/>
      <c r="BX35" s="310"/>
      <c r="BY35" s="310"/>
      <c r="BZ35" s="310"/>
      <c r="CA35" s="310"/>
      <c r="CB35" s="307"/>
      <c r="CC35" s="308" t="s">
        <v>190</v>
      </c>
      <c r="CD35" s="137"/>
      <c r="CE35" s="137"/>
      <c r="CF35" s="139"/>
      <c r="CG35" s="140"/>
      <c r="CH35" s="128"/>
      <c r="CI35" s="128"/>
      <c r="CJ35" s="128"/>
      <c r="CK35" s="128"/>
      <c r="CL35" s="128"/>
      <c r="CM35" s="128"/>
      <c r="CN35" s="128"/>
      <c r="CO35" s="128"/>
      <c r="CP35" s="128"/>
      <c r="CQ35" s="128"/>
      <c r="CR35" s="58"/>
      <c r="CS35" s="48"/>
    </row>
    <row r="36" spans="1:123" s="27" customFormat="1" ht="19.5" customHeight="1">
      <c r="A36" s="35"/>
      <c r="B36" s="72"/>
      <c r="C36" s="159"/>
      <c r="D36" s="130"/>
      <c r="E36" s="130"/>
      <c r="F36" s="130"/>
      <c r="G36" s="130"/>
      <c r="H36" s="130"/>
      <c r="I36" s="130"/>
      <c r="J36" s="130"/>
      <c r="K36" s="130"/>
      <c r="L36" s="130"/>
      <c r="M36" s="130"/>
      <c r="N36" s="130"/>
      <c r="O36" s="130"/>
      <c r="P36" s="130"/>
      <c r="Q36" s="130"/>
      <c r="R36" s="130"/>
      <c r="S36" s="130"/>
      <c r="T36" s="130"/>
      <c r="U36" s="130"/>
      <c r="V36" s="130"/>
      <c r="W36" s="316"/>
      <c r="X36" s="316"/>
      <c r="Y36" s="316"/>
      <c r="Z36" s="316"/>
      <c r="AA36" s="316"/>
      <c r="AB36" s="316"/>
      <c r="AC36" s="316"/>
      <c r="AD36" s="316"/>
      <c r="AE36" s="341"/>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41"/>
      <c r="BM36" s="130"/>
      <c r="BN36" s="130"/>
      <c r="BO36" s="130"/>
      <c r="BP36" s="130"/>
      <c r="BQ36" s="130"/>
      <c r="BR36" s="137"/>
      <c r="BS36" s="137"/>
      <c r="BT36" s="137"/>
      <c r="BU36" s="137"/>
      <c r="BV36" s="137"/>
      <c r="BW36" s="137"/>
      <c r="BX36" s="137"/>
      <c r="BY36" s="137"/>
      <c r="BZ36" s="137"/>
      <c r="CA36" s="137"/>
      <c r="CB36" s="137"/>
      <c r="CC36" s="137"/>
      <c r="CD36" s="159"/>
      <c r="CE36" s="138"/>
      <c r="CF36" s="172"/>
      <c r="CG36" s="129"/>
    </row>
    <row r="37" spans="1:123" s="27" customFormat="1" ht="19.5" customHeight="1">
      <c r="A37" s="35"/>
      <c r="B37" s="72"/>
      <c r="C37" s="159"/>
      <c r="D37" s="349"/>
      <c r="E37" s="349"/>
      <c r="F37" s="349"/>
      <c r="G37" s="349"/>
      <c r="H37" s="350"/>
      <c r="I37" s="351"/>
      <c r="J37" s="350"/>
      <c r="K37" s="350"/>
      <c r="L37" s="350"/>
      <c r="M37" s="350"/>
      <c r="N37" s="350"/>
      <c r="O37" s="351"/>
      <c r="P37" s="350"/>
      <c r="Q37" s="350"/>
      <c r="R37" s="350"/>
      <c r="S37" s="350"/>
      <c r="T37" s="350"/>
      <c r="U37" s="351"/>
      <c r="V37" s="350"/>
      <c r="W37" s="352"/>
      <c r="X37" s="352"/>
      <c r="Y37" s="352"/>
      <c r="Z37" s="352"/>
      <c r="AA37" s="352"/>
      <c r="AB37" s="352"/>
      <c r="AC37" s="352"/>
      <c r="AD37" s="353"/>
      <c r="AE37" s="353"/>
      <c r="AF37" s="354"/>
      <c r="AG37" s="354"/>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c r="BT37" s="350"/>
      <c r="BU37" s="350"/>
      <c r="BV37" s="350"/>
      <c r="BW37" s="350"/>
      <c r="BX37" s="350"/>
      <c r="BY37" s="350"/>
      <c r="BZ37" s="354"/>
      <c r="CA37" s="354"/>
      <c r="CB37" s="350"/>
      <c r="CC37" s="350"/>
      <c r="CD37" s="138"/>
      <c r="CE37" s="138"/>
      <c r="CF37" s="172"/>
      <c r="CG37" s="129"/>
    </row>
    <row r="38" spans="1:123" s="27" customFormat="1" ht="19.5" customHeight="1">
      <c r="A38" s="35"/>
      <c r="B38" s="72"/>
      <c r="C38" s="159"/>
      <c r="D38" s="349"/>
      <c r="E38" s="349"/>
      <c r="F38" s="349"/>
      <c r="G38" s="349"/>
      <c r="H38" s="350"/>
      <c r="I38" s="351"/>
      <c r="J38" s="350"/>
      <c r="K38" s="350"/>
      <c r="L38" s="350"/>
      <c r="M38" s="350"/>
      <c r="N38" s="350"/>
      <c r="O38" s="351"/>
      <c r="P38" s="350"/>
      <c r="Q38" s="350"/>
      <c r="R38" s="350"/>
      <c r="S38" s="350"/>
      <c r="T38" s="350"/>
      <c r="U38" s="351"/>
      <c r="V38" s="350"/>
      <c r="W38" s="352"/>
      <c r="X38" s="352"/>
      <c r="Y38" s="352"/>
      <c r="Z38" s="352"/>
      <c r="AA38" s="352"/>
      <c r="AB38" s="352"/>
      <c r="AC38" s="352"/>
      <c r="AD38" s="353"/>
      <c r="AE38" s="353"/>
      <c r="AF38" s="354"/>
      <c r="AG38" s="354"/>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c r="BZ38" s="354"/>
      <c r="CA38" s="354"/>
      <c r="CB38" s="350"/>
      <c r="CC38" s="350"/>
      <c r="CD38" s="138"/>
      <c r="CE38" s="138"/>
      <c r="CF38" s="172"/>
      <c r="CG38" s="129"/>
    </row>
    <row r="39" spans="1:123" s="27" customFormat="1" ht="19.5" customHeight="1">
      <c r="A39" s="35"/>
      <c r="B39" s="72"/>
      <c r="C39" s="159"/>
      <c r="D39" s="349"/>
      <c r="E39" s="349"/>
      <c r="F39" s="349"/>
      <c r="G39" s="349"/>
      <c r="H39" s="350"/>
      <c r="I39" s="351"/>
      <c r="J39" s="350"/>
      <c r="K39" s="350"/>
      <c r="L39" s="350"/>
      <c r="M39" s="350"/>
      <c r="N39" s="350"/>
      <c r="O39" s="351"/>
      <c r="P39" s="350"/>
      <c r="Q39" s="350"/>
      <c r="R39" s="350"/>
      <c r="S39" s="350"/>
      <c r="T39" s="350"/>
      <c r="U39" s="351"/>
      <c r="V39" s="350"/>
      <c r="W39" s="352"/>
      <c r="X39" s="352"/>
      <c r="Y39" s="352"/>
      <c r="Z39" s="352"/>
      <c r="AA39" s="352"/>
      <c r="AB39" s="352"/>
      <c r="AC39" s="352"/>
      <c r="AD39" s="353"/>
      <c r="AE39" s="353"/>
      <c r="AF39" s="354"/>
      <c r="AG39" s="354"/>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350"/>
      <c r="BU39" s="350"/>
      <c r="BV39" s="350"/>
      <c r="BW39" s="350"/>
      <c r="BX39" s="350"/>
      <c r="BY39" s="350"/>
      <c r="BZ39" s="354"/>
      <c r="CA39" s="354"/>
      <c r="CB39" s="350"/>
      <c r="CC39" s="350"/>
      <c r="CD39" s="138"/>
      <c r="CE39" s="138"/>
      <c r="CF39" s="172"/>
      <c r="CG39" s="129"/>
    </row>
    <row r="40" spans="1:123" s="27" customFormat="1" ht="19.5" customHeight="1" thickBot="1">
      <c r="A40" s="35"/>
      <c r="B40" s="73"/>
      <c r="C40" s="74"/>
      <c r="D40" s="74"/>
      <c r="E40" s="74"/>
      <c r="F40" s="74"/>
      <c r="G40" s="74"/>
      <c r="H40" s="74"/>
      <c r="I40" s="74"/>
      <c r="J40" s="74"/>
      <c r="K40" s="74"/>
      <c r="L40" s="67"/>
      <c r="M40" s="67"/>
      <c r="N40" s="67"/>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7"/>
      <c r="CA40" s="67"/>
      <c r="CB40" s="68"/>
      <c r="CC40" s="68"/>
      <c r="CD40" s="68"/>
      <c r="CE40" s="68"/>
      <c r="CF40" s="69"/>
      <c r="CG40" s="101"/>
    </row>
    <row r="41" spans="1:123" s="27" customFormat="1" ht="19.5" customHeight="1">
      <c r="A41" s="104"/>
      <c r="B41" s="92"/>
      <c r="C41" s="92"/>
      <c r="D41" s="93"/>
      <c r="E41" s="93"/>
      <c r="F41" s="93"/>
      <c r="G41" s="93"/>
      <c r="H41" s="93"/>
      <c r="I41" s="93"/>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4"/>
      <c r="BY41" s="93"/>
      <c r="BZ41" s="93"/>
      <c r="CA41" s="93"/>
      <c r="CB41" s="94"/>
      <c r="CC41" s="94"/>
      <c r="CD41" s="93"/>
      <c r="CE41" s="93"/>
      <c r="CF41" s="103"/>
      <c r="CG41" s="102"/>
    </row>
    <row r="42" spans="1:123" ht="18" customHeight="1" thickBot="1">
      <c r="A42" s="107"/>
      <c r="B42" s="238" t="s">
        <v>290</v>
      </c>
      <c r="CG42" s="106"/>
    </row>
    <row r="43" spans="1:123" ht="14.25" customHeight="1">
      <c r="A43" s="107"/>
      <c r="B43" s="59"/>
      <c r="C43" s="60"/>
      <c r="D43" s="60"/>
      <c r="E43" s="60"/>
      <c r="F43" s="60"/>
      <c r="G43" s="60"/>
      <c r="H43" s="60"/>
      <c r="I43" s="60"/>
      <c r="J43" s="60"/>
      <c r="K43" s="60"/>
      <c r="L43" s="418" t="s">
        <v>31</v>
      </c>
      <c r="M43" s="419"/>
      <c r="N43" s="419"/>
      <c r="O43" s="419"/>
      <c r="P43" s="419"/>
      <c r="Q43" s="419"/>
      <c r="R43" s="419"/>
      <c r="S43" s="419"/>
      <c r="T43" s="419"/>
      <c r="U43" s="419"/>
      <c r="V43" s="419"/>
      <c r="W43" s="419"/>
      <c r="X43" s="419"/>
      <c r="Y43" s="419"/>
      <c r="Z43" s="419"/>
      <c r="AA43" s="419"/>
      <c r="AB43" s="419"/>
      <c r="AC43" s="419"/>
      <c r="AD43" s="419"/>
      <c r="AE43" s="419"/>
      <c r="AF43" s="419"/>
      <c r="AG43" s="419"/>
      <c r="AH43" s="419"/>
      <c r="AI43" s="419"/>
      <c r="AJ43" s="419"/>
      <c r="AK43" s="419"/>
      <c r="AL43" s="419"/>
      <c r="AM43" s="419"/>
      <c r="AN43" s="419"/>
      <c r="AO43" s="419"/>
      <c r="AP43" s="419"/>
      <c r="AQ43" s="419"/>
      <c r="AR43" s="419"/>
      <c r="AS43" s="419"/>
      <c r="AT43" s="419"/>
      <c r="AU43" s="419"/>
      <c r="AV43" s="419"/>
      <c r="AW43" s="419"/>
      <c r="AX43" s="419"/>
      <c r="AY43" s="419"/>
      <c r="AZ43" s="419"/>
      <c r="BA43" s="419"/>
      <c r="BB43" s="419"/>
      <c r="BC43" s="419"/>
      <c r="BD43" s="419"/>
      <c r="BE43" s="419"/>
      <c r="BF43" s="419"/>
      <c r="BG43" s="419"/>
      <c r="BH43" s="419"/>
      <c r="BI43" s="419"/>
      <c r="BJ43" s="419"/>
      <c r="BK43" s="419"/>
      <c r="BL43" s="419"/>
      <c r="BM43" s="419"/>
      <c r="BN43" s="419"/>
      <c r="BO43" s="419"/>
      <c r="BP43" s="419"/>
      <c r="BQ43" s="419"/>
      <c r="BR43" s="419"/>
      <c r="BS43" s="419"/>
      <c r="BT43" s="419"/>
      <c r="BU43" s="419"/>
      <c r="BV43" s="422" t="s">
        <v>32</v>
      </c>
      <c r="BW43" s="422"/>
      <c r="BX43" s="422"/>
      <c r="BY43" s="422"/>
      <c r="BZ43" s="422"/>
      <c r="CA43" s="422"/>
      <c r="CB43" s="422"/>
      <c r="CC43" s="422"/>
      <c r="CD43" s="422"/>
      <c r="CE43" s="422"/>
      <c r="CF43" s="423"/>
      <c r="CG43" s="106"/>
    </row>
    <row r="44" spans="1:123" ht="14.25" customHeight="1">
      <c r="A44" s="107"/>
      <c r="B44" s="61"/>
      <c r="C44" s="315"/>
      <c r="D44" s="315"/>
      <c r="E44" s="315"/>
      <c r="F44" s="315"/>
      <c r="G44" s="315"/>
      <c r="H44" s="315"/>
      <c r="I44" s="315"/>
      <c r="J44" s="315"/>
      <c r="K44" s="315"/>
      <c r="L44" s="420"/>
      <c r="M44" s="420"/>
      <c r="N44" s="420"/>
      <c r="O44" s="420"/>
      <c r="P44" s="420"/>
      <c r="Q44" s="420"/>
      <c r="R44" s="420"/>
      <c r="S44" s="420"/>
      <c r="T44" s="420"/>
      <c r="U44" s="420"/>
      <c r="V44" s="420"/>
      <c r="W44" s="420"/>
      <c r="X44" s="420"/>
      <c r="Y44" s="420"/>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0"/>
      <c r="AX44" s="420"/>
      <c r="AY44" s="420"/>
      <c r="AZ44" s="420"/>
      <c r="BA44" s="420"/>
      <c r="BB44" s="420"/>
      <c r="BC44" s="420"/>
      <c r="BD44" s="420"/>
      <c r="BE44" s="420"/>
      <c r="BF44" s="420"/>
      <c r="BG44" s="420"/>
      <c r="BH44" s="420"/>
      <c r="BI44" s="420"/>
      <c r="BJ44" s="420"/>
      <c r="BK44" s="420"/>
      <c r="BL44" s="420"/>
      <c r="BM44" s="420"/>
      <c r="BN44" s="420"/>
      <c r="BO44" s="420"/>
      <c r="BP44" s="420"/>
      <c r="BQ44" s="420"/>
      <c r="BR44" s="420"/>
      <c r="BS44" s="420"/>
      <c r="BT44" s="420"/>
      <c r="BU44" s="420"/>
      <c r="BV44" s="424"/>
      <c r="BW44" s="424"/>
      <c r="BX44" s="424"/>
      <c r="BY44" s="424"/>
      <c r="BZ44" s="424"/>
      <c r="CA44" s="424"/>
      <c r="CB44" s="424"/>
      <c r="CC44" s="424"/>
      <c r="CD44" s="424"/>
      <c r="CE44" s="424"/>
      <c r="CF44" s="425"/>
      <c r="CG44" s="106"/>
    </row>
    <row r="45" spans="1:123" s="27" customFormat="1" ht="19.5" customHeight="1" thickBot="1">
      <c r="A45" s="35"/>
      <c r="B45" s="62"/>
      <c r="C45" s="63"/>
      <c r="D45" s="63"/>
      <c r="E45" s="63"/>
      <c r="F45" s="63"/>
      <c r="G45" s="63"/>
      <c r="H45" s="63"/>
      <c r="I45" s="63"/>
      <c r="J45" s="63"/>
      <c r="K45" s="63"/>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c r="AJ45" s="421"/>
      <c r="AK45" s="421"/>
      <c r="AL45" s="421"/>
      <c r="AM45" s="421"/>
      <c r="AN45" s="421"/>
      <c r="AO45" s="421"/>
      <c r="AP45" s="421"/>
      <c r="AQ45" s="421"/>
      <c r="AR45" s="421"/>
      <c r="AS45" s="421"/>
      <c r="AT45" s="421"/>
      <c r="AU45" s="421"/>
      <c r="AV45" s="421"/>
      <c r="AW45" s="421"/>
      <c r="AX45" s="421"/>
      <c r="AY45" s="421"/>
      <c r="AZ45" s="421"/>
      <c r="BA45" s="421"/>
      <c r="BB45" s="421"/>
      <c r="BC45" s="421"/>
      <c r="BD45" s="421"/>
      <c r="BE45" s="421"/>
      <c r="BF45" s="421"/>
      <c r="BG45" s="421"/>
      <c r="BH45" s="421"/>
      <c r="BI45" s="421"/>
      <c r="BJ45" s="421"/>
      <c r="BK45" s="421"/>
      <c r="BL45" s="421"/>
      <c r="BM45" s="421"/>
      <c r="BN45" s="421"/>
      <c r="BO45" s="421"/>
      <c r="BP45" s="421"/>
      <c r="BQ45" s="421"/>
      <c r="BR45" s="421"/>
      <c r="BS45" s="421"/>
      <c r="BT45" s="421"/>
      <c r="BU45" s="421"/>
      <c r="BV45" s="426"/>
      <c r="BW45" s="426"/>
      <c r="BX45" s="426"/>
      <c r="BY45" s="426"/>
      <c r="BZ45" s="426"/>
      <c r="CA45" s="426"/>
      <c r="CB45" s="426"/>
      <c r="CC45" s="426"/>
      <c r="CD45" s="426"/>
      <c r="CE45" s="426"/>
      <c r="CF45" s="427"/>
      <c r="CG45" s="101"/>
    </row>
    <row r="46" spans="1:123" s="27" customFormat="1" ht="19.5" customHeight="1" thickTop="1">
      <c r="A46" s="35"/>
      <c r="B46" s="70"/>
      <c r="C46" s="71"/>
      <c r="D46" s="91" t="s">
        <v>122</v>
      </c>
      <c r="E46" s="71"/>
      <c r="F46" s="71"/>
      <c r="G46" s="71"/>
      <c r="H46" s="71"/>
      <c r="I46" s="71"/>
      <c r="J46" s="71"/>
      <c r="K46" s="71"/>
      <c r="L46" s="64"/>
      <c r="M46" s="64"/>
      <c r="N46" s="119"/>
      <c r="O46" s="119"/>
      <c r="P46" s="119"/>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5"/>
      <c r="CG46" s="101"/>
    </row>
    <row r="47" spans="1:123" s="27" customFormat="1" ht="19.5" customHeight="1">
      <c r="A47" s="35"/>
      <c r="B47" s="72"/>
      <c r="C47" s="138"/>
      <c r="D47" s="428" t="s">
        <v>68</v>
      </c>
      <c r="E47" s="429"/>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30"/>
      <c r="CD47" s="138"/>
      <c r="CE47" s="138"/>
      <c r="CF47" s="66"/>
      <c r="CG47" s="101"/>
    </row>
    <row r="48" spans="1:123" s="27" customFormat="1" ht="21" customHeight="1">
      <c r="A48" s="35"/>
      <c r="B48" s="72"/>
      <c r="C48" s="138"/>
      <c r="D48" s="223"/>
      <c r="E48" s="223"/>
      <c r="F48" s="223"/>
      <c r="G48" s="223"/>
      <c r="H48" s="223"/>
      <c r="I48" s="223"/>
      <c r="J48" s="223"/>
      <c r="K48" s="223"/>
      <c r="L48" s="223"/>
      <c r="M48" s="223"/>
      <c r="N48" s="223"/>
      <c r="O48" s="223"/>
      <c r="P48" s="223"/>
      <c r="Q48" s="223"/>
      <c r="R48" s="223"/>
      <c r="S48" s="223"/>
      <c r="T48" s="223"/>
      <c r="U48" s="223"/>
      <c r="V48" s="223"/>
      <c r="W48" s="316"/>
      <c r="X48" s="316"/>
      <c r="Y48" s="316"/>
      <c r="Z48" s="316"/>
      <c r="AA48" s="316"/>
      <c r="AB48" s="316"/>
      <c r="AC48" s="316"/>
      <c r="AD48" s="316"/>
      <c r="AE48" s="316"/>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130"/>
      <c r="BZ48" s="223"/>
      <c r="CA48" s="223"/>
      <c r="CB48" s="130"/>
      <c r="CC48" s="223"/>
      <c r="CD48" s="138"/>
      <c r="CE48" s="138"/>
      <c r="CF48" s="66"/>
      <c r="CG48" s="101"/>
    </row>
    <row r="49" spans="1:85" s="27" customFormat="1" ht="19.5" customHeight="1">
      <c r="A49" s="35"/>
      <c r="B49" s="72"/>
      <c r="C49" s="159"/>
      <c r="D49" s="700" t="s">
        <v>291</v>
      </c>
      <c r="E49" s="701"/>
      <c r="F49" s="701"/>
      <c r="G49" s="701"/>
      <c r="H49" s="701"/>
      <c r="I49" s="701"/>
      <c r="J49" s="701"/>
      <c r="K49" s="701"/>
      <c r="L49" s="701"/>
      <c r="M49" s="701"/>
      <c r="N49" s="701"/>
      <c r="O49" s="701"/>
      <c r="P49" s="701"/>
      <c r="Q49" s="701"/>
      <c r="R49" s="701"/>
      <c r="S49" s="701"/>
      <c r="T49" s="701"/>
      <c r="U49" s="701"/>
      <c r="V49" s="701"/>
      <c r="W49" s="701"/>
      <c r="X49" s="701"/>
      <c r="Y49" s="701"/>
      <c r="Z49" s="701"/>
      <c r="AA49" s="701"/>
      <c r="AB49" s="701"/>
      <c r="AC49" s="701"/>
      <c r="AD49" s="701"/>
      <c r="AE49" s="701"/>
      <c r="AF49" s="701"/>
      <c r="AG49" s="701"/>
      <c r="AH49" s="701"/>
      <c r="AI49" s="701"/>
      <c r="AJ49" s="701"/>
      <c r="AK49" s="701"/>
      <c r="AL49" s="701"/>
      <c r="AM49" s="701"/>
      <c r="AN49" s="701"/>
      <c r="AO49" s="701"/>
      <c r="AP49" s="701"/>
      <c r="AQ49" s="701"/>
      <c r="AR49" s="701"/>
      <c r="AS49" s="701"/>
      <c r="AT49" s="701"/>
      <c r="AU49" s="701"/>
      <c r="AV49" s="701"/>
      <c r="AW49" s="701"/>
      <c r="AX49" s="701"/>
      <c r="AY49" s="701"/>
      <c r="AZ49" s="701"/>
      <c r="BA49" s="701"/>
      <c r="BB49" s="701"/>
      <c r="BC49" s="701"/>
      <c r="BD49" s="701"/>
      <c r="BE49" s="701"/>
      <c r="BF49" s="701"/>
      <c r="BG49" s="701"/>
      <c r="BH49" s="701"/>
      <c r="BI49" s="701"/>
      <c r="BJ49" s="701"/>
      <c r="BK49" s="701"/>
      <c r="BL49" s="701"/>
      <c r="BM49" s="701"/>
      <c r="BN49" s="701"/>
      <c r="BO49" s="701"/>
      <c r="BP49" s="701"/>
      <c r="BQ49" s="701"/>
      <c r="BR49" s="701"/>
      <c r="BS49" s="701"/>
      <c r="BT49" s="701"/>
      <c r="BU49" s="701"/>
      <c r="BV49" s="701"/>
      <c r="BW49" s="701"/>
      <c r="BX49" s="701"/>
      <c r="BY49" s="701"/>
      <c r="BZ49" s="701"/>
      <c r="CA49" s="701"/>
      <c r="CB49" s="701"/>
      <c r="CC49" s="702"/>
      <c r="CD49" s="159"/>
      <c r="CE49" s="138"/>
      <c r="CF49" s="172"/>
      <c r="CG49" s="129"/>
    </row>
    <row r="50" spans="1:85" s="27" customFormat="1" ht="19.5" customHeight="1">
      <c r="A50" s="35"/>
      <c r="B50" s="72"/>
      <c r="C50" s="159"/>
      <c r="D50" s="703"/>
      <c r="E50" s="704"/>
      <c r="F50" s="704"/>
      <c r="G50" s="704"/>
      <c r="H50" s="704"/>
      <c r="I50" s="704"/>
      <c r="J50" s="704"/>
      <c r="K50" s="704"/>
      <c r="L50" s="704"/>
      <c r="M50" s="704"/>
      <c r="N50" s="704"/>
      <c r="O50" s="704"/>
      <c r="P50" s="704"/>
      <c r="Q50" s="704"/>
      <c r="R50" s="704"/>
      <c r="S50" s="704"/>
      <c r="T50" s="704"/>
      <c r="U50" s="704"/>
      <c r="V50" s="704"/>
      <c r="W50" s="704"/>
      <c r="X50" s="704"/>
      <c r="Y50" s="704"/>
      <c r="Z50" s="704"/>
      <c r="AA50" s="704"/>
      <c r="AB50" s="704"/>
      <c r="AC50" s="704"/>
      <c r="AD50" s="704"/>
      <c r="AE50" s="704"/>
      <c r="AF50" s="704"/>
      <c r="AG50" s="704"/>
      <c r="AH50" s="704"/>
      <c r="AI50" s="704"/>
      <c r="AJ50" s="704"/>
      <c r="AK50" s="704"/>
      <c r="AL50" s="704"/>
      <c r="AM50" s="704"/>
      <c r="AN50" s="704"/>
      <c r="AO50" s="704"/>
      <c r="AP50" s="704"/>
      <c r="AQ50" s="704"/>
      <c r="AR50" s="704"/>
      <c r="AS50" s="704"/>
      <c r="AT50" s="704"/>
      <c r="AU50" s="704"/>
      <c r="AV50" s="704"/>
      <c r="AW50" s="704"/>
      <c r="AX50" s="704"/>
      <c r="AY50" s="704"/>
      <c r="AZ50" s="704"/>
      <c r="BA50" s="704"/>
      <c r="BB50" s="704"/>
      <c r="BC50" s="704"/>
      <c r="BD50" s="704"/>
      <c r="BE50" s="704"/>
      <c r="BF50" s="704"/>
      <c r="BG50" s="704"/>
      <c r="BH50" s="704"/>
      <c r="BI50" s="704"/>
      <c r="BJ50" s="704"/>
      <c r="BK50" s="704"/>
      <c r="BL50" s="704"/>
      <c r="BM50" s="704"/>
      <c r="BN50" s="704"/>
      <c r="BO50" s="704"/>
      <c r="BP50" s="704"/>
      <c r="BQ50" s="704"/>
      <c r="BR50" s="704"/>
      <c r="BS50" s="704"/>
      <c r="BT50" s="704"/>
      <c r="BU50" s="704"/>
      <c r="BV50" s="704"/>
      <c r="BW50" s="704"/>
      <c r="BX50" s="704"/>
      <c r="BY50" s="704"/>
      <c r="BZ50" s="704"/>
      <c r="CA50" s="704"/>
      <c r="CB50" s="704"/>
      <c r="CC50" s="705"/>
      <c r="CD50" s="138"/>
      <c r="CE50" s="138"/>
      <c r="CF50" s="172"/>
      <c r="CG50" s="129"/>
    </row>
    <row r="51" spans="1:85" s="27" customFormat="1" ht="19.5" customHeight="1">
      <c r="A51" s="35"/>
      <c r="B51" s="72"/>
      <c r="C51" s="159"/>
      <c r="D51" s="349"/>
      <c r="E51" s="349"/>
      <c r="F51" s="349"/>
      <c r="G51" s="349"/>
      <c r="H51" s="350"/>
      <c r="I51" s="351"/>
      <c r="J51" s="350"/>
      <c r="K51" s="350"/>
      <c r="L51" s="350"/>
      <c r="M51" s="350"/>
      <c r="N51" s="350"/>
      <c r="O51" s="351"/>
      <c r="P51" s="350"/>
      <c r="Q51" s="350"/>
      <c r="R51" s="350"/>
      <c r="S51" s="350"/>
      <c r="T51" s="350"/>
      <c r="U51" s="351"/>
      <c r="V51" s="350"/>
      <c r="W51" s="352"/>
      <c r="X51" s="352"/>
      <c r="Y51" s="352"/>
      <c r="Z51" s="352"/>
      <c r="AA51" s="352"/>
      <c r="AB51" s="352"/>
      <c r="AC51" s="352"/>
      <c r="AD51" s="353"/>
      <c r="AE51" s="353"/>
      <c r="AF51" s="354"/>
      <c r="AG51" s="354"/>
      <c r="AH51" s="350"/>
      <c r="AI51" s="350"/>
      <c r="AJ51" s="350"/>
      <c r="AK51" s="350"/>
      <c r="AL51" s="350"/>
      <c r="AM51" s="350"/>
      <c r="AN51" s="350"/>
      <c r="AO51" s="350"/>
      <c r="AP51" s="350"/>
      <c r="AQ51" s="350"/>
      <c r="AR51" s="350"/>
      <c r="AS51" s="350"/>
      <c r="AT51" s="350"/>
      <c r="AU51" s="350"/>
      <c r="AV51" s="350"/>
      <c r="AW51" s="350"/>
      <c r="AX51" s="350"/>
      <c r="AY51" s="350"/>
      <c r="AZ51" s="350"/>
      <c r="BA51" s="350"/>
      <c r="BB51" s="350"/>
      <c r="BC51" s="350"/>
      <c r="BD51" s="350"/>
      <c r="BE51" s="350"/>
      <c r="BF51" s="350"/>
      <c r="BG51" s="350"/>
      <c r="BH51" s="350"/>
      <c r="BI51" s="350"/>
      <c r="BJ51" s="350"/>
      <c r="BK51" s="350"/>
      <c r="BL51" s="350"/>
      <c r="BM51" s="350"/>
      <c r="BN51" s="350"/>
      <c r="BO51" s="350"/>
      <c r="BP51" s="350"/>
      <c r="BQ51" s="350"/>
      <c r="BR51" s="350"/>
      <c r="BS51" s="350"/>
      <c r="BT51" s="350"/>
      <c r="BU51" s="350"/>
      <c r="BV51" s="350"/>
      <c r="BW51" s="350"/>
      <c r="BX51" s="350"/>
      <c r="BY51" s="350"/>
      <c r="BZ51" s="354"/>
      <c r="CA51" s="354"/>
      <c r="CB51" s="350"/>
      <c r="CC51" s="350"/>
      <c r="CD51" s="138"/>
      <c r="CE51" s="138"/>
      <c r="CF51" s="172"/>
      <c r="CG51" s="129"/>
    </row>
    <row r="52" spans="1:85" s="27" customFormat="1" ht="19.5" customHeight="1">
      <c r="A52" s="35"/>
      <c r="B52" s="72"/>
      <c r="C52" s="159"/>
      <c r="D52" s="349"/>
      <c r="E52" s="349"/>
      <c r="F52" s="349"/>
      <c r="G52" s="349"/>
      <c r="H52" s="350"/>
      <c r="I52" s="351"/>
      <c r="J52" s="350"/>
      <c r="K52" s="350"/>
      <c r="L52" s="350"/>
      <c r="M52" s="350"/>
      <c r="N52" s="350"/>
      <c r="O52" s="351"/>
      <c r="P52" s="350"/>
      <c r="Q52" s="350"/>
      <c r="R52" s="350"/>
      <c r="S52" s="350"/>
      <c r="T52" s="350"/>
      <c r="U52" s="351"/>
      <c r="V52" s="350"/>
      <c r="W52" s="352"/>
      <c r="X52" s="352"/>
      <c r="Y52" s="352"/>
      <c r="Z52" s="352"/>
      <c r="AA52" s="352"/>
      <c r="AB52" s="352"/>
      <c r="AC52" s="352"/>
      <c r="AD52" s="353"/>
      <c r="AE52" s="353"/>
      <c r="AF52" s="354"/>
      <c r="AG52" s="354"/>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c r="BT52" s="350"/>
      <c r="BU52" s="350"/>
      <c r="BV52" s="350"/>
      <c r="BW52" s="350"/>
      <c r="BX52" s="350"/>
      <c r="BY52" s="350"/>
      <c r="BZ52" s="354"/>
      <c r="CA52" s="354"/>
      <c r="CB52" s="350"/>
      <c r="CC52" s="350"/>
      <c r="CD52" s="138"/>
      <c r="CE52" s="138"/>
      <c r="CF52" s="172"/>
      <c r="CG52" s="129"/>
    </row>
    <row r="53" spans="1:85" s="27" customFormat="1" ht="19.5" customHeight="1">
      <c r="A53" s="35"/>
      <c r="B53" s="72"/>
      <c r="C53" s="159"/>
      <c r="D53" s="349"/>
      <c r="E53" s="349"/>
      <c r="F53" s="349"/>
      <c r="G53" s="349"/>
      <c r="H53" s="350"/>
      <c r="I53" s="351"/>
      <c r="J53" s="350"/>
      <c r="K53" s="350"/>
      <c r="L53" s="350"/>
      <c r="M53" s="350"/>
      <c r="N53" s="350"/>
      <c r="O53" s="351"/>
      <c r="P53" s="350"/>
      <c r="Q53" s="350"/>
      <c r="R53" s="350"/>
      <c r="S53" s="350"/>
      <c r="T53" s="350"/>
      <c r="U53" s="351"/>
      <c r="V53" s="350"/>
      <c r="W53" s="352"/>
      <c r="X53" s="352"/>
      <c r="Y53" s="352"/>
      <c r="Z53" s="352"/>
      <c r="AA53" s="352"/>
      <c r="AB53" s="352"/>
      <c r="AC53" s="352"/>
      <c r="AD53" s="353"/>
      <c r="AE53" s="353"/>
      <c r="AF53" s="354"/>
      <c r="AG53" s="354"/>
      <c r="AH53" s="350"/>
      <c r="AI53" s="350"/>
      <c r="AJ53" s="350"/>
      <c r="AK53" s="350"/>
      <c r="AL53" s="350"/>
      <c r="AM53" s="350"/>
      <c r="AN53" s="350"/>
      <c r="AO53" s="350"/>
      <c r="AP53" s="350"/>
      <c r="AQ53" s="350"/>
      <c r="AR53" s="350"/>
      <c r="AS53" s="350"/>
      <c r="AT53" s="350"/>
      <c r="AU53" s="350"/>
      <c r="AV53" s="350"/>
      <c r="AW53" s="350"/>
      <c r="AX53" s="350"/>
      <c r="AY53" s="350"/>
      <c r="AZ53" s="350"/>
      <c r="BA53" s="350"/>
      <c r="BB53" s="350"/>
      <c r="BC53" s="350"/>
      <c r="BD53" s="350"/>
      <c r="BE53" s="350"/>
      <c r="BF53" s="350"/>
      <c r="BG53" s="350"/>
      <c r="BH53" s="350"/>
      <c r="BI53" s="350"/>
      <c r="BJ53" s="350"/>
      <c r="BK53" s="350"/>
      <c r="BL53" s="350"/>
      <c r="BM53" s="350"/>
      <c r="BN53" s="350"/>
      <c r="BO53" s="350"/>
      <c r="BP53" s="350"/>
      <c r="BQ53" s="350"/>
      <c r="BR53" s="350"/>
      <c r="BS53" s="350"/>
      <c r="BT53" s="350"/>
      <c r="BU53" s="350"/>
      <c r="BV53" s="350"/>
      <c r="BW53" s="350"/>
      <c r="BX53" s="350"/>
      <c r="BY53" s="350"/>
      <c r="BZ53" s="354"/>
      <c r="CA53" s="354"/>
      <c r="CB53" s="350"/>
      <c r="CC53" s="350"/>
      <c r="CD53" s="138"/>
      <c r="CE53" s="138"/>
      <c r="CF53" s="172"/>
      <c r="CG53" s="129"/>
    </row>
    <row r="54" spans="1:85" s="27" customFormat="1" ht="19.5" customHeight="1" thickBot="1">
      <c r="A54" s="35"/>
      <c r="B54" s="73"/>
      <c r="C54" s="74"/>
      <c r="D54" s="74"/>
      <c r="E54" s="74"/>
      <c r="F54" s="74"/>
      <c r="G54" s="74"/>
      <c r="H54" s="74"/>
      <c r="I54" s="74"/>
      <c r="J54" s="74"/>
      <c r="K54" s="74"/>
      <c r="L54" s="67"/>
      <c r="M54" s="67"/>
      <c r="N54" s="67"/>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7"/>
      <c r="CA54" s="67"/>
      <c r="CB54" s="68"/>
      <c r="CC54" s="68"/>
      <c r="CD54" s="68"/>
      <c r="CE54" s="68"/>
      <c r="CF54" s="69"/>
      <c r="CG54" s="101"/>
    </row>
    <row r="55" spans="1:85" s="27" customFormat="1" ht="19.5" customHeight="1">
      <c r="A55" s="104"/>
      <c r="B55" s="92"/>
      <c r="C55" s="92"/>
      <c r="D55" s="93"/>
      <c r="E55" s="93"/>
      <c r="F55" s="93"/>
      <c r="G55" s="93"/>
      <c r="H55" s="93"/>
      <c r="I55" s="93"/>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4"/>
      <c r="BY55" s="93"/>
      <c r="BZ55" s="93"/>
      <c r="CA55" s="93"/>
      <c r="CB55" s="94"/>
      <c r="CC55" s="94"/>
      <c r="CD55" s="93"/>
      <c r="CE55" s="93"/>
      <c r="CF55" s="103"/>
      <c r="CG55" s="102"/>
    </row>
    <row r="56" spans="1:85" ht="18" customHeight="1" thickBot="1">
      <c r="A56" s="107"/>
      <c r="B56" s="238" t="s">
        <v>292</v>
      </c>
      <c r="CG56" s="106"/>
    </row>
    <row r="57" spans="1:85" ht="14.25" customHeight="1">
      <c r="A57" s="107"/>
      <c r="B57" s="59"/>
      <c r="C57" s="60"/>
      <c r="D57" s="60"/>
      <c r="E57" s="60"/>
      <c r="F57" s="60"/>
      <c r="G57" s="60"/>
      <c r="H57" s="60"/>
      <c r="I57" s="60"/>
      <c r="J57" s="60"/>
      <c r="K57" s="60"/>
      <c r="L57" s="418" t="s">
        <v>31</v>
      </c>
      <c r="M57" s="419"/>
      <c r="N57" s="419"/>
      <c r="O57" s="419"/>
      <c r="P57" s="419"/>
      <c r="Q57" s="419"/>
      <c r="R57" s="419"/>
      <c r="S57" s="419"/>
      <c r="T57" s="419"/>
      <c r="U57" s="419"/>
      <c r="V57" s="419"/>
      <c r="W57" s="419"/>
      <c r="X57" s="419"/>
      <c r="Y57" s="419"/>
      <c r="Z57" s="419"/>
      <c r="AA57" s="419"/>
      <c r="AB57" s="419"/>
      <c r="AC57" s="419"/>
      <c r="AD57" s="419"/>
      <c r="AE57" s="419"/>
      <c r="AF57" s="419"/>
      <c r="AG57" s="419"/>
      <c r="AH57" s="419"/>
      <c r="AI57" s="419"/>
      <c r="AJ57" s="419"/>
      <c r="AK57" s="419"/>
      <c r="AL57" s="419"/>
      <c r="AM57" s="419"/>
      <c r="AN57" s="419"/>
      <c r="AO57" s="419"/>
      <c r="AP57" s="419"/>
      <c r="AQ57" s="419"/>
      <c r="AR57" s="419"/>
      <c r="AS57" s="419"/>
      <c r="AT57" s="419"/>
      <c r="AU57" s="419"/>
      <c r="AV57" s="419"/>
      <c r="AW57" s="419"/>
      <c r="AX57" s="419"/>
      <c r="AY57" s="419"/>
      <c r="AZ57" s="419"/>
      <c r="BA57" s="419"/>
      <c r="BB57" s="419"/>
      <c r="BC57" s="419"/>
      <c r="BD57" s="419"/>
      <c r="BE57" s="419"/>
      <c r="BF57" s="419"/>
      <c r="BG57" s="419"/>
      <c r="BH57" s="419"/>
      <c r="BI57" s="419"/>
      <c r="BJ57" s="419"/>
      <c r="BK57" s="419"/>
      <c r="BL57" s="419"/>
      <c r="BM57" s="419"/>
      <c r="BN57" s="419"/>
      <c r="BO57" s="419"/>
      <c r="BP57" s="419"/>
      <c r="BQ57" s="419"/>
      <c r="BR57" s="419"/>
      <c r="BS57" s="419"/>
      <c r="BT57" s="419"/>
      <c r="BU57" s="419"/>
      <c r="BV57" s="422" t="s">
        <v>32</v>
      </c>
      <c r="BW57" s="422"/>
      <c r="BX57" s="422"/>
      <c r="BY57" s="422"/>
      <c r="BZ57" s="422"/>
      <c r="CA57" s="422"/>
      <c r="CB57" s="422"/>
      <c r="CC57" s="422"/>
      <c r="CD57" s="422"/>
      <c r="CE57" s="422"/>
      <c r="CF57" s="423"/>
      <c r="CG57" s="106"/>
    </row>
    <row r="58" spans="1:85" ht="14.25" customHeight="1">
      <c r="A58" s="107"/>
      <c r="B58" s="61"/>
      <c r="C58" s="315"/>
      <c r="D58" s="315"/>
      <c r="E58" s="315"/>
      <c r="F58" s="315"/>
      <c r="G58" s="315"/>
      <c r="H58" s="315"/>
      <c r="I58" s="315"/>
      <c r="J58" s="315"/>
      <c r="K58" s="315"/>
      <c r="L58" s="420"/>
      <c r="M58" s="420"/>
      <c r="N58" s="420"/>
      <c r="O58" s="420"/>
      <c r="P58" s="420"/>
      <c r="Q58" s="420"/>
      <c r="R58" s="420"/>
      <c r="S58" s="420"/>
      <c r="T58" s="420"/>
      <c r="U58" s="420"/>
      <c r="V58" s="420"/>
      <c r="W58" s="420"/>
      <c r="X58" s="420"/>
      <c r="Y58" s="420"/>
      <c r="Z58" s="420"/>
      <c r="AA58" s="420"/>
      <c r="AB58" s="420"/>
      <c r="AC58" s="420"/>
      <c r="AD58" s="420"/>
      <c r="AE58" s="420"/>
      <c r="AF58" s="420"/>
      <c r="AG58" s="420"/>
      <c r="AH58" s="420"/>
      <c r="AI58" s="420"/>
      <c r="AJ58" s="420"/>
      <c r="AK58" s="420"/>
      <c r="AL58" s="420"/>
      <c r="AM58" s="420"/>
      <c r="AN58" s="420"/>
      <c r="AO58" s="420"/>
      <c r="AP58" s="420"/>
      <c r="AQ58" s="420"/>
      <c r="AR58" s="420"/>
      <c r="AS58" s="420"/>
      <c r="AT58" s="420"/>
      <c r="AU58" s="420"/>
      <c r="AV58" s="420"/>
      <c r="AW58" s="420"/>
      <c r="AX58" s="420"/>
      <c r="AY58" s="420"/>
      <c r="AZ58" s="420"/>
      <c r="BA58" s="420"/>
      <c r="BB58" s="420"/>
      <c r="BC58" s="420"/>
      <c r="BD58" s="420"/>
      <c r="BE58" s="420"/>
      <c r="BF58" s="420"/>
      <c r="BG58" s="420"/>
      <c r="BH58" s="420"/>
      <c r="BI58" s="420"/>
      <c r="BJ58" s="420"/>
      <c r="BK58" s="420"/>
      <c r="BL58" s="420"/>
      <c r="BM58" s="420"/>
      <c r="BN58" s="420"/>
      <c r="BO58" s="420"/>
      <c r="BP58" s="420"/>
      <c r="BQ58" s="420"/>
      <c r="BR58" s="420"/>
      <c r="BS58" s="420"/>
      <c r="BT58" s="420"/>
      <c r="BU58" s="420"/>
      <c r="BV58" s="424"/>
      <c r="BW58" s="424"/>
      <c r="BX58" s="424"/>
      <c r="BY58" s="424"/>
      <c r="BZ58" s="424"/>
      <c r="CA58" s="424"/>
      <c r="CB58" s="424"/>
      <c r="CC58" s="424"/>
      <c r="CD58" s="424"/>
      <c r="CE58" s="424"/>
      <c r="CF58" s="425"/>
      <c r="CG58" s="106"/>
    </row>
    <row r="59" spans="1:85" s="27" customFormat="1" ht="19.5" customHeight="1" thickBot="1">
      <c r="A59" s="35"/>
      <c r="B59" s="62"/>
      <c r="C59" s="63"/>
      <c r="D59" s="63"/>
      <c r="E59" s="63"/>
      <c r="F59" s="63"/>
      <c r="G59" s="63"/>
      <c r="H59" s="63"/>
      <c r="I59" s="63"/>
      <c r="J59" s="63"/>
      <c r="K59" s="63"/>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c r="AJ59" s="421"/>
      <c r="AK59" s="421"/>
      <c r="AL59" s="421"/>
      <c r="AM59" s="421"/>
      <c r="AN59" s="421"/>
      <c r="AO59" s="421"/>
      <c r="AP59" s="421"/>
      <c r="AQ59" s="421"/>
      <c r="AR59" s="421"/>
      <c r="AS59" s="421"/>
      <c r="AT59" s="421"/>
      <c r="AU59" s="421"/>
      <c r="AV59" s="421"/>
      <c r="AW59" s="421"/>
      <c r="AX59" s="421"/>
      <c r="AY59" s="421"/>
      <c r="AZ59" s="421"/>
      <c r="BA59" s="421"/>
      <c r="BB59" s="421"/>
      <c r="BC59" s="421"/>
      <c r="BD59" s="421"/>
      <c r="BE59" s="421"/>
      <c r="BF59" s="421"/>
      <c r="BG59" s="421"/>
      <c r="BH59" s="421"/>
      <c r="BI59" s="421"/>
      <c r="BJ59" s="421"/>
      <c r="BK59" s="421"/>
      <c r="BL59" s="421"/>
      <c r="BM59" s="421"/>
      <c r="BN59" s="421"/>
      <c r="BO59" s="421"/>
      <c r="BP59" s="421"/>
      <c r="BQ59" s="421"/>
      <c r="BR59" s="421"/>
      <c r="BS59" s="421"/>
      <c r="BT59" s="421"/>
      <c r="BU59" s="421"/>
      <c r="BV59" s="426"/>
      <c r="BW59" s="426"/>
      <c r="BX59" s="426"/>
      <c r="BY59" s="426"/>
      <c r="BZ59" s="426"/>
      <c r="CA59" s="426"/>
      <c r="CB59" s="426"/>
      <c r="CC59" s="426"/>
      <c r="CD59" s="426"/>
      <c r="CE59" s="426"/>
      <c r="CF59" s="427"/>
      <c r="CG59" s="101"/>
    </row>
    <row r="60" spans="1:85" s="27" customFormat="1" ht="19.5" customHeight="1" thickTop="1">
      <c r="A60" s="35"/>
      <c r="B60" s="70"/>
      <c r="C60" s="71"/>
      <c r="D60" s="91" t="s">
        <v>122</v>
      </c>
      <c r="E60" s="71"/>
      <c r="F60" s="71"/>
      <c r="G60" s="71"/>
      <c r="H60" s="71"/>
      <c r="I60" s="71"/>
      <c r="J60" s="71"/>
      <c r="K60" s="71"/>
      <c r="L60" s="64"/>
      <c r="M60" s="64"/>
      <c r="N60" s="119"/>
      <c r="O60" s="119"/>
      <c r="P60" s="119"/>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5"/>
      <c r="CG60" s="101"/>
    </row>
    <row r="61" spans="1:85" s="27" customFormat="1" ht="19.5" customHeight="1">
      <c r="A61" s="35"/>
      <c r="B61" s="72"/>
      <c r="C61" s="138"/>
      <c r="D61" s="428" t="s">
        <v>68</v>
      </c>
      <c r="E61" s="429"/>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c r="BB61" s="429"/>
      <c r="BC61" s="429"/>
      <c r="BD61" s="429"/>
      <c r="BE61" s="429"/>
      <c r="BF61" s="429"/>
      <c r="BG61" s="429"/>
      <c r="BH61" s="429"/>
      <c r="BI61" s="429"/>
      <c r="BJ61" s="429"/>
      <c r="BK61" s="429"/>
      <c r="BL61" s="429"/>
      <c r="BM61" s="429"/>
      <c r="BN61" s="429"/>
      <c r="BO61" s="429"/>
      <c r="BP61" s="429"/>
      <c r="BQ61" s="429"/>
      <c r="BR61" s="429"/>
      <c r="BS61" s="429"/>
      <c r="BT61" s="429"/>
      <c r="BU61" s="429"/>
      <c r="BV61" s="429"/>
      <c r="BW61" s="429"/>
      <c r="BX61" s="429"/>
      <c r="BY61" s="429"/>
      <c r="BZ61" s="429"/>
      <c r="CA61" s="429"/>
      <c r="CB61" s="429"/>
      <c r="CC61" s="430"/>
      <c r="CD61" s="138"/>
      <c r="CE61" s="138"/>
      <c r="CF61" s="66"/>
      <c r="CG61" s="101"/>
    </row>
    <row r="62" spans="1:85" s="27" customFormat="1" ht="21" customHeight="1">
      <c r="A62" s="35"/>
      <c r="B62" s="72"/>
      <c r="C62" s="138"/>
      <c r="D62" s="223"/>
      <c r="E62" s="223"/>
      <c r="F62" s="223"/>
      <c r="G62" s="223"/>
      <c r="H62" s="223"/>
      <c r="I62" s="223"/>
      <c r="J62" s="223"/>
      <c r="K62" s="223"/>
      <c r="L62" s="223"/>
      <c r="M62" s="223"/>
      <c r="N62" s="223"/>
      <c r="O62" s="223"/>
      <c r="P62" s="223"/>
      <c r="Q62" s="223"/>
      <c r="R62" s="223"/>
      <c r="S62" s="223"/>
      <c r="T62" s="223"/>
      <c r="U62" s="223"/>
      <c r="V62" s="223"/>
      <c r="W62" s="316"/>
      <c r="X62" s="316"/>
      <c r="Y62" s="316"/>
      <c r="Z62" s="316"/>
      <c r="AA62" s="316"/>
      <c r="AB62" s="316"/>
      <c r="AC62" s="316"/>
      <c r="AD62" s="316"/>
      <c r="AE62" s="316"/>
      <c r="AF62" s="223"/>
      <c r="AG62" s="223"/>
      <c r="AH62" s="223"/>
      <c r="AI62" s="223"/>
      <c r="AJ62" s="223"/>
      <c r="AK62" s="223"/>
      <c r="AL62" s="223"/>
      <c r="AM62" s="223"/>
      <c r="AN62" s="223"/>
      <c r="AO62" s="223"/>
      <c r="AP62" s="223"/>
      <c r="AQ62" s="223"/>
      <c r="AR62" s="223"/>
      <c r="AS62" s="223"/>
      <c r="AT62" s="223"/>
      <c r="AU62" s="223"/>
      <c r="AV62" s="223"/>
      <c r="AW62" s="223"/>
      <c r="AX62" s="223"/>
      <c r="AY62" s="223"/>
      <c r="AZ62" s="223"/>
      <c r="BA62" s="223"/>
      <c r="BB62" s="223"/>
      <c r="BC62" s="223"/>
      <c r="BD62" s="223"/>
      <c r="BE62" s="223"/>
      <c r="BF62" s="223"/>
      <c r="BG62" s="223"/>
      <c r="BH62" s="223"/>
      <c r="BI62" s="223"/>
      <c r="BJ62" s="223"/>
      <c r="BK62" s="223"/>
      <c r="BL62" s="223"/>
      <c r="BM62" s="223"/>
      <c r="BN62" s="223"/>
      <c r="BO62" s="223"/>
      <c r="BP62" s="223"/>
      <c r="BQ62" s="223"/>
      <c r="BR62" s="223"/>
      <c r="BS62" s="223"/>
      <c r="BT62" s="223"/>
      <c r="BU62" s="223"/>
      <c r="BV62" s="223"/>
      <c r="BW62" s="223"/>
      <c r="BX62" s="223"/>
      <c r="BY62" s="130"/>
      <c r="BZ62" s="223"/>
      <c r="CA62" s="223"/>
      <c r="CB62" s="130"/>
      <c r="CC62" s="223"/>
      <c r="CD62" s="138"/>
      <c r="CE62" s="138"/>
      <c r="CF62" s="66"/>
      <c r="CG62" s="101"/>
    </row>
    <row r="63" spans="1:85" s="27" customFormat="1" ht="19.5" customHeight="1">
      <c r="A63" s="35"/>
      <c r="B63" s="72"/>
      <c r="C63" s="159"/>
      <c r="D63" s="700" t="s">
        <v>291</v>
      </c>
      <c r="E63" s="701"/>
      <c r="F63" s="701"/>
      <c r="G63" s="701"/>
      <c r="H63" s="701"/>
      <c r="I63" s="701"/>
      <c r="J63" s="701"/>
      <c r="K63" s="701"/>
      <c r="L63" s="701"/>
      <c r="M63" s="701"/>
      <c r="N63" s="701"/>
      <c r="O63" s="701"/>
      <c r="P63" s="701"/>
      <c r="Q63" s="701"/>
      <c r="R63" s="701"/>
      <c r="S63" s="701"/>
      <c r="T63" s="701"/>
      <c r="U63" s="701"/>
      <c r="V63" s="701"/>
      <c r="W63" s="701"/>
      <c r="X63" s="701"/>
      <c r="Y63" s="701"/>
      <c r="Z63" s="701"/>
      <c r="AA63" s="701"/>
      <c r="AB63" s="701"/>
      <c r="AC63" s="701"/>
      <c r="AD63" s="701"/>
      <c r="AE63" s="701"/>
      <c r="AF63" s="701"/>
      <c r="AG63" s="701"/>
      <c r="AH63" s="701"/>
      <c r="AI63" s="701"/>
      <c r="AJ63" s="701"/>
      <c r="AK63" s="701"/>
      <c r="AL63" s="701"/>
      <c r="AM63" s="701"/>
      <c r="AN63" s="701"/>
      <c r="AO63" s="701"/>
      <c r="AP63" s="701"/>
      <c r="AQ63" s="701"/>
      <c r="AR63" s="701"/>
      <c r="AS63" s="701"/>
      <c r="AT63" s="701"/>
      <c r="AU63" s="701"/>
      <c r="AV63" s="701"/>
      <c r="AW63" s="701"/>
      <c r="AX63" s="701"/>
      <c r="AY63" s="701"/>
      <c r="AZ63" s="701"/>
      <c r="BA63" s="701"/>
      <c r="BB63" s="701"/>
      <c r="BC63" s="701"/>
      <c r="BD63" s="701"/>
      <c r="BE63" s="701"/>
      <c r="BF63" s="701"/>
      <c r="BG63" s="701"/>
      <c r="BH63" s="701"/>
      <c r="BI63" s="701"/>
      <c r="BJ63" s="701"/>
      <c r="BK63" s="701"/>
      <c r="BL63" s="701"/>
      <c r="BM63" s="701"/>
      <c r="BN63" s="701"/>
      <c r="BO63" s="701"/>
      <c r="BP63" s="701"/>
      <c r="BQ63" s="701"/>
      <c r="BR63" s="701"/>
      <c r="BS63" s="701"/>
      <c r="BT63" s="701"/>
      <c r="BU63" s="701"/>
      <c r="BV63" s="701"/>
      <c r="BW63" s="701"/>
      <c r="BX63" s="701"/>
      <c r="BY63" s="701"/>
      <c r="BZ63" s="701"/>
      <c r="CA63" s="701"/>
      <c r="CB63" s="701"/>
      <c r="CC63" s="702"/>
      <c r="CD63" s="159"/>
      <c r="CE63" s="138"/>
      <c r="CF63" s="172"/>
      <c r="CG63" s="129"/>
    </row>
    <row r="64" spans="1:85" s="27" customFormat="1" ht="19.5" customHeight="1">
      <c r="A64" s="35"/>
      <c r="B64" s="72"/>
      <c r="C64" s="159"/>
      <c r="D64" s="703"/>
      <c r="E64" s="704"/>
      <c r="F64" s="704"/>
      <c r="G64" s="704"/>
      <c r="H64" s="704"/>
      <c r="I64" s="704"/>
      <c r="J64" s="704"/>
      <c r="K64" s="704"/>
      <c r="L64" s="704"/>
      <c r="M64" s="704"/>
      <c r="N64" s="704"/>
      <c r="O64" s="704"/>
      <c r="P64" s="704"/>
      <c r="Q64" s="704"/>
      <c r="R64" s="704"/>
      <c r="S64" s="704"/>
      <c r="T64" s="704"/>
      <c r="U64" s="704"/>
      <c r="V64" s="704"/>
      <c r="W64" s="704"/>
      <c r="X64" s="704"/>
      <c r="Y64" s="704"/>
      <c r="Z64" s="704"/>
      <c r="AA64" s="704"/>
      <c r="AB64" s="704"/>
      <c r="AC64" s="704"/>
      <c r="AD64" s="704"/>
      <c r="AE64" s="704"/>
      <c r="AF64" s="704"/>
      <c r="AG64" s="704"/>
      <c r="AH64" s="704"/>
      <c r="AI64" s="704"/>
      <c r="AJ64" s="704"/>
      <c r="AK64" s="704"/>
      <c r="AL64" s="704"/>
      <c r="AM64" s="704"/>
      <c r="AN64" s="704"/>
      <c r="AO64" s="704"/>
      <c r="AP64" s="704"/>
      <c r="AQ64" s="704"/>
      <c r="AR64" s="704"/>
      <c r="AS64" s="704"/>
      <c r="AT64" s="704"/>
      <c r="AU64" s="704"/>
      <c r="AV64" s="704"/>
      <c r="AW64" s="704"/>
      <c r="AX64" s="704"/>
      <c r="AY64" s="704"/>
      <c r="AZ64" s="704"/>
      <c r="BA64" s="704"/>
      <c r="BB64" s="704"/>
      <c r="BC64" s="704"/>
      <c r="BD64" s="704"/>
      <c r="BE64" s="704"/>
      <c r="BF64" s="704"/>
      <c r="BG64" s="704"/>
      <c r="BH64" s="704"/>
      <c r="BI64" s="704"/>
      <c r="BJ64" s="704"/>
      <c r="BK64" s="704"/>
      <c r="BL64" s="704"/>
      <c r="BM64" s="704"/>
      <c r="BN64" s="704"/>
      <c r="BO64" s="704"/>
      <c r="BP64" s="704"/>
      <c r="BQ64" s="704"/>
      <c r="BR64" s="704"/>
      <c r="BS64" s="704"/>
      <c r="BT64" s="704"/>
      <c r="BU64" s="704"/>
      <c r="BV64" s="704"/>
      <c r="BW64" s="704"/>
      <c r="BX64" s="704"/>
      <c r="BY64" s="704"/>
      <c r="BZ64" s="704"/>
      <c r="CA64" s="704"/>
      <c r="CB64" s="704"/>
      <c r="CC64" s="705"/>
      <c r="CD64" s="138"/>
      <c r="CE64" s="138"/>
      <c r="CF64" s="172"/>
      <c r="CG64" s="129"/>
    </row>
    <row r="65" spans="1:85" s="27" customFormat="1" ht="19.5" customHeight="1">
      <c r="A65" s="35"/>
      <c r="B65" s="72"/>
      <c r="C65" s="159"/>
      <c r="D65" s="349"/>
      <c r="E65" s="349"/>
      <c r="F65" s="349"/>
      <c r="G65" s="349"/>
      <c r="H65" s="350"/>
      <c r="I65" s="351"/>
      <c r="J65" s="350"/>
      <c r="K65" s="350"/>
      <c r="L65" s="350"/>
      <c r="M65" s="350"/>
      <c r="N65" s="350"/>
      <c r="O65" s="351"/>
      <c r="P65" s="350"/>
      <c r="Q65" s="350"/>
      <c r="R65" s="350"/>
      <c r="S65" s="350"/>
      <c r="T65" s="350"/>
      <c r="U65" s="351"/>
      <c r="V65" s="350"/>
      <c r="W65" s="352"/>
      <c r="X65" s="352"/>
      <c r="Y65" s="352"/>
      <c r="Z65" s="352"/>
      <c r="AA65" s="352"/>
      <c r="AB65" s="352"/>
      <c r="AC65" s="352"/>
      <c r="AD65" s="353"/>
      <c r="AE65" s="353"/>
      <c r="AF65" s="354"/>
      <c r="AG65" s="354"/>
      <c r="AH65" s="350"/>
      <c r="AI65" s="350"/>
      <c r="AJ65" s="350"/>
      <c r="AK65" s="350"/>
      <c r="AL65" s="350"/>
      <c r="AM65" s="350"/>
      <c r="AN65" s="350"/>
      <c r="AO65" s="350"/>
      <c r="AP65" s="350"/>
      <c r="AQ65" s="350"/>
      <c r="AR65" s="350"/>
      <c r="AS65" s="350"/>
      <c r="AT65" s="350"/>
      <c r="AU65" s="350"/>
      <c r="AV65" s="350"/>
      <c r="AW65" s="350"/>
      <c r="AX65" s="350"/>
      <c r="AY65" s="350"/>
      <c r="AZ65" s="350"/>
      <c r="BA65" s="350"/>
      <c r="BB65" s="350"/>
      <c r="BC65" s="350"/>
      <c r="BD65" s="350"/>
      <c r="BE65" s="350"/>
      <c r="BF65" s="350"/>
      <c r="BG65" s="350"/>
      <c r="BH65" s="350"/>
      <c r="BI65" s="350"/>
      <c r="BJ65" s="350"/>
      <c r="BK65" s="350"/>
      <c r="BL65" s="350"/>
      <c r="BM65" s="350"/>
      <c r="BN65" s="350"/>
      <c r="BO65" s="350"/>
      <c r="BP65" s="350"/>
      <c r="BQ65" s="350"/>
      <c r="BR65" s="350"/>
      <c r="BS65" s="350"/>
      <c r="BT65" s="350"/>
      <c r="BU65" s="350"/>
      <c r="BV65" s="350"/>
      <c r="BW65" s="350"/>
      <c r="BX65" s="350"/>
      <c r="BY65" s="350"/>
      <c r="BZ65" s="354"/>
      <c r="CA65" s="354"/>
      <c r="CB65" s="350"/>
      <c r="CC65" s="350"/>
      <c r="CD65" s="138"/>
      <c r="CE65" s="138"/>
      <c r="CF65" s="172"/>
      <c r="CG65" s="129"/>
    </row>
    <row r="66" spans="1:85" s="27" customFormat="1" ht="19.5" customHeight="1">
      <c r="A66" s="35"/>
      <c r="B66" s="72"/>
      <c r="C66" s="159"/>
      <c r="D66" s="349"/>
      <c r="E66" s="349"/>
      <c r="F66" s="349"/>
      <c r="G66" s="349"/>
      <c r="H66" s="350"/>
      <c r="I66" s="351"/>
      <c r="J66" s="350"/>
      <c r="K66" s="350"/>
      <c r="L66" s="350"/>
      <c r="M66" s="350"/>
      <c r="N66" s="350"/>
      <c r="O66" s="351"/>
      <c r="P66" s="350"/>
      <c r="Q66" s="350"/>
      <c r="R66" s="350"/>
      <c r="S66" s="350"/>
      <c r="T66" s="350"/>
      <c r="U66" s="351"/>
      <c r="V66" s="350"/>
      <c r="W66" s="352"/>
      <c r="X66" s="352"/>
      <c r="Y66" s="352"/>
      <c r="Z66" s="352"/>
      <c r="AA66" s="352"/>
      <c r="AB66" s="352"/>
      <c r="AC66" s="352"/>
      <c r="AD66" s="353"/>
      <c r="AE66" s="353"/>
      <c r="AF66" s="354"/>
      <c r="AG66" s="354"/>
      <c r="AH66" s="350"/>
      <c r="AI66" s="350"/>
      <c r="AJ66" s="350"/>
      <c r="AK66" s="350"/>
      <c r="AL66" s="350"/>
      <c r="AM66" s="350"/>
      <c r="AN66" s="350"/>
      <c r="AO66" s="350"/>
      <c r="AP66" s="350"/>
      <c r="AQ66" s="350"/>
      <c r="AR66" s="350"/>
      <c r="AS66" s="350"/>
      <c r="AT66" s="350"/>
      <c r="AU66" s="350"/>
      <c r="AV66" s="350"/>
      <c r="AW66" s="350"/>
      <c r="AX66" s="350"/>
      <c r="AY66" s="350"/>
      <c r="AZ66" s="350"/>
      <c r="BA66" s="350"/>
      <c r="BB66" s="350"/>
      <c r="BC66" s="350"/>
      <c r="BD66" s="350"/>
      <c r="BE66" s="350"/>
      <c r="BF66" s="350"/>
      <c r="BG66" s="350"/>
      <c r="BH66" s="350"/>
      <c r="BI66" s="350"/>
      <c r="BJ66" s="350"/>
      <c r="BK66" s="350"/>
      <c r="BL66" s="350"/>
      <c r="BM66" s="350"/>
      <c r="BN66" s="350"/>
      <c r="BO66" s="350"/>
      <c r="BP66" s="350"/>
      <c r="BQ66" s="350"/>
      <c r="BR66" s="350"/>
      <c r="BS66" s="350"/>
      <c r="BT66" s="350"/>
      <c r="BU66" s="350"/>
      <c r="BV66" s="350"/>
      <c r="BW66" s="350"/>
      <c r="BX66" s="350"/>
      <c r="BY66" s="350"/>
      <c r="BZ66" s="354"/>
      <c r="CA66" s="354"/>
      <c r="CB66" s="350"/>
      <c r="CC66" s="350"/>
      <c r="CD66" s="138"/>
      <c r="CE66" s="138"/>
      <c r="CF66" s="172"/>
      <c r="CG66" s="129"/>
    </row>
    <row r="67" spans="1:85" s="27" customFormat="1" ht="19.5" customHeight="1">
      <c r="A67" s="35"/>
      <c r="B67" s="72"/>
      <c r="C67" s="159"/>
      <c r="D67" s="349"/>
      <c r="E67" s="349"/>
      <c r="F67" s="349"/>
      <c r="G67" s="349"/>
      <c r="H67" s="350"/>
      <c r="I67" s="351"/>
      <c r="J67" s="350"/>
      <c r="K67" s="350"/>
      <c r="L67" s="350"/>
      <c r="M67" s="350"/>
      <c r="N67" s="350"/>
      <c r="O67" s="351"/>
      <c r="P67" s="350"/>
      <c r="Q67" s="350"/>
      <c r="R67" s="350"/>
      <c r="S67" s="350"/>
      <c r="T67" s="350"/>
      <c r="U67" s="351"/>
      <c r="V67" s="350"/>
      <c r="W67" s="352"/>
      <c r="X67" s="352"/>
      <c r="Y67" s="352"/>
      <c r="Z67" s="352"/>
      <c r="AA67" s="352"/>
      <c r="AB67" s="352"/>
      <c r="AC67" s="352"/>
      <c r="AD67" s="353"/>
      <c r="AE67" s="353"/>
      <c r="AF67" s="354"/>
      <c r="AG67" s="354"/>
      <c r="AH67" s="350"/>
      <c r="AI67" s="350"/>
      <c r="AJ67" s="350"/>
      <c r="AK67" s="350"/>
      <c r="AL67" s="350"/>
      <c r="AM67" s="350"/>
      <c r="AN67" s="350"/>
      <c r="AO67" s="350"/>
      <c r="AP67" s="350"/>
      <c r="AQ67" s="350"/>
      <c r="AR67" s="350"/>
      <c r="AS67" s="350"/>
      <c r="AT67" s="350"/>
      <c r="AU67" s="350"/>
      <c r="AV67" s="350"/>
      <c r="AW67" s="350"/>
      <c r="AX67" s="350"/>
      <c r="AY67" s="350"/>
      <c r="AZ67" s="350"/>
      <c r="BA67" s="350"/>
      <c r="BB67" s="350"/>
      <c r="BC67" s="350"/>
      <c r="BD67" s="350"/>
      <c r="BE67" s="350"/>
      <c r="BF67" s="350"/>
      <c r="BG67" s="350"/>
      <c r="BH67" s="350"/>
      <c r="BI67" s="350"/>
      <c r="BJ67" s="350"/>
      <c r="BK67" s="350"/>
      <c r="BL67" s="350"/>
      <c r="BM67" s="350"/>
      <c r="BN67" s="350"/>
      <c r="BO67" s="350"/>
      <c r="BP67" s="350"/>
      <c r="BQ67" s="350"/>
      <c r="BR67" s="350"/>
      <c r="BS67" s="350"/>
      <c r="BT67" s="350"/>
      <c r="BU67" s="350"/>
      <c r="BV67" s="350"/>
      <c r="BW67" s="350"/>
      <c r="BX67" s="350"/>
      <c r="BY67" s="350"/>
      <c r="BZ67" s="354"/>
      <c r="CA67" s="354"/>
      <c r="CB67" s="350"/>
      <c r="CC67" s="350"/>
      <c r="CD67" s="138"/>
      <c r="CE67" s="138"/>
      <c r="CF67" s="172"/>
      <c r="CG67" s="129"/>
    </row>
    <row r="68" spans="1:85" s="27" customFormat="1" ht="19.5" customHeight="1" thickBot="1">
      <c r="A68" s="35"/>
      <c r="B68" s="73"/>
      <c r="C68" s="74"/>
      <c r="D68" s="74"/>
      <c r="E68" s="74"/>
      <c r="F68" s="74"/>
      <c r="G68" s="74"/>
      <c r="H68" s="74"/>
      <c r="I68" s="74"/>
      <c r="J68" s="74"/>
      <c r="K68" s="74"/>
      <c r="L68" s="67"/>
      <c r="M68" s="67"/>
      <c r="N68" s="67"/>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7"/>
      <c r="CA68" s="67"/>
      <c r="CB68" s="68"/>
      <c r="CC68" s="68"/>
      <c r="CD68" s="68"/>
      <c r="CE68" s="68"/>
      <c r="CF68" s="69"/>
      <c r="CG68" s="101"/>
    </row>
    <row r="69" spans="1:85" s="27" customFormat="1" ht="19.5" customHeight="1">
      <c r="A69" s="104"/>
      <c r="B69" s="92"/>
      <c r="C69" s="92"/>
      <c r="D69" s="93"/>
      <c r="E69" s="93"/>
      <c r="F69" s="93"/>
      <c r="G69" s="93"/>
      <c r="H69" s="93"/>
      <c r="I69" s="93"/>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4"/>
      <c r="BY69" s="93"/>
      <c r="BZ69" s="93"/>
      <c r="CA69" s="93"/>
      <c r="CB69" s="94"/>
      <c r="CC69" s="94"/>
      <c r="CD69" s="93"/>
      <c r="CE69" s="93"/>
      <c r="CF69" s="103"/>
      <c r="CG69" s="102"/>
    </row>
    <row r="70" spans="1:85" s="27" customFormat="1" ht="19.5" customHeight="1">
      <c r="A70" s="104"/>
      <c r="B70" s="92"/>
      <c r="C70" s="92"/>
      <c r="D70" s="93"/>
      <c r="E70" s="93"/>
      <c r="F70" s="93"/>
      <c r="G70" s="93"/>
      <c r="H70" s="93"/>
      <c r="I70" s="93"/>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4"/>
      <c r="BY70" s="93"/>
      <c r="BZ70" s="93"/>
      <c r="CA70" s="93"/>
      <c r="CB70" s="94"/>
      <c r="CC70" s="94"/>
      <c r="CD70" s="93"/>
      <c r="CE70" s="93"/>
      <c r="CF70" s="103"/>
      <c r="CG70" s="102"/>
    </row>
    <row r="71" spans="1:85" ht="8.25" customHeight="1">
      <c r="A71" s="107"/>
      <c r="CG71" s="106"/>
    </row>
    <row r="72" spans="1:85" s="21" customFormat="1" ht="19.5" customHeight="1">
      <c r="A72" s="55"/>
      <c r="B72" s="56" t="s">
        <v>43</v>
      </c>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7"/>
    </row>
    <row r="73" spans="1:85" s="27" customFormat="1" ht="19.5" customHeight="1">
      <c r="A73" s="35"/>
      <c r="B73" s="366" t="s">
        <v>44</v>
      </c>
      <c r="C73" s="367"/>
      <c r="D73" s="367"/>
      <c r="E73" s="367"/>
      <c r="F73" s="367"/>
      <c r="G73" s="367"/>
      <c r="H73" s="367"/>
      <c r="I73" s="367"/>
      <c r="J73" s="367"/>
      <c r="K73" s="367"/>
      <c r="L73" s="367"/>
      <c r="M73" s="367"/>
      <c r="N73" s="367"/>
      <c r="O73" s="367"/>
      <c r="P73" s="368"/>
      <c r="Q73" s="366" t="s">
        <v>45</v>
      </c>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c r="AV73" s="367"/>
      <c r="AW73" s="367"/>
      <c r="AX73" s="367"/>
      <c r="AY73" s="367"/>
      <c r="AZ73" s="367"/>
      <c r="BA73" s="367"/>
      <c r="BB73" s="367"/>
      <c r="BC73" s="367"/>
      <c r="BD73" s="367"/>
      <c r="BE73" s="367"/>
      <c r="BF73" s="367"/>
      <c r="BG73" s="367"/>
      <c r="BH73" s="367"/>
      <c r="BI73" s="367"/>
      <c r="BJ73" s="367"/>
      <c r="BK73" s="367"/>
      <c r="BL73" s="367"/>
      <c r="BM73" s="368"/>
      <c r="BN73" s="366" t="s">
        <v>46</v>
      </c>
      <c r="BO73" s="367"/>
      <c r="BP73" s="367"/>
      <c r="BQ73" s="367"/>
      <c r="BR73" s="367"/>
      <c r="BS73" s="367"/>
      <c r="BT73" s="367"/>
      <c r="BU73" s="367"/>
      <c r="BV73" s="367"/>
      <c r="BW73" s="367"/>
      <c r="BX73" s="367"/>
      <c r="BY73" s="367"/>
      <c r="BZ73" s="367"/>
      <c r="CA73" s="367"/>
      <c r="CB73" s="367"/>
      <c r="CC73" s="367"/>
      <c r="CD73" s="367"/>
      <c r="CE73" s="367"/>
      <c r="CF73" s="368"/>
      <c r="CG73" s="101"/>
    </row>
    <row r="74" spans="1:85" s="21" customFormat="1" ht="30.75" customHeight="1">
      <c r="A74" s="34"/>
      <c r="B74" s="537" t="s">
        <v>264</v>
      </c>
      <c r="C74" s="546"/>
      <c r="D74" s="546"/>
      <c r="E74" s="546"/>
      <c r="F74" s="546"/>
      <c r="G74" s="546"/>
      <c r="H74" s="546"/>
      <c r="I74" s="546"/>
      <c r="J74" s="546"/>
      <c r="K74" s="546"/>
      <c r="L74" s="546"/>
      <c r="M74" s="546"/>
      <c r="N74" s="546"/>
      <c r="O74" s="546"/>
      <c r="P74" s="547"/>
      <c r="Q74" s="713" t="s">
        <v>135</v>
      </c>
      <c r="R74" s="714"/>
      <c r="S74" s="714"/>
      <c r="T74" s="714"/>
      <c r="U74" s="714"/>
      <c r="V74" s="714"/>
      <c r="W74" s="714"/>
      <c r="X74" s="714"/>
      <c r="Y74" s="714"/>
      <c r="Z74" s="714"/>
      <c r="AA74" s="714"/>
      <c r="AB74" s="714"/>
      <c r="AC74" s="714"/>
      <c r="AD74" s="714"/>
      <c r="AE74" s="714"/>
      <c r="AF74" s="714"/>
      <c r="AG74" s="714"/>
      <c r="AH74" s="714"/>
      <c r="AI74" s="714"/>
      <c r="AJ74" s="714"/>
      <c r="AK74" s="714"/>
      <c r="AL74" s="714"/>
      <c r="AM74" s="714"/>
      <c r="AN74" s="714"/>
      <c r="AO74" s="714"/>
      <c r="AP74" s="714"/>
      <c r="AQ74" s="714"/>
      <c r="AR74" s="714"/>
      <c r="AS74" s="714"/>
      <c r="AT74" s="714"/>
      <c r="AU74" s="714"/>
      <c r="AV74" s="714"/>
      <c r="AW74" s="714"/>
      <c r="AX74" s="714"/>
      <c r="AY74" s="714"/>
      <c r="AZ74" s="714"/>
      <c r="BA74" s="714"/>
      <c r="BB74" s="714"/>
      <c r="BC74" s="714"/>
      <c r="BD74" s="714"/>
      <c r="BE74" s="714"/>
      <c r="BF74" s="714"/>
      <c r="BG74" s="714"/>
      <c r="BH74" s="714"/>
      <c r="BI74" s="714"/>
      <c r="BJ74" s="714"/>
      <c r="BK74" s="714"/>
      <c r="BL74" s="714"/>
      <c r="BM74" s="715"/>
      <c r="BN74" s="710"/>
      <c r="BO74" s="711"/>
      <c r="BP74" s="711"/>
      <c r="BQ74" s="711"/>
      <c r="BR74" s="711"/>
      <c r="BS74" s="711"/>
      <c r="BT74" s="711"/>
      <c r="BU74" s="711"/>
      <c r="BV74" s="711"/>
      <c r="BW74" s="711"/>
      <c r="BX74" s="711"/>
      <c r="BY74" s="711"/>
      <c r="BZ74" s="711"/>
      <c r="CA74" s="711"/>
      <c r="CB74" s="711"/>
      <c r="CC74" s="711"/>
      <c r="CD74" s="711"/>
      <c r="CE74" s="711"/>
      <c r="CF74" s="712"/>
      <c r="CG74" s="37"/>
    </row>
    <row r="75" spans="1:85" s="21" customFormat="1" ht="35.25" customHeight="1">
      <c r="A75" s="34"/>
      <c r="B75" s="537" t="s">
        <v>134</v>
      </c>
      <c r="C75" s="546"/>
      <c r="D75" s="546"/>
      <c r="E75" s="546"/>
      <c r="F75" s="546"/>
      <c r="G75" s="546"/>
      <c r="H75" s="546"/>
      <c r="I75" s="546"/>
      <c r="J75" s="546"/>
      <c r="K75" s="546"/>
      <c r="L75" s="546"/>
      <c r="M75" s="546"/>
      <c r="N75" s="546"/>
      <c r="O75" s="546"/>
      <c r="P75" s="547"/>
      <c r="Q75" s="716" t="s">
        <v>459</v>
      </c>
      <c r="R75" s="717"/>
      <c r="S75" s="717"/>
      <c r="T75" s="717"/>
      <c r="U75" s="717"/>
      <c r="V75" s="717"/>
      <c r="W75" s="717"/>
      <c r="X75" s="717"/>
      <c r="Y75" s="717"/>
      <c r="Z75" s="717"/>
      <c r="AA75" s="717"/>
      <c r="AB75" s="717"/>
      <c r="AC75" s="717"/>
      <c r="AD75" s="717"/>
      <c r="AE75" s="717"/>
      <c r="AF75" s="717"/>
      <c r="AG75" s="717"/>
      <c r="AH75" s="717"/>
      <c r="AI75" s="717"/>
      <c r="AJ75" s="717"/>
      <c r="AK75" s="717"/>
      <c r="AL75" s="717"/>
      <c r="AM75" s="717"/>
      <c r="AN75" s="717"/>
      <c r="AO75" s="717"/>
      <c r="AP75" s="717"/>
      <c r="AQ75" s="717"/>
      <c r="AR75" s="717"/>
      <c r="AS75" s="717"/>
      <c r="AT75" s="717"/>
      <c r="AU75" s="717"/>
      <c r="AV75" s="717"/>
      <c r="AW75" s="717"/>
      <c r="AX75" s="717"/>
      <c r="AY75" s="717"/>
      <c r="AZ75" s="717"/>
      <c r="BA75" s="717"/>
      <c r="BB75" s="717"/>
      <c r="BC75" s="717"/>
      <c r="BD75" s="717"/>
      <c r="BE75" s="717"/>
      <c r="BF75" s="717"/>
      <c r="BG75" s="717"/>
      <c r="BH75" s="717"/>
      <c r="BI75" s="717"/>
      <c r="BJ75" s="717"/>
      <c r="BK75" s="717"/>
      <c r="BL75" s="717"/>
      <c r="BM75" s="718"/>
      <c r="BN75" s="713" t="s">
        <v>368</v>
      </c>
      <c r="BO75" s="714"/>
      <c r="BP75" s="714"/>
      <c r="BQ75" s="714"/>
      <c r="BR75" s="714"/>
      <c r="BS75" s="714"/>
      <c r="BT75" s="714"/>
      <c r="BU75" s="714"/>
      <c r="BV75" s="714"/>
      <c r="BW75" s="714"/>
      <c r="BX75" s="714"/>
      <c r="BY75" s="714"/>
      <c r="BZ75" s="714"/>
      <c r="CA75" s="714"/>
      <c r="CB75" s="714"/>
      <c r="CC75" s="714"/>
      <c r="CD75" s="714"/>
      <c r="CE75" s="714"/>
      <c r="CF75" s="715"/>
      <c r="CG75" s="37"/>
    </row>
    <row r="76" spans="1:85" s="21" customFormat="1" ht="33.75" customHeight="1">
      <c r="A76" s="34"/>
      <c r="B76" s="537" t="s">
        <v>261</v>
      </c>
      <c r="C76" s="546"/>
      <c r="D76" s="546"/>
      <c r="E76" s="546"/>
      <c r="F76" s="546"/>
      <c r="G76" s="546"/>
      <c r="H76" s="546"/>
      <c r="I76" s="546"/>
      <c r="J76" s="546"/>
      <c r="K76" s="546"/>
      <c r="L76" s="546"/>
      <c r="M76" s="546"/>
      <c r="N76" s="546"/>
      <c r="O76" s="546"/>
      <c r="P76" s="547"/>
      <c r="Q76" s="713" t="s">
        <v>293</v>
      </c>
      <c r="R76" s="714"/>
      <c r="S76" s="714"/>
      <c r="T76" s="714"/>
      <c r="U76" s="714"/>
      <c r="V76" s="714"/>
      <c r="W76" s="714"/>
      <c r="X76" s="714"/>
      <c r="Y76" s="714"/>
      <c r="Z76" s="714"/>
      <c r="AA76" s="714"/>
      <c r="AB76" s="714"/>
      <c r="AC76" s="714"/>
      <c r="AD76" s="714"/>
      <c r="AE76" s="714"/>
      <c r="AF76" s="714"/>
      <c r="AG76" s="714"/>
      <c r="AH76" s="714"/>
      <c r="AI76" s="714"/>
      <c r="AJ76" s="714"/>
      <c r="AK76" s="714"/>
      <c r="AL76" s="714"/>
      <c r="AM76" s="714"/>
      <c r="AN76" s="714"/>
      <c r="AO76" s="714"/>
      <c r="AP76" s="714"/>
      <c r="AQ76" s="714"/>
      <c r="AR76" s="714"/>
      <c r="AS76" s="714"/>
      <c r="AT76" s="714"/>
      <c r="AU76" s="714"/>
      <c r="AV76" s="714"/>
      <c r="AW76" s="714"/>
      <c r="AX76" s="714"/>
      <c r="AY76" s="714"/>
      <c r="AZ76" s="714"/>
      <c r="BA76" s="714"/>
      <c r="BB76" s="714"/>
      <c r="BC76" s="714"/>
      <c r="BD76" s="714"/>
      <c r="BE76" s="714"/>
      <c r="BF76" s="714"/>
      <c r="BG76" s="714"/>
      <c r="BH76" s="714"/>
      <c r="BI76" s="714"/>
      <c r="BJ76" s="714"/>
      <c r="BK76" s="714"/>
      <c r="BL76" s="714"/>
      <c r="BM76" s="715"/>
      <c r="BN76" s="713"/>
      <c r="BO76" s="711"/>
      <c r="BP76" s="711"/>
      <c r="BQ76" s="711"/>
      <c r="BR76" s="711"/>
      <c r="BS76" s="711"/>
      <c r="BT76" s="711"/>
      <c r="BU76" s="711"/>
      <c r="BV76" s="711"/>
      <c r="BW76" s="711"/>
      <c r="BX76" s="711"/>
      <c r="BY76" s="711"/>
      <c r="BZ76" s="711"/>
      <c r="CA76" s="711"/>
      <c r="CB76" s="711"/>
      <c r="CC76" s="711"/>
      <c r="CD76" s="711"/>
      <c r="CE76" s="711"/>
      <c r="CF76" s="712"/>
      <c r="CG76" s="37"/>
    </row>
    <row r="77" spans="1:85" s="21" customFormat="1" ht="30.75" customHeight="1">
      <c r="A77" s="34"/>
      <c r="B77" s="537" t="s">
        <v>259</v>
      </c>
      <c r="C77" s="546"/>
      <c r="D77" s="546"/>
      <c r="E77" s="546"/>
      <c r="F77" s="546"/>
      <c r="G77" s="546"/>
      <c r="H77" s="546"/>
      <c r="I77" s="546"/>
      <c r="J77" s="546"/>
      <c r="K77" s="546"/>
      <c r="L77" s="546"/>
      <c r="M77" s="546"/>
      <c r="N77" s="546"/>
      <c r="O77" s="546"/>
      <c r="P77" s="547"/>
      <c r="Q77" s="713" t="s">
        <v>294</v>
      </c>
      <c r="R77" s="714"/>
      <c r="S77" s="714"/>
      <c r="T77" s="714"/>
      <c r="U77" s="714"/>
      <c r="V77" s="714"/>
      <c r="W77" s="714"/>
      <c r="X77" s="714"/>
      <c r="Y77" s="714"/>
      <c r="Z77" s="714"/>
      <c r="AA77" s="714"/>
      <c r="AB77" s="714"/>
      <c r="AC77" s="714"/>
      <c r="AD77" s="714"/>
      <c r="AE77" s="714"/>
      <c r="AF77" s="714"/>
      <c r="AG77" s="714"/>
      <c r="AH77" s="714"/>
      <c r="AI77" s="714"/>
      <c r="AJ77" s="714"/>
      <c r="AK77" s="714"/>
      <c r="AL77" s="714"/>
      <c r="AM77" s="714"/>
      <c r="AN77" s="714"/>
      <c r="AO77" s="714"/>
      <c r="AP77" s="714"/>
      <c r="AQ77" s="714"/>
      <c r="AR77" s="714"/>
      <c r="AS77" s="714"/>
      <c r="AT77" s="714"/>
      <c r="AU77" s="714"/>
      <c r="AV77" s="714"/>
      <c r="AW77" s="714"/>
      <c r="AX77" s="714"/>
      <c r="AY77" s="714"/>
      <c r="AZ77" s="714"/>
      <c r="BA77" s="714"/>
      <c r="BB77" s="714"/>
      <c r="BC77" s="714"/>
      <c r="BD77" s="714"/>
      <c r="BE77" s="714"/>
      <c r="BF77" s="714"/>
      <c r="BG77" s="714"/>
      <c r="BH77" s="714"/>
      <c r="BI77" s="714"/>
      <c r="BJ77" s="714"/>
      <c r="BK77" s="714"/>
      <c r="BL77" s="714"/>
      <c r="BM77" s="715"/>
      <c r="BN77" s="710"/>
      <c r="BO77" s="711"/>
      <c r="BP77" s="711"/>
      <c r="BQ77" s="711"/>
      <c r="BR77" s="711"/>
      <c r="BS77" s="711"/>
      <c r="BT77" s="711"/>
      <c r="BU77" s="711"/>
      <c r="BV77" s="711"/>
      <c r="BW77" s="711"/>
      <c r="BX77" s="711"/>
      <c r="BY77" s="711"/>
      <c r="BZ77" s="711"/>
      <c r="CA77" s="711"/>
      <c r="CB77" s="711"/>
      <c r="CC77" s="711"/>
      <c r="CD77" s="711"/>
      <c r="CE77" s="711"/>
      <c r="CF77" s="712"/>
      <c r="CG77" s="37"/>
    </row>
    <row r="78" spans="1:85" s="21" customFormat="1" ht="30.75" customHeight="1">
      <c r="A78" s="34"/>
      <c r="B78" s="537" t="s">
        <v>398</v>
      </c>
      <c r="C78" s="546"/>
      <c r="D78" s="546"/>
      <c r="E78" s="546"/>
      <c r="F78" s="546"/>
      <c r="G78" s="546"/>
      <c r="H78" s="546"/>
      <c r="I78" s="546"/>
      <c r="J78" s="546"/>
      <c r="K78" s="546"/>
      <c r="L78" s="546"/>
      <c r="M78" s="546"/>
      <c r="N78" s="546"/>
      <c r="O78" s="546"/>
      <c r="P78" s="547"/>
      <c r="Q78" s="713" t="s">
        <v>397</v>
      </c>
      <c r="R78" s="714"/>
      <c r="S78" s="714"/>
      <c r="T78" s="714"/>
      <c r="U78" s="714"/>
      <c r="V78" s="714"/>
      <c r="W78" s="714"/>
      <c r="X78" s="714"/>
      <c r="Y78" s="714"/>
      <c r="Z78" s="714"/>
      <c r="AA78" s="714"/>
      <c r="AB78" s="714"/>
      <c r="AC78" s="714"/>
      <c r="AD78" s="714"/>
      <c r="AE78" s="714"/>
      <c r="AF78" s="714"/>
      <c r="AG78" s="714"/>
      <c r="AH78" s="714"/>
      <c r="AI78" s="714"/>
      <c r="AJ78" s="714"/>
      <c r="AK78" s="714"/>
      <c r="AL78" s="714"/>
      <c r="AM78" s="714"/>
      <c r="AN78" s="714"/>
      <c r="AO78" s="714"/>
      <c r="AP78" s="714"/>
      <c r="AQ78" s="714"/>
      <c r="AR78" s="714"/>
      <c r="AS78" s="714"/>
      <c r="AT78" s="714"/>
      <c r="AU78" s="714"/>
      <c r="AV78" s="714"/>
      <c r="AW78" s="714"/>
      <c r="AX78" s="714"/>
      <c r="AY78" s="714"/>
      <c r="AZ78" s="714"/>
      <c r="BA78" s="714"/>
      <c r="BB78" s="714"/>
      <c r="BC78" s="714"/>
      <c r="BD78" s="714"/>
      <c r="BE78" s="714"/>
      <c r="BF78" s="714"/>
      <c r="BG78" s="714"/>
      <c r="BH78" s="714"/>
      <c r="BI78" s="714"/>
      <c r="BJ78" s="714"/>
      <c r="BK78" s="714"/>
      <c r="BL78" s="714"/>
      <c r="BM78" s="715"/>
      <c r="BN78" s="710"/>
      <c r="BO78" s="711"/>
      <c r="BP78" s="711"/>
      <c r="BQ78" s="711"/>
      <c r="BR78" s="711"/>
      <c r="BS78" s="711"/>
      <c r="BT78" s="711"/>
      <c r="BU78" s="711"/>
      <c r="BV78" s="711"/>
      <c r="BW78" s="711"/>
      <c r="BX78" s="711"/>
      <c r="BY78" s="711"/>
      <c r="BZ78" s="711"/>
      <c r="CA78" s="711"/>
      <c r="CB78" s="711"/>
      <c r="CC78" s="711"/>
      <c r="CD78" s="711"/>
      <c r="CE78" s="711"/>
      <c r="CF78" s="712"/>
      <c r="CG78" s="37"/>
    </row>
    <row r="79" spans="1:85" s="21" customFormat="1" ht="30.75" customHeight="1">
      <c r="A79" s="34"/>
      <c r="B79" s="537"/>
      <c r="C79" s="546"/>
      <c r="D79" s="546"/>
      <c r="E79" s="546"/>
      <c r="F79" s="546"/>
      <c r="G79" s="546"/>
      <c r="H79" s="546"/>
      <c r="I79" s="546"/>
      <c r="J79" s="546"/>
      <c r="K79" s="546"/>
      <c r="L79" s="546"/>
      <c r="M79" s="546"/>
      <c r="N79" s="546"/>
      <c r="O79" s="546"/>
      <c r="P79" s="547"/>
      <c r="Q79" s="713"/>
      <c r="R79" s="714"/>
      <c r="S79" s="714"/>
      <c r="T79" s="714"/>
      <c r="U79" s="714"/>
      <c r="V79" s="714"/>
      <c r="W79" s="714"/>
      <c r="X79" s="714"/>
      <c r="Y79" s="714"/>
      <c r="Z79" s="714"/>
      <c r="AA79" s="714"/>
      <c r="AB79" s="714"/>
      <c r="AC79" s="714"/>
      <c r="AD79" s="714"/>
      <c r="AE79" s="714"/>
      <c r="AF79" s="714"/>
      <c r="AG79" s="714"/>
      <c r="AH79" s="714"/>
      <c r="AI79" s="714"/>
      <c r="AJ79" s="714"/>
      <c r="AK79" s="714"/>
      <c r="AL79" s="714"/>
      <c r="AM79" s="714"/>
      <c r="AN79" s="714"/>
      <c r="AO79" s="714"/>
      <c r="AP79" s="714"/>
      <c r="AQ79" s="714"/>
      <c r="AR79" s="714"/>
      <c r="AS79" s="714"/>
      <c r="AT79" s="714"/>
      <c r="AU79" s="714"/>
      <c r="AV79" s="714"/>
      <c r="AW79" s="714"/>
      <c r="AX79" s="714"/>
      <c r="AY79" s="714"/>
      <c r="AZ79" s="714"/>
      <c r="BA79" s="714"/>
      <c r="BB79" s="714"/>
      <c r="BC79" s="714"/>
      <c r="BD79" s="714"/>
      <c r="BE79" s="714"/>
      <c r="BF79" s="714"/>
      <c r="BG79" s="714"/>
      <c r="BH79" s="714"/>
      <c r="BI79" s="714"/>
      <c r="BJ79" s="714"/>
      <c r="BK79" s="714"/>
      <c r="BL79" s="714"/>
      <c r="BM79" s="715"/>
      <c r="BN79" s="710"/>
      <c r="BO79" s="711"/>
      <c r="BP79" s="711"/>
      <c r="BQ79" s="711"/>
      <c r="BR79" s="711"/>
      <c r="BS79" s="711"/>
      <c r="BT79" s="711"/>
      <c r="BU79" s="711"/>
      <c r="BV79" s="711"/>
      <c r="BW79" s="711"/>
      <c r="BX79" s="711"/>
      <c r="BY79" s="711"/>
      <c r="BZ79" s="711"/>
      <c r="CA79" s="711"/>
      <c r="CB79" s="711"/>
      <c r="CC79" s="711"/>
      <c r="CD79" s="711"/>
      <c r="CE79" s="711"/>
      <c r="CF79" s="712"/>
      <c r="CG79" s="37"/>
    </row>
    <row r="80" spans="1:85" s="21" customFormat="1" ht="23.25" customHeight="1">
      <c r="A80" s="34"/>
      <c r="B80" s="21" t="s">
        <v>54</v>
      </c>
      <c r="R80" s="21" t="s">
        <v>55</v>
      </c>
      <c r="CG80" s="37"/>
    </row>
    <row r="81" spans="1:85" s="27" customFormat="1" ht="19.5" customHeight="1">
      <c r="A81" s="35"/>
      <c r="B81" s="366" t="s">
        <v>56</v>
      </c>
      <c r="C81" s="367"/>
      <c r="D81" s="367"/>
      <c r="E81" s="367"/>
      <c r="F81" s="367"/>
      <c r="G81" s="367"/>
      <c r="H81" s="367"/>
      <c r="I81" s="367"/>
      <c r="J81" s="367"/>
      <c r="K81" s="367"/>
      <c r="L81" s="367"/>
      <c r="M81" s="367"/>
      <c r="N81" s="367"/>
      <c r="O81" s="367"/>
      <c r="P81" s="368"/>
      <c r="Q81" s="366" t="s">
        <v>57</v>
      </c>
      <c r="R81" s="367"/>
      <c r="S81" s="367"/>
      <c r="T81" s="367"/>
      <c r="U81" s="367"/>
      <c r="V81" s="367"/>
      <c r="W81" s="367"/>
      <c r="X81" s="367"/>
      <c r="Y81" s="367"/>
      <c r="Z81" s="367"/>
      <c r="AA81" s="367"/>
      <c r="AB81" s="367"/>
      <c r="AC81" s="367"/>
      <c r="AD81" s="367"/>
      <c r="AE81" s="367"/>
      <c r="AF81" s="367"/>
      <c r="AG81" s="367"/>
      <c r="AH81" s="367"/>
      <c r="AI81" s="367"/>
      <c r="AJ81" s="367"/>
      <c r="AK81" s="367"/>
      <c r="AL81" s="367"/>
      <c r="AM81" s="367"/>
      <c r="AN81" s="367"/>
      <c r="AO81" s="367"/>
      <c r="AP81" s="367"/>
      <c r="AQ81" s="367"/>
      <c r="AR81" s="367"/>
      <c r="AS81" s="367"/>
      <c r="AT81" s="367"/>
      <c r="AU81" s="367"/>
      <c r="AV81" s="367"/>
      <c r="AW81" s="367"/>
      <c r="AX81" s="367"/>
      <c r="AY81" s="367"/>
      <c r="AZ81" s="367"/>
      <c r="BA81" s="367"/>
      <c r="BB81" s="367"/>
      <c r="BC81" s="367"/>
      <c r="BD81" s="367"/>
      <c r="BE81" s="367"/>
      <c r="BF81" s="367"/>
      <c r="BG81" s="367"/>
      <c r="BH81" s="367"/>
      <c r="BI81" s="367"/>
      <c r="BJ81" s="367"/>
      <c r="BK81" s="367"/>
      <c r="BL81" s="367"/>
      <c r="BM81" s="368"/>
      <c r="BN81" s="366" t="s">
        <v>46</v>
      </c>
      <c r="BO81" s="367"/>
      <c r="BP81" s="367"/>
      <c r="BQ81" s="367"/>
      <c r="BR81" s="367"/>
      <c r="BS81" s="367"/>
      <c r="BT81" s="367"/>
      <c r="BU81" s="367"/>
      <c r="BV81" s="367"/>
      <c r="BW81" s="367"/>
      <c r="BX81" s="367"/>
      <c r="BY81" s="367"/>
      <c r="BZ81" s="367"/>
      <c r="CA81" s="367"/>
      <c r="CB81" s="367"/>
      <c r="CC81" s="367"/>
      <c r="CD81" s="367"/>
      <c r="CE81" s="367"/>
      <c r="CF81" s="368"/>
      <c r="CG81" s="101"/>
    </row>
    <row r="82" spans="1:85" s="21" customFormat="1" ht="30.75" customHeight="1">
      <c r="A82" s="34"/>
      <c r="B82" s="537" t="s">
        <v>58</v>
      </c>
      <c r="C82" s="546"/>
      <c r="D82" s="546"/>
      <c r="E82" s="546"/>
      <c r="F82" s="546"/>
      <c r="G82" s="546"/>
      <c r="H82" s="546"/>
      <c r="I82" s="546"/>
      <c r="J82" s="546"/>
      <c r="K82" s="546"/>
      <c r="L82" s="546"/>
      <c r="M82" s="546"/>
      <c r="N82" s="546"/>
      <c r="O82" s="546"/>
      <c r="P82" s="547"/>
      <c r="Q82" s="710" t="s">
        <v>200</v>
      </c>
      <c r="R82" s="711"/>
      <c r="S82" s="711"/>
      <c r="T82" s="711"/>
      <c r="U82" s="711"/>
      <c r="V82" s="711"/>
      <c r="W82" s="711"/>
      <c r="X82" s="711"/>
      <c r="Y82" s="711"/>
      <c r="Z82" s="711"/>
      <c r="AA82" s="711"/>
      <c r="AB82" s="711"/>
      <c r="AC82" s="711"/>
      <c r="AD82" s="711"/>
      <c r="AE82" s="711"/>
      <c r="AF82" s="711"/>
      <c r="AG82" s="711"/>
      <c r="AH82" s="711"/>
      <c r="AI82" s="711"/>
      <c r="AJ82" s="711"/>
      <c r="AK82" s="711"/>
      <c r="AL82" s="711"/>
      <c r="AM82" s="711"/>
      <c r="AN82" s="711"/>
      <c r="AO82" s="711"/>
      <c r="AP82" s="711"/>
      <c r="AQ82" s="711"/>
      <c r="AR82" s="711"/>
      <c r="AS82" s="711"/>
      <c r="AT82" s="711"/>
      <c r="AU82" s="711"/>
      <c r="AV82" s="711"/>
      <c r="AW82" s="711"/>
      <c r="AX82" s="711"/>
      <c r="AY82" s="711"/>
      <c r="AZ82" s="711"/>
      <c r="BA82" s="711"/>
      <c r="BB82" s="711"/>
      <c r="BC82" s="711"/>
      <c r="BD82" s="711"/>
      <c r="BE82" s="711"/>
      <c r="BF82" s="711"/>
      <c r="BG82" s="711"/>
      <c r="BH82" s="711"/>
      <c r="BI82" s="711"/>
      <c r="BJ82" s="711"/>
      <c r="BK82" s="711"/>
      <c r="BL82" s="711"/>
      <c r="BM82" s="712"/>
      <c r="BN82" s="710"/>
      <c r="BO82" s="711"/>
      <c r="BP82" s="711"/>
      <c r="BQ82" s="711"/>
      <c r="BR82" s="711"/>
      <c r="BS82" s="711"/>
      <c r="BT82" s="711"/>
      <c r="BU82" s="711"/>
      <c r="BV82" s="711"/>
      <c r="BW82" s="711"/>
      <c r="BX82" s="711"/>
      <c r="BY82" s="711"/>
      <c r="BZ82" s="711"/>
      <c r="CA82" s="711"/>
      <c r="CB82" s="711"/>
      <c r="CC82" s="711"/>
      <c r="CD82" s="711"/>
      <c r="CE82" s="711"/>
      <c r="CF82" s="712"/>
      <c r="CG82" s="37"/>
    </row>
    <row r="83" spans="1:85" s="21" customFormat="1" ht="30.75" customHeight="1">
      <c r="A83" s="34"/>
      <c r="B83" s="537"/>
      <c r="C83" s="546"/>
      <c r="D83" s="546"/>
      <c r="E83" s="546"/>
      <c r="F83" s="546"/>
      <c r="G83" s="546"/>
      <c r="H83" s="546"/>
      <c r="I83" s="546"/>
      <c r="J83" s="546"/>
      <c r="K83" s="546"/>
      <c r="L83" s="546"/>
      <c r="M83" s="546"/>
      <c r="N83" s="546"/>
      <c r="O83" s="546"/>
      <c r="P83" s="547"/>
      <c r="Q83" s="710"/>
      <c r="R83" s="711"/>
      <c r="S83" s="711"/>
      <c r="T83" s="711"/>
      <c r="U83" s="711"/>
      <c r="V83" s="711"/>
      <c r="W83" s="711"/>
      <c r="X83" s="711"/>
      <c r="Y83" s="711"/>
      <c r="Z83" s="711"/>
      <c r="AA83" s="711"/>
      <c r="AB83" s="711"/>
      <c r="AC83" s="711"/>
      <c r="AD83" s="711"/>
      <c r="AE83" s="711"/>
      <c r="AF83" s="711"/>
      <c r="AG83" s="711"/>
      <c r="AH83" s="711"/>
      <c r="AI83" s="711"/>
      <c r="AJ83" s="711"/>
      <c r="AK83" s="711"/>
      <c r="AL83" s="711"/>
      <c r="AM83" s="711"/>
      <c r="AN83" s="711"/>
      <c r="AO83" s="711"/>
      <c r="AP83" s="711"/>
      <c r="AQ83" s="711"/>
      <c r="AR83" s="711"/>
      <c r="AS83" s="711"/>
      <c r="AT83" s="711"/>
      <c r="AU83" s="711"/>
      <c r="AV83" s="711"/>
      <c r="AW83" s="711"/>
      <c r="AX83" s="711"/>
      <c r="AY83" s="711"/>
      <c r="AZ83" s="711"/>
      <c r="BA83" s="711"/>
      <c r="BB83" s="711"/>
      <c r="BC83" s="711"/>
      <c r="BD83" s="711"/>
      <c r="BE83" s="711"/>
      <c r="BF83" s="711"/>
      <c r="BG83" s="711"/>
      <c r="BH83" s="711"/>
      <c r="BI83" s="711"/>
      <c r="BJ83" s="711"/>
      <c r="BK83" s="711"/>
      <c r="BL83" s="711"/>
      <c r="BM83" s="712"/>
      <c r="BN83" s="710"/>
      <c r="BO83" s="711"/>
      <c r="BP83" s="711"/>
      <c r="BQ83" s="711"/>
      <c r="BR83" s="711"/>
      <c r="BS83" s="711"/>
      <c r="BT83" s="711"/>
      <c r="BU83" s="711"/>
      <c r="BV83" s="711"/>
      <c r="BW83" s="711"/>
      <c r="BX83" s="711"/>
      <c r="BY83" s="711"/>
      <c r="BZ83" s="711"/>
      <c r="CA83" s="711"/>
      <c r="CB83" s="711"/>
      <c r="CC83" s="711"/>
      <c r="CD83" s="711"/>
      <c r="CE83" s="711"/>
      <c r="CF83" s="712"/>
      <c r="CG83" s="37"/>
    </row>
    <row r="84" spans="1:85" s="21" customFormat="1" ht="30.75" customHeight="1">
      <c r="A84" s="34"/>
      <c r="B84" s="537"/>
      <c r="C84" s="546"/>
      <c r="D84" s="546"/>
      <c r="E84" s="546"/>
      <c r="F84" s="546"/>
      <c r="G84" s="546"/>
      <c r="H84" s="546"/>
      <c r="I84" s="546"/>
      <c r="J84" s="546"/>
      <c r="K84" s="546"/>
      <c r="L84" s="546"/>
      <c r="M84" s="546"/>
      <c r="N84" s="546"/>
      <c r="O84" s="546"/>
      <c r="P84" s="547"/>
      <c r="Q84" s="710"/>
      <c r="R84" s="711"/>
      <c r="S84" s="711"/>
      <c r="T84" s="711"/>
      <c r="U84" s="711"/>
      <c r="V84" s="711"/>
      <c r="W84" s="711"/>
      <c r="X84" s="711"/>
      <c r="Y84" s="711"/>
      <c r="Z84" s="711"/>
      <c r="AA84" s="711"/>
      <c r="AB84" s="711"/>
      <c r="AC84" s="711"/>
      <c r="AD84" s="711"/>
      <c r="AE84" s="711"/>
      <c r="AF84" s="711"/>
      <c r="AG84" s="711"/>
      <c r="AH84" s="711"/>
      <c r="AI84" s="711"/>
      <c r="AJ84" s="711"/>
      <c r="AK84" s="711"/>
      <c r="AL84" s="711"/>
      <c r="AM84" s="711"/>
      <c r="AN84" s="711"/>
      <c r="AO84" s="711"/>
      <c r="AP84" s="711"/>
      <c r="AQ84" s="711"/>
      <c r="AR84" s="711"/>
      <c r="AS84" s="711"/>
      <c r="AT84" s="711"/>
      <c r="AU84" s="711"/>
      <c r="AV84" s="711"/>
      <c r="AW84" s="711"/>
      <c r="AX84" s="711"/>
      <c r="AY84" s="711"/>
      <c r="AZ84" s="711"/>
      <c r="BA84" s="711"/>
      <c r="BB84" s="711"/>
      <c r="BC84" s="711"/>
      <c r="BD84" s="711"/>
      <c r="BE84" s="711"/>
      <c r="BF84" s="711"/>
      <c r="BG84" s="711"/>
      <c r="BH84" s="711"/>
      <c r="BI84" s="711"/>
      <c r="BJ84" s="711"/>
      <c r="BK84" s="711"/>
      <c r="BL84" s="711"/>
      <c r="BM84" s="712"/>
      <c r="BN84" s="710"/>
      <c r="BO84" s="711"/>
      <c r="BP84" s="711"/>
      <c r="BQ84" s="711"/>
      <c r="BR84" s="711"/>
      <c r="BS84" s="711"/>
      <c r="BT84" s="711"/>
      <c r="BU84" s="711"/>
      <c r="BV84" s="711"/>
      <c r="BW84" s="711"/>
      <c r="BX84" s="711"/>
      <c r="BY84" s="711"/>
      <c r="BZ84" s="711"/>
      <c r="CA84" s="711"/>
      <c r="CB84" s="711"/>
      <c r="CC84" s="711"/>
      <c r="CD84" s="711"/>
      <c r="CE84" s="711"/>
      <c r="CF84" s="712"/>
      <c r="CG84" s="37"/>
    </row>
    <row r="85" spans="1:85" s="21" customFormat="1" ht="30.75" customHeight="1">
      <c r="A85" s="34"/>
      <c r="B85" s="537"/>
      <c r="C85" s="546"/>
      <c r="D85" s="546"/>
      <c r="E85" s="546"/>
      <c r="F85" s="546"/>
      <c r="G85" s="546"/>
      <c r="H85" s="546"/>
      <c r="I85" s="546"/>
      <c r="J85" s="546"/>
      <c r="K85" s="546"/>
      <c r="L85" s="546"/>
      <c r="M85" s="546"/>
      <c r="N85" s="546"/>
      <c r="O85" s="546"/>
      <c r="P85" s="547"/>
      <c r="Q85" s="710"/>
      <c r="R85" s="711"/>
      <c r="S85" s="711"/>
      <c r="T85" s="711"/>
      <c r="U85" s="711"/>
      <c r="V85" s="711"/>
      <c r="W85" s="711"/>
      <c r="X85" s="711"/>
      <c r="Y85" s="711"/>
      <c r="Z85" s="711"/>
      <c r="AA85" s="711"/>
      <c r="AB85" s="711"/>
      <c r="AC85" s="711"/>
      <c r="AD85" s="711"/>
      <c r="AE85" s="711"/>
      <c r="AF85" s="711"/>
      <c r="AG85" s="711"/>
      <c r="AH85" s="711"/>
      <c r="AI85" s="711"/>
      <c r="AJ85" s="711"/>
      <c r="AK85" s="711"/>
      <c r="AL85" s="711"/>
      <c r="AM85" s="711"/>
      <c r="AN85" s="711"/>
      <c r="AO85" s="711"/>
      <c r="AP85" s="711"/>
      <c r="AQ85" s="711"/>
      <c r="AR85" s="711"/>
      <c r="AS85" s="711"/>
      <c r="AT85" s="711"/>
      <c r="AU85" s="711"/>
      <c r="AV85" s="711"/>
      <c r="AW85" s="711"/>
      <c r="AX85" s="711"/>
      <c r="AY85" s="711"/>
      <c r="AZ85" s="711"/>
      <c r="BA85" s="711"/>
      <c r="BB85" s="711"/>
      <c r="BC85" s="711"/>
      <c r="BD85" s="711"/>
      <c r="BE85" s="711"/>
      <c r="BF85" s="711"/>
      <c r="BG85" s="711"/>
      <c r="BH85" s="711"/>
      <c r="BI85" s="711"/>
      <c r="BJ85" s="711"/>
      <c r="BK85" s="711"/>
      <c r="BL85" s="711"/>
      <c r="BM85" s="712"/>
      <c r="BN85" s="710"/>
      <c r="BO85" s="711"/>
      <c r="BP85" s="711"/>
      <c r="BQ85" s="711"/>
      <c r="BR85" s="711"/>
      <c r="BS85" s="711"/>
      <c r="BT85" s="711"/>
      <c r="BU85" s="711"/>
      <c r="BV85" s="711"/>
      <c r="BW85" s="711"/>
      <c r="BX85" s="711"/>
      <c r="BY85" s="711"/>
      <c r="BZ85" s="711"/>
      <c r="CA85" s="711"/>
      <c r="CB85" s="711"/>
      <c r="CC85" s="711"/>
      <c r="CD85" s="711"/>
      <c r="CE85" s="711"/>
      <c r="CF85" s="712"/>
      <c r="CG85" s="37"/>
    </row>
    <row r="86" spans="1:85" s="41" customFormat="1" ht="4.5" customHeight="1">
      <c r="A86" s="100"/>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99"/>
      <c r="CD86" s="99"/>
      <c r="CE86" s="99"/>
      <c r="CF86" s="99"/>
      <c r="CG86" s="98"/>
    </row>
    <row r="87" spans="1:85" s="97" customFormat="1" ht="3" customHeight="1"/>
    <row r="88" spans="1:85" s="97" customFormat="1" ht="19.5" customHeight="1"/>
    <row r="89" spans="1:85" s="97" customFormat="1" ht="19.5" customHeight="1"/>
    <row r="90" spans="1:85" s="97" customFormat="1"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sheetData>
  <mergeCells count="109">
    <mergeCell ref="BN77:CF77"/>
    <mergeCell ref="B82:P82"/>
    <mergeCell ref="Q82:BM82"/>
    <mergeCell ref="BN82:CF82"/>
    <mergeCell ref="B85:P85"/>
    <mergeCell ref="Q85:BM85"/>
    <mergeCell ref="BN85:CF85"/>
    <mergeCell ref="B83:P83"/>
    <mergeCell ref="Q83:BM83"/>
    <mergeCell ref="BN83:CF83"/>
    <mergeCell ref="B84:P84"/>
    <mergeCell ref="Q84:BM84"/>
    <mergeCell ref="BN84:CF84"/>
    <mergeCell ref="AQ24:BE25"/>
    <mergeCell ref="BB30:BG30"/>
    <mergeCell ref="BF27:BK27"/>
    <mergeCell ref="BR25:BW25"/>
    <mergeCell ref="BR27:BW27"/>
    <mergeCell ref="BF28:BK28"/>
    <mergeCell ref="BL28:BQ28"/>
    <mergeCell ref="BR28:BW28"/>
    <mergeCell ref="B81:P81"/>
    <mergeCell ref="Q81:BM81"/>
    <mergeCell ref="BN81:CF81"/>
    <mergeCell ref="B78:P78"/>
    <mergeCell ref="Q78:BM78"/>
    <mergeCell ref="BN78:CF78"/>
    <mergeCell ref="B79:P79"/>
    <mergeCell ref="Q79:BM79"/>
    <mergeCell ref="B75:P75"/>
    <mergeCell ref="Q75:BM75"/>
    <mergeCell ref="BN75:CF75"/>
    <mergeCell ref="B76:P76"/>
    <mergeCell ref="Q76:BM76"/>
    <mergeCell ref="BN76:CF76"/>
    <mergeCell ref="B77:P77"/>
    <mergeCell ref="Q77:BM77"/>
    <mergeCell ref="BV4:CG4"/>
    <mergeCell ref="BN79:CF79"/>
    <mergeCell ref="Q74:BM74"/>
    <mergeCell ref="BN74:CF74"/>
    <mergeCell ref="B73:P73"/>
    <mergeCell ref="Q73:BM73"/>
    <mergeCell ref="BN73:CF73"/>
    <mergeCell ref="L11:BU13"/>
    <mergeCell ref="BV11:CF13"/>
    <mergeCell ref="D15:CC15"/>
    <mergeCell ref="BR32:CC33"/>
    <mergeCell ref="T26:X26"/>
    <mergeCell ref="Y26:AC26"/>
    <mergeCell ref="BF26:BK26"/>
    <mergeCell ref="BR26:BW26"/>
    <mergeCell ref="T29:X29"/>
    <mergeCell ref="Y29:AC29"/>
    <mergeCell ref="BF29:BK29"/>
    <mergeCell ref="BR29:BW29"/>
    <mergeCell ref="D23:CC23"/>
    <mergeCell ref="D24:S25"/>
    <mergeCell ref="AQ35:BE35"/>
    <mergeCell ref="B74:P74"/>
    <mergeCell ref="AD24:AP25"/>
    <mergeCell ref="A3:K3"/>
    <mergeCell ref="L3:BO3"/>
    <mergeCell ref="BP3:BU3"/>
    <mergeCell ref="BV3:CG3"/>
    <mergeCell ref="A7:K7"/>
    <mergeCell ref="L7:CG7"/>
    <mergeCell ref="D31:CC31"/>
    <mergeCell ref="D32:S33"/>
    <mergeCell ref="AD32:AP33"/>
    <mergeCell ref="AQ32:BE33"/>
    <mergeCell ref="T27:X27"/>
    <mergeCell ref="Y27:AC27"/>
    <mergeCell ref="AJ30:AO30"/>
    <mergeCell ref="AP30:AU30"/>
    <mergeCell ref="AV30:BA30"/>
    <mergeCell ref="BX25:CC25"/>
    <mergeCell ref="AQ28:BE28"/>
    <mergeCell ref="BL25:BQ25"/>
    <mergeCell ref="T32:X33"/>
    <mergeCell ref="Y32:AC33"/>
    <mergeCell ref="BF32:BQ33"/>
    <mergeCell ref="A4:K4"/>
    <mergeCell ref="L4:BO4"/>
    <mergeCell ref="BP4:BU4"/>
    <mergeCell ref="D49:CC50"/>
    <mergeCell ref="L57:BU59"/>
    <mergeCell ref="BV57:CF59"/>
    <mergeCell ref="D61:CC61"/>
    <mergeCell ref="D63:CC64"/>
    <mergeCell ref="L43:BU45"/>
    <mergeCell ref="BV43:CF45"/>
    <mergeCell ref="D47:CC47"/>
    <mergeCell ref="AT1:BF1"/>
    <mergeCell ref="A2:BO2"/>
    <mergeCell ref="BP2:BU2"/>
    <mergeCell ref="CA2:CC2"/>
    <mergeCell ref="CD2:CG2"/>
    <mergeCell ref="T34:X34"/>
    <mergeCell ref="Y34:AC34"/>
    <mergeCell ref="D17:CC17"/>
    <mergeCell ref="BH30:BM30"/>
    <mergeCell ref="BN30:BS30"/>
    <mergeCell ref="BT30:BY30"/>
    <mergeCell ref="T24:X25"/>
    <mergeCell ref="Y24:AC25"/>
    <mergeCell ref="BF24:BQ24"/>
    <mergeCell ref="BR24:CC24"/>
    <mergeCell ref="BF25:BK25"/>
  </mergeCells>
  <phoneticPr fontId="5"/>
  <pageMargins left="0.45" right="0.23" top="0.51" bottom="0.19685039370078741" header="0.7" footer="0.27559055118110237"/>
  <pageSetup paperSize="9" scale="62" orientation="portrait" horizontalDpi="360" verticalDpi="360" r:id="rId1"/>
  <headerFooter>
    <oddHeader xml:space="preserve">&amp;R&amp;P    </oddHeader>
  </headerFooter>
  <rowBreaks count="1" manualBreakCount="1">
    <brk id="6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0BBF5-EED2-4FBE-B603-6F33A6B8804A}">
  <sheetPr codeName="Sheet8"/>
  <dimension ref="A1:BU86"/>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71" t="s">
        <v>80</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66" t="s">
        <v>3</v>
      </c>
      <c r="AW2" s="367"/>
      <c r="AX2" s="367"/>
      <c r="AY2" s="368"/>
      <c r="AZ2" s="366" t="s">
        <v>316</v>
      </c>
      <c r="BA2" s="367"/>
      <c r="BB2" s="367"/>
      <c r="BC2" s="368"/>
      <c r="BD2" s="366" t="s">
        <v>5</v>
      </c>
      <c r="BE2" s="367"/>
      <c r="BF2" s="368"/>
      <c r="BG2" s="366"/>
      <c r="BH2" s="367"/>
      <c r="BI2" s="367"/>
      <c r="BJ2" s="368"/>
    </row>
    <row r="3" spans="1:63" ht="21" customHeight="1">
      <c r="A3" s="366" t="s">
        <v>6</v>
      </c>
      <c r="B3" s="367"/>
      <c r="C3" s="367"/>
      <c r="D3" s="367"/>
      <c r="E3" s="367"/>
      <c r="F3" s="367"/>
      <c r="G3" s="368"/>
      <c r="H3" s="537" t="s">
        <v>302</v>
      </c>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c r="AN3" s="546"/>
      <c r="AO3" s="546"/>
      <c r="AP3" s="546"/>
      <c r="AQ3" s="546"/>
      <c r="AR3" s="546"/>
      <c r="AS3" s="546"/>
      <c r="AT3" s="546"/>
      <c r="AU3" s="547"/>
      <c r="AV3" s="366" t="s">
        <v>7</v>
      </c>
      <c r="AW3" s="367"/>
      <c r="AX3" s="367"/>
      <c r="AY3" s="368"/>
      <c r="AZ3" s="549">
        <v>45898</v>
      </c>
      <c r="BA3" s="550"/>
      <c r="BB3" s="550"/>
      <c r="BC3" s="550"/>
      <c r="BD3" s="550"/>
      <c r="BE3" s="550"/>
      <c r="BF3" s="550"/>
      <c r="BG3" s="550"/>
      <c r="BH3" s="550"/>
      <c r="BI3" s="550"/>
      <c r="BJ3" s="551"/>
    </row>
    <row r="4" spans="1:63" ht="21" customHeight="1">
      <c r="A4" s="366" t="s">
        <v>8</v>
      </c>
      <c r="B4" s="367"/>
      <c r="C4" s="367"/>
      <c r="D4" s="367"/>
      <c r="E4" s="367"/>
      <c r="F4" s="367"/>
      <c r="G4" s="368"/>
      <c r="H4" s="537" t="s">
        <v>29</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366" t="s">
        <v>10</v>
      </c>
      <c r="AW4" s="367"/>
      <c r="AX4" s="367"/>
      <c r="AY4" s="368"/>
      <c r="AZ4" s="366"/>
      <c r="BA4" s="367"/>
      <c r="BB4" s="367"/>
      <c r="BC4" s="367"/>
      <c r="BD4" s="367"/>
      <c r="BE4" s="367"/>
      <c r="BF4" s="367"/>
      <c r="BG4" s="367"/>
      <c r="BH4" s="367"/>
      <c r="BI4" s="367"/>
      <c r="BJ4" s="368"/>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66" t="s">
        <v>30</v>
      </c>
      <c r="B6" s="367"/>
      <c r="C6" s="367"/>
      <c r="D6" s="367"/>
      <c r="E6" s="367"/>
      <c r="F6" s="367"/>
      <c r="G6" s="368"/>
      <c r="H6" s="537" t="str">
        <f>変更履歴!H6</f>
        <v>販売共計年産繰越入力</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96"/>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5" t="s">
        <v>81</v>
      </c>
      <c r="B9" s="365"/>
      <c r="C9" s="365"/>
      <c r="D9" s="556" t="s">
        <v>137</v>
      </c>
      <c r="E9" s="556"/>
      <c r="F9" s="556"/>
      <c r="G9" s="556"/>
      <c r="H9" s="556"/>
      <c r="I9" s="556"/>
      <c r="J9" s="556"/>
      <c r="K9" s="556"/>
      <c r="L9" s="556"/>
      <c r="M9" s="556"/>
      <c r="N9" s="556"/>
      <c r="O9" s="556"/>
      <c r="P9" s="556"/>
      <c r="Q9" s="556"/>
      <c r="R9" s="556"/>
      <c r="S9" s="556"/>
      <c r="T9" s="556"/>
      <c r="U9" s="556"/>
      <c r="V9" s="556"/>
      <c r="W9" s="556"/>
      <c r="X9" s="556"/>
      <c r="Y9" s="556"/>
      <c r="Z9" s="556"/>
      <c r="AA9" s="556"/>
      <c r="AB9" s="556"/>
      <c r="AC9" s="556"/>
      <c r="AD9" s="556"/>
      <c r="AE9" s="556"/>
      <c r="AF9" s="556"/>
      <c r="AG9" s="556"/>
      <c r="AH9" s="556"/>
      <c r="AI9" s="556"/>
      <c r="AJ9" s="556"/>
      <c r="AK9" s="556"/>
      <c r="AL9" s="556"/>
      <c r="AM9" s="556"/>
      <c r="AN9" s="556"/>
      <c r="AO9" s="556"/>
      <c r="AP9" s="556"/>
      <c r="AQ9" s="556"/>
      <c r="AR9" s="556"/>
      <c r="AS9" s="556"/>
      <c r="AT9" s="356" t="s">
        <v>138</v>
      </c>
      <c r="AU9" s="357"/>
      <c r="AV9" s="357"/>
      <c r="AW9" s="357"/>
      <c r="AX9" s="357"/>
      <c r="AY9" s="357"/>
      <c r="AZ9" s="357"/>
      <c r="BA9" s="357"/>
      <c r="BB9" s="357"/>
      <c r="BC9" s="357"/>
      <c r="BD9" s="357"/>
      <c r="BE9" s="357"/>
      <c r="BF9" s="357"/>
      <c r="BG9" s="357"/>
      <c r="BH9" s="357"/>
      <c r="BI9" s="357"/>
      <c r="BJ9" s="358"/>
      <c r="BK9" s="173"/>
    </row>
    <row r="10" spans="1:63" ht="25.5" customHeight="1">
      <c r="A10" s="557" t="s">
        <v>99</v>
      </c>
      <c r="B10" s="557"/>
      <c r="C10" s="557"/>
      <c r="D10" s="558" t="s">
        <v>140</v>
      </c>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9" t="s">
        <v>139</v>
      </c>
      <c r="AU10" s="560"/>
      <c r="AV10" s="560"/>
      <c r="AW10" s="560"/>
      <c r="AX10" s="560"/>
      <c r="AY10" s="560"/>
      <c r="AZ10" s="560"/>
      <c r="BA10" s="560"/>
      <c r="BB10" s="560"/>
      <c r="BC10" s="560"/>
      <c r="BD10" s="560"/>
      <c r="BE10" s="560"/>
      <c r="BF10" s="560"/>
      <c r="BG10" s="560"/>
      <c r="BH10" s="560"/>
      <c r="BI10" s="560"/>
      <c r="BJ10" s="561"/>
      <c r="BK10" s="3"/>
    </row>
    <row r="11" spans="1:63" ht="25.5" customHeight="1">
      <c r="A11" s="569" t="s">
        <v>91</v>
      </c>
      <c r="B11" s="569"/>
      <c r="C11" s="569"/>
      <c r="D11" s="570" t="s">
        <v>70</v>
      </c>
      <c r="E11" s="570"/>
      <c r="F11" s="570"/>
      <c r="G11" s="570"/>
      <c r="H11" s="570"/>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482" t="s">
        <v>139</v>
      </c>
      <c r="AU11" s="483"/>
      <c r="AV11" s="483"/>
      <c r="AW11" s="483"/>
      <c r="AX11" s="483"/>
      <c r="AY11" s="483"/>
      <c r="AZ11" s="483"/>
      <c r="BA11" s="483"/>
      <c r="BB11" s="483"/>
      <c r="BC11" s="483"/>
      <c r="BD11" s="483"/>
      <c r="BE11" s="483"/>
      <c r="BF11" s="483"/>
      <c r="BG11" s="483"/>
      <c r="BH11" s="483"/>
      <c r="BI11" s="483"/>
      <c r="BJ11" s="499"/>
      <c r="BK11" s="173"/>
    </row>
    <row r="12" spans="1:63" ht="25.5" customHeight="1">
      <c r="A12" s="569" t="s">
        <v>142</v>
      </c>
      <c r="B12" s="569"/>
      <c r="C12" s="569"/>
      <c r="D12" s="570" t="s">
        <v>243</v>
      </c>
      <c r="E12" s="570"/>
      <c r="F12" s="570"/>
      <c r="G12" s="570"/>
      <c r="H12" s="570"/>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482" t="s">
        <v>139</v>
      </c>
      <c r="AU12" s="483"/>
      <c r="AV12" s="483"/>
      <c r="AW12" s="483"/>
      <c r="AX12" s="483"/>
      <c r="AY12" s="483"/>
      <c r="AZ12" s="483"/>
      <c r="BA12" s="483"/>
      <c r="BB12" s="483"/>
      <c r="BC12" s="483"/>
      <c r="BD12" s="483"/>
      <c r="BE12" s="483"/>
      <c r="BF12" s="483"/>
      <c r="BG12" s="483"/>
      <c r="BH12" s="483"/>
      <c r="BI12" s="483"/>
      <c r="BJ12" s="499"/>
      <c r="BK12" s="173"/>
    </row>
    <row r="13" spans="1:63" ht="25.5" customHeight="1">
      <c r="A13" s="569" t="s">
        <v>93</v>
      </c>
      <c r="B13" s="569"/>
      <c r="C13" s="569"/>
      <c r="D13" s="570" t="s">
        <v>159</v>
      </c>
      <c r="E13" s="570"/>
      <c r="F13" s="570"/>
      <c r="G13" s="570"/>
      <c r="H13" s="570"/>
      <c r="I13" s="570"/>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482" t="s">
        <v>139</v>
      </c>
      <c r="AU13" s="483"/>
      <c r="AV13" s="483"/>
      <c r="AW13" s="483"/>
      <c r="AX13" s="483"/>
      <c r="AY13" s="483"/>
      <c r="AZ13" s="483"/>
      <c r="BA13" s="483"/>
      <c r="BB13" s="483"/>
      <c r="BC13" s="483"/>
      <c r="BD13" s="483"/>
      <c r="BE13" s="483"/>
      <c r="BF13" s="483"/>
      <c r="BG13" s="483"/>
      <c r="BH13" s="483"/>
      <c r="BI13" s="483"/>
      <c r="BJ13" s="499"/>
      <c r="BK13" s="17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540" t="s">
        <v>81</v>
      </c>
      <c r="B15" s="541"/>
      <c r="C15" s="542"/>
      <c r="D15" s="540" t="s">
        <v>82</v>
      </c>
      <c r="E15" s="541"/>
      <c r="F15" s="541"/>
      <c r="G15" s="541"/>
      <c r="H15" s="541"/>
      <c r="I15" s="541"/>
      <c r="J15" s="541"/>
      <c r="K15" s="541"/>
      <c r="L15" s="541"/>
      <c r="M15" s="541"/>
      <c r="N15" s="541"/>
      <c r="O15" s="541"/>
      <c r="P15" s="541"/>
      <c r="Q15" s="541"/>
      <c r="R15" s="542"/>
      <c r="S15" s="540" t="s">
        <v>83</v>
      </c>
      <c r="T15" s="541"/>
      <c r="U15" s="542"/>
      <c r="V15" s="534" t="s">
        <v>84</v>
      </c>
      <c r="W15" s="535"/>
      <c r="X15" s="535"/>
      <c r="Y15" s="536"/>
      <c r="Z15" s="540" t="s">
        <v>85</v>
      </c>
      <c r="AA15" s="541"/>
      <c r="AB15" s="541"/>
      <c r="AC15" s="542"/>
      <c r="AD15" s="571" t="s">
        <v>86</v>
      </c>
      <c r="AE15" s="572"/>
      <c r="AF15" s="573"/>
      <c r="AG15" s="571" t="s">
        <v>87</v>
      </c>
      <c r="AH15" s="572"/>
      <c r="AI15" s="573"/>
      <c r="AJ15" s="571" t="s">
        <v>88</v>
      </c>
      <c r="AK15" s="572"/>
      <c r="AL15" s="573"/>
      <c r="AM15" s="540" t="s">
        <v>89</v>
      </c>
      <c r="AN15" s="541"/>
      <c r="AO15" s="541"/>
      <c r="AP15" s="541"/>
      <c r="AQ15" s="541"/>
      <c r="AR15" s="541"/>
      <c r="AS15" s="541"/>
      <c r="AT15" s="541"/>
      <c r="AU15" s="541"/>
      <c r="AV15" s="541"/>
      <c r="AW15" s="541"/>
      <c r="AX15" s="541"/>
      <c r="AY15" s="541"/>
      <c r="AZ15" s="541"/>
      <c r="BA15" s="541"/>
      <c r="BB15" s="541"/>
      <c r="BC15" s="541"/>
      <c r="BD15" s="541"/>
      <c r="BE15" s="541"/>
      <c r="BF15" s="541"/>
      <c r="BG15" s="541"/>
      <c r="BH15" s="541"/>
      <c r="BI15" s="541"/>
      <c r="BJ15" s="542"/>
    </row>
    <row r="16" spans="1:63" s="16" customFormat="1" ht="20.25" customHeight="1">
      <c r="A16" s="543"/>
      <c r="B16" s="544"/>
      <c r="C16" s="545"/>
      <c r="D16" s="543"/>
      <c r="E16" s="544"/>
      <c r="F16" s="544"/>
      <c r="G16" s="544"/>
      <c r="H16" s="544"/>
      <c r="I16" s="544"/>
      <c r="J16" s="544"/>
      <c r="K16" s="544"/>
      <c r="L16" s="544"/>
      <c r="M16" s="544"/>
      <c r="N16" s="544"/>
      <c r="O16" s="544"/>
      <c r="P16" s="544"/>
      <c r="Q16" s="544"/>
      <c r="R16" s="545"/>
      <c r="S16" s="543"/>
      <c r="T16" s="544"/>
      <c r="U16" s="545"/>
      <c r="V16" s="566" t="s">
        <v>90</v>
      </c>
      <c r="W16" s="567"/>
      <c r="X16" s="567" t="s">
        <v>52</v>
      </c>
      <c r="Y16" s="568"/>
      <c r="Z16" s="543"/>
      <c r="AA16" s="544"/>
      <c r="AB16" s="544"/>
      <c r="AC16" s="545"/>
      <c r="AD16" s="574"/>
      <c r="AE16" s="575"/>
      <c r="AF16" s="576"/>
      <c r="AG16" s="574"/>
      <c r="AH16" s="575"/>
      <c r="AI16" s="576"/>
      <c r="AJ16" s="574"/>
      <c r="AK16" s="575"/>
      <c r="AL16" s="576"/>
      <c r="AM16" s="543"/>
      <c r="AN16" s="544"/>
      <c r="AO16" s="544"/>
      <c r="AP16" s="544"/>
      <c r="AQ16" s="544"/>
      <c r="AR16" s="544"/>
      <c r="AS16" s="544"/>
      <c r="AT16" s="544"/>
      <c r="AU16" s="544"/>
      <c r="AV16" s="544"/>
      <c r="AW16" s="544"/>
      <c r="AX16" s="544"/>
      <c r="AY16" s="544"/>
      <c r="AZ16" s="544"/>
      <c r="BA16" s="544"/>
      <c r="BB16" s="544"/>
      <c r="BC16" s="544"/>
      <c r="BD16" s="544"/>
      <c r="BE16" s="544"/>
      <c r="BF16" s="544"/>
      <c r="BG16" s="544"/>
      <c r="BH16" s="544"/>
      <c r="BI16" s="544"/>
      <c r="BJ16" s="545"/>
    </row>
    <row r="17" spans="1:62" ht="30.75" customHeight="1">
      <c r="A17" s="484">
        <f>ROW()-16</f>
        <v>1</v>
      </c>
      <c r="B17" s="485"/>
      <c r="C17" s="486"/>
      <c r="D17" s="495" t="s">
        <v>385</v>
      </c>
      <c r="E17" s="496"/>
      <c r="F17" s="496"/>
      <c r="G17" s="496"/>
      <c r="H17" s="496"/>
      <c r="I17" s="496"/>
      <c r="J17" s="496"/>
      <c r="K17" s="496"/>
      <c r="L17" s="496"/>
      <c r="M17" s="496"/>
      <c r="N17" s="496"/>
      <c r="O17" s="496"/>
      <c r="P17" s="496"/>
      <c r="Q17" s="496"/>
      <c r="R17" s="497"/>
      <c r="S17" s="490"/>
      <c r="T17" s="491"/>
      <c r="U17" s="492"/>
      <c r="V17" s="490" t="s">
        <v>281</v>
      </c>
      <c r="W17" s="524"/>
      <c r="X17" s="498" t="s">
        <v>281</v>
      </c>
      <c r="Y17" s="492"/>
      <c r="Z17" s="490"/>
      <c r="AA17" s="491"/>
      <c r="AB17" s="491"/>
      <c r="AC17" s="492"/>
      <c r="AD17" s="490"/>
      <c r="AE17" s="491"/>
      <c r="AF17" s="492"/>
      <c r="AG17" s="490"/>
      <c r="AH17" s="491"/>
      <c r="AI17" s="492"/>
      <c r="AJ17" s="490"/>
      <c r="AK17" s="491"/>
      <c r="AL17" s="492"/>
      <c r="AM17" s="479"/>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1"/>
    </row>
    <row r="18" spans="1:62" ht="30.75" customHeight="1">
      <c r="A18" s="484">
        <f t="shared" ref="A18:A71" si="0">ROW()-16</f>
        <v>2</v>
      </c>
      <c r="B18" s="485"/>
      <c r="C18" s="486"/>
      <c r="D18" s="479" t="s">
        <v>36</v>
      </c>
      <c r="E18" s="480"/>
      <c r="F18" s="480"/>
      <c r="G18" s="480"/>
      <c r="H18" s="480"/>
      <c r="I18" s="480"/>
      <c r="J18" s="480"/>
      <c r="K18" s="480"/>
      <c r="L18" s="480"/>
      <c r="M18" s="480"/>
      <c r="N18" s="480"/>
      <c r="O18" s="480"/>
      <c r="P18" s="480"/>
      <c r="Q18" s="480"/>
      <c r="R18" s="481"/>
      <c r="S18" s="174" t="s">
        <v>145</v>
      </c>
      <c r="T18" s="175"/>
      <c r="U18" s="176"/>
      <c r="V18" s="482" t="s">
        <v>151</v>
      </c>
      <c r="W18" s="483"/>
      <c r="X18" s="514" t="s">
        <v>91</v>
      </c>
      <c r="Y18" s="499"/>
      <c r="Z18" s="177" t="s">
        <v>456</v>
      </c>
      <c r="AA18" s="175"/>
      <c r="AB18" s="175"/>
      <c r="AC18" s="176"/>
      <c r="AD18" s="482"/>
      <c r="AE18" s="483"/>
      <c r="AF18" s="499"/>
      <c r="AG18" s="482"/>
      <c r="AH18" s="483"/>
      <c r="AI18" s="499"/>
      <c r="AJ18" s="493"/>
      <c r="AK18" s="494"/>
      <c r="AL18" s="523"/>
      <c r="AM18" s="500"/>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9"/>
    </row>
    <row r="19" spans="1:62" ht="30.75" customHeight="1">
      <c r="A19" s="484">
        <f t="shared" si="0"/>
        <v>3</v>
      </c>
      <c r="B19" s="485"/>
      <c r="C19" s="486"/>
      <c r="D19" s="479" t="s">
        <v>144</v>
      </c>
      <c r="E19" s="480"/>
      <c r="F19" s="480"/>
      <c r="G19" s="480"/>
      <c r="H19" s="480"/>
      <c r="I19" s="480"/>
      <c r="J19" s="480"/>
      <c r="K19" s="480"/>
      <c r="L19" s="480"/>
      <c r="M19" s="480"/>
      <c r="N19" s="480"/>
      <c r="O19" s="480"/>
      <c r="P19" s="480"/>
      <c r="Q19" s="480"/>
      <c r="R19" s="481"/>
      <c r="S19" s="174" t="s">
        <v>145</v>
      </c>
      <c r="T19" s="175"/>
      <c r="U19" s="176"/>
      <c r="V19" s="482" t="s">
        <v>151</v>
      </c>
      <c r="W19" s="483"/>
      <c r="X19" s="514" t="s">
        <v>186</v>
      </c>
      <c r="Y19" s="499"/>
      <c r="Z19" s="515" t="s">
        <v>324</v>
      </c>
      <c r="AA19" s="516"/>
      <c r="AB19" s="516"/>
      <c r="AC19" s="517"/>
      <c r="AD19" s="482"/>
      <c r="AE19" s="483"/>
      <c r="AF19" s="499"/>
      <c r="AG19" s="482"/>
      <c r="AH19" s="483"/>
      <c r="AI19" s="499"/>
      <c r="AJ19" s="493"/>
      <c r="AK19" s="494"/>
      <c r="AL19" s="523"/>
      <c r="AM19" s="500"/>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9"/>
    </row>
    <row r="20" spans="1:62" ht="30.75" customHeight="1">
      <c r="A20" s="484">
        <f t="shared" si="0"/>
        <v>4</v>
      </c>
      <c r="B20" s="485"/>
      <c r="C20" s="486"/>
      <c r="D20" s="479" t="s">
        <v>143</v>
      </c>
      <c r="E20" s="480"/>
      <c r="F20" s="480"/>
      <c r="G20" s="480"/>
      <c r="H20" s="480"/>
      <c r="I20" s="480"/>
      <c r="J20" s="480"/>
      <c r="K20" s="480"/>
      <c r="L20" s="480"/>
      <c r="M20" s="480"/>
      <c r="N20" s="480"/>
      <c r="O20" s="480"/>
      <c r="P20" s="480"/>
      <c r="Q20" s="480"/>
      <c r="R20" s="481"/>
      <c r="S20" s="174" t="s">
        <v>145</v>
      </c>
      <c r="T20" s="175"/>
      <c r="U20" s="176"/>
      <c r="V20" s="482" t="s">
        <v>151</v>
      </c>
      <c r="W20" s="483"/>
      <c r="X20" s="514" t="s">
        <v>93</v>
      </c>
      <c r="Y20" s="499"/>
      <c r="Z20" s="174" t="s">
        <v>149</v>
      </c>
      <c r="AA20" s="175"/>
      <c r="AB20" s="175"/>
      <c r="AC20" s="176"/>
      <c r="AD20" s="482"/>
      <c r="AE20" s="483"/>
      <c r="AF20" s="499"/>
      <c r="AG20" s="482"/>
      <c r="AH20" s="483"/>
      <c r="AI20" s="499"/>
      <c r="AJ20" s="490"/>
      <c r="AK20" s="491"/>
      <c r="AL20" s="492"/>
      <c r="AM20" s="510"/>
      <c r="AN20" s="480"/>
      <c r="AO20" s="480"/>
      <c r="AP20" s="480"/>
      <c r="AQ20" s="480"/>
      <c r="AR20" s="480"/>
      <c r="AS20" s="480"/>
      <c r="AT20" s="480"/>
      <c r="AU20" s="480"/>
      <c r="AV20" s="480"/>
      <c r="AW20" s="480"/>
      <c r="AX20" s="480"/>
      <c r="AY20" s="480"/>
      <c r="AZ20" s="480"/>
      <c r="BA20" s="480"/>
      <c r="BB20" s="480"/>
      <c r="BC20" s="480"/>
      <c r="BD20" s="480"/>
      <c r="BE20" s="480"/>
      <c r="BF20" s="480"/>
      <c r="BG20" s="480"/>
      <c r="BH20" s="480"/>
      <c r="BI20" s="480"/>
      <c r="BJ20" s="481"/>
    </row>
    <row r="21" spans="1:62" ht="30.75" customHeight="1">
      <c r="A21" s="484">
        <f t="shared" si="0"/>
        <v>5</v>
      </c>
      <c r="B21" s="485"/>
      <c r="C21" s="486"/>
      <c r="D21" s="479" t="s">
        <v>147</v>
      </c>
      <c r="E21" s="480"/>
      <c r="F21" s="480"/>
      <c r="G21" s="480"/>
      <c r="H21" s="480"/>
      <c r="I21" s="480"/>
      <c r="J21" s="480"/>
      <c r="K21" s="480"/>
      <c r="L21" s="480"/>
      <c r="M21" s="480"/>
      <c r="N21" s="480"/>
      <c r="O21" s="480"/>
      <c r="P21" s="480"/>
      <c r="Q21" s="480"/>
      <c r="R21" s="481"/>
      <c r="S21" s="174" t="s">
        <v>145</v>
      </c>
      <c r="T21" s="175"/>
      <c r="U21" s="176"/>
      <c r="V21" s="482" t="s">
        <v>151</v>
      </c>
      <c r="W21" s="483"/>
      <c r="X21" s="514" t="s">
        <v>146</v>
      </c>
      <c r="Y21" s="499"/>
      <c r="Z21" s="515" t="s">
        <v>324</v>
      </c>
      <c r="AA21" s="516"/>
      <c r="AB21" s="516"/>
      <c r="AC21" s="517"/>
      <c r="AD21" s="482"/>
      <c r="AE21" s="483"/>
      <c r="AF21" s="499"/>
      <c r="AG21" s="482"/>
      <c r="AH21" s="483"/>
      <c r="AI21" s="499"/>
      <c r="AJ21" s="490"/>
      <c r="AK21" s="491"/>
      <c r="AL21" s="492"/>
      <c r="AM21" s="51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1"/>
    </row>
    <row r="22" spans="1:62" ht="30.75" customHeight="1">
      <c r="A22" s="484">
        <f t="shared" si="0"/>
        <v>6</v>
      </c>
      <c r="B22" s="485"/>
      <c r="C22" s="486"/>
      <c r="D22" s="479" t="s">
        <v>64</v>
      </c>
      <c r="E22" s="480"/>
      <c r="F22" s="480"/>
      <c r="G22" s="480"/>
      <c r="H22" s="480"/>
      <c r="I22" s="480"/>
      <c r="J22" s="480"/>
      <c r="K22" s="480"/>
      <c r="L22" s="480"/>
      <c r="M22" s="480"/>
      <c r="N22" s="480"/>
      <c r="O22" s="480"/>
      <c r="P22" s="480"/>
      <c r="Q22" s="480"/>
      <c r="R22" s="481"/>
      <c r="S22" s="174" t="s">
        <v>145</v>
      </c>
      <c r="T22" s="175"/>
      <c r="U22" s="176"/>
      <c r="V22" s="482" t="s">
        <v>151</v>
      </c>
      <c r="W22" s="483"/>
      <c r="X22" s="498" t="s">
        <v>94</v>
      </c>
      <c r="Y22" s="492"/>
      <c r="Z22" s="490" t="s">
        <v>456</v>
      </c>
      <c r="AA22" s="491"/>
      <c r="AB22" s="491"/>
      <c r="AC22" s="492"/>
      <c r="AD22" s="490"/>
      <c r="AE22" s="491"/>
      <c r="AF22" s="492"/>
      <c r="AG22" s="490"/>
      <c r="AH22" s="491"/>
      <c r="AI22" s="492"/>
      <c r="AJ22" s="490"/>
      <c r="AK22" s="491"/>
      <c r="AL22" s="492"/>
      <c r="AM22" s="51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1"/>
    </row>
    <row r="23" spans="1:62" ht="30.75" customHeight="1">
      <c r="A23" s="484">
        <f t="shared" si="0"/>
        <v>7</v>
      </c>
      <c r="B23" s="485"/>
      <c r="C23" s="486"/>
      <c r="D23" s="479" t="s">
        <v>160</v>
      </c>
      <c r="E23" s="480"/>
      <c r="F23" s="480"/>
      <c r="G23" s="480"/>
      <c r="H23" s="480"/>
      <c r="I23" s="480"/>
      <c r="J23" s="480"/>
      <c r="K23" s="480"/>
      <c r="L23" s="480"/>
      <c r="M23" s="480"/>
      <c r="N23" s="480"/>
      <c r="O23" s="480"/>
      <c r="P23" s="480"/>
      <c r="Q23" s="480"/>
      <c r="R23" s="481"/>
      <c r="S23" s="490" t="s">
        <v>96</v>
      </c>
      <c r="T23" s="491"/>
      <c r="U23" s="492"/>
      <c r="V23" s="482" t="s">
        <v>151</v>
      </c>
      <c r="W23" s="483"/>
      <c r="X23" s="498" t="s">
        <v>146</v>
      </c>
      <c r="Y23" s="492"/>
      <c r="Z23" s="515" t="s">
        <v>324</v>
      </c>
      <c r="AA23" s="516"/>
      <c r="AB23" s="516"/>
      <c r="AC23" s="517"/>
      <c r="AD23" s="490"/>
      <c r="AE23" s="491"/>
      <c r="AF23" s="492"/>
      <c r="AG23" s="490"/>
      <c r="AH23" s="491"/>
      <c r="AI23" s="492"/>
      <c r="AJ23" s="490"/>
      <c r="AK23" s="491"/>
      <c r="AL23" s="492"/>
      <c r="AM23" s="51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1"/>
    </row>
    <row r="24" spans="1:62" ht="30.75" customHeight="1">
      <c r="A24" s="484">
        <f t="shared" si="0"/>
        <v>8</v>
      </c>
      <c r="B24" s="485"/>
      <c r="C24" s="486"/>
      <c r="D24" s="479" t="s">
        <v>70</v>
      </c>
      <c r="E24" s="480"/>
      <c r="F24" s="480"/>
      <c r="G24" s="480"/>
      <c r="H24" s="480"/>
      <c r="I24" s="480"/>
      <c r="J24" s="480"/>
      <c r="K24" s="480"/>
      <c r="L24" s="480"/>
      <c r="M24" s="480"/>
      <c r="N24" s="480"/>
      <c r="O24" s="480"/>
      <c r="P24" s="480"/>
      <c r="Q24" s="480"/>
      <c r="R24" s="481"/>
      <c r="S24" s="174" t="s">
        <v>145</v>
      </c>
      <c r="T24" s="175"/>
      <c r="U24" s="176"/>
      <c r="V24" s="482" t="s">
        <v>151</v>
      </c>
      <c r="W24" s="483"/>
      <c r="X24" s="498" t="s">
        <v>93</v>
      </c>
      <c r="Y24" s="492"/>
      <c r="Z24" s="490" t="s">
        <v>149</v>
      </c>
      <c r="AA24" s="491"/>
      <c r="AB24" s="491"/>
      <c r="AC24" s="492"/>
      <c r="AD24" s="490"/>
      <c r="AE24" s="491"/>
      <c r="AF24" s="492"/>
      <c r="AG24" s="490"/>
      <c r="AH24" s="491"/>
      <c r="AI24" s="492"/>
      <c r="AJ24" s="490"/>
      <c r="AK24" s="491"/>
      <c r="AL24" s="492"/>
      <c r="AM24" s="510"/>
      <c r="AN24" s="480"/>
      <c r="AO24" s="480"/>
      <c r="AP24" s="480"/>
      <c r="AQ24" s="480"/>
      <c r="AR24" s="480"/>
      <c r="AS24" s="480"/>
      <c r="AT24" s="480"/>
      <c r="AU24" s="480"/>
      <c r="AV24" s="480"/>
      <c r="AW24" s="480"/>
      <c r="AX24" s="480"/>
      <c r="AY24" s="480"/>
      <c r="AZ24" s="480"/>
      <c r="BA24" s="480"/>
      <c r="BB24" s="480"/>
      <c r="BC24" s="480"/>
      <c r="BD24" s="480"/>
      <c r="BE24" s="480"/>
      <c r="BF24" s="480"/>
      <c r="BG24" s="480"/>
      <c r="BH24" s="480"/>
      <c r="BI24" s="480"/>
      <c r="BJ24" s="481"/>
    </row>
    <row r="25" spans="1:62" ht="30.75" customHeight="1">
      <c r="A25" s="484">
        <f t="shared" si="0"/>
        <v>9</v>
      </c>
      <c r="B25" s="485"/>
      <c r="C25" s="486"/>
      <c r="D25" s="479" t="s">
        <v>243</v>
      </c>
      <c r="E25" s="480"/>
      <c r="F25" s="480"/>
      <c r="G25" s="480"/>
      <c r="H25" s="480"/>
      <c r="I25" s="480"/>
      <c r="J25" s="480"/>
      <c r="K25" s="480"/>
      <c r="L25" s="480"/>
      <c r="M25" s="480"/>
      <c r="N25" s="480"/>
      <c r="O25" s="480"/>
      <c r="P25" s="480"/>
      <c r="Q25" s="480"/>
      <c r="R25" s="481"/>
      <c r="S25" s="174" t="s">
        <v>145</v>
      </c>
      <c r="T25" s="175"/>
      <c r="U25" s="176"/>
      <c r="V25" s="482" t="s">
        <v>151</v>
      </c>
      <c r="W25" s="483"/>
      <c r="X25" s="498" t="s">
        <v>91</v>
      </c>
      <c r="Y25" s="492"/>
      <c r="Z25" s="490" t="s">
        <v>149</v>
      </c>
      <c r="AA25" s="491"/>
      <c r="AB25" s="491"/>
      <c r="AC25" s="492"/>
      <c r="AD25" s="490"/>
      <c r="AE25" s="491"/>
      <c r="AF25" s="492"/>
      <c r="AG25" s="490"/>
      <c r="AH25" s="491"/>
      <c r="AI25" s="492"/>
      <c r="AJ25" s="490"/>
      <c r="AK25" s="491"/>
      <c r="AL25" s="492"/>
      <c r="AM25" s="510" t="s">
        <v>228</v>
      </c>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1"/>
    </row>
    <row r="26" spans="1:62" ht="30.75" customHeight="1">
      <c r="A26" s="484">
        <f t="shared" si="0"/>
        <v>10</v>
      </c>
      <c r="B26" s="485"/>
      <c r="C26" s="486"/>
      <c r="D26" s="479" t="s">
        <v>309</v>
      </c>
      <c r="E26" s="480"/>
      <c r="F26" s="480"/>
      <c r="G26" s="480"/>
      <c r="H26" s="480"/>
      <c r="I26" s="480"/>
      <c r="J26" s="480"/>
      <c r="K26" s="480"/>
      <c r="L26" s="480"/>
      <c r="M26" s="480"/>
      <c r="N26" s="480"/>
      <c r="O26" s="480"/>
      <c r="P26" s="480"/>
      <c r="Q26" s="480"/>
      <c r="R26" s="481"/>
      <c r="S26" s="490" t="s">
        <v>96</v>
      </c>
      <c r="T26" s="491"/>
      <c r="U26" s="492"/>
      <c r="V26" s="482" t="s">
        <v>151</v>
      </c>
      <c r="W26" s="483"/>
      <c r="X26" s="498" t="s">
        <v>186</v>
      </c>
      <c r="Y26" s="492"/>
      <c r="Z26" s="490" t="s">
        <v>149</v>
      </c>
      <c r="AA26" s="491"/>
      <c r="AB26" s="491"/>
      <c r="AC26" s="492"/>
      <c r="AD26" s="490"/>
      <c r="AE26" s="491"/>
      <c r="AF26" s="492"/>
      <c r="AG26" s="490"/>
      <c r="AH26" s="491"/>
      <c r="AI26" s="492"/>
      <c r="AJ26" s="490"/>
      <c r="AK26" s="491"/>
      <c r="AL26" s="492"/>
      <c r="AM26" s="510"/>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1"/>
    </row>
    <row r="27" spans="1:62" ht="30.75" customHeight="1">
      <c r="A27" s="484">
        <f t="shared" si="0"/>
        <v>11</v>
      </c>
      <c r="B27" s="485"/>
      <c r="C27" s="486"/>
      <c r="D27" s="479" t="s">
        <v>124</v>
      </c>
      <c r="E27" s="480"/>
      <c r="F27" s="480"/>
      <c r="G27" s="480"/>
      <c r="H27" s="480"/>
      <c r="I27" s="480"/>
      <c r="J27" s="480"/>
      <c r="K27" s="480"/>
      <c r="L27" s="480"/>
      <c r="M27" s="480"/>
      <c r="N27" s="480"/>
      <c r="O27" s="480"/>
      <c r="P27" s="480"/>
      <c r="Q27" s="480"/>
      <c r="R27" s="481"/>
      <c r="S27" s="490" t="s">
        <v>96</v>
      </c>
      <c r="T27" s="491"/>
      <c r="U27" s="492"/>
      <c r="V27" s="482" t="s">
        <v>151</v>
      </c>
      <c r="W27" s="483"/>
      <c r="X27" s="498" t="s">
        <v>91</v>
      </c>
      <c r="Y27" s="492"/>
      <c r="Z27" s="490" t="s">
        <v>149</v>
      </c>
      <c r="AA27" s="491"/>
      <c r="AB27" s="491"/>
      <c r="AC27" s="492"/>
      <c r="AD27" s="490"/>
      <c r="AE27" s="491"/>
      <c r="AF27" s="492"/>
      <c r="AG27" s="490"/>
      <c r="AH27" s="491"/>
      <c r="AI27" s="492"/>
      <c r="AJ27" s="490"/>
      <c r="AK27" s="491"/>
      <c r="AL27" s="492"/>
      <c r="AM27" s="51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1"/>
    </row>
    <row r="28" spans="1:62" ht="30.75" customHeight="1">
      <c r="A28" s="484">
        <f t="shared" si="0"/>
        <v>12</v>
      </c>
      <c r="B28" s="485"/>
      <c r="C28" s="486"/>
      <c r="D28" s="479" t="s">
        <v>161</v>
      </c>
      <c r="E28" s="480"/>
      <c r="F28" s="480"/>
      <c r="G28" s="480"/>
      <c r="H28" s="480"/>
      <c r="I28" s="480"/>
      <c r="J28" s="480"/>
      <c r="K28" s="480"/>
      <c r="L28" s="480"/>
      <c r="M28" s="480"/>
      <c r="N28" s="480"/>
      <c r="O28" s="480"/>
      <c r="P28" s="480"/>
      <c r="Q28" s="480"/>
      <c r="R28" s="481"/>
      <c r="S28" s="174" t="s">
        <v>145</v>
      </c>
      <c r="T28" s="175"/>
      <c r="U28" s="176"/>
      <c r="V28" s="482" t="s">
        <v>151</v>
      </c>
      <c r="W28" s="483"/>
      <c r="X28" s="498" t="s">
        <v>76</v>
      </c>
      <c r="Y28" s="492"/>
      <c r="Z28" s="490" t="s">
        <v>456</v>
      </c>
      <c r="AA28" s="491"/>
      <c r="AB28" s="491"/>
      <c r="AC28" s="492"/>
      <c r="AD28" s="490"/>
      <c r="AE28" s="491"/>
      <c r="AF28" s="492"/>
      <c r="AG28" s="490"/>
      <c r="AH28" s="491"/>
      <c r="AI28" s="492"/>
      <c r="AJ28" s="490"/>
      <c r="AK28" s="491"/>
      <c r="AL28" s="492"/>
      <c r="AM28" s="510"/>
      <c r="AN28" s="480"/>
      <c r="AO28" s="480"/>
      <c r="AP28" s="480"/>
      <c r="AQ28" s="480"/>
      <c r="AR28" s="480"/>
      <c r="AS28" s="480"/>
      <c r="AT28" s="480"/>
      <c r="AU28" s="480"/>
      <c r="AV28" s="480"/>
      <c r="AW28" s="480"/>
      <c r="AX28" s="480"/>
      <c r="AY28" s="480"/>
      <c r="AZ28" s="480"/>
      <c r="BA28" s="480"/>
      <c r="BB28" s="480"/>
      <c r="BC28" s="480"/>
      <c r="BD28" s="480"/>
      <c r="BE28" s="480"/>
      <c r="BF28" s="480"/>
      <c r="BG28" s="480"/>
      <c r="BH28" s="480"/>
      <c r="BI28" s="480"/>
      <c r="BJ28" s="481"/>
    </row>
    <row r="29" spans="1:62" ht="30.75" customHeight="1">
      <c r="A29" s="484">
        <f t="shared" si="0"/>
        <v>13</v>
      </c>
      <c r="B29" s="485"/>
      <c r="C29" s="486"/>
      <c r="D29" s="495" t="s">
        <v>162</v>
      </c>
      <c r="E29" s="496"/>
      <c r="F29" s="496"/>
      <c r="G29" s="496"/>
      <c r="H29" s="496"/>
      <c r="I29" s="496"/>
      <c r="J29" s="496"/>
      <c r="K29" s="496"/>
      <c r="L29" s="496"/>
      <c r="M29" s="496"/>
      <c r="N29" s="496"/>
      <c r="O29" s="496"/>
      <c r="P29" s="496"/>
      <c r="Q29" s="496"/>
      <c r="R29" s="497"/>
      <c r="S29" s="490"/>
      <c r="T29" s="491"/>
      <c r="U29" s="492"/>
      <c r="V29" s="490" t="s">
        <v>281</v>
      </c>
      <c r="W29" s="524"/>
      <c r="X29" s="498" t="s">
        <v>281</v>
      </c>
      <c r="Y29" s="492"/>
      <c r="Z29" s="490"/>
      <c r="AA29" s="491"/>
      <c r="AB29" s="491"/>
      <c r="AC29" s="492"/>
      <c r="AD29" s="490"/>
      <c r="AE29" s="491"/>
      <c r="AF29" s="492"/>
      <c r="AG29" s="490"/>
      <c r="AH29" s="491"/>
      <c r="AI29" s="492"/>
      <c r="AJ29" s="490"/>
      <c r="AK29" s="491"/>
      <c r="AL29" s="492"/>
      <c r="AM29" s="479"/>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1"/>
    </row>
    <row r="30" spans="1:62" ht="30.75" customHeight="1">
      <c r="A30" s="484">
        <f t="shared" si="0"/>
        <v>14</v>
      </c>
      <c r="B30" s="485"/>
      <c r="C30" s="486"/>
      <c r="D30" s="479" t="s">
        <v>64</v>
      </c>
      <c r="E30" s="480"/>
      <c r="F30" s="480"/>
      <c r="G30" s="480"/>
      <c r="H30" s="480"/>
      <c r="I30" s="480"/>
      <c r="J30" s="480"/>
      <c r="K30" s="480"/>
      <c r="L30" s="480"/>
      <c r="M30" s="480"/>
      <c r="N30" s="480"/>
      <c r="O30" s="480"/>
      <c r="P30" s="480"/>
      <c r="Q30" s="480"/>
      <c r="R30" s="481"/>
      <c r="S30" s="490" t="s">
        <v>96</v>
      </c>
      <c r="T30" s="491"/>
      <c r="U30" s="492"/>
      <c r="V30" s="482" t="s">
        <v>151</v>
      </c>
      <c r="W30" s="483"/>
      <c r="X30" s="498" t="s">
        <v>94</v>
      </c>
      <c r="Y30" s="492"/>
      <c r="Z30" s="490" t="s">
        <v>456</v>
      </c>
      <c r="AA30" s="491"/>
      <c r="AB30" s="491"/>
      <c r="AC30" s="492"/>
      <c r="AD30" s="490"/>
      <c r="AE30" s="491"/>
      <c r="AF30" s="492"/>
      <c r="AG30" s="490"/>
      <c r="AH30" s="491"/>
      <c r="AI30" s="492"/>
      <c r="AJ30" s="490"/>
      <c r="AK30" s="491"/>
      <c r="AL30" s="492"/>
      <c r="AM30" s="479"/>
      <c r="AN30" s="480"/>
      <c r="AO30" s="480"/>
      <c r="AP30" s="480"/>
      <c r="AQ30" s="480"/>
      <c r="AR30" s="480"/>
      <c r="AS30" s="480"/>
      <c r="AT30" s="480"/>
      <c r="AU30" s="480"/>
      <c r="AV30" s="480"/>
      <c r="AW30" s="480"/>
      <c r="AX30" s="480"/>
      <c r="AY30" s="480"/>
      <c r="AZ30" s="480"/>
      <c r="BA30" s="480"/>
      <c r="BB30" s="480"/>
      <c r="BC30" s="480"/>
      <c r="BD30" s="480"/>
      <c r="BE30" s="480"/>
      <c r="BF30" s="480"/>
      <c r="BG30" s="480"/>
      <c r="BH30" s="480"/>
      <c r="BI30" s="480"/>
      <c r="BJ30" s="481"/>
    </row>
    <row r="31" spans="1:62" ht="30.75" customHeight="1">
      <c r="A31" s="484">
        <f t="shared" si="0"/>
        <v>15</v>
      </c>
      <c r="B31" s="485"/>
      <c r="C31" s="486"/>
      <c r="D31" s="479" t="s">
        <v>160</v>
      </c>
      <c r="E31" s="480"/>
      <c r="F31" s="480"/>
      <c r="G31" s="480"/>
      <c r="H31" s="480"/>
      <c r="I31" s="480"/>
      <c r="J31" s="480"/>
      <c r="K31" s="480"/>
      <c r="L31" s="480"/>
      <c r="M31" s="480"/>
      <c r="N31" s="480"/>
      <c r="O31" s="480"/>
      <c r="P31" s="480"/>
      <c r="Q31" s="480"/>
      <c r="R31" s="481"/>
      <c r="S31" s="490" t="s">
        <v>96</v>
      </c>
      <c r="T31" s="491"/>
      <c r="U31" s="492"/>
      <c r="V31" s="482" t="s">
        <v>151</v>
      </c>
      <c r="W31" s="483"/>
      <c r="X31" s="498" t="s">
        <v>146</v>
      </c>
      <c r="Y31" s="492"/>
      <c r="Z31" s="515" t="s">
        <v>324</v>
      </c>
      <c r="AA31" s="516"/>
      <c r="AB31" s="516"/>
      <c r="AC31" s="517"/>
      <c r="AD31" s="490"/>
      <c r="AE31" s="491"/>
      <c r="AF31" s="492"/>
      <c r="AG31" s="490"/>
      <c r="AH31" s="491"/>
      <c r="AI31" s="492"/>
      <c r="AJ31" s="490"/>
      <c r="AK31" s="491"/>
      <c r="AL31" s="492"/>
      <c r="AM31" s="51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1"/>
    </row>
    <row r="32" spans="1:62" ht="30.75" customHeight="1">
      <c r="A32" s="484">
        <f t="shared" si="0"/>
        <v>16</v>
      </c>
      <c r="B32" s="485"/>
      <c r="C32" s="486"/>
      <c r="D32" s="479" t="s">
        <v>70</v>
      </c>
      <c r="E32" s="480"/>
      <c r="F32" s="480"/>
      <c r="G32" s="480"/>
      <c r="H32" s="480"/>
      <c r="I32" s="480"/>
      <c r="J32" s="480"/>
      <c r="K32" s="480"/>
      <c r="L32" s="480"/>
      <c r="M32" s="480"/>
      <c r="N32" s="480"/>
      <c r="O32" s="480"/>
      <c r="P32" s="480"/>
      <c r="Q32" s="480"/>
      <c r="R32" s="481"/>
      <c r="S32" s="490" t="s">
        <v>96</v>
      </c>
      <c r="T32" s="491"/>
      <c r="U32" s="492"/>
      <c r="V32" s="482" t="s">
        <v>151</v>
      </c>
      <c r="W32" s="483"/>
      <c r="X32" s="498" t="s">
        <v>93</v>
      </c>
      <c r="Y32" s="492"/>
      <c r="Z32" s="490" t="s">
        <v>149</v>
      </c>
      <c r="AA32" s="491"/>
      <c r="AB32" s="491"/>
      <c r="AC32" s="492"/>
      <c r="AD32" s="490"/>
      <c r="AE32" s="491"/>
      <c r="AF32" s="492"/>
      <c r="AG32" s="490"/>
      <c r="AH32" s="491"/>
      <c r="AI32" s="492"/>
      <c r="AJ32" s="490"/>
      <c r="AK32" s="491"/>
      <c r="AL32" s="492"/>
      <c r="AM32" s="510"/>
      <c r="AN32" s="480"/>
      <c r="AO32" s="480"/>
      <c r="AP32" s="480"/>
      <c r="AQ32" s="480"/>
      <c r="AR32" s="480"/>
      <c r="AS32" s="480"/>
      <c r="AT32" s="480"/>
      <c r="AU32" s="480"/>
      <c r="AV32" s="480"/>
      <c r="AW32" s="480"/>
      <c r="AX32" s="480"/>
      <c r="AY32" s="480"/>
      <c r="AZ32" s="480"/>
      <c r="BA32" s="480"/>
      <c r="BB32" s="480"/>
      <c r="BC32" s="480"/>
      <c r="BD32" s="480"/>
      <c r="BE32" s="480"/>
      <c r="BF32" s="480"/>
      <c r="BG32" s="480"/>
      <c r="BH32" s="480"/>
      <c r="BI32" s="480"/>
      <c r="BJ32" s="481"/>
    </row>
    <row r="33" spans="1:62" ht="30.75" customHeight="1">
      <c r="A33" s="484">
        <f t="shared" si="0"/>
        <v>17</v>
      </c>
      <c r="B33" s="485"/>
      <c r="C33" s="486"/>
      <c r="D33" s="479" t="s">
        <v>243</v>
      </c>
      <c r="E33" s="480"/>
      <c r="F33" s="480"/>
      <c r="G33" s="480"/>
      <c r="H33" s="480"/>
      <c r="I33" s="480"/>
      <c r="J33" s="480"/>
      <c r="K33" s="480"/>
      <c r="L33" s="480"/>
      <c r="M33" s="480"/>
      <c r="N33" s="480"/>
      <c r="O33" s="480"/>
      <c r="P33" s="480"/>
      <c r="Q33" s="480"/>
      <c r="R33" s="481"/>
      <c r="S33" s="490" t="s">
        <v>96</v>
      </c>
      <c r="T33" s="491"/>
      <c r="U33" s="492"/>
      <c r="V33" s="482" t="s">
        <v>151</v>
      </c>
      <c r="W33" s="483"/>
      <c r="X33" s="685" t="s">
        <v>91</v>
      </c>
      <c r="Y33" s="686"/>
      <c r="Z33" s="490" t="s">
        <v>149</v>
      </c>
      <c r="AA33" s="491"/>
      <c r="AB33" s="491"/>
      <c r="AC33" s="492"/>
      <c r="AD33" s="490"/>
      <c r="AE33" s="491"/>
      <c r="AF33" s="492"/>
      <c r="AG33" s="490"/>
      <c r="AH33" s="491"/>
      <c r="AI33" s="492"/>
      <c r="AJ33" s="490"/>
      <c r="AK33" s="491"/>
      <c r="AL33" s="492"/>
      <c r="AM33" s="510"/>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1"/>
    </row>
    <row r="34" spans="1:62" ht="30.75" customHeight="1">
      <c r="A34" s="484">
        <f t="shared" si="0"/>
        <v>18</v>
      </c>
      <c r="B34" s="485"/>
      <c r="C34" s="486"/>
      <c r="D34" s="479" t="s">
        <v>176</v>
      </c>
      <c r="E34" s="480"/>
      <c r="F34" s="480"/>
      <c r="G34" s="480"/>
      <c r="H34" s="480"/>
      <c r="I34" s="480"/>
      <c r="J34" s="480"/>
      <c r="K34" s="480"/>
      <c r="L34" s="480"/>
      <c r="M34" s="480"/>
      <c r="N34" s="480"/>
      <c r="O34" s="480"/>
      <c r="P34" s="480"/>
      <c r="Q34" s="480"/>
      <c r="R34" s="481"/>
      <c r="S34" s="490" t="s">
        <v>96</v>
      </c>
      <c r="T34" s="491"/>
      <c r="U34" s="492"/>
      <c r="V34" s="482" t="s">
        <v>151</v>
      </c>
      <c r="W34" s="483"/>
      <c r="X34" s="498" t="s">
        <v>91</v>
      </c>
      <c r="Y34" s="492"/>
      <c r="Z34" s="490" t="s">
        <v>456</v>
      </c>
      <c r="AA34" s="491"/>
      <c r="AB34" s="491"/>
      <c r="AC34" s="492"/>
      <c r="AD34" s="490"/>
      <c r="AE34" s="491"/>
      <c r="AF34" s="492"/>
      <c r="AG34" s="490"/>
      <c r="AH34" s="491"/>
      <c r="AI34" s="492"/>
      <c r="AJ34" s="490"/>
      <c r="AK34" s="491"/>
      <c r="AL34" s="492"/>
      <c r="AM34" s="510"/>
      <c r="AN34" s="480"/>
      <c r="AO34" s="480"/>
      <c r="AP34" s="480"/>
      <c r="AQ34" s="480"/>
      <c r="AR34" s="480"/>
      <c r="AS34" s="480"/>
      <c r="AT34" s="480"/>
      <c r="AU34" s="480"/>
      <c r="AV34" s="480"/>
      <c r="AW34" s="480"/>
      <c r="AX34" s="480"/>
      <c r="AY34" s="480"/>
      <c r="AZ34" s="480"/>
      <c r="BA34" s="480"/>
      <c r="BB34" s="480"/>
      <c r="BC34" s="480"/>
      <c r="BD34" s="480"/>
      <c r="BE34" s="480"/>
      <c r="BF34" s="480"/>
      <c r="BG34" s="480"/>
      <c r="BH34" s="480"/>
      <c r="BI34" s="480"/>
      <c r="BJ34" s="481"/>
    </row>
    <row r="35" spans="1:62" ht="30.75" customHeight="1">
      <c r="A35" s="484">
        <f t="shared" si="0"/>
        <v>19</v>
      </c>
      <c r="B35" s="485"/>
      <c r="C35" s="486"/>
      <c r="D35" s="479" t="s">
        <v>209</v>
      </c>
      <c r="E35" s="480"/>
      <c r="F35" s="480"/>
      <c r="G35" s="480"/>
      <c r="H35" s="480"/>
      <c r="I35" s="480"/>
      <c r="J35" s="480"/>
      <c r="K35" s="480"/>
      <c r="L35" s="480"/>
      <c r="M35" s="480"/>
      <c r="N35" s="480"/>
      <c r="O35" s="480"/>
      <c r="P35" s="480"/>
      <c r="Q35" s="480"/>
      <c r="R35" s="481"/>
      <c r="S35" s="490" t="s">
        <v>96</v>
      </c>
      <c r="T35" s="491"/>
      <c r="U35" s="492"/>
      <c r="V35" s="482" t="s">
        <v>151</v>
      </c>
      <c r="W35" s="483"/>
      <c r="X35" s="498" t="s">
        <v>186</v>
      </c>
      <c r="Y35" s="492"/>
      <c r="Z35" s="515" t="s">
        <v>324</v>
      </c>
      <c r="AA35" s="516"/>
      <c r="AB35" s="516"/>
      <c r="AC35" s="517"/>
      <c r="AD35" s="490"/>
      <c r="AE35" s="491"/>
      <c r="AF35" s="492"/>
      <c r="AG35" s="490"/>
      <c r="AH35" s="491"/>
      <c r="AI35" s="492"/>
      <c r="AJ35" s="490"/>
      <c r="AK35" s="491"/>
      <c r="AL35" s="492"/>
      <c r="AM35" s="51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1"/>
    </row>
    <row r="36" spans="1:62" ht="30.75" customHeight="1">
      <c r="A36" s="484">
        <f t="shared" si="0"/>
        <v>20</v>
      </c>
      <c r="B36" s="485"/>
      <c r="C36" s="486"/>
      <c r="D36" s="479" t="s">
        <v>248</v>
      </c>
      <c r="E36" s="480"/>
      <c r="F36" s="480"/>
      <c r="G36" s="480"/>
      <c r="H36" s="480"/>
      <c r="I36" s="480"/>
      <c r="J36" s="480"/>
      <c r="K36" s="480"/>
      <c r="L36" s="480"/>
      <c r="M36" s="480"/>
      <c r="N36" s="480"/>
      <c r="O36" s="480"/>
      <c r="P36" s="480"/>
      <c r="Q36" s="480"/>
      <c r="R36" s="481"/>
      <c r="S36" s="490" t="s">
        <v>96</v>
      </c>
      <c r="T36" s="491"/>
      <c r="U36" s="492"/>
      <c r="V36" s="482" t="s">
        <v>151</v>
      </c>
      <c r="W36" s="483"/>
      <c r="X36" s="498" t="s">
        <v>142</v>
      </c>
      <c r="Y36" s="492"/>
      <c r="Z36" s="490" t="s">
        <v>456</v>
      </c>
      <c r="AA36" s="491"/>
      <c r="AB36" s="491"/>
      <c r="AC36" s="492"/>
      <c r="AD36" s="490"/>
      <c r="AE36" s="491"/>
      <c r="AF36" s="492"/>
      <c r="AG36" s="490"/>
      <c r="AH36" s="491"/>
      <c r="AI36" s="492"/>
      <c r="AJ36" s="490"/>
      <c r="AK36" s="491"/>
      <c r="AL36" s="492"/>
      <c r="AM36" s="510"/>
      <c r="AN36" s="480"/>
      <c r="AO36" s="480"/>
      <c r="AP36" s="480"/>
      <c r="AQ36" s="480"/>
      <c r="AR36" s="480"/>
      <c r="AS36" s="480"/>
      <c r="AT36" s="480"/>
      <c r="AU36" s="480"/>
      <c r="AV36" s="480"/>
      <c r="AW36" s="480"/>
      <c r="AX36" s="480"/>
      <c r="AY36" s="480"/>
      <c r="AZ36" s="480"/>
      <c r="BA36" s="480"/>
      <c r="BB36" s="480"/>
      <c r="BC36" s="480"/>
      <c r="BD36" s="480"/>
      <c r="BE36" s="480"/>
      <c r="BF36" s="480"/>
      <c r="BG36" s="480"/>
      <c r="BH36" s="480"/>
      <c r="BI36" s="480"/>
      <c r="BJ36" s="481"/>
    </row>
    <row r="37" spans="1:62" ht="30.75" customHeight="1">
      <c r="A37" s="484">
        <f t="shared" si="0"/>
        <v>21</v>
      </c>
      <c r="B37" s="485"/>
      <c r="C37" s="486"/>
      <c r="D37" s="479" t="s">
        <v>249</v>
      </c>
      <c r="E37" s="480"/>
      <c r="F37" s="480"/>
      <c r="G37" s="480"/>
      <c r="H37" s="480"/>
      <c r="I37" s="480"/>
      <c r="J37" s="480"/>
      <c r="K37" s="480"/>
      <c r="L37" s="480"/>
      <c r="M37" s="480"/>
      <c r="N37" s="480"/>
      <c r="O37" s="480"/>
      <c r="P37" s="480"/>
      <c r="Q37" s="480"/>
      <c r="R37" s="481"/>
      <c r="S37" s="490" t="s">
        <v>96</v>
      </c>
      <c r="T37" s="491"/>
      <c r="U37" s="492"/>
      <c r="V37" s="482" t="s">
        <v>151</v>
      </c>
      <c r="W37" s="483"/>
      <c r="X37" s="498" t="s">
        <v>186</v>
      </c>
      <c r="Y37" s="492"/>
      <c r="Z37" s="515" t="s">
        <v>324</v>
      </c>
      <c r="AA37" s="516"/>
      <c r="AB37" s="516"/>
      <c r="AC37" s="517"/>
      <c r="AD37" s="490"/>
      <c r="AE37" s="491"/>
      <c r="AF37" s="492"/>
      <c r="AG37" s="490"/>
      <c r="AH37" s="491"/>
      <c r="AI37" s="492"/>
      <c r="AJ37" s="490"/>
      <c r="AK37" s="491"/>
      <c r="AL37" s="492"/>
      <c r="AM37" s="51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1"/>
    </row>
    <row r="38" spans="1:62" ht="30.75" customHeight="1">
      <c r="A38" s="484">
        <f t="shared" si="0"/>
        <v>22</v>
      </c>
      <c r="B38" s="485"/>
      <c r="C38" s="486"/>
      <c r="D38" s="510" t="s">
        <v>233</v>
      </c>
      <c r="E38" s="532"/>
      <c r="F38" s="532"/>
      <c r="G38" s="532"/>
      <c r="H38" s="532"/>
      <c r="I38" s="532"/>
      <c r="J38" s="532"/>
      <c r="K38" s="532"/>
      <c r="L38" s="532"/>
      <c r="M38" s="532"/>
      <c r="N38" s="532"/>
      <c r="O38" s="532"/>
      <c r="P38" s="532"/>
      <c r="Q38" s="532"/>
      <c r="R38" s="533"/>
      <c r="S38" s="490" t="s">
        <v>96</v>
      </c>
      <c r="T38" s="491"/>
      <c r="U38" s="492"/>
      <c r="V38" s="482" t="s">
        <v>151</v>
      </c>
      <c r="W38" s="483"/>
      <c r="X38" s="498" t="s">
        <v>318</v>
      </c>
      <c r="Y38" s="492"/>
      <c r="Z38" s="490" t="s">
        <v>149</v>
      </c>
      <c r="AA38" s="491"/>
      <c r="AB38" s="491"/>
      <c r="AC38" s="492"/>
      <c r="AD38" s="490" t="s">
        <v>92</v>
      </c>
      <c r="AE38" s="491"/>
      <c r="AF38" s="492"/>
      <c r="AG38" s="490"/>
      <c r="AH38" s="491"/>
      <c r="AI38" s="492"/>
      <c r="AJ38" s="490"/>
      <c r="AK38" s="491"/>
      <c r="AL38" s="492"/>
      <c r="AM38" s="510"/>
      <c r="AN38" s="480"/>
      <c r="AO38" s="480"/>
      <c r="AP38" s="480"/>
      <c r="AQ38" s="480"/>
      <c r="AR38" s="480"/>
      <c r="AS38" s="480"/>
      <c r="AT38" s="480"/>
      <c r="AU38" s="480"/>
      <c r="AV38" s="480"/>
      <c r="AW38" s="480"/>
      <c r="AX38" s="480"/>
      <c r="AY38" s="480"/>
      <c r="AZ38" s="480"/>
      <c r="BA38" s="480"/>
      <c r="BB38" s="480"/>
      <c r="BC38" s="480"/>
      <c r="BD38" s="480"/>
      <c r="BE38" s="480"/>
      <c r="BF38" s="480"/>
      <c r="BG38" s="480"/>
      <c r="BH38" s="480"/>
      <c r="BI38" s="480"/>
      <c r="BJ38" s="481"/>
    </row>
    <row r="39" spans="1:62" ht="30.75" customHeight="1">
      <c r="A39" s="484">
        <f t="shared" si="0"/>
        <v>23</v>
      </c>
      <c r="B39" s="485"/>
      <c r="C39" s="486"/>
      <c r="D39" s="510" t="s">
        <v>234</v>
      </c>
      <c r="E39" s="532"/>
      <c r="F39" s="532"/>
      <c r="G39" s="532"/>
      <c r="H39" s="532"/>
      <c r="I39" s="532"/>
      <c r="J39" s="532"/>
      <c r="K39" s="532"/>
      <c r="L39" s="532"/>
      <c r="M39" s="532"/>
      <c r="N39" s="532"/>
      <c r="O39" s="532"/>
      <c r="P39" s="532"/>
      <c r="Q39" s="532"/>
      <c r="R39" s="533"/>
      <c r="S39" s="490" t="s">
        <v>96</v>
      </c>
      <c r="T39" s="491"/>
      <c r="U39" s="492"/>
      <c r="V39" s="482" t="s">
        <v>151</v>
      </c>
      <c r="W39" s="483"/>
      <c r="X39" s="498" t="s">
        <v>318</v>
      </c>
      <c r="Y39" s="492"/>
      <c r="Z39" s="490" t="s">
        <v>149</v>
      </c>
      <c r="AA39" s="491"/>
      <c r="AB39" s="491"/>
      <c r="AC39" s="492"/>
      <c r="AD39" s="490" t="s">
        <v>92</v>
      </c>
      <c r="AE39" s="491"/>
      <c r="AF39" s="492"/>
      <c r="AG39" s="490"/>
      <c r="AH39" s="491"/>
      <c r="AI39" s="492"/>
      <c r="AJ39" s="490"/>
      <c r="AK39" s="491"/>
      <c r="AL39" s="492"/>
      <c r="AM39" s="51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1"/>
    </row>
    <row r="40" spans="1:62" ht="30.75" customHeight="1">
      <c r="A40" s="484">
        <f t="shared" si="0"/>
        <v>24</v>
      </c>
      <c r="B40" s="485"/>
      <c r="C40" s="486"/>
      <c r="D40" s="510" t="s">
        <v>235</v>
      </c>
      <c r="E40" s="532"/>
      <c r="F40" s="532"/>
      <c r="G40" s="532"/>
      <c r="H40" s="532"/>
      <c r="I40" s="532"/>
      <c r="J40" s="532"/>
      <c r="K40" s="532"/>
      <c r="L40" s="532"/>
      <c r="M40" s="532"/>
      <c r="N40" s="532"/>
      <c r="O40" s="532"/>
      <c r="P40" s="532"/>
      <c r="Q40" s="532"/>
      <c r="R40" s="533"/>
      <c r="S40" s="490" t="s">
        <v>96</v>
      </c>
      <c r="T40" s="491"/>
      <c r="U40" s="492"/>
      <c r="V40" s="482" t="s">
        <v>151</v>
      </c>
      <c r="W40" s="483"/>
      <c r="X40" s="498" t="s">
        <v>318</v>
      </c>
      <c r="Y40" s="492"/>
      <c r="Z40" s="490" t="s">
        <v>149</v>
      </c>
      <c r="AA40" s="491"/>
      <c r="AB40" s="491"/>
      <c r="AC40" s="492"/>
      <c r="AD40" s="490" t="s">
        <v>92</v>
      </c>
      <c r="AE40" s="491"/>
      <c r="AF40" s="492"/>
      <c r="AG40" s="490"/>
      <c r="AH40" s="491"/>
      <c r="AI40" s="492"/>
      <c r="AJ40" s="490"/>
      <c r="AK40" s="491"/>
      <c r="AL40" s="492"/>
      <c r="AM40" s="51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1"/>
    </row>
    <row r="41" spans="1:62" ht="30.75" customHeight="1">
      <c r="A41" s="484">
        <f t="shared" si="0"/>
        <v>25</v>
      </c>
      <c r="B41" s="485"/>
      <c r="C41" s="486"/>
      <c r="D41" s="510" t="s">
        <v>236</v>
      </c>
      <c r="E41" s="532"/>
      <c r="F41" s="532"/>
      <c r="G41" s="532"/>
      <c r="H41" s="532"/>
      <c r="I41" s="532"/>
      <c r="J41" s="532"/>
      <c r="K41" s="532"/>
      <c r="L41" s="532"/>
      <c r="M41" s="532"/>
      <c r="N41" s="532"/>
      <c r="O41" s="532"/>
      <c r="P41" s="532"/>
      <c r="Q41" s="532"/>
      <c r="R41" s="533"/>
      <c r="S41" s="490" t="s">
        <v>96</v>
      </c>
      <c r="T41" s="491"/>
      <c r="U41" s="492"/>
      <c r="V41" s="482" t="s">
        <v>151</v>
      </c>
      <c r="W41" s="483"/>
      <c r="X41" s="498" t="s">
        <v>318</v>
      </c>
      <c r="Y41" s="492"/>
      <c r="Z41" s="490" t="s">
        <v>149</v>
      </c>
      <c r="AA41" s="491"/>
      <c r="AB41" s="491"/>
      <c r="AC41" s="492"/>
      <c r="AD41" s="490" t="s">
        <v>92</v>
      </c>
      <c r="AE41" s="491"/>
      <c r="AF41" s="492"/>
      <c r="AG41" s="490"/>
      <c r="AH41" s="491"/>
      <c r="AI41" s="492"/>
      <c r="AJ41" s="490"/>
      <c r="AK41" s="491"/>
      <c r="AL41" s="492"/>
      <c r="AM41" s="51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1"/>
    </row>
    <row r="42" spans="1:62" ht="30.75" customHeight="1">
      <c r="A42" s="484">
        <f t="shared" si="0"/>
        <v>26</v>
      </c>
      <c r="B42" s="485"/>
      <c r="C42" s="486"/>
      <c r="D42" s="510" t="s">
        <v>237</v>
      </c>
      <c r="E42" s="532"/>
      <c r="F42" s="532"/>
      <c r="G42" s="532"/>
      <c r="H42" s="532"/>
      <c r="I42" s="532"/>
      <c r="J42" s="532"/>
      <c r="K42" s="532"/>
      <c r="L42" s="532"/>
      <c r="M42" s="532"/>
      <c r="N42" s="532"/>
      <c r="O42" s="532"/>
      <c r="P42" s="532"/>
      <c r="Q42" s="532"/>
      <c r="R42" s="533"/>
      <c r="S42" s="490" t="s">
        <v>96</v>
      </c>
      <c r="T42" s="491"/>
      <c r="U42" s="492"/>
      <c r="V42" s="482" t="s">
        <v>151</v>
      </c>
      <c r="W42" s="483"/>
      <c r="X42" s="498" t="s">
        <v>318</v>
      </c>
      <c r="Y42" s="492"/>
      <c r="Z42" s="490" t="s">
        <v>149</v>
      </c>
      <c r="AA42" s="491"/>
      <c r="AB42" s="491"/>
      <c r="AC42" s="492"/>
      <c r="AD42" s="490" t="s">
        <v>92</v>
      </c>
      <c r="AE42" s="491"/>
      <c r="AF42" s="492"/>
      <c r="AG42" s="490"/>
      <c r="AH42" s="491"/>
      <c r="AI42" s="492"/>
      <c r="AJ42" s="490"/>
      <c r="AK42" s="491"/>
      <c r="AL42" s="492"/>
      <c r="AM42" s="51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1"/>
    </row>
    <row r="43" spans="1:62" ht="30.75" customHeight="1">
      <c r="A43" s="484">
        <f t="shared" si="0"/>
        <v>27</v>
      </c>
      <c r="B43" s="485"/>
      <c r="C43" s="486"/>
      <c r="D43" s="510" t="s">
        <v>238</v>
      </c>
      <c r="E43" s="532"/>
      <c r="F43" s="532"/>
      <c r="G43" s="532"/>
      <c r="H43" s="532"/>
      <c r="I43" s="532"/>
      <c r="J43" s="532"/>
      <c r="K43" s="532"/>
      <c r="L43" s="532"/>
      <c r="M43" s="532"/>
      <c r="N43" s="532"/>
      <c r="O43" s="532"/>
      <c r="P43" s="532"/>
      <c r="Q43" s="532"/>
      <c r="R43" s="533"/>
      <c r="S43" s="490" t="s">
        <v>96</v>
      </c>
      <c r="T43" s="491"/>
      <c r="U43" s="492"/>
      <c r="V43" s="482" t="s">
        <v>151</v>
      </c>
      <c r="W43" s="483"/>
      <c r="X43" s="498" t="s">
        <v>318</v>
      </c>
      <c r="Y43" s="492"/>
      <c r="Z43" s="490" t="s">
        <v>149</v>
      </c>
      <c r="AA43" s="491"/>
      <c r="AB43" s="491"/>
      <c r="AC43" s="492"/>
      <c r="AD43" s="490" t="s">
        <v>92</v>
      </c>
      <c r="AE43" s="491"/>
      <c r="AF43" s="492"/>
      <c r="AG43" s="490"/>
      <c r="AH43" s="491"/>
      <c r="AI43" s="492"/>
      <c r="AJ43" s="490"/>
      <c r="AK43" s="491"/>
      <c r="AL43" s="492"/>
      <c r="AM43" s="51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1"/>
    </row>
    <row r="44" spans="1:62" ht="30.75" customHeight="1">
      <c r="A44" s="484">
        <f t="shared" si="0"/>
        <v>28</v>
      </c>
      <c r="B44" s="485"/>
      <c r="C44" s="486"/>
      <c r="D44" s="510" t="s">
        <v>239</v>
      </c>
      <c r="E44" s="532"/>
      <c r="F44" s="532"/>
      <c r="G44" s="532"/>
      <c r="H44" s="532"/>
      <c r="I44" s="532"/>
      <c r="J44" s="532"/>
      <c r="K44" s="532"/>
      <c r="L44" s="532"/>
      <c r="M44" s="532"/>
      <c r="N44" s="532"/>
      <c r="O44" s="532"/>
      <c r="P44" s="532"/>
      <c r="Q44" s="532"/>
      <c r="R44" s="533"/>
      <c r="S44" s="490" t="s">
        <v>96</v>
      </c>
      <c r="T44" s="491"/>
      <c r="U44" s="492"/>
      <c r="V44" s="482" t="s">
        <v>151</v>
      </c>
      <c r="W44" s="483"/>
      <c r="X44" s="498" t="s">
        <v>318</v>
      </c>
      <c r="Y44" s="492"/>
      <c r="Z44" s="490" t="s">
        <v>149</v>
      </c>
      <c r="AA44" s="491"/>
      <c r="AB44" s="491"/>
      <c r="AC44" s="492"/>
      <c r="AD44" s="490" t="s">
        <v>92</v>
      </c>
      <c r="AE44" s="491"/>
      <c r="AF44" s="492"/>
      <c r="AG44" s="490"/>
      <c r="AH44" s="491"/>
      <c r="AI44" s="492"/>
      <c r="AJ44" s="490"/>
      <c r="AK44" s="491"/>
      <c r="AL44" s="492"/>
      <c r="AM44" s="51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1"/>
    </row>
    <row r="45" spans="1:62" ht="30.75" customHeight="1">
      <c r="A45" s="484">
        <f t="shared" si="0"/>
        <v>29</v>
      </c>
      <c r="B45" s="485"/>
      <c r="C45" s="486"/>
      <c r="D45" s="510" t="s">
        <v>240</v>
      </c>
      <c r="E45" s="532"/>
      <c r="F45" s="532"/>
      <c r="G45" s="532"/>
      <c r="H45" s="532"/>
      <c r="I45" s="532"/>
      <c r="J45" s="532"/>
      <c r="K45" s="532"/>
      <c r="L45" s="532"/>
      <c r="M45" s="532"/>
      <c r="N45" s="532"/>
      <c r="O45" s="532"/>
      <c r="P45" s="532"/>
      <c r="Q45" s="532"/>
      <c r="R45" s="533"/>
      <c r="S45" s="490" t="s">
        <v>96</v>
      </c>
      <c r="T45" s="491"/>
      <c r="U45" s="492"/>
      <c r="V45" s="482" t="s">
        <v>151</v>
      </c>
      <c r="W45" s="483"/>
      <c r="X45" s="498" t="s">
        <v>318</v>
      </c>
      <c r="Y45" s="492"/>
      <c r="Z45" s="490" t="s">
        <v>149</v>
      </c>
      <c r="AA45" s="491"/>
      <c r="AB45" s="491"/>
      <c r="AC45" s="492"/>
      <c r="AD45" s="490" t="s">
        <v>92</v>
      </c>
      <c r="AE45" s="491"/>
      <c r="AF45" s="492"/>
      <c r="AG45" s="490"/>
      <c r="AH45" s="491"/>
      <c r="AI45" s="492"/>
      <c r="AJ45" s="490"/>
      <c r="AK45" s="491"/>
      <c r="AL45" s="492"/>
      <c r="AM45" s="51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1"/>
    </row>
    <row r="46" spans="1:62" ht="30.75" customHeight="1">
      <c r="A46" s="484">
        <f t="shared" si="0"/>
        <v>30</v>
      </c>
      <c r="B46" s="485"/>
      <c r="C46" s="486"/>
      <c r="D46" s="479" t="s">
        <v>210</v>
      </c>
      <c r="E46" s="480"/>
      <c r="F46" s="480"/>
      <c r="G46" s="480"/>
      <c r="H46" s="480"/>
      <c r="I46" s="480"/>
      <c r="J46" s="480"/>
      <c r="K46" s="480"/>
      <c r="L46" s="480"/>
      <c r="M46" s="480"/>
      <c r="N46" s="480"/>
      <c r="O46" s="480"/>
      <c r="P46" s="480"/>
      <c r="Q46" s="480"/>
      <c r="R46" s="481"/>
      <c r="S46" s="174" t="s">
        <v>145</v>
      </c>
      <c r="T46" s="175"/>
      <c r="U46" s="176"/>
      <c r="V46" s="482" t="s">
        <v>151</v>
      </c>
      <c r="W46" s="483"/>
      <c r="X46" s="498" t="s">
        <v>91</v>
      </c>
      <c r="Y46" s="492"/>
      <c r="Z46" s="490" t="s">
        <v>456</v>
      </c>
      <c r="AA46" s="491"/>
      <c r="AB46" s="491"/>
      <c r="AC46" s="492"/>
      <c r="AD46" s="490"/>
      <c r="AE46" s="491"/>
      <c r="AF46" s="492"/>
      <c r="AG46" s="490"/>
      <c r="AH46" s="491"/>
      <c r="AI46" s="492"/>
      <c r="AJ46" s="490"/>
      <c r="AK46" s="491"/>
      <c r="AL46" s="492"/>
      <c r="AM46" s="51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1"/>
    </row>
    <row r="47" spans="1:62" ht="30.75" customHeight="1">
      <c r="A47" s="484">
        <f t="shared" si="0"/>
        <v>31</v>
      </c>
      <c r="B47" s="485"/>
      <c r="C47" s="486"/>
      <c r="D47" s="479" t="s">
        <v>211</v>
      </c>
      <c r="E47" s="480"/>
      <c r="F47" s="480"/>
      <c r="G47" s="480"/>
      <c r="H47" s="480"/>
      <c r="I47" s="480"/>
      <c r="J47" s="480"/>
      <c r="K47" s="480"/>
      <c r="L47" s="480"/>
      <c r="M47" s="480"/>
      <c r="N47" s="480"/>
      <c r="O47" s="480"/>
      <c r="P47" s="480"/>
      <c r="Q47" s="480"/>
      <c r="R47" s="481"/>
      <c r="S47" s="490" t="s">
        <v>96</v>
      </c>
      <c r="T47" s="491"/>
      <c r="U47" s="492"/>
      <c r="V47" s="482" t="s">
        <v>151</v>
      </c>
      <c r="W47" s="483"/>
      <c r="X47" s="498" t="s">
        <v>186</v>
      </c>
      <c r="Y47" s="492"/>
      <c r="Z47" s="515" t="s">
        <v>324</v>
      </c>
      <c r="AA47" s="516"/>
      <c r="AB47" s="516"/>
      <c r="AC47" s="517"/>
      <c r="AD47" s="490"/>
      <c r="AE47" s="491"/>
      <c r="AF47" s="492"/>
      <c r="AG47" s="490"/>
      <c r="AH47" s="491"/>
      <c r="AI47" s="492"/>
      <c r="AJ47" s="490"/>
      <c r="AK47" s="491"/>
      <c r="AL47" s="492"/>
      <c r="AM47" s="51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1"/>
    </row>
    <row r="48" spans="1:62" ht="30.75" customHeight="1">
      <c r="A48" s="484">
        <f t="shared" si="0"/>
        <v>32</v>
      </c>
      <c r="B48" s="485"/>
      <c r="C48" s="486"/>
      <c r="D48" s="479" t="s">
        <v>253</v>
      </c>
      <c r="E48" s="480"/>
      <c r="F48" s="480"/>
      <c r="G48" s="480"/>
      <c r="H48" s="480"/>
      <c r="I48" s="480"/>
      <c r="J48" s="480"/>
      <c r="K48" s="480"/>
      <c r="L48" s="480"/>
      <c r="M48" s="480"/>
      <c r="N48" s="480"/>
      <c r="O48" s="480"/>
      <c r="P48" s="480"/>
      <c r="Q48" s="480"/>
      <c r="R48" s="481"/>
      <c r="S48" s="174" t="s">
        <v>145</v>
      </c>
      <c r="T48" s="175"/>
      <c r="U48" s="176"/>
      <c r="V48" s="482" t="s">
        <v>151</v>
      </c>
      <c r="W48" s="483"/>
      <c r="X48" s="498" t="s">
        <v>142</v>
      </c>
      <c r="Y48" s="492"/>
      <c r="Z48" s="490" t="s">
        <v>456</v>
      </c>
      <c r="AA48" s="491"/>
      <c r="AB48" s="491"/>
      <c r="AC48" s="492"/>
      <c r="AD48" s="490"/>
      <c r="AE48" s="491"/>
      <c r="AF48" s="492"/>
      <c r="AG48" s="490"/>
      <c r="AH48" s="491"/>
      <c r="AI48" s="492"/>
      <c r="AJ48" s="490"/>
      <c r="AK48" s="491"/>
      <c r="AL48" s="492"/>
      <c r="AM48" s="51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1"/>
    </row>
    <row r="49" spans="1:62" ht="30.75" customHeight="1">
      <c r="A49" s="484">
        <f t="shared" si="0"/>
        <v>33</v>
      </c>
      <c r="B49" s="485"/>
      <c r="C49" s="486"/>
      <c r="D49" s="479" t="s">
        <v>254</v>
      </c>
      <c r="E49" s="480"/>
      <c r="F49" s="480"/>
      <c r="G49" s="480"/>
      <c r="H49" s="480"/>
      <c r="I49" s="480"/>
      <c r="J49" s="480"/>
      <c r="K49" s="480"/>
      <c r="L49" s="480"/>
      <c r="M49" s="480"/>
      <c r="N49" s="480"/>
      <c r="O49" s="480"/>
      <c r="P49" s="480"/>
      <c r="Q49" s="480"/>
      <c r="R49" s="481"/>
      <c r="S49" s="490" t="s">
        <v>96</v>
      </c>
      <c r="T49" s="491"/>
      <c r="U49" s="492"/>
      <c r="V49" s="482" t="s">
        <v>151</v>
      </c>
      <c r="W49" s="483"/>
      <c r="X49" s="498" t="s">
        <v>186</v>
      </c>
      <c r="Y49" s="492"/>
      <c r="Z49" s="515" t="s">
        <v>324</v>
      </c>
      <c r="AA49" s="516"/>
      <c r="AB49" s="516"/>
      <c r="AC49" s="517"/>
      <c r="AD49" s="490"/>
      <c r="AE49" s="491"/>
      <c r="AF49" s="492"/>
      <c r="AG49" s="490"/>
      <c r="AH49" s="491"/>
      <c r="AI49" s="492"/>
      <c r="AJ49" s="490"/>
      <c r="AK49" s="491"/>
      <c r="AL49" s="492"/>
      <c r="AM49" s="51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1"/>
    </row>
    <row r="50" spans="1:62" ht="30.75" customHeight="1">
      <c r="A50" s="484">
        <f t="shared" si="0"/>
        <v>34</v>
      </c>
      <c r="B50" s="485"/>
      <c r="C50" s="486"/>
      <c r="D50" s="510" t="s">
        <v>212</v>
      </c>
      <c r="E50" s="532"/>
      <c r="F50" s="532"/>
      <c r="G50" s="532"/>
      <c r="H50" s="532"/>
      <c r="I50" s="532"/>
      <c r="J50" s="532"/>
      <c r="K50" s="532"/>
      <c r="L50" s="532"/>
      <c r="M50" s="532"/>
      <c r="N50" s="532"/>
      <c r="O50" s="532"/>
      <c r="P50" s="532"/>
      <c r="Q50" s="532"/>
      <c r="R50" s="533"/>
      <c r="S50" s="174" t="s">
        <v>145</v>
      </c>
      <c r="T50" s="175"/>
      <c r="U50" s="176"/>
      <c r="V50" s="482" t="s">
        <v>151</v>
      </c>
      <c r="W50" s="483"/>
      <c r="X50" s="498" t="s">
        <v>318</v>
      </c>
      <c r="Y50" s="492"/>
      <c r="Z50" s="490" t="s">
        <v>149</v>
      </c>
      <c r="AA50" s="491"/>
      <c r="AB50" s="491"/>
      <c r="AC50" s="492"/>
      <c r="AD50" s="490" t="s">
        <v>92</v>
      </c>
      <c r="AE50" s="491"/>
      <c r="AF50" s="492"/>
      <c r="AG50" s="490"/>
      <c r="AH50" s="491"/>
      <c r="AI50" s="492"/>
      <c r="AJ50" s="490"/>
      <c r="AK50" s="491"/>
      <c r="AL50" s="492"/>
      <c r="AM50" s="51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1"/>
    </row>
    <row r="51" spans="1:62" ht="30.75" customHeight="1">
      <c r="A51" s="484">
        <f t="shared" si="0"/>
        <v>35</v>
      </c>
      <c r="B51" s="485"/>
      <c r="C51" s="486"/>
      <c r="D51" s="510" t="s">
        <v>217</v>
      </c>
      <c r="E51" s="532"/>
      <c r="F51" s="532"/>
      <c r="G51" s="532"/>
      <c r="H51" s="532"/>
      <c r="I51" s="532"/>
      <c r="J51" s="532"/>
      <c r="K51" s="532"/>
      <c r="L51" s="532"/>
      <c r="M51" s="532"/>
      <c r="N51" s="532"/>
      <c r="O51" s="532"/>
      <c r="P51" s="532"/>
      <c r="Q51" s="532"/>
      <c r="R51" s="533"/>
      <c r="S51" s="174" t="s">
        <v>145</v>
      </c>
      <c r="T51" s="175"/>
      <c r="U51" s="176"/>
      <c r="V51" s="482" t="s">
        <v>151</v>
      </c>
      <c r="W51" s="483"/>
      <c r="X51" s="498" t="s">
        <v>318</v>
      </c>
      <c r="Y51" s="492"/>
      <c r="Z51" s="490" t="s">
        <v>149</v>
      </c>
      <c r="AA51" s="491"/>
      <c r="AB51" s="491"/>
      <c r="AC51" s="492"/>
      <c r="AD51" s="490" t="s">
        <v>92</v>
      </c>
      <c r="AE51" s="491"/>
      <c r="AF51" s="492"/>
      <c r="AG51" s="490"/>
      <c r="AH51" s="491"/>
      <c r="AI51" s="492"/>
      <c r="AJ51" s="490"/>
      <c r="AK51" s="491"/>
      <c r="AL51" s="492"/>
      <c r="AM51" s="51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1"/>
    </row>
    <row r="52" spans="1:62" ht="30.75" customHeight="1">
      <c r="A52" s="484">
        <f t="shared" si="0"/>
        <v>36</v>
      </c>
      <c r="B52" s="485"/>
      <c r="C52" s="486"/>
      <c r="D52" s="495" t="s">
        <v>163</v>
      </c>
      <c r="E52" s="496"/>
      <c r="F52" s="496"/>
      <c r="G52" s="496"/>
      <c r="H52" s="496"/>
      <c r="I52" s="496"/>
      <c r="J52" s="496"/>
      <c r="K52" s="496"/>
      <c r="L52" s="496"/>
      <c r="M52" s="496"/>
      <c r="N52" s="496"/>
      <c r="O52" s="496"/>
      <c r="P52" s="496"/>
      <c r="Q52" s="496"/>
      <c r="R52" s="497"/>
      <c r="S52" s="490"/>
      <c r="T52" s="491"/>
      <c r="U52" s="492"/>
      <c r="V52" s="490" t="s">
        <v>281</v>
      </c>
      <c r="W52" s="524"/>
      <c r="X52" s="498" t="s">
        <v>281</v>
      </c>
      <c r="Y52" s="492"/>
      <c r="Z52" s="490"/>
      <c r="AA52" s="491"/>
      <c r="AB52" s="491"/>
      <c r="AC52" s="492"/>
      <c r="AD52" s="490"/>
      <c r="AE52" s="491"/>
      <c r="AF52" s="492"/>
      <c r="AG52" s="490"/>
      <c r="AH52" s="491"/>
      <c r="AI52" s="492"/>
      <c r="AJ52" s="490"/>
      <c r="AK52" s="491"/>
      <c r="AL52" s="492"/>
      <c r="AM52" s="479"/>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1"/>
    </row>
    <row r="53" spans="1:62" ht="30.75" customHeight="1">
      <c r="A53" s="484">
        <f t="shared" si="0"/>
        <v>37</v>
      </c>
      <c r="B53" s="485"/>
      <c r="C53" s="486"/>
      <c r="D53" s="479" t="s">
        <v>64</v>
      </c>
      <c r="E53" s="480"/>
      <c r="F53" s="480"/>
      <c r="G53" s="480"/>
      <c r="H53" s="480"/>
      <c r="I53" s="480"/>
      <c r="J53" s="480"/>
      <c r="K53" s="480"/>
      <c r="L53" s="480"/>
      <c r="M53" s="480"/>
      <c r="N53" s="480"/>
      <c r="O53" s="480"/>
      <c r="P53" s="480"/>
      <c r="Q53" s="480"/>
      <c r="R53" s="481"/>
      <c r="S53" s="174" t="s">
        <v>145</v>
      </c>
      <c r="T53" s="175"/>
      <c r="U53" s="176"/>
      <c r="V53" s="482" t="s">
        <v>151</v>
      </c>
      <c r="W53" s="483"/>
      <c r="X53" s="498" t="s">
        <v>94</v>
      </c>
      <c r="Y53" s="492"/>
      <c r="Z53" s="490" t="s">
        <v>456</v>
      </c>
      <c r="AA53" s="491"/>
      <c r="AB53" s="491"/>
      <c r="AC53" s="492"/>
      <c r="AD53" s="490"/>
      <c r="AE53" s="491"/>
      <c r="AF53" s="492"/>
      <c r="AG53" s="490"/>
      <c r="AH53" s="491"/>
      <c r="AI53" s="492"/>
      <c r="AJ53" s="490"/>
      <c r="AK53" s="491"/>
      <c r="AL53" s="492"/>
      <c r="AM53" s="479"/>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1"/>
    </row>
    <row r="54" spans="1:62" ht="30.75" customHeight="1">
      <c r="A54" s="484">
        <f t="shared" si="0"/>
        <v>38</v>
      </c>
      <c r="B54" s="485"/>
      <c r="C54" s="486"/>
      <c r="D54" s="479" t="s">
        <v>160</v>
      </c>
      <c r="E54" s="480"/>
      <c r="F54" s="480"/>
      <c r="G54" s="480"/>
      <c r="H54" s="480"/>
      <c r="I54" s="480"/>
      <c r="J54" s="480"/>
      <c r="K54" s="480"/>
      <c r="L54" s="480"/>
      <c r="M54" s="480"/>
      <c r="N54" s="480"/>
      <c r="O54" s="480"/>
      <c r="P54" s="480"/>
      <c r="Q54" s="480"/>
      <c r="R54" s="481"/>
      <c r="S54" s="490" t="s">
        <v>96</v>
      </c>
      <c r="T54" s="491"/>
      <c r="U54" s="492"/>
      <c r="V54" s="482" t="s">
        <v>151</v>
      </c>
      <c r="W54" s="483"/>
      <c r="X54" s="498" t="s">
        <v>146</v>
      </c>
      <c r="Y54" s="492"/>
      <c r="Z54" s="515" t="s">
        <v>324</v>
      </c>
      <c r="AA54" s="516"/>
      <c r="AB54" s="516"/>
      <c r="AC54" s="517"/>
      <c r="AD54" s="490"/>
      <c r="AE54" s="491"/>
      <c r="AF54" s="492"/>
      <c r="AG54" s="490"/>
      <c r="AH54" s="491"/>
      <c r="AI54" s="492"/>
      <c r="AJ54" s="490"/>
      <c r="AK54" s="491"/>
      <c r="AL54" s="492"/>
      <c r="AM54" s="51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1"/>
    </row>
    <row r="55" spans="1:62" ht="30.75" customHeight="1">
      <c r="A55" s="484">
        <f t="shared" si="0"/>
        <v>39</v>
      </c>
      <c r="B55" s="485"/>
      <c r="C55" s="486"/>
      <c r="D55" s="479" t="s">
        <v>70</v>
      </c>
      <c r="E55" s="480"/>
      <c r="F55" s="480"/>
      <c r="G55" s="480"/>
      <c r="H55" s="480"/>
      <c r="I55" s="480"/>
      <c r="J55" s="480"/>
      <c r="K55" s="480"/>
      <c r="L55" s="480"/>
      <c r="M55" s="480"/>
      <c r="N55" s="480"/>
      <c r="O55" s="480"/>
      <c r="P55" s="480"/>
      <c r="Q55" s="480"/>
      <c r="R55" s="481"/>
      <c r="S55" s="174" t="s">
        <v>145</v>
      </c>
      <c r="T55" s="175"/>
      <c r="U55" s="176"/>
      <c r="V55" s="482" t="s">
        <v>151</v>
      </c>
      <c r="W55" s="483"/>
      <c r="X55" s="498" t="s">
        <v>93</v>
      </c>
      <c r="Y55" s="492"/>
      <c r="Z55" s="490" t="s">
        <v>149</v>
      </c>
      <c r="AA55" s="491"/>
      <c r="AB55" s="491"/>
      <c r="AC55" s="492"/>
      <c r="AD55" s="490"/>
      <c r="AE55" s="491"/>
      <c r="AF55" s="492"/>
      <c r="AG55" s="490"/>
      <c r="AH55" s="491"/>
      <c r="AI55" s="492"/>
      <c r="AJ55" s="490"/>
      <c r="AK55" s="491"/>
      <c r="AL55" s="492"/>
      <c r="AM55" s="51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1"/>
    </row>
    <row r="56" spans="1:62" ht="30.75" customHeight="1">
      <c r="A56" s="484">
        <f t="shared" si="0"/>
        <v>40</v>
      </c>
      <c r="B56" s="485"/>
      <c r="C56" s="486"/>
      <c r="D56" s="479" t="s">
        <v>243</v>
      </c>
      <c r="E56" s="480"/>
      <c r="F56" s="480"/>
      <c r="G56" s="480"/>
      <c r="H56" s="480"/>
      <c r="I56" s="480"/>
      <c r="J56" s="480"/>
      <c r="K56" s="480"/>
      <c r="L56" s="480"/>
      <c r="M56" s="480"/>
      <c r="N56" s="480"/>
      <c r="O56" s="480"/>
      <c r="P56" s="480"/>
      <c r="Q56" s="480"/>
      <c r="R56" s="481"/>
      <c r="S56" s="174" t="s">
        <v>145</v>
      </c>
      <c r="T56" s="175"/>
      <c r="U56" s="176"/>
      <c r="V56" s="482" t="s">
        <v>151</v>
      </c>
      <c r="W56" s="483"/>
      <c r="X56" s="685" t="s">
        <v>91</v>
      </c>
      <c r="Y56" s="686"/>
      <c r="Z56" s="490" t="s">
        <v>149</v>
      </c>
      <c r="AA56" s="491"/>
      <c r="AB56" s="491"/>
      <c r="AC56" s="492"/>
      <c r="AD56" s="490"/>
      <c r="AE56" s="491"/>
      <c r="AF56" s="492"/>
      <c r="AG56" s="490"/>
      <c r="AH56" s="491"/>
      <c r="AI56" s="492"/>
      <c r="AJ56" s="490"/>
      <c r="AK56" s="491"/>
      <c r="AL56" s="492"/>
      <c r="AM56" s="510" t="s">
        <v>228</v>
      </c>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1"/>
    </row>
    <row r="57" spans="1:62" ht="30.75" customHeight="1">
      <c r="A57" s="484">
        <f t="shared" si="0"/>
        <v>41</v>
      </c>
      <c r="B57" s="485"/>
      <c r="C57" s="486"/>
      <c r="D57" s="479" t="s">
        <v>176</v>
      </c>
      <c r="E57" s="480"/>
      <c r="F57" s="480"/>
      <c r="G57" s="480"/>
      <c r="H57" s="480"/>
      <c r="I57" s="480"/>
      <c r="J57" s="480"/>
      <c r="K57" s="480"/>
      <c r="L57" s="480"/>
      <c r="M57" s="480"/>
      <c r="N57" s="480"/>
      <c r="O57" s="480"/>
      <c r="P57" s="480"/>
      <c r="Q57" s="480"/>
      <c r="R57" s="481"/>
      <c r="S57" s="174" t="s">
        <v>145</v>
      </c>
      <c r="T57" s="175"/>
      <c r="U57" s="176"/>
      <c r="V57" s="482" t="s">
        <v>151</v>
      </c>
      <c r="W57" s="483"/>
      <c r="X57" s="498" t="s">
        <v>91</v>
      </c>
      <c r="Y57" s="492"/>
      <c r="Z57" s="490" t="s">
        <v>456</v>
      </c>
      <c r="AA57" s="491"/>
      <c r="AB57" s="491"/>
      <c r="AC57" s="492"/>
      <c r="AD57" s="490"/>
      <c r="AE57" s="491"/>
      <c r="AF57" s="492"/>
      <c r="AG57" s="490"/>
      <c r="AH57" s="491"/>
      <c r="AI57" s="492"/>
      <c r="AJ57" s="490"/>
      <c r="AK57" s="491"/>
      <c r="AL57" s="492"/>
      <c r="AM57" s="51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1"/>
    </row>
    <row r="58" spans="1:62" ht="30.75" customHeight="1">
      <c r="A58" s="484">
        <f t="shared" si="0"/>
        <v>42</v>
      </c>
      <c r="B58" s="485"/>
      <c r="C58" s="486"/>
      <c r="D58" s="479" t="s">
        <v>209</v>
      </c>
      <c r="E58" s="480"/>
      <c r="F58" s="480"/>
      <c r="G58" s="480"/>
      <c r="H58" s="480"/>
      <c r="I58" s="480"/>
      <c r="J58" s="480"/>
      <c r="K58" s="480"/>
      <c r="L58" s="480"/>
      <c r="M58" s="480"/>
      <c r="N58" s="480"/>
      <c r="O58" s="480"/>
      <c r="P58" s="480"/>
      <c r="Q58" s="480"/>
      <c r="R58" s="481"/>
      <c r="S58" s="490" t="s">
        <v>96</v>
      </c>
      <c r="T58" s="491"/>
      <c r="U58" s="492"/>
      <c r="V58" s="482" t="s">
        <v>151</v>
      </c>
      <c r="W58" s="483"/>
      <c r="X58" s="498" t="s">
        <v>186</v>
      </c>
      <c r="Y58" s="492"/>
      <c r="Z58" s="515" t="s">
        <v>324</v>
      </c>
      <c r="AA58" s="516"/>
      <c r="AB58" s="516"/>
      <c r="AC58" s="517"/>
      <c r="AD58" s="490"/>
      <c r="AE58" s="491"/>
      <c r="AF58" s="492"/>
      <c r="AG58" s="490"/>
      <c r="AH58" s="491"/>
      <c r="AI58" s="492"/>
      <c r="AJ58" s="490"/>
      <c r="AK58" s="491"/>
      <c r="AL58" s="492"/>
      <c r="AM58" s="51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1"/>
    </row>
    <row r="59" spans="1:62" ht="30.75" customHeight="1">
      <c r="A59" s="484">
        <f t="shared" si="0"/>
        <v>43</v>
      </c>
      <c r="B59" s="485"/>
      <c r="C59" s="486"/>
      <c r="D59" s="479" t="s">
        <v>248</v>
      </c>
      <c r="E59" s="480"/>
      <c r="F59" s="480"/>
      <c r="G59" s="480"/>
      <c r="H59" s="480"/>
      <c r="I59" s="480"/>
      <c r="J59" s="480"/>
      <c r="K59" s="480"/>
      <c r="L59" s="480"/>
      <c r="M59" s="480"/>
      <c r="N59" s="480"/>
      <c r="O59" s="480"/>
      <c r="P59" s="480"/>
      <c r="Q59" s="480"/>
      <c r="R59" s="481"/>
      <c r="S59" s="174" t="s">
        <v>145</v>
      </c>
      <c r="T59" s="175"/>
      <c r="U59" s="176"/>
      <c r="V59" s="482" t="s">
        <v>151</v>
      </c>
      <c r="W59" s="483"/>
      <c r="X59" s="498" t="s">
        <v>142</v>
      </c>
      <c r="Y59" s="492"/>
      <c r="Z59" s="490" t="s">
        <v>456</v>
      </c>
      <c r="AA59" s="491"/>
      <c r="AB59" s="491"/>
      <c r="AC59" s="492"/>
      <c r="AD59" s="490"/>
      <c r="AE59" s="491"/>
      <c r="AF59" s="492"/>
      <c r="AG59" s="490"/>
      <c r="AH59" s="491"/>
      <c r="AI59" s="492"/>
      <c r="AJ59" s="490"/>
      <c r="AK59" s="491"/>
      <c r="AL59" s="492"/>
      <c r="AM59" s="51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1"/>
    </row>
    <row r="60" spans="1:62" ht="30.75" customHeight="1">
      <c r="A60" s="484">
        <f t="shared" si="0"/>
        <v>44</v>
      </c>
      <c r="B60" s="485"/>
      <c r="C60" s="486"/>
      <c r="D60" s="479" t="s">
        <v>249</v>
      </c>
      <c r="E60" s="480"/>
      <c r="F60" s="480"/>
      <c r="G60" s="480"/>
      <c r="H60" s="480"/>
      <c r="I60" s="480"/>
      <c r="J60" s="480"/>
      <c r="K60" s="480"/>
      <c r="L60" s="480"/>
      <c r="M60" s="480"/>
      <c r="N60" s="480"/>
      <c r="O60" s="480"/>
      <c r="P60" s="480"/>
      <c r="Q60" s="480"/>
      <c r="R60" s="481"/>
      <c r="S60" s="490" t="s">
        <v>96</v>
      </c>
      <c r="T60" s="491"/>
      <c r="U60" s="492"/>
      <c r="V60" s="482" t="s">
        <v>151</v>
      </c>
      <c r="W60" s="483"/>
      <c r="X60" s="498" t="s">
        <v>146</v>
      </c>
      <c r="Y60" s="492"/>
      <c r="Z60" s="515" t="s">
        <v>324</v>
      </c>
      <c r="AA60" s="516"/>
      <c r="AB60" s="516"/>
      <c r="AC60" s="517"/>
      <c r="AD60" s="490"/>
      <c r="AE60" s="491"/>
      <c r="AF60" s="492"/>
      <c r="AG60" s="490"/>
      <c r="AH60" s="491"/>
      <c r="AI60" s="492"/>
      <c r="AJ60" s="490"/>
      <c r="AK60" s="491"/>
      <c r="AL60" s="492"/>
      <c r="AM60" s="51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1"/>
    </row>
    <row r="61" spans="1:62" ht="30.75" customHeight="1">
      <c r="A61" s="484">
        <f t="shared" si="0"/>
        <v>45</v>
      </c>
      <c r="B61" s="485"/>
      <c r="C61" s="486"/>
      <c r="D61" s="479" t="s">
        <v>164</v>
      </c>
      <c r="E61" s="480"/>
      <c r="F61" s="480"/>
      <c r="G61" s="480"/>
      <c r="H61" s="480"/>
      <c r="I61" s="480"/>
      <c r="J61" s="480"/>
      <c r="K61" s="480"/>
      <c r="L61" s="480"/>
      <c r="M61" s="480"/>
      <c r="N61" s="480"/>
      <c r="O61" s="480"/>
      <c r="P61" s="480"/>
      <c r="Q61" s="480"/>
      <c r="R61" s="481"/>
      <c r="S61" s="174" t="s">
        <v>145</v>
      </c>
      <c r="T61" s="175"/>
      <c r="U61" s="176"/>
      <c r="V61" s="482" t="s">
        <v>151</v>
      </c>
      <c r="W61" s="483"/>
      <c r="X61" s="498" t="s">
        <v>318</v>
      </c>
      <c r="Y61" s="492"/>
      <c r="Z61" s="490" t="s">
        <v>149</v>
      </c>
      <c r="AA61" s="491"/>
      <c r="AB61" s="491"/>
      <c r="AC61" s="492"/>
      <c r="AD61" s="490" t="s">
        <v>92</v>
      </c>
      <c r="AE61" s="491"/>
      <c r="AF61" s="492"/>
      <c r="AG61" s="490"/>
      <c r="AH61" s="491"/>
      <c r="AI61" s="492"/>
      <c r="AJ61" s="490"/>
      <c r="AK61" s="491"/>
      <c r="AL61" s="492"/>
      <c r="AM61" s="51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1"/>
    </row>
    <row r="62" spans="1:62" ht="30.75" customHeight="1">
      <c r="A62" s="484">
        <f t="shared" si="0"/>
        <v>46</v>
      </c>
      <c r="B62" s="485"/>
      <c r="C62" s="486"/>
      <c r="D62" s="479" t="s">
        <v>165</v>
      </c>
      <c r="E62" s="480"/>
      <c r="F62" s="480"/>
      <c r="G62" s="480"/>
      <c r="H62" s="480"/>
      <c r="I62" s="480"/>
      <c r="J62" s="480"/>
      <c r="K62" s="480"/>
      <c r="L62" s="480"/>
      <c r="M62" s="480"/>
      <c r="N62" s="480"/>
      <c r="O62" s="480"/>
      <c r="P62" s="480"/>
      <c r="Q62" s="480"/>
      <c r="R62" s="481"/>
      <c r="S62" s="174" t="s">
        <v>145</v>
      </c>
      <c r="T62" s="175"/>
      <c r="U62" s="176"/>
      <c r="V62" s="482" t="s">
        <v>151</v>
      </c>
      <c r="W62" s="483"/>
      <c r="X62" s="498" t="s">
        <v>318</v>
      </c>
      <c r="Y62" s="492"/>
      <c r="Z62" s="490" t="s">
        <v>149</v>
      </c>
      <c r="AA62" s="491"/>
      <c r="AB62" s="491"/>
      <c r="AC62" s="492"/>
      <c r="AD62" s="490" t="s">
        <v>92</v>
      </c>
      <c r="AE62" s="491"/>
      <c r="AF62" s="492"/>
      <c r="AG62" s="490"/>
      <c r="AH62" s="491"/>
      <c r="AI62" s="492"/>
      <c r="AJ62" s="490"/>
      <c r="AK62" s="491"/>
      <c r="AL62" s="492"/>
      <c r="AM62" s="510"/>
      <c r="AN62" s="480"/>
      <c r="AO62" s="480"/>
      <c r="AP62" s="480"/>
      <c r="AQ62" s="480"/>
      <c r="AR62" s="480"/>
      <c r="AS62" s="480"/>
      <c r="AT62" s="480"/>
      <c r="AU62" s="480"/>
      <c r="AV62" s="480"/>
      <c r="AW62" s="480"/>
      <c r="AX62" s="480"/>
      <c r="AY62" s="480"/>
      <c r="AZ62" s="480"/>
      <c r="BA62" s="480"/>
      <c r="BB62" s="480"/>
      <c r="BC62" s="480"/>
      <c r="BD62" s="480"/>
      <c r="BE62" s="480"/>
      <c r="BF62" s="480"/>
      <c r="BG62" s="480"/>
      <c r="BH62" s="480"/>
      <c r="BI62" s="480"/>
      <c r="BJ62" s="481"/>
    </row>
    <row r="63" spans="1:62" ht="30.75" customHeight="1">
      <c r="A63" s="484">
        <f t="shared" si="0"/>
        <v>47</v>
      </c>
      <c r="B63" s="485"/>
      <c r="C63" s="486"/>
      <c r="D63" s="479" t="s">
        <v>166</v>
      </c>
      <c r="E63" s="480"/>
      <c r="F63" s="480"/>
      <c r="G63" s="480"/>
      <c r="H63" s="480"/>
      <c r="I63" s="480"/>
      <c r="J63" s="480"/>
      <c r="K63" s="480"/>
      <c r="L63" s="480"/>
      <c r="M63" s="480"/>
      <c r="N63" s="480"/>
      <c r="O63" s="480"/>
      <c r="P63" s="480"/>
      <c r="Q63" s="480"/>
      <c r="R63" s="481"/>
      <c r="S63" s="490" t="s">
        <v>96</v>
      </c>
      <c r="T63" s="491"/>
      <c r="U63" s="492"/>
      <c r="V63" s="482" t="s">
        <v>151</v>
      </c>
      <c r="W63" s="483"/>
      <c r="X63" s="498" t="s">
        <v>318</v>
      </c>
      <c r="Y63" s="492"/>
      <c r="Z63" s="490" t="s">
        <v>149</v>
      </c>
      <c r="AA63" s="491"/>
      <c r="AB63" s="491"/>
      <c r="AC63" s="492"/>
      <c r="AD63" s="490" t="s">
        <v>92</v>
      </c>
      <c r="AE63" s="491"/>
      <c r="AF63" s="492"/>
      <c r="AG63" s="490"/>
      <c r="AH63" s="491"/>
      <c r="AI63" s="492"/>
      <c r="AJ63" s="490"/>
      <c r="AK63" s="491"/>
      <c r="AL63" s="492"/>
      <c r="AM63" s="510"/>
      <c r="AN63" s="480"/>
      <c r="AO63" s="480"/>
      <c r="AP63" s="480"/>
      <c r="AQ63" s="480"/>
      <c r="AR63" s="480"/>
      <c r="AS63" s="480"/>
      <c r="AT63" s="480"/>
      <c r="AU63" s="480"/>
      <c r="AV63" s="480"/>
      <c r="AW63" s="480"/>
      <c r="AX63" s="480"/>
      <c r="AY63" s="480"/>
      <c r="AZ63" s="480"/>
      <c r="BA63" s="480"/>
      <c r="BB63" s="480"/>
      <c r="BC63" s="480"/>
      <c r="BD63" s="480"/>
      <c r="BE63" s="480"/>
      <c r="BF63" s="480"/>
      <c r="BG63" s="480"/>
      <c r="BH63" s="480"/>
      <c r="BI63" s="480"/>
      <c r="BJ63" s="481"/>
    </row>
    <row r="64" spans="1:62" ht="30.75" customHeight="1">
      <c r="A64" s="484">
        <f t="shared" si="0"/>
        <v>48</v>
      </c>
      <c r="B64" s="485"/>
      <c r="C64" s="486"/>
      <c r="D64" s="479" t="s">
        <v>167</v>
      </c>
      <c r="E64" s="480"/>
      <c r="F64" s="480"/>
      <c r="G64" s="480"/>
      <c r="H64" s="480"/>
      <c r="I64" s="480"/>
      <c r="J64" s="480"/>
      <c r="K64" s="480"/>
      <c r="L64" s="480"/>
      <c r="M64" s="480"/>
      <c r="N64" s="480"/>
      <c r="O64" s="480"/>
      <c r="P64" s="480"/>
      <c r="Q64" s="480"/>
      <c r="R64" s="481"/>
      <c r="S64" s="174" t="s">
        <v>96</v>
      </c>
      <c r="T64" s="175"/>
      <c r="U64" s="176"/>
      <c r="V64" s="482" t="s">
        <v>151</v>
      </c>
      <c r="W64" s="483"/>
      <c r="X64" s="498" t="s">
        <v>318</v>
      </c>
      <c r="Y64" s="492"/>
      <c r="Z64" s="490" t="s">
        <v>149</v>
      </c>
      <c r="AA64" s="491"/>
      <c r="AB64" s="491"/>
      <c r="AC64" s="492"/>
      <c r="AD64" s="490" t="s">
        <v>92</v>
      </c>
      <c r="AE64" s="491"/>
      <c r="AF64" s="492"/>
      <c r="AG64" s="490"/>
      <c r="AH64" s="491"/>
      <c r="AI64" s="492"/>
      <c r="AJ64" s="490"/>
      <c r="AK64" s="491"/>
      <c r="AL64" s="492"/>
      <c r="AM64" s="510"/>
      <c r="AN64" s="480"/>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1"/>
    </row>
    <row r="65" spans="1:73" ht="30" customHeight="1">
      <c r="A65" s="484">
        <f t="shared" si="0"/>
        <v>49</v>
      </c>
      <c r="B65" s="485"/>
      <c r="C65" s="486"/>
      <c r="D65" s="487" t="s">
        <v>321</v>
      </c>
      <c r="E65" s="488"/>
      <c r="F65" s="488"/>
      <c r="G65" s="488"/>
      <c r="H65" s="488"/>
      <c r="I65" s="488"/>
      <c r="J65" s="488"/>
      <c r="K65" s="488"/>
      <c r="L65" s="488"/>
      <c r="M65" s="488"/>
      <c r="N65" s="488"/>
      <c r="O65" s="488"/>
      <c r="P65" s="488"/>
      <c r="Q65" s="488"/>
      <c r="R65" s="489"/>
      <c r="S65" s="174" t="s">
        <v>96</v>
      </c>
      <c r="T65" s="175"/>
      <c r="U65" s="176"/>
      <c r="V65" s="482" t="s">
        <v>151</v>
      </c>
      <c r="W65" s="680"/>
      <c r="X65" s="514" t="s">
        <v>458</v>
      </c>
      <c r="Y65" s="499"/>
      <c r="Z65" s="174" t="s">
        <v>149</v>
      </c>
      <c r="AA65" s="175"/>
      <c r="AB65" s="175"/>
      <c r="AC65" s="176"/>
      <c r="AD65" s="482"/>
      <c r="AE65" s="483"/>
      <c r="AF65" s="499"/>
      <c r="AG65" s="482"/>
      <c r="AH65" s="483"/>
      <c r="AI65" s="499"/>
      <c r="AJ65" s="482"/>
      <c r="AK65" s="483"/>
      <c r="AL65" s="499"/>
      <c r="AM65" s="500" t="s">
        <v>322</v>
      </c>
      <c r="AN65" s="681"/>
      <c r="AO65" s="681"/>
      <c r="AP65" s="681"/>
      <c r="AQ65" s="681"/>
      <c r="AR65" s="681"/>
      <c r="AS65" s="681"/>
      <c r="AT65" s="681"/>
      <c r="AU65" s="681"/>
      <c r="AV65" s="681"/>
      <c r="AW65" s="681"/>
      <c r="AX65" s="681"/>
      <c r="AY65" s="681"/>
      <c r="AZ65" s="681"/>
      <c r="BA65" s="681"/>
      <c r="BB65" s="681"/>
      <c r="BC65" s="681"/>
      <c r="BD65" s="681"/>
      <c r="BE65" s="681"/>
      <c r="BF65" s="681"/>
      <c r="BG65" s="681"/>
      <c r="BH65" s="681"/>
      <c r="BI65" s="681"/>
      <c r="BJ65" s="682"/>
      <c r="BR65" s="679"/>
      <c r="BS65" s="679"/>
      <c r="BT65" s="679"/>
      <c r="BU65" s="293"/>
    </row>
    <row r="66" spans="1:73" ht="30" customHeight="1">
      <c r="A66" s="484">
        <f t="shared" si="0"/>
        <v>50</v>
      </c>
      <c r="B66" s="485"/>
      <c r="C66" s="486"/>
      <c r="D66" s="487" t="s">
        <v>323</v>
      </c>
      <c r="E66" s="488"/>
      <c r="F66" s="488"/>
      <c r="G66" s="488"/>
      <c r="H66" s="488"/>
      <c r="I66" s="488"/>
      <c r="J66" s="488"/>
      <c r="K66" s="488"/>
      <c r="L66" s="488"/>
      <c r="M66" s="488"/>
      <c r="N66" s="488"/>
      <c r="O66" s="488"/>
      <c r="P66" s="488"/>
      <c r="Q66" s="488"/>
      <c r="R66" s="489"/>
      <c r="S66" s="174" t="s">
        <v>96</v>
      </c>
      <c r="T66" s="175"/>
      <c r="U66" s="176"/>
      <c r="V66" s="482" t="s">
        <v>151</v>
      </c>
      <c r="W66" s="680"/>
      <c r="X66" s="514" t="s">
        <v>146</v>
      </c>
      <c r="Y66" s="499"/>
      <c r="Z66" s="515" t="s">
        <v>324</v>
      </c>
      <c r="AA66" s="516"/>
      <c r="AB66" s="516"/>
      <c r="AC66" s="517"/>
      <c r="AD66" s="482"/>
      <c r="AE66" s="483"/>
      <c r="AF66" s="499"/>
      <c r="AG66" s="482"/>
      <c r="AH66" s="483"/>
      <c r="AI66" s="499"/>
      <c r="AJ66" s="482"/>
      <c r="AK66" s="483"/>
      <c r="AL66" s="499"/>
      <c r="AM66" s="500" t="s">
        <v>325</v>
      </c>
      <c r="AN66" s="681"/>
      <c r="AO66" s="681"/>
      <c r="AP66" s="681"/>
      <c r="AQ66" s="681"/>
      <c r="AR66" s="681"/>
      <c r="AS66" s="681"/>
      <c r="AT66" s="681"/>
      <c r="AU66" s="681"/>
      <c r="AV66" s="681"/>
      <c r="AW66" s="681"/>
      <c r="AX66" s="681"/>
      <c r="AY66" s="681"/>
      <c r="AZ66" s="681"/>
      <c r="BA66" s="681"/>
      <c r="BB66" s="681"/>
      <c r="BC66" s="681"/>
      <c r="BD66" s="681"/>
      <c r="BE66" s="681"/>
      <c r="BF66" s="681"/>
      <c r="BG66" s="681"/>
      <c r="BH66" s="681"/>
      <c r="BI66" s="681"/>
      <c r="BJ66" s="682"/>
      <c r="BR66" s="679"/>
      <c r="BS66" s="679"/>
      <c r="BT66" s="679"/>
      <c r="BU66" s="293"/>
    </row>
    <row r="67" spans="1:73" ht="30" customHeight="1">
      <c r="A67" s="484">
        <f t="shared" si="0"/>
        <v>51</v>
      </c>
      <c r="B67" s="485"/>
      <c r="C67" s="486"/>
      <c r="D67" s="487" t="s">
        <v>326</v>
      </c>
      <c r="E67" s="488"/>
      <c r="F67" s="488"/>
      <c r="G67" s="488"/>
      <c r="H67" s="488"/>
      <c r="I67" s="488"/>
      <c r="J67" s="488"/>
      <c r="K67" s="488"/>
      <c r="L67" s="488"/>
      <c r="M67" s="488"/>
      <c r="N67" s="488"/>
      <c r="O67" s="488"/>
      <c r="P67" s="488"/>
      <c r="Q67" s="488"/>
      <c r="R67" s="489"/>
      <c r="S67" s="174" t="s">
        <v>96</v>
      </c>
      <c r="T67" s="175"/>
      <c r="U67" s="176"/>
      <c r="V67" s="482" t="s">
        <v>151</v>
      </c>
      <c r="W67" s="680"/>
      <c r="X67" s="514" t="s">
        <v>399</v>
      </c>
      <c r="Y67" s="499"/>
      <c r="Z67" s="515" t="s">
        <v>324</v>
      </c>
      <c r="AA67" s="516"/>
      <c r="AB67" s="516"/>
      <c r="AC67" s="517"/>
      <c r="AD67" s="482"/>
      <c r="AE67" s="483"/>
      <c r="AF67" s="499"/>
      <c r="AG67" s="482"/>
      <c r="AH67" s="483"/>
      <c r="AI67" s="499"/>
      <c r="AJ67" s="482"/>
      <c r="AK67" s="483"/>
      <c r="AL67" s="499"/>
      <c r="AM67" s="500" t="s">
        <v>327</v>
      </c>
      <c r="AN67" s="681"/>
      <c r="AO67" s="681"/>
      <c r="AP67" s="681"/>
      <c r="AQ67" s="681"/>
      <c r="AR67" s="681"/>
      <c r="AS67" s="681"/>
      <c r="AT67" s="681"/>
      <c r="AU67" s="681"/>
      <c r="AV67" s="681"/>
      <c r="AW67" s="681"/>
      <c r="AX67" s="681"/>
      <c r="AY67" s="681"/>
      <c r="AZ67" s="681"/>
      <c r="BA67" s="681"/>
      <c r="BB67" s="681"/>
      <c r="BC67" s="681"/>
      <c r="BD67" s="681"/>
      <c r="BE67" s="681"/>
      <c r="BF67" s="681"/>
      <c r="BG67" s="681"/>
      <c r="BH67" s="681"/>
      <c r="BI67" s="681"/>
      <c r="BJ67" s="682"/>
      <c r="BR67" s="679"/>
      <c r="BS67" s="679"/>
      <c r="BT67" s="679"/>
      <c r="BU67" s="293"/>
    </row>
    <row r="68" spans="1:73" ht="30" customHeight="1">
      <c r="A68" s="484">
        <f t="shared" si="0"/>
        <v>52</v>
      </c>
      <c r="B68" s="485"/>
      <c r="C68" s="486"/>
      <c r="D68" s="487" t="s">
        <v>328</v>
      </c>
      <c r="E68" s="488"/>
      <c r="F68" s="488"/>
      <c r="G68" s="488"/>
      <c r="H68" s="488"/>
      <c r="I68" s="488"/>
      <c r="J68" s="488"/>
      <c r="K68" s="488"/>
      <c r="L68" s="488"/>
      <c r="M68" s="488"/>
      <c r="N68" s="488"/>
      <c r="O68" s="488"/>
      <c r="P68" s="488"/>
      <c r="Q68" s="488"/>
      <c r="R68" s="489"/>
      <c r="S68" s="174" t="s">
        <v>96</v>
      </c>
      <c r="T68" s="175"/>
      <c r="U68" s="176"/>
      <c r="V68" s="482" t="s">
        <v>151</v>
      </c>
      <c r="W68" s="680"/>
      <c r="X68" s="514" t="s">
        <v>458</v>
      </c>
      <c r="Y68" s="499"/>
      <c r="Z68" s="174" t="s">
        <v>149</v>
      </c>
      <c r="AA68" s="175"/>
      <c r="AB68" s="175"/>
      <c r="AC68" s="176"/>
      <c r="AD68" s="482"/>
      <c r="AE68" s="483"/>
      <c r="AF68" s="499"/>
      <c r="AG68" s="482"/>
      <c r="AH68" s="483"/>
      <c r="AI68" s="499"/>
      <c r="AJ68" s="482"/>
      <c r="AK68" s="483"/>
      <c r="AL68" s="499"/>
      <c r="AM68" s="500" t="s">
        <v>329</v>
      </c>
      <c r="AN68" s="681"/>
      <c r="AO68" s="681"/>
      <c r="AP68" s="681"/>
      <c r="AQ68" s="681"/>
      <c r="AR68" s="681"/>
      <c r="AS68" s="681"/>
      <c r="AT68" s="681"/>
      <c r="AU68" s="681"/>
      <c r="AV68" s="681"/>
      <c r="AW68" s="681"/>
      <c r="AX68" s="681"/>
      <c r="AY68" s="681"/>
      <c r="AZ68" s="681"/>
      <c r="BA68" s="681"/>
      <c r="BB68" s="681"/>
      <c r="BC68" s="681"/>
      <c r="BD68" s="681"/>
      <c r="BE68" s="681"/>
      <c r="BF68" s="681"/>
      <c r="BG68" s="681"/>
      <c r="BH68" s="681"/>
      <c r="BI68" s="681"/>
      <c r="BJ68" s="682"/>
      <c r="BR68" s="679"/>
      <c r="BS68" s="679"/>
      <c r="BT68" s="679"/>
      <c r="BU68" s="293"/>
    </row>
    <row r="69" spans="1:73" ht="30" customHeight="1">
      <c r="A69" s="484">
        <f t="shared" si="0"/>
        <v>53</v>
      </c>
      <c r="B69" s="485"/>
      <c r="C69" s="486"/>
      <c r="D69" s="487" t="s">
        <v>330</v>
      </c>
      <c r="E69" s="488"/>
      <c r="F69" s="488"/>
      <c r="G69" s="488"/>
      <c r="H69" s="488"/>
      <c r="I69" s="488"/>
      <c r="J69" s="488"/>
      <c r="K69" s="488"/>
      <c r="L69" s="488"/>
      <c r="M69" s="488"/>
      <c r="N69" s="488"/>
      <c r="O69" s="488"/>
      <c r="P69" s="488"/>
      <c r="Q69" s="488"/>
      <c r="R69" s="489"/>
      <c r="S69" s="174" t="s">
        <v>96</v>
      </c>
      <c r="T69" s="175"/>
      <c r="U69" s="176"/>
      <c r="V69" s="482" t="s">
        <v>151</v>
      </c>
      <c r="W69" s="680"/>
      <c r="X69" s="514" t="s">
        <v>146</v>
      </c>
      <c r="Y69" s="499"/>
      <c r="Z69" s="515" t="s">
        <v>324</v>
      </c>
      <c r="AA69" s="516"/>
      <c r="AB69" s="516"/>
      <c r="AC69" s="517"/>
      <c r="AD69" s="482"/>
      <c r="AE69" s="483"/>
      <c r="AF69" s="499"/>
      <c r="AG69" s="482"/>
      <c r="AH69" s="483"/>
      <c r="AI69" s="499"/>
      <c r="AJ69" s="482"/>
      <c r="AK69" s="483"/>
      <c r="AL69" s="499"/>
      <c r="AM69" s="500" t="s">
        <v>331</v>
      </c>
      <c r="AN69" s="681"/>
      <c r="AO69" s="681"/>
      <c r="AP69" s="681"/>
      <c r="AQ69" s="681"/>
      <c r="AR69" s="681"/>
      <c r="AS69" s="681"/>
      <c r="AT69" s="681"/>
      <c r="AU69" s="681"/>
      <c r="AV69" s="681"/>
      <c r="AW69" s="681"/>
      <c r="AX69" s="681"/>
      <c r="AY69" s="681"/>
      <c r="AZ69" s="681"/>
      <c r="BA69" s="681"/>
      <c r="BB69" s="681"/>
      <c r="BC69" s="681"/>
      <c r="BD69" s="681"/>
      <c r="BE69" s="681"/>
      <c r="BF69" s="681"/>
      <c r="BG69" s="681"/>
      <c r="BH69" s="681"/>
      <c r="BI69" s="681"/>
      <c r="BJ69" s="682"/>
      <c r="BR69" s="679"/>
      <c r="BS69" s="679"/>
      <c r="BT69" s="679"/>
      <c r="BU69" s="293"/>
    </row>
    <row r="70" spans="1:73" ht="30" customHeight="1">
      <c r="A70" s="484">
        <f t="shared" si="0"/>
        <v>54</v>
      </c>
      <c r="B70" s="485"/>
      <c r="C70" s="486"/>
      <c r="D70" s="487" t="s">
        <v>332</v>
      </c>
      <c r="E70" s="488"/>
      <c r="F70" s="488"/>
      <c r="G70" s="488"/>
      <c r="H70" s="488"/>
      <c r="I70" s="488"/>
      <c r="J70" s="488"/>
      <c r="K70" s="488"/>
      <c r="L70" s="488"/>
      <c r="M70" s="488"/>
      <c r="N70" s="488"/>
      <c r="O70" s="488"/>
      <c r="P70" s="488"/>
      <c r="Q70" s="488"/>
      <c r="R70" s="489"/>
      <c r="S70" s="174" t="s">
        <v>96</v>
      </c>
      <c r="T70" s="175"/>
      <c r="U70" s="176"/>
      <c r="V70" s="482" t="s">
        <v>151</v>
      </c>
      <c r="W70" s="680"/>
      <c r="X70" s="514" t="s">
        <v>399</v>
      </c>
      <c r="Y70" s="499"/>
      <c r="Z70" s="515" t="s">
        <v>324</v>
      </c>
      <c r="AA70" s="516"/>
      <c r="AB70" s="516"/>
      <c r="AC70" s="517"/>
      <c r="AD70" s="482"/>
      <c r="AE70" s="483"/>
      <c r="AF70" s="499"/>
      <c r="AG70" s="482"/>
      <c r="AH70" s="483"/>
      <c r="AI70" s="499"/>
      <c r="AJ70" s="482"/>
      <c r="AK70" s="483"/>
      <c r="AL70" s="499"/>
      <c r="AM70" s="500" t="s">
        <v>333</v>
      </c>
      <c r="AN70" s="681"/>
      <c r="AO70" s="681"/>
      <c r="AP70" s="681"/>
      <c r="AQ70" s="681"/>
      <c r="AR70" s="681"/>
      <c r="AS70" s="681"/>
      <c r="AT70" s="681"/>
      <c r="AU70" s="681"/>
      <c r="AV70" s="681"/>
      <c r="AW70" s="681"/>
      <c r="AX70" s="681"/>
      <c r="AY70" s="681"/>
      <c r="AZ70" s="681"/>
      <c r="BA70" s="681"/>
      <c r="BB70" s="681"/>
      <c r="BC70" s="681"/>
      <c r="BD70" s="681"/>
      <c r="BE70" s="681"/>
      <c r="BF70" s="681"/>
      <c r="BG70" s="681"/>
      <c r="BH70" s="681"/>
      <c r="BI70" s="681"/>
      <c r="BJ70" s="682"/>
      <c r="BR70" s="679"/>
      <c r="BS70" s="679"/>
      <c r="BT70" s="679"/>
      <c r="BU70" s="293"/>
    </row>
    <row r="71" spans="1:73" ht="30" customHeight="1">
      <c r="A71" s="484">
        <f t="shared" si="0"/>
        <v>55</v>
      </c>
      <c r="B71" s="485"/>
      <c r="C71" s="486"/>
      <c r="D71" s="487" t="s">
        <v>334</v>
      </c>
      <c r="E71" s="488"/>
      <c r="F71" s="488"/>
      <c r="G71" s="488"/>
      <c r="H71" s="488"/>
      <c r="I71" s="488"/>
      <c r="J71" s="488"/>
      <c r="K71" s="488"/>
      <c r="L71" s="488"/>
      <c r="M71" s="488"/>
      <c r="N71" s="488"/>
      <c r="O71" s="488"/>
      <c r="P71" s="488"/>
      <c r="Q71" s="488"/>
      <c r="R71" s="489"/>
      <c r="S71" s="174" t="s">
        <v>96</v>
      </c>
      <c r="T71" s="175"/>
      <c r="U71" s="176"/>
      <c r="V71" s="482" t="s">
        <v>151</v>
      </c>
      <c r="W71" s="680"/>
      <c r="X71" s="514" t="s">
        <v>335</v>
      </c>
      <c r="Y71" s="499"/>
      <c r="Z71" s="515" t="s">
        <v>324</v>
      </c>
      <c r="AA71" s="516"/>
      <c r="AB71" s="516"/>
      <c r="AC71" s="517"/>
      <c r="AD71" s="482"/>
      <c r="AE71" s="483"/>
      <c r="AF71" s="499"/>
      <c r="AG71" s="482"/>
      <c r="AH71" s="483"/>
      <c r="AI71" s="499"/>
      <c r="AJ71" s="482"/>
      <c r="AK71" s="483"/>
      <c r="AL71" s="499"/>
      <c r="AM71" s="500" t="s">
        <v>336</v>
      </c>
      <c r="AN71" s="681"/>
      <c r="AO71" s="681"/>
      <c r="AP71" s="681"/>
      <c r="AQ71" s="681"/>
      <c r="AR71" s="681"/>
      <c r="AS71" s="681"/>
      <c r="AT71" s="681"/>
      <c r="AU71" s="681"/>
      <c r="AV71" s="681"/>
      <c r="AW71" s="681"/>
      <c r="AX71" s="681"/>
      <c r="AY71" s="681"/>
      <c r="AZ71" s="681"/>
      <c r="BA71" s="681"/>
      <c r="BB71" s="681"/>
      <c r="BC71" s="681"/>
      <c r="BD71" s="681"/>
      <c r="BE71" s="681"/>
      <c r="BF71" s="681"/>
      <c r="BG71" s="681"/>
      <c r="BH71" s="681"/>
      <c r="BI71" s="681"/>
      <c r="BJ71" s="682"/>
      <c r="BR71" s="679"/>
      <c r="BS71" s="679"/>
      <c r="BT71" s="679"/>
      <c r="BU71" s="293"/>
    </row>
    <row r="72" spans="1:73" ht="30.75" customHeight="1">
      <c r="A72" s="528"/>
      <c r="B72" s="529"/>
      <c r="C72" s="530"/>
      <c r="D72" s="504"/>
      <c r="E72" s="505"/>
      <c r="F72" s="505"/>
      <c r="G72" s="505"/>
      <c r="H72" s="505"/>
      <c r="I72" s="505"/>
      <c r="J72" s="505"/>
      <c r="K72" s="505"/>
      <c r="L72" s="505"/>
      <c r="M72" s="505"/>
      <c r="N72" s="505"/>
      <c r="O72" s="505"/>
      <c r="P72" s="505"/>
      <c r="Q72" s="505"/>
      <c r="R72" s="506"/>
      <c r="S72" s="507"/>
      <c r="T72" s="508"/>
      <c r="U72" s="509"/>
      <c r="V72" s="507"/>
      <c r="W72" s="687"/>
      <c r="X72" s="531"/>
      <c r="Y72" s="509"/>
      <c r="Z72" s="507"/>
      <c r="AA72" s="508"/>
      <c r="AB72" s="508"/>
      <c r="AC72" s="509"/>
      <c r="AD72" s="507"/>
      <c r="AE72" s="508"/>
      <c r="AF72" s="509"/>
      <c r="AG72" s="507"/>
      <c r="AH72" s="508"/>
      <c r="AI72" s="509"/>
      <c r="AJ72" s="507"/>
      <c r="AK72" s="508"/>
      <c r="AL72" s="509"/>
      <c r="AM72" s="504"/>
      <c r="AN72" s="505"/>
      <c r="AO72" s="505"/>
      <c r="AP72" s="505"/>
      <c r="AQ72" s="505"/>
      <c r="AR72" s="505"/>
      <c r="AS72" s="505"/>
      <c r="AT72" s="505"/>
      <c r="AU72" s="505"/>
      <c r="AV72" s="505"/>
      <c r="AW72" s="505"/>
      <c r="AX72" s="505"/>
      <c r="AY72" s="505"/>
      <c r="AZ72" s="505"/>
      <c r="BA72" s="505"/>
      <c r="BB72" s="505"/>
      <c r="BC72" s="505"/>
      <c r="BD72" s="505"/>
      <c r="BE72" s="505"/>
      <c r="BF72" s="505"/>
      <c r="BG72" s="505"/>
      <c r="BH72" s="505"/>
      <c r="BI72" s="505"/>
      <c r="BJ72" s="506"/>
    </row>
    <row r="73" spans="1:73" ht="20.25" customHeight="1"/>
    <row r="74" spans="1:73" ht="20.25" customHeight="1"/>
    <row r="75" spans="1:73" ht="20.25" customHeight="1"/>
    <row r="76" spans="1:73" ht="20.25" customHeight="1"/>
    <row r="77" spans="1:73" ht="20.25" customHeight="1"/>
    <row r="78" spans="1:73" ht="20.25" customHeight="1"/>
    <row r="79" spans="1:73" ht="20.25" customHeight="1"/>
    <row r="80" spans="1:73" ht="20.25" customHeight="1"/>
    <row r="81" ht="20.25" customHeight="1"/>
    <row r="82" ht="20.25" customHeight="1"/>
    <row r="83" ht="20.25" customHeight="1"/>
    <row r="84" ht="20.25" customHeight="1"/>
    <row r="85" ht="20.25" customHeight="1"/>
    <row r="86" ht="20.25" customHeight="1"/>
  </sheetData>
  <mergeCells count="577">
    <mergeCell ref="Z21:AC21"/>
    <mergeCell ref="Z19:AC19"/>
    <mergeCell ref="S26:U26"/>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T10:BJ10"/>
    <mergeCell ref="A13:C13"/>
    <mergeCell ref="D13:AS13"/>
    <mergeCell ref="AT13:BJ13"/>
    <mergeCell ref="A2:AU2"/>
    <mergeCell ref="AV2:AY2"/>
    <mergeCell ref="AZ2:BC2"/>
    <mergeCell ref="BD2:BF2"/>
    <mergeCell ref="BG2:BJ2"/>
    <mergeCell ref="A3:G3"/>
    <mergeCell ref="H3:AU3"/>
    <mergeCell ref="AV3:AY3"/>
    <mergeCell ref="AZ3:BJ3"/>
    <mergeCell ref="A15:C16"/>
    <mergeCell ref="D15:R16"/>
    <mergeCell ref="S15:U16"/>
    <mergeCell ref="V15:Y15"/>
    <mergeCell ref="Z15:AC16"/>
    <mergeCell ref="AD15:AF16"/>
    <mergeCell ref="AG15:AI16"/>
    <mergeCell ref="AJ15:AL16"/>
    <mergeCell ref="AM15:BJ16"/>
    <mergeCell ref="V16:W16"/>
    <mergeCell ref="X16:Y16"/>
    <mergeCell ref="AM17:BJ17"/>
    <mergeCell ref="A18:C18"/>
    <mergeCell ref="D18:R18"/>
    <mergeCell ref="V18:W18"/>
    <mergeCell ref="X18:Y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20:C20"/>
    <mergeCell ref="D20:R20"/>
    <mergeCell ref="V20:W20"/>
    <mergeCell ref="X20:Y20"/>
    <mergeCell ref="AD20:AF20"/>
    <mergeCell ref="AG20:AI20"/>
    <mergeCell ref="AJ20:AL20"/>
    <mergeCell ref="AM20:BJ20"/>
    <mergeCell ref="A19:C19"/>
    <mergeCell ref="D19:R19"/>
    <mergeCell ref="V19:W19"/>
    <mergeCell ref="X19:Y19"/>
    <mergeCell ref="AD19:AF19"/>
    <mergeCell ref="AG19:AI19"/>
    <mergeCell ref="AJ19:AL19"/>
    <mergeCell ref="AM21:BJ21"/>
    <mergeCell ref="A26:C26"/>
    <mergeCell ref="D26:R26"/>
    <mergeCell ref="V26:W26"/>
    <mergeCell ref="X26:Y26"/>
    <mergeCell ref="Z26:AC26"/>
    <mergeCell ref="AD26:AF26"/>
    <mergeCell ref="AG26:AI26"/>
    <mergeCell ref="AJ26:AL26"/>
    <mergeCell ref="AM26:BJ26"/>
    <mergeCell ref="A21:C21"/>
    <mergeCell ref="D21:R21"/>
    <mergeCell ref="V21:W21"/>
    <mergeCell ref="X21:Y21"/>
    <mergeCell ref="AD21:AF21"/>
    <mergeCell ref="AG21:AI21"/>
    <mergeCell ref="AJ21:AL21"/>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V22:W22"/>
    <mergeCell ref="X22:Y22"/>
    <mergeCell ref="Z22:AC22"/>
    <mergeCell ref="AD22:AF22"/>
    <mergeCell ref="AG22:AI22"/>
    <mergeCell ref="AJ22:AL22"/>
    <mergeCell ref="AM24:BJ24"/>
    <mergeCell ref="A25:C25"/>
    <mergeCell ref="D25:R25"/>
    <mergeCell ref="V25:W25"/>
    <mergeCell ref="X25:Y25"/>
    <mergeCell ref="Z25:AC25"/>
    <mergeCell ref="AD25:AF25"/>
    <mergeCell ref="AG25:AI25"/>
    <mergeCell ref="AJ25:AL25"/>
    <mergeCell ref="AM25:BJ25"/>
    <mergeCell ref="A24:C24"/>
    <mergeCell ref="D24:R24"/>
    <mergeCell ref="V24:W24"/>
    <mergeCell ref="X24:Y24"/>
    <mergeCell ref="Z24:AC24"/>
    <mergeCell ref="AD24:AF24"/>
    <mergeCell ref="AG24:AI24"/>
    <mergeCell ref="AJ24:AL24"/>
    <mergeCell ref="AM27:BJ27"/>
    <mergeCell ref="A28:C28"/>
    <mergeCell ref="D28:R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6:C46"/>
    <mergeCell ref="D46:R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50:C50"/>
    <mergeCell ref="D50:R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V51:W51"/>
    <mergeCell ref="X51:Y51"/>
    <mergeCell ref="Z51:AC51"/>
    <mergeCell ref="AD51:AF51"/>
    <mergeCell ref="AG51:AI51"/>
    <mergeCell ref="AJ51:AL51"/>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V53:W53"/>
    <mergeCell ref="X53:Y53"/>
    <mergeCell ref="Z53:AC53"/>
    <mergeCell ref="AD53:AF53"/>
    <mergeCell ref="AG53:AI53"/>
    <mergeCell ref="AJ53:AL53"/>
    <mergeCell ref="Z57:AC57"/>
    <mergeCell ref="AD57:AF57"/>
    <mergeCell ref="AG57:AI57"/>
    <mergeCell ref="AJ57:AL57"/>
    <mergeCell ref="AM55:BJ55"/>
    <mergeCell ref="A56:C56"/>
    <mergeCell ref="D56:R56"/>
    <mergeCell ref="V56:W56"/>
    <mergeCell ref="X56:Y56"/>
    <mergeCell ref="Z56:AC56"/>
    <mergeCell ref="AD56:AF56"/>
    <mergeCell ref="AG56:AI56"/>
    <mergeCell ref="AJ56:AL56"/>
    <mergeCell ref="AM56:BJ56"/>
    <mergeCell ref="A55:C55"/>
    <mergeCell ref="D55:R55"/>
    <mergeCell ref="V55:W55"/>
    <mergeCell ref="X55:Y55"/>
    <mergeCell ref="Z55:AC55"/>
    <mergeCell ref="AD55:AF55"/>
    <mergeCell ref="AG55:AI55"/>
    <mergeCell ref="AJ55:AL55"/>
    <mergeCell ref="AM57:BJ57"/>
    <mergeCell ref="A57:C57"/>
    <mergeCell ref="AG58:AI58"/>
    <mergeCell ref="AJ58:AL58"/>
    <mergeCell ref="AM58:BJ58"/>
    <mergeCell ref="A59:C59"/>
    <mergeCell ref="D59:R59"/>
    <mergeCell ref="V59:W59"/>
    <mergeCell ref="X59:Y59"/>
    <mergeCell ref="Z59:AC59"/>
    <mergeCell ref="A58:C58"/>
    <mergeCell ref="D58:R58"/>
    <mergeCell ref="S58:U58"/>
    <mergeCell ref="V58:W58"/>
    <mergeCell ref="X58:Y58"/>
    <mergeCell ref="Z58:AC58"/>
    <mergeCell ref="AD59:AF59"/>
    <mergeCell ref="AG59:AI59"/>
    <mergeCell ref="AJ59:AL59"/>
    <mergeCell ref="D57:R57"/>
    <mergeCell ref="V57:W57"/>
    <mergeCell ref="X57:Y57"/>
    <mergeCell ref="AM60:BJ60"/>
    <mergeCell ref="A61:C61"/>
    <mergeCell ref="D61:R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9:BJ59"/>
    <mergeCell ref="AD58:AF58"/>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V62:W62"/>
    <mergeCell ref="X62:Y62"/>
    <mergeCell ref="Z62:AC62"/>
    <mergeCell ref="AD62:AF62"/>
    <mergeCell ref="AG62:AI62"/>
    <mergeCell ref="AJ62:AL62"/>
    <mergeCell ref="AM64:BJ64"/>
    <mergeCell ref="A64:C64"/>
    <mergeCell ref="D64:R64"/>
    <mergeCell ref="V64:W64"/>
    <mergeCell ref="X64:Y64"/>
    <mergeCell ref="Z64:AC64"/>
    <mergeCell ref="AD64:AF64"/>
    <mergeCell ref="AG64:AI64"/>
    <mergeCell ref="AJ64:AL64"/>
    <mergeCell ref="BR66:BT66"/>
    <mergeCell ref="A67:C67"/>
    <mergeCell ref="D67:R67"/>
    <mergeCell ref="V67:W67"/>
    <mergeCell ref="X67:Y67"/>
    <mergeCell ref="Z67:AC67"/>
    <mergeCell ref="AD67:AF67"/>
    <mergeCell ref="AG67:AI67"/>
    <mergeCell ref="AJ67:AL67"/>
    <mergeCell ref="AM67:BJ67"/>
    <mergeCell ref="BR67:BT67"/>
    <mergeCell ref="A66:C66"/>
    <mergeCell ref="D66:R66"/>
    <mergeCell ref="V66:W66"/>
    <mergeCell ref="X66:Y66"/>
    <mergeCell ref="Z66:AC66"/>
    <mergeCell ref="AD66:AF66"/>
    <mergeCell ref="AG66:AI66"/>
    <mergeCell ref="AJ66:AL66"/>
    <mergeCell ref="AM66:BJ66"/>
    <mergeCell ref="A68:C68"/>
    <mergeCell ref="D68:R68"/>
    <mergeCell ref="V68:W68"/>
    <mergeCell ref="X68:Y68"/>
    <mergeCell ref="AD68:AF68"/>
    <mergeCell ref="AG68:AI68"/>
    <mergeCell ref="AJ68:AL68"/>
    <mergeCell ref="AM68:BJ68"/>
    <mergeCell ref="BR68:BT68"/>
    <mergeCell ref="BR69:BT69"/>
    <mergeCell ref="A70:C70"/>
    <mergeCell ref="D70:R70"/>
    <mergeCell ref="V70:W70"/>
    <mergeCell ref="X70:Y70"/>
    <mergeCell ref="Z70:AC70"/>
    <mergeCell ref="AD70:AF70"/>
    <mergeCell ref="AG70:AI70"/>
    <mergeCell ref="AJ70:AL70"/>
    <mergeCell ref="AM70:BJ70"/>
    <mergeCell ref="BR70:BT70"/>
    <mergeCell ref="A69:C69"/>
    <mergeCell ref="D69:R69"/>
    <mergeCell ref="V69:W69"/>
    <mergeCell ref="X69:Y69"/>
    <mergeCell ref="Z69:AC69"/>
    <mergeCell ref="AD69:AF69"/>
    <mergeCell ref="AG69:AI69"/>
    <mergeCell ref="AJ69:AL69"/>
    <mergeCell ref="AM69:BJ69"/>
    <mergeCell ref="AM72:BJ72"/>
    <mergeCell ref="BR71:BT71"/>
    <mergeCell ref="A71:C71"/>
    <mergeCell ref="D71:R71"/>
    <mergeCell ref="V71:W71"/>
    <mergeCell ref="X71:Y71"/>
    <mergeCell ref="Z71:AC71"/>
    <mergeCell ref="AD71:AF71"/>
    <mergeCell ref="AG71:AI71"/>
    <mergeCell ref="AJ71:AL71"/>
    <mergeCell ref="AM71:BJ71"/>
    <mergeCell ref="A72:C72"/>
    <mergeCell ref="D72:R72"/>
    <mergeCell ref="S72:U72"/>
    <mergeCell ref="V72:W72"/>
    <mergeCell ref="X72:Y72"/>
    <mergeCell ref="Z72:AC72"/>
    <mergeCell ref="AD72:AF72"/>
    <mergeCell ref="AG72:AI72"/>
    <mergeCell ref="AJ72:AL72"/>
    <mergeCell ref="A65:C65"/>
    <mergeCell ref="D65:R65"/>
    <mergeCell ref="V65:W65"/>
    <mergeCell ref="X65:Y65"/>
    <mergeCell ref="AD65:AF65"/>
    <mergeCell ref="AG65:AI65"/>
    <mergeCell ref="AJ65:AL65"/>
    <mergeCell ref="AM65:BJ65"/>
    <mergeCell ref="BR65:BT65"/>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2"/>
  <sheetViews>
    <sheetView view="pageBreakPreview" zoomScaleNormal="100" zoomScaleSheetLayoutView="100" workbookViewId="0"/>
  </sheetViews>
  <sheetFormatPr defaultColWidth="1.875" defaultRowHeight="14.25"/>
  <cols>
    <col min="1" max="89" width="2.125" style="15" customWidth="1"/>
    <col min="90" max="16384" width="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100</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101</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6" t="s">
        <v>81</v>
      </c>
      <c r="B8" s="357"/>
      <c r="C8" s="358"/>
      <c r="D8" s="356" t="s">
        <v>103</v>
      </c>
      <c r="E8" s="357"/>
      <c r="F8" s="357"/>
      <c r="G8" s="357"/>
      <c r="H8" s="357"/>
      <c r="I8" s="357"/>
      <c r="J8" s="357"/>
      <c r="K8" s="357"/>
      <c r="L8" s="357"/>
      <c r="M8" s="357"/>
      <c r="N8" s="357"/>
      <c r="O8" s="357"/>
      <c r="P8" s="357"/>
      <c r="Q8" s="358"/>
      <c r="R8" s="593" t="s">
        <v>104</v>
      </c>
      <c r="S8" s="594"/>
      <c r="T8" s="595"/>
      <c r="U8" s="593" t="s">
        <v>105</v>
      </c>
      <c r="V8" s="594"/>
      <c r="W8" s="595"/>
      <c r="X8" s="593" t="s">
        <v>106</v>
      </c>
      <c r="Y8" s="594"/>
      <c r="Z8" s="595"/>
      <c r="AA8" s="593" t="s">
        <v>107</v>
      </c>
      <c r="AB8" s="594"/>
      <c r="AC8" s="595"/>
      <c r="AD8" s="593" t="s">
        <v>108</v>
      </c>
      <c r="AE8" s="594"/>
      <c r="AF8" s="595"/>
      <c r="AG8" s="356" t="s">
        <v>109</v>
      </c>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587"/>
      <c r="B9" s="588"/>
      <c r="C9" s="589"/>
      <c r="D9" s="487"/>
      <c r="E9" s="488"/>
      <c r="F9" s="488"/>
      <c r="G9" s="488"/>
      <c r="H9" s="488"/>
      <c r="I9" s="488"/>
      <c r="J9" s="488"/>
      <c r="K9" s="488"/>
      <c r="L9" s="488"/>
      <c r="M9" s="488"/>
      <c r="N9" s="488"/>
      <c r="O9" s="488"/>
      <c r="P9" s="488"/>
      <c r="Q9" s="489"/>
      <c r="R9" s="590"/>
      <c r="S9" s="591"/>
      <c r="T9" s="592"/>
      <c r="U9" s="482"/>
      <c r="V9" s="483"/>
      <c r="W9" s="499"/>
      <c r="X9" s="482"/>
      <c r="Y9" s="483"/>
      <c r="Z9" s="499"/>
      <c r="AA9" s="482"/>
      <c r="AB9" s="483"/>
      <c r="AC9" s="499"/>
      <c r="AD9" s="482"/>
      <c r="AE9" s="483"/>
      <c r="AF9" s="499"/>
      <c r="AG9" s="584" t="s">
        <v>112</v>
      </c>
      <c r="AH9" s="599"/>
      <c r="AI9" s="599"/>
      <c r="AJ9" s="599"/>
      <c r="AK9" s="599"/>
      <c r="AL9" s="599"/>
      <c r="AM9" s="599"/>
      <c r="AN9" s="599"/>
      <c r="AO9" s="599"/>
      <c r="AP9" s="599"/>
      <c r="AQ9" s="599"/>
      <c r="AR9" s="599"/>
      <c r="AS9" s="599"/>
      <c r="AT9" s="599"/>
      <c r="AU9" s="599"/>
      <c r="AV9" s="599"/>
      <c r="AW9" s="599"/>
      <c r="AX9" s="599"/>
      <c r="AY9" s="599"/>
      <c r="AZ9" s="599"/>
      <c r="BA9" s="599"/>
      <c r="BB9" s="599"/>
      <c r="BC9" s="600"/>
      <c r="BD9" s="482"/>
      <c r="BE9" s="483"/>
      <c r="BF9" s="483"/>
      <c r="BG9" s="483"/>
      <c r="BH9" s="483"/>
      <c r="BI9" s="483"/>
      <c r="BJ9" s="499"/>
    </row>
    <row r="10" spans="1:63" ht="30" customHeight="1">
      <c r="A10" s="587"/>
      <c r="B10" s="588"/>
      <c r="C10" s="589"/>
      <c r="D10" s="487"/>
      <c r="E10" s="488"/>
      <c r="F10" s="488"/>
      <c r="G10" s="488"/>
      <c r="H10" s="488"/>
      <c r="I10" s="488"/>
      <c r="J10" s="488"/>
      <c r="K10" s="488"/>
      <c r="L10" s="488"/>
      <c r="M10" s="488"/>
      <c r="N10" s="488"/>
      <c r="O10" s="488"/>
      <c r="P10" s="488"/>
      <c r="Q10" s="489"/>
      <c r="R10" s="590"/>
      <c r="S10" s="591"/>
      <c r="T10" s="592"/>
      <c r="U10" s="482"/>
      <c r="V10" s="483"/>
      <c r="W10" s="499"/>
      <c r="X10" s="482"/>
      <c r="Y10" s="483"/>
      <c r="Z10" s="499"/>
      <c r="AA10" s="482"/>
      <c r="AB10" s="483"/>
      <c r="AC10" s="499"/>
      <c r="AD10" s="482"/>
      <c r="AE10" s="483"/>
      <c r="AF10" s="499"/>
      <c r="AG10" s="584"/>
      <c r="AH10" s="599"/>
      <c r="AI10" s="599"/>
      <c r="AJ10" s="599"/>
      <c r="AK10" s="599"/>
      <c r="AL10" s="599"/>
      <c r="AM10" s="599"/>
      <c r="AN10" s="599"/>
      <c r="AO10" s="599"/>
      <c r="AP10" s="599"/>
      <c r="AQ10" s="599"/>
      <c r="AR10" s="599"/>
      <c r="AS10" s="599"/>
      <c r="AT10" s="599"/>
      <c r="AU10" s="599"/>
      <c r="AV10" s="599"/>
      <c r="AW10" s="599"/>
      <c r="AX10" s="599"/>
      <c r="AY10" s="599"/>
      <c r="AZ10" s="599"/>
      <c r="BA10" s="599"/>
      <c r="BB10" s="599"/>
      <c r="BC10" s="600"/>
      <c r="BD10" s="482"/>
      <c r="BE10" s="483"/>
      <c r="BF10" s="483"/>
      <c r="BG10" s="483"/>
      <c r="BH10" s="483"/>
      <c r="BI10" s="483"/>
      <c r="BJ10" s="499"/>
    </row>
    <row r="11" spans="1:63" ht="30" customHeight="1">
      <c r="A11" s="587"/>
      <c r="B11" s="588"/>
      <c r="C11" s="589"/>
      <c r="D11" s="487"/>
      <c r="E11" s="488"/>
      <c r="F11" s="488"/>
      <c r="G11" s="488"/>
      <c r="H11" s="488"/>
      <c r="I11" s="488"/>
      <c r="J11" s="488"/>
      <c r="K11" s="488"/>
      <c r="L11" s="488"/>
      <c r="M11" s="488"/>
      <c r="N11" s="488"/>
      <c r="O11" s="488"/>
      <c r="P11" s="488"/>
      <c r="Q11" s="489"/>
      <c r="R11" s="482"/>
      <c r="S11" s="483"/>
      <c r="T11" s="499"/>
      <c r="U11" s="482"/>
      <c r="V11" s="483"/>
      <c r="W11" s="499"/>
      <c r="X11" s="482"/>
      <c r="Y11" s="483"/>
      <c r="Z11" s="499"/>
      <c r="AA11" s="482"/>
      <c r="AB11" s="483"/>
      <c r="AC11" s="499"/>
      <c r="AD11" s="482"/>
      <c r="AE11" s="483"/>
      <c r="AF11" s="499"/>
      <c r="AG11" s="584"/>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482"/>
      <c r="BE11" s="483"/>
      <c r="BF11" s="483"/>
      <c r="BG11" s="483"/>
      <c r="BH11" s="483"/>
      <c r="BI11" s="483"/>
      <c r="BJ11" s="499"/>
    </row>
    <row r="12" spans="1:63" ht="30" customHeight="1">
      <c r="A12" s="587"/>
      <c r="B12" s="588"/>
      <c r="C12" s="589"/>
      <c r="D12" s="487"/>
      <c r="E12" s="488"/>
      <c r="F12" s="488"/>
      <c r="G12" s="488"/>
      <c r="H12" s="488"/>
      <c r="I12" s="488"/>
      <c r="J12" s="488"/>
      <c r="K12" s="488"/>
      <c r="L12" s="488"/>
      <c r="M12" s="488"/>
      <c r="N12" s="488"/>
      <c r="O12" s="488"/>
      <c r="P12" s="488"/>
      <c r="Q12" s="489"/>
      <c r="R12" s="482"/>
      <c r="S12" s="483"/>
      <c r="T12" s="499"/>
      <c r="U12" s="482"/>
      <c r="V12" s="483"/>
      <c r="W12" s="499"/>
      <c r="X12" s="482"/>
      <c r="Y12" s="483"/>
      <c r="Z12" s="499"/>
      <c r="AA12" s="482"/>
      <c r="AB12" s="483"/>
      <c r="AC12" s="499"/>
      <c r="AD12" s="482"/>
      <c r="AE12" s="483"/>
      <c r="AF12" s="499"/>
      <c r="AG12" s="584"/>
      <c r="AH12" s="599"/>
      <c r="AI12" s="599"/>
      <c r="AJ12" s="599"/>
      <c r="AK12" s="599"/>
      <c r="AL12" s="599"/>
      <c r="AM12" s="599"/>
      <c r="AN12" s="599"/>
      <c r="AO12" s="599"/>
      <c r="AP12" s="599"/>
      <c r="AQ12" s="599"/>
      <c r="AR12" s="599"/>
      <c r="AS12" s="599"/>
      <c r="AT12" s="599"/>
      <c r="AU12" s="599"/>
      <c r="AV12" s="599"/>
      <c r="AW12" s="599"/>
      <c r="AX12" s="599"/>
      <c r="AY12" s="599"/>
      <c r="AZ12" s="599"/>
      <c r="BA12" s="599"/>
      <c r="BB12" s="599"/>
      <c r="BC12" s="600"/>
      <c r="BD12" s="482"/>
      <c r="BE12" s="483"/>
      <c r="BF12" s="483"/>
      <c r="BG12" s="483"/>
      <c r="BH12" s="483"/>
      <c r="BI12" s="483"/>
      <c r="BJ12" s="499"/>
    </row>
    <row r="13" spans="1:63" ht="30" customHeight="1">
      <c r="A13" s="587"/>
      <c r="B13" s="588"/>
      <c r="C13" s="589"/>
      <c r="D13" s="487"/>
      <c r="E13" s="488"/>
      <c r="F13" s="488"/>
      <c r="G13" s="488"/>
      <c r="H13" s="488"/>
      <c r="I13" s="488"/>
      <c r="J13" s="488"/>
      <c r="K13" s="488"/>
      <c r="L13" s="488"/>
      <c r="M13" s="488"/>
      <c r="N13" s="488"/>
      <c r="O13" s="488"/>
      <c r="P13" s="488"/>
      <c r="Q13" s="489"/>
      <c r="R13" s="482"/>
      <c r="S13" s="483"/>
      <c r="T13" s="499"/>
      <c r="U13" s="482"/>
      <c r="V13" s="483"/>
      <c r="W13" s="499"/>
      <c r="X13" s="482"/>
      <c r="Y13" s="483"/>
      <c r="Z13" s="499"/>
      <c r="AA13" s="482"/>
      <c r="AB13" s="483"/>
      <c r="AC13" s="499"/>
      <c r="AD13" s="482"/>
      <c r="AE13" s="483"/>
      <c r="AF13" s="499"/>
      <c r="AG13" s="584"/>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482"/>
      <c r="BE13" s="483"/>
      <c r="BF13" s="483"/>
      <c r="BG13" s="483"/>
      <c r="BH13" s="483"/>
      <c r="BI13" s="483"/>
      <c r="BJ13" s="499"/>
    </row>
    <row r="14" spans="1:63" ht="30" customHeight="1">
      <c r="A14" s="587"/>
      <c r="B14" s="588"/>
      <c r="C14" s="589"/>
      <c r="D14" s="691"/>
      <c r="E14" s="692"/>
      <c r="F14" s="692"/>
      <c r="G14" s="692"/>
      <c r="H14" s="692"/>
      <c r="I14" s="692"/>
      <c r="J14" s="692"/>
      <c r="K14" s="692"/>
      <c r="L14" s="692"/>
      <c r="M14" s="692"/>
      <c r="N14" s="692"/>
      <c r="O14" s="692"/>
      <c r="P14" s="692"/>
      <c r="Q14" s="693"/>
      <c r="R14" s="590"/>
      <c r="S14" s="591"/>
      <c r="T14" s="592"/>
      <c r="U14" s="590"/>
      <c r="V14" s="591"/>
      <c r="W14" s="592"/>
      <c r="X14" s="590"/>
      <c r="Y14" s="591"/>
      <c r="Z14" s="592"/>
      <c r="AA14" s="590"/>
      <c r="AB14" s="591"/>
      <c r="AC14" s="592"/>
      <c r="AD14" s="590"/>
      <c r="AE14" s="591"/>
      <c r="AF14" s="592"/>
      <c r="AG14" s="719"/>
      <c r="AH14" s="720"/>
      <c r="AI14" s="720"/>
      <c r="AJ14" s="720"/>
      <c r="AK14" s="720"/>
      <c r="AL14" s="720"/>
      <c r="AM14" s="720"/>
      <c r="AN14" s="720"/>
      <c r="AO14" s="720"/>
      <c r="AP14" s="720"/>
      <c r="AQ14" s="720"/>
      <c r="AR14" s="720"/>
      <c r="AS14" s="720"/>
      <c r="AT14" s="720"/>
      <c r="AU14" s="720"/>
      <c r="AV14" s="720"/>
      <c r="AW14" s="720"/>
      <c r="AX14" s="720"/>
      <c r="AY14" s="720"/>
      <c r="AZ14" s="720"/>
      <c r="BA14" s="720"/>
      <c r="BB14" s="720"/>
      <c r="BC14" s="721"/>
      <c r="BD14" s="590"/>
      <c r="BE14" s="591"/>
      <c r="BF14" s="591"/>
      <c r="BG14" s="591"/>
      <c r="BH14" s="591"/>
      <c r="BI14" s="591"/>
      <c r="BJ14" s="592"/>
    </row>
    <row r="15" spans="1:63" ht="30" customHeight="1">
      <c r="A15" s="587"/>
      <c r="B15" s="588"/>
      <c r="C15" s="589"/>
      <c r="D15" s="487"/>
      <c r="E15" s="488"/>
      <c r="F15" s="488"/>
      <c r="G15" s="488"/>
      <c r="H15" s="488"/>
      <c r="I15" s="488"/>
      <c r="J15" s="488"/>
      <c r="K15" s="488"/>
      <c r="L15" s="488"/>
      <c r="M15" s="488"/>
      <c r="N15" s="488"/>
      <c r="O15" s="488"/>
      <c r="P15" s="488"/>
      <c r="Q15" s="489"/>
      <c r="R15" s="590"/>
      <c r="S15" s="591"/>
      <c r="T15" s="592"/>
      <c r="U15" s="482"/>
      <c r="V15" s="483"/>
      <c r="W15" s="499"/>
      <c r="X15" s="482"/>
      <c r="Y15" s="483"/>
      <c r="Z15" s="499"/>
      <c r="AA15" s="482"/>
      <c r="AB15" s="483"/>
      <c r="AC15" s="499"/>
      <c r="AD15" s="482"/>
      <c r="AE15" s="483"/>
      <c r="AF15" s="499"/>
      <c r="AG15" s="584"/>
      <c r="AH15" s="599"/>
      <c r="AI15" s="599"/>
      <c r="AJ15" s="599"/>
      <c r="AK15" s="599"/>
      <c r="AL15" s="599"/>
      <c r="AM15" s="599"/>
      <c r="AN15" s="599"/>
      <c r="AO15" s="599"/>
      <c r="AP15" s="599"/>
      <c r="AQ15" s="599"/>
      <c r="AR15" s="599"/>
      <c r="AS15" s="599"/>
      <c r="AT15" s="599"/>
      <c r="AU15" s="599"/>
      <c r="AV15" s="599"/>
      <c r="AW15" s="599"/>
      <c r="AX15" s="599"/>
      <c r="AY15" s="599"/>
      <c r="AZ15" s="599"/>
      <c r="BA15" s="599"/>
      <c r="BB15" s="599"/>
      <c r="BC15" s="600"/>
      <c r="BD15" s="482"/>
      <c r="BE15" s="483"/>
      <c r="BF15" s="483"/>
      <c r="BG15" s="483"/>
      <c r="BH15" s="483"/>
      <c r="BI15" s="483"/>
      <c r="BJ15" s="499"/>
    </row>
    <row r="16" spans="1:63" ht="30" customHeight="1">
      <c r="A16" s="587"/>
      <c r="B16" s="588"/>
      <c r="C16" s="589"/>
      <c r="D16" s="487"/>
      <c r="E16" s="488"/>
      <c r="F16" s="488"/>
      <c r="G16" s="488"/>
      <c r="H16" s="488"/>
      <c r="I16" s="488"/>
      <c r="J16" s="488"/>
      <c r="K16" s="488"/>
      <c r="L16" s="488"/>
      <c r="M16" s="488"/>
      <c r="N16" s="488"/>
      <c r="O16" s="488"/>
      <c r="P16" s="488"/>
      <c r="Q16" s="489"/>
      <c r="R16" s="482"/>
      <c r="S16" s="483"/>
      <c r="T16" s="499"/>
      <c r="U16" s="482"/>
      <c r="V16" s="483"/>
      <c r="W16" s="499"/>
      <c r="X16" s="482"/>
      <c r="Y16" s="483"/>
      <c r="Z16" s="499"/>
      <c r="AA16" s="482"/>
      <c r="AB16" s="483"/>
      <c r="AC16" s="499"/>
      <c r="AD16" s="482"/>
      <c r="AE16" s="483"/>
      <c r="AF16" s="499"/>
      <c r="AG16" s="584"/>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482"/>
      <c r="BE16" s="483"/>
      <c r="BF16" s="483"/>
      <c r="BG16" s="483"/>
      <c r="BH16" s="483"/>
      <c r="BI16" s="483"/>
      <c r="BJ16" s="499"/>
    </row>
    <row r="17" spans="1:62" s="16" customFormat="1" ht="30" customHeight="1">
      <c r="A17" s="587"/>
      <c r="B17" s="588"/>
      <c r="C17" s="589"/>
      <c r="D17" s="83"/>
      <c r="E17" s="75"/>
      <c r="F17" s="75"/>
      <c r="G17" s="75"/>
      <c r="H17" s="75"/>
      <c r="I17" s="75"/>
      <c r="J17" s="75"/>
      <c r="K17" s="75"/>
      <c r="L17" s="75"/>
      <c r="M17" s="75"/>
      <c r="N17" s="75"/>
      <c r="O17" s="75"/>
      <c r="P17" s="75"/>
      <c r="Q17" s="76"/>
      <c r="R17" s="77"/>
      <c r="S17" s="78"/>
      <c r="T17" s="79"/>
      <c r="U17" s="77"/>
      <c r="V17" s="78"/>
      <c r="W17" s="79"/>
      <c r="X17" s="77"/>
      <c r="Y17" s="78"/>
      <c r="Z17" s="79"/>
      <c r="AA17" s="77"/>
      <c r="AB17" s="78"/>
      <c r="AC17" s="79"/>
      <c r="AD17" s="77"/>
      <c r="AE17" s="78"/>
      <c r="AF17" s="79"/>
      <c r="AG17" s="80"/>
      <c r="AH17" s="81"/>
      <c r="AI17" s="81"/>
      <c r="AJ17" s="81"/>
      <c r="AK17" s="81"/>
      <c r="AL17" s="81"/>
      <c r="AM17" s="81"/>
      <c r="AN17" s="81"/>
      <c r="AO17" s="81"/>
      <c r="AP17" s="81"/>
      <c r="AQ17" s="81"/>
      <c r="AR17" s="81"/>
      <c r="AS17" s="81"/>
      <c r="AT17" s="81"/>
      <c r="AU17" s="81"/>
      <c r="AV17" s="81"/>
      <c r="AW17" s="81"/>
      <c r="AX17" s="81"/>
      <c r="AY17" s="81"/>
      <c r="AZ17" s="81"/>
      <c r="BA17" s="81"/>
      <c r="BB17" s="81"/>
      <c r="BC17" s="82"/>
      <c r="BD17" s="482"/>
      <c r="BE17" s="483"/>
      <c r="BF17" s="483"/>
      <c r="BG17" s="483"/>
      <c r="BH17" s="483"/>
      <c r="BI17" s="483"/>
      <c r="BJ17" s="499"/>
    </row>
    <row r="18" spans="1:62" ht="30" customHeight="1">
      <c r="A18" s="587"/>
      <c r="B18" s="588"/>
      <c r="C18" s="589"/>
      <c r="D18" s="487"/>
      <c r="E18" s="488"/>
      <c r="F18" s="488"/>
      <c r="G18" s="488"/>
      <c r="H18" s="488"/>
      <c r="I18" s="488"/>
      <c r="J18" s="488"/>
      <c r="K18" s="488"/>
      <c r="L18" s="488"/>
      <c r="M18" s="488"/>
      <c r="N18" s="488"/>
      <c r="O18" s="488"/>
      <c r="P18" s="488"/>
      <c r="Q18" s="489"/>
      <c r="R18" s="482"/>
      <c r="S18" s="483"/>
      <c r="T18" s="499"/>
      <c r="U18" s="482"/>
      <c r="V18" s="483"/>
      <c r="W18" s="499"/>
      <c r="X18" s="482"/>
      <c r="Y18" s="483"/>
      <c r="Z18" s="499"/>
      <c r="AA18" s="482"/>
      <c r="AB18" s="483"/>
      <c r="AC18" s="499"/>
      <c r="AD18" s="482"/>
      <c r="AE18" s="483"/>
      <c r="AF18" s="499"/>
      <c r="AG18" s="584"/>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482"/>
      <c r="BE18" s="483"/>
      <c r="BF18" s="483"/>
      <c r="BG18" s="483"/>
      <c r="BH18" s="483"/>
      <c r="BI18" s="483"/>
      <c r="BJ18" s="499"/>
    </row>
    <row r="19" spans="1:62" ht="30" customHeight="1">
      <c r="A19" s="587"/>
      <c r="B19" s="588"/>
      <c r="C19" s="589"/>
      <c r="D19" s="487"/>
      <c r="E19" s="488"/>
      <c r="F19" s="488"/>
      <c r="G19" s="488"/>
      <c r="H19" s="488"/>
      <c r="I19" s="488"/>
      <c r="J19" s="488"/>
      <c r="K19" s="488"/>
      <c r="L19" s="488"/>
      <c r="M19" s="488"/>
      <c r="N19" s="488"/>
      <c r="O19" s="488"/>
      <c r="P19" s="488"/>
      <c r="Q19" s="489"/>
      <c r="R19" s="482"/>
      <c r="S19" s="483"/>
      <c r="T19" s="499"/>
      <c r="U19" s="482"/>
      <c r="V19" s="483"/>
      <c r="W19" s="499"/>
      <c r="X19" s="482"/>
      <c r="Y19" s="483"/>
      <c r="Z19" s="499"/>
      <c r="AA19" s="482"/>
      <c r="AB19" s="483"/>
      <c r="AC19" s="499"/>
      <c r="AD19" s="482"/>
      <c r="AE19" s="483"/>
      <c r="AF19" s="499"/>
      <c r="AG19" s="584"/>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482"/>
      <c r="BE19" s="483"/>
      <c r="BF19" s="483"/>
      <c r="BG19" s="483"/>
      <c r="BH19" s="483"/>
      <c r="BI19" s="483"/>
      <c r="BJ19" s="499"/>
    </row>
    <row r="20" spans="1:62" ht="30" customHeight="1">
      <c r="A20" s="587"/>
      <c r="B20" s="588"/>
      <c r="C20" s="589"/>
      <c r="D20" s="487"/>
      <c r="E20" s="488"/>
      <c r="F20" s="488"/>
      <c r="G20" s="488"/>
      <c r="H20" s="488"/>
      <c r="I20" s="488"/>
      <c r="J20" s="488"/>
      <c r="K20" s="488"/>
      <c r="L20" s="488"/>
      <c r="M20" s="488"/>
      <c r="N20" s="488"/>
      <c r="O20" s="488"/>
      <c r="P20" s="488"/>
      <c r="Q20" s="489"/>
      <c r="R20" s="482"/>
      <c r="S20" s="483"/>
      <c r="T20" s="499"/>
      <c r="U20" s="482"/>
      <c r="V20" s="483"/>
      <c r="W20" s="499"/>
      <c r="X20" s="482"/>
      <c r="Y20" s="483"/>
      <c r="Z20" s="499"/>
      <c r="AA20" s="482"/>
      <c r="AB20" s="483"/>
      <c r="AC20" s="499"/>
      <c r="AD20" s="482"/>
      <c r="AE20" s="483"/>
      <c r="AF20" s="499"/>
      <c r="AG20" s="584"/>
      <c r="AH20" s="599"/>
      <c r="AI20" s="599"/>
      <c r="AJ20" s="599"/>
      <c r="AK20" s="599"/>
      <c r="AL20" s="599"/>
      <c r="AM20" s="599"/>
      <c r="AN20" s="599"/>
      <c r="AO20" s="599"/>
      <c r="AP20" s="599"/>
      <c r="AQ20" s="599"/>
      <c r="AR20" s="599"/>
      <c r="AS20" s="599"/>
      <c r="AT20" s="599"/>
      <c r="AU20" s="599"/>
      <c r="AV20" s="599"/>
      <c r="AW20" s="599"/>
      <c r="AX20" s="599"/>
      <c r="AY20" s="599"/>
      <c r="AZ20" s="599"/>
      <c r="BA20" s="599"/>
      <c r="BB20" s="599"/>
      <c r="BC20" s="600"/>
      <c r="BD20" s="482"/>
      <c r="BE20" s="483"/>
      <c r="BF20" s="483"/>
      <c r="BG20" s="483"/>
      <c r="BH20" s="483"/>
      <c r="BI20" s="483"/>
      <c r="BJ20" s="499"/>
    </row>
    <row r="21" spans="1:62" ht="30" customHeight="1">
      <c r="A21" s="587"/>
      <c r="B21" s="588"/>
      <c r="C21" s="589"/>
      <c r="D21" s="487"/>
      <c r="E21" s="488"/>
      <c r="F21" s="488"/>
      <c r="G21" s="488"/>
      <c r="H21" s="488"/>
      <c r="I21" s="488"/>
      <c r="J21" s="488"/>
      <c r="K21" s="488"/>
      <c r="L21" s="488"/>
      <c r="M21" s="488"/>
      <c r="N21" s="488"/>
      <c r="O21" s="488"/>
      <c r="P21" s="488"/>
      <c r="Q21" s="489"/>
      <c r="R21" s="482"/>
      <c r="S21" s="483"/>
      <c r="T21" s="499"/>
      <c r="U21" s="482"/>
      <c r="V21" s="483"/>
      <c r="W21" s="499"/>
      <c r="X21" s="482"/>
      <c r="Y21" s="483"/>
      <c r="Z21" s="499"/>
      <c r="AA21" s="482"/>
      <c r="AB21" s="483"/>
      <c r="AC21" s="499"/>
      <c r="AD21" s="482"/>
      <c r="AE21" s="483"/>
      <c r="AF21" s="499"/>
      <c r="AG21" s="584"/>
      <c r="AH21" s="599"/>
      <c r="AI21" s="599"/>
      <c r="AJ21" s="599"/>
      <c r="AK21" s="599"/>
      <c r="AL21" s="599"/>
      <c r="AM21" s="599"/>
      <c r="AN21" s="599"/>
      <c r="AO21" s="599"/>
      <c r="AP21" s="599"/>
      <c r="AQ21" s="599"/>
      <c r="AR21" s="599"/>
      <c r="AS21" s="599"/>
      <c r="AT21" s="599"/>
      <c r="AU21" s="599"/>
      <c r="AV21" s="599"/>
      <c r="AW21" s="599"/>
      <c r="AX21" s="599"/>
      <c r="AY21" s="599"/>
      <c r="AZ21" s="599"/>
      <c r="BA21" s="599"/>
      <c r="BB21" s="599"/>
      <c r="BC21" s="600"/>
      <c r="BD21" s="482"/>
      <c r="BE21" s="483"/>
      <c r="BF21" s="483"/>
      <c r="BG21" s="483"/>
      <c r="BH21" s="483"/>
      <c r="BI21" s="483"/>
      <c r="BJ21" s="499"/>
    </row>
    <row r="22" spans="1:62" ht="30" customHeight="1">
      <c r="A22" s="587"/>
      <c r="B22" s="588"/>
      <c r="C22" s="589"/>
      <c r="D22" s="487"/>
      <c r="E22" s="488"/>
      <c r="F22" s="488"/>
      <c r="G22" s="488"/>
      <c r="H22" s="488"/>
      <c r="I22" s="488"/>
      <c r="J22" s="488"/>
      <c r="K22" s="488"/>
      <c r="L22" s="488"/>
      <c r="M22" s="488"/>
      <c r="N22" s="488"/>
      <c r="O22" s="488"/>
      <c r="P22" s="488"/>
      <c r="Q22" s="489"/>
      <c r="R22" s="482"/>
      <c r="S22" s="483"/>
      <c r="T22" s="499"/>
      <c r="U22" s="482"/>
      <c r="V22" s="483"/>
      <c r="W22" s="499"/>
      <c r="X22" s="482"/>
      <c r="Y22" s="483"/>
      <c r="Z22" s="499"/>
      <c r="AA22" s="482"/>
      <c r="AB22" s="483"/>
      <c r="AC22" s="499"/>
      <c r="AD22" s="482"/>
      <c r="AE22" s="483"/>
      <c r="AF22" s="499"/>
      <c r="AG22" s="584"/>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482"/>
      <c r="BE22" s="483"/>
      <c r="BF22" s="483"/>
      <c r="BG22" s="483"/>
      <c r="BH22" s="483"/>
      <c r="BI22" s="483"/>
      <c r="BJ22" s="499"/>
    </row>
    <row r="23" spans="1:62" ht="30" customHeight="1">
      <c r="A23" s="587"/>
      <c r="B23" s="588"/>
      <c r="C23" s="589"/>
      <c r="D23" s="487"/>
      <c r="E23" s="488"/>
      <c r="F23" s="488"/>
      <c r="G23" s="488"/>
      <c r="H23" s="488"/>
      <c r="I23" s="488"/>
      <c r="J23" s="488"/>
      <c r="K23" s="488"/>
      <c r="L23" s="488"/>
      <c r="M23" s="488"/>
      <c r="N23" s="488"/>
      <c r="O23" s="488"/>
      <c r="P23" s="488"/>
      <c r="Q23" s="489"/>
      <c r="R23" s="482"/>
      <c r="S23" s="483"/>
      <c r="T23" s="499"/>
      <c r="U23" s="482"/>
      <c r="V23" s="483"/>
      <c r="W23" s="499"/>
      <c r="X23" s="482"/>
      <c r="Y23" s="483"/>
      <c r="Z23" s="499"/>
      <c r="AA23" s="482"/>
      <c r="AB23" s="483"/>
      <c r="AC23" s="499"/>
      <c r="AD23" s="482"/>
      <c r="AE23" s="483"/>
      <c r="AF23" s="499"/>
      <c r="AG23" s="584"/>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482"/>
      <c r="BE23" s="483"/>
      <c r="BF23" s="483"/>
      <c r="BG23" s="483"/>
      <c r="BH23" s="483"/>
      <c r="BI23" s="483"/>
      <c r="BJ23" s="499"/>
    </row>
    <row r="24" spans="1:62" ht="30" customHeight="1">
      <c r="A24" s="587"/>
      <c r="B24" s="588"/>
      <c r="C24" s="589"/>
      <c r="D24" s="487"/>
      <c r="E24" s="488"/>
      <c r="F24" s="488"/>
      <c r="G24" s="488"/>
      <c r="H24" s="488"/>
      <c r="I24" s="488"/>
      <c r="J24" s="488"/>
      <c r="K24" s="488"/>
      <c r="L24" s="488"/>
      <c r="M24" s="488"/>
      <c r="N24" s="488"/>
      <c r="O24" s="488"/>
      <c r="P24" s="488"/>
      <c r="Q24" s="489"/>
      <c r="R24" s="482"/>
      <c r="S24" s="483"/>
      <c r="T24" s="499"/>
      <c r="U24" s="482"/>
      <c r="V24" s="483"/>
      <c r="W24" s="499"/>
      <c r="X24" s="482"/>
      <c r="Y24" s="483"/>
      <c r="Z24" s="499"/>
      <c r="AA24" s="482"/>
      <c r="AB24" s="483"/>
      <c r="AC24" s="499"/>
      <c r="AD24" s="482"/>
      <c r="AE24" s="483"/>
      <c r="AF24" s="499"/>
      <c r="AG24" s="584"/>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482"/>
      <c r="BE24" s="483"/>
      <c r="BF24" s="483"/>
      <c r="BG24" s="483"/>
      <c r="BH24" s="483"/>
      <c r="BI24" s="483"/>
      <c r="BJ24" s="499"/>
    </row>
    <row r="25" spans="1:62" ht="30" customHeight="1">
      <c r="A25" s="587"/>
      <c r="B25" s="588"/>
      <c r="C25" s="589"/>
      <c r="D25" s="487"/>
      <c r="E25" s="488"/>
      <c r="F25" s="488"/>
      <c r="G25" s="488"/>
      <c r="H25" s="488"/>
      <c r="I25" s="488"/>
      <c r="J25" s="488"/>
      <c r="K25" s="488"/>
      <c r="L25" s="488"/>
      <c r="M25" s="488"/>
      <c r="N25" s="488"/>
      <c r="O25" s="488"/>
      <c r="P25" s="488"/>
      <c r="Q25" s="489"/>
      <c r="R25" s="482"/>
      <c r="S25" s="483"/>
      <c r="T25" s="499"/>
      <c r="U25" s="482"/>
      <c r="V25" s="483"/>
      <c r="W25" s="499"/>
      <c r="X25" s="482"/>
      <c r="Y25" s="483"/>
      <c r="Z25" s="499"/>
      <c r="AA25" s="482"/>
      <c r="AB25" s="483"/>
      <c r="AC25" s="499"/>
      <c r="AD25" s="482"/>
      <c r="AE25" s="483"/>
      <c r="AF25" s="499"/>
      <c r="AG25" s="584"/>
      <c r="AH25" s="599"/>
      <c r="AI25" s="599"/>
      <c r="AJ25" s="599"/>
      <c r="AK25" s="599"/>
      <c r="AL25" s="599"/>
      <c r="AM25" s="599"/>
      <c r="AN25" s="599"/>
      <c r="AO25" s="599"/>
      <c r="AP25" s="599"/>
      <c r="AQ25" s="599"/>
      <c r="AR25" s="599"/>
      <c r="AS25" s="599"/>
      <c r="AT25" s="599"/>
      <c r="AU25" s="599"/>
      <c r="AV25" s="599"/>
      <c r="AW25" s="599"/>
      <c r="AX25" s="599"/>
      <c r="AY25" s="599"/>
      <c r="AZ25" s="599"/>
      <c r="BA25" s="599"/>
      <c r="BB25" s="599"/>
      <c r="BC25" s="600"/>
      <c r="BD25" s="482"/>
      <c r="BE25" s="483"/>
      <c r="BF25" s="483"/>
      <c r="BG25" s="483"/>
      <c r="BH25" s="483"/>
      <c r="BI25" s="483"/>
      <c r="BJ25" s="499"/>
    </row>
    <row r="26" spans="1:62" ht="30" customHeight="1">
      <c r="A26" s="587"/>
      <c r="B26" s="588"/>
      <c r="C26" s="589"/>
      <c r="D26" s="487"/>
      <c r="E26" s="488"/>
      <c r="F26" s="488"/>
      <c r="G26" s="488"/>
      <c r="H26" s="488"/>
      <c r="I26" s="488"/>
      <c r="J26" s="488"/>
      <c r="K26" s="488"/>
      <c r="L26" s="488"/>
      <c r="M26" s="488"/>
      <c r="N26" s="488"/>
      <c r="O26" s="488"/>
      <c r="P26" s="488"/>
      <c r="Q26" s="489"/>
      <c r="R26" s="482"/>
      <c r="S26" s="483"/>
      <c r="T26" s="499"/>
      <c r="U26" s="482"/>
      <c r="V26" s="483"/>
      <c r="W26" s="499"/>
      <c r="X26" s="482"/>
      <c r="Y26" s="483"/>
      <c r="Z26" s="499"/>
      <c r="AA26" s="482"/>
      <c r="AB26" s="483"/>
      <c r="AC26" s="499"/>
      <c r="AD26" s="482"/>
      <c r="AE26" s="483"/>
      <c r="AF26" s="499"/>
      <c r="AG26" s="584"/>
      <c r="AH26" s="599"/>
      <c r="AI26" s="599"/>
      <c r="AJ26" s="599"/>
      <c r="AK26" s="599"/>
      <c r="AL26" s="599"/>
      <c r="AM26" s="599"/>
      <c r="AN26" s="599"/>
      <c r="AO26" s="599"/>
      <c r="AP26" s="599"/>
      <c r="AQ26" s="599"/>
      <c r="AR26" s="599"/>
      <c r="AS26" s="599"/>
      <c r="AT26" s="599"/>
      <c r="AU26" s="599"/>
      <c r="AV26" s="599"/>
      <c r="AW26" s="599"/>
      <c r="AX26" s="599"/>
      <c r="AY26" s="599"/>
      <c r="AZ26" s="599"/>
      <c r="BA26" s="599"/>
      <c r="BB26" s="599"/>
      <c r="BC26" s="600"/>
      <c r="BD26" s="482"/>
      <c r="BE26" s="483"/>
      <c r="BF26" s="483"/>
      <c r="BG26" s="483"/>
      <c r="BH26" s="483"/>
      <c r="BI26" s="483"/>
      <c r="BJ26" s="499"/>
    </row>
    <row r="27" spans="1:62" ht="30" customHeight="1">
      <c r="A27" s="587"/>
      <c r="B27" s="588"/>
      <c r="C27" s="589"/>
      <c r="D27" s="487"/>
      <c r="E27" s="488"/>
      <c r="F27" s="488"/>
      <c r="G27" s="488"/>
      <c r="H27" s="488"/>
      <c r="I27" s="488"/>
      <c r="J27" s="488"/>
      <c r="K27" s="488"/>
      <c r="L27" s="488"/>
      <c r="M27" s="488"/>
      <c r="N27" s="488"/>
      <c r="O27" s="488"/>
      <c r="P27" s="488"/>
      <c r="Q27" s="489"/>
      <c r="R27" s="482"/>
      <c r="S27" s="483"/>
      <c r="T27" s="499"/>
      <c r="U27" s="482"/>
      <c r="V27" s="483"/>
      <c r="W27" s="499"/>
      <c r="X27" s="482"/>
      <c r="Y27" s="483"/>
      <c r="Z27" s="499"/>
      <c r="AA27" s="482"/>
      <c r="AB27" s="483"/>
      <c r="AC27" s="499"/>
      <c r="AD27" s="482"/>
      <c r="AE27" s="483"/>
      <c r="AF27" s="499"/>
      <c r="AG27" s="584"/>
      <c r="AH27" s="599"/>
      <c r="AI27" s="599"/>
      <c r="AJ27" s="599"/>
      <c r="AK27" s="599"/>
      <c r="AL27" s="599"/>
      <c r="AM27" s="599"/>
      <c r="AN27" s="599"/>
      <c r="AO27" s="599"/>
      <c r="AP27" s="599"/>
      <c r="AQ27" s="599"/>
      <c r="AR27" s="599"/>
      <c r="AS27" s="599"/>
      <c r="AT27" s="599"/>
      <c r="AU27" s="599"/>
      <c r="AV27" s="599"/>
      <c r="AW27" s="599"/>
      <c r="AX27" s="599"/>
      <c r="AY27" s="599"/>
      <c r="AZ27" s="599"/>
      <c r="BA27" s="599"/>
      <c r="BB27" s="599"/>
      <c r="BC27" s="600"/>
      <c r="BD27" s="482"/>
      <c r="BE27" s="483"/>
      <c r="BF27" s="483"/>
      <c r="BG27" s="483"/>
      <c r="BH27" s="483"/>
      <c r="BI27" s="483"/>
      <c r="BJ27" s="499"/>
    </row>
    <row r="28" spans="1:62" ht="30" customHeight="1">
      <c r="A28" s="587"/>
      <c r="B28" s="588"/>
      <c r="C28" s="589"/>
      <c r="D28" s="487"/>
      <c r="E28" s="488"/>
      <c r="F28" s="488"/>
      <c r="G28" s="488"/>
      <c r="H28" s="488"/>
      <c r="I28" s="488"/>
      <c r="J28" s="488"/>
      <c r="K28" s="488"/>
      <c r="L28" s="488"/>
      <c r="M28" s="488"/>
      <c r="N28" s="488"/>
      <c r="O28" s="488"/>
      <c r="P28" s="488"/>
      <c r="Q28" s="489"/>
      <c r="R28" s="482"/>
      <c r="S28" s="483"/>
      <c r="T28" s="499"/>
      <c r="U28" s="482"/>
      <c r="V28" s="483"/>
      <c r="W28" s="499"/>
      <c r="X28" s="482"/>
      <c r="Y28" s="483"/>
      <c r="Z28" s="499"/>
      <c r="AA28" s="482"/>
      <c r="AB28" s="483"/>
      <c r="AC28" s="499"/>
      <c r="AD28" s="482"/>
      <c r="AE28" s="483"/>
      <c r="AF28" s="499"/>
      <c r="AG28" s="584"/>
      <c r="AH28" s="599"/>
      <c r="AI28" s="599"/>
      <c r="AJ28" s="599"/>
      <c r="AK28" s="599"/>
      <c r="AL28" s="599"/>
      <c r="AM28" s="599"/>
      <c r="AN28" s="599"/>
      <c r="AO28" s="599"/>
      <c r="AP28" s="599"/>
      <c r="AQ28" s="599"/>
      <c r="AR28" s="599"/>
      <c r="AS28" s="599"/>
      <c r="AT28" s="599"/>
      <c r="AU28" s="599"/>
      <c r="AV28" s="599"/>
      <c r="AW28" s="599"/>
      <c r="AX28" s="599"/>
      <c r="AY28" s="599"/>
      <c r="AZ28" s="599"/>
      <c r="BA28" s="599"/>
      <c r="BB28" s="599"/>
      <c r="BC28" s="600"/>
      <c r="BD28" s="482"/>
      <c r="BE28" s="483"/>
      <c r="BF28" s="483"/>
      <c r="BG28" s="483"/>
      <c r="BH28" s="483"/>
      <c r="BI28" s="483"/>
      <c r="BJ28" s="499"/>
    </row>
    <row r="29" spans="1:62" ht="30" customHeight="1">
      <c r="A29" s="587"/>
      <c r="B29" s="588"/>
      <c r="C29" s="589"/>
      <c r="D29" s="487"/>
      <c r="E29" s="488"/>
      <c r="F29" s="488"/>
      <c r="G29" s="488"/>
      <c r="H29" s="488"/>
      <c r="I29" s="488"/>
      <c r="J29" s="488"/>
      <c r="K29" s="488"/>
      <c r="L29" s="488"/>
      <c r="M29" s="488"/>
      <c r="N29" s="488"/>
      <c r="O29" s="488"/>
      <c r="P29" s="488"/>
      <c r="Q29" s="489"/>
      <c r="R29" s="482"/>
      <c r="S29" s="483"/>
      <c r="T29" s="499"/>
      <c r="U29" s="482"/>
      <c r="V29" s="483"/>
      <c r="W29" s="499"/>
      <c r="X29" s="482"/>
      <c r="Y29" s="483"/>
      <c r="Z29" s="499"/>
      <c r="AA29" s="482"/>
      <c r="AB29" s="483"/>
      <c r="AC29" s="499"/>
      <c r="AD29" s="482"/>
      <c r="AE29" s="483"/>
      <c r="AF29" s="499"/>
      <c r="AG29" s="584"/>
      <c r="AH29" s="599"/>
      <c r="AI29" s="599"/>
      <c r="AJ29" s="599"/>
      <c r="AK29" s="599"/>
      <c r="AL29" s="599"/>
      <c r="AM29" s="599"/>
      <c r="AN29" s="599"/>
      <c r="AO29" s="599"/>
      <c r="AP29" s="599"/>
      <c r="AQ29" s="599"/>
      <c r="AR29" s="599"/>
      <c r="AS29" s="599"/>
      <c r="AT29" s="599"/>
      <c r="AU29" s="599"/>
      <c r="AV29" s="599"/>
      <c r="AW29" s="599"/>
      <c r="AX29" s="599"/>
      <c r="AY29" s="599"/>
      <c r="AZ29" s="599"/>
      <c r="BA29" s="599"/>
      <c r="BB29" s="599"/>
      <c r="BC29" s="600"/>
      <c r="BD29" s="482"/>
      <c r="BE29" s="483"/>
      <c r="BF29" s="483"/>
      <c r="BG29" s="483"/>
      <c r="BH29" s="483"/>
      <c r="BI29" s="483"/>
      <c r="BJ29" s="499"/>
    </row>
    <row r="30" spans="1:62" ht="30" customHeight="1">
      <c r="A30" s="587"/>
      <c r="B30" s="588"/>
      <c r="C30" s="589"/>
      <c r="D30" s="487"/>
      <c r="E30" s="488"/>
      <c r="F30" s="488"/>
      <c r="G30" s="488"/>
      <c r="H30" s="488"/>
      <c r="I30" s="488"/>
      <c r="J30" s="488"/>
      <c r="K30" s="488"/>
      <c r="L30" s="488"/>
      <c r="M30" s="488"/>
      <c r="N30" s="488"/>
      <c r="O30" s="488"/>
      <c r="P30" s="488"/>
      <c r="Q30" s="489"/>
      <c r="R30" s="482"/>
      <c r="S30" s="483"/>
      <c r="T30" s="499"/>
      <c r="U30" s="482"/>
      <c r="V30" s="483"/>
      <c r="W30" s="499"/>
      <c r="X30" s="482"/>
      <c r="Y30" s="483"/>
      <c r="Z30" s="499"/>
      <c r="AA30" s="482"/>
      <c r="AB30" s="483"/>
      <c r="AC30" s="499"/>
      <c r="AD30" s="482"/>
      <c r="AE30" s="483"/>
      <c r="AF30" s="499"/>
      <c r="AG30" s="584"/>
      <c r="AH30" s="599"/>
      <c r="AI30" s="599"/>
      <c r="AJ30" s="599"/>
      <c r="AK30" s="599"/>
      <c r="AL30" s="599"/>
      <c r="AM30" s="599"/>
      <c r="AN30" s="599"/>
      <c r="AO30" s="599"/>
      <c r="AP30" s="599"/>
      <c r="AQ30" s="599"/>
      <c r="AR30" s="599"/>
      <c r="AS30" s="599"/>
      <c r="AT30" s="599"/>
      <c r="AU30" s="599"/>
      <c r="AV30" s="599"/>
      <c r="AW30" s="599"/>
      <c r="AX30" s="599"/>
      <c r="AY30" s="599"/>
      <c r="AZ30" s="599"/>
      <c r="BA30" s="599"/>
      <c r="BB30" s="599"/>
      <c r="BC30" s="600"/>
      <c r="BD30" s="482"/>
      <c r="BE30" s="483"/>
      <c r="BF30" s="483"/>
      <c r="BG30" s="483"/>
      <c r="BH30" s="483"/>
      <c r="BI30" s="483"/>
      <c r="BJ30" s="499"/>
    </row>
    <row r="31" spans="1:62" ht="30" customHeight="1">
      <c r="A31" s="587"/>
      <c r="B31" s="588"/>
      <c r="C31" s="589"/>
      <c r="D31" s="487"/>
      <c r="E31" s="488"/>
      <c r="F31" s="488"/>
      <c r="G31" s="488"/>
      <c r="H31" s="488"/>
      <c r="I31" s="488"/>
      <c r="J31" s="488"/>
      <c r="K31" s="488"/>
      <c r="L31" s="488"/>
      <c r="M31" s="488"/>
      <c r="N31" s="488"/>
      <c r="O31" s="488"/>
      <c r="P31" s="488"/>
      <c r="Q31" s="489"/>
      <c r="R31" s="482"/>
      <c r="S31" s="483"/>
      <c r="T31" s="499"/>
      <c r="U31" s="482"/>
      <c r="V31" s="483"/>
      <c r="W31" s="499"/>
      <c r="X31" s="482"/>
      <c r="Y31" s="483"/>
      <c r="Z31" s="499"/>
      <c r="AA31" s="482"/>
      <c r="AB31" s="483"/>
      <c r="AC31" s="499"/>
      <c r="AD31" s="482"/>
      <c r="AE31" s="483"/>
      <c r="AF31" s="499"/>
      <c r="AG31" s="584"/>
      <c r="AH31" s="599"/>
      <c r="AI31" s="599"/>
      <c r="AJ31" s="599"/>
      <c r="AK31" s="599"/>
      <c r="AL31" s="599"/>
      <c r="AM31" s="599"/>
      <c r="AN31" s="599"/>
      <c r="AO31" s="599"/>
      <c r="AP31" s="599"/>
      <c r="AQ31" s="599"/>
      <c r="AR31" s="599"/>
      <c r="AS31" s="599"/>
      <c r="AT31" s="599"/>
      <c r="AU31" s="599"/>
      <c r="AV31" s="599"/>
      <c r="AW31" s="599"/>
      <c r="AX31" s="599"/>
      <c r="AY31" s="599"/>
      <c r="AZ31" s="599"/>
      <c r="BA31" s="599"/>
      <c r="BB31" s="599"/>
      <c r="BC31" s="600"/>
      <c r="BD31" s="482"/>
      <c r="BE31" s="483"/>
      <c r="BF31" s="483"/>
      <c r="BG31" s="483"/>
      <c r="BH31" s="483"/>
      <c r="BI31" s="483"/>
      <c r="BJ31" s="499"/>
    </row>
    <row r="32" spans="1:62" ht="30" customHeight="1">
      <c r="A32" s="587"/>
      <c r="B32" s="588"/>
      <c r="C32" s="589"/>
      <c r="D32" s="487"/>
      <c r="E32" s="488"/>
      <c r="F32" s="488"/>
      <c r="G32" s="488"/>
      <c r="H32" s="488"/>
      <c r="I32" s="488"/>
      <c r="J32" s="488"/>
      <c r="K32" s="488"/>
      <c r="L32" s="488"/>
      <c r="M32" s="488"/>
      <c r="N32" s="488"/>
      <c r="O32" s="488"/>
      <c r="P32" s="488"/>
      <c r="Q32" s="489"/>
      <c r="R32" s="482"/>
      <c r="S32" s="483"/>
      <c r="T32" s="499"/>
      <c r="U32" s="482"/>
      <c r="V32" s="483"/>
      <c r="W32" s="499"/>
      <c r="X32" s="482"/>
      <c r="Y32" s="483"/>
      <c r="Z32" s="499"/>
      <c r="AA32" s="482"/>
      <c r="AB32" s="483"/>
      <c r="AC32" s="499"/>
      <c r="AD32" s="482"/>
      <c r="AE32" s="483"/>
      <c r="AF32" s="499"/>
      <c r="AG32" s="584"/>
      <c r="AH32" s="599"/>
      <c r="AI32" s="599"/>
      <c r="AJ32" s="599"/>
      <c r="AK32" s="599"/>
      <c r="AL32" s="599"/>
      <c r="AM32" s="599"/>
      <c r="AN32" s="599"/>
      <c r="AO32" s="599"/>
      <c r="AP32" s="599"/>
      <c r="AQ32" s="599"/>
      <c r="AR32" s="599"/>
      <c r="AS32" s="599"/>
      <c r="AT32" s="599"/>
      <c r="AU32" s="599"/>
      <c r="AV32" s="599"/>
      <c r="AW32" s="599"/>
      <c r="AX32" s="599"/>
      <c r="AY32" s="599"/>
      <c r="AZ32" s="599"/>
      <c r="BA32" s="599"/>
      <c r="BB32" s="599"/>
      <c r="BC32" s="600"/>
      <c r="BD32" s="482"/>
      <c r="BE32" s="483"/>
      <c r="BF32" s="483"/>
      <c r="BG32" s="483"/>
      <c r="BH32" s="483"/>
      <c r="BI32" s="483"/>
      <c r="BJ32" s="499"/>
    </row>
    <row r="33" spans="1:62" ht="30" customHeight="1">
      <c r="A33" s="587"/>
      <c r="B33" s="588"/>
      <c r="C33" s="589"/>
      <c r="D33" s="487"/>
      <c r="E33" s="488"/>
      <c r="F33" s="488"/>
      <c r="G33" s="488"/>
      <c r="H33" s="488"/>
      <c r="I33" s="488"/>
      <c r="J33" s="488"/>
      <c r="K33" s="488"/>
      <c r="L33" s="488"/>
      <c r="M33" s="488"/>
      <c r="N33" s="488"/>
      <c r="O33" s="488"/>
      <c r="P33" s="488"/>
      <c r="Q33" s="489"/>
      <c r="R33" s="482"/>
      <c r="S33" s="483"/>
      <c r="T33" s="499"/>
      <c r="U33" s="482"/>
      <c r="V33" s="483"/>
      <c r="W33" s="499"/>
      <c r="X33" s="482"/>
      <c r="Y33" s="483"/>
      <c r="Z33" s="499"/>
      <c r="AA33" s="482"/>
      <c r="AB33" s="483"/>
      <c r="AC33" s="499"/>
      <c r="AD33" s="482"/>
      <c r="AE33" s="483"/>
      <c r="AF33" s="499"/>
      <c r="AG33" s="584"/>
      <c r="AH33" s="599"/>
      <c r="AI33" s="599"/>
      <c r="AJ33" s="599"/>
      <c r="AK33" s="599"/>
      <c r="AL33" s="599"/>
      <c r="AM33" s="599"/>
      <c r="AN33" s="599"/>
      <c r="AO33" s="599"/>
      <c r="AP33" s="599"/>
      <c r="AQ33" s="599"/>
      <c r="AR33" s="599"/>
      <c r="AS33" s="599"/>
      <c r="AT33" s="599"/>
      <c r="AU33" s="599"/>
      <c r="AV33" s="599"/>
      <c r="AW33" s="599"/>
      <c r="AX33" s="599"/>
      <c r="AY33" s="599"/>
      <c r="AZ33" s="599"/>
      <c r="BA33" s="599"/>
      <c r="BB33" s="599"/>
      <c r="BC33" s="600"/>
      <c r="BD33" s="482"/>
      <c r="BE33" s="483"/>
      <c r="BF33" s="483"/>
      <c r="BG33" s="483"/>
      <c r="BH33" s="483"/>
      <c r="BI33" s="483"/>
      <c r="BJ33" s="499"/>
    </row>
    <row r="34" spans="1:62" ht="30" customHeight="1">
      <c r="A34" s="587"/>
      <c r="B34" s="588"/>
      <c r="C34" s="589"/>
      <c r="D34" s="487"/>
      <c r="E34" s="488"/>
      <c r="F34" s="488"/>
      <c r="G34" s="488"/>
      <c r="H34" s="488"/>
      <c r="I34" s="488"/>
      <c r="J34" s="488"/>
      <c r="K34" s="488"/>
      <c r="L34" s="488"/>
      <c r="M34" s="488"/>
      <c r="N34" s="488"/>
      <c r="O34" s="488"/>
      <c r="P34" s="488"/>
      <c r="Q34" s="489"/>
      <c r="R34" s="482"/>
      <c r="S34" s="483"/>
      <c r="T34" s="499"/>
      <c r="U34" s="482"/>
      <c r="V34" s="483"/>
      <c r="W34" s="499"/>
      <c r="X34" s="482"/>
      <c r="Y34" s="483"/>
      <c r="Z34" s="499"/>
      <c r="AA34" s="482"/>
      <c r="AB34" s="483"/>
      <c r="AC34" s="499"/>
      <c r="AD34" s="482"/>
      <c r="AE34" s="483"/>
      <c r="AF34" s="499"/>
      <c r="AG34" s="584"/>
      <c r="AH34" s="599"/>
      <c r="AI34" s="599"/>
      <c r="AJ34" s="599"/>
      <c r="AK34" s="599"/>
      <c r="AL34" s="599"/>
      <c r="AM34" s="599"/>
      <c r="AN34" s="599"/>
      <c r="AO34" s="599"/>
      <c r="AP34" s="599"/>
      <c r="AQ34" s="599"/>
      <c r="AR34" s="599"/>
      <c r="AS34" s="599"/>
      <c r="AT34" s="599"/>
      <c r="AU34" s="599"/>
      <c r="AV34" s="599"/>
      <c r="AW34" s="599"/>
      <c r="AX34" s="599"/>
      <c r="AY34" s="599"/>
      <c r="AZ34" s="599"/>
      <c r="BA34" s="599"/>
      <c r="BB34" s="599"/>
      <c r="BC34" s="600"/>
      <c r="BD34" s="482"/>
      <c r="BE34" s="483"/>
      <c r="BF34" s="483"/>
      <c r="BG34" s="483"/>
      <c r="BH34" s="483"/>
      <c r="BI34" s="483"/>
      <c r="BJ34" s="499"/>
    </row>
    <row r="35" spans="1:62" ht="30" customHeight="1">
      <c r="A35" s="587"/>
      <c r="B35" s="588"/>
      <c r="C35" s="589"/>
      <c r="D35" s="487"/>
      <c r="E35" s="488"/>
      <c r="F35" s="488"/>
      <c r="G35" s="488"/>
      <c r="H35" s="488"/>
      <c r="I35" s="488"/>
      <c r="J35" s="488"/>
      <c r="K35" s="488"/>
      <c r="L35" s="488"/>
      <c r="M35" s="488"/>
      <c r="N35" s="488"/>
      <c r="O35" s="488"/>
      <c r="P35" s="488"/>
      <c r="Q35" s="489"/>
      <c r="R35" s="482"/>
      <c r="S35" s="483"/>
      <c r="T35" s="499"/>
      <c r="U35" s="482"/>
      <c r="V35" s="483"/>
      <c r="W35" s="499"/>
      <c r="X35" s="482"/>
      <c r="Y35" s="483"/>
      <c r="Z35" s="499"/>
      <c r="AA35" s="482"/>
      <c r="AB35" s="483"/>
      <c r="AC35" s="499"/>
      <c r="AD35" s="482"/>
      <c r="AE35" s="483"/>
      <c r="AF35" s="499"/>
      <c r="AG35" s="584"/>
      <c r="AH35" s="599"/>
      <c r="AI35" s="599"/>
      <c r="AJ35" s="599"/>
      <c r="AK35" s="599"/>
      <c r="AL35" s="599"/>
      <c r="AM35" s="599"/>
      <c r="AN35" s="599"/>
      <c r="AO35" s="599"/>
      <c r="AP35" s="599"/>
      <c r="AQ35" s="599"/>
      <c r="AR35" s="599"/>
      <c r="AS35" s="599"/>
      <c r="AT35" s="599"/>
      <c r="AU35" s="599"/>
      <c r="AV35" s="599"/>
      <c r="AW35" s="599"/>
      <c r="AX35" s="599"/>
      <c r="AY35" s="599"/>
      <c r="AZ35" s="599"/>
      <c r="BA35" s="599"/>
      <c r="BB35" s="599"/>
      <c r="BC35" s="600"/>
      <c r="BD35" s="482"/>
      <c r="BE35" s="483"/>
      <c r="BF35" s="483"/>
      <c r="BG35" s="483"/>
      <c r="BH35" s="483"/>
      <c r="BI35" s="483"/>
      <c r="BJ35" s="499"/>
    </row>
    <row r="36" spans="1:62" ht="30" customHeight="1">
      <c r="A36" s="587"/>
      <c r="B36" s="588"/>
      <c r="C36" s="589"/>
      <c r="D36" s="487"/>
      <c r="E36" s="488"/>
      <c r="F36" s="488"/>
      <c r="G36" s="488"/>
      <c r="H36" s="488"/>
      <c r="I36" s="488"/>
      <c r="J36" s="488"/>
      <c r="K36" s="488"/>
      <c r="L36" s="488"/>
      <c r="M36" s="488"/>
      <c r="N36" s="488"/>
      <c r="O36" s="488"/>
      <c r="P36" s="488"/>
      <c r="Q36" s="489"/>
      <c r="R36" s="482"/>
      <c r="S36" s="483"/>
      <c r="T36" s="499"/>
      <c r="U36" s="482"/>
      <c r="V36" s="483"/>
      <c r="W36" s="499"/>
      <c r="X36" s="482"/>
      <c r="Y36" s="483"/>
      <c r="Z36" s="499"/>
      <c r="AA36" s="482"/>
      <c r="AB36" s="483"/>
      <c r="AC36" s="499"/>
      <c r="AD36" s="482"/>
      <c r="AE36" s="483"/>
      <c r="AF36" s="499"/>
      <c r="AG36" s="584"/>
      <c r="AH36" s="599"/>
      <c r="AI36" s="599"/>
      <c r="AJ36" s="599"/>
      <c r="AK36" s="599"/>
      <c r="AL36" s="599"/>
      <c r="AM36" s="599"/>
      <c r="AN36" s="599"/>
      <c r="AO36" s="599"/>
      <c r="AP36" s="599"/>
      <c r="AQ36" s="599"/>
      <c r="AR36" s="599"/>
      <c r="AS36" s="599"/>
      <c r="AT36" s="599"/>
      <c r="AU36" s="599"/>
      <c r="AV36" s="599"/>
      <c r="AW36" s="599"/>
      <c r="AX36" s="599"/>
      <c r="AY36" s="599"/>
      <c r="AZ36" s="599"/>
      <c r="BA36" s="599"/>
      <c r="BB36" s="599"/>
      <c r="BC36" s="600"/>
      <c r="BD36" s="482"/>
      <c r="BE36" s="483"/>
      <c r="BF36" s="483"/>
      <c r="BG36" s="483"/>
      <c r="BH36" s="483"/>
      <c r="BI36" s="483"/>
      <c r="BJ36" s="499"/>
    </row>
    <row r="37" spans="1:62" ht="30" customHeight="1">
      <c r="A37" s="587"/>
      <c r="B37" s="588"/>
      <c r="C37" s="589"/>
      <c r="D37" s="487"/>
      <c r="E37" s="488"/>
      <c r="F37" s="488"/>
      <c r="G37" s="488"/>
      <c r="H37" s="488"/>
      <c r="I37" s="488"/>
      <c r="J37" s="488"/>
      <c r="K37" s="488"/>
      <c r="L37" s="488"/>
      <c r="M37" s="488"/>
      <c r="N37" s="488"/>
      <c r="O37" s="488"/>
      <c r="P37" s="488"/>
      <c r="Q37" s="489"/>
      <c r="R37" s="482"/>
      <c r="S37" s="483"/>
      <c r="T37" s="499"/>
      <c r="U37" s="482"/>
      <c r="V37" s="483"/>
      <c r="W37" s="499"/>
      <c r="X37" s="482"/>
      <c r="Y37" s="483"/>
      <c r="Z37" s="499"/>
      <c r="AA37" s="482"/>
      <c r="AB37" s="483"/>
      <c r="AC37" s="499"/>
      <c r="AD37" s="482"/>
      <c r="AE37" s="483"/>
      <c r="AF37" s="499"/>
      <c r="AG37" s="584"/>
      <c r="AH37" s="599"/>
      <c r="AI37" s="599"/>
      <c r="AJ37" s="599"/>
      <c r="AK37" s="599"/>
      <c r="AL37" s="599"/>
      <c r="AM37" s="599"/>
      <c r="AN37" s="599"/>
      <c r="AO37" s="599"/>
      <c r="AP37" s="599"/>
      <c r="AQ37" s="599"/>
      <c r="AR37" s="599"/>
      <c r="AS37" s="599"/>
      <c r="AT37" s="599"/>
      <c r="AU37" s="599"/>
      <c r="AV37" s="599"/>
      <c r="AW37" s="599"/>
      <c r="AX37" s="599"/>
      <c r="AY37" s="599"/>
      <c r="AZ37" s="599"/>
      <c r="BA37" s="599"/>
      <c r="BB37" s="599"/>
      <c r="BC37" s="600"/>
      <c r="BD37" s="482"/>
      <c r="BE37" s="483"/>
      <c r="BF37" s="483"/>
      <c r="BG37" s="483"/>
      <c r="BH37" s="483"/>
      <c r="BI37" s="483"/>
      <c r="BJ37" s="499"/>
    </row>
    <row r="38" spans="1:62" ht="30" customHeight="1">
      <c r="A38" s="587"/>
      <c r="B38" s="588"/>
      <c r="C38" s="589"/>
      <c r="D38" s="487"/>
      <c r="E38" s="488"/>
      <c r="F38" s="488"/>
      <c r="G38" s="488"/>
      <c r="H38" s="488"/>
      <c r="I38" s="488"/>
      <c r="J38" s="488"/>
      <c r="K38" s="488"/>
      <c r="L38" s="488"/>
      <c r="M38" s="488"/>
      <c r="N38" s="488"/>
      <c r="O38" s="488"/>
      <c r="P38" s="488"/>
      <c r="Q38" s="489"/>
      <c r="R38" s="482"/>
      <c r="S38" s="483"/>
      <c r="T38" s="499"/>
      <c r="U38" s="482"/>
      <c r="V38" s="483"/>
      <c r="W38" s="499"/>
      <c r="X38" s="482"/>
      <c r="Y38" s="483"/>
      <c r="Z38" s="499"/>
      <c r="AA38" s="482"/>
      <c r="AB38" s="483"/>
      <c r="AC38" s="499"/>
      <c r="AD38" s="482"/>
      <c r="AE38" s="483"/>
      <c r="AF38" s="499"/>
      <c r="AG38" s="584"/>
      <c r="AH38" s="599"/>
      <c r="AI38" s="599"/>
      <c r="AJ38" s="599"/>
      <c r="AK38" s="599"/>
      <c r="AL38" s="599"/>
      <c r="AM38" s="599"/>
      <c r="AN38" s="599"/>
      <c r="AO38" s="599"/>
      <c r="AP38" s="599"/>
      <c r="AQ38" s="599"/>
      <c r="AR38" s="599"/>
      <c r="AS38" s="599"/>
      <c r="AT38" s="599"/>
      <c r="AU38" s="599"/>
      <c r="AV38" s="599"/>
      <c r="AW38" s="599"/>
      <c r="AX38" s="599"/>
      <c r="AY38" s="599"/>
      <c r="AZ38" s="599"/>
      <c r="BA38" s="599"/>
      <c r="BB38" s="599"/>
      <c r="BC38" s="600"/>
      <c r="BD38" s="482"/>
      <c r="BE38" s="483"/>
      <c r="BF38" s="483"/>
      <c r="BG38" s="483"/>
      <c r="BH38" s="483"/>
      <c r="BI38" s="483"/>
      <c r="BJ38" s="499"/>
    </row>
    <row r="39" spans="1:62" ht="30" customHeight="1">
      <c r="A39" s="587"/>
      <c r="B39" s="588"/>
      <c r="C39" s="589"/>
      <c r="D39" s="487"/>
      <c r="E39" s="488"/>
      <c r="F39" s="488"/>
      <c r="G39" s="488"/>
      <c r="H39" s="488"/>
      <c r="I39" s="488"/>
      <c r="J39" s="488"/>
      <c r="K39" s="488"/>
      <c r="L39" s="488"/>
      <c r="M39" s="488"/>
      <c r="N39" s="488"/>
      <c r="O39" s="488"/>
      <c r="P39" s="488"/>
      <c r="Q39" s="489"/>
      <c r="R39" s="482"/>
      <c r="S39" s="483"/>
      <c r="T39" s="499"/>
      <c r="U39" s="482"/>
      <c r="V39" s="483"/>
      <c r="W39" s="499"/>
      <c r="X39" s="482"/>
      <c r="Y39" s="483"/>
      <c r="Z39" s="499"/>
      <c r="AA39" s="482"/>
      <c r="AB39" s="483"/>
      <c r="AC39" s="499"/>
      <c r="AD39" s="482"/>
      <c r="AE39" s="483"/>
      <c r="AF39" s="499"/>
      <c r="AG39" s="584"/>
      <c r="AH39" s="599"/>
      <c r="AI39" s="599"/>
      <c r="AJ39" s="599"/>
      <c r="AK39" s="599"/>
      <c r="AL39" s="599"/>
      <c r="AM39" s="599"/>
      <c r="AN39" s="599"/>
      <c r="AO39" s="599"/>
      <c r="AP39" s="599"/>
      <c r="AQ39" s="599"/>
      <c r="AR39" s="599"/>
      <c r="AS39" s="599"/>
      <c r="AT39" s="599"/>
      <c r="AU39" s="599"/>
      <c r="AV39" s="599"/>
      <c r="AW39" s="599"/>
      <c r="AX39" s="599"/>
      <c r="AY39" s="599"/>
      <c r="AZ39" s="599"/>
      <c r="BA39" s="599"/>
      <c r="BB39" s="599"/>
      <c r="BC39" s="600"/>
      <c r="BD39" s="482"/>
      <c r="BE39" s="483"/>
      <c r="BF39" s="483"/>
      <c r="BG39" s="483"/>
      <c r="BH39" s="483"/>
      <c r="BI39" s="483"/>
      <c r="BJ39" s="499"/>
    </row>
    <row r="40" spans="1:62" ht="30" customHeight="1">
      <c r="A40" s="587"/>
      <c r="B40" s="588"/>
      <c r="C40" s="589"/>
      <c r="D40" s="487"/>
      <c r="E40" s="488"/>
      <c r="F40" s="488"/>
      <c r="G40" s="488"/>
      <c r="H40" s="488"/>
      <c r="I40" s="488"/>
      <c r="J40" s="488"/>
      <c r="K40" s="488"/>
      <c r="L40" s="488"/>
      <c r="M40" s="488"/>
      <c r="N40" s="488"/>
      <c r="O40" s="488"/>
      <c r="P40" s="488"/>
      <c r="Q40" s="489"/>
      <c r="R40" s="482"/>
      <c r="S40" s="483"/>
      <c r="T40" s="499"/>
      <c r="U40" s="482"/>
      <c r="V40" s="483"/>
      <c r="W40" s="499"/>
      <c r="X40" s="482"/>
      <c r="Y40" s="483"/>
      <c r="Z40" s="499"/>
      <c r="AA40" s="482"/>
      <c r="AB40" s="483"/>
      <c r="AC40" s="499"/>
      <c r="AD40" s="482"/>
      <c r="AE40" s="483"/>
      <c r="AF40" s="499"/>
      <c r="AG40" s="584"/>
      <c r="AH40" s="599"/>
      <c r="AI40" s="599"/>
      <c r="AJ40" s="599"/>
      <c r="AK40" s="599"/>
      <c r="AL40" s="599"/>
      <c r="AM40" s="599"/>
      <c r="AN40" s="599"/>
      <c r="AO40" s="599"/>
      <c r="AP40" s="599"/>
      <c r="AQ40" s="599"/>
      <c r="AR40" s="599"/>
      <c r="AS40" s="599"/>
      <c r="AT40" s="599"/>
      <c r="AU40" s="599"/>
      <c r="AV40" s="599"/>
      <c r="AW40" s="599"/>
      <c r="AX40" s="599"/>
      <c r="AY40" s="599"/>
      <c r="AZ40" s="599"/>
      <c r="BA40" s="599"/>
      <c r="BB40" s="599"/>
      <c r="BC40" s="600"/>
      <c r="BD40" s="482"/>
      <c r="BE40" s="483"/>
      <c r="BF40" s="483"/>
      <c r="BG40" s="483"/>
      <c r="BH40" s="483"/>
      <c r="BI40" s="483"/>
      <c r="BJ40" s="499"/>
    </row>
    <row r="41" spans="1:62" ht="30" customHeight="1">
      <c r="A41" s="587"/>
      <c r="B41" s="588"/>
      <c r="C41" s="589"/>
      <c r="D41" s="487"/>
      <c r="E41" s="488"/>
      <c r="F41" s="488"/>
      <c r="G41" s="488"/>
      <c r="H41" s="488"/>
      <c r="I41" s="488"/>
      <c r="J41" s="488"/>
      <c r="K41" s="488"/>
      <c r="L41" s="488"/>
      <c r="M41" s="488"/>
      <c r="N41" s="488"/>
      <c r="O41" s="488"/>
      <c r="P41" s="488"/>
      <c r="Q41" s="489"/>
      <c r="R41" s="482"/>
      <c r="S41" s="483"/>
      <c r="T41" s="499"/>
      <c r="U41" s="482"/>
      <c r="V41" s="483"/>
      <c r="W41" s="499"/>
      <c r="X41" s="482"/>
      <c r="Y41" s="483"/>
      <c r="Z41" s="499"/>
      <c r="AA41" s="482"/>
      <c r="AB41" s="483"/>
      <c r="AC41" s="499"/>
      <c r="AD41" s="482"/>
      <c r="AE41" s="483"/>
      <c r="AF41" s="499"/>
      <c r="AG41" s="584"/>
      <c r="AH41" s="599"/>
      <c r="AI41" s="599"/>
      <c r="AJ41" s="599"/>
      <c r="AK41" s="599"/>
      <c r="AL41" s="599"/>
      <c r="AM41" s="599"/>
      <c r="AN41" s="599"/>
      <c r="AO41" s="599"/>
      <c r="AP41" s="599"/>
      <c r="AQ41" s="599"/>
      <c r="AR41" s="599"/>
      <c r="AS41" s="599"/>
      <c r="AT41" s="599"/>
      <c r="AU41" s="599"/>
      <c r="AV41" s="599"/>
      <c r="AW41" s="599"/>
      <c r="AX41" s="599"/>
      <c r="AY41" s="599"/>
      <c r="AZ41" s="599"/>
      <c r="BA41" s="599"/>
      <c r="BB41" s="599"/>
      <c r="BC41" s="600"/>
      <c r="BD41" s="482"/>
      <c r="BE41" s="483"/>
      <c r="BF41" s="483"/>
      <c r="BG41" s="483"/>
      <c r="BH41" s="483"/>
      <c r="BI41" s="483"/>
      <c r="BJ41" s="499"/>
    </row>
    <row r="42" spans="1:62" ht="30" customHeight="1">
      <c r="A42" s="610"/>
      <c r="B42" s="611"/>
      <c r="C42" s="612"/>
      <c r="D42" s="613"/>
      <c r="E42" s="614"/>
      <c r="F42" s="614"/>
      <c r="G42" s="614"/>
      <c r="H42" s="614"/>
      <c r="I42" s="614"/>
      <c r="J42" s="614"/>
      <c r="K42" s="614"/>
      <c r="L42" s="614"/>
      <c r="M42" s="614"/>
      <c r="N42" s="614"/>
      <c r="O42" s="614"/>
      <c r="P42" s="614"/>
      <c r="Q42" s="615"/>
      <c r="R42" s="563"/>
      <c r="S42" s="564"/>
      <c r="T42" s="565"/>
      <c r="U42" s="563"/>
      <c r="V42" s="564"/>
      <c r="W42" s="565"/>
      <c r="X42" s="563"/>
      <c r="Y42" s="564"/>
      <c r="Z42" s="565"/>
      <c r="AA42" s="563"/>
      <c r="AB42" s="564"/>
      <c r="AC42" s="565"/>
      <c r="AD42" s="563"/>
      <c r="AE42" s="564"/>
      <c r="AF42" s="565"/>
      <c r="AG42" s="613"/>
      <c r="AH42" s="614"/>
      <c r="AI42" s="614"/>
      <c r="AJ42" s="614"/>
      <c r="AK42" s="614"/>
      <c r="AL42" s="614"/>
      <c r="AM42" s="614"/>
      <c r="AN42" s="614"/>
      <c r="AO42" s="614"/>
      <c r="AP42" s="614"/>
      <c r="AQ42" s="614"/>
      <c r="AR42" s="614"/>
      <c r="AS42" s="614"/>
      <c r="AT42" s="614"/>
      <c r="AU42" s="614"/>
      <c r="AV42" s="614"/>
      <c r="AW42" s="614"/>
      <c r="AX42" s="614"/>
      <c r="AY42" s="614"/>
      <c r="AZ42" s="614"/>
      <c r="BA42" s="614"/>
      <c r="BB42" s="614"/>
      <c r="BC42" s="615"/>
      <c r="BD42" s="563"/>
      <c r="BE42" s="564"/>
      <c r="BF42" s="564"/>
      <c r="BG42" s="564"/>
      <c r="BH42" s="564"/>
      <c r="BI42" s="564"/>
      <c r="BJ42" s="565"/>
    </row>
    <row r="43" spans="1:62" s="17" customFormat="1" ht="5.25" customHeight="1">
      <c r="B43" s="18"/>
      <c r="C43" s="18"/>
      <c r="D43" s="18"/>
      <c r="E43" s="18"/>
      <c r="F43" s="18"/>
      <c r="G43" s="18"/>
      <c r="H43" s="18"/>
      <c r="I43" s="18"/>
      <c r="J43" s="18"/>
      <c r="K43" s="18"/>
      <c r="L43" s="18"/>
      <c r="M43" s="18"/>
      <c r="N43" s="18"/>
      <c r="O43" s="18"/>
      <c r="P43" s="18"/>
      <c r="Q43" s="18"/>
      <c r="R43" s="18"/>
      <c r="S43" s="18"/>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D34:AF34"/>
    <mergeCell ref="AG34:BC34"/>
    <mergeCell ref="BD34:BJ34"/>
    <mergeCell ref="A35:C35"/>
    <mergeCell ref="D35:Q35"/>
    <mergeCell ref="R35:T35"/>
    <mergeCell ref="U35:W35"/>
    <mergeCell ref="X35:Z35"/>
    <mergeCell ref="AA35:AC35"/>
    <mergeCell ref="AD35:AF35"/>
    <mergeCell ref="A34:C34"/>
    <mergeCell ref="D34:Q34"/>
    <mergeCell ref="R34:T34"/>
    <mergeCell ref="U34:W34"/>
    <mergeCell ref="X34:Z34"/>
    <mergeCell ref="AA34:AC34"/>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D38:AF38"/>
    <mergeCell ref="AG38:BC38"/>
    <mergeCell ref="BD38:BJ38"/>
    <mergeCell ref="A39:C39"/>
    <mergeCell ref="D39:Q39"/>
    <mergeCell ref="R39:T39"/>
    <mergeCell ref="U39:W39"/>
    <mergeCell ref="X39:Z39"/>
    <mergeCell ref="AA39:AC39"/>
    <mergeCell ref="AD39:AF39"/>
    <mergeCell ref="A38:C38"/>
    <mergeCell ref="D38:Q38"/>
    <mergeCell ref="R38:T38"/>
    <mergeCell ref="U38:W38"/>
    <mergeCell ref="X38:Z38"/>
    <mergeCell ref="AA38:AC38"/>
    <mergeCell ref="AG39:BC39"/>
    <mergeCell ref="BD39:BJ39"/>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D42:AF42"/>
    <mergeCell ref="AG42:BC42"/>
    <mergeCell ref="BD42:BJ42"/>
    <mergeCell ref="A42:C42"/>
    <mergeCell ref="D42:Q42"/>
    <mergeCell ref="R42:T42"/>
    <mergeCell ref="U42:W42"/>
    <mergeCell ref="X42:Z42"/>
    <mergeCell ref="AA42:AC42"/>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D555-1BDF-42E0-97A3-3A0C55EF5166}">
  <sheetPr codeName="Sheet14"/>
  <dimension ref="A1:BK54"/>
  <sheetViews>
    <sheetView view="pageBreakPreview" zoomScaleNormal="100" zoomScaleSheetLayoutView="100" workbookViewId="0"/>
  </sheetViews>
  <sheetFormatPr defaultColWidth="1.875" defaultRowHeight="14.25"/>
  <cols>
    <col min="1" max="74" width="2.125" style="15" customWidth="1"/>
    <col min="75" max="16384" width="1.875" style="15"/>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4" t="s">
        <v>113</v>
      </c>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6"/>
      <c r="AV2" s="356" t="s">
        <v>3</v>
      </c>
      <c r="AW2" s="357"/>
      <c r="AX2" s="357"/>
      <c r="AY2" s="358"/>
      <c r="AZ2" s="356" t="s">
        <v>114</v>
      </c>
      <c r="BA2" s="357"/>
      <c r="BB2" s="357"/>
      <c r="BC2" s="358"/>
      <c r="BD2" s="356" t="s">
        <v>5</v>
      </c>
      <c r="BE2" s="357"/>
      <c r="BF2" s="358"/>
      <c r="BG2" s="356"/>
      <c r="BH2" s="357"/>
      <c r="BI2" s="357"/>
      <c r="BJ2" s="358"/>
    </row>
    <row r="3" spans="1:63"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3"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6" t="s">
        <v>30</v>
      </c>
      <c r="B6" s="357"/>
      <c r="C6" s="357"/>
      <c r="D6" s="357"/>
      <c r="E6" s="357"/>
      <c r="F6" s="357"/>
      <c r="G6" s="358"/>
      <c r="H6" s="359" t="str">
        <f>変更履歴!H6</f>
        <v>販売共計年産繰越入力</v>
      </c>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c r="BE6" s="377"/>
      <c r="BF6" s="377"/>
      <c r="BG6" s="377"/>
      <c r="BH6" s="377"/>
      <c r="BI6" s="377"/>
      <c r="BJ6" s="378"/>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6" t="s">
        <v>81</v>
      </c>
      <c r="B8" s="357"/>
      <c r="C8" s="358"/>
      <c r="D8" s="356" t="s">
        <v>115</v>
      </c>
      <c r="E8" s="357"/>
      <c r="F8" s="357"/>
      <c r="G8" s="357"/>
      <c r="H8" s="357"/>
      <c r="I8" s="357"/>
      <c r="J8" s="357"/>
      <c r="K8" s="357"/>
      <c r="L8" s="357"/>
      <c r="M8" s="357"/>
      <c r="N8" s="357"/>
      <c r="O8" s="357"/>
      <c r="P8" s="358"/>
      <c r="Q8" s="356" t="s">
        <v>116</v>
      </c>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8"/>
      <c r="BD8" s="596" t="s">
        <v>110</v>
      </c>
      <c r="BE8" s="597"/>
      <c r="BF8" s="597"/>
      <c r="BG8" s="597"/>
      <c r="BH8" s="597"/>
      <c r="BI8" s="597"/>
      <c r="BJ8" s="598"/>
    </row>
    <row r="9" spans="1:63" ht="30" customHeight="1">
      <c r="A9" s="616"/>
      <c r="B9" s="588"/>
      <c r="C9" s="589"/>
      <c r="D9" s="697"/>
      <c r="E9" s="698"/>
      <c r="F9" s="698"/>
      <c r="G9" s="698"/>
      <c r="H9" s="698"/>
      <c r="I9" s="698"/>
      <c r="J9" s="698"/>
      <c r="K9" s="698"/>
      <c r="L9" s="698"/>
      <c r="M9" s="698"/>
      <c r="N9" s="698"/>
      <c r="O9" s="698"/>
      <c r="P9" s="699"/>
      <c r="Q9" s="620" t="s">
        <v>112</v>
      </c>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c r="BC9" s="622"/>
      <c r="BD9" s="482"/>
      <c r="BE9" s="483"/>
      <c r="BF9" s="483"/>
      <c r="BG9" s="483"/>
      <c r="BH9" s="483"/>
      <c r="BI9" s="483"/>
      <c r="BJ9" s="499"/>
    </row>
    <row r="10" spans="1:63" ht="30" customHeight="1">
      <c r="A10" s="616"/>
      <c r="B10" s="588"/>
      <c r="C10" s="589"/>
      <c r="D10" s="487"/>
      <c r="E10" s="488"/>
      <c r="F10" s="488"/>
      <c r="G10" s="488"/>
      <c r="H10" s="488"/>
      <c r="I10" s="488"/>
      <c r="J10" s="488"/>
      <c r="K10" s="488"/>
      <c r="L10" s="488"/>
      <c r="M10" s="488"/>
      <c r="N10" s="488"/>
      <c r="O10" s="488"/>
      <c r="P10" s="489"/>
      <c r="Q10" s="620"/>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482"/>
      <c r="BE10" s="483"/>
      <c r="BF10" s="483"/>
      <c r="BG10" s="483"/>
      <c r="BH10" s="483"/>
      <c r="BI10" s="483"/>
      <c r="BJ10" s="499"/>
    </row>
    <row r="11" spans="1:63" ht="30" customHeight="1">
      <c r="A11" s="616"/>
      <c r="B11" s="588"/>
      <c r="C11" s="589"/>
      <c r="D11" s="697"/>
      <c r="E11" s="698"/>
      <c r="F11" s="698"/>
      <c r="G11" s="698"/>
      <c r="H11" s="698"/>
      <c r="I11" s="698"/>
      <c r="J11" s="698"/>
      <c r="K11" s="698"/>
      <c r="L11" s="698"/>
      <c r="M11" s="698"/>
      <c r="N11" s="698"/>
      <c r="O11" s="698"/>
      <c r="P11" s="699"/>
      <c r="Q11" s="620"/>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482"/>
      <c r="BE11" s="483"/>
      <c r="BF11" s="483"/>
      <c r="BG11" s="483"/>
      <c r="BH11" s="483"/>
      <c r="BI11" s="483"/>
      <c r="BJ11" s="499"/>
    </row>
    <row r="12" spans="1:63" ht="30" customHeight="1">
      <c r="A12" s="616"/>
      <c r="B12" s="588"/>
      <c r="C12" s="589"/>
      <c r="D12" s="487"/>
      <c r="E12" s="488"/>
      <c r="F12" s="488"/>
      <c r="G12" s="488"/>
      <c r="H12" s="488"/>
      <c r="I12" s="488"/>
      <c r="J12" s="488"/>
      <c r="K12" s="488"/>
      <c r="L12" s="488"/>
      <c r="M12" s="488"/>
      <c r="N12" s="488"/>
      <c r="O12" s="488"/>
      <c r="P12" s="489"/>
      <c r="Q12" s="620"/>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482"/>
      <c r="BE12" s="483"/>
      <c r="BF12" s="483"/>
      <c r="BG12" s="483"/>
      <c r="BH12" s="483"/>
      <c r="BI12" s="483"/>
      <c r="BJ12" s="499"/>
    </row>
    <row r="13" spans="1:63" ht="30" customHeight="1">
      <c r="A13" s="616"/>
      <c r="B13" s="588"/>
      <c r="C13" s="589"/>
      <c r="D13" s="487"/>
      <c r="E13" s="488"/>
      <c r="F13" s="488"/>
      <c r="G13" s="488"/>
      <c r="H13" s="488"/>
      <c r="I13" s="488"/>
      <c r="J13" s="488"/>
      <c r="K13" s="488"/>
      <c r="L13" s="488"/>
      <c r="M13" s="488"/>
      <c r="N13" s="488"/>
      <c r="O13" s="488"/>
      <c r="P13" s="489"/>
      <c r="Q13" s="500"/>
      <c r="R13" s="629"/>
      <c r="S13" s="629"/>
      <c r="T13" s="629"/>
      <c r="U13" s="629"/>
      <c r="V13" s="629"/>
      <c r="W13" s="629"/>
      <c r="X13" s="629"/>
      <c r="Y13" s="629"/>
      <c r="Z13" s="629"/>
      <c r="AA13" s="629"/>
      <c r="AB13" s="629"/>
      <c r="AC13" s="629"/>
      <c r="AD13" s="629"/>
      <c r="AE13" s="629"/>
      <c r="AF13" s="629"/>
      <c r="AG13" s="629"/>
      <c r="AH13" s="629"/>
      <c r="AI13" s="629"/>
      <c r="AJ13" s="629"/>
      <c r="AK13" s="629"/>
      <c r="AL13" s="629"/>
      <c r="AM13" s="629"/>
      <c r="AN13" s="629"/>
      <c r="AO13" s="629"/>
      <c r="AP13" s="629"/>
      <c r="AQ13" s="629"/>
      <c r="AR13" s="629"/>
      <c r="AS13" s="629"/>
      <c r="AT13" s="629"/>
      <c r="AU13" s="629"/>
      <c r="AV13" s="629"/>
      <c r="AW13" s="629"/>
      <c r="AX13" s="629"/>
      <c r="AY13" s="629"/>
      <c r="AZ13" s="629"/>
      <c r="BA13" s="629"/>
      <c r="BB13" s="629"/>
      <c r="BC13" s="630"/>
      <c r="BD13" s="482"/>
      <c r="BE13" s="483"/>
      <c r="BF13" s="483"/>
      <c r="BG13" s="483"/>
      <c r="BH13" s="483"/>
      <c r="BI13" s="483"/>
      <c r="BJ13" s="499"/>
    </row>
    <row r="14" spans="1:63" ht="30" customHeight="1">
      <c r="A14" s="616"/>
      <c r="B14" s="588"/>
      <c r="C14" s="589"/>
      <c r="D14" s="487"/>
      <c r="E14" s="488"/>
      <c r="F14" s="488"/>
      <c r="G14" s="488"/>
      <c r="H14" s="488"/>
      <c r="I14" s="488"/>
      <c r="J14" s="488"/>
      <c r="K14" s="488"/>
      <c r="L14" s="488"/>
      <c r="M14" s="488"/>
      <c r="N14" s="488"/>
      <c r="O14" s="488"/>
      <c r="P14" s="489"/>
      <c r="Q14" s="500"/>
      <c r="R14" s="629"/>
      <c r="S14" s="629"/>
      <c r="T14" s="629"/>
      <c r="U14" s="629"/>
      <c r="V14" s="629"/>
      <c r="W14" s="629"/>
      <c r="X14" s="629"/>
      <c r="Y14" s="629"/>
      <c r="Z14" s="629"/>
      <c r="AA14" s="629"/>
      <c r="AB14" s="629"/>
      <c r="AC14" s="629"/>
      <c r="AD14" s="629"/>
      <c r="AE14" s="629"/>
      <c r="AF14" s="629"/>
      <c r="AG14" s="629"/>
      <c r="AH14" s="629"/>
      <c r="AI14" s="629"/>
      <c r="AJ14" s="629"/>
      <c r="AK14" s="629"/>
      <c r="AL14" s="629"/>
      <c r="AM14" s="629"/>
      <c r="AN14" s="629"/>
      <c r="AO14" s="629"/>
      <c r="AP14" s="629"/>
      <c r="AQ14" s="629"/>
      <c r="AR14" s="629"/>
      <c r="AS14" s="629"/>
      <c r="AT14" s="629"/>
      <c r="AU14" s="629"/>
      <c r="AV14" s="629"/>
      <c r="AW14" s="629"/>
      <c r="AX14" s="629"/>
      <c r="AY14" s="629"/>
      <c r="AZ14" s="629"/>
      <c r="BA14" s="629"/>
      <c r="BB14" s="629"/>
      <c r="BC14" s="630"/>
      <c r="BD14" s="482"/>
      <c r="BE14" s="483"/>
      <c r="BF14" s="483"/>
      <c r="BG14" s="483"/>
      <c r="BH14" s="483"/>
      <c r="BI14" s="483"/>
      <c r="BJ14" s="499"/>
    </row>
    <row r="15" spans="1:63" ht="30" customHeight="1">
      <c r="A15" s="616"/>
      <c r="B15" s="588"/>
      <c r="C15" s="589"/>
      <c r="D15" s="487"/>
      <c r="E15" s="488"/>
      <c r="F15" s="488"/>
      <c r="G15" s="488"/>
      <c r="H15" s="488"/>
      <c r="I15" s="488"/>
      <c r="J15" s="488"/>
      <c r="K15" s="488"/>
      <c r="L15" s="488"/>
      <c r="M15" s="488"/>
      <c r="N15" s="488"/>
      <c r="O15" s="488"/>
      <c r="P15" s="489"/>
      <c r="Q15" s="500"/>
      <c r="R15" s="629"/>
      <c r="S15" s="629"/>
      <c r="T15" s="629"/>
      <c r="U15" s="629"/>
      <c r="V15" s="629"/>
      <c r="W15" s="629"/>
      <c r="X15" s="629"/>
      <c r="Y15" s="629"/>
      <c r="Z15" s="629"/>
      <c r="AA15" s="629"/>
      <c r="AB15" s="629"/>
      <c r="AC15" s="629"/>
      <c r="AD15" s="629"/>
      <c r="AE15" s="629"/>
      <c r="AF15" s="629"/>
      <c r="AG15" s="629"/>
      <c r="AH15" s="629"/>
      <c r="AI15" s="629"/>
      <c r="AJ15" s="629"/>
      <c r="AK15" s="629"/>
      <c r="AL15" s="629"/>
      <c r="AM15" s="629"/>
      <c r="AN15" s="629"/>
      <c r="AO15" s="629"/>
      <c r="AP15" s="629"/>
      <c r="AQ15" s="629"/>
      <c r="AR15" s="629"/>
      <c r="AS15" s="629"/>
      <c r="AT15" s="629"/>
      <c r="AU15" s="629"/>
      <c r="AV15" s="629"/>
      <c r="AW15" s="629"/>
      <c r="AX15" s="629"/>
      <c r="AY15" s="629"/>
      <c r="AZ15" s="629"/>
      <c r="BA15" s="629"/>
      <c r="BB15" s="629"/>
      <c r="BC15" s="630"/>
      <c r="BD15" s="482"/>
      <c r="BE15" s="483"/>
      <c r="BF15" s="483"/>
      <c r="BG15" s="483"/>
      <c r="BH15" s="483"/>
      <c r="BI15" s="483"/>
      <c r="BJ15" s="499"/>
    </row>
    <row r="16" spans="1:63" ht="30" customHeight="1">
      <c r="A16" s="616"/>
      <c r="B16" s="588"/>
      <c r="C16" s="589"/>
      <c r="D16" s="487"/>
      <c r="E16" s="488"/>
      <c r="F16" s="488"/>
      <c r="G16" s="488"/>
      <c r="H16" s="488"/>
      <c r="I16" s="488"/>
      <c r="J16" s="488"/>
      <c r="K16" s="488"/>
      <c r="L16" s="488"/>
      <c r="M16" s="488"/>
      <c r="N16" s="488"/>
      <c r="O16" s="488"/>
      <c r="P16" s="489"/>
      <c r="Q16" s="500"/>
      <c r="R16" s="629"/>
      <c r="S16" s="629"/>
      <c r="T16" s="629"/>
      <c r="U16" s="629"/>
      <c r="V16" s="629"/>
      <c r="W16" s="629"/>
      <c r="X16" s="629"/>
      <c r="Y16" s="629"/>
      <c r="Z16" s="629"/>
      <c r="AA16" s="629"/>
      <c r="AB16" s="629"/>
      <c r="AC16" s="629"/>
      <c r="AD16" s="629"/>
      <c r="AE16" s="629"/>
      <c r="AF16" s="629"/>
      <c r="AG16" s="629"/>
      <c r="AH16" s="629"/>
      <c r="AI16" s="629"/>
      <c r="AJ16" s="629"/>
      <c r="AK16" s="629"/>
      <c r="AL16" s="629"/>
      <c r="AM16" s="629"/>
      <c r="AN16" s="629"/>
      <c r="AO16" s="629"/>
      <c r="AP16" s="629"/>
      <c r="AQ16" s="629"/>
      <c r="AR16" s="629"/>
      <c r="AS16" s="629"/>
      <c r="AT16" s="629"/>
      <c r="AU16" s="629"/>
      <c r="AV16" s="629"/>
      <c r="AW16" s="629"/>
      <c r="AX16" s="629"/>
      <c r="AY16" s="629"/>
      <c r="AZ16" s="629"/>
      <c r="BA16" s="629"/>
      <c r="BB16" s="629"/>
      <c r="BC16" s="630"/>
      <c r="BD16" s="482"/>
      <c r="BE16" s="483"/>
      <c r="BF16" s="483"/>
      <c r="BG16" s="483"/>
      <c r="BH16" s="483"/>
      <c r="BI16" s="483"/>
      <c r="BJ16" s="499"/>
    </row>
    <row r="17" spans="1:62" ht="30" customHeight="1">
      <c r="A17" s="616"/>
      <c r="B17" s="588"/>
      <c r="C17" s="589"/>
      <c r="D17" s="487"/>
      <c r="E17" s="488"/>
      <c r="F17" s="488"/>
      <c r="G17" s="488"/>
      <c r="H17" s="488"/>
      <c r="I17" s="488"/>
      <c r="J17" s="488"/>
      <c r="K17" s="488"/>
      <c r="L17" s="488"/>
      <c r="M17" s="488"/>
      <c r="N17" s="488"/>
      <c r="O17" s="488"/>
      <c r="P17" s="489"/>
      <c r="Q17" s="500"/>
      <c r="R17" s="629"/>
      <c r="S17" s="629"/>
      <c r="T17" s="629"/>
      <c r="U17" s="629"/>
      <c r="V17" s="629"/>
      <c r="W17" s="629"/>
      <c r="X17" s="629"/>
      <c r="Y17" s="629"/>
      <c r="Z17" s="629"/>
      <c r="AA17" s="629"/>
      <c r="AB17" s="629"/>
      <c r="AC17" s="629"/>
      <c r="AD17" s="629"/>
      <c r="AE17" s="629"/>
      <c r="AF17" s="629"/>
      <c r="AG17" s="629"/>
      <c r="AH17" s="629"/>
      <c r="AI17" s="629"/>
      <c r="AJ17" s="629"/>
      <c r="AK17" s="629"/>
      <c r="AL17" s="629"/>
      <c r="AM17" s="629"/>
      <c r="AN17" s="629"/>
      <c r="AO17" s="629"/>
      <c r="AP17" s="629"/>
      <c r="AQ17" s="629"/>
      <c r="AR17" s="629"/>
      <c r="AS17" s="629"/>
      <c r="AT17" s="629"/>
      <c r="AU17" s="629"/>
      <c r="AV17" s="629"/>
      <c r="AW17" s="629"/>
      <c r="AX17" s="629"/>
      <c r="AY17" s="629"/>
      <c r="AZ17" s="629"/>
      <c r="BA17" s="629"/>
      <c r="BB17" s="629"/>
      <c r="BC17" s="630"/>
      <c r="BD17" s="482"/>
      <c r="BE17" s="483"/>
      <c r="BF17" s="483"/>
      <c r="BG17" s="483"/>
      <c r="BH17" s="483"/>
      <c r="BI17" s="483"/>
      <c r="BJ17" s="499"/>
    </row>
    <row r="18" spans="1:62" ht="30" customHeight="1">
      <c r="A18" s="616"/>
      <c r="B18" s="588"/>
      <c r="C18" s="589"/>
      <c r="D18" s="487"/>
      <c r="E18" s="488"/>
      <c r="F18" s="488"/>
      <c r="G18" s="488"/>
      <c r="H18" s="488"/>
      <c r="I18" s="488"/>
      <c r="J18" s="488"/>
      <c r="K18" s="488"/>
      <c r="L18" s="488"/>
      <c r="M18" s="488"/>
      <c r="N18" s="488"/>
      <c r="O18" s="488"/>
      <c r="P18" s="489"/>
      <c r="Q18" s="500"/>
      <c r="R18" s="629"/>
      <c r="S18" s="629"/>
      <c r="T18" s="629"/>
      <c r="U18" s="629"/>
      <c r="V18" s="629"/>
      <c r="W18" s="629"/>
      <c r="X18" s="629"/>
      <c r="Y18" s="629"/>
      <c r="Z18" s="629"/>
      <c r="AA18" s="629"/>
      <c r="AB18" s="629"/>
      <c r="AC18" s="629"/>
      <c r="AD18" s="629"/>
      <c r="AE18" s="629"/>
      <c r="AF18" s="629"/>
      <c r="AG18" s="629"/>
      <c r="AH18" s="629"/>
      <c r="AI18" s="629"/>
      <c r="AJ18" s="629"/>
      <c r="AK18" s="629"/>
      <c r="AL18" s="629"/>
      <c r="AM18" s="629"/>
      <c r="AN18" s="629"/>
      <c r="AO18" s="629"/>
      <c r="AP18" s="629"/>
      <c r="AQ18" s="629"/>
      <c r="AR18" s="629"/>
      <c r="AS18" s="629"/>
      <c r="AT18" s="629"/>
      <c r="AU18" s="629"/>
      <c r="AV18" s="629"/>
      <c r="AW18" s="629"/>
      <c r="AX18" s="629"/>
      <c r="AY18" s="629"/>
      <c r="AZ18" s="629"/>
      <c r="BA18" s="629"/>
      <c r="BB18" s="629"/>
      <c r="BC18" s="630"/>
      <c r="BD18" s="482"/>
      <c r="BE18" s="483"/>
      <c r="BF18" s="483"/>
      <c r="BG18" s="483"/>
      <c r="BH18" s="483"/>
      <c r="BI18" s="483"/>
      <c r="BJ18" s="499"/>
    </row>
    <row r="19" spans="1:62" ht="30" customHeight="1">
      <c r="A19" s="616"/>
      <c r="B19" s="588"/>
      <c r="C19" s="589"/>
      <c r="D19" s="487"/>
      <c r="E19" s="488"/>
      <c r="F19" s="488"/>
      <c r="G19" s="488"/>
      <c r="H19" s="488"/>
      <c r="I19" s="488"/>
      <c r="J19" s="488"/>
      <c r="K19" s="488"/>
      <c r="L19" s="488"/>
      <c r="M19" s="488"/>
      <c r="N19" s="488"/>
      <c r="O19" s="488"/>
      <c r="P19" s="489"/>
      <c r="Q19" s="500"/>
      <c r="R19" s="629"/>
      <c r="S19" s="629"/>
      <c r="T19" s="629"/>
      <c r="U19" s="629"/>
      <c r="V19" s="629"/>
      <c r="W19" s="629"/>
      <c r="X19" s="629"/>
      <c r="Y19" s="629"/>
      <c r="Z19" s="629"/>
      <c r="AA19" s="629"/>
      <c r="AB19" s="629"/>
      <c r="AC19" s="629"/>
      <c r="AD19" s="629"/>
      <c r="AE19" s="629"/>
      <c r="AF19" s="629"/>
      <c r="AG19" s="629"/>
      <c r="AH19" s="629"/>
      <c r="AI19" s="629"/>
      <c r="AJ19" s="629"/>
      <c r="AK19" s="629"/>
      <c r="AL19" s="629"/>
      <c r="AM19" s="629"/>
      <c r="AN19" s="629"/>
      <c r="AO19" s="629"/>
      <c r="AP19" s="629"/>
      <c r="AQ19" s="629"/>
      <c r="AR19" s="629"/>
      <c r="AS19" s="629"/>
      <c r="AT19" s="629"/>
      <c r="AU19" s="629"/>
      <c r="AV19" s="629"/>
      <c r="AW19" s="629"/>
      <c r="AX19" s="629"/>
      <c r="AY19" s="629"/>
      <c r="AZ19" s="629"/>
      <c r="BA19" s="629"/>
      <c r="BB19" s="629"/>
      <c r="BC19" s="630"/>
      <c r="BD19" s="482"/>
      <c r="BE19" s="483"/>
      <c r="BF19" s="483"/>
      <c r="BG19" s="483"/>
      <c r="BH19" s="483"/>
      <c r="BI19" s="483"/>
      <c r="BJ19" s="499"/>
    </row>
    <row r="20" spans="1:62" ht="30" customHeight="1">
      <c r="A20" s="616"/>
      <c r="B20" s="588"/>
      <c r="C20" s="589"/>
      <c r="D20" s="487"/>
      <c r="E20" s="488"/>
      <c r="F20" s="488"/>
      <c r="G20" s="488"/>
      <c r="H20" s="488"/>
      <c r="I20" s="488"/>
      <c r="J20" s="488"/>
      <c r="K20" s="488"/>
      <c r="L20" s="488"/>
      <c r="M20" s="488"/>
      <c r="N20" s="488"/>
      <c r="O20" s="488"/>
      <c r="P20" s="489"/>
      <c r="Q20" s="500"/>
      <c r="R20" s="629"/>
      <c r="S20" s="629"/>
      <c r="T20" s="629"/>
      <c r="U20" s="629"/>
      <c r="V20" s="629"/>
      <c r="W20" s="629"/>
      <c r="X20" s="629"/>
      <c r="Y20" s="629"/>
      <c r="Z20" s="629"/>
      <c r="AA20" s="629"/>
      <c r="AB20" s="629"/>
      <c r="AC20" s="629"/>
      <c r="AD20" s="629"/>
      <c r="AE20" s="629"/>
      <c r="AF20" s="629"/>
      <c r="AG20" s="629"/>
      <c r="AH20" s="629"/>
      <c r="AI20" s="629"/>
      <c r="AJ20" s="629"/>
      <c r="AK20" s="629"/>
      <c r="AL20" s="629"/>
      <c r="AM20" s="629"/>
      <c r="AN20" s="629"/>
      <c r="AO20" s="629"/>
      <c r="AP20" s="629"/>
      <c r="AQ20" s="629"/>
      <c r="AR20" s="629"/>
      <c r="AS20" s="629"/>
      <c r="AT20" s="629"/>
      <c r="AU20" s="629"/>
      <c r="AV20" s="629"/>
      <c r="AW20" s="629"/>
      <c r="AX20" s="629"/>
      <c r="AY20" s="629"/>
      <c r="AZ20" s="629"/>
      <c r="BA20" s="629"/>
      <c r="BB20" s="629"/>
      <c r="BC20" s="630"/>
      <c r="BD20" s="482"/>
      <c r="BE20" s="483"/>
      <c r="BF20" s="483"/>
      <c r="BG20" s="483"/>
      <c r="BH20" s="483"/>
      <c r="BI20" s="483"/>
      <c r="BJ20" s="499"/>
    </row>
    <row r="21" spans="1:62" ht="30" customHeight="1">
      <c r="A21" s="616"/>
      <c r="B21" s="588"/>
      <c r="C21" s="589"/>
      <c r="D21" s="487"/>
      <c r="E21" s="488"/>
      <c r="F21" s="488"/>
      <c r="G21" s="488"/>
      <c r="H21" s="488"/>
      <c r="I21" s="488"/>
      <c r="J21" s="488"/>
      <c r="K21" s="488"/>
      <c r="L21" s="488"/>
      <c r="M21" s="488"/>
      <c r="N21" s="488"/>
      <c r="O21" s="488"/>
      <c r="P21" s="489"/>
      <c r="Q21" s="500"/>
      <c r="R21" s="629"/>
      <c r="S21" s="629"/>
      <c r="T21" s="629"/>
      <c r="U21" s="629"/>
      <c r="V21" s="629"/>
      <c r="W21" s="629"/>
      <c r="X21" s="629"/>
      <c r="Y21" s="629"/>
      <c r="Z21" s="629"/>
      <c r="AA21" s="629"/>
      <c r="AB21" s="629"/>
      <c r="AC21" s="629"/>
      <c r="AD21" s="629"/>
      <c r="AE21" s="629"/>
      <c r="AF21" s="629"/>
      <c r="AG21" s="629"/>
      <c r="AH21" s="629"/>
      <c r="AI21" s="629"/>
      <c r="AJ21" s="629"/>
      <c r="AK21" s="629"/>
      <c r="AL21" s="629"/>
      <c r="AM21" s="629"/>
      <c r="AN21" s="629"/>
      <c r="AO21" s="629"/>
      <c r="AP21" s="629"/>
      <c r="AQ21" s="629"/>
      <c r="AR21" s="629"/>
      <c r="AS21" s="629"/>
      <c r="AT21" s="629"/>
      <c r="AU21" s="629"/>
      <c r="AV21" s="629"/>
      <c r="AW21" s="629"/>
      <c r="AX21" s="629"/>
      <c r="AY21" s="629"/>
      <c r="AZ21" s="629"/>
      <c r="BA21" s="629"/>
      <c r="BB21" s="629"/>
      <c r="BC21" s="630"/>
      <c r="BD21" s="482"/>
      <c r="BE21" s="483"/>
      <c r="BF21" s="483"/>
      <c r="BG21" s="483"/>
      <c r="BH21" s="483"/>
      <c r="BI21" s="483"/>
      <c r="BJ21" s="499"/>
    </row>
    <row r="22" spans="1:62" ht="30" customHeight="1">
      <c r="A22" s="616"/>
      <c r="B22" s="588"/>
      <c r="C22" s="589"/>
      <c r="D22" s="487"/>
      <c r="E22" s="488"/>
      <c r="F22" s="488"/>
      <c r="G22" s="488"/>
      <c r="H22" s="488"/>
      <c r="I22" s="488"/>
      <c r="J22" s="488"/>
      <c r="K22" s="488"/>
      <c r="L22" s="488"/>
      <c r="M22" s="488"/>
      <c r="N22" s="488"/>
      <c r="O22" s="488"/>
      <c r="P22" s="489"/>
      <c r="Q22" s="500"/>
      <c r="R22" s="629"/>
      <c r="S22" s="629"/>
      <c r="T22" s="629"/>
      <c r="U22" s="629"/>
      <c r="V22" s="629"/>
      <c r="W22" s="629"/>
      <c r="X22" s="629"/>
      <c r="Y22" s="629"/>
      <c r="Z22" s="629"/>
      <c r="AA22" s="629"/>
      <c r="AB22" s="629"/>
      <c r="AC22" s="629"/>
      <c r="AD22" s="629"/>
      <c r="AE22" s="629"/>
      <c r="AF22" s="629"/>
      <c r="AG22" s="629"/>
      <c r="AH22" s="629"/>
      <c r="AI22" s="629"/>
      <c r="AJ22" s="629"/>
      <c r="AK22" s="629"/>
      <c r="AL22" s="629"/>
      <c r="AM22" s="629"/>
      <c r="AN22" s="629"/>
      <c r="AO22" s="629"/>
      <c r="AP22" s="629"/>
      <c r="AQ22" s="629"/>
      <c r="AR22" s="629"/>
      <c r="AS22" s="629"/>
      <c r="AT22" s="629"/>
      <c r="AU22" s="629"/>
      <c r="AV22" s="629"/>
      <c r="AW22" s="629"/>
      <c r="AX22" s="629"/>
      <c r="AY22" s="629"/>
      <c r="AZ22" s="629"/>
      <c r="BA22" s="629"/>
      <c r="BB22" s="629"/>
      <c r="BC22" s="630"/>
      <c r="BD22" s="482"/>
      <c r="BE22" s="483"/>
      <c r="BF22" s="483"/>
      <c r="BG22" s="483"/>
      <c r="BH22" s="483"/>
      <c r="BI22" s="483"/>
      <c r="BJ22" s="499"/>
    </row>
    <row r="23" spans="1:62" ht="30" customHeight="1">
      <c r="A23" s="616"/>
      <c r="B23" s="588"/>
      <c r="C23" s="589"/>
      <c r="D23" s="487"/>
      <c r="E23" s="488"/>
      <c r="F23" s="488"/>
      <c r="G23" s="488"/>
      <c r="H23" s="488"/>
      <c r="I23" s="488"/>
      <c r="J23" s="488"/>
      <c r="K23" s="488"/>
      <c r="L23" s="488"/>
      <c r="M23" s="488"/>
      <c r="N23" s="488"/>
      <c r="O23" s="488"/>
      <c r="P23" s="489"/>
      <c r="Q23" s="500"/>
      <c r="R23" s="629"/>
      <c r="S23" s="629"/>
      <c r="T23" s="629"/>
      <c r="U23" s="629"/>
      <c r="V23" s="629"/>
      <c r="W23" s="629"/>
      <c r="X23" s="629"/>
      <c r="Y23" s="629"/>
      <c r="Z23" s="629"/>
      <c r="AA23" s="629"/>
      <c r="AB23" s="629"/>
      <c r="AC23" s="629"/>
      <c r="AD23" s="629"/>
      <c r="AE23" s="629"/>
      <c r="AF23" s="629"/>
      <c r="AG23" s="629"/>
      <c r="AH23" s="629"/>
      <c r="AI23" s="629"/>
      <c r="AJ23" s="629"/>
      <c r="AK23" s="629"/>
      <c r="AL23" s="629"/>
      <c r="AM23" s="629"/>
      <c r="AN23" s="629"/>
      <c r="AO23" s="629"/>
      <c r="AP23" s="629"/>
      <c r="AQ23" s="629"/>
      <c r="AR23" s="629"/>
      <c r="AS23" s="629"/>
      <c r="AT23" s="629"/>
      <c r="AU23" s="629"/>
      <c r="AV23" s="629"/>
      <c r="AW23" s="629"/>
      <c r="AX23" s="629"/>
      <c r="AY23" s="629"/>
      <c r="AZ23" s="629"/>
      <c r="BA23" s="629"/>
      <c r="BB23" s="629"/>
      <c r="BC23" s="630"/>
      <c r="BD23" s="482"/>
      <c r="BE23" s="483"/>
      <c r="BF23" s="483"/>
      <c r="BG23" s="483"/>
      <c r="BH23" s="483"/>
      <c r="BI23" s="483"/>
      <c r="BJ23" s="499"/>
    </row>
    <row r="24" spans="1:62" ht="30" customHeight="1">
      <c r="A24" s="616"/>
      <c r="B24" s="588"/>
      <c r="C24" s="589"/>
      <c r="D24" s="487"/>
      <c r="E24" s="488"/>
      <c r="F24" s="488"/>
      <c r="G24" s="488"/>
      <c r="H24" s="488"/>
      <c r="I24" s="488"/>
      <c r="J24" s="488"/>
      <c r="K24" s="488"/>
      <c r="L24" s="488"/>
      <c r="M24" s="488"/>
      <c r="N24" s="488"/>
      <c r="O24" s="488"/>
      <c r="P24" s="489"/>
      <c r="Q24" s="500"/>
      <c r="R24" s="629"/>
      <c r="S24" s="629"/>
      <c r="T24" s="629"/>
      <c r="U24" s="629"/>
      <c r="V24" s="629"/>
      <c r="W24" s="629"/>
      <c r="X24" s="629"/>
      <c r="Y24" s="629"/>
      <c r="Z24" s="629"/>
      <c r="AA24" s="629"/>
      <c r="AB24" s="629"/>
      <c r="AC24" s="629"/>
      <c r="AD24" s="629"/>
      <c r="AE24" s="629"/>
      <c r="AF24" s="629"/>
      <c r="AG24" s="629"/>
      <c r="AH24" s="629"/>
      <c r="AI24" s="629"/>
      <c r="AJ24" s="629"/>
      <c r="AK24" s="629"/>
      <c r="AL24" s="629"/>
      <c r="AM24" s="629"/>
      <c r="AN24" s="629"/>
      <c r="AO24" s="629"/>
      <c r="AP24" s="629"/>
      <c r="AQ24" s="629"/>
      <c r="AR24" s="629"/>
      <c r="AS24" s="629"/>
      <c r="AT24" s="629"/>
      <c r="AU24" s="629"/>
      <c r="AV24" s="629"/>
      <c r="AW24" s="629"/>
      <c r="AX24" s="629"/>
      <c r="AY24" s="629"/>
      <c r="AZ24" s="629"/>
      <c r="BA24" s="629"/>
      <c r="BB24" s="629"/>
      <c r="BC24" s="630"/>
      <c r="BD24" s="482"/>
      <c r="BE24" s="483"/>
      <c r="BF24" s="483"/>
      <c r="BG24" s="483"/>
      <c r="BH24" s="483"/>
      <c r="BI24" s="483"/>
      <c r="BJ24" s="499"/>
    </row>
    <row r="25" spans="1:62" ht="30" customHeight="1">
      <c r="A25" s="616"/>
      <c r="B25" s="588"/>
      <c r="C25" s="589"/>
      <c r="D25" s="487"/>
      <c r="E25" s="488"/>
      <c r="F25" s="488"/>
      <c r="G25" s="488"/>
      <c r="H25" s="488"/>
      <c r="I25" s="488"/>
      <c r="J25" s="488"/>
      <c r="K25" s="488"/>
      <c r="L25" s="488"/>
      <c r="M25" s="488"/>
      <c r="N25" s="488"/>
      <c r="O25" s="488"/>
      <c r="P25" s="489"/>
      <c r="Q25" s="500"/>
      <c r="R25" s="629"/>
      <c r="S25" s="629"/>
      <c r="T25" s="629"/>
      <c r="U25" s="629"/>
      <c r="V25" s="629"/>
      <c r="W25" s="629"/>
      <c r="X25" s="629"/>
      <c r="Y25" s="629"/>
      <c r="Z25" s="629"/>
      <c r="AA25" s="629"/>
      <c r="AB25" s="629"/>
      <c r="AC25" s="629"/>
      <c r="AD25" s="629"/>
      <c r="AE25" s="629"/>
      <c r="AF25" s="629"/>
      <c r="AG25" s="629"/>
      <c r="AH25" s="629"/>
      <c r="AI25" s="629"/>
      <c r="AJ25" s="629"/>
      <c r="AK25" s="629"/>
      <c r="AL25" s="629"/>
      <c r="AM25" s="629"/>
      <c r="AN25" s="629"/>
      <c r="AO25" s="629"/>
      <c r="AP25" s="629"/>
      <c r="AQ25" s="629"/>
      <c r="AR25" s="629"/>
      <c r="AS25" s="629"/>
      <c r="AT25" s="629"/>
      <c r="AU25" s="629"/>
      <c r="AV25" s="629"/>
      <c r="AW25" s="629"/>
      <c r="AX25" s="629"/>
      <c r="AY25" s="629"/>
      <c r="AZ25" s="629"/>
      <c r="BA25" s="629"/>
      <c r="BB25" s="629"/>
      <c r="BC25" s="630"/>
      <c r="BD25" s="482"/>
      <c r="BE25" s="483"/>
      <c r="BF25" s="483"/>
      <c r="BG25" s="483"/>
      <c r="BH25" s="483"/>
      <c r="BI25" s="483"/>
      <c r="BJ25" s="499"/>
    </row>
    <row r="26" spans="1:62" ht="30" customHeight="1">
      <c r="A26" s="616"/>
      <c r="B26" s="588"/>
      <c r="C26" s="589"/>
      <c r="D26" s="487"/>
      <c r="E26" s="488"/>
      <c r="F26" s="488"/>
      <c r="G26" s="488"/>
      <c r="H26" s="488"/>
      <c r="I26" s="488"/>
      <c r="J26" s="488"/>
      <c r="K26" s="488"/>
      <c r="L26" s="488"/>
      <c r="M26" s="488"/>
      <c r="N26" s="488"/>
      <c r="O26" s="488"/>
      <c r="P26" s="489"/>
      <c r="Q26" s="500"/>
      <c r="R26" s="629"/>
      <c r="S26" s="629"/>
      <c r="T26" s="629"/>
      <c r="U26" s="629"/>
      <c r="V26" s="629"/>
      <c r="W26" s="629"/>
      <c r="X26" s="629"/>
      <c r="Y26" s="629"/>
      <c r="Z26" s="629"/>
      <c r="AA26" s="629"/>
      <c r="AB26" s="629"/>
      <c r="AC26" s="629"/>
      <c r="AD26" s="629"/>
      <c r="AE26" s="629"/>
      <c r="AF26" s="629"/>
      <c r="AG26" s="629"/>
      <c r="AH26" s="629"/>
      <c r="AI26" s="629"/>
      <c r="AJ26" s="629"/>
      <c r="AK26" s="629"/>
      <c r="AL26" s="629"/>
      <c r="AM26" s="629"/>
      <c r="AN26" s="629"/>
      <c r="AO26" s="629"/>
      <c r="AP26" s="629"/>
      <c r="AQ26" s="629"/>
      <c r="AR26" s="629"/>
      <c r="AS26" s="629"/>
      <c r="AT26" s="629"/>
      <c r="AU26" s="629"/>
      <c r="AV26" s="629"/>
      <c r="AW26" s="629"/>
      <c r="AX26" s="629"/>
      <c r="AY26" s="629"/>
      <c r="AZ26" s="629"/>
      <c r="BA26" s="629"/>
      <c r="BB26" s="629"/>
      <c r="BC26" s="630"/>
      <c r="BD26" s="482"/>
      <c r="BE26" s="483"/>
      <c r="BF26" s="483"/>
      <c r="BG26" s="483"/>
      <c r="BH26" s="483"/>
      <c r="BI26" s="483"/>
      <c r="BJ26" s="499"/>
    </row>
    <row r="27" spans="1:62" ht="30" customHeight="1">
      <c r="A27" s="616"/>
      <c r="B27" s="588"/>
      <c r="C27" s="589"/>
      <c r="D27" s="487"/>
      <c r="E27" s="488"/>
      <c r="F27" s="488"/>
      <c r="G27" s="488"/>
      <c r="H27" s="488"/>
      <c r="I27" s="488"/>
      <c r="J27" s="488"/>
      <c r="K27" s="488"/>
      <c r="L27" s="488"/>
      <c r="M27" s="488"/>
      <c r="N27" s="488"/>
      <c r="O27" s="488"/>
      <c r="P27" s="489"/>
      <c r="Q27" s="500"/>
      <c r="R27" s="629"/>
      <c r="S27" s="629"/>
      <c r="T27" s="629"/>
      <c r="U27" s="629"/>
      <c r="V27" s="629"/>
      <c r="W27" s="629"/>
      <c r="X27" s="629"/>
      <c r="Y27" s="629"/>
      <c r="Z27" s="629"/>
      <c r="AA27" s="629"/>
      <c r="AB27" s="629"/>
      <c r="AC27" s="629"/>
      <c r="AD27" s="629"/>
      <c r="AE27" s="629"/>
      <c r="AF27" s="629"/>
      <c r="AG27" s="629"/>
      <c r="AH27" s="629"/>
      <c r="AI27" s="629"/>
      <c r="AJ27" s="629"/>
      <c r="AK27" s="629"/>
      <c r="AL27" s="629"/>
      <c r="AM27" s="629"/>
      <c r="AN27" s="629"/>
      <c r="AO27" s="629"/>
      <c r="AP27" s="629"/>
      <c r="AQ27" s="629"/>
      <c r="AR27" s="629"/>
      <c r="AS27" s="629"/>
      <c r="AT27" s="629"/>
      <c r="AU27" s="629"/>
      <c r="AV27" s="629"/>
      <c r="AW27" s="629"/>
      <c r="AX27" s="629"/>
      <c r="AY27" s="629"/>
      <c r="AZ27" s="629"/>
      <c r="BA27" s="629"/>
      <c r="BB27" s="629"/>
      <c r="BC27" s="630"/>
      <c r="BD27" s="482"/>
      <c r="BE27" s="483"/>
      <c r="BF27" s="483"/>
      <c r="BG27" s="483"/>
      <c r="BH27" s="483"/>
      <c r="BI27" s="483"/>
      <c r="BJ27" s="499"/>
    </row>
    <row r="28" spans="1:62" ht="30" customHeight="1">
      <c r="A28" s="616"/>
      <c r="B28" s="588"/>
      <c r="C28" s="589"/>
      <c r="D28" s="487"/>
      <c r="E28" s="488"/>
      <c r="F28" s="488"/>
      <c r="G28" s="488"/>
      <c r="H28" s="488"/>
      <c r="I28" s="488"/>
      <c r="J28" s="488"/>
      <c r="K28" s="488"/>
      <c r="L28" s="488"/>
      <c r="M28" s="488"/>
      <c r="N28" s="488"/>
      <c r="O28" s="488"/>
      <c r="P28" s="489"/>
      <c r="Q28" s="500"/>
      <c r="R28" s="629"/>
      <c r="S28" s="629"/>
      <c r="T28" s="629"/>
      <c r="U28" s="629"/>
      <c r="V28" s="629"/>
      <c r="W28" s="629"/>
      <c r="X28" s="629"/>
      <c r="Y28" s="629"/>
      <c r="Z28" s="629"/>
      <c r="AA28" s="629"/>
      <c r="AB28" s="629"/>
      <c r="AC28" s="629"/>
      <c r="AD28" s="629"/>
      <c r="AE28" s="629"/>
      <c r="AF28" s="629"/>
      <c r="AG28" s="629"/>
      <c r="AH28" s="629"/>
      <c r="AI28" s="629"/>
      <c r="AJ28" s="629"/>
      <c r="AK28" s="629"/>
      <c r="AL28" s="629"/>
      <c r="AM28" s="629"/>
      <c r="AN28" s="629"/>
      <c r="AO28" s="629"/>
      <c r="AP28" s="629"/>
      <c r="AQ28" s="629"/>
      <c r="AR28" s="629"/>
      <c r="AS28" s="629"/>
      <c r="AT28" s="629"/>
      <c r="AU28" s="629"/>
      <c r="AV28" s="629"/>
      <c r="AW28" s="629"/>
      <c r="AX28" s="629"/>
      <c r="AY28" s="629"/>
      <c r="AZ28" s="629"/>
      <c r="BA28" s="629"/>
      <c r="BB28" s="629"/>
      <c r="BC28" s="630"/>
      <c r="BD28" s="482"/>
      <c r="BE28" s="483"/>
      <c r="BF28" s="483"/>
      <c r="BG28" s="483"/>
      <c r="BH28" s="483"/>
      <c r="BI28" s="483"/>
      <c r="BJ28" s="499"/>
    </row>
    <row r="29" spans="1:62" ht="30" customHeight="1">
      <c r="A29" s="616"/>
      <c r="B29" s="588"/>
      <c r="C29" s="589"/>
      <c r="D29" s="487"/>
      <c r="E29" s="488"/>
      <c r="F29" s="488"/>
      <c r="G29" s="488"/>
      <c r="H29" s="488"/>
      <c r="I29" s="488"/>
      <c r="J29" s="488"/>
      <c r="K29" s="488"/>
      <c r="L29" s="488"/>
      <c r="M29" s="488"/>
      <c r="N29" s="488"/>
      <c r="O29" s="488"/>
      <c r="P29" s="489"/>
      <c r="Q29" s="500"/>
      <c r="R29" s="629"/>
      <c r="S29" s="629"/>
      <c r="T29" s="629"/>
      <c r="U29" s="629"/>
      <c r="V29" s="629"/>
      <c r="W29" s="629"/>
      <c r="X29" s="629"/>
      <c r="Y29" s="629"/>
      <c r="Z29" s="629"/>
      <c r="AA29" s="629"/>
      <c r="AB29" s="629"/>
      <c r="AC29" s="629"/>
      <c r="AD29" s="629"/>
      <c r="AE29" s="629"/>
      <c r="AF29" s="629"/>
      <c r="AG29" s="629"/>
      <c r="AH29" s="629"/>
      <c r="AI29" s="629"/>
      <c r="AJ29" s="629"/>
      <c r="AK29" s="629"/>
      <c r="AL29" s="629"/>
      <c r="AM29" s="629"/>
      <c r="AN29" s="629"/>
      <c r="AO29" s="629"/>
      <c r="AP29" s="629"/>
      <c r="AQ29" s="629"/>
      <c r="AR29" s="629"/>
      <c r="AS29" s="629"/>
      <c r="AT29" s="629"/>
      <c r="AU29" s="629"/>
      <c r="AV29" s="629"/>
      <c r="AW29" s="629"/>
      <c r="AX29" s="629"/>
      <c r="AY29" s="629"/>
      <c r="AZ29" s="629"/>
      <c r="BA29" s="629"/>
      <c r="BB29" s="629"/>
      <c r="BC29" s="630"/>
      <c r="BD29" s="482"/>
      <c r="BE29" s="483"/>
      <c r="BF29" s="483"/>
      <c r="BG29" s="483"/>
      <c r="BH29" s="483"/>
      <c r="BI29" s="483"/>
      <c r="BJ29" s="499"/>
    </row>
    <row r="30" spans="1:62" ht="30" customHeight="1">
      <c r="A30" s="616"/>
      <c r="B30" s="588"/>
      <c r="C30" s="589"/>
      <c r="D30" s="487"/>
      <c r="E30" s="488"/>
      <c r="F30" s="488"/>
      <c r="G30" s="488"/>
      <c r="H30" s="488"/>
      <c r="I30" s="488"/>
      <c r="J30" s="488"/>
      <c r="K30" s="488"/>
      <c r="L30" s="488"/>
      <c r="M30" s="488"/>
      <c r="N30" s="488"/>
      <c r="O30" s="488"/>
      <c r="P30" s="489"/>
      <c r="Q30" s="500"/>
      <c r="R30" s="629"/>
      <c r="S30" s="629"/>
      <c r="T30" s="629"/>
      <c r="U30" s="629"/>
      <c r="V30" s="629"/>
      <c r="W30" s="629"/>
      <c r="X30" s="629"/>
      <c r="Y30" s="629"/>
      <c r="Z30" s="629"/>
      <c r="AA30" s="629"/>
      <c r="AB30" s="629"/>
      <c r="AC30" s="629"/>
      <c r="AD30" s="629"/>
      <c r="AE30" s="629"/>
      <c r="AF30" s="629"/>
      <c r="AG30" s="629"/>
      <c r="AH30" s="629"/>
      <c r="AI30" s="629"/>
      <c r="AJ30" s="629"/>
      <c r="AK30" s="629"/>
      <c r="AL30" s="629"/>
      <c r="AM30" s="629"/>
      <c r="AN30" s="629"/>
      <c r="AO30" s="629"/>
      <c r="AP30" s="629"/>
      <c r="AQ30" s="629"/>
      <c r="AR30" s="629"/>
      <c r="AS30" s="629"/>
      <c r="AT30" s="629"/>
      <c r="AU30" s="629"/>
      <c r="AV30" s="629"/>
      <c r="AW30" s="629"/>
      <c r="AX30" s="629"/>
      <c r="AY30" s="629"/>
      <c r="AZ30" s="629"/>
      <c r="BA30" s="629"/>
      <c r="BB30" s="629"/>
      <c r="BC30" s="630"/>
      <c r="BD30" s="482"/>
      <c r="BE30" s="483"/>
      <c r="BF30" s="483"/>
      <c r="BG30" s="483"/>
      <c r="BH30" s="483"/>
      <c r="BI30" s="483"/>
      <c r="BJ30" s="499"/>
    </row>
    <row r="31" spans="1:62" ht="30" customHeight="1">
      <c r="A31" s="616"/>
      <c r="B31" s="588"/>
      <c r="C31" s="589"/>
      <c r="D31" s="487"/>
      <c r="E31" s="488"/>
      <c r="F31" s="488"/>
      <c r="G31" s="488"/>
      <c r="H31" s="488"/>
      <c r="I31" s="488"/>
      <c r="J31" s="488"/>
      <c r="K31" s="488"/>
      <c r="L31" s="488"/>
      <c r="M31" s="488"/>
      <c r="N31" s="488"/>
      <c r="O31" s="488"/>
      <c r="P31" s="489"/>
      <c r="Q31" s="500"/>
      <c r="R31" s="629"/>
      <c r="S31" s="629"/>
      <c r="T31" s="629"/>
      <c r="U31" s="629"/>
      <c r="V31" s="629"/>
      <c r="W31" s="629"/>
      <c r="X31" s="629"/>
      <c r="Y31" s="629"/>
      <c r="Z31" s="629"/>
      <c r="AA31" s="629"/>
      <c r="AB31" s="629"/>
      <c r="AC31" s="629"/>
      <c r="AD31" s="629"/>
      <c r="AE31" s="629"/>
      <c r="AF31" s="629"/>
      <c r="AG31" s="629"/>
      <c r="AH31" s="629"/>
      <c r="AI31" s="629"/>
      <c r="AJ31" s="629"/>
      <c r="AK31" s="629"/>
      <c r="AL31" s="629"/>
      <c r="AM31" s="629"/>
      <c r="AN31" s="629"/>
      <c r="AO31" s="629"/>
      <c r="AP31" s="629"/>
      <c r="AQ31" s="629"/>
      <c r="AR31" s="629"/>
      <c r="AS31" s="629"/>
      <c r="AT31" s="629"/>
      <c r="AU31" s="629"/>
      <c r="AV31" s="629"/>
      <c r="AW31" s="629"/>
      <c r="AX31" s="629"/>
      <c r="AY31" s="629"/>
      <c r="AZ31" s="629"/>
      <c r="BA31" s="629"/>
      <c r="BB31" s="629"/>
      <c r="BC31" s="630"/>
      <c r="BD31" s="482"/>
      <c r="BE31" s="483"/>
      <c r="BF31" s="483"/>
      <c r="BG31" s="483"/>
      <c r="BH31" s="483"/>
      <c r="BI31" s="483"/>
      <c r="BJ31" s="499"/>
    </row>
    <row r="32" spans="1:62" ht="30" customHeight="1">
      <c r="A32" s="616"/>
      <c r="B32" s="588"/>
      <c r="C32" s="589"/>
      <c r="D32" s="487"/>
      <c r="E32" s="488"/>
      <c r="F32" s="488"/>
      <c r="G32" s="488"/>
      <c r="H32" s="488"/>
      <c r="I32" s="488"/>
      <c r="J32" s="488"/>
      <c r="K32" s="488"/>
      <c r="L32" s="488"/>
      <c r="M32" s="488"/>
      <c r="N32" s="488"/>
      <c r="O32" s="488"/>
      <c r="P32" s="489"/>
      <c r="Q32" s="500"/>
      <c r="R32" s="629"/>
      <c r="S32" s="629"/>
      <c r="T32" s="629"/>
      <c r="U32" s="629"/>
      <c r="V32" s="629"/>
      <c r="W32" s="629"/>
      <c r="X32" s="629"/>
      <c r="Y32" s="629"/>
      <c r="Z32" s="629"/>
      <c r="AA32" s="629"/>
      <c r="AB32" s="629"/>
      <c r="AC32" s="629"/>
      <c r="AD32" s="629"/>
      <c r="AE32" s="629"/>
      <c r="AF32" s="629"/>
      <c r="AG32" s="629"/>
      <c r="AH32" s="629"/>
      <c r="AI32" s="629"/>
      <c r="AJ32" s="629"/>
      <c r="AK32" s="629"/>
      <c r="AL32" s="629"/>
      <c r="AM32" s="629"/>
      <c r="AN32" s="629"/>
      <c r="AO32" s="629"/>
      <c r="AP32" s="629"/>
      <c r="AQ32" s="629"/>
      <c r="AR32" s="629"/>
      <c r="AS32" s="629"/>
      <c r="AT32" s="629"/>
      <c r="AU32" s="629"/>
      <c r="AV32" s="629"/>
      <c r="AW32" s="629"/>
      <c r="AX32" s="629"/>
      <c r="AY32" s="629"/>
      <c r="AZ32" s="629"/>
      <c r="BA32" s="629"/>
      <c r="BB32" s="629"/>
      <c r="BC32" s="630"/>
      <c r="BD32" s="482"/>
      <c r="BE32" s="483"/>
      <c r="BF32" s="483"/>
      <c r="BG32" s="483"/>
      <c r="BH32" s="483"/>
      <c r="BI32" s="483"/>
      <c r="BJ32" s="499"/>
    </row>
    <row r="33" spans="1:62" ht="30" customHeight="1">
      <c r="A33" s="616"/>
      <c r="B33" s="588"/>
      <c r="C33" s="589"/>
      <c r="D33" s="487"/>
      <c r="E33" s="488"/>
      <c r="F33" s="488"/>
      <c r="G33" s="488"/>
      <c r="H33" s="488"/>
      <c r="I33" s="488"/>
      <c r="J33" s="488"/>
      <c r="K33" s="488"/>
      <c r="L33" s="488"/>
      <c r="M33" s="488"/>
      <c r="N33" s="488"/>
      <c r="O33" s="488"/>
      <c r="P33" s="489"/>
      <c r="Q33" s="500"/>
      <c r="R33" s="629"/>
      <c r="S33" s="629"/>
      <c r="T33" s="629"/>
      <c r="U33" s="629"/>
      <c r="V33" s="629"/>
      <c r="W33" s="629"/>
      <c r="X33" s="629"/>
      <c r="Y33" s="629"/>
      <c r="Z33" s="629"/>
      <c r="AA33" s="629"/>
      <c r="AB33" s="629"/>
      <c r="AC33" s="629"/>
      <c r="AD33" s="629"/>
      <c r="AE33" s="629"/>
      <c r="AF33" s="629"/>
      <c r="AG33" s="629"/>
      <c r="AH33" s="629"/>
      <c r="AI33" s="629"/>
      <c r="AJ33" s="629"/>
      <c r="AK33" s="629"/>
      <c r="AL33" s="629"/>
      <c r="AM33" s="629"/>
      <c r="AN33" s="629"/>
      <c r="AO33" s="629"/>
      <c r="AP33" s="629"/>
      <c r="AQ33" s="629"/>
      <c r="AR33" s="629"/>
      <c r="AS33" s="629"/>
      <c r="AT33" s="629"/>
      <c r="AU33" s="629"/>
      <c r="AV33" s="629"/>
      <c r="AW33" s="629"/>
      <c r="AX33" s="629"/>
      <c r="AY33" s="629"/>
      <c r="AZ33" s="629"/>
      <c r="BA33" s="629"/>
      <c r="BB33" s="629"/>
      <c r="BC33" s="630"/>
      <c r="BD33" s="482"/>
      <c r="BE33" s="483"/>
      <c r="BF33" s="483"/>
      <c r="BG33" s="483"/>
      <c r="BH33" s="483"/>
      <c r="BI33" s="483"/>
      <c r="BJ33" s="499"/>
    </row>
    <row r="34" spans="1:62" ht="30" customHeight="1">
      <c r="A34" s="616"/>
      <c r="B34" s="588"/>
      <c r="C34" s="589"/>
      <c r="D34" s="487"/>
      <c r="E34" s="488"/>
      <c r="F34" s="488"/>
      <c r="G34" s="488"/>
      <c r="H34" s="488"/>
      <c r="I34" s="488"/>
      <c r="J34" s="488"/>
      <c r="K34" s="488"/>
      <c r="L34" s="488"/>
      <c r="M34" s="488"/>
      <c r="N34" s="488"/>
      <c r="O34" s="488"/>
      <c r="P34" s="489"/>
      <c r="Q34" s="500"/>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29"/>
      <c r="AT34" s="629"/>
      <c r="AU34" s="629"/>
      <c r="AV34" s="629"/>
      <c r="AW34" s="629"/>
      <c r="AX34" s="629"/>
      <c r="AY34" s="629"/>
      <c r="AZ34" s="629"/>
      <c r="BA34" s="629"/>
      <c r="BB34" s="629"/>
      <c r="BC34" s="630"/>
      <c r="BD34" s="482"/>
      <c r="BE34" s="483"/>
      <c r="BF34" s="483"/>
      <c r="BG34" s="483"/>
      <c r="BH34" s="483"/>
      <c r="BI34" s="483"/>
      <c r="BJ34" s="499"/>
    </row>
    <row r="35" spans="1:62" ht="30" customHeight="1">
      <c r="A35" s="616"/>
      <c r="B35" s="588"/>
      <c r="C35" s="589"/>
      <c r="D35" s="487"/>
      <c r="E35" s="488"/>
      <c r="F35" s="488"/>
      <c r="G35" s="488"/>
      <c r="H35" s="488"/>
      <c r="I35" s="488"/>
      <c r="J35" s="488"/>
      <c r="K35" s="488"/>
      <c r="L35" s="488"/>
      <c r="M35" s="488"/>
      <c r="N35" s="488"/>
      <c r="O35" s="488"/>
      <c r="P35" s="489"/>
      <c r="Q35" s="500"/>
      <c r="R35" s="629"/>
      <c r="S35" s="629"/>
      <c r="T35" s="629"/>
      <c r="U35" s="629"/>
      <c r="V35" s="629"/>
      <c r="W35" s="629"/>
      <c r="X35" s="629"/>
      <c r="Y35" s="629"/>
      <c r="Z35" s="629"/>
      <c r="AA35" s="629"/>
      <c r="AB35" s="629"/>
      <c r="AC35" s="629"/>
      <c r="AD35" s="629"/>
      <c r="AE35" s="629"/>
      <c r="AF35" s="629"/>
      <c r="AG35" s="629"/>
      <c r="AH35" s="629"/>
      <c r="AI35" s="629"/>
      <c r="AJ35" s="629"/>
      <c r="AK35" s="629"/>
      <c r="AL35" s="629"/>
      <c r="AM35" s="629"/>
      <c r="AN35" s="629"/>
      <c r="AO35" s="629"/>
      <c r="AP35" s="629"/>
      <c r="AQ35" s="629"/>
      <c r="AR35" s="629"/>
      <c r="AS35" s="629"/>
      <c r="AT35" s="629"/>
      <c r="AU35" s="629"/>
      <c r="AV35" s="629"/>
      <c r="AW35" s="629"/>
      <c r="AX35" s="629"/>
      <c r="AY35" s="629"/>
      <c r="AZ35" s="629"/>
      <c r="BA35" s="629"/>
      <c r="BB35" s="629"/>
      <c r="BC35" s="630"/>
      <c r="BD35" s="482"/>
      <c r="BE35" s="483"/>
      <c r="BF35" s="483"/>
      <c r="BG35" s="483"/>
      <c r="BH35" s="483"/>
      <c r="BI35" s="483"/>
      <c r="BJ35" s="499"/>
    </row>
    <row r="36" spans="1:62" ht="30" customHeight="1">
      <c r="A36" s="616"/>
      <c r="B36" s="588"/>
      <c r="C36" s="589"/>
      <c r="D36" s="487"/>
      <c r="E36" s="488"/>
      <c r="F36" s="488"/>
      <c r="G36" s="488"/>
      <c r="H36" s="488"/>
      <c r="I36" s="488"/>
      <c r="J36" s="488"/>
      <c r="K36" s="488"/>
      <c r="L36" s="488"/>
      <c r="M36" s="488"/>
      <c r="N36" s="488"/>
      <c r="O36" s="488"/>
      <c r="P36" s="489"/>
      <c r="Q36" s="500"/>
      <c r="R36" s="629"/>
      <c r="S36" s="629"/>
      <c r="T36" s="629"/>
      <c r="U36" s="629"/>
      <c r="V36" s="629"/>
      <c r="W36" s="629"/>
      <c r="X36" s="629"/>
      <c r="Y36" s="629"/>
      <c r="Z36" s="629"/>
      <c r="AA36" s="629"/>
      <c r="AB36" s="629"/>
      <c r="AC36" s="629"/>
      <c r="AD36" s="629"/>
      <c r="AE36" s="629"/>
      <c r="AF36" s="629"/>
      <c r="AG36" s="629"/>
      <c r="AH36" s="629"/>
      <c r="AI36" s="629"/>
      <c r="AJ36" s="629"/>
      <c r="AK36" s="629"/>
      <c r="AL36" s="629"/>
      <c r="AM36" s="629"/>
      <c r="AN36" s="629"/>
      <c r="AO36" s="629"/>
      <c r="AP36" s="629"/>
      <c r="AQ36" s="629"/>
      <c r="AR36" s="629"/>
      <c r="AS36" s="629"/>
      <c r="AT36" s="629"/>
      <c r="AU36" s="629"/>
      <c r="AV36" s="629"/>
      <c r="AW36" s="629"/>
      <c r="AX36" s="629"/>
      <c r="AY36" s="629"/>
      <c r="AZ36" s="629"/>
      <c r="BA36" s="629"/>
      <c r="BB36" s="629"/>
      <c r="BC36" s="630"/>
      <c r="BD36" s="482"/>
      <c r="BE36" s="483"/>
      <c r="BF36" s="483"/>
      <c r="BG36" s="483"/>
      <c r="BH36" s="483"/>
      <c r="BI36" s="483"/>
      <c r="BJ36" s="499"/>
    </row>
    <row r="37" spans="1:62" ht="30" customHeight="1">
      <c r="A37" s="616"/>
      <c r="B37" s="588"/>
      <c r="C37" s="589"/>
      <c r="D37" s="487"/>
      <c r="E37" s="488"/>
      <c r="F37" s="488"/>
      <c r="G37" s="488"/>
      <c r="H37" s="488"/>
      <c r="I37" s="488"/>
      <c r="J37" s="488"/>
      <c r="K37" s="488"/>
      <c r="L37" s="488"/>
      <c r="M37" s="488"/>
      <c r="N37" s="488"/>
      <c r="O37" s="488"/>
      <c r="P37" s="489"/>
      <c r="Q37" s="500"/>
      <c r="R37" s="629"/>
      <c r="S37" s="629"/>
      <c r="T37" s="629"/>
      <c r="U37" s="629"/>
      <c r="V37" s="629"/>
      <c r="W37" s="629"/>
      <c r="X37" s="629"/>
      <c r="Y37" s="629"/>
      <c r="Z37" s="629"/>
      <c r="AA37" s="629"/>
      <c r="AB37" s="629"/>
      <c r="AC37" s="629"/>
      <c r="AD37" s="629"/>
      <c r="AE37" s="629"/>
      <c r="AF37" s="629"/>
      <c r="AG37" s="629"/>
      <c r="AH37" s="629"/>
      <c r="AI37" s="629"/>
      <c r="AJ37" s="629"/>
      <c r="AK37" s="629"/>
      <c r="AL37" s="629"/>
      <c r="AM37" s="629"/>
      <c r="AN37" s="629"/>
      <c r="AO37" s="629"/>
      <c r="AP37" s="629"/>
      <c r="AQ37" s="629"/>
      <c r="AR37" s="629"/>
      <c r="AS37" s="629"/>
      <c r="AT37" s="629"/>
      <c r="AU37" s="629"/>
      <c r="AV37" s="629"/>
      <c r="AW37" s="629"/>
      <c r="AX37" s="629"/>
      <c r="AY37" s="629"/>
      <c r="AZ37" s="629"/>
      <c r="BA37" s="629"/>
      <c r="BB37" s="629"/>
      <c r="BC37" s="630"/>
      <c r="BD37" s="482"/>
      <c r="BE37" s="483"/>
      <c r="BF37" s="483"/>
      <c r="BG37" s="483"/>
      <c r="BH37" s="483"/>
      <c r="BI37" s="483"/>
      <c r="BJ37" s="499"/>
    </row>
    <row r="38" spans="1:62" ht="30" customHeight="1">
      <c r="A38" s="616"/>
      <c r="B38" s="588"/>
      <c r="C38" s="589"/>
      <c r="D38" s="487"/>
      <c r="E38" s="488"/>
      <c r="F38" s="488"/>
      <c r="G38" s="488"/>
      <c r="H38" s="488"/>
      <c r="I38" s="488"/>
      <c r="J38" s="488"/>
      <c r="K38" s="488"/>
      <c r="L38" s="488"/>
      <c r="M38" s="488"/>
      <c r="N38" s="488"/>
      <c r="O38" s="488"/>
      <c r="P38" s="489"/>
      <c r="Q38" s="500"/>
      <c r="R38" s="629"/>
      <c r="S38" s="629"/>
      <c r="T38" s="629"/>
      <c r="U38" s="629"/>
      <c r="V38" s="629"/>
      <c r="W38" s="629"/>
      <c r="X38" s="629"/>
      <c r="Y38" s="629"/>
      <c r="Z38" s="629"/>
      <c r="AA38" s="629"/>
      <c r="AB38" s="629"/>
      <c r="AC38" s="629"/>
      <c r="AD38" s="629"/>
      <c r="AE38" s="629"/>
      <c r="AF38" s="629"/>
      <c r="AG38" s="629"/>
      <c r="AH38" s="629"/>
      <c r="AI38" s="629"/>
      <c r="AJ38" s="629"/>
      <c r="AK38" s="629"/>
      <c r="AL38" s="629"/>
      <c r="AM38" s="629"/>
      <c r="AN38" s="629"/>
      <c r="AO38" s="629"/>
      <c r="AP38" s="629"/>
      <c r="AQ38" s="629"/>
      <c r="AR38" s="629"/>
      <c r="AS38" s="629"/>
      <c r="AT38" s="629"/>
      <c r="AU38" s="629"/>
      <c r="AV38" s="629"/>
      <c r="AW38" s="629"/>
      <c r="AX38" s="629"/>
      <c r="AY38" s="629"/>
      <c r="AZ38" s="629"/>
      <c r="BA38" s="629"/>
      <c r="BB38" s="629"/>
      <c r="BC38" s="630"/>
      <c r="BD38" s="482"/>
      <c r="BE38" s="483"/>
      <c r="BF38" s="483"/>
      <c r="BG38" s="483"/>
      <c r="BH38" s="483"/>
      <c r="BI38" s="483"/>
      <c r="BJ38" s="499"/>
    </row>
    <row r="39" spans="1:62" ht="30" customHeight="1">
      <c r="A39" s="616"/>
      <c r="B39" s="588"/>
      <c r="C39" s="589"/>
      <c r="D39" s="487"/>
      <c r="E39" s="488"/>
      <c r="F39" s="488"/>
      <c r="G39" s="488"/>
      <c r="H39" s="488"/>
      <c r="I39" s="488"/>
      <c r="J39" s="488"/>
      <c r="K39" s="488"/>
      <c r="L39" s="488"/>
      <c r="M39" s="488"/>
      <c r="N39" s="488"/>
      <c r="O39" s="488"/>
      <c r="P39" s="489"/>
      <c r="Q39" s="500"/>
      <c r="R39" s="629"/>
      <c r="S39" s="629"/>
      <c r="T39" s="629"/>
      <c r="U39" s="629"/>
      <c r="V39" s="629"/>
      <c r="W39" s="629"/>
      <c r="X39" s="629"/>
      <c r="Y39" s="629"/>
      <c r="Z39" s="629"/>
      <c r="AA39" s="629"/>
      <c r="AB39" s="629"/>
      <c r="AC39" s="629"/>
      <c r="AD39" s="629"/>
      <c r="AE39" s="629"/>
      <c r="AF39" s="629"/>
      <c r="AG39" s="629"/>
      <c r="AH39" s="629"/>
      <c r="AI39" s="629"/>
      <c r="AJ39" s="629"/>
      <c r="AK39" s="629"/>
      <c r="AL39" s="629"/>
      <c r="AM39" s="629"/>
      <c r="AN39" s="629"/>
      <c r="AO39" s="629"/>
      <c r="AP39" s="629"/>
      <c r="AQ39" s="629"/>
      <c r="AR39" s="629"/>
      <c r="AS39" s="629"/>
      <c r="AT39" s="629"/>
      <c r="AU39" s="629"/>
      <c r="AV39" s="629"/>
      <c r="AW39" s="629"/>
      <c r="AX39" s="629"/>
      <c r="AY39" s="629"/>
      <c r="AZ39" s="629"/>
      <c r="BA39" s="629"/>
      <c r="BB39" s="629"/>
      <c r="BC39" s="630"/>
      <c r="BD39" s="482"/>
      <c r="BE39" s="483"/>
      <c r="BF39" s="483"/>
      <c r="BG39" s="483"/>
      <c r="BH39" s="483"/>
      <c r="BI39" s="483"/>
      <c r="BJ39" s="499"/>
    </row>
    <row r="40" spans="1:62" ht="30" customHeight="1">
      <c r="A40" s="610"/>
      <c r="B40" s="611"/>
      <c r="C40" s="612"/>
      <c r="D40" s="613"/>
      <c r="E40" s="614"/>
      <c r="F40" s="614"/>
      <c r="G40" s="614"/>
      <c r="H40" s="614"/>
      <c r="I40" s="614"/>
      <c r="J40" s="614"/>
      <c r="K40" s="614"/>
      <c r="L40" s="614"/>
      <c r="M40" s="614"/>
      <c r="N40" s="614"/>
      <c r="O40" s="614"/>
      <c r="P40" s="615"/>
      <c r="Q40" s="626"/>
      <c r="R40" s="627"/>
      <c r="S40" s="627"/>
      <c r="T40" s="627"/>
      <c r="U40" s="627"/>
      <c r="V40" s="627"/>
      <c r="W40" s="627"/>
      <c r="X40" s="627"/>
      <c r="Y40" s="627"/>
      <c r="Z40" s="627"/>
      <c r="AA40" s="627"/>
      <c r="AB40" s="627"/>
      <c r="AC40" s="627"/>
      <c r="AD40" s="627"/>
      <c r="AE40" s="627"/>
      <c r="AF40" s="627"/>
      <c r="AG40" s="627"/>
      <c r="AH40" s="627"/>
      <c r="AI40" s="627"/>
      <c r="AJ40" s="627"/>
      <c r="AK40" s="627"/>
      <c r="AL40" s="627"/>
      <c r="AM40" s="627"/>
      <c r="AN40" s="627"/>
      <c r="AO40" s="627"/>
      <c r="AP40" s="627"/>
      <c r="AQ40" s="627"/>
      <c r="AR40" s="627"/>
      <c r="AS40" s="627"/>
      <c r="AT40" s="627"/>
      <c r="AU40" s="627"/>
      <c r="AV40" s="627"/>
      <c r="AW40" s="627"/>
      <c r="AX40" s="627"/>
      <c r="AY40" s="627"/>
      <c r="AZ40" s="627"/>
      <c r="BA40" s="627"/>
      <c r="BB40" s="627"/>
      <c r="BC40" s="628"/>
      <c r="BD40" s="563"/>
      <c r="BE40" s="564"/>
      <c r="BF40" s="564"/>
      <c r="BG40" s="564"/>
      <c r="BH40" s="564"/>
      <c r="BI40" s="564"/>
      <c r="BJ40" s="565"/>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3"/>
  <sheetViews>
    <sheetView view="pageBreakPreview" zoomScaleNormal="100" zoomScaleSheetLayoutView="100" workbookViewId="0"/>
  </sheetViews>
  <sheetFormatPr defaultColWidth="1.875" defaultRowHeight="14.25"/>
  <cols>
    <col min="1" max="62" width="2.125" style="21" customWidth="1"/>
    <col min="63" max="63" width="2.875" style="21" customWidth="1"/>
    <col min="64" max="73" width="2.125" style="21" customWidth="1"/>
    <col min="74" max="16384" width="1.875" style="21"/>
  </cols>
  <sheetData>
    <row r="1" spans="1:62" s="27" customFormat="1" ht="18" customHeight="1">
      <c r="A1" s="27" t="s">
        <v>0</v>
      </c>
      <c r="BJ1" s="28" t="s">
        <v>1</v>
      </c>
    </row>
    <row r="2" spans="1:62" s="29" customFormat="1" ht="18" customHeight="1">
      <c r="A2" s="371" t="s">
        <v>117</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3"/>
      <c r="AV2" s="356" t="s">
        <v>3</v>
      </c>
      <c r="AW2" s="357"/>
      <c r="AX2" s="357"/>
      <c r="AY2" s="358"/>
      <c r="AZ2" s="356" t="s">
        <v>118</v>
      </c>
      <c r="BA2" s="357"/>
      <c r="BB2" s="357"/>
      <c r="BC2" s="358"/>
      <c r="BD2" s="366" t="s">
        <v>5</v>
      </c>
      <c r="BE2" s="367"/>
      <c r="BF2" s="367"/>
      <c r="BG2" s="368"/>
      <c r="BH2" s="367"/>
      <c r="BI2" s="367"/>
      <c r="BJ2" s="368"/>
    </row>
    <row r="3" spans="1:62" s="15" customFormat="1" ht="21" customHeight="1">
      <c r="A3" s="356" t="s">
        <v>6</v>
      </c>
      <c r="B3" s="357"/>
      <c r="C3" s="357"/>
      <c r="D3" s="357"/>
      <c r="E3" s="357"/>
      <c r="F3" s="357"/>
      <c r="G3" s="358"/>
      <c r="H3" s="359" t="s">
        <v>302</v>
      </c>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1"/>
      <c r="AV3" s="356" t="s">
        <v>7</v>
      </c>
      <c r="AW3" s="357"/>
      <c r="AX3" s="357"/>
      <c r="AY3" s="358"/>
      <c r="AZ3" s="583">
        <v>45898</v>
      </c>
      <c r="BA3" s="357"/>
      <c r="BB3" s="357"/>
      <c r="BC3" s="357"/>
      <c r="BD3" s="357"/>
      <c r="BE3" s="357"/>
      <c r="BF3" s="357"/>
      <c r="BG3" s="357"/>
      <c r="BH3" s="357"/>
      <c r="BI3" s="357"/>
      <c r="BJ3" s="358"/>
    </row>
    <row r="4" spans="1:62" s="15" customFormat="1" ht="21" customHeight="1">
      <c r="A4" s="356" t="s">
        <v>102</v>
      </c>
      <c r="B4" s="357"/>
      <c r="C4" s="357"/>
      <c r="D4" s="357"/>
      <c r="E4" s="357"/>
      <c r="F4" s="357"/>
      <c r="G4" s="358"/>
      <c r="H4" s="359" t="str">
        <f>変更履歴!H4</f>
        <v>共計</v>
      </c>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c r="AQ4" s="377"/>
      <c r="AR4" s="377"/>
      <c r="AS4" s="377"/>
      <c r="AT4" s="377"/>
      <c r="AU4" s="378"/>
      <c r="AV4" s="356" t="s">
        <v>10</v>
      </c>
      <c r="AW4" s="357"/>
      <c r="AX4" s="357"/>
      <c r="AY4" s="358"/>
      <c r="AZ4" s="356"/>
      <c r="BA4" s="357"/>
      <c r="BB4" s="357"/>
      <c r="BC4" s="357"/>
      <c r="BD4" s="357"/>
      <c r="BE4" s="357"/>
      <c r="BF4" s="357"/>
      <c r="BG4" s="357"/>
      <c r="BH4" s="357"/>
      <c r="BI4" s="357"/>
      <c r="BJ4" s="358"/>
    </row>
    <row r="5" spans="1:62" s="30" customFormat="1" ht="4.5" customHeight="1"/>
    <row r="6" spans="1:62" ht="30.75" customHeight="1">
      <c r="A6" s="366" t="s">
        <v>19</v>
      </c>
      <c r="B6" s="367"/>
      <c r="C6" s="367"/>
      <c r="D6" s="367"/>
      <c r="E6" s="367"/>
      <c r="F6" s="367"/>
      <c r="G6" s="368"/>
      <c r="H6" s="722" t="s">
        <v>20</v>
      </c>
      <c r="I6" s="723"/>
      <c r="J6" s="723"/>
      <c r="K6" s="723"/>
      <c r="L6" s="723"/>
      <c r="M6" s="723"/>
      <c r="N6" s="724"/>
      <c r="O6" s="366" t="s">
        <v>11</v>
      </c>
      <c r="P6" s="367"/>
      <c r="Q6" s="367"/>
      <c r="R6" s="367"/>
      <c r="S6" s="367"/>
      <c r="T6" s="367"/>
      <c r="U6" s="368"/>
      <c r="V6" s="537" t="str">
        <f>変更履歴!H6</f>
        <v>販売共計年産繰越入力</v>
      </c>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row>
    <row r="7" spans="1:62" s="50" customFormat="1" ht="9" customHeight="1"/>
    <row r="8" spans="1:62" ht="22.5" customHeight="1">
      <c r="A8" s="55"/>
      <c r="B8" s="56" t="s">
        <v>119</v>
      </c>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7"/>
    </row>
    <row r="9" spans="1:62" ht="30" customHeight="1">
      <c r="A9" s="34"/>
      <c r="BJ9" s="37"/>
    </row>
    <row r="10" spans="1:62" ht="30.6" customHeight="1">
      <c r="A10" s="34"/>
      <c r="C10" s="51" t="s">
        <v>422</v>
      </c>
      <c r="BJ10" s="37"/>
    </row>
    <row r="11" spans="1:62" ht="30.75" customHeight="1">
      <c r="A11" s="34"/>
      <c r="C11" s="51" t="s">
        <v>423</v>
      </c>
      <c r="D11" s="51"/>
      <c r="E11" s="96"/>
      <c r="F11" s="96"/>
      <c r="BJ11" s="37"/>
    </row>
    <row r="12" spans="1:62" ht="30.75" customHeight="1">
      <c r="A12" s="34"/>
      <c r="E12" s="96" t="s">
        <v>424</v>
      </c>
      <c r="F12" s="96"/>
      <c r="BJ12" s="37"/>
    </row>
    <row r="13" spans="1:62" ht="30.75" customHeight="1">
      <c r="A13" s="34"/>
      <c r="D13" s="51" t="s">
        <v>425</v>
      </c>
      <c r="E13" s="96"/>
      <c r="F13" s="96"/>
      <c r="BJ13" s="37"/>
    </row>
    <row r="14" spans="1:62" ht="30.75" customHeight="1">
      <c r="A14" s="34"/>
      <c r="D14" s="51"/>
      <c r="E14" s="96" t="s">
        <v>426</v>
      </c>
      <c r="F14" s="96"/>
      <c r="BJ14" s="37"/>
    </row>
    <row r="15" spans="1:62" ht="30.75" customHeight="1">
      <c r="A15" s="34"/>
      <c r="BJ15" s="37"/>
    </row>
    <row r="16" spans="1:62" ht="30.75" customHeight="1">
      <c r="A16" s="34"/>
      <c r="C16" s="51" t="s">
        <v>427</v>
      </c>
      <c r="D16" s="51"/>
      <c r="E16" s="96"/>
      <c r="F16" s="96"/>
      <c r="BJ16" s="37"/>
    </row>
    <row r="17" spans="1:62" ht="30.75" customHeight="1">
      <c r="A17" s="34"/>
      <c r="E17" s="96" t="s">
        <v>428</v>
      </c>
      <c r="F17" s="96"/>
      <c r="BJ17" s="37"/>
    </row>
    <row r="18" spans="1:62" ht="30.75" customHeight="1">
      <c r="A18" s="34"/>
      <c r="D18" s="51" t="s">
        <v>425</v>
      </c>
      <c r="E18" s="96"/>
      <c r="F18" s="96"/>
      <c r="BJ18" s="37"/>
    </row>
    <row r="19" spans="1:62" ht="30.75" customHeight="1">
      <c r="A19" s="34"/>
      <c r="E19" s="96" t="s">
        <v>429</v>
      </c>
      <c r="F19" s="96"/>
      <c r="BJ19" s="37"/>
    </row>
    <row r="20" spans="1:62" ht="30.75" customHeight="1">
      <c r="A20" s="34"/>
      <c r="BJ20" s="37"/>
    </row>
    <row r="21" spans="1:62" ht="30.75" customHeight="1">
      <c r="A21" s="34"/>
      <c r="C21" s="51" t="s">
        <v>430</v>
      </c>
      <c r="D21" s="51"/>
      <c r="E21" s="96"/>
      <c r="F21" s="96"/>
      <c r="BJ21" s="37"/>
    </row>
    <row r="22" spans="1:62" ht="30.75" customHeight="1">
      <c r="A22" s="34"/>
      <c r="D22" s="51" t="s">
        <v>431</v>
      </c>
      <c r="E22" s="51"/>
      <c r="F22" s="51"/>
      <c r="BJ22" s="37"/>
    </row>
    <row r="23" spans="1:62" ht="30.75" customHeight="1">
      <c r="A23" s="34"/>
      <c r="D23" s="27"/>
      <c r="E23" s="49" t="s">
        <v>432</v>
      </c>
      <c r="F23" s="49"/>
      <c r="BJ23" s="37"/>
    </row>
    <row r="24" spans="1:62" ht="30.75" customHeight="1">
      <c r="A24" s="34"/>
      <c r="D24" s="27"/>
      <c r="E24" s="49" t="s">
        <v>433</v>
      </c>
      <c r="F24" s="49"/>
      <c r="BJ24" s="37"/>
    </row>
    <row r="25" spans="1:62" ht="30.75" customHeight="1">
      <c r="A25" s="34"/>
      <c r="D25" s="27"/>
      <c r="E25" s="27"/>
      <c r="F25" s="51" t="s">
        <v>434</v>
      </c>
      <c r="BJ25" s="37"/>
    </row>
    <row r="26" spans="1:62" ht="30.75" customHeight="1">
      <c r="A26" s="34"/>
      <c r="C26" s="51"/>
      <c r="D26" s="51" t="s">
        <v>435</v>
      </c>
      <c r="E26" s="51"/>
      <c r="F26" s="51"/>
      <c r="BJ26" s="37"/>
    </row>
    <row r="27" spans="1:62" ht="30.75" customHeight="1">
      <c r="A27" s="34"/>
      <c r="D27" s="27"/>
      <c r="E27" s="355" t="s">
        <v>436</v>
      </c>
      <c r="F27" s="355"/>
      <c r="BJ27" s="37"/>
    </row>
    <row r="28" spans="1:62" ht="30.75" customHeight="1">
      <c r="A28" s="34"/>
      <c r="D28" s="51" t="s">
        <v>425</v>
      </c>
      <c r="E28" s="96"/>
      <c r="F28" s="96"/>
      <c r="BJ28" s="37"/>
    </row>
    <row r="29" spans="1:62" ht="30.75" customHeight="1">
      <c r="A29" s="34"/>
      <c r="D29" s="51"/>
      <c r="E29" s="96" t="s">
        <v>437</v>
      </c>
      <c r="F29" s="96"/>
      <c r="BJ29" s="37"/>
    </row>
    <row r="30" spans="1:62" ht="30.75" customHeight="1">
      <c r="A30" s="34"/>
      <c r="BJ30" s="37"/>
    </row>
    <row r="31" spans="1:62" ht="30.75" customHeight="1">
      <c r="A31" s="34"/>
      <c r="C31" s="51" t="s">
        <v>438</v>
      </c>
      <c r="D31" s="51"/>
      <c r="E31" s="51"/>
      <c r="F31" s="51"/>
      <c r="BJ31" s="37"/>
    </row>
    <row r="32" spans="1:62" ht="30.75" customHeight="1">
      <c r="A32" s="34"/>
      <c r="C32" s="51"/>
      <c r="D32" s="51" t="s">
        <v>431</v>
      </c>
      <c r="E32" s="51"/>
      <c r="F32" s="51"/>
      <c r="BJ32" s="37"/>
    </row>
    <row r="33" spans="1:62" ht="30.75" customHeight="1">
      <c r="A33" s="34"/>
      <c r="C33" s="49"/>
      <c r="D33" s="27"/>
      <c r="E33" s="49" t="s">
        <v>439</v>
      </c>
      <c r="F33" s="49"/>
      <c r="BJ33" s="37"/>
    </row>
    <row r="34" spans="1:62" ht="30.75" customHeight="1">
      <c r="A34" s="34"/>
      <c r="C34" s="49"/>
      <c r="D34" s="27"/>
      <c r="E34" s="49" t="s">
        <v>440</v>
      </c>
      <c r="F34" s="49"/>
      <c r="BJ34" s="37"/>
    </row>
    <row r="35" spans="1:62" ht="30.75" customHeight="1">
      <c r="A35" s="34"/>
      <c r="C35" s="49"/>
      <c r="D35" s="27"/>
      <c r="E35" s="27"/>
      <c r="F35" s="51" t="s">
        <v>434</v>
      </c>
      <c r="BJ35" s="37"/>
    </row>
    <row r="36" spans="1:62" ht="30.75" customHeight="1">
      <c r="A36" s="34"/>
      <c r="C36" s="51"/>
      <c r="D36" s="51" t="s">
        <v>435</v>
      </c>
      <c r="E36" s="51"/>
      <c r="F36" s="51"/>
      <c r="BJ36" s="37"/>
    </row>
    <row r="37" spans="1:62" ht="30.75" customHeight="1">
      <c r="A37" s="34"/>
      <c r="C37" s="51"/>
      <c r="D37" s="27"/>
      <c r="E37" s="49" t="s">
        <v>439</v>
      </c>
      <c r="F37" s="355"/>
      <c r="BJ37" s="37"/>
    </row>
    <row r="38" spans="1:62" ht="30.75" customHeight="1">
      <c r="A38" s="34"/>
      <c r="C38" s="51"/>
      <c r="D38" s="51" t="s">
        <v>425</v>
      </c>
      <c r="E38" s="96"/>
      <c r="F38" s="96"/>
      <c r="BJ38" s="37"/>
    </row>
    <row r="39" spans="1:62" ht="30.75" customHeight="1">
      <c r="A39" s="34"/>
      <c r="C39" s="27"/>
      <c r="D39" s="51"/>
      <c r="E39" s="96" t="s">
        <v>441</v>
      </c>
      <c r="F39" s="96"/>
      <c r="BJ39" s="37"/>
    </row>
    <row r="40" spans="1:62" ht="30" customHeight="1">
      <c r="A40" s="34"/>
      <c r="BJ40" s="37"/>
    </row>
    <row r="41" spans="1:62" ht="30" customHeight="1">
      <c r="A41" s="34"/>
      <c r="BJ41" s="37"/>
    </row>
    <row r="42" spans="1:62" ht="30" customHeight="1">
      <c r="A42" s="38"/>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40"/>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5"/>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purl.org/dc/dcmitype/"/>
    <ds:schemaRef ds:uri="4a1f72ec-30b8-4383-892a-fcacdd251f13"/>
    <ds:schemaRef ds:uri="http://schemas.microsoft.com/office/2006/documentManagement/types"/>
    <ds:schemaRef ds:uri="http://schemas.microsoft.com/office/infopath/2007/PartnerControls"/>
    <ds:schemaRef ds:uri="b9cc7365-e218-4624-aedb-0a55e821af1f"/>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E46C6755-857C-4378-9FC1-52BBB86AF7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2.レイアウト（条件入力) </vt:lpstr>
      <vt:lpstr>3.項目説明(条件入力)</vt:lpstr>
      <vt:lpstr>4.項目チェック（単体）_条件入力</vt:lpstr>
      <vt:lpstr>5.項目チェック（関連）_条件入力 </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'2.レイアウト（条件入力) '!Print_Area</vt:lpstr>
      <vt:lpstr>'2.レイアウト（入力)'!Print_Area</vt:lpstr>
      <vt:lpstr>'3.項目説明(確認)'!Print_Area</vt:lpstr>
      <vt:lpstr>'3.項目説明(条件入力)'!Print_Area</vt:lpstr>
      <vt:lpstr>'3.項目説明(入力)'!Print_Area</vt:lpstr>
      <vt:lpstr>'4.項目チェック（単体）_確認'!Print_Area</vt:lpstr>
      <vt:lpstr>'4.項目チェック（単体）_条件入力'!Print_Area</vt:lpstr>
      <vt:lpstr>'4.項目チェック（単体）_入力'!Print_Area</vt:lpstr>
      <vt:lpstr>'5.項目チェック（関連）_確認'!Print_Area</vt:lpstr>
      <vt:lpstr>'5.項目チェック（関連）_条件入力 '!Print_Area</vt:lpstr>
      <vt:lpstr>'5.項目チェック（関連）_入力'!Print_Area</vt:lpstr>
      <vt:lpstr>'6．画面機能補足説明'!Print_Area</vt:lpstr>
      <vt:lpstr>変更履歴!Print_Area</vt:lpstr>
      <vt:lpstr>'3.項目説明(確認)'!Print_Titles</vt:lpstr>
      <vt:lpstr>'3.項目説明(条件入力)'!Print_Titles</vt:lpstr>
      <vt:lpstr>'3.項目説明(入力)'!Print_Titles</vt:lpstr>
      <vt:lpstr>'4.項目チェック（単体）_確認'!Print_Titles</vt:lpstr>
      <vt:lpstr>'4.項目チェック（単体）_条件入力'!Print_Titles</vt:lpstr>
      <vt:lpstr>'4.項目チェック（単体）_入力'!Print_Titles</vt:lpstr>
      <vt:lpstr>'5.項目チェック（関連）_確認'!Print_Titles</vt:lpstr>
      <vt:lpstr>'5.項目チェック（関連）_条件入力 '!Print_Titles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2025-08-26T09:26:11Z</cp:lastPrinted>
  <dcterms:created xsi:type="dcterms:W3CDTF">2001-03-06T02:20:07Z</dcterms:created>
  <dcterms:modified xsi:type="dcterms:W3CDTF">2025-09-05T03:51:30Z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