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9.共計\9.2.金利計算\"/>
    </mc:Choice>
  </mc:AlternateContent>
  <xr:revisionPtr revIDLastSave="0" documentId="13_ncr:1_{B1887D16-8CCD-471E-BA48-5EA8BCACB1A3}" xr6:coauthVersionLast="47" xr6:coauthVersionMax="47" xr10:uidLastSave="{00000000-0000-0000-0000-000000000000}"/>
  <bookViews>
    <workbookView xWindow="28680" yWindow="-1680" windowWidth="29040" windowHeight="15720" tabRatio="787" xr2:uid="{E0550A51-CA67-4D69-8DBF-F3925494E255}"/>
  </bookViews>
  <sheets>
    <sheet name="変更履歴" sheetId="43" r:id="rId1"/>
    <sheet name="1.遷移図" sheetId="42" r:id="rId2"/>
    <sheet name="2.レイアウト_一覧表示" sheetId="60" r:id="rId3"/>
    <sheet name="3.項目説明_一覧表示" sheetId="25" r:id="rId4"/>
    <sheet name="4.項目チェック（単体）_一覧表示" sheetId="48" r:id="rId5"/>
    <sheet name="5.項目チェック（関連）_一覧表示" sheetId="38" r:id="rId6"/>
    <sheet name="2.レイアウト_作成" sheetId="61" r:id="rId7"/>
    <sheet name="3.項目説明_作成" sheetId="56" r:id="rId8"/>
    <sheet name="4.項目チェック（単体）_作成" sheetId="58" r:id="rId9"/>
    <sheet name="5.項目チェック（関連）_作成" sheetId="59" r:id="rId10"/>
    <sheet name="2.レイアウト_確認" sheetId="62" r:id="rId11"/>
    <sheet name="3.項目説明_確認" sheetId="63" r:id="rId12"/>
    <sheet name="4.項目チェック（単体）_確認" sheetId="65" r:id="rId13"/>
    <sheet name="5.項目チェック（関連）_確認" sheetId="64" r:id="rId14"/>
    <sheet name="6．画面機能補足説明" sheetId="44" r:id="rId15"/>
  </sheets>
  <definedNames>
    <definedName name="_xlnm.Print_Area" localSheetId="1">'1.遷移図'!$A$1:$CQ$42</definedName>
    <definedName name="_xlnm.Print_Area" localSheetId="2">'2.レイアウト_一覧表示'!$A$1:$CG$109</definedName>
    <definedName name="_xlnm.Print_Area" localSheetId="10">'2.レイアウト_確認'!$A$1:$CG$108</definedName>
    <definedName name="_xlnm.Print_Area" localSheetId="6">'2.レイアウト_作成'!$A$1:$CG$230</definedName>
    <definedName name="_xlnm.Print_Area" localSheetId="3">'3.項目説明_一覧表示'!$A$1:$BJ$50</definedName>
    <definedName name="_xlnm.Print_Area" localSheetId="11">'3.項目説明_確認'!$A$1:$BJ$60</definedName>
    <definedName name="_xlnm.Print_Area" localSheetId="7">'3.項目説明_作成'!$A$1:$BJ$61</definedName>
    <definedName name="_xlnm.Print_Area" localSheetId="4">'4.項目チェック（単体）_一覧表示'!$A$1:$BJ$23</definedName>
    <definedName name="_xlnm.Print_Area" localSheetId="12">'4.項目チェック（単体）_確認'!$A$1:$BJ$43</definedName>
    <definedName name="_xlnm.Print_Area" localSheetId="8">'4.項目チェック（単体）_作成'!$A$1:$BJ$33</definedName>
    <definedName name="_xlnm.Print_Area" localSheetId="5">'5.項目チェック（関連）_一覧表示'!$A$1:$BJ$34</definedName>
    <definedName name="_xlnm.Print_Area" localSheetId="13">'5.項目チェック（関連）_確認'!$A$1:$BJ$42</definedName>
    <definedName name="_xlnm.Print_Area" localSheetId="9">'5.項目チェック（関連）_作成'!$A$1:$BJ$39</definedName>
    <definedName name="_xlnm.Print_Area" localSheetId="14">'6．画面機能補足説明'!$A$1:$BJ$42</definedName>
    <definedName name="_xlnm.Print_Area" localSheetId="0">変更履歴!$A$1:$BJ$63</definedName>
    <definedName name="_xlnm.Print_Titles" localSheetId="3">'3.項目説明_一覧表示'!$1:$17</definedName>
    <definedName name="_xlnm.Print_Titles" localSheetId="11">'3.項目説明_確認'!$1:$14</definedName>
    <definedName name="_xlnm.Print_Titles" localSheetId="7">'3.項目説明_作成'!$1:$14</definedName>
    <definedName name="_xlnm.Print_Titles" localSheetId="4">'4.項目チェック（単体）_一覧表示'!$1:$8</definedName>
    <definedName name="_xlnm.Print_Titles" localSheetId="12">'4.項目チェック（単体）_確認'!$1:$8</definedName>
    <definedName name="_xlnm.Print_Titles" localSheetId="8">'4.項目チェック（単体）_作成'!$1:$8</definedName>
    <definedName name="_xlnm.Print_Titles" localSheetId="5">'5.項目チェック（関連）_一覧表示'!$1:$8</definedName>
    <definedName name="_xlnm.Print_Titles" localSheetId="13">'5.項目チェック（関連）_確認'!$1:$8</definedName>
    <definedName name="_xlnm.Print_Titles" localSheetId="9">'5.項目チェック（関連）_作成'!$1:$8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25" l="1"/>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21" i="38" l="1"/>
  <c r="A13" i="38" l="1"/>
  <c r="A12" i="38"/>
  <c r="A11" i="38"/>
  <c r="A28" i="38"/>
  <c r="A29" i="38"/>
  <c r="A30" i="38"/>
  <c r="A15" i="38" l="1"/>
  <c r="A16" i="38"/>
  <c r="A17" i="38"/>
  <c r="A18" i="38"/>
  <c r="A19" i="38"/>
  <c r="A20" i="38"/>
  <c r="A22" i="38"/>
  <c r="A23" i="38"/>
  <c r="A24" i="38"/>
  <c r="A25" i="38"/>
  <c r="A26" i="38"/>
  <c r="A27" i="38"/>
  <c r="A25" i="58"/>
  <c r="A26" i="58"/>
  <c r="A27" i="58"/>
  <c r="A10" i="48"/>
  <c r="A11" i="48"/>
  <c r="A12" i="48"/>
  <c r="A13" i="48"/>
  <c r="A14" i="48"/>
  <c r="A15" i="48"/>
  <c r="A58" i="63"/>
  <c r="A57" i="63"/>
  <c r="A56" i="63"/>
  <c r="A55" i="63"/>
  <c r="A54" i="63"/>
  <c r="A53" i="63"/>
  <c r="A52" i="63"/>
  <c r="A51" i="63"/>
  <c r="A59" i="56"/>
  <c r="A58" i="56"/>
  <c r="A57" i="56"/>
  <c r="A56" i="56"/>
  <c r="A55" i="56"/>
  <c r="A54" i="56"/>
  <c r="A53" i="56"/>
  <c r="A52" i="56"/>
  <c r="A13" i="58"/>
  <c r="A14" i="58"/>
  <c r="A22" i="58" l="1"/>
  <c r="A19" i="58"/>
  <c r="A23" i="58"/>
  <c r="A20" i="58"/>
  <c r="A11" i="58"/>
  <c r="A14" i="38" l="1"/>
  <c r="H6" i="65" l="1"/>
  <c r="A10" i="58"/>
  <c r="A9" i="58"/>
  <c r="A16" i="63"/>
  <c r="A16" i="56"/>
  <c r="H6" i="64"/>
  <c r="A18" i="58"/>
  <c r="A15" i="58"/>
  <c r="A24" i="58"/>
  <c r="A21" i="58"/>
  <c r="A17" i="58"/>
  <c r="A16" i="58"/>
  <c r="A35" i="63"/>
  <c r="A34" i="63"/>
  <c r="A33" i="63"/>
  <c r="A32" i="63"/>
  <c r="A31" i="63"/>
  <c r="A30" i="63"/>
  <c r="A29" i="63"/>
  <c r="A28" i="63"/>
  <c r="A27" i="63"/>
  <c r="A26" i="63"/>
  <c r="A27" i="56"/>
  <c r="A28" i="56"/>
  <c r="A29" i="56"/>
  <c r="A30" i="56"/>
  <c r="A31" i="56"/>
  <c r="A32" i="56"/>
  <c r="A33" i="56"/>
  <c r="A34" i="56"/>
  <c r="A35" i="56"/>
  <c r="A36" i="56"/>
  <c r="A15" i="56"/>
  <c r="A19" i="56"/>
  <c r="A18" i="56"/>
  <c r="A17" i="56"/>
  <c r="A19" i="63"/>
  <c r="A18" i="63"/>
  <c r="A17" i="63"/>
  <c r="A50" i="63"/>
  <c r="A49" i="63"/>
  <c r="A48" i="63"/>
  <c r="A47" i="63"/>
  <c r="A46" i="63"/>
  <c r="A45" i="63"/>
  <c r="A44" i="63"/>
  <c r="A43" i="63"/>
  <c r="A42" i="63"/>
  <c r="A41" i="63"/>
  <c r="A40" i="63"/>
  <c r="A39" i="63"/>
  <c r="A38" i="63"/>
  <c r="A37" i="63"/>
  <c r="A36" i="63"/>
  <c r="A25" i="63"/>
  <c r="A24" i="63"/>
  <c r="A23" i="63"/>
  <c r="A22" i="63"/>
  <c r="A21" i="63"/>
  <c r="A20" i="63"/>
  <c r="A15" i="63"/>
  <c r="H6" i="63"/>
  <c r="AZ37" i="62"/>
  <c r="AZ35" i="62" s="1"/>
  <c r="V37" i="62"/>
  <c r="V35" i="62" s="1"/>
  <c r="A26" i="56" l="1"/>
  <c r="A19" i="25" l="1"/>
  <c r="A18" i="25"/>
  <c r="A9" i="38" l="1"/>
  <c r="A47" i="56" l="1"/>
  <c r="A22" i="56"/>
  <c r="A23" i="56"/>
  <c r="A24" i="56"/>
  <c r="A25" i="56"/>
  <c r="A37" i="56"/>
  <c r="A38" i="56"/>
  <c r="A39" i="56"/>
  <c r="A40" i="56"/>
  <c r="A41" i="56"/>
  <c r="A42" i="56"/>
  <c r="A43" i="56"/>
  <c r="A44" i="56"/>
  <c r="A45" i="56"/>
  <c r="A46" i="56"/>
  <c r="A48" i="56"/>
  <c r="A49" i="56"/>
  <c r="A50" i="56"/>
  <c r="A51" i="56"/>
  <c r="A21" i="56"/>
  <c r="A20" i="56"/>
  <c r="A9" i="48"/>
  <c r="AZ182" i="61" l="1"/>
  <c r="AZ196" i="61" s="1"/>
  <c r="AZ198" i="61" s="1"/>
  <c r="V181" i="61"/>
  <c r="V178" i="61"/>
  <c r="AZ142" i="61"/>
  <c r="AZ140" i="61" s="1"/>
  <c r="V142" i="61"/>
  <c r="V140" i="61" s="1"/>
  <c r="V196" i="61" l="1"/>
  <c r="V198" i="61" s="1"/>
  <c r="H6" i="38" l="1"/>
  <c r="A12" i="58" l="1"/>
  <c r="V6" i="44"/>
  <c r="H6" i="58"/>
  <c r="H6" i="56"/>
  <c r="AD6" i="42"/>
  <c r="H6" i="59" l="1"/>
  <c r="H6" i="48"/>
  <c r="H6"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03F710EF-67C9-4D16-91E3-1E10512DB11B}">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2858CD8-C120-40ED-AA54-2A8C4EBD76AD}">
      <text>
        <r>
          <rPr>
            <sz val="9"/>
            <color indexed="81"/>
            <rFont val="MS P ゴシック"/>
            <family val="3"/>
            <charset val="128"/>
          </rPr>
          <t xml:space="preserve">必須チェック要の場合　”〇”
</t>
        </r>
      </text>
    </comment>
    <comment ref="U8" authorId="0" shapeId="0" xr:uid="{4341BFDE-A3E7-4019-A823-306EAE277735}">
      <text>
        <r>
          <rPr>
            <sz val="9"/>
            <color indexed="81"/>
            <rFont val="MS P ゴシック"/>
            <family val="3"/>
            <charset val="128"/>
          </rPr>
          <t xml:space="preserve">numericチェック要の場合、”〇”
</t>
        </r>
      </text>
    </comment>
    <comment ref="X8" authorId="0" shapeId="0" xr:uid="{17FC061A-E1FD-4C04-BE60-987D611F6373}">
      <text>
        <r>
          <rPr>
            <sz val="9"/>
            <color indexed="81"/>
            <rFont val="MS P ゴシック"/>
            <family val="3"/>
            <charset val="128"/>
          </rPr>
          <t xml:space="preserve">文字数チェック要の場合　”〇”
</t>
        </r>
      </text>
    </comment>
    <comment ref="AA8" authorId="0" shapeId="0" xr:uid="{DD81FE55-641D-4F92-9490-7F4DE2B67EDE}">
      <text>
        <r>
          <rPr>
            <sz val="9"/>
            <color indexed="81"/>
            <rFont val="MS P ゴシック"/>
            <family val="3"/>
            <charset val="128"/>
          </rPr>
          <t>マスタ存在チェック要の場合　”〇”
チェック対象のマスタはチェック内容説明欄に記載する。</t>
        </r>
      </text>
    </comment>
    <comment ref="AG8" authorId="0" shapeId="0" xr:uid="{158F774F-9482-40D4-8F30-BD92A095381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156957-A8E2-4AD0-A00F-813F0F8D9A05}">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5C0A4A8-6500-4624-B402-6EF5A11E8D88}">
      <text>
        <r>
          <rPr>
            <b/>
            <sz val="9"/>
            <color indexed="81"/>
            <rFont val="MS P ゴシック"/>
            <family val="3"/>
            <charset val="128"/>
          </rPr>
          <t>メッセージ文言は、
”／”（全角スラッシュ）に続けて記入すること。</t>
        </r>
      </text>
    </comment>
    <comment ref="BD8" authorId="1" shapeId="0" xr:uid="{AA069371-AB7A-4A56-A225-C9382656DAD2}">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3935263E-270C-4F2B-8C9A-DE38F398CED1}">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A094940-24D6-4233-B04F-4583DB01ECF7}">
      <text>
        <r>
          <rPr>
            <sz val="9"/>
            <color indexed="81"/>
            <rFont val="MS P ゴシック"/>
            <family val="3"/>
            <charset val="128"/>
          </rPr>
          <t xml:space="preserve">必須チェック要の場合　”〇”
</t>
        </r>
      </text>
    </comment>
    <comment ref="U8" authorId="0" shapeId="0" xr:uid="{3ED3740A-1CBE-4818-B61A-D3E96AEC2D69}">
      <text>
        <r>
          <rPr>
            <sz val="9"/>
            <color indexed="81"/>
            <rFont val="MS P ゴシック"/>
            <family val="3"/>
            <charset val="128"/>
          </rPr>
          <t xml:space="preserve">numericチェック要の場合、”〇”
</t>
        </r>
      </text>
    </comment>
    <comment ref="X8" authorId="0" shapeId="0" xr:uid="{CBD5BB0E-2EEA-42D4-A0BD-C32E80640ACB}">
      <text>
        <r>
          <rPr>
            <sz val="9"/>
            <color indexed="81"/>
            <rFont val="MS P ゴシック"/>
            <family val="3"/>
            <charset val="128"/>
          </rPr>
          <t xml:space="preserve">文字数チェック要の場合　”〇”
</t>
        </r>
      </text>
    </comment>
    <comment ref="AA8" authorId="0" shapeId="0" xr:uid="{1F113D6C-DA3D-48CB-AAB6-5D7F0DF3B2A2}">
      <text>
        <r>
          <rPr>
            <sz val="9"/>
            <color indexed="81"/>
            <rFont val="MS P ゴシック"/>
            <family val="3"/>
            <charset val="128"/>
          </rPr>
          <t>マスタ存在チェック要の場合　”〇”
チェック対象のマスタはチェック内容説明欄に記載する。</t>
        </r>
      </text>
    </comment>
    <comment ref="AG8" authorId="0" shapeId="0" xr:uid="{81C3F332-C096-4B06-B1FA-7549827D439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6502077-F1AD-42FB-A97C-D44E3135C61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A92C5CC-D58C-4DF3-BB88-981F0CA9921D}">
      <text>
        <r>
          <rPr>
            <b/>
            <sz val="9"/>
            <color indexed="81"/>
            <rFont val="MS P ゴシック"/>
            <family val="3"/>
            <charset val="128"/>
          </rPr>
          <t>メッセージ文言は、
”／”（全角スラッシュ）に続けて記入すること。</t>
        </r>
      </text>
    </comment>
    <comment ref="BD8" authorId="1" shapeId="0" xr:uid="{4AD02C59-08FB-4C04-9CB9-62A7EBC89B3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<sst xmlns="http://schemas.openxmlformats.org/spreadsheetml/2006/main" count="1931" uniqueCount="553">
  <si>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</si>
  <si>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</si>
  <si>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</si>
  <si>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</si>
  <si>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</si>
  <si>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</si>
  <si>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</si>
  <si>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</si>
  <si>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</si>
  <si>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共計</t>
    <rPh sb="0" eb="2">
      <t>キョウケイ</t>
    </rPh>
    <phoneticPr fontId="16"/>
  </si>
  <si>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</si>
  <si>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</si>
  <si>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</si>
  <si>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</si>
  <si>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</si>
  <si>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</si>
  <si>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</si>
  <si>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</si>
  <si>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共計</t>
    <rPh sb="0" eb="2">
      <t>キョウケイ</t>
    </rPh>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</si>
  <si>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</si>
  <si>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</si>
  <si>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</si>
  <si>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</si>
  <si>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</si>
  <si>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検索</t>
    <rPh sb="0" eb="2">
      <t>ケンサク</t>
    </rPh>
    <phoneticPr fontId="3"/>
  </si>
  <si>
    <t>選択</t>
    <rPh sb="0" eb="2">
      <t>センタク</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</si>
  <si>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</si>
  <si>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</si>
  <si>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</si>
  <si>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入力</t>
    <rPh sb="0" eb="2">
      <t>ニュウリョク</t>
    </rPh>
    <phoneticPr fontId="3"/>
  </si>
  <si>
    <t>検索条件の入力</t>
    <rPh sb="0" eb="2">
      <t>ケンサク</t>
    </rPh>
    <rPh sb="2" eb="4">
      <t>ジョウケン</t>
    </rPh>
    <rPh sb="5" eb="7">
      <t>ニュウリョク</t>
    </rPh>
    <phoneticPr fontId="3"/>
  </si>
  <si>
    <t>＞</t>
    <phoneticPr fontId="3"/>
  </si>
  <si>
    <t>共計組織</t>
    <rPh sb="0" eb="2">
      <t>キョウケイ</t>
    </rPh>
    <rPh sb="2" eb="4">
      <t>ソシキ</t>
    </rPh>
    <phoneticPr fontId="3"/>
  </si>
  <si>
    <t>3</t>
    <phoneticPr fontId="3"/>
  </si>
  <si>
    <t>共計次数</t>
    <rPh sb="0" eb="2">
      <t>キョウケイ</t>
    </rPh>
    <rPh sb="2" eb="4">
      <t>ジスウ</t>
    </rPh>
    <phoneticPr fontId="3"/>
  </si>
  <si>
    <t>01</t>
    <phoneticPr fontId="3"/>
  </si>
  <si>
    <t>業種</t>
    <rPh sb="0" eb="2">
      <t>ギョウシュ</t>
    </rPh>
    <phoneticPr fontId="3"/>
  </si>
  <si>
    <t>〇</t>
    <phoneticPr fontId="3"/>
  </si>
  <si>
    <t>画面項目説明書</t>
    <rPh sb="0" eb="2">
      <t>ガメン</t>
    </rPh>
    <rPh sb="2" eb="4">
      <t>コウモク</t>
    </rPh>
    <rPh sb="4" eb="7">
      <t>セツメイショ</t>
    </rPh>
    <phoneticPr fontId="3"/>
  </si>
  <si>
    <t>No.</t>
    <phoneticPr fontId="3"/>
  </si>
  <si>
    <t>項目名</t>
    <phoneticPr fontId="9"/>
  </si>
  <si>
    <t>I/O</t>
  </si>
  <si>
    <t>桁数</t>
    <rPh sb="0" eb="2">
      <t>ケタスウ</t>
    </rPh>
    <phoneticPr fontId="9"/>
  </si>
  <si>
    <t>属性</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</si>
  <si>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</si>
  <si>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</si>
  <si>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</si>
  <si>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</si>
  <si>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表示</t>
    <rPh sb="0" eb="2">
      <t>ヒョウジ</t>
    </rPh>
    <phoneticPr fontId="3"/>
  </si>
  <si>
    <t>1</t>
    <phoneticPr fontId="3"/>
  </si>
  <si>
    <t>2</t>
    <phoneticPr fontId="3"/>
  </si>
  <si>
    <t>O</t>
  </si>
  <si>
    <t>20</t>
    <phoneticPr fontId="3"/>
  </si>
  <si>
    <t>4</t>
    <phoneticPr fontId="3"/>
  </si>
  <si>
    <t>6</t>
    <phoneticPr fontId="3"/>
  </si>
  <si>
    <t>5</t>
    <phoneticPr fontId="3"/>
  </si>
  <si>
    <t>25</t>
    <phoneticPr fontId="3"/>
  </si>
  <si>
    <t>年産</t>
    <rPh sb="0" eb="2">
      <t>ネンサン</t>
    </rPh>
    <phoneticPr fontId="3"/>
  </si>
  <si>
    <t>I</t>
  </si>
  <si>
    <t>数字</t>
    <rPh sb="0" eb="2">
      <t>スウジ</t>
    </rPh>
    <phoneticPr fontId="3"/>
  </si>
  <si>
    <t>8</t>
    <phoneticPr fontId="3"/>
  </si>
  <si>
    <t>10</t>
    <phoneticPr fontId="3"/>
  </si>
  <si>
    <t>15</t>
    <phoneticPr fontId="3"/>
  </si>
  <si>
    <t>選択（明細）</t>
    <rPh sb="0" eb="2">
      <t>センタク</t>
    </rPh>
    <rPh sb="3" eb="5">
      <t>メイサイ</t>
    </rPh>
    <phoneticPr fontId="3"/>
  </si>
  <si>
    <t>年産（明細）</t>
    <rPh sb="0" eb="2">
      <t>ネンサン</t>
    </rPh>
    <rPh sb="3" eb="5">
      <t>メイサイ</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</si>
  <si>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</si>
  <si>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</si>
  <si>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</si>
  <si>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</si>
  <si>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</si>
  <si>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</si>
  <si>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</si>
  <si>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</si>
  <si>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</si>
  <si>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</si>
  <si>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共計</t>
  </si>
  <si>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</si>
  <si>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</si>
  <si>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</si>
  <si>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</si>
  <si>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</si>
  <si>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</si>
  <si>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</si>
  <si>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2024</t>
    <phoneticPr fontId="3"/>
  </si>
  <si>
    <t>9.2.5</t>
    <phoneticPr fontId="3"/>
  </si>
  <si>
    <t>滞留立替金利情報</t>
    <rPh sb="0" eb="4">
      <t>タイリュウタテカエ</t>
    </rPh>
    <rPh sb="4" eb="6">
      <t>キンリ</t>
    </rPh>
    <rPh sb="6" eb="8">
      <t>ジョウホウ</t>
    </rPh>
    <phoneticPr fontId="3"/>
  </si>
  <si>
    <t>4137 農産部雑穀課</t>
    <rPh sb="5" eb="8">
      <t>ノウサンブ</t>
    </rPh>
    <rPh sb="8" eb="11">
      <t>ザッコクカ</t>
    </rPh>
    <phoneticPr fontId="3"/>
  </si>
  <si>
    <t>全道共計</t>
    <rPh sb="0" eb="4">
      <t>ゼンドウキョウケイ</t>
    </rPh>
    <phoneticPr fontId="3"/>
  </si>
  <si>
    <t>基本情報</t>
    <rPh sb="0" eb="4">
      <t>キホンジョウホウ</t>
    </rPh>
    <phoneticPr fontId="3"/>
  </si>
  <si>
    <t>2024/10/31</t>
    <phoneticPr fontId="3"/>
  </si>
  <si>
    <t>2024/11/30</t>
    <phoneticPr fontId="3"/>
  </si>
  <si>
    <t>2024/12/31</t>
    <phoneticPr fontId="3"/>
  </si>
  <si>
    <t>2025/01/31</t>
    <phoneticPr fontId="3"/>
  </si>
  <si>
    <t>2025/02/28</t>
    <phoneticPr fontId="3"/>
  </si>
  <si>
    <t>2025/03/31</t>
    <phoneticPr fontId="3"/>
  </si>
  <si>
    <t>2024/01/10</t>
    <phoneticPr fontId="3"/>
  </si>
  <si>
    <t>滞留金利</t>
    <rPh sb="0" eb="4">
      <t>タイリュウキンリ</t>
    </rPh>
    <phoneticPr fontId="3"/>
  </si>
  <si>
    <t>立替金利</t>
    <rPh sb="0" eb="4">
      <t>タテカエキンリ</t>
    </rPh>
    <phoneticPr fontId="3"/>
  </si>
  <si>
    <t>2026/03/31</t>
    <phoneticPr fontId="3"/>
  </si>
  <si>
    <t>2025/05/31</t>
    <phoneticPr fontId="3"/>
  </si>
  <si>
    <t>2025/06/30</t>
    <phoneticPr fontId="3"/>
  </si>
  <si>
    <t>2025/04/30</t>
    <phoneticPr fontId="3"/>
  </si>
  <si>
    <t>2025/07/31</t>
    <phoneticPr fontId="3"/>
  </si>
  <si>
    <t>2025/08/31</t>
    <phoneticPr fontId="3"/>
  </si>
  <si>
    <t>2025/09/30</t>
    <phoneticPr fontId="3"/>
  </si>
  <si>
    <t>2025/10/31</t>
    <phoneticPr fontId="3"/>
  </si>
  <si>
    <t>2025/11/30</t>
    <phoneticPr fontId="3"/>
  </si>
  <si>
    <t>2026/01/31</t>
    <phoneticPr fontId="3"/>
  </si>
  <si>
    <t>2026/02/28</t>
    <phoneticPr fontId="3"/>
  </si>
  <si>
    <t>2026/06/15</t>
    <phoneticPr fontId="3"/>
  </si>
  <si>
    <t>照会</t>
    <rPh sb="0" eb="2">
      <t>ショウカイ</t>
    </rPh>
    <phoneticPr fontId="3"/>
  </si>
  <si>
    <t>XXXXXX ＸＸＸＸＸＸＸＸＸＸ</t>
    <phoneticPr fontId="3"/>
  </si>
  <si>
    <t>一覧表示</t>
    <rPh sb="0" eb="2">
      <t>イチラン</t>
    </rPh>
    <rPh sb="2" eb="4">
      <t>ヒョウジ</t>
    </rPh>
    <phoneticPr fontId="3"/>
  </si>
  <si>
    <t>共計組織</t>
    <rPh sb="0" eb="4">
      <t>キョウケイソシキ</t>
    </rPh>
    <phoneticPr fontId="3"/>
  </si>
  <si>
    <t>共計区分</t>
    <rPh sb="0" eb="4">
      <t>キョウケイクブン</t>
    </rPh>
    <phoneticPr fontId="3"/>
  </si>
  <si>
    <t>共計組織名</t>
    <rPh sb="0" eb="5">
      <t>キョウケイソシキメイ</t>
    </rPh>
    <phoneticPr fontId="3"/>
  </si>
  <si>
    <t>共計組織（明細）</t>
    <rPh sb="0" eb="4">
      <t>キョウケイソシキ</t>
    </rPh>
    <rPh sb="5" eb="7">
      <t>メイサイ</t>
    </rPh>
    <phoneticPr fontId="3"/>
  </si>
  <si>
    <t>共計区分（明細）</t>
    <rPh sb="0" eb="4">
      <t>キョウケイクブン</t>
    </rPh>
    <rPh sb="5" eb="7">
      <t>メイサイ</t>
    </rPh>
    <phoneticPr fontId="3"/>
  </si>
  <si>
    <t>収支管理品目（明細）</t>
    <rPh sb="0" eb="6">
      <t>シュウシカンリヒンモク</t>
    </rPh>
    <rPh sb="7" eb="9">
      <t>メイサイ</t>
    </rPh>
    <phoneticPr fontId="3"/>
  </si>
  <si>
    <t>共計次数（明細）</t>
    <rPh sb="0" eb="2">
      <t>キョウケイ</t>
    </rPh>
    <rPh sb="2" eb="4">
      <t>ジスウ</t>
    </rPh>
    <rPh sb="5" eb="7">
      <t>メイサイ</t>
    </rPh>
    <phoneticPr fontId="3"/>
  </si>
  <si>
    <t>O</t>
    <phoneticPr fontId="3"/>
  </si>
  <si>
    <t>／共計組織はマスタに存在しません。</t>
    <rPh sb="3" eb="5">
      <t>ソシキ</t>
    </rPh>
    <phoneticPr fontId="3"/>
  </si>
  <si>
    <t>／収支管理品目コードはマスタに存在しません。</t>
    <phoneticPr fontId="3"/>
  </si>
  <si>
    <t>チェックなし</t>
    <phoneticPr fontId="3"/>
  </si>
  <si>
    <t>2025/12/31</t>
    <phoneticPr fontId="3"/>
  </si>
  <si>
    <t>【検索条件入力領域】</t>
    <rPh sb="1" eb="3">
      <t>ケンサク</t>
    </rPh>
    <rPh sb="3" eb="5">
      <t>ジョウケン</t>
    </rPh>
    <rPh sb="5" eb="7">
      <t>ニュウリョク</t>
    </rPh>
    <rPh sb="7" eb="9">
      <t>リョウイキ</t>
    </rPh>
    <phoneticPr fontId="3"/>
  </si>
  <si>
    <t>【検索結果表示領域】</t>
    <rPh sb="1" eb="3">
      <t>ケンサク</t>
    </rPh>
    <rPh sb="3" eb="5">
      <t>ケッカ</t>
    </rPh>
    <rPh sb="5" eb="9">
      <t>ヒョウジリョウイキ</t>
    </rPh>
    <phoneticPr fontId="3"/>
  </si>
  <si>
    <t>検索条件</t>
    <rPh sb="0" eb="4">
      <t>ケンサクジョウケン</t>
    </rPh>
    <phoneticPr fontId="3"/>
  </si>
  <si>
    <t>検索結果一覧</t>
    <rPh sb="0" eb="2">
      <t>ケンサク</t>
    </rPh>
    <rPh sb="2" eb="6">
      <t>ケッカイチラン</t>
    </rPh>
    <phoneticPr fontId="3"/>
  </si>
  <si>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3"/>
  </si>
  <si>
    <t>1頁あたり15件まで表示する。</t>
    <rPh sb="1" eb="2">
      <t>ページ</t>
    </rPh>
    <rPh sb="7" eb="8">
      <t>ケン</t>
    </rPh>
    <rPh sb="10" eb="12">
      <t>ヒョウジ</t>
    </rPh>
    <phoneticPr fontId="3"/>
  </si>
  <si>
    <t>滞留立替金利一覧を表示する際には、折り畳んで表示する。
「＋」押下で展開して表示する（条件の確認及び変更を行う場合）
「－」押下で折り畳んで表示する。</t>
    <rPh sb="0" eb="2">
      <t>タイリュウ</t>
    </rPh>
    <rPh sb="2" eb="4">
      <t>タテカエ</t>
    </rPh>
    <rPh sb="4" eb="6">
      <t>キンリ</t>
    </rPh>
    <rPh sb="6" eb="8">
      <t>イチラン</t>
    </rPh>
    <rPh sb="7" eb="8">
      <t>ラン</t>
    </rPh>
    <phoneticPr fontId="3"/>
  </si>
  <si>
    <t>クリア</t>
    <phoneticPr fontId="3"/>
  </si>
  <si>
    <t>表示（コードの日本語名称表示）</t>
    <rPh sb="0" eb="2">
      <t>ヒョウジ</t>
    </rPh>
    <rPh sb="12" eb="14">
      <t>ヒョウジ</t>
    </rPh>
    <phoneticPr fontId="3"/>
  </si>
  <si>
    <t>収支管理品目２</t>
    <rPh sb="0" eb="2">
      <t>シュウシ</t>
    </rPh>
    <rPh sb="2" eb="4">
      <t>カンリ</t>
    </rPh>
    <rPh sb="4" eb="6">
      <t>ヒンモク</t>
    </rPh>
    <phoneticPr fontId="3"/>
  </si>
  <si>
    <t>191113 小豆</t>
  </si>
  <si>
    <t>191114  赤系金時</t>
  </si>
  <si>
    <t>収支管理品目２</t>
    <rPh sb="0" eb="6">
      <t>シュウシカンリヒンモク</t>
    </rPh>
    <phoneticPr fontId="3"/>
  </si>
  <si>
    <t>収支管理品目名２</t>
    <rPh sb="0" eb="7">
      <t>シュウシカンリヒンモクメイ</t>
    </rPh>
    <phoneticPr fontId="3"/>
  </si>
  <si>
    <t>共計次数２</t>
    <rPh sb="0" eb="4">
      <t>キョウケイジスウ</t>
    </rPh>
    <phoneticPr fontId="3"/>
  </si>
  <si>
    <t>収支管理品目３</t>
    <rPh sb="0" eb="6">
      <t>シュウシカンリヒンモク</t>
    </rPh>
    <phoneticPr fontId="3"/>
  </si>
  <si>
    <t>収支管理品目名３</t>
    <rPh sb="0" eb="7">
      <t>シュウシカンリヒンモクメイ</t>
    </rPh>
    <phoneticPr fontId="3"/>
  </si>
  <si>
    <t>共計次数３</t>
    <rPh sb="0" eb="4">
      <t>キョウケイジスウ</t>
    </rPh>
    <phoneticPr fontId="3"/>
  </si>
  <si>
    <t>今回計上金利</t>
    <rPh sb="0" eb="2">
      <t>コンカイ</t>
    </rPh>
    <rPh sb="2" eb="4">
      <t>ケイジョウ</t>
    </rPh>
    <rPh sb="4" eb="6">
      <t>キンリ</t>
    </rPh>
    <phoneticPr fontId="3"/>
  </si>
  <si>
    <t>既計上金利</t>
    <rPh sb="0" eb="3">
      <t>キケイジョウ</t>
    </rPh>
    <rPh sb="3" eb="5">
      <t>キンリ</t>
    </rPh>
    <phoneticPr fontId="3"/>
  </si>
  <si>
    <t>総金利</t>
    <rPh sb="0" eb="1">
      <t>ソウ</t>
    </rPh>
    <rPh sb="1" eb="3">
      <t>キンリ</t>
    </rPh>
    <phoneticPr fontId="3"/>
  </si>
  <si>
    <t xml:space="preserve">共計組織 </t>
    <rPh sb="0" eb="4">
      <t>キョウケイソシキ</t>
    </rPh>
    <phoneticPr fontId="3"/>
  </si>
  <si>
    <t>共計組織</t>
    <phoneticPr fontId="3"/>
  </si>
  <si>
    <t>☑</t>
    <phoneticPr fontId="3"/>
  </si>
  <si>
    <t>191113 小豆</t>
    <phoneticPr fontId="3"/>
  </si>
  <si>
    <t>差戻</t>
    <rPh sb="0" eb="2">
      <t>サシモドシ</t>
    </rPh>
    <phoneticPr fontId="3"/>
  </si>
  <si>
    <t>191114 赤系金時</t>
    <rPh sb="7" eb="9">
      <t>アカケイ</t>
    </rPh>
    <rPh sb="9" eb="11">
      <t>キントキ</t>
    </rPh>
    <phoneticPr fontId="3"/>
  </si>
  <si>
    <t>下書保存</t>
    <rPh sb="0" eb="2">
      <t>シタショ</t>
    </rPh>
    <rPh sb="2" eb="4">
      <t>ホゾン</t>
    </rPh>
    <phoneticPr fontId="3"/>
  </si>
  <si>
    <t>□</t>
    <phoneticPr fontId="3"/>
  </si>
  <si>
    <t>XXXX ＸＸＸＸＸＸＸＸＸＸ</t>
    <phoneticPr fontId="3"/>
  </si>
  <si>
    <t>ＸＸＸＸ</t>
    <phoneticPr fontId="3"/>
  </si>
  <si>
    <t>XXXX</t>
    <phoneticPr fontId="3"/>
  </si>
  <si>
    <t>XX</t>
    <phoneticPr fontId="3"/>
  </si>
  <si>
    <t>【イベント処理説明】</t>
    <rPh sb="5" eb="7">
      <t>ショリ</t>
    </rPh>
    <rPh sb="7" eb="9">
      <t>セツメイ</t>
    </rPh>
    <phoneticPr fontId="3"/>
  </si>
  <si>
    <t>イベント名称</t>
    <rPh sb="4" eb="6">
      <t>メイショウ</t>
    </rPh>
    <phoneticPr fontId="3"/>
  </si>
  <si>
    <t>イベント処理概要</t>
    <rPh sb="4" eb="6">
      <t>ショリ</t>
    </rPh>
    <rPh sb="6" eb="8">
      <t>ガイヨウ</t>
    </rPh>
    <phoneticPr fontId="3"/>
  </si>
  <si>
    <t>備考</t>
    <rPh sb="0" eb="2">
      <t>ビコウ</t>
    </rPh>
    <phoneticPr fontId="3"/>
  </si>
  <si>
    <t>検索（共計組織）</t>
    <rPh sb="0" eb="2">
      <t>ケンサク</t>
    </rPh>
    <rPh sb="3" eb="7">
      <t>キョウケイソシキ</t>
    </rPh>
    <phoneticPr fontId="3"/>
  </si>
  <si>
    <t>検索条件入力領域を初期の状態に戻す。</t>
    <rPh sb="0" eb="2">
      <t>ケンサク</t>
    </rPh>
    <rPh sb="2" eb="4">
      <t>ジョウケン</t>
    </rPh>
    <rPh sb="4" eb="6">
      <t>ニュウリョク</t>
    </rPh>
    <rPh sb="6" eb="8">
      <t>リョウイキ</t>
    </rPh>
    <rPh sb="9" eb="11">
      <t>ショキ</t>
    </rPh>
    <rPh sb="12" eb="14">
      <t>ジョウタイ</t>
    </rPh>
    <rPh sb="15" eb="16">
      <t>モド</t>
    </rPh>
    <phoneticPr fontId="3"/>
  </si>
  <si>
    <t>【画面制御説明】</t>
    <rPh sb="1" eb="3">
      <t>ガメン</t>
    </rPh>
    <rPh sb="3" eb="5">
      <t>セイギョ</t>
    </rPh>
    <rPh sb="5" eb="7">
      <t>セツメイ</t>
    </rPh>
    <phoneticPr fontId="3"/>
  </si>
  <si>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3"/>
  </si>
  <si>
    <t>項目名称</t>
    <rPh sb="0" eb="2">
      <t>コウモク</t>
    </rPh>
    <rPh sb="2" eb="4">
      <t>メイショウ</t>
    </rPh>
    <phoneticPr fontId="3"/>
  </si>
  <si>
    <t>制御条件</t>
    <rPh sb="0" eb="2">
      <t>セイギョ</t>
    </rPh>
    <rPh sb="2" eb="4">
      <t>ジョウケン</t>
    </rPh>
    <phoneticPr fontId="3"/>
  </si>
  <si>
    <t>カーソル（初期位置）</t>
    <rPh sb="5" eb="7">
      <t>ショキ</t>
    </rPh>
    <rPh sb="7" eb="9">
      <t>イチ</t>
    </rPh>
    <phoneticPr fontId="3"/>
  </si>
  <si>
    <t>共計区分</t>
    <rPh sb="0" eb="2">
      <t>キョウケイ</t>
    </rPh>
    <rPh sb="2" eb="4">
      <t>クブン</t>
    </rPh>
    <phoneticPr fontId="3"/>
  </si>
  <si>
    <t>添付ファイル数</t>
    <rPh sb="0" eb="2">
      <t>テンプ</t>
    </rPh>
    <rPh sb="6" eb="7">
      <t>スウ</t>
    </rPh>
    <phoneticPr fontId="3"/>
  </si>
  <si>
    <t>参照ＵＲＬ</t>
    <rPh sb="0" eb="2">
      <t>サンショウ</t>
    </rPh>
    <phoneticPr fontId="3"/>
  </si>
  <si>
    <t>計上対象収支管理品目</t>
    <rPh sb="0" eb="2">
      <t>ケイジョウ</t>
    </rPh>
    <rPh sb="2" eb="4">
      <t>タイショウ</t>
    </rPh>
    <rPh sb="4" eb="10">
      <t>シュウシカンリヒンモク</t>
    </rPh>
    <phoneticPr fontId="3"/>
  </si>
  <si>
    <t>更新者</t>
    <rPh sb="0" eb="2">
      <t>コウシン</t>
    </rPh>
    <rPh sb="2" eb="3">
      <t>シャ</t>
    </rPh>
    <phoneticPr fontId="3"/>
  </si>
  <si>
    <t>更新日</t>
    <rPh sb="0" eb="2">
      <t>コウシン</t>
    </rPh>
    <rPh sb="2" eb="3">
      <t>ヒ</t>
    </rPh>
    <phoneticPr fontId="3"/>
  </si>
  <si>
    <t>-</t>
    <phoneticPr fontId="3"/>
  </si>
  <si>
    <t>伝票番号</t>
    <rPh sb="0" eb="2">
      <t>デンピョウ</t>
    </rPh>
    <rPh sb="2" eb="4">
      <t>バンゴウ</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</si>
  <si>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</si>
  <si>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</si>
  <si>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</si>
  <si>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昇順</t>
    <rPh sb="0" eb="2">
      <t>ショウジュン</t>
    </rPh>
    <phoneticPr fontId="3"/>
  </si>
  <si>
    <t>【検索条件エリア】</t>
    <rPh sb="1" eb="3">
      <t>ケンサク</t>
    </rPh>
    <rPh sb="3" eb="5">
      <t>ジョウケン</t>
    </rPh>
    <phoneticPr fontId="3"/>
  </si>
  <si>
    <t>【明細表示エリア】</t>
    <rPh sb="1" eb="3">
      <t>メイサイ</t>
    </rPh>
    <rPh sb="3" eb="5">
      <t>ヒョウジ</t>
    </rPh>
    <phoneticPr fontId="3"/>
  </si>
  <si>
    <t>ﾁｪｯｸﾎﾞｯｸｽ</t>
    <phoneticPr fontId="3"/>
  </si>
  <si>
    <t>申請</t>
    <rPh sb="0" eb="2">
      <t>シンセイ</t>
    </rPh>
    <phoneticPr fontId="3"/>
  </si>
  <si>
    <t>更新者</t>
    <rPh sb="0" eb="3">
      <t>コウシンシャ</t>
    </rPh>
    <phoneticPr fontId="3"/>
  </si>
  <si>
    <t>差戻、下書保存、依頼中を初期選択</t>
    <rPh sb="0" eb="2">
      <t>サシモドシ</t>
    </rPh>
    <rPh sb="3" eb="5">
      <t>シタガ</t>
    </rPh>
    <rPh sb="5" eb="7">
      <t>ホゾン</t>
    </rPh>
    <rPh sb="8" eb="11">
      <t>イライチュウ</t>
    </rPh>
    <rPh sb="12" eb="14">
      <t>ショキ</t>
    </rPh>
    <rPh sb="14" eb="16">
      <t>センタク</t>
    </rPh>
    <phoneticPr fontId="3"/>
  </si>
  <si>
    <t>共計組織名（明細）</t>
    <rPh sb="0" eb="4">
      <t>キョウケイソシキ</t>
    </rPh>
    <rPh sb="4" eb="5">
      <t>メイ</t>
    </rPh>
    <rPh sb="6" eb="8">
      <t>メイサイ</t>
    </rPh>
    <phoneticPr fontId="3"/>
  </si>
  <si>
    <t>収支管理品目名（明細）</t>
    <rPh sb="0" eb="6">
      <t>シュウシカンリヒンモク</t>
    </rPh>
    <rPh sb="6" eb="7">
      <t>メイ</t>
    </rPh>
    <rPh sb="8" eb="10">
      <t>メイサイ</t>
    </rPh>
    <phoneticPr fontId="3"/>
  </si>
  <si>
    <t>添付ファイル</t>
    <rPh sb="0" eb="2">
      <t>テンプ</t>
    </rPh>
    <phoneticPr fontId="3"/>
  </si>
  <si>
    <t>【明細エリア】</t>
    <rPh sb="1" eb="3">
      <t>メイサイ</t>
    </rPh>
    <phoneticPr fontId="3"/>
  </si>
  <si>
    <t>計上年月日（明細）</t>
    <rPh sb="0" eb="5">
      <t>ケイジョウネンガッピ</t>
    </rPh>
    <rPh sb="6" eb="8">
      <t>メイサイ</t>
    </rPh>
    <phoneticPr fontId="3"/>
  </si>
  <si>
    <t>滞留金利（明細）</t>
    <rPh sb="0" eb="4">
      <t>タイリュウキンリ</t>
    </rPh>
    <rPh sb="5" eb="7">
      <t>メイサイ</t>
    </rPh>
    <phoneticPr fontId="3"/>
  </si>
  <si>
    <t>立替金利（明細）</t>
    <rPh sb="0" eb="4">
      <t>タテカエキンリ</t>
    </rPh>
    <rPh sb="5" eb="7">
      <t>メイサイ</t>
    </rPh>
    <phoneticPr fontId="3"/>
  </si>
  <si>
    <t>滞留金利（総金利）</t>
    <rPh sb="0" eb="4">
      <t>タイリュウキンリ</t>
    </rPh>
    <rPh sb="5" eb="8">
      <t>ソウキンリ</t>
    </rPh>
    <phoneticPr fontId="3"/>
  </si>
  <si>
    <t>立替金利（総金利）</t>
    <rPh sb="0" eb="4">
      <t>タテカエキンリ</t>
    </rPh>
    <rPh sb="5" eb="6">
      <t>ソウ</t>
    </rPh>
    <rPh sb="6" eb="8">
      <t>キンリ</t>
    </rPh>
    <phoneticPr fontId="3"/>
  </si>
  <si>
    <t>滞留金利（既計上金利）</t>
    <rPh sb="0" eb="4">
      <t>タイリュウキンリ</t>
    </rPh>
    <rPh sb="5" eb="6">
      <t>キ</t>
    </rPh>
    <rPh sb="6" eb="8">
      <t>ケイジョウ</t>
    </rPh>
    <rPh sb="8" eb="10">
      <t>キンリ</t>
    </rPh>
    <phoneticPr fontId="3"/>
  </si>
  <si>
    <t>立替金利（既計上金利）</t>
    <rPh sb="0" eb="4">
      <t>タテカエキンリ</t>
    </rPh>
    <rPh sb="5" eb="6">
      <t>キ</t>
    </rPh>
    <rPh sb="6" eb="8">
      <t>ケイジョウ</t>
    </rPh>
    <rPh sb="8" eb="10">
      <t>キンリ</t>
    </rPh>
    <phoneticPr fontId="3"/>
  </si>
  <si>
    <t>滞留金利（今回計上金利）</t>
    <rPh sb="5" eb="7">
      <t>コンカイ</t>
    </rPh>
    <rPh sb="7" eb="9">
      <t>ケイジョウ</t>
    </rPh>
    <rPh sb="9" eb="11">
      <t>キンリ</t>
    </rPh>
    <phoneticPr fontId="3"/>
  </si>
  <si>
    <t>立替金利（今回計上金利）</t>
    <rPh sb="5" eb="7">
      <t>コンカイ</t>
    </rPh>
    <rPh sb="7" eb="9">
      <t>ケイジョウ</t>
    </rPh>
    <rPh sb="9" eb="11">
      <t>キンリ</t>
    </rPh>
    <phoneticPr fontId="3"/>
  </si>
  <si>
    <t>更新日（From）</t>
    <rPh sb="0" eb="2">
      <t>コウシン</t>
    </rPh>
    <rPh sb="2" eb="3">
      <t>ビ</t>
    </rPh>
    <phoneticPr fontId="3"/>
  </si>
  <si>
    <t>更新日（To）</t>
    <rPh sb="0" eb="3">
      <t>コウシンビ</t>
    </rPh>
    <phoneticPr fontId="3"/>
  </si>
  <si>
    <t>更新日(From)と更新日(To)の検索範囲チェック</t>
    <rPh sb="0" eb="3">
      <t>コウシンビ</t>
    </rPh>
    <rPh sb="18" eb="22">
      <t>ケンサクハンイ</t>
    </rPh>
    <phoneticPr fontId="3"/>
  </si>
  <si>
    <t>検索（業種）</t>
    <rPh sb="0" eb="2">
      <t>ケンサク</t>
    </rPh>
    <rPh sb="3" eb="5">
      <t>ギョウシュ</t>
    </rPh>
    <phoneticPr fontId="3"/>
  </si>
  <si>
    <t>業種コード入力欄とする</t>
    <rPh sb="0" eb="2">
      <t>ギョウシュ</t>
    </rPh>
    <rPh sb="5" eb="8">
      <t>ニュウリョクラン</t>
    </rPh>
    <phoneticPr fontId="3"/>
  </si>
  <si>
    <t>10 雑穀</t>
    <rPh sb="3" eb="5">
      <t>ザッコク</t>
    </rPh>
    <phoneticPr fontId="3"/>
  </si>
  <si>
    <t>ログインしたユーザーの担当する業種のみを対象として抽出する。</t>
    <rPh sb="20" eb="22">
      <t>タイショウ</t>
    </rPh>
    <rPh sb="25" eb="27">
      <t>チュウシュツ</t>
    </rPh>
    <phoneticPr fontId="3"/>
  </si>
  <si>
    <t>業種名</t>
    <rPh sb="0" eb="2">
      <t>ギョウシュ</t>
    </rPh>
    <rPh sb="2" eb="3">
      <t>メイ</t>
    </rPh>
    <phoneticPr fontId="3"/>
  </si>
  <si>
    <t>業種名</t>
    <rPh sb="0" eb="3">
      <t>ギョウシュメイ</t>
    </rPh>
    <phoneticPr fontId="3"/>
  </si>
  <si>
    <t>／業種はマスタに存在しません。</t>
    <rPh sb="1" eb="3">
      <t>ギョウシュ</t>
    </rPh>
    <phoneticPr fontId="3"/>
  </si>
  <si>
    <t>200</t>
    <phoneticPr fontId="3"/>
  </si>
  <si>
    <t>滞留立替金利計算結果情報の業種を表示する</t>
    <rPh sb="13" eb="15">
      <t>ギョウシュ</t>
    </rPh>
    <rPh sb="16" eb="18">
      <t>ヒョウジ</t>
    </rPh>
    <phoneticPr fontId="3"/>
  </si>
  <si>
    <t>業種に対する名称を表示する</t>
    <rPh sb="0" eb="2">
      <t>ギョウシュ</t>
    </rPh>
    <rPh sb="3" eb="4">
      <t>タイ</t>
    </rPh>
    <rPh sb="6" eb="8">
      <t>メイショウ</t>
    </rPh>
    <rPh sb="9" eb="11">
      <t>ヒョウジ</t>
    </rPh>
    <phoneticPr fontId="3"/>
  </si>
  <si>
    <t>滞留立替金利計算結果情報の共計組織を表示する</t>
    <rPh sb="13" eb="17">
      <t>キョウケイソシキ</t>
    </rPh>
    <rPh sb="18" eb="20">
      <t>ヒョウジ</t>
    </rPh>
    <phoneticPr fontId="3"/>
  </si>
  <si>
    <t>共計組織に対する名称を表示する</t>
    <rPh sb="0" eb="4">
      <t>キョウケイソシキ</t>
    </rPh>
    <rPh sb="5" eb="6">
      <t>タイ</t>
    </rPh>
    <rPh sb="8" eb="10">
      <t>メイショウ</t>
    </rPh>
    <rPh sb="11" eb="13">
      <t>ヒョウジ</t>
    </rPh>
    <phoneticPr fontId="3"/>
  </si>
  <si>
    <t>滞留立替金利計算結果情報の共計区分に対する名称を表示する</t>
    <rPh sb="13" eb="17">
      <t>キョウケイクブン</t>
    </rPh>
    <rPh sb="18" eb="19">
      <t>タイ</t>
    </rPh>
    <rPh sb="21" eb="23">
      <t>メイショウ</t>
    </rPh>
    <rPh sb="24" eb="26">
      <t>ヒョウジ</t>
    </rPh>
    <phoneticPr fontId="3"/>
  </si>
  <si>
    <t>滞留立替金利計算結果情報の収支管理品目を表示する</t>
    <rPh sb="13" eb="19">
      <t>シュウシカンリヒンモク</t>
    </rPh>
    <rPh sb="20" eb="22">
      <t>ヒョウジ</t>
    </rPh>
    <phoneticPr fontId="3"/>
  </si>
  <si>
    <t>収支管理品目に対する名称を表示する</t>
    <rPh sb="0" eb="6">
      <t>シュウシカンリヒンモク</t>
    </rPh>
    <rPh sb="7" eb="8">
      <t>タイ</t>
    </rPh>
    <rPh sb="10" eb="12">
      <t>メイショウ</t>
    </rPh>
    <rPh sb="13" eb="15">
      <t>ヒョウジ</t>
    </rPh>
    <phoneticPr fontId="3"/>
  </si>
  <si>
    <t>滞留立替金利計算結果情報の年産を表示する</t>
    <rPh sb="13" eb="15">
      <t>ネンサン</t>
    </rPh>
    <rPh sb="16" eb="18">
      <t>ヒョウジ</t>
    </rPh>
    <phoneticPr fontId="3"/>
  </si>
  <si>
    <t>滞留立替金利計算結果情報の共計次数を表示する</t>
    <rPh sb="13" eb="17">
      <t>キョウケイジスウ</t>
    </rPh>
    <rPh sb="18" eb="20">
      <t>ヒョウジ</t>
    </rPh>
    <phoneticPr fontId="3"/>
  </si>
  <si>
    <t>計上年月日</t>
    <rPh sb="0" eb="5">
      <t>ケイジョウネンガッピ</t>
    </rPh>
    <phoneticPr fontId="3"/>
  </si>
  <si>
    <t>滞留立替金利計算結果情報の計上年月日をYYYY/MM/DD形式で表示する</t>
    <rPh sb="13" eb="18">
      <t>ケイジョウネンガッピ</t>
    </rPh>
    <rPh sb="29" eb="31">
      <t>ケイシキ</t>
    </rPh>
    <rPh sb="32" eb="34">
      <t>ヒョウジ</t>
    </rPh>
    <phoneticPr fontId="3"/>
  </si>
  <si>
    <t>滞留立替金利計算結果情報の滞留金利をカンマ編集して表示する</t>
    <rPh sb="13" eb="17">
      <t>タイリュウキンリ</t>
    </rPh>
    <phoneticPr fontId="3"/>
  </si>
  <si>
    <t>滞留立替金利計算結果情報の立替金利をカンマ編集して表示する</t>
    <rPh sb="13" eb="15">
      <t>タテカエ</t>
    </rPh>
    <rPh sb="15" eb="17">
      <t>キンリ</t>
    </rPh>
    <phoneticPr fontId="3"/>
  </si>
  <si>
    <t>一覧上に表示されている滞留金利の合計をカンマ編集して表示する</t>
    <rPh sb="0" eb="3">
      <t>イチランジョウ</t>
    </rPh>
    <rPh sb="4" eb="6">
      <t>ヒョウジ</t>
    </rPh>
    <rPh sb="11" eb="15">
      <t>タイリュウキンリ</t>
    </rPh>
    <rPh sb="16" eb="18">
      <t>ゴウケイ</t>
    </rPh>
    <phoneticPr fontId="3"/>
  </si>
  <si>
    <t>一覧上に表示されている立替金利の合計をカンマ編集して表示する</t>
    <rPh sb="0" eb="3">
      <t>イチランジョウ</t>
    </rPh>
    <rPh sb="4" eb="6">
      <t>ヒョウジ</t>
    </rPh>
    <rPh sb="11" eb="13">
      <t>タテカエ</t>
    </rPh>
    <rPh sb="13" eb="15">
      <t>キンリ</t>
    </rPh>
    <rPh sb="16" eb="18">
      <t>ゴウケイ</t>
    </rPh>
    <phoneticPr fontId="3"/>
  </si>
  <si>
    <t>既計上分の立替金利の合計をカンマ編集して表示する</t>
    <rPh sb="0" eb="3">
      <t>キケイジョウ</t>
    </rPh>
    <rPh sb="3" eb="4">
      <t>ブン</t>
    </rPh>
    <rPh sb="5" eb="9">
      <t>タテカエキンリ</t>
    </rPh>
    <rPh sb="10" eb="12">
      <t>ゴウケイ</t>
    </rPh>
    <phoneticPr fontId="3"/>
  </si>
  <si>
    <t>既計上分の滞留金利の合計をカンマ編集して表示する</t>
    <rPh sb="0" eb="3">
      <t>キケイジョウ</t>
    </rPh>
    <rPh sb="3" eb="4">
      <t>ブン</t>
    </rPh>
    <rPh sb="5" eb="7">
      <t>タイリュウ</t>
    </rPh>
    <rPh sb="7" eb="9">
      <t>キンリ</t>
    </rPh>
    <rPh sb="10" eb="12">
      <t>ゴウケイ</t>
    </rPh>
    <phoneticPr fontId="3"/>
  </si>
  <si>
    <t>滞留金利（総金利）－ 滞留金利（既計上金利）をカンマ編集して表示する</t>
    <rPh sb="0" eb="4">
      <t>タイリュウキンリ</t>
    </rPh>
    <rPh sb="5" eb="8">
      <t>ソウキンリ</t>
    </rPh>
    <rPh sb="11" eb="15">
      <t>タイリュウキンリ</t>
    </rPh>
    <rPh sb="16" eb="21">
      <t>キケイジョウキンリ</t>
    </rPh>
    <phoneticPr fontId="3"/>
  </si>
  <si>
    <t>立替金利（総金利）－ 立替金利（既計上金利）をカンマ編集して表示する</t>
    <rPh sb="0" eb="2">
      <t>タテカエ</t>
    </rPh>
    <rPh sb="2" eb="4">
      <t>キンリ</t>
    </rPh>
    <rPh sb="5" eb="8">
      <t>ソウキンリ</t>
    </rPh>
    <rPh sb="11" eb="13">
      <t>タテカエ</t>
    </rPh>
    <rPh sb="13" eb="15">
      <t>キンリ</t>
    </rPh>
    <rPh sb="16" eb="21">
      <t>キケイジョウキンリ</t>
    </rPh>
    <phoneticPr fontId="3"/>
  </si>
  <si>
    <t>一覧画面で選択した明細の収支管理品目コードを表示する</t>
    <rPh sb="0" eb="2">
      <t>イチラン</t>
    </rPh>
    <rPh sb="2" eb="4">
      <t>ガメン</t>
    </rPh>
    <rPh sb="5" eb="7">
      <t>センタク</t>
    </rPh>
    <rPh sb="9" eb="11">
      <t>メイサイ</t>
    </rPh>
    <rPh sb="12" eb="18">
      <t>シュウシカンリヒンモク</t>
    </rPh>
    <rPh sb="22" eb="24">
      <t>ヒョウジ</t>
    </rPh>
    <phoneticPr fontId="3"/>
  </si>
  <si>
    <t>一覧画面で選択した明細の収支管理品目名を表示する</t>
    <rPh sb="0" eb="2">
      <t>イチラン</t>
    </rPh>
    <rPh sb="2" eb="4">
      <t>ガメン</t>
    </rPh>
    <rPh sb="5" eb="7">
      <t>センタク</t>
    </rPh>
    <rPh sb="9" eb="11">
      <t>メイサイ</t>
    </rPh>
    <rPh sb="12" eb="18">
      <t>シュウシカンリヒンモク</t>
    </rPh>
    <rPh sb="18" eb="19">
      <t>メイ</t>
    </rPh>
    <rPh sb="20" eb="22">
      <t>ヒョウジ</t>
    </rPh>
    <phoneticPr fontId="3"/>
  </si>
  <si>
    <t>一覧画面で選択した明細の年産を表示する</t>
    <rPh sb="0" eb="2">
      <t>イチラン</t>
    </rPh>
    <rPh sb="2" eb="4">
      <t>ガメン</t>
    </rPh>
    <rPh sb="5" eb="7">
      <t>センタク</t>
    </rPh>
    <rPh sb="9" eb="11">
      <t>メイサイ</t>
    </rPh>
    <rPh sb="12" eb="14">
      <t>ネンサン</t>
    </rPh>
    <rPh sb="15" eb="17">
      <t>ヒョウジ</t>
    </rPh>
    <phoneticPr fontId="3"/>
  </si>
  <si>
    <t>一覧画面で選択した明細の共計次数を表示する</t>
    <rPh sb="0" eb="2">
      <t>イチラン</t>
    </rPh>
    <rPh sb="2" eb="4">
      <t>ガメン</t>
    </rPh>
    <rPh sb="5" eb="7">
      <t>センタク</t>
    </rPh>
    <rPh sb="9" eb="11">
      <t>メイサイ</t>
    </rPh>
    <rPh sb="12" eb="16">
      <t>キョウケイジスウ</t>
    </rPh>
    <rPh sb="17" eb="19">
      <t>ヒョウジ</t>
    </rPh>
    <phoneticPr fontId="3"/>
  </si>
  <si>
    <t>【プルダウンリスト項目】</t>
    <rPh sb="9" eb="11">
      <t>コウモク</t>
    </rPh>
    <phoneticPr fontId="3"/>
  </si>
  <si>
    <t>　計上対象収支管理品目</t>
    <rPh sb="1" eb="5">
      <t>ケイジョウタイショウ</t>
    </rPh>
    <rPh sb="5" eb="11">
      <t>シュウシカンリヒンモク</t>
    </rPh>
    <phoneticPr fontId="3"/>
  </si>
  <si>
    <t>　計上対象収支管理品目名</t>
    <rPh sb="1" eb="3">
      <t>ケイジョウ</t>
    </rPh>
    <rPh sb="3" eb="5">
      <t>タイショウ</t>
    </rPh>
    <rPh sb="5" eb="7">
      <t>シュウシ</t>
    </rPh>
    <rPh sb="11" eb="12">
      <t>メイ</t>
    </rPh>
    <phoneticPr fontId="3"/>
  </si>
  <si>
    <t>　計上対象年産</t>
    <rPh sb="5" eb="7">
      <t>ネンサン</t>
    </rPh>
    <phoneticPr fontId="3"/>
  </si>
  <si>
    <t>　計上対象共計次数</t>
    <rPh sb="5" eb="7">
      <t>キョウケイ</t>
    </rPh>
    <rPh sb="7" eb="9">
      <t>ジスウ</t>
    </rPh>
    <phoneticPr fontId="3"/>
  </si>
  <si>
    <t>共計組織コードを入力する</t>
    <rPh sb="0" eb="4">
      <t>キョウケイソシキ</t>
    </rPh>
    <rPh sb="8" eb="10">
      <t>ニュウリョク</t>
    </rPh>
    <phoneticPr fontId="3"/>
  </si>
  <si>
    <t>共計組織に対する名称を取得する</t>
    <rPh sb="0" eb="4">
      <t>キョウケイソシキ</t>
    </rPh>
    <rPh sb="5" eb="6">
      <t>タイ</t>
    </rPh>
    <rPh sb="8" eb="10">
      <t>メイショウ</t>
    </rPh>
    <rPh sb="11" eb="13">
      <t>シュトク</t>
    </rPh>
    <phoneticPr fontId="3"/>
  </si>
  <si>
    <t>収支管理品目コードを入力する</t>
    <rPh sb="0" eb="6">
      <t>シュウシカンリヒンモク</t>
    </rPh>
    <rPh sb="10" eb="12">
      <t>ニュウリョク</t>
    </rPh>
    <phoneticPr fontId="3"/>
  </si>
  <si>
    <t>年産を入力する</t>
    <rPh sb="0" eb="2">
      <t>ネンサン</t>
    </rPh>
    <rPh sb="3" eb="5">
      <t>ニュウリョク</t>
    </rPh>
    <phoneticPr fontId="3"/>
  </si>
  <si>
    <t>共計次数を入力する</t>
    <rPh sb="0" eb="4">
      <t>キョウケイジスウ</t>
    </rPh>
    <rPh sb="5" eb="7">
      <t>ニュウリョク</t>
    </rPh>
    <phoneticPr fontId="3"/>
  </si>
  <si>
    <t>収支管理品目２に対する名称を表示する</t>
    <rPh sb="0" eb="6">
      <t>シュウシカンリヒンモク</t>
    </rPh>
    <rPh sb="8" eb="9">
      <t>タイ</t>
    </rPh>
    <rPh sb="11" eb="13">
      <t>メイショウ</t>
    </rPh>
    <rPh sb="14" eb="16">
      <t>ヒョウジ</t>
    </rPh>
    <phoneticPr fontId="3"/>
  </si>
  <si>
    <t>収支管理品目３に対する名称を表示する</t>
    <rPh sb="0" eb="6">
      <t>シュウシカンリヒンモク</t>
    </rPh>
    <rPh sb="8" eb="9">
      <t>タイ</t>
    </rPh>
    <rPh sb="11" eb="13">
      <t>メイショウ</t>
    </rPh>
    <rPh sb="14" eb="16">
      <t>ヒョウジ</t>
    </rPh>
    <phoneticPr fontId="3"/>
  </si>
  <si>
    <t>初期値チェックなし</t>
    <rPh sb="0" eb="3">
      <t>ショキチ</t>
    </rPh>
    <phoneticPr fontId="3"/>
  </si>
  <si>
    <t>XX ＸＸＸＸＸ</t>
    <phoneticPr fontId="3"/>
  </si>
  <si>
    <t>業種（明細）</t>
    <rPh sb="0" eb="2">
      <t>ギョウシュ</t>
    </rPh>
    <rPh sb="3" eb="5">
      <t>メイサイ</t>
    </rPh>
    <phoneticPr fontId="3"/>
  </si>
  <si>
    <t>業種名（明細）</t>
    <rPh sb="0" eb="2">
      <t>ギョウシュ</t>
    </rPh>
    <rPh sb="2" eb="3">
      <t>メイ</t>
    </rPh>
    <rPh sb="4" eb="6">
      <t>メイサイ</t>
    </rPh>
    <phoneticPr fontId="3"/>
  </si>
  <si>
    <t>○</t>
  </si>
  <si>
    <t>承認状況</t>
    <rPh sb="0" eb="4">
      <t>ショウニンジョウキョウ</t>
    </rPh>
    <phoneticPr fontId="3"/>
  </si>
  <si>
    <t>承認状況（明細）</t>
    <rPh sb="0" eb="4">
      <t>ショウニンジョウキョウ</t>
    </rPh>
    <rPh sb="5" eb="7">
      <t>メイサイ</t>
    </rPh>
    <phoneticPr fontId="3"/>
  </si>
  <si>
    <t>承認状況を表示する</t>
    <rPh sb="0" eb="4">
      <t>ショウニンジョウキョウ</t>
    </rPh>
    <rPh sb="5" eb="7">
      <t>ヒョウジ</t>
    </rPh>
    <phoneticPr fontId="3"/>
  </si>
  <si>
    <t>☑差戻　☑下書保存　☑依頼中　□承認済</t>
    <rPh sb="1" eb="3">
      <t>サシモドシ</t>
    </rPh>
    <rPh sb="5" eb="7">
      <t>シタガ</t>
    </rPh>
    <rPh sb="7" eb="9">
      <t>ホゾン</t>
    </rPh>
    <rPh sb="11" eb="13">
      <t>イライ</t>
    </rPh>
    <rPh sb="13" eb="14">
      <t>チュウ</t>
    </rPh>
    <rPh sb="16" eb="18">
      <t>ショウニン</t>
    </rPh>
    <rPh sb="18" eb="19">
      <t>スミ</t>
    </rPh>
    <phoneticPr fontId="3"/>
  </si>
  <si>
    <t>差戻→下書保存→依頼中→承認済</t>
    <rPh sb="0" eb="2">
      <t>サシモドシ</t>
    </rPh>
    <rPh sb="3" eb="5">
      <t>シタガ</t>
    </rPh>
    <rPh sb="5" eb="7">
      <t>ホゾン</t>
    </rPh>
    <rPh sb="14" eb="15">
      <t>スミ</t>
    </rPh>
    <phoneticPr fontId="3"/>
  </si>
  <si>
    <t>(1 of 5) &lt;&lt;  &lt;  1 2 3 4 5  &gt;  &gt;&gt;　</t>
    <phoneticPr fontId="3"/>
  </si>
  <si>
    <t>承認依頼取下</t>
    <rPh sb="0" eb="2">
      <t>ショウニン</t>
    </rPh>
    <rPh sb="2" eb="4">
      <t>イライ</t>
    </rPh>
    <rPh sb="4" eb="5">
      <t>トリ</t>
    </rPh>
    <rPh sb="5" eb="6">
      <t>シタ</t>
    </rPh>
    <phoneticPr fontId="3"/>
  </si>
  <si>
    <t>一覧表示画面へ遷移する。</t>
    <rPh sb="0" eb="2">
      <t>イチラン</t>
    </rPh>
    <rPh sb="2" eb="6">
      <t>ヒョウジガメン</t>
    </rPh>
    <rPh sb="7" eb="9">
      <t>センイ</t>
    </rPh>
    <phoneticPr fontId="3"/>
  </si>
  <si>
    <t>キャンセル</t>
    <phoneticPr fontId="3"/>
  </si>
  <si>
    <t>下書保存</t>
    <rPh sb="0" eb="2">
      <t>シタガ</t>
    </rPh>
    <rPh sb="2" eb="4">
      <t>ホゾン</t>
    </rPh>
    <phoneticPr fontId="3"/>
  </si>
  <si>
    <t>◀</t>
    <phoneticPr fontId="3"/>
  </si>
  <si>
    <t>▶</t>
    <phoneticPr fontId="3"/>
  </si>
  <si>
    <t>経理日</t>
    <rPh sb="0" eb="2">
      <t>ケイリ</t>
    </rPh>
    <rPh sb="2" eb="3">
      <t>ビ</t>
    </rPh>
    <phoneticPr fontId="3"/>
  </si>
  <si>
    <t>YYYY/MM/DD</t>
    <phoneticPr fontId="3"/>
  </si>
  <si>
    <t>ＸＸＸＸＸＸＸＸＸＸ</t>
    <phoneticPr fontId="3"/>
  </si>
  <si>
    <t>191113</t>
    <phoneticPr fontId="3"/>
  </si>
  <si>
    <t>191114</t>
    <phoneticPr fontId="3"/>
  </si>
  <si>
    <t>XXXXXX</t>
    <phoneticPr fontId="3"/>
  </si>
  <si>
    <t>伝票番号</t>
    <rPh sb="0" eb="4">
      <t>デンピョウバンゴウ</t>
    </rPh>
    <phoneticPr fontId="3"/>
  </si>
  <si>
    <t>XXXXXXXXXXXX</t>
    <phoneticPr fontId="3"/>
  </si>
  <si>
    <t>更新日</t>
    <phoneticPr fontId="3"/>
  </si>
  <si>
    <t>3</t>
  </si>
  <si>
    <t>経理日</t>
    <phoneticPr fontId="3"/>
  </si>
  <si>
    <t>4</t>
  </si>
  <si>
    <t>更新者</t>
    <phoneticPr fontId="3"/>
  </si>
  <si>
    <t>-</t>
  </si>
  <si>
    <t>文字
（全角）</t>
    <rPh sb="0" eb="2">
      <t>モジ</t>
    </rPh>
    <rPh sb="4" eb="6">
      <t>ゼンカク</t>
    </rPh>
    <phoneticPr fontId="3"/>
  </si>
  <si>
    <t>更新日（明細）</t>
    <rPh sb="0" eb="3">
      <t>コウシンビ</t>
    </rPh>
    <rPh sb="4" eb="6">
      <t>メイサイ</t>
    </rPh>
    <phoneticPr fontId="3"/>
  </si>
  <si>
    <t>経理日（明細）</t>
    <rPh sb="0" eb="3">
      <t>ケイリビ</t>
    </rPh>
    <phoneticPr fontId="3"/>
  </si>
  <si>
    <t>更新者（明細）</t>
    <rPh sb="0" eb="3">
      <t>コウシンシャ</t>
    </rPh>
    <phoneticPr fontId="3"/>
  </si>
  <si>
    <t>滞留立替金利計算結果情報の更新日を表示する</t>
    <rPh sb="0" eb="2">
      <t>タイリュウ</t>
    </rPh>
    <rPh sb="2" eb="4">
      <t>タテカエ</t>
    </rPh>
    <rPh sb="4" eb="6">
      <t>キンリ</t>
    </rPh>
    <rPh sb="6" eb="8">
      <t>ケイサン</t>
    </rPh>
    <rPh sb="8" eb="10">
      <t>ケッカ</t>
    </rPh>
    <rPh sb="10" eb="12">
      <t>ジョウホウ</t>
    </rPh>
    <rPh sb="13" eb="16">
      <t>コウシンビ</t>
    </rPh>
    <rPh sb="17" eb="19">
      <t>ヒョウジ</t>
    </rPh>
    <phoneticPr fontId="3"/>
  </si>
  <si>
    <t>滞留立替金利計算結果情報の経理日を表示する</t>
    <rPh sb="0" eb="2">
      <t>タイリュウ</t>
    </rPh>
    <rPh sb="2" eb="4">
      <t>タテカエ</t>
    </rPh>
    <rPh sb="4" eb="6">
      <t>キンリ</t>
    </rPh>
    <rPh sb="6" eb="8">
      <t>ケイサン</t>
    </rPh>
    <rPh sb="8" eb="10">
      <t>ケッカ</t>
    </rPh>
    <rPh sb="10" eb="12">
      <t>ジョウホウ</t>
    </rPh>
    <rPh sb="13" eb="16">
      <t>ケイリビ</t>
    </rPh>
    <rPh sb="17" eb="19">
      <t>ヒョウジ</t>
    </rPh>
    <phoneticPr fontId="3"/>
  </si>
  <si>
    <t>滞留立替金利計算結果情報の更新者をキーに職員マスタから取得した職員氏名を表示する</t>
    <rPh sb="0" eb="2">
      <t>タイリュウ</t>
    </rPh>
    <rPh sb="2" eb="4">
      <t>タテカエ</t>
    </rPh>
    <rPh sb="4" eb="6">
      <t>キンリ</t>
    </rPh>
    <rPh sb="6" eb="8">
      <t>ケイサン</t>
    </rPh>
    <rPh sb="8" eb="10">
      <t>ケッカ</t>
    </rPh>
    <rPh sb="10" eb="12">
      <t>ジョウホウ</t>
    </rPh>
    <rPh sb="13" eb="16">
      <t>コウシンシャ</t>
    </rPh>
    <rPh sb="20" eb="22">
      <t>ショクイン</t>
    </rPh>
    <rPh sb="31" eb="33">
      <t>ショクイン</t>
    </rPh>
    <rPh sb="33" eb="35">
      <t>シメイ</t>
    </rPh>
    <phoneticPr fontId="2"/>
  </si>
  <si>
    <t>12</t>
    <phoneticPr fontId="3"/>
  </si>
  <si>
    <t>伝票番号（明細）</t>
    <rPh sb="0" eb="2">
      <t>デンピョウ</t>
    </rPh>
    <rPh sb="2" eb="4">
      <t>バンゴウ</t>
    </rPh>
    <rPh sb="5" eb="7">
      <t>メイサイ</t>
    </rPh>
    <phoneticPr fontId="3"/>
  </si>
  <si>
    <t>2025/8/29</t>
    <phoneticPr fontId="16"/>
  </si>
  <si>
    <t>2025/8/29</t>
    <phoneticPr fontId="3"/>
  </si>
  <si>
    <t>滞留立替金利情報作成</t>
    <phoneticPr fontId="3"/>
  </si>
  <si>
    <t>管理メニュー領域</t>
    <phoneticPr fontId="3"/>
  </si>
  <si>
    <t>検索条件</t>
    <rPh sb="0" eb="2">
      <t>ケンサク</t>
    </rPh>
    <rPh sb="2" eb="4">
      <t>ジョウケン</t>
    </rPh>
    <phoneticPr fontId="3"/>
  </si>
  <si>
    <t>統合会計システム</t>
    <phoneticPr fontId="3"/>
  </si>
  <si>
    <t>統合会計システム</t>
    <phoneticPr fontId="16"/>
  </si>
  <si>
    <t>登録</t>
    <rPh sb="0" eb="2">
      <t>トウロク</t>
    </rPh>
    <phoneticPr fontId="3"/>
  </si>
  <si>
    <t>金利計算基準日</t>
    <rPh sb="0" eb="2">
      <t>キンリ</t>
    </rPh>
    <rPh sb="2" eb="4">
      <t>ケイサン</t>
    </rPh>
    <rPh sb="4" eb="7">
      <t>キジュンビ</t>
    </rPh>
    <phoneticPr fontId="3"/>
  </si>
  <si>
    <t>計上対象収支管理品目　　　　</t>
    <phoneticPr fontId="3"/>
  </si>
  <si>
    <t>金利計算基準日</t>
    <rPh sb="0" eb="4">
      <t>キンリケイサン</t>
    </rPh>
    <rPh sb="4" eb="7">
      <t>キジュンビ</t>
    </rPh>
    <phoneticPr fontId="3"/>
  </si>
  <si>
    <t>金利計算基準日を入力する。</t>
    <rPh sb="0" eb="4">
      <t>キンリケイサン</t>
    </rPh>
    <rPh sb="4" eb="7">
      <t>キジュンビ</t>
    </rPh>
    <rPh sb="8" eb="10">
      <t>ニュウリョク</t>
    </rPh>
    <phoneticPr fontId="3"/>
  </si>
  <si>
    <t>※初期表示</t>
    <rPh sb="1" eb="5">
      <t>ショキヒョウジ</t>
    </rPh>
    <phoneticPr fontId="3"/>
  </si>
  <si>
    <t>修正</t>
    <rPh sb="0" eb="2">
      <t>シュウセイ</t>
    </rPh>
    <phoneticPr fontId="3"/>
  </si>
  <si>
    <t>滞留立替金利経理計上</t>
  </si>
  <si>
    <t>滞留立替金利経理計上</t>
    <phoneticPr fontId="16"/>
  </si>
  <si>
    <t>【登録時】</t>
    <rPh sb="1" eb="3">
      <t>トウロク</t>
    </rPh>
    <rPh sb="3" eb="4">
      <t>トキ</t>
    </rPh>
    <phoneticPr fontId="3"/>
  </si>
  <si>
    <t>一覧表示</t>
    <rPh sb="0" eb="4">
      <t>イチランヒョウジ</t>
    </rPh>
    <phoneticPr fontId="3"/>
  </si>
  <si>
    <t>収支管理品目３</t>
    <rPh sb="0" eb="2">
      <t>シュウシ</t>
    </rPh>
    <rPh sb="2" eb="4">
      <t>カンリ</t>
    </rPh>
    <rPh sb="4" eb="6">
      <t>ヒンモク</t>
    </rPh>
    <phoneticPr fontId="3"/>
  </si>
  <si>
    <t>　◎ 全道共計  〇 地区共計 〇 全国共計</t>
    <phoneticPr fontId="3"/>
  </si>
  <si>
    <r>
      <t>業種</t>
    </r>
    <r>
      <rPr>
        <sz val="10"/>
        <color rgb="FFFF0000"/>
        <rFont val="ＭＳ ゴシック"/>
        <family val="3"/>
        <charset val="128"/>
      </rPr>
      <t xml:space="preserve"> (*)</t>
    </r>
    <rPh sb="0" eb="2">
      <t>ギョウシュ</t>
    </rPh>
    <phoneticPr fontId="3"/>
  </si>
  <si>
    <r>
      <t xml:space="preserve">共計組織 </t>
    </r>
    <r>
      <rPr>
        <sz val="10"/>
        <color rgb="FFFF0000"/>
        <rFont val="ＭＳ ゴシック"/>
        <family val="3"/>
        <charset val="128"/>
      </rPr>
      <t>(*)</t>
    </r>
    <rPh sb="0" eb="2">
      <t>キョウケイ</t>
    </rPh>
    <rPh sb="2" eb="4">
      <t>ソシキ</t>
    </rPh>
    <phoneticPr fontId="3"/>
  </si>
  <si>
    <r>
      <t xml:space="preserve">金利計算基準日 </t>
    </r>
    <r>
      <rPr>
        <sz val="10"/>
        <color rgb="FFFF0000"/>
        <rFont val="ＭＳ ゴシック"/>
        <family val="3"/>
        <charset val="128"/>
      </rPr>
      <t>(*)</t>
    </r>
    <rPh sb="0" eb="4">
      <t>キンリケイサン</t>
    </rPh>
    <rPh sb="4" eb="7">
      <t>キジュンビ</t>
    </rPh>
    <phoneticPr fontId="3"/>
  </si>
  <si>
    <t>取引日</t>
    <rPh sb="0" eb="3">
      <t>トリヒキビ</t>
    </rPh>
    <phoneticPr fontId="3"/>
  </si>
  <si>
    <t>取引日</t>
    <phoneticPr fontId="3"/>
  </si>
  <si>
    <r>
      <t>取引日</t>
    </r>
    <r>
      <rPr>
        <sz val="10"/>
        <color rgb="FFFF0000"/>
        <rFont val="ＭＳ ゴシック"/>
        <family val="3"/>
        <charset val="128"/>
      </rPr>
      <t xml:space="preserve"> (*)</t>
    </r>
    <phoneticPr fontId="3"/>
  </si>
  <si>
    <t>農産部雑穀課</t>
  </si>
  <si>
    <t>作成</t>
    <rPh sb="0" eb="2">
      <t>サクセイ</t>
    </rPh>
    <phoneticPr fontId="3"/>
  </si>
  <si>
    <t>191113 小豆 2024 01</t>
  </si>
  <si>
    <t xml:space="preserve"> 雑穀</t>
  </si>
  <si>
    <t>小豆</t>
    <phoneticPr fontId="3"/>
  </si>
  <si>
    <t>赤系金時</t>
  </si>
  <si>
    <t>確認</t>
    <rPh sb="0" eb="2">
      <t>カクニン</t>
    </rPh>
    <phoneticPr fontId="3"/>
  </si>
  <si>
    <t xml:space="preserve">検索条件を入力し、照会ボタンを押下して対象を検索してください。
検索結果より滞留立替金利情報を確認し、確認画面ボタンを押下してください。  </t>
    <phoneticPr fontId="3"/>
  </si>
  <si>
    <t>2024</t>
  </si>
  <si>
    <t>01</t>
  </si>
  <si>
    <t>2025/03/31</t>
  </si>
  <si>
    <t>hhhttp//aaa</t>
    <phoneticPr fontId="3"/>
  </si>
  <si>
    <t>【照会押下後・一覧表示からの修正時】</t>
    <rPh sb="1" eb="3">
      <t>ショウカイ</t>
    </rPh>
    <rPh sb="3" eb="6">
      <t>オウカゴ</t>
    </rPh>
    <rPh sb="7" eb="11">
      <t>イチランヒョウジ</t>
    </rPh>
    <rPh sb="14" eb="16">
      <t>シュウセイ</t>
    </rPh>
    <rPh sb="16" eb="17">
      <t>ジ</t>
    </rPh>
    <phoneticPr fontId="3"/>
  </si>
  <si>
    <t>【基本情報エリア】</t>
    <rPh sb="1" eb="5">
      <t>キホンジョウホウ</t>
    </rPh>
    <phoneticPr fontId="3"/>
  </si>
  <si>
    <t>取引日を表示する。</t>
    <rPh sb="0" eb="3">
      <t>トリヒキビ</t>
    </rPh>
    <rPh sb="4" eb="6">
      <t>ヒョウジ</t>
    </rPh>
    <phoneticPr fontId="3"/>
  </si>
  <si>
    <t>金利計算基準日を表示する。</t>
    <rPh sb="0" eb="4">
      <t>キンリケイサン</t>
    </rPh>
    <rPh sb="4" eb="7">
      <t>キジュンビ</t>
    </rPh>
    <rPh sb="8" eb="10">
      <t>ヒョウジ</t>
    </rPh>
    <phoneticPr fontId="3"/>
  </si>
  <si>
    <t>滞留立替金利計算結果情報の業種を入力する</t>
    <rPh sb="13" eb="15">
      <t>ギョウシュ</t>
    </rPh>
    <rPh sb="16" eb="18">
      <t>ニュウリョク</t>
    </rPh>
    <phoneticPr fontId="3"/>
  </si>
  <si>
    <t>滞留立替金利計算結果情報の共計組織を入力する</t>
    <rPh sb="13" eb="17">
      <t>キョウケイソシキ</t>
    </rPh>
    <rPh sb="18" eb="20">
      <t>ニュウリョク</t>
    </rPh>
    <phoneticPr fontId="3"/>
  </si>
  <si>
    <t>滞留立替金利情報の作成画面へ遷移する。</t>
    <rPh sb="0" eb="2">
      <t>タイリュウ</t>
    </rPh>
    <rPh sb="2" eb="4">
      <t>タテカエ</t>
    </rPh>
    <rPh sb="4" eb="6">
      <t>キンリ</t>
    </rPh>
    <rPh sb="6" eb="8">
      <t>ジョウホウ</t>
    </rPh>
    <rPh sb="9" eb="11">
      <t>サクセイ</t>
    </rPh>
    <rPh sb="11" eb="13">
      <t>ガメン</t>
    </rPh>
    <rPh sb="14" eb="16">
      <t>センイ</t>
    </rPh>
    <phoneticPr fontId="3"/>
  </si>
  <si>
    <t>削除</t>
    <rPh sb="0" eb="2">
      <t>サクジョ</t>
    </rPh>
    <phoneticPr fontId="3"/>
  </si>
  <si>
    <t>【登録・修正時】</t>
    <rPh sb="1" eb="3">
      <t>トウロク</t>
    </rPh>
    <rPh sb="4" eb="6">
      <t>シュウセイ</t>
    </rPh>
    <rPh sb="6" eb="7">
      <t>ジ</t>
    </rPh>
    <phoneticPr fontId="3"/>
  </si>
  <si>
    <t>内容を確認し、申請ボタンを押下してください。</t>
    <rPh sb="0" eb="2">
      <t>ナイヨウ</t>
    </rPh>
    <rPh sb="3" eb="5">
      <t>カクニン</t>
    </rPh>
    <rPh sb="7" eb="9">
      <t>シンセイ</t>
    </rPh>
    <rPh sb="13" eb="15">
      <t>オウカ</t>
    </rPh>
    <phoneticPr fontId="3"/>
  </si>
  <si>
    <t>内容を確認し、承認依頼取下ボタンを押下してください。</t>
    <rPh sb="0" eb="2">
      <t>ナイヨウ</t>
    </rPh>
    <rPh sb="3" eb="5">
      <t>カクニン</t>
    </rPh>
    <rPh sb="7" eb="9">
      <t>ショウニン</t>
    </rPh>
    <rPh sb="9" eb="11">
      <t>イライ</t>
    </rPh>
    <rPh sb="11" eb="12">
      <t>トリ</t>
    </rPh>
    <rPh sb="12" eb="13">
      <t>シタ</t>
    </rPh>
    <rPh sb="17" eb="19">
      <t>オウカ</t>
    </rPh>
    <phoneticPr fontId="3"/>
  </si>
  <si>
    <t>基本情報 ～ 滞留立替金利情報のイメージは「登録・修正」と変わらないためイメージ割愛</t>
    <rPh sb="0" eb="4">
      <t>キホンジョウホウ</t>
    </rPh>
    <phoneticPr fontId="3"/>
  </si>
  <si>
    <t>【削除時】</t>
    <rPh sb="1" eb="3">
      <t>サクジョ</t>
    </rPh>
    <phoneticPr fontId="3"/>
  </si>
  <si>
    <t>訂正</t>
    <rPh sb="0" eb="2">
      <t>テイセイ</t>
    </rPh>
    <phoneticPr fontId="3"/>
  </si>
  <si>
    <t>承認依頼取下</t>
    <rPh sb="0" eb="2">
      <t>ショウニン</t>
    </rPh>
    <rPh sb="2" eb="4">
      <t>イライ</t>
    </rPh>
    <rPh sb="4" eb="6">
      <t>トリサ</t>
    </rPh>
    <phoneticPr fontId="3"/>
  </si>
  <si>
    <t>申請（登録・修正・削除）、承認依頼取下、キャンセル</t>
  </si>
  <si>
    <t>確認画面</t>
    <rPh sb="0" eb="4">
      <t>カクニンガメン</t>
    </rPh>
    <phoneticPr fontId="3"/>
  </si>
  <si>
    <t>登録、修正</t>
    <rPh sb="0" eb="2">
      <t>トウロク</t>
    </rPh>
    <rPh sb="3" eb="5">
      <t>シュウセイ</t>
    </rPh>
    <phoneticPr fontId="3"/>
  </si>
  <si>
    <t>確認画面</t>
    <rPh sb="0" eb="2">
      <t>カクニン</t>
    </rPh>
    <rPh sb="2" eb="4">
      <t>ガメン</t>
    </rPh>
    <phoneticPr fontId="3"/>
  </si>
  <si>
    <t>入力された条件をもとに、滞留立替金利情報を計算する。</t>
    <rPh sb="0" eb="2">
      <t>ニュウリョク</t>
    </rPh>
    <rPh sb="5" eb="7">
      <t>ジョウケン</t>
    </rPh>
    <phoneticPr fontId="3"/>
  </si>
  <si>
    <t>検索条件を入力し照会ボタンを押下してください。</t>
    <phoneticPr fontId="3"/>
  </si>
  <si>
    <t>収支管理品目２</t>
  </si>
  <si>
    <t>収支管理品目３</t>
  </si>
  <si>
    <t>／共計次数を入力してください。</t>
    <rPh sb="0" eb="4">
      <t>キョウケイジスウ</t>
    </rPh>
    <phoneticPr fontId="3"/>
  </si>
  <si>
    <t>取引日を入力する。ＶＢ期間であれば前月末日、ＶＢ期間外であれば運用管理日（当日）を設定する。</t>
    <rPh sb="0" eb="3">
      <t>トリヒキビ</t>
    </rPh>
    <rPh sb="4" eb="6">
      <t>ニュウリョク</t>
    </rPh>
    <phoneticPr fontId="3"/>
  </si>
  <si>
    <t>取引日とVB期間の
組み合わせチェック</t>
    <phoneticPr fontId="3"/>
  </si>
  <si>
    <t>ＶＢ期間中に取引日が当月日付の場合、警告する。
／取引日が入力月となっているため、入力月の経理となりますが、よろしいですか？
前月経理とする場合は、取引日に前月末日以前を入力してください。</t>
    <phoneticPr fontId="3"/>
  </si>
  <si>
    <t>※収支管理品目１つの場合。伝票番号は修正時のみ表示</t>
    <rPh sb="1" eb="3">
      <t>シュウシ</t>
    </rPh>
    <rPh sb="3" eb="5">
      <t>カンリ</t>
    </rPh>
    <rPh sb="5" eb="7">
      <t>ヒンモク</t>
    </rPh>
    <rPh sb="10" eb="12">
      <t>バアイ</t>
    </rPh>
    <rPh sb="13" eb="17">
      <t>デンピョウバンゴウ</t>
    </rPh>
    <rPh sb="18" eb="21">
      <t>シュウセイジ</t>
    </rPh>
    <rPh sb="23" eb="25">
      <t>ヒョウジ</t>
    </rPh>
    <phoneticPr fontId="3"/>
  </si>
  <si>
    <t>※収支管理品目２つ以上の場合。伝票番号は修正時のみ表示</t>
    <rPh sb="1" eb="3">
      <t>シュウシ</t>
    </rPh>
    <rPh sb="3" eb="5">
      <t>カンリ</t>
    </rPh>
    <rPh sb="5" eb="7">
      <t>ヒンモク</t>
    </rPh>
    <rPh sb="9" eb="11">
      <t>イジョウ</t>
    </rPh>
    <rPh sb="12" eb="14">
      <t>バアイ</t>
    </rPh>
    <phoneticPr fontId="3"/>
  </si>
  <si>
    <t>【個別照会時】</t>
    <rPh sb="1" eb="5">
      <t>コベツショウカイ</t>
    </rPh>
    <phoneticPr fontId="3"/>
  </si>
  <si>
    <t>内容を確認し、一覧表示画面に戻る場合は「キャンセル」ボタンを押して下さい。</t>
    <rPh sb="0" eb="2">
      <t>ナイヨウ</t>
    </rPh>
    <rPh sb="3" eb="5">
      <t>カクニン</t>
    </rPh>
    <rPh sb="7" eb="9">
      <t>イチラン</t>
    </rPh>
    <rPh sb="9" eb="11">
      <t>ヒョウジ</t>
    </rPh>
    <rPh sb="11" eb="13">
      <t>ガメン</t>
    </rPh>
    <rPh sb="14" eb="15">
      <t>モド</t>
    </rPh>
    <rPh sb="16" eb="18">
      <t>バアイ</t>
    </rPh>
    <rPh sb="30" eb="31">
      <t>オ</t>
    </rPh>
    <rPh sb="33" eb="34">
      <t>クダ</t>
    </rPh>
    <phoneticPr fontId="3"/>
  </si>
  <si>
    <t>カーソル（初期位置）</t>
    <phoneticPr fontId="3"/>
  </si>
  <si>
    <t>作成画面へ遷移する。</t>
    <rPh sb="0" eb="2">
      <t>サクセイ</t>
    </rPh>
    <rPh sb="2" eb="4">
      <t>ガメン</t>
    </rPh>
    <rPh sb="5" eb="7">
      <t>センイ</t>
    </rPh>
    <phoneticPr fontId="3"/>
  </si>
  <si>
    <t>「登録」「修正」「削除」の場合に表示する。
その他の場合には表示しない。</t>
    <phoneticPr fontId="3"/>
  </si>
  <si>
    <t>「登録」「修正」の場合に表示する。
その他の場合には表示しない。</t>
    <phoneticPr fontId="3"/>
  </si>
  <si>
    <t>「削除」「個別照会」「承認依頼取下」の場合に表示する。
その他の場合には表示しない。</t>
    <phoneticPr fontId="3"/>
  </si>
  <si>
    <t>チェック項目なし</t>
    <phoneticPr fontId="3"/>
  </si>
  <si>
    <t>収支管理品目コードを表示する</t>
    <rPh sb="0" eb="6">
      <t>シュウシカンリヒンモク</t>
    </rPh>
    <phoneticPr fontId="3"/>
  </si>
  <si>
    <t>年産を表示する</t>
    <rPh sb="0" eb="2">
      <t>ネンサン</t>
    </rPh>
    <phoneticPr fontId="3"/>
  </si>
  <si>
    <t>共計次数を表示する</t>
    <rPh sb="0" eb="4">
      <t>キョウケイジスウ</t>
    </rPh>
    <phoneticPr fontId="3"/>
  </si>
  <si>
    <t>ラジオボタン　全道共計 地区共計 全国共計　
初期値：全道共計</t>
    <rPh sb="7" eb="11">
      <t>ゼンドウキョウケイ</t>
    </rPh>
    <rPh sb="12" eb="16">
      <t>チクキョウケイ</t>
    </rPh>
    <rPh sb="17" eb="21">
      <t>ゼンコクキョウケイ</t>
    </rPh>
    <rPh sb="23" eb="26">
      <t>ショキチ</t>
    </rPh>
    <phoneticPr fontId="3"/>
  </si>
  <si>
    <t>ﾗｼﾞｵボタン</t>
    <phoneticPr fontId="3"/>
  </si>
  <si>
    <t>検索条件と対象データの
存在チェック</t>
    <phoneticPr fontId="3"/>
  </si>
  <si>
    <t>「照会」ボタン押下時、検索条件に合致するデータが存在しない場合はエラー
／条件に該当するデータはありません。</t>
    <phoneticPr fontId="3"/>
  </si>
  <si>
    <t>○</t>
    <phoneticPr fontId="3"/>
  </si>
  <si>
    <t>複数品目の発生金利を一つの指定品目に一括して金利計上する場合は、品目追加ボタンをおしてください。</t>
    <rPh sb="0" eb="4">
      <t>フクスウヒンモク</t>
    </rPh>
    <rPh sb="5" eb="9">
      <t>ハッセイキンリ</t>
    </rPh>
    <rPh sb="10" eb="11">
      <t>ヒト</t>
    </rPh>
    <rPh sb="13" eb="17">
      <t>シテイヒンモク</t>
    </rPh>
    <rPh sb="18" eb="20">
      <t>イッカツ</t>
    </rPh>
    <rPh sb="22" eb="26">
      <t>キンリケイジョウ</t>
    </rPh>
    <rPh sb="28" eb="30">
      <t>バアイ</t>
    </rPh>
    <rPh sb="32" eb="34">
      <t>ヒンモク</t>
    </rPh>
    <rPh sb="34" eb="36">
      <t>ツイカ</t>
    </rPh>
    <phoneticPr fontId="3"/>
  </si>
  <si>
    <r>
      <t>収支管理品目</t>
    </r>
    <r>
      <rPr>
        <sz val="10"/>
        <color rgb="FFFF0000"/>
        <rFont val="ＭＳ ゴシック"/>
        <family val="3"/>
        <charset val="128"/>
      </rPr>
      <t xml:space="preserve"> (*)</t>
    </r>
    <rPh sb="0" eb="2">
      <t>シュウシ</t>
    </rPh>
    <rPh sb="2" eb="4">
      <t>カンリ</t>
    </rPh>
    <rPh sb="4" eb="6">
      <t>ヒンモク</t>
    </rPh>
    <phoneticPr fontId="3"/>
  </si>
  <si>
    <r>
      <t>年産</t>
    </r>
    <r>
      <rPr>
        <sz val="10"/>
        <color rgb="FFFF0000"/>
        <rFont val="ＭＳ ゴシック"/>
        <family val="3"/>
        <charset val="128"/>
      </rPr>
      <t xml:space="preserve"> (*)</t>
    </r>
    <rPh sb="0" eb="2">
      <t>ネンサン</t>
    </rPh>
    <phoneticPr fontId="3"/>
  </si>
  <si>
    <r>
      <t>共計次数</t>
    </r>
    <r>
      <rPr>
        <sz val="10"/>
        <color rgb="FFFF0000"/>
        <rFont val="ＭＳ ゴシック"/>
        <family val="3"/>
        <charset val="128"/>
      </rPr>
      <t xml:space="preserve"> (*)</t>
    </r>
    <rPh sb="0" eb="4">
      <t>キョウケイジスウ</t>
    </rPh>
    <phoneticPr fontId="3"/>
  </si>
  <si>
    <t>個別照会</t>
    <rPh sb="0" eb="2">
      <t>コベツ</t>
    </rPh>
    <rPh sb="2" eb="4">
      <t>ショウカイ</t>
    </rPh>
    <phoneticPr fontId="3"/>
  </si>
  <si>
    <t>削除、個別照会、承認依頼取下</t>
    <rPh sb="0" eb="2">
      <t>サクジョ</t>
    </rPh>
    <rPh sb="3" eb="5">
      <t>コベツ</t>
    </rPh>
    <rPh sb="5" eb="7">
      <t>ショウカイ</t>
    </rPh>
    <rPh sb="8" eb="13">
      <t>ショウニンイライト</t>
    </rPh>
    <rPh sb="13" eb="14">
      <t>サ</t>
    </rPh>
    <phoneticPr fontId="3"/>
  </si>
  <si>
    <t>収支管理品目</t>
    <rPh sb="0" eb="6">
      <t>シュウシカンリヒンモク</t>
    </rPh>
    <phoneticPr fontId="3"/>
  </si>
  <si>
    <t>収支管理品目名</t>
    <rPh sb="0" eb="7">
      <t>シュウシカンリヒンモクメイ</t>
    </rPh>
    <phoneticPr fontId="3"/>
  </si>
  <si>
    <t>共計次数</t>
    <rPh sb="0" eb="4">
      <t>キョウケイジスウ</t>
    </rPh>
    <phoneticPr fontId="3"/>
  </si>
  <si>
    <t>収支管理品目</t>
    <phoneticPr fontId="3"/>
  </si>
  <si>
    <t>収支管理品目コードを入力する。
計上先収支管理品目を検索する。</t>
    <rPh sb="0" eb="6">
      <t>シュウシカンリヒンモク</t>
    </rPh>
    <rPh sb="10" eb="12">
      <t>ニュウリョク</t>
    </rPh>
    <rPh sb="16" eb="18">
      <t>ケイジョウ</t>
    </rPh>
    <rPh sb="18" eb="19">
      <t>サキ</t>
    </rPh>
    <rPh sb="19" eb="25">
      <t>シュウシカンリヒンモク</t>
    </rPh>
    <rPh sb="26" eb="28">
      <t>ケンサク</t>
    </rPh>
    <phoneticPr fontId="3"/>
  </si>
  <si>
    <t>検索（収支管理品目）</t>
    <rPh sb="0" eb="2">
      <t>ケンサク</t>
    </rPh>
    <rPh sb="3" eb="9">
      <t>シュウシカンリヒンモク</t>
    </rPh>
    <phoneticPr fontId="3"/>
  </si>
  <si>
    <t>検索（収支管理品目）</t>
    <rPh sb="0" eb="2">
      <t>ケンサク</t>
    </rPh>
    <phoneticPr fontId="3"/>
  </si>
  <si>
    <t>収支管理品目</t>
    <rPh sb="0" eb="2">
      <t>シュウシ</t>
    </rPh>
    <rPh sb="2" eb="4">
      <t>カンリ</t>
    </rPh>
    <rPh sb="4" eb="6">
      <t>ヒンモク</t>
    </rPh>
    <phoneticPr fontId="3"/>
  </si>
  <si>
    <t>複数品目の発生金利を一つの指定品目に一括して金利計上する場合は、品目追加ボタンを押してください。</t>
    <rPh sb="0" eb="4">
      <t>フクスウヒンモク</t>
    </rPh>
    <rPh sb="5" eb="9">
      <t>ハッセイキンリ</t>
    </rPh>
    <rPh sb="10" eb="11">
      <t>ヒト</t>
    </rPh>
    <rPh sb="13" eb="17">
      <t>シテイヒンモク</t>
    </rPh>
    <rPh sb="18" eb="20">
      <t>イッカツ</t>
    </rPh>
    <rPh sb="22" eb="26">
      <t>キンリケイジョウ</t>
    </rPh>
    <rPh sb="28" eb="30">
      <t>バアイ</t>
    </rPh>
    <rPh sb="32" eb="34">
      <t>ヒンモク</t>
    </rPh>
    <rPh sb="34" eb="36">
      <t>ツイカ</t>
    </rPh>
    <rPh sb="40" eb="41">
      <t>オ</t>
    </rPh>
    <phoneticPr fontId="3"/>
  </si>
  <si>
    <t>品目追加</t>
    <rPh sb="0" eb="4">
      <t>ヒンモクツイカ</t>
    </rPh>
    <phoneticPr fontId="3"/>
  </si>
  <si>
    <t>収支管理品目、年産、共計次数の欄を追加する。</t>
    <rPh sb="0" eb="6">
      <t>シュウシカンリヒンモク</t>
    </rPh>
    <rPh sb="7" eb="9">
      <t>ネンサン</t>
    </rPh>
    <rPh sb="10" eb="12">
      <t>キョウケイ</t>
    </rPh>
    <rPh sb="12" eb="14">
      <t>ジスウ</t>
    </rPh>
    <rPh sb="15" eb="16">
      <t>ラン</t>
    </rPh>
    <rPh sb="17" eb="19">
      <t>ツイカ</t>
    </rPh>
    <phoneticPr fontId="3"/>
  </si>
  <si>
    <t>※品目追加ボタン１回押下時</t>
    <rPh sb="1" eb="3">
      <t>ヒンモク</t>
    </rPh>
    <rPh sb="3" eb="5">
      <t>ツイカ</t>
    </rPh>
    <rPh sb="9" eb="10">
      <t>カイ</t>
    </rPh>
    <rPh sb="10" eb="13">
      <t>オウカジ</t>
    </rPh>
    <phoneticPr fontId="3"/>
  </si>
  <si>
    <t>※品目追加ボタン２回押下時</t>
    <rPh sb="1" eb="3">
      <t>ヒンモク</t>
    </rPh>
    <rPh sb="3" eb="5">
      <t>ツイカ</t>
    </rPh>
    <rPh sb="9" eb="10">
      <t>カイ</t>
    </rPh>
    <rPh sb="10" eb="13">
      <t>オウカジ</t>
    </rPh>
    <phoneticPr fontId="3"/>
  </si>
  <si>
    <t>取引日入力欄とする</t>
    <rPh sb="0" eb="3">
      <t>トリヒキビ</t>
    </rPh>
    <rPh sb="3" eb="5">
      <t>ニュウリョク</t>
    </rPh>
    <rPh sb="5" eb="6">
      <t>ラン</t>
    </rPh>
    <phoneticPr fontId="3"/>
  </si>
  <si>
    <t>「訂正」または「キャンセル」とする</t>
    <rPh sb="1" eb="3">
      <t>テイセイ</t>
    </rPh>
    <phoneticPr fontId="3"/>
  </si>
  <si>
    <t>経理部、現業部門</t>
    <rPh sb="0" eb="3">
      <t>ケイリブ</t>
    </rPh>
    <rPh sb="4" eb="6">
      <t>ゲンギョウ</t>
    </rPh>
    <rPh sb="6" eb="8">
      <t>ブモン</t>
    </rPh>
    <phoneticPr fontId="3"/>
  </si>
  <si>
    <t>業種と共計組織</t>
    <phoneticPr fontId="3"/>
  </si>
  <si>
    <t>入力組織と共計組織</t>
    <rPh sb="0" eb="2">
      <t>ニュウリョク</t>
    </rPh>
    <rPh sb="2" eb="4">
      <t>ソシキ</t>
    </rPh>
    <phoneticPr fontId="3"/>
  </si>
  <si>
    <t>入力者の所属する組織が支所　かつ　全道共計・全国共計を選択した場合エラー
／所属組織が支所の場合、全道共計・全国共計は選択できません。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27" eb="29">
      <t>センタク</t>
    </rPh>
    <rPh sb="31" eb="33">
      <t>バアイ</t>
    </rPh>
    <rPh sb="46" eb="48">
      <t>バアイ</t>
    </rPh>
    <rPh sb="59" eb="61">
      <t>センタク</t>
    </rPh>
    <phoneticPr fontId="3"/>
  </si>
  <si>
    <t>入力者の所属する組織が本所　かつ　地区共計を選択した場合エラー
／所属組織が本所の場合、地区共計は選択できません。</t>
    <rPh sb="0" eb="2">
      <t>ニュウリョク</t>
    </rPh>
    <rPh sb="2" eb="3">
      <t>シャ</t>
    </rPh>
    <rPh sb="4" eb="6">
      <t>ショゾク</t>
    </rPh>
    <rPh sb="8" eb="10">
      <t>ソシキ</t>
    </rPh>
    <rPh sb="11" eb="13">
      <t>ホンショ</t>
    </rPh>
    <rPh sb="17" eb="21">
      <t>チクキョウケイ</t>
    </rPh>
    <rPh sb="22" eb="24">
      <t>センタク</t>
    </rPh>
    <rPh sb="26" eb="28">
      <t>バアイ</t>
    </rPh>
    <rPh sb="33" eb="35">
      <t>ショゾク</t>
    </rPh>
    <rPh sb="35" eb="37">
      <t>ソシキ</t>
    </rPh>
    <rPh sb="38" eb="40">
      <t>ホンショ</t>
    </rPh>
    <rPh sb="41" eb="43">
      <t>バアイ</t>
    </rPh>
    <rPh sb="44" eb="46">
      <t>チク</t>
    </rPh>
    <rPh sb="46" eb="48">
      <t>キョウケイ</t>
    </rPh>
    <rPh sb="49" eb="51">
      <t>センタク</t>
    </rPh>
    <phoneticPr fontId="3"/>
  </si>
  <si>
    <t>入力組織と共計区分</t>
    <phoneticPr fontId="3"/>
  </si>
  <si>
    <t>9.2.4</t>
    <phoneticPr fontId="3"/>
  </si>
  <si>
    <t>F4106-3D</t>
    <phoneticPr fontId="3"/>
  </si>
  <si>
    <t>入力した内容をチェックし、エラーの場合はエラーメッセージを表示。
エラーが無ければ、入力された条件の検索結果を一覧表示する。</t>
    <rPh sb="42" eb="44">
      <t>ニュウリョク</t>
    </rPh>
    <rPh sb="47" eb="49">
      <t>ジョウケン</t>
    </rPh>
    <phoneticPr fontId="3"/>
  </si>
  <si>
    <t>滞留立替金利情報の入力を行い、入力した内容をチェックし、
エラーの場合はエラーメッセージを表示。エラーが無ければ、確認画面へ遷移する。</t>
    <rPh sb="9" eb="11">
      <t>ニュウリョク</t>
    </rPh>
    <rPh sb="57" eb="59">
      <t>カクニン</t>
    </rPh>
    <phoneticPr fontId="3"/>
  </si>
  <si>
    <t>入力した内容をチェックし、エラーの場合はエラーメッセージを表示。
エラーが無ければ、表示内容をもとに滞留立替金利情報の申請を行い、一覧表示画面へ遷移する。</t>
    <rPh sb="42" eb="44">
      <t>ヒョウジ</t>
    </rPh>
    <rPh sb="59" eb="61">
      <t>シンセイ</t>
    </rPh>
    <phoneticPr fontId="3"/>
  </si>
  <si>
    <t>18</t>
    <phoneticPr fontId="3"/>
  </si>
  <si>
    <t>承認情報</t>
    <rPh sb="0" eb="4">
      <t>ショウニンジョウホウ</t>
    </rPh>
    <phoneticPr fontId="3"/>
  </si>
  <si>
    <t>更新情報</t>
    <rPh sb="0" eb="4">
      <t>コウシンジョウホウ</t>
    </rPh>
    <phoneticPr fontId="3"/>
  </si>
  <si>
    <t>更新日時</t>
    <rPh sb="0" eb="4">
      <t>コウシンニチジ</t>
    </rPh>
    <phoneticPr fontId="3"/>
  </si>
  <si>
    <t>所属</t>
    <rPh sb="0" eb="2">
      <t>ショゾク</t>
    </rPh>
    <phoneticPr fontId="3"/>
  </si>
  <si>
    <t>担当</t>
    <rPh sb="0" eb="2">
      <t>タントウ</t>
    </rPh>
    <phoneticPr fontId="3"/>
  </si>
  <si>
    <t xml:space="preserve"> 2025/01/01 01:01:01</t>
    <phoneticPr fontId="3"/>
  </si>
  <si>
    <t>経理部　主計課</t>
    <rPh sb="0" eb="3">
      <t>ケイリブ</t>
    </rPh>
    <rPh sb="4" eb="7">
      <t>シュケイカ</t>
    </rPh>
    <phoneticPr fontId="3"/>
  </si>
  <si>
    <t>山田　花子</t>
    <rPh sb="0" eb="2">
      <t>ヤマダ</t>
    </rPh>
    <rPh sb="3" eb="5">
      <t>ハナコ</t>
    </rPh>
    <phoneticPr fontId="3"/>
  </si>
  <si>
    <t>承認/差戻者</t>
    <rPh sb="0" eb="2">
      <t>ショウニン</t>
    </rPh>
    <rPh sb="3" eb="5">
      <t>サシモドシ</t>
    </rPh>
    <rPh sb="5" eb="6">
      <t>シャ</t>
    </rPh>
    <phoneticPr fontId="3"/>
  </si>
  <si>
    <t>田中　太郎</t>
    <rPh sb="0" eb="2">
      <t>タナカ</t>
    </rPh>
    <rPh sb="3" eb="5">
      <t>タロウ</t>
    </rPh>
    <phoneticPr fontId="3"/>
  </si>
  <si>
    <t>差戻コメント</t>
    <phoneticPr fontId="3"/>
  </si>
  <si>
    <t xml:space="preserve"> ○○を△△に修正してください。 </t>
    <phoneticPr fontId="3"/>
  </si>
  <si>
    <t>【承認情報エリア】</t>
    <rPh sb="1" eb="3">
      <t>ショウニン</t>
    </rPh>
    <rPh sb="3" eb="5">
      <t>ジョウホウ</t>
    </rPh>
    <phoneticPr fontId="3"/>
  </si>
  <si>
    <t>更新者（更新日時）</t>
    <rPh sb="0" eb="3">
      <t>コウシンシャ</t>
    </rPh>
    <rPh sb="4" eb="6">
      <t>コウシン</t>
    </rPh>
    <rPh sb="6" eb="8">
      <t>ニチジ</t>
    </rPh>
    <phoneticPr fontId="3"/>
  </si>
  <si>
    <t>更新者-日時を表示する。</t>
    <phoneticPr fontId="3"/>
  </si>
  <si>
    <t>更新者（所属）</t>
    <rPh sb="0" eb="3">
      <t>コウシンシャ</t>
    </rPh>
    <phoneticPr fontId="3"/>
  </si>
  <si>
    <t>文字
（全角）</t>
    <phoneticPr fontId="3"/>
  </si>
  <si>
    <t>更新者-所属を表示する。</t>
    <phoneticPr fontId="3"/>
  </si>
  <si>
    <t>更新者（担当者）</t>
    <rPh sb="0" eb="3">
      <t>コウシンシャ</t>
    </rPh>
    <rPh sb="4" eb="7">
      <t>タントウシャ</t>
    </rPh>
    <phoneticPr fontId="3"/>
  </si>
  <si>
    <t>更新者-担当者を表示する。</t>
    <phoneticPr fontId="3"/>
  </si>
  <si>
    <t>承認/差戻（更新日時）</t>
    <rPh sb="6" eb="10">
      <t>コウシンニチジ</t>
    </rPh>
    <phoneticPr fontId="3"/>
  </si>
  <si>
    <t>承認/差戻者-日時を表示する。</t>
    <phoneticPr fontId="3"/>
  </si>
  <si>
    <t>承認/差戻（所属）</t>
    <rPh sb="6" eb="8">
      <t>ショゾク</t>
    </rPh>
    <phoneticPr fontId="3"/>
  </si>
  <si>
    <t>承認/差戻者-所属を表示する。</t>
    <phoneticPr fontId="3"/>
  </si>
  <si>
    <t>承認/差戻（担当者）</t>
    <rPh sb="6" eb="9">
      <t>タントウシャ</t>
    </rPh>
    <phoneticPr fontId="3"/>
  </si>
  <si>
    <t>承認/差戻者-担当者を表示する。</t>
    <phoneticPr fontId="3"/>
  </si>
  <si>
    <t>42</t>
    <phoneticPr fontId="3"/>
  </si>
  <si>
    <t>差戻コメントを表示する。</t>
    <phoneticPr fontId="3"/>
  </si>
  <si>
    <t>４文字である事を確認する。
／年産は４文字で入力してください。</t>
    <rPh sb="15" eb="17">
      <t>ネンサン</t>
    </rPh>
    <phoneticPr fontId="3"/>
  </si>
  <si>
    <t>２文字である事を確認する。
／共計次数は２文字で入力してください。</t>
    <rPh sb="15" eb="17">
      <t>キョウケイ</t>
    </rPh>
    <rPh sb="17" eb="19">
      <t>ジスウ</t>
    </rPh>
    <phoneticPr fontId="3"/>
  </si>
  <si>
    <t>修正ボタンと明細未選択チェック</t>
    <rPh sb="0" eb="2">
      <t>シュウセイ</t>
    </rPh>
    <rPh sb="6" eb="8">
      <t>メイサイ</t>
    </rPh>
    <rPh sb="8" eb="11">
      <t>ミセンタク</t>
    </rPh>
    <phoneticPr fontId="3"/>
  </si>
  <si>
    <t>「修正」ボタン押下時、明細を選択していない場合エラー
／明細を選択してください。</t>
    <rPh sb="33" eb="35">
      <t>メイサイ</t>
    </rPh>
    <rPh sb="36" eb="38">
      <t>センタクセンタク</t>
    </rPh>
    <phoneticPr fontId="3"/>
  </si>
  <si>
    <t>修正ボタンと複数明細選択チェック</t>
    <rPh sb="0" eb="2">
      <t>シュウセイ</t>
    </rPh>
    <rPh sb="6" eb="8">
      <t>フクスウ</t>
    </rPh>
    <rPh sb="8" eb="10">
      <t>メイサイ</t>
    </rPh>
    <rPh sb="10" eb="12">
      <t>センタク</t>
    </rPh>
    <phoneticPr fontId="3"/>
  </si>
  <si>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</si>
  <si>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修正ボタンと承認状況（依頼中）のチェック</t>
    <rPh sb="0" eb="2">
      <t>シュウセイ</t>
    </rPh>
    <rPh sb="11" eb="14">
      <t>イライチュウ</t>
    </rPh>
    <phoneticPr fontId="3"/>
  </si>
  <si>
    <t>修正ボタン承認状況（承認済）のチェック</t>
    <rPh sb="0" eb="2">
      <t>シュウセイ</t>
    </rPh>
    <rPh sb="10" eb="13">
      <t>ショウニンズ</t>
    </rPh>
    <phoneticPr fontId="3"/>
  </si>
  <si>
    <t>削除ボタンと明細未選択のチェック</t>
    <rPh sb="0" eb="2">
      <t>サクジョ</t>
    </rPh>
    <phoneticPr fontId="3"/>
  </si>
  <si>
    <t>「削除」ボタン押下時、明細を選択していない場合エラー
／明細を選択してください。</t>
    <rPh sb="1" eb="3">
      <t>サクジョ</t>
    </rPh>
    <rPh sb="28" eb="30">
      <t>メイサイ</t>
    </rPh>
    <rPh sb="31" eb="33">
      <t>センタクセンタク</t>
    </rPh>
    <phoneticPr fontId="3"/>
  </si>
  <si>
    <t>削除ボタンと承認状況（依頼中）のチェック</t>
    <rPh sb="0" eb="2">
      <t>サクジョ</t>
    </rPh>
    <rPh sb="10" eb="13">
      <t>イライチュウ</t>
    </rPh>
    <phoneticPr fontId="3"/>
  </si>
  <si>
    <t>個別照会ボタンと明細未選択のチェック</t>
    <rPh sb="0" eb="2">
      <t>コベツ</t>
    </rPh>
    <rPh sb="2" eb="4">
      <t>ショウカイ</t>
    </rPh>
    <phoneticPr fontId="3"/>
  </si>
  <si>
    <t>「個別照会」ボタン押下時、明細を選択していない場合エラー
／明細を選択してください。</t>
    <rPh sb="1" eb="3">
      <t>コベツ</t>
    </rPh>
    <rPh sb="3" eb="5">
      <t>ショウカイ</t>
    </rPh>
    <rPh sb="30" eb="32">
      <t>メイサイ</t>
    </rPh>
    <rPh sb="33" eb="35">
      <t>センタクセンタク</t>
    </rPh>
    <phoneticPr fontId="3"/>
  </si>
  <si>
    <t>個別照会ボタンと複数明細選択のチェック</t>
    <rPh sb="0" eb="2">
      <t>コベツ</t>
    </rPh>
    <rPh sb="2" eb="4">
      <t>ショウカイ</t>
    </rPh>
    <rPh sb="8" eb="10">
      <t>フクスウ</t>
    </rPh>
    <rPh sb="10" eb="12">
      <t>メイサイ</t>
    </rPh>
    <rPh sb="12" eb="14">
      <t>センタク</t>
    </rPh>
    <phoneticPr fontId="3"/>
  </si>
  <si>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3"/>
  </si>
  <si>
    <t>承認依頼取下ボタンと明細未選択のチェック</t>
    <rPh sb="0" eb="2">
      <t>ショウニン</t>
    </rPh>
    <rPh sb="2" eb="4">
      <t>イライ</t>
    </rPh>
    <rPh sb="4" eb="5">
      <t>トリ</t>
    </rPh>
    <rPh sb="5" eb="6">
      <t>シタ</t>
    </rPh>
    <phoneticPr fontId="3"/>
  </si>
  <si>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3"/>
  </si>
  <si>
    <t>承認依頼取下ボタンと承認状況（差戻）のチェック</t>
    <rPh sb="0" eb="2">
      <t>ショウニン</t>
    </rPh>
    <rPh sb="2" eb="4">
      <t>イライ</t>
    </rPh>
    <rPh sb="4" eb="5">
      <t>トリ</t>
    </rPh>
    <rPh sb="5" eb="6">
      <t>シタ</t>
    </rPh>
    <rPh sb="15" eb="16">
      <t>サ</t>
    </rPh>
    <rPh sb="16" eb="17">
      <t>モド</t>
    </rPh>
    <phoneticPr fontId="3"/>
  </si>
  <si>
    <t>承認依頼取下ボタンと承認状況（下書保存）のチェック</t>
    <rPh sb="0" eb="2">
      <t>ショウニン</t>
    </rPh>
    <rPh sb="2" eb="4">
      <t>イライ</t>
    </rPh>
    <rPh sb="4" eb="5">
      <t>トリ</t>
    </rPh>
    <rPh sb="5" eb="6">
      <t>シタ</t>
    </rPh>
    <rPh sb="15" eb="17">
      <t>シタガ</t>
    </rPh>
    <rPh sb="17" eb="19">
      <t>ホゾン</t>
    </rPh>
    <phoneticPr fontId="3"/>
  </si>
  <si>
    <t>承認依頼取下ボタンと承認状況（承認済）のチェック</t>
    <rPh sb="0" eb="2">
      <t>ショウニン</t>
    </rPh>
    <rPh sb="2" eb="4">
      <t>イライ</t>
    </rPh>
    <rPh sb="4" eb="5">
      <t>トリ</t>
    </rPh>
    <rPh sb="5" eb="6">
      <t>シタ</t>
    </rPh>
    <rPh sb="15" eb="18">
      <t>ショウニンズ</t>
    </rPh>
    <phoneticPr fontId="3"/>
  </si>
  <si>
    <t>　□ 全道共計　□ 地区共計　□ 全国共計</t>
    <rPh sb="3" eb="5">
      <t>ゼンドウ</t>
    </rPh>
    <rPh sb="5" eb="7">
      <t>キョウケイ</t>
    </rPh>
    <rPh sb="10" eb="12">
      <t>チク</t>
    </rPh>
    <rPh sb="12" eb="14">
      <t>キョウケイ</t>
    </rPh>
    <rPh sb="17" eb="19">
      <t>ゼンコク</t>
    </rPh>
    <rPh sb="19" eb="21">
      <t>キョウケイ</t>
    </rPh>
    <phoneticPr fontId="3"/>
  </si>
  <si>
    <t>チェックボックス　全道共計、地区共計、全国共計　
初期値：全道共計</t>
    <rPh sb="9" eb="11">
      <t>ゼンドウ</t>
    </rPh>
    <rPh sb="11" eb="13">
      <t>キョウケイ</t>
    </rPh>
    <rPh sb="14" eb="16">
      <t>チク</t>
    </rPh>
    <rPh sb="16" eb="18">
      <t>キョウケイ</t>
    </rPh>
    <rPh sb="19" eb="21">
      <t>ゼンコク</t>
    </rPh>
    <rPh sb="21" eb="23">
      <t>キョウケイ</t>
    </rPh>
    <rPh sb="25" eb="28">
      <t>ショキチ</t>
    </rPh>
    <phoneticPr fontId="3"/>
  </si>
  <si>
    <t>承認済の伝票を削除する場合はマイナス仕訳を起こす。</t>
    <phoneticPr fontId="3"/>
  </si>
  <si>
    <t>【承認依頼取下時】</t>
    <phoneticPr fontId="3"/>
  </si>
  <si>
    <t>画面に表示している情報の承認依頼を取下し、一覧表示画面へ遷移する。</t>
    <rPh sb="0" eb="2">
      <t>ガメン</t>
    </rPh>
    <rPh sb="3" eb="5">
      <t>ヒョウジ</t>
    </rPh>
    <rPh sb="9" eb="11">
      <t>ジョウホウ</t>
    </rPh>
    <rPh sb="12" eb="14">
      <t>ショウニン</t>
    </rPh>
    <rPh sb="14" eb="16">
      <t>イライ</t>
    </rPh>
    <rPh sb="17" eb="18">
      <t>トリ</t>
    </rPh>
    <rPh sb="18" eb="19">
      <t>クダ</t>
    </rPh>
    <rPh sb="21" eb="23">
      <t>イチラン</t>
    </rPh>
    <rPh sb="23" eb="25">
      <t>ヒョウジ</t>
    </rPh>
    <rPh sb="25" eb="27">
      <t>ガメン</t>
    </rPh>
    <rPh sb="28" eb="30">
      <t>センイ</t>
    </rPh>
    <phoneticPr fontId="3"/>
  </si>
  <si>
    <t>修正ボタンと入力組織のチェック</t>
    <rPh sb="0" eb="2">
      <t>シュウセイ</t>
    </rPh>
    <rPh sb="6" eb="10">
      <t>ニュウリョクソシキ</t>
    </rPh>
    <phoneticPr fontId="3"/>
  </si>
  <si>
    <t>「修正」ボタン押下時、共計組織が担当の所属コード以外となる明細を1件でも選択している場合エラー
／共計組織が担当の所属コード以外となる明細は選択できません。</t>
    <rPh sb="1" eb="3">
      <t>シュウセイ</t>
    </rPh>
    <rPh sb="7" eb="10">
      <t>オウカジ</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3"/>
  </si>
  <si>
    <t>削除ボタンと入力組織のチェック</t>
    <rPh sb="0" eb="2">
      <t>サクジョ</t>
    </rPh>
    <rPh sb="6" eb="10">
      <t>ニュウリョクソシキ</t>
    </rPh>
    <phoneticPr fontId="3"/>
  </si>
  <si>
    <t>「削除」ボタン押下時、共計組織が担当の所属コード以外となる明細を1件でも選択している場合エラー
／共計組織が担当の所属コード以外となる明細は選択できません。</t>
    <rPh sb="1" eb="3">
      <t>サクジョ</t>
    </rPh>
    <rPh sb="7" eb="10">
      <t>オウカジ</t>
    </rPh>
    <rPh sb="49" eb="51">
      <t>キョウケイ</t>
    </rPh>
    <rPh sb="51" eb="53">
      <t>ソシキ</t>
    </rPh>
    <rPh sb="54" eb="56">
      <t>タントウ</t>
    </rPh>
    <rPh sb="57" eb="59">
      <t>ショゾク</t>
    </rPh>
    <rPh sb="62" eb="64">
      <t>イガイ</t>
    </rPh>
    <rPh sb="67" eb="69">
      <t>メイサイ</t>
    </rPh>
    <phoneticPr fontId="3"/>
  </si>
  <si>
    <t>承認依頼取下ボタンと入力組織のチェック</t>
    <rPh sb="10" eb="14">
      <t>ニュウリョクソシキ</t>
    </rPh>
    <phoneticPr fontId="3"/>
  </si>
  <si>
    <t>「承認依頼取下」ボタン押下時、共計組織が担当の所属コード以外となる明細を1件でも選択している場合エラー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3" eb="55">
      <t>キョウケイ</t>
    </rPh>
    <rPh sb="55" eb="57">
      <t>ソシキ</t>
    </rPh>
    <rPh sb="58" eb="60">
      <t>タントウ</t>
    </rPh>
    <rPh sb="61" eb="63">
      <t>ショゾク</t>
    </rPh>
    <rPh sb="66" eb="68">
      <t>イガイ</t>
    </rPh>
    <rPh sb="71" eb="73">
      <t>メイサイ</t>
    </rPh>
    <phoneticPr fontId="3"/>
  </si>
  <si>
    <t>入力組織と共計組織</t>
    <rPh sb="0" eb="2">
      <t>ニュウリョク</t>
    </rPh>
    <rPh sb="2" eb="4">
      <t>ソシキ</t>
    </rPh>
    <rPh sb="5" eb="9">
      <t>キョウケイソシキ</t>
    </rPh>
    <phoneticPr fontId="3"/>
  </si>
  <si>
    <t>入力組織と更新者</t>
    <rPh sb="0" eb="2">
      <t>ニュウリョク</t>
    </rPh>
    <rPh sb="2" eb="4">
      <t>ソシキ</t>
    </rPh>
    <rPh sb="5" eb="8">
      <t>コウシンシャ</t>
    </rPh>
    <phoneticPr fontId="3"/>
  </si>
  <si>
    <t>入力組織と収支管理品目</t>
    <rPh sb="0" eb="2">
      <t>ニュウリョク</t>
    </rPh>
    <rPh sb="2" eb="4">
      <t>ソシキ</t>
    </rPh>
    <rPh sb="5" eb="11">
      <t>シュウシカンリヒンモク</t>
    </rPh>
    <phoneticPr fontId="3"/>
  </si>
  <si>
    <t>計上対象収支管理品目</t>
    <rPh sb="0" eb="4">
      <t>ケイジョウタイショウ</t>
    </rPh>
    <rPh sb="4" eb="10">
      <t>シュウシカンリヒンモク</t>
    </rPh>
    <phoneticPr fontId="3"/>
  </si>
  <si>
    <t>24058</t>
  </si>
  <si>
    <t>基幹システム再構築　会計システム外部設計</t>
  </si>
  <si>
    <t>削除ボタンと複数明細選択のチェック</t>
    <rPh sb="0" eb="2">
      <t>サクジョ</t>
    </rPh>
    <rPh sb="6" eb="8">
      <t>フクスウ</t>
    </rPh>
    <rPh sb="8" eb="10">
      <t>メイサイ</t>
    </rPh>
    <rPh sb="10" eb="12">
      <t>センタク</t>
    </rPh>
    <phoneticPr fontId="3"/>
  </si>
  <si>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</si>
  <si>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収支管理品目３・共計次数３</t>
    <rPh sb="0" eb="6">
      <t>シュウシカンリヒンモク</t>
    </rPh>
    <rPh sb="8" eb="10">
      <t>キョウケイ</t>
    </rPh>
    <rPh sb="10" eb="12">
      <t>ジスウ</t>
    </rPh>
    <phoneticPr fontId="3"/>
  </si>
  <si>
    <t>収支管理品目２・共計次数２</t>
    <rPh sb="0" eb="6">
      <t>シュウシカンリヒンモク</t>
    </rPh>
    <rPh sb="8" eb="10">
      <t>キョウケイ</t>
    </rPh>
    <rPh sb="10" eb="12">
      <t>ジスウ</t>
    </rPh>
    <phoneticPr fontId="3"/>
  </si>
  <si>
    <t>いずれかを入力かつ、収支管理品目２・共計次数２全て入力されていない場合、エラー
／収支管理品目２・共計次数２はすべて入力してください。</t>
    <rPh sb="5" eb="7">
      <t>ニュウリョク</t>
    </rPh>
    <rPh sb="18" eb="19">
      <t>スベ</t>
    </rPh>
    <rPh sb="20" eb="22">
      <t>ニュウリョク</t>
    </rPh>
    <rPh sb="28" eb="30">
      <t>バアイ</t>
    </rPh>
    <rPh sb="36" eb="42">
      <t>シュウシカンリヒンモク</t>
    </rPh>
    <rPh sb="44" eb="46">
      <t>ネンサン</t>
    </rPh>
    <rPh sb="53" eb="55">
      <t>ニュウリョク</t>
    </rPh>
    <phoneticPr fontId="3"/>
  </si>
  <si>
    <t>いずれかを入力かつ、収支管理品目３・共計次数３全て入力されていない場合、エラー
／収支管理品目３・共計次数３はすべて入力してください。</t>
    <phoneticPr fontId="3"/>
  </si>
  <si>
    <t>承認ルート表示</t>
    <rPh sb="0" eb="2">
      <t>ショウニン</t>
    </rPh>
    <rPh sb="5" eb="7">
      <t>ヒョウジ</t>
    </rPh>
    <phoneticPr fontId="3"/>
  </si>
  <si>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3"/>
  </si>
  <si>
    <t>検索（更新者）</t>
    <rPh sb="0" eb="2">
      <t>ケンサク</t>
    </rPh>
    <rPh sb="3" eb="6">
      <t>コウシンシャ</t>
    </rPh>
    <phoneticPr fontId="3"/>
  </si>
  <si>
    <t>承認ルート表示</t>
    <phoneticPr fontId="3"/>
  </si>
  <si>
    <t>登録、閉じる</t>
    <rPh sb="0" eb="2">
      <t>トウロク</t>
    </rPh>
    <rPh sb="3" eb="4">
      <t>ト</t>
    </rPh>
    <phoneticPr fontId="3"/>
  </si>
  <si>
    <t>入力項目の単体チェックを行い、エラーがなければ、下書保存に更新する。</t>
    <rPh sb="0" eb="2">
      <t>ニュウリョク</t>
    </rPh>
    <rPh sb="2" eb="4">
      <t>コウモク</t>
    </rPh>
    <rPh sb="5" eb="7">
      <t>タンタイ</t>
    </rPh>
    <rPh sb="12" eb="13">
      <t>オコナ</t>
    </rPh>
    <rPh sb="24" eb="26">
      <t>シタガキ</t>
    </rPh>
    <rPh sb="26" eb="28">
      <t>ホゾン</t>
    </rPh>
    <rPh sb="29" eb="31">
      <t>コウシン</t>
    </rPh>
    <phoneticPr fontId="3"/>
  </si>
  <si>
    <t>〇</t>
  </si>
  <si>
    <t>初期値：ログイン者の名称</t>
    <rPh sb="0" eb="3">
      <t>ショキチ</t>
    </rPh>
    <rPh sb="8" eb="9">
      <t>シャ</t>
    </rPh>
    <rPh sb="10" eb="12">
      <t>メイショウ</t>
    </rPh>
    <phoneticPr fontId="3"/>
  </si>
  <si>
    <t>E000008</t>
  </si>
  <si>
    <t>E000012</t>
  </si>
  <si>
    <t>E000018</t>
  </si>
  <si>
    <t>仮メッセージ番号</t>
    <rPh sb="0" eb="1">
      <t>カリ</t>
    </rPh>
    <rPh sb="6" eb="8">
      <t>バンゴウ</t>
    </rPh>
    <phoneticPr fontId="3"/>
  </si>
  <si>
    <t>実在日でない場合、エラーとする。
／更新日は有効な日付を入力してください。</t>
    <rPh sb="18" eb="21">
      <t>コウシンビ</t>
    </rPh>
    <rPh sb="22" eb="24">
      <t>ユウコウ</t>
    </rPh>
    <rPh sb="25" eb="27">
      <t>ヒヅケ</t>
    </rPh>
    <rPh sb="28" eb="30">
      <t>ニュウリョク</t>
    </rPh>
    <phoneticPr fontId="3"/>
  </si>
  <si>
    <t>E000001</t>
  </si>
  <si>
    <t>E000032</t>
  </si>
  <si>
    <t>／取引日を入力してください。</t>
    <phoneticPr fontId="3"/>
  </si>
  <si>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3"/>
  </si>
  <si>
    <t>取引日が未来日の場合、エラーとする。
／取引日に未来日は入力できません。</t>
    <rPh sb="4" eb="7">
      <t>ミライビ</t>
    </rPh>
    <phoneticPr fontId="3"/>
  </si>
  <si>
    <t>／業種コードを入力してください。</t>
    <rPh sb="1" eb="3">
      <t>ギョウシュ</t>
    </rPh>
    <rPh sb="7" eb="9">
      <t>ニュウリョク</t>
    </rPh>
    <phoneticPr fontId="3"/>
  </si>
  <si>
    <t>／共計組織を入力してください。</t>
    <phoneticPr fontId="3"/>
  </si>
  <si>
    <t>／金利計算基準日を入力してください。</t>
    <phoneticPr fontId="3"/>
  </si>
  <si>
    <t>実在日でない場合、エラーとする。
／金利計算基準日は有効な日付を入力してください。</t>
    <rPh sb="18" eb="20">
      <t>キンリ</t>
    </rPh>
    <rPh sb="20" eb="22">
      <t>ケイサン</t>
    </rPh>
    <rPh sb="22" eb="25">
      <t>キジュンビ</t>
    </rPh>
    <rPh sb="26" eb="28">
      <t>ユウコウ</t>
    </rPh>
    <rPh sb="29" eb="31">
      <t>ヒヅケ</t>
    </rPh>
    <rPh sb="32" eb="34">
      <t>ニュウリョク</t>
    </rPh>
    <phoneticPr fontId="3"/>
  </si>
  <si>
    <t>／収支管理品目を入力してください。</t>
    <phoneticPr fontId="3"/>
  </si>
  <si>
    <t>／年産を入力してください。</t>
    <rPh sb="1" eb="3">
      <t>ネンサン</t>
    </rPh>
    <rPh sb="4" eb="6">
      <t>ニュウリョク</t>
    </rPh>
    <phoneticPr fontId="3"/>
  </si>
  <si>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3"/>
  </si>
  <si>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3"/>
  </si>
  <si>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3"/>
  </si>
  <si>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3"/>
  </si>
  <si>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3"/>
  </si>
  <si>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3"/>
  </si>
  <si>
    <t>対象の収支管理品目が２つ以上　かつ　計上対象収支管理品目未選択の場合エラー
／計上対象収支管理品目を選択してください。</t>
    <rPh sb="0" eb="2">
      <t>タイショウ</t>
    </rPh>
    <rPh sb="3" eb="9">
      <t>シュウシカンリヒンモク</t>
    </rPh>
    <rPh sb="12" eb="14">
      <t>イジョウ</t>
    </rPh>
    <rPh sb="28" eb="31">
      <t>ミセンタク</t>
    </rPh>
    <rPh sb="32" eb="34">
      <t>バアイ</t>
    </rPh>
    <phoneticPr fontId="3"/>
  </si>
  <si>
    <t>I/O</t>
    <phoneticPr fontId="3"/>
  </si>
  <si>
    <t>１．照会・入力可能範囲</t>
    <rPh sb="2" eb="4">
      <t>ショウカイ</t>
    </rPh>
    <rPh sb="5" eb="7">
      <t>ニュウリョク</t>
    </rPh>
    <rPh sb="7" eb="9">
      <t>カノウ</t>
    </rPh>
    <rPh sb="9" eb="11">
      <t>ハンイ</t>
    </rPh>
    <phoneticPr fontId="3"/>
  </si>
  <si>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</si>
  <si>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3"/>
  </si>
  <si>
    <t>【特記事項】</t>
    <rPh sb="1" eb="3">
      <t>トッキ</t>
    </rPh>
    <rPh sb="3" eb="5">
      <t>ジコウ</t>
    </rPh>
    <phoneticPr fontId="3"/>
  </si>
  <si>
    <t>・経理部は全ての業種を照会できる。</t>
    <rPh sb="1" eb="4">
      <t>ケイリブ</t>
    </rPh>
    <rPh sb="5" eb="6">
      <t>スベ</t>
    </rPh>
    <rPh sb="8" eb="10">
      <t>ギョウシュ</t>
    </rPh>
    <rPh sb="11" eb="13">
      <t>ショウカイ</t>
    </rPh>
    <phoneticPr fontId="3"/>
  </si>
  <si>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</si>
  <si>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3"/>
  </si>
  <si>
    <t>・経理部は全ての業種を入力できる。</t>
    <rPh sb="1" eb="4">
      <t>ケイリブ</t>
    </rPh>
    <rPh sb="5" eb="6">
      <t>スベ</t>
    </rPh>
    <rPh sb="8" eb="10">
      <t>ギョウシュ</t>
    </rPh>
    <rPh sb="11" eb="13">
      <t>ニュウリョク</t>
    </rPh>
    <phoneticPr fontId="3"/>
  </si>
  <si>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</si>
  <si>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</si>
  <si>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3"/>
  </si>
  <si>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3"/>
  </si>
  <si>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3"/>
  </si>
  <si>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</si>
  <si>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3"/>
  </si>
  <si>
    <t>・経理部は全ての組織を照会できる。</t>
    <rPh sb="1" eb="4">
      <t>ケイリブ</t>
    </rPh>
    <rPh sb="5" eb="6">
      <t>スベ</t>
    </rPh>
    <rPh sb="8" eb="10">
      <t>ソシキ</t>
    </rPh>
    <rPh sb="11" eb="13">
      <t>ショウカイ</t>
    </rPh>
    <phoneticPr fontId="3"/>
  </si>
  <si>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</si>
  <si>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3"/>
  </si>
  <si>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3"/>
  </si>
  <si>
    <t>・経理部は全ての組織を入力できる。</t>
    <rPh sb="1" eb="4">
      <t>ケイリブ</t>
    </rPh>
    <rPh sb="5" eb="6">
      <t>スベ</t>
    </rPh>
    <rPh sb="8" eb="10">
      <t>ソシキ</t>
    </rPh>
    <rPh sb="11" eb="13">
      <t>ニュウリョク</t>
    </rPh>
    <phoneticPr fontId="3"/>
  </si>
  <si>
    <t>更新日（From）</t>
    <rPh sb="0" eb="2">
      <t>コウシン</t>
    </rPh>
    <phoneticPr fontId="3"/>
  </si>
  <si>
    <t>更新日（To）</t>
    <rPh sb="0" eb="2">
      <t>コウシン</t>
    </rPh>
    <phoneticPr fontId="3"/>
  </si>
  <si>
    <t>更新日の開始値を入力する</t>
    <rPh sb="0" eb="2">
      <t>コウシン</t>
    </rPh>
    <rPh sb="4" eb="7">
      <t>カイシチ</t>
    </rPh>
    <rPh sb="8" eb="10">
      <t>ニュウリョク</t>
    </rPh>
    <phoneticPr fontId="3"/>
  </si>
  <si>
    <t>更新日の終了値を入力する</t>
    <rPh sb="0" eb="2">
      <t>コウシン</t>
    </rPh>
    <rPh sb="4" eb="7">
      <t>シュウリョウチ</t>
    </rPh>
    <rPh sb="8" eb="10">
      <t>ニュウリョク</t>
    </rPh>
    <phoneticPr fontId="3"/>
  </si>
  <si>
    <t>入力した内容をチェックし、エラーの場合はエラーメッセージを表示。
エラーが無ければ、業種、共計組織、収支管理品目、収支管理品目２～３に入力したコードの名称を表示する。</t>
    <phoneticPr fontId="3"/>
  </si>
  <si>
    <t>画面に入力した業種と入力者の所属する組織の組み合わせが「6．画面機能補足説明　＜業種照会可能範囲＞」で定める業種以外の場合エラー
／業種は共計組織に応じた業種を入力してください。</t>
    <phoneticPr fontId="3"/>
  </si>
  <si>
    <t>入力者の所属する組織が本所以外の場合、「6．画面機能補足説明　＜共計組織照会可能範囲＞」で定める共計組織以外の場合エラー
／共計組織は担当の所属コードを入力してください。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3"/>
  </si>
  <si>
    <t>「照会」ボタン押下時、入力した更新者の所属する組織が「6．画面機能補足説明　＜共計組織照会可能範囲＞」で定める組織以外の場合エラー
／更新者は自組織に応じた更新者を入力してください。</t>
    <phoneticPr fontId="3"/>
  </si>
  <si>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3"/>
  </si>
  <si>
    <t>入力した共計組織コードが「6．画面機能補足説明　＜共計組織入力可能範囲＞」で定める共計組織以外の場合エラー
／共計組織は担当の所属コードを入力してください。</t>
    <phoneticPr fontId="3"/>
  </si>
  <si>
    <t>入力した業種と入力者の所属する組織の組み合わせが「6．画面機能補足説明　＜業種入力可能範囲＞」で定める業種以外の場合エラー
／業種は共計組織に応じた業種を入力してください。</t>
    <rPh sb="0" eb="2">
      <t>ニュウリョク</t>
    </rPh>
    <rPh sb="4" eb="6">
      <t>ギョウシュ</t>
    </rPh>
    <rPh sb="7" eb="9">
      <t>ニュウリョク</t>
    </rPh>
    <rPh sb="9" eb="10">
      <t>シャ</t>
    </rPh>
    <rPh sb="11" eb="13">
      <t>ショゾク</t>
    </rPh>
    <rPh sb="15" eb="17">
      <t>ソシキ</t>
    </rPh>
    <rPh sb="18" eb="19">
      <t>ク</t>
    </rPh>
    <rPh sb="20" eb="21">
      <t>ア</t>
    </rPh>
    <rPh sb="27" eb="29">
      <t>ガメン</t>
    </rPh>
    <rPh sb="29" eb="31">
      <t>キノウ</t>
    </rPh>
    <rPh sb="31" eb="33">
      <t>ホソク</t>
    </rPh>
    <rPh sb="33" eb="35">
      <t>セツメイ</t>
    </rPh>
    <rPh sb="37" eb="39">
      <t>ギョウシュ</t>
    </rPh>
    <rPh sb="39" eb="41">
      <t>ニュウリョク</t>
    </rPh>
    <rPh sb="41" eb="43">
      <t>カノウ</t>
    </rPh>
    <rPh sb="43" eb="45">
      <t>ハンイ</t>
    </rPh>
    <rPh sb="48" eb="49">
      <t>サダ</t>
    </rPh>
    <rPh sb="51" eb="53">
      <t>ギョウシュ</t>
    </rPh>
    <rPh sb="53" eb="55">
      <t>イガイ</t>
    </rPh>
    <rPh sb="56" eb="58">
      <t>バアイ</t>
    </rPh>
    <rPh sb="63" eb="65">
      <t>ギョウシュ</t>
    </rPh>
    <rPh sb="66" eb="68">
      <t>キョウケイ</t>
    </rPh>
    <rPh sb="68" eb="70">
      <t>ソシキ</t>
    </rPh>
    <rPh sb="71" eb="72">
      <t>オウ</t>
    </rPh>
    <rPh sb="74" eb="76">
      <t>ギョウシュ</t>
    </rPh>
    <rPh sb="77" eb="79">
      <t>ニュウリョク</t>
    </rPh>
    <phoneticPr fontId="3"/>
  </si>
  <si>
    <t>入力した内容をチェックし、エラーの場合はエラーメッセージを表示。
エラーが無ければ、業種、共計組織、収支管理品目に入力したコードの名称を表示する。</t>
    <phoneticPr fontId="3"/>
  </si>
  <si>
    <t>業種検索子画面をポップアップ表示する</t>
    <phoneticPr fontId="3"/>
  </si>
  <si>
    <t>共計組織検索子画面をポップアップ表示する</t>
    <phoneticPr fontId="3"/>
  </si>
  <si>
    <t>収支管理品目検索子画面をポップアップ表示する</t>
    <phoneticPr fontId="3"/>
  </si>
  <si>
    <t>職員検索子画面をポップアップ表示する</t>
    <phoneticPr fontId="3"/>
  </si>
  <si>
    <t>入力した内容をチェックし、エラーの場合はエラーメッセージを表示。
エラーが無ければ、修正状態で入力画面へ遷移する。</t>
    <rPh sb="0" eb="2">
      <t>ニュウリョク</t>
    </rPh>
    <rPh sb="4" eb="6">
      <t>ナイヨウ</t>
    </rPh>
    <rPh sb="17" eb="19">
      <t>バアイ</t>
    </rPh>
    <rPh sb="29" eb="31">
      <t>ヒョウジ</t>
    </rPh>
    <rPh sb="37" eb="38">
      <t>ナ</t>
    </rPh>
    <rPh sb="42" eb="44">
      <t>シュウセイ</t>
    </rPh>
    <rPh sb="44" eb="46">
      <t>ジョウタイ</t>
    </rPh>
    <rPh sb="47" eb="49">
      <t>ニュウリョク</t>
    </rPh>
    <rPh sb="49" eb="51">
      <t>ガメン</t>
    </rPh>
    <rPh sb="52" eb="54">
      <t>センイ</t>
    </rPh>
    <phoneticPr fontId="3"/>
  </si>
  <si>
    <t>入力した内容をチェックし、エラーの場合はエラーメッセージを表示。
エラーが無ければ、削除状態で確認画面へ遷移する。</t>
    <rPh sb="0" eb="2">
      <t>ニュウリョク</t>
    </rPh>
    <rPh sb="4" eb="6">
      <t>ナイヨウ</t>
    </rPh>
    <rPh sb="17" eb="19">
      <t>バアイ</t>
    </rPh>
    <rPh sb="29" eb="31">
      <t>ヒョウジ</t>
    </rPh>
    <rPh sb="37" eb="38">
      <t>ナ</t>
    </rPh>
    <rPh sb="42" eb="44">
      <t>サクジョ</t>
    </rPh>
    <rPh sb="44" eb="46">
      <t>ジョウタイ</t>
    </rPh>
    <rPh sb="47" eb="49">
      <t>カクニン</t>
    </rPh>
    <rPh sb="49" eb="51">
      <t>ガメン</t>
    </rPh>
    <rPh sb="52" eb="54">
      <t>センイ</t>
    </rPh>
    <phoneticPr fontId="3"/>
  </si>
  <si>
    <t>入力した内容をチェックし、エラーの場合はエラーメッセージを表示。
エラーが無ければ、照会状態で確認画面へ遷移する。</t>
    <rPh sb="0" eb="2">
      <t>ニュウリョク</t>
    </rPh>
    <rPh sb="4" eb="6">
      <t>ナイヨウ</t>
    </rPh>
    <rPh sb="17" eb="19">
      <t>バアイ</t>
    </rPh>
    <rPh sb="29" eb="31">
      <t>ヒョウジ</t>
    </rPh>
    <rPh sb="37" eb="38">
      <t>ナ</t>
    </rPh>
    <rPh sb="42" eb="44">
      <t>ショウカイ</t>
    </rPh>
    <rPh sb="44" eb="46">
      <t>ジョウタイ</t>
    </rPh>
    <rPh sb="47" eb="49">
      <t>カクニン</t>
    </rPh>
    <rPh sb="49" eb="51">
      <t>ガメン</t>
    </rPh>
    <rPh sb="52" eb="54">
      <t>センイ</t>
    </rPh>
    <phoneticPr fontId="3"/>
  </si>
  <si>
    <t>入力した内容をチェックし、エラーの場合はエラーメッセージを表示。
エラーが無ければ、承認依頼取下状態で確認画面へ遷移する。</t>
    <rPh sb="51" eb="53">
      <t>カクニン</t>
    </rPh>
    <phoneticPr fontId="3"/>
  </si>
  <si>
    <t>業種マスタに存在しない場合エラー
／業種はマスタに存在しません。</t>
    <rPh sb="0" eb="2">
      <t>ギョウシュ</t>
    </rPh>
    <phoneticPr fontId="3"/>
  </si>
  <si>
    <t>共計組織検索で参照するマスタに存在しない場合エラー
／共計組織はマスタに存在しません。</t>
    <rPh sb="0" eb="2">
      <t>キョウケイ</t>
    </rPh>
    <rPh sb="2" eb="4">
      <t>ソシキ</t>
    </rPh>
    <rPh sb="4" eb="6">
      <t>ケンサク</t>
    </rPh>
    <rPh sb="7" eb="9">
      <t>サンショウ</t>
    </rPh>
    <phoneticPr fontId="3"/>
  </si>
  <si>
    <t xml:space="preserve">文字
</t>
    <rPh sb="0" eb="2">
      <t>モジ</t>
    </rPh>
    <phoneticPr fontId="3"/>
  </si>
  <si>
    <t>伝票番号を入力する</t>
    <rPh sb="0" eb="2">
      <t>デンピョウ</t>
    </rPh>
    <rPh sb="2" eb="4">
      <t>バンゴウ</t>
    </rPh>
    <rPh sb="5" eb="7">
      <t>ニュウリョク</t>
    </rPh>
    <phoneticPr fontId="3"/>
  </si>
  <si>
    <t>文字</t>
    <phoneticPr fontId="3"/>
  </si>
  <si>
    <t>19</t>
    <phoneticPr fontId="3"/>
  </si>
  <si>
    <t>更新日(From)、更新日(To)の両方を入力している且つ、
更新日(From)＞更新日(To)の場合はエラー
／更新日(From)は更新日(To)より過去の日付を入力してください。</t>
    <rPh sb="49" eb="51">
      <t>バアイ</t>
    </rPh>
    <phoneticPr fontId="3"/>
  </si>
  <si>
    <t>YY9999999-99</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</si>
</sst>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Red]\(#,##0\)"/>
  </numFmts>
  <fonts count="50">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b/>
      <sz val="12"/>
      <name val="ＭＳ 明朝"/>
      <family val="1"/>
      <charset val="128"/>
    </font>
    <font>
      <b/>
      <sz val="12"/>
      <name val="ＭＳ Ｐゴシック"/>
      <family val="3"/>
      <charset val="128"/>
    </font>
    <font>
      <sz val="12"/>
      <name val="ＭＳ Ｐゴシック"/>
      <family val="3"/>
      <charset val="128"/>
    </font>
    <font>
      <sz val="12"/>
      <color rgb="FFFF0000"/>
      <name val="ＭＳ Ｐゴシック"/>
      <family val="3"/>
      <charset val="128"/>
    </font>
    <font>
      <b/>
      <sz val="12"/>
      <color theme="0"/>
      <name val="ＭＳ Ｐゴシック"/>
      <family val="3"/>
      <charset val="128"/>
    </font>
    <font>
      <sz val="9"/>
      <name val="ＭＳ Ｐゴシック"/>
      <family val="3"/>
      <charset val="128"/>
    </font>
    <font>
      <sz val="11"/>
      <name val="ＭＳ ゴシック"/>
      <family val="3"/>
      <charset val="128"/>
    </font>
    <font>
      <sz val="12"/>
      <name val="ＭＳ ゴシック"/>
      <family val="3"/>
      <charset val="128"/>
    </font>
    <font>
      <b/>
      <sz val="12"/>
      <name val="ＭＳ ゴシック"/>
      <family val="3"/>
      <charset val="128"/>
    </font>
    <font>
      <b/>
      <sz val="12"/>
      <color theme="0"/>
      <name val="ＭＳ ゴシック"/>
      <family val="3"/>
      <charset val="128"/>
    </font>
    <font>
      <b/>
      <u/>
      <sz val="12"/>
      <name val="ＭＳ ゴシック"/>
      <family val="3"/>
      <charset val="128"/>
    </font>
    <font>
      <sz val="10"/>
      <name val="ＭＳ ゴシック"/>
      <family val="3"/>
      <charset val="128"/>
    </font>
    <font>
      <b/>
      <sz val="10"/>
      <name val="ＭＳ ゴシック"/>
      <family val="3"/>
      <charset val="128"/>
    </font>
    <font>
      <b/>
      <u/>
      <sz val="10"/>
      <name val="ＭＳ ゴシック"/>
      <family val="3"/>
      <charset val="128"/>
    </font>
    <font>
      <b/>
      <sz val="10"/>
      <color theme="0"/>
      <name val="ＭＳ ゴシック"/>
      <family val="3"/>
      <charset val="128"/>
    </font>
    <font>
      <sz val="10"/>
      <color rgb="FFFF0000"/>
      <name val="ＭＳ ゴシック"/>
      <family val="3"/>
      <charset val="128"/>
    </font>
    <font>
      <sz val="10"/>
      <color theme="1"/>
      <name val="ＭＳ ゴシック"/>
      <family val="3"/>
      <charset val="128"/>
    </font>
    <font>
      <sz val="10"/>
      <color theme="0"/>
      <name val="ＭＳ ゴシック"/>
      <family val="3"/>
      <charset val="128"/>
    </font>
    <font>
      <sz val="10"/>
      <color rgb="FF262626"/>
      <name val="ＭＳ ゴシック"/>
      <family val="3"/>
      <charset val="128"/>
    </font>
    <font>
      <u/>
      <sz val="10"/>
      <color rgb="FF262626"/>
      <name val="ＭＳ ゴシック"/>
      <family val="3"/>
      <charset val="128"/>
    </font>
    <font>
      <b/>
      <sz val="12"/>
      <color rgb="FF404040"/>
      <name val="ＭＳ ゴシック"/>
      <family val="3"/>
      <charset val="128"/>
    </font>
    <font>
      <b/>
      <sz val="10"/>
      <color rgb="FF404040"/>
      <name val="ＭＳ ゴシック"/>
      <family val="3"/>
      <charset val="128"/>
    </font>
    <font>
      <sz val="10"/>
      <color rgb="FF404040"/>
      <name val="ＭＳ ゴシック"/>
      <family val="3"/>
      <charset val="128"/>
    </font>
    <font>
      <sz val="14"/>
      <color rgb="FF404040"/>
      <name val="ＭＳ ゴシック"/>
      <family val="3"/>
      <charset val="128"/>
    </font>
    <font>
      <b/>
      <sz val="14"/>
      <name val="ＭＳ ゴシック"/>
      <family val="3"/>
      <charset val="128"/>
    </font>
    <font>
      <sz val="10"/>
      <color theme="0"/>
      <name val="ＭＳ 明朝"/>
      <family val="1"/>
      <charset val="128"/>
    </font>
    <font>
      <sz val="10"/>
      <color theme="0"/>
      <name val="ＭＳ Ｐゴシック"/>
      <family val="3"/>
      <charset val="128"/>
    </font>
    <font>
      <sz val="10"/>
      <name val="ＭＳ Ｐゴシック"/>
      <family val="3"/>
      <charset val="128"/>
    </font>
    <font>
      <b/>
      <sz val="10"/>
      <name val="ＭＳ Ｐゴシック"/>
      <family val="3"/>
      <charset val="128"/>
    </font>
    <font>
      <sz val="12"/>
      <color rgb="FF404040"/>
      <name val="ＭＳ ゴシック"/>
      <family val="3"/>
      <charset val="128"/>
    </font>
    <font>
      <u/>
      <sz val="11"/>
      <color theme="10"/>
      <name val="ＭＳ Ｐゴシック"/>
      <family val="3"/>
      <charset val="128"/>
    </font>
  </fonts>
  <fills count="10">
    <fill>
      <patternFill patternType="none"/>
    </fill>
    <fill>
      <patternFill patternType="gray125"/>
    </fill>
    <fill>
      <patternFill patternType="solid">
        <fgColor rgb="FFF5F5F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theme="2" tint="-9.9978637043366805E-2"/>
        <bgColor indexed="64"/>
      </patternFill>
    </fill>
    <fill>
      <patternFill patternType="solid">
        <fgColor theme="7" tint="0.79998168889431442"/>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hair">
        <color indexed="64"/>
      </top>
      <bottom/>
      <diagonal/>
    </border>
    <border>
      <left style="hair">
        <color indexed="64"/>
      </left>
      <right/>
      <top style="hair">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s>
  <cellStyleXfs count="9">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38" fontId="11" fillId="0" borderId="0" applyFont="0" applyFill="0" applyBorder="0" applyAlignment="0" applyProtection="0">
      <alignment vertical="center"/>
    </xf>
    <xf numFmtId="0" fontId="49" fillId="0" borderId="0" applyNumberFormat="0" applyFill="0" applyBorder="0" applyAlignment="0" applyProtection="0"/>
  </cellStyleXfs>
  <cellXfs count="696">
    <xf numFmtId="0" fontId="0" fillId="0" borderId="0" xfId="0"/>
    <xf numFmtId="49" fontId="4" fillId="0" borderId="0" xfId="0" applyNumberFormat="1" applyFont="1"/>
    <xf numFmtId="49" fontId="6" fillId="0" borderId="0" xfId="0" applyNumberFormat="1" applyFont="1"/>
    <xf numFmtId="49" fontId="6" fillId="0" borderId="0" xfId="0" applyNumberFormat="1" applyFont="1" applyAlignment="1">
      <alignment vertical="center"/>
    </xf>
    <xf numFmtId="49" fontId="7" fillId="0" borderId="0" xfId="0" applyNumberFormat="1" applyFont="1" applyAlignment="1">
      <alignment vertical="center"/>
    </xf>
    <xf numFmtId="49" fontId="8" fillId="0" borderId="0" xfId="0" applyNumberFormat="1" applyFont="1" applyAlignment="1">
      <alignment vertical="center"/>
    </xf>
    <xf numFmtId="49" fontId="8" fillId="0" borderId="6" xfId="0" applyNumberFormat="1" applyFont="1" applyBorder="1"/>
    <xf numFmtId="49" fontId="8" fillId="0" borderId="7" xfId="0" applyNumberFormat="1" applyFont="1" applyBorder="1"/>
    <xf numFmtId="49" fontId="8" fillId="0" borderId="8" xfId="0" applyNumberFormat="1" applyFont="1" applyBorder="1"/>
    <xf numFmtId="49" fontId="8" fillId="0" borderId="0" xfId="0" applyNumberFormat="1" applyFont="1"/>
    <xf numFmtId="49" fontId="8" fillId="0" borderId="2" xfId="0" applyNumberFormat="1" applyFont="1" applyBorder="1"/>
    <xf numFmtId="49" fontId="8" fillId="0" borderId="3" xfId="0" applyNumberFormat="1" applyFont="1" applyBorder="1"/>
    <xf numFmtId="49" fontId="8" fillId="0" borderId="4" xfId="0" applyNumberFormat="1" applyFont="1" applyBorder="1"/>
    <xf numFmtId="49" fontId="8" fillId="0" borderId="1" xfId="0" applyNumberFormat="1" applyFont="1" applyBorder="1"/>
    <xf numFmtId="49" fontId="8" fillId="0" borderId="5" xfId="0" applyNumberFormat="1" applyFont="1" applyBorder="1"/>
    <xf numFmtId="49" fontId="6" fillId="0" borderId="9" xfId="0" applyNumberFormat="1" applyFont="1" applyBorder="1" applyAlignment="1">
      <alignment vertical="center"/>
    </xf>
    <xf numFmtId="49" fontId="6" fillId="0" borderId="10" xfId="0" applyNumberFormat="1" applyFont="1" applyBorder="1" applyAlignment="1">
      <alignment vertical="center"/>
    </xf>
    <xf numFmtId="49" fontId="6" fillId="0" borderId="11" xfId="0" applyNumberFormat="1" applyFont="1" applyBorder="1" applyAlignment="1">
      <alignmen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13" fillId="0" borderId="0" xfId="1" applyNumberFormat="1" applyFont="1" applyAlignment="1">
      <alignment vertical="center"/>
    </xf>
    <xf numFmtId="49" fontId="13" fillId="0" borderId="0" xfId="1" applyNumberFormat="1" applyFont="1" applyAlignment="1">
      <alignment horizontal="left" vertical="center"/>
    </xf>
    <xf numFmtId="49" fontId="6" fillId="0" borderId="0" xfId="0" applyNumberFormat="1" applyFont="1" applyAlignment="1">
      <alignment horizontal="left" vertical="center"/>
    </xf>
    <xf numFmtId="49" fontId="6" fillId="0" borderId="0" xfId="0" applyNumberFormat="1" applyFont="1" applyAlignment="1">
      <alignment horizontal="right" vertical="center"/>
    </xf>
    <xf numFmtId="49" fontId="6" fillId="0" borderId="2" xfId="0" applyNumberFormat="1" applyFont="1" applyBorder="1" applyAlignment="1">
      <alignment vertical="center"/>
    </xf>
    <xf numFmtId="49" fontId="6" fillId="0" borderId="0" xfId="1" applyNumberFormat="1" applyFont="1"/>
    <xf numFmtId="49" fontId="6" fillId="0" borderId="6" xfId="0" applyNumberFormat="1" applyFont="1" applyBorder="1"/>
    <xf numFmtId="49" fontId="6" fillId="0" borderId="7" xfId="0" applyNumberFormat="1" applyFont="1" applyBorder="1"/>
    <xf numFmtId="49" fontId="6" fillId="0" borderId="2" xfId="0" applyNumberFormat="1" applyFont="1" applyBorder="1"/>
    <xf numFmtId="49" fontId="6" fillId="0" borderId="4" xfId="0" applyNumberFormat="1" applyFont="1" applyBorder="1"/>
    <xf numFmtId="49" fontId="6" fillId="0" borderId="1" xfId="0" applyNumberFormat="1" applyFont="1" applyBorder="1"/>
    <xf numFmtId="49" fontId="6" fillId="0" borderId="0" xfId="1" applyNumberFormat="1" applyFont="1" applyAlignment="1">
      <alignment vertical="center"/>
    </xf>
    <xf numFmtId="49" fontId="6" fillId="0" borderId="0" xfId="1" applyNumberFormat="1" applyFont="1" applyAlignment="1">
      <alignment horizontal="right" vertical="center"/>
    </xf>
    <xf numFmtId="49" fontId="7" fillId="0" borderId="0" xfId="1" applyNumberFormat="1" applyFont="1" applyAlignment="1">
      <alignment vertical="center"/>
    </xf>
    <xf numFmtId="49" fontId="8" fillId="0" borderId="0" xfId="1" applyNumberFormat="1" applyFont="1" applyAlignment="1">
      <alignment vertical="center"/>
    </xf>
    <xf numFmtId="49" fontId="6" fillId="0" borderId="9" xfId="1" applyNumberFormat="1" applyFont="1" applyBorder="1"/>
    <xf numFmtId="49" fontId="6" fillId="0" borderId="10" xfId="1" applyNumberFormat="1" applyFont="1" applyBorder="1"/>
    <xf numFmtId="49" fontId="6" fillId="0" borderId="11" xfId="1" applyNumberFormat="1" applyFont="1" applyBorder="1"/>
    <xf numFmtId="49" fontId="6" fillId="0" borderId="2" xfId="1" applyNumberFormat="1" applyFont="1" applyBorder="1"/>
    <xf numFmtId="49" fontId="6" fillId="0" borderId="2" xfId="1" applyNumberFormat="1" applyFont="1" applyBorder="1" applyAlignment="1">
      <alignment vertical="center"/>
    </xf>
    <xf numFmtId="49" fontId="6" fillId="0" borderId="0" xfId="1" applyNumberFormat="1" applyFont="1" applyAlignment="1">
      <alignment vertical="center" wrapText="1"/>
    </xf>
    <xf numFmtId="49" fontId="6" fillId="0" borderId="3" xfId="1" applyNumberFormat="1" applyFont="1" applyBorder="1"/>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6" fillId="0" borderId="3" xfId="0" applyNumberFormat="1" applyFont="1" applyBorder="1"/>
    <xf numFmtId="49" fontId="6" fillId="0" borderId="5" xfId="0" applyNumberFormat="1" applyFont="1" applyBorder="1"/>
    <xf numFmtId="49" fontId="6" fillId="0" borderId="8" xfId="0" applyNumberFormat="1" applyFont="1" applyBorder="1"/>
    <xf numFmtId="49" fontId="8" fillId="0" borderId="0" xfId="2" applyNumberFormat="1" applyFont="1" applyAlignment="1"/>
    <xf numFmtId="49" fontId="8" fillId="0" borderId="0" xfId="2" applyNumberFormat="1" applyFont="1">
      <alignment vertical="center"/>
    </xf>
    <xf numFmtId="49" fontId="4" fillId="0" borderId="0" xfId="3" applyNumberFormat="1" applyFont="1">
      <alignment vertical="center"/>
    </xf>
    <xf numFmtId="49" fontId="6" fillId="0" borderId="0" xfId="3" applyNumberFormat="1" applyFont="1" applyAlignment="1"/>
    <xf numFmtId="49" fontId="6" fillId="0" borderId="0" xfId="2" applyNumberFormat="1" applyFont="1" applyAlignment="1"/>
    <xf numFmtId="49" fontId="6" fillId="0" borderId="0" xfId="3" applyNumberFormat="1" applyFont="1">
      <alignment vertical="center"/>
    </xf>
    <xf numFmtId="49" fontId="6" fillId="0" borderId="0" xfId="2" applyNumberFormat="1" applyFont="1">
      <alignment vertical="center"/>
    </xf>
    <xf numFmtId="49" fontId="6" fillId="0" borderId="0" xfId="4" applyNumberFormat="1" applyFont="1" applyAlignment="1"/>
    <xf numFmtId="49" fontId="4" fillId="0" borderId="0" xfId="1" applyNumberFormat="1" applyFont="1"/>
    <xf numFmtId="49" fontId="6" fillId="0" borderId="0" xfId="6" applyNumberFormat="1" applyFont="1">
      <alignment vertical="center"/>
    </xf>
    <xf numFmtId="0" fontId="10" fillId="0" borderId="0" xfId="0" applyFont="1" applyAlignment="1">
      <alignment vertical="center"/>
    </xf>
    <xf numFmtId="0" fontId="6" fillId="0" borderId="0" xfId="0" applyFont="1" applyAlignment="1">
      <alignment vertical="center"/>
    </xf>
    <xf numFmtId="49" fontId="6" fillId="0" borderId="0" xfId="1" quotePrefix="1" applyNumberFormat="1" applyFont="1"/>
    <xf numFmtId="49" fontId="6" fillId="0" borderId="6" xfId="1" applyNumberFormat="1" applyFont="1" applyBorder="1"/>
    <xf numFmtId="49" fontId="6" fillId="0" borderId="7" xfId="1" applyNumberFormat="1" applyFont="1" applyBorder="1"/>
    <xf numFmtId="49" fontId="6" fillId="0" borderId="8" xfId="1" applyNumberFormat="1" applyFont="1" applyBorder="1"/>
    <xf numFmtId="49" fontId="23" fillId="0" borderId="0" xfId="3" applyNumberFormat="1" applyFont="1">
      <alignment vertical="center"/>
    </xf>
    <xf numFmtId="49" fontId="21" fillId="0" borderId="0" xfId="5" applyNumberFormat="1" applyFont="1">
      <alignment vertical="center"/>
    </xf>
    <xf numFmtId="49" fontId="20" fillId="0" borderId="0" xfId="5" applyNumberFormat="1" applyFont="1">
      <alignment vertical="center"/>
    </xf>
    <xf numFmtId="49" fontId="7" fillId="0" borderId="0" xfId="2" applyNumberFormat="1" applyFont="1" applyAlignment="1"/>
    <xf numFmtId="49" fontId="7" fillId="0" borderId="0" xfId="2" applyNumberFormat="1" applyFont="1">
      <alignment vertical="center"/>
    </xf>
    <xf numFmtId="49" fontId="25" fillId="5" borderId="10" xfId="0" applyNumberFormat="1" applyFont="1" applyFill="1" applyBorder="1" applyAlignment="1">
      <alignment vertical="center"/>
    </xf>
    <xf numFmtId="49" fontId="25" fillId="5" borderId="10" xfId="0" applyNumberFormat="1" applyFont="1" applyFill="1" applyBorder="1" applyAlignment="1">
      <alignment horizontal="center" vertical="center"/>
    </xf>
    <xf numFmtId="49" fontId="25" fillId="5" borderId="11" xfId="0" applyNumberFormat="1" applyFont="1" applyFill="1" applyBorder="1" applyAlignment="1">
      <alignment vertical="center"/>
    </xf>
    <xf numFmtId="49" fontId="32" fillId="5" borderId="9" xfId="2" applyNumberFormat="1" applyFont="1" applyFill="1" applyBorder="1" applyAlignment="1">
      <alignment vertical="center" wrapText="1"/>
    </xf>
    <xf numFmtId="49" fontId="32" fillId="5" borderId="4" xfId="2" applyNumberFormat="1" applyFont="1" applyFill="1" applyBorder="1" applyAlignment="1">
      <alignment vertical="center" wrapText="1"/>
    </xf>
    <xf numFmtId="49" fontId="33" fillId="5" borderId="10" xfId="3" applyNumberFormat="1" applyFont="1" applyFill="1" applyBorder="1">
      <alignment vertical="center"/>
    </xf>
    <xf numFmtId="49" fontId="33" fillId="5" borderId="9" xfId="3" applyNumberFormat="1" applyFont="1" applyFill="1" applyBorder="1">
      <alignment vertical="center"/>
    </xf>
    <xf numFmtId="49" fontId="30" fillId="5" borderId="10" xfId="3" applyNumberFormat="1" applyFont="1" applyFill="1" applyBorder="1">
      <alignment vertical="center"/>
    </xf>
    <xf numFmtId="49" fontId="30" fillId="5" borderId="9" xfId="5" applyNumberFormat="1" applyFont="1" applyFill="1" applyBorder="1">
      <alignment vertical="center"/>
    </xf>
    <xf numFmtId="49" fontId="30" fillId="5" borderId="11" xfId="5" applyNumberFormat="1" applyFont="1" applyFill="1" applyBorder="1">
      <alignment vertical="center"/>
    </xf>
    <xf numFmtId="49" fontId="34" fillId="5" borderId="10" xfId="5" applyNumberFormat="1" applyFont="1" applyFill="1" applyBorder="1">
      <alignment vertical="center"/>
    </xf>
    <xf numFmtId="49" fontId="18" fillId="2" borderId="2" xfId="2" applyNumberFormat="1" applyFont="1" applyFill="1" applyBorder="1" applyAlignment="1">
      <alignment vertical="center" wrapText="1"/>
    </xf>
    <xf numFmtId="49" fontId="26" fillId="2" borderId="7" xfId="5" applyNumberFormat="1" applyFont="1" applyFill="1" applyBorder="1" applyAlignment="1">
      <alignment horizontal="left" vertical="top"/>
    </xf>
    <xf numFmtId="49" fontId="26" fillId="2" borderId="7" xfId="3" applyNumberFormat="1" applyFont="1" applyFill="1" applyBorder="1" applyAlignment="1">
      <alignment horizontal="left" vertical="top"/>
    </xf>
    <xf numFmtId="49" fontId="18" fillId="2" borderId="40" xfId="2" applyNumberFormat="1" applyFont="1" applyFill="1" applyBorder="1" applyAlignment="1">
      <alignment vertical="center" wrapText="1"/>
    </xf>
    <xf numFmtId="49" fontId="18" fillId="2" borderId="41" xfId="2" applyNumberFormat="1" applyFont="1" applyFill="1" applyBorder="1" applyAlignment="1">
      <alignment vertical="center" wrapText="1"/>
    </xf>
    <xf numFmtId="49" fontId="29" fillId="2" borderId="41" xfId="2" applyNumberFormat="1" applyFont="1" applyFill="1" applyBorder="1" applyAlignment="1">
      <alignment vertical="center" wrapText="1"/>
    </xf>
    <xf numFmtId="49" fontId="18" fillId="2" borderId="4" xfId="2" applyNumberFormat="1" applyFont="1" applyFill="1" applyBorder="1" applyAlignment="1">
      <alignment vertical="center" wrapText="1"/>
    </xf>
    <xf numFmtId="49" fontId="18" fillId="2" borderId="1" xfId="2" applyNumberFormat="1" applyFont="1" applyFill="1" applyBorder="1" applyAlignment="1">
      <alignment vertical="center" wrapText="1"/>
    </xf>
    <xf numFmtId="49" fontId="29" fillId="2" borderId="1" xfId="2" applyNumberFormat="1" applyFont="1" applyFill="1" applyBorder="1" applyAlignment="1">
      <alignment vertical="center" wrapText="1"/>
    </xf>
    <xf numFmtId="49" fontId="26" fillId="2" borderId="3" xfId="3" applyNumberFormat="1" applyFont="1" applyFill="1" applyBorder="1">
      <alignment vertical="center"/>
    </xf>
    <xf numFmtId="49" fontId="28" fillId="2" borderId="7" xfId="3" applyNumberFormat="1" applyFont="1" applyFill="1" applyBorder="1">
      <alignment vertical="center"/>
    </xf>
    <xf numFmtId="49" fontId="6" fillId="0" borderId="0" xfId="1" applyNumberFormat="1" applyFont="1" applyAlignment="1">
      <alignment horizontal="left" vertical="center"/>
    </xf>
    <xf numFmtId="49" fontId="6" fillId="0" borderId="0" xfId="1" applyNumberFormat="1" applyFont="1" applyAlignment="1">
      <alignment horizontal="center" vertical="center"/>
    </xf>
    <xf numFmtId="49" fontId="21" fillId="0" borderId="0" xfId="1" applyNumberFormat="1" applyFont="1" applyAlignment="1">
      <alignment vertical="center"/>
    </xf>
    <xf numFmtId="49" fontId="26" fillId="2" borderId="0" xfId="1" applyNumberFormat="1" applyFont="1" applyFill="1" applyAlignment="1">
      <alignment vertical="center"/>
    </xf>
    <xf numFmtId="49" fontId="6" fillId="2" borderId="0" xfId="1" applyNumberFormat="1" applyFont="1" applyFill="1" applyAlignment="1">
      <alignment vertical="center"/>
    </xf>
    <xf numFmtId="49" fontId="6" fillId="2" borderId="3" xfId="1" applyNumberFormat="1" applyFont="1" applyFill="1" applyBorder="1" applyAlignment="1">
      <alignment vertical="center"/>
    </xf>
    <xf numFmtId="49" fontId="29" fillId="2" borderId="0" xfId="2" applyNumberFormat="1" applyFont="1" applyFill="1" applyAlignment="1">
      <alignment vertical="center" wrapText="1"/>
    </xf>
    <xf numFmtId="49" fontId="21" fillId="2" borderId="3" xfId="1" applyNumberFormat="1" applyFont="1" applyFill="1" applyBorder="1" applyAlignment="1">
      <alignment vertical="center"/>
    </xf>
    <xf numFmtId="49" fontId="25" fillId="5" borderId="10" xfId="1" applyNumberFormat="1" applyFont="1" applyFill="1" applyBorder="1" applyAlignment="1">
      <alignment horizontal="center" vertical="center"/>
    </xf>
    <xf numFmtId="49" fontId="25" fillId="5" borderId="10" xfId="1" applyNumberFormat="1" applyFont="1" applyFill="1" applyBorder="1" applyAlignment="1">
      <alignment vertical="center"/>
    </xf>
    <xf numFmtId="49" fontId="25" fillId="5" borderId="10" xfId="1" quotePrefix="1" applyNumberFormat="1" applyFont="1" applyFill="1" applyBorder="1" applyAlignment="1">
      <alignment horizontal="left" vertical="center"/>
    </xf>
    <xf numFmtId="49" fontId="25" fillId="5" borderId="11" xfId="1" applyNumberFormat="1" applyFont="1" applyFill="1" applyBorder="1" applyAlignment="1">
      <alignment horizontal="center" vertical="center"/>
    </xf>
    <xf numFmtId="49" fontId="25" fillId="5" borderId="7" xfId="1" applyNumberFormat="1" applyFont="1" applyFill="1" applyBorder="1" applyAlignment="1">
      <alignment vertical="center"/>
    </xf>
    <xf numFmtId="49" fontId="25" fillId="5" borderId="11" xfId="1" applyNumberFormat="1" applyFont="1" applyFill="1" applyBorder="1" applyAlignment="1">
      <alignment vertical="center"/>
    </xf>
    <xf numFmtId="49" fontId="25" fillId="5" borderId="10" xfId="1" applyNumberFormat="1" applyFont="1" applyFill="1" applyBorder="1" applyAlignment="1">
      <alignment horizontal="left" vertical="center"/>
    </xf>
    <xf numFmtId="49" fontId="25" fillId="5" borderId="8" xfId="1" applyNumberFormat="1" applyFont="1" applyFill="1" applyBorder="1" applyAlignment="1">
      <alignment vertical="center"/>
    </xf>
    <xf numFmtId="49" fontId="19" fillId="0" borderId="0" xfId="1" applyNumberFormat="1" applyFont="1" applyAlignment="1">
      <alignment vertical="center"/>
    </xf>
    <xf numFmtId="49" fontId="21" fillId="2" borderId="3" xfId="1" applyNumberFormat="1" applyFont="1" applyFill="1" applyBorder="1"/>
    <xf numFmtId="49" fontId="21" fillId="2" borderId="1" xfId="1" applyNumberFormat="1" applyFont="1" applyFill="1" applyBorder="1" applyAlignment="1">
      <alignment vertical="center"/>
    </xf>
    <xf numFmtId="49" fontId="21" fillId="2" borderId="5" xfId="1" applyNumberFormat="1" applyFont="1" applyFill="1" applyBorder="1"/>
    <xf numFmtId="49" fontId="26" fillId="2" borderId="2" xfId="1" applyNumberFormat="1" applyFont="1" applyFill="1" applyBorder="1" applyAlignment="1">
      <alignment vertical="center"/>
    </xf>
    <xf numFmtId="49" fontId="25" fillId="2" borderId="7" xfId="1" applyNumberFormat="1" applyFont="1" applyFill="1" applyBorder="1" applyAlignment="1">
      <alignment vertical="center"/>
    </xf>
    <xf numFmtId="49" fontId="25" fillId="2" borderId="7" xfId="1" applyNumberFormat="1" applyFont="1" applyFill="1" applyBorder="1" applyAlignment="1">
      <alignment horizontal="left" vertical="center"/>
    </xf>
    <xf numFmtId="49" fontId="25" fillId="2" borderId="7" xfId="1" applyNumberFormat="1" applyFont="1" applyFill="1" applyBorder="1" applyAlignment="1">
      <alignment horizontal="center" vertical="center"/>
    </xf>
    <xf numFmtId="49" fontId="36" fillId="7" borderId="9" xfId="1" applyNumberFormat="1" applyFont="1" applyFill="1" applyBorder="1" applyAlignment="1">
      <alignment vertical="center"/>
    </xf>
    <xf numFmtId="49" fontId="36" fillId="7" borderId="10" xfId="1" applyNumberFormat="1" applyFont="1" applyFill="1" applyBorder="1" applyAlignment="1">
      <alignment vertical="center"/>
    </xf>
    <xf numFmtId="49" fontId="36" fillId="7" borderId="11" xfId="1" applyNumberFormat="1" applyFont="1" applyFill="1" applyBorder="1" applyAlignment="1">
      <alignment vertical="center"/>
    </xf>
    <xf numFmtId="49" fontId="36" fillId="7" borderId="10" xfId="1" applyNumberFormat="1" applyFont="1" applyFill="1" applyBorder="1" applyAlignment="1">
      <alignment horizontal="centerContinuous" vertical="center"/>
    </xf>
    <xf numFmtId="49" fontId="30" fillId="5" borderId="9" xfId="1" applyNumberFormat="1" applyFont="1" applyFill="1" applyBorder="1" applyAlignment="1">
      <alignment vertical="center"/>
    </xf>
    <xf numFmtId="49" fontId="30" fillId="5" borderId="10" xfId="1" applyNumberFormat="1" applyFont="1" applyFill="1" applyBorder="1" applyAlignment="1">
      <alignment vertical="center"/>
    </xf>
    <xf numFmtId="49" fontId="30" fillId="5" borderId="10" xfId="1" applyNumberFormat="1" applyFont="1" applyFill="1" applyBorder="1" applyAlignment="1">
      <alignment horizontal="left" vertical="center"/>
    </xf>
    <xf numFmtId="49" fontId="30" fillId="5" borderId="9" xfId="1" applyNumberFormat="1" applyFont="1" applyFill="1" applyBorder="1" applyAlignment="1">
      <alignment horizontal="left" vertical="center"/>
    </xf>
    <xf numFmtId="49" fontId="30" fillId="5" borderId="11" xfId="1" applyNumberFormat="1" applyFont="1" applyFill="1" applyBorder="1" applyAlignment="1">
      <alignment vertical="center"/>
    </xf>
    <xf numFmtId="49" fontId="30" fillId="5" borderId="10" xfId="1" applyNumberFormat="1" applyFont="1" applyFill="1" applyBorder="1" applyAlignment="1">
      <alignment horizontal="centerContinuous" vertical="center"/>
    </xf>
    <xf numFmtId="49" fontId="30" fillId="5" borderId="9" xfId="1" applyNumberFormat="1" applyFont="1" applyFill="1" applyBorder="1" applyAlignment="1">
      <alignment horizontal="centerContinuous" vertical="center"/>
    </xf>
    <xf numFmtId="49" fontId="26" fillId="2" borderId="1" xfId="1" applyNumberFormat="1" applyFont="1" applyFill="1" applyBorder="1" applyAlignment="1">
      <alignment vertical="center"/>
    </xf>
    <xf numFmtId="49" fontId="10" fillId="0" borderId="0" xfId="1" applyNumberFormat="1" applyFont="1"/>
    <xf numFmtId="49" fontId="30" fillId="4" borderId="0" xfId="1" applyNumberFormat="1" applyFont="1" applyFill="1" applyAlignment="1">
      <alignment vertical="center"/>
    </xf>
    <xf numFmtId="49" fontId="26" fillId="5" borderId="10" xfId="1" applyNumberFormat="1" applyFont="1" applyFill="1" applyBorder="1" applyAlignment="1">
      <alignment vertical="center"/>
    </xf>
    <xf numFmtId="49" fontId="26" fillId="5" borderId="11" xfId="1" applyNumberFormat="1" applyFont="1" applyFill="1" applyBorder="1" applyAlignment="1">
      <alignment vertical="center"/>
    </xf>
    <xf numFmtId="49" fontId="30" fillId="5" borderId="4" xfId="1" applyNumberFormat="1" applyFont="1" applyFill="1" applyBorder="1" applyAlignment="1">
      <alignment vertical="center"/>
    </xf>
    <xf numFmtId="49" fontId="30" fillId="5" borderId="1" xfId="1" applyNumberFormat="1" applyFont="1" applyFill="1" applyBorder="1" applyAlignment="1">
      <alignment vertical="center"/>
    </xf>
    <xf numFmtId="49" fontId="30" fillId="5" borderId="6" xfId="1" applyNumberFormat="1" applyFont="1" applyFill="1" applyBorder="1" applyAlignment="1">
      <alignment vertical="center"/>
    </xf>
    <xf numFmtId="49" fontId="30" fillId="5" borderId="7" xfId="1" applyNumberFormat="1" applyFont="1" applyFill="1" applyBorder="1" applyAlignment="1">
      <alignment vertical="center"/>
    </xf>
    <xf numFmtId="49" fontId="30" fillId="5" borderId="7" xfId="1" applyNumberFormat="1" applyFont="1" applyFill="1" applyBorder="1" applyAlignment="1">
      <alignment horizontal="left" vertical="center"/>
    </xf>
    <xf numFmtId="49" fontId="30" fillId="5" borderId="7" xfId="1" applyNumberFormat="1" applyFont="1" applyFill="1" applyBorder="1" applyAlignment="1">
      <alignment horizontal="center" vertical="center"/>
    </xf>
    <xf numFmtId="49" fontId="30" fillId="5" borderId="6" xfId="1" applyNumberFormat="1" applyFont="1" applyFill="1" applyBorder="1" applyAlignment="1">
      <alignment horizontal="center" vertical="center"/>
    </xf>
    <xf numFmtId="49" fontId="30" fillId="5" borderId="8" xfId="1" applyNumberFormat="1" applyFont="1" applyFill="1" applyBorder="1" applyAlignment="1">
      <alignment vertical="center"/>
    </xf>
    <xf numFmtId="3" fontId="30" fillId="5" borderId="10" xfId="1" applyNumberFormat="1" applyFont="1" applyFill="1" applyBorder="1" applyAlignment="1">
      <alignment horizontal="right" vertical="center"/>
    </xf>
    <xf numFmtId="49" fontId="30" fillId="5" borderId="10" xfId="1" applyNumberFormat="1" applyFont="1" applyFill="1" applyBorder="1" applyAlignment="1">
      <alignment horizontal="right" vertical="center"/>
    </xf>
    <xf numFmtId="49" fontId="30" fillId="5" borderId="5" xfId="1" applyNumberFormat="1" applyFont="1" applyFill="1" applyBorder="1" applyAlignment="1">
      <alignment vertical="center"/>
    </xf>
    <xf numFmtId="49" fontId="31" fillId="5" borderId="10" xfId="1" applyNumberFormat="1" applyFont="1" applyFill="1" applyBorder="1" applyAlignment="1">
      <alignment horizontal="left" vertical="center"/>
    </xf>
    <xf numFmtId="49" fontId="31" fillId="5" borderId="10" xfId="1" applyNumberFormat="1" applyFont="1" applyFill="1" applyBorder="1" applyAlignment="1">
      <alignment vertical="center"/>
    </xf>
    <xf numFmtId="49" fontId="38" fillId="5" borderId="10" xfId="2" applyNumberFormat="1" applyFont="1" applyFill="1" applyBorder="1" applyAlignment="1">
      <alignment horizontal="center" vertical="center" wrapText="1"/>
    </xf>
    <xf numFmtId="49" fontId="6" fillId="5" borderId="10" xfId="0" applyNumberFormat="1" applyFont="1" applyFill="1" applyBorder="1" applyAlignment="1">
      <alignment vertical="center"/>
    </xf>
    <xf numFmtId="49" fontId="6" fillId="5" borderId="11" xfId="0" applyNumberFormat="1" applyFont="1" applyFill="1" applyBorder="1" applyAlignment="1">
      <alignment vertical="center"/>
    </xf>
    <xf numFmtId="49" fontId="25" fillId="5" borderId="10" xfId="0" applyNumberFormat="1" applyFont="1" applyFill="1" applyBorder="1" applyAlignment="1">
      <alignment horizontal="left" vertical="center"/>
    </xf>
    <xf numFmtId="49" fontId="25" fillId="5" borderId="10" xfId="0" quotePrefix="1" applyNumberFormat="1" applyFont="1" applyFill="1" applyBorder="1" applyAlignment="1">
      <alignment horizontal="left" vertical="center"/>
    </xf>
    <xf numFmtId="49" fontId="25" fillId="5" borderId="7" xfId="0" applyNumberFormat="1" applyFont="1" applyFill="1" applyBorder="1" applyAlignment="1">
      <alignment vertical="center"/>
    </xf>
    <xf numFmtId="49" fontId="6" fillId="0" borderId="2" xfId="0" applyNumberFormat="1" applyFont="1" applyBorder="1" applyAlignment="1">
      <alignment horizontal="center" vertical="center"/>
    </xf>
    <xf numFmtId="49" fontId="6" fillId="0" borderId="17" xfId="0" applyNumberFormat="1" applyFont="1" applyBorder="1" applyAlignment="1">
      <alignment horizontal="centerContinuous" vertical="center"/>
    </xf>
    <xf numFmtId="49" fontId="6" fillId="0" borderId="18" xfId="0" applyNumberFormat="1" applyFont="1" applyBorder="1" applyAlignment="1">
      <alignment horizontal="centerContinuous" vertical="center"/>
    </xf>
    <xf numFmtId="49" fontId="6" fillId="0" borderId="22" xfId="0" applyNumberFormat="1" applyFont="1" applyBorder="1" applyAlignment="1">
      <alignment horizontal="centerContinuous" vertical="center"/>
    </xf>
    <xf numFmtId="49" fontId="6" fillId="0" borderId="25" xfId="0" applyNumberFormat="1" applyFont="1" applyBorder="1" applyAlignment="1">
      <alignment horizontal="centerContinuous" vertical="center"/>
    </xf>
    <xf numFmtId="49" fontId="6" fillId="0" borderId="0" xfId="0" applyNumberFormat="1" applyFont="1" applyAlignment="1">
      <alignment horizontal="center" vertical="center"/>
    </xf>
    <xf numFmtId="49" fontId="35" fillId="5" borderId="10" xfId="1" applyNumberFormat="1" applyFont="1" applyFill="1" applyBorder="1" applyAlignment="1">
      <alignment vertical="center"/>
    </xf>
    <xf numFmtId="49" fontId="35" fillId="5" borderId="11" xfId="1" applyNumberFormat="1" applyFont="1" applyFill="1" applyBorder="1" applyAlignment="1">
      <alignment vertical="center"/>
    </xf>
    <xf numFmtId="49" fontId="36" fillId="7" borderId="9" xfId="0" applyNumberFormat="1" applyFont="1" applyFill="1" applyBorder="1" applyAlignment="1">
      <alignment horizontal="left" vertical="center"/>
    </xf>
    <xf numFmtId="49" fontId="30" fillId="5" borderId="9" xfId="0" applyNumberFormat="1" applyFont="1" applyFill="1" applyBorder="1" applyAlignment="1">
      <alignment horizontal="left" vertical="center"/>
    </xf>
    <xf numFmtId="49" fontId="30" fillId="5" borderId="24" xfId="1" applyNumberFormat="1" applyFont="1" applyFill="1" applyBorder="1" applyAlignment="1">
      <alignment horizontal="centerContinuous" vertical="center"/>
    </xf>
    <xf numFmtId="49" fontId="27" fillId="6" borderId="1" xfId="5" applyNumberFormat="1" applyFont="1" applyFill="1" applyBorder="1" applyAlignment="1">
      <alignment horizontal="center" vertical="center"/>
    </xf>
    <xf numFmtId="49" fontId="27" fillId="6" borderId="4" xfId="5" applyNumberFormat="1" applyFont="1" applyFill="1" applyBorder="1" applyAlignment="1">
      <alignment horizontal="center" vertical="center"/>
    </xf>
    <xf numFmtId="49" fontId="27" fillId="6" borderId="5" xfId="5" applyNumberFormat="1" applyFont="1" applyFill="1" applyBorder="1" applyAlignment="1">
      <alignment horizontal="center" vertical="center"/>
    </xf>
    <xf numFmtId="49" fontId="30" fillId="6" borderId="9" xfId="1" applyNumberFormat="1" applyFont="1" applyFill="1" applyBorder="1" applyAlignment="1">
      <alignment horizontal="centerContinuous" vertical="center"/>
    </xf>
    <xf numFmtId="49" fontId="30" fillId="6" borderId="10" xfId="1" applyNumberFormat="1" applyFont="1" applyFill="1" applyBorder="1" applyAlignment="1">
      <alignment horizontal="centerContinuous" vertical="center"/>
    </xf>
    <xf numFmtId="49" fontId="39" fillId="2" borderId="7" xfId="5" applyNumberFormat="1" applyFont="1" applyFill="1" applyBorder="1" applyAlignment="1">
      <alignment horizontal="center" vertical="center"/>
    </xf>
    <xf numFmtId="49" fontId="41" fillId="6" borderId="9" xfId="1" applyNumberFormat="1" applyFont="1" applyFill="1" applyBorder="1" applyAlignment="1">
      <alignment horizontal="centerContinuous" vertical="center"/>
    </xf>
    <xf numFmtId="49" fontId="41" fillId="6" borderId="7" xfId="1" applyNumberFormat="1" applyFont="1" applyFill="1" applyBorder="1" applyAlignment="1">
      <alignment horizontal="centerContinuous" vertical="center"/>
    </xf>
    <xf numFmtId="49" fontId="41" fillId="6" borderId="8" xfId="1" applyNumberFormat="1" applyFont="1" applyFill="1" applyBorder="1" applyAlignment="1">
      <alignment horizontal="centerContinuous" vertical="center"/>
    </xf>
    <xf numFmtId="49" fontId="41" fillId="6" borderId="6" xfId="1" applyNumberFormat="1" applyFont="1" applyFill="1" applyBorder="1" applyAlignment="1">
      <alignment horizontal="centerContinuous" vertical="center"/>
    </xf>
    <xf numFmtId="49" fontId="41" fillId="6" borderId="10" xfId="1" applyNumberFormat="1" applyFont="1" applyFill="1" applyBorder="1" applyAlignment="1">
      <alignment horizontal="centerContinuous" vertical="center"/>
    </xf>
    <xf numFmtId="49" fontId="41" fillId="6" borderId="11" xfId="1" applyNumberFormat="1" applyFont="1" applyFill="1" applyBorder="1" applyAlignment="1">
      <alignment horizontal="centerContinuous" vertical="center"/>
    </xf>
    <xf numFmtId="49" fontId="42" fillId="6" borderId="10" xfId="1" applyNumberFormat="1" applyFont="1" applyFill="1" applyBorder="1" applyAlignment="1">
      <alignment vertical="center"/>
    </xf>
    <xf numFmtId="49" fontId="41" fillId="6" borderId="11" xfId="1" applyNumberFormat="1" applyFont="1" applyFill="1" applyBorder="1" applyAlignment="1">
      <alignment vertical="center"/>
    </xf>
    <xf numFmtId="49" fontId="41" fillId="6" borderId="9" xfId="1" applyNumberFormat="1" applyFont="1" applyFill="1" applyBorder="1" applyAlignment="1">
      <alignment vertical="center"/>
    </xf>
    <xf numFmtId="49" fontId="41" fillId="6" borderId="10" xfId="1" applyNumberFormat="1" applyFont="1" applyFill="1" applyBorder="1" applyAlignment="1">
      <alignment vertical="center"/>
    </xf>
    <xf numFmtId="38" fontId="41" fillId="6" borderId="10" xfId="7" applyFont="1" applyFill="1" applyBorder="1" applyAlignment="1">
      <alignment vertical="center"/>
    </xf>
    <xf numFmtId="49" fontId="30" fillId="2" borderId="0" xfId="1" applyNumberFormat="1" applyFont="1" applyFill="1" applyAlignment="1">
      <alignment vertical="center"/>
    </xf>
    <xf numFmtId="49" fontId="30" fillId="2" borderId="0" xfId="1" applyNumberFormat="1" applyFont="1" applyFill="1" applyAlignment="1">
      <alignment horizontal="center" vertical="center"/>
    </xf>
    <xf numFmtId="49" fontId="26" fillId="2" borderId="3" xfId="1" applyNumberFormat="1" applyFont="1" applyFill="1" applyBorder="1" applyAlignment="1">
      <alignment vertical="center"/>
    </xf>
    <xf numFmtId="49" fontId="29" fillId="2" borderId="4" xfId="2" applyNumberFormat="1" applyFont="1" applyFill="1" applyBorder="1" applyAlignment="1">
      <alignment vertical="center" wrapText="1"/>
    </xf>
    <xf numFmtId="49" fontId="30" fillId="2" borderId="0" xfId="5" applyNumberFormat="1" applyFont="1" applyFill="1" applyAlignment="1">
      <alignment horizontal="left" vertical="top"/>
    </xf>
    <xf numFmtId="49" fontId="30" fillId="2" borderId="0" xfId="3" applyNumberFormat="1" applyFont="1" applyFill="1" applyAlignment="1">
      <alignment horizontal="left" vertical="top"/>
    </xf>
    <xf numFmtId="0" fontId="11" fillId="2" borderId="0" xfId="1" applyFill="1"/>
    <xf numFmtId="49" fontId="26" fillId="2" borderId="3" xfId="5" applyNumberFormat="1" applyFont="1" applyFill="1" applyBorder="1" applyAlignment="1">
      <alignment vertical="top"/>
    </xf>
    <xf numFmtId="49" fontId="26" fillId="2" borderId="3" xfId="1" applyNumberFormat="1" applyFont="1" applyFill="1" applyBorder="1"/>
    <xf numFmtId="49" fontId="26" fillId="2" borderId="5" xfId="1" applyNumberFormat="1" applyFont="1" applyFill="1" applyBorder="1"/>
    <xf numFmtId="49" fontId="30" fillId="2" borderId="7" xfId="1" applyNumberFormat="1" applyFont="1" applyFill="1" applyBorder="1" applyAlignment="1">
      <alignment vertical="center"/>
    </xf>
    <xf numFmtId="49" fontId="30" fillId="2" borderId="7" xfId="1" applyNumberFormat="1" applyFont="1" applyFill="1" applyBorder="1" applyAlignment="1">
      <alignment horizontal="left" vertical="center"/>
    </xf>
    <xf numFmtId="49" fontId="30" fillId="2" borderId="7" xfId="1" applyNumberFormat="1" applyFont="1" applyFill="1" applyBorder="1" applyAlignment="1">
      <alignment horizontal="center" vertical="center"/>
    </xf>
    <xf numFmtId="49" fontId="32" fillId="2" borderId="0" xfId="2" applyNumberFormat="1" applyFont="1" applyFill="1" applyAlignment="1">
      <alignment vertical="center" wrapText="1"/>
    </xf>
    <xf numFmtId="0" fontId="30" fillId="2" borderId="0" xfId="7" applyNumberFormat="1" applyFont="1" applyFill="1" applyAlignment="1">
      <alignment vertical="center"/>
    </xf>
    <xf numFmtId="49" fontId="26" fillId="8" borderId="10" xfId="3" applyNumberFormat="1" applyFont="1" applyFill="1" applyBorder="1">
      <alignment vertical="center"/>
    </xf>
    <xf numFmtId="49" fontId="26" fillId="8" borderId="11" xfId="3" applyNumberFormat="1" applyFont="1" applyFill="1" applyBorder="1">
      <alignment vertical="center"/>
    </xf>
    <xf numFmtId="49" fontId="36" fillId="7" borderId="10" xfId="3" applyNumberFormat="1" applyFont="1" applyFill="1" applyBorder="1">
      <alignment vertical="center"/>
    </xf>
    <xf numFmtId="49" fontId="36" fillId="7" borderId="10" xfId="6" applyNumberFormat="1" applyFont="1" applyFill="1" applyBorder="1">
      <alignment vertical="center"/>
    </xf>
    <xf numFmtId="49" fontId="30" fillId="5" borderId="9" xfId="3" applyNumberFormat="1" applyFont="1" applyFill="1" applyBorder="1">
      <alignment vertical="center"/>
    </xf>
    <xf numFmtId="49" fontId="41" fillId="6" borderId="10" xfId="1" applyNumberFormat="1" applyFont="1" applyFill="1" applyBorder="1" applyAlignment="1">
      <alignment horizontal="left" vertical="center"/>
    </xf>
    <xf numFmtId="49" fontId="40" fillId="6" borderId="9" xfId="1" applyNumberFormat="1" applyFont="1" applyFill="1" applyBorder="1" applyAlignment="1">
      <alignment vertical="center"/>
    </xf>
    <xf numFmtId="49" fontId="40" fillId="6" borderId="10" xfId="1" applyNumberFormat="1" applyFont="1" applyFill="1" applyBorder="1" applyAlignment="1">
      <alignment vertical="center"/>
    </xf>
    <xf numFmtId="49" fontId="40" fillId="6" borderId="11" xfId="1" applyNumberFormat="1" applyFont="1" applyFill="1" applyBorder="1" applyAlignment="1">
      <alignment horizontal="centerContinuous" vertical="center"/>
    </xf>
    <xf numFmtId="49" fontId="40" fillId="6" borderId="10" xfId="1" applyNumberFormat="1" applyFont="1" applyFill="1" applyBorder="1" applyAlignment="1">
      <alignment horizontal="centerContinuous" vertical="center"/>
    </xf>
    <xf numFmtId="49" fontId="40" fillId="6" borderId="11" xfId="1" applyNumberFormat="1" applyFont="1" applyFill="1" applyBorder="1" applyAlignment="1">
      <alignment vertical="center"/>
    </xf>
    <xf numFmtId="49" fontId="25" fillId="2" borderId="1" xfId="1" applyNumberFormat="1" applyFont="1" applyFill="1" applyBorder="1" applyAlignment="1">
      <alignment vertical="center"/>
    </xf>
    <xf numFmtId="49" fontId="25" fillId="2" borderId="1" xfId="1" applyNumberFormat="1" applyFont="1" applyFill="1" applyBorder="1" applyAlignment="1">
      <alignment horizontal="left" vertical="center"/>
    </xf>
    <xf numFmtId="49" fontId="25" fillId="2" borderId="1" xfId="1" applyNumberFormat="1" applyFont="1" applyFill="1" applyBorder="1" applyAlignment="1">
      <alignment horizontal="center" vertical="center"/>
    </xf>
    <xf numFmtId="49" fontId="36" fillId="7" borderId="4" xfId="1" applyNumberFormat="1" applyFont="1" applyFill="1" applyBorder="1" applyAlignment="1">
      <alignment horizontal="left" vertical="center"/>
    </xf>
    <xf numFmtId="49" fontId="36" fillId="7" borderId="1" xfId="1" applyNumberFormat="1" applyFont="1" applyFill="1" applyBorder="1" applyAlignment="1">
      <alignment vertical="center"/>
    </xf>
    <xf numFmtId="49" fontId="36" fillId="7" borderId="1" xfId="1" applyNumberFormat="1" applyFont="1" applyFill="1" applyBorder="1" applyAlignment="1">
      <alignment horizontal="center" vertical="center"/>
    </xf>
    <xf numFmtId="49" fontId="36" fillId="7" borderId="5" xfId="1" applyNumberFormat="1" applyFont="1" applyFill="1" applyBorder="1" applyAlignment="1">
      <alignment vertical="center"/>
    </xf>
    <xf numFmtId="49" fontId="36" fillId="7" borderId="4" xfId="1" applyNumberFormat="1" applyFont="1" applyFill="1" applyBorder="1" applyAlignment="1">
      <alignment vertical="center"/>
    </xf>
    <xf numFmtId="49" fontId="36" fillId="7" borderId="1" xfId="1" applyNumberFormat="1" applyFont="1" applyFill="1" applyBorder="1" applyAlignment="1">
      <alignment horizontal="centerContinuous" vertical="center"/>
    </xf>
    <xf numFmtId="49" fontId="36" fillId="7" borderId="50" xfId="1" applyNumberFormat="1" applyFont="1" applyFill="1" applyBorder="1" applyAlignment="1">
      <alignment horizontal="centerContinuous" vertical="center"/>
    </xf>
    <xf numFmtId="49" fontId="25" fillId="2" borderId="0" xfId="1" applyNumberFormat="1" applyFont="1" applyFill="1" applyAlignment="1">
      <alignment vertical="center"/>
    </xf>
    <xf numFmtId="49" fontId="25" fillId="2" borderId="0" xfId="1" applyNumberFormat="1" applyFont="1" applyFill="1" applyAlignment="1">
      <alignment horizontal="center" vertical="center"/>
    </xf>
    <xf numFmtId="49" fontId="28" fillId="2" borderId="0" xfId="3" applyNumberFormat="1" applyFont="1" applyFill="1">
      <alignment vertical="center"/>
    </xf>
    <xf numFmtId="49" fontId="39" fillId="2" borderId="0" xfId="5" applyNumberFormat="1" applyFont="1" applyFill="1" applyAlignment="1">
      <alignment horizontal="center" vertical="center"/>
    </xf>
    <xf numFmtId="49" fontId="25" fillId="2" borderId="2" xfId="1" applyNumberFormat="1" applyFont="1" applyFill="1" applyBorder="1" applyAlignment="1">
      <alignment vertical="center"/>
    </xf>
    <xf numFmtId="49" fontId="39" fillId="2" borderId="2" xfId="3" applyNumberFormat="1" applyFont="1" applyFill="1" applyBorder="1" applyAlignment="1">
      <alignment vertical="center" wrapText="1"/>
    </xf>
    <xf numFmtId="49" fontId="39" fillId="2" borderId="0" xfId="3" applyNumberFormat="1" applyFont="1" applyFill="1" applyAlignment="1">
      <alignment vertical="center" wrapText="1"/>
    </xf>
    <xf numFmtId="49" fontId="26" fillId="2" borderId="2" xfId="3" applyNumberFormat="1" applyFont="1" applyFill="1" applyBorder="1">
      <alignment vertical="center"/>
    </xf>
    <xf numFmtId="49" fontId="26" fillId="2" borderId="0" xfId="3" applyNumberFormat="1" applyFont="1" applyFill="1">
      <alignment vertical="center"/>
    </xf>
    <xf numFmtId="49" fontId="6" fillId="0" borderId="17" xfId="1" applyNumberFormat="1" applyFont="1" applyBorder="1" applyAlignment="1">
      <alignment horizontal="centerContinuous" vertical="center"/>
    </xf>
    <xf numFmtId="49" fontId="6" fillId="0" borderId="22" xfId="1" applyNumberFormat="1" applyFont="1" applyBorder="1" applyAlignment="1">
      <alignment horizontal="centerContinuous" vertical="center"/>
    </xf>
    <xf numFmtId="49" fontId="6" fillId="0" borderId="18" xfId="1" applyNumberFormat="1" applyFont="1" applyBorder="1" applyAlignment="1">
      <alignment horizontal="centerContinuous" vertical="center"/>
    </xf>
    <xf numFmtId="49" fontId="4" fillId="0" borderId="17" xfId="0" applyNumberFormat="1" applyFont="1" applyBorder="1" applyAlignment="1">
      <alignment horizontal="centerContinuous" vertical="center" wrapText="1"/>
    </xf>
    <xf numFmtId="49" fontId="34" fillId="5" borderId="10" xfId="1" applyNumberFormat="1" applyFont="1" applyFill="1" applyBorder="1" applyAlignment="1">
      <alignment horizontal="center" vertical="center"/>
    </xf>
    <xf numFmtId="49" fontId="30" fillId="5" borderId="10" xfId="1" quotePrefix="1" applyNumberFormat="1" applyFont="1" applyFill="1" applyBorder="1" applyAlignment="1">
      <alignment horizontal="left" vertical="center"/>
    </xf>
    <xf numFmtId="49" fontId="8" fillId="5" borderId="7" xfId="1" applyNumberFormat="1" applyFont="1" applyFill="1" applyBorder="1" applyAlignment="1">
      <alignment vertical="center"/>
    </xf>
    <xf numFmtId="49" fontId="30" fillId="5" borderId="10" xfId="0" applyNumberFormat="1" applyFont="1" applyFill="1" applyBorder="1" applyAlignment="1">
      <alignment horizontal="center" vertical="center"/>
    </xf>
    <xf numFmtId="49" fontId="30" fillId="5" borderId="10" xfId="0" applyNumberFormat="1" applyFont="1" applyFill="1" applyBorder="1" applyAlignment="1">
      <alignment vertical="center"/>
    </xf>
    <xf numFmtId="49" fontId="30" fillId="5" borderId="9" xfId="0" applyNumberFormat="1" applyFont="1" applyFill="1" applyBorder="1" applyAlignment="1">
      <alignment vertical="center"/>
    </xf>
    <xf numFmtId="49" fontId="30" fillId="5" borderId="10" xfId="0" applyNumberFormat="1" applyFont="1" applyFill="1" applyBorder="1" applyAlignment="1">
      <alignment horizontal="left" vertical="center"/>
    </xf>
    <xf numFmtId="49" fontId="8" fillId="5" borderId="1" xfId="1" applyNumberFormat="1" applyFont="1" applyFill="1" applyBorder="1" applyAlignment="1">
      <alignment vertical="center"/>
    </xf>
    <xf numFmtId="49" fontId="45" fillId="7" borderId="0" xfId="1" applyNumberFormat="1" applyFont="1" applyFill="1" applyAlignment="1">
      <alignment vertical="center"/>
    </xf>
    <xf numFmtId="49" fontId="44" fillId="7" borderId="0" xfId="1" applyNumberFormat="1" applyFont="1" applyFill="1" applyAlignment="1">
      <alignment vertical="center"/>
    </xf>
    <xf numFmtId="49" fontId="8" fillId="5" borderId="9" xfId="1" applyNumberFormat="1" applyFont="1" applyFill="1" applyBorder="1" applyAlignment="1">
      <alignment vertical="center"/>
    </xf>
    <xf numFmtId="49" fontId="8" fillId="5" borderId="10" xfId="1" applyNumberFormat="1" applyFont="1" applyFill="1" applyBorder="1" applyAlignment="1">
      <alignment vertical="center"/>
    </xf>
    <xf numFmtId="49" fontId="46" fillId="5" borderId="10" xfId="1" applyNumberFormat="1" applyFont="1" applyFill="1" applyBorder="1" applyAlignment="1">
      <alignment vertical="center"/>
    </xf>
    <xf numFmtId="49" fontId="31" fillId="5" borderId="11" xfId="5" applyNumberFormat="1" applyFont="1" applyFill="1" applyBorder="1">
      <alignment vertical="center"/>
    </xf>
    <xf numFmtId="49" fontId="47" fillId="5" borderId="9" xfId="5" applyNumberFormat="1" applyFont="1" applyFill="1" applyBorder="1">
      <alignment vertical="center"/>
    </xf>
    <xf numFmtId="49" fontId="47" fillId="5" borderId="10" xfId="5" applyNumberFormat="1" applyFont="1" applyFill="1" applyBorder="1">
      <alignment vertical="center"/>
    </xf>
    <xf numFmtId="49" fontId="46" fillId="5" borderId="10" xfId="1" applyNumberFormat="1" applyFont="1" applyFill="1" applyBorder="1"/>
    <xf numFmtId="49" fontId="46" fillId="5" borderId="9" xfId="1" applyNumberFormat="1" applyFont="1" applyFill="1" applyBorder="1" applyAlignment="1">
      <alignment vertical="center"/>
    </xf>
    <xf numFmtId="49" fontId="30" fillId="8" borderId="10" xfId="3" applyNumberFormat="1" applyFont="1" applyFill="1" applyBorder="1">
      <alignment vertical="center"/>
    </xf>
    <xf numFmtId="49" fontId="6" fillId="5" borderId="0" xfId="0" applyNumberFormat="1" applyFont="1" applyFill="1" applyAlignment="1">
      <alignment vertical="center"/>
    </xf>
    <xf numFmtId="49" fontId="6" fillId="5" borderId="0" xfId="0" applyNumberFormat="1" applyFont="1" applyFill="1" applyAlignment="1">
      <alignment horizontal="right" vertical="center"/>
    </xf>
    <xf numFmtId="49" fontId="6" fillId="5" borderId="0" xfId="0" applyNumberFormat="1" applyFont="1" applyFill="1"/>
    <xf numFmtId="49" fontId="6" fillId="5" borderId="9" xfId="0" applyNumberFormat="1" applyFont="1" applyFill="1" applyBorder="1" applyAlignment="1">
      <alignment vertical="center"/>
    </xf>
    <xf numFmtId="49" fontId="7" fillId="5" borderId="0" xfId="0" applyNumberFormat="1" applyFont="1" applyFill="1" applyAlignment="1">
      <alignment vertical="center"/>
    </xf>
    <xf numFmtId="49" fontId="4" fillId="5" borderId="0" xfId="0" applyNumberFormat="1" applyFont="1" applyFill="1"/>
    <xf numFmtId="49" fontId="8" fillId="5" borderId="0" xfId="1" applyNumberFormat="1" applyFont="1" applyFill="1" applyAlignment="1">
      <alignment vertical="center"/>
    </xf>
    <xf numFmtId="49" fontId="4" fillId="5" borderId="0" xfId="1" applyNumberFormat="1" applyFont="1" applyFill="1"/>
    <xf numFmtId="49" fontId="6" fillId="5" borderId="0" xfId="1" applyNumberFormat="1" applyFont="1" applyFill="1" applyAlignment="1">
      <alignment horizontal="left" vertical="center"/>
    </xf>
    <xf numFmtId="49" fontId="6" fillId="5" borderId="0" xfId="1" applyNumberFormat="1" applyFont="1" applyFill="1" applyAlignment="1">
      <alignment vertical="center"/>
    </xf>
    <xf numFmtId="49" fontId="4" fillId="5" borderId="2" xfId="1" applyNumberFormat="1" applyFont="1" applyFill="1" applyBorder="1"/>
    <xf numFmtId="49" fontId="18" fillId="5" borderId="1" xfId="2" applyNumberFormat="1" applyFont="1" applyFill="1" applyBorder="1">
      <alignment vertical="center"/>
    </xf>
    <xf numFmtId="49" fontId="4" fillId="5" borderId="3" xfId="1" applyNumberFormat="1" applyFont="1" applyFill="1" applyBorder="1"/>
    <xf numFmtId="49" fontId="6" fillId="5" borderId="2" xfId="1" applyNumberFormat="1" applyFont="1" applyFill="1" applyBorder="1" applyAlignment="1">
      <alignment vertical="center"/>
    </xf>
    <xf numFmtId="49" fontId="6" fillId="5" borderId="0" xfId="1" applyNumberFormat="1" applyFont="1" applyFill="1" applyAlignment="1">
      <alignment horizontal="center" vertical="center"/>
    </xf>
    <xf numFmtId="49" fontId="4" fillId="5" borderId="3" xfId="1" applyNumberFormat="1" applyFont="1" applyFill="1" applyBorder="1" applyAlignment="1">
      <alignment horizontal="center" vertical="center"/>
    </xf>
    <xf numFmtId="49" fontId="4" fillId="5" borderId="0" xfId="1" applyNumberFormat="1" applyFont="1" applyFill="1" applyAlignment="1">
      <alignment horizontal="center" vertical="center"/>
    </xf>
    <xf numFmtId="49" fontId="4" fillId="5" borderId="4" xfId="1" applyNumberFormat="1" applyFont="1" applyFill="1" applyBorder="1"/>
    <xf numFmtId="49" fontId="4" fillId="5" borderId="1" xfId="1" applyNumberFormat="1" applyFont="1" applyFill="1" applyBorder="1"/>
    <xf numFmtId="49" fontId="6" fillId="5" borderId="6" xfId="1" applyNumberFormat="1" applyFont="1" applyFill="1" applyBorder="1"/>
    <xf numFmtId="49" fontId="6" fillId="5" borderId="7" xfId="1" applyNumberFormat="1" applyFont="1" applyFill="1" applyBorder="1"/>
    <xf numFmtId="49" fontId="6" fillId="5" borderId="2" xfId="1" applyNumberFormat="1" applyFont="1" applyFill="1" applyBorder="1"/>
    <xf numFmtId="49" fontId="6" fillId="5" borderId="0" xfId="1" applyNumberFormat="1" applyFont="1" applyFill="1"/>
    <xf numFmtId="49" fontId="8" fillId="5" borderId="4" xfId="1" applyNumberFormat="1" applyFont="1" applyFill="1" applyBorder="1"/>
    <xf numFmtId="49" fontId="8" fillId="5" borderId="1" xfId="1" applyNumberFormat="1" applyFont="1" applyFill="1" applyBorder="1"/>
    <xf numFmtId="49" fontId="10" fillId="5" borderId="0" xfId="1" applyNumberFormat="1" applyFont="1" applyFill="1"/>
    <xf numFmtId="49" fontId="6" fillId="5" borderId="3" xfId="1" applyNumberFormat="1" applyFont="1" applyFill="1" applyBorder="1" applyAlignment="1">
      <alignment vertical="center"/>
    </xf>
    <xf numFmtId="49" fontId="4" fillId="5" borderId="5" xfId="1" applyNumberFormat="1" applyFont="1" applyFill="1" applyBorder="1"/>
    <xf numFmtId="49" fontId="6" fillId="5" borderId="8" xfId="1" applyNumberFormat="1" applyFont="1" applyFill="1" applyBorder="1"/>
    <xf numFmtId="49" fontId="6" fillId="5" borderId="3" xfId="1" applyNumberFormat="1" applyFont="1" applyFill="1" applyBorder="1"/>
    <xf numFmtId="49" fontId="8" fillId="5" borderId="5" xfId="1" applyNumberFormat="1" applyFont="1" applyFill="1" applyBorder="1"/>
    <xf numFmtId="49" fontId="8" fillId="5" borderId="0" xfId="1" applyNumberFormat="1" applyFont="1" applyFill="1"/>
    <xf numFmtId="49" fontId="4" fillId="5" borderId="0" xfId="1" applyNumberFormat="1" applyFont="1" applyFill="1" applyAlignment="1">
      <alignment vertical="center"/>
    </xf>
    <xf numFmtId="49" fontId="10" fillId="5" borderId="0" xfId="1" applyNumberFormat="1" applyFont="1" applyFill="1" applyAlignment="1">
      <alignment vertical="center"/>
    </xf>
    <xf numFmtId="49" fontId="6" fillId="5" borderId="42" xfId="1" applyNumberFormat="1" applyFont="1" applyFill="1" applyBorder="1" applyAlignment="1">
      <alignment vertical="center"/>
    </xf>
    <xf numFmtId="49" fontId="6" fillId="5" borderId="1" xfId="2" applyNumberFormat="1" applyFont="1" applyFill="1" applyBorder="1">
      <alignment vertical="center"/>
    </xf>
    <xf numFmtId="49" fontId="43" fillId="3" borderId="6" xfId="1" applyNumberFormat="1" applyFont="1" applyFill="1" applyBorder="1" applyAlignment="1">
      <alignment vertical="center"/>
    </xf>
    <xf numFmtId="49" fontId="43" fillId="3" borderId="7" xfId="1" applyNumberFormat="1" applyFont="1" applyFill="1" applyBorder="1" applyAlignment="1">
      <alignment vertical="center"/>
    </xf>
    <xf numFmtId="49" fontId="43" fillId="3" borderId="35" xfId="1" applyNumberFormat="1" applyFont="1" applyFill="1" applyBorder="1" applyAlignment="1">
      <alignment vertical="center"/>
    </xf>
    <xf numFmtId="49" fontId="43" fillId="3" borderId="36" xfId="1" applyNumberFormat="1" applyFont="1" applyFill="1" applyBorder="1" applyAlignment="1">
      <alignment vertical="center"/>
    </xf>
    <xf numFmtId="49" fontId="30" fillId="5" borderId="10" xfId="1" applyNumberFormat="1" applyFont="1" applyFill="1" applyBorder="1" applyAlignment="1">
      <alignment horizontal="center" vertical="center"/>
    </xf>
    <xf numFmtId="49" fontId="48" fillId="2" borderId="7" xfId="5" applyNumberFormat="1" applyFont="1" applyFill="1" applyBorder="1" applyAlignment="1">
      <alignment horizontal="left" vertical="center"/>
    </xf>
    <xf numFmtId="49" fontId="29" fillId="5" borderId="7" xfId="2" applyNumberFormat="1" applyFont="1" applyFill="1" applyBorder="1" applyAlignment="1">
      <alignment vertical="center" wrapText="1"/>
    </xf>
    <xf numFmtId="49" fontId="26" fillId="5" borderId="7" xfId="1" applyNumberFormat="1" applyFont="1" applyFill="1" applyBorder="1" applyAlignment="1">
      <alignment vertical="center"/>
    </xf>
    <xf numFmtId="49" fontId="26" fillId="5" borderId="7" xfId="1" applyNumberFormat="1" applyFont="1" applyFill="1" applyBorder="1"/>
    <xf numFmtId="49" fontId="30" fillId="2" borderId="0" xfId="1" applyNumberFormat="1" applyFont="1" applyFill="1" applyAlignment="1">
      <alignment horizontal="left" vertical="center"/>
    </xf>
    <xf numFmtId="49" fontId="30" fillId="3" borderId="0" xfId="1" applyNumberFormat="1" applyFont="1" applyFill="1" applyAlignment="1">
      <alignment vertical="center"/>
    </xf>
    <xf numFmtId="49" fontId="30" fillId="5" borderId="10" xfId="5" applyNumberFormat="1" applyFont="1" applyFill="1" applyBorder="1">
      <alignment vertical="center"/>
    </xf>
    <xf numFmtId="49" fontId="25" fillId="5" borderId="1" xfId="1" applyNumberFormat="1" applyFont="1" applyFill="1" applyBorder="1" applyAlignment="1">
      <alignment vertical="center"/>
    </xf>
    <xf numFmtId="49" fontId="37" fillId="5" borderId="9" xfId="2" applyNumberFormat="1" applyFont="1" applyFill="1" applyBorder="1" applyAlignment="1">
      <alignment horizontal="left" vertical="center"/>
    </xf>
    <xf numFmtId="49" fontId="4" fillId="5" borderId="6" xfId="1" applyNumberFormat="1" applyFont="1" applyFill="1" applyBorder="1"/>
    <xf numFmtId="49" fontId="4" fillId="5" borderId="7" xfId="1" applyNumberFormat="1" applyFont="1" applyFill="1" applyBorder="1"/>
    <xf numFmtId="49" fontId="6" fillId="5" borderId="10" xfId="2" applyNumberFormat="1" applyFont="1" applyFill="1" applyBorder="1">
      <alignment vertical="center"/>
    </xf>
    <xf numFmtId="49" fontId="18" fillId="5" borderId="10" xfId="2" applyNumberFormat="1" applyFont="1" applyFill="1" applyBorder="1">
      <alignment vertical="center"/>
    </xf>
    <xf numFmtId="49" fontId="4" fillId="5" borderId="8" xfId="1" applyNumberFormat="1" applyFont="1" applyFill="1" applyBorder="1"/>
    <xf numFmtId="49" fontId="29" fillId="5" borderId="0" xfId="2" applyNumberFormat="1" applyFont="1" applyFill="1" applyAlignment="1">
      <alignment vertical="center" wrapText="1"/>
    </xf>
    <xf numFmtId="49" fontId="26" fillId="5" borderId="0" xfId="1" applyNumberFormat="1" applyFont="1" applyFill="1" applyAlignment="1">
      <alignment vertical="center"/>
    </xf>
    <xf numFmtId="49" fontId="26" fillId="5" borderId="0" xfId="1" applyNumberFormat="1" applyFont="1" applyFill="1"/>
    <xf numFmtId="49" fontId="6" fillId="0" borderId="10" xfId="1" applyNumberFormat="1" applyFont="1" applyBorder="1" applyAlignment="1">
      <alignment vertical="center"/>
    </xf>
    <xf numFmtId="49" fontId="49" fillId="2" borderId="0" xfId="8" applyNumberFormat="1" applyFill="1" applyAlignment="1">
      <alignment horizontal="left" vertical="top"/>
    </xf>
    <xf numFmtId="49" fontId="6" fillId="5" borderId="0" xfId="2" applyNumberFormat="1" applyFont="1" applyFill="1">
      <alignment vertical="center"/>
    </xf>
    <xf numFmtId="49" fontId="18" fillId="5" borderId="0" xfId="2" applyNumberFormat="1" applyFont="1" applyFill="1">
      <alignment vertical="center"/>
    </xf>
    <xf numFmtId="49" fontId="30" fillId="5" borderId="11" xfId="1" applyNumberFormat="1" applyFont="1" applyFill="1" applyBorder="1" applyAlignment="1">
      <alignment horizontal="center" vertical="center"/>
    </xf>
    <xf numFmtId="49" fontId="36" fillId="7" borderId="11" xfId="1" applyNumberFormat="1" applyFont="1" applyFill="1" applyBorder="1" applyAlignment="1">
      <alignment horizontal="center" vertical="center"/>
    </xf>
    <xf numFmtId="49" fontId="36" fillId="7" borderId="10" xfId="1" applyNumberFormat="1" applyFont="1" applyFill="1" applyBorder="1" applyAlignment="1">
      <alignment horizontal="center" vertical="center"/>
    </xf>
    <xf numFmtId="49" fontId="6" fillId="5" borderId="5" xfId="1" applyNumberFormat="1" applyFont="1" applyFill="1" applyBorder="1" applyAlignment="1">
      <alignment vertical="center"/>
    </xf>
    <xf numFmtId="49" fontId="6" fillId="5" borderId="8" xfId="1" applyNumberFormat="1" applyFont="1" applyFill="1" applyBorder="1" applyAlignment="1">
      <alignment vertical="center"/>
    </xf>
    <xf numFmtId="49" fontId="25" fillId="4" borderId="0" xfId="1" applyNumberFormat="1" applyFont="1" applyFill="1" applyAlignment="1">
      <alignment vertical="center"/>
    </xf>
    <xf numFmtId="49" fontId="26" fillId="2" borderId="0" xfId="1" applyNumberFormat="1" applyFont="1" applyFill="1" applyAlignment="1">
      <alignment horizontal="center" vertical="center"/>
    </xf>
    <xf numFmtId="49" fontId="18" fillId="2" borderId="0" xfId="2" applyNumberFormat="1" applyFont="1" applyFill="1" applyAlignment="1">
      <alignment vertical="center" wrapText="1"/>
    </xf>
    <xf numFmtId="49" fontId="21" fillId="2" borderId="0" xfId="1" applyNumberFormat="1" applyFont="1" applyFill="1" applyAlignment="1">
      <alignment vertical="center"/>
    </xf>
    <xf numFmtId="49" fontId="11" fillId="2" borderId="0" xfId="1" applyNumberFormat="1" applyFill="1" applyAlignment="1">
      <alignment vertical="center"/>
    </xf>
    <xf numFmtId="49" fontId="11" fillId="2" borderId="0" xfId="1" applyNumberFormat="1" applyFill="1" applyAlignment="1">
      <alignment horizontal="center" vertical="center"/>
    </xf>
    <xf numFmtId="49" fontId="11" fillId="2" borderId="0" xfId="1" applyNumberFormat="1" applyFill="1" applyAlignment="1">
      <alignment horizontal="left" vertical="center"/>
    </xf>
    <xf numFmtId="49" fontId="24" fillId="2" borderId="0" xfId="1" applyNumberFormat="1" applyFont="1" applyFill="1" applyAlignment="1">
      <alignment vertical="center"/>
    </xf>
    <xf numFmtId="49" fontId="22" fillId="2" borderId="0" xfId="1" applyNumberFormat="1" applyFont="1" applyFill="1" applyAlignment="1">
      <alignment horizontal="center" vertical="center"/>
    </xf>
    <xf numFmtId="49" fontId="21" fillId="2" borderId="0" xfId="1" applyNumberFormat="1" applyFont="1" applyFill="1" applyAlignment="1">
      <alignment horizontal="center" vertical="center"/>
    </xf>
    <xf numFmtId="49" fontId="23" fillId="2" borderId="0" xfId="3" applyNumberFormat="1" applyFont="1" applyFill="1">
      <alignment vertical="center"/>
    </xf>
    <xf numFmtId="49" fontId="26" fillId="2" borderId="0" xfId="3" applyNumberFormat="1" applyFont="1" applyFill="1" applyAlignment="1">
      <alignment horizontal="left" vertical="top"/>
    </xf>
    <xf numFmtId="49" fontId="21" fillId="2" borderId="0" xfId="3" applyNumberFormat="1" applyFont="1" applyFill="1" applyAlignment="1">
      <alignment horizontal="left" vertical="top"/>
    </xf>
    <xf numFmtId="49" fontId="6" fillId="5" borderId="3" xfId="1" applyNumberFormat="1" applyFont="1" applyFill="1" applyBorder="1" applyAlignment="1">
      <alignment horizontal="center" vertical="center"/>
    </xf>
    <xf numFmtId="49" fontId="26" fillId="5" borderId="3" xfId="1" applyNumberFormat="1" applyFont="1" applyFill="1" applyBorder="1" applyAlignment="1">
      <alignment vertical="center"/>
    </xf>
    <xf numFmtId="49" fontId="27" fillId="2" borderId="0" xfId="5" applyNumberFormat="1" applyFont="1" applyFill="1">
      <alignment vertical="center"/>
    </xf>
    <xf numFmtId="49" fontId="20" fillId="2" borderId="0" xfId="5" applyNumberFormat="1" applyFont="1" applyFill="1">
      <alignment vertical="center"/>
    </xf>
    <xf numFmtId="49" fontId="36" fillId="7" borderId="0" xfId="1" applyNumberFormat="1" applyFont="1" applyFill="1" applyAlignment="1">
      <alignment vertical="center"/>
    </xf>
    <xf numFmtId="49" fontId="32" fillId="2" borderId="7" xfId="2" applyNumberFormat="1" applyFont="1" applyFill="1" applyBorder="1" applyAlignment="1">
      <alignment vertical="center" wrapText="1"/>
    </xf>
    <xf numFmtId="0" fontId="30" fillId="2" borderId="7" xfId="7" applyNumberFormat="1" applyFont="1" applyFill="1" applyBorder="1" applyAlignment="1">
      <alignment vertical="center"/>
    </xf>
    <xf numFmtId="0" fontId="12" fillId="0" borderId="0" xfId="1" applyFont="1" applyAlignment="1">
      <alignment vertical="center"/>
    </xf>
    <xf numFmtId="49" fontId="6" fillId="0" borderId="0" xfId="6" applyNumberFormat="1" applyFont="1" applyAlignment="1">
      <alignment horizontal="left" vertical="center"/>
    </xf>
    <xf numFmtId="49" fontId="6"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6" fillId="0" borderId="9" xfId="1" applyNumberFormat="1" applyFont="1" applyBorder="1" applyAlignment="1">
      <alignment horizontal="center" vertical="center"/>
    </xf>
    <xf numFmtId="49" fontId="6" fillId="0" borderId="10"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6" fillId="0" borderId="24" xfId="1" applyNumberFormat="1" applyFont="1" applyBorder="1" applyAlignment="1">
      <alignment horizontal="center" vertical="center"/>
    </xf>
    <xf numFmtId="49" fontId="6" fillId="0" borderId="24" xfId="1" applyNumberFormat="1" applyFont="1" applyBorder="1" applyAlignment="1">
      <alignment horizontal="left"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6" fillId="0" borderId="9" xfId="0" applyNumberFormat="1" applyFont="1" applyBorder="1" applyAlignment="1">
      <alignment horizontal="left" vertical="center"/>
    </xf>
    <xf numFmtId="49" fontId="6" fillId="0" borderId="10" xfId="0" applyNumberFormat="1" applyFont="1" applyBorder="1" applyAlignment="1">
      <alignment horizontal="left" vertical="center"/>
    </xf>
    <xf numFmtId="49" fontId="6" fillId="0" borderId="11" xfId="0" applyNumberFormat="1" applyFont="1" applyBorder="1" applyAlignment="1">
      <alignment horizontal="left" vertical="center"/>
    </xf>
    <xf numFmtId="49" fontId="6" fillId="0" borderId="9" xfId="1" applyNumberFormat="1" applyFont="1" applyBorder="1" applyAlignment="1">
      <alignment horizontal="center"/>
    </xf>
    <xf numFmtId="49" fontId="6" fillId="0" borderId="10" xfId="1" applyNumberFormat="1" applyFont="1" applyBorder="1" applyAlignment="1">
      <alignment horizontal="center"/>
    </xf>
    <xf numFmtId="49" fontId="6" fillId="0" borderId="11" xfId="1" applyNumberFormat="1" applyFont="1" applyBorder="1" applyAlignment="1">
      <alignment horizontal="center"/>
    </xf>
    <xf numFmtId="49" fontId="6" fillId="0" borderId="24"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0" fontId="6" fillId="0" borderId="10" xfId="0" applyFont="1" applyBorder="1" applyAlignment="1">
      <alignment horizontal="left" vertical="center"/>
    </xf>
    <xf numFmtId="0" fontId="6" fillId="0" borderId="11" xfId="0" applyFont="1" applyBorder="1" applyAlignment="1">
      <alignment horizontal="left" vertical="center"/>
    </xf>
    <xf numFmtId="49" fontId="6" fillId="0" borderId="9" xfId="0" quotePrefix="1"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6" fillId="5" borderId="9" xfId="1" applyNumberFormat="1" applyFont="1" applyFill="1" applyBorder="1" applyAlignment="1">
      <alignment horizontal="left" vertical="center"/>
    </xf>
    <xf numFmtId="49" fontId="6" fillId="5" borderId="10" xfId="1" applyNumberFormat="1" applyFont="1" applyFill="1" applyBorder="1" applyAlignment="1">
      <alignment horizontal="left" vertical="center"/>
    </xf>
    <xf numFmtId="49" fontId="6" fillId="5" borderId="11" xfId="1" applyNumberFormat="1" applyFont="1" applyFill="1" applyBorder="1" applyAlignment="1">
      <alignment horizontal="left" vertical="center"/>
    </xf>
    <xf numFmtId="49" fontId="6" fillId="5" borderId="9" xfId="1" applyNumberFormat="1" applyFont="1" applyFill="1" applyBorder="1" applyAlignment="1">
      <alignment horizontal="left" vertical="top" wrapText="1"/>
    </xf>
    <xf numFmtId="49" fontId="6" fillId="5" borderId="10" xfId="1" applyNumberFormat="1" applyFont="1" applyFill="1" applyBorder="1" applyAlignment="1">
      <alignment horizontal="left" vertical="top" wrapText="1"/>
    </xf>
    <xf numFmtId="49" fontId="6" fillId="5" borderId="11" xfId="1" applyNumberFormat="1" applyFont="1" applyFill="1" applyBorder="1" applyAlignment="1">
      <alignment horizontal="left" vertical="top" wrapText="1"/>
    </xf>
    <xf numFmtId="49" fontId="6" fillId="5" borderId="9" xfId="1" applyNumberFormat="1" applyFont="1" applyFill="1" applyBorder="1" applyAlignment="1">
      <alignment horizontal="left" vertical="top"/>
    </xf>
    <xf numFmtId="49" fontId="6" fillId="5" borderId="10" xfId="1" applyNumberFormat="1" applyFont="1" applyFill="1" applyBorder="1" applyAlignment="1">
      <alignment horizontal="left" vertical="top"/>
    </xf>
    <xf numFmtId="49" fontId="6" fillId="5" borderId="11" xfId="1" applyNumberFormat="1" applyFont="1" applyFill="1" applyBorder="1" applyAlignment="1">
      <alignment horizontal="left" vertical="top"/>
    </xf>
    <xf numFmtId="49" fontId="35" fillId="5" borderId="9" xfId="1" applyNumberFormat="1" applyFont="1" applyFill="1" applyBorder="1" applyAlignment="1">
      <alignment horizontal="center" vertical="center"/>
    </xf>
    <xf numFmtId="49" fontId="35" fillId="5" borderId="11" xfId="1" applyNumberFormat="1" applyFont="1" applyFill="1" applyBorder="1" applyAlignment="1">
      <alignment horizontal="center" vertical="center"/>
    </xf>
    <xf numFmtId="49" fontId="30" fillId="5" borderId="9" xfId="1" applyNumberFormat="1" applyFont="1" applyFill="1" applyBorder="1" applyAlignment="1">
      <alignment horizontal="center" vertical="center"/>
    </xf>
    <xf numFmtId="49" fontId="30" fillId="5" borderId="10" xfId="1" applyNumberFormat="1" applyFont="1" applyFill="1" applyBorder="1" applyAlignment="1">
      <alignment horizontal="center" vertical="center"/>
    </xf>
    <xf numFmtId="49" fontId="30" fillId="5" borderId="11" xfId="1" applyNumberFormat="1" applyFont="1" applyFill="1" applyBorder="1" applyAlignment="1">
      <alignment horizontal="center" vertical="center"/>
    </xf>
    <xf numFmtId="49" fontId="6" fillId="5" borderId="6" xfId="1" applyNumberFormat="1" applyFont="1" applyFill="1" applyBorder="1" applyAlignment="1">
      <alignment horizontal="left" vertical="center"/>
    </xf>
    <xf numFmtId="49" fontId="6" fillId="5" borderId="7" xfId="1" applyNumberFormat="1" applyFont="1" applyFill="1" applyBorder="1" applyAlignment="1">
      <alignment horizontal="left" vertical="center"/>
    </xf>
    <xf numFmtId="49" fontId="6" fillId="5" borderId="8" xfId="1" applyNumberFormat="1" applyFont="1" applyFill="1" applyBorder="1" applyAlignment="1">
      <alignment horizontal="left" vertical="center"/>
    </xf>
    <xf numFmtId="49" fontId="6" fillId="5" borderId="9" xfId="1" applyNumberFormat="1" applyFont="1" applyFill="1" applyBorder="1" applyAlignment="1">
      <alignment vertical="center"/>
    </xf>
    <xf numFmtId="49" fontId="6" fillId="5" borderId="10" xfId="1" applyNumberFormat="1" applyFont="1" applyFill="1" applyBorder="1" applyAlignment="1">
      <alignment vertical="center"/>
    </xf>
    <xf numFmtId="49" fontId="6" fillId="5" borderId="11" xfId="1" applyNumberFormat="1" applyFont="1" applyFill="1" applyBorder="1" applyAlignment="1">
      <alignment vertical="center"/>
    </xf>
    <xf numFmtId="49" fontId="40" fillId="6" borderId="6" xfId="3" applyNumberFormat="1" applyFont="1" applyFill="1" applyBorder="1" applyAlignment="1">
      <alignment horizontal="center" vertical="center" wrapText="1"/>
    </xf>
    <xf numFmtId="49" fontId="40" fillId="6" borderId="7" xfId="3" applyNumberFormat="1" applyFont="1" applyFill="1" applyBorder="1" applyAlignment="1">
      <alignment horizontal="center" vertical="center" wrapText="1"/>
    </xf>
    <xf numFmtId="49" fontId="40" fillId="6" borderId="8" xfId="3" applyNumberFormat="1" applyFont="1" applyFill="1" applyBorder="1" applyAlignment="1">
      <alignment horizontal="center" vertical="center" wrapText="1"/>
    </xf>
    <xf numFmtId="49" fontId="6" fillId="5" borderId="9" xfId="1" applyNumberFormat="1" applyFont="1" applyFill="1" applyBorder="1" applyAlignment="1">
      <alignment horizontal="center" vertical="center"/>
    </xf>
    <xf numFmtId="49" fontId="6" fillId="5" borderId="10" xfId="1" applyNumberFormat="1" applyFont="1" applyFill="1" applyBorder="1" applyAlignment="1">
      <alignment horizontal="center" vertical="center"/>
    </xf>
    <xf numFmtId="49" fontId="6" fillId="5" borderId="11" xfId="1" applyNumberFormat="1" applyFont="1" applyFill="1" applyBorder="1" applyAlignment="1">
      <alignment horizontal="center" vertical="center"/>
    </xf>
    <xf numFmtId="49" fontId="6" fillId="5" borderId="9" xfId="1" applyNumberFormat="1" applyFont="1" applyFill="1" applyBorder="1"/>
    <xf numFmtId="49" fontId="6" fillId="5" borderId="10" xfId="1" applyNumberFormat="1" applyFont="1" applyFill="1" applyBorder="1"/>
    <xf numFmtId="49" fontId="6" fillId="5" borderId="11" xfId="1" applyNumberFormat="1" applyFont="1" applyFill="1" applyBorder="1"/>
    <xf numFmtId="49" fontId="6" fillId="5" borderId="9" xfId="1" applyNumberFormat="1" applyFont="1" applyFill="1" applyBorder="1" applyAlignment="1">
      <alignment horizontal="left" wrapText="1"/>
    </xf>
    <xf numFmtId="49" fontId="6" fillId="5" borderId="10" xfId="1" applyNumberFormat="1" applyFont="1" applyFill="1" applyBorder="1" applyAlignment="1">
      <alignment horizontal="left" wrapText="1"/>
    </xf>
    <xf numFmtId="49" fontId="6" fillId="5" borderId="11" xfId="1" applyNumberFormat="1" applyFont="1" applyFill="1" applyBorder="1" applyAlignment="1">
      <alignment horizontal="left" wrapText="1"/>
    </xf>
    <xf numFmtId="49" fontId="40" fillId="6" borderId="9" xfId="1" applyNumberFormat="1" applyFont="1" applyFill="1" applyBorder="1" applyAlignment="1">
      <alignment horizontal="center" vertical="center"/>
    </xf>
    <xf numFmtId="49" fontId="40" fillId="6" borderId="10" xfId="1" applyNumberFormat="1" applyFont="1" applyFill="1" applyBorder="1" applyAlignment="1">
      <alignment horizontal="center" vertical="center"/>
    </xf>
    <xf numFmtId="49" fontId="40" fillId="6" borderId="11" xfId="1" applyNumberFormat="1" applyFont="1" applyFill="1" applyBorder="1" applyAlignment="1">
      <alignment horizontal="center" vertical="center"/>
    </xf>
    <xf numFmtId="49" fontId="40" fillId="6" borderId="9" xfId="3" applyNumberFormat="1" applyFont="1" applyFill="1" applyBorder="1" applyAlignment="1">
      <alignment horizontal="center" vertical="center"/>
    </xf>
    <xf numFmtId="49" fontId="40" fillId="6" borderId="10" xfId="3" applyNumberFormat="1" applyFont="1" applyFill="1" applyBorder="1" applyAlignment="1">
      <alignment horizontal="center" vertical="center"/>
    </xf>
    <xf numFmtId="49" fontId="40" fillId="6" borderId="11" xfId="3" applyNumberFormat="1" applyFont="1" applyFill="1" applyBorder="1" applyAlignment="1">
      <alignment horizontal="center" vertical="center"/>
    </xf>
    <xf numFmtId="0" fontId="6" fillId="5" borderId="10" xfId="1" applyFont="1" applyFill="1" applyBorder="1" applyAlignment="1">
      <alignment horizontal="left" vertical="center"/>
    </xf>
    <xf numFmtId="0" fontId="6" fillId="5" borderId="11" xfId="1" applyFont="1" applyFill="1" applyBorder="1" applyAlignment="1">
      <alignment horizontal="left" vertical="center"/>
    </xf>
    <xf numFmtId="49" fontId="36" fillId="7" borderId="9" xfId="1" applyNumberFormat="1" applyFont="1" applyFill="1" applyBorder="1" applyAlignment="1">
      <alignment horizontal="center" vertical="center"/>
    </xf>
    <xf numFmtId="49" fontId="36" fillId="7" borderId="10" xfId="1" applyNumberFormat="1" applyFont="1" applyFill="1" applyBorder="1" applyAlignment="1">
      <alignment horizontal="center" vertical="center"/>
    </xf>
    <xf numFmtId="49" fontId="36" fillId="7" borderId="11" xfId="1" applyNumberFormat="1" applyFont="1" applyFill="1" applyBorder="1" applyAlignment="1">
      <alignment horizontal="center" vertical="center"/>
    </xf>
    <xf numFmtId="49" fontId="40" fillId="6" borderId="9" xfId="5" applyNumberFormat="1" applyFont="1" applyFill="1" applyBorder="1" applyAlignment="1">
      <alignment horizontal="center" vertical="center"/>
    </xf>
    <xf numFmtId="49" fontId="40" fillId="6" borderId="10" xfId="5" applyNumberFormat="1" applyFont="1" applyFill="1" applyBorder="1" applyAlignment="1">
      <alignment horizontal="center" vertical="center"/>
    </xf>
    <xf numFmtId="49" fontId="40" fillId="6" borderId="11" xfId="5" applyNumberFormat="1" applyFont="1" applyFill="1" applyBorder="1" applyAlignment="1">
      <alignment horizontal="center" vertical="center"/>
    </xf>
    <xf numFmtId="49" fontId="37" fillId="5" borderId="10" xfId="2" applyNumberFormat="1" applyFont="1" applyFill="1" applyBorder="1" applyAlignment="1">
      <alignment horizontal="left" vertical="center" wrapText="1"/>
    </xf>
    <xf numFmtId="49" fontId="40" fillId="6" borderId="9" xfId="3" applyNumberFormat="1" applyFont="1" applyFill="1" applyBorder="1" applyAlignment="1">
      <alignment horizontal="center" vertical="center" wrapText="1"/>
    </xf>
    <xf numFmtId="49" fontId="40" fillId="6" borderId="10" xfId="3" applyNumberFormat="1" applyFont="1" applyFill="1" applyBorder="1" applyAlignment="1">
      <alignment horizontal="center" vertical="center" wrapText="1"/>
    </xf>
    <xf numFmtId="49" fontId="40" fillId="6" borderId="11" xfId="3" applyNumberFormat="1" applyFont="1" applyFill="1" applyBorder="1" applyAlignment="1">
      <alignment horizontal="center" vertical="center" wrapText="1"/>
    </xf>
    <xf numFmtId="49" fontId="30" fillId="5" borderId="6" xfId="5" applyNumberFormat="1" applyFont="1" applyFill="1" applyBorder="1" applyAlignment="1">
      <alignment horizontal="center" vertical="center" wrapText="1"/>
    </xf>
    <xf numFmtId="49" fontId="30" fillId="5" borderId="7" xfId="5" applyNumberFormat="1" applyFont="1" applyFill="1" applyBorder="1" applyAlignment="1">
      <alignment horizontal="center" vertical="center"/>
    </xf>
    <xf numFmtId="49" fontId="30" fillId="5" borderId="8" xfId="5" applyNumberFormat="1" applyFont="1" applyFill="1" applyBorder="1" applyAlignment="1">
      <alignment horizontal="center" vertical="center"/>
    </xf>
    <xf numFmtId="49" fontId="30" fillId="5" borderId="4" xfId="5" applyNumberFormat="1" applyFont="1" applyFill="1" applyBorder="1" applyAlignment="1">
      <alignment horizontal="center" vertical="center"/>
    </xf>
    <xf numFmtId="49" fontId="30" fillId="5" borderId="1" xfId="5" applyNumberFormat="1" applyFont="1" applyFill="1" applyBorder="1" applyAlignment="1">
      <alignment horizontal="center" vertical="center"/>
    </xf>
    <xf numFmtId="49" fontId="30" fillId="5" borderId="5" xfId="5" applyNumberFormat="1" applyFont="1" applyFill="1" applyBorder="1" applyAlignment="1">
      <alignment horizontal="center" vertical="center"/>
    </xf>
    <xf numFmtId="49" fontId="29" fillId="3" borderId="7" xfId="1" applyNumberFormat="1" applyFont="1" applyFill="1" applyBorder="1" applyAlignment="1">
      <alignment horizontal="center" vertical="center"/>
    </xf>
    <xf numFmtId="49" fontId="29" fillId="3" borderId="8" xfId="1" applyNumberFormat="1" applyFont="1" applyFill="1" applyBorder="1" applyAlignment="1">
      <alignment horizontal="center" vertical="center"/>
    </xf>
    <xf numFmtId="49" fontId="29" fillId="3" borderId="36" xfId="1" applyNumberFormat="1" applyFont="1" applyFill="1" applyBorder="1" applyAlignment="1">
      <alignment horizontal="center" vertical="center"/>
    </xf>
    <xf numFmtId="49" fontId="29" fillId="3" borderId="37" xfId="1" applyNumberFormat="1" applyFont="1" applyFill="1" applyBorder="1" applyAlignment="1">
      <alignment horizontal="center" vertical="center"/>
    </xf>
    <xf numFmtId="49" fontId="43" fillId="3" borderId="7" xfId="1" applyNumberFormat="1" applyFont="1" applyFill="1" applyBorder="1" applyAlignment="1">
      <alignment horizontal="center" vertical="center"/>
    </xf>
    <xf numFmtId="49" fontId="43" fillId="3" borderId="36" xfId="1" applyNumberFormat="1" applyFont="1" applyFill="1" applyBorder="1" applyAlignment="1">
      <alignment horizontal="center" vertical="center"/>
    </xf>
    <xf numFmtId="49" fontId="6" fillId="5" borderId="0" xfId="0" applyNumberFormat="1" applyFont="1" applyFill="1" applyAlignment="1">
      <alignment horizontal="right" vertical="center"/>
    </xf>
    <xf numFmtId="49" fontId="5" fillId="5" borderId="9" xfId="0" applyNumberFormat="1" applyFont="1" applyFill="1" applyBorder="1" applyAlignment="1">
      <alignment horizontal="center" vertical="center"/>
    </xf>
    <xf numFmtId="49" fontId="5" fillId="5" borderId="10" xfId="0" applyNumberFormat="1" applyFont="1" applyFill="1" applyBorder="1" applyAlignment="1">
      <alignment horizontal="center" vertical="center"/>
    </xf>
    <xf numFmtId="49" fontId="5" fillId="5" borderId="11" xfId="0" applyNumberFormat="1" applyFont="1" applyFill="1" applyBorder="1" applyAlignment="1">
      <alignment horizontal="center" vertical="center"/>
    </xf>
    <xf numFmtId="49" fontId="6" fillId="5" borderId="9" xfId="0" applyNumberFormat="1" applyFont="1" applyFill="1" applyBorder="1" applyAlignment="1">
      <alignment horizontal="center" vertical="center"/>
    </xf>
    <xf numFmtId="49" fontId="6" fillId="5" borderId="10" xfId="0" applyNumberFormat="1" applyFont="1" applyFill="1" applyBorder="1" applyAlignment="1">
      <alignment horizontal="center" vertical="center"/>
    </xf>
    <xf numFmtId="49" fontId="6" fillId="5" borderId="11" xfId="0" applyNumberFormat="1" applyFont="1" applyFill="1" applyBorder="1" applyAlignment="1">
      <alignment horizontal="center" vertical="center"/>
    </xf>
    <xf numFmtId="49" fontId="6" fillId="5" borderId="9" xfId="0" applyNumberFormat="1" applyFont="1" applyFill="1" applyBorder="1" applyAlignment="1">
      <alignment horizontal="left" vertical="center"/>
    </xf>
    <xf numFmtId="49" fontId="6" fillId="5" borderId="10" xfId="0" applyNumberFormat="1" applyFont="1" applyFill="1" applyBorder="1" applyAlignment="1">
      <alignment horizontal="left" vertical="center"/>
    </xf>
    <xf numFmtId="49" fontId="6" fillId="5" borderId="11" xfId="0" applyNumberFormat="1" applyFont="1" applyFill="1" applyBorder="1" applyAlignment="1">
      <alignment horizontal="left" vertical="center"/>
    </xf>
    <xf numFmtId="0" fontId="6" fillId="5" borderId="10" xfId="0" applyFont="1" applyFill="1" applyBorder="1" applyAlignment="1">
      <alignment horizontal="left" vertical="center"/>
    </xf>
    <xf numFmtId="0" fontId="6" fillId="5" borderId="11" xfId="0" applyFont="1" applyFill="1" applyBorder="1" applyAlignment="1">
      <alignment horizontal="left" vertical="center"/>
    </xf>
    <xf numFmtId="49" fontId="30" fillId="8" borderId="9" xfId="3" applyNumberFormat="1" applyFont="1" applyFill="1" applyBorder="1" applyAlignment="1">
      <alignment horizontal="center" vertical="center"/>
    </xf>
    <xf numFmtId="49" fontId="30" fillId="8" borderId="10" xfId="3" applyNumberFormat="1" applyFont="1" applyFill="1" applyBorder="1" applyAlignment="1">
      <alignment horizontal="center" vertical="center"/>
    </xf>
    <xf numFmtId="49" fontId="26" fillId="8" borderId="9" xfId="3" applyNumberFormat="1" applyFont="1" applyFill="1" applyBorder="1" applyAlignment="1">
      <alignment horizontal="center" vertical="center"/>
    </xf>
    <xf numFmtId="49" fontId="26" fillId="8" borderId="10" xfId="3" applyNumberFormat="1" applyFont="1" applyFill="1" applyBorder="1" applyAlignment="1">
      <alignment horizontal="center" vertical="center"/>
    </xf>
    <xf numFmtId="49" fontId="6" fillId="5" borderId="4" xfId="1" applyNumberFormat="1" applyFont="1" applyFill="1" applyBorder="1" applyAlignment="1">
      <alignment horizontal="left" vertical="center"/>
    </xf>
    <xf numFmtId="49" fontId="6" fillId="5" borderId="1" xfId="1" applyNumberFormat="1" applyFont="1" applyFill="1" applyBorder="1" applyAlignment="1">
      <alignment horizontal="left" vertical="center"/>
    </xf>
    <xf numFmtId="49" fontId="6" fillId="5" borderId="5" xfId="1" applyNumberFormat="1" applyFont="1" applyFill="1" applyBorder="1" applyAlignment="1">
      <alignment horizontal="left" vertical="center"/>
    </xf>
    <xf numFmtId="49" fontId="6" fillId="5" borderId="4" xfId="1" applyNumberFormat="1" applyFont="1" applyFill="1" applyBorder="1" applyAlignment="1">
      <alignment horizontal="left" vertical="top"/>
    </xf>
    <xf numFmtId="49" fontId="6" fillId="5" borderId="1" xfId="1" applyNumberFormat="1" applyFont="1" applyFill="1" applyBorder="1" applyAlignment="1">
      <alignment horizontal="left" vertical="top"/>
    </xf>
    <xf numFmtId="49" fontId="6" fillId="5" borderId="5" xfId="1" applyNumberFormat="1" applyFont="1" applyFill="1" applyBorder="1" applyAlignment="1">
      <alignment horizontal="left" vertical="top"/>
    </xf>
    <xf numFmtId="49" fontId="6" fillId="0" borderId="17" xfId="0" quotePrefix="1" applyNumberFormat="1" applyFont="1" applyBorder="1" applyAlignment="1">
      <alignment horizontal="center" vertical="center"/>
    </xf>
    <xf numFmtId="49" fontId="6" fillId="0" borderId="17" xfId="0" applyNumberFormat="1" applyFont="1" applyBorder="1" applyAlignment="1">
      <alignment horizontal="left" vertical="center"/>
    </xf>
    <xf numFmtId="49" fontId="6" fillId="0" borderId="22" xfId="0" applyNumberFormat="1" applyFont="1" applyBorder="1" applyAlignment="1">
      <alignment horizontal="left" vertical="center"/>
    </xf>
    <xf numFmtId="49" fontId="6" fillId="0" borderId="18" xfId="0" applyNumberFormat="1" applyFont="1" applyBorder="1" applyAlignment="1">
      <alignment horizontal="left" vertical="center"/>
    </xf>
    <xf numFmtId="49" fontId="6" fillId="0" borderId="17" xfId="0" applyNumberFormat="1" applyFont="1" applyBorder="1" applyAlignment="1">
      <alignment horizontal="center" vertical="center"/>
    </xf>
    <xf numFmtId="49" fontId="6" fillId="0" borderId="22"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17" xfId="0" applyNumberFormat="1" applyFont="1" applyBorder="1" applyAlignment="1">
      <alignment horizontal="left" vertical="center" wrapText="1"/>
    </xf>
    <xf numFmtId="49" fontId="6" fillId="0" borderId="17" xfId="1" applyNumberFormat="1" applyFont="1" applyBorder="1" applyAlignment="1">
      <alignment horizontal="center" vertical="center"/>
    </xf>
    <xf numFmtId="49" fontId="6" fillId="0" borderId="22" xfId="1" applyNumberFormat="1" applyFont="1" applyBorder="1" applyAlignment="1">
      <alignment horizontal="center" vertical="center"/>
    </xf>
    <xf numFmtId="49" fontId="6" fillId="0" borderId="18" xfId="1" applyNumberFormat="1" applyFont="1" applyBorder="1" applyAlignment="1">
      <alignment horizontal="center" vertical="center"/>
    </xf>
    <xf numFmtId="49" fontId="6" fillId="0" borderId="45"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19" xfId="0" applyNumberFormat="1" applyFont="1" applyBorder="1" applyAlignment="1">
      <alignment horizontal="left" vertical="center"/>
    </xf>
    <xf numFmtId="49" fontId="6" fillId="0" borderId="23" xfId="0" applyNumberFormat="1" applyFont="1" applyBorder="1" applyAlignment="1">
      <alignment horizontal="left" vertical="center"/>
    </xf>
    <xf numFmtId="49" fontId="6" fillId="0" borderId="20" xfId="0" applyNumberFormat="1" applyFont="1" applyBorder="1" applyAlignment="1">
      <alignment horizontal="left" vertical="center"/>
    </xf>
    <xf numFmtId="49" fontId="6" fillId="0" borderId="19" xfId="0" applyNumberFormat="1" applyFont="1" applyBorder="1" applyAlignment="1">
      <alignment horizontal="center" vertical="center"/>
    </xf>
    <xf numFmtId="49" fontId="6" fillId="0" borderId="23" xfId="0" applyNumberFormat="1" applyFont="1" applyBorder="1" applyAlignment="1">
      <alignment horizontal="center" vertical="center"/>
    </xf>
    <xf numFmtId="49" fontId="6" fillId="0" borderId="20" xfId="0" applyNumberFormat="1" applyFont="1" applyBorder="1" applyAlignment="1">
      <alignment horizontal="center" vertical="center"/>
    </xf>
    <xf numFmtId="0" fontId="6" fillId="0" borderId="17" xfId="1" applyFont="1" applyBorder="1" applyAlignment="1">
      <alignment horizontal="center" vertical="center"/>
    </xf>
    <xf numFmtId="0" fontId="6" fillId="0" borderId="22" xfId="1" applyFont="1" applyBorder="1" applyAlignment="1">
      <alignment horizontal="center" vertical="center"/>
    </xf>
    <xf numFmtId="0" fontId="6" fillId="0" borderId="18" xfId="1" applyFont="1" applyBorder="1" applyAlignment="1">
      <alignment horizontal="center" vertical="center"/>
    </xf>
    <xf numFmtId="49" fontId="6" fillId="0" borderId="32" xfId="1"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17"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6" fillId="0" borderId="43" xfId="1" applyNumberFormat="1" applyFont="1" applyBorder="1" applyAlignment="1">
      <alignment horizontal="center" vertical="center"/>
    </xf>
    <xf numFmtId="49" fontId="6" fillId="0" borderId="44" xfId="1" applyNumberFormat="1" applyFont="1" applyBorder="1" applyAlignment="1">
      <alignment horizontal="center" vertical="center"/>
    </xf>
    <xf numFmtId="49" fontId="6" fillId="0" borderId="38" xfId="1" applyNumberFormat="1" applyFont="1" applyBorder="1" applyAlignment="1">
      <alignment horizontal="center" vertical="center"/>
    </xf>
    <xf numFmtId="49" fontId="6" fillId="0" borderId="39" xfId="1" applyNumberFormat="1" applyFont="1" applyBorder="1" applyAlignment="1">
      <alignment horizontal="center" vertical="center"/>
    </xf>
    <xf numFmtId="49" fontId="6" fillId="0" borderId="17" xfId="1" applyNumberFormat="1" applyFont="1" applyBorder="1" applyAlignment="1">
      <alignment vertical="center"/>
    </xf>
    <xf numFmtId="49" fontId="6" fillId="0" borderId="22" xfId="1" applyNumberFormat="1" applyFont="1" applyBorder="1" applyAlignment="1">
      <alignment vertical="center"/>
    </xf>
    <xf numFmtId="49" fontId="6" fillId="0" borderId="18" xfId="1" applyNumberFormat="1" applyFont="1" applyBorder="1" applyAlignment="1">
      <alignment vertical="center"/>
    </xf>
    <xf numFmtId="49" fontId="6" fillId="0" borderId="17" xfId="1" applyNumberFormat="1" applyFont="1" applyBorder="1" applyAlignment="1">
      <alignment vertical="center" wrapText="1"/>
    </xf>
    <xf numFmtId="49" fontId="6" fillId="0" borderId="22" xfId="1" applyNumberFormat="1" applyFont="1" applyBorder="1" applyAlignment="1">
      <alignment vertical="center" wrapText="1"/>
    </xf>
    <xf numFmtId="49" fontId="6" fillId="0" borderId="18" xfId="1" applyNumberFormat="1" applyFont="1" applyBorder="1" applyAlignment="1">
      <alignment vertical="center" wrapText="1"/>
    </xf>
    <xf numFmtId="49" fontId="6" fillId="0" borderId="31" xfId="1" applyNumberFormat="1" applyFont="1" applyBorder="1" applyAlignment="1">
      <alignment horizontal="center" vertical="center"/>
    </xf>
    <xf numFmtId="49" fontId="6" fillId="0" borderId="32" xfId="0" quotePrefix="1" applyNumberFormat="1" applyFont="1" applyBorder="1" applyAlignment="1">
      <alignment horizontal="center" vertical="center"/>
    </xf>
    <xf numFmtId="49" fontId="6" fillId="0" borderId="17" xfId="1" applyNumberFormat="1" applyFont="1" applyBorder="1" applyAlignment="1">
      <alignment horizontal="left" vertical="center"/>
    </xf>
    <xf numFmtId="49" fontId="6" fillId="0" borderId="22" xfId="1" applyNumberFormat="1" applyFont="1" applyBorder="1" applyAlignment="1">
      <alignment horizontal="left" vertical="center"/>
    </xf>
    <xf numFmtId="49" fontId="6" fillId="0" borderId="18" xfId="1" applyNumberFormat="1" applyFont="1" applyBorder="1" applyAlignment="1">
      <alignment horizontal="left" vertical="center"/>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49" fontId="6" fillId="0" borderId="43" xfId="1" applyNumberFormat="1" applyFont="1" applyBorder="1" applyAlignment="1">
      <alignment vertical="center"/>
    </xf>
    <xf numFmtId="49" fontId="6" fillId="0" borderId="44" xfId="1" applyNumberFormat="1" applyFont="1" applyBorder="1" applyAlignment="1">
      <alignment vertical="center"/>
    </xf>
    <xf numFmtId="49" fontId="6" fillId="0" borderId="38" xfId="1" applyNumberFormat="1" applyFont="1" applyBorder="1" applyAlignment="1">
      <alignment vertical="center"/>
    </xf>
    <xf numFmtId="49" fontId="6" fillId="0" borderId="25" xfId="1" applyNumberFormat="1" applyFont="1" applyBorder="1" applyAlignment="1">
      <alignment horizontal="left" vertical="center"/>
    </xf>
    <xf numFmtId="49" fontId="6" fillId="0" borderId="26" xfId="1" applyNumberFormat="1" applyFont="1" applyBorder="1" applyAlignment="1">
      <alignment horizontal="left" vertical="center"/>
    </xf>
    <xf numFmtId="49" fontId="6" fillId="0" borderId="27" xfId="1" applyNumberFormat="1" applyFont="1" applyBorder="1" applyAlignment="1">
      <alignment horizontal="left" vertical="center"/>
    </xf>
    <xf numFmtId="49" fontId="6" fillId="0" borderId="17" xfId="0" applyNumberFormat="1" applyFont="1" applyBorder="1" applyAlignment="1">
      <alignment vertical="center"/>
    </xf>
    <xf numFmtId="49" fontId="6" fillId="0" borderId="22" xfId="0" applyNumberFormat="1" applyFont="1" applyBorder="1" applyAlignment="1">
      <alignment vertical="center"/>
    </xf>
    <xf numFmtId="49" fontId="6" fillId="0" borderId="18" xfId="0" applyNumberFormat="1" applyFont="1" applyBorder="1" applyAlignment="1">
      <alignment vertical="center"/>
    </xf>
    <xf numFmtId="49" fontId="6" fillId="0" borderId="17" xfId="1" applyNumberFormat="1" applyFont="1" applyBorder="1" applyAlignment="1">
      <alignment horizontal="left" vertical="center" wrapText="1"/>
    </xf>
    <xf numFmtId="49" fontId="6" fillId="0" borderId="22" xfId="1" applyNumberFormat="1" applyFont="1" applyBorder="1" applyAlignment="1">
      <alignment horizontal="left" vertical="center" wrapText="1"/>
    </xf>
    <xf numFmtId="49" fontId="6" fillId="0" borderId="18" xfId="1" applyNumberFormat="1" applyFont="1" applyBorder="1" applyAlignment="1">
      <alignment horizontal="left" vertical="center" wrapText="1"/>
    </xf>
    <xf numFmtId="49" fontId="6" fillId="0" borderId="25" xfId="0" applyNumberFormat="1" applyFont="1" applyBorder="1" applyAlignment="1">
      <alignment horizontal="left" vertical="center" wrapText="1"/>
    </xf>
    <xf numFmtId="49" fontId="6" fillId="0" borderId="26" xfId="0" applyNumberFormat="1" applyFont="1" applyBorder="1" applyAlignment="1">
      <alignment horizontal="left" vertical="center" wrapText="1"/>
    </xf>
    <xf numFmtId="49" fontId="6" fillId="0" borderId="27" xfId="0" applyNumberFormat="1" applyFont="1" applyBorder="1" applyAlignment="1">
      <alignment horizontal="left" vertical="center" wrapText="1"/>
    </xf>
    <xf numFmtId="49" fontId="6" fillId="0" borderId="22"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34" xfId="0" applyNumberFormat="1" applyFont="1" applyBorder="1" applyAlignment="1">
      <alignment horizontal="center" vertical="center"/>
    </xf>
    <xf numFmtId="49" fontId="6" fillId="0" borderId="24" xfId="0" applyNumberFormat="1" applyFont="1" applyBorder="1" applyAlignment="1">
      <alignment horizontal="left" vertical="center"/>
    </xf>
    <xf numFmtId="49" fontId="6" fillId="0" borderId="48" xfId="0" applyNumberFormat="1" applyFont="1" applyBorder="1" applyAlignment="1">
      <alignment horizontal="center" vertical="center"/>
    </xf>
    <xf numFmtId="49" fontId="6" fillId="0" borderId="48" xfId="0" applyNumberFormat="1" applyFont="1" applyBorder="1" applyAlignment="1">
      <alignment horizontal="left" vertical="center"/>
    </xf>
    <xf numFmtId="49" fontId="6" fillId="0" borderId="15" xfId="0" applyNumberFormat="1" applyFont="1" applyBorder="1" applyAlignment="1">
      <alignment horizontal="center" vertical="center"/>
    </xf>
    <xf numFmtId="49" fontId="6" fillId="0" borderId="21"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6"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6" fillId="0" borderId="43" xfId="0" applyNumberFormat="1" applyFont="1" applyBorder="1" applyAlignment="1">
      <alignment horizontal="left" vertical="center" wrapText="1"/>
    </xf>
    <xf numFmtId="49" fontId="6" fillId="0" borderId="44" xfId="0" applyNumberFormat="1" applyFont="1" applyBorder="1" applyAlignment="1">
      <alignment horizontal="left" vertical="center"/>
    </xf>
    <xf numFmtId="49" fontId="6" fillId="0" borderId="38" xfId="0" applyNumberFormat="1" applyFont="1" applyBorder="1" applyAlignment="1">
      <alignment horizontal="left" vertical="center"/>
    </xf>
    <xf numFmtId="0" fontId="6" fillId="0" borderId="19" xfId="0" applyFont="1" applyBorder="1" applyAlignment="1">
      <alignment horizontal="center" vertical="center"/>
    </xf>
    <xf numFmtId="0" fontId="6" fillId="0" borderId="23" xfId="0" applyFont="1" applyBorder="1" applyAlignment="1">
      <alignment horizontal="center" vertical="center"/>
    </xf>
    <xf numFmtId="0" fontId="6" fillId="0" borderId="20" xfId="0" applyFont="1" applyBorder="1" applyAlignment="1">
      <alignment horizontal="center" vertical="center"/>
    </xf>
    <xf numFmtId="49" fontId="6" fillId="0" borderId="19" xfId="0" applyNumberFormat="1" applyFont="1" applyBorder="1" applyAlignment="1">
      <alignment vertical="center"/>
    </xf>
    <xf numFmtId="49" fontId="6" fillId="0" borderId="23" xfId="0" applyNumberFormat="1" applyFont="1" applyBorder="1" applyAlignment="1">
      <alignment vertical="center"/>
    </xf>
    <xf numFmtId="49" fontId="6" fillId="0" borderId="20" xfId="0" applyNumberFormat="1" applyFont="1" applyBorder="1" applyAlignment="1">
      <alignment vertical="center"/>
    </xf>
    <xf numFmtId="0" fontId="6" fillId="0" borderId="9" xfId="0" applyFont="1" applyBorder="1" applyAlignment="1">
      <alignment horizontal="left" vertical="center"/>
    </xf>
    <xf numFmtId="49" fontId="6" fillId="0" borderId="26" xfId="0" applyNumberFormat="1" applyFont="1" applyBorder="1" applyAlignment="1">
      <alignment horizontal="left" vertical="center"/>
    </xf>
    <xf numFmtId="49" fontId="6" fillId="0" borderId="27" xfId="0" applyNumberFormat="1" applyFont="1" applyBorder="1" applyAlignment="1">
      <alignment horizontal="left" vertical="center"/>
    </xf>
    <xf numFmtId="49" fontId="8" fillId="0" borderId="12" xfId="0" applyNumberFormat="1" applyFont="1" applyBorder="1" applyAlignment="1">
      <alignment horizontal="center" vertical="center"/>
    </xf>
    <xf numFmtId="49" fontId="8" fillId="0" borderId="13" xfId="0" applyNumberFormat="1" applyFont="1" applyBorder="1" applyAlignment="1">
      <alignment horizontal="center" vertical="center"/>
    </xf>
    <xf numFmtId="49" fontId="8" fillId="0" borderId="14" xfId="0" applyNumberFormat="1" applyFont="1" applyBorder="1" applyAlignment="1">
      <alignment horizontal="center" vertical="center"/>
    </xf>
    <xf numFmtId="49" fontId="6" fillId="0" borderId="6" xfId="0" applyNumberFormat="1" applyFont="1" applyBorder="1" applyAlignment="1">
      <alignment horizontal="center" vertical="center"/>
    </xf>
    <xf numFmtId="49" fontId="6" fillId="0" borderId="7" xfId="0" applyNumberFormat="1" applyFont="1" applyBorder="1" applyAlignment="1">
      <alignment horizontal="center" vertical="center"/>
    </xf>
    <xf numFmtId="49" fontId="6" fillId="0" borderId="8"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6" fillId="0" borderId="5" xfId="0" applyNumberFormat="1" applyFont="1" applyBorder="1" applyAlignment="1">
      <alignment horizontal="center" vertical="center"/>
    </xf>
    <xf numFmtId="49" fontId="6" fillId="0" borderId="47" xfId="1" applyNumberFormat="1" applyFont="1" applyBorder="1" applyAlignment="1">
      <alignment horizontal="center" vertical="center"/>
    </xf>
    <xf numFmtId="49" fontId="6" fillId="0" borderId="8" xfId="1" applyNumberFormat="1" applyFont="1" applyBorder="1" applyAlignment="1">
      <alignment horizontal="center" vertical="center"/>
    </xf>
    <xf numFmtId="49" fontId="6" fillId="0" borderId="28"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0" xfId="0" applyNumberFormat="1" applyFont="1" applyBorder="1" applyAlignment="1">
      <alignment horizontal="center" vertical="center"/>
    </xf>
    <xf numFmtId="14" fontId="6" fillId="0" borderId="9" xfId="0" applyNumberFormat="1" applyFont="1" applyBorder="1" applyAlignment="1">
      <alignment horizontal="center" vertical="center"/>
    </xf>
    <xf numFmtId="0" fontId="6" fillId="0" borderId="43" xfId="1" applyFont="1" applyBorder="1" applyAlignment="1">
      <alignment horizontal="center" vertical="center"/>
    </xf>
    <xf numFmtId="0" fontId="6" fillId="0" borderId="44" xfId="1" applyFont="1" applyBorder="1" applyAlignment="1">
      <alignment horizontal="center" vertical="center"/>
    </xf>
    <xf numFmtId="0" fontId="6" fillId="0" borderId="38" xfId="1" applyFont="1" applyBorder="1" applyAlignment="1">
      <alignment horizontal="center" vertical="center"/>
    </xf>
    <xf numFmtId="49" fontId="6" fillId="0" borderId="49" xfId="0" applyNumberFormat="1" applyFont="1" applyBorder="1" applyAlignment="1">
      <alignment horizontal="center" vertical="center"/>
    </xf>
    <xf numFmtId="49" fontId="6" fillId="0" borderId="49" xfId="0" applyNumberFormat="1" applyFont="1" applyBorder="1" applyAlignment="1">
      <alignment horizontal="left" vertical="center"/>
    </xf>
    <xf numFmtId="49" fontId="6" fillId="0" borderId="51" xfId="0" applyNumberFormat="1" applyFont="1" applyBorder="1" applyAlignment="1">
      <alignment horizontal="center" vertical="center"/>
    </xf>
    <xf numFmtId="49" fontId="6" fillId="0" borderId="51" xfId="0" applyNumberFormat="1" applyFont="1" applyBorder="1" applyAlignment="1">
      <alignment horizontal="left" vertical="center"/>
    </xf>
    <xf numFmtId="49" fontId="6" fillId="0" borderId="17" xfId="0" quotePrefix="1" applyNumberFormat="1" applyFont="1" applyBorder="1" applyAlignment="1">
      <alignment horizontal="left" vertical="center" wrapText="1"/>
    </xf>
    <xf numFmtId="49" fontId="6" fillId="0" borderId="22" xfId="0" quotePrefix="1" applyNumberFormat="1" applyFont="1" applyBorder="1" applyAlignment="1">
      <alignment horizontal="left" vertical="center"/>
    </xf>
    <xf numFmtId="49" fontId="6" fillId="0" borderId="18" xfId="0" quotePrefix="1" applyNumberFormat="1" applyFont="1" applyBorder="1" applyAlignment="1">
      <alignment horizontal="left" vertical="center"/>
    </xf>
    <xf numFmtId="49" fontId="6" fillId="0" borderId="22" xfId="0" quotePrefix="1" applyNumberFormat="1" applyFont="1" applyBorder="1" applyAlignment="1">
      <alignment horizontal="left" vertical="center" wrapText="1"/>
    </xf>
    <xf numFmtId="49" fontId="6" fillId="0" borderId="18" xfId="0" quotePrefix="1" applyNumberFormat="1" applyFont="1" applyBorder="1" applyAlignment="1">
      <alignment horizontal="left" vertical="center" wrapText="1"/>
    </xf>
    <xf numFmtId="0" fontId="6" fillId="0" borderId="17" xfId="0" applyFont="1" applyBorder="1" applyAlignment="1">
      <alignment horizontal="center" vertical="center"/>
    </xf>
    <xf numFmtId="0" fontId="6" fillId="0" borderId="22" xfId="0" applyFont="1" applyBorder="1" applyAlignment="1">
      <alignment horizontal="center" vertical="center"/>
    </xf>
    <xf numFmtId="0" fontId="6" fillId="0" borderId="18" xfId="0" applyFont="1" applyBorder="1" applyAlignment="1">
      <alignment horizontal="center" vertical="center"/>
    </xf>
    <xf numFmtId="49" fontId="8" fillId="0" borderId="9"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5" borderId="17" xfId="0" applyNumberFormat="1" applyFont="1" applyFill="1" applyBorder="1" applyAlignment="1">
      <alignment vertical="center"/>
    </xf>
    <xf numFmtId="49" fontId="6" fillId="5" borderId="22" xfId="0" applyNumberFormat="1" applyFont="1" applyFill="1" applyBorder="1" applyAlignment="1">
      <alignment vertical="center"/>
    </xf>
    <xf numFmtId="49" fontId="6" fillId="5" borderId="18" xfId="0" applyNumberFormat="1" applyFont="1" applyFill="1" applyBorder="1" applyAlignment="1">
      <alignmen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49" fontId="6" fillId="0" borderId="6" xfId="0" applyNumberFormat="1" applyFont="1" applyBorder="1" applyAlignment="1">
      <alignment horizontal="left" vertical="center"/>
    </xf>
    <xf numFmtId="49" fontId="6" fillId="0" borderId="7" xfId="0" applyNumberFormat="1" applyFont="1" applyBorder="1" applyAlignment="1">
      <alignment horizontal="left" vertical="center"/>
    </xf>
    <xf numFmtId="49" fontId="6" fillId="0" borderId="8" xfId="0" applyNumberFormat="1" applyFont="1" applyBorder="1" applyAlignment="1">
      <alignment horizontal="left" vertical="center"/>
    </xf>
    <xf numFmtId="49" fontId="6" fillId="0" borderId="19" xfId="0" applyNumberFormat="1" applyFont="1" applyBorder="1" applyAlignment="1">
      <alignment horizontal="left" vertical="center" wrapText="1"/>
    </xf>
    <xf numFmtId="49" fontId="6" fillId="0" borderId="23"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49" fontId="10" fillId="0" borderId="17" xfId="0" applyNumberFormat="1" applyFont="1" applyBorder="1" applyAlignment="1">
      <alignment horizontal="left" vertical="center" wrapText="1"/>
    </xf>
    <xf numFmtId="49" fontId="10" fillId="0" borderId="22" xfId="0" applyNumberFormat="1" applyFont="1" applyBorder="1" applyAlignment="1">
      <alignment horizontal="left" vertical="center" wrapText="1"/>
    </xf>
    <xf numFmtId="49" fontId="10" fillId="0" borderId="18" xfId="0" applyNumberFormat="1" applyFont="1" applyBorder="1" applyAlignment="1">
      <alignment horizontal="left" vertical="center" wrapText="1"/>
    </xf>
    <xf numFmtId="49" fontId="25" fillId="0" borderId="17" xfId="0" applyNumberFormat="1" applyFont="1" applyBorder="1" applyAlignment="1">
      <alignment horizontal="center" vertical="center"/>
    </xf>
    <xf numFmtId="49" fontId="25" fillId="0" borderId="22" xfId="0" applyNumberFormat="1" applyFont="1" applyBorder="1" applyAlignment="1">
      <alignment horizontal="center" vertical="center"/>
    </xf>
    <xf numFmtId="49" fontId="25" fillId="0" borderId="18" xfId="0" applyNumberFormat="1" applyFont="1" applyBorder="1" applyAlignment="1">
      <alignment horizontal="center" vertical="center"/>
    </xf>
    <xf numFmtId="49" fontId="10" fillId="0" borderId="17" xfId="0" applyNumberFormat="1" applyFont="1" applyBorder="1" applyAlignment="1">
      <alignment vertical="center" wrapText="1"/>
    </xf>
    <xf numFmtId="49" fontId="10" fillId="0" borderId="22" xfId="0" applyNumberFormat="1" applyFont="1" applyBorder="1" applyAlignment="1">
      <alignment vertical="center" wrapText="1"/>
    </xf>
    <xf numFmtId="49" fontId="10" fillId="0" borderId="18" xfId="0" applyNumberFormat="1" applyFont="1" applyBorder="1" applyAlignment="1">
      <alignment vertical="center" wrapText="1"/>
    </xf>
    <xf numFmtId="49" fontId="40" fillId="5" borderId="9" xfId="5" applyNumberFormat="1" applyFont="1" applyFill="1" applyBorder="1" applyAlignment="1">
      <alignment horizontal="center" vertical="center"/>
    </xf>
    <xf numFmtId="49" fontId="40" fillId="5" borderId="10" xfId="5" applyNumberFormat="1" applyFont="1" applyFill="1" applyBorder="1" applyAlignment="1">
      <alignment horizontal="center" vertical="center"/>
    </xf>
    <xf numFmtId="49" fontId="40" fillId="5" borderId="11" xfId="5" applyNumberFormat="1" applyFont="1" applyFill="1" applyBorder="1" applyAlignment="1">
      <alignment horizontal="center" vertical="center"/>
    </xf>
    <xf numFmtId="38" fontId="41" fillId="6" borderId="10" xfId="7" applyFont="1" applyFill="1" applyBorder="1" applyAlignment="1">
      <alignment horizontal="right" vertical="center"/>
    </xf>
    <xf numFmtId="3" fontId="30" fillId="5" borderId="10" xfId="3" applyNumberFormat="1" applyFont="1" applyFill="1" applyBorder="1" applyAlignment="1">
      <alignment horizontal="right" vertical="center"/>
    </xf>
    <xf numFmtId="176" fontId="30" fillId="5" borderId="10" xfId="3" applyNumberFormat="1" applyFont="1" applyFill="1" applyBorder="1" applyAlignment="1">
      <alignment horizontal="right" vertical="center"/>
    </xf>
    <xf numFmtId="3" fontId="30" fillId="5" borderId="10" xfId="1" applyNumberFormat="1" applyFont="1" applyFill="1" applyBorder="1" applyAlignment="1">
      <alignment horizontal="right" vertical="center"/>
    </xf>
    <xf numFmtId="49" fontId="30" fillId="5" borderId="10" xfId="1" applyNumberFormat="1" applyFont="1" applyFill="1" applyBorder="1" applyAlignment="1">
      <alignment horizontal="right" vertical="center"/>
    </xf>
    <xf numFmtId="176" fontId="30" fillId="5" borderId="10" xfId="1" applyNumberFormat="1" applyFont="1" applyFill="1" applyBorder="1" applyAlignment="1">
      <alignment horizontal="right" vertical="center"/>
    </xf>
    <xf numFmtId="3" fontId="41" fillId="6" borderId="9" xfId="1" applyNumberFormat="1" applyFont="1" applyFill="1" applyBorder="1" applyAlignment="1">
      <alignment horizontal="right" vertical="center"/>
    </xf>
    <xf numFmtId="49" fontId="41" fillId="6" borderId="10" xfId="1" applyNumberFormat="1" applyFont="1" applyFill="1" applyBorder="1" applyAlignment="1">
      <alignment horizontal="right" vertical="center"/>
    </xf>
    <xf numFmtId="0" fontId="41" fillId="6" borderId="10" xfId="1" applyFont="1" applyFill="1" applyBorder="1" applyAlignment="1">
      <alignment horizontal="right" vertical="center"/>
    </xf>
    <xf numFmtId="49" fontId="40" fillId="6" borderId="24" xfId="3" applyNumberFormat="1" applyFont="1" applyFill="1" applyBorder="1" applyAlignment="1">
      <alignment horizontal="center" vertical="center"/>
    </xf>
    <xf numFmtId="177" fontId="30" fillId="5" borderId="10" xfId="7" applyNumberFormat="1" applyFont="1" applyFill="1" applyBorder="1" applyAlignment="1">
      <alignment horizontal="right" vertical="center"/>
    </xf>
    <xf numFmtId="177" fontId="30" fillId="5" borderId="10" xfId="1" applyNumberFormat="1" applyFont="1" applyFill="1" applyBorder="1" applyAlignment="1">
      <alignment horizontal="right" vertical="center"/>
    </xf>
    <xf numFmtId="177" fontId="30" fillId="5" borderId="10" xfId="3" applyNumberFormat="1" applyFont="1" applyFill="1" applyBorder="1" applyAlignment="1">
      <alignment horizontal="right" vertical="center"/>
    </xf>
    <xf numFmtId="49" fontId="30" fillId="5" borderId="9" xfId="3" applyNumberFormat="1" applyFont="1" applyFill="1" applyBorder="1">
      <alignment vertical="center"/>
    </xf>
    <xf numFmtId="49" fontId="30" fillId="5" borderId="10" xfId="3" applyNumberFormat="1" applyFont="1" applyFill="1" applyBorder="1">
      <alignment vertical="center"/>
    </xf>
    <xf numFmtId="49" fontId="30" fillId="5" borderId="11" xfId="3" applyNumberFormat="1" applyFont="1" applyFill="1" applyBorder="1">
      <alignment vertical="center"/>
    </xf>
    <xf numFmtId="49" fontId="30" fillId="5" borderId="9" xfId="5" applyNumberFormat="1" applyFont="1" applyFill="1" applyBorder="1">
      <alignment vertical="center"/>
    </xf>
    <xf numFmtId="49" fontId="30" fillId="5" borderId="10" xfId="5" applyNumberFormat="1" applyFont="1" applyFill="1" applyBorder="1">
      <alignment vertical="center"/>
    </xf>
    <xf numFmtId="49" fontId="30" fillId="5" borderId="11" xfId="5" applyNumberFormat="1" applyFont="1" applyFill="1" applyBorder="1">
      <alignment vertical="center"/>
    </xf>
    <xf numFmtId="49" fontId="6" fillId="5" borderId="9" xfId="1" applyNumberFormat="1" applyFont="1" applyFill="1" applyBorder="1" applyAlignment="1">
      <alignment horizontal="left" vertical="center" wrapText="1"/>
    </xf>
    <xf numFmtId="49" fontId="6" fillId="5" borderId="10" xfId="1" applyNumberFormat="1" applyFont="1" applyFill="1" applyBorder="1" applyAlignment="1">
      <alignment horizontal="left" vertical="center" wrapText="1"/>
    </xf>
    <xf numFmtId="49" fontId="6" fillId="5" borderId="11" xfId="1" applyNumberFormat="1" applyFont="1" applyFill="1" applyBorder="1" applyAlignment="1">
      <alignment horizontal="left" vertical="center" wrapText="1"/>
    </xf>
    <xf numFmtId="49" fontId="6" fillId="5" borderId="9" xfId="0" applyNumberFormat="1" applyFont="1" applyFill="1" applyBorder="1" applyAlignment="1">
      <alignment vertical="center" wrapText="1"/>
    </xf>
    <xf numFmtId="49" fontId="6" fillId="5" borderId="10" xfId="0" applyNumberFormat="1" applyFont="1" applyFill="1" applyBorder="1" applyAlignment="1">
      <alignment vertical="center" wrapText="1"/>
    </xf>
    <xf numFmtId="49" fontId="6" fillId="5" borderId="11" xfId="0" applyNumberFormat="1" applyFont="1" applyFill="1" applyBorder="1" applyAlignment="1">
      <alignment vertical="center" wrapText="1"/>
    </xf>
    <xf numFmtId="49" fontId="6" fillId="5" borderId="4" xfId="1" applyNumberFormat="1" applyFont="1" applyFill="1" applyBorder="1" applyAlignment="1">
      <alignment vertical="center"/>
    </xf>
    <xf numFmtId="49" fontId="6" fillId="5" borderId="1" xfId="1" applyNumberFormat="1" applyFont="1" applyFill="1" applyBorder="1" applyAlignment="1">
      <alignment vertical="center"/>
    </xf>
    <xf numFmtId="49" fontId="6" fillId="5" borderId="5" xfId="1" applyNumberFormat="1" applyFont="1" applyFill="1" applyBorder="1" applyAlignment="1">
      <alignment vertical="center"/>
    </xf>
    <xf numFmtId="49" fontId="6" fillId="5" borderId="4" xfId="1" applyNumberFormat="1" applyFont="1" applyFill="1" applyBorder="1" applyAlignment="1">
      <alignment horizontal="left" vertical="center" wrapText="1"/>
    </xf>
    <xf numFmtId="49" fontId="6" fillId="5" borderId="1" xfId="1" applyNumberFormat="1" applyFont="1" applyFill="1" applyBorder="1" applyAlignment="1">
      <alignment horizontal="left" vertical="center" wrapText="1"/>
    </xf>
    <xf numFmtId="49" fontId="6" fillId="5" borderId="5" xfId="1" applyNumberFormat="1" applyFont="1" applyFill="1" applyBorder="1" applyAlignment="1">
      <alignment horizontal="left" vertical="center" wrapText="1"/>
    </xf>
    <xf numFmtId="49" fontId="6" fillId="5" borderId="4" xfId="1" applyNumberFormat="1" applyFont="1" applyFill="1" applyBorder="1"/>
    <xf numFmtId="49" fontId="6" fillId="5" borderId="1" xfId="1" applyNumberFormat="1" applyFont="1" applyFill="1" applyBorder="1"/>
    <xf numFmtId="49" fontId="6" fillId="5" borderId="5" xfId="1" applyNumberFormat="1" applyFont="1" applyFill="1" applyBorder="1"/>
    <xf numFmtId="49" fontId="6" fillId="5" borderId="6" xfId="1" applyNumberFormat="1" applyFont="1" applyFill="1" applyBorder="1" applyAlignment="1">
      <alignment vertical="center"/>
    </xf>
    <xf numFmtId="49" fontId="6" fillId="5" borderId="7" xfId="1" applyNumberFormat="1" applyFont="1" applyFill="1" applyBorder="1" applyAlignment="1">
      <alignment vertical="center"/>
    </xf>
    <xf numFmtId="49" fontId="6" fillId="5" borderId="8" xfId="1" applyNumberFormat="1" applyFont="1" applyFill="1" applyBorder="1" applyAlignment="1">
      <alignment vertical="center"/>
    </xf>
    <xf numFmtId="49" fontId="6" fillId="5" borderId="6" xfId="1" applyNumberFormat="1" applyFont="1" applyFill="1" applyBorder="1"/>
    <xf numFmtId="49" fontId="6" fillId="5" borderId="7" xfId="1" applyNumberFormat="1" applyFont="1" applyFill="1" applyBorder="1"/>
    <xf numFmtId="49" fontId="6" fillId="5" borderId="8" xfId="1" applyNumberFormat="1" applyFont="1" applyFill="1" applyBorder="1"/>
    <xf numFmtId="38" fontId="30" fillId="5" borderId="10" xfId="7" applyFont="1" applyFill="1" applyBorder="1" applyAlignment="1">
      <alignment horizontal="right" vertical="center"/>
    </xf>
    <xf numFmtId="49" fontId="6" fillId="0" borderId="31" xfId="0" applyNumberFormat="1" applyFont="1" applyBorder="1" applyAlignment="1">
      <alignment horizontal="center" vertical="center"/>
    </xf>
    <xf numFmtId="0" fontId="6" fillId="0" borderId="6"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49" fontId="6" fillId="0" borderId="6" xfId="1" applyNumberFormat="1" applyFont="1" applyBorder="1" applyAlignment="1">
      <alignment vertical="center"/>
    </xf>
    <xf numFmtId="49" fontId="6" fillId="0" borderId="7" xfId="1" applyNumberFormat="1" applyFont="1" applyBorder="1" applyAlignment="1">
      <alignment vertical="center"/>
    </xf>
    <xf numFmtId="49" fontId="6" fillId="0" borderId="8" xfId="1" applyNumberFormat="1" applyFont="1" applyBorder="1" applyAlignment="1">
      <alignment vertical="center"/>
    </xf>
    <xf numFmtId="49" fontId="6" fillId="0" borderId="6" xfId="1" applyNumberFormat="1" applyFont="1" applyBorder="1" applyAlignment="1">
      <alignment horizontal="center" vertical="center"/>
    </xf>
    <xf numFmtId="49" fontId="6" fillId="0" borderId="7" xfId="1" applyNumberFormat="1" applyFont="1" applyBorder="1" applyAlignment="1">
      <alignment horizontal="center" vertical="center"/>
    </xf>
    <xf numFmtId="49" fontId="6" fillId="0" borderId="46" xfId="1" applyNumberFormat="1" applyFont="1" applyBorder="1" applyAlignment="1">
      <alignment horizontal="center" vertical="center"/>
    </xf>
    <xf numFmtId="49" fontId="6" fillId="0" borderId="15" xfId="1" applyNumberFormat="1" applyFont="1" applyBorder="1" applyAlignment="1">
      <alignment horizontal="center" vertical="center"/>
    </xf>
    <xf numFmtId="49" fontId="6" fillId="0" borderId="21" xfId="1" applyNumberFormat="1" applyFont="1" applyBorder="1" applyAlignment="1">
      <alignment horizontal="center" vertical="center"/>
    </xf>
    <xf numFmtId="49" fontId="6" fillId="0" borderId="16" xfId="1" applyNumberFormat="1" applyFont="1" applyBorder="1" applyAlignment="1">
      <alignment horizontal="center" vertical="center"/>
    </xf>
    <xf numFmtId="49" fontId="6" fillId="0" borderId="15" xfId="1" applyNumberFormat="1" applyFont="1" applyBorder="1" applyAlignment="1">
      <alignment horizontal="left" vertical="center"/>
    </xf>
    <xf numFmtId="49" fontId="6" fillId="0" borderId="21" xfId="1" applyNumberFormat="1" applyFont="1" applyBorder="1" applyAlignment="1">
      <alignment horizontal="left" vertical="center"/>
    </xf>
    <xf numFmtId="49" fontId="6" fillId="0" borderId="16" xfId="1" applyNumberFormat="1" applyFont="1" applyBorder="1" applyAlignment="1">
      <alignment horizontal="left" vertical="center"/>
    </xf>
    <xf numFmtId="49" fontId="6" fillId="0" borderId="33" xfId="0" applyNumberFormat="1" applyFont="1" applyBorder="1" applyAlignment="1">
      <alignment horizontal="center" vertical="center"/>
    </xf>
    <xf numFmtId="49" fontId="25" fillId="0" borderId="19" xfId="0" applyNumberFormat="1" applyFont="1" applyBorder="1" applyAlignment="1">
      <alignment horizontal="left" vertical="center" wrapText="1"/>
    </xf>
    <xf numFmtId="49" fontId="25" fillId="0" borderId="23" xfId="0" applyNumberFormat="1" applyFont="1" applyBorder="1" applyAlignment="1">
      <alignment horizontal="left" vertical="center" wrapText="1"/>
    </xf>
    <xf numFmtId="49" fontId="25" fillId="0" borderId="20" xfId="0" applyNumberFormat="1" applyFont="1" applyBorder="1" applyAlignment="1">
      <alignment horizontal="left" vertical="center" wrapText="1"/>
    </xf>
    <xf numFmtId="0" fontId="6" fillId="0" borderId="22" xfId="0" applyFont="1" applyBorder="1" applyAlignment="1">
      <alignment horizontal="left" vertical="center"/>
    </xf>
    <xf numFmtId="0" fontId="6" fillId="0" borderId="18" xfId="0" applyFont="1" applyBorder="1" applyAlignment="1">
      <alignment horizontal="left" vertical="center"/>
    </xf>
    <xf numFmtId="0" fontId="6" fillId="0" borderId="0" xfId="0" applyFont="1" applyAlignment="1">
      <alignment horizontal="center" vertical="center"/>
    </xf>
    <xf numFmtId="49" fontId="4" fillId="0" borderId="17" xfId="0" applyNumberFormat="1" applyFont="1" applyBorder="1" applyAlignment="1">
      <alignment horizontal="center" vertical="center" wrapText="1"/>
    </xf>
    <xf numFmtId="49" fontId="4" fillId="0" borderId="22" xfId="0" applyNumberFormat="1" applyFont="1" applyBorder="1" applyAlignment="1">
      <alignment horizontal="center" vertical="center" wrapText="1"/>
    </xf>
    <xf numFmtId="49" fontId="4" fillId="0" borderId="18" xfId="0" applyNumberFormat="1" applyFont="1" applyBorder="1" applyAlignment="1">
      <alignment horizontal="center" vertical="center" wrapText="1"/>
    </xf>
    <xf numFmtId="0" fontId="6" fillId="0" borderId="17" xfId="0" quotePrefix="1" applyFont="1" applyBorder="1" applyAlignment="1">
      <alignment horizontal="center" vertical="center"/>
    </xf>
    <xf numFmtId="49" fontId="6" fillId="0" borderId="43" xfId="0" applyNumberFormat="1" applyFont="1" applyBorder="1" applyAlignment="1">
      <alignment horizontal="center" vertical="center"/>
    </xf>
    <xf numFmtId="49" fontId="6" fillId="0" borderId="44" xfId="0" applyNumberFormat="1" applyFont="1" applyBorder="1" applyAlignment="1">
      <alignment horizontal="center" vertical="center"/>
    </xf>
    <xf numFmtId="49" fontId="6" fillId="0" borderId="38" xfId="0" applyNumberFormat="1" applyFont="1" applyBorder="1" applyAlignment="1">
      <alignment horizontal="center" vertical="center"/>
    </xf>
    <xf numFmtId="49" fontId="6" fillId="5" borderId="6" xfId="1" applyNumberFormat="1" applyFont="1" applyFill="1" applyBorder="1" applyAlignment="1">
      <alignment horizontal="left" vertical="center" wrapText="1"/>
    </xf>
    <xf numFmtId="49" fontId="6" fillId="5" borderId="9" xfId="1" applyNumberFormat="1" applyFont="1" applyFill="1" applyBorder="1" applyAlignment="1">
      <alignment wrapText="1"/>
    </xf>
    <xf numFmtId="49" fontId="6" fillId="5" borderId="10" xfId="1" applyNumberFormat="1" applyFont="1" applyFill="1" applyBorder="1" applyAlignment="1">
      <alignment wrapText="1"/>
    </xf>
    <xf numFmtId="49" fontId="6" fillId="5" borderId="11" xfId="1" applyNumberFormat="1" applyFont="1" applyFill="1" applyBorder="1" applyAlignment="1">
      <alignment wrapText="1"/>
    </xf>
    <xf numFmtId="49" fontId="30" fillId="9" borderId="6" xfId="5" applyNumberFormat="1" applyFont="1" applyFill="1" applyBorder="1" applyAlignment="1">
      <alignment horizontal="center" vertical="center"/>
    </xf>
    <xf numFmtId="49" fontId="30" fillId="9" borderId="7" xfId="5" applyNumberFormat="1" applyFont="1" applyFill="1" applyBorder="1" applyAlignment="1">
      <alignment horizontal="center" vertical="center"/>
    </xf>
    <xf numFmtId="49" fontId="30" fillId="9" borderId="8" xfId="5" applyNumberFormat="1" applyFont="1" applyFill="1" applyBorder="1" applyAlignment="1">
      <alignment horizontal="center" vertical="center"/>
    </xf>
    <xf numFmtId="49" fontId="30" fillId="9" borderId="4" xfId="5" applyNumberFormat="1" applyFont="1" applyFill="1" applyBorder="1" applyAlignment="1">
      <alignment horizontal="center" vertical="center"/>
    </xf>
    <xf numFmtId="49" fontId="30" fillId="9" borderId="1" xfId="5" applyNumberFormat="1" applyFont="1" applyFill="1" applyBorder="1" applyAlignment="1">
      <alignment horizontal="center" vertical="center"/>
    </xf>
    <xf numFmtId="49" fontId="30" fillId="9" borderId="5" xfId="5" applyNumberFormat="1" applyFont="1" applyFill="1" applyBorder="1" applyAlignment="1">
      <alignment horizontal="center" vertical="center"/>
    </xf>
    <xf numFmtId="49" fontId="30" fillId="5" borderId="9" xfId="5" applyNumberFormat="1" applyFont="1" applyFill="1" applyBorder="1" applyAlignment="1">
      <alignment horizontal="center" vertical="center"/>
    </xf>
    <xf numFmtId="49" fontId="30" fillId="5" borderId="10" xfId="5" applyNumberFormat="1" applyFont="1" applyFill="1" applyBorder="1" applyAlignment="1">
      <alignment horizontal="center" vertical="center"/>
    </xf>
    <xf numFmtId="49" fontId="30" fillId="5" borderId="11" xfId="5" applyNumberFormat="1" applyFont="1" applyFill="1" applyBorder="1" applyAlignment="1">
      <alignment horizontal="center" vertical="center"/>
    </xf>
    <xf numFmtId="49" fontId="25" fillId="0" borderId="17" xfId="0" quotePrefix="1" applyNumberFormat="1" applyFont="1" applyBorder="1" applyAlignment="1">
      <alignment horizontal="left" vertical="center" wrapText="1"/>
    </xf>
    <xf numFmtId="49" fontId="25" fillId="0" borderId="22" xfId="0" quotePrefix="1" applyNumberFormat="1" applyFont="1" applyBorder="1" applyAlignment="1">
      <alignment horizontal="left" vertical="center"/>
    </xf>
    <xf numFmtId="49" fontId="25" fillId="0" borderId="18" xfId="0" quotePrefix="1" applyNumberFormat="1" applyFont="1" applyBorder="1" applyAlignment="1">
      <alignment horizontal="left" vertical="center"/>
    </xf>
    <xf numFmtId="0" fontId="25" fillId="0" borderId="17" xfId="0" applyFont="1" applyBorder="1" applyAlignment="1">
      <alignment horizontal="center" vertical="center"/>
    </xf>
    <xf numFmtId="0" fontId="25" fillId="0" borderId="22" xfId="0" applyFont="1" applyBorder="1" applyAlignment="1">
      <alignment horizontal="center" vertical="center"/>
    </xf>
    <xf numFmtId="0" fontId="25" fillId="0" borderId="18" xfId="0" applyFont="1" applyBorder="1" applyAlignment="1">
      <alignment horizontal="center" vertical="center"/>
    </xf>
    <xf numFmtId="49" fontId="25" fillId="0" borderId="17" xfId="0" applyNumberFormat="1" applyFont="1" applyBorder="1" applyAlignment="1">
      <alignment horizontal="left" vertical="center"/>
    </xf>
    <xf numFmtId="49" fontId="25" fillId="0" borderId="22" xfId="0" applyNumberFormat="1" applyFont="1" applyBorder="1" applyAlignment="1">
      <alignment horizontal="left" vertical="center"/>
    </xf>
    <xf numFmtId="49" fontId="25" fillId="0" borderId="18" xfId="0" applyNumberFormat="1" applyFont="1" applyBorder="1" applyAlignment="1">
      <alignment horizontal="left" vertical="center"/>
    </xf>
    <xf numFmtId="49" fontId="25" fillId="0" borderId="17" xfId="0" applyNumberFormat="1" applyFont="1" applyBorder="1" applyAlignment="1">
      <alignment vertical="center"/>
    </xf>
    <xf numFmtId="49" fontId="25" fillId="0" borderId="22" xfId="0" applyNumberFormat="1" applyFont="1" applyBorder="1" applyAlignment="1">
      <alignment vertical="center"/>
    </xf>
    <xf numFmtId="49" fontId="25" fillId="0" borderId="18" xfId="0" applyNumberFormat="1" applyFont="1" applyBorder="1" applyAlignment="1">
      <alignment vertical="center"/>
    </xf>
    <xf numFmtId="49" fontId="25" fillId="0" borderId="17" xfId="0" applyNumberFormat="1" applyFont="1" applyBorder="1" applyAlignment="1">
      <alignment horizontal="left" vertical="center" wrapText="1"/>
    </xf>
    <xf numFmtId="49" fontId="25" fillId="0" borderId="22" xfId="0" applyNumberFormat="1" applyFont="1" applyBorder="1" applyAlignment="1">
      <alignment horizontal="left" vertical="center" wrapText="1"/>
    </xf>
    <xf numFmtId="49" fontId="25" fillId="0" borderId="18" xfId="0" applyNumberFormat="1" applyFont="1" applyBorder="1" applyAlignment="1">
      <alignment horizontal="left" vertical="center" wrapText="1"/>
    </xf>
    <xf numFmtId="49" fontId="6" fillId="0" borderId="9" xfId="1" applyNumberFormat="1" applyFont="1" applyBorder="1" applyAlignment="1">
      <alignment horizontal="left" vertical="center"/>
    </xf>
    <xf numFmtId="0" fontId="6" fillId="0" borderId="10" xfId="1" applyFont="1" applyBorder="1" applyAlignment="1">
      <alignment horizontal="left" vertical="center"/>
    </xf>
    <xf numFmtId="0" fontId="6" fillId="0" borderId="11" xfId="1" applyFont="1" applyBorder="1" applyAlignment="1">
      <alignment horizontal="left" vertical="center"/>
    </xf>
    <xf numFmtId="49" fontId="6" fillId="0" borderId="9" xfId="1" quotePrefix="1" applyNumberFormat="1" applyFont="1" applyBorder="1" applyAlignment="1">
      <alignment horizontal="center" vertical="center"/>
    </xf>
    <xf numFmtId="49" fontId="6" fillId="0" borderId="10" xfId="1" quotePrefix="1" applyNumberFormat="1" applyFont="1" applyBorder="1" applyAlignment="1">
      <alignment horizontal="center" vertical="center"/>
    </xf>
    <xf numFmtId="49" fontId="6" fillId="0" borderId="11" xfId="1" quotePrefix="1" applyNumberFormat="1" applyFont="1" applyBorder="1" applyAlignment="1">
      <alignment horizontal="center" vertical="center"/>
    </xf>
  </cellXfs>
  <cellStyles count="9">
    <cellStyle name="ハイパーリンク" xfId="8" builtinId="8"/>
    <cellStyle name="桁区切り 2" xfId="7" xr:uid="{87DE1979-703B-44C0-996E-08A5BD08EB6E}"/>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color rgb="FF404040"/>
      <color rgb="FFC8E8B2"/>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32</xdr:col>
      <xdr:colOff>111276</xdr:colOff>
      <xdr:row>30</xdr:row>
      <xdr:rowOff>28123</xdr:rowOff>
    </xdr:from>
    <xdr:to>
      <xdr:col>43</xdr:col>
      <xdr:colOff>16934</xdr:colOff>
      <xdr:row>30</xdr:row>
      <xdr:rowOff>28123</xdr:rowOff>
    </xdr:to>
    <xdr:cxnSp macro="">
      <xdr:nvCxnSpPr>
        <xdr:cNvPr id="7" name="直線矢印コネクタ 11">
          <a:extLst>
            <a:ext uri="{FF2B5EF4-FFF2-40B4-BE49-F238E27FC236}">
              <a16:creationId xmlns:a16="http://schemas.microsoft.com/office/drawing/2014/main" id="{104C8452-5298-4156-8B09-8D252FA4EBEB}"/>
            </a:ext>
          </a:extLst>
        </xdr:cNvPr>
        <xdr:cNvCxnSpPr/>
      </xdr:nvCxnSpPr>
      <xdr:spPr bwMode="auto">
        <a:xfrm>
          <a:off x="4717143" y="7368723"/>
          <a:ext cx="14889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8039</xdr:colOff>
      <xdr:row>31</xdr:row>
      <xdr:rowOff>199723</xdr:rowOff>
    </xdr:from>
    <xdr:to>
      <xdr:col>28</xdr:col>
      <xdr:colOff>8039</xdr:colOff>
      <xdr:row>33</xdr:row>
      <xdr:rowOff>236660</xdr:rowOff>
    </xdr:to>
    <xdr:cxnSp macro="">
      <xdr:nvCxnSpPr>
        <xdr:cNvPr id="28" name="直線矢印コネクタ 27">
          <a:extLst>
            <a:ext uri="{FF2B5EF4-FFF2-40B4-BE49-F238E27FC236}">
              <a16:creationId xmlns:a16="http://schemas.microsoft.com/office/drawing/2014/main" id="{EC3C3CB9-FBD1-35E8-777D-6EF23F0B09C0}"/>
            </a:ext>
          </a:extLst>
        </xdr:cNvPr>
        <xdr:cNvCxnSpPr/>
      </xdr:nvCxnSpPr>
      <xdr:spPr bwMode="auto">
        <a:xfrm flipH="1" flipV="1">
          <a:off x="4156706" y="7819723"/>
          <a:ext cx="0" cy="5449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10583</xdr:colOff>
      <xdr:row>28</xdr:row>
      <xdr:rowOff>243416</xdr:rowOff>
    </xdr:from>
    <xdr:to>
      <xdr:col>31</xdr:col>
      <xdr:colOff>148167</xdr:colOff>
      <xdr:row>31</xdr:row>
      <xdr:rowOff>222249</xdr:rowOff>
    </xdr:to>
    <xdr:sp macro="" textlink="">
      <xdr:nvSpPr>
        <xdr:cNvPr id="15" name="AutoShape 126">
          <a:extLst>
            <a:ext uri="{FF2B5EF4-FFF2-40B4-BE49-F238E27FC236}">
              <a16:creationId xmlns:a16="http://schemas.microsoft.com/office/drawing/2014/main" id="{B6FC01A6-9032-43FC-AB5B-363E00B435DC}"/>
            </a:ext>
          </a:extLst>
        </xdr:cNvPr>
        <xdr:cNvSpPr>
          <a:spLocks noChangeArrowheads="1"/>
        </xdr:cNvSpPr>
      </xdr:nvSpPr>
      <xdr:spPr bwMode="auto">
        <a:xfrm>
          <a:off x="2074333" y="7101416"/>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滞留立替金利経理計上</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一覧表示</a:t>
          </a:r>
        </a:p>
      </xdr:txBody>
    </xdr:sp>
    <xdr:clientData/>
  </xdr:twoCellAnchor>
  <xdr:twoCellAnchor>
    <xdr:from>
      <xdr:col>62</xdr:col>
      <xdr:colOff>56107</xdr:colOff>
      <xdr:row>29</xdr:row>
      <xdr:rowOff>5104</xdr:rowOff>
    </xdr:from>
    <xdr:to>
      <xdr:col>73</xdr:col>
      <xdr:colOff>38116</xdr:colOff>
      <xdr:row>31</xdr:row>
      <xdr:rowOff>248022</xdr:rowOff>
    </xdr:to>
    <xdr:sp macro="" textlink="">
      <xdr:nvSpPr>
        <xdr:cNvPr id="25" name="AutoShape 126">
          <a:extLst>
            <a:ext uri="{FF2B5EF4-FFF2-40B4-BE49-F238E27FC236}">
              <a16:creationId xmlns:a16="http://schemas.microsoft.com/office/drawing/2014/main" id="{CD948259-A5A2-47B6-A378-38CE6AB4B37B}"/>
            </a:ext>
          </a:extLst>
        </xdr:cNvPr>
        <xdr:cNvSpPr>
          <a:spLocks noChangeArrowheads="1"/>
        </xdr:cNvSpPr>
      </xdr:nvSpPr>
      <xdr:spPr bwMode="auto">
        <a:xfrm>
          <a:off x="9088048" y="7154457"/>
          <a:ext cx="1584450" cy="75838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滞留立替金利経理計上</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p>
      </xdr:txBody>
    </xdr:sp>
    <xdr:clientData/>
  </xdr:twoCellAnchor>
  <xdr:twoCellAnchor>
    <xdr:from>
      <xdr:col>20</xdr:col>
      <xdr:colOff>63501</xdr:colOff>
      <xdr:row>17</xdr:row>
      <xdr:rowOff>148168</xdr:rowOff>
    </xdr:from>
    <xdr:to>
      <xdr:col>31</xdr:col>
      <xdr:colOff>42335</xdr:colOff>
      <xdr:row>20</xdr:row>
      <xdr:rowOff>127001</xdr:rowOff>
    </xdr:to>
    <xdr:sp macro="" textlink="">
      <xdr:nvSpPr>
        <xdr:cNvPr id="5" name="AutoShape 126">
          <a:extLst>
            <a:ext uri="{FF2B5EF4-FFF2-40B4-BE49-F238E27FC236}">
              <a16:creationId xmlns:a16="http://schemas.microsoft.com/office/drawing/2014/main" id="{92452842-A84D-437F-BEAF-8F4391F3FC9C}"/>
            </a:ext>
          </a:extLst>
        </xdr:cNvPr>
        <xdr:cNvSpPr>
          <a:spLocks noChangeArrowheads="1"/>
        </xdr:cNvSpPr>
      </xdr:nvSpPr>
      <xdr:spPr bwMode="auto">
        <a:xfrm>
          <a:off x="1968501" y="4212168"/>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23</xdr:col>
      <xdr:colOff>127000</xdr:colOff>
      <xdr:row>20</xdr:row>
      <xdr:rowOff>137583</xdr:rowOff>
    </xdr:from>
    <xdr:to>
      <xdr:col>23</xdr:col>
      <xdr:colOff>127000</xdr:colOff>
      <xdr:row>28</xdr:row>
      <xdr:rowOff>232833</xdr:rowOff>
    </xdr:to>
    <xdr:cxnSp macro="">
      <xdr:nvCxnSpPr>
        <xdr:cNvPr id="8" name="直線矢印コネクタ 7">
          <a:extLst>
            <a:ext uri="{FF2B5EF4-FFF2-40B4-BE49-F238E27FC236}">
              <a16:creationId xmlns:a16="http://schemas.microsoft.com/office/drawing/2014/main" id="{39A65D1B-6D01-D7E6-C11D-D019A9324E2B}"/>
            </a:ext>
          </a:extLst>
        </xdr:cNvPr>
        <xdr:cNvCxnSpPr/>
      </xdr:nvCxnSpPr>
      <xdr:spPr bwMode="auto">
        <a:xfrm flipV="1">
          <a:off x="3851275" y="4966758"/>
          <a:ext cx="0" cy="2152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148167</xdr:colOff>
      <xdr:row>20</xdr:row>
      <xdr:rowOff>137583</xdr:rowOff>
    </xdr:from>
    <xdr:to>
      <xdr:col>24</xdr:col>
      <xdr:colOff>158749</xdr:colOff>
      <xdr:row>28</xdr:row>
      <xdr:rowOff>226482</xdr:rowOff>
    </xdr:to>
    <xdr:cxnSp macro="">
      <xdr:nvCxnSpPr>
        <xdr:cNvPr id="14" name="直線矢印コネクタ 13">
          <a:extLst>
            <a:ext uri="{FF2B5EF4-FFF2-40B4-BE49-F238E27FC236}">
              <a16:creationId xmlns:a16="http://schemas.microsoft.com/office/drawing/2014/main" id="{0BB500F1-CCF7-4CC3-B80F-CE5E0F70F3D5}"/>
            </a:ext>
          </a:extLst>
        </xdr:cNvPr>
        <xdr:cNvCxnSpPr/>
      </xdr:nvCxnSpPr>
      <xdr:spPr bwMode="auto">
        <a:xfrm>
          <a:off x="2688167" y="4963583"/>
          <a:ext cx="10582" cy="21208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xdr:colOff>
      <xdr:row>31</xdr:row>
      <xdr:rowOff>221004</xdr:rowOff>
    </xdr:from>
    <xdr:to>
      <xdr:col>68</xdr:col>
      <xdr:colOff>1</xdr:colOff>
      <xdr:row>33</xdr:row>
      <xdr:rowOff>238532</xdr:rowOff>
    </xdr:to>
    <xdr:cxnSp macro="">
      <xdr:nvCxnSpPr>
        <xdr:cNvPr id="52" name="直線矢印コネクタ 51">
          <a:extLst>
            <a:ext uri="{FF2B5EF4-FFF2-40B4-BE49-F238E27FC236}">
              <a16:creationId xmlns:a16="http://schemas.microsoft.com/office/drawing/2014/main" id="{0B4D988D-BC01-4835-AE11-63E7D7851475}"/>
            </a:ext>
          </a:extLst>
        </xdr:cNvPr>
        <xdr:cNvCxnSpPr/>
      </xdr:nvCxnSpPr>
      <xdr:spPr bwMode="auto">
        <a:xfrm flipV="1">
          <a:off x="10075334" y="7841004"/>
          <a:ext cx="0" cy="52552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141654</xdr:colOff>
      <xdr:row>34</xdr:row>
      <xdr:rowOff>0</xdr:rowOff>
    </xdr:from>
    <xdr:to>
      <xdr:col>67</xdr:col>
      <xdr:colOff>136769</xdr:colOff>
      <xdr:row>34</xdr:row>
      <xdr:rowOff>4885</xdr:rowOff>
    </xdr:to>
    <xdr:cxnSp macro="">
      <xdr:nvCxnSpPr>
        <xdr:cNvPr id="54" name="直線コネクタ 53">
          <a:extLst>
            <a:ext uri="{FF2B5EF4-FFF2-40B4-BE49-F238E27FC236}">
              <a16:creationId xmlns:a16="http://schemas.microsoft.com/office/drawing/2014/main" id="{32C3168E-BAB6-27EB-9358-6CB5EB986764}"/>
            </a:ext>
          </a:extLst>
        </xdr:cNvPr>
        <xdr:cNvCxnSpPr/>
      </xdr:nvCxnSpPr>
      <xdr:spPr bwMode="auto">
        <a:xfrm flipV="1">
          <a:off x="4098192" y="8352692"/>
          <a:ext cx="5856654" cy="488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7781</xdr:colOff>
      <xdr:row>24</xdr:row>
      <xdr:rowOff>45508</xdr:rowOff>
    </xdr:from>
    <xdr:to>
      <xdr:col>28</xdr:col>
      <xdr:colOff>7781</xdr:colOff>
      <xdr:row>28</xdr:row>
      <xdr:rowOff>239183</xdr:rowOff>
    </xdr:to>
    <xdr:cxnSp macro="">
      <xdr:nvCxnSpPr>
        <xdr:cNvPr id="21" name="直線矢印コネクタ 1">
          <a:extLst>
            <a:ext uri="{FF2B5EF4-FFF2-40B4-BE49-F238E27FC236}">
              <a16:creationId xmlns:a16="http://schemas.microsoft.com/office/drawing/2014/main" id="{B1A3FD0D-1670-4906-9036-24BE200FE0B1}"/>
            </a:ext>
          </a:extLst>
        </xdr:cNvPr>
        <xdr:cNvCxnSpPr/>
      </xdr:nvCxnSpPr>
      <xdr:spPr bwMode="auto">
        <a:xfrm>
          <a:off x="4086722" y="5906184"/>
          <a:ext cx="0" cy="12246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8212</xdr:colOff>
      <xdr:row>24</xdr:row>
      <xdr:rowOff>45508</xdr:rowOff>
    </xdr:from>
    <xdr:to>
      <xdr:col>29</xdr:col>
      <xdr:colOff>8212</xdr:colOff>
      <xdr:row>28</xdr:row>
      <xdr:rowOff>245533</xdr:rowOff>
    </xdr:to>
    <xdr:cxnSp macro="">
      <xdr:nvCxnSpPr>
        <xdr:cNvPr id="16" name="直線コネクタ 47">
          <a:extLst>
            <a:ext uri="{FF2B5EF4-FFF2-40B4-BE49-F238E27FC236}">
              <a16:creationId xmlns:a16="http://schemas.microsoft.com/office/drawing/2014/main" id="{DBF0D324-51EC-407C-B80A-73C40F1A723B}"/>
            </a:ext>
          </a:extLst>
        </xdr:cNvPr>
        <xdr:cNvCxnSpPr/>
      </xdr:nvCxnSpPr>
      <xdr:spPr bwMode="auto">
        <a:xfrm flipH="1">
          <a:off x="4232830" y="5906184"/>
          <a:ext cx="0" cy="123096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7781</xdr:colOff>
      <xdr:row>24</xdr:row>
      <xdr:rowOff>45508</xdr:rowOff>
    </xdr:from>
    <xdr:to>
      <xdr:col>29</xdr:col>
      <xdr:colOff>17306</xdr:colOff>
      <xdr:row>24</xdr:row>
      <xdr:rowOff>45508</xdr:rowOff>
    </xdr:to>
    <xdr:cxnSp macro="">
      <xdr:nvCxnSpPr>
        <xdr:cNvPr id="17" name="直線コネクタ 5">
          <a:extLst>
            <a:ext uri="{FF2B5EF4-FFF2-40B4-BE49-F238E27FC236}">
              <a16:creationId xmlns:a16="http://schemas.microsoft.com/office/drawing/2014/main" id="{E7189A61-2BE8-49CA-B2C4-8E62218A91EC}"/>
            </a:ext>
          </a:extLst>
        </xdr:cNvPr>
        <xdr:cNvCxnSpPr/>
      </xdr:nvCxnSpPr>
      <xdr:spPr bwMode="auto">
        <a:xfrm>
          <a:off x="4086722" y="5906184"/>
          <a:ext cx="155202"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42334</xdr:colOff>
      <xdr:row>28</xdr:row>
      <xdr:rowOff>237065</xdr:rowOff>
    </xdr:from>
    <xdr:to>
      <xdr:col>12</xdr:col>
      <xdr:colOff>35984</xdr:colOff>
      <xdr:row>31</xdr:row>
      <xdr:rowOff>215898</xdr:rowOff>
    </xdr:to>
    <xdr:sp macro="" textlink="">
      <xdr:nvSpPr>
        <xdr:cNvPr id="2" name="AutoShape 126">
          <a:extLst>
            <a:ext uri="{FF2B5EF4-FFF2-40B4-BE49-F238E27FC236}">
              <a16:creationId xmlns:a16="http://schemas.microsoft.com/office/drawing/2014/main" id="{EAC7656E-A986-49D8-9A5A-D9A8909242F7}"/>
            </a:ext>
          </a:extLst>
        </xdr:cNvPr>
        <xdr:cNvSpPr>
          <a:spLocks noChangeArrowheads="1"/>
        </xdr:cNvSpPr>
      </xdr:nvSpPr>
      <xdr:spPr bwMode="auto">
        <a:xfrm>
          <a:off x="186267" y="7069665"/>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13</xdr:col>
      <xdr:colOff>44976</xdr:colOff>
      <xdr:row>28</xdr:row>
      <xdr:rowOff>220132</xdr:rowOff>
    </xdr:from>
    <xdr:to>
      <xdr:col>20</xdr:col>
      <xdr:colOff>37764</xdr:colOff>
      <xdr:row>30</xdr:row>
      <xdr:rowOff>169068</xdr:rowOff>
    </xdr:to>
    <xdr:sp macro="" textlink="">
      <xdr:nvSpPr>
        <xdr:cNvPr id="3" name="テキスト ボックス 2">
          <a:extLst>
            <a:ext uri="{FF2B5EF4-FFF2-40B4-BE49-F238E27FC236}">
              <a16:creationId xmlns:a16="http://schemas.microsoft.com/office/drawing/2014/main" id="{6D725F8D-55DF-4393-8BFE-807584F383AF}"/>
            </a:ext>
          </a:extLst>
        </xdr:cNvPr>
        <xdr:cNvSpPr txBox="1"/>
      </xdr:nvSpPr>
      <xdr:spPr>
        <a:xfrm>
          <a:off x="1916109" y="7052732"/>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12</xdr:col>
      <xdr:colOff>84666</xdr:colOff>
      <xdr:row>30</xdr:row>
      <xdr:rowOff>17221</xdr:rowOff>
    </xdr:from>
    <xdr:to>
      <xdr:col>21</xdr:col>
      <xdr:colOff>18480</xdr:colOff>
      <xdr:row>30</xdr:row>
      <xdr:rowOff>17221</xdr:rowOff>
    </xdr:to>
    <xdr:cxnSp macro="">
      <xdr:nvCxnSpPr>
        <xdr:cNvPr id="6" name="直線矢印コネクタ 5">
          <a:extLst>
            <a:ext uri="{FF2B5EF4-FFF2-40B4-BE49-F238E27FC236}">
              <a16:creationId xmlns:a16="http://schemas.microsoft.com/office/drawing/2014/main" id="{59C91C53-C48B-4CA0-8030-986141910385}"/>
            </a:ext>
          </a:extLst>
        </xdr:cNvPr>
        <xdr:cNvCxnSpPr/>
      </xdr:nvCxnSpPr>
      <xdr:spPr bwMode="auto">
        <a:xfrm flipV="1">
          <a:off x="2027766" y="7418146"/>
          <a:ext cx="13911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88476</xdr:colOff>
      <xdr:row>30</xdr:row>
      <xdr:rowOff>162001</xdr:rowOff>
    </xdr:from>
    <xdr:to>
      <xdr:col>20</xdr:col>
      <xdr:colOff>93982</xdr:colOff>
      <xdr:row>30</xdr:row>
      <xdr:rowOff>162001</xdr:rowOff>
    </xdr:to>
    <xdr:sp macro="" textlink="">
      <xdr:nvSpPr>
        <xdr:cNvPr id="11" name="Line 71">
          <a:extLst>
            <a:ext uri="{FF2B5EF4-FFF2-40B4-BE49-F238E27FC236}">
              <a16:creationId xmlns:a16="http://schemas.microsoft.com/office/drawing/2014/main" id="{0E6C4277-3614-4078-B01C-DD7BA58D6041}"/>
            </a:ext>
          </a:extLst>
        </xdr:cNvPr>
        <xdr:cNvSpPr>
          <a:spLocks noChangeShapeType="1"/>
        </xdr:cNvSpPr>
      </xdr:nvSpPr>
      <xdr:spPr bwMode="auto">
        <a:xfrm flipH="1">
          <a:off x="2031576" y="7562926"/>
          <a:ext cx="130090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13</xdr:col>
      <xdr:colOff>5131</xdr:colOff>
      <xdr:row>30</xdr:row>
      <xdr:rowOff>226669</xdr:rowOff>
    </xdr:from>
    <xdr:ext cx="1107996" cy="384911"/>
    <xdr:sp macro="" textlink="">
      <xdr:nvSpPr>
        <xdr:cNvPr id="12" name="テキスト ボックス 11">
          <a:extLst>
            <a:ext uri="{FF2B5EF4-FFF2-40B4-BE49-F238E27FC236}">
              <a16:creationId xmlns:a16="http://schemas.microsoft.com/office/drawing/2014/main" id="{3F19B16B-0A21-42FA-AA1F-C24997DD068D}"/>
            </a:ext>
          </a:extLst>
        </xdr:cNvPr>
        <xdr:cNvSpPr txBox="1"/>
      </xdr:nvSpPr>
      <xdr:spPr>
        <a:xfrm>
          <a:off x="1876264" y="7567269"/>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43</xdr:col>
      <xdr:colOff>123265</xdr:colOff>
      <xdr:row>28</xdr:row>
      <xdr:rowOff>248211</xdr:rowOff>
    </xdr:from>
    <xdr:to>
      <xdr:col>54</xdr:col>
      <xdr:colOff>105648</xdr:colOff>
      <xdr:row>31</xdr:row>
      <xdr:rowOff>230219</xdr:rowOff>
    </xdr:to>
    <xdr:sp macro="" textlink="">
      <xdr:nvSpPr>
        <xdr:cNvPr id="4" name="AutoShape 126">
          <a:extLst>
            <a:ext uri="{FF2B5EF4-FFF2-40B4-BE49-F238E27FC236}">
              <a16:creationId xmlns:a16="http://schemas.microsoft.com/office/drawing/2014/main" id="{D899581C-15A4-4A9B-A3F8-350B95138DA0}"/>
            </a:ext>
          </a:extLst>
        </xdr:cNvPr>
        <xdr:cNvSpPr>
          <a:spLocks noChangeArrowheads="1"/>
        </xdr:cNvSpPr>
      </xdr:nvSpPr>
      <xdr:spPr bwMode="auto">
        <a:xfrm>
          <a:off x="6387353" y="7139829"/>
          <a:ext cx="1584824" cy="755214"/>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滞留立替金利経理計上　</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作成</a:t>
          </a:r>
        </a:p>
      </xdr:txBody>
    </xdr:sp>
    <xdr:clientData/>
  </xdr:twoCellAnchor>
  <xdr:twoCellAnchor>
    <xdr:from>
      <xdr:col>56</xdr:col>
      <xdr:colOff>0</xdr:colOff>
      <xdr:row>29</xdr:row>
      <xdr:rowOff>249766</xdr:rowOff>
    </xdr:from>
    <xdr:to>
      <xdr:col>61</xdr:col>
      <xdr:colOff>114300</xdr:colOff>
      <xdr:row>30</xdr:row>
      <xdr:rowOff>0</xdr:rowOff>
    </xdr:to>
    <xdr:cxnSp macro="">
      <xdr:nvCxnSpPr>
        <xdr:cNvPr id="34" name="直線矢印コネクタ 11">
          <a:extLst>
            <a:ext uri="{FF2B5EF4-FFF2-40B4-BE49-F238E27FC236}">
              <a16:creationId xmlns:a16="http://schemas.microsoft.com/office/drawing/2014/main" id="{77C3C553-D1F1-498D-B6A1-8A7847ADA9FA}"/>
            </a:ext>
          </a:extLst>
        </xdr:cNvPr>
        <xdr:cNvCxnSpPr/>
      </xdr:nvCxnSpPr>
      <xdr:spPr bwMode="auto">
        <a:xfrm flipV="1">
          <a:off x="8297333" y="7344833"/>
          <a:ext cx="855134" cy="42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21229</xdr:colOff>
      <xdr:row>32</xdr:row>
      <xdr:rowOff>64682</xdr:rowOff>
    </xdr:from>
    <xdr:to>
      <xdr:col>70</xdr:col>
      <xdr:colOff>13012</xdr:colOff>
      <xdr:row>35</xdr:row>
      <xdr:rowOff>35382</xdr:rowOff>
    </xdr:to>
    <xdr:grpSp>
      <xdr:nvGrpSpPr>
        <xdr:cNvPr id="9" name="グループ化 8">
          <a:extLst>
            <a:ext uri="{FF2B5EF4-FFF2-40B4-BE49-F238E27FC236}">
              <a16:creationId xmlns:a16="http://schemas.microsoft.com/office/drawing/2014/main" id="{6A6B8D3A-80E4-4BFA-ACB6-B583BFCD7CCE}"/>
            </a:ext>
          </a:extLst>
        </xdr:cNvPr>
        <xdr:cNvGrpSpPr/>
      </xdr:nvGrpSpPr>
      <xdr:grpSpPr>
        <a:xfrm>
          <a:off x="3735979" y="7983132"/>
          <a:ext cx="6275108" cy="739050"/>
          <a:chOff x="4438650" y="7019924"/>
          <a:chExt cx="7451726" cy="720000"/>
        </a:xfrm>
      </xdr:grpSpPr>
      <xdr:cxnSp macro="">
        <xdr:nvCxnSpPr>
          <xdr:cNvPr id="13" name="直線矢印コネクタ 12">
            <a:extLst>
              <a:ext uri="{FF2B5EF4-FFF2-40B4-BE49-F238E27FC236}">
                <a16:creationId xmlns:a16="http://schemas.microsoft.com/office/drawing/2014/main" id="{D931EC5D-E8F6-1B69-692A-5C4C81F123EF}"/>
              </a:ext>
            </a:extLst>
          </xdr:cNvPr>
          <xdr:cNvCxnSpPr/>
        </xdr:nvCxnSpPr>
        <xdr:spPr bwMode="auto">
          <a:xfrm flipV="1">
            <a:off x="4438650" y="7136342"/>
            <a:ext cx="0" cy="5961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9" name="直線コネクタ 47">
            <a:extLst>
              <a:ext uri="{FF2B5EF4-FFF2-40B4-BE49-F238E27FC236}">
                <a16:creationId xmlns:a16="http://schemas.microsoft.com/office/drawing/2014/main" id="{CDF4D141-91D2-770B-0A90-758568CEB803}"/>
              </a:ext>
            </a:extLst>
          </xdr:cNvPr>
          <xdr:cNvCxnSpPr/>
        </xdr:nvCxnSpPr>
        <xdr:spPr bwMode="auto">
          <a:xfrm>
            <a:off x="11890376" y="7019924"/>
            <a:ext cx="0" cy="720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 name="直線コネクタ 19">
            <a:extLst>
              <a:ext uri="{FF2B5EF4-FFF2-40B4-BE49-F238E27FC236}">
                <a16:creationId xmlns:a16="http://schemas.microsoft.com/office/drawing/2014/main" id="{CE2A19EB-4BCA-FDB7-4C56-44A76CD1F97C}"/>
              </a:ext>
            </a:extLst>
          </xdr:cNvPr>
          <xdr:cNvCxnSpPr/>
        </xdr:nvCxnSpPr>
        <xdr:spPr bwMode="auto">
          <a:xfrm>
            <a:off x="4438650" y="7734300"/>
            <a:ext cx="74485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33</xdr:col>
      <xdr:colOff>59766</xdr:colOff>
      <xdr:row>31</xdr:row>
      <xdr:rowOff>0</xdr:rowOff>
    </xdr:from>
    <xdr:to>
      <xdr:col>41</xdr:col>
      <xdr:colOff>65272</xdr:colOff>
      <xdr:row>31</xdr:row>
      <xdr:rowOff>0</xdr:rowOff>
    </xdr:to>
    <xdr:sp macro="" textlink="">
      <xdr:nvSpPr>
        <xdr:cNvPr id="31" name="Line 71">
          <a:extLst>
            <a:ext uri="{FF2B5EF4-FFF2-40B4-BE49-F238E27FC236}">
              <a16:creationId xmlns:a16="http://schemas.microsoft.com/office/drawing/2014/main" id="{7D7042EF-2F37-40D8-83E7-6609A81C7603}"/>
            </a:ext>
          </a:extLst>
        </xdr:cNvPr>
        <xdr:cNvSpPr>
          <a:spLocks noChangeShapeType="1"/>
        </xdr:cNvSpPr>
      </xdr:nvSpPr>
      <xdr:spPr bwMode="auto">
        <a:xfrm flipH="1">
          <a:off x="4990354" y="7605059"/>
          <a:ext cx="120080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55</xdr:col>
      <xdr:colOff>88900</xdr:colOff>
      <xdr:row>31</xdr:row>
      <xdr:rowOff>8466</xdr:rowOff>
    </xdr:from>
    <xdr:to>
      <xdr:col>61</xdr:col>
      <xdr:colOff>50800</xdr:colOff>
      <xdr:row>31</xdr:row>
      <xdr:rowOff>8467</xdr:rowOff>
    </xdr:to>
    <xdr:sp macro="" textlink="">
      <xdr:nvSpPr>
        <xdr:cNvPr id="32" name="Line 71">
          <a:extLst>
            <a:ext uri="{FF2B5EF4-FFF2-40B4-BE49-F238E27FC236}">
              <a16:creationId xmlns:a16="http://schemas.microsoft.com/office/drawing/2014/main" id="{C897906C-611A-4190-9C29-7342EE294A45}"/>
            </a:ext>
          </a:extLst>
        </xdr:cNvPr>
        <xdr:cNvSpPr>
          <a:spLocks noChangeShapeType="1"/>
        </xdr:cNvSpPr>
      </xdr:nvSpPr>
      <xdr:spPr bwMode="auto">
        <a:xfrm flipH="1">
          <a:off x="8238067" y="7611533"/>
          <a:ext cx="850900" cy="1"/>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133350</xdr:colOff>
      <xdr:row>24</xdr:row>
      <xdr:rowOff>19050</xdr:rowOff>
    </xdr:from>
    <xdr:to>
      <xdr:col>50</xdr:col>
      <xdr:colOff>133350</xdr:colOff>
      <xdr:row>28</xdr:row>
      <xdr:rowOff>215900</xdr:rowOff>
    </xdr:to>
    <xdr:cxnSp macro="">
      <xdr:nvCxnSpPr>
        <xdr:cNvPr id="10" name="直線矢印コネクタ 1">
          <a:extLst>
            <a:ext uri="{FF2B5EF4-FFF2-40B4-BE49-F238E27FC236}">
              <a16:creationId xmlns:a16="http://schemas.microsoft.com/office/drawing/2014/main" id="{27B9374F-2380-4CA2-BEA0-267507D29D09}"/>
            </a:ext>
          </a:extLst>
        </xdr:cNvPr>
        <xdr:cNvCxnSpPr/>
      </xdr:nvCxnSpPr>
      <xdr:spPr bwMode="auto">
        <a:xfrm>
          <a:off x="7277100" y="5876925"/>
          <a:ext cx="0" cy="12255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133781</xdr:colOff>
      <xdr:row>24</xdr:row>
      <xdr:rowOff>19050</xdr:rowOff>
    </xdr:from>
    <xdr:to>
      <xdr:col>51</xdr:col>
      <xdr:colOff>133781</xdr:colOff>
      <xdr:row>28</xdr:row>
      <xdr:rowOff>215900</xdr:rowOff>
    </xdr:to>
    <xdr:cxnSp macro="">
      <xdr:nvCxnSpPr>
        <xdr:cNvPr id="18" name="直線コネクタ 47">
          <a:extLst>
            <a:ext uri="{FF2B5EF4-FFF2-40B4-BE49-F238E27FC236}">
              <a16:creationId xmlns:a16="http://schemas.microsoft.com/office/drawing/2014/main" id="{9214B951-E966-4AFB-9BED-56C9E20AB228}"/>
            </a:ext>
          </a:extLst>
        </xdr:cNvPr>
        <xdr:cNvCxnSpPr/>
      </xdr:nvCxnSpPr>
      <xdr:spPr bwMode="auto">
        <a:xfrm flipH="1">
          <a:off x="7420406" y="5876925"/>
          <a:ext cx="0" cy="12255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133350</xdr:colOff>
      <xdr:row>24</xdr:row>
      <xdr:rowOff>19050</xdr:rowOff>
    </xdr:from>
    <xdr:to>
      <xdr:col>51</xdr:col>
      <xdr:colOff>139700</xdr:colOff>
      <xdr:row>24</xdr:row>
      <xdr:rowOff>19050</xdr:rowOff>
    </xdr:to>
    <xdr:cxnSp macro="">
      <xdr:nvCxnSpPr>
        <xdr:cNvPr id="22" name="直線コネクタ 5">
          <a:extLst>
            <a:ext uri="{FF2B5EF4-FFF2-40B4-BE49-F238E27FC236}">
              <a16:creationId xmlns:a16="http://schemas.microsoft.com/office/drawing/2014/main" id="{C3C1EF9E-B8B8-4827-9612-A4D8789E50B2}"/>
            </a:ext>
          </a:extLst>
        </xdr:cNvPr>
        <xdr:cNvCxnSpPr/>
      </xdr:nvCxnSpPr>
      <xdr:spPr bwMode="auto">
        <a:xfrm>
          <a:off x="7277100" y="5876925"/>
          <a:ext cx="1492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133350</xdr:colOff>
      <xdr:row>18</xdr:row>
      <xdr:rowOff>11430</xdr:rowOff>
    </xdr:from>
    <xdr:to>
      <xdr:col>74</xdr:col>
      <xdr:colOff>117899</xdr:colOff>
      <xdr:row>20</xdr:row>
      <xdr:rowOff>245533</xdr:rowOff>
    </xdr:to>
    <xdr:sp macro="" textlink="">
      <xdr:nvSpPr>
        <xdr:cNvPr id="23" name="AutoShape 126">
          <a:extLst>
            <a:ext uri="{FF2B5EF4-FFF2-40B4-BE49-F238E27FC236}">
              <a16:creationId xmlns:a16="http://schemas.microsoft.com/office/drawing/2014/main" id="{6BB1CCBC-AD79-494F-B537-D37747A5ED76}"/>
            </a:ext>
          </a:extLst>
        </xdr:cNvPr>
        <xdr:cNvSpPr>
          <a:spLocks noChangeArrowheads="1"/>
        </xdr:cNvSpPr>
      </xdr:nvSpPr>
      <xdr:spPr bwMode="auto">
        <a:xfrm>
          <a:off x="9134475" y="4288155"/>
          <a:ext cx="1556174" cy="72940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69</xdr:col>
      <xdr:colOff>2539</xdr:colOff>
      <xdr:row>21</xdr:row>
      <xdr:rowOff>2750</xdr:rowOff>
    </xdr:from>
    <xdr:to>
      <xdr:col>69</xdr:col>
      <xdr:colOff>2539</xdr:colOff>
      <xdr:row>28</xdr:row>
      <xdr:rowOff>238125</xdr:rowOff>
    </xdr:to>
    <xdr:cxnSp macro="">
      <xdr:nvCxnSpPr>
        <xdr:cNvPr id="24" name="直線矢印コネクタ 23">
          <a:extLst>
            <a:ext uri="{FF2B5EF4-FFF2-40B4-BE49-F238E27FC236}">
              <a16:creationId xmlns:a16="http://schemas.microsoft.com/office/drawing/2014/main" id="{3173E70A-F9F7-4637-9971-A311090D9830}"/>
            </a:ext>
          </a:extLst>
        </xdr:cNvPr>
        <xdr:cNvCxnSpPr/>
      </xdr:nvCxnSpPr>
      <xdr:spPr bwMode="auto">
        <a:xfrm flipV="1">
          <a:off x="9860914" y="5022425"/>
          <a:ext cx="0" cy="1968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17991</xdr:colOff>
      <xdr:row>21</xdr:row>
      <xdr:rowOff>2750</xdr:rowOff>
    </xdr:from>
    <xdr:to>
      <xdr:col>70</xdr:col>
      <xdr:colOff>17991</xdr:colOff>
      <xdr:row>29</xdr:row>
      <xdr:rowOff>9525</xdr:rowOff>
    </xdr:to>
    <xdr:cxnSp macro="">
      <xdr:nvCxnSpPr>
        <xdr:cNvPr id="26" name="直線矢印コネクタ 25">
          <a:extLst>
            <a:ext uri="{FF2B5EF4-FFF2-40B4-BE49-F238E27FC236}">
              <a16:creationId xmlns:a16="http://schemas.microsoft.com/office/drawing/2014/main" id="{5ACD9240-CF1D-4B5F-BA25-03A6783F447B}"/>
            </a:ext>
          </a:extLst>
        </xdr:cNvPr>
        <xdr:cNvCxnSpPr/>
      </xdr:nvCxnSpPr>
      <xdr:spPr bwMode="auto">
        <a:xfrm>
          <a:off x="10019241" y="5022425"/>
          <a:ext cx="0" cy="19879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9</xdr:row>
      <xdr:rowOff>114300</xdr:rowOff>
    </xdr:from>
    <xdr:to>
      <xdr:col>11</xdr:col>
      <xdr:colOff>19050</xdr:colOff>
      <xdr:row>10</xdr:row>
      <xdr:rowOff>103188</xdr:rowOff>
    </xdr:to>
    <xdr:pic>
      <xdr:nvPicPr>
        <xdr:cNvPr id="2" name="図 1">
          <a:extLst>
            <a:ext uri="{FF2B5EF4-FFF2-40B4-BE49-F238E27FC236}">
              <a16:creationId xmlns:a16="http://schemas.microsoft.com/office/drawing/2014/main" id="{59950F48-F034-4F92-9805-9DFE302EDB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1819275"/>
          <a:ext cx="952500" cy="242888"/>
        </a:xfrm>
        <a:prstGeom prst="rect">
          <a:avLst/>
        </a:prstGeom>
      </xdr:spPr>
    </xdr:pic>
    <xdr:clientData/>
  </xdr:twoCellAnchor>
  <xdr:oneCellAnchor>
    <xdr:from>
      <xdr:col>4</xdr:col>
      <xdr:colOff>0</xdr:colOff>
      <xdr:row>34</xdr:row>
      <xdr:rowOff>114300</xdr:rowOff>
    </xdr:from>
    <xdr:ext cx="952500" cy="242888"/>
    <xdr:pic>
      <xdr:nvPicPr>
        <xdr:cNvPr id="3" name="図 2">
          <a:extLst>
            <a:ext uri="{FF2B5EF4-FFF2-40B4-BE49-F238E27FC236}">
              <a16:creationId xmlns:a16="http://schemas.microsoft.com/office/drawing/2014/main" id="{D58CAF12-0BF4-44F0-A2EB-96948EEFC0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8705850"/>
          <a:ext cx="952500" cy="242888"/>
        </a:xfrm>
        <a:prstGeom prst="rect">
          <a:avLst/>
        </a:prstGeom>
      </xdr:spPr>
    </xdr:pic>
    <xdr:clientData/>
  </xdr:oneCellAnchor>
  <xdr:twoCellAnchor>
    <xdr:from>
      <xdr:col>33</xdr:col>
      <xdr:colOff>38100</xdr:colOff>
      <xdr:row>22</xdr:row>
      <xdr:rowOff>28575</xdr:rowOff>
    </xdr:from>
    <xdr:to>
      <xdr:col>38</xdr:col>
      <xdr:colOff>114650</xdr:colOff>
      <xdr:row>22</xdr:row>
      <xdr:rowOff>226575</xdr:rowOff>
    </xdr:to>
    <xdr:sp macro="" textlink="">
      <xdr:nvSpPr>
        <xdr:cNvPr id="4" name="正方形/長方形 3">
          <a:extLst>
            <a:ext uri="{FF2B5EF4-FFF2-40B4-BE49-F238E27FC236}">
              <a16:creationId xmlns:a16="http://schemas.microsoft.com/office/drawing/2014/main" id="{DA2B92C4-B2C6-41E0-8D8E-B915B9904411}"/>
            </a:ext>
          </a:extLst>
        </xdr:cNvPr>
        <xdr:cNvSpPr/>
      </xdr:nvSpPr>
      <xdr:spPr>
        <a:xfrm>
          <a:off x="4019550" y="5191125"/>
          <a:ext cx="6798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55</xdr:col>
      <xdr:colOff>57149</xdr:colOff>
      <xdr:row>42</xdr:row>
      <xdr:rowOff>28574</xdr:rowOff>
    </xdr:from>
    <xdr:to>
      <xdr:col>58</xdr:col>
      <xdr:colOff>57149</xdr:colOff>
      <xdr:row>42</xdr:row>
      <xdr:rowOff>219075</xdr:rowOff>
    </xdr:to>
    <xdr:sp macro="" textlink="">
      <xdr:nvSpPr>
        <xdr:cNvPr id="5" name="正方形/長方形 4">
          <a:extLst>
            <a:ext uri="{FF2B5EF4-FFF2-40B4-BE49-F238E27FC236}">
              <a16:creationId xmlns:a16="http://schemas.microsoft.com/office/drawing/2014/main" id="{749ACDBE-1635-4D4D-945F-0CD7D66467B3}"/>
            </a:ext>
          </a:extLst>
        </xdr:cNvPr>
        <xdr:cNvSpPr/>
      </xdr:nvSpPr>
      <xdr:spPr bwMode="auto">
        <a:xfrm>
          <a:off x="7391399" y="12087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63872</xdr:colOff>
      <xdr:row>42</xdr:row>
      <xdr:rowOff>38100</xdr:rowOff>
    </xdr:from>
    <xdr:to>
      <xdr:col>42</xdr:col>
      <xdr:colOff>111496</xdr:colOff>
      <xdr:row>42</xdr:row>
      <xdr:rowOff>228600</xdr:rowOff>
    </xdr:to>
    <xdr:sp macro="" textlink="">
      <xdr:nvSpPr>
        <xdr:cNvPr id="6" name="正方形/長方形 5">
          <a:extLst>
            <a:ext uri="{FF2B5EF4-FFF2-40B4-BE49-F238E27FC236}">
              <a16:creationId xmlns:a16="http://schemas.microsoft.com/office/drawing/2014/main" id="{F3A2D3E2-A22D-4FD0-9E0B-724556FAF82A}"/>
            </a:ext>
          </a:extLst>
        </xdr:cNvPr>
        <xdr:cNvSpPr/>
      </xdr:nvSpPr>
      <xdr:spPr bwMode="auto">
        <a:xfrm>
          <a:off x="5531222" y="120967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19051</xdr:colOff>
      <xdr:row>42</xdr:row>
      <xdr:rowOff>38100</xdr:rowOff>
    </xdr:from>
    <xdr:to>
      <xdr:col>58</xdr:col>
      <xdr:colOff>66676</xdr:colOff>
      <xdr:row>42</xdr:row>
      <xdr:rowOff>219075</xdr:rowOff>
    </xdr:to>
    <xdr:sp macro="" textlink="">
      <xdr:nvSpPr>
        <xdr:cNvPr id="7" name="正方形/長方形 6">
          <a:extLst>
            <a:ext uri="{FF2B5EF4-FFF2-40B4-BE49-F238E27FC236}">
              <a16:creationId xmlns:a16="http://schemas.microsoft.com/office/drawing/2014/main" id="{F0316EE5-D15B-43E0-94CC-186CC7DA44C8}"/>
            </a:ext>
          </a:extLst>
        </xdr:cNvPr>
        <xdr:cNvSpPr/>
      </xdr:nvSpPr>
      <xdr:spPr bwMode="auto">
        <a:xfrm>
          <a:off x="7620001" y="120967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95250</xdr:colOff>
      <xdr:row>17</xdr:row>
      <xdr:rowOff>28574</xdr:rowOff>
    </xdr:from>
    <xdr:to>
      <xdr:col>23</xdr:col>
      <xdr:colOff>123825</xdr:colOff>
      <xdr:row>17</xdr:row>
      <xdr:rowOff>228599</xdr:rowOff>
    </xdr:to>
    <xdr:sp macro="" textlink="">
      <xdr:nvSpPr>
        <xdr:cNvPr id="8" name="正方形/長方形 7">
          <a:extLst>
            <a:ext uri="{FF2B5EF4-FFF2-40B4-BE49-F238E27FC236}">
              <a16:creationId xmlns:a16="http://schemas.microsoft.com/office/drawing/2014/main" id="{8EFD60C8-D6D6-4A5B-9222-96EEA7D6FC2F}"/>
            </a:ext>
          </a:extLst>
        </xdr:cNvPr>
        <xdr:cNvSpPr/>
      </xdr:nvSpPr>
      <xdr:spPr>
        <a:xfrm>
          <a:off x="2628900" y="3714749"/>
          <a:ext cx="56197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98425</xdr:colOff>
      <xdr:row>22</xdr:row>
      <xdr:rowOff>28575</xdr:rowOff>
    </xdr:from>
    <xdr:to>
      <xdr:col>45</xdr:col>
      <xdr:colOff>60675</xdr:colOff>
      <xdr:row>22</xdr:row>
      <xdr:rowOff>226575</xdr:rowOff>
    </xdr:to>
    <xdr:sp macro="" textlink="">
      <xdr:nvSpPr>
        <xdr:cNvPr id="9" name="正方形/長方形 8">
          <a:extLst>
            <a:ext uri="{FF2B5EF4-FFF2-40B4-BE49-F238E27FC236}">
              <a16:creationId xmlns:a16="http://schemas.microsoft.com/office/drawing/2014/main" id="{4808777B-66B4-42B9-8FBF-E7465674DABA}"/>
            </a:ext>
          </a:extLst>
        </xdr:cNvPr>
        <xdr:cNvSpPr/>
      </xdr:nvSpPr>
      <xdr:spPr>
        <a:xfrm>
          <a:off x="4803775" y="5191125"/>
          <a:ext cx="6861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106445</xdr:colOff>
      <xdr:row>22</xdr:row>
      <xdr:rowOff>28575</xdr:rowOff>
    </xdr:from>
    <xdr:to>
      <xdr:col>51</xdr:col>
      <xdr:colOff>75045</xdr:colOff>
      <xdr:row>22</xdr:row>
      <xdr:rowOff>226575</xdr:rowOff>
    </xdr:to>
    <xdr:sp macro="" textlink="">
      <xdr:nvSpPr>
        <xdr:cNvPr id="10" name="正方形/長方形 9">
          <a:extLst>
            <a:ext uri="{FF2B5EF4-FFF2-40B4-BE49-F238E27FC236}">
              <a16:creationId xmlns:a16="http://schemas.microsoft.com/office/drawing/2014/main" id="{6F1800DE-A599-4AC4-A217-590426FA3BAC}"/>
            </a:ext>
          </a:extLst>
        </xdr:cNvPr>
        <xdr:cNvSpPr/>
      </xdr:nvSpPr>
      <xdr:spPr>
        <a:xfrm>
          <a:off x="5535695" y="5191125"/>
          <a:ext cx="6925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55</xdr:col>
      <xdr:colOff>57149</xdr:colOff>
      <xdr:row>59</xdr:row>
      <xdr:rowOff>28574</xdr:rowOff>
    </xdr:from>
    <xdr:to>
      <xdr:col>58</xdr:col>
      <xdr:colOff>57149</xdr:colOff>
      <xdr:row>59</xdr:row>
      <xdr:rowOff>219075</xdr:rowOff>
    </xdr:to>
    <xdr:sp macro="" textlink="">
      <xdr:nvSpPr>
        <xdr:cNvPr id="11" name="正方形/長方形 10">
          <a:extLst>
            <a:ext uri="{FF2B5EF4-FFF2-40B4-BE49-F238E27FC236}">
              <a16:creationId xmlns:a16="http://schemas.microsoft.com/office/drawing/2014/main" id="{EA2A8371-8F8C-4833-845C-973504A331F6}"/>
            </a:ext>
          </a:extLst>
        </xdr:cNvPr>
        <xdr:cNvSpPr/>
      </xdr:nvSpPr>
      <xdr:spPr bwMode="auto">
        <a:xfrm>
          <a:off x="7391399" y="155543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63872</xdr:colOff>
      <xdr:row>59</xdr:row>
      <xdr:rowOff>38100</xdr:rowOff>
    </xdr:from>
    <xdr:to>
      <xdr:col>42</xdr:col>
      <xdr:colOff>111496</xdr:colOff>
      <xdr:row>59</xdr:row>
      <xdr:rowOff>228600</xdr:rowOff>
    </xdr:to>
    <xdr:sp macro="" textlink="">
      <xdr:nvSpPr>
        <xdr:cNvPr id="12" name="正方形/長方形 11">
          <a:extLst>
            <a:ext uri="{FF2B5EF4-FFF2-40B4-BE49-F238E27FC236}">
              <a16:creationId xmlns:a16="http://schemas.microsoft.com/office/drawing/2014/main" id="{65B0F6A0-0842-4587-A529-356AA27E13E7}"/>
            </a:ext>
          </a:extLst>
        </xdr:cNvPr>
        <xdr:cNvSpPr/>
      </xdr:nvSpPr>
      <xdr:spPr bwMode="auto">
        <a:xfrm>
          <a:off x="5531222" y="155638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19051</xdr:colOff>
      <xdr:row>59</xdr:row>
      <xdr:rowOff>38100</xdr:rowOff>
    </xdr:from>
    <xdr:to>
      <xdr:col>58</xdr:col>
      <xdr:colOff>66676</xdr:colOff>
      <xdr:row>59</xdr:row>
      <xdr:rowOff>219075</xdr:rowOff>
    </xdr:to>
    <xdr:sp macro="" textlink="">
      <xdr:nvSpPr>
        <xdr:cNvPr id="13" name="正方形/長方形 12">
          <a:extLst>
            <a:ext uri="{FF2B5EF4-FFF2-40B4-BE49-F238E27FC236}">
              <a16:creationId xmlns:a16="http://schemas.microsoft.com/office/drawing/2014/main" id="{D6EFFC8C-B7D2-4FE7-9E08-7E6B6EA2901F}"/>
            </a:ext>
          </a:extLst>
        </xdr:cNvPr>
        <xdr:cNvSpPr/>
      </xdr:nvSpPr>
      <xdr:spPr bwMode="auto">
        <a:xfrm>
          <a:off x="7620001" y="155638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57149</xdr:colOff>
      <xdr:row>59</xdr:row>
      <xdr:rowOff>28574</xdr:rowOff>
    </xdr:from>
    <xdr:to>
      <xdr:col>58</xdr:col>
      <xdr:colOff>57149</xdr:colOff>
      <xdr:row>59</xdr:row>
      <xdr:rowOff>219075</xdr:rowOff>
    </xdr:to>
    <xdr:sp macro="" textlink="">
      <xdr:nvSpPr>
        <xdr:cNvPr id="14" name="正方形/長方形 13">
          <a:extLst>
            <a:ext uri="{FF2B5EF4-FFF2-40B4-BE49-F238E27FC236}">
              <a16:creationId xmlns:a16="http://schemas.microsoft.com/office/drawing/2014/main" id="{5DDC8A51-6081-4FBE-AA49-41E15FF0AE55}"/>
            </a:ext>
          </a:extLst>
        </xdr:cNvPr>
        <xdr:cNvSpPr/>
      </xdr:nvSpPr>
      <xdr:spPr bwMode="auto">
        <a:xfrm>
          <a:off x="7391399" y="155543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63872</xdr:colOff>
      <xdr:row>59</xdr:row>
      <xdr:rowOff>38100</xdr:rowOff>
    </xdr:from>
    <xdr:to>
      <xdr:col>42</xdr:col>
      <xdr:colOff>111496</xdr:colOff>
      <xdr:row>59</xdr:row>
      <xdr:rowOff>228600</xdr:rowOff>
    </xdr:to>
    <xdr:sp macro="" textlink="">
      <xdr:nvSpPr>
        <xdr:cNvPr id="15" name="正方形/長方形 14">
          <a:extLst>
            <a:ext uri="{FF2B5EF4-FFF2-40B4-BE49-F238E27FC236}">
              <a16:creationId xmlns:a16="http://schemas.microsoft.com/office/drawing/2014/main" id="{B34EB9BE-CEF6-42CF-B827-9F474855046D}"/>
            </a:ext>
          </a:extLst>
        </xdr:cNvPr>
        <xdr:cNvSpPr/>
      </xdr:nvSpPr>
      <xdr:spPr bwMode="auto">
        <a:xfrm>
          <a:off x="5531222" y="155638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19051</xdr:colOff>
      <xdr:row>59</xdr:row>
      <xdr:rowOff>38100</xdr:rowOff>
    </xdr:from>
    <xdr:to>
      <xdr:col>58</xdr:col>
      <xdr:colOff>66676</xdr:colOff>
      <xdr:row>59</xdr:row>
      <xdr:rowOff>219075</xdr:rowOff>
    </xdr:to>
    <xdr:sp macro="" textlink="">
      <xdr:nvSpPr>
        <xdr:cNvPr id="16" name="正方形/長方形 15">
          <a:extLst>
            <a:ext uri="{FF2B5EF4-FFF2-40B4-BE49-F238E27FC236}">
              <a16:creationId xmlns:a16="http://schemas.microsoft.com/office/drawing/2014/main" id="{1EC14527-30D6-40CD-94A1-1BC86AFF9FC2}"/>
            </a:ext>
          </a:extLst>
        </xdr:cNvPr>
        <xdr:cNvSpPr/>
      </xdr:nvSpPr>
      <xdr:spPr bwMode="auto">
        <a:xfrm>
          <a:off x="7620001" y="155638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0</xdr:colOff>
      <xdr:row>17</xdr:row>
      <xdr:rowOff>38100</xdr:rowOff>
    </xdr:from>
    <xdr:to>
      <xdr:col>29</xdr:col>
      <xdr:colOff>129778</xdr:colOff>
      <xdr:row>17</xdr:row>
      <xdr:rowOff>228600</xdr:rowOff>
    </xdr:to>
    <xdr:sp macro="" textlink="">
      <xdr:nvSpPr>
        <xdr:cNvPr id="17" name="正方形/長方形 16">
          <a:extLst>
            <a:ext uri="{FF2B5EF4-FFF2-40B4-BE49-F238E27FC236}">
              <a16:creationId xmlns:a16="http://schemas.microsoft.com/office/drawing/2014/main" id="{B8138E00-37E8-4DCF-B774-3990C12CCC3F}"/>
            </a:ext>
          </a:extLst>
        </xdr:cNvPr>
        <xdr:cNvSpPr/>
      </xdr:nvSpPr>
      <xdr:spPr>
        <a:xfrm>
          <a:off x="3467100" y="372427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73</xdr:col>
      <xdr:colOff>60325</xdr:colOff>
      <xdr:row>14</xdr:row>
      <xdr:rowOff>155574</xdr:rowOff>
    </xdr:from>
    <xdr:to>
      <xdr:col>76</xdr:col>
      <xdr:colOff>98425</xdr:colOff>
      <xdr:row>16</xdr:row>
      <xdr:rowOff>165099</xdr:rowOff>
    </xdr:to>
    <xdr:sp macro="" textlink="">
      <xdr:nvSpPr>
        <xdr:cNvPr id="18" name="正方形/長方形 17">
          <a:extLst>
            <a:ext uri="{FF2B5EF4-FFF2-40B4-BE49-F238E27FC236}">
              <a16:creationId xmlns:a16="http://schemas.microsoft.com/office/drawing/2014/main" id="{77F1A7E2-5467-45D1-BF0A-DAAE60C3EFA5}"/>
            </a:ext>
          </a:extLst>
        </xdr:cNvPr>
        <xdr:cNvSpPr/>
      </xdr:nvSpPr>
      <xdr:spPr bwMode="auto">
        <a:xfrm flipV="1">
          <a:off x="9794875" y="3089274"/>
          <a:ext cx="438150" cy="5048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a:latin typeface="ＭＳ ゴシック" panose="020B0609070205080204" pitchFamily="49" charset="-128"/>
              <a:ea typeface="ＭＳ ゴシック" panose="020B0609070205080204" pitchFamily="49" charset="-128"/>
            </a:rPr>
            <a:t>―</a:t>
          </a:r>
          <a:endParaRPr kumimoji="1" lang="ja-JP" altLang="en-US" sz="1200" b="1">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76200</xdr:colOff>
      <xdr:row>40</xdr:row>
      <xdr:rowOff>9524</xdr:rowOff>
    </xdr:from>
    <xdr:to>
      <xdr:col>76</xdr:col>
      <xdr:colOff>114300</xdr:colOff>
      <xdr:row>41</xdr:row>
      <xdr:rowOff>0</xdr:rowOff>
    </xdr:to>
    <xdr:sp macro="" textlink="">
      <xdr:nvSpPr>
        <xdr:cNvPr id="19" name="正方形/長方形 18">
          <a:extLst>
            <a:ext uri="{FF2B5EF4-FFF2-40B4-BE49-F238E27FC236}">
              <a16:creationId xmlns:a16="http://schemas.microsoft.com/office/drawing/2014/main" id="{7448F4FB-E4E0-43C5-9158-6499EC12193F}"/>
            </a:ext>
          </a:extLst>
        </xdr:cNvPr>
        <xdr:cNvSpPr/>
      </xdr:nvSpPr>
      <xdr:spPr bwMode="auto">
        <a:xfrm flipV="1">
          <a:off x="9810750" y="9839324"/>
          <a:ext cx="43815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a:latin typeface="ＭＳ ゴシック" panose="020B0609070205080204" pitchFamily="49" charset="-128"/>
              <a:ea typeface="ＭＳ ゴシック" panose="020B0609070205080204" pitchFamily="49" charset="-128"/>
            </a:rPr>
            <a:t>―</a:t>
          </a:r>
          <a:endParaRPr kumimoji="1" lang="ja-JP" altLang="en-US" sz="1200" b="1">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66675</xdr:colOff>
      <xdr:row>40</xdr:row>
      <xdr:rowOff>9524</xdr:rowOff>
    </xdr:from>
    <xdr:to>
      <xdr:col>76</xdr:col>
      <xdr:colOff>104775</xdr:colOff>
      <xdr:row>41</xdr:row>
      <xdr:rowOff>0</xdr:rowOff>
    </xdr:to>
    <xdr:sp macro="" textlink="">
      <xdr:nvSpPr>
        <xdr:cNvPr id="28" name="正方形/長方形 27">
          <a:extLst>
            <a:ext uri="{FF2B5EF4-FFF2-40B4-BE49-F238E27FC236}">
              <a16:creationId xmlns:a16="http://schemas.microsoft.com/office/drawing/2014/main" id="{C41636AB-0565-4925-A28B-7204971DACA6}"/>
            </a:ext>
          </a:extLst>
        </xdr:cNvPr>
        <xdr:cNvSpPr/>
      </xdr:nvSpPr>
      <xdr:spPr bwMode="auto">
        <a:xfrm flipV="1">
          <a:off x="9801225" y="9839324"/>
          <a:ext cx="43815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a:latin typeface="ＭＳ ゴシック" panose="020B0609070205080204" pitchFamily="49" charset="-128"/>
              <a:ea typeface="ＭＳ ゴシック" panose="020B0609070205080204" pitchFamily="49" charset="-128"/>
            </a:rPr>
            <a:t>―</a:t>
          </a:r>
          <a:endParaRPr kumimoji="1" lang="ja-JP" altLang="en-US" sz="1200" b="1">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95249</xdr:colOff>
      <xdr:row>18</xdr:row>
      <xdr:rowOff>38100</xdr:rowOff>
    </xdr:from>
    <xdr:to>
      <xdr:col>23</xdr:col>
      <xdr:colOff>101849</xdr:colOff>
      <xdr:row>18</xdr:row>
      <xdr:rowOff>228600</xdr:rowOff>
    </xdr:to>
    <xdr:sp macro="" textlink="">
      <xdr:nvSpPr>
        <xdr:cNvPr id="43" name="正方形/長方形 42">
          <a:extLst>
            <a:ext uri="{FF2B5EF4-FFF2-40B4-BE49-F238E27FC236}">
              <a16:creationId xmlns:a16="http://schemas.microsoft.com/office/drawing/2014/main" id="{3BCD2373-8347-4732-BE25-3F22030832A0}"/>
            </a:ext>
          </a:extLst>
        </xdr:cNvPr>
        <xdr:cNvSpPr/>
      </xdr:nvSpPr>
      <xdr:spPr>
        <a:xfrm>
          <a:off x="2628899" y="3971925"/>
          <a:ext cx="5400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0</xdr:colOff>
      <xdr:row>18</xdr:row>
      <xdr:rowOff>28575</xdr:rowOff>
    </xdr:from>
    <xdr:to>
      <xdr:col>29</xdr:col>
      <xdr:colOff>129778</xdr:colOff>
      <xdr:row>18</xdr:row>
      <xdr:rowOff>219075</xdr:rowOff>
    </xdr:to>
    <xdr:sp macro="" textlink="">
      <xdr:nvSpPr>
        <xdr:cNvPr id="44" name="正方形/長方形 43">
          <a:extLst>
            <a:ext uri="{FF2B5EF4-FFF2-40B4-BE49-F238E27FC236}">
              <a16:creationId xmlns:a16="http://schemas.microsoft.com/office/drawing/2014/main" id="{F48F4A05-0126-4B39-B9CA-19C6A5445521}"/>
            </a:ext>
          </a:extLst>
        </xdr:cNvPr>
        <xdr:cNvSpPr/>
      </xdr:nvSpPr>
      <xdr:spPr>
        <a:xfrm>
          <a:off x="3467100" y="3962400"/>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47</xdr:col>
      <xdr:colOff>57150</xdr:colOff>
      <xdr:row>18</xdr:row>
      <xdr:rowOff>28575</xdr:rowOff>
    </xdr:from>
    <xdr:to>
      <xdr:col>51</xdr:col>
      <xdr:colOff>99750</xdr:colOff>
      <xdr:row>18</xdr:row>
      <xdr:rowOff>219076</xdr:rowOff>
    </xdr:to>
    <xdr:sp macro="" textlink="">
      <xdr:nvSpPr>
        <xdr:cNvPr id="45" name="正方形/長方形 44">
          <a:extLst>
            <a:ext uri="{FF2B5EF4-FFF2-40B4-BE49-F238E27FC236}">
              <a16:creationId xmlns:a16="http://schemas.microsoft.com/office/drawing/2014/main" id="{2C73A90D-6724-44F8-9410-440A29CE28AD}"/>
            </a:ext>
          </a:extLst>
        </xdr:cNvPr>
        <xdr:cNvSpPr/>
      </xdr:nvSpPr>
      <xdr:spPr>
        <a:xfrm>
          <a:off x="6324600" y="3467100"/>
          <a:ext cx="576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twoCellAnchor>
    <xdr:from>
      <xdr:col>65</xdr:col>
      <xdr:colOff>38100</xdr:colOff>
      <xdr:row>18</xdr:row>
      <xdr:rowOff>38100</xdr:rowOff>
    </xdr:from>
    <xdr:to>
      <xdr:col>69</xdr:col>
      <xdr:colOff>80700</xdr:colOff>
      <xdr:row>18</xdr:row>
      <xdr:rowOff>228601</xdr:rowOff>
    </xdr:to>
    <xdr:sp macro="" textlink="">
      <xdr:nvSpPr>
        <xdr:cNvPr id="46" name="正方形/長方形 45">
          <a:extLst>
            <a:ext uri="{FF2B5EF4-FFF2-40B4-BE49-F238E27FC236}">
              <a16:creationId xmlns:a16="http://schemas.microsoft.com/office/drawing/2014/main" id="{010A987B-794D-4FEB-9C70-57997C857077}"/>
            </a:ext>
          </a:extLst>
        </xdr:cNvPr>
        <xdr:cNvSpPr/>
      </xdr:nvSpPr>
      <xdr:spPr>
        <a:xfrm>
          <a:off x="8705850" y="3476625"/>
          <a:ext cx="576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twoCellAnchor>
    <xdr:from>
      <xdr:col>65</xdr:col>
      <xdr:colOff>38100</xdr:colOff>
      <xdr:row>19</xdr:row>
      <xdr:rowOff>0</xdr:rowOff>
    </xdr:from>
    <xdr:to>
      <xdr:col>69</xdr:col>
      <xdr:colOff>80700</xdr:colOff>
      <xdr:row>19</xdr:row>
      <xdr:rowOff>0</xdr:rowOff>
    </xdr:to>
    <xdr:sp macro="" textlink="">
      <xdr:nvSpPr>
        <xdr:cNvPr id="55" name="正方形/長方形 54">
          <a:extLst>
            <a:ext uri="{FF2B5EF4-FFF2-40B4-BE49-F238E27FC236}">
              <a16:creationId xmlns:a16="http://schemas.microsoft.com/office/drawing/2014/main" id="{9AEDF43C-C485-41DC-A07B-79F6BA19AD3D}"/>
            </a:ext>
          </a:extLst>
        </xdr:cNvPr>
        <xdr:cNvSpPr/>
      </xdr:nvSpPr>
      <xdr:spPr>
        <a:xfrm>
          <a:off x="8705850" y="3971925"/>
          <a:ext cx="576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twoCellAnchor>
    <xdr:from>
      <xdr:col>8</xdr:col>
      <xdr:colOff>101600</xdr:colOff>
      <xdr:row>82</xdr:row>
      <xdr:rowOff>63500</xdr:rowOff>
    </xdr:from>
    <xdr:to>
      <xdr:col>14</xdr:col>
      <xdr:colOff>61944</xdr:colOff>
      <xdr:row>83</xdr:row>
      <xdr:rowOff>7500</xdr:rowOff>
    </xdr:to>
    <xdr:sp macro="" textlink="">
      <xdr:nvSpPr>
        <xdr:cNvPr id="58" name="正方形/長方形 44">
          <a:extLst>
            <a:ext uri="{FF2B5EF4-FFF2-40B4-BE49-F238E27FC236}">
              <a16:creationId xmlns:a16="http://schemas.microsoft.com/office/drawing/2014/main" id="{3417150C-BA0C-4900-AB64-16110A040B49}"/>
            </a:ext>
          </a:extLst>
        </xdr:cNvPr>
        <xdr:cNvSpPr/>
      </xdr:nvSpPr>
      <xdr:spPr>
        <a:xfrm>
          <a:off x="1117600" y="20034250"/>
          <a:ext cx="722344" cy="1916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修正</a:t>
          </a:r>
        </a:p>
      </xdr:txBody>
    </xdr:sp>
    <xdr:clientData/>
  </xdr:twoCellAnchor>
  <xdr:twoCellAnchor>
    <xdr:from>
      <xdr:col>28</xdr:col>
      <xdr:colOff>85725</xdr:colOff>
      <xdr:row>82</xdr:row>
      <xdr:rowOff>69849</xdr:rowOff>
    </xdr:from>
    <xdr:to>
      <xdr:col>37</xdr:col>
      <xdr:colOff>106400</xdr:colOff>
      <xdr:row>83</xdr:row>
      <xdr:rowOff>20199</xdr:rowOff>
    </xdr:to>
    <xdr:sp macro="" textlink="">
      <xdr:nvSpPr>
        <xdr:cNvPr id="59" name="正方形/長方形 117">
          <a:extLst>
            <a:ext uri="{FF2B5EF4-FFF2-40B4-BE49-F238E27FC236}">
              <a16:creationId xmlns:a16="http://schemas.microsoft.com/office/drawing/2014/main" id="{1612A7DF-2928-4E11-872B-1505D5243EE8}"/>
            </a:ext>
          </a:extLst>
        </xdr:cNvPr>
        <xdr:cNvSpPr/>
      </xdr:nvSpPr>
      <xdr:spPr>
        <a:xfrm>
          <a:off x="3552825" y="20053299"/>
          <a:ext cx="11351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000">
              <a:solidFill>
                <a:schemeClr val="lt1"/>
              </a:solidFill>
              <a:effectLst/>
              <a:latin typeface="ＭＳ ゴシック" panose="020B0609070205080204" pitchFamily="49" charset="-128"/>
              <a:ea typeface="ＭＳ ゴシック" panose="020B0609070205080204" pitchFamily="49" charset="-128"/>
              <a:cs typeface="+mn-cs"/>
            </a:rPr>
            <a:t>承認依頼取下</a:t>
          </a:r>
          <a:endParaRPr kumimoji="1" lang="ja-JP" altLang="en-US" sz="800" kern="12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20</xdr:row>
      <xdr:rowOff>28575</xdr:rowOff>
    </xdr:from>
    <xdr:to>
      <xdr:col>29</xdr:col>
      <xdr:colOff>66675</xdr:colOff>
      <xdr:row>20</xdr:row>
      <xdr:rowOff>219075</xdr:rowOff>
    </xdr:to>
    <xdr:sp macro="" textlink="">
      <xdr:nvSpPr>
        <xdr:cNvPr id="65" name="正方形/長方形 64">
          <a:extLst>
            <a:ext uri="{FF2B5EF4-FFF2-40B4-BE49-F238E27FC236}">
              <a16:creationId xmlns:a16="http://schemas.microsoft.com/office/drawing/2014/main" id="{11E33D88-2055-4FDC-8328-6BEDE05A4E8A}"/>
            </a:ext>
          </a:extLst>
        </xdr:cNvPr>
        <xdr:cNvSpPr/>
      </xdr:nvSpPr>
      <xdr:spPr>
        <a:xfrm>
          <a:off x="1543050" y="4238625"/>
          <a:ext cx="13239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47625</xdr:colOff>
      <xdr:row>19</xdr:row>
      <xdr:rowOff>38100</xdr:rowOff>
    </xdr:from>
    <xdr:to>
      <xdr:col>71</xdr:col>
      <xdr:colOff>95250</xdr:colOff>
      <xdr:row>19</xdr:row>
      <xdr:rowOff>209550</xdr:rowOff>
    </xdr:to>
    <xdr:sp macro="" textlink="">
      <xdr:nvSpPr>
        <xdr:cNvPr id="68" name="正方形/長方形 67">
          <a:extLst>
            <a:ext uri="{FF2B5EF4-FFF2-40B4-BE49-F238E27FC236}">
              <a16:creationId xmlns:a16="http://schemas.microsoft.com/office/drawing/2014/main" id="{7FD8A766-93DA-4A8F-BF91-DE0A8F0F7D23}"/>
            </a:ext>
          </a:extLst>
        </xdr:cNvPr>
        <xdr:cNvSpPr/>
      </xdr:nvSpPr>
      <xdr:spPr>
        <a:xfrm>
          <a:off x="7115175" y="4000500"/>
          <a:ext cx="847725"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57150</xdr:colOff>
      <xdr:row>19</xdr:row>
      <xdr:rowOff>28575</xdr:rowOff>
    </xdr:from>
    <xdr:to>
      <xdr:col>61</xdr:col>
      <xdr:colOff>76201</xdr:colOff>
      <xdr:row>19</xdr:row>
      <xdr:rowOff>219074</xdr:rowOff>
    </xdr:to>
    <xdr:sp macro="" textlink="">
      <xdr:nvSpPr>
        <xdr:cNvPr id="69" name="正方形/長方形 68">
          <a:extLst>
            <a:ext uri="{FF2B5EF4-FFF2-40B4-BE49-F238E27FC236}">
              <a16:creationId xmlns:a16="http://schemas.microsoft.com/office/drawing/2014/main" id="{3724799C-2B86-4DC3-AD79-E959227F9E8F}"/>
            </a:ext>
          </a:extLst>
        </xdr:cNvPr>
        <xdr:cNvSpPr/>
      </xdr:nvSpPr>
      <xdr:spPr>
        <a:xfrm>
          <a:off x="5657850" y="3990975"/>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19</xdr:col>
      <xdr:colOff>95250</xdr:colOff>
      <xdr:row>16</xdr:row>
      <xdr:rowOff>28574</xdr:rowOff>
    </xdr:from>
    <xdr:to>
      <xdr:col>23</xdr:col>
      <xdr:colOff>123825</xdr:colOff>
      <xdr:row>16</xdr:row>
      <xdr:rowOff>228599</xdr:rowOff>
    </xdr:to>
    <xdr:sp macro="" textlink="">
      <xdr:nvSpPr>
        <xdr:cNvPr id="20" name="正方形/長方形 19">
          <a:extLst>
            <a:ext uri="{FF2B5EF4-FFF2-40B4-BE49-F238E27FC236}">
              <a16:creationId xmlns:a16="http://schemas.microsoft.com/office/drawing/2014/main" id="{8F2E04FB-C9B7-483D-8770-5348DDBF11A3}"/>
            </a:ext>
          </a:extLst>
        </xdr:cNvPr>
        <xdr:cNvSpPr/>
      </xdr:nvSpPr>
      <xdr:spPr>
        <a:xfrm>
          <a:off x="2628900" y="3467099"/>
          <a:ext cx="56197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0</xdr:colOff>
      <xdr:row>16</xdr:row>
      <xdr:rowOff>38100</xdr:rowOff>
    </xdr:from>
    <xdr:to>
      <xdr:col>29</xdr:col>
      <xdr:colOff>129778</xdr:colOff>
      <xdr:row>16</xdr:row>
      <xdr:rowOff>228600</xdr:rowOff>
    </xdr:to>
    <xdr:sp macro="" textlink="">
      <xdr:nvSpPr>
        <xdr:cNvPr id="21" name="正方形/長方形 20">
          <a:extLst>
            <a:ext uri="{FF2B5EF4-FFF2-40B4-BE49-F238E27FC236}">
              <a16:creationId xmlns:a16="http://schemas.microsoft.com/office/drawing/2014/main" id="{11B7F3BF-70D2-47D0-A2A6-55631BDCD8F9}"/>
            </a:ext>
          </a:extLst>
        </xdr:cNvPr>
        <xdr:cNvSpPr/>
      </xdr:nvSpPr>
      <xdr:spPr>
        <a:xfrm>
          <a:off x="3467100" y="34766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39</xdr:col>
      <xdr:colOff>104774</xdr:colOff>
      <xdr:row>63</xdr:row>
      <xdr:rowOff>28574</xdr:rowOff>
    </xdr:from>
    <xdr:to>
      <xdr:col>42</xdr:col>
      <xdr:colOff>104774</xdr:colOff>
      <xdr:row>63</xdr:row>
      <xdr:rowOff>219075</xdr:rowOff>
    </xdr:to>
    <xdr:sp macro="" textlink="">
      <xdr:nvSpPr>
        <xdr:cNvPr id="22" name="正方形/長方形 21">
          <a:extLst>
            <a:ext uri="{FF2B5EF4-FFF2-40B4-BE49-F238E27FC236}">
              <a16:creationId xmlns:a16="http://schemas.microsoft.com/office/drawing/2014/main" id="{2E590FF6-476A-46CB-B9DC-1D9E18EAD049}"/>
            </a:ext>
          </a:extLst>
        </xdr:cNvPr>
        <xdr:cNvSpPr/>
      </xdr:nvSpPr>
      <xdr:spPr bwMode="auto">
        <a:xfrm>
          <a:off x="5305424" y="1530667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63872</xdr:colOff>
      <xdr:row>63</xdr:row>
      <xdr:rowOff>19050</xdr:rowOff>
    </xdr:from>
    <xdr:to>
      <xdr:col>29</xdr:col>
      <xdr:colOff>111496</xdr:colOff>
      <xdr:row>63</xdr:row>
      <xdr:rowOff>209550</xdr:rowOff>
    </xdr:to>
    <xdr:sp macro="" textlink="">
      <xdr:nvSpPr>
        <xdr:cNvPr id="23" name="正方形/長方形 22">
          <a:extLst>
            <a:ext uri="{FF2B5EF4-FFF2-40B4-BE49-F238E27FC236}">
              <a16:creationId xmlns:a16="http://schemas.microsoft.com/office/drawing/2014/main" id="{BE985691-8AB4-44C6-8B78-4FD7FB249F8D}"/>
            </a:ext>
          </a:extLst>
        </xdr:cNvPr>
        <xdr:cNvSpPr/>
      </xdr:nvSpPr>
      <xdr:spPr bwMode="auto">
        <a:xfrm>
          <a:off x="3797672" y="152971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66676</xdr:colOff>
      <xdr:row>63</xdr:row>
      <xdr:rowOff>38100</xdr:rowOff>
    </xdr:from>
    <xdr:to>
      <xdr:col>42</xdr:col>
      <xdr:colOff>114301</xdr:colOff>
      <xdr:row>63</xdr:row>
      <xdr:rowOff>219075</xdr:rowOff>
    </xdr:to>
    <xdr:sp macro="" textlink="">
      <xdr:nvSpPr>
        <xdr:cNvPr id="24" name="正方形/長方形 23">
          <a:extLst>
            <a:ext uri="{FF2B5EF4-FFF2-40B4-BE49-F238E27FC236}">
              <a16:creationId xmlns:a16="http://schemas.microsoft.com/office/drawing/2014/main" id="{CA56A77E-7B7E-4FAE-BBC0-A09FB03B2D43}"/>
            </a:ext>
          </a:extLst>
        </xdr:cNvPr>
        <xdr:cNvSpPr/>
      </xdr:nvSpPr>
      <xdr:spPr bwMode="auto">
        <a:xfrm>
          <a:off x="5534026" y="1531620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114299</xdr:colOff>
      <xdr:row>80</xdr:row>
      <xdr:rowOff>28574</xdr:rowOff>
    </xdr:from>
    <xdr:to>
      <xdr:col>42</xdr:col>
      <xdr:colOff>114299</xdr:colOff>
      <xdr:row>80</xdr:row>
      <xdr:rowOff>219075</xdr:rowOff>
    </xdr:to>
    <xdr:sp macro="" textlink="">
      <xdr:nvSpPr>
        <xdr:cNvPr id="29" name="正方形/長方形 28">
          <a:extLst>
            <a:ext uri="{FF2B5EF4-FFF2-40B4-BE49-F238E27FC236}">
              <a16:creationId xmlns:a16="http://schemas.microsoft.com/office/drawing/2014/main" id="{16B8C57E-175C-4A9C-A848-7A723B4112C9}"/>
            </a:ext>
          </a:extLst>
        </xdr:cNvPr>
        <xdr:cNvSpPr/>
      </xdr:nvSpPr>
      <xdr:spPr bwMode="auto">
        <a:xfrm>
          <a:off x="5314949" y="195167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73397</xdr:colOff>
      <xdr:row>80</xdr:row>
      <xdr:rowOff>38100</xdr:rowOff>
    </xdr:from>
    <xdr:to>
      <xdr:col>29</xdr:col>
      <xdr:colOff>121021</xdr:colOff>
      <xdr:row>80</xdr:row>
      <xdr:rowOff>228600</xdr:rowOff>
    </xdr:to>
    <xdr:sp macro="" textlink="">
      <xdr:nvSpPr>
        <xdr:cNvPr id="30" name="正方形/長方形 29">
          <a:extLst>
            <a:ext uri="{FF2B5EF4-FFF2-40B4-BE49-F238E27FC236}">
              <a16:creationId xmlns:a16="http://schemas.microsoft.com/office/drawing/2014/main" id="{BD7713CC-9E5B-41A8-93D3-FA4B18388506}"/>
            </a:ext>
          </a:extLst>
        </xdr:cNvPr>
        <xdr:cNvSpPr/>
      </xdr:nvSpPr>
      <xdr:spPr bwMode="auto">
        <a:xfrm>
          <a:off x="3807197" y="195262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76201</xdr:colOff>
      <xdr:row>80</xdr:row>
      <xdr:rowOff>38100</xdr:rowOff>
    </xdr:from>
    <xdr:to>
      <xdr:col>42</xdr:col>
      <xdr:colOff>123826</xdr:colOff>
      <xdr:row>80</xdr:row>
      <xdr:rowOff>219075</xdr:rowOff>
    </xdr:to>
    <xdr:sp macro="" textlink="">
      <xdr:nvSpPr>
        <xdr:cNvPr id="31" name="正方形/長方形 30">
          <a:extLst>
            <a:ext uri="{FF2B5EF4-FFF2-40B4-BE49-F238E27FC236}">
              <a16:creationId xmlns:a16="http://schemas.microsoft.com/office/drawing/2014/main" id="{AAB14092-5641-4F20-9D61-8E068E0A230B}"/>
            </a:ext>
          </a:extLst>
        </xdr:cNvPr>
        <xdr:cNvSpPr/>
      </xdr:nvSpPr>
      <xdr:spPr bwMode="auto">
        <a:xfrm>
          <a:off x="5543551" y="195262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71</xdr:col>
      <xdr:colOff>38100</xdr:colOff>
      <xdr:row>59</xdr:row>
      <xdr:rowOff>114300</xdr:rowOff>
    </xdr:from>
    <xdr:to>
      <xdr:col>80</xdr:col>
      <xdr:colOff>45084</xdr:colOff>
      <xdr:row>61</xdr:row>
      <xdr:rowOff>85090</xdr:rowOff>
    </xdr:to>
    <xdr:sp macro="" textlink="">
      <xdr:nvSpPr>
        <xdr:cNvPr id="33" name="矢印: 右 32">
          <a:extLst>
            <a:ext uri="{FF2B5EF4-FFF2-40B4-BE49-F238E27FC236}">
              <a16:creationId xmlns:a16="http://schemas.microsoft.com/office/drawing/2014/main" id="{1DA96D0E-9EE9-4FC6-B359-D0E80DA17019}"/>
            </a:ext>
          </a:extLst>
        </xdr:cNvPr>
        <xdr:cNvSpPr/>
      </xdr:nvSpPr>
      <xdr:spPr>
        <a:xfrm>
          <a:off x="9505950" y="139065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xdr:col>
      <xdr:colOff>38100</xdr:colOff>
      <xdr:row>58</xdr:row>
      <xdr:rowOff>123825</xdr:rowOff>
    </xdr:from>
    <xdr:to>
      <xdr:col>80</xdr:col>
      <xdr:colOff>59550</xdr:colOff>
      <xdr:row>65</xdr:row>
      <xdr:rowOff>154275</xdr:rowOff>
    </xdr:to>
    <xdr:cxnSp macro="">
      <xdr:nvCxnSpPr>
        <xdr:cNvPr id="34" name="コネクタ: カギ線 33">
          <a:extLst>
            <a:ext uri="{FF2B5EF4-FFF2-40B4-BE49-F238E27FC236}">
              <a16:creationId xmlns:a16="http://schemas.microsoft.com/office/drawing/2014/main" id="{1905871E-2FA3-4FB3-963D-BB680965976A}"/>
            </a:ext>
          </a:extLst>
        </xdr:cNvPr>
        <xdr:cNvCxnSpPr>
          <a:cxnSpLocks/>
        </xdr:cNvCxnSpPr>
      </xdr:nvCxnSpPr>
      <xdr:spPr bwMode="auto">
        <a:xfrm flipH="1">
          <a:off x="971550" y="14163675"/>
          <a:ext cx="9756000" cy="1764000"/>
        </a:xfrm>
        <a:prstGeom prst="bentConnector5">
          <a:avLst>
            <a:gd name="adj1" fmla="val -2660"/>
            <a:gd name="adj2" fmla="val 53250"/>
            <a:gd name="adj3" fmla="val 1026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xdr:col>
      <xdr:colOff>0</xdr:colOff>
      <xdr:row>34</xdr:row>
      <xdr:rowOff>114300</xdr:rowOff>
    </xdr:from>
    <xdr:ext cx="952500" cy="242888"/>
    <xdr:pic>
      <xdr:nvPicPr>
        <xdr:cNvPr id="26" name="図 25">
          <a:extLst>
            <a:ext uri="{FF2B5EF4-FFF2-40B4-BE49-F238E27FC236}">
              <a16:creationId xmlns:a16="http://schemas.microsoft.com/office/drawing/2014/main" id="{8234D199-EA1B-419D-9D4A-B6C8EDF1FD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1819275"/>
          <a:ext cx="952500" cy="242888"/>
        </a:xfrm>
        <a:prstGeom prst="rect">
          <a:avLst/>
        </a:prstGeom>
      </xdr:spPr>
    </xdr:pic>
    <xdr:clientData/>
  </xdr:oneCellAnchor>
  <xdr:twoCellAnchor>
    <xdr:from>
      <xdr:col>26</xdr:col>
      <xdr:colOff>69850</xdr:colOff>
      <xdr:row>22</xdr:row>
      <xdr:rowOff>31750</xdr:rowOff>
    </xdr:from>
    <xdr:to>
      <xdr:col>32</xdr:col>
      <xdr:colOff>19400</xdr:colOff>
      <xdr:row>22</xdr:row>
      <xdr:rowOff>229750</xdr:rowOff>
    </xdr:to>
    <xdr:sp macro="" textlink="">
      <xdr:nvSpPr>
        <xdr:cNvPr id="25" name="正方形/長方形 24">
          <a:extLst>
            <a:ext uri="{FF2B5EF4-FFF2-40B4-BE49-F238E27FC236}">
              <a16:creationId xmlns:a16="http://schemas.microsoft.com/office/drawing/2014/main" id="{94F15CAC-0CEF-4D0D-9B99-811616E0A56E}"/>
            </a:ext>
          </a:extLst>
        </xdr:cNvPr>
        <xdr:cNvSpPr/>
      </xdr:nvSpPr>
      <xdr:spPr>
        <a:xfrm>
          <a:off x="3371850" y="5441950"/>
          <a:ext cx="7115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95250</xdr:colOff>
      <xdr:row>82</xdr:row>
      <xdr:rowOff>66675</xdr:rowOff>
    </xdr:from>
    <xdr:to>
      <xdr:col>21</xdr:col>
      <xdr:colOff>58769</xdr:colOff>
      <xdr:row>83</xdr:row>
      <xdr:rowOff>10675</xdr:rowOff>
    </xdr:to>
    <xdr:sp macro="" textlink="">
      <xdr:nvSpPr>
        <xdr:cNvPr id="27" name="正方形/長方形 44">
          <a:extLst>
            <a:ext uri="{FF2B5EF4-FFF2-40B4-BE49-F238E27FC236}">
              <a16:creationId xmlns:a16="http://schemas.microsoft.com/office/drawing/2014/main" id="{6D8E5DAC-570C-4FD1-A413-782FCCEC5774}"/>
            </a:ext>
          </a:extLst>
        </xdr:cNvPr>
        <xdr:cNvSpPr/>
      </xdr:nvSpPr>
      <xdr:spPr>
        <a:xfrm>
          <a:off x="1952625" y="20050125"/>
          <a:ext cx="706469" cy="1916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削除</a:t>
          </a:r>
        </a:p>
      </xdr:txBody>
    </xdr:sp>
    <xdr:clientData/>
  </xdr:twoCellAnchor>
  <xdr:twoCellAnchor>
    <xdr:from>
      <xdr:col>22</xdr:col>
      <xdr:colOff>47625</xdr:colOff>
      <xdr:row>82</xdr:row>
      <xdr:rowOff>73025</xdr:rowOff>
    </xdr:from>
    <xdr:to>
      <xdr:col>28</xdr:col>
      <xdr:colOff>7969</xdr:colOff>
      <xdr:row>83</xdr:row>
      <xdr:rowOff>17025</xdr:rowOff>
    </xdr:to>
    <xdr:sp macro="" textlink="">
      <xdr:nvSpPr>
        <xdr:cNvPr id="35" name="正方形/長方形 44">
          <a:extLst>
            <a:ext uri="{FF2B5EF4-FFF2-40B4-BE49-F238E27FC236}">
              <a16:creationId xmlns:a16="http://schemas.microsoft.com/office/drawing/2014/main" id="{B00FF8C1-1FFA-4444-9068-A8DBF0FA4EAC}"/>
            </a:ext>
          </a:extLst>
        </xdr:cNvPr>
        <xdr:cNvSpPr/>
      </xdr:nvSpPr>
      <xdr:spPr>
        <a:xfrm>
          <a:off x="2771775" y="20056475"/>
          <a:ext cx="703294" cy="1916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個別照会</a:t>
          </a:r>
        </a:p>
      </xdr:txBody>
    </xdr:sp>
    <xdr:clientData/>
  </xdr:twoCellAnchor>
  <xdr:twoCellAnchor>
    <xdr:from>
      <xdr:col>28</xdr:col>
      <xdr:colOff>47625</xdr:colOff>
      <xdr:row>19</xdr:row>
      <xdr:rowOff>28575</xdr:rowOff>
    </xdr:from>
    <xdr:to>
      <xdr:col>32</xdr:col>
      <xdr:colOff>34528</xdr:colOff>
      <xdr:row>19</xdr:row>
      <xdr:rowOff>219075</xdr:rowOff>
    </xdr:to>
    <xdr:sp macro="" textlink="">
      <xdr:nvSpPr>
        <xdr:cNvPr id="32" name="正方形/長方形 31">
          <a:extLst>
            <a:ext uri="{FF2B5EF4-FFF2-40B4-BE49-F238E27FC236}">
              <a16:creationId xmlns:a16="http://schemas.microsoft.com/office/drawing/2014/main" id="{AB118D8B-8882-5A03-6D08-4CC09F4E0D86}"/>
            </a:ext>
          </a:extLst>
        </xdr:cNvPr>
        <xdr:cNvSpPr/>
      </xdr:nvSpPr>
      <xdr:spPr>
        <a:xfrm>
          <a:off x="4048125" y="4210050"/>
          <a:ext cx="5584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91440</xdr:colOff>
      <xdr:row>19</xdr:row>
      <xdr:rowOff>30480</xdr:rowOff>
    </xdr:from>
    <xdr:to>
      <xdr:col>27</xdr:col>
      <xdr:colOff>91440</xdr:colOff>
      <xdr:row>19</xdr:row>
      <xdr:rowOff>220981</xdr:rowOff>
    </xdr:to>
    <xdr:sp macro="" textlink="">
      <xdr:nvSpPr>
        <xdr:cNvPr id="39" name="正方形/長方形 38">
          <a:extLst>
            <a:ext uri="{FF2B5EF4-FFF2-40B4-BE49-F238E27FC236}">
              <a16:creationId xmlns:a16="http://schemas.microsoft.com/office/drawing/2014/main" id="{5B0B666A-8BB0-97C5-83EF-13666CCAEC1F}"/>
            </a:ext>
          </a:extLst>
        </xdr:cNvPr>
        <xdr:cNvSpPr/>
      </xdr:nvSpPr>
      <xdr:spPr>
        <a:xfrm>
          <a:off x="2552700" y="4145280"/>
          <a:ext cx="103632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111</xdr:row>
      <xdr:rowOff>114300</xdr:rowOff>
    </xdr:from>
    <xdr:ext cx="963613" cy="241300"/>
    <xdr:pic>
      <xdr:nvPicPr>
        <xdr:cNvPr id="3" name="図 2">
          <a:extLst>
            <a:ext uri="{FF2B5EF4-FFF2-40B4-BE49-F238E27FC236}">
              <a16:creationId xmlns:a16="http://schemas.microsoft.com/office/drawing/2014/main" id="{2C884E35-29C5-4FD4-AB7E-FD65C1A5EE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1819275"/>
          <a:ext cx="963613" cy="241300"/>
        </a:xfrm>
        <a:prstGeom prst="rect">
          <a:avLst/>
        </a:prstGeom>
      </xdr:spPr>
    </xdr:pic>
    <xdr:clientData/>
  </xdr:oneCellAnchor>
  <xdr:twoCellAnchor>
    <xdr:from>
      <xdr:col>5</xdr:col>
      <xdr:colOff>106391</xdr:colOff>
      <xdr:row>150</xdr:row>
      <xdr:rowOff>0</xdr:rowOff>
    </xdr:from>
    <xdr:to>
      <xdr:col>12</xdr:col>
      <xdr:colOff>108941</xdr:colOff>
      <xdr:row>150</xdr:row>
      <xdr:rowOff>194400</xdr:rowOff>
    </xdr:to>
    <xdr:sp macro="" textlink="">
      <xdr:nvSpPr>
        <xdr:cNvPr id="5" name="正方形/長方形 4">
          <a:extLst>
            <a:ext uri="{FF2B5EF4-FFF2-40B4-BE49-F238E27FC236}">
              <a16:creationId xmlns:a16="http://schemas.microsoft.com/office/drawing/2014/main" id="{ABD5A008-9464-4531-932C-0B018D9DEF12}"/>
            </a:ext>
          </a:extLst>
        </xdr:cNvPr>
        <xdr:cNvSpPr/>
      </xdr:nvSpPr>
      <xdr:spPr>
        <a:xfrm>
          <a:off x="773141" y="7410450"/>
          <a:ext cx="936000" cy="1944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4</xdr:col>
      <xdr:colOff>0</xdr:colOff>
      <xdr:row>154</xdr:row>
      <xdr:rowOff>114300</xdr:rowOff>
    </xdr:from>
    <xdr:ext cx="963613" cy="241300"/>
    <xdr:pic>
      <xdr:nvPicPr>
        <xdr:cNvPr id="7" name="図 6">
          <a:extLst>
            <a:ext uri="{FF2B5EF4-FFF2-40B4-BE49-F238E27FC236}">
              <a16:creationId xmlns:a16="http://schemas.microsoft.com/office/drawing/2014/main" id="{7D57554E-7C3D-4EC3-978A-67B9EA3086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8048625"/>
          <a:ext cx="963613" cy="241300"/>
        </a:xfrm>
        <a:prstGeom prst="rect">
          <a:avLst/>
        </a:prstGeom>
      </xdr:spPr>
    </xdr:pic>
    <xdr:clientData/>
  </xdr:oneCellAnchor>
  <xdr:twoCellAnchor>
    <xdr:from>
      <xdr:col>74</xdr:col>
      <xdr:colOff>0</xdr:colOff>
      <xdr:row>207</xdr:row>
      <xdr:rowOff>228186</xdr:rowOff>
    </xdr:from>
    <xdr:to>
      <xdr:col>79</xdr:col>
      <xdr:colOff>114984</xdr:colOff>
      <xdr:row>208</xdr:row>
      <xdr:rowOff>177800</xdr:rowOff>
    </xdr:to>
    <xdr:sp macro="" textlink="">
      <xdr:nvSpPr>
        <xdr:cNvPr id="8" name="正方形/長方形 7">
          <a:extLst>
            <a:ext uri="{FF2B5EF4-FFF2-40B4-BE49-F238E27FC236}">
              <a16:creationId xmlns:a16="http://schemas.microsoft.com/office/drawing/2014/main" id="{5B96336B-E2FC-410E-9700-8E5C8EF98515}"/>
            </a:ext>
          </a:extLst>
        </xdr:cNvPr>
        <xdr:cNvSpPr/>
      </xdr:nvSpPr>
      <xdr:spPr>
        <a:xfrm>
          <a:off x="9398000" y="28492036"/>
          <a:ext cx="749984" cy="1972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5</xdr:col>
      <xdr:colOff>98108</xdr:colOff>
      <xdr:row>208</xdr:row>
      <xdr:rowOff>24848</xdr:rowOff>
    </xdr:from>
    <xdr:to>
      <xdr:col>11</xdr:col>
      <xdr:colOff>90008</xdr:colOff>
      <xdr:row>208</xdr:row>
      <xdr:rowOff>215348</xdr:rowOff>
    </xdr:to>
    <xdr:sp macro="" textlink="">
      <xdr:nvSpPr>
        <xdr:cNvPr id="9" name="正方形/長方形 8">
          <a:extLst>
            <a:ext uri="{FF2B5EF4-FFF2-40B4-BE49-F238E27FC236}">
              <a16:creationId xmlns:a16="http://schemas.microsoft.com/office/drawing/2014/main" id="{5FAD6467-BFE2-43F3-B40E-75DCF072CB19}"/>
            </a:ext>
          </a:extLst>
        </xdr:cNvPr>
        <xdr:cNvSpPr/>
      </xdr:nvSpPr>
      <xdr:spPr>
        <a:xfrm>
          <a:off x="764858" y="17712773"/>
          <a:ext cx="7920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twoCellAnchor editAs="oneCell">
    <xdr:from>
      <xdr:col>75</xdr:col>
      <xdr:colOff>0</xdr:colOff>
      <xdr:row>116</xdr:row>
      <xdr:rowOff>0</xdr:rowOff>
    </xdr:from>
    <xdr:to>
      <xdr:col>77</xdr:col>
      <xdr:colOff>38100</xdr:colOff>
      <xdr:row>117</xdr:row>
      <xdr:rowOff>46990</xdr:rowOff>
    </xdr:to>
    <xdr:sp macro="" textlink="">
      <xdr:nvSpPr>
        <xdr:cNvPr id="11" name="AutoShape 1">
          <a:extLst>
            <a:ext uri="{FF2B5EF4-FFF2-40B4-BE49-F238E27FC236}">
              <a16:creationId xmlns:a16="http://schemas.microsoft.com/office/drawing/2014/main" id="{A47154BF-2C31-4A60-B8D4-FE0652044EBB}"/>
            </a:ext>
          </a:extLst>
        </xdr:cNvPr>
        <xdr:cNvSpPr>
          <a:spLocks noChangeAspect="1" noChangeArrowheads="1"/>
        </xdr:cNvSpPr>
      </xdr:nvSpPr>
      <xdr:spPr bwMode="auto">
        <a:xfrm>
          <a:off x="10001250" y="2695575"/>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20</xdr:col>
      <xdr:colOff>91109</xdr:colOff>
      <xdr:row>198</xdr:row>
      <xdr:rowOff>33131</xdr:rowOff>
    </xdr:from>
    <xdr:to>
      <xdr:col>32</xdr:col>
      <xdr:colOff>99392</xdr:colOff>
      <xdr:row>198</xdr:row>
      <xdr:rowOff>223631</xdr:rowOff>
    </xdr:to>
    <xdr:sp macro="" textlink="">
      <xdr:nvSpPr>
        <xdr:cNvPr id="18" name="正方形/長方形 17">
          <a:extLst>
            <a:ext uri="{FF2B5EF4-FFF2-40B4-BE49-F238E27FC236}">
              <a16:creationId xmlns:a16="http://schemas.microsoft.com/office/drawing/2014/main" id="{CF350E87-EF47-4E57-855D-A3578A23B64C}"/>
            </a:ext>
          </a:extLst>
        </xdr:cNvPr>
        <xdr:cNvSpPr/>
      </xdr:nvSpPr>
      <xdr:spPr>
        <a:xfrm>
          <a:off x="2741544" y="16689457"/>
          <a:ext cx="1598544"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191113 </a:t>
          </a:r>
          <a:r>
            <a:rPr kumimoji="1" lang="ja-JP" altLang="en-US" sz="1000" kern="1200">
              <a:solidFill>
                <a:sysClr val="windowText" lastClr="000000"/>
              </a:solidFill>
              <a:latin typeface="ＭＳ ゴシック" panose="020B0609070205080204" pitchFamily="49" charset="-128"/>
              <a:ea typeface="ＭＳ ゴシック" panose="020B0609070205080204" pitchFamily="49" charset="-128"/>
            </a:rPr>
            <a:t>小豆 </a:t>
          </a:r>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2024 01</a:t>
          </a:r>
        </a:p>
      </xdr:txBody>
    </xdr:sp>
    <xdr:clientData/>
  </xdr:twoCellAnchor>
  <xdr:twoCellAnchor>
    <xdr:from>
      <xdr:col>40</xdr:col>
      <xdr:colOff>76200</xdr:colOff>
      <xdr:row>208</xdr:row>
      <xdr:rowOff>9525</xdr:rowOff>
    </xdr:from>
    <xdr:to>
      <xdr:col>47</xdr:col>
      <xdr:colOff>78750</xdr:colOff>
      <xdr:row>208</xdr:row>
      <xdr:rowOff>204235</xdr:rowOff>
    </xdr:to>
    <xdr:sp macro="" textlink="">
      <xdr:nvSpPr>
        <xdr:cNvPr id="2" name="正方形/長方形 1">
          <a:extLst>
            <a:ext uri="{FF2B5EF4-FFF2-40B4-BE49-F238E27FC236}">
              <a16:creationId xmlns:a16="http://schemas.microsoft.com/office/drawing/2014/main" id="{5DEBEFF7-53FD-43C1-90B0-B017A4DCEABB}"/>
            </a:ext>
          </a:extLst>
        </xdr:cNvPr>
        <xdr:cNvSpPr/>
      </xdr:nvSpPr>
      <xdr:spPr bwMode="auto">
        <a:xfrm>
          <a:off x="5156200" y="28768675"/>
          <a:ext cx="891550" cy="194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kern="1200">
              <a:solidFill>
                <a:schemeClr val="lt1"/>
              </a:solidFill>
              <a:latin typeface="ＭＳ ゴシック" panose="020B0609070205080204" pitchFamily="49" charset="-128"/>
              <a:ea typeface="ＭＳ ゴシック" panose="020B0609070205080204" pitchFamily="49" charset="-128"/>
              <a:cs typeface="+mn-cs"/>
            </a:rPr>
            <a:t>下書保存</a:t>
          </a:r>
          <a:endParaRPr kumimoji="1" lang="en-US" altLang="ja-JP" sz="1000" kern="1200">
            <a:solidFill>
              <a:schemeClr val="lt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39</xdr:col>
      <xdr:colOff>0</xdr:colOff>
      <xdr:row>150</xdr:row>
      <xdr:rowOff>0</xdr:rowOff>
    </xdr:from>
    <xdr:to>
      <xdr:col>46</xdr:col>
      <xdr:colOff>2550</xdr:colOff>
      <xdr:row>150</xdr:row>
      <xdr:rowOff>194710</xdr:rowOff>
    </xdr:to>
    <xdr:sp macro="" textlink="">
      <xdr:nvSpPr>
        <xdr:cNvPr id="6" name="正方形/長方形 5">
          <a:extLst>
            <a:ext uri="{FF2B5EF4-FFF2-40B4-BE49-F238E27FC236}">
              <a16:creationId xmlns:a16="http://schemas.microsoft.com/office/drawing/2014/main" id="{230FB89A-56F3-41A0-AB1E-D22E8488B3C4}"/>
            </a:ext>
          </a:extLst>
        </xdr:cNvPr>
        <xdr:cNvSpPr/>
      </xdr:nvSpPr>
      <xdr:spPr bwMode="auto">
        <a:xfrm>
          <a:off x="5200650" y="7410450"/>
          <a:ext cx="936000" cy="194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9</xdr:row>
      <xdr:rowOff>114300</xdr:rowOff>
    </xdr:from>
    <xdr:ext cx="963613" cy="241300"/>
    <xdr:pic>
      <xdr:nvPicPr>
        <xdr:cNvPr id="10" name="図 9">
          <a:extLst>
            <a:ext uri="{FF2B5EF4-FFF2-40B4-BE49-F238E27FC236}">
              <a16:creationId xmlns:a16="http://schemas.microsoft.com/office/drawing/2014/main" id="{FB8521C4-6605-454E-B17D-FFE7EB6F90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4716182"/>
          <a:ext cx="963613" cy="241300"/>
        </a:xfrm>
        <a:prstGeom prst="rect">
          <a:avLst/>
        </a:prstGeom>
      </xdr:spPr>
    </xdr:pic>
    <xdr:clientData/>
  </xdr:oneCellAnchor>
  <xdr:twoCellAnchor>
    <xdr:from>
      <xdr:col>5</xdr:col>
      <xdr:colOff>106391</xdr:colOff>
      <xdr:row>39</xdr:row>
      <xdr:rowOff>0</xdr:rowOff>
    </xdr:from>
    <xdr:to>
      <xdr:col>12</xdr:col>
      <xdr:colOff>108941</xdr:colOff>
      <xdr:row>39</xdr:row>
      <xdr:rowOff>194400</xdr:rowOff>
    </xdr:to>
    <xdr:sp macro="" textlink="">
      <xdr:nvSpPr>
        <xdr:cNvPr id="13" name="正方形/長方形 12">
          <a:extLst>
            <a:ext uri="{FF2B5EF4-FFF2-40B4-BE49-F238E27FC236}">
              <a16:creationId xmlns:a16="http://schemas.microsoft.com/office/drawing/2014/main" id="{3F2FFA58-07B2-416C-B52F-06CC751B4F28}"/>
            </a:ext>
          </a:extLst>
        </xdr:cNvPr>
        <xdr:cNvSpPr/>
      </xdr:nvSpPr>
      <xdr:spPr>
        <a:xfrm>
          <a:off x="741391" y="10279529"/>
          <a:ext cx="891550" cy="1944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14</xdr:row>
      <xdr:rowOff>0</xdr:rowOff>
    </xdr:from>
    <xdr:ext cx="292100" cy="293519"/>
    <xdr:sp macro="" textlink="">
      <xdr:nvSpPr>
        <xdr:cNvPr id="19" name="AutoShape 1">
          <a:extLst>
            <a:ext uri="{FF2B5EF4-FFF2-40B4-BE49-F238E27FC236}">
              <a16:creationId xmlns:a16="http://schemas.microsoft.com/office/drawing/2014/main" id="{21C44C30-F411-4023-914C-25A140BEFF55}"/>
            </a:ext>
          </a:extLst>
        </xdr:cNvPr>
        <xdr:cNvSpPr>
          <a:spLocks noChangeAspect="1" noChangeArrowheads="1"/>
        </xdr:cNvSpPr>
      </xdr:nvSpPr>
      <xdr:spPr bwMode="auto">
        <a:xfrm>
          <a:off x="9525000" y="5588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39</xdr:col>
      <xdr:colOff>0</xdr:colOff>
      <xdr:row>39</xdr:row>
      <xdr:rowOff>0</xdr:rowOff>
    </xdr:from>
    <xdr:to>
      <xdr:col>46</xdr:col>
      <xdr:colOff>2550</xdr:colOff>
      <xdr:row>39</xdr:row>
      <xdr:rowOff>194710</xdr:rowOff>
    </xdr:to>
    <xdr:sp macro="" textlink="">
      <xdr:nvSpPr>
        <xdr:cNvPr id="22" name="正方形/長方形 21">
          <a:extLst>
            <a:ext uri="{FF2B5EF4-FFF2-40B4-BE49-F238E27FC236}">
              <a16:creationId xmlns:a16="http://schemas.microsoft.com/office/drawing/2014/main" id="{B397BB70-13D5-499B-A4FE-08B0AAE42A24}"/>
            </a:ext>
          </a:extLst>
        </xdr:cNvPr>
        <xdr:cNvSpPr/>
      </xdr:nvSpPr>
      <xdr:spPr bwMode="auto">
        <a:xfrm>
          <a:off x="4953000" y="10279529"/>
          <a:ext cx="891550" cy="194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112061</xdr:colOff>
      <xdr:row>20</xdr:row>
      <xdr:rowOff>29881</xdr:rowOff>
    </xdr:from>
    <xdr:to>
      <xdr:col>59</xdr:col>
      <xdr:colOff>112060</xdr:colOff>
      <xdr:row>20</xdr:row>
      <xdr:rowOff>224117</xdr:rowOff>
    </xdr:to>
    <xdr:sp macro="" textlink="">
      <xdr:nvSpPr>
        <xdr:cNvPr id="23" name="正方形/長方形 22">
          <a:extLst>
            <a:ext uri="{FF2B5EF4-FFF2-40B4-BE49-F238E27FC236}">
              <a16:creationId xmlns:a16="http://schemas.microsoft.com/office/drawing/2014/main" id="{D39B2EB5-DD34-4DA4-978A-9B22B3FDB997}"/>
            </a:ext>
          </a:extLst>
        </xdr:cNvPr>
        <xdr:cNvSpPr/>
      </xdr:nvSpPr>
      <xdr:spPr>
        <a:xfrm>
          <a:off x="6589061" y="3443940"/>
          <a:ext cx="10159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24</xdr:row>
      <xdr:rowOff>0</xdr:rowOff>
    </xdr:from>
    <xdr:ext cx="292100" cy="293519"/>
    <xdr:sp macro="" textlink="">
      <xdr:nvSpPr>
        <xdr:cNvPr id="36" name="AutoShape 1">
          <a:extLst>
            <a:ext uri="{FF2B5EF4-FFF2-40B4-BE49-F238E27FC236}">
              <a16:creationId xmlns:a16="http://schemas.microsoft.com/office/drawing/2014/main" id="{D976132F-2B0C-4C01-8651-4177D1D97CFC}"/>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23</xdr:row>
      <xdr:rowOff>0</xdr:rowOff>
    </xdr:from>
    <xdr:ext cx="292100" cy="293519"/>
    <xdr:sp macro="" textlink="">
      <xdr:nvSpPr>
        <xdr:cNvPr id="37" name="AutoShape 1">
          <a:extLst>
            <a:ext uri="{FF2B5EF4-FFF2-40B4-BE49-F238E27FC236}">
              <a16:creationId xmlns:a16="http://schemas.microsoft.com/office/drawing/2014/main" id="{513D9F6E-6A68-4CF4-B93A-41BE7C7BFA72}"/>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25</xdr:row>
      <xdr:rowOff>0</xdr:rowOff>
    </xdr:from>
    <xdr:ext cx="292100" cy="293519"/>
    <xdr:sp macro="" textlink="">
      <xdr:nvSpPr>
        <xdr:cNvPr id="38" name="AutoShape 1">
          <a:extLst>
            <a:ext uri="{FF2B5EF4-FFF2-40B4-BE49-F238E27FC236}">
              <a16:creationId xmlns:a16="http://schemas.microsoft.com/office/drawing/2014/main" id="{707353F4-4CC6-47EA-A38E-E8AA32A7A139}"/>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26</xdr:row>
      <xdr:rowOff>0</xdr:rowOff>
    </xdr:from>
    <xdr:ext cx="292100" cy="293519"/>
    <xdr:sp macro="" textlink="">
      <xdr:nvSpPr>
        <xdr:cNvPr id="39" name="AutoShape 1">
          <a:extLst>
            <a:ext uri="{FF2B5EF4-FFF2-40B4-BE49-F238E27FC236}">
              <a16:creationId xmlns:a16="http://schemas.microsoft.com/office/drawing/2014/main" id="{B1BA21D9-3ECB-4DD0-B4C6-03C1C8CC8E31}"/>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27</xdr:row>
      <xdr:rowOff>0</xdr:rowOff>
    </xdr:from>
    <xdr:ext cx="292100" cy="293519"/>
    <xdr:sp macro="" textlink="">
      <xdr:nvSpPr>
        <xdr:cNvPr id="40" name="AutoShape 1">
          <a:extLst>
            <a:ext uri="{FF2B5EF4-FFF2-40B4-BE49-F238E27FC236}">
              <a16:creationId xmlns:a16="http://schemas.microsoft.com/office/drawing/2014/main" id="{FE2D635A-12A4-4E08-A8F0-31540D2708E8}"/>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29</xdr:row>
      <xdr:rowOff>0</xdr:rowOff>
    </xdr:from>
    <xdr:ext cx="292100" cy="293519"/>
    <xdr:sp macro="" textlink="">
      <xdr:nvSpPr>
        <xdr:cNvPr id="42" name="AutoShape 1">
          <a:extLst>
            <a:ext uri="{FF2B5EF4-FFF2-40B4-BE49-F238E27FC236}">
              <a16:creationId xmlns:a16="http://schemas.microsoft.com/office/drawing/2014/main" id="{05FEDFA8-0B20-4F4F-A7A7-B9BA75A510F1}"/>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30</xdr:row>
      <xdr:rowOff>0</xdr:rowOff>
    </xdr:from>
    <xdr:ext cx="292100" cy="293519"/>
    <xdr:sp macro="" textlink="">
      <xdr:nvSpPr>
        <xdr:cNvPr id="43" name="AutoShape 1">
          <a:extLst>
            <a:ext uri="{FF2B5EF4-FFF2-40B4-BE49-F238E27FC236}">
              <a16:creationId xmlns:a16="http://schemas.microsoft.com/office/drawing/2014/main" id="{494DBF4A-A8FC-41E2-8FF8-61C37666AD04}"/>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31</xdr:row>
      <xdr:rowOff>0</xdr:rowOff>
    </xdr:from>
    <xdr:ext cx="292100" cy="293519"/>
    <xdr:sp macro="" textlink="">
      <xdr:nvSpPr>
        <xdr:cNvPr id="44" name="AutoShape 1">
          <a:extLst>
            <a:ext uri="{FF2B5EF4-FFF2-40B4-BE49-F238E27FC236}">
              <a16:creationId xmlns:a16="http://schemas.microsoft.com/office/drawing/2014/main" id="{A34799B6-DCC7-43EE-9D54-348A1519F0DB}"/>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35</xdr:row>
      <xdr:rowOff>0</xdr:rowOff>
    </xdr:from>
    <xdr:ext cx="292100" cy="293519"/>
    <xdr:sp macro="" textlink="">
      <xdr:nvSpPr>
        <xdr:cNvPr id="45" name="AutoShape 1">
          <a:extLst>
            <a:ext uri="{FF2B5EF4-FFF2-40B4-BE49-F238E27FC236}">
              <a16:creationId xmlns:a16="http://schemas.microsoft.com/office/drawing/2014/main" id="{E1A00B7B-F8B8-4971-91B9-46D24A8C5285}"/>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36</xdr:row>
      <xdr:rowOff>0</xdr:rowOff>
    </xdr:from>
    <xdr:ext cx="292100" cy="293519"/>
    <xdr:sp macro="" textlink="">
      <xdr:nvSpPr>
        <xdr:cNvPr id="46" name="AutoShape 1">
          <a:extLst>
            <a:ext uri="{FF2B5EF4-FFF2-40B4-BE49-F238E27FC236}">
              <a16:creationId xmlns:a16="http://schemas.microsoft.com/office/drawing/2014/main" id="{9E0318B1-35CD-4511-92AF-3F9E5B5A7294}"/>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37</xdr:row>
      <xdr:rowOff>0</xdr:rowOff>
    </xdr:from>
    <xdr:ext cx="292100" cy="293519"/>
    <xdr:sp macro="" textlink="">
      <xdr:nvSpPr>
        <xdr:cNvPr id="47" name="AutoShape 1">
          <a:extLst>
            <a:ext uri="{FF2B5EF4-FFF2-40B4-BE49-F238E27FC236}">
              <a16:creationId xmlns:a16="http://schemas.microsoft.com/office/drawing/2014/main" id="{DD6FC30A-6DE7-464C-9EFA-6AED6968A162}"/>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7284</xdr:colOff>
      <xdr:row>122</xdr:row>
      <xdr:rowOff>28761</xdr:rowOff>
    </xdr:from>
    <xdr:to>
      <xdr:col>60</xdr:col>
      <xdr:colOff>7283</xdr:colOff>
      <xdr:row>122</xdr:row>
      <xdr:rowOff>216647</xdr:rowOff>
    </xdr:to>
    <xdr:sp macro="" textlink="">
      <xdr:nvSpPr>
        <xdr:cNvPr id="49" name="正方形/長方形 48">
          <a:extLst>
            <a:ext uri="{FF2B5EF4-FFF2-40B4-BE49-F238E27FC236}">
              <a16:creationId xmlns:a16="http://schemas.microsoft.com/office/drawing/2014/main" id="{131F4A10-4384-4395-BE3B-63EF8FA3751B}"/>
            </a:ext>
          </a:extLst>
        </xdr:cNvPr>
        <xdr:cNvSpPr/>
      </xdr:nvSpPr>
      <xdr:spPr>
        <a:xfrm>
          <a:off x="6446184" y="12077886"/>
          <a:ext cx="990599" cy="1878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17</xdr:col>
      <xdr:colOff>89647</xdr:colOff>
      <xdr:row>19</xdr:row>
      <xdr:rowOff>14941</xdr:rowOff>
    </xdr:from>
    <xdr:to>
      <xdr:col>21</xdr:col>
      <xdr:colOff>118222</xdr:colOff>
      <xdr:row>19</xdr:row>
      <xdr:rowOff>214966</xdr:rowOff>
    </xdr:to>
    <xdr:sp macro="" textlink="">
      <xdr:nvSpPr>
        <xdr:cNvPr id="24" name="正方形/長方形 23">
          <a:extLst>
            <a:ext uri="{FF2B5EF4-FFF2-40B4-BE49-F238E27FC236}">
              <a16:creationId xmlns:a16="http://schemas.microsoft.com/office/drawing/2014/main" id="{D47FC9A7-0642-493F-B8F6-0D6086B0375E}"/>
            </a:ext>
          </a:extLst>
        </xdr:cNvPr>
        <xdr:cNvSpPr/>
      </xdr:nvSpPr>
      <xdr:spPr>
        <a:xfrm>
          <a:off x="1994647" y="3182470"/>
          <a:ext cx="53657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115047</xdr:colOff>
      <xdr:row>19</xdr:row>
      <xdr:rowOff>30817</xdr:rowOff>
    </xdr:from>
    <xdr:to>
      <xdr:col>26</xdr:col>
      <xdr:colOff>114650</xdr:colOff>
      <xdr:row>19</xdr:row>
      <xdr:rowOff>221317</xdr:rowOff>
    </xdr:to>
    <xdr:sp macro="" textlink="">
      <xdr:nvSpPr>
        <xdr:cNvPr id="25" name="正方形/長方形 24">
          <a:extLst>
            <a:ext uri="{FF2B5EF4-FFF2-40B4-BE49-F238E27FC236}">
              <a16:creationId xmlns:a16="http://schemas.microsoft.com/office/drawing/2014/main" id="{F44DACF0-9A30-4FB0-A48C-E1C1F8885E61}"/>
            </a:ext>
          </a:extLst>
        </xdr:cNvPr>
        <xdr:cNvSpPr/>
      </xdr:nvSpPr>
      <xdr:spPr>
        <a:xfrm>
          <a:off x="2839197" y="3716992"/>
          <a:ext cx="4949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7469</xdr:colOff>
      <xdr:row>22</xdr:row>
      <xdr:rowOff>22412</xdr:rowOff>
    </xdr:from>
    <xdr:to>
      <xdr:col>56</xdr:col>
      <xdr:colOff>14069</xdr:colOff>
      <xdr:row>22</xdr:row>
      <xdr:rowOff>212912</xdr:rowOff>
    </xdr:to>
    <xdr:sp macro="" textlink="">
      <xdr:nvSpPr>
        <xdr:cNvPr id="28" name="正方形/長方形 27">
          <a:extLst>
            <a:ext uri="{FF2B5EF4-FFF2-40B4-BE49-F238E27FC236}">
              <a16:creationId xmlns:a16="http://schemas.microsoft.com/office/drawing/2014/main" id="{4D221412-C44B-4A0B-BA25-C1EA45F99CD3}"/>
            </a:ext>
          </a:extLst>
        </xdr:cNvPr>
        <xdr:cNvSpPr/>
      </xdr:nvSpPr>
      <xdr:spPr>
        <a:xfrm>
          <a:off x="6484469" y="3683000"/>
          <a:ext cx="5146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112059</xdr:colOff>
      <xdr:row>19</xdr:row>
      <xdr:rowOff>22413</xdr:rowOff>
    </xdr:from>
    <xdr:to>
      <xdr:col>55</xdr:col>
      <xdr:colOff>118659</xdr:colOff>
      <xdr:row>19</xdr:row>
      <xdr:rowOff>212913</xdr:rowOff>
    </xdr:to>
    <xdr:sp macro="" textlink="">
      <xdr:nvSpPr>
        <xdr:cNvPr id="54" name="正方形/長方形 53">
          <a:extLst>
            <a:ext uri="{FF2B5EF4-FFF2-40B4-BE49-F238E27FC236}">
              <a16:creationId xmlns:a16="http://schemas.microsoft.com/office/drawing/2014/main" id="{80319593-C711-4399-BE49-01D881111A52}"/>
            </a:ext>
          </a:extLst>
        </xdr:cNvPr>
        <xdr:cNvSpPr/>
      </xdr:nvSpPr>
      <xdr:spPr>
        <a:xfrm>
          <a:off x="6462059" y="3189942"/>
          <a:ext cx="5146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44823</xdr:colOff>
      <xdr:row>19</xdr:row>
      <xdr:rowOff>29883</xdr:rowOff>
    </xdr:from>
    <xdr:to>
      <xdr:col>61</xdr:col>
      <xdr:colOff>47601</xdr:colOff>
      <xdr:row>19</xdr:row>
      <xdr:rowOff>220383</xdr:rowOff>
    </xdr:to>
    <xdr:sp macro="" textlink="">
      <xdr:nvSpPr>
        <xdr:cNvPr id="55" name="正方形/長方形 54">
          <a:extLst>
            <a:ext uri="{FF2B5EF4-FFF2-40B4-BE49-F238E27FC236}">
              <a16:creationId xmlns:a16="http://schemas.microsoft.com/office/drawing/2014/main" id="{F1A95FAC-B712-4A7B-8D67-CCEE508B68C2}"/>
            </a:ext>
          </a:extLst>
        </xdr:cNvPr>
        <xdr:cNvSpPr/>
      </xdr:nvSpPr>
      <xdr:spPr>
        <a:xfrm>
          <a:off x="7156823" y="3197412"/>
          <a:ext cx="5107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2055</xdr:colOff>
      <xdr:row>121</xdr:row>
      <xdr:rowOff>26709</xdr:rowOff>
    </xdr:from>
    <xdr:to>
      <xdr:col>56</xdr:col>
      <xdr:colOff>8590</xdr:colOff>
      <xdr:row>121</xdr:row>
      <xdr:rowOff>212352</xdr:rowOff>
    </xdr:to>
    <xdr:sp macro="" textlink="">
      <xdr:nvSpPr>
        <xdr:cNvPr id="64" name="正方形/長方形 63">
          <a:extLst>
            <a:ext uri="{FF2B5EF4-FFF2-40B4-BE49-F238E27FC236}">
              <a16:creationId xmlns:a16="http://schemas.microsoft.com/office/drawing/2014/main" id="{A0E176B8-7ABC-4892-9CE9-37C4E6E23557}"/>
            </a:ext>
          </a:extLst>
        </xdr:cNvPr>
        <xdr:cNvSpPr/>
      </xdr:nvSpPr>
      <xdr:spPr>
        <a:xfrm>
          <a:off x="6440955" y="11828184"/>
          <a:ext cx="501835" cy="185643"/>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4137 </a:t>
          </a:r>
        </a:p>
      </xdr:txBody>
    </xdr:sp>
    <xdr:clientData/>
  </xdr:twoCellAnchor>
  <xdr:oneCellAnchor>
    <xdr:from>
      <xdr:col>75</xdr:col>
      <xdr:colOff>0</xdr:colOff>
      <xdr:row>15</xdr:row>
      <xdr:rowOff>0</xdr:rowOff>
    </xdr:from>
    <xdr:ext cx="292100" cy="293519"/>
    <xdr:sp macro="" textlink="">
      <xdr:nvSpPr>
        <xdr:cNvPr id="20" name="AutoShape 1">
          <a:extLst>
            <a:ext uri="{FF2B5EF4-FFF2-40B4-BE49-F238E27FC236}">
              <a16:creationId xmlns:a16="http://schemas.microsoft.com/office/drawing/2014/main" id="{418AE0FC-CAB2-49A5-ABCC-C443D87ADD88}"/>
            </a:ext>
          </a:extLst>
        </xdr:cNvPr>
        <xdr:cNvSpPr>
          <a:spLocks noChangeAspect="1" noChangeArrowheads="1"/>
        </xdr:cNvSpPr>
      </xdr:nvSpPr>
      <xdr:spPr bwMode="auto">
        <a:xfrm>
          <a:off x="9286875" y="269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17</xdr:row>
      <xdr:rowOff>30768</xdr:rowOff>
    </xdr:from>
    <xdr:to>
      <xdr:col>24</xdr:col>
      <xdr:colOff>64329</xdr:colOff>
      <xdr:row>17</xdr:row>
      <xdr:rowOff>219335</xdr:rowOff>
    </xdr:to>
    <xdr:sp macro="" textlink="">
      <xdr:nvSpPr>
        <xdr:cNvPr id="21" name="正方形/長方形 20">
          <a:extLst>
            <a:ext uri="{FF2B5EF4-FFF2-40B4-BE49-F238E27FC236}">
              <a16:creationId xmlns:a16="http://schemas.microsoft.com/office/drawing/2014/main" id="{2F600CBD-A1AE-48EF-AB9C-1989CCD32E38}"/>
            </a:ext>
          </a:extLst>
        </xdr:cNvPr>
        <xdr:cNvSpPr/>
      </xdr:nvSpPr>
      <xdr:spPr>
        <a:xfrm>
          <a:off x="2464767" y="4212243"/>
          <a:ext cx="571362"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40</xdr:col>
      <xdr:colOff>82550</xdr:colOff>
      <xdr:row>24</xdr:row>
      <xdr:rowOff>25400</xdr:rowOff>
    </xdr:from>
    <xdr:to>
      <xdr:col>46</xdr:col>
      <xdr:colOff>44800</xdr:colOff>
      <xdr:row>24</xdr:row>
      <xdr:rowOff>229750</xdr:rowOff>
    </xdr:to>
    <xdr:sp macro="" textlink="">
      <xdr:nvSpPr>
        <xdr:cNvPr id="59" name="正方形/長方形 58">
          <a:extLst>
            <a:ext uri="{FF2B5EF4-FFF2-40B4-BE49-F238E27FC236}">
              <a16:creationId xmlns:a16="http://schemas.microsoft.com/office/drawing/2014/main" id="{C0652ABA-0875-4411-91AF-47E66D0385E8}"/>
            </a:ext>
          </a:extLst>
        </xdr:cNvPr>
        <xdr:cNvSpPr/>
      </xdr:nvSpPr>
      <xdr:spPr>
        <a:xfrm>
          <a:off x="5035550" y="4949825"/>
          <a:ext cx="70520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24</xdr:row>
      <xdr:rowOff>28575</xdr:rowOff>
    </xdr:from>
    <xdr:to>
      <xdr:col>52</xdr:col>
      <xdr:colOff>103620</xdr:colOff>
      <xdr:row>24</xdr:row>
      <xdr:rowOff>229750</xdr:rowOff>
    </xdr:to>
    <xdr:sp macro="" textlink="">
      <xdr:nvSpPr>
        <xdr:cNvPr id="65" name="正方形/長方形 64">
          <a:extLst>
            <a:ext uri="{FF2B5EF4-FFF2-40B4-BE49-F238E27FC236}">
              <a16:creationId xmlns:a16="http://schemas.microsoft.com/office/drawing/2014/main" id="{8ECBD980-5644-488A-AF72-5B197F6A8059}"/>
            </a:ext>
          </a:extLst>
        </xdr:cNvPr>
        <xdr:cNvSpPr/>
      </xdr:nvSpPr>
      <xdr:spPr>
        <a:xfrm>
          <a:off x="5830970" y="4953000"/>
          <a:ext cx="7115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24</xdr:row>
      <xdr:rowOff>38100</xdr:rowOff>
    </xdr:from>
    <xdr:to>
      <xdr:col>39</xdr:col>
      <xdr:colOff>38450</xdr:colOff>
      <xdr:row>24</xdr:row>
      <xdr:rowOff>239275</xdr:rowOff>
    </xdr:to>
    <xdr:sp macro="" textlink="">
      <xdr:nvSpPr>
        <xdr:cNvPr id="67" name="正方形/長方形 66">
          <a:extLst>
            <a:ext uri="{FF2B5EF4-FFF2-40B4-BE49-F238E27FC236}">
              <a16:creationId xmlns:a16="http://schemas.microsoft.com/office/drawing/2014/main" id="{255DEBE9-F95B-4B01-BF42-7986C7E6DD91}"/>
            </a:ext>
          </a:extLst>
        </xdr:cNvPr>
        <xdr:cNvSpPr/>
      </xdr:nvSpPr>
      <xdr:spPr>
        <a:xfrm>
          <a:off x="4171950" y="4962525"/>
          <a:ext cx="695675"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17</xdr:col>
      <xdr:colOff>89647</xdr:colOff>
      <xdr:row>121</xdr:row>
      <xdr:rowOff>14941</xdr:rowOff>
    </xdr:from>
    <xdr:to>
      <xdr:col>21</xdr:col>
      <xdr:colOff>118222</xdr:colOff>
      <xdr:row>121</xdr:row>
      <xdr:rowOff>214966</xdr:rowOff>
    </xdr:to>
    <xdr:sp macro="" textlink="">
      <xdr:nvSpPr>
        <xdr:cNvPr id="71" name="正方形/長方形 70">
          <a:extLst>
            <a:ext uri="{FF2B5EF4-FFF2-40B4-BE49-F238E27FC236}">
              <a16:creationId xmlns:a16="http://schemas.microsoft.com/office/drawing/2014/main" id="{460773F2-8F45-4094-A547-0F3D93286D38}"/>
            </a:ext>
          </a:extLst>
        </xdr:cNvPr>
        <xdr:cNvSpPr/>
      </xdr:nvSpPr>
      <xdr:spPr>
        <a:xfrm>
          <a:off x="2191497" y="3697941"/>
          <a:ext cx="5302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10</a:t>
          </a:r>
        </a:p>
      </xdr:txBody>
    </xdr:sp>
    <xdr:clientData/>
  </xdr:twoCellAnchor>
  <xdr:twoCellAnchor>
    <xdr:from>
      <xdr:col>23</xdr:col>
      <xdr:colOff>121397</xdr:colOff>
      <xdr:row>121</xdr:row>
      <xdr:rowOff>24467</xdr:rowOff>
    </xdr:from>
    <xdr:to>
      <xdr:col>27</xdr:col>
      <xdr:colOff>124175</xdr:colOff>
      <xdr:row>121</xdr:row>
      <xdr:rowOff>214967</xdr:rowOff>
    </xdr:to>
    <xdr:sp macro="" textlink="">
      <xdr:nvSpPr>
        <xdr:cNvPr id="72" name="正方形/長方形 71">
          <a:extLst>
            <a:ext uri="{FF2B5EF4-FFF2-40B4-BE49-F238E27FC236}">
              <a16:creationId xmlns:a16="http://schemas.microsoft.com/office/drawing/2014/main" id="{2D251800-95C8-447C-9936-6C3B6A4F63C4}"/>
            </a:ext>
          </a:extLst>
        </xdr:cNvPr>
        <xdr:cNvSpPr/>
      </xdr:nvSpPr>
      <xdr:spPr>
        <a:xfrm>
          <a:off x="2972547" y="3713817"/>
          <a:ext cx="4917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76012</xdr:colOff>
      <xdr:row>124</xdr:row>
      <xdr:rowOff>28576</xdr:rowOff>
    </xdr:from>
    <xdr:to>
      <xdr:col>23</xdr:col>
      <xdr:colOff>28574</xdr:colOff>
      <xdr:row>124</xdr:row>
      <xdr:rowOff>215900</xdr:rowOff>
    </xdr:to>
    <xdr:sp macro="" textlink="">
      <xdr:nvSpPr>
        <xdr:cNvPr id="73" name="正方形/長方形 72">
          <a:extLst>
            <a:ext uri="{FF2B5EF4-FFF2-40B4-BE49-F238E27FC236}">
              <a16:creationId xmlns:a16="http://schemas.microsoft.com/office/drawing/2014/main" id="{FB9D652F-8372-420B-BF06-8C490C0A9D23}"/>
            </a:ext>
          </a:extLst>
        </xdr:cNvPr>
        <xdr:cNvSpPr/>
      </xdr:nvSpPr>
      <xdr:spPr>
        <a:xfrm>
          <a:off x="2342962" y="29908501"/>
          <a:ext cx="752662" cy="18732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191113 </a:t>
          </a:r>
        </a:p>
      </xdr:txBody>
    </xdr:sp>
    <xdr:clientData/>
  </xdr:twoCellAnchor>
  <xdr:twoCellAnchor>
    <xdr:from>
      <xdr:col>24</xdr:col>
      <xdr:colOff>2989</xdr:colOff>
      <xdr:row>124</xdr:row>
      <xdr:rowOff>27829</xdr:rowOff>
    </xdr:from>
    <xdr:to>
      <xdr:col>27</xdr:col>
      <xdr:colOff>132767</xdr:colOff>
      <xdr:row>124</xdr:row>
      <xdr:rowOff>218329</xdr:rowOff>
    </xdr:to>
    <xdr:sp macro="" textlink="">
      <xdr:nvSpPr>
        <xdr:cNvPr id="74" name="正方形/長方形 73">
          <a:extLst>
            <a:ext uri="{FF2B5EF4-FFF2-40B4-BE49-F238E27FC236}">
              <a16:creationId xmlns:a16="http://schemas.microsoft.com/office/drawing/2014/main" id="{A15484DD-79E7-4EFC-B6C1-1B1A83BA176F}"/>
            </a:ext>
          </a:extLst>
        </xdr:cNvPr>
        <xdr:cNvSpPr/>
      </xdr:nvSpPr>
      <xdr:spPr>
        <a:xfrm>
          <a:off x="3203389" y="29907754"/>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57</xdr:col>
      <xdr:colOff>44823</xdr:colOff>
      <xdr:row>121</xdr:row>
      <xdr:rowOff>29883</xdr:rowOff>
    </xdr:from>
    <xdr:to>
      <xdr:col>61</xdr:col>
      <xdr:colOff>47601</xdr:colOff>
      <xdr:row>121</xdr:row>
      <xdr:rowOff>220383</xdr:rowOff>
    </xdr:to>
    <xdr:sp macro="" textlink="">
      <xdr:nvSpPr>
        <xdr:cNvPr id="86" name="正方形/長方形 85">
          <a:extLst>
            <a:ext uri="{FF2B5EF4-FFF2-40B4-BE49-F238E27FC236}">
              <a16:creationId xmlns:a16="http://schemas.microsoft.com/office/drawing/2014/main" id="{18C2FBEB-24F9-4357-8DDB-07D88E7CD53D}"/>
            </a:ext>
          </a:extLst>
        </xdr:cNvPr>
        <xdr:cNvSpPr/>
      </xdr:nvSpPr>
      <xdr:spPr>
        <a:xfrm>
          <a:off x="7106023" y="3712883"/>
          <a:ext cx="4980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82550</xdr:colOff>
      <xdr:row>127</xdr:row>
      <xdr:rowOff>25400</xdr:rowOff>
    </xdr:from>
    <xdr:to>
      <xdr:col>46</xdr:col>
      <xdr:colOff>44800</xdr:colOff>
      <xdr:row>127</xdr:row>
      <xdr:rowOff>229750</xdr:rowOff>
    </xdr:to>
    <xdr:sp macro="" textlink="">
      <xdr:nvSpPr>
        <xdr:cNvPr id="87" name="正方形/長方形 86">
          <a:extLst>
            <a:ext uri="{FF2B5EF4-FFF2-40B4-BE49-F238E27FC236}">
              <a16:creationId xmlns:a16="http://schemas.microsoft.com/office/drawing/2014/main" id="{813329B0-DEFD-4385-942A-A1D7028FD9BA}"/>
            </a:ext>
          </a:extLst>
        </xdr:cNvPr>
        <xdr:cNvSpPr/>
      </xdr:nvSpPr>
      <xdr:spPr>
        <a:xfrm>
          <a:off x="5038725" y="4953000"/>
          <a:ext cx="70520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127</xdr:row>
      <xdr:rowOff>28575</xdr:rowOff>
    </xdr:from>
    <xdr:to>
      <xdr:col>52</xdr:col>
      <xdr:colOff>103620</xdr:colOff>
      <xdr:row>127</xdr:row>
      <xdr:rowOff>229750</xdr:rowOff>
    </xdr:to>
    <xdr:sp macro="" textlink="">
      <xdr:nvSpPr>
        <xdr:cNvPr id="88" name="正方形/長方形 87">
          <a:extLst>
            <a:ext uri="{FF2B5EF4-FFF2-40B4-BE49-F238E27FC236}">
              <a16:creationId xmlns:a16="http://schemas.microsoft.com/office/drawing/2014/main" id="{99189C90-F1D4-4681-A993-6523F94467B1}"/>
            </a:ext>
          </a:extLst>
        </xdr:cNvPr>
        <xdr:cNvSpPr/>
      </xdr:nvSpPr>
      <xdr:spPr>
        <a:xfrm>
          <a:off x="5827795" y="4949825"/>
          <a:ext cx="71790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127</xdr:row>
      <xdr:rowOff>38100</xdr:rowOff>
    </xdr:from>
    <xdr:to>
      <xdr:col>39</xdr:col>
      <xdr:colOff>38450</xdr:colOff>
      <xdr:row>127</xdr:row>
      <xdr:rowOff>239275</xdr:rowOff>
    </xdr:to>
    <xdr:sp macro="" textlink="">
      <xdr:nvSpPr>
        <xdr:cNvPr id="89" name="正方形/長方形 88">
          <a:extLst>
            <a:ext uri="{FF2B5EF4-FFF2-40B4-BE49-F238E27FC236}">
              <a16:creationId xmlns:a16="http://schemas.microsoft.com/office/drawing/2014/main" id="{6DEE79BB-F20E-463C-9F57-F5DE3668286E}"/>
            </a:ext>
          </a:extLst>
        </xdr:cNvPr>
        <xdr:cNvSpPr/>
      </xdr:nvSpPr>
      <xdr:spPr>
        <a:xfrm>
          <a:off x="4168775" y="4962525"/>
          <a:ext cx="6988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17</xdr:col>
      <xdr:colOff>130175</xdr:colOff>
      <xdr:row>123</xdr:row>
      <xdr:rowOff>34925</xdr:rowOff>
    </xdr:from>
    <xdr:to>
      <xdr:col>22</xdr:col>
      <xdr:colOff>6535</xdr:colOff>
      <xdr:row>123</xdr:row>
      <xdr:rowOff>217393</xdr:rowOff>
    </xdr:to>
    <xdr:sp macro="" textlink="">
      <xdr:nvSpPr>
        <xdr:cNvPr id="90" name="正方形/長方形 89">
          <a:extLst>
            <a:ext uri="{FF2B5EF4-FFF2-40B4-BE49-F238E27FC236}">
              <a16:creationId xmlns:a16="http://schemas.microsoft.com/office/drawing/2014/main" id="{B2CB9E61-65EF-45CD-A8B0-F1A9F52ADB8D}"/>
            </a:ext>
          </a:extLst>
        </xdr:cNvPr>
        <xdr:cNvSpPr/>
      </xdr:nvSpPr>
      <xdr:spPr>
        <a:xfrm>
          <a:off x="2397125" y="29667200"/>
          <a:ext cx="5431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2024</a:t>
          </a:r>
        </a:p>
      </xdr:txBody>
    </xdr:sp>
    <xdr:clientData/>
  </xdr:twoCellAnchor>
  <xdr:twoCellAnchor>
    <xdr:from>
      <xdr:col>51</xdr:col>
      <xdr:colOff>130175</xdr:colOff>
      <xdr:row>124</xdr:row>
      <xdr:rowOff>28575</xdr:rowOff>
    </xdr:from>
    <xdr:to>
      <xdr:col>56</xdr:col>
      <xdr:colOff>6535</xdr:colOff>
      <xdr:row>124</xdr:row>
      <xdr:rowOff>211043</xdr:rowOff>
    </xdr:to>
    <xdr:sp macro="" textlink="">
      <xdr:nvSpPr>
        <xdr:cNvPr id="91" name="正方形/長方形 90">
          <a:extLst>
            <a:ext uri="{FF2B5EF4-FFF2-40B4-BE49-F238E27FC236}">
              <a16:creationId xmlns:a16="http://schemas.microsoft.com/office/drawing/2014/main" id="{62D8785C-4774-41B3-9ECE-AE505B4233CE}"/>
            </a:ext>
          </a:extLst>
        </xdr:cNvPr>
        <xdr:cNvSpPr/>
      </xdr:nvSpPr>
      <xdr:spPr>
        <a:xfrm>
          <a:off x="6931025" y="29908500"/>
          <a:ext cx="5431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01</a:t>
          </a:r>
        </a:p>
      </xdr:txBody>
    </xdr:sp>
    <xdr:clientData/>
  </xdr:twoCellAnchor>
  <xdr:oneCellAnchor>
    <xdr:from>
      <xdr:col>75</xdr:col>
      <xdr:colOff>0</xdr:colOff>
      <xdr:row>117</xdr:row>
      <xdr:rowOff>0</xdr:rowOff>
    </xdr:from>
    <xdr:ext cx="292100" cy="293519"/>
    <xdr:sp macro="" textlink="">
      <xdr:nvSpPr>
        <xdr:cNvPr id="94" name="AutoShape 1">
          <a:extLst>
            <a:ext uri="{FF2B5EF4-FFF2-40B4-BE49-F238E27FC236}">
              <a16:creationId xmlns:a16="http://schemas.microsoft.com/office/drawing/2014/main" id="{19E94306-08F2-4D95-BDBA-615003F830CB}"/>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160</xdr:row>
      <xdr:rowOff>0</xdr:rowOff>
    </xdr:from>
    <xdr:ext cx="285750" cy="297815"/>
    <xdr:sp macro="" textlink="">
      <xdr:nvSpPr>
        <xdr:cNvPr id="98" name="AutoShape 1">
          <a:extLst>
            <a:ext uri="{FF2B5EF4-FFF2-40B4-BE49-F238E27FC236}">
              <a16:creationId xmlns:a16="http://schemas.microsoft.com/office/drawing/2014/main" id="{9CF78E4C-3D3B-4C26-989B-D130C909AFE8}"/>
            </a:ext>
          </a:extLst>
        </xdr:cNvPr>
        <xdr:cNvSpPr>
          <a:spLocks noChangeAspect="1" noChangeArrowheads="1"/>
        </xdr:cNvSpPr>
      </xdr:nvSpPr>
      <xdr:spPr bwMode="auto">
        <a:xfrm>
          <a:off x="9286875" y="10067925"/>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7284</xdr:colOff>
      <xdr:row>165</xdr:row>
      <xdr:rowOff>28761</xdr:rowOff>
    </xdr:from>
    <xdr:to>
      <xdr:col>60</xdr:col>
      <xdr:colOff>7283</xdr:colOff>
      <xdr:row>165</xdr:row>
      <xdr:rowOff>216647</xdr:rowOff>
    </xdr:to>
    <xdr:sp macro="" textlink="">
      <xdr:nvSpPr>
        <xdr:cNvPr id="99" name="正方形/長方形 98">
          <a:extLst>
            <a:ext uri="{FF2B5EF4-FFF2-40B4-BE49-F238E27FC236}">
              <a16:creationId xmlns:a16="http://schemas.microsoft.com/office/drawing/2014/main" id="{FF092C3A-573B-4692-8A45-F6FBEFFDDA63}"/>
            </a:ext>
          </a:extLst>
        </xdr:cNvPr>
        <xdr:cNvSpPr/>
      </xdr:nvSpPr>
      <xdr:spPr>
        <a:xfrm>
          <a:off x="6449359" y="11331761"/>
          <a:ext cx="9905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2026/03/31</a:t>
          </a:r>
        </a:p>
      </xdr:txBody>
    </xdr:sp>
    <xdr:clientData/>
  </xdr:twoCellAnchor>
  <xdr:twoCellAnchor>
    <xdr:from>
      <xdr:col>52</xdr:col>
      <xdr:colOff>2055</xdr:colOff>
      <xdr:row>164</xdr:row>
      <xdr:rowOff>26709</xdr:rowOff>
    </xdr:from>
    <xdr:to>
      <xdr:col>56</xdr:col>
      <xdr:colOff>8590</xdr:colOff>
      <xdr:row>164</xdr:row>
      <xdr:rowOff>212352</xdr:rowOff>
    </xdr:to>
    <xdr:sp macro="" textlink="">
      <xdr:nvSpPr>
        <xdr:cNvPr id="100" name="正方形/長方形 99">
          <a:extLst>
            <a:ext uri="{FF2B5EF4-FFF2-40B4-BE49-F238E27FC236}">
              <a16:creationId xmlns:a16="http://schemas.microsoft.com/office/drawing/2014/main" id="{6F96EA39-AACB-48ED-95C6-17B5DE07B31E}"/>
            </a:ext>
          </a:extLst>
        </xdr:cNvPr>
        <xdr:cNvSpPr/>
      </xdr:nvSpPr>
      <xdr:spPr>
        <a:xfrm>
          <a:off x="6440955" y="11088409"/>
          <a:ext cx="5050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4137 </a:t>
          </a:r>
        </a:p>
      </xdr:txBody>
    </xdr:sp>
    <xdr:clientData/>
  </xdr:twoCellAnchor>
  <xdr:oneCellAnchor>
    <xdr:from>
      <xdr:col>75</xdr:col>
      <xdr:colOff>0</xdr:colOff>
      <xdr:row>170</xdr:row>
      <xdr:rowOff>0</xdr:rowOff>
    </xdr:from>
    <xdr:ext cx="292100" cy="293519"/>
    <xdr:sp macro="" textlink="">
      <xdr:nvSpPr>
        <xdr:cNvPr id="101" name="AutoShape 1">
          <a:extLst>
            <a:ext uri="{FF2B5EF4-FFF2-40B4-BE49-F238E27FC236}">
              <a16:creationId xmlns:a16="http://schemas.microsoft.com/office/drawing/2014/main" id="{1FB0734C-B818-4DE2-AF93-87EFC20EDEA0}"/>
            </a:ext>
          </a:extLst>
        </xdr:cNvPr>
        <xdr:cNvSpPr>
          <a:spLocks noChangeAspect="1" noChangeArrowheads="1"/>
        </xdr:cNvSpPr>
      </xdr:nvSpPr>
      <xdr:spPr bwMode="auto">
        <a:xfrm>
          <a:off x="9286875" y="122967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89647</xdr:colOff>
      <xdr:row>164</xdr:row>
      <xdr:rowOff>14941</xdr:rowOff>
    </xdr:from>
    <xdr:to>
      <xdr:col>21</xdr:col>
      <xdr:colOff>118222</xdr:colOff>
      <xdr:row>164</xdr:row>
      <xdr:rowOff>214966</xdr:rowOff>
    </xdr:to>
    <xdr:sp macro="" textlink="">
      <xdr:nvSpPr>
        <xdr:cNvPr id="102" name="正方形/長方形 101">
          <a:extLst>
            <a:ext uri="{FF2B5EF4-FFF2-40B4-BE49-F238E27FC236}">
              <a16:creationId xmlns:a16="http://schemas.microsoft.com/office/drawing/2014/main" id="{5838186F-BA95-4D6B-B3D3-C51C4387DD10}"/>
            </a:ext>
          </a:extLst>
        </xdr:cNvPr>
        <xdr:cNvSpPr/>
      </xdr:nvSpPr>
      <xdr:spPr>
        <a:xfrm>
          <a:off x="2191497" y="11070291"/>
          <a:ext cx="5302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10</a:t>
          </a:r>
        </a:p>
      </xdr:txBody>
    </xdr:sp>
    <xdr:clientData/>
  </xdr:twoCellAnchor>
  <xdr:twoCellAnchor>
    <xdr:from>
      <xdr:col>23</xdr:col>
      <xdr:colOff>121397</xdr:colOff>
      <xdr:row>164</xdr:row>
      <xdr:rowOff>24467</xdr:rowOff>
    </xdr:from>
    <xdr:to>
      <xdr:col>27</xdr:col>
      <xdr:colOff>124175</xdr:colOff>
      <xdr:row>164</xdr:row>
      <xdr:rowOff>214967</xdr:rowOff>
    </xdr:to>
    <xdr:sp macro="" textlink="">
      <xdr:nvSpPr>
        <xdr:cNvPr id="103" name="正方形/長方形 102">
          <a:extLst>
            <a:ext uri="{FF2B5EF4-FFF2-40B4-BE49-F238E27FC236}">
              <a16:creationId xmlns:a16="http://schemas.microsoft.com/office/drawing/2014/main" id="{54F8661F-364C-420F-9EC6-FA150088CE3A}"/>
            </a:ext>
          </a:extLst>
        </xdr:cNvPr>
        <xdr:cNvSpPr/>
      </xdr:nvSpPr>
      <xdr:spPr>
        <a:xfrm>
          <a:off x="2972547" y="11086167"/>
          <a:ext cx="4917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9339</xdr:colOff>
      <xdr:row>168</xdr:row>
      <xdr:rowOff>37354</xdr:rowOff>
    </xdr:from>
    <xdr:to>
      <xdr:col>28</xdr:col>
      <xdr:colOff>12117</xdr:colOff>
      <xdr:row>168</xdr:row>
      <xdr:rowOff>227854</xdr:rowOff>
    </xdr:to>
    <xdr:sp macro="" textlink="">
      <xdr:nvSpPr>
        <xdr:cNvPr id="109" name="正方形/長方形 108">
          <a:extLst>
            <a:ext uri="{FF2B5EF4-FFF2-40B4-BE49-F238E27FC236}">
              <a16:creationId xmlns:a16="http://schemas.microsoft.com/office/drawing/2014/main" id="{8E1194A7-B136-4869-ABF4-6D2804654BB3}"/>
            </a:ext>
          </a:extLst>
        </xdr:cNvPr>
        <xdr:cNvSpPr/>
      </xdr:nvSpPr>
      <xdr:spPr>
        <a:xfrm>
          <a:off x="2984314" y="11838829"/>
          <a:ext cx="4917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57</xdr:col>
      <xdr:colOff>44823</xdr:colOff>
      <xdr:row>164</xdr:row>
      <xdr:rowOff>29883</xdr:rowOff>
    </xdr:from>
    <xdr:to>
      <xdr:col>61</xdr:col>
      <xdr:colOff>47601</xdr:colOff>
      <xdr:row>164</xdr:row>
      <xdr:rowOff>220383</xdr:rowOff>
    </xdr:to>
    <xdr:sp macro="" textlink="">
      <xdr:nvSpPr>
        <xdr:cNvPr id="112" name="正方形/長方形 111">
          <a:extLst>
            <a:ext uri="{FF2B5EF4-FFF2-40B4-BE49-F238E27FC236}">
              <a16:creationId xmlns:a16="http://schemas.microsoft.com/office/drawing/2014/main" id="{EFFA5D20-2D4A-47EB-B5B5-47640B7FC2D8}"/>
            </a:ext>
          </a:extLst>
        </xdr:cNvPr>
        <xdr:cNvSpPr/>
      </xdr:nvSpPr>
      <xdr:spPr>
        <a:xfrm>
          <a:off x="7106023" y="11085233"/>
          <a:ext cx="4980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82550</xdr:colOff>
      <xdr:row>170</xdr:row>
      <xdr:rowOff>25400</xdr:rowOff>
    </xdr:from>
    <xdr:to>
      <xdr:col>46</xdr:col>
      <xdr:colOff>44800</xdr:colOff>
      <xdr:row>170</xdr:row>
      <xdr:rowOff>229750</xdr:rowOff>
    </xdr:to>
    <xdr:sp macro="" textlink="">
      <xdr:nvSpPr>
        <xdr:cNvPr id="113" name="正方形/長方形 112">
          <a:extLst>
            <a:ext uri="{FF2B5EF4-FFF2-40B4-BE49-F238E27FC236}">
              <a16:creationId xmlns:a16="http://schemas.microsoft.com/office/drawing/2014/main" id="{305FB1EC-5F23-4474-A345-85E09EFDE37E}"/>
            </a:ext>
          </a:extLst>
        </xdr:cNvPr>
        <xdr:cNvSpPr/>
      </xdr:nvSpPr>
      <xdr:spPr>
        <a:xfrm>
          <a:off x="5038725" y="12325350"/>
          <a:ext cx="70520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170</xdr:row>
      <xdr:rowOff>28575</xdr:rowOff>
    </xdr:from>
    <xdr:to>
      <xdr:col>52</xdr:col>
      <xdr:colOff>103620</xdr:colOff>
      <xdr:row>170</xdr:row>
      <xdr:rowOff>229750</xdr:rowOff>
    </xdr:to>
    <xdr:sp macro="" textlink="">
      <xdr:nvSpPr>
        <xdr:cNvPr id="114" name="正方形/長方形 113">
          <a:extLst>
            <a:ext uri="{FF2B5EF4-FFF2-40B4-BE49-F238E27FC236}">
              <a16:creationId xmlns:a16="http://schemas.microsoft.com/office/drawing/2014/main" id="{2870762D-7405-4EBF-907C-C947E30BB237}"/>
            </a:ext>
          </a:extLst>
        </xdr:cNvPr>
        <xdr:cNvSpPr/>
      </xdr:nvSpPr>
      <xdr:spPr>
        <a:xfrm>
          <a:off x="5827795" y="12322175"/>
          <a:ext cx="71790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170</xdr:row>
      <xdr:rowOff>38100</xdr:rowOff>
    </xdr:from>
    <xdr:to>
      <xdr:col>39</xdr:col>
      <xdr:colOff>38450</xdr:colOff>
      <xdr:row>170</xdr:row>
      <xdr:rowOff>239275</xdr:rowOff>
    </xdr:to>
    <xdr:sp macro="" textlink="">
      <xdr:nvSpPr>
        <xdr:cNvPr id="115" name="正方形/長方形 114">
          <a:extLst>
            <a:ext uri="{FF2B5EF4-FFF2-40B4-BE49-F238E27FC236}">
              <a16:creationId xmlns:a16="http://schemas.microsoft.com/office/drawing/2014/main" id="{04E2A1A7-12BF-4328-B9BA-96CBBADBB529}"/>
            </a:ext>
          </a:extLst>
        </xdr:cNvPr>
        <xdr:cNvSpPr/>
      </xdr:nvSpPr>
      <xdr:spPr>
        <a:xfrm>
          <a:off x="4168775" y="12334875"/>
          <a:ext cx="6988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75</xdr:col>
      <xdr:colOff>0</xdr:colOff>
      <xdr:row>160</xdr:row>
      <xdr:rowOff>0</xdr:rowOff>
    </xdr:from>
    <xdr:ext cx="292100" cy="293519"/>
    <xdr:sp macro="" textlink="">
      <xdr:nvSpPr>
        <xdr:cNvPr id="120" name="AutoShape 1">
          <a:extLst>
            <a:ext uri="{FF2B5EF4-FFF2-40B4-BE49-F238E27FC236}">
              <a16:creationId xmlns:a16="http://schemas.microsoft.com/office/drawing/2014/main" id="{85BE1BBE-0A6E-48C3-8028-B6E8208C880E}"/>
            </a:ext>
          </a:extLst>
        </xdr:cNvPr>
        <xdr:cNvSpPr>
          <a:spLocks noChangeAspect="1" noChangeArrowheads="1"/>
        </xdr:cNvSpPr>
      </xdr:nvSpPr>
      <xdr:spPr bwMode="auto">
        <a:xfrm>
          <a:off x="9286875" y="1031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104775</xdr:colOff>
      <xdr:row>168</xdr:row>
      <xdr:rowOff>25400</xdr:rowOff>
    </xdr:from>
    <xdr:to>
      <xdr:col>23</xdr:col>
      <xdr:colOff>57337</xdr:colOff>
      <xdr:row>168</xdr:row>
      <xdr:rowOff>219074</xdr:rowOff>
    </xdr:to>
    <xdr:sp macro="" textlink="">
      <xdr:nvSpPr>
        <xdr:cNvPr id="124" name="正方形/長方形 123">
          <a:extLst>
            <a:ext uri="{FF2B5EF4-FFF2-40B4-BE49-F238E27FC236}">
              <a16:creationId xmlns:a16="http://schemas.microsoft.com/office/drawing/2014/main" id="{6488969B-B246-475E-BDCA-2B94B7D789EE}"/>
            </a:ext>
          </a:extLst>
        </xdr:cNvPr>
        <xdr:cNvSpPr/>
      </xdr:nvSpPr>
      <xdr:spPr>
        <a:xfrm>
          <a:off x="2209800" y="21628100"/>
          <a:ext cx="69551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191114 </a:t>
          </a:r>
        </a:p>
      </xdr:txBody>
    </xdr:sp>
    <xdr:clientData/>
  </xdr:twoCellAnchor>
  <xdr:twoCellAnchor>
    <xdr:from>
      <xdr:col>51</xdr:col>
      <xdr:colOff>85725</xdr:colOff>
      <xdr:row>168</xdr:row>
      <xdr:rowOff>25400</xdr:rowOff>
    </xdr:from>
    <xdr:to>
      <xdr:col>55</xdr:col>
      <xdr:colOff>95435</xdr:colOff>
      <xdr:row>168</xdr:row>
      <xdr:rowOff>207868</xdr:rowOff>
    </xdr:to>
    <xdr:sp macro="" textlink="">
      <xdr:nvSpPr>
        <xdr:cNvPr id="126" name="正方形/長方形 125">
          <a:extLst>
            <a:ext uri="{FF2B5EF4-FFF2-40B4-BE49-F238E27FC236}">
              <a16:creationId xmlns:a16="http://schemas.microsoft.com/office/drawing/2014/main" id="{B62983E5-C05F-40E2-BFF3-392217CB8C70}"/>
            </a:ext>
          </a:extLst>
        </xdr:cNvPr>
        <xdr:cNvSpPr/>
      </xdr:nvSpPr>
      <xdr:spPr>
        <a:xfrm>
          <a:off x="6886575" y="40944800"/>
          <a:ext cx="5431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01</a:t>
          </a:r>
        </a:p>
      </xdr:txBody>
    </xdr:sp>
    <xdr:clientData/>
  </xdr:twoCellAnchor>
  <xdr:oneCellAnchor>
    <xdr:from>
      <xdr:col>75</xdr:col>
      <xdr:colOff>0</xdr:colOff>
      <xdr:row>120</xdr:row>
      <xdr:rowOff>0</xdr:rowOff>
    </xdr:from>
    <xdr:ext cx="292100" cy="293519"/>
    <xdr:sp macro="" textlink="">
      <xdr:nvSpPr>
        <xdr:cNvPr id="127" name="AutoShape 1">
          <a:extLst>
            <a:ext uri="{FF2B5EF4-FFF2-40B4-BE49-F238E27FC236}">
              <a16:creationId xmlns:a16="http://schemas.microsoft.com/office/drawing/2014/main" id="{646E1ABC-D8AE-4A91-9859-034AF265EA6A}"/>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131" name="AutoShape 1">
          <a:extLst>
            <a:ext uri="{FF2B5EF4-FFF2-40B4-BE49-F238E27FC236}">
              <a16:creationId xmlns:a16="http://schemas.microsoft.com/office/drawing/2014/main" id="{C347B1E4-AE99-4768-A45D-6DE255A75962}"/>
            </a:ext>
          </a:extLst>
        </xdr:cNvPr>
        <xdr:cNvSpPr>
          <a:spLocks noChangeAspect="1" noChangeArrowheads="1"/>
        </xdr:cNvSpPr>
      </xdr:nvSpPr>
      <xdr:spPr bwMode="auto">
        <a:xfrm>
          <a:off x="9286875" y="1081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132" name="AutoShape 1">
          <a:extLst>
            <a:ext uri="{FF2B5EF4-FFF2-40B4-BE49-F238E27FC236}">
              <a16:creationId xmlns:a16="http://schemas.microsoft.com/office/drawing/2014/main" id="{F6F118C7-9885-42C7-99B0-B850E552E68C}"/>
            </a:ext>
          </a:extLst>
        </xdr:cNvPr>
        <xdr:cNvSpPr>
          <a:spLocks noChangeAspect="1" noChangeArrowheads="1"/>
        </xdr:cNvSpPr>
      </xdr:nvSpPr>
      <xdr:spPr bwMode="auto">
        <a:xfrm>
          <a:off x="9286875" y="1105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24</xdr:col>
      <xdr:colOff>18864</xdr:colOff>
      <xdr:row>22</xdr:row>
      <xdr:rowOff>37354</xdr:rowOff>
    </xdr:from>
    <xdr:to>
      <xdr:col>28</xdr:col>
      <xdr:colOff>27992</xdr:colOff>
      <xdr:row>22</xdr:row>
      <xdr:rowOff>227854</xdr:rowOff>
    </xdr:to>
    <xdr:sp macro="" textlink="">
      <xdr:nvSpPr>
        <xdr:cNvPr id="146" name="正方形/長方形 145">
          <a:extLst>
            <a:ext uri="{FF2B5EF4-FFF2-40B4-BE49-F238E27FC236}">
              <a16:creationId xmlns:a16="http://schemas.microsoft.com/office/drawing/2014/main" id="{6A3A18DB-8AFA-4A68-A93C-090E0F6B920B}"/>
            </a:ext>
          </a:extLst>
        </xdr:cNvPr>
        <xdr:cNvSpPr/>
      </xdr:nvSpPr>
      <xdr:spPr>
        <a:xfrm>
          <a:off x="2990664" y="4466479"/>
          <a:ext cx="5044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22</xdr:row>
      <xdr:rowOff>15875</xdr:rowOff>
    </xdr:from>
    <xdr:to>
      <xdr:col>23</xdr:col>
      <xdr:colOff>63687</xdr:colOff>
      <xdr:row>22</xdr:row>
      <xdr:rowOff>209549</xdr:rowOff>
    </xdr:to>
    <xdr:sp macro="" textlink="">
      <xdr:nvSpPr>
        <xdr:cNvPr id="147" name="正方形/長方形 146">
          <a:extLst>
            <a:ext uri="{FF2B5EF4-FFF2-40B4-BE49-F238E27FC236}">
              <a16:creationId xmlns:a16="http://schemas.microsoft.com/office/drawing/2014/main" id="{9B7BA6AF-F58D-4E53-88FF-643908BF4D51}"/>
            </a:ext>
          </a:extLst>
        </xdr:cNvPr>
        <xdr:cNvSpPr/>
      </xdr:nvSpPr>
      <xdr:spPr>
        <a:xfrm>
          <a:off x="2209800" y="4445000"/>
          <a:ext cx="7018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24</xdr:col>
      <xdr:colOff>0</xdr:colOff>
      <xdr:row>16</xdr:row>
      <xdr:rowOff>0</xdr:rowOff>
    </xdr:from>
    <xdr:ext cx="292100" cy="293519"/>
    <xdr:sp macro="" textlink="">
      <xdr:nvSpPr>
        <xdr:cNvPr id="14" name="AutoShape 1">
          <a:extLst>
            <a:ext uri="{FF2B5EF4-FFF2-40B4-BE49-F238E27FC236}">
              <a16:creationId xmlns:a16="http://schemas.microsoft.com/office/drawing/2014/main" id="{4B70FD47-A9F1-400A-9799-7A5A281F1B51}"/>
            </a:ext>
          </a:extLst>
        </xdr:cNvPr>
        <xdr:cNvSpPr>
          <a:spLocks noChangeAspect="1" noChangeArrowheads="1"/>
        </xdr:cNvSpPr>
      </xdr:nvSpPr>
      <xdr:spPr bwMode="auto">
        <a:xfrm>
          <a:off x="9525000" y="3181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120</xdr:row>
      <xdr:rowOff>0</xdr:rowOff>
    </xdr:from>
    <xdr:ext cx="292100" cy="293519"/>
    <xdr:sp macro="" textlink="">
      <xdr:nvSpPr>
        <xdr:cNvPr id="16" name="AutoShape 1">
          <a:extLst>
            <a:ext uri="{FF2B5EF4-FFF2-40B4-BE49-F238E27FC236}">
              <a16:creationId xmlns:a16="http://schemas.microsoft.com/office/drawing/2014/main" id="{BF23DC5F-04E4-48B4-80DC-565334F25706}"/>
            </a:ext>
          </a:extLst>
        </xdr:cNvPr>
        <xdr:cNvSpPr>
          <a:spLocks noChangeAspect="1" noChangeArrowheads="1"/>
        </xdr:cNvSpPr>
      </xdr:nvSpPr>
      <xdr:spPr bwMode="auto">
        <a:xfrm>
          <a:off x="9525000" y="3181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120</xdr:row>
      <xdr:rowOff>0</xdr:rowOff>
    </xdr:from>
    <xdr:ext cx="292100" cy="293519"/>
    <xdr:sp macro="" textlink="">
      <xdr:nvSpPr>
        <xdr:cNvPr id="27" name="AutoShape 1">
          <a:extLst>
            <a:ext uri="{FF2B5EF4-FFF2-40B4-BE49-F238E27FC236}">
              <a16:creationId xmlns:a16="http://schemas.microsoft.com/office/drawing/2014/main" id="{C312D393-1E36-493E-A055-99D80A04183C}"/>
            </a:ext>
          </a:extLst>
        </xdr:cNvPr>
        <xdr:cNvSpPr>
          <a:spLocks noChangeAspect="1" noChangeArrowheads="1"/>
        </xdr:cNvSpPr>
      </xdr:nvSpPr>
      <xdr:spPr bwMode="auto">
        <a:xfrm>
          <a:off x="3048000" y="3429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31" name="AutoShape 1">
          <a:extLst>
            <a:ext uri="{FF2B5EF4-FFF2-40B4-BE49-F238E27FC236}">
              <a16:creationId xmlns:a16="http://schemas.microsoft.com/office/drawing/2014/main" id="{16A2DFF1-B19D-4602-82FD-953A1945E380}"/>
            </a:ext>
          </a:extLst>
        </xdr:cNvPr>
        <xdr:cNvSpPr>
          <a:spLocks noChangeAspect="1" noChangeArrowheads="1"/>
        </xdr:cNvSpPr>
      </xdr:nvSpPr>
      <xdr:spPr bwMode="auto">
        <a:xfrm>
          <a:off x="9525000" y="11042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34" name="AutoShape 1">
          <a:extLst>
            <a:ext uri="{FF2B5EF4-FFF2-40B4-BE49-F238E27FC236}">
              <a16:creationId xmlns:a16="http://schemas.microsoft.com/office/drawing/2014/main" id="{F3888285-F6FC-4569-916B-14E2252A1D77}"/>
            </a:ext>
          </a:extLst>
        </xdr:cNvPr>
        <xdr:cNvSpPr>
          <a:spLocks noChangeAspect="1" noChangeArrowheads="1"/>
        </xdr:cNvSpPr>
      </xdr:nvSpPr>
      <xdr:spPr bwMode="auto">
        <a:xfrm>
          <a:off x="9525000" y="11290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35" name="AutoShape 1">
          <a:extLst>
            <a:ext uri="{FF2B5EF4-FFF2-40B4-BE49-F238E27FC236}">
              <a16:creationId xmlns:a16="http://schemas.microsoft.com/office/drawing/2014/main" id="{8010DB24-160B-477E-8CF1-9895DE79C068}"/>
            </a:ext>
          </a:extLst>
        </xdr:cNvPr>
        <xdr:cNvSpPr>
          <a:spLocks noChangeAspect="1" noChangeArrowheads="1"/>
        </xdr:cNvSpPr>
      </xdr:nvSpPr>
      <xdr:spPr bwMode="auto">
        <a:xfrm>
          <a:off x="9525000" y="11290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163</xdr:row>
      <xdr:rowOff>0</xdr:rowOff>
    </xdr:from>
    <xdr:ext cx="292100" cy="293519"/>
    <xdr:sp macro="" textlink="">
      <xdr:nvSpPr>
        <xdr:cNvPr id="50" name="AutoShape 1">
          <a:extLst>
            <a:ext uri="{FF2B5EF4-FFF2-40B4-BE49-F238E27FC236}">
              <a16:creationId xmlns:a16="http://schemas.microsoft.com/office/drawing/2014/main" id="{1836D8C3-EBC0-49B5-9874-E22398D9B5DE}"/>
            </a:ext>
          </a:extLst>
        </xdr:cNvPr>
        <xdr:cNvSpPr>
          <a:spLocks noChangeAspect="1" noChangeArrowheads="1"/>
        </xdr:cNvSpPr>
      </xdr:nvSpPr>
      <xdr:spPr bwMode="auto">
        <a:xfrm>
          <a:off x="3048000" y="11290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17</xdr:row>
      <xdr:rowOff>15875</xdr:rowOff>
    </xdr:from>
    <xdr:to>
      <xdr:col>79</xdr:col>
      <xdr:colOff>38100</xdr:colOff>
      <xdr:row>17</xdr:row>
      <xdr:rowOff>228600</xdr:rowOff>
    </xdr:to>
    <xdr:sp macro="" textlink="">
      <xdr:nvSpPr>
        <xdr:cNvPr id="52" name="正方形/長方形 51">
          <a:extLst>
            <a:ext uri="{FF2B5EF4-FFF2-40B4-BE49-F238E27FC236}">
              <a16:creationId xmlns:a16="http://schemas.microsoft.com/office/drawing/2014/main" id="{24A6221F-FF9F-4EBA-857A-6C6EC00EE2AC}"/>
            </a:ext>
          </a:extLst>
        </xdr:cNvPr>
        <xdr:cNvSpPr/>
      </xdr:nvSpPr>
      <xdr:spPr>
        <a:xfrm>
          <a:off x="6464300" y="4197350"/>
          <a:ext cx="3355975"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38100</xdr:colOff>
      <xdr:row>16</xdr:row>
      <xdr:rowOff>9525</xdr:rowOff>
    </xdr:from>
    <xdr:to>
      <xdr:col>60</xdr:col>
      <xdr:colOff>41274</xdr:colOff>
      <xdr:row>16</xdr:row>
      <xdr:rowOff>206936</xdr:rowOff>
    </xdr:to>
    <xdr:sp macro="" textlink="">
      <xdr:nvSpPr>
        <xdr:cNvPr id="62" name="正方形/長方形 61">
          <a:extLst>
            <a:ext uri="{FF2B5EF4-FFF2-40B4-BE49-F238E27FC236}">
              <a16:creationId xmlns:a16="http://schemas.microsoft.com/office/drawing/2014/main" id="{B95465E0-58CD-487A-8F26-1305F288B1B0}"/>
            </a:ext>
          </a:extLst>
        </xdr:cNvPr>
        <xdr:cNvSpPr/>
      </xdr:nvSpPr>
      <xdr:spPr>
        <a:xfrm>
          <a:off x="6477000" y="3448050"/>
          <a:ext cx="993774" cy="19741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oneCellAnchor>
    <xdr:from>
      <xdr:col>75</xdr:col>
      <xdr:colOff>0</xdr:colOff>
      <xdr:row>117</xdr:row>
      <xdr:rowOff>0</xdr:rowOff>
    </xdr:from>
    <xdr:ext cx="292100" cy="293519"/>
    <xdr:sp macro="" textlink="">
      <xdr:nvSpPr>
        <xdr:cNvPr id="63" name="AutoShape 1">
          <a:extLst>
            <a:ext uri="{FF2B5EF4-FFF2-40B4-BE49-F238E27FC236}">
              <a16:creationId xmlns:a16="http://schemas.microsoft.com/office/drawing/2014/main" id="{FE27309D-5263-4C57-8757-7C2FFE160A18}"/>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119</xdr:row>
      <xdr:rowOff>30768</xdr:rowOff>
    </xdr:from>
    <xdr:to>
      <xdr:col>24</xdr:col>
      <xdr:colOff>64329</xdr:colOff>
      <xdr:row>119</xdr:row>
      <xdr:rowOff>219335</xdr:rowOff>
    </xdr:to>
    <xdr:sp macro="" textlink="">
      <xdr:nvSpPr>
        <xdr:cNvPr id="66" name="正方形/長方形 65">
          <a:extLst>
            <a:ext uri="{FF2B5EF4-FFF2-40B4-BE49-F238E27FC236}">
              <a16:creationId xmlns:a16="http://schemas.microsoft.com/office/drawing/2014/main" id="{DDCC875B-DD74-4E30-8C3C-688B46EBD09A}"/>
            </a:ext>
          </a:extLst>
        </xdr:cNvPr>
        <xdr:cNvSpPr/>
      </xdr:nvSpPr>
      <xdr:spPr>
        <a:xfrm>
          <a:off x="2464767" y="3713768"/>
          <a:ext cx="574537"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24</xdr:col>
      <xdr:colOff>0</xdr:colOff>
      <xdr:row>118</xdr:row>
      <xdr:rowOff>0</xdr:rowOff>
    </xdr:from>
    <xdr:ext cx="292100" cy="293519"/>
    <xdr:sp macro="" textlink="">
      <xdr:nvSpPr>
        <xdr:cNvPr id="68" name="AutoShape 1">
          <a:extLst>
            <a:ext uri="{FF2B5EF4-FFF2-40B4-BE49-F238E27FC236}">
              <a16:creationId xmlns:a16="http://schemas.microsoft.com/office/drawing/2014/main" id="{BE624883-041F-49A2-AC33-DD7CE4572652}"/>
            </a:ext>
          </a:extLst>
        </xdr:cNvPr>
        <xdr:cNvSpPr>
          <a:spLocks noChangeAspect="1" noChangeArrowheads="1"/>
        </xdr:cNvSpPr>
      </xdr:nvSpPr>
      <xdr:spPr bwMode="auto">
        <a:xfrm>
          <a:off x="2971800" y="343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119</xdr:row>
      <xdr:rowOff>15875</xdr:rowOff>
    </xdr:from>
    <xdr:to>
      <xdr:col>79</xdr:col>
      <xdr:colOff>38100</xdr:colOff>
      <xdr:row>119</xdr:row>
      <xdr:rowOff>228600</xdr:rowOff>
    </xdr:to>
    <xdr:sp macro="" textlink="">
      <xdr:nvSpPr>
        <xdr:cNvPr id="69" name="正方形/長方形 68">
          <a:extLst>
            <a:ext uri="{FF2B5EF4-FFF2-40B4-BE49-F238E27FC236}">
              <a16:creationId xmlns:a16="http://schemas.microsoft.com/office/drawing/2014/main" id="{125DF5F4-3E80-442A-923D-EB2F15AE646D}"/>
            </a:ext>
          </a:extLst>
        </xdr:cNvPr>
        <xdr:cNvSpPr/>
      </xdr:nvSpPr>
      <xdr:spPr>
        <a:xfrm>
          <a:off x="6467475" y="3702050"/>
          <a:ext cx="3352800"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38100</xdr:colOff>
      <xdr:row>118</xdr:row>
      <xdr:rowOff>9525</xdr:rowOff>
    </xdr:from>
    <xdr:to>
      <xdr:col>60</xdr:col>
      <xdr:colOff>41274</xdr:colOff>
      <xdr:row>118</xdr:row>
      <xdr:rowOff>206936</xdr:rowOff>
    </xdr:to>
    <xdr:sp macro="" textlink="">
      <xdr:nvSpPr>
        <xdr:cNvPr id="70" name="正方形/長方形 69">
          <a:extLst>
            <a:ext uri="{FF2B5EF4-FFF2-40B4-BE49-F238E27FC236}">
              <a16:creationId xmlns:a16="http://schemas.microsoft.com/office/drawing/2014/main" id="{9FE73A4D-7F1F-46A3-A8A7-DB20191575BC}"/>
            </a:ext>
          </a:extLst>
        </xdr:cNvPr>
        <xdr:cNvSpPr/>
      </xdr:nvSpPr>
      <xdr:spPr>
        <a:xfrm>
          <a:off x="6477000" y="3444875"/>
          <a:ext cx="9937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oneCellAnchor>
    <xdr:from>
      <xdr:col>75</xdr:col>
      <xdr:colOff>0</xdr:colOff>
      <xdr:row>160</xdr:row>
      <xdr:rowOff>0</xdr:rowOff>
    </xdr:from>
    <xdr:ext cx="292100" cy="293519"/>
    <xdr:sp macro="" textlink="">
      <xdr:nvSpPr>
        <xdr:cNvPr id="75" name="AutoShape 1">
          <a:extLst>
            <a:ext uri="{FF2B5EF4-FFF2-40B4-BE49-F238E27FC236}">
              <a16:creationId xmlns:a16="http://schemas.microsoft.com/office/drawing/2014/main" id="{84CF2E05-D22A-42DB-BA18-251D9F716868}"/>
            </a:ext>
          </a:extLst>
        </xdr:cNvPr>
        <xdr:cNvSpPr>
          <a:spLocks noChangeAspect="1" noChangeArrowheads="1"/>
        </xdr:cNvSpPr>
      </xdr:nvSpPr>
      <xdr:spPr bwMode="auto">
        <a:xfrm>
          <a:off x="9286875" y="1105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160</xdr:row>
      <xdr:rowOff>0</xdr:rowOff>
    </xdr:from>
    <xdr:ext cx="292100" cy="293519"/>
    <xdr:sp macro="" textlink="">
      <xdr:nvSpPr>
        <xdr:cNvPr id="76" name="AutoShape 1">
          <a:extLst>
            <a:ext uri="{FF2B5EF4-FFF2-40B4-BE49-F238E27FC236}">
              <a16:creationId xmlns:a16="http://schemas.microsoft.com/office/drawing/2014/main" id="{1720B33F-D16C-4910-AEF8-E4CA839BF8EE}"/>
            </a:ext>
          </a:extLst>
        </xdr:cNvPr>
        <xdr:cNvSpPr>
          <a:spLocks noChangeAspect="1" noChangeArrowheads="1"/>
        </xdr:cNvSpPr>
      </xdr:nvSpPr>
      <xdr:spPr bwMode="auto">
        <a:xfrm>
          <a:off x="9286875" y="1105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162</xdr:row>
      <xdr:rowOff>30768</xdr:rowOff>
    </xdr:from>
    <xdr:to>
      <xdr:col>24</xdr:col>
      <xdr:colOff>64329</xdr:colOff>
      <xdr:row>162</xdr:row>
      <xdr:rowOff>219335</xdr:rowOff>
    </xdr:to>
    <xdr:sp macro="" textlink="">
      <xdr:nvSpPr>
        <xdr:cNvPr id="77" name="正方形/長方形 76">
          <a:extLst>
            <a:ext uri="{FF2B5EF4-FFF2-40B4-BE49-F238E27FC236}">
              <a16:creationId xmlns:a16="http://schemas.microsoft.com/office/drawing/2014/main" id="{699D6FC2-4BE9-462B-AAF7-7076166F40DF}"/>
            </a:ext>
          </a:extLst>
        </xdr:cNvPr>
        <xdr:cNvSpPr/>
      </xdr:nvSpPr>
      <xdr:spPr>
        <a:xfrm>
          <a:off x="2464767" y="11581418"/>
          <a:ext cx="574537"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24</xdr:col>
      <xdr:colOff>0</xdr:colOff>
      <xdr:row>161</xdr:row>
      <xdr:rowOff>0</xdr:rowOff>
    </xdr:from>
    <xdr:ext cx="292100" cy="293519"/>
    <xdr:sp macro="" textlink="">
      <xdr:nvSpPr>
        <xdr:cNvPr id="78" name="AutoShape 1">
          <a:extLst>
            <a:ext uri="{FF2B5EF4-FFF2-40B4-BE49-F238E27FC236}">
              <a16:creationId xmlns:a16="http://schemas.microsoft.com/office/drawing/2014/main" id="{DCB61B70-5E07-4022-9BE9-E363EE64C106}"/>
            </a:ext>
          </a:extLst>
        </xdr:cNvPr>
        <xdr:cNvSpPr>
          <a:spLocks noChangeAspect="1" noChangeArrowheads="1"/>
        </xdr:cNvSpPr>
      </xdr:nvSpPr>
      <xdr:spPr bwMode="auto">
        <a:xfrm>
          <a:off x="2971800" y="113061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162</xdr:row>
      <xdr:rowOff>15875</xdr:rowOff>
    </xdr:from>
    <xdr:to>
      <xdr:col>79</xdr:col>
      <xdr:colOff>38100</xdr:colOff>
      <xdr:row>162</xdr:row>
      <xdr:rowOff>228600</xdr:rowOff>
    </xdr:to>
    <xdr:sp macro="" textlink="">
      <xdr:nvSpPr>
        <xdr:cNvPr id="79" name="正方形/長方形 78">
          <a:extLst>
            <a:ext uri="{FF2B5EF4-FFF2-40B4-BE49-F238E27FC236}">
              <a16:creationId xmlns:a16="http://schemas.microsoft.com/office/drawing/2014/main" id="{39375192-4791-4794-A97A-31BD9AAD5B5D}"/>
            </a:ext>
          </a:extLst>
        </xdr:cNvPr>
        <xdr:cNvSpPr/>
      </xdr:nvSpPr>
      <xdr:spPr>
        <a:xfrm>
          <a:off x="6467475" y="11569700"/>
          <a:ext cx="3352800"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38100</xdr:colOff>
      <xdr:row>161</xdr:row>
      <xdr:rowOff>9525</xdr:rowOff>
    </xdr:from>
    <xdr:to>
      <xdr:col>60</xdr:col>
      <xdr:colOff>41274</xdr:colOff>
      <xdr:row>161</xdr:row>
      <xdr:rowOff>206936</xdr:rowOff>
    </xdr:to>
    <xdr:sp macro="" textlink="">
      <xdr:nvSpPr>
        <xdr:cNvPr id="80" name="正方形/長方形 79">
          <a:extLst>
            <a:ext uri="{FF2B5EF4-FFF2-40B4-BE49-F238E27FC236}">
              <a16:creationId xmlns:a16="http://schemas.microsoft.com/office/drawing/2014/main" id="{859B0784-ABCA-4CB6-B3A8-0D906EF9E6BE}"/>
            </a:ext>
          </a:extLst>
        </xdr:cNvPr>
        <xdr:cNvSpPr/>
      </xdr:nvSpPr>
      <xdr:spPr>
        <a:xfrm>
          <a:off x="6477000" y="11312525"/>
          <a:ext cx="9937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73</xdr:col>
      <xdr:colOff>76200</xdr:colOff>
      <xdr:row>150</xdr:row>
      <xdr:rowOff>0</xdr:rowOff>
    </xdr:from>
    <xdr:to>
      <xdr:col>79</xdr:col>
      <xdr:colOff>67359</xdr:colOff>
      <xdr:row>150</xdr:row>
      <xdr:rowOff>200439</xdr:rowOff>
    </xdr:to>
    <xdr:sp macro="" textlink="">
      <xdr:nvSpPr>
        <xdr:cNvPr id="81" name="正方形/長方形 80">
          <a:extLst>
            <a:ext uri="{FF2B5EF4-FFF2-40B4-BE49-F238E27FC236}">
              <a16:creationId xmlns:a16="http://schemas.microsoft.com/office/drawing/2014/main" id="{1FF192E2-0927-45F0-B145-D195D2DB1A56}"/>
            </a:ext>
          </a:extLst>
        </xdr:cNvPr>
        <xdr:cNvSpPr/>
      </xdr:nvSpPr>
      <xdr:spPr>
        <a:xfrm>
          <a:off x="9115425" y="17259300"/>
          <a:ext cx="734109" cy="200439"/>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72</xdr:col>
      <xdr:colOff>28575</xdr:colOff>
      <xdr:row>39</xdr:row>
      <xdr:rowOff>19050</xdr:rowOff>
    </xdr:from>
    <xdr:to>
      <xdr:col>78</xdr:col>
      <xdr:colOff>19734</xdr:colOff>
      <xdr:row>39</xdr:row>
      <xdr:rowOff>219489</xdr:rowOff>
    </xdr:to>
    <xdr:sp macro="" textlink="">
      <xdr:nvSpPr>
        <xdr:cNvPr id="85" name="正方形/長方形 84">
          <a:extLst>
            <a:ext uri="{FF2B5EF4-FFF2-40B4-BE49-F238E27FC236}">
              <a16:creationId xmlns:a16="http://schemas.microsoft.com/office/drawing/2014/main" id="{D8C3CA0C-0E32-4E66-87BD-DCAB143762AC}"/>
            </a:ext>
          </a:extLst>
        </xdr:cNvPr>
        <xdr:cNvSpPr/>
      </xdr:nvSpPr>
      <xdr:spPr>
        <a:xfrm>
          <a:off x="8943975" y="8667750"/>
          <a:ext cx="734109" cy="200439"/>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7</xdr:col>
      <xdr:colOff>70554</xdr:colOff>
      <xdr:row>23</xdr:row>
      <xdr:rowOff>35281</xdr:rowOff>
    </xdr:from>
    <xdr:to>
      <xdr:col>13</xdr:col>
      <xdr:colOff>23279</xdr:colOff>
      <xdr:row>23</xdr:row>
      <xdr:rowOff>236456</xdr:rowOff>
    </xdr:to>
    <xdr:sp macro="" textlink="">
      <xdr:nvSpPr>
        <xdr:cNvPr id="4" name="正方形/長方形 3">
          <a:extLst>
            <a:ext uri="{FF2B5EF4-FFF2-40B4-BE49-F238E27FC236}">
              <a16:creationId xmlns:a16="http://schemas.microsoft.com/office/drawing/2014/main" id="{2E6E7D46-B886-4889-9588-5FE443803B4D}"/>
            </a:ext>
          </a:extLst>
        </xdr:cNvPr>
        <xdr:cNvSpPr/>
      </xdr:nvSpPr>
      <xdr:spPr>
        <a:xfrm>
          <a:off x="959554" y="5185837"/>
          <a:ext cx="714725"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oneCellAnchor>
    <xdr:from>
      <xdr:col>4</xdr:col>
      <xdr:colOff>0</xdr:colOff>
      <xdr:row>43</xdr:row>
      <xdr:rowOff>114300</xdr:rowOff>
    </xdr:from>
    <xdr:ext cx="963613" cy="241300"/>
    <xdr:pic>
      <xdr:nvPicPr>
        <xdr:cNvPr id="56" name="図 55">
          <a:extLst>
            <a:ext uri="{FF2B5EF4-FFF2-40B4-BE49-F238E27FC236}">
              <a16:creationId xmlns:a16="http://schemas.microsoft.com/office/drawing/2014/main" id="{EBF9AC26-1680-4AF1-B3CD-BCE45ADE9F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797050"/>
          <a:ext cx="963613" cy="241300"/>
        </a:xfrm>
        <a:prstGeom prst="rect">
          <a:avLst/>
        </a:prstGeom>
      </xdr:spPr>
    </xdr:pic>
    <xdr:clientData/>
  </xdr:oneCellAnchor>
  <xdr:twoCellAnchor>
    <xdr:from>
      <xdr:col>5</xdr:col>
      <xdr:colOff>106391</xdr:colOff>
      <xdr:row>73</xdr:row>
      <xdr:rowOff>0</xdr:rowOff>
    </xdr:from>
    <xdr:to>
      <xdr:col>12</xdr:col>
      <xdr:colOff>108941</xdr:colOff>
      <xdr:row>73</xdr:row>
      <xdr:rowOff>194400</xdr:rowOff>
    </xdr:to>
    <xdr:sp macro="" textlink="">
      <xdr:nvSpPr>
        <xdr:cNvPr id="57" name="正方形/長方形 56">
          <a:extLst>
            <a:ext uri="{FF2B5EF4-FFF2-40B4-BE49-F238E27FC236}">
              <a16:creationId xmlns:a16="http://schemas.microsoft.com/office/drawing/2014/main" id="{74B0853F-6EC3-4FEF-A98B-23B1A9496F50}"/>
            </a:ext>
          </a:extLst>
        </xdr:cNvPr>
        <xdr:cNvSpPr/>
      </xdr:nvSpPr>
      <xdr:spPr>
        <a:xfrm>
          <a:off x="738216" y="8022167"/>
          <a:ext cx="891550" cy="1975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48</xdr:row>
      <xdr:rowOff>0</xdr:rowOff>
    </xdr:from>
    <xdr:ext cx="292100" cy="293519"/>
    <xdr:sp macro="" textlink="">
      <xdr:nvSpPr>
        <xdr:cNvPr id="58" name="AutoShape 1">
          <a:extLst>
            <a:ext uri="{FF2B5EF4-FFF2-40B4-BE49-F238E27FC236}">
              <a16:creationId xmlns:a16="http://schemas.microsoft.com/office/drawing/2014/main" id="{A3CF7997-37E5-47EE-9256-19BB766AC427}"/>
            </a:ext>
          </a:extLst>
        </xdr:cNvPr>
        <xdr:cNvSpPr>
          <a:spLocks noChangeAspect="1" noChangeArrowheads="1"/>
        </xdr:cNvSpPr>
      </xdr:nvSpPr>
      <xdr:spPr bwMode="auto">
        <a:xfrm>
          <a:off x="9525000" y="28998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39</xdr:col>
      <xdr:colOff>0</xdr:colOff>
      <xdr:row>73</xdr:row>
      <xdr:rowOff>0</xdr:rowOff>
    </xdr:from>
    <xdr:to>
      <xdr:col>46</xdr:col>
      <xdr:colOff>2550</xdr:colOff>
      <xdr:row>73</xdr:row>
      <xdr:rowOff>194710</xdr:rowOff>
    </xdr:to>
    <xdr:sp macro="" textlink="">
      <xdr:nvSpPr>
        <xdr:cNvPr id="60" name="正方形/長方形 59">
          <a:extLst>
            <a:ext uri="{FF2B5EF4-FFF2-40B4-BE49-F238E27FC236}">
              <a16:creationId xmlns:a16="http://schemas.microsoft.com/office/drawing/2014/main" id="{CEF45A8E-E52B-4D02-88D4-0495949D06C2}"/>
            </a:ext>
          </a:extLst>
        </xdr:cNvPr>
        <xdr:cNvSpPr/>
      </xdr:nvSpPr>
      <xdr:spPr bwMode="auto">
        <a:xfrm>
          <a:off x="4953000" y="8022167"/>
          <a:ext cx="891550" cy="1978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112061</xdr:colOff>
      <xdr:row>54</xdr:row>
      <xdr:rowOff>29881</xdr:rowOff>
    </xdr:from>
    <xdr:to>
      <xdr:col>59</xdr:col>
      <xdr:colOff>112060</xdr:colOff>
      <xdr:row>54</xdr:row>
      <xdr:rowOff>224117</xdr:rowOff>
    </xdr:to>
    <xdr:sp macro="" textlink="">
      <xdr:nvSpPr>
        <xdr:cNvPr id="61" name="正方形/長方形 60">
          <a:extLst>
            <a:ext uri="{FF2B5EF4-FFF2-40B4-BE49-F238E27FC236}">
              <a16:creationId xmlns:a16="http://schemas.microsoft.com/office/drawing/2014/main" id="{F023EA40-9EAF-460E-8255-3178AD71F623}"/>
            </a:ext>
          </a:extLst>
        </xdr:cNvPr>
        <xdr:cNvSpPr/>
      </xdr:nvSpPr>
      <xdr:spPr>
        <a:xfrm>
          <a:off x="6589061" y="4387039"/>
          <a:ext cx="10159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59</xdr:row>
      <xdr:rowOff>0</xdr:rowOff>
    </xdr:from>
    <xdr:ext cx="292100" cy="293519"/>
    <xdr:sp macro="" textlink="">
      <xdr:nvSpPr>
        <xdr:cNvPr id="93" name="AutoShape 1">
          <a:extLst>
            <a:ext uri="{FF2B5EF4-FFF2-40B4-BE49-F238E27FC236}">
              <a16:creationId xmlns:a16="http://schemas.microsoft.com/office/drawing/2014/main" id="{74323CC4-033C-4382-80A4-9459705C2314}"/>
            </a:ext>
          </a:extLst>
        </xdr:cNvPr>
        <xdr:cNvSpPr>
          <a:spLocks noChangeAspect="1" noChangeArrowheads="1"/>
        </xdr:cNvSpPr>
      </xdr:nvSpPr>
      <xdr:spPr bwMode="auto">
        <a:xfrm>
          <a:off x="9525000" y="50905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58</xdr:row>
      <xdr:rowOff>0</xdr:rowOff>
    </xdr:from>
    <xdr:ext cx="292100" cy="293519"/>
    <xdr:sp macro="" textlink="">
      <xdr:nvSpPr>
        <xdr:cNvPr id="95" name="AutoShape 1">
          <a:extLst>
            <a:ext uri="{FF2B5EF4-FFF2-40B4-BE49-F238E27FC236}">
              <a16:creationId xmlns:a16="http://schemas.microsoft.com/office/drawing/2014/main" id="{4AAC1282-5816-496A-BB7D-0BD6FDAAEE1C}"/>
            </a:ext>
          </a:extLst>
        </xdr:cNvPr>
        <xdr:cNvSpPr>
          <a:spLocks noChangeAspect="1" noChangeArrowheads="1"/>
        </xdr:cNvSpPr>
      </xdr:nvSpPr>
      <xdr:spPr bwMode="auto">
        <a:xfrm>
          <a:off x="9525000" y="48471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60</xdr:row>
      <xdr:rowOff>0</xdr:rowOff>
    </xdr:from>
    <xdr:ext cx="292100" cy="293519"/>
    <xdr:sp macro="" textlink="">
      <xdr:nvSpPr>
        <xdr:cNvPr id="96" name="AutoShape 1">
          <a:extLst>
            <a:ext uri="{FF2B5EF4-FFF2-40B4-BE49-F238E27FC236}">
              <a16:creationId xmlns:a16="http://schemas.microsoft.com/office/drawing/2014/main" id="{74D247F9-2D07-4DEB-92AB-B91FAE33A68D}"/>
            </a:ext>
          </a:extLst>
        </xdr:cNvPr>
        <xdr:cNvSpPr>
          <a:spLocks noChangeAspect="1" noChangeArrowheads="1"/>
        </xdr:cNvSpPr>
      </xdr:nvSpPr>
      <xdr:spPr bwMode="auto">
        <a:xfrm>
          <a:off x="9525000" y="5334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61</xdr:row>
      <xdr:rowOff>0</xdr:rowOff>
    </xdr:from>
    <xdr:ext cx="292100" cy="293519"/>
    <xdr:sp macro="" textlink="">
      <xdr:nvSpPr>
        <xdr:cNvPr id="97" name="AutoShape 1">
          <a:extLst>
            <a:ext uri="{FF2B5EF4-FFF2-40B4-BE49-F238E27FC236}">
              <a16:creationId xmlns:a16="http://schemas.microsoft.com/office/drawing/2014/main" id="{C12AA0F3-EB7A-4BB1-86EB-A6289A3BED54}"/>
            </a:ext>
          </a:extLst>
        </xdr:cNvPr>
        <xdr:cNvSpPr>
          <a:spLocks noChangeAspect="1" noChangeArrowheads="1"/>
        </xdr:cNvSpPr>
      </xdr:nvSpPr>
      <xdr:spPr bwMode="auto">
        <a:xfrm>
          <a:off x="9525000" y="5588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62</xdr:row>
      <xdr:rowOff>0</xdr:rowOff>
    </xdr:from>
    <xdr:ext cx="292100" cy="293519"/>
    <xdr:sp macro="" textlink="">
      <xdr:nvSpPr>
        <xdr:cNvPr id="110" name="AutoShape 1">
          <a:extLst>
            <a:ext uri="{FF2B5EF4-FFF2-40B4-BE49-F238E27FC236}">
              <a16:creationId xmlns:a16="http://schemas.microsoft.com/office/drawing/2014/main" id="{18CBFA25-A957-4AFE-A7B6-081CB1BDE6BC}"/>
            </a:ext>
          </a:extLst>
        </xdr:cNvPr>
        <xdr:cNvSpPr>
          <a:spLocks noChangeAspect="1" noChangeArrowheads="1"/>
        </xdr:cNvSpPr>
      </xdr:nvSpPr>
      <xdr:spPr bwMode="auto">
        <a:xfrm>
          <a:off x="9525000" y="58314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64</xdr:row>
      <xdr:rowOff>0</xdr:rowOff>
    </xdr:from>
    <xdr:ext cx="292100" cy="293519"/>
    <xdr:sp macro="" textlink="">
      <xdr:nvSpPr>
        <xdr:cNvPr id="111" name="AutoShape 1">
          <a:extLst>
            <a:ext uri="{FF2B5EF4-FFF2-40B4-BE49-F238E27FC236}">
              <a16:creationId xmlns:a16="http://schemas.microsoft.com/office/drawing/2014/main" id="{405A69C2-882E-4FA9-96A6-F1AC8EF42F1C}"/>
            </a:ext>
          </a:extLst>
        </xdr:cNvPr>
        <xdr:cNvSpPr>
          <a:spLocks noChangeAspect="1" noChangeArrowheads="1"/>
        </xdr:cNvSpPr>
      </xdr:nvSpPr>
      <xdr:spPr bwMode="auto">
        <a:xfrm>
          <a:off x="9525000" y="6318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65</xdr:row>
      <xdr:rowOff>0</xdr:rowOff>
    </xdr:from>
    <xdr:ext cx="292100" cy="293519"/>
    <xdr:sp macro="" textlink="">
      <xdr:nvSpPr>
        <xdr:cNvPr id="118" name="AutoShape 1">
          <a:extLst>
            <a:ext uri="{FF2B5EF4-FFF2-40B4-BE49-F238E27FC236}">
              <a16:creationId xmlns:a16="http://schemas.microsoft.com/office/drawing/2014/main" id="{184F7243-1DE9-43C6-8260-6577CD70A7FF}"/>
            </a:ext>
          </a:extLst>
        </xdr:cNvPr>
        <xdr:cNvSpPr>
          <a:spLocks noChangeAspect="1" noChangeArrowheads="1"/>
        </xdr:cNvSpPr>
      </xdr:nvSpPr>
      <xdr:spPr bwMode="auto">
        <a:xfrm>
          <a:off x="9525000" y="65616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66</xdr:row>
      <xdr:rowOff>0</xdr:rowOff>
    </xdr:from>
    <xdr:ext cx="292100" cy="293519"/>
    <xdr:sp macro="" textlink="">
      <xdr:nvSpPr>
        <xdr:cNvPr id="121" name="AutoShape 1">
          <a:extLst>
            <a:ext uri="{FF2B5EF4-FFF2-40B4-BE49-F238E27FC236}">
              <a16:creationId xmlns:a16="http://schemas.microsoft.com/office/drawing/2014/main" id="{6646F97E-D799-4746-B7DB-E0A40499ABC7}"/>
            </a:ext>
          </a:extLst>
        </xdr:cNvPr>
        <xdr:cNvSpPr>
          <a:spLocks noChangeAspect="1" noChangeArrowheads="1"/>
        </xdr:cNvSpPr>
      </xdr:nvSpPr>
      <xdr:spPr bwMode="auto">
        <a:xfrm>
          <a:off x="9525000" y="68050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67</xdr:row>
      <xdr:rowOff>0</xdr:rowOff>
    </xdr:from>
    <xdr:ext cx="292100" cy="293519"/>
    <xdr:sp macro="" textlink="">
      <xdr:nvSpPr>
        <xdr:cNvPr id="122" name="AutoShape 1">
          <a:extLst>
            <a:ext uri="{FF2B5EF4-FFF2-40B4-BE49-F238E27FC236}">
              <a16:creationId xmlns:a16="http://schemas.microsoft.com/office/drawing/2014/main" id="{06C6B170-3874-49AB-A17C-8416D0392D12}"/>
            </a:ext>
          </a:extLst>
        </xdr:cNvPr>
        <xdr:cNvSpPr>
          <a:spLocks noChangeAspect="1" noChangeArrowheads="1"/>
        </xdr:cNvSpPr>
      </xdr:nvSpPr>
      <xdr:spPr bwMode="auto">
        <a:xfrm>
          <a:off x="9525000" y="7048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70</xdr:row>
      <xdr:rowOff>0</xdr:rowOff>
    </xdr:from>
    <xdr:ext cx="292100" cy="293519"/>
    <xdr:sp macro="" textlink="">
      <xdr:nvSpPr>
        <xdr:cNvPr id="123" name="AutoShape 1">
          <a:extLst>
            <a:ext uri="{FF2B5EF4-FFF2-40B4-BE49-F238E27FC236}">
              <a16:creationId xmlns:a16="http://schemas.microsoft.com/office/drawing/2014/main" id="{8328385A-E8F7-4C96-A037-F2040386FE5B}"/>
            </a:ext>
          </a:extLst>
        </xdr:cNvPr>
        <xdr:cNvSpPr>
          <a:spLocks noChangeAspect="1" noChangeArrowheads="1"/>
        </xdr:cNvSpPr>
      </xdr:nvSpPr>
      <xdr:spPr bwMode="auto">
        <a:xfrm>
          <a:off x="9525000" y="72919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71</xdr:row>
      <xdr:rowOff>0</xdr:rowOff>
    </xdr:from>
    <xdr:ext cx="292100" cy="293519"/>
    <xdr:sp macro="" textlink="">
      <xdr:nvSpPr>
        <xdr:cNvPr id="128" name="AutoShape 1">
          <a:extLst>
            <a:ext uri="{FF2B5EF4-FFF2-40B4-BE49-F238E27FC236}">
              <a16:creationId xmlns:a16="http://schemas.microsoft.com/office/drawing/2014/main" id="{BA792345-93D0-4D39-925A-B9093A5F6370}"/>
            </a:ext>
          </a:extLst>
        </xdr:cNvPr>
        <xdr:cNvSpPr>
          <a:spLocks noChangeAspect="1" noChangeArrowheads="1"/>
        </xdr:cNvSpPr>
      </xdr:nvSpPr>
      <xdr:spPr bwMode="auto">
        <a:xfrm>
          <a:off x="9525000" y="75353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89647</xdr:colOff>
      <xdr:row>53</xdr:row>
      <xdr:rowOff>14941</xdr:rowOff>
    </xdr:from>
    <xdr:to>
      <xdr:col>21</xdr:col>
      <xdr:colOff>118222</xdr:colOff>
      <xdr:row>53</xdr:row>
      <xdr:rowOff>214966</xdr:rowOff>
    </xdr:to>
    <xdr:sp macro="" textlink="">
      <xdr:nvSpPr>
        <xdr:cNvPr id="129" name="正方形/長方形 128">
          <a:extLst>
            <a:ext uri="{FF2B5EF4-FFF2-40B4-BE49-F238E27FC236}">
              <a16:creationId xmlns:a16="http://schemas.microsoft.com/office/drawing/2014/main" id="{17134B2F-DDD7-42E4-B476-29DC433C28AF}"/>
            </a:ext>
          </a:extLst>
        </xdr:cNvPr>
        <xdr:cNvSpPr/>
      </xdr:nvSpPr>
      <xdr:spPr>
        <a:xfrm>
          <a:off x="2245472" y="4128683"/>
          <a:ext cx="5429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115047</xdr:colOff>
      <xdr:row>53</xdr:row>
      <xdr:rowOff>30817</xdr:rowOff>
    </xdr:from>
    <xdr:to>
      <xdr:col>26</xdr:col>
      <xdr:colOff>114650</xdr:colOff>
      <xdr:row>53</xdr:row>
      <xdr:rowOff>221317</xdr:rowOff>
    </xdr:to>
    <xdr:sp macro="" textlink="">
      <xdr:nvSpPr>
        <xdr:cNvPr id="130" name="正方形/長方形 129">
          <a:extLst>
            <a:ext uri="{FF2B5EF4-FFF2-40B4-BE49-F238E27FC236}">
              <a16:creationId xmlns:a16="http://schemas.microsoft.com/office/drawing/2014/main" id="{75877752-DCE3-48BE-9FB0-95AD1B2104F4}"/>
            </a:ext>
          </a:extLst>
        </xdr:cNvPr>
        <xdr:cNvSpPr/>
      </xdr:nvSpPr>
      <xdr:spPr>
        <a:xfrm>
          <a:off x="2909047" y="4144559"/>
          <a:ext cx="5076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112059</xdr:colOff>
      <xdr:row>53</xdr:row>
      <xdr:rowOff>22413</xdr:rowOff>
    </xdr:from>
    <xdr:to>
      <xdr:col>55</xdr:col>
      <xdr:colOff>118659</xdr:colOff>
      <xdr:row>53</xdr:row>
      <xdr:rowOff>212913</xdr:rowOff>
    </xdr:to>
    <xdr:sp macro="" textlink="">
      <xdr:nvSpPr>
        <xdr:cNvPr id="135" name="正方形/長方形 134">
          <a:extLst>
            <a:ext uri="{FF2B5EF4-FFF2-40B4-BE49-F238E27FC236}">
              <a16:creationId xmlns:a16="http://schemas.microsoft.com/office/drawing/2014/main" id="{C86550E0-C1B7-4AC5-B122-08F9221E9600}"/>
            </a:ext>
          </a:extLst>
        </xdr:cNvPr>
        <xdr:cNvSpPr/>
      </xdr:nvSpPr>
      <xdr:spPr>
        <a:xfrm>
          <a:off x="6589059" y="4142505"/>
          <a:ext cx="5177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44823</xdr:colOff>
      <xdr:row>53</xdr:row>
      <xdr:rowOff>29883</xdr:rowOff>
    </xdr:from>
    <xdr:to>
      <xdr:col>61</xdr:col>
      <xdr:colOff>47601</xdr:colOff>
      <xdr:row>53</xdr:row>
      <xdr:rowOff>220383</xdr:rowOff>
    </xdr:to>
    <xdr:sp macro="" textlink="">
      <xdr:nvSpPr>
        <xdr:cNvPr id="136" name="正方形/長方形 135">
          <a:extLst>
            <a:ext uri="{FF2B5EF4-FFF2-40B4-BE49-F238E27FC236}">
              <a16:creationId xmlns:a16="http://schemas.microsoft.com/office/drawing/2014/main" id="{172922D8-A2E8-42CF-806E-563D00021656}"/>
            </a:ext>
          </a:extLst>
        </xdr:cNvPr>
        <xdr:cNvSpPr/>
      </xdr:nvSpPr>
      <xdr:spPr>
        <a:xfrm>
          <a:off x="7286998" y="4143625"/>
          <a:ext cx="5107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oneCellAnchor>
    <xdr:from>
      <xdr:col>75</xdr:col>
      <xdr:colOff>0</xdr:colOff>
      <xdr:row>49</xdr:row>
      <xdr:rowOff>0</xdr:rowOff>
    </xdr:from>
    <xdr:ext cx="292100" cy="293519"/>
    <xdr:sp macro="" textlink="">
      <xdr:nvSpPr>
        <xdr:cNvPr id="137" name="AutoShape 1">
          <a:extLst>
            <a:ext uri="{FF2B5EF4-FFF2-40B4-BE49-F238E27FC236}">
              <a16:creationId xmlns:a16="http://schemas.microsoft.com/office/drawing/2014/main" id="{BE264B2F-747E-4800-B8F9-B8372F93E217}"/>
            </a:ext>
          </a:extLst>
        </xdr:cNvPr>
        <xdr:cNvSpPr>
          <a:spLocks noChangeAspect="1" noChangeArrowheads="1"/>
        </xdr:cNvSpPr>
      </xdr:nvSpPr>
      <xdr:spPr bwMode="auto">
        <a:xfrm>
          <a:off x="9525000" y="3143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51</xdr:row>
      <xdr:rowOff>30768</xdr:rowOff>
    </xdr:from>
    <xdr:to>
      <xdr:col>24</xdr:col>
      <xdr:colOff>64329</xdr:colOff>
      <xdr:row>51</xdr:row>
      <xdr:rowOff>219335</xdr:rowOff>
    </xdr:to>
    <xdr:sp macro="" textlink="">
      <xdr:nvSpPr>
        <xdr:cNvPr id="150" name="正方形/長方形 149">
          <a:extLst>
            <a:ext uri="{FF2B5EF4-FFF2-40B4-BE49-F238E27FC236}">
              <a16:creationId xmlns:a16="http://schemas.microsoft.com/office/drawing/2014/main" id="{1383C819-6B03-4532-9A19-4C1E33E2536C}"/>
            </a:ext>
          </a:extLst>
        </xdr:cNvPr>
        <xdr:cNvSpPr/>
      </xdr:nvSpPr>
      <xdr:spPr>
        <a:xfrm>
          <a:off x="2525092" y="3657676"/>
          <a:ext cx="590412"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40</xdr:col>
      <xdr:colOff>82550</xdr:colOff>
      <xdr:row>59</xdr:row>
      <xdr:rowOff>25400</xdr:rowOff>
    </xdr:from>
    <xdr:to>
      <xdr:col>46</xdr:col>
      <xdr:colOff>44800</xdr:colOff>
      <xdr:row>59</xdr:row>
      <xdr:rowOff>229750</xdr:rowOff>
    </xdr:to>
    <xdr:sp macro="" textlink="">
      <xdr:nvSpPr>
        <xdr:cNvPr id="151" name="正方形/長方形 150">
          <a:extLst>
            <a:ext uri="{FF2B5EF4-FFF2-40B4-BE49-F238E27FC236}">
              <a16:creationId xmlns:a16="http://schemas.microsoft.com/office/drawing/2014/main" id="{633CA7B5-26F9-4EB3-B136-135D5CC61A4D}"/>
            </a:ext>
          </a:extLst>
        </xdr:cNvPr>
        <xdr:cNvSpPr/>
      </xdr:nvSpPr>
      <xdr:spPr>
        <a:xfrm>
          <a:off x="5165725" y="5119158"/>
          <a:ext cx="7242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59</xdr:row>
      <xdr:rowOff>28575</xdr:rowOff>
    </xdr:from>
    <xdr:to>
      <xdr:col>52</xdr:col>
      <xdr:colOff>103620</xdr:colOff>
      <xdr:row>59</xdr:row>
      <xdr:rowOff>229750</xdr:rowOff>
    </xdr:to>
    <xdr:sp macro="" textlink="">
      <xdr:nvSpPr>
        <xdr:cNvPr id="152" name="正方形/長方形 151">
          <a:extLst>
            <a:ext uri="{FF2B5EF4-FFF2-40B4-BE49-F238E27FC236}">
              <a16:creationId xmlns:a16="http://schemas.microsoft.com/office/drawing/2014/main" id="{858108C4-DEF0-4488-8E0D-892F4F1977D6}"/>
            </a:ext>
          </a:extLst>
        </xdr:cNvPr>
        <xdr:cNvSpPr/>
      </xdr:nvSpPr>
      <xdr:spPr>
        <a:xfrm>
          <a:off x="5977020" y="5115983"/>
          <a:ext cx="733775"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59</xdr:row>
      <xdr:rowOff>38100</xdr:rowOff>
    </xdr:from>
    <xdr:to>
      <xdr:col>39</xdr:col>
      <xdr:colOff>38450</xdr:colOff>
      <xdr:row>59</xdr:row>
      <xdr:rowOff>239275</xdr:rowOff>
    </xdr:to>
    <xdr:sp macro="" textlink="">
      <xdr:nvSpPr>
        <xdr:cNvPr id="153" name="正方形/長方形 152">
          <a:extLst>
            <a:ext uri="{FF2B5EF4-FFF2-40B4-BE49-F238E27FC236}">
              <a16:creationId xmlns:a16="http://schemas.microsoft.com/office/drawing/2014/main" id="{8F6DAE57-83BC-413A-9411-96AD09408DCE}"/>
            </a:ext>
          </a:extLst>
        </xdr:cNvPr>
        <xdr:cNvSpPr/>
      </xdr:nvSpPr>
      <xdr:spPr>
        <a:xfrm>
          <a:off x="4273550" y="5128683"/>
          <a:ext cx="7179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24</xdr:col>
      <xdr:colOff>0</xdr:colOff>
      <xdr:row>50</xdr:row>
      <xdr:rowOff>0</xdr:rowOff>
    </xdr:from>
    <xdr:ext cx="292100" cy="293519"/>
    <xdr:sp macro="" textlink="">
      <xdr:nvSpPr>
        <xdr:cNvPr id="156" name="AutoShape 1">
          <a:extLst>
            <a:ext uri="{FF2B5EF4-FFF2-40B4-BE49-F238E27FC236}">
              <a16:creationId xmlns:a16="http://schemas.microsoft.com/office/drawing/2014/main" id="{5FDC2427-F773-48FF-B6F7-E480C30BAE16}"/>
            </a:ext>
          </a:extLst>
        </xdr:cNvPr>
        <xdr:cNvSpPr>
          <a:spLocks noChangeAspect="1" noChangeArrowheads="1"/>
        </xdr:cNvSpPr>
      </xdr:nvSpPr>
      <xdr:spPr bwMode="auto">
        <a:xfrm>
          <a:off x="3048000" y="33866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51</xdr:row>
      <xdr:rowOff>15875</xdr:rowOff>
    </xdr:from>
    <xdr:to>
      <xdr:col>79</xdr:col>
      <xdr:colOff>38100</xdr:colOff>
      <xdr:row>51</xdr:row>
      <xdr:rowOff>228600</xdr:rowOff>
    </xdr:to>
    <xdr:sp macro="" textlink="">
      <xdr:nvSpPr>
        <xdr:cNvPr id="157" name="正方形/長方形 156">
          <a:extLst>
            <a:ext uri="{FF2B5EF4-FFF2-40B4-BE49-F238E27FC236}">
              <a16:creationId xmlns:a16="http://schemas.microsoft.com/office/drawing/2014/main" id="{07F7D963-278A-453A-888F-31AA57D66ABE}"/>
            </a:ext>
          </a:extLst>
        </xdr:cNvPr>
        <xdr:cNvSpPr/>
      </xdr:nvSpPr>
      <xdr:spPr>
        <a:xfrm>
          <a:off x="6632575" y="3645958"/>
          <a:ext cx="3438525"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38100</xdr:colOff>
      <xdr:row>50</xdr:row>
      <xdr:rowOff>9525</xdr:rowOff>
    </xdr:from>
    <xdr:to>
      <xdr:col>60</xdr:col>
      <xdr:colOff>41274</xdr:colOff>
      <xdr:row>50</xdr:row>
      <xdr:rowOff>206936</xdr:rowOff>
    </xdr:to>
    <xdr:sp macro="" textlink="">
      <xdr:nvSpPr>
        <xdr:cNvPr id="158" name="正方形/長方形 157">
          <a:extLst>
            <a:ext uri="{FF2B5EF4-FFF2-40B4-BE49-F238E27FC236}">
              <a16:creationId xmlns:a16="http://schemas.microsoft.com/office/drawing/2014/main" id="{F642972E-7E2E-4D39-BC9A-5FE599A6EBD8}"/>
            </a:ext>
          </a:extLst>
        </xdr:cNvPr>
        <xdr:cNvSpPr/>
      </xdr:nvSpPr>
      <xdr:spPr>
        <a:xfrm>
          <a:off x="6642100" y="3393017"/>
          <a:ext cx="10191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72</xdr:col>
      <xdr:colOff>28575</xdr:colOff>
      <xdr:row>73</xdr:row>
      <xdr:rowOff>19050</xdr:rowOff>
    </xdr:from>
    <xdr:to>
      <xdr:col>78</xdr:col>
      <xdr:colOff>19734</xdr:colOff>
      <xdr:row>73</xdr:row>
      <xdr:rowOff>219489</xdr:rowOff>
    </xdr:to>
    <xdr:sp macro="" textlink="">
      <xdr:nvSpPr>
        <xdr:cNvPr id="159" name="正方形/長方形 158">
          <a:extLst>
            <a:ext uri="{FF2B5EF4-FFF2-40B4-BE49-F238E27FC236}">
              <a16:creationId xmlns:a16="http://schemas.microsoft.com/office/drawing/2014/main" id="{934942F6-8C77-4E97-831B-9380120573B5}"/>
            </a:ext>
          </a:extLst>
        </xdr:cNvPr>
        <xdr:cNvSpPr/>
      </xdr:nvSpPr>
      <xdr:spPr>
        <a:xfrm>
          <a:off x="9169400" y="8041217"/>
          <a:ext cx="756334" cy="1972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7</xdr:col>
      <xdr:colOff>70554</xdr:colOff>
      <xdr:row>58</xdr:row>
      <xdr:rowOff>35281</xdr:rowOff>
    </xdr:from>
    <xdr:to>
      <xdr:col>13</xdr:col>
      <xdr:colOff>23279</xdr:colOff>
      <xdr:row>58</xdr:row>
      <xdr:rowOff>236456</xdr:rowOff>
    </xdr:to>
    <xdr:sp macro="" textlink="">
      <xdr:nvSpPr>
        <xdr:cNvPr id="160" name="正方形/長方形 159">
          <a:extLst>
            <a:ext uri="{FF2B5EF4-FFF2-40B4-BE49-F238E27FC236}">
              <a16:creationId xmlns:a16="http://schemas.microsoft.com/office/drawing/2014/main" id="{EB9991FB-EA9F-4D4F-9DC2-94FC2A763213}"/>
            </a:ext>
          </a:extLst>
        </xdr:cNvPr>
        <xdr:cNvSpPr/>
      </xdr:nvSpPr>
      <xdr:spPr>
        <a:xfrm>
          <a:off x="956379" y="4882448"/>
          <a:ext cx="721075"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oneCellAnchor>
    <xdr:from>
      <xdr:col>4</xdr:col>
      <xdr:colOff>0</xdr:colOff>
      <xdr:row>77</xdr:row>
      <xdr:rowOff>114300</xdr:rowOff>
    </xdr:from>
    <xdr:ext cx="963613" cy="241300"/>
    <xdr:pic>
      <xdr:nvPicPr>
        <xdr:cNvPr id="165" name="図 164">
          <a:extLst>
            <a:ext uri="{FF2B5EF4-FFF2-40B4-BE49-F238E27FC236}">
              <a16:creationId xmlns:a16="http://schemas.microsoft.com/office/drawing/2014/main" id="{50F61333-A392-45DF-B39F-2537D93A19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9046633"/>
          <a:ext cx="963613" cy="241300"/>
        </a:xfrm>
        <a:prstGeom prst="rect">
          <a:avLst/>
        </a:prstGeom>
      </xdr:spPr>
    </xdr:pic>
    <xdr:clientData/>
  </xdr:oneCellAnchor>
  <xdr:twoCellAnchor>
    <xdr:from>
      <xdr:col>5</xdr:col>
      <xdr:colOff>106391</xdr:colOff>
      <xdr:row>107</xdr:row>
      <xdr:rowOff>0</xdr:rowOff>
    </xdr:from>
    <xdr:to>
      <xdr:col>12</xdr:col>
      <xdr:colOff>108941</xdr:colOff>
      <xdr:row>107</xdr:row>
      <xdr:rowOff>194400</xdr:rowOff>
    </xdr:to>
    <xdr:sp macro="" textlink="">
      <xdr:nvSpPr>
        <xdr:cNvPr id="166" name="正方形/長方形 165">
          <a:extLst>
            <a:ext uri="{FF2B5EF4-FFF2-40B4-BE49-F238E27FC236}">
              <a16:creationId xmlns:a16="http://schemas.microsoft.com/office/drawing/2014/main" id="{B441397B-99D8-4B60-A5F9-BBA008557EDD}"/>
            </a:ext>
          </a:extLst>
        </xdr:cNvPr>
        <xdr:cNvSpPr/>
      </xdr:nvSpPr>
      <xdr:spPr>
        <a:xfrm>
          <a:off x="738216" y="15515167"/>
          <a:ext cx="891550" cy="1975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82</xdr:row>
      <xdr:rowOff>0</xdr:rowOff>
    </xdr:from>
    <xdr:ext cx="292100" cy="293519"/>
    <xdr:sp macro="" textlink="">
      <xdr:nvSpPr>
        <xdr:cNvPr id="167" name="AutoShape 1">
          <a:extLst>
            <a:ext uri="{FF2B5EF4-FFF2-40B4-BE49-F238E27FC236}">
              <a16:creationId xmlns:a16="http://schemas.microsoft.com/office/drawing/2014/main" id="{E7D1FAD8-8583-4491-9886-5C5C61F9D472}"/>
            </a:ext>
          </a:extLst>
        </xdr:cNvPr>
        <xdr:cNvSpPr>
          <a:spLocks noChangeAspect="1" noChangeArrowheads="1"/>
        </xdr:cNvSpPr>
      </xdr:nvSpPr>
      <xdr:spPr bwMode="auto">
        <a:xfrm>
          <a:off x="9525000" y="101494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39</xdr:col>
      <xdr:colOff>0</xdr:colOff>
      <xdr:row>107</xdr:row>
      <xdr:rowOff>0</xdr:rowOff>
    </xdr:from>
    <xdr:to>
      <xdr:col>46</xdr:col>
      <xdr:colOff>2550</xdr:colOff>
      <xdr:row>107</xdr:row>
      <xdr:rowOff>194710</xdr:rowOff>
    </xdr:to>
    <xdr:sp macro="" textlink="">
      <xdr:nvSpPr>
        <xdr:cNvPr id="168" name="正方形/長方形 167">
          <a:extLst>
            <a:ext uri="{FF2B5EF4-FFF2-40B4-BE49-F238E27FC236}">
              <a16:creationId xmlns:a16="http://schemas.microsoft.com/office/drawing/2014/main" id="{64D6294A-CC74-4737-BEC1-FB91054D1912}"/>
            </a:ext>
          </a:extLst>
        </xdr:cNvPr>
        <xdr:cNvSpPr/>
      </xdr:nvSpPr>
      <xdr:spPr bwMode="auto">
        <a:xfrm>
          <a:off x="4953000" y="15515167"/>
          <a:ext cx="891550" cy="1978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112061</xdr:colOff>
      <xdr:row>88</xdr:row>
      <xdr:rowOff>29881</xdr:rowOff>
    </xdr:from>
    <xdr:to>
      <xdr:col>59</xdr:col>
      <xdr:colOff>112060</xdr:colOff>
      <xdr:row>88</xdr:row>
      <xdr:rowOff>224117</xdr:rowOff>
    </xdr:to>
    <xdr:sp macro="" textlink="">
      <xdr:nvSpPr>
        <xdr:cNvPr id="169" name="正方形/長方形 168">
          <a:extLst>
            <a:ext uri="{FF2B5EF4-FFF2-40B4-BE49-F238E27FC236}">
              <a16:creationId xmlns:a16="http://schemas.microsoft.com/office/drawing/2014/main" id="{489B4844-8664-4981-BC4B-FD12A3CED1A2}"/>
            </a:ext>
          </a:extLst>
        </xdr:cNvPr>
        <xdr:cNvSpPr/>
      </xdr:nvSpPr>
      <xdr:spPr>
        <a:xfrm>
          <a:off x="6589061" y="11636623"/>
          <a:ext cx="10159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93</xdr:row>
      <xdr:rowOff>0</xdr:rowOff>
    </xdr:from>
    <xdr:ext cx="292100" cy="293519"/>
    <xdr:sp macro="" textlink="">
      <xdr:nvSpPr>
        <xdr:cNvPr id="170" name="AutoShape 1">
          <a:extLst>
            <a:ext uri="{FF2B5EF4-FFF2-40B4-BE49-F238E27FC236}">
              <a16:creationId xmlns:a16="http://schemas.microsoft.com/office/drawing/2014/main" id="{C9406453-DDB0-4DC9-8800-FB638978ED0F}"/>
            </a:ext>
          </a:extLst>
        </xdr:cNvPr>
        <xdr:cNvSpPr>
          <a:spLocks noChangeAspect="1" noChangeArrowheads="1"/>
        </xdr:cNvSpPr>
      </xdr:nvSpPr>
      <xdr:spPr bwMode="auto">
        <a:xfrm>
          <a:off x="9525000" y="125835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93</xdr:row>
      <xdr:rowOff>0</xdr:rowOff>
    </xdr:from>
    <xdr:ext cx="292100" cy="293519"/>
    <xdr:sp macro="" textlink="">
      <xdr:nvSpPr>
        <xdr:cNvPr id="171" name="AutoShape 1">
          <a:extLst>
            <a:ext uri="{FF2B5EF4-FFF2-40B4-BE49-F238E27FC236}">
              <a16:creationId xmlns:a16="http://schemas.microsoft.com/office/drawing/2014/main" id="{985864BA-C5A5-4EE2-8D32-0B5438B67F28}"/>
            </a:ext>
          </a:extLst>
        </xdr:cNvPr>
        <xdr:cNvSpPr>
          <a:spLocks noChangeAspect="1" noChangeArrowheads="1"/>
        </xdr:cNvSpPr>
      </xdr:nvSpPr>
      <xdr:spPr bwMode="auto">
        <a:xfrm>
          <a:off x="9525000" y="123401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94</xdr:row>
      <xdr:rowOff>0</xdr:rowOff>
    </xdr:from>
    <xdr:ext cx="292100" cy="293519"/>
    <xdr:sp macro="" textlink="">
      <xdr:nvSpPr>
        <xdr:cNvPr id="172" name="AutoShape 1">
          <a:extLst>
            <a:ext uri="{FF2B5EF4-FFF2-40B4-BE49-F238E27FC236}">
              <a16:creationId xmlns:a16="http://schemas.microsoft.com/office/drawing/2014/main" id="{FFAED055-FB59-4E88-96BE-66EBB3DBCC3A}"/>
            </a:ext>
          </a:extLst>
        </xdr:cNvPr>
        <xdr:cNvSpPr>
          <a:spLocks noChangeAspect="1" noChangeArrowheads="1"/>
        </xdr:cNvSpPr>
      </xdr:nvSpPr>
      <xdr:spPr bwMode="auto">
        <a:xfrm>
          <a:off x="9525000" y="12827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95</xdr:row>
      <xdr:rowOff>0</xdr:rowOff>
    </xdr:from>
    <xdr:ext cx="292100" cy="293519"/>
    <xdr:sp macro="" textlink="">
      <xdr:nvSpPr>
        <xdr:cNvPr id="173" name="AutoShape 1">
          <a:extLst>
            <a:ext uri="{FF2B5EF4-FFF2-40B4-BE49-F238E27FC236}">
              <a16:creationId xmlns:a16="http://schemas.microsoft.com/office/drawing/2014/main" id="{A5D4B3E7-6026-4701-9E04-397A3E330E85}"/>
            </a:ext>
          </a:extLst>
        </xdr:cNvPr>
        <xdr:cNvSpPr>
          <a:spLocks noChangeAspect="1" noChangeArrowheads="1"/>
        </xdr:cNvSpPr>
      </xdr:nvSpPr>
      <xdr:spPr bwMode="auto">
        <a:xfrm>
          <a:off x="9525000" y="13081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96</xdr:row>
      <xdr:rowOff>0</xdr:rowOff>
    </xdr:from>
    <xdr:ext cx="292100" cy="293519"/>
    <xdr:sp macro="" textlink="">
      <xdr:nvSpPr>
        <xdr:cNvPr id="174" name="AutoShape 1">
          <a:extLst>
            <a:ext uri="{FF2B5EF4-FFF2-40B4-BE49-F238E27FC236}">
              <a16:creationId xmlns:a16="http://schemas.microsoft.com/office/drawing/2014/main" id="{CF40BB4C-8BA5-4ED7-B73E-39B148B8EBB6}"/>
            </a:ext>
          </a:extLst>
        </xdr:cNvPr>
        <xdr:cNvSpPr>
          <a:spLocks noChangeAspect="1" noChangeArrowheads="1"/>
        </xdr:cNvSpPr>
      </xdr:nvSpPr>
      <xdr:spPr bwMode="auto">
        <a:xfrm>
          <a:off x="9525000" y="133244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98</xdr:row>
      <xdr:rowOff>0</xdr:rowOff>
    </xdr:from>
    <xdr:ext cx="292100" cy="293519"/>
    <xdr:sp macro="" textlink="">
      <xdr:nvSpPr>
        <xdr:cNvPr id="175" name="AutoShape 1">
          <a:extLst>
            <a:ext uri="{FF2B5EF4-FFF2-40B4-BE49-F238E27FC236}">
              <a16:creationId xmlns:a16="http://schemas.microsoft.com/office/drawing/2014/main" id="{1C572BAA-1E69-4BC7-90FD-1D591200BDD9}"/>
            </a:ext>
          </a:extLst>
        </xdr:cNvPr>
        <xdr:cNvSpPr>
          <a:spLocks noChangeAspect="1" noChangeArrowheads="1"/>
        </xdr:cNvSpPr>
      </xdr:nvSpPr>
      <xdr:spPr bwMode="auto">
        <a:xfrm>
          <a:off x="9525000" y="13811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99</xdr:row>
      <xdr:rowOff>0</xdr:rowOff>
    </xdr:from>
    <xdr:ext cx="292100" cy="293519"/>
    <xdr:sp macro="" textlink="">
      <xdr:nvSpPr>
        <xdr:cNvPr id="176" name="AutoShape 1">
          <a:extLst>
            <a:ext uri="{FF2B5EF4-FFF2-40B4-BE49-F238E27FC236}">
              <a16:creationId xmlns:a16="http://schemas.microsoft.com/office/drawing/2014/main" id="{D86444E7-808A-4327-9E8F-9776823D75D7}"/>
            </a:ext>
          </a:extLst>
        </xdr:cNvPr>
        <xdr:cNvSpPr>
          <a:spLocks noChangeAspect="1" noChangeArrowheads="1"/>
        </xdr:cNvSpPr>
      </xdr:nvSpPr>
      <xdr:spPr bwMode="auto">
        <a:xfrm>
          <a:off x="9525000" y="140546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100</xdr:row>
      <xdr:rowOff>0</xdr:rowOff>
    </xdr:from>
    <xdr:ext cx="292100" cy="293519"/>
    <xdr:sp macro="" textlink="">
      <xdr:nvSpPr>
        <xdr:cNvPr id="177" name="AutoShape 1">
          <a:extLst>
            <a:ext uri="{FF2B5EF4-FFF2-40B4-BE49-F238E27FC236}">
              <a16:creationId xmlns:a16="http://schemas.microsoft.com/office/drawing/2014/main" id="{20846E63-8A4A-4DB9-B4D7-9B29534B0EC5}"/>
            </a:ext>
          </a:extLst>
        </xdr:cNvPr>
        <xdr:cNvSpPr>
          <a:spLocks noChangeAspect="1" noChangeArrowheads="1"/>
        </xdr:cNvSpPr>
      </xdr:nvSpPr>
      <xdr:spPr bwMode="auto">
        <a:xfrm>
          <a:off x="9525000" y="142980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101</xdr:row>
      <xdr:rowOff>0</xdr:rowOff>
    </xdr:from>
    <xdr:ext cx="292100" cy="293519"/>
    <xdr:sp macro="" textlink="">
      <xdr:nvSpPr>
        <xdr:cNvPr id="178" name="AutoShape 1">
          <a:extLst>
            <a:ext uri="{FF2B5EF4-FFF2-40B4-BE49-F238E27FC236}">
              <a16:creationId xmlns:a16="http://schemas.microsoft.com/office/drawing/2014/main" id="{D0553CEA-E9B4-4A6B-B36C-9003A29B5C52}"/>
            </a:ext>
          </a:extLst>
        </xdr:cNvPr>
        <xdr:cNvSpPr>
          <a:spLocks noChangeAspect="1" noChangeArrowheads="1"/>
        </xdr:cNvSpPr>
      </xdr:nvSpPr>
      <xdr:spPr bwMode="auto">
        <a:xfrm>
          <a:off x="9525000" y="14541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104</xdr:row>
      <xdr:rowOff>0</xdr:rowOff>
    </xdr:from>
    <xdr:ext cx="292100" cy="293519"/>
    <xdr:sp macro="" textlink="">
      <xdr:nvSpPr>
        <xdr:cNvPr id="179" name="AutoShape 1">
          <a:extLst>
            <a:ext uri="{FF2B5EF4-FFF2-40B4-BE49-F238E27FC236}">
              <a16:creationId xmlns:a16="http://schemas.microsoft.com/office/drawing/2014/main" id="{1BDCF1DD-840A-4295-9C5B-B16E8AF5A6FD}"/>
            </a:ext>
          </a:extLst>
        </xdr:cNvPr>
        <xdr:cNvSpPr>
          <a:spLocks noChangeAspect="1" noChangeArrowheads="1"/>
        </xdr:cNvSpPr>
      </xdr:nvSpPr>
      <xdr:spPr bwMode="auto">
        <a:xfrm>
          <a:off x="9525000" y="147849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105</xdr:row>
      <xdr:rowOff>0</xdr:rowOff>
    </xdr:from>
    <xdr:ext cx="292100" cy="293519"/>
    <xdr:sp macro="" textlink="">
      <xdr:nvSpPr>
        <xdr:cNvPr id="180" name="AutoShape 1">
          <a:extLst>
            <a:ext uri="{FF2B5EF4-FFF2-40B4-BE49-F238E27FC236}">
              <a16:creationId xmlns:a16="http://schemas.microsoft.com/office/drawing/2014/main" id="{5605DC42-8AB5-46BF-AC47-5EFFFDD53B96}"/>
            </a:ext>
          </a:extLst>
        </xdr:cNvPr>
        <xdr:cNvSpPr>
          <a:spLocks noChangeAspect="1" noChangeArrowheads="1"/>
        </xdr:cNvSpPr>
      </xdr:nvSpPr>
      <xdr:spPr bwMode="auto">
        <a:xfrm>
          <a:off x="9525000" y="150283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89647</xdr:colOff>
      <xdr:row>87</xdr:row>
      <xdr:rowOff>14941</xdr:rowOff>
    </xdr:from>
    <xdr:to>
      <xdr:col>21</xdr:col>
      <xdr:colOff>118222</xdr:colOff>
      <xdr:row>87</xdr:row>
      <xdr:rowOff>214966</xdr:rowOff>
    </xdr:to>
    <xdr:sp macro="" textlink="">
      <xdr:nvSpPr>
        <xdr:cNvPr id="181" name="正方形/長方形 180">
          <a:extLst>
            <a:ext uri="{FF2B5EF4-FFF2-40B4-BE49-F238E27FC236}">
              <a16:creationId xmlns:a16="http://schemas.microsoft.com/office/drawing/2014/main" id="{80198CD7-DF53-4275-B375-D39FE728323B}"/>
            </a:ext>
          </a:extLst>
        </xdr:cNvPr>
        <xdr:cNvSpPr/>
      </xdr:nvSpPr>
      <xdr:spPr>
        <a:xfrm>
          <a:off x="2245472" y="11378266"/>
          <a:ext cx="5429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115047</xdr:colOff>
      <xdr:row>87</xdr:row>
      <xdr:rowOff>30817</xdr:rowOff>
    </xdr:from>
    <xdr:to>
      <xdr:col>26</xdr:col>
      <xdr:colOff>114650</xdr:colOff>
      <xdr:row>87</xdr:row>
      <xdr:rowOff>221317</xdr:rowOff>
    </xdr:to>
    <xdr:sp macro="" textlink="">
      <xdr:nvSpPr>
        <xdr:cNvPr id="182" name="正方形/長方形 181">
          <a:extLst>
            <a:ext uri="{FF2B5EF4-FFF2-40B4-BE49-F238E27FC236}">
              <a16:creationId xmlns:a16="http://schemas.microsoft.com/office/drawing/2014/main" id="{723EE70D-F2EE-4AF9-A826-555800BF63E4}"/>
            </a:ext>
          </a:extLst>
        </xdr:cNvPr>
        <xdr:cNvSpPr/>
      </xdr:nvSpPr>
      <xdr:spPr>
        <a:xfrm>
          <a:off x="2909047" y="11394142"/>
          <a:ext cx="5076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112059</xdr:colOff>
      <xdr:row>87</xdr:row>
      <xdr:rowOff>22413</xdr:rowOff>
    </xdr:from>
    <xdr:to>
      <xdr:col>55</xdr:col>
      <xdr:colOff>118659</xdr:colOff>
      <xdr:row>87</xdr:row>
      <xdr:rowOff>212913</xdr:rowOff>
    </xdr:to>
    <xdr:sp macro="" textlink="">
      <xdr:nvSpPr>
        <xdr:cNvPr id="185" name="正方形/長方形 184">
          <a:extLst>
            <a:ext uri="{FF2B5EF4-FFF2-40B4-BE49-F238E27FC236}">
              <a16:creationId xmlns:a16="http://schemas.microsoft.com/office/drawing/2014/main" id="{AF7A225E-508B-4CB4-AF31-8D9835961ADC}"/>
            </a:ext>
          </a:extLst>
        </xdr:cNvPr>
        <xdr:cNvSpPr/>
      </xdr:nvSpPr>
      <xdr:spPr>
        <a:xfrm>
          <a:off x="6589059" y="11392088"/>
          <a:ext cx="5177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44823</xdr:colOff>
      <xdr:row>87</xdr:row>
      <xdr:rowOff>29883</xdr:rowOff>
    </xdr:from>
    <xdr:to>
      <xdr:col>61</xdr:col>
      <xdr:colOff>47601</xdr:colOff>
      <xdr:row>87</xdr:row>
      <xdr:rowOff>220383</xdr:rowOff>
    </xdr:to>
    <xdr:sp macro="" textlink="">
      <xdr:nvSpPr>
        <xdr:cNvPr id="186" name="正方形/長方形 185">
          <a:extLst>
            <a:ext uri="{FF2B5EF4-FFF2-40B4-BE49-F238E27FC236}">
              <a16:creationId xmlns:a16="http://schemas.microsoft.com/office/drawing/2014/main" id="{E6F9C86D-E3E1-4A3F-B5AE-2C03CC492C53}"/>
            </a:ext>
          </a:extLst>
        </xdr:cNvPr>
        <xdr:cNvSpPr/>
      </xdr:nvSpPr>
      <xdr:spPr>
        <a:xfrm>
          <a:off x="7286998" y="11393208"/>
          <a:ext cx="5107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oneCellAnchor>
    <xdr:from>
      <xdr:col>75</xdr:col>
      <xdr:colOff>0</xdr:colOff>
      <xdr:row>83</xdr:row>
      <xdr:rowOff>0</xdr:rowOff>
    </xdr:from>
    <xdr:ext cx="292100" cy="293519"/>
    <xdr:sp macro="" textlink="">
      <xdr:nvSpPr>
        <xdr:cNvPr id="187" name="AutoShape 1">
          <a:extLst>
            <a:ext uri="{FF2B5EF4-FFF2-40B4-BE49-F238E27FC236}">
              <a16:creationId xmlns:a16="http://schemas.microsoft.com/office/drawing/2014/main" id="{7C67811F-DF59-46AC-A023-33812CFA81C4}"/>
            </a:ext>
          </a:extLst>
        </xdr:cNvPr>
        <xdr:cNvSpPr>
          <a:spLocks noChangeAspect="1" noChangeArrowheads="1"/>
        </xdr:cNvSpPr>
      </xdr:nvSpPr>
      <xdr:spPr bwMode="auto">
        <a:xfrm>
          <a:off x="9525000" y="103928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85</xdr:row>
      <xdr:rowOff>30768</xdr:rowOff>
    </xdr:from>
    <xdr:to>
      <xdr:col>24</xdr:col>
      <xdr:colOff>64329</xdr:colOff>
      <xdr:row>85</xdr:row>
      <xdr:rowOff>219335</xdr:rowOff>
    </xdr:to>
    <xdr:sp macro="" textlink="">
      <xdr:nvSpPr>
        <xdr:cNvPr id="188" name="正方形/長方形 187">
          <a:extLst>
            <a:ext uri="{FF2B5EF4-FFF2-40B4-BE49-F238E27FC236}">
              <a16:creationId xmlns:a16="http://schemas.microsoft.com/office/drawing/2014/main" id="{2CAF0797-107B-4BD0-998D-0C84F09089C2}"/>
            </a:ext>
          </a:extLst>
        </xdr:cNvPr>
        <xdr:cNvSpPr/>
      </xdr:nvSpPr>
      <xdr:spPr>
        <a:xfrm>
          <a:off x="2525092" y="10907260"/>
          <a:ext cx="590412"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40</xdr:col>
      <xdr:colOff>82550</xdr:colOff>
      <xdr:row>93</xdr:row>
      <xdr:rowOff>25400</xdr:rowOff>
    </xdr:from>
    <xdr:to>
      <xdr:col>46</xdr:col>
      <xdr:colOff>44800</xdr:colOff>
      <xdr:row>93</xdr:row>
      <xdr:rowOff>229750</xdr:rowOff>
    </xdr:to>
    <xdr:sp macro="" textlink="">
      <xdr:nvSpPr>
        <xdr:cNvPr id="189" name="正方形/長方形 188">
          <a:extLst>
            <a:ext uri="{FF2B5EF4-FFF2-40B4-BE49-F238E27FC236}">
              <a16:creationId xmlns:a16="http://schemas.microsoft.com/office/drawing/2014/main" id="{F57BD363-6BA8-49B7-B7D3-9C40397BA15C}"/>
            </a:ext>
          </a:extLst>
        </xdr:cNvPr>
        <xdr:cNvSpPr/>
      </xdr:nvSpPr>
      <xdr:spPr>
        <a:xfrm>
          <a:off x="5165725" y="12612158"/>
          <a:ext cx="7242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93</xdr:row>
      <xdr:rowOff>28575</xdr:rowOff>
    </xdr:from>
    <xdr:to>
      <xdr:col>52</xdr:col>
      <xdr:colOff>103620</xdr:colOff>
      <xdr:row>93</xdr:row>
      <xdr:rowOff>229750</xdr:rowOff>
    </xdr:to>
    <xdr:sp macro="" textlink="">
      <xdr:nvSpPr>
        <xdr:cNvPr id="190" name="正方形/長方形 189">
          <a:extLst>
            <a:ext uri="{FF2B5EF4-FFF2-40B4-BE49-F238E27FC236}">
              <a16:creationId xmlns:a16="http://schemas.microsoft.com/office/drawing/2014/main" id="{7A6D2F13-D309-4DCC-B233-7FC40880E815}"/>
            </a:ext>
          </a:extLst>
        </xdr:cNvPr>
        <xdr:cNvSpPr/>
      </xdr:nvSpPr>
      <xdr:spPr>
        <a:xfrm>
          <a:off x="5977020" y="12608983"/>
          <a:ext cx="733775"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93</xdr:row>
      <xdr:rowOff>38100</xdr:rowOff>
    </xdr:from>
    <xdr:to>
      <xdr:col>39</xdr:col>
      <xdr:colOff>38450</xdr:colOff>
      <xdr:row>93</xdr:row>
      <xdr:rowOff>239275</xdr:rowOff>
    </xdr:to>
    <xdr:sp macro="" textlink="">
      <xdr:nvSpPr>
        <xdr:cNvPr id="191" name="正方形/長方形 190">
          <a:extLst>
            <a:ext uri="{FF2B5EF4-FFF2-40B4-BE49-F238E27FC236}">
              <a16:creationId xmlns:a16="http://schemas.microsoft.com/office/drawing/2014/main" id="{021C46F0-7EBE-417F-895F-105C44DAE3BD}"/>
            </a:ext>
          </a:extLst>
        </xdr:cNvPr>
        <xdr:cNvSpPr/>
      </xdr:nvSpPr>
      <xdr:spPr>
        <a:xfrm>
          <a:off x="4273550" y="12621683"/>
          <a:ext cx="7179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24</xdr:col>
      <xdr:colOff>0</xdr:colOff>
      <xdr:row>84</xdr:row>
      <xdr:rowOff>0</xdr:rowOff>
    </xdr:from>
    <xdr:ext cx="292100" cy="293519"/>
    <xdr:sp macro="" textlink="">
      <xdr:nvSpPr>
        <xdr:cNvPr id="194" name="AutoShape 1">
          <a:extLst>
            <a:ext uri="{FF2B5EF4-FFF2-40B4-BE49-F238E27FC236}">
              <a16:creationId xmlns:a16="http://schemas.microsoft.com/office/drawing/2014/main" id="{42F41EFC-2816-4F58-A19D-A6CADF4512A4}"/>
            </a:ext>
          </a:extLst>
        </xdr:cNvPr>
        <xdr:cNvSpPr>
          <a:spLocks noChangeAspect="1" noChangeArrowheads="1"/>
        </xdr:cNvSpPr>
      </xdr:nvSpPr>
      <xdr:spPr bwMode="auto">
        <a:xfrm>
          <a:off x="3048000" y="10636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85</xdr:row>
      <xdr:rowOff>15875</xdr:rowOff>
    </xdr:from>
    <xdr:to>
      <xdr:col>79</xdr:col>
      <xdr:colOff>38100</xdr:colOff>
      <xdr:row>85</xdr:row>
      <xdr:rowOff>228600</xdr:rowOff>
    </xdr:to>
    <xdr:sp macro="" textlink="">
      <xdr:nvSpPr>
        <xdr:cNvPr id="195" name="正方形/長方形 194">
          <a:extLst>
            <a:ext uri="{FF2B5EF4-FFF2-40B4-BE49-F238E27FC236}">
              <a16:creationId xmlns:a16="http://schemas.microsoft.com/office/drawing/2014/main" id="{E953F09C-6D0C-49C8-93F9-FF0E1EE53783}"/>
            </a:ext>
          </a:extLst>
        </xdr:cNvPr>
        <xdr:cNvSpPr/>
      </xdr:nvSpPr>
      <xdr:spPr>
        <a:xfrm>
          <a:off x="6632575" y="10895542"/>
          <a:ext cx="3438525"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38100</xdr:colOff>
      <xdr:row>84</xdr:row>
      <xdr:rowOff>9525</xdr:rowOff>
    </xdr:from>
    <xdr:to>
      <xdr:col>60</xdr:col>
      <xdr:colOff>41274</xdr:colOff>
      <xdr:row>84</xdr:row>
      <xdr:rowOff>206936</xdr:rowOff>
    </xdr:to>
    <xdr:sp macro="" textlink="">
      <xdr:nvSpPr>
        <xdr:cNvPr id="196" name="正方形/長方形 195">
          <a:extLst>
            <a:ext uri="{FF2B5EF4-FFF2-40B4-BE49-F238E27FC236}">
              <a16:creationId xmlns:a16="http://schemas.microsoft.com/office/drawing/2014/main" id="{9CED750F-560B-495C-9291-58CC0BC96D83}"/>
            </a:ext>
          </a:extLst>
        </xdr:cNvPr>
        <xdr:cNvSpPr/>
      </xdr:nvSpPr>
      <xdr:spPr>
        <a:xfrm>
          <a:off x="6642100" y="10642600"/>
          <a:ext cx="10191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72</xdr:col>
      <xdr:colOff>28575</xdr:colOff>
      <xdr:row>107</xdr:row>
      <xdr:rowOff>19050</xdr:rowOff>
    </xdr:from>
    <xdr:to>
      <xdr:col>78</xdr:col>
      <xdr:colOff>19734</xdr:colOff>
      <xdr:row>107</xdr:row>
      <xdr:rowOff>219489</xdr:rowOff>
    </xdr:to>
    <xdr:sp macro="" textlink="">
      <xdr:nvSpPr>
        <xdr:cNvPr id="197" name="正方形/長方形 196">
          <a:extLst>
            <a:ext uri="{FF2B5EF4-FFF2-40B4-BE49-F238E27FC236}">
              <a16:creationId xmlns:a16="http://schemas.microsoft.com/office/drawing/2014/main" id="{47012038-DC3A-4DB7-A06E-06DB3F9C109F}"/>
            </a:ext>
          </a:extLst>
        </xdr:cNvPr>
        <xdr:cNvSpPr/>
      </xdr:nvSpPr>
      <xdr:spPr>
        <a:xfrm>
          <a:off x="9169400" y="15534217"/>
          <a:ext cx="756334" cy="1972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52</xdr:col>
      <xdr:colOff>7469</xdr:colOff>
      <xdr:row>92</xdr:row>
      <xdr:rowOff>22412</xdr:rowOff>
    </xdr:from>
    <xdr:to>
      <xdr:col>56</xdr:col>
      <xdr:colOff>14069</xdr:colOff>
      <xdr:row>92</xdr:row>
      <xdr:rowOff>212912</xdr:rowOff>
    </xdr:to>
    <xdr:sp macro="" textlink="">
      <xdr:nvSpPr>
        <xdr:cNvPr id="203" name="正方形/長方形 202">
          <a:extLst>
            <a:ext uri="{FF2B5EF4-FFF2-40B4-BE49-F238E27FC236}">
              <a16:creationId xmlns:a16="http://schemas.microsoft.com/office/drawing/2014/main" id="{4B4B23F2-AD50-4FE2-A28A-6230DB9E5F9C}"/>
            </a:ext>
          </a:extLst>
        </xdr:cNvPr>
        <xdr:cNvSpPr/>
      </xdr:nvSpPr>
      <xdr:spPr>
        <a:xfrm>
          <a:off x="6614644" y="27468170"/>
          <a:ext cx="5082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2989</xdr:colOff>
      <xdr:row>92</xdr:row>
      <xdr:rowOff>37354</xdr:rowOff>
    </xdr:from>
    <xdr:to>
      <xdr:col>28</xdr:col>
      <xdr:colOff>12117</xdr:colOff>
      <xdr:row>92</xdr:row>
      <xdr:rowOff>227854</xdr:rowOff>
    </xdr:to>
    <xdr:sp macro="" textlink="">
      <xdr:nvSpPr>
        <xdr:cNvPr id="205" name="正方形/長方形 204">
          <a:extLst>
            <a:ext uri="{FF2B5EF4-FFF2-40B4-BE49-F238E27FC236}">
              <a16:creationId xmlns:a16="http://schemas.microsoft.com/office/drawing/2014/main" id="{36F8418E-1BDC-4DA6-8269-43D44355A99A}"/>
            </a:ext>
          </a:extLst>
        </xdr:cNvPr>
        <xdr:cNvSpPr/>
      </xdr:nvSpPr>
      <xdr:spPr>
        <a:xfrm>
          <a:off x="3050989" y="27479937"/>
          <a:ext cx="51395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85725</xdr:colOff>
      <xdr:row>92</xdr:row>
      <xdr:rowOff>15875</xdr:rowOff>
    </xdr:from>
    <xdr:to>
      <xdr:col>23</xdr:col>
      <xdr:colOff>47812</xdr:colOff>
      <xdr:row>92</xdr:row>
      <xdr:rowOff>209549</xdr:rowOff>
    </xdr:to>
    <xdr:sp macro="" textlink="">
      <xdr:nvSpPr>
        <xdr:cNvPr id="206" name="正方形/長方形 205">
          <a:extLst>
            <a:ext uri="{FF2B5EF4-FFF2-40B4-BE49-F238E27FC236}">
              <a16:creationId xmlns:a16="http://schemas.microsoft.com/office/drawing/2014/main" id="{2AB737D2-9F7B-4F2D-A9C1-0151282CFB9F}"/>
            </a:ext>
          </a:extLst>
        </xdr:cNvPr>
        <xdr:cNvSpPr/>
      </xdr:nvSpPr>
      <xdr:spPr>
        <a:xfrm>
          <a:off x="2241550" y="27458458"/>
          <a:ext cx="72408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31</xdr:row>
      <xdr:rowOff>0</xdr:rowOff>
    </xdr:from>
    <xdr:ext cx="292100" cy="293519"/>
    <xdr:sp macro="" textlink="">
      <xdr:nvSpPr>
        <xdr:cNvPr id="216" name="AutoShape 1">
          <a:extLst>
            <a:ext uri="{FF2B5EF4-FFF2-40B4-BE49-F238E27FC236}">
              <a16:creationId xmlns:a16="http://schemas.microsoft.com/office/drawing/2014/main" id="{3F649D68-818A-4F90-83A3-B4CD563E7E1D}"/>
            </a:ext>
          </a:extLst>
        </xdr:cNvPr>
        <xdr:cNvSpPr>
          <a:spLocks noChangeAspect="1" noChangeArrowheads="1"/>
        </xdr:cNvSpPr>
      </xdr:nvSpPr>
      <xdr:spPr bwMode="auto">
        <a:xfrm>
          <a:off x="10001250" y="6915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32</xdr:row>
      <xdr:rowOff>0</xdr:rowOff>
    </xdr:from>
    <xdr:ext cx="292100" cy="293519"/>
    <xdr:sp macro="" textlink="">
      <xdr:nvSpPr>
        <xdr:cNvPr id="217" name="AutoShape 1">
          <a:extLst>
            <a:ext uri="{FF2B5EF4-FFF2-40B4-BE49-F238E27FC236}">
              <a16:creationId xmlns:a16="http://schemas.microsoft.com/office/drawing/2014/main" id="{98B72AC0-E59C-44B5-B553-99A48523FA97}"/>
            </a:ext>
          </a:extLst>
        </xdr:cNvPr>
        <xdr:cNvSpPr>
          <a:spLocks noChangeAspect="1" noChangeArrowheads="1"/>
        </xdr:cNvSpPr>
      </xdr:nvSpPr>
      <xdr:spPr bwMode="auto">
        <a:xfrm>
          <a:off x="10001250" y="71628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104588</xdr:colOff>
      <xdr:row>32</xdr:row>
      <xdr:rowOff>231588</xdr:rowOff>
    </xdr:from>
    <xdr:to>
      <xdr:col>81</xdr:col>
      <xdr:colOff>112805</xdr:colOff>
      <xdr:row>33</xdr:row>
      <xdr:rowOff>207308</xdr:rowOff>
    </xdr:to>
    <xdr:sp macro="" textlink="">
      <xdr:nvSpPr>
        <xdr:cNvPr id="218" name="正方形/長方形 217">
          <a:extLst>
            <a:ext uri="{FF2B5EF4-FFF2-40B4-BE49-F238E27FC236}">
              <a16:creationId xmlns:a16="http://schemas.microsoft.com/office/drawing/2014/main" id="{7EACC359-9B54-4718-94BA-73F823593A3D}"/>
            </a:ext>
          </a:extLst>
        </xdr:cNvPr>
        <xdr:cNvSpPr/>
      </xdr:nvSpPr>
      <xdr:spPr bwMode="auto">
        <a:xfrm>
          <a:off x="10375713" y="7394388"/>
          <a:ext cx="538442" cy="2233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67</xdr:row>
      <xdr:rowOff>0</xdr:rowOff>
    </xdr:from>
    <xdr:ext cx="292100" cy="293519"/>
    <xdr:sp macro="" textlink="">
      <xdr:nvSpPr>
        <xdr:cNvPr id="224" name="AutoShape 1">
          <a:extLst>
            <a:ext uri="{FF2B5EF4-FFF2-40B4-BE49-F238E27FC236}">
              <a16:creationId xmlns:a16="http://schemas.microsoft.com/office/drawing/2014/main" id="{9B4561A0-6FB2-4DB8-BC73-119CE5E53882}"/>
            </a:ext>
          </a:extLst>
        </xdr:cNvPr>
        <xdr:cNvSpPr>
          <a:spLocks noChangeAspect="1" noChangeArrowheads="1"/>
        </xdr:cNvSpPr>
      </xdr:nvSpPr>
      <xdr:spPr bwMode="auto">
        <a:xfrm>
          <a:off x="10001250" y="15030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67</xdr:row>
      <xdr:rowOff>0</xdr:rowOff>
    </xdr:from>
    <xdr:ext cx="292100" cy="293519"/>
    <xdr:sp macro="" textlink="">
      <xdr:nvSpPr>
        <xdr:cNvPr id="225" name="AutoShape 1">
          <a:extLst>
            <a:ext uri="{FF2B5EF4-FFF2-40B4-BE49-F238E27FC236}">
              <a16:creationId xmlns:a16="http://schemas.microsoft.com/office/drawing/2014/main" id="{B862FE54-AB3E-4E39-9AE8-878B3678014F}"/>
            </a:ext>
          </a:extLst>
        </xdr:cNvPr>
        <xdr:cNvSpPr>
          <a:spLocks noChangeAspect="1" noChangeArrowheads="1"/>
        </xdr:cNvSpPr>
      </xdr:nvSpPr>
      <xdr:spPr bwMode="auto">
        <a:xfrm>
          <a:off x="10001250" y="15030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68</xdr:row>
      <xdr:rowOff>0</xdr:rowOff>
    </xdr:from>
    <xdr:ext cx="292100" cy="293519"/>
    <xdr:sp macro="" textlink="">
      <xdr:nvSpPr>
        <xdr:cNvPr id="226" name="AutoShape 1">
          <a:extLst>
            <a:ext uri="{FF2B5EF4-FFF2-40B4-BE49-F238E27FC236}">
              <a16:creationId xmlns:a16="http://schemas.microsoft.com/office/drawing/2014/main" id="{E8003AA4-E480-474E-A75C-D80917543A25}"/>
            </a:ext>
          </a:extLst>
        </xdr:cNvPr>
        <xdr:cNvSpPr>
          <a:spLocks noChangeAspect="1" noChangeArrowheads="1"/>
        </xdr:cNvSpPr>
      </xdr:nvSpPr>
      <xdr:spPr bwMode="auto">
        <a:xfrm>
          <a:off x="10001250" y="15278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69</xdr:row>
      <xdr:rowOff>0</xdr:rowOff>
    </xdr:from>
    <xdr:ext cx="292100" cy="293519"/>
    <xdr:sp macro="" textlink="">
      <xdr:nvSpPr>
        <xdr:cNvPr id="227" name="AutoShape 1">
          <a:extLst>
            <a:ext uri="{FF2B5EF4-FFF2-40B4-BE49-F238E27FC236}">
              <a16:creationId xmlns:a16="http://schemas.microsoft.com/office/drawing/2014/main" id="{DC8D7FA2-CEF9-49F6-9B1A-6FF75C663158}"/>
            </a:ext>
          </a:extLst>
        </xdr:cNvPr>
        <xdr:cNvSpPr>
          <a:spLocks noChangeAspect="1" noChangeArrowheads="1"/>
        </xdr:cNvSpPr>
      </xdr:nvSpPr>
      <xdr:spPr bwMode="auto">
        <a:xfrm>
          <a:off x="10001250" y="155257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119529</xdr:colOff>
      <xdr:row>68</xdr:row>
      <xdr:rowOff>7471</xdr:rowOff>
    </xdr:from>
    <xdr:to>
      <xdr:col>81</xdr:col>
      <xdr:colOff>127746</xdr:colOff>
      <xdr:row>68</xdr:row>
      <xdr:rowOff>229720</xdr:rowOff>
    </xdr:to>
    <xdr:sp macro="" textlink="">
      <xdr:nvSpPr>
        <xdr:cNvPr id="228" name="正方形/長方形 227">
          <a:extLst>
            <a:ext uri="{FF2B5EF4-FFF2-40B4-BE49-F238E27FC236}">
              <a16:creationId xmlns:a16="http://schemas.microsoft.com/office/drawing/2014/main" id="{855BF7C9-EAF1-4FF7-882C-BD1C643A9509}"/>
            </a:ext>
          </a:extLst>
        </xdr:cNvPr>
        <xdr:cNvSpPr/>
      </xdr:nvSpPr>
      <xdr:spPr bwMode="auto">
        <a:xfrm>
          <a:off x="10390654" y="15288746"/>
          <a:ext cx="535267"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101</xdr:row>
      <xdr:rowOff>0</xdr:rowOff>
    </xdr:from>
    <xdr:ext cx="292100" cy="293519"/>
    <xdr:sp macro="" textlink="">
      <xdr:nvSpPr>
        <xdr:cNvPr id="229" name="AutoShape 1">
          <a:extLst>
            <a:ext uri="{FF2B5EF4-FFF2-40B4-BE49-F238E27FC236}">
              <a16:creationId xmlns:a16="http://schemas.microsoft.com/office/drawing/2014/main" id="{451244E8-BB7D-4DE8-BC29-8DBCE00F9C28}"/>
            </a:ext>
          </a:extLst>
        </xdr:cNvPr>
        <xdr:cNvSpPr>
          <a:spLocks noChangeAspect="1" noChangeArrowheads="1"/>
        </xdr:cNvSpPr>
      </xdr:nvSpPr>
      <xdr:spPr bwMode="auto">
        <a:xfrm>
          <a:off x="10001250" y="23079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101</xdr:row>
      <xdr:rowOff>0</xdr:rowOff>
    </xdr:from>
    <xdr:ext cx="292100" cy="293519"/>
    <xdr:sp macro="" textlink="">
      <xdr:nvSpPr>
        <xdr:cNvPr id="230" name="AutoShape 1">
          <a:extLst>
            <a:ext uri="{FF2B5EF4-FFF2-40B4-BE49-F238E27FC236}">
              <a16:creationId xmlns:a16="http://schemas.microsoft.com/office/drawing/2014/main" id="{18A6C9A9-C8DD-40E5-BE85-778BF3C572EE}"/>
            </a:ext>
          </a:extLst>
        </xdr:cNvPr>
        <xdr:cNvSpPr>
          <a:spLocks noChangeAspect="1" noChangeArrowheads="1"/>
        </xdr:cNvSpPr>
      </xdr:nvSpPr>
      <xdr:spPr bwMode="auto">
        <a:xfrm>
          <a:off x="10001250" y="23079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101</xdr:row>
      <xdr:rowOff>0</xdr:rowOff>
    </xdr:from>
    <xdr:ext cx="292100" cy="293519"/>
    <xdr:sp macro="" textlink="">
      <xdr:nvSpPr>
        <xdr:cNvPr id="231" name="AutoShape 1">
          <a:extLst>
            <a:ext uri="{FF2B5EF4-FFF2-40B4-BE49-F238E27FC236}">
              <a16:creationId xmlns:a16="http://schemas.microsoft.com/office/drawing/2014/main" id="{8F5E847E-BA45-4373-A24A-D0E4524D7E22}"/>
            </a:ext>
          </a:extLst>
        </xdr:cNvPr>
        <xdr:cNvSpPr>
          <a:spLocks noChangeAspect="1" noChangeArrowheads="1"/>
        </xdr:cNvSpPr>
      </xdr:nvSpPr>
      <xdr:spPr bwMode="auto">
        <a:xfrm>
          <a:off x="10001250" y="23079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102</xdr:row>
      <xdr:rowOff>0</xdr:rowOff>
    </xdr:from>
    <xdr:ext cx="292100" cy="293519"/>
    <xdr:sp macro="" textlink="">
      <xdr:nvSpPr>
        <xdr:cNvPr id="232" name="AutoShape 1">
          <a:extLst>
            <a:ext uri="{FF2B5EF4-FFF2-40B4-BE49-F238E27FC236}">
              <a16:creationId xmlns:a16="http://schemas.microsoft.com/office/drawing/2014/main" id="{789455CC-B568-4A0F-B0A9-E04164033844}"/>
            </a:ext>
          </a:extLst>
        </xdr:cNvPr>
        <xdr:cNvSpPr>
          <a:spLocks noChangeAspect="1" noChangeArrowheads="1"/>
        </xdr:cNvSpPr>
      </xdr:nvSpPr>
      <xdr:spPr bwMode="auto">
        <a:xfrm>
          <a:off x="10001250" y="233267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103</xdr:row>
      <xdr:rowOff>0</xdr:rowOff>
    </xdr:from>
    <xdr:ext cx="292100" cy="293519"/>
    <xdr:sp macro="" textlink="">
      <xdr:nvSpPr>
        <xdr:cNvPr id="233" name="AutoShape 1">
          <a:extLst>
            <a:ext uri="{FF2B5EF4-FFF2-40B4-BE49-F238E27FC236}">
              <a16:creationId xmlns:a16="http://schemas.microsoft.com/office/drawing/2014/main" id="{C517791B-83CD-4C95-801C-C81D7A787E18}"/>
            </a:ext>
          </a:extLst>
        </xdr:cNvPr>
        <xdr:cNvSpPr>
          <a:spLocks noChangeAspect="1" noChangeArrowheads="1"/>
        </xdr:cNvSpPr>
      </xdr:nvSpPr>
      <xdr:spPr bwMode="auto">
        <a:xfrm>
          <a:off x="10001250" y="235743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59765</xdr:colOff>
      <xdr:row>102</xdr:row>
      <xdr:rowOff>1</xdr:rowOff>
    </xdr:from>
    <xdr:to>
      <xdr:col>81</xdr:col>
      <xdr:colOff>67982</xdr:colOff>
      <xdr:row>102</xdr:row>
      <xdr:rowOff>222250</xdr:rowOff>
    </xdr:to>
    <xdr:sp macro="" textlink="">
      <xdr:nvSpPr>
        <xdr:cNvPr id="234" name="正方形/長方形 233">
          <a:extLst>
            <a:ext uri="{FF2B5EF4-FFF2-40B4-BE49-F238E27FC236}">
              <a16:creationId xmlns:a16="http://schemas.microsoft.com/office/drawing/2014/main" id="{5FA59C14-534D-49DD-8ACC-0D26C61F89EB}"/>
            </a:ext>
          </a:extLst>
        </xdr:cNvPr>
        <xdr:cNvSpPr/>
      </xdr:nvSpPr>
      <xdr:spPr bwMode="auto">
        <a:xfrm>
          <a:off x="10327715" y="23326726"/>
          <a:ext cx="538442"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141</xdr:row>
      <xdr:rowOff>0</xdr:rowOff>
    </xdr:from>
    <xdr:ext cx="292100" cy="293519"/>
    <xdr:sp macro="" textlink="">
      <xdr:nvSpPr>
        <xdr:cNvPr id="235" name="AutoShape 1">
          <a:extLst>
            <a:ext uri="{FF2B5EF4-FFF2-40B4-BE49-F238E27FC236}">
              <a16:creationId xmlns:a16="http://schemas.microsoft.com/office/drawing/2014/main" id="{EE36F0BD-EE97-4952-94E8-AE7E84D552ED}"/>
            </a:ext>
          </a:extLst>
        </xdr:cNvPr>
        <xdr:cNvSpPr>
          <a:spLocks noChangeAspect="1" noChangeArrowheads="1"/>
        </xdr:cNvSpPr>
      </xdr:nvSpPr>
      <xdr:spPr bwMode="auto">
        <a:xfrm>
          <a:off x="10001250" y="32861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36" name="AutoShape 1">
          <a:extLst>
            <a:ext uri="{FF2B5EF4-FFF2-40B4-BE49-F238E27FC236}">
              <a16:creationId xmlns:a16="http://schemas.microsoft.com/office/drawing/2014/main" id="{63FD004E-5D5F-4E64-9DF6-20E22B0F65EA}"/>
            </a:ext>
          </a:extLst>
        </xdr:cNvPr>
        <xdr:cNvSpPr>
          <a:spLocks noChangeAspect="1" noChangeArrowheads="1"/>
        </xdr:cNvSpPr>
      </xdr:nvSpPr>
      <xdr:spPr bwMode="auto">
        <a:xfrm>
          <a:off x="10001250" y="33108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37" name="AutoShape 1">
          <a:extLst>
            <a:ext uri="{FF2B5EF4-FFF2-40B4-BE49-F238E27FC236}">
              <a16:creationId xmlns:a16="http://schemas.microsoft.com/office/drawing/2014/main" id="{8A98F88F-6B35-4182-903B-DC1638F01DD9}"/>
            </a:ext>
          </a:extLst>
        </xdr:cNvPr>
        <xdr:cNvSpPr>
          <a:spLocks noChangeAspect="1" noChangeArrowheads="1"/>
        </xdr:cNvSpPr>
      </xdr:nvSpPr>
      <xdr:spPr bwMode="auto">
        <a:xfrm>
          <a:off x="10001250" y="33108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146</xdr:row>
      <xdr:rowOff>0</xdr:rowOff>
    </xdr:from>
    <xdr:ext cx="292100" cy="293519"/>
    <xdr:sp macro="" textlink="">
      <xdr:nvSpPr>
        <xdr:cNvPr id="238" name="AutoShape 1">
          <a:extLst>
            <a:ext uri="{FF2B5EF4-FFF2-40B4-BE49-F238E27FC236}">
              <a16:creationId xmlns:a16="http://schemas.microsoft.com/office/drawing/2014/main" id="{7E90CBB3-778E-4198-9292-A30356060CEF}"/>
            </a:ext>
          </a:extLst>
        </xdr:cNvPr>
        <xdr:cNvSpPr>
          <a:spLocks noChangeAspect="1" noChangeArrowheads="1"/>
        </xdr:cNvSpPr>
      </xdr:nvSpPr>
      <xdr:spPr bwMode="auto">
        <a:xfrm>
          <a:off x="10001250" y="34099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147</xdr:row>
      <xdr:rowOff>0</xdr:rowOff>
    </xdr:from>
    <xdr:ext cx="292100" cy="293519"/>
    <xdr:sp macro="" textlink="">
      <xdr:nvSpPr>
        <xdr:cNvPr id="239" name="AutoShape 1">
          <a:extLst>
            <a:ext uri="{FF2B5EF4-FFF2-40B4-BE49-F238E27FC236}">
              <a16:creationId xmlns:a16="http://schemas.microsoft.com/office/drawing/2014/main" id="{494A5F78-F58E-4D75-A3BD-F7C7B550CD9C}"/>
            </a:ext>
          </a:extLst>
        </xdr:cNvPr>
        <xdr:cNvSpPr>
          <a:spLocks noChangeAspect="1" noChangeArrowheads="1"/>
        </xdr:cNvSpPr>
      </xdr:nvSpPr>
      <xdr:spPr bwMode="auto">
        <a:xfrm>
          <a:off x="10001250" y="34347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40" name="AutoShape 1">
          <a:extLst>
            <a:ext uri="{FF2B5EF4-FFF2-40B4-BE49-F238E27FC236}">
              <a16:creationId xmlns:a16="http://schemas.microsoft.com/office/drawing/2014/main" id="{A98259C2-5D94-41F2-BE7D-54ACD568D896}"/>
            </a:ext>
          </a:extLst>
        </xdr:cNvPr>
        <xdr:cNvSpPr>
          <a:spLocks noChangeAspect="1" noChangeArrowheads="1"/>
        </xdr:cNvSpPr>
      </xdr:nvSpPr>
      <xdr:spPr bwMode="auto">
        <a:xfrm>
          <a:off x="10001250" y="33108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41" name="AutoShape 1">
          <a:extLst>
            <a:ext uri="{FF2B5EF4-FFF2-40B4-BE49-F238E27FC236}">
              <a16:creationId xmlns:a16="http://schemas.microsoft.com/office/drawing/2014/main" id="{DA7D102E-C0EB-448E-9C3E-D5C97A863C46}"/>
            </a:ext>
          </a:extLst>
        </xdr:cNvPr>
        <xdr:cNvSpPr>
          <a:spLocks noChangeAspect="1" noChangeArrowheads="1"/>
        </xdr:cNvSpPr>
      </xdr:nvSpPr>
      <xdr:spPr bwMode="auto">
        <a:xfrm>
          <a:off x="10001250" y="333565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144</xdr:row>
      <xdr:rowOff>0</xdr:rowOff>
    </xdr:from>
    <xdr:ext cx="292100" cy="293519"/>
    <xdr:sp macro="" textlink="">
      <xdr:nvSpPr>
        <xdr:cNvPr id="242" name="AutoShape 1">
          <a:extLst>
            <a:ext uri="{FF2B5EF4-FFF2-40B4-BE49-F238E27FC236}">
              <a16:creationId xmlns:a16="http://schemas.microsoft.com/office/drawing/2014/main" id="{B9B7E9B8-EEDB-40EC-9695-6BE5FBCF7D9B}"/>
            </a:ext>
          </a:extLst>
        </xdr:cNvPr>
        <xdr:cNvSpPr>
          <a:spLocks noChangeAspect="1" noChangeArrowheads="1"/>
        </xdr:cNvSpPr>
      </xdr:nvSpPr>
      <xdr:spPr bwMode="auto">
        <a:xfrm>
          <a:off x="10001250" y="336042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145</xdr:row>
      <xdr:rowOff>0</xdr:rowOff>
    </xdr:from>
    <xdr:ext cx="292100" cy="293519"/>
    <xdr:sp macro="" textlink="">
      <xdr:nvSpPr>
        <xdr:cNvPr id="243" name="AutoShape 1">
          <a:extLst>
            <a:ext uri="{FF2B5EF4-FFF2-40B4-BE49-F238E27FC236}">
              <a16:creationId xmlns:a16="http://schemas.microsoft.com/office/drawing/2014/main" id="{5E14B6D5-3523-478F-BD33-B79830756118}"/>
            </a:ext>
          </a:extLst>
        </xdr:cNvPr>
        <xdr:cNvSpPr>
          <a:spLocks noChangeAspect="1" noChangeArrowheads="1"/>
        </xdr:cNvSpPr>
      </xdr:nvSpPr>
      <xdr:spPr bwMode="auto">
        <a:xfrm>
          <a:off x="10001250" y="338518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146</xdr:row>
      <xdr:rowOff>0</xdr:rowOff>
    </xdr:from>
    <xdr:ext cx="292100" cy="293519"/>
    <xdr:sp macro="" textlink="">
      <xdr:nvSpPr>
        <xdr:cNvPr id="244" name="AutoShape 1">
          <a:extLst>
            <a:ext uri="{FF2B5EF4-FFF2-40B4-BE49-F238E27FC236}">
              <a16:creationId xmlns:a16="http://schemas.microsoft.com/office/drawing/2014/main" id="{8B40C0A9-B3E2-40DC-B867-60E824AE95EC}"/>
            </a:ext>
          </a:extLst>
        </xdr:cNvPr>
        <xdr:cNvSpPr>
          <a:spLocks noChangeAspect="1" noChangeArrowheads="1"/>
        </xdr:cNvSpPr>
      </xdr:nvSpPr>
      <xdr:spPr bwMode="auto">
        <a:xfrm>
          <a:off x="10001250" y="34099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146</xdr:row>
      <xdr:rowOff>0</xdr:rowOff>
    </xdr:from>
    <xdr:ext cx="292100" cy="293519"/>
    <xdr:sp macro="" textlink="">
      <xdr:nvSpPr>
        <xdr:cNvPr id="245" name="AutoShape 1">
          <a:extLst>
            <a:ext uri="{FF2B5EF4-FFF2-40B4-BE49-F238E27FC236}">
              <a16:creationId xmlns:a16="http://schemas.microsoft.com/office/drawing/2014/main" id="{CD7893AE-7696-4959-8B11-84A305A70F69}"/>
            </a:ext>
          </a:extLst>
        </xdr:cNvPr>
        <xdr:cNvSpPr>
          <a:spLocks noChangeAspect="1" noChangeArrowheads="1"/>
        </xdr:cNvSpPr>
      </xdr:nvSpPr>
      <xdr:spPr bwMode="auto">
        <a:xfrm>
          <a:off x="10001250" y="34099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147</xdr:row>
      <xdr:rowOff>0</xdr:rowOff>
    </xdr:from>
    <xdr:ext cx="292100" cy="293519"/>
    <xdr:sp macro="" textlink="">
      <xdr:nvSpPr>
        <xdr:cNvPr id="246" name="AutoShape 1">
          <a:extLst>
            <a:ext uri="{FF2B5EF4-FFF2-40B4-BE49-F238E27FC236}">
              <a16:creationId xmlns:a16="http://schemas.microsoft.com/office/drawing/2014/main" id="{C2750C9D-39BF-49A3-92D3-0449F986B83B}"/>
            </a:ext>
          </a:extLst>
        </xdr:cNvPr>
        <xdr:cNvSpPr>
          <a:spLocks noChangeAspect="1" noChangeArrowheads="1"/>
        </xdr:cNvSpPr>
      </xdr:nvSpPr>
      <xdr:spPr bwMode="auto">
        <a:xfrm>
          <a:off x="10001250" y="34347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76200</xdr:colOff>
      <xdr:row>143</xdr:row>
      <xdr:rowOff>0</xdr:rowOff>
    </xdr:from>
    <xdr:to>
      <xdr:col>79</xdr:col>
      <xdr:colOff>86545</xdr:colOff>
      <xdr:row>143</xdr:row>
      <xdr:rowOff>242626</xdr:rowOff>
    </xdr:to>
    <xdr:sp macro="" textlink="">
      <xdr:nvSpPr>
        <xdr:cNvPr id="247" name="テキスト ボックス 246">
          <a:extLst>
            <a:ext uri="{FF2B5EF4-FFF2-40B4-BE49-F238E27FC236}">
              <a16:creationId xmlns:a16="http://schemas.microsoft.com/office/drawing/2014/main" id="{0B28C501-68AD-4DD2-8D4E-4391839E4A3B}"/>
            </a:ext>
          </a:extLst>
        </xdr:cNvPr>
        <xdr:cNvSpPr txBox="1"/>
      </xdr:nvSpPr>
      <xdr:spPr>
        <a:xfrm>
          <a:off x="10344150" y="33347025"/>
          <a:ext cx="273870" cy="2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75</xdr:col>
      <xdr:colOff>0</xdr:colOff>
      <xdr:row>198</xdr:row>
      <xdr:rowOff>0</xdr:rowOff>
    </xdr:from>
    <xdr:ext cx="292100" cy="293519"/>
    <xdr:sp macro="" textlink="">
      <xdr:nvSpPr>
        <xdr:cNvPr id="248" name="AutoShape 1">
          <a:extLst>
            <a:ext uri="{FF2B5EF4-FFF2-40B4-BE49-F238E27FC236}">
              <a16:creationId xmlns:a16="http://schemas.microsoft.com/office/drawing/2014/main" id="{81A0ABEB-4FC8-424C-9C56-C2798380C042}"/>
            </a:ext>
          </a:extLst>
        </xdr:cNvPr>
        <xdr:cNvSpPr>
          <a:spLocks noChangeAspect="1" noChangeArrowheads="1"/>
        </xdr:cNvSpPr>
      </xdr:nvSpPr>
      <xdr:spPr bwMode="auto">
        <a:xfrm>
          <a:off x="10001250" y="46367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49" name="AutoShape 1">
          <a:extLst>
            <a:ext uri="{FF2B5EF4-FFF2-40B4-BE49-F238E27FC236}">
              <a16:creationId xmlns:a16="http://schemas.microsoft.com/office/drawing/2014/main" id="{0E6DACDA-5D4A-4653-9401-A2F7D4F90754}"/>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50" name="AutoShape 1">
          <a:extLst>
            <a:ext uri="{FF2B5EF4-FFF2-40B4-BE49-F238E27FC236}">
              <a16:creationId xmlns:a16="http://schemas.microsoft.com/office/drawing/2014/main" id="{EEC1418A-1FB1-460E-97D3-69921C56BACC}"/>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51" name="AutoShape 1">
          <a:extLst>
            <a:ext uri="{FF2B5EF4-FFF2-40B4-BE49-F238E27FC236}">
              <a16:creationId xmlns:a16="http://schemas.microsoft.com/office/drawing/2014/main" id="{CD23886A-33DA-425A-B749-F1872D48CA07}"/>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52" name="AutoShape 1">
          <a:extLst>
            <a:ext uri="{FF2B5EF4-FFF2-40B4-BE49-F238E27FC236}">
              <a16:creationId xmlns:a16="http://schemas.microsoft.com/office/drawing/2014/main" id="{EC7408B0-B9E1-49FE-9C38-46F3227AB4C8}"/>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53" name="AutoShape 1">
          <a:extLst>
            <a:ext uri="{FF2B5EF4-FFF2-40B4-BE49-F238E27FC236}">
              <a16:creationId xmlns:a16="http://schemas.microsoft.com/office/drawing/2014/main" id="{646BE4EF-13AD-4B07-9337-7E2FFCA45CC2}"/>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201</xdr:row>
      <xdr:rowOff>0</xdr:rowOff>
    </xdr:from>
    <xdr:ext cx="292100" cy="293519"/>
    <xdr:sp macro="" textlink="">
      <xdr:nvSpPr>
        <xdr:cNvPr id="254" name="AutoShape 1">
          <a:extLst>
            <a:ext uri="{FF2B5EF4-FFF2-40B4-BE49-F238E27FC236}">
              <a16:creationId xmlns:a16="http://schemas.microsoft.com/office/drawing/2014/main" id="{4E833B4A-9737-4726-BD6F-9C9C8158F51B}"/>
            </a:ext>
          </a:extLst>
        </xdr:cNvPr>
        <xdr:cNvSpPr>
          <a:spLocks noChangeAspect="1" noChangeArrowheads="1"/>
        </xdr:cNvSpPr>
      </xdr:nvSpPr>
      <xdr:spPr bwMode="auto">
        <a:xfrm>
          <a:off x="10001250" y="46863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202</xdr:row>
      <xdr:rowOff>0</xdr:rowOff>
    </xdr:from>
    <xdr:ext cx="292100" cy="293519"/>
    <xdr:sp macro="" textlink="">
      <xdr:nvSpPr>
        <xdr:cNvPr id="255" name="AutoShape 1">
          <a:extLst>
            <a:ext uri="{FF2B5EF4-FFF2-40B4-BE49-F238E27FC236}">
              <a16:creationId xmlns:a16="http://schemas.microsoft.com/office/drawing/2014/main" id="{5BD81F40-6FE3-4345-AA50-372B15F16716}"/>
            </a:ext>
          </a:extLst>
        </xdr:cNvPr>
        <xdr:cNvSpPr>
          <a:spLocks noChangeAspect="1" noChangeArrowheads="1"/>
        </xdr:cNvSpPr>
      </xdr:nvSpPr>
      <xdr:spPr bwMode="auto">
        <a:xfrm>
          <a:off x="10001250" y="47110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203</xdr:row>
      <xdr:rowOff>0</xdr:rowOff>
    </xdr:from>
    <xdr:ext cx="292100" cy="293519"/>
    <xdr:sp macro="" textlink="">
      <xdr:nvSpPr>
        <xdr:cNvPr id="256" name="AutoShape 1">
          <a:extLst>
            <a:ext uri="{FF2B5EF4-FFF2-40B4-BE49-F238E27FC236}">
              <a16:creationId xmlns:a16="http://schemas.microsoft.com/office/drawing/2014/main" id="{CCB78EE4-C470-467B-AA98-984F73ABF24F}"/>
            </a:ext>
          </a:extLst>
        </xdr:cNvPr>
        <xdr:cNvSpPr>
          <a:spLocks noChangeAspect="1" noChangeArrowheads="1"/>
        </xdr:cNvSpPr>
      </xdr:nvSpPr>
      <xdr:spPr bwMode="auto">
        <a:xfrm>
          <a:off x="10001250" y="47358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57" name="AutoShape 1">
          <a:extLst>
            <a:ext uri="{FF2B5EF4-FFF2-40B4-BE49-F238E27FC236}">
              <a16:creationId xmlns:a16="http://schemas.microsoft.com/office/drawing/2014/main" id="{A24900BE-498D-4237-8CD7-E961D9C64026}"/>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58" name="AutoShape 1">
          <a:extLst>
            <a:ext uri="{FF2B5EF4-FFF2-40B4-BE49-F238E27FC236}">
              <a16:creationId xmlns:a16="http://schemas.microsoft.com/office/drawing/2014/main" id="{23E16D70-E8D5-4165-9219-65BD1E6E9D8B}"/>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59" name="AutoShape 1">
          <a:extLst>
            <a:ext uri="{FF2B5EF4-FFF2-40B4-BE49-F238E27FC236}">
              <a16:creationId xmlns:a16="http://schemas.microsoft.com/office/drawing/2014/main" id="{6178CC4D-F4FF-4E2C-BD41-734D3F48DA43}"/>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76200</xdr:colOff>
      <xdr:row>200</xdr:row>
      <xdr:rowOff>241300</xdr:rowOff>
    </xdr:from>
    <xdr:to>
      <xdr:col>79</xdr:col>
      <xdr:colOff>86545</xdr:colOff>
      <xdr:row>201</xdr:row>
      <xdr:rowOff>242626</xdr:rowOff>
    </xdr:to>
    <xdr:sp macro="" textlink="">
      <xdr:nvSpPr>
        <xdr:cNvPr id="260" name="テキスト ボックス 259">
          <a:extLst>
            <a:ext uri="{FF2B5EF4-FFF2-40B4-BE49-F238E27FC236}">
              <a16:creationId xmlns:a16="http://schemas.microsoft.com/office/drawing/2014/main" id="{AF846282-81DD-49B3-8EE1-30EDF76BEB24}"/>
            </a:ext>
          </a:extLst>
        </xdr:cNvPr>
        <xdr:cNvSpPr txBox="1"/>
      </xdr:nvSpPr>
      <xdr:spPr>
        <a:xfrm>
          <a:off x="10344150" y="46853475"/>
          <a:ext cx="273870" cy="2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75</xdr:col>
      <xdr:colOff>0</xdr:colOff>
      <xdr:row>200</xdr:row>
      <xdr:rowOff>0</xdr:rowOff>
    </xdr:from>
    <xdr:ext cx="292100" cy="293519"/>
    <xdr:sp macro="" textlink="">
      <xdr:nvSpPr>
        <xdr:cNvPr id="261" name="AutoShape 1">
          <a:extLst>
            <a:ext uri="{FF2B5EF4-FFF2-40B4-BE49-F238E27FC236}">
              <a16:creationId xmlns:a16="http://schemas.microsoft.com/office/drawing/2014/main" id="{E6ED44B0-CD0B-49AE-B196-575BFC33E0FF}"/>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62" name="AutoShape 1">
          <a:extLst>
            <a:ext uri="{FF2B5EF4-FFF2-40B4-BE49-F238E27FC236}">
              <a16:creationId xmlns:a16="http://schemas.microsoft.com/office/drawing/2014/main" id="{066F7AF2-D872-4FDC-9C2F-6AB1216B82C2}"/>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63" name="AutoShape 1">
          <a:extLst>
            <a:ext uri="{FF2B5EF4-FFF2-40B4-BE49-F238E27FC236}">
              <a16:creationId xmlns:a16="http://schemas.microsoft.com/office/drawing/2014/main" id="{DFF6B48B-EE14-4FBF-BEB1-214604CF8639}"/>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64" name="AutoShape 1">
          <a:extLst>
            <a:ext uri="{FF2B5EF4-FFF2-40B4-BE49-F238E27FC236}">
              <a16:creationId xmlns:a16="http://schemas.microsoft.com/office/drawing/2014/main" id="{9E539F0F-A47E-490B-A00C-7BD6EDE86F6B}"/>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65" name="AutoShape 1">
          <a:extLst>
            <a:ext uri="{FF2B5EF4-FFF2-40B4-BE49-F238E27FC236}">
              <a16:creationId xmlns:a16="http://schemas.microsoft.com/office/drawing/2014/main" id="{7F92F546-457F-4AB0-B76E-65D83F4980C1}"/>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201</xdr:row>
      <xdr:rowOff>0</xdr:rowOff>
    </xdr:from>
    <xdr:ext cx="292100" cy="293519"/>
    <xdr:sp macro="" textlink="">
      <xdr:nvSpPr>
        <xdr:cNvPr id="266" name="AutoShape 1">
          <a:extLst>
            <a:ext uri="{FF2B5EF4-FFF2-40B4-BE49-F238E27FC236}">
              <a16:creationId xmlns:a16="http://schemas.microsoft.com/office/drawing/2014/main" id="{9233D24F-2F4F-4795-9A55-F6534344F426}"/>
            </a:ext>
          </a:extLst>
        </xdr:cNvPr>
        <xdr:cNvSpPr>
          <a:spLocks noChangeAspect="1" noChangeArrowheads="1"/>
        </xdr:cNvSpPr>
      </xdr:nvSpPr>
      <xdr:spPr bwMode="auto">
        <a:xfrm>
          <a:off x="10001250" y="46863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202</xdr:row>
      <xdr:rowOff>0</xdr:rowOff>
    </xdr:from>
    <xdr:ext cx="292100" cy="293519"/>
    <xdr:sp macro="" textlink="">
      <xdr:nvSpPr>
        <xdr:cNvPr id="267" name="AutoShape 1">
          <a:extLst>
            <a:ext uri="{FF2B5EF4-FFF2-40B4-BE49-F238E27FC236}">
              <a16:creationId xmlns:a16="http://schemas.microsoft.com/office/drawing/2014/main" id="{01A8899A-484F-432B-B448-4F6055A29A0A}"/>
            </a:ext>
          </a:extLst>
        </xdr:cNvPr>
        <xdr:cNvSpPr>
          <a:spLocks noChangeAspect="1" noChangeArrowheads="1"/>
        </xdr:cNvSpPr>
      </xdr:nvSpPr>
      <xdr:spPr bwMode="auto">
        <a:xfrm>
          <a:off x="10001250" y="47110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203</xdr:row>
      <xdr:rowOff>0</xdr:rowOff>
    </xdr:from>
    <xdr:ext cx="292100" cy="293519"/>
    <xdr:sp macro="" textlink="">
      <xdr:nvSpPr>
        <xdr:cNvPr id="268" name="AutoShape 1">
          <a:extLst>
            <a:ext uri="{FF2B5EF4-FFF2-40B4-BE49-F238E27FC236}">
              <a16:creationId xmlns:a16="http://schemas.microsoft.com/office/drawing/2014/main" id="{6D5CBC4E-7A35-41C8-A13B-A0F744C1A222}"/>
            </a:ext>
          </a:extLst>
        </xdr:cNvPr>
        <xdr:cNvSpPr>
          <a:spLocks noChangeAspect="1" noChangeArrowheads="1"/>
        </xdr:cNvSpPr>
      </xdr:nvSpPr>
      <xdr:spPr bwMode="auto">
        <a:xfrm>
          <a:off x="10001250" y="47358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69" name="AutoShape 1">
          <a:extLst>
            <a:ext uri="{FF2B5EF4-FFF2-40B4-BE49-F238E27FC236}">
              <a16:creationId xmlns:a16="http://schemas.microsoft.com/office/drawing/2014/main" id="{4623791A-A28A-484E-A6E8-A1150E23D8B3}"/>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70" name="AutoShape 1">
          <a:extLst>
            <a:ext uri="{FF2B5EF4-FFF2-40B4-BE49-F238E27FC236}">
              <a16:creationId xmlns:a16="http://schemas.microsoft.com/office/drawing/2014/main" id="{7E4D17F9-E261-4A1D-82EB-33D8A75D9F19}"/>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71" name="AutoShape 1">
          <a:extLst>
            <a:ext uri="{FF2B5EF4-FFF2-40B4-BE49-F238E27FC236}">
              <a16:creationId xmlns:a16="http://schemas.microsoft.com/office/drawing/2014/main" id="{FCCA53CE-9C4F-4D53-90D8-FD9F640903EB}"/>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76200</xdr:colOff>
      <xdr:row>200</xdr:row>
      <xdr:rowOff>241300</xdr:rowOff>
    </xdr:from>
    <xdr:to>
      <xdr:col>79</xdr:col>
      <xdr:colOff>86545</xdr:colOff>
      <xdr:row>201</xdr:row>
      <xdr:rowOff>242626</xdr:rowOff>
    </xdr:to>
    <xdr:sp macro="" textlink="">
      <xdr:nvSpPr>
        <xdr:cNvPr id="272" name="テキスト ボックス 271">
          <a:extLst>
            <a:ext uri="{FF2B5EF4-FFF2-40B4-BE49-F238E27FC236}">
              <a16:creationId xmlns:a16="http://schemas.microsoft.com/office/drawing/2014/main" id="{FB55C473-399E-413F-97EE-70CD8AA8B6CA}"/>
            </a:ext>
          </a:extLst>
        </xdr:cNvPr>
        <xdr:cNvSpPr txBox="1"/>
      </xdr:nvSpPr>
      <xdr:spPr>
        <a:xfrm>
          <a:off x="10344150" y="46853475"/>
          <a:ext cx="273870" cy="2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75</xdr:col>
      <xdr:colOff>0</xdr:colOff>
      <xdr:row>142</xdr:row>
      <xdr:rowOff>0</xdr:rowOff>
    </xdr:from>
    <xdr:ext cx="292100" cy="293519"/>
    <xdr:sp macro="" textlink="">
      <xdr:nvSpPr>
        <xdr:cNvPr id="273" name="AutoShape 1">
          <a:extLst>
            <a:ext uri="{FF2B5EF4-FFF2-40B4-BE49-F238E27FC236}">
              <a16:creationId xmlns:a16="http://schemas.microsoft.com/office/drawing/2014/main" id="{F7C50729-0DF1-4348-A3E9-48CA843E80EB}"/>
            </a:ext>
          </a:extLst>
        </xdr:cNvPr>
        <xdr:cNvSpPr>
          <a:spLocks noChangeAspect="1" noChangeArrowheads="1"/>
        </xdr:cNvSpPr>
      </xdr:nvSpPr>
      <xdr:spPr bwMode="auto">
        <a:xfrm>
          <a:off x="10001250" y="33566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142</xdr:row>
      <xdr:rowOff>0</xdr:rowOff>
    </xdr:from>
    <xdr:ext cx="292100" cy="293519"/>
    <xdr:sp macro="" textlink="">
      <xdr:nvSpPr>
        <xdr:cNvPr id="274" name="AutoShape 1">
          <a:extLst>
            <a:ext uri="{FF2B5EF4-FFF2-40B4-BE49-F238E27FC236}">
              <a16:creationId xmlns:a16="http://schemas.microsoft.com/office/drawing/2014/main" id="{07A69691-B9A0-4BAF-ABCF-2EE91414481F}"/>
            </a:ext>
          </a:extLst>
        </xdr:cNvPr>
        <xdr:cNvSpPr>
          <a:spLocks noChangeAspect="1" noChangeArrowheads="1"/>
        </xdr:cNvSpPr>
      </xdr:nvSpPr>
      <xdr:spPr bwMode="auto">
        <a:xfrm>
          <a:off x="10001250" y="33566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142</xdr:row>
      <xdr:rowOff>0</xdr:rowOff>
    </xdr:from>
    <xdr:ext cx="292100" cy="293519"/>
    <xdr:sp macro="" textlink="">
      <xdr:nvSpPr>
        <xdr:cNvPr id="275" name="AutoShape 1">
          <a:extLst>
            <a:ext uri="{FF2B5EF4-FFF2-40B4-BE49-F238E27FC236}">
              <a16:creationId xmlns:a16="http://schemas.microsoft.com/office/drawing/2014/main" id="{04A8B6F3-6592-4273-911C-597CAC1D7AD6}"/>
            </a:ext>
          </a:extLst>
        </xdr:cNvPr>
        <xdr:cNvSpPr>
          <a:spLocks noChangeAspect="1" noChangeArrowheads="1"/>
        </xdr:cNvSpPr>
      </xdr:nvSpPr>
      <xdr:spPr bwMode="auto">
        <a:xfrm>
          <a:off x="10001250" y="33566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198</xdr:row>
      <xdr:rowOff>0</xdr:rowOff>
    </xdr:from>
    <xdr:ext cx="292100" cy="293519"/>
    <xdr:sp macro="" textlink="">
      <xdr:nvSpPr>
        <xdr:cNvPr id="277" name="AutoShape 1">
          <a:extLst>
            <a:ext uri="{FF2B5EF4-FFF2-40B4-BE49-F238E27FC236}">
              <a16:creationId xmlns:a16="http://schemas.microsoft.com/office/drawing/2014/main" id="{24332883-FE79-451D-A0B5-F45925E8B908}"/>
            </a:ext>
          </a:extLst>
        </xdr:cNvPr>
        <xdr:cNvSpPr>
          <a:spLocks noChangeAspect="1" noChangeArrowheads="1"/>
        </xdr:cNvSpPr>
      </xdr:nvSpPr>
      <xdr:spPr bwMode="auto">
        <a:xfrm>
          <a:off x="10001250" y="330708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199</xdr:row>
      <xdr:rowOff>0</xdr:rowOff>
    </xdr:from>
    <xdr:ext cx="292100" cy="293519"/>
    <xdr:sp macro="" textlink="">
      <xdr:nvSpPr>
        <xdr:cNvPr id="278" name="AutoShape 1">
          <a:extLst>
            <a:ext uri="{FF2B5EF4-FFF2-40B4-BE49-F238E27FC236}">
              <a16:creationId xmlns:a16="http://schemas.microsoft.com/office/drawing/2014/main" id="{C5909A54-360E-4883-9862-514EF7270D6E}"/>
            </a:ext>
          </a:extLst>
        </xdr:cNvPr>
        <xdr:cNvSpPr>
          <a:spLocks noChangeAspect="1" noChangeArrowheads="1"/>
        </xdr:cNvSpPr>
      </xdr:nvSpPr>
      <xdr:spPr bwMode="auto">
        <a:xfrm>
          <a:off x="10001250" y="33318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199</xdr:row>
      <xdr:rowOff>0</xdr:rowOff>
    </xdr:from>
    <xdr:ext cx="292100" cy="293519"/>
    <xdr:sp macro="" textlink="">
      <xdr:nvSpPr>
        <xdr:cNvPr id="279" name="AutoShape 1">
          <a:extLst>
            <a:ext uri="{FF2B5EF4-FFF2-40B4-BE49-F238E27FC236}">
              <a16:creationId xmlns:a16="http://schemas.microsoft.com/office/drawing/2014/main" id="{BB272C8B-D8C4-4712-9E1D-C7CA903160C1}"/>
            </a:ext>
          </a:extLst>
        </xdr:cNvPr>
        <xdr:cNvSpPr>
          <a:spLocks noChangeAspect="1" noChangeArrowheads="1"/>
        </xdr:cNvSpPr>
      </xdr:nvSpPr>
      <xdr:spPr bwMode="auto">
        <a:xfrm>
          <a:off x="10001250" y="33318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199</xdr:row>
      <xdr:rowOff>0</xdr:rowOff>
    </xdr:from>
    <xdr:ext cx="292100" cy="293519"/>
    <xdr:sp macro="" textlink="">
      <xdr:nvSpPr>
        <xdr:cNvPr id="280" name="AutoShape 1">
          <a:extLst>
            <a:ext uri="{FF2B5EF4-FFF2-40B4-BE49-F238E27FC236}">
              <a16:creationId xmlns:a16="http://schemas.microsoft.com/office/drawing/2014/main" id="{B162A9F8-048A-44BA-AD22-5B3D3768CC1B}"/>
            </a:ext>
          </a:extLst>
        </xdr:cNvPr>
        <xdr:cNvSpPr>
          <a:spLocks noChangeAspect="1" noChangeArrowheads="1"/>
        </xdr:cNvSpPr>
      </xdr:nvSpPr>
      <xdr:spPr bwMode="auto">
        <a:xfrm>
          <a:off x="10001250" y="33318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31</xdr:col>
      <xdr:colOff>38100</xdr:colOff>
      <xdr:row>198</xdr:row>
      <xdr:rowOff>25400</xdr:rowOff>
    </xdr:from>
    <xdr:to>
      <xdr:col>32</xdr:col>
      <xdr:colOff>111522</xdr:colOff>
      <xdr:row>198</xdr:row>
      <xdr:rowOff>211056</xdr:rowOff>
    </xdr:to>
    <xdr:sp macro="" textlink="">
      <xdr:nvSpPr>
        <xdr:cNvPr id="12" name="正方形/長方形 11">
          <a:extLst>
            <a:ext uri="{FF2B5EF4-FFF2-40B4-BE49-F238E27FC236}">
              <a16:creationId xmlns:a16="http://schemas.microsoft.com/office/drawing/2014/main" id="{41913F7A-B321-47F8-9C49-7D87C6671008}"/>
            </a:ext>
          </a:extLst>
        </xdr:cNvPr>
        <xdr:cNvSpPr/>
      </xdr:nvSpPr>
      <xdr:spPr bwMode="auto">
        <a:xfrm>
          <a:off x="4171950" y="47136050"/>
          <a:ext cx="206772" cy="1856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104775</xdr:colOff>
      <xdr:row>21</xdr:row>
      <xdr:rowOff>15875</xdr:rowOff>
    </xdr:from>
    <xdr:to>
      <xdr:col>23</xdr:col>
      <xdr:colOff>63687</xdr:colOff>
      <xdr:row>21</xdr:row>
      <xdr:rowOff>209549</xdr:rowOff>
    </xdr:to>
    <xdr:sp macro="" textlink="">
      <xdr:nvSpPr>
        <xdr:cNvPr id="30" name="正方形/長方形 29">
          <a:extLst>
            <a:ext uri="{FF2B5EF4-FFF2-40B4-BE49-F238E27FC236}">
              <a16:creationId xmlns:a16="http://schemas.microsoft.com/office/drawing/2014/main" id="{011B1352-277E-406C-B7F2-9B35071BB839}"/>
            </a:ext>
          </a:extLst>
        </xdr:cNvPr>
        <xdr:cNvSpPr/>
      </xdr:nvSpPr>
      <xdr:spPr>
        <a:xfrm>
          <a:off x="2368550" y="49403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56</xdr:row>
      <xdr:rowOff>22412</xdr:rowOff>
    </xdr:from>
    <xdr:to>
      <xdr:col>56</xdr:col>
      <xdr:colOff>14069</xdr:colOff>
      <xdr:row>56</xdr:row>
      <xdr:rowOff>212912</xdr:rowOff>
    </xdr:to>
    <xdr:sp macro="" textlink="">
      <xdr:nvSpPr>
        <xdr:cNvPr id="32" name="正方形/長方形 31">
          <a:extLst>
            <a:ext uri="{FF2B5EF4-FFF2-40B4-BE49-F238E27FC236}">
              <a16:creationId xmlns:a16="http://schemas.microsoft.com/office/drawing/2014/main" id="{11F461E9-E59B-40AA-9544-644ED68BE16E}"/>
            </a:ext>
          </a:extLst>
        </xdr:cNvPr>
        <xdr:cNvSpPr/>
      </xdr:nvSpPr>
      <xdr:spPr>
        <a:xfrm>
          <a:off x="6944844" y="495001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56</xdr:row>
      <xdr:rowOff>37354</xdr:rowOff>
    </xdr:from>
    <xdr:to>
      <xdr:col>28</xdr:col>
      <xdr:colOff>27992</xdr:colOff>
      <xdr:row>56</xdr:row>
      <xdr:rowOff>227854</xdr:rowOff>
    </xdr:to>
    <xdr:sp macro="" textlink="">
      <xdr:nvSpPr>
        <xdr:cNvPr id="33" name="正方形/長方形 32">
          <a:extLst>
            <a:ext uri="{FF2B5EF4-FFF2-40B4-BE49-F238E27FC236}">
              <a16:creationId xmlns:a16="http://schemas.microsoft.com/office/drawing/2014/main" id="{2A38C594-EB8A-45D9-9374-BC654AAE0D7A}"/>
            </a:ext>
          </a:extLst>
        </xdr:cNvPr>
        <xdr:cNvSpPr/>
      </xdr:nvSpPr>
      <xdr:spPr>
        <a:xfrm>
          <a:off x="3219264" y="496177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56</xdr:row>
      <xdr:rowOff>15875</xdr:rowOff>
    </xdr:from>
    <xdr:to>
      <xdr:col>23</xdr:col>
      <xdr:colOff>63687</xdr:colOff>
      <xdr:row>56</xdr:row>
      <xdr:rowOff>209549</xdr:rowOff>
    </xdr:to>
    <xdr:sp macro="" textlink="">
      <xdr:nvSpPr>
        <xdr:cNvPr id="41" name="正方形/長方形 40">
          <a:extLst>
            <a:ext uri="{FF2B5EF4-FFF2-40B4-BE49-F238E27FC236}">
              <a16:creationId xmlns:a16="http://schemas.microsoft.com/office/drawing/2014/main" id="{DDA0477A-9846-46AA-A685-6752E0BEC0AD}"/>
            </a:ext>
          </a:extLst>
        </xdr:cNvPr>
        <xdr:cNvSpPr/>
      </xdr:nvSpPr>
      <xdr:spPr>
        <a:xfrm>
          <a:off x="2368550" y="49403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104775</xdr:colOff>
      <xdr:row>55</xdr:row>
      <xdr:rowOff>15875</xdr:rowOff>
    </xdr:from>
    <xdr:to>
      <xdr:col>23</xdr:col>
      <xdr:colOff>63687</xdr:colOff>
      <xdr:row>55</xdr:row>
      <xdr:rowOff>209549</xdr:rowOff>
    </xdr:to>
    <xdr:sp macro="" textlink="">
      <xdr:nvSpPr>
        <xdr:cNvPr id="48" name="正方形/長方形 47">
          <a:extLst>
            <a:ext uri="{FF2B5EF4-FFF2-40B4-BE49-F238E27FC236}">
              <a16:creationId xmlns:a16="http://schemas.microsoft.com/office/drawing/2014/main" id="{0B289388-39F2-4765-8B87-8A54847C240E}"/>
            </a:ext>
          </a:extLst>
        </xdr:cNvPr>
        <xdr:cNvSpPr/>
      </xdr:nvSpPr>
      <xdr:spPr>
        <a:xfrm>
          <a:off x="2368550" y="469265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57</xdr:row>
      <xdr:rowOff>22412</xdr:rowOff>
    </xdr:from>
    <xdr:to>
      <xdr:col>56</xdr:col>
      <xdr:colOff>14069</xdr:colOff>
      <xdr:row>57</xdr:row>
      <xdr:rowOff>212912</xdr:rowOff>
    </xdr:to>
    <xdr:sp macro="" textlink="">
      <xdr:nvSpPr>
        <xdr:cNvPr id="51" name="正方形/長方形 50">
          <a:extLst>
            <a:ext uri="{FF2B5EF4-FFF2-40B4-BE49-F238E27FC236}">
              <a16:creationId xmlns:a16="http://schemas.microsoft.com/office/drawing/2014/main" id="{4BFB72F8-1A6B-463B-843D-D1AA6B667274}"/>
            </a:ext>
          </a:extLst>
        </xdr:cNvPr>
        <xdr:cNvSpPr/>
      </xdr:nvSpPr>
      <xdr:spPr>
        <a:xfrm>
          <a:off x="6944844" y="1331296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57</xdr:row>
      <xdr:rowOff>37354</xdr:rowOff>
    </xdr:from>
    <xdr:to>
      <xdr:col>28</xdr:col>
      <xdr:colOff>27992</xdr:colOff>
      <xdr:row>57</xdr:row>
      <xdr:rowOff>227854</xdr:rowOff>
    </xdr:to>
    <xdr:sp macro="" textlink="">
      <xdr:nvSpPr>
        <xdr:cNvPr id="53" name="正方形/長方形 52">
          <a:extLst>
            <a:ext uri="{FF2B5EF4-FFF2-40B4-BE49-F238E27FC236}">
              <a16:creationId xmlns:a16="http://schemas.microsoft.com/office/drawing/2014/main" id="{3EBEA655-6D1D-48A5-A06C-33CC3436AE32}"/>
            </a:ext>
          </a:extLst>
        </xdr:cNvPr>
        <xdr:cNvSpPr/>
      </xdr:nvSpPr>
      <xdr:spPr>
        <a:xfrm>
          <a:off x="3219264" y="1332472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57</xdr:row>
      <xdr:rowOff>15875</xdr:rowOff>
    </xdr:from>
    <xdr:to>
      <xdr:col>23</xdr:col>
      <xdr:colOff>63687</xdr:colOff>
      <xdr:row>57</xdr:row>
      <xdr:rowOff>209549</xdr:rowOff>
    </xdr:to>
    <xdr:sp macro="" textlink="">
      <xdr:nvSpPr>
        <xdr:cNvPr id="140" name="正方形/長方形 139">
          <a:extLst>
            <a:ext uri="{FF2B5EF4-FFF2-40B4-BE49-F238E27FC236}">
              <a16:creationId xmlns:a16="http://schemas.microsoft.com/office/drawing/2014/main" id="{5318DA49-FA31-40F5-9EEC-CE2A2231A92A}"/>
            </a:ext>
          </a:extLst>
        </xdr:cNvPr>
        <xdr:cNvSpPr/>
      </xdr:nvSpPr>
      <xdr:spPr>
        <a:xfrm>
          <a:off x="2368550" y="1330325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90</xdr:row>
      <xdr:rowOff>22412</xdr:rowOff>
    </xdr:from>
    <xdr:to>
      <xdr:col>56</xdr:col>
      <xdr:colOff>14069</xdr:colOff>
      <xdr:row>90</xdr:row>
      <xdr:rowOff>212912</xdr:rowOff>
    </xdr:to>
    <xdr:sp macro="" textlink="">
      <xdr:nvSpPr>
        <xdr:cNvPr id="141" name="正方形/長方形 140">
          <a:extLst>
            <a:ext uri="{FF2B5EF4-FFF2-40B4-BE49-F238E27FC236}">
              <a16:creationId xmlns:a16="http://schemas.microsoft.com/office/drawing/2014/main" id="{78AA5137-9611-4A8C-A6A5-E4111FD20940}"/>
            </a:ext>
          </a:extLst>
        </xdr:cNvPr>
        <xdr:cNvSpPr/>
      </xdr:nvSpPr>
      <xdr:spPr>
        <a:xfrm>
          <a:off x="6944844" y="1331296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90</xdr:row>
      <xdr:rowOff>37354</xdr:rowOff>
    </xdr:from>
    <xdr:to>
      <xdr:col>28</xdr:col>
      <xdr:colOff>27992</xdr:colOff>
      <xdr:row>90</xdr:row>
      <xdr:rowOff>227854</xdr:rowOff>
    </xdr:to>
    <xdr:sp macro="" textlink="">
      <xdr:nvSpPr>
        <xdr:cNvPr id="142" name="正方形/長方形 141">
          <a:extLst>
            <a:ext uri="{FF2B5EF4-FFF2-40B4-BE49-F238E27FC236}">
              <a16:creationId xmlns:a16="http://schemas.microsoft.com/office/drawing/2014/main" id="{417C0179-7D73-42A7-A962-A04DB9ADE4F3}"/>
            </a:ext>
          </a:extLst>
        </xdr:cNvPr>
        <xdr:cNvSpPr/>
      </xdr:nvSpPr>
      <xdr:spPr>
        <a:xfrm>
          <a:off x="3219264" y="1332472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90</xdr:row>
      <xdr:rowOff>15875</xdr:rowOff>
    </xdr:from>
    <xdr:to>
      <xdr:col>23</xdr:col>
      <xdr:colOff>63687</xdr:colOff>
      <xdr:row>90</xdr:row>
      <xdr:rowOff>209549</xdr:rowOff>
    </xdr:to>
    <xdr:sp macro="" textlink="">
      <xdr:nvSpPr>
        <xdr:cNvPr id="143" name="正方形/長方形 142">
          <a:extLst>
            <a:ext uri="{FF2B5EF4-FFF2-40B4-BE49-F238E27FC236}">
              <a16:creationId xmlns:a16="http://schemas.microsoft.com/office/drawing/2014/main" id="{86C29AC9-72B4-4321-93EA-1B498199B686}"/>
            </a:ext>
          </a:extLst>
        </xdr:cNvPr>
        <xdr:cNvSpPr/>
      </xdr:nvSpPr>
      <xdr:spPr>
        <a:xfrm>
          <a:off x="2368550" y="1330325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104775</xdr:colOff>
      <xdr:row>89</xdr:row>
      <xdr:rowOff>15875</xdr:rowOff>
    </xdr:from>
    <xdr:to>
      <xdr:col>23</xdr:col>
      <xdr:colOff>63687</xdr:colOff>
      <xdr:row>89</xdr:row>
      <xdr:rowOff>209549</xdr:rowOff>
    </xdr:to>
    <xdr:sp macro="" textlink="">
      <xdr:nvSpPr>
        <xdr:cNvPr id="144" name="正方形/長方形 143">
          <a:extLst>
            <a:ext uri="{FF2B5EF4-FFF2-40B4-BE49-F238E27FC236}">
              <a16:creationId xmlns:a16="http://schemas.microsoft.com/office/drawing/2014/main" id="{6A2BCA7F-2774-48EB-86A2-7B44DA7094AA}"/>
            </a:ext>
          </a:extLst>
        </xdr:cNvPr>
        <xdr:cNvSpPr/>
      </xdr:nvSpPr>
      <xdr:spPr>
        <a:xfrm>
          <a:off x="2368550" y="130556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91</xdr:row>
      <xdr:rowOff>22412</xdr:rowOff>
    </xdr:from>
    <xdr:to>
      <xdr:col>56</xdr:col>
      <xdr:colOff>14069</xdr:colOff>
      <xdr:row>91</xdr:row>
      <xdr:rowOff>212912</xdr:rowOff>
    </xdr:to>
    <xdr:sp macro="" textlink="">
      <xdr:nvSpPr>
        <xdr:cNvPr id="145" name="正方形/長方形 144">
          <a:extLst>
            <a:ext uri="{FF2B5EF4-FFF2-40B4-BE49-F238E27FC236}">
              <a16:creationId xmlns:a16="http://schemas.microsoft.com/office/drawing/2014/main" id="{D7D50DBC-2E9D-42AD-A048-D251305A6E5A}"/>
            </a:ext>
          </a:extLst>
        </xdr:cNvPr>
        <xdr:cNvSpPr/>
      </xdr:nvSpPr>
      <xdr:spPr>
        <a:xfrm>
          <a:off x="6944844" y="1356061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91</xdr:row>
      <xdr:rowOff>37354</xdr:rowOff>
    </xdr:from>
    <xdr:to>
      <xdr:col>28</xdr:col>
      <xdr:colOff>27992</xdr:colOff>
      <xdr:row>91</xdr:row>
      <xdr:rowOff>227854</xdr:rowOff>
    </xdr:to>
    <xdr:sp macro="" textlink="">
      <xdr:nvSpPr>
        <xdr:cNvPr id="198" name="正方形/長方形 197">
          <a:extLst>
            <a:ext uri="{FF2B5EF4-FFF2-40B4-BE49-F238E27FC236}">
              <a16:creationId xmlns:a16="http://schemas.microsoft.com/office/drawing/2014/main" id="{78DE333D-F5EB-4155-A226-D2B1C41D7270}"/>
            </a:ext>
          </a:extLst>
        </xdr:cNvPr>
        <xdr:cNvSpPr/>
      </xdr:nvSpPr>
      <xdr:spPr>
        <a:xfrm>
          <a:off x="3219264" y="1357237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91</xdr:row>
      <xdr:rowOff>15875</xdr:rowOff>
    </xdr:from>
    <xdr:to>
      <xdr:col>23</xdr:col>
      <xdr:colOff>63687</xdr:colOff>
      <xdr:row>91</xdr:row>
      <xdr:rowOff>209549</xdr:rowOff>
    </xdr:to>
    <xdr:sp macro="" textlink="">
      <xdr:nvSpPr>
        <xdr:cNvPr id="207" name="正方形/長方形 206">
          <a:extLst>
            <a:ext uri="{FF2B5EF4-FFF2-40B4-BE49-F238E27FC236}">
              <a16:creationId xmlns:a16="http://schemas.microsoft.com/office/drawing/2014/main" id="{8B7658DE-C9CB-49ED-86F1-A1D258258381}"/>
            </a:ext>
          </a:extLst>
        </xdr:cNvPr>
        <xdr:cNvSpPr/>
      </xdr:nvSpPr>
      <xdr:spPr>
        <a:xfrm>
          <a:off x="2368550" y="135509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126</xdr:row>
      <xdr:rowOff>22412</xdr:rowOff>
    </xdr:from>
    <xdr:to>
      <xdr:col>56</xdr:col>
      <xdr:colOff>14069</xdr:colOff>
      <xdr:row>126</xdr:row>
      <xdr:rowOff>212912</xdr:rowOff>
    </xdr:to>
    <xdr:sp macro="" textlink="">
      <xdr:nvSpPr>
        <xdr:cNvPr id="208" name="正方形/長方形 207">
          <a:extLst>
            <a:ext uri="{FF2B5EF4-FFF2-40B4-BE49-F238E27FC236}">
              <a16:creationId xmlns:a16="http://schemas.microsoft.com/office/drawing/2014/main" id="{604BB4A9-7269-4D6E-B0DD-2BD77C605504}"/>
            </a:ext>
          </a:extLst>
        </xdr:cNvPr>
        <xdr:cNvSpPr/>
      </xdr:nvSpPr>
      <xdr:spPr>
        <a:xfrm>
          <a:off x="6944844" y="22104537"/>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2989</xdr:colOff>
      <xdr:row>126</xdr:row>
      <xdr:rowOff>37354</xdr:rowOff>
    </xdr:from>
    <xdr:to>
      <xdr:col>28</xdr:col>
      <xdr:colOff>12117</xdr:colOff>
      <xdr:row>126</xdr:row>
      <xdr:rowOff>227854</xdr:rowOff>
    </xdr:to>
    <xdr:sp macro="" textlink="">
      <xdr:nvSpPr>
        <xdr:cNvPr id="209" name="正方形/長方形 208">
          <a:extLst>
            <a:ext uri="{FF2B5EF4-FFF2-40B4-BE49-F238E27FC236}">
              <a16:creationId xmlns:a16="http://schemas.microsoft.com/office/drawing/2014/main" id="{A22A1B0C-5C14-487E-9ED9-0344846A69E2}"/>
            </a:ext>
          </a:extLst>
        </xdr:cNvPr>
        <xdr:cNvSpPr/>
      </xdr:nvSpPr>
      <xdr:spPr>
        <a:xfrm>
          <a:off x="3203389" y="22116304"/>
          <a:ext cx="53935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85725</xdr:colOff>
      <xdr:row>126</xdr:row>
      <xdr:rowOff>15875</xdr:rowOff>
    </xdr:from>
    <xdr:to>
      <xdr:col>23</xdr:col>
      <xdr:colOff>47812</xdr:colOff>
      <xdr:row>126</xdr:row>
      <xdr:rowOff>209549</xdr:rowOff>
    </xdr:to>
    <xdr:sp macro="" textlink="">
      <xdr:nvSpPr>
        <xdr:cNvPr id="210" name="正方形/長方形 209">
          <a:extLst>
            <a:ext uri="{FF2B5EF4-FFF2-40B4-BE49-F238E27FC236}">
              <a16:creationId xmlns:a16="http://schemas.microsoft.com/office/drawing/2014/main" id="{9D625803-5222-4CA3-B382-4F4E7CB0A4DC}"/>
            </a:ext>
          </a:extLst>
        </xdr:cNvPr>
        <xdr:cNvSpPr/>
      </xdr:nvSpPr>
      <xdr:spPr>
        <a:xfrm>
          <a:off x="2349500" y="22094825"/>
          <a:ext cx="76218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125</xdr:row>
      <xdr:rowOff>22412</xdr:rowOff>
    </xdr:from>
    <xdr:to>
      <xdr:col>56</xdr:col>
      <xdr:colOff>14069</xdr:colOff>
      <xdr:row>125</xdr:row>
      <xdr:rowOff>212912</xdr:rowOff>
    </xdr:to>
    <xdr:sp macro="" textlink="">
      <xdr:nvSpPr>
        <xdr:cNvPr id="215" name="正方形/長方形 214">
          <a:extLst>
            <a:ext uri="{FF2B5EF4-FFF2-40B4-BE49-F238E27FC236}">
              <a16:creationId xmlns:a16="http://schemas.microsoft.com/office/drawing/2014/main" id="{468F9243-DCE7-423E-8E09-FF76FD69F13A}"/>
            </a:ext>
          </a:extLst>
        </xdr:cNvPr>
        <xdr:cNvSpPr/>
      </xdr:nvSpPr>
      <xdr:spPr>
        <a:xfrm>
          <a:off x="6944844" y="21856887"/>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125</xdr:row>
      <xdr:rowOff>37354</xdr:rowOff>
    </xdr:from>
    <xdr:to>
      <xdr:col>28</xdr:col>
      <xdr:colOff>27992</xdr:colOff>
      <xdr:row>125</xdr:row>
      <xdr:rowOff>227854</xdr:rowOff>
    </xdr:to>
    <xdr:sp macro="" textlink="">
      <xdr:nvSpPr>
        <xdr:cNvPr id="219" name="正方形/長方形 218">
          <a:extLst>
            <a:ext uri="{FF2B5EF4-FFF2-40B4-BE49-F238E27FC236}">
              <a16:creationId xmlns:a16="http://schemas.microsoft.com/office/drawing/2014/main" id="{22D6CCA0-112C-45EB-927F-52E066A6BB30}"/>
            </a:ext>
          </a:extLst>
        </xdr:cNvPr>
        <xdr:cNvSpPr/>
      </xdr:nvSpPr>
      <xdr:spPr>
        <a:xfrm>
          <a:off x="3219264" y="21868654"/>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125</xdr:row>
      <xdr:rowOff>15875</xdr:rowOff>
    </xdr:from>
    <xdr:to>
      <xdr:col>23</xdr:col>
      <xdr:colOff>63687</xdr:colOff>
      <xdr:row>125</xdr:row>
      <xdr:rowOff>209549</xdr:rowOff>
    </xdr:to>
    <xdr:sp macro="" textlink="">
      <xdr:nvSpPr>
        <xdr:cNvPr id="220" name="正方形/長方形 219">
          <a:extLst>
            <a:ext uri="{FF2B5EF4-FFF2-40B4-BE49-F238E27FC236}">
              <a16:creationId xmlns:a16="http://schemas.microsoft.com/office/drawing/2014/main" id="{1D55801E-7748-41CA-B013-925EE153E34C}"/>
            </a:ext>
          </a:extLst>
        </xdr:cNvPr>
        <xdr:cNvSpPr/>
      </xdr:nvSpPr>
      <xdr:spPr>
        <a:xfrm>
          <a:off x="2368550" y="21847175"/>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76012</xdr:colOff>
      <xdr:row>167</xdr:row>
      <xdr:rowOff>28576</xdr:rowOff>
    </xdr:from>
    <xdr:to>
      <xdr:col>23</xdr:col>
      <xdr:colOff>28574</xdr:colOff>
      <xdr:row>167</xdr:row>
      <xdr:rowOff>215900</xdr:rowOff>
    </xdr:to>
    <xdr:sp macro="" textlink="">
      <xdr:nvSpPr>
        <xdr:cNvPr id="221" name="正方形/長方形 220">
          <a:extLst>
            <a:ext uri="{FF2B5EF4-FFF2-40B4-BE49-F238E27FC236}">
              <a16:creationId xmlns:a16="http://schemas.microsoft.com/office/drawing/2014/main" id="{92BD1964-D91F-427F-9FCF-1859288AD957}"/>
            </a:ext>
          </a:extLst>
        </xdr:cNvPr>
        <xdr:cNvSpPr/>
      </xdr:nvSpPr>
      <xdr:spPr>
        <a:xfrm>
          <a:off x="2342962" y="29905326"/>
          <a:ext cx="75583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191113 </a:t>
          </a:r>
        </a:p>
      </xdr:txBody>
    </xdr:sp>
    <xdr:clientData/>
  </xdr:twoCellAnchor>
  <xdr:twoCellAnchor>
    <xdr:from>
      <xdr:col>24</xdr:col>
      <xdr:colOff>2989</xdr:colOff>
      <xdr:row>167</xdr:row>
      <xdr:rowOff>27829</xdr:rowOff>
    </xdr:from>
    <xdr:to>
      <xdr:col>27</xdr:col>
      <xdr:colOff>132767</xdr:colOff>
      <xdr:row>167</xdr:row>
      <xdr:rowOff>218329</xdr:rowOff>
    </xdr:to>
    <xdr:sp macro="" textlink="">
      <xdr:nvSpPr>
        <xdr:cNvPr id="222" name="正方形/長方形 221">
          <a:extLst>
            <a:ext uri="{FF2B5EF4-FFF2-40B4-BE49-F238E27FC236}">
              <a16:creationId xmlns:a16="http://schemas.microsoft.com/office/drawing/2014/main" id="{E742CC15-4C88-4B72-8D22-4D1199D33DFE}"/>
            </a:ext>
          </a:extLst>
        </xdr:cNvPr>
        <xdr:cNvSpPr/>
      </xdr:nvSpPr>
      <xdr:spPr>
        <a:xfrm>
          <a:off x="3203389" y="29910929"/>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130175</xdr:colOff>
      <xdr:row>166</xdr:row>
      <xdr:rowOff>34925</xdr:rowOff>
    </xdr:from>
    <xdr:to>
      <xdr:col>22</xdr:col>
      <xdr:colOff>6535</xdr:colOff>
      <xdr:row>166</xdr:row>
      <xdr:rowOff>217393</xdr:rowOff>
    </xdr:to>
    <xdr:sp macro="" textlink="">
      <xdr:nvSpPr>
        <xdr:cNvPr id="223" name="正方形/長方形 222">
          <a:extLst>
            <a:ext uri="{FF2B5EF4-FFF2-40B4-BE49-F238E27FC236}">
              <a16:creationId xmlns:a16="http://schemas.microsoft.com/office/drawing/2014/main" id="{F7B3F7C5-02FB-4410-A74A-D8349EAFF287}"/>
            </a:ext>
          </a:extLst>
        </xdr:cNvPr>
        <xdr:cNvSpPr/>
      </xdr:nvSpPr>
      <xdr:spPr>
        <a:xfrm>
          <a:off x="2397125" y="29667200"/>
          <a:ext cx="546285" cy="185643"/>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2024</a:t>
          </a:r>
        </a:p>
      </xdr:txBody>
    </xdr:sp>
    <xdr:clientData/>
  </xdr:twoCellAnchor>
  <xdr:twoCellAnchor>
    <xdr:from>
      <xdr:col>51</xdr:col>
      <xdr:colOff>130175</xdr:colOff>
      <xdr:row>167</xdr:row>
      <xdr:rowOff>28575</xdr:rowOff>
    </xdr:from>
    <xdr:to>
      <xdr:col>56</xdr:col>
      <xdr:colOff>6535</xdr:colOff>
      <xdr:row>167</xdr:row>
      <xdr:rowOff>211043</xdr:rowOff>
    </xdr:to>
    <xdr:sp macro="" textlink="">
      <xdr:nvSpPr>
        <xdr:cNvPr id="276" name="正方形/長方形 275">
          <a:extLst>
            <a:ext uri="{FF2B5EF4-FFF2-40B4-BE49-F238E27FC236}">
              <a16:creationId xmlns:a16="http://schemas.microsoft.com/office/drawing/2014/main" id="{797C0BD7-49E4-4B36-A20B-071C8B8FE4D5}"/>
            </a:ext>
          </a:extLst>
        </xdr:cNvPr>
        <xdr:cNvSpPr/>
      </xdr:nvSpPr>
      <xdr:spPr>
        <a:xfrm>
          <a:off x="6931025" y="29905325"/>
          <a:ext cx="546285" cy="185643"/>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01</a:t>
          </a:r>
        </a:p>
      </xdr:txBody>
    </xdr:sp>
    <xdr:clientData/>
  </xdr:twoCellAnchor>
  <xdr:twoCellAnchor>
    <xdr:from>
      <xdr:col>52</xdr:col>
      <xdr:colOff>7469</xdr:colOff>
      <xdr:row>169</xdr:row>
      <xdr:rowOff>22412</xdr:rowOff>
    </xdr:from>
    <xdr:to>
      <xdr:col>56</xdr:col>
      <xdr:colOff>14069</xdr:colOff>
      <xdr:row>169</xdr:row>
      <xdr:rowOff>212912</xdr:rowOff>
    </xdr:to>
    <xdr:sp macro="" textlink="">
      <xdr:nvSpPr>
        <xdr:cNvPr id="281" name="正方形/長方形 280">
          <a:extLst>
            <a:ext uri="{FF2B5EF4-FFF2-40B4-BE49-F238E27FC236}">
              <a16:creationId xmlns:a16="http://schemas.microsoft.com/office/drawing/2014/main" id="{8D37BA59-C26E-46F4-A97E-7359A05D53EB}"/>
            </a:ext>
          </a:extLst>
        </xdr:cNvPr>
        <xdr:cNvSpPr/>
      </xdr:nvSpPr>
      <xdr:spPr>
        <a:xfrm>
          <a:off x="6944844" y="3040081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2989</xdr:colOff>
      <xdr:row>169</xdr:row>
      <xdr:rowOff>37354</xdr:rowOff>
    </xdr:from>
    <xdr:to>
      <xdr:col>28</xdr:col>
      <xdr:colOff>12117</xdr:colOff>
      <xdr:row>169</xdr:row>
      <xdr:rowOff>227854</xdr:rowOff>
    </xdr:to>
    <xdr:sp macro="" textlink="">
      <xdr:nvSpPr>
        <xdr:cNvPr id="282" name="正方形/長方形 281">
          <a:extLst>
            <a:ext uri="{FF2B5EF4-FFF2-40B4-BE49-F238E27FC236}">
              <a16:creationId xmlns:a16="http://schemas.microsoft.com/office/drawing/2014/main" id="{8BD741EB-662F-4D17-9043-7C1E1876663D}"/>
            </a:ext>
          </a:extLst>
        </xdr:cNvPr>
        <xdr:cNvSpPr/>
      </xdr:nvSpPr>
      <xdr:spPr>
        <a:xfrm>
          <a:off x="3203389" y="30412579"/>
          <a:ext cx="53935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85725</xdr:colOff>
      <xdr:row>169</xdr:row>
      <xdr:rowOff>15875</xdr:rowOff>
    </xdr:from>
    <xdr:to>
      <xdr:col>23</xdr:col>
      <xdr:colOff>47812</xdr:colOff>
      <xdr:row>169</xdr:row>
      <xdr:rowOff>209549</xdr:rowOff>
    </xdr:to>
    <xdr:sp macro="" textlink="">
      <xdr:nvSpPr>
        <xdr:cNvPr id="283" name="正方形/長方形 282">
          <a:extLst>
            <a:ext uri="{FF2B5EF4-FFF2-40B4-BE49-F238E27FC236}">
              <a16:creationId xmlns:a16="http://schemas.microsoft.com/office/drawing/2014/main" id="{BCA35962-AEEE-4129-9EE6-75279E0A005C}"/>
            </a:ext>
          </a:extLst>
        </xdr:cNvPr>
        <xdr:cNvSpPr/>
      </xdr:nvSpPr>
      <xdr:spPr>
        <a:xfrm>
          <a:off x="2349500" y="30391100"/>
          <a:ext cx="76218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9</xdr:row>
      <xdr:rowOff>114300</xdr:rowOff>
    </xdr:from>
    <xdr:ext cx="963613" cy="241300"/>
    <xdr:pic>
      <xdr:nvPicPr>
        <xdr:cNvPr id="2" name="図 1">
          <a:extLst>
            <a:ext uri="{FF2B5EF4-FFF2-40B4-BE49-F238E27FC236}">
              <a16:creationId xmlns:a16="http://schemas.microsoft.com/office/drawing/2014/main" id="{7545DDC8-C9CF-4C4C-BAF0-2D65AED084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9191625"/>
          <a:ext cx="963613" cy="241300"/>
        </a:xfrm>
        <a:prstGeom prst="rect">
          <a:avLst/>
        </a:prstGeom>
      </xdr:spPr>
    </xdr:pic>
    <xdr:clientData/>
  </xdr:oneCellAnchor>
  <xdr:twoCellAnchor>
    <xdr:from>
      <xdr:col>75</xdr:col>
      <xdr:colOff>69159</xdr:colOff>
      <xdr:row>45</xdr:row>
      <xdr:rowOff>237711</xdr:rowOff>
    </xdr:from>
    <xdr:to>
      <xdr:col>80</xdr:col>
      <xdr:colOff>86409</xdr:colOff>
      <xdr:row>46</xdr:row>
      <xdr:rowOff>180975</xdr:rowOff>
    </xdr:to>
    <xdr:sp macro="" textlink="">
      <xdr:nvSpPr>
        <xdr:cNvPr id="3" name="正方形/長方形 2">
          <a:extLst>
            <a:ext uri="{FF2B5EF4-FFF2-40B4-BE49-F238E27FC236}">
              <a16:creationId xmlns:a16="http://schemas.microsoft.com/office/drawing/2014/main" id="{D5090536-4E6D-4156-9AEB-AC80EB59143F}"/>
            </a:ext>
          </a:extLst>
        </xdr:cNvPr>
        <xdr:cNvSpPr/>
      </xdr:nvSpPr>
      <xdr:spPr>
        <a:xfrm>
          <a:off x="9352859" y="16509586"/>
          <a:ext cx="636375" cy="1845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申請</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106391</xdr:colOff>
      <xdr:row>46</xdr:row>
      <xdr:rowOff>0</xdr:rowOff>
    </xdr:from>
    <xdr:to>
      <xdr:col>12</xdr:col>
      <xdr:colOff>108941</xdr:colOff>
      <xdr:row>46</xdr:row>
      <xdr:rowOff>194400</xdr:rowOff>
    </xdr:to>
    <xdr:sp macro="" textlink="">
      <xdr:nvSpPr>
        <xdr:cNvPr id="4" name="正方形/長方形 3">
          <a:extLst>
            <a:ext uri="{FF2B5EF4-FFF2-40B4-BE49-F238E27FC236}">
              <a16:creationId xmlns:a16="http://schemas.microsoft.com/office/drawing/2014/main" id="{F4209182-E9C8-4CDB-9070-BC1092B1EDAA}"/>
            </a:ext>
          </a:extLst>
        </xdr:cNvPr>
        <xdr:cNvSpPr/>
      </xdr:nvSpPr>
      <xdr:spPr>
        <a:xfrm>
          <a:off x="722341" y="16516350"/>
          <a:ext cx="869325" cy="1975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訂正</a:t>
          </a:r>
        </a:p>
      </xdr:txBody>
    </xdr:sp>
    <xdr:clientData/>
  </xdr:twoCellAnchor>
  <xdr:oneCellAnchor>
    <xdr:from>
      <xdr:col>4</xdr:col>
      <xdr:colOff>0</xdr:colOff>
      <xdr:row>78</xdr:row>
      <xdr:rowOff>114300</xdr:rowOff>
    </xdr:from>
    <xdr:ext cx="963613" cy="241300"/>
    <xdr:pic>
      <xdr:nvPicPr>
        <xdr:cNvPr id="5" name="図 4">
          <a:extLst>
            <a:ext uri="{FF2B5EF4-FFF2-40B4-BE49-F238E27FC236}">
              <a16:creationId xmlns:a16="http://schemas.microsoft.com/office/drawing/2014/main" id="{D5C4C8F6-2D51-4234-AF44-2CC47336C6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17506950"/>
          <a:ext cx="963613" cy="241300"/>
        </a:xfrm>
        <a:prstGeom prst="rect">
          <a:avLst/>
        </a:prstGeom>
      </xdr:spPr>
    </xdr:pic>
    <xdr:clientData/>
  </xdr:oneCellAnchor>
  <xdr:twoCellAnchor>
    <xdr:from>
      <xdr:col>5</xdr:col>
      <xdr:colOff>98108</xdr:colOff>
      <xdr:row>88</xdr:row>
      <xdr:rowOff>24848</xdr:rowOff>
    </xdr:from>
    <xdr:to>
      <xdr:col>11</xdr:col>
      <xdr:colOff>90008</xdr:colOff>
      <xdr:row>88</xdr:row>
      <xdr:rowOff>215348</xdr:rowOff>
    </xdr:to>
    <xdr:sp macro="" textlink="">
      <xdr:nvSpPr>
        <xdr:cNvPr id="7" name="正方形/長方形 6">
          <a:extLst>
            <a:ext uri="{FF2B5EF4-FFF2-40B4-BE49-F238E27FC236}">
              <a16:creationId xmlns:a16="http://schemas.microsoft.com/office/drawing/2014/main" id="{A503F4D8-D17F-40B4-A9A7-25075FC29091}"/>
            </a:ext>
          </a:extLst>
        </xdr:cNvPr>
        <xdr:cNvSpPr/>
      </xdr:nvSpPr>
      <xdr:spPr>
        <a:xfrm>
          <a:off x="717233" y="28069623"/>
          <a:ext cx="731675"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twoCellAnchor editAs="oneCell">
    <xdr:from>
      <xdr:col>75</xdr:col>
      <xdr:colOff>0</xdr:colOff>
      <xdr:row>13</xdr:row>
      <xdr:rowOff>0</xdr:rowOff>
    </xdr:from>
    <xdr:to>
      <xdr:col>77</xdr:col>
      <xdr:colOff>38100</xdr:colOff>
      <xdr:row>14</xdr:row>
      <xdr:rowOff>50800</xdr:rowOff>
    </xdr:to>
    <xdr:sp macro="" textlink="">
      <xdr:nvSpPr>
        <xdr:cNvPr id="8" name="AutoShape 1">
          <a:extLst>
            <a:ext uri="{FF2B5EF4-FFF2-40B4-BE49-F238E27FC236}">
              <a16:creationId xmlns:a16="http://schemas.microsoft.com/office/drawing/2014/main" id="{C513B1DA-2309-42E7-8543-209059A7B730}"/>
            </a:ext>
          </a:extLst>
        </xdr:cNvPr>
        <xdr:cNvSpPr>
          <a:spLocks noChangeAspect="1" noChangeArrowheads="1"/>
        </xdr:cNvSpPr>
      </xdr:nvSpPr>
      <xdr:spPr bwMode="auto">
        <a:xfrm>
          <a:off x="9286875" y="10067925"/>
          <a:ext cx="285750" cy="2946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75</xdr:col>
      <xdr:colOff>0</xdr:colOff>
      <xdr:row>8</xdr:row>
      <xdr:rowOff>0</xdr:rowOff>
    </xdr:from>
    <xdr:ext cx="292100" cy="293519"/>
    <xdr:sp macro="" textlink="">
      <xdr:nvSpPr>
        <xdr:cNvPr id="15" name="AutoShape 1">
          <a:extLst>
            <a:ext uri="{FF2B5EF4-FFF2-40B4-BE49-F238E27FC236}">
              <a16:creationId xmlns:a16="http://schemas.microsoft.com/office/drawing/2014/main" id="{FB318344-B65C-433E-8E57-E5463AC38AC3}"/>
            </a:ext>
          </a:extLst>
        </xdr:cNvPr>
        <xdr:cNvSpPr>
          <a:spLocks noChangeAspect="1" noChangeArrowheads="1"/>
        </xdr:cNvSpPr>
      </xdr:nvSpPr>
      <xdr:spPr bwMode="auto">
        <a:xfrm>
          <a:off x="9286875" y="269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18" name="AutoShape 1">
          <a:extLst>
            <a:ext uri="{FF2B5EF4-FFF2-40B4-BE49-F238E27FC236}">
              <a16:creationId xmlns:a16="http://schemas.microsoft.com/office/drawing/2014/main" id="{45CD0115-501F-483E-B315-D73ABA797581}"/>
            </a:ext>
          </a:extLst>
        </xdr:cNvPr>
        <xdr:cNvSpPr>
          <a:spLocks noChangeAspect="1" noChangeArrowheads="1"/>
        </xdr:cNvSpPr>
      </xdr:nvSpPr>
      <xdr:spPr bwMode="auto">
        <a:xfrm>
          <a:off x="9286875" y="49244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19" name="AutoShape 1">
          <a:extLst>
            <a:ext uri="{FF2B5EF4-FFF2-40B4-BE49-F238E27FC236}">
              <a16:creationId xmlns:a16="http://schemas.microsoft.com/office/drawing/2014/main" id="{45BFF0CC-7A4D-4FA3-A145-DF6334452A6E}"/>
            </a:ext>
          </a:extLst>
        </xdr:cNvPr>
        <xdr:cNvSpPr>
          <a:spLocks noChangeAspect="1" noChangeArrowheads="1"/>
        </xdr:cNvSpPr>
      </xdr:nvSpPr>
      <xdr:spPr bwMode="auto">
        <a:xfrm>
          <a:off x="9286875" y="5172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0" name="AutoShape 1">
          <a:extLst>
            <a:ext uri="{FF2B5EF4-FFF2-40B4-BE49-F238E27FC236}">
              <a16:creationId xmlns:a16="http://schemas.microsoft.com/office/drawing/2014/main" id="{CFD2C7DB-8A5B-46B5-87A7-86CB18296711}"/>
            </a:ext>
          </a:extLst>
        </xdr:cNvPr>
        <xdr:cNvSpPr>
          <a:spLocks noChangeAspect="1" noChangeArrowheads="1"/>
        </xdr:cNvSpPr>
      </xdr:nvSpPr>
      <xdr:spPr bwMode="auto">
        <a:xfrm>
          <a:off x="9286875" y="54197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1" name="AutoShape 1">
          <a:extLst>
            <a:ext uri="{FF2B5EF4-FFF2-40B4-BE49-F238E27FC236}">
              <a16:creationId xmlns:a16="http://schemas.microsoft.com/office/drawing/2014/main" id="{6B7B1F80-49AD-4D34-ABBF-9FD7FB2E3558}"/>
            </a:ext>
          </a:extLst>
        </xdr:cNvPr>
        <xdr:cNvSpPr>
          <a:spLocks noChangeAspect="1" noChangeArrowheads="1"/>
        </xdr:cNvSpPr>
      </xdr:nvSpPr>
      <xdr:spPr bwMode="auto">
        <a:xfrm>
          <a:off x="9286875" y="5676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2" name="AutoShape 1">
          <a:extLst>
            <a:ext uri="{FF2B5EF4-FFF2-40B4-BE49-F238E27FC236}">
              <a16:creationId xmlns:a16="http://schemas.microsoft.com/office/drawing/2014/main" id="{531246DE-CBB7-4D28-95F4-B0CCF307F01B}"/>
            </a:ext>
          </a:extLst>
        </xdr:cNvPr>
        <xdr:cNvSpPr>
          <a:spLocks noChangeAspect="1" noChangeArrowheads="1"/>
        </xdr:cNvSpPr>
      </xdr:nvSpPr>
      <xdr:spPr bwMode="auto">
        <a:xfrm>
          <a:off x="9286875" y="59245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3" name="AutoShape 1">
          <a:extLst>
            <a:ext uri="{FF2B5EF4-FFF2-40B4-BE49-F238E27FC236}">
              <a16:creationId xmlns:a16="http://schemas.microsoft.com/office/drawing/2014/main" id="{E6AA8F78-8F87-4442-AA49-67B09AAA6805}"/>
            </a:ext>
          </a:extLst>
        </xdr:cNvPr>
        <xdr:cNvSpPr>
          <a:spLocks noChangeAspect="1" noChangeArrowheads="1"/>
        </xdr:cNvSpPr>
      </xdr:nvSpPr>
      <xdr:spPr bwMode="auto">
        <a:xfrm>
          <a:off x="9286875" y="64198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4" name="AutoShape 1">
          <a:extLst>
            <a:ext uri="{FF2B5EF4-FFF2-40B4-BE49-F238E27FC236}">
              <a16:creationId xmlns:a16="http://schemas.microsoft.com/office/drawing/2014/main" id="{76AA4E18-C511-4D20-A9F7-912A4B98FD93}"/>
            </a:ext>
          </a:extLst>
        </xdr:cNvPr>
        <xdr:cNvSpPr>
          <a:spLocks noChangeAspect="1" noChangeArrowheads="1"/>
        </xdr:cNvSpPr>
      </xdr:nvSpPr>
      <xdr:spPr bwMode="auto">
        <a:xfrm>
          <a:off x="9286875" y="6667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5" name="AutoShape 1">
          <a:extLst>
            <a:ext uri="{FF2B5EF4-FFF2-40B4-BE49-F238E27FC236}">
              <a16:creationId xmlns:a16="http://schemas.microsoft.com/office/drawing/2014/main" id="{AB4FB8A5-4BAD-4EEE-8C7B-1E5C7BDFB6EC}"/>
            </a:ext>
          </a:extLst>
        </xdr:cNvPr>
        <xdr:cNvSpPr>
          <a:spLocks noChangeAspect="1" noChangeArrowheads="1"/>
        </xdr:cNvSpPr>
      </xdr:nvSpPr>
      <xdr:spPr bwMode="auto">
        <a:xfrm>
          <a:off x="9286875" y="6915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6" name="AutoShape 1">
          <a:extLst>
            <a:ext uri="{FF2B5EF4-FFF2-40B4-BE49-F238E27FC236}">
              <a16:creationId xmlns:a16="http://schemas.microsoft.com/office/drawing/2014/main" id="{15CA615B-1950-4D3B-A124-E08A3FDFF2F3}"/>
            </a:ext>
          </a:extLst>
        </xdr:cNvPr>
        <xdr:cNvSpPr>
          <a:spLocks noChangeAspect="1" noChangeArrowheads="1"/>
        </xdr:cNvSpPr>
      </xdr:nvSpPr>
      <xdr:spPr bwMode="auto">
        <a:xfrm>
          <a:off x="9286875" y="71628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7" name="AutoShape 1">
          <a:extLst>
            <a:ext uri="{FF2B5EF4-FFF2-40B4-BE49-F238E27FC236}">
              <a16:creationId xmlns:a16="http://schemas.microsoft.com/office/drawing/2014/main" id="{B994CE99-4E0A-474E-B737-A393E0FA92B8}"/>
            </a:ext>
          </a:extLst>
        </xdr:cNvPr>
        <xdr:cNvSpPr>
          <a:spLocks noChangeAspect="1" noChangeArrowheads="1"/>
        </xdr:cNvSpPr>
      </xdr:nvSpPr>
      <xdr:spPr bwMode="auto">
        <a:xfrm>
          <a:off x="9286875" y="7410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8" name="AutoShape 1">
          <a:extLst>
            <a:ext uri="{FF2B5EF4-FFF2-40B4-BE49-F238E27FC236}">
              <a16:creationId xmlns:a16="http://schemas.microsoft.com/office/drawing/2014/main" id="{FCBEA56F-196C-4671-8B59-1DE620BC9D3C}"/>
            </a:ext>
          </a:extLst>
        </xdr:cNvPr>
        <xdr:cNvSpPr>
          <a:spLocks noChangeAspect="1" noChangeArrowheads="1"/>
        </xdr:cNvSpPr>
      </xdr:nvSpPr>
      <xdr:spPr bwMode="auto">
        <a:xfrm>
          <a:off x="9286875" y="7658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47" name="AutoShape 1">
          <a:extLst>
            <a:ext uri="{FF2B5EF4-FFF2-40B4-BE49-F238E27FC236}">
              <a16:creationId xmlns:a16="http://schemas.microsoft.com/office/drawing/2014/main" id="{56749DBB-D319-407D-AF38-52A879FBE7CA}"/>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23</xdr:row>
      <xdr:rowOff>0</xdr:rowOff>
    </xdr:from>
    <xdr:ext cx="292100" cy="293519"/>
    <xdr:sp macro="" textlink="">
      <xdr:nvSpPr>
        <xdr:cNvPr id="54" name="AutoShape 1">
          <a:extLst>
            <a:ext uri="{FF2B5EF4-FFF2-40B4-BE49-F238E27FC236}">
              <a16:creationId xmlns:a16="http://schemas.microsoft.com/office/drawing/2014/main" id="{0CE40608-F0D3-418B-B6A1-1E204FFC5974}"/>
            </a:ext>
          </a:extLst>
        </xdr:cNvPr>
        <xdr:cNvSpPr>
          <a:spLocks noChangeAspect="1" noChangeArrowheads="1"/>
        </xdr:cNvSpPr>
      </xdr:nvSpPr>
      <xdr:spPr bwMode="auto">
        <a:xfrm>
          <a:off x="9286875" y="122967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xdr:row>
      <xdr:rowOff>0</xdr:rowOff>
    </xdr:from>
    <xdr:ext cx="292100" cy="293519"/>
    <xdr:sp macro="" textlink="">
      <xdr:nvSpPr>
        <xdr:cNvPr id="73" name="AutoShape 1">
          <a:extLst>
            <a:ext uri="{FF2B5EF4-FFF2-40B4-BE49-F238E27FC236}">
              <a16:creationId xmlns:a16="http://schemas.microsoft.com/office/drawing/2014/main" id="{E4F0E739-586D-45F9-8987-47359A171442}"/>
            </a:ext>
          </a:extLst>
        </xdr:cNvPr>
        <xdr:cNvSpPr>
          <a:spLocks noChangeAspect="1" noChangeArrowheads="1"/>
        </xdr:cNvSpPr>
      </xdr:nvSpPr>
      <xdr:spPr bwMode="auto">
        <a:xfrm>
          <a:off x="9286875" y="1031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85750" cy="297815"/>
    <xdr:sp macro="" textlink="">
      <xdr:nvSpPr>
        <xdr:cNvPr id="77" name="AutoShape 1">
          <a:extLst>
            <a:ext uri="{FF2B5EF4-FFF2-40B4-BE49-F238E27FC236}">
              <a16:creationId xmlns:a16="http://schemas.microsoft.com/office/drawing/2014/main" id="{1E114833-C120-4C5A-A95F-A7BA7EF6FB26}"/>
            </a:ext>
          </a:extLst>
        </xdr:cNvPr>
        <xdr:cNvSpPr>
          <a:spLocks noChangeAspect="1" noChangeArrowheads="1"/>
        </xdr:cNvSpPr>
      </xdr:nvSpPr>
      <xdr:spPr bwMode="auto">
        <a:xfrm>
          <a:off x="9286875" y="18630900"/>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80" name="AutoShape 1">
          <a:extLst>
            <a:ext uri="{FF2B5EF4-FFF2-40B4-BE49-F238E27FC236}">
              <a16:creationId xmlns:a16="http://schemas.microsoft.com/office/drawing/2014/main" id="{A8098BC6-B266-4FCF-AEC9-E8DC0A0C4572}"/>
            </a:ext>
          </a:extLst>
        </xdr:cNvPr>
        <xdr:cNvSpPr>
          <a:spLocks noChangeAspect="1" noChangeArrowheads="1"/>
        </xdr:cNvSpPr>
      </xdr:nvSpPr>
      <xdr:spPr bwMode="auto">
        <a:xfrm>
          <a:off x="9286875" y="20612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96" name="AutoShape 1">
          <a:extLst>
            <a:ext uri="{FF2B5EF4-FFF2-40B4-BE49-F238E27FC236}">
              <a16:creationId xmlns:a16="http://schemas.microsoft.com/office/drawing/2014/main" id="{974AA0E1-FBCF-4BEF-8D9D-C67963ECADCA}"/>
            </a:ext>
          </a:extLst>
        </xdr:cNvPr>
        <xdr:cNvSpPr>
          <a:spLocks noChangeAspect="1" noChangeArrowheads="1"/>
        </xdr:cNvSpPr>
      </xdr:nvSpPr>
      <xdr:spPr bwMode="auto">
        <a:xfrm>
          <a:off x="9286875" y="18630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xdr:row>
      <xdr:rowOff>0</xdr:rowOff>
    </xdr:from>
    <xdr:ext cx="292100" cy="293519"/>
    <xdr:sp macro="" textlink="">
      <xdr:nvSpPr>
        <xdr:cNvPr id="103" name="AutoShape 1">
          <a:extLst>
            <a:ext uri="{FF2B5EF4-FFF2-40B4-BE49-F238E27FC236}">
              <a16:creationId xmlns:a16="http://schemas.microsoft.com/office/drawing/2014/main" id="{C9E35902-60B8-4FA2-B73C-10B74BBED5D3}"/>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107" name="AutoShape 1">
          <a:extLst>
            <a:ext uri="{FF2B5EF4-FFF2-40B4-BE49-F238E27FC236}">
              <a16:creationId xmlns:a16="http://schemas.microsoft.com/office/drawing/2014/main" id="{E2D1D389-2586-4386-A4FE-77D377E8A6BD}"/>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108" name="AutoShape 1">
          <a:extLst>
            <a:ext uri="{FF2B5EF4-FFF2-40B4-BE49-F238E27FC236}">
              <a16:creationId xmlns:a16="http://schemas.microsoft.com/office/drawing/2014/main" id="{930ABB00-CDB4-4C92-9B29-8D63ABE6BE52}"/>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72</xdr:col>
      <xdr:colOff>95250</xdr:colOff>
      <xdr:row>88</xdr:row>
      <xdr:rowOff>6350</xdr:rowOff>
    </xdr:from>
    <xdr:to>
      <xdr:col>79</xdr:col>
      <xdr:colOff>92698</xdr:colOff>
      <xdr:row>88</xdr:row>
      <xdr:rowOff>234316</xdr:rowOff>
    </xdr:to>
    <xdr:sp macro="" textlink="">
      <xdr:nvSpPr>
        <xdr:cNvPr id="109" name="正方形/長方形 108">
          <a:extLst>
            <a:ext uri="{FF2B5EF4-FFF2-40B4-BE49-F238E27FC236}">
              <a16:creationId xmlns:a16="http://schemas.microsoft.com/office/drawing/2014/main" id="{C3DC1DC0-12DE-4457-9B26-228640E2FF81}"/>
            </a:ext>
          </a:extLst>
        </xdr:cNvPr>
        <xdr:cNvSpPr/>
      </xdr:nvSpPr>
      <xdr:spPr bwMode="auto">
        <a:xfrm>
          <a:off x="9239250" y="11988800"/>
          <a:ext cx="886448" cy="22796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50</xdr:row>
      <xdr:rowOff>114300</xdr:rowOff>
    </xdr:from>
    <xdr:ext cx="963613" cy="241300"/>
    <xdr:pic>
      <xdr:nvPicPr>
        <xdr:cNvPr id="110" name="図 109">
          <a:extLst>
            <a:ext uri="{FF2B5EF4-FFF2-40B4-BE49-F238E27FC236}">
              <a16:creationId xmlns:a16="http://schemas.microsoft.com/office/drawing/2014/main" id="{7177EF54-1EE6-46E9-9890-8DC6FEA213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0941050"/>
          <a:ext cx="963613" cy="241300"/>
        </a:xfrm>
        <a:prstGeom prst="rect">
          <a:avLst/>
        </a:prstGeom>
      </xdr:spPr>
    </xdr:pic>
    <xdr:clientData/>
  </xdr:oneCellAnchor>
  <xdr:twoCellAnchor>
    <xdr:from>
      <xdr:col>5</xdr:col>
      <xdr:colOff>98108</xdr:colOff>
      <xdr:row>60</xdr:row>
      <xdr:rowOff>24848</xdr:rowOff>
    </xdr:from>
    <xdr:to>
      <xdr:col>11</xdr:col>
      <xdr:colOff>90008</xdr:colOff>
      <xdr:row>60</xdr:row>
      <xdr:rowOff>215348</xdr:rowOff>
    </xdr:to>
    <xdr:sp macro="" textlink="">
      <xdr:nvSpPr>
        <xdr:cNvPr id="111" name="正方形/長方形 110">
          <a:extLst>
            <a:ext uri="{FF2B5EF4-FFF2-40B4-BE49-F238E27FC236}">
              <a16:creationId xmlns:a16="http://schemas.microsoft.com/office/drawing/2014/main" id="{07FA9BE8-D803-45A6-8B99-006DFD1E189A}"/>
            </a:ext>
          </a:extLst>
        </xdr:cNvPr>
        <xdr:cNvSpPr/>
      </xdr:nvSpPr>
      <xdr:spPr>
        <a:xfrm>
          <a:off x="733108" y="13328098"/>
          <a:ext cx="7539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59</xdr:row>
      <xdr:rowOff>0</xdr:rowOff>
    </xdr:from>
    <xdr:ext cx="285750" cy="297815"/>
    <xdr:sp macro="" textlink="">
      <xdr:nvSpPr>
        <xdr:cNvPr id="112" name="AutoShape 1">
          <a:extLst>
            <a:ext uri="{FF2B5EF4-FFF2-40B4-BE49-F238E27FC236}">
              <a16:creationId xmlns:a16="http://schemas.microsoft.com/office/drawing/2014/main" id="{70BFC0CC-93F7-49D1-8854-16740C00F612}"/>
            </a:ext>
          </a:extLst>
        </xdr:cNvPr>
        <xdr:cNvSpPr>
          <a:spLocks noChangeAspect="1" noChangeArrowheads="1"/>
        </xdr:cNvSpPr>
      </xdr:nvSpPr>
      <xdr:spPr bwMode="auto">
        <a:xfrm>
          <a:off x="9525000" y="13055600"/>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3" name="AutoShape 1">
          <a:extLst>
            <a:ext uri="{FF2B5EF4-FFF2-40B4-BE49-F238E27FC236}">
              <a16:creationId xmlns:a16="http://schemas.microsoft.com/office/drawing/2014/main" id="{54EEE80D-68DD-482D-8D6B-D0F7B165F9AF}"/>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4" name="AutoShape 1">
          <a:extLst>
            <a:ext uri="{FF2B5EF4-FFF2-40B4-BE49-F238E27FC236}">
              <a16:creationId xmlns:a16="http://schemas.microsoft.com/office/drawing/2014/main" id="{89CBD801-A26E-4CD7-8AA8-0A69EF0C61B2}"/>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5" name="AutoShape 1">
          <a:extLst>
            <a:ext uri="{FF2B5EF4-FFF2-40B4-BE49-F238E27FC236}">
              <a16:creationId xmlns:a16="http://schemas.microsoft.com/office/drawing/2014/main" id="{8C70AFCE-7CEA-4789-8456-30E32A233E34}"/>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6" name="AutoShape 1">
          <a:extLst>
            <a:ext uri="{FF2B5EF4-FFF2-40B4-BE49-F238E27FC236}">
              <a16:creationId xmlns:a16="http://schemas.microsoft.com/office/drawing/2014/main" id="{BE8CD16F-C48C-4D93-B721-1C363E49680F}"/>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15</xdr:row>
      <xdr:rowOff>0</xdr:rowOff>
    </xdr:from>
    <xdr:ext cx="292100" cy="293519"/>
    <xdr:sp macro="" textlink="">
      <xdr:nvSpPr>
        <xdr:cNvPr id="6" name="AutoShape 1">
          <a:extLst>
            <a:ext uri="{FF2B5EF4-FFF2-40B4-BE49-F238E27FC236}">
              <a16:creationId xmlns:a16="http://schemas.microsoft.com/office/drawing/2014/main" id="{8F60066E-7272-40D6-8005-3E4218B99A61}"/>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15</xdr:row>
      <xdr:rowOff>0</xdr:rowOff>
    </xdr:from>
    <xdr:ext cx="292100" cy="293519"/>
    <xdr:sp macro="" textlink="">
      <xdr:nvSpPr>
        <xdr:cNvPr id="10" name="AutoShape 1">
          <a:extLst>
            <a:ext uri="{FF2B5EF4-FFF2-40B4-BE49-F238E27FC236}">
              <a16:creationId xmlns:a16="http://schemas.microsoft.com/office/drawing/2014/main" id="{31AFB041-5E6E-4D16-9897-7FA2AD3F71BF}"/>
            </a:ext>
          </a:extLst>
        </xdr:cNvPr>
        <xdr:cNvSpPr>
          <a:spLocks noChangeAspect="1" noChangeArrowheads="1"/>
        </xdr:cNvSpPr>
      </xdr:nvSpPr>
      <xdr:spPr bwMode="auto">
        <a:xfrm>
          <a:off x="2971800" y="343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75</xdr:col>
      <xdr:colOff>82550</xdr:colOff>
      <xdr:row>60</xdr:row>
      <xdr:rowOff>0</xdr:rowOff>
    </xdr:from>
    <xdr:to>
      <xdr:col>80</xdr:col>
      <xdr:colOff>99800</xdr:colOff>
      <xdr:row>60</xdr:row>
      <xdr:rowOff>190914</xdr:rowOff>
    </xdr:to>
    <xdr:sp macro="" textlink="">
      <xdr:nvSpPr>
        <xdr:cNvPr id="9" name="正方形/長方形 8">
          <a:extLst>
            <a:ext uri="{FF2B5EF4-FFF2-40B4-BE49-F238E27FC236}">
              <a16:creationId xmlns:a16="http://schemas.microsoft.com/office/drawing/2014/main" id="{98AFD2DD-183C-472B-BF3F-191FE0FAC44B}"/>
            </a:ext>
          </a:extLst>
        </xdr:cNvPr>
        <xdr:cNvSpPr/>
      </xdr:nvSpPr>
      <xdr:spPr>
        <a:xfrm>
          <a:off x="9607550" y="12230100"/>
          <a:ext cx="652250" cy="19091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申請</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64</xdr:row>
      <xdr:rowOff>114300</xdr:rowOff>
    </xdr:from>
    <xdr:ext cx="963613" cy="241300"/>
    <xdr:pic>
      <xdr:nvPicPr>
        <xdr:cNvPr id="11" name="図 10">
          <a:extLst>
            <a:ext uri="{FF2B5EF4-FFF2-40B4-BE49-F238E27FC236}">
              <a16:creationId xmlns:a16="http://schemas.microsoft.com/office/drawing/2014/main" id="{CA1EC76F-4E66-4EE7-A969-3E487BFD0F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6579850"/>
          <a:ext cx="963613" cy="241300"/>
        </a:xfrm>
        <a:prstGeom prst="rect">
          <a:avLst/>
        </a:prstGeom>
      </xdr:spPr>
    </xdr:pic>
    <xdr:clientData/>
  </xdr:oneCellAnchor>
  <xdr:twoCellAnchor>
    <xdr:from>
      <xdr:col>5</xdr:col>
      <xdr:colOff>98108</xdr:colOff>
      <xdr:row>74</xdr:row>
      <xdr:rowOff>24848</xdr:rowOff>
    </xdr:from>
    <xdr:to>
      <xdr:col>11</xdr:col>
      <xdr:colOff>90008</xdr:colOff>
      <xdr:row>74</xdr:row>
      <xdr:rowOff>215348</xdr:rowOff>
    </xdr:to>
    <xdr:sp macro="" textlink="">
      <xdr:nvSpPr>
        <xdr:cNvPr id="12" name="正方形/長方形 11">
          <a:extLst>
            <a:ext uri="{FF2B5EF4-FFF2-40B4-BE49-F238E27FC236}">
              <a16:creationId xmlns:a16="http://schemas.microsoft.com/office/drawing/2014/main" id="{A28F39B2-EC8D-4977-8C46-56E3F3CC62F6}"/>
            </a:ext>
          </a:extLst>
        </xdr:cNvPr>
        <xdr:cNvSpPr/>
      </xdr:nvSpPr>
      <xdr:spPr>
        <a:xfrm>
          <a:off x="733108" y="18966898"/>
          <a:ext cx="7539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73</xdr:row>
      <xdr:rowOff>0</xdr:rowOff>
    </xdr:from>
    <xdr:ext cx="285750" cy="297815"/>
    <xdr:sp macro="" textlink="">
      <xdr:nvSpPr>
        <xdr:cNvPr id="13" name="AutoShape 1">
          <a:extLst>
            <a:ext uri="{FF2B5EF4-FFF2-40B4-BE49-F238E27FC236}">
              <a16:creationId xmlns:a16="http://schemas.microsoft.com/office/drawing/2014/main" id="{1C94238E-4CBA-46FC-82A3-9C0A68881C4B}"/>
            </a:ext>
          </a:extLst>
        </xdr:cNvPr>
        <xdr:cNvSpPr>
          <a:spLocks noChangeAspect="1" noChangeArrowheads="1"/>
        </xdr:cNvSpPr>
      </xdr:nvSpPr>
      <xdr:spPr bwMode="auto">
        <a:xfrm>
          <a:off x="9525000" y="18694400"/>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14" name="AutoShape 1">
          <a:extLst>
            <a:ext uri="{FF2B5EF4-FFF2-40B4-BE49-F238E27FC236}">
              <a16:creationId xmlns:a16="http://schemas.microsoft.com/office/drawing/2014/main" id="{B11AECA8-EBFF-452D-BE9C-DB252F48B948}"/>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16" name="AutoShape 1">
          <a:extLst>
            <a:ext uri="{FF2B5EF4-FFF2-40B4-BE49-F238E27FC236}">
              <a16:creationId xmlns:a16="http://schemas.microsoft.com/office/drawing/2014/main" id="{54BE1A5A-D9BB-4A0E-BEAB-EC6D8A9FDFD1}"/>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17" name="AutoShape 1">
          <a:extLst>
            <a:ext uri="{FF2B5EF4-FFF2-40B4-BE49-F238E27FC236}">
              <a16:creationId xmlns:a16="http://schemas.microsoft.com/office/drawing/2014/main" id="{6B1873B3-F7A5-412C-AB19-DE1ECB091FAA}"/>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29" name="AutoShape 1">
          <a:extLst>
            <a:ext uri="{FF2B5EF4-FFF2-40B4-BE49-F238E27FC236}">
              <a16:creationId xmlns:a16="http://schemas.microsoft.com/office/drawing/2014/main" id="{13C9A0FF-4185-40A8-A1D9-B4256094E0BB}"/>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37</xdr:row>
      <xdr:rowOff>0</xdr:rowOff>
    </xdr:from>
    <xdr:ext cx="292100" cy="293519"/>
    <xdr:sp macro="" textlink="">
      <xdr:nvSpPr>
        <xdr:cNvPr id="31" name="AutoShape 1">
          <a:extLst>
            <a:ext uri="{FF2B5EF4-FFF2-40B4-BE49-F238E27FC236}">
              <a16:creationId xmlns:a16="http://schemas.microsoft.com/office/drawing/2014/main" id="{22F9C9A8-537B-44BD-B805-A6303A7DD104}"/>
            </a:ext>
          </a:extLst>
        </xdr:cNvPr>
        <xdr:cNvSpPr>
          <a:spLocks noChangeAspect="1" noChangeArrowheads="1"/>
        </xdr:cNvSpPr>
      </xdr:nvSpPr>
      <xdr:spPr bwMode="auto">
        <a:xfrm>
          <a:off x="10001250" y="84010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32" name="AutoShape 1">
          <a:extLst>
            <a:ext uri="{FF2B5EF4-FFF2-40B4-BE49-F238E27FC236}">
              <a16:creationId xmlns:a16="http://schemas.microsoft.com/office/drawing/2014/main" id="{FFE524B3-CCC2-402C-A054-65991F51B4DC}"/>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33" name="AutoShape 1">
          <a:extLst>
            <a:ext uri="{FF2B5EF4-FFF2-40B4-BE49-F238E27FC236}">
              <a16:creationId xmlns:a16="http://schemas.microsoft.com/office/drawing/2014/main" id="{9C413C35-EF88-46E3-9FAC-F3CE1886360D}"/>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34" name="AutoShape 1">
          <a:extLst>
            <a:ext uri="{FF2B5EF4-FFF2-40B4-BE49-F238E27FC236}">
              <a16:creationId xmlns:a16="http://schemas.microsoft.com/office/drawing/2014/main" id="{5D870032-C35E-4D07-8D34-59EB1E2292E0}"/>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35" name="AutoShape 1">
          <a:extLst>
            <a:ext uri="{FF2B5EF4-FFF2-40B4-BE49-F238E27FC236}">
              <a16:creationId xmlns:a16="http://schemas.microsoft.com/office/drawing/2014/main" id="{0E9D646A-FE22-4D56-B933-E56398779DA6}"/>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36" name="AutoShape 1">
          <a:extLst>
            <a:ext uri="{FF2B5EF4-FFF2-40B4-BE49-F238E27FC236}">
              <a16:creationId xmlns:a16="http://schemas.microsoft.com/office/drawing/2014/main" id="{C5DDF5D6-7D2D-485B-B966-A0DE352CBCD6}"/>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39</xdr:row>
      <xdr:rowOff>0</xdr:rowOff>
    </xdr:from>
    <xdr:ext cx="292100" cy="293519"/>
    <xdr:sp macro="" textlink="">
      <xdr:nvSpPr>
        <xdr:cNvPr id="37" name="AutoShape 1">
          <a:extLst>
            <a:ext uri="{FF2B5EF4-FFF2-40B4-BE49-F238E27FC236}">
              <a16:creationId xmlns:a16="http://schemas.microsoft.com/office/drawing/2014/main" id="{1591D1AC-ACC3-4D07-965F-AE93C05EFB64}"/>
            </a:ext>
          </a:extLst>
        </xdr:cNvPr>
        <xdr:cNvSpPr>
          <a:spLocks noChangeAspect="1" noChangeArrowheads="1"/>
        </xdr:cNvSpPr>
      </xdr:nvSpPr>
      <xdr:spPr bwMode="auto">
        <a:xfrm>
          <a:off x="10001250" y="8896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40</xdr:row>
      <xdr:rowOff>0</xdr:rowOff>
    </xdr:from>
    <xdr:ext cx="292100" cy="293519"/>
    <xdr:sp macro="" textlink="">
      <xdr:nvSpPr>
        <xdr:cNvPr id="38" name="AutoShape 1">
          <a:extLst>
            <a:ext uri="{FF2B5EF4-FFF2-40B4-BE49-F238E27FC236}">
              <a16:creationId xmlns:a16="http://schemas.microsoft.com/office/drawing/2014/main" id="{F3FA87DC-184C-4C83-AC36-B3E02C947B3E}"/>
            </a:ext>
          </a:extLst>
        </xdr:cNvPr>
        <xdr:cNvSpPr>
          <a:spLocks noChangeAspect="1" noChangeArrowheads="1"/>
        </xdr:cNvSpPr>
      </xdr:nvSpPr>
      <xdr:spPr bwMode="auto">
        <a:xfrm>
          <a:off x="10001250" y="9144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41</xdr:row>
      <xdr:rowOff>0</xdr:rowOff>
    </xdr:from>
    <xdr:ext cx="292100" cy="293519"/>
    <xdr:sp macro="" textlink="">
      <xdr:nvSpPr>
        <xdr:cNvPr id="39" name="AutoShape 1">
          <a:extLst>
            <a:ext uri="{FF2B5EF4-FFF2-40B4-BE49-F238E27FC236}">
              <a16:creationId xmlns:a16="http://schemas.microsoft.com/office/drawing/2014/main" id="{270BDC0F-E3C5-4E6A-A351-B1C143337B85}"/>
            </a:ext>
          </a:extLst>
        </xdr:cNvPr>
        <xdr:cNvSpPr>
          <a:spLocks noChangeAspect="1" noChangeArrowheads="1"/>
        </xdr:cNvSpPr>
      </xdr:nvSpPr>
      <xdr:spPr bwMode="auto">
        <a:xfrm>
          <a:off x="10001250" y="9391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40" name="AutoShape 1">
          <a:extLst>
            <a:ext uri="{FF2B5EF4-FFF2-40B4-BE49-F238E27FC236}">
              <a16:creationId xmlns:a16="http://schemas.microsoft.com/office/drawing/2014/main" id="{6EAFE1EA-8B30-453D-AA8C-44D1F7ED9557}"/>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41" name="AutoShape 1">
          <a:extLst>
            <a:ext uri="{FF2B5EF4-FFF2-40B4-BE49-F238E27FC236}">
              <a16:creationId xmlns:a16="http://schemas.microsoft.com/office/drawing/2014/main" id="{A575F000-7470-49A4-B0C7-89F47E9DEB67}"/>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42" name="AutoShape 1">
          <a:extLst>
            <a:ext uri="{FF2B5EF4-FFF2-40B4-BE49-F238E27FC236}">
              <a16:creationId xmlns:a16="http://schemas.microsoft.com/office/drawing/2014/main" id="{1E74D664-78BB-41FE-BEF3-DC63B415F80A}"/>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43" name="AutoShape 1">
          <a:extLst>
            <a:ext uri="{FF2B5EF4-FFF2-40B4-BE49-F238E27FC236}">
              <a16:creationId xmlns:a16="http://schemas.microsoft.com/office/drawing/2014/main" id="{1A977F04-8DFA-49B6-AE28-18F3BB92905E}"/>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44" name="AutoShape 1">
          <a:extLst>
            <a:ext uri="{FF2B5EF4-FFF2-40B4-BE49-F238E27FC236}">
              <a16:creationId xmlns:a16="http://schemas.microsoft.com/office/drawing/2014/main" id="{7A3CDAB9-B7FA-4157-8194-6782A03A804D}"/>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45" name="AutoShape 1">
          <a:extLst>
            <a:ext uri="{FF2B5EF4-FFF2-40B4-BE49-F238E27FC236}">
              <a16:creationId xmlns:a16="http://schemas.microsoft.com/office/drawing/2014/main" id="{A3FFE6F5-8DA4-44E1-AED0-47DE14396DCD}"/>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46" name="AutoShape 1">
          <a:extLst>
            <a:ext uri="{FF2B5EF4-FFF2-40B4-BE49-F238E27FC236}">
              <a16:creationId xmlns:a16="http://schemas.microsoft.com/office/drawing/2014/main" id="{85B7DA03-A04D-4B12-B93A-4800EF604925}"/>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48" name="AutoShape 1">
          <a:extLst>
            <a:ext uri="{FF2B5EF4-FFF2-40B4-BE49-F238E27FC236}">
              <a16:creationId xmlns:a16="http://schemas.microsoft.com/office/drawing/2014/main" id="{960D21B9-A616-4AEF-B438-2E4A74121A68}"/>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39</xdr:row>
      <xdr:rowOff>0</xdr:rowOff>
    </xdr:from>
    <xdr:ext cx="292100" cy="293519"/>
    <xdr:sp macro="" textlink="">
      <xdr:nvSpPr>
        <xdr:cNvPr id="49" name="AutoShape 1">
          <a:extLst>
            <a:ext uri="{FF2B5EF4-FFF2-40B4-BE49-F238E27FC236}">
              <a16:creationId xmlns:a16="http://schemas.microsoft.com/office/drawing/2014/main" id="{051F1844-4CEE-4E3B-92CE-8A2B5CD83FD1}"/>
            </a:ext>
          </a:extLst>
        </xdr:cNvPr>
        <xdr:cNvSpPr>
          <a:spLocks noChangeAspect="1" noChangeArrowheads="1"/>
        </xdr:cNvSpPr>
      </xdr:nvSpPr>
      <xdr:spPr bwMode="auto">
        <a:xfrm>
          <a:off x="10001250" y="8896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40</xdr:row>
      <xdr:rowOff>0</xdr:rowOff>
    </xdr:from>
    <xdr:ext cx="292100" cy="293519"/>
    <xdr:sp macro="" textlink="">
      <xdr:nvSpPr>
        <xdr:cNvPr id="50" name="AutoShape 1">
          <a:extLst>
            <a:ext uri="{FF2B5EF4-FFF2-40B4-BE49-F238E27FC236}">
              <a16:creationId xmlns:a16="http://schemas.microsoft.com/office/drawing/2014/main" id="{DAE44AB9-4316-4DEB-90F7-4403587D50A3}"/>
            </a:ext>
          </a:extLst>
        </xdr:cNvPr>
        <xdr:cNvSpPr>
          <a:spLocks noChangeAspect="1" noChangeArrowheads="1"/>
        </xdr:cNvSpPr>
      </xdr:nvSpPr>
      <xdr:spPr bwMode="auto">
        <a:xfrm>
          <a:off x="10001250" y="9144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41</xdr:row>
      <xdr:rowOff>0</xdr:rowOff>
    </xdr:from>
    <xdr:ext cx="292100" cy="293519"/>
    <xdr:sp macro="" textlink="">
      <xdr:nvSpPr>
        <xdr:cNvPr id="51" name="AutoShape 1">
          <a:extLst>
            <a:ext uri="{FF2B5EF4-FFF2-40B4-BE49-F238E27FC236}">
              <a16:creationId xmlns:a16="http://schemas.microsoft.com/office/drawing/2014/main" id="{01E3B42C-C1D2-479D-9E3C-391626539C62}"/>
            </a:ext>
          </a:extLst>
        </xdr:cNvPr>
        <xdr:cNvSpPr>
          <a:spLocks noChangeAspect="1" noChangeArrowheads="1"/>
        </xdr:cNvSpPr>
      </xdr:nvSpPr>
      <xdr:spPr bwMode="auto">
        <a:xfrm>
          <a:off x="10001250" y="9391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52" name="AutoShape 1">
          <a:extLst>
            <a:ext uri="{FF2B5EF4-FFF2-40B4-BE49-F238E27FC236}">
              <a16:creationId xmlns:a16="http://schemas.microsoft.com/office/drawing/2014/main" id="{33E30BEA-6AD1-4CB0-B615-281D3AB0F166}"/>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53" name="AutoShape 1">
          <a:extLst>
            <a:ext uri="{FF2B5EF4-FFF2-40B4-BE49-F238E27FC236}">
              <a16:creationId xmlns:a16="http://schemas.microsoft.com/office/drawing/2014/main" id="{3CEA1F35-E698-4D8B-8B48-63D82D6631F7}"/>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55" name="AutoShape 1">
          <a:extLst>
            <a:ext uri="{FF2B5EF4-FFF2-40B4-BE49-F238E27FC236}">
              <a16:creationId xmlns:a16="http://schemas.microsoft.com/office/drawing/2014/main" id="{DE5721D8-6E62-462C-A5E1-63C8BCFB3575}"/>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57150</xdr:colOff>
      <xdr:row>39</xdr:row>
      <xdr:rowOff>0</xdr:rowOff>
    </xdr:from>
    <xdr:to>
      <xdr:col>79</xdr:col>
      <xdr:colOff>64320</xdr:colOff>
      <xdr:row>39</xdr:row>
      <xdr:rowOff>245801</xdr:rowOff>
    </xdr:to>
    <xdr:sp macro="" textlink="">
      <xdr:nvSpPr>
        <xdr:cNvPr id="56" name="テキスト ボックス 55">
          <a:extLst>
            <a:ext uri="{FF2B5EF4-FFF2-40B4-BE49-F238E27FC236}">
              <a16:creationId xmlns:a16="http://schemas.microsoft.com/office/drawing/2014/main" id="{686D291B-C6AA-4757-819B-3DC9483D6A2F}"/>
            </a:ext>
          </a:extLst>
        </xdr:cNvPr>
        <xdr:cNvSpPr txBox="1"/>
      </xdr:nvSpPr>
      <xdr:spPr>
        <a:xfrm>
          <a:off x="10325100" y="889635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66</xdr:col>
      <xdr:colOff>122209</xdr:colOff>
      <xdr:row>45</xdr:row>
      <xdr:rowOff>237011</xdr:rowOff>
    </xdr:from>
    <xdr:to>
      <xdr:col>75</xdr:col>
      <xdr:colOff>6684</xdr:colOff>
      <xdr:row>46</xdr:row>
      <xdr:rowOff>179915</xdr:rowOff>
    </xdr:to>
    <xdr:sp macro="" textlink="">
      <xdr:nvSpPr>
        <xdr:cNvPr id="30" name="正方形/長方形 29">
          <a:extLst>
            <a:ext uri="{FF2B5EF4-FFF2-40B4-BE49-F238E27FC236}">
              <a16:creationId xmlns:a16="http://schemas.microsoft.com/office/drawing/2014/main" id="{E06F2C48-FD4A-4EA7-8B20-674F7D8D777D}"/>
            </a:ext>
          </a:extLst>
        </xdr:cNvPr>
        <xdr:cNvSpPr/>
      </xdr:nvSpPr>
      <xdr:spPr>
        <a:xfrm>
          <a:off x="8899586" y="10865473"/>
          <a:ext cx="1081390" cy="19091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11206</xdr:colOff>
      <xdr:row>60</xdr:row>
      <xdr:rowOff>11206</xdr:rowOff>
    </xdr:from>
    <xdr:to>
      <xdr:col>75</xdr:col>
      <xdr:colOff>33961</xdr:colOff>
      <xdr:row>60</xdr:row>
      <xdr:rowOff>194924</xdr:rowOff>
    </xdr:to>
    <xdr:sp macro="" textlink="">
      <xdr:nvSpPr>
        <xdr:cNvPr id="57" name="正方形/長方形 56">
          <a:extLst>
            <a:ext uri="{FF2B5EF4-FFF2-40B4-BE49-F238E27FC236}">
              <a16:creationId xmlns:a16="http://schemas.microsoft.com/office/drawing/2014/main" id="{04CC9B9D-09A6-44BD-9D68-AA1513DC9B4D}"/>
            </a:ext>
          </a:extLst>
        </xdr:cNvPr>
        <xdr:cNvSpPr/>
      </xdr:nvSpPr>
      <xdr:spPr>
        <a:xfrm>
          <a:off x="9020735" y="14164235"/>
          <a:ext cx="1098520" cy="183718"/>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20053</xdr:colOff>
      <xdr:row>88</xdr:row>
      <xdr:rowOff>8823</xdr:rowOff>
    </xdr:from>
    <xdr:to>
      <xdr:col>72</xdr:col>
      <xdr:colOff>27026</xdr:colOff>
      <xdr:row>88</xdr:row>
      <xdr:rowOff>232979</xdr:rowOff>
    </xdr:to>
    <xdr:sp macro="" textlink="">
      <xdr:nvSpPr>
        <xdr:cNvPr id="59" name="正方形/長方形 58">
          <a:extLst>
            <a:ext uri="{FF2B5EF4-FFF2-40B4-BE49-F238E27FC236}">
              <a16:creationId xmlns:a16="http://schemas.microsoft.com/office/drawing/2014/main" id="{83C2ED4C-7C71-49CA-A47D-2C0EB36393AF}"/>
            </a:ext>
          </a:extLst>
        </xdr:cNvPr>
        <xdr:cNvSpPr/>
      </xdr:nvSpPr>
      <xdr:spPr bwMode="auto">
        <a:xfrm>
          <a:off x="8818145" y="21039020"/>
          <a:ext cx="954460" cy="22415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45" customWidth="1"/>
    <col min="63" max="159" width="1.90625" style="45" customWidth="1"/>
    <col min="160" max="16384" width="9" style="45"/>
  </cols>
  <sheetData>
    <row r="1" spans="1:63" s="31" customFormat="1" ht="18" customHeight="1">
      <c r="A1" s="31" t="s">
        <v>0</v>
      </c>
      <c r="BJ1" s="32" t="s">
        <v>1</v>
      </c>
    </row>
    <row r="2" spans="1:63" s="33" customFormat="1" ht="18" customHeight="1">
      <c r="A2" s="344" t="s">
        <v>2</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39" t="s">
        <v>3</v>
      </c>
      <c r="AW2" s="340"/>
      <c r="AX2" s="340"/>
      <c r="AY2" s="341"/>
      <c r="AZ2" s="339" t="s">
        <v>4</v>
      </c>
      <c r="BA2" s="340"/>
      <c r="BB2" s="340"/>
      <c r="BC2" s="341"/>
      <c r="BD2" s="339" t="s">
        <v>5</v>
      </c>
      <c r="BE2" s="340"/>
      <c r="BF2" s="340"/>
      <c r="BG2" s="341"/>
      <c r="BH2" s="340"/>
      <c r="BI2" s="340"/>
      <c r="BJ2" s="341"/>
    </row>
    <row r="3" spans="1:63" s="31" customFormat="1" ht="18" customHeight="1">
      <c r="A3" s="342" t="s">
        <v>6</v>
      </c>
      <c r="B3" s="342"/>
      <c r="C3" s="342"/>
      <c r="D3" s="342"/>
      <c r="E3" s="342"/>
      <c r="F3" s="342"/>
      <c r="G3" s="342"/>
      <c r="H3" s="343" t="s">
        <v>292</v>
      </c>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39" t="s">
        <v>7</v>
      </c>
      <c r="AW3" s="340"/>
      <c r="AX3" s="340"/>
      <c r="AY3" s="341"/>
      <c r="AZ3" s="336" t="s">
        <v>286</v>
      </c>
      <c r="BA3" s="337"/>
      <c r="BB3" s="337"/>
      <c r="BC3" s="337"/>
      <c r="BD3" s="337"/>
      <c r="BE3" s="337"/>
      <c r="BF3" s="337"/>
      <c r="BG3" s="337"/>
      <c r="BH3" s="337"/>
      <c r="BI3" s="337"/>
      <c r="BJ3" s="338"/>
    </row>
    <row r="4" spans="1:63" s="31" customFormat="1" ht="18" customHeight="1">
      <c r="A4" s="342" t="s">
        <v>8</v>
      </c>
      <c r="B4" s="342"/>
      <c r="C4" s="342"/>
      <c r="D4" s="342"/>
      <c r="E4" s="342"/>
      <c r="F4" s="342"/>
      <c r="G4" s="342"/>
      <c r="H4" s="343" t="s">
        <v>9</v>
      </c>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39" t="s">
        <v>10</v>
      </c>
      <c r="AW4" s="340"/>
      <c r="AX4" s="340"/>
      <c r="AY4" s="341"/>
      <c r="AZ4" s="339"/>
      <c r="BA4" s="340"/>
      <c r="BB4" s="340"/>
      <c r="BC4" s="340"/>
      <c r="BD4" s="340"/>
      <c r="BE4" s="340"/>
      <c r="BF4" s="340"/>
      <c r="BG4" s="340"/>
      <c r="BH4" s="340"/>
      <c r="BI4" s="340"/>
      <c r="BJ4" s="341"/>
    </row>
    <row r="5" spans="1:63" s="18"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11</v>
      </c>
      <c r="B6" s="337"/>
      <c r="C6" s="337"/>
      <c r="D6" s="337"/>
      <c r="E6" s="337"/>
      <c r="F6" s="337"/>
      <c r="G6" s="338"/>
      <c r="H6" s="347" t="s">
        <v>301</v>
      </c>
      <c r="I6" s="348"/>
      <c r="J6" s="348"/>
      <c r="K6" s="348"/>
      <c r="L6" s="348"/>
      <c r="M6" s="348"/>
      <c r="N6" s="348"/>
      <c r="O6" s="348"/>
      <c r="P6" s="348"/>
      <c r="Q6" s="348"/>
      <c r="R6" s="348"/>
      <c r="S6" s="348"/>
      <c r="T6" s="348"/>
      <c r="U6" s="348"/>
      <c r="V6" s="348"/>
      <c r="W6" s="348"/>
      <c r="X6" s="348"/>
      <c r="Y6" s="348"/>
      <c r="Z6" s="348"/>
      <c r="AA6" s="348"/>
      <c r="AB6" s="348"/>
      <c r="AC6" s="348"/>
      <c r="AD6" s="348"/>
      <c r="AE6" s="348"/>
      <c r="AF6" s="348"/>
      <c r="AG6" s="348"/>
      <c r="AH6" s="348"/>
      <c r="AI6" s="348"/>
      <c r="AJ6" s="348"/>
      <c r="AK6" s="348"/>
      <c r="AL6" s="348"/>
      <c r="AM6" s="348"/>
      <c r="AN6" s="348"/>
      <c r="AO6" s="348"/>
      <c r="AP6" s="348"/>
      <c r="AQ6" s="348"/>
      <c r="AR6" s="348"/>
      <c r="AS6" s="348"/>
      <c r="AT6" s="348"/>
      <c r="AU6" s="349"/>
      <c r="AV6" s="353" t="s">
        <v>12</v>
      </c>
      <c r="AW6" s="353"/>
      <c r="AX6" s="353"/>
      <c r="AY6" s="353"/>
      <c r="AZ6" s="353"/>
      <c r="BA6" s="353"/>
      <c r="BB6" s="353"/>
      <c r="BC6" s="353"/>
      <c r="BD6" s="353"/>
      <c r="BE6" s="353"/>
      <c r="BF6" s="353"/>
      <c r="BG6" s="353"/>
      <c r="BH6" s="353"/>
      <c r="BI6" s="353"/>
      <c r="BJ6" s="353"/>
      <c r="BK6" s="22"/>
    </row>
    <row r="7" spans="1:63" s="34" customFormat="1" ht="9" customHeight="1"/>
    <row r="8" spans="1:63" s="25" customFormat="1" ht="15.75" customHeight="1">
      <c r="A8" s="350" t="s">
        <v>13</v>
      </c>
      <c r="B8" s="351"/>
      <c r="C8" s="351"/>
      <c r="D8" s="351"/>
      <c r="E8" s="351"/>
      <c r="F8" s="351"/>
      <c r="G8" s="352"/>
      <c r="H8" s="35"/>
      <c r="I8" s="36" t="s">
        <v>14</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25" customFormat="1" ht="20.25" customHeight="1">
      <c r="A9" s="38"/>
      <c r="C9" s="31"/>
      <c r="D9" s="31"/>
      <c r="E9" s="31"/>
      <c r="F9" s="31"/>
      <c r="G9" s="31"/>
      <c r="H9" s="39"/>
      <c r="O9" s="40"/>
      <c r="P9" s="40"/>
      <c r="Q9" s="40"/>
      <c r="R9" s="40"/>
      <c r="S9" s="40"/>
      <c r="T9" s="40"/>
      <c r="U9" s="40"/>
      <c r="V9" s="40"/>
      <c r="W9" s="40"/>
      <c r="X9" s="40"/>
      <c r="AC9" s="40"/>
      <c r="AD9" s="40"/>
      <c r="AE9" s="40"/>
      <c r="AF9" s="40"/>
      <c r="AG9" s="40"/>
      <c r="AH9" s="40"/>
      <c r="AI9" s="40"/>
      <c r="AJ9" s="40"/>
      <c r="AK9" s="40"/>
      <c r="AL9" s="40"/>
      <c r="AM9" s="40"/>
      <c r="AN9" s="40"/>
      <c r="AO9" s="40"/>
      <c r="AP9" s="40"/>
      <c r="AQ9" s="40"/>
      <c r="AR9" s="40"/>
      <c r="AS9" s="40"/>
      <c r="AT9" s="40"/>
      <c r="AU9" s="40"/>
      <c r="AV9" s="40"/>
      <c r="AW9" s="40"/>
      <c r="AX9" s="40"/>
      <c r="BJ9" s="41"/>
    </row>
    <row r="10" spans="1:63" s="25" customFormat="1" ht="20.25" customHeight="1">
      <c r="A10" s="38"/>
      <c r="B10" s="61" t="s">
        <v>465</v>
      </c>
      <c r="C10" s="31"/>
      <c r="D10" s="31"/>
      <c r="E10" s="31"/>
      <c r="F10" s="31"/>
      <c r="G10" s="31"/>
      <c r="H10" s="39"/>
      <c r="I10" s="25" t="s">
        <v>466</v>
      </c>
      <c r="O10" s="40"/>
      <c r="P10" s="40"/>
      <c r="Q10" s="40"/>
      <c r="R10" s="40"/>
      <c r="S10" s="40"/>
      <c r="T10" s="40"/>
      <c r="U10" s="40"/>
      <c r="V10" s="40"/>
      <c r="W10" s="40"/>
      <c r="X10" s="40"/>
      <c r="AC10" s="40"/>
      <c r="AD10" s="40"/>
      <c r="AE10" s="40"/>
      <c r="AF10" s="40"/>
      <c r="AG10" s="40"/>
      <c r="AH10" s="40"/>
      <c r="AI10" s="40"/>
      <c r="AJ10" s="40"/>
      <c r="AK10" s="40"/>
      <c r="AL10" s="40"/>
      <c r="AM10" s="40"/>
      <c r="AN10" s="40"/>
      <c r="AO10" s="40"/>
      <c r="AP10" s="40"/>
      <c r="AQ10" s="40"/>
      <c r="AR10" s="40"/>
      <c r="AS10" s="40"/>
      <c r="AT10" s="40"/>
      <c r="AU10" s="40"/>
      <c r="AV10" s="40"/>
      <c r="AW10" s="40"/>
      <c r="AX10" s="40"/>
      <c r="BJ10" s="41"/>
    </row>
    <row r="11" spans="1:63" s="25" customFormat="1" ht="20.25" customHeight="1">
      <c r="A11" s="38"/>
      <c r="H11" s="38"/>
      <c r="BJ11" s="41"/>
    </row>
    <row r="12" spans="1:63" s="25" customFormat="1" ht="20.25" customHeight="1">
      <c r="A12" s="38"/>
      <c r="H12" s="38"/>
      <c r="AC12" s="40"/>
      <c r="AD12" s="40"/>
      <c r="AE12" s="40"/>
      <c r="AF12" s="40"/>
      <c r="AG12" s="40"/>
      <c r="AH12" s="40"/>
      <c r="AI12" s="40"/>
      <c r="AJ12" s="40"/>
      <c r="AK12" s="40"/>
      <c r="AL12" s="40"/>
      <c r="AM12" s="40"/>
      <c r="AN12" s="40"/>
      <c r="AO12" s="40"/>
      <c r="AP12" s="40"/>
      <c r="AQ12" s="40"/>
      <c r="AR12" s="40"/>
      <c r="AS12" s="40"/>
      <c r="AT12" s="40"/>
      <c r="AU12" s="40"/>
      <c r="AV12" s="40"/>
      <c r="AW12" s="40"/>
      <c r="AX12" s="40"/>
      <c r="BJ12" s="41"/>
    </row>
    <row r="13" spans="1:63" s="25" customFormat="1" ht="20.25" customHeight="1">
      <c r="A13" s="38"/>
      <c r="H13" s="38"/>
      <c r="AC13" s="40"/>
      <c r="AD13" s="40"/>
      <c r="AE13" s="40"/>
      <c r="AF13" s="40"/>
      <c r="AG13" s="40"/>
      <c r="AH13" s="40"/>
      <c r="AI13" s="40"/>
      <c r="AJ13" s="40"/>
      <c r="AK13" s="40"/>
      <c r="AL13" s="40"/>
      <c r="AM13" s="40"/>
      <c r="AN13" s="40"/>
      <c r="AO13" s="40"/>
      <c r="AP13" s="40"/>
      <c r="AQ13" s="40"/>
      <c r="AR13" s="40"/>
      <c r="AS13" s="40"/>
      <c r="AT13" s="40"/>
      <c r="AU13" s="40"/>
      <c r="AV13" s="40"/>
      <c r="AW13" s="40"/>
      <c r="AX13" s="40"/>
      <c r="BJ13" s="41"/>
    </row>
    <row r="14" spans="1:63" s="25" customFormat="1" ht="20.25" customHeight="1">
      <c r="A14" s="38"/>
      <c r="H14" s="38"/>
      <c r="BJ14" s="41"/>
    </row>
    <row r="15" spans="1:63" s="25" customFormat="1" ht="20.25" customHeight="1">
      <c r="A15" s="38"/>
      <c r="H15" s="38"/>
      <c r="AC15" s="40"/>
      <c r="AD15" s="40"/>
      <c r="AE15" s="40"/>
      <c r="AF15" s="40"/>
      <c r="AG15" s="40"/>
      <c r="AH15" s="40"/>
      <c r="AI15" s="40"/>
      <c r="AJ15" s="40"/>
      <c r="AK15" s="40"/>
      <c r="AL15" s="40"/>
      <c r="AM15" s="40"/>
      <c r="AN15" s="40"/>
      <c r="AO15" s="40"/>
      <c r="AP15" s="40"/>
      <c r="AQ15" s="40"/>
      <c r="AR15" s="40"/>
      <c r="AS15" s="40"/>
      <c r="AT15" s="40"/>
      <c r="AU15" s="40"/>
      <c r="AV15" s="40"/>
      <c r="AW15" s="40"/>
      <c r="AX15" s="40"/>
      <c r="BJ15" s="41"/>
    </row>
    <row r="16" spans="1:63" s="25" customFormat="1" ht="20.25" customHeight="1">
      <c r="A16" s="38"/>
      <c r="H16" s="38"/>
      <c r="AC16" s="40"/>
      <c r="AD16" s="40"/>
      <c r="AE16" s="40"/>
      <c r="AF16" s="40"/>
      <c r="AG16" s="40"/>
      <c r="AH16" s="40"/>
      <c r="AI16" s="40"/>
      <c r="AJ16" s="40"/>
      <c r="AK16" s="40"/>
      <c r="AL16" s="40"/>
      <c r="AM16" s="40"/>
      <c r="AN16" s="40"/>
      <c r="AO16" s="40"/>
      <c r="AP16" s="40"/>
      <c r="AQ16" s="40"/>
      <c r="AR16" s="40"/>
      <c r="AS16" s="40"/>
      <c r="AT16" s="40"/>
      <c r="AU16" s="40"/>
      <c r="AV16" s="40"/>
      <c r="AW16" s="40"/>
      <c r="AX16" s="40"/>
      <c r="BJ16" s="41"/>
    </row>
    <row r="17" spans="1:62" s="25" customFormat="1" ht="20.25" customHeight="1">
      <c r="A17" s="38"/>
      <c r="H17" s="38"/>
      <c r="BJ17" s="41"/>
    </row>
    <row r="18" spans="1:62" s="25" customFormat="1" ht="20.25" customHeight="1">
      <c r="A18" s="38"/>
      <c r="H18" s="38"/>
      <c r="AC18" s="40"/>
      <c r="AD18" s="40"/>
      <c r="AE18" s="40"/>
      <c r="AF18" s="40"/>
      <c r="AG18" s="40"/>
      <c r="AH18" s="40"/>
      <c r="AI18" s="40"/>
      <c r="AJ18" s="40"/>
      <c r="AK18" s="40"/>
      <c r="AL18" s="40"/>
      <c r="AM18" s="40"/>
      <c r="AN18" s="40"/>
      <c r="AO18" s="40"/>
      <c r="AP18" s="40"/>
      <c r="AQ18" s="40"/>
      <c r="AR18" s="40"/>
      <c r="AS18" s="40"/>
      <c r="AT18" s="40"/>
      <c r="AU18" s="40"/>
      <c r="AV18" s="40"/>
      <c r="AW18" s="40"/>
      <c r="AX18" s="40"/>
      <c r="BJ18" s="41"/>
    </row>
    <row r="19" spans="1:62" s="25" customFormat="1" ht="20.25" customHeight="1">
      <c r="A19" s="38"/>
      <c r="H19" s="38"/>
      <c r="AC19" s="40"/>
      <c r="AD19" s="40"/>
      <c r="AE19" s="40"/>
      <c r="AF19" s="40"/>
      <c r="AG19" s="40"/>
      <c r="AH19" s="40"/>
      <c r="AI19" s="40"/>
      <c r="AJ19" s="40"/>
      <c r="AK19" s="40"/>
      <c r="AL19" s="40"/>
      <c r="AM19" s="40"/>
      <c r="AN19" s="40"/>
      <c r="AO19" s="40"/>
      <c r="AP19" s="40"/>
      <c r="AQ19" s="40"/>
      <c r="AR19" s="40"/>
      <c r="AS19" s="40"/>
      <c r="AT19" s="40"/>
      <c r="AU19" s="40"/>
      <c r="AV19" s="40"/>
      <c r="AW19" s="40"/>
      <c r="AX19" s="40"/>
      <c r="BJ19" s="41"/>
    </row>
    <row r="20" spans="1:62" s="25" customFormat="1" ht="20.25" customHeight="1">
      <c r="A20" s="38"/>
      <c r="H20" s="38"/>
      <c r="BJ20" s="41"/>
    </row>
    <row r="21" spans="1:62" s="25" customFormat="1" ht="20.25" customHeight="1">
      <c r="A21" s="38"/>
      <c r="H21" s="38"/>
      <c r="AC21" s="40"/>
      <c r="AD21" s="40"/>
      <c r="AE21" s="40"/>
      <c r="AF21" s="40"/>
      <c r="AG21" s="40"/>
      <c r="AH21" s="40"/>
      <c r="AI21" s="40"/>
      <c r="AJ21" s="40"/>
      <c r="AK21" s="40"/>
      <c r="AL21" s="40"/>
      <c r="AM21" s="40"/>
      <c r="AN21" s="40"/>
      <c r="AO21" s="40"/>
      <c r="AP21" s="40"/>
      <c r="AQ21" s="40"/>
      <c r="AR21" s="40"/>
      <c r="AS21" s="40"/>
      <c r="AT21" s="40"/>
      <c r="AU21" s="40"/>
      <c r="AV21" s="40"/>
      <c r="AW21" s="40"/>
      <c r="AX21" s="40"/>
      <c r="BJ21" s="41"/>
    </row>
    <row r="22" spans="1:62" s="25" customFormat="1" ht="20.25" customHeight="1">
      <c r="A22" s="38"/>
      <c r="H22" s="38"/>
      <c r="AC22" s="40"/>
      <c r="AD22" s="40"/>
      <c r="AE22" s="40"/>
      <c r="AF22" s="40"/>
      <c r="AG22" s="40"/>
      <c r="AH22" s="40"/>
      <c r="AI22" s="40"/>
      <c r="AJ22" s="40"/>
      <c r="AK22" s="40"/>
      <c r="AL22" s="40"/>
      <c r="AM22" s="40"/>
      <c r="AN22" s="40"/>
      <c r="AO22" s="40"/>
      <c r="AP22" s="40"/>
      <c r="AQ22" s="40"/>
      <c r="AR22" s="40"/>
      <c r="AS22" s="40"/>
      <c r="AT22" s="40"/>
      <c r="AU22" s="40"/>
      <c r="AV22" s="40"/>
      <c r="AW22" s="40"/>
      <c r="AX22" s="40"/>
      <c r="BJ22" s="41"/>
    </row>
    <row r="23" spans="1:62" s="25" customFormat="1" ht="20.25" customHeight="1">
      <c r="A23" s="38"/>
      <c r="H23" s="38"/>
      <c r="BJ23" s="41"/>
    </row>
    <row r="24" spans="1:62" s="25" customFormat="1" ht="20.25" customHeight="1">
      <c r="A24" s="38"/>
      <c r="H24" s="38"/>
      <c r="AC24" s="40"/>
      <c r="AD24" s="40"/>
      <c r="AE24" s="40"/>
      <c r="AF24" s="40"/>
      <c r="AG24" s="40"/>
      <c r="AH24" s="40"/>
      <c r="AI24" s="40"/>
      <c r="AJ24" s="40"/>
      <c r="AK24" s="40"/>
      <c r="AL24" s="40"/>
      <c r="AM24" s="40"/>
      <c r="AN24" s="40"/>
      <c r="AO24" s="40"/>
      <c r="AP24" s="40"/>
      <c r="AQ24" s="40"/>
      <c r="AR24" s="40"/>
      <c r="AS24" s="40"/>
      <c r="AT24" s="40"/>
      <c r="AU24" s="40"/>
      <c r="AV24" s="40"/>
      <c r="AW24" s="40"/>
      <c r="AX24" s="40"/>
      <c r="BJ24" s="41"/>
    </row>
    <row r="25" spans="1:62" s="25" customFormat="1" ht="20.25" customHeight="1">
      <c r="A25" s="38"/>
      <c r="H25" s="38"/>
      <c r="AC25" s="40"/>
      <c r="AD25" s="40"/>
      <c r="AE25" s="40"/>
      <c r="AF25" s="40"/>
      <c r="AG25" s="40"/>
      <c r="AH25" s="40"/>
      <c r="AI25" s="40"/>
      <c r="AJ25" s="40"/>
      <c r="AK25" s="40"/>
      <c r="AL25" s="40"/>
      <c r="AM25" s="40"/>
      <c r="AN25" s="40"/>
      <c r="AO25" s="40"/>
      <c r="AP25" s="40"/>
      <c r="AQ25" s="40"/>
      <c r="AR25" s="40"/>
      <c r="AS25" s="40"/>
      <c r="AT25" s="40"/>
      <c r="AU25" s="40"/>
      <c r="AV25" s="40"/>
      <c r="AW25" s="40"/>
      <c r="AX25" s="40"/>
      <c r="BJ25" s="41"/>
    </row>
    <row r="26" spans="1:62" s="25" customFormat="1" ht="20.25" customHeight="1">
      <c r="A26" s="38"/>
      <c r="H26" s="38"/>
      <c r="BJ26" s="41"/>
    </row>
    <row r="27" spans="1:62" s="25" customFormat="1" ht="20.25" customHeight="1">
      <c r="A27" s="38"/>
      <c r="H27" s="38"/>
      <c r="O27" s="40"/>
      <c r="P27" s="40"/>
      <c r="Q27" s="40"/>
      <c r="R27" s="40"/>
      <c r="S27" s="40"/>
      <c r="T27" s="40"/>
      <c r="U27" s="40"/>
      <c r="V27" s="40"/>
      <c r="W27" s="40"/>
      <c r="X27" s="40"/>
      <c r="AC27" s="40"/>
      <c r="AD27" s="40"/>
      <c r="AE27" s="40"/>
      <c r="AF27" s="40"/>
      <c r="AG27" s="40"/>
      <c r="AH27" s="40"/>
      <c r="AI27" s="40"/>
      <c r="AJ27" s="40"/>
      <c r="AK27" s="40"/>
      <c r="AL27" s="40"/>
      <c r="AM27" s="40"/>
      <c r="AN27" s="40"/>
      <c r="AO27" s="40"/>
      <c r="AP27" s="40"/>
      <c r="AQ27" s="40"/>
      <c r="AR27" s="40"/>
      <c r="AS27" s="40"/>
      <c r="AT27" s="40"/>
      <c r="AU27" s="40"/>
      <c r="AV27" s="40"/>
      <c r="AW27" s="40"/>
      <c r="AX27" s="40"/>
      <c r="BJ27" s="41"/>
    </row>
    <row r="28" spans="1:62" s="25" customFormat="1" ht="20.25" customHeight="1">
      <c r="A28" s="38"/>
      <c r="H28" s="38"/>
      <c r="O28" s="40"/>
      <c r="P28" s="40"/>
      <c r="Q28" s="40"/>
      <c r="R28" s="40"/>
      <c r="S28" s="40"/>
      <c r="T28" s="40"/>
      <c r="U28" s="40"/>
      <c r="V28" s="40"/>
      <c r="W28" s="40"/>
      <c r="X28" s="40"/>
      <c r="AC28" s="40"/>
      <c r="AD28" s="40"/>
      <c r="AE28" s="40"/>
      <c r="AF28" s="40"/>
      <c r="AG28" s="40"/>
      <c r="AH28" s="40"/>
      <c r="AI28" s="40"/>
      <c r="AJ28" s="40"/>
      <c r="AK28" s="40"/>
      <c r="AL28" s="40"/>
      <c r="AM28" s="40"/>
      <c r="AN28" s="40"/>
      <c r="AO28" s="40"/>
      <c r="AP28" s="40"/>
      <c r="AQ28" s="40"/>
      <c r="AR28" s="40"/>
      <c r="AS28" s="40"/>
      <c r="AT28" s="40"/>
      <c r="AU28" s="40"/>
      <c r="AV28" s="40"/>
      <c r="AW28" s="40"/>
      <c r="AX28" s="40"/>
      <c r="BJ28" s="41"/>
    </row>
    <row r="29" spans="1:62" s="25" customFormat="1" ht="20.25" customHeight="1">
      <c r="A29" s="38"/>
      <c r="H29" s="38"/>
      <c r="BJ29" s="41"/>
    </row>
    <row r="30" spans="1:62" s="25" customFormat="1" ht="20.25" customHeight="1">
      <c r="A30" s="38"/>
      <c r="H30" s="38"/>
      <c r="AC30" s="40"/>
      <c r="AD30" s="40"/>
      <c r="AE30" s="40"/>
      <c r="AF30" s="40"/>
      <c r="AG30" s="40"/>
      <c r="AH30" s="40"/>
      <c r="AI30" s="40"/>
      <c r="AJ30" s="40"/>
      <c r="AK30" s="40"/>
      <c r="AL30" s="40"/>
      <c r="AM30" s="40"/>
      <c r="AN30" s="40"/>
      <c r="AO30" s="40"/>
      <c r="AP30" s="40"/>
      <c r="AQ30" s="40"/>
      <c r="AR30" s="40"/>
      <c r="AS30" s="40"/>
      <c r="AT30" s="40"/>
      <c r="AU30" s="40"/>
      <c r="AV30" s="40"/>
      <c r="AW30" s="40"/>
      <c r="AX30" s="40"/>
      <c r="BJ30" s="41"/>
    </row>
    <row r="31" spans="1:62" s="25" customFormat="1" ht="20.25" customHeight="1">
      <c r="A31" s="38"/>
      <c r="H31" s="38"/>
      <c r="AC31" s="40"/>
      <c r="AD31" s="40"/>
      <c r="AE31" s="40"/>
      <c r="AF31" s="40"/>
      <c r="AG31" s="40"/>
      <c r="AH31" s="40"/>
      <c r="AI31" s="40"/>
      <c r="AJ31" s="40"/>
      <c r="AK31" s="40"/>
      <c r="AL31" s="40"/>
      <c r="AM31" s="40"/>
      <c r="AN31" s="40"/>
      <c r="AO31" s="40"/>
      <c r="AP31" s="40"/>
      <c r="AQ31" s="40"/>
      <c r="AR31" s="40"/>
      <c r="AS31" s="40"/>
      <c r="AT31" s="40"/>
      <c r="AU31" s="40"/>
      <c r="AV31" s="40"/>
      <c r="AW31" s="40"/>
      <c r="AX31" s="40"/>
      <c r="BJ31" s="41"/>
    </row>
    <row r="32" spans="1:62" s="25" customFormat="1" ht="20.25" customHeight="1">
      <c r="A32" s="38"/>
      <c r="H32" s="38"/>
      <c r="BJ32" s="41"/>
    </row>
    <row r="33" spans="1:62" s="25" customFormat="1" ht="20.25" customHeight="1">
      <c r="A33" s="38"/>
      <c r="H33" s="38"/>
      <c r="BJ33" s="41"/>
    </row>
    <row r="34" spans="1:62" s="25" customFormat="1" ht="20.25" customHeight="1">
      <c r="A34" s="38"/>
      <c r="H34" s="38"/>
      <c r="BJ34" s="41"/>
    </row>
    <row r="35" spans="1:62" s="25" customFormat="1" ht="20.25" customHeight="1">
      <c r="A35" s="38"/>
      <c r="H35" s="38"/>
      <c r="BJ35" s="41"/>
    </row>
    <row r="36" spans="1:62" s="25" customFormat="1" ht="20.25" customHeight="1">
      <c r="A36" s="38"/>
      <c r="H36" s="38"/>
      <c r="BJ36" s="41"/>
    </row>
    <row r="37" spans="1:62" s="25" customFormat="1" ht="20.25" customHeight="1">
      <c r="A37" s="38"/>
      <c r="H37" s="38"/>
      <c r="BJ37" s="41"/>
    </row>
    <row r="38" spans="1:62" s="25" customFormat="1" ht="20.25" customHeight="1">
      <c r="A38" s="38"/>
      <c r="H38" s="38"/>
      <c r="BJ38" s="41"/>
    </row>
    <row r="39" spans="1:62" s="25" customFormat="1" ht="20.25" customHeight="1">
      <c r="A39" s="38"/>
      <c r="H39" s="38"/>
      <c r="BJ39" s="41"/>
    </row>
    <row r="40" spans="1:62" s="25" customFormat="1" ht="20.25" customHeight="1">
      <c r="A40" s="38"/>
      <c r="H40" s="38"/>
      <c r="BJ40" s="41"/>
    </row>
    <row r="41" spans="1:62" s="25" customFormat="1" ht="20.25" customHeight="1">
      <c r="A41" s="38"/>
      <c r="H41" s="38"/>
      <c r="BJ41" s="41"/>
    </row>
    <row r="42" spans="1:62" s="25" customFormat="1" ht="20.25" customHeight="1">
      <c r="A42" s="38"/>
      <c r="H42" s="38"/>
      <c r="BJ42" s="41"/>
    </row>
    <row r="43" spans="1:62" s="25" customFormat="1" ht="20.25" customHeight="1">
      <c r="A43" s="38"/>
      <c r="H43" s="38"/>
      <c r="BJ43" s="41"/>
    </row>
    <row r="44" spans="1:62" s="25" customFormat="1" ht="20.25" customHeight="1">
      <c r="A44" s="38"/>
      <c r="H44" s="38"/>
      <c r="BJ44" s="41"/>
    </row>
    <row r="45" spans="1:62" s="25" customFormat="1" ht="20.25" customHeight="1">
      <c r="A45" s="38"/>
      <c r="H45" s="38"/>
      <c r="BJ45" s="41"/>
    </row>
    <row r="46" spans="1:62" s="25" customFormat="1" ht="20.25" customHeight="1">
      <c r="A46" s="38"/>
      <c r="H46" s="38"/>
      <c r="BJ46" s="41"/>
    </row>
    <row r="47" spans="1:62" s="25" customFormat="1" ht="20.25" customHeight="1">
      <c r="A47" s="38"/>
      <c r="H47" s="38"/>
      <c r="BJ47" s="41"/>
    </row>
    <row r="48" spans="1:62" s="25" customFormat="1" ht="20.25" customHeight="1">
      <c r="A48" s="38"/>
      <c r="H48" s="38"/>
      <c r="BJ48" s="41"/>
    </row>
    <row r="49" spans="1:62" s="25" customFormat="1" ht="20.25" customHeight="1">
      <c r="A49" s="38"/>
      <c r="H49" s="38"/>
      <c r="BJ49" s="41"/>
    </row>
    <row r="50" spans="1:62" s="25" customFormat="1" ht="20.25" customHeight="1">
      <c r="A50" s="38"/>
      <c r="H50" s="38"/>
      <c r="BJ50" s="41"/>
    </row>
    <row r="51" spans="1:62" s="25" customFormat="1" ht="20.25" customHeight="1">
      <c r="A51" s="38"/>
      <c r="H51" s="38"/>
      <c r="BJ51" s="41"/>
    </row>
    <row r="52" spans="1:62" s="25" customFormat="1" ht="20.25" customHeight="1">
      <c r="A52" s="38"/>
      <c r="H52" s="38"/>
      <c r="BJ52" s="41"/>
    </row>
    <row r="53" spans="1:62" s="25" customFormat="1" ht="20.25" customHeight="1">
      <c r="A53" s="38"/>
      <c r="H53" s="38"/>
      <c r="BJ53" s="41"/>
    </row>
    <row r="54" spans="1:62" s="25" customFormat="1" ht="20.25" customHeight="1">
      <c r="A54" s="38"/>
      <c r="H54" s="38"/>
      <c r="BJ54" s="41"/>
    </row>
    <row r="55" spans="1:62" s="25" customFormat="1" ht="20.25" customHeight="1">
      <c r="A55" s="38"/>
      <c r="H55" s="38"/>
      <c r="BJ55" s="41"/>
    </row>
    <row r="56" spans="1:62" s="25" customFormat="1" ht="20.25" customHeight="1">
      <c r="A56" s="38"/>
      <c r="H56" s="38"/>
      <c r="BJ56" s="41"/>
    </row>
    <row r="57" spans="1:62" s="25" customFormat="1" ht="20.25" customHeight="1">
      <c r="A57" s="38"/>
      <c r="H57" s="38"/>
      <c r="BJ57" s="41"/>
    </row>
    <row r="58" spans="1:62" s="25" customFormat="1" ht="20.25" customHeight="1">
      <c r="A58" s="38"/>
      <c r="H58" s="38"/>
      <c r="BJ58" s="41"/>
    </row>
    <row r="59" spans="1:62" s="25" customFormat="1" ht="20.25" customHeight="1">
      <c r="A59" s="38"/>
      <c r="H59" s="38"/>
      <c r="BJ59" s="41"/>
    </row>
    <row r="60" spans="1:62" s="25" customFormat="1" ht="20.25" customHeight="1">
      <c r="A60" s="38"/>
      <c r="H60" s="38"/>
      <c r="BJ60" s="41"/>
    </row>
    <row r="61" spans="1:62" s="25" customFormat="1" ht="20.25" customHeight="1">
      <c r="A61" s="38"/>
      <c r="H61" s="38"/>
      <c r="BJ61" s="41"/>
    </row>
    <row r="62" spans="1:62" s="25" customFormat="1" ht="20.25" customHeight="1">
      <c r="A62" s="42"/>
      <c r="B62" s="43"/>
      <c r="C62" s="43"/>
      <c r="D62" s="43"/>
      <c r="E62" s="43"/>
      <c r="F62" s="43"/>
      <c r="G62" s="43"/>
      <c r="H62" s="42"/>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4"/>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6"/>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15</v>
      </c>
      <c r="CQ1" s="23" t="s">
        <v>1</v>
      </c>
    </row>
    <row r="2" spans="1:107" s="4" customFormat="1" ht="18" customHeight="1">
      <c r="A2" s="358" t="s">
        <v>16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59"/>
      <c r="AV2" s="359"/>
      <c r="AW2" s="359"/>
      <c r="AX2" s="359"/>
      <c r="AY2" s="359"/>
      <c r="AZ2" s="359"/>
      <c r="BA2" s="359"/>
      <c r="BB2" s="359"/>
      <c r="BC2" s="359"/>
      <c r="BD2" s="359"/>
      <c r="BE2" s="359"/>
      <c r="BF2" s="359"/>
      <c r="BG2" s="359"/>
      <c r="BH2" s="359"/>
      <c r="BI2" s="359"/>
      <c r="BJ2" s="359"/>
      <c r="BK2" s="359"/>
      <c r="BL2" s="359"/>
      <c r="BM2" s="359"/>
      <c r="BN2" s="359"/>
      <c r="BO2" s="359"/>
      <c r="BP2" s="359"/>
      <c r="BQ2" s="359"/>
      <c r="BR2" s="359"/>
      <c r="BS2" s="359"/>
      <c r="BT2" s="359"/>
      <c r="BU2" s="359"/>
      <c r="BV2" s="359"/>
      <c r="BW2" s="359"/>
      <c r="BX2" s="360"/>
      <c r="BY2" s="336" t="s">
        <v>3</v>
      </c>
      <c r="BZ2" s="337"/>
      <c r="CA2" s="337"/>
      <c r="CB2" s="337"/>
      <c r="CC2" s="337"/>
      <c r="CD2" s="337"/>
      <c r="CE2" s="338"/>
      <c r="CF2" s="336" t="s">
        <v>17</v>
      </c>
      <c r="CG2" s="337"/>
      <c r="CH2" s="337"/>
      <c r="CI2" s="338"/>
      <c r="CJ2" s="336" t="s">
        <v>5</v>
      </c>
      <c r="CK2" s="337"/>
      <c r="CL2" s="337"/>
      <c r="CM2" s="338"/>
      <c r="CN2" s="337"/>
      <c r="CO2" s="337"/>
      <c r="CP2" s="337"/>
      <c r="CQ2" s="338"/>
    </row>
    <row r="3" spans="1:107" s="3" customFormat="1" ht="18" customHeight="1">
      <c r="A3" s="336" t="s">
        <v>6</v>
      </c>
      <c r="B3" s="337"/>
      <c r="C3" s="337"/>
      <c r="D3" s="337"/>
      <c r="E3" s="337"/>
      <c r="F3" s="337"/>
      <c r="G3" s="337"/>
      <c r="H3" s="337"/>
      <c r="I3" s="338"/>
      <c r="J3" s="347" t="s">
        <v>291</v>
      </c>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8"/>
      <c r="AV3" s="348"/>
      <c r="AW3" s="348"/>
      <c r="AX3" s="348"/>
      <c r="AY3" s="348"/>
      <c r="AZ3" s="348"/>
      <c r="BA3" s="348"/>
      <c r="BB3" s="348"/>
      <c r="BC3" s="348"/>
      <c r="BD3" s="348"/>
      <c r="BE3" s="348"/>
      <c r="BF3" s="348"/>
      <c r="BG3" s="348"/>
      <c r="BH3" s="348"/>
      <c r="BI3" s="348"/>
      <c r="BJ3" s="348"/>
      <c r="BK3" s="348"/>
      <c r="BL3" s="348"/>
      <c r="BM3" s="348"/>
      <c r="BN3" s="348"/>
      <c r="BO3" s="348"/>
      <c r="BP3" s="348"/>
      <c r="BQ3" s="348"/>
      <c r="BR3" s="348"/>
      <c r="BS3" s="348"/>
      <c r="BT3" s="348"/>
      <c r="BU3" s="348"/>
      <c r="BV3" s="348"/>
      <c r="BW3" s="348"/>
      <c r="BX3" s="349"/>
      <c r="BY3" s="336" t="s">
        <v>7</v>
      </c>
      <c r="BZ3" s="337"/>
      <c r="CA3" s="337"/>
      <c r="CB3" s="337"/>
      <c r="CC3" s="337"/>
      <c r="CD3" s="337"/>
      <c r="CE3" s="338"/>
      <c r="CF3" s="336" t="s">
        <v>287</v>
      </c>
      <c r="CG3" s="337"/>
      <c r="CH3" s="337"/>
      <c r="CI3" s="337"/>
      <c r="CJ3" s="337"/>
      <c r="CK3" s="337"/>
      <c r="CL3" s="337"/>
      <c r="CM3" s="337"/>
      <c r="CN3" s="337"/>
      <c r="CO3" s="337"/>
      <c r="CP3" s="337"/>
      <c r="CQ3" s="338"/>
    </row>
    <row r="4" spans="1:107" s="3" customFormat="1" ht="18" customHeight="1">
      <c r="A4" s="336" t="s">
        <v>8</v>
      </c>
      <c r="B4" s="337"/>
      <c r="C4" s="337"/>
      <c r="D4" s="337"/>
      <c r="E4" s="337"/>
      <c r="F4" s="337"/>
      <c r="G4" s="337"/>
      <c r="H4" s="337"/>
      <c r="I4" s="338"/>
      <c r="J4" s="347" t="s">
        <v>18</v>
      </c>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8"/>
      <c r="AV4" s="348"/>
      <c r="AW4" s="348"/>
      <c r="AX4" s="348"/>
      <c r="AY4" s="348"/>
      <c r="AZ4" s="348"/>
      <c r="BA4" s="348"/>
      <c r="BB4" s="348"/>
      <c r="BC4" s="348"/>
      <c r="BD4" s="348"/>
      <c r="BE4" s="348"/>
      <c r="BF4" s="348"/>
      <c r="BG4" s="348"/>
      <c r="BH4" s="348"/>
      <c r="BI4" s="348"/>
      <c r="BJ4" s="348"/>
      <c r="BK4" s="348"/>
      <c r="BL4" s="348"/>
      <c r="BM4" s="348"/>
      <c r="BN4" s="348"/>
      <c r="BO4" s="348"/>
      <c r="BP4" s="348"/>
      <c r="BQ4" s="348"/>
      <c r="BR4" s="348"/>
      <c r="BS4" s="348"/>
      <c r="BT4" s="348"/>
      <c r="BU4" s="348"/>
      <c r="BV4" s="348"/>
      <c r="BW4" s="348"/>
      <c r="BX4" s="349"/>
      <c r="BY4" s="336" t="s">
        <v>10</v>
      </c>
      <c r="BZ4" s="337"/>
      <c r="CA4" s="337"/>
      <c r="CB4" s="337"/>
      <c r="CC4" s="337"/>
      <c r="CD4" s="337"/>
      <c r="CE4" s="338"/>
      <c r="CF4" s="336"/>
      <c r="CG4" s="337"/>
      <c r="CH4" s="337"/>
      <c r="CI4" s="337"/>
      <c r="CJ4" s="337"/>
      <c r="CK4" s="337"/>
      <c r="CL4" s="337"/>
      <c r="CM4" s="337"/>
      <c r="CN4" s="337"/>
      <c r="CO4" s="337"/>
      <c r="CP4" s="337"/>
      <c r="CQ4" s="338"/>
    </row>
    <row r="5" spans="1:107" s="5" customFormat="1" ht="4.5" customHeight="1"/>
    <row r="6" spans="1:107" ht="30.75" customHeight="1">
      <c r="A6" s="336" t="s">
        <v>19</v>
      </c>
      <c r="B6" s="337"/>
      <c r="C6" s="337"/>
      <c r="D6" s="337"/>
      <c r="E6" s="337"/>
      <c r="F6" s="337"/>
      <c r="G6" s="337"/>
      <c r="H6" s="337"/>
      <c r="I6" s="338"/>
      <c r="J6" s="357" t="s">
        <v>396</v>
      </c>
      <c r="K6" s="337"/>
      <c r="L6" s="337"/>
      <c r="M6" s="337"/>
      <c r="N6" s="337"/>
      <c r="O6" s="337"/>
      <c r="P6" s="337"/>
      <c r="Q6" s="337"/>
      <c r="R6" s="337"/>
      <c r="S6" s="337"/>
      <c r="T6" s="338"/>
      <c r="U6" s="336" t="s">
        <v>11</v>
      </c>
      <c r="V6" s="337"/>
      <c r="W6" s="337"/>
      <c r="X6" s="337"/>
      <c r="Y6" s="337"/>
      <c r="Z6" s="337"/>
      <c r="AA6" s="337"/>
      <c r="AB6" s="337"/>
      <c r="AC6" s="338"/>
      <c r="AD6" s="347" t="str">
        <f>変更履歴!H6</f>
        <v>滞留立替金利経理計上</v>
      </c>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6"/>
      <c r="BY6" s="354" t="s">
        <v>20</v>
      </c>
      <c r="BZ6" s="354"/>
      <c r="CA6" s="354"/>
      <c r="CB6" s="354"/>
      <c r="CC6" s="354"/>
      <c r="CD6" s="354"/>
      <c r="CE6" s="354"/>
      <c r="CF6" s="353"/>
      <c r="CG6" s="353"/>
      <c r="CH6" s="353"/>
      <c r="CI6" s="353"/>
      <c r="CJ6" s="353"/>
      <c r="CK6" s="353"/>
      <c r="CL6" s="353"/>
      <c r="CM6" s="353"/>
      <c r="CN6" s="353"/>
      <c r="CO6" s="353"/>
      <c r="CP6" s="353"/>
      <c r="CQ6" s="35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6"/>
      <c r="B9" s="27" t="s">
        <v>21</v>
      </c>
      <c r="C9" s="27"/>
      <c r="D9" s="27"/>
      <c r="E9" s="27"/>
      <c r="F9" s="27"/>
      <c r="G9" s="27"/>
      <c r="H9" s="27"/>
      <c r="I9" s="27"/>
      <c r="J9" s="27"/>
      <c r="K9" s="27" t="s">
        <v>22</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48"/>
    </row>
    <row r="10" spans="1:107" ht="6" customHeight="1">
      <c r="A10" s="28"/>
      <c r="CQ10" s="46"/>
    </row>
    <row r="11" spans="1:107" ht="30.75" customHeight="1">
      <c r="A11" s="28"/>
      <c r="D11" s="3" t="s">
        <v>23</v>
      </c>
      <c r="K11" s="3" t="s">
        <v>390</v>
      </c>
      <c r="L11" s="60"/>
      <c r="M11" s="60"/>
      <c r="N11" s="60"/>
      <c r="Q11" s="60"/>
      <c r="R11" s="60"/>
      <c r="S11" s="60"/>
      <c r="AE11" s="60"/>
      <c r="AF11" s="60"/>
      <c r="AG11" s="60"/>
      <c r="AH11" s="60"/>
      <c r="AI11" s="60"/>
      <c r="AJ11" s="60"/>
      <c r="AK11" s="60"/>
      <c r="AL11" s="60"/>
      <c r="AM11" s="60"/>
      <c r="AN11" s="60"/>
      <c r="AO11" s="60"/>
      <c r="AS11" s="60"/>
      <c r="AW11" s="60"/>
      <c r="AX11" s="60"/>
      <c r="AY11" s="60"/>
      <c r="AZ11" s="60"/>
      <c r="BA11" s="60"/>
      <c r="BB11" s="60"/>
      <c r="BC11" s="60"/>
      <c r="BD11" s="60"/>
      <c r="BE11" s="60"/>
      <c r="BF11" s="60"/>
      <c r="BG11" s="60"/>
      <c r="BL11" s="60"/>
      <c r="BQ11" s="60"/>
      <c r="BR11" s="60"/>
      <c r="BS11" s="60"/>
      <c r="BT11" s="60"/>
      <c r="BU11" s="60"/>
      <c r="BV11" s="60"/>
      <c r="BW11" s="60"/>
      <c r="BX11" s="60"/>
      <c r="BY11" s="60"/>
      <c r="BZ11" s="60"/>
      <c r="CA11" s="60"/>
      <c r="CQ11" s="46"/>
    </row>
    <row r="12" spans="1:107" ht="30.75" customHeight="1">
      <c r="A12" s="28"/>
      <c r="L12" s="60"/>
      <c r="M12" s="60"/>
      <c r="N12" s="60"/>
      <c r="O12" s="60"/>
      <c r="P12" s="60"/>
      <c r="Q12" s="60"/>
      <c r="R12" s="60"/>
      <c r="S12" s="60"/>
      <c r="V12" s="60"/>
      <c r="W12" s="60"/>
      <c r="X12" s="60"/>
      <c r="Y12" s="60"/>
      <c r="Z12" s="60"/>
      <c r="AA12" s="60"/>
      <c r="AB12" s="60"/>
      <c r="AE12" s="60"/>
      <c r="AF12" s="60"/>
      <c r="AG12" s="60"/>
      <c r="AH12" s="60"/>
      <c r="AI12" s="60"/>
      <c r="AJ12" s="60"/>
      <c r="AK12" s="60"/>
      <c r="AL12" s="60"/>
      <c r="AM12" s="60"/>
      <c r="AN12" s="60"/>
      <c r="AO12" s="60"/>
      <c r="AS12" s="60"/>
      <c r="AW12" s="60"/>
      <c r="AX12" s="60"/>
      <c r="AY12" s="60"/>
      <c r="AZ12" s="60"/>
      <c r="BA12" s="60"/>
      <c r="BB12" s="60"/>
      <c r="BC12" s="60"/>
      <c r="BD12" s="60"/>
      <c r="BE12" s="60"/>
      <c r="BF12" s="60"/>
      <c r="BG12" s="60"/>
      <c r="BK12" s="60"/>
      <c r="BQ12" s="60"/>
      <c r="BR12" s="60"/>
      <c r="BS12" s="60"/>
      <c r="BT12" s="60"/>
      <c r="BU12" s="60"/>
      <c r="BV12" s="60"/>
      <c r="BW12" s="60"/>
      <c r="BX12" s="60"/>
      <c r="BY12" s="60"/>
      <c r="BZ12" s="60"/>
      <c r="CA12" s="60"/>
      <c r="CQ12" s="46"/>
    </row>
    <row r="13" spans="1:107" ht="30.75" customHeight="1">
      <c r="A13" s="28"/>
      <c r="L13" s="60"/>
      <c r="M13" s="60"/>
      <c r="N13" s="60"/>
      <c r="O13" s="60"/>
      <c r="Q13" s="60"/>
      <c r="R13" s="60"/>
      <c r="S13" s="60"/>
      <c r="V13" s="60"/>
      <c r="W13" s="60"/>
      <c r="X13" s="60"/>
      <c r="Y13" s="60"/>
      <c r="Z13" s="60"/>
      <c r="AA13" s="60"/>
      <c r="AB13" s="60"/>
      <c r="AE13" s="60"/>
      <c r="AF13" s="60"/>
      <c r="AG13" s="60"/>
      <c r="AH13" s="60"/>
      <c r="AI13" s="60"/>
      <c r="AJ13" s="60"/>
      <c r="AK13" s="60"/>
      <c r="AL13" s="60"/>
      <c r="AM13" s="60"/>
      <c r="AN13" s="60"/>
      <c r="AO13" s="60"/>
      <c r="AS13" s="60"/>
      <c r="AW13" s="60"/>
      <c r="AX13" s="60"/>
      <c r="AY13" s="60"/>
      <c r="AZ13" s="60"/>
      <c r="BA13" s="60"/>
      <c r="BB13" s="60"/>
      <c r="BC13" s="60"/>
      <c r="BD13" s="60"/>
      <c r="BE13" s="60"/>
      <c r="BF13" s="60"/>
      <c r="BG13" s="60"/>
      <c r="BK13" s="60"/>
      <c r="BQ13" s="3"/>
      <c r="BR13" s="3"/>
      <c r="BS13" s="3"/>
      <c r="BT13" s="3"/>
      <c r="BU13" s="3"/>
      <c r="BV13" s="3"/>
      <c r="BW13" s="3"/>
      <c r="BX13" s="3"/>
      <c r="BY13" s="3"/>
      <c r="BZ13" s="3"/>
      <c r="CA13" s="3"/>
      <c r="CB13" s="3"/>
      <c r="CC13" s="3"/>
      <c r="CQ13" s="46"/>
      <c r="DB13" s="60"/>
      <c r="DC13" s="60"/>
    </row>
    <row r="14" spans="1:107" ht="30.75" customHeight="1">
      <c r="A14" s="28"/>
      <c r="L14" s="60"/>
      <c r="M14" s="60"/>
      <c r="N14" s="60"/>
      <c r="O14" s="60"/>
      <c r="Q14" s="60"/>
      <c r="R14" s="60"/>
      <c r="S14" s="60"/>
      <c r="V14" s="60"/>
      <c r="W14" s="60"/>
      <c r="X14" s="60"/>
      <c r="Y14" s="60"/>
      <c r="Z14" s="60"/>
      <c r="AA14" s="60"/>
      <c r="AB14" s="60"/>
      <c r="AE14" s="60"/>
      <c r="AF14" s="60"/>
      <c r="AG14" s="60"/>
      <c r="AH14" s="60"/>
      <c r="AI14" s="60"/>
      <c r="AJ14" s="60"/>
      <c r="AK14" s="60"/>
      <c r="AL14" s="60"/>
      <c r="AM14" s="60"/>
      <c r="AN14" s="60"/>
      <c r="AO14" s="60"/>
      <c r="AS14" s="60"/>
      <c r="AW14" s="60"/>
      <c r="AX14" s="60"/>
      <c r="AY14" s="60"/>
      <c r="AZ14" s="60"/>
      <c r="BA14" s="60"/>
      <c r="BB14" s="60"/>
      <c r="BC14" s="60"/>
      <c r="BD14" s="60"/>
      <c r="BE14" s="60"/>
      <c r="BF14" s="60"/>
      <c r="BG14" s="60"/>
      <c r="BK14" s="60"/>
      <c r="CQ14" s="46"/>
      <c r="DB14" s="60"/>
      <c r="DC14" s="60"/>
    </row>
    <row r="15" spans="1:107" ht="7.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47"/>
      <c r="DB15" s="59"/>
      <c r="DC15" s="59"/>
    </row>
    <row r="16" spans="1:107" s="9" customFormat="1" ht="20.25" customHeight="1">
      <c r="A16" s="10"/>
      <c r="CQ16" s="11"/>
      <c r="DB16" s="59"/>
      <c r="DC16" s="59"/>
    </row>
    <row r="17" spans="1:107" s="9" customFormat="1" ht="20.25" customHeight="1">
      <c r="A17" s="10"/>
      <c r="B17" s="2"/>
      <c r="W17" s="49"/>
      <c r="X17" s="49"/>
      <c r="Y17" s="49"/>
      <c r="Z17" s="53"/>
      <c r="AA17" s="49"/>
      <c r="AB17" s="49"/>
      <c r="AC17" s="49"/>
      <c r="AD17" s="49"/>
      <c r="AE17" s="49"/>
      <c r="AF17" s="49"/>
      <c r="AG17" s="49"/>
      <c r="AH17" s="49"/>
      <c r="AI17" s="49"/>
      <c r="AJ17" s="49"/>
      <c r="AK17" s="49"/>
      <c r="AL17" s="49"/>
      <c r="AM17" s="49"/>
      <c r="AN17" s="49"/>
      <c r="AO17" s="49"/>
      <c r="AP17" s="53"/>
      <c r="AQ17" s="49"/>
      <c r="AR17" s="49"/>
      <c r="AS17" s="49"/>
      <c r="AT17" s="49"/>
      <c r="AU17" s="49"/>
      <c r="AV17" s="49"/>
      <c r="AW17" s="49"/>
      <c r="AX17" s="49"/>
      <c r="AY17" s="49"/>
      <c r="AZ17" s="49"/>
      <c r="BA17" s="49"/>
      <c r="BB17" s="49"/>
      <c r="BC17" s="49"/>
      <c r="BD17" s="49"/>
      <c r="BE17" s="49"/>
      <c r="BF17" s="49"/>
      <c r="BG17" s="53"/>
      <c r="BH17" s="49"/>
      <c r="BI17" s="49"/>
      <c r="BJ17" s="49"/>
      <c r="BK17" s="49"/>
      <c r="BL17" s="49"/>
      <c r="BM17" s="49"/>
      <c r="BN17" s="49"/>
      <c r="BO17" s="49"/>
      <c r="BP17" s="49"/>
      <c r="BQ17" s="49"/>
      <c r="BR17" s="49"/>
      <c r="BS17" s="49"/>
      <c r="BT17" s="49"/>
      <c r="BU17" s="49"/>
      <c r="BV17" s="49"/>
      <c r="BW17" s="49"/>
      <c r="BX17" s="49"/>
      <c r="BY17" s="49"/>
      <c r="BZ17" s="49"/>
      <c r="CA17" s="49"/>
      <c r="CB17" s="49"/>
      <c r="CC17" s="49"/>
      <c r="CQ17" s="11"/>
      <c r="DB17" s="59"/>
      <c r="DC17" s="59"/>
    </row>
    <row r="18" spans="1:107" ht="20.25" customHeight="1">
      <c r="A18" s="28"/>
      <c r="W18" s="53"/>
      <c r="X18" s="53"/>
      <c r="Y18" s="53"/>
      <c r="Z18" s="53"/>
      <c r="AA18" s="53"/>
      <c r="AB18" s="53"/>
      <c r="AC18" s="53"/>
      <c r="AD18" s="53"/>
      <c r="AE18" s="53"/>
      <c r="AF18" s="53"/>
      <c r="AO18" s="53"/>
      <c r="AP18" s="53"/>
      <c r="AQ18" s="54"/>
      <c r="AR18" s="53"/>
      <c r="AS18" s="53"/>
      <c r="AU18" s="53"/>
      <c r="AV18" s="53"/>
      <c r="AW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Q18" s="46"/>
      <c r="DB18" s="59"/>
      <c r="DC18" s="59"/>
    </row>
    <row r="19" spans="1:107" ht="20.25" customHeight="1">
      <c r="A19" s="28"/>
      <c r="W19" s="53"/>
      <c r="X19" s="53"/>
      <c r="Y19" s="53"/>
      <c r="Z19" s="53"/>
      <c r="AA19" s="53"/>
      <c r="AB19" s="53"/>
      <c r="AC19" s="53"/>
      <c r="AD19" s="53"/>
      <c r="AE19" s="53"/>
      <c r="AF19" s="53"/>
      <c r="AG19" s="53"/>
      <c r="AH19" s="53"/>
      <c r="AI19" s="53"/>
      <c r="AJ19" s="53"/>
      <c r="AK19" s="53"/>
      <c r="AL19" s="53"/>
      <c r="AM19" s="53"/>
      <c r="AN19" s="53"/>
      <c r="AO19" s="53"/>
      <c r="AP19" s="53"/>
      <c r="AQ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5"/>
      <c r="CF19" s="55"/>
      <c r="CG19" s="53"/>
      <c r="CH19" s="53"/>
      <c r="CI19" s="53"/>
      <c r="CJ19" s="53"/>
      <c r="CK19" s="53"/>
      <c r="CL19" s="53"/>
      <c r="CQ19" s="46"/>
      <c r="DB19" s="59"/>
      <c r="DC19" s="59"/>
    </row>
    <row r="20" spans="1:107" ht="20.25" customHeight="1">
      <c r="A20" s="28"/>
      <c r="W20" s="53"/>
      <c r="X20" s="53"/>
      <c r="Y20" s="53"/>
      <c r="Z20" s="53"/>
      <c r="AA20" s="53"/>
      <c r="AB20" s="53"/>
      <c r="AC20" s="53"/>
      <c r="AD20" s="53"/>
      <c r="AE20" s="53"/>
      <c r="AF20" s="53"/>
      <c r="AG20" s="53"/>
      <c r="AH20" s="53"/>
      <c r="AI20" s="53"/>
      <c r="AJ20" s="53"/>
      <c r="AK20" s="53"/>
      <c r="AL20" s="53"/>
      <c r="AM20" s="53"/>
      <c r="AN20" s="53"/>
      <c r="AO20" s="53"/>
      <c r="AP20" s="53"/>
      <c r="AQ20" s="53"/>
      <c r="BB20" s="53"/>
      <c r="BC20" s="55"/>
      <c r="BD20" s="55"/>
      <c r="BE20" s="55"/>
      <c r="BF20" s="53"/>
      <c r="BG20" s="55"/>
      <c r="BH20" s="55"/>
      <c r="BI20" s="55"/>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Q20" s="46"/>
      <c r="DB20" s="59"/>
      <c r="DC20" s="59"/>
    </row>
    <row r="21" spans="1:107" ht="20.25" customHeight="1">
      <c r="A21" s="28"/>
      <c r="Y21" s="53"/>
      <c r="Z21" s="53"/>
      <c r="AA21" s="53"/>
      <c r="AB21" s="53"/>
      <c r="AC21" s="53"/>
      <c r="AD21" s="54"/>
      <c r="AE21" s="52"/>
      <c r="AF21" s="54"/>
      <c r="AG21" s="54"/>
      <c r="AH21" s="54"/>
      <c r="AI21" s="54"/>
      <c r="AJ21" s="54"/>
      <c r="AK21" s="54"/>
      <c r="AL21" s="54"/>
      <c r="AM21" s="54"/>
      <c r="AN21" s="54"/>
      <c r="AO21" s="53"/>
      <c r="AQ21" s="53"/>
      <c r="BA21" s="2" t="s">
        <v>384</v>
      </c>
      <c r="BB21" s="53"/>
      <c r="BC21" s="53"/>
      <c r="BD21" s="53"/>
      <c r="BE21" s="54"/>
      <c r="BF21" s="52"/>
      <c r="BG21" s="54"/>
      <c r="BH21" s="54"/>
      <c r="BI21" s="54"/>
      <c r="BJ21" s="54"/>
      <c r="BK21" s="54"/>
      <c r="BL21" s="54"/>
      <c r="BM21" s="54"/>
      <c r="BN21" s="54"/>
      <c r="BO21" s="54"/>
      <c r="BP21" s="53"/>
      <c r="BQ21" s="53"/>
      <c r="BR21" s="53"/>
      <c r="BS21" s="53"/>
      <c r="BT21" s="53"/>
      <c r="BU21" s="53"/>
      <c r="BV21" s="54"/>
      <c r="BW21" s="52"/>
      <c r="BX21" s="54"/>
      <c r="BY21" s="54"/>
      <c r="BZ21" s="54"/>
      <c r="CA21" s="54"/>
      <c r="CB21" s="54"/>
      <c r="CC21" s="54"/>
      <c r="CD21" s="53"/>
      <c r="CE21" s="53"/>
      <c r="CF21" s="53"/>
      <c r="CG21" s="53"/>
      <c r="CH21" s="53"/>
      <c r="CI21" s="53"/>
      <c r="CJ21" s="53"/>
      <c r="CK21" s="53"/>
      <c r="CL21" s="53"/>
      <c r="CQ21" s="46"/>
      <c r="DB21" s="59"/>
      <c r="DC21" s="59"/>
    </row>
    <row r="22" spans="1:107" ht="20.25" customHeight="1">
      <c r="A22" s="28"/>
      <c r="X22" s="53"/>
      <c r="Y22" s="53"/>
      <c r="Z22" s="53"/>
      <c r="AA22" s="53"/>
      <c r="AB22" s="53"/>
      <c r="AC22" s="53"/>
      <c r="AD22" s="53"/>
      <c r="AE22" s="53" t="s">
        <v>110</v>
      </c>
      <c r="AF22" s="53"/>
      <c r="AH22" s="53"/>
      <c r="AI22" s="53"/>
      <c r="AJ22" s="53"/>
      <c r="AK22" s="53"/>
      <c r="AL22" s="53"/>
      <c r="AM22" s="53"/>
      <c r="AN22" s="53"/>
      <c r="AO22" s="53"/>
      <c r="AP22" s="52"/>
      <c r="AQ22" s="53"/>
      <c r="BA22" s="53" t="s">
        <v>110</v>
      </c>
      <c r="BB22" s="53"/>
      <c r="BC22" s="53"/>
      <c r="BD22" s="53"/>
      <c r="BE22" s="53"/>
      <c r="BF22" s="53"/>
      <c r="BG22" s="53"/>
      <c r="BH22" s="53"/>
      <c r="BI22" s="53"/>
      <c r="BJ22" s="53" t="s">
        <v>476</v>
      </c>
      <c r="BL22" s="53"/>
      <c r="BM22" s="53"/>
      <c r="BN22" s="53"/>
      <c r="BO22" s="53"/>
      <c r="BP22" s="53"/>
      <c r="BQ22" s="52"/>
      <c r="BR22" s="53"/>
      <c r="BS22" s="53"/>
      <c r="BT22" s="53" t="s">
        <v>477</v>
      </c>
      <c r="BU22" s="53"/>
      <c r="BV22" s="53"/>
      <c r="BW22" s="53"/>
      <c r="BX22" s="53"/>
      <c r="BY22" s="53"/>
      <c r="BZ22" s="53"/>
      <c r="CA22" s="53"/>
      <c r="CB22" s="53"/>
      <c r="CC22" s="53"/>
      <c r="CD22" s="53"/>
      <c r="CE22" s="53"/>
      <c r="CF22" s="53"/>
      <c r="CG22" s="53"/>
      <c r="CH22" s="53"/>
      <c r="CI22" s="53"/>
      <c r="CJ22" s="53"/>
      <c r="CK22" s="53"/>
      <c r="CL22" s="53"/>
      <c r="CQ22" s="46"/>
      <c r="DB22" s="59"/>
      <c r="DC22" s="59"/>
    </row>
    <row r="23" spans="1:107" ht="20.25" customHeight="1">
      <c r="A23" s="28"/>
      <c r="V23" s="2" t="s">
        <v>24</v>
      </c>
      <c r="W23" s="53"/>
      <c r="X23" s="53"/>
      <c r="Y23" s="53"/>
      <c r="Z23" s="53" t="s">
        <v>25</v>
      </c>
      <c r="AA23" s="53"/>
      <c r="AB23" s="53"/>
      <c r="AC23" s="53"/>
      <c r="AD23" s="53"/>
      <c r="AE23" s="2" t="s">
        <v>132</v>
      </c>
      <c r="AF23" s="53"/>
      <c r="AH23" s="53"/>
      <c r="AI23" s="53"/>
      <c r="AJ23" s="53"/>
      <c r="AK23" s="53"/>
      <c r="AL23" s="53"/>
      <c r="AM23" s="53"/>
      <c r="AO23" s="53"/>
      <c r="AP23" s="53"/>
      <c r="AQ23" s="53"/>
      <c r="BA23" s="2" t="s">
        <v>132</v>
      </c>
      <c r="BB23" s="53"/>
      <c r="BC23" s="55"/>
      <c r="BD23" s="55"/>
      <c r="BE23" s="55"/>
      <c r="BF23" s="53"/>
      <c r="BG23" s="55"/>
      <c r="BH23" s="55"/>
      <c r="BI23" s="52"/>
      <c r="BJ23" s="52"/>
      <c r="BK23" s="53"/>
      <c r="BL23" s="53"/>
      <c r="BM23" s="53"/>
      <c r="BN23" s="53"/>
      <c r="BO23" s="53"/>
      <c r="BP23" s="53"/>
      <c r="BQ23" s="53"/>
      <c r="BR23" s="53"/>
      <c r="BS23" s="53"/>
      <c r="BT23" s="53"/>
      <c r="BU23" s="53"/>
      <c r="BV23" s="53"/>
      <c r="BW23" s="53"/>
      <c r="BX23" s="53"/>
      <c r="BY23" s="52"/>
      <c r="BZ23" s="53"/>
      <c r="CA23" s="53"/>
      <c r="CB23" s="53"/>
      <c r="CC23" s="53"/>
      <c r="CD23" s="53"/>
      <c r="CE23" s="53"/>
      <c r="CF23" s="53"/>
      <c r="CG23" s="53"/>
      <c r="CH23" s="53"/>
      <c r="CI23" s="53"/>
      <c r="CJ23" s="53"/>
      <c r="CK23" s="53"/>
      <c r="CL23" s="53"/>
      <c r="CQ23" s="46"/>
      <c r="DB23" s="59"/>
      <c r="DC23" s="59"/>
    </row>
    <row r="24" spans="1:107" ht="20.25" customHeight="1">
      <c r="A24" s="28"/>
      <c r="W24" s="53"/>
      <c r="X24" s="53"/>
      <c r="Y24" s="53"/>
      <c r="Z24" s="53"/>
      <c r="AA24" s="53"/>
      <c r="AB24" s="53"/>
      <c r="AC24" s="53"/>
      <c r="AD24" s="53"/>
      <c r="AE24" s="53" t="s">
        <v>133</v>
      </c>
      <c r="AF24" s="49"/>
      <c r="AH24" s="53"/>
      <c r="AI24" s="53"/>
      <c r="AJ24" s="53"/>
      <c r="AK24" s="53"/>
      <c r="AL24" s="53"/>
      <c r="AM24" s="53"/>
      <c r="AN24" s="53"/>
      <c r="AO24" s="53"/>
      <c r="AP24" s="53"/>
      <c r="AQ24" s="53"/>
      <c r="AR24" s="53"/>
      <c r="AS24" s="53"/>
      <c r="AT24" s="53"/>
      <c r="AU24" s="53"/>
      <c r="AV24" s="53"/>
      <c r="AW24" s="53"/>
      <c r="AX24" s="53"/>
      <c r="AY24" s="53"/>
      <c r="AZ24" s="53"/>
      <c r="BA24" s="53" t="s">
        <v>133</v>
      </c>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Q24" s="46"/>
      <c r="DB24" s="59"/>
      <c r="DC24" s="59"/>
    </row>
    <row r="25" spans="1:107" ht="20.25" customHeight="1">
      <c r="A25" s="28"/>
      <c r="W25" s="53"/>
      <c r="X25" s="53"/>
      <c r="Y25" s="53"/>
      <c r="Z25" s="53"/>
      <c r="AA25" s="53"/>
      <c r="AB25" s="53"/>
      <c r="AC25" s="53"/>
      <c r="AD25" s="53"/>
      <c r="AE25" s="53"/>
      <c r="AF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Q25" s="46"/>
      <c r="DB25" s="59"/>
      <c r="DC25" s="59"/>
    </row>
    <row r="26" spans="1:107" ht="20.25" customHeight="1">
      <c r="A26" s="28"/>
      <c r="W26" s="53"/>
      <c r="X26" s="53"/>
      <c r="Y26" s="53"/>
      <c r="Z26" s="53"/>
      <c r="AA26" s="53"/>
      <c r="AB26" s="53"/>
      <c r="AC26" s="53"/>
      <c r="AD26" s="53"/>
      <c r="AE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Q26" s="46"/>
    </row>
    <row r="27" spans="1:107" ht="20.25" customHeight="1">
      <c r="A27" s="28"/>
      <c r="W27" s="53"/>
      <c r="X27" s="53"/>
      <c r="Y27" s="53"/>
      <c r="Z27" s="53"/>
      <c r="AA27" s="53"/>
      <c r="AB27" s="53"/>
      <c r="AC27" s="53"/>
      <c r="AD27" s="53"/>
      <c r="AE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Q27" s="46"/>
    </row>
    <row r="28" spans="1:107" ht="20.25" customHeight="1">
      <c r="A28" s="28"/>
      <c r="W28" s="53"/>
      <c r="X28" s="53"/>
      <c r="Y28" s="53"/>
      <c r="Z28" s="53"/>
      <c r="AA28" s="53"/>
      <c r="AB28" s="53"/>
      <c r="AC28" s="53"/>
      <c r="AD28" s="53"/>
      <c r="AE28" s="53"/>
      <c r="AF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Q28" s="46"/>
    </row>
    <row r="29" spans="1:107" ht="20.25" customHeight="1">
      <c r="A29" s="28"/>
      <c r="W29" s="53"/>
      <c r="X29" s="53"/>
      <c r="Y29" s="53"/>
      <c r="Z29" s="53"/>
      <c r="AA29" s="53"/>
      <c r="AB29" s="53"/>
      <c r="AC29" s="53"/>
      <c r="AD29" s="53"/>
      <c r="AE29" s="53"/>
      <c r="AF29" s="53"/>
      <c r="AG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Q29" s="46"/>
    </row>
    <row r="30" spans="1:107" ht="20.25" customHeight="1">
      <c r="A30" s="28"/>
      <c r="W30" s="53"/>
      <c r="X30" s="53"/>
      <c r="Y30" s="53"/>
      <c r="Z30" s="53"/>
      <c r="AA30" s="53"/>
      <c r="AB30" s="53"/>
      <c r="AC30" s="53"/>
      <c r="AD30" s="53"/>
      <c r="AE30" s="53"/>
      <c r="AF30" s="53"/>
      <c r="AG30" s="53"/>
      <c r="AI30" s="53" t="s">
        <v>341</v>
      </c>
      <c r="AJ30" s="53"/>
      <c r="AK30" s="53"/>
      <c r="AL30" s="53"/>
      <c r="AM30" s="53"/>
      <c r="AN30" s="53"/>
      <c r="AO30" s="53"/>
      <c r="AP30" s="53"/>
      <c r="AQ30" s="53"/>
      <c r="AR30" s="53"/>
      <c r="AS30" s="53"/>
      <c r="AT30" s="53"/>
      <c r="AU30" s="53"/>
      <c r="AV30" s="53"/>
      <c r="AW30" s="53"/>
      <c r="AX30" s="53"/>
      <c r="AY30" s="53"/>
      <c r="AZ30" s="53"/>
      <c r="BA30" s="53"/>
      <c r="BB30" s="53"/>
      <c r="BC30" s="53"/>
      <c r="BD30" s="53"/>
      <c r="BE30" s="53" t="s">
        <v>340</v>
      </c>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Q30" s="46"/>
    </row>
    <row r="31" spans="1:107" ht="20.25" customHeight="1">
      <c r="A31" s="28"/>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Q31" s="46"/>
    </row>
    <row r="32" spans="1:107" ht="20.25" customHeight="1">
      <c r="A32" s="28"/>
      <c r="W32" s="53"/>
      <c r="X32" s="53"/>
      <c r="Y32" s="53"/>
      <c r="Z32" s="53"/>
      <c r="AA32" s="53"/>
      <c r="AB32" s="53"/>
      <c r="AC32" s="53"/>
      <c r="AD32" s="53"/>
      <c r="AE32" s="53"/>
      <c r="AF32" s="53"/>
      <c r="AG32" s="53"/>
      <c r="AH32" s="53"/>
      <c r="AI32" s="53" t="s">
        <v>259</v>
      </c>
      <c r="AJ32" s="53"/>
      <c r="AK32" s="53"/>
      <c r="AL32" s="53"/>
      <c r="AM32" s="53"/>
      <c r="AN32" s="53"/>
      <c r="AO32" s="53"/>
      <c r="AP32" s="53"/>
      <c r="AQ32" s="53"/>
      <c r="AR32" s="53"/>
      <c r="AS32" s="53"/>
      <c r="AT32" s="53"/>
      <c r="AU32" s="53"/>
      <c r="AV32" s="53"/>
      <c r="AW32" s="53"/>
      <c r="AX32" s="53"/>
      <c r="AY32" s="53"/>
      <c r="AZ32" s="53"/>
      <c r="BA32" s="53"/>
      <c r="BB32" s="53"/>
      <c r="BC32" s="53"/>
      <c r="BD32" s="53"/>
      <c r="BE32" s="53" t="s">
        <v>337</v>
      </c>
      <c r="BF32" s="53"/>
      <c r="BG32" s="53"/>
      <c r="BH32" s="53"/>
      <c r="BI32" s="53"/>
      <c r="BJ32" s="53"/>
      <c r="BK32" s="53"/>
      <c r="BL32" s="53"/>
      <c r="BM32" s="53"/>
      <c r="BN32" s="53"/>
      <c r="BO32" s="53"/>
      <c r="BP32" s="68"/>
      <c r="BQ32" s="68"/>
      <c r="BR32" s="68"/>
      <c r="BS32" s="68"/>
      <c r="BT32" s="68"/>
      <c r="BU32" s="68"/>
      <c r="BV32" s="68"/>
      <c r="BW32" s="68"/>
      <c r="BX32" s="68"/>
      <c r="BY32" s="68"/>
      <c r="BZ32" s="68"/>
      <c r="CA32" s="68"/>
      <c r="CB32" s="68"/>
      <c r="CC32" s="68"/>
      <c r="CD32" s="68"/>
      <c r="CE32" s="68"/>
      <c r="CF32" s="68"/>
      <c r="CG32" s="68"/>
      <c r="CH32" s="68"/>
      <c r="CI32" s="68"/>
      <c r="CJ32" s="53"/>
      <c r="CK32" s="53"/>
      <c r="CL32" s="53"/>
      <c r="CQ32" s="46"/>
    </row>
    <row r="33" spans="1:95" ht="20.25" customHeight="1">
      <c r="A33" s="28"/>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68"/>
      <c r="BQ33" s="68"/>
      <c r="BR33" s="68"/>
      <c r="BS33" s="68"/>
      <c r="BT33" s="68"/>
      <c r="BU33" s="68"/>
      <c r="BV33" s="68"/>
      <c r="BW33" s="68"/>
      <c r="BX33" s="68"/>
      <c r="BY33" s="68"/>
      <c r="BZ33" s="68"/>
      <c r="CA33" s="68"/>
      <c r="CB33" s="68"/>
      <c r="CC33" s="68"/>
      <c r="CD33" s="68"/>
      <c r="CE33" s="68"/>
      <c r="CF33" s="68"/>
      <c r="CG33" s="68"/>
      <c r="CH33" s="68"/>
      <c r="CI33" s="68"/>
      <c r="CJ33" s="53"/>
      <c r="CK33" s="53"/>
      <c r="CL33" s="53"/>
      <c r="CQ33" s="46"/>
    </row>
    <row r="34" spans="1:95" ht="20.25" customHeight="1">
      <c r="A34" s="28"/>
      <c r="W34" s="53"/>
      <c r="X34" s="53"/>
      <c r="Y34" s="53"/>
      <c r="Z34" s="53"/>
      <c r="AA34" s="53"/>
      <c r="AB34" s="53"/>
      <c r="AC34" s="53"/>
      <c r="AE34" s="53" t="s">
        <v>374</v>
      </c>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68"/>
      <c r="BQ34" s="68"/>
      <c r="BR34" s="68"/>
      <c r="BS34" s="68"/>
      <c r="BT34" s="68"/>
      <c r="BU34" s="68"/>
      <c r="BV34" s="68"/>
      <c r="BW34" s="68"/>
      <c r="BX34" s="68"/>
      <c r="BY34" s="68"/>
      <c r="BZ34" s="68"/>
      <c r="CA34" s="68"/>
      <c r="CB34" s="68"/>
      <c r="CC34" s="68"/>
      <c r="CD34" s="68"/>
      <c r="CE34" s="68"/>
      <c r="CF34" s="68"/>
      <c r="CG34" s="68"/>
      <c r="CH34" s="68"/>
      <c r="CI34" s="68"/>
      <c r="CJ34" s="53"/>
      <c r="CK34" s="53"/>
      <c r="CL34" s="53"/>
      <c r="CQ34" s="46"/>
    </row>
    <row r="35" spans="1:95" ht="20.25" customHeight="1">
      <c r="A35" s="28"/>
      <c r="W35" s="53"/>
      <c r="X35" s="53"/>
      <c r="Y35" s="53"/>
      <c r="Z35" s="53"/>
      <c r="AA35" s="53"/>
      <c r="AB35" s="53"/>
      <c r="AC35" s="53"/>
      <c r="AD35" s="53"/>
      <c r="AE35" s="53"/>
      <c r="AF35" s="53"/>
      <c r="AG35" s="53"/>
      <c r="AH35" s="53"/>
      <c r="AI35" s="53"/>
      <c r="AJ35" s="53"/>
      <c r="AK35" s="53"/>
      <c r="AL35" s="53"/>
      <c r="AM35" s="53"/>
      <c r="AN35" s="53"/>
      <c r="AO35" s="53"/>
      <c r="AP35" s="53"/>
      <c r="AQ35" s="53"/>
      <c r="AR35" s="53"/>
      <c r="AS35" s="53"/>
      <c r="AU35" s="53"/>
      <c r="AV35" s="53"/>
      <c r="AW35" s="53"/>
      <c r="AX35" s="53"/>
      <c r="AY35" s="53"/>
      <c r="BA35" s="53"/>
      <c r="BB35" s="53"/>
      <c r="BC35" s="53"/>
      <c r="BD35" s="53"/>
      <c r="BE35" s="53"/>
      <c r="BF35" s="53"/>
      <c r="BG35" s="53"/>
      <c r="BH35" s="53"/>
      <c r="BI35" s="53"/>
      <c r="BJ35" s="53"/>
      <c r="BK35" s="53"/>
      <c r="BL35" s="53"/>
      <c r="BM35" s="53"/>
      <c r="BN35" s="53"/>
      <c r="BO35" s="53"/>
      <c r="BP35" s="68"/>
      <c r="BQ35" s="68"/>
      <c r="BR35" s="68"/>
      <c r="BS35" s="68"/>
      <c r="BT35" s="68"/>
      <c r="BU35" s="68"/>
      <c r="BV35" s="68"/>
      <c r="BW35" s="68"/>
      <c r="BX35" s="68"/>
      <c r="BY35" s="68"/>
      <c r="BZ35" s="68"/>
      <c r="CA35" s="68"/>
      <c r="CB35" s="68"/>
      <c r="CC35" s="68"/>
      <c r="CD35" s="68"/>
      <c r="CE35" s="68"/>
      <c r="CF35" s="69"/>
      <c r="CG35" s="68"/>
      <c r="CH35" s="68"/>
      <c r="CI35" s="68"/>
      <c r="CJ35" s="53"/>
      <c r="CK35" s="53"/>
      <c r="CL35" s="53"/>
      <c r="CQ35" s="46"/>
    </row>
    <row r="36" spans="1:95" ht="20.25" customHeight="1">
      <c r="A36" s="28"/>
      <c r="W36" s="53"/>
      <c r="X36" s="53"/>
      <c r="Y36" s="53"/>
      <c r="Z36" s="53"/>
      <c r="AA36" s="53" t="s">
        <v>339</v>
      </c>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BB36" s="53"/>
      <c r="BC36" s="53"/>
      <c r="BD36" s="53"/>
      <c r="BE36" s="53"/>
      <c r="BF36" s="53"/>
      <c r="BG36" s="53"/>
      <c r="BH36" s="53"/>
      <c r="BI36" s="53"/>
      <c r="BJ36" s="53"/>
      <c r="BK36" s="53"/>
      <c r="BL36" s="53"/>
      <c r="BM36" s="53"/>
      <c r="BN36" s="53"/>
      <c r="BO36" s="53"/>
      <c r="BP36" s="68"/>
      <c r="BQ36" s="68"/>
      <c r="BR36" s="68"/>
      <c r="BS36" s="68"/>
      <c r="BT36" s="68"/>
      <c r="BU36" s="68"/>
      <c r="BV36" s="68"/>
      <c r="BW36" s="68"/>
      <c r="BX36" s="68"/>
      <c r="BY36" s="68"/>
      <c r="BZ36" s="68"/>
      <c r="CA36" s="68"/>
      <c r="CB36" s="68"/>
      <c r="CC36" s="68"/>
      <c r="CD36" s="68"/>
      <c r="CE36" s="68"/>
      <c r="CF36" s="69"/>
      <c r="CG36" s="68"/>
      <c r="CH36" s="68"/>
      <c r="CI36" s="68"/>
      <c r="CJ36" s="53"/>
      <c r="CK36" s="53"/>
      <c r="CL36" s="53"/>
      <c r="CQ36" s="46"/>
    </row>
    <row r="37" spans="1:95" ht="20.25" customHeight="1">
      <c r="A37" s="28"/>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2"/>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Q37" s="46"/>
    </row>
    <row r="38" spans="1:95" ht="20.25" customHeight="1">
      <c r="A38" s="28"/>
      <c r="C38" s="54"/>
      <c r="W38" s="53"/>
      <c r="X38" s="53"/>
      <c r="Y38" s="53"/>
      <c r="Z38" s="53"/>
      <c r="AB38" s="53"/>
      <c r="AC38" s="53"/>
      <c r="AD38" s="54"/>
      <c r="AE38" s="52"/>
      <c r="AF38" s="54"/>
      <c r="AG38" s="54"/>
      <c r="AH38" s="54"/>
      <c r="AI38" s="54"/>
      <c r="AJ38" s="54"/>
      <c r="AK38" s="54"/>
      <c r="AL38" s="54"/>
      <c r="AM38" s="54"/>
      <c r="AN38" s="53"/>
      <c r="AO38" s="53"/>
      <c r="AP38" s="54"/>
      <c r="AQ38" s="54"/>
      <c r="AR38" s="54"/>
      <c r="AS38" s="54"/>
      <c r="BD38" s="53"/>
      <c r="BE38" s="54"/>
      <c r="BF38" s="52"/>
      <c r="BG38" s="54"/>
      <c r="BH38" s="54"/>
      <c r="BI38" s="54"/>
      <c r="BJ38" s="54"/>
      <c r="BK38" s="54"/>
      <c r="BL38" s="54"/>
      <c r="BM38" s="54"/>
      <c r="BN38" s="54"/>
      <c r="BO38" s="54"/>
      <c r="BP38" s="53"/>
      <c r="BQ38" s="53"/>
      <c r="BR38" s="53"/>
      <c r="BS38" s="53"/>
      <c r="BT38" s="53"/>
      <c r="BU38" s="53"/>
      <c r="BV38" s="54"/>
      <c r="BW38" s="52"/>
      <c r="BX38" s="54"/>
      <c r="BY38" s="54"/>
      <c r="BZ38" s="54"/>
      <c r="CA38" s="52"/>
      <c r="CB38" s="54"/>
      <c r="CC38" s="54"/>
      <c r="CD38" s="53"/>
      <c r="CE38" s="53"/>
      <c r="CF38" s="53"/>
      <c r="CG38" s="53"/>
      <c r="CH38" s="53"/>
      <c r="CI38" s="53"/>
      <c r="CJ38" s="53"/>
      <c r="CK38" s="53"/>
      <c r="CL38" s="53"/>
      <c r="CQ38" s="46"/>
    </row>
    <row r="39" spans="1:95" ht="20.25" customHeight="1">
      <c r="A39" s="28"/>
      <c r="W39" s="53"/>
      <c r="X39" s="53"/>
      <c r="Y39" s="53"/>
      <c r="Z39" s="53"/>
      <c r="AA39" s="53"/>
      <c r="AB39" s="53"/>
      <c r="AC39" s="53"/>
      <c r="AD39" s="53"/>
      <c r="AE39" s="53"/>
      <c r="AF39" s="53"/>
      <c r="AG39" s="54"/>
      <c r="AH39" s="53"/>
      <c r="AI39" s="53"/>
      <c r="AJ39" s="53"/>
      <c r="AK39" s="53"/>
      <c r="AL39" s="53"/>
      <c r="AM39" s="53"/>
      <c r="AN39" s="53"/>
      <c r="AO39" s="53"/>
      <c r="AP39" s="52"/>
      <c r="AQ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B39" s="53"/>
      <c r="CC39" s="56"/>
      <c r="CD39" s="53"/>
      <c r="CE39" s="53"/>
      <c r="CF39" s="53"/>
      <c r="CG39" s="53"/>
      <c r="CH39" s="53"/>
      <c r="CI39" s="53"/>
      <c r="CJ39" s="53"/>
      <c r="CK39" s="53"/>
      <c r="CL39" s="53"/>
      <c r="CQ39" s="46"/>
    </row>
    <row r="40" spans="1:95" s="9" customFormat="1" ht="20.25" customHeight="1">
      <c r="A40" s="10"/>
      <c r="W40" s="49"/>
      <c r="X40" s="49"/>
      <c r="Y40" s="49"/>
      <c r="Z40" s="49"/>
      <c r="AA40" s="49"/>
      <c r="AB40" s="49"/>
      <c r="AC40" s="49"/>
      <c r="AD40" s="49"/>
      <c r="AE40" s="49"/>
      <c r="AF40" s="49"/>
      <c r="AG40" s="49"/>
      <c r="AH40" s="49"/>
      <c r="AI40" s="49"/>
      <c r="AJ40" s="49"/>
      <c r="AK40" s="49"/>
      <c r="AL40" s="49"/>
      <c r="AM40" s="49"/>
      <c r="AN40" s="51"/>
      <c r="AO40" s="49"/>
      <c r="AP40" s="52"/>
      <c r="AQ40" s="49"/>
      <c r="AR40" s="49"/>
      <c r="AS40" s="49"/>
      <c r="AT40" s="49"/>
      <c r="AU40" s="49"/>
      <c r="AV40" s="49"/>
      <c r="AW40" s="49"/>
      <c r="AX40" s="49"/>
      <c r="AY40" s="49"/>
      <c r="AZ40" s="49"/>
      <c r="BA40" s="49"/>
      <c r="BB40" s="49"/>
      <c r="BC40" s="50"/>
      <c r="BD40" s="50"/>
      <c r="BE40" s="50"/>
      <c r="BF40" s="50"/>
      <c r="BG40" s="49"/>
      <c r="BH40" s="49"/>
      <c r="BI40" s="49"/>
      <c r="BJ40" s="49"/>
      <c r="BK40" s="49"/>
      <c r="BL40" s="49"/>
      <c r="BM40" s="49"/>
      <c r="BN40" s="49"/>
      <c r="BO40" s="49"/>
      <c r="BP40" s="49"/>
      <c r="BQ40" s="49"/>
      <c r="BR40" s="53"/>
      <c r="BS40" s="56"/>
      <c r="BT40" s="56"/>
      <c r="BU40" s="52"/>
      <c r="BV40" s="53"/>
      <c r="BW40" s="53"/>
      <c r="BX40" s="53"/>
      <c r="BY40" s="53"/>
      <c r="BZ40" s="53"/>
      <c r="CA40" s="53"/>
      <c r="CB40" s="53"/>
      <c r="CC40" s="53"/>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30"/>
      <c r="BS41" s="30"/>
      <c r="BT41" s="30"/>
      <c r="BU41" s="30"/>
      <c r="BV41" s="30"/>
      <c r="BW41" s="30"/>
      <c r="BX41" s="30"/>
      <c r="BY41" s="30"/>
      <c r="BZ41" s="30"/>
      <c r="CA41" s="30"/>
      <c r="CB41" s="30"/>
      <c r="CC41" s="30"/>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C699-EC0E-48B7-AC90-665A8C5B2ED3}">
  <sheetPr codeName="Sheet3">
    <pageSetUpPr fitToPage="1"/>
  </sheetPr>
  <dimension ref="A1:DN363"/>
  <sheetViews>
    <sheetView view="pageBreakPreview" zoomScaleNormal="100" zoomScaleSheetLayoutView="100" workbookViewId="0"/>
  </sheetViews>
  <sheetFormatPr defaultColWidth="1.90625" defaultRowHeight="11"/>
  <cols>
    <col min="1" max="3" width="1.90625" style="254" customWidth="1"/>
    <col min="4" max="83" width="1.90625" style="57" customWidth="1"/>
    <col min="84" max="84" width="1.90625" style="254" customWidth="1"/>
    <col min="85" max="94" width="1.90625" style="254"/>
    <col min="95" max="16384" width="1.90625" style="57"/>
  </cols>
  <sheetData>
    <row r="1" spans="1:118" s="2" customFormat="1" ht="19.5" customHeight="1">
      <c r="A1" s="247" t="s">
        <v>15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423"/>
      <c r="AU1" s="423"/>
      <c r="AV1" s="423"/>
      <c r="AW1" s="423"/>
      <c r="AX1" s="423"/>
      <c r="AY1" s="423"/>
      <c r="AZ1" s="423"/>
      <c r="BA1" s="423"/>
      <c r="BB1" s="423"/>
      <c r="BC1" s="423"/>
      <c r="BD1" s="423"/>
      <c r="BE1" s="423"/>
      <c r="BF1" s="423"/>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8" t="s">
        <v>1</v>
      </c>
      <c r="CH1" s="247"/>
      <c r="CI1" s="247"/>
      <c r="CJ1" s="247"/>
      <c r="CK1" s="247"/>
      <c r="CL1" s="247"/>
      <c r="CM1" s="249"/>
      <c r="CN1" s="249"/>
      <c r="CO1" s="249"/>
      <c r="CP1" s="249"/>
    </row>
    <row r="2" spans="1:118" s="1" customFormat="1" ht="19.5" customHeight="1">
      <c r="A2" s="424" t="s">
        <v>26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6"/>
      <c r="BP2" s="427" t="s">
        <v>3</v>
      </c>
      <c r="BQ2" s="428"/>
      <c r="BR2" s="428"/>
      <c r="BS2" s="428"/>
      <c r="BT2" s="428"/>
      <c r="BU2" s="429"/>
      <c r="BV2" s="250" t="s">
        <v>27</v>
      </c>
      <c r="BW2" s="146"/>
      <c r="BX2" s="147"/>
      <c r="BY2" s="250"/>
      <c r="BZ2" s="147"/>
      <c r="CA2" s="427" t="s">
        <v>5</v>
      </c>
      <c r="CB2" s="428"/>
      <c r="CC2" s="429"/>
      <c r="CD2" s="427"/>
      <c r="CE2" s="428"/>
      <c r="CF2" s="428"/>
      <c r="CG2" s="429"/>
      <c r="CH2" s="251"/>
      <c r="CI2" s="251"/>
      <c r="CJ2" s="251"/>
      <c r="CK2" s="251"/>
      <c r="CL2" s="251"/>
      <c r="CM2" s="252"/>
      <c r="CN2" s="252"/>
      <c r="CO2" s="252"/>
      <c r="CP2" s="252"/>
    </row>
    <row r="3" spans="1:118" s="2" customFormat="1" ht="19.5" customHeight="1">
      <c r="A3" s="427" t="s">
        <v>6</v>
      </c>
      <c r="B3" s="428"/>
      <c r="C3" s="428"/>
      <c r="D3" s="428"/>
      <c r="E3" s="428"/>
      <c r="F3" s="428"/>
      <c r="G3" s="428"/>
      <c r="H3" s="428"/>
      <c r="I3" s="428"/>
      <c r="J3" s="428"/>
      <c r="K3" s="429"/>
      <c r="L3" s="430" t="s">
        <v>291</v>
      </c>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2"/>
      <c r="BP3" s="427" t="s">
        <v>7</v>
      </c>
      <c r="BQ3" s="428"/>
      <c r="BR3" s="428"/>
      <c r="BS3" s="428"/>
      <c r="BT3" s="428"/>
      <c r="BU3" s="429"/>
      <c r="BV3" s="427" t="s">
        <v>287</v>
      </c>
      <c r="BW3" s="428"/>
      <c r="BX3" s="428"/>
      <c r="BY3" s="428"/>
      <c r="BZ3" s="428"/>
      <c r="CA3" s="428"/>
      <c r="CB3" s="428"/>
      <c r="CC3" s="428"/>
      <c r="CD3" s="428"/>
      <c r="CE3" s="428"/>
      <c r="CF3" s="428"/>
      <c r="CG3" s="429"/>
      <c r="CH3" s="247"/>
      <c r="CI3" s="247"/>
      <c r="CJ3" s="247"/>
      <c r="CK3" s="247"/>
      <c r="CL3" s="247"/>
      <c r="CM3" s="249"/>
      <c r="CN3" s="249"/>
      <c r="CO3" s="249"/>
      <c r="CP3" s="249"/>
    </row>
    <row r="4" spans="1:118" s="2" customFormat="1" ht="19.5" customHeight="1">
      <c r="A4" s="427" t="s">
        <v>8</v>
      </c>
      <c r="B4" s="428"/>
      <c r="C4" s="428"/>
      <c r="D4" s="428"/>
      <c r="E4" s="428"/>
      <c r="F4" s="428"/>
      <c r="G4" s="428"/>
      <c r="H4" s="428"/>
      <c r="I4" s="428"/>
      <c r="J4" s="428"/>
      <c r="K4" s="429"/>
      <c r="L4" s="430" t="s">
        <v>75</v>
      </c>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3"/>
      <c r="BL4" s="433"/>
      <c r="BM4" s="433"/>
      <c r="BN4" s="433"/>
      <c r="BO4" s="434"/>
      <c r="BP4" s="427" t="s">
        <v>10</v>
      </c>
      <c r="BQ4" s="428"/>
      <c r="BR4" s="428"/>
      <c r="BS4" s="428"/>
      <c r="BT4" s="428"/>
      <c r="BU4" s="429"/>
      <c r="BV4" s="427"/>
      <c r="BW4" s="428"/>
      <c r="BX4" s="428"/>
      <c r="BY4" s="428"/>
      <c r="BZ4" s="428"/>
      <c r="CA4" s="428"/>
      <c r="CB4" s="428"/>
      <c r="CC4" s="428"/>
      <c r="CD4" s="428"/>
      <c r="CE4" s="428"/>
      <c r="CF4" s="428"/>
      <c r="CG4" s="429"/>
      <c r="CH4" s="247"/>
      <c r="CI4" s="247"/>
      <c r="CJ4" s="247"/>
      <c r="CK4" s="247"/>
      <c r="CL4" s="247"/>
      <c r="CM4" s="249"/>
      <c r="CN4" s="249"/>
      <c r="CO4" s="249"/>
      <c r="CP4" s="249"/>
    </row>
    <row r="5" spans="1:118" ht="6.75" customHeight="1">
      <c r="A5" s="253"/>
      <c r="B5" s="253"/>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row>
    <row r="6" spans="1:118" ht="6.75" customHeight="1">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4"/>
      <c r="BL6" s="254"/>
      <c r="BM6" s="254"/>
      <c r="BN6" s="254"/>
      <c r="BO6" s="254"/>
      <c r="BP6" s="254"/>
      <c r="BQ6" s="254"/>
      <c r="BR6" s="254"/>
      <c r="BS6" s="254"/>
      <c r="BT6" s="254"/>
      <c r="BU6" s="254"/>
      <c r="BV6" s="254"/>
      <c r="BW6" s="254"/>
      <c r="BX6" s="254"/>
      <c r="BY6" s="254"/>
      <c r="BZ6" s="254"/>
      <c r="CA6" s="254"/>
      <c r="CB6" s="254"/>
      <c r="CC6" s="254"/>
      <c r="CD6" s="254"/>
      <c r="CE6" s="254"/>
    </row>
    <row r="7" spans="1:118" s="31" customFormat="1" ht="19.5" customHeight="1">
      <c r="A7" s="384" t="s">
        <v>28</v>
      </c>
      <c r="B7" s="385"/>
      <c r="C7" s="385"/>
      <c r="D7" s="385"/>
      <c r="E7" s="385"/>
      <c r="F7" s="385"/>
      <c r="G7" s="385"/>
      <c r="H7" s="385"/>
      <c r="I7" s="385"/>
      <c r="J7" s="385"/>
      <c r="K7" s="386"/>
      <c r="L7" s="361" t="s">
        <v>300</v>
      </c>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400"/>
      <c r="CG7" s="255"/>
      <c r="CH7" s="256"/>
      <c r="CI7" s="256"/>
      <c r="CJ7" s="256"/>
      <c r="CK7" s="256"/>
      <c r="CL7" s="256"/>
      <c r="CM7" s="256"/>
      <c r="CN7" s="256"/>
      <c r="CO7" s="256"/>
      <c r="CP7" s="256"/>
    </row>
    <row r="8" spans="1:118" ht="9" customHeight="1">
      <c r="A8" s="297"/>
      <c r="B8" s="298"/>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8"/>
      <c r="BK8" s="298"/>
      <c r="BL8" s="298"/>
      <c r="BM8" s="298"/>
      <c r="BN8" s="298"/>
      <c r="BO8" s="298"/>
      <c r="BP8" s="298"/>
      <c r="BQ8" s="298"/>
      <c r="BR8" s="298"/>
      <c r="BS8" s="298"/>
      <c r="BT8" s="298"/>
      <c r="BU8" s="298"/>
      <c r="BV8" s="298"/>
      <c r="BW8" s="298"/>
      <c r="BX8" s="298"/>
      <c r="BY8" s="298"/>
      <c r="BZ8" s="298"/>
      <c r="CA8" s="298"/>
      <c r="CB8" s="298"/>
      <c r="CC8" s="298"/>
      <c r="CD8" s="298"/>
      <c r="CE8" s="298"/>
      <c r="CF8" s="301"/>
    </row>
    <row r="9" spans="1:118" ht="14.25" customHeight="1">
      <c r="A9" s="257"/>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9"/>
    </row>
    <row r="10" spans="1:118" s="31" customFormat="1" ht="19.5" customHeight="1">
      <c r="A10" s="260"/>
      <c r="B10" s="261"/>
      <c r="C10" s="262"/>
      <c r="D10" s="283"/>
      <c r="E10" s="284"/>
      <c r="F10" s="284"/>
      <c r="G10" s="284"/>
      <c r="H10" s="284"/>
      <c r="I10" s="284"/>
      <c r="J10" s="284"/>
      <c r="K10" s="284"/>
      <c r="L10" s="421" t="s">
        <v>300</v>
      </c>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421"/>
      <c r="BR10" s="421"/>
      <c r="BS10" s="421"/>
      <c r="BT10" s="421"/>
      <c r="BU10" s="417" t="s">
        <v>289</v>
      </c>
      <c r="BV10" s="417"/>
      <c r="BW10" s="417"/>
      <c r="BX10" s="417"/>
      <c r="BY10" s="417"/>
      <c r="BZ10" s="417"/>
      <c r="CA10" s="417"/>
      <c r="CB10" s="417"/>
      <c r="CC10" s="417"/>
      <c r="CD10" s="417"/>
      <c r="CE10" s="418"/>
      <c r="CF10" s="273"/>
      <c r="CG10" s="256"/>
      <c r="CH10" s="256"/>
      <c r="CI10" s="256"/>
      <c r="CJ10" s="256"/>
      <c r="CK10" s="280"/>
      <c r="CL10" s="280"/>
      <c r="CM10" s="280"/>
      <c r="CN10" s="256"/>
      <c r="CO10" s="256"/>
      <c r="CP10" s="256"/>
    </row>
    <row r="11" spans="1:118" s="31" customFormat="1" ht="19.5" customHeight="1" thickBot="1">
      <c r="A11" s="260"/>
      <c r="B11" s="263"/>
      <c r="C11" s="262"/>
      <c r="D11" s="285"/>
      <c r="E11" s="286"/>
      <c r="F11" s="286"/>
      <c r="G11" s="286"/>
      <c r="H11" s="286"/>
      <c r="I11" s="286"/>
      <c r="J11" s="286"/>
      <c r="K11" s="286"/>
      <c r="L11" s="422"/>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19"/>
      <c r="BV11" s="419"/>
      <c r="BW11" s="419"/>
      <c r="BX11" s="419"/>
      <c r="BY11" s="419"/>
      <c r="BZ11" s="419"/>
      <c r="CA11" s="419"/>
      <c r="CB11" s="419"/>
      <c r="CC11" s="419"/>
      <c r="CD11" s="419"/>
      <c r="CE11" s="420"/>
      <c r="CF11" s="273"/>
      <c r="CG11" s="256"/>
      <c r="CH11" s="256"/>
      <c r="CI11" s="256"/>
      <c r="CJ11" s="256"/>
      <c r="CK11" s="280"/>
      <c r="CL11" s="280"/>
      <c r="CM11" s="280"/>
      <c r="CN11" s="256"/>
      <c r="CO11" s="256"/>
      <c r="CP11" s="256"/>
      <c r="CQ11" s="66"/>
      <c r="CR11" s="65"/>
      <c r="CS11" s="65"/>
      <c r="CT11" s="65"/>
      <c r="CU11" s="65"/>
      <c r="CV11" s="65"/>
      <c r="CW11" s="65"/>
      <c r="CX11" s="94"/>
      <c r="CY11" s="94"/>
      <c r="CZ11" s="65"/>
      <c r="DA11" s="65"/>
      <c r="DB11" s="65"/>
      <c r="DC11" s="94"/>
      <c r="DD11" s="65"/>
      <c r="DE11" s="65"/>
      <c r="DF11" s="94"/>
      <c r="DG11" s="94"/>
      <c r="DH11" s="94"/>
      <c r="DI11" s="65"/>
      <c r="DJ11" s="65"/>
      <c r="DK11" s="65"/>
      <c r="DL11" s="65"/>
      <c r="DM11" s="65"/>
      <c r="DN11" s="67"/>
    </row>
    <row r="12" spans="1:118" s="31" customFormat="1" ht="19.5" customHeight="1" thickTop="1">
      <c r="A12" s="260"/>
      <c r="B12" s="263"/>
      <c r="C12" s="263"/>
      <c r="D12" s="84"/>
      <c r="E12" s="85"/>
      <c r="F12" s="86"/>
      <c r="G12" s="86"/>
      <c r="H12" s="86"/>
      <c r="I12" s="129" t="s">
        <v>112</v>
      </c>
      <c r="J12" s="314"/>
      <c r="K12" s="314"/>
      <c r="L12" s="314"/>
      <c r="M12" s="314"/>
      <c r="N12" s="215"/>
      <c r="O12" s="215"/>
      <c r="P12" s="215"/>
      <c r="Q12" s="215"/>
      <c r="R12" s="215"/>
      <c r="S12" s="215"/>
      <c r="T12" s="215"/>
      <c r="U12" s="215"/>
      <c r="V12" s="21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315"/>
      <c r="AY12" s="31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6"/>
      <c r="CA12" s="96"/>
      <c r="CB12" s="96"/>
      <c r="CC12" s="96"/>
      <c r="CD12" s="96"/>
      <c r="CE12" s="97"/>
      <c r="CF12" s="273"/>
      <c r="CG12" s="256"/>
      <c r="CH12" s="256"/>
      <c r="CI12" s="256"/>
      <c r="CJ12" s="256"/>
      <c r="CK12" s="280"/>
      <c r="CL12" s="280"/>
      <c r="CM12" s="280"/>
      <c r="CN12" s="256"/>
      <c r="CO12" s="256"/>
      <c r="CP12" s="256"/>
    </row>
    <row r="13" spans="1:118" s="31" customFormat="1" ht="19.5" customHeight="1">
      <c r="A13" s="260"/>
      <c r="B13" s="263"/>
      <c r="C13" s="263"/>
      <c r="D13" s="81"/>
      <c r="E13" s="316"/>
      <c r="F13" s="316"/>
      <c r="G13" s="98"/>
      <c r="H13" s="98"/>
      <c r="I13" s="411" t="s">
        <v>344</v>
      </c>
      <c r="J13" s="412"/>
      <c r="K13" s="412"/>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3"/>
      <c r="BY13" s="112"/>
      <c r="BZ13" s="96"/>
      <c r="CA13" s="96"/>
      <c r="CB13" s="96"/>
      <c r="CC13" s="96"/>
      <c r="CD13" s="96"/>
      <c r="CE13" s="97"/>
      <c r="CF13" s="273"/>
      <c r="CG13" s="256"/>
      <c r="CH13" s="256"/>
      <c r="CI13" s="256"/>
      <c r="CJ13" s="256"/>
      <c r="CK13" s="280"/>
      <c r="CL13" s="280"/>
      <c r="CM13" s="256"/>
      <c r="CN13" s="256"/>
      <c r="CO13" s="256"/>
      <c r="CP13" s="256"/>
    </row>
    <row r="14" spans="1:118" s="31" customFormat="1" ht="19.5" customHeight="1">
      <c r="A14" s="260"/>
      <c r="B14" s="263"/>
      <c r="C14" s="263"/>
      <c r="D14" s="81"/>
      <c r="E14" s="316"/>
      <c r="F14" s="316"/>
      <c r="G14" s="98"/>
      <c r="H14" s="98"/>
      <c r="I14" s="414"/>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5"/>
      <c r="BK14" s="415"/>
      <c r="BL14" s="415"/>
      <c r="BM14" s="415"/>
      <c r="BN14" s="415"/>
      <c r="BO14" s="415"/>
      <c r="BP14" s="415"/>
      <c r="BQ14" s="415"/>
      <c r="BR14" s="415"/>
      <c r="BS14" s="415"/>
      <c r="BT14" s="415"/>
      <c r="BU14" s="415"/>
      <c r="BV14" s="415"/>
      <c r="BW14" s="415"/>
      <c r="BX14" s="416"/>
      <c r="BY14" s="95"/>
      <c r="BZ14" s="96"/>
      <c r="CA14" s="96"/>
      <c r="CB14" s="96"/>
      <c r="CC14" s="96"/>
      <c r="CD14" s="96"/>
      <c r="CE14" s="97"/>
      <c r="CF14" s="273"/>
      <c r="CG14" s="256"/>
      <c r="CH14" s="256"/>
      <c r="CI14" s="256"/>
      <c r="CJ14" s="256"/>
      <c r="CK14" s="280"/>
      <c r="CL14" s="280"/>
      <c r="CM14" s="256"/>
      <c r="CN14" s="256"/>
      <c r="CO14" s="256"/>
      <c r="CP14" s="256"/>
    </row>
    <row r="15" spans="1:118" s="31" customFormat="1" ht="19.5" customHeight="1">
      <c r="A15" s="260"/>
      <c r="B15" s="263"/>
      <c r="C15" s="263"/>
      <c r="D15" s="81"/>
      <c r="E15" s="316"/>
      <c r="F15" s="98"/>
      <c r="G15" s="98"/>
      <c r="H15" s="98"/>
      <c r="I15" s="82"/>
      <c r="J15" s="82"/>
      <c r="K15" s="82"/>
      <c r="L15" s="82"/>
      <c r="M15" s="82"/>
      <c r="N15" s="82"/>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2"/>
      <c r="BO15" s="82"/>
      <c r="BP15" s="83"/>
      <c r="BQ15" s="83"/>
      <c r="BR15" s="83"/>
      <c r="BS15" s="83"/>
      <c r="BT15" s="83"/>
      <c r="BU15" s="83"/>
      <c r="BV15" s="83"/>
      <c r="BW15" s="83"/>
      <c r="BX15" s="83"/>
      <c r="BY15" s="95"/>
      <c r="BZ15" s="96"/>
      <c r="CA15" s="96"/>
      <c r="CB15" s="96"/>
      <c r="CC15" s="96"/>
      <c r="CD15" s="96"/>
      <c r="CE15" s="99"/>
      <c r="CF15" s="273"/>
      <c r="CG15" s="256"/>
      <c r="CH15" s="256"/>
      <c r="CI15" s="256"/>
      <c r="CJ15" s="256"/>
      <c r="CK15" s="280"/>
      <c r="CL15" s="280"/>
      <c r="CM15" s="280"/>
      <c r="CN15" s="256"/>
      <c r="CO15" s="256"/>
      <c r="CP15" s="256"/>
    </row>
    <row r="16" spans="1:118" s="31" customFormat="1" ht="19.5" customHeight="1">
      <c r="A16" s="260"/>
      <c r="B16" s="263"/>
      <c r="C16" s="263"/>
      <c r="D16" s="81"/>
      <c r="E16" s="316"/>
      <c r="F16" s="98"/>
      <c r="G16" s="98"/>
      <c r="H16" s="98"/>
      <c r="I16" s="404" t="s">
        <v>290</v>
      </c>
      <c r="J16" s="405"/>
      <c r="K16" s="405"/>
      <c r="L16" s="405"/>
      <c r="M16" s="405"/>
      <c r="N16" s="405"/>
      <c r="O16" s="405"/>
      <c r="P16" s="405"/>
      <c r="Q16" s="405"/>
      <c r="R16" s="405"/>
      <c r="S16" s="405"/>
      <c r="T16" s="405"/>
      <c r="U16" s="405"/>
      <c r="V16" s="405"/>
      <c r="W16" s="405"/>
      <c r="X16" s="405"/>
      <c r="Y16" s="405"/>
      <c r="Z16" s="405"/>
      <c r="AA16" s="405"/>
      <c r="AB16" s="405"/>
      <c r="AC16" s="405"/>
      <c r="AD16" s="405"/>
      <c r="AE16" s="405"/>
      <c r="AF16" s="405"/>
      <c r="AG16" s="405"/>
      <c r="AH16" s="405"/>
      <c r="AI16" s="405"/>
      <c r="AJ16" s="405"/>
      <c r="AK16" s="405"/>
      <c r="AL16" s="405"/>
      <c r="AM16" s="405"/>
      <c r="AN16" s="405"/>
      <c r="AO16" s="405"/>
      <c r="AP16" s="405"/>
      <c r="AQ16" s="405"/>
      <c r="AR16" s="405"/>
      <c r="AS16" s="405"/>
      <c r="AT16" s="405"/>
      <c r="AU16" s="405"/>
      <c r="AV16" s="405"/>
      <c r="AW16" s="405"/>
      <c r="AX16" s="405"/>
      <c r="AY16" s="405"/>
      <c r="AZ16" s="405"/>
      <c r="BA16" s="405"/>
      <c r="BB16" s="405"/>
      <c r="BC16" s="405"/>
      <c r="BD16" s="405"/>
      <c r="BE16" s="405"/>
      <c r="BF16" s="405"/>
      <c r="BG16" s="405"/>
      <c r="BH16" s="405"/>
      <c r="BI16" s="405"/>
      <c r="BJ16" s="405"/>
      <c r="BK16" s="405"/>
      <c r="BL16" s="405"/>
      <c r="BM16" s="405"/>
      <c r="BN16" s="405"/>
      <c r="BO16" s="405"/>
      <c r="BP16" s="405"/>
      <c r="BQ16" s="405"/>
      <c r="BR16" s="405"/>
      <c r="BS16" s="405"/>
      <c r="BT16" s="405"/>
      <c r="BU16" s="405"/>
      <c r="BV16" s="405"/>
      <c r="BW16" s="405"/>
      <c r="BX16" s="406"/>
      <c r="BY16" s="95"/>
      <c r="BZ16" s="96"/>
      <c r="CA16" s="96"/>
      <c r="CB16" s="96"/>
      <c r="CC16" s="96"/>
      <c r="CD16" s="96"/>
      <c r="CE16" s="99"/>
      <c r="CF16" s="273"/>
      <c r="CG16" s="256"/>
      <c r="CH16" s="256"/>
      <c r="CI16" s="256"/>
      <c r="CJ16" s="256"/>
      <c r="CK16" s="280"/>
      <c r="CL16" s="280"/>
      <c r="CM16" s="280"/>
      <c r="CN16" s="256"/>
      <c r="CO16" s="256"/>
      <c r="CP16" s="256"/>
    </row>
    <row r="17" spans="1:114" s="31" customFormat="1" ht="19.5" customHeight="1">
      <c r="A17" s="260"/>
      <c r="B17" s="263"/>
      <c r="C17" s="263"/>
      <c r="D17" s="81"/>
      <c r="E17" s="316"/>
      <c r="F17" s="98"/>
      <c r="G17" s="98"/>
      <c r="H17" s="98"/>
      <c r="I17" s="123" t="s">
        <v>36</v>
      </c>
      <c r="J17" s="287"/>
      <c r="K17" s="287"/>
      <c r="L17" s="287"/>
      <c r="M17" s="287"/>
      <c r="N17" s="228"/>
      <c r="O17" s="121"/>
      <c r="P17" s="229"/>
      <c r="Q17" s="121"/>
      <c r="R17" s="229"/>
      <c r="S17" s="103"/>
      <c r="T17" s="100"/>
      <c r="U17" s="104"/>
      <c r="V17" s="104"/>
      <c r="W17" s="104"/>
      <c r="X17" s="104"/>
      <c r="Y17" s="104"/>
      <c r="Z17" s="104"/>
      <c r="AA17" s="101"/>
      <c r="AB17" s="101"/>
      <c r="AC17" s="101"/>
      <c r="AD17" s="101"/>
      <c r="AE17" s="101"/>
      <c r="AF17" s="101"/>
      <c r="AG17" s="101"/>
      <c r="AH17" s="101"/>
      <c r="AI17" s="101"/>
      <c r="AJ17" s="101"/>
      <c r="AK17" s="101"/>
      <c r="AL17" s="101"/>
      <c r="AM17" s="101"/>
      <c r="AN17" s="101"/>
      <c r="AO17" s="101"/>
      <c r="AP17" s="101"/>
      <c r="AQ17" s="101"/>
      <c r="AR17" s="101"/>
      <c r="AS17" s="101"/>
      <c r="AT17" s="101"/>
      <c r="AU17" s="77"/>
      <c r="AV17" s="77"/>
      <c r="AW17" s="101"/>
      <c r="AX17" s="101"/>
      <c r="AY17" s="101"/>
      <c r="AZ17" s="101"/>
      <c r="BA17" s="101"/>
      <c r="BB17" s="101"/>
      <c r="BC17" s="106"/>
      <c r="BD17" s="106"/>
      <c r="BE17" s="106"/>
      <c r="BF17" s="106"/>
      <c r="BG17" s="100"/>
      <c r="BH17" s="100"/>
      <c r="BI17" s="100"/>
      <c r="BJ17" s="101"/>
      <c r="BK17" s="100"/>
      <c r="BL17" s="100"/>
      <c r="BM17" s="100"/>
      <c r="BN17" s="101"/>
      <c r="BO17" s="100"/>
      <c r="BP17" s="100"/>
      <c r="BQ17" s="100"/>
      <c r="BR17" s="100"/>
      <c r="BS17" s="100"/>
      <c r="BT17" s="100"/>
      <c r="BU17" s="100"/>
      <c r="BV17" s="101"/>
      <c r="BW17" s="100"/>
      <c r="BX17" s="103"/>
      <c r="BY17" s="95"/>
      <c r="BZ17" s="96"/>
      <c r="CA17" s="96"/>
      <c r="CB17" s="96"/>
      <c r="CC17" s="96"/>
      <c r="CD17" s="96"/>
      <c r="CE17" s="99"/>
      <c r="CF17" s="273"/>
      <c r="CG17" s="256"/>
      <c r="CH17" s="256"/>
      <c r="CI17" s="256"/>
      <c r="CJ17" s="256"/>
      <c r="CK17" s="280"/>
      <c r="CL17" s="280"/>
      <c r="CM17" s="280"/>
      <c r="CN17" s="256"/>
      <c r="CO17" s="256"/>
      <c r="CP17" s="256"/>
    </row>
    <row r="18" spans="1:114" s="31" customFormat="1" ht="19.5" customHeight="1">
      <c r="A18" s="260"/>
      <c r="B18" s="263"/>
      <c r="C18" s="263"/>
      <c r="D18" s="81"/>
      <c r="E18" s="316"/>
      <c r="F18" s="98"/>
      <c r="G18" s="98"/>
      <c r="H18" s="98"/>
      <c r="I18" s="123" t="s">
        <v>146</v>
      </c>
      <c r="J18" s="287"/>
      <c r="K18" s="287"/>
      <c r="L18" s="287"/>
      <c r="M18" s="287"/>
      <c r="N18" s="228"/>
      <c r="O18" s="121"/>
      <c r="P18" s="229"/>
      <c r="Q18" s="121"/>
      <c r="R18" s="229"/>
      <c r="S18" s="103"/>
      <c r="T18" s="100"/>
      <c r="U18" s="104"/>
      <c r="V18" s="104"/>
      <c r="W18" s="104"/>
      <c r="X18" s="104"/>
      <c r="Y18" s="104"/>
      <c r="Z18" s="104"/>
      <c r="AA18" s="101"/>
      <c r="AB18" s="101"/>
      <c r="AC18" s="101"/>
      <c r="AD18" s="101"/>
      <c r="AE18" s="101"/>
      <c r="AF18" s="101"/>
      <c r="AG18" s="101"/>
      <c r="AH18" s="101"/>
      <c r="AI18" s="101"/>
      <c r="AJ18" s="101"/>
      <c r="AK18" s="101"/>
      <c r="AL18" s="105"/>
      <c r="AM18" s="121" t="s">
        <v>114</v>
      </c>
      <c r="AN18" s="121"/>
      <c r="AO18" s="101"/>
      <c r="AP18" s="101"/>
      <c r="AQ18" s="101"/>
      <c r="AR18" s="101"/>
      <c r="AS18" s="101"/>
      <c r="AT18" s="105"/>
      <c r="AU18" s="77" t="s">
        <v>450</v>
      </c>
      <c r="AV18" s="77"/>
      <c r="AW18" s="101"/>
      <c r="AX18" s="101"/>
      <c r="AY18" s="101"/>
      <c r="AZ18" s="101"/>
      <c r="BA18" s="101"/>
      <c r="BB18" s="101"/>
      <c r="BC18" s="106"/>
      <c r="BD18" s="106"/>
      <c r="BE18" s="106"/>
      <c r="BF18" s="106"/>
      <c r="BG18" s="100"/>
      <c r="BH18" s="100"/>
      <c r="BI18" s="100"/>
      <c r="BJ18" s="101"/>
      <c r="BK18" s="100"/>
      <c r="BL18" s="100"/>
      <c r="BM18" s="100"/>
      <c r="BN18" s="101"/>
      <c r="BO18" s="100"/>
      <c r="BP18" s="100"/>
      <c r="BQ18" s="100"/>
      <c r="BR18" s="100"/>
      <c r="BS18" s="100"/>
      <c r="BT18" s="100"/>
      <c r="BU18" s="100"/>
      <c r="BV18" s="101"/>
      <c r="BW18" s="100"/>
      <c r="BX18" s="103"/>
      <c r="BY18" s="95"/>
      <c r="BZ18" s="96"/>
      <c r="CA18" s="96"/>
      <c r="CB18" s="96"/>
      <c r="CC18" s="96"/>
      <c r="CD18" s="96"/>
      <c r="CE18" s="99"/>
      <c r="CF18" s="273"/>
      <c r="CG18" s="256"/>
      <c r="CH18" s="256"/>
      <c r="CI18" s="256"/>
      <c r="CJ18" s="256"/>
      <c r="CK18" s="280"/>
      <c r="CL18" s="280"/>
      <c r="CM18" s="280"/>
      <c r="CN18" s="256"/>
      <c r="CO18" s="256"/>
      <c r="CP18" s="256"/>
    </row>
    <row r="19" spans="1:114" s="31" customFormat="1" ht="19.5" customHeight="1">
      <c r="A19" s="260"/>
      <c r="B19" s="263"/>
      <c r="C19" s="263"/>
      <c r="D19" s="81"/>
      <c r="E19" s="316"/>
      <c r="F19" s="316"/>
      <c r="G19" s="98"/>
      <c r="H19" s="98"/>
      <c r="I19" s="120" t="s">
        <v>375</v>
      </c>
      <c r="J19" s="121"/>
      <c r="K19" s="121"/>
      <c r="L19" s="121"/>
      <c r="M19" s="122"/>
      <c r="N19" s="122"/>
      <c r="O19" s="287"/>
      <c r="P19" s="287"/>
      <c r="Q19" s="287"/>
      <c r="R19" s="122"/>
      <c r="S19" s="103"/>
      <c r="T19" s="100"/>
      <c r="U19" s="100"/>
      <c r="V19" s="100"/>
      <c r="W19" s="101"/>
      <c r="X19" s="100"/>
      <c r="Y19" s="100"/>
      <c r="Z19" s="101"/>
      <c r="AA19" s="100"/>
      <c r="AB19" s="100"/>
      <c r="AC19" s="100"/>
      <c r="AD19" s="100"/>
      <c r="AE19" s="100"/>
      <c r="AF19" s="102"/>
      <c r="AG19" s="100"/>
      <c r="AH19" s="100"/>
      <c r="AI19" s="101"/>
      <c r="AJ19" s="101"/>
      <c r="AK19" s="101"/>
      <c r="AL19" s="101"/>
      <c r="AM19" s="123" t="s">
        <v>57</v>
      </c>
      <c r="AN19" s="121"/>
      <c r="AO19" s="101"/>
      <c r="AP19" s="101"/>
      <c r="AQ19" s="101"/>
      <c r="AR19" s="101"/>
      <c r="AS19" s="101"/>
      <c r="AT19" s="105"/>
      <c r="AU19" s="101"/>
      <c r="AV19" s="101"/>
      <c r="AW19" s="101"/>
      <c r="AX19" s="101"/>
      <c r="AY19" s="106"/>
      <c r="AZ19" s="100"/>
      <c r="BA19" s="101"/>
      <c r="BB19" s="100"/>
      <c r="BC19" s="101"/>
      <c r="BD19" s="101"/>
      <c r="BE19" s="101"/>
      <c r="BF19" s="105"/>
      <c r="BG19" s="121" t="s">
        <v>377</v>
      </c>
      <c r="BH19" s="101"/>
      <c r="BI19" s="101"/>
      <c r="BJ19" s="101"/>
      <c r="BK19" s="101"/>
      <c r="BL19" s="101"/>
      <c r="BM19" s="105"/>
      <c r="BN19" s="295"/>
      <c r="BO19" s="101"/>
      <c r="BP19" s="101"/>
      <c r="BQ19" s="101"/>
      <c r="BR19" s="101"/>
      <c r="BS19" s="101"/>
      <c r="BT19" s="101"/>
      <c r="BU19" s="101"/>
      <c r="BV19" s="101"/>
      <c r="BW19" s="101"/>
      <c r="BX19" s="107"/>
      <c r="BY19" s="95"/>
      <c r="BZ19" s="96"/>
      <c r="CA19" s="96"/>
      <c r="CB19" s="96"/>
      <c r="CC19" s="96"/>
      <c r="CD19" s="96"/>
      <c r="CE19" s="99"/>
      <c r="CF19" s="273"/>
      <c r="CG19" s="256"/>
      <c r="CH19" s="256"/>
      <c r="CI19" s="256"/>
      <c r="CJ19" s="256"/>
      <c r="CK19" s="256"/>
      <c r="CL19" s="256"/>
      <c r="CM19" s="256"/>
      <c r="CN19" s="256"/>
      <c r="CO19" s="256"/>
      <c r="CP19" s="256"/>
    </row>
    <row r="20" spans="1:114" s="31" customFormat="1" ht="19.5" customHeight="1">
      <c r="A20" s="260"/>
      <c r="B20" s="263"/>
      <c r="C20" s="263"/>
      <c r="D20" s="81"/>
      <c r="E20" s="316"/>
      <c r="F20" s="316"/>
      <c r="G20" s="98"/>
      <c r="H20" s="98"/>
      <c r="I20" s="78" t="s">
        <v>173</v>
      </c>
      <c r="J20" s="294"/>
      <c r="K20" s="294"/>
      <c r="L20" s="294"/>
      <c r="M20" s="294"/>
      <c r="N20" s="294"/>
      <c r="O20" s="294"/>
      <c r="P20" s="294"/>
      <c r="Q20" s="230"/>
      <c r="R20" s="230"/>
      <c r="S20" s="313"/>
      <c r="T20" s="294"/>
      <c r="U20" s="294"/>
      <c r="V20" s="294"/>
      <c r="W20" s="294"/>
      <c r="X20" s="294"/>
      <c r="Y20" s="294"/>
      <c r="Z20" s="294"/>
      <c r="AA20" s="294"/>
      <c r="AB20" s="294"/>
      <c r="AC20" s="294"/>
      <c r="AD20" s="294"/>
      <c r="AE20" s="145"/>
      <c r="AF20" s="145"/>
      <c r="AG20" s="407"/>
      <c r="AH20" s="407"/>
      <c r="AI20" s="407"/>
      <c r="AJ20" s="407"/>
      <c r="AK20" s="407"/>
      <c r="AL20" s="407"/>
      <c r="AM20" s="407"/>
      <c r="AN20" s="407"/>
      <c r="AO20" s="407"/>
      <c r="AP20" s="407"/>
      <c r="AQ20" s="407"/>
      <c r="AR20" s="407"/>
      <c r="AS20" s="407"/>
      <c r="AT20" s="101"/>
      <c r="AU20" s="233" t="s">
        <v>174</v>
      </c>
      <c r="AV20" s="70"/>
      <c r="AW20" s="70"/>
      <c r="AX20" s="70"/>
      <c r="AY20" s="70"/>
      <c r="AZ20" s="146"/>
      <c r="BA20" s="146"/>
      <c r="BB20" s="147"/>
      <c r="BC20" s="70"/>
      <c r="BD20" s="70"/>
      <c r="BE20" s="70"/>
      <c r="BF20" s="70"/>
      <c r="BG20" s="70"/>
      <c r="BH20" s="148"/>
      <c r="BI20" s="71"/>
      <c r="BJ20" s="70"/>
      <c r="BK20" s="71"/>
      <c r="BL20" s="70" t="s">
        <v>175</v>
      </c>
      <c r="BM20" s="70"/>
      <c r="BN20" s="70"/>
      <c r="BO20" s="70"/>
      <c r="BP20" s="70"/>
      <c r="BQ20" s="70"/>
      <c r="BR20" s="70"/>
      <c r="BS20" s="70"/>
      <c r="BT20" s="70"/>
      <c r="BU20" s="70"/>
      <c r="BV20" s="70"/>
      <c r="BW20" s="70"/>
      <c r="BX20" s="72"/>
      <c r="BY20" s="95"/>
      <c r="BZ20" s="96"/>
      <c r="CA20" s="96"/>
      <c r="CB20" s="96"/>
      <c r="CC20" s="96"/>
      <c r="CD20" s="96"/>
      <c r="CE20" s="99"/>
      <c r="CF20" s="273"/>
      <c r="CG20" s="256"/>
      <c r="CH20" s="256"/>
      <c r="CI20" s="256"/>
      <c r="CJ20" s="256"/>
      <c r="CK20" s="256"/>
      <c r="CL20" s="256"/>
      <c r="CM20" s="256"/>
      <c r="CN20" s="256"/>
      <c r="CO20" s="256"/>
      <c r="CP20" s="256"/>
    </row>
    <row r="21" spans="1:114" s="31" customFormat="1" ht="19.5" customHeight="1">
      <c r="A21" s="260"/>
      <c r="B21" s="263"/>
      <c r="C21" s="263"/>
      <c r="D21" s="81"/>
      <c r="E21" s="316"/>
      <c r="F21" s="316"/>
      <c r="G21" s="98"/>
      <c r="H21" s="98"/>
      <c r="I21" s="160" t="s">
        <v>176</v>
      </c>
      <c r="J21" s="231"/>
      <c r="K21" s="231"/>
      <c r="L21" s="231"/>
      <c r="M21" s="231"/>
      <c r="N21" s="231"/>
      <c r="O21" s="232"/>
      <c r="P21" s="121"/>
      <c r="Q21" s="294"/>
      <c r="R21" s="80"/>
      <c r="S21" s="79"/>
      <c r="T21" s="70"/>
      <c r="U21" s="149"/>
      <c r="V21" s="71"/>
      <c r="W21" s="71"/>
      <c r="X21" s="150"/>
      <c r="Y21" s="150"/>
      <c r="Z21" s="150"/>
      <c r="AA21" s="150"/>
      <c r="AB21" s="150"/>
      <c r="AC21" s="150"/>
      <c r="AD21" s="70"/>
      <c r="AE21" s="70"/>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6"/>
      <c r="BF21" s="100"/>
      <c r="BG21" s="101"/>
      <c r="BH21" s="101"/>
      <c r="BI21" s="101"/>
      <c r="BJ21" s="101"/>
      <c r="BK21" s="101"/>
      <c r="BL21" s="101"/>
      <c r="BM21" s="101"/>
      <c r="BN21" s="101"/>
      <c r="BO21" s="101"/>
      <c r="BP21" s="101"/>
      <c r="BQ21" s="101"/>
      <c r="BR21" s="101"/>
      <c r="BS21" s="101"/>
      <c r="BT21" s="101"/>
      <c r="BU21" s="101"/>
      <c r="BV21" s="101"/>
      <c r="BW21" s="101"/>
      <c r="BX21" s="105"/>
      <c r="BY21" s="95"/>
      <c r="BZ21" s="96"/>
      <c r="CA21" s="96"/>
      <c r="CB21" s="96"/>
      <c r="CC21" s="96"/>
      <c r="CD21" s="96"/>
      <c r="CE21" s="99"/>
      <c r="CF21" s="273"/>
      <c r="CG21" s="256"/>
      <c r="CH21" s="256"/>
      <c r="CI21" s="256"/>
      <c r="CJ21" s="256"/>
      <c r="CK21" s="256"/>
      <c r="CL21" s="256"/>
      <c r="CM21" s="256"/>
      <c r="CN21" s="256"/>
      <c r="CO21" s="256"/>
      <c r="CP21" s="256"/>
    </row>
    <row r="22" spans="1:114" s="31" customFormat="1" ht="19.5" customHeight="1">
      <c r="A22" s="260"/>
      <c r="B22" s="263"/>
      <c r="C22" s="263"/>
      <c r="D22" s="81"/>
      <c r="E22" s="316"/>
      <c r="F22" s="316"/>
      <c r="G22" s="98"/>
      <c r="H22" s="98"/>
      <c r="I22" s="233" t="s">
        <v>251</v>
      </c>
      <c r="J22" s="232"/>
      <c r="K22" s="232"/>
      <c r="L22" s="232"/>
      <c r="M22" s="232"/>
      <c r="N22" s="232"/>
      <c r="O22" s="234"/>
      <c r="P22" s="234"/>
      <c r="Q22" s="235"/>
      <c r="R22" s="235"/>
      <c r="S22" s="312"/>
      <c r="T22" s="148"/>
      <c r="U22" s="234" t="s">
        <v>254</v>
      </c>
      <c r="V22" s="71"/>
      <c r="W22" s="71"/>
      <c r="X22" s="71"/>
      <c r="Y22" s="70"/>
      <c r="Z22" s="70"/>
      <c r="AA22" s="70"/>
      <c r="AB22" s="70"/>
      <c r="AC22" s="70"/>
      <c r="AD22" s="70"/>
      <c r="AE22" s="70"/>
      <c r="AF22" s="148"/>
      <c r="AG22" s="148"/>
      <c r="AH22" s="71"/>
      <c r="AI22" s="71"/>
      <c r="AJ22" s="71"/>
      <c r="AK22" s="70"/>
      <c r="AL22" s="148"/>
      <c r="AM22" s="70"/>
      <c r="AN22" s="70"/>
      <c r="AO22" s="70"/>
      <c r="AP22" s="101"/>
      <c r="AQ22" s="101"/>
      <c r="AR22" s="101"/>
      <c r="AS22" s="101"/>
      <c r="AT22" s="101"/>
      <c r="AU22" s="101"/>
      <c r="AV22" s="101"/>
      <c r="AW22" s="101"/>
      <c r="AX22" s="101"/>
      <c r="AY22" s="101"/>
      <c r="AZ22" s="101"/>
      <c r="BA22" s="101"/>
      <c r="BB22" s="101"/>
      <c r="BC22" s="101"/>
      <c r="BD22" s="101"/>
      <c r="BE22" s="106"/>
      <c r="BF22" s="100"/>
      <c r="BG22" s="101"/>
      <c r="BH22" s="101"/>
      <c r="BI22" s="101"/>
      <c r="BJ22" s="101"/>
      <c r="BK22" s="101"/>
      <c r="BL22" s="101"/>
      <c r="BM22" s="101"/>
      <c r="BN22" s="101"/>
      <c r="BO22" s="101"/>
      <c r="BP22" s="101"/>
      <c r="BQ22" s="101"/>
      <c r="BR22" s="101"/>
      <c r="BS22" s="101"/>
      <c r="BT22" s="101"/>
      <c r="BU22" s="101"/>
      <c r="BV22" s="101"/>
      <c r="BW22" s="101"/>
      <c r="BX22" s="105"/>
      <c r="BY22" s="95"/>
      <c r="BZ22" s="96"/>
      <c r="CA22" s="96"/>
      <c r="CB22" s="96"/>
      <c r="CC22" s="96"/>
      <c r="CD22" s="96"/>
      <c r="CE22" s="99"/>
      <c r="CF22" s="273"/>
      <c r="CG22" s="256"/>
      <c r="CH22" s="256"/>
      <c r="CI22" s="256"/>
      <c r="CJ22" s="256"/>
      <c r="CK22" s="256"/>
      <c r="CL22" s="256"/>
      <c r="CM22" s="256"/>
      <c r="CN22" s="256"/>
      <c r="CO22" s="256"/>
      <c r="CP22" s="256"/>
    </row>
    <row r="23" spans="1:114" s="31" customFormat="1" ht="19.5" customHeight="1">
      <c r="A23" s="260"/>
      <c r="B23" s="263"/>
      <c r="C23" s="263"/>
      <c r="D23" s="81"/>
      <c r="E23" s="316"/>
      <c r="F23" s="98"/>
      <c r="G23" s="98"/>
      <c r="H23" s="98"/>
      <c r="I23" s="163"/>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4"/>
      <c r="BY23" s="95"/>
      <c r="BZ23" s="96"/>
      <c r="CA23" s="96"/>
      <c r="CB23" s="96"/>
      <c r="CC23" s="96"/>
      <c r="CD23" s="96"/>
      <c r="CE23" s="99"/>
      <c r="CF23" s="273"/>
      <c r="CG23" s="256"/>
      <c r="CH23" s="256"/>
      <c r="CI23" s="256"/>
      <c r="CJ23" s="256"/>
      <c r="CK23" s="256"/>
      <c r="CL23" s="256"/>
      <c r="CM23" s="256"/>
      <c r="CN23" s="256"/>
      <c r="CO23" s="256"/>
      <c r="CP23" s="256"/>
    </row>
    <row r="24" spans="1:114" s="31" customFormat="1" ht="19.5" customHeight="1">
      <c r="A24" s="260"/>
      <c r="B24" s="263"/>
      <c r="C24" s="263"/>
      <c r="D24" s="81"/>
      <c r="E24" s="316"/>
      <c r="F24" s="98"/>
      <c r="G24" s="98"/>
      <c r="H24" s="98"/>
      <c r="I24" s="98"/>
      <c r="J24" s="98"/>
      <c r="K24" s="98"/>
      <c r="L24" s="98"/>
      <c r="M24" s="98"/>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317"/>
      <c r="CA24" s="317"/>
      <c r="CB24" s="317"/>
      <c r="CC24" s="317"/>
      <c r="CD24" s="317"/>
      <c r="CE24" s="99"/>
      <c r="CF24" s="273"/>
      <c r="CG24" s="256"/>
      <c r="CH24" s="256"/>
      <c r="CI24" s="256"/>
      <c r="CJ24" s="256"/>
      <c r="CK24" s="256"/>
      <c r="CL24" s="256"/>
      <c r="CM24" s="256"/>
      <c r="CN24" s="256"/>
      <c r="CO24" s="256"/>
      <c r="CP24" s="256"/>
    </row>
    <row r="25" spans="1:114" s="31" customFormat="1" ht="19.5" customHeight="1">
      <c r="A25" s="260"/>
      <c r="B25" s="263"/>
      <c r="C25" s="263"/>
      <c r="D25" s="81"/>
      <c r="E25" s="316"/>
      <c r="F25" s="316"/>
      <c r="G25" s="316"/>
      <c r="H25" s="316"/>
      <c r="I25" s="316"/>
      <c r="J25" s="316"/>
      <c r="K25" s="316"/>
      <c r="L25" s="316"/>
      <c r="M25" s="316"/>
      <c r="N25" s="317"/>
      <c r="O25" s="318"/>
      <c r="P25" s="318"/>
      <c r="Q25" s="318"/>
      <c r="R25" s="318"/>
      <c r="S25" s="318"/>
      <c r="T25" s="318"/>
      <c r="U25" s="318"/>
      <c r="V25" s="318"/>
      <c r="W25" s="318"/>
      <c r="X25" s="318"/>
      <c r="Y25" s="318"/>
      <c r="Z25" s="318"/>
      <c r="AA25" s="319"/>
      <c r="AB25" s="319"/>
      <c r="AC25" s="318"/>
      <c r="AD25" s="318"/>
      <c r="AE25" s="319"/>
      <c r="AF25" s="318"/>
      <c r="AG25" s="318"/>
      <c r="AH25" s="318"/>
      <c r="AI25" s="319"/>
      <c r="AJ25" s="319"/>
      <c r="AK25" s="319"/>
      <c r="AL25" s="318"/>
      <c r="AM25" s="319"/>
      <c r="AN25" s="319"/>
      <c r="AO25" s="319"/>
      <c r="AP25" s="318"/>
      <c r="AQ25" s="320"/>
      <c r="AR25" s="320"/>
      <c r="AS25" s="318"/>
      <c r="AT25" s="318"/>
      <c r="AU25" s="318"/>
      <c r="AV25" s="318"/>
      <c r="AW25" s="318"/>
      <c r="AX25" s="318"/>
      <c r="AY25" s="318"/>
      <c r="AZ25" s="318"/>
      <c r="BA25" s="318"/>
      <c r="BB25" s="318"/>
      <c r="BC25" s="318"/>
      <c r="BD25" s="318"/>
      <c r="BE25" s="318"/>
      <c r="BF25" s="319"/>
      <c r="BG25" s="318"/>
      <c r="BH25" s="318"/>
      <c r="BI25" s="318"/>
      <c r="BJ25" s="319"/>
      <c r="BK25" s="319"/>
      <c r="BL25" s="318"/>
      <c r="BM25" s="318"/>
      <c r="BN25" s="318"/>
      <c r="BO25" s="318"/>
      <c r="BP25" s="318"/>
      <c r="BQ25" s="319"/>
      <c r="BR25" s="318"/>
      <c r="BS25" s="319"/>
      <c r="BT25" s="318"/>
      <c r="BU25" s="319"/>
      <c r="BV25" s="318"/>
      <c r="BW25" s="318"/>
      <c r="BX25" s="320"/>
      <c r="BY25" s="319"/>
      <c r="BZ25" s="318"/>
      <c r="CA25" s="319"/>
      <c r="CB25" s="319"/>
      <c r="CC25" s="318"/>
      <c r="CD25" s="317"/>
      <c r="CE25" s="99"/>
      <c r="CF25" s="273"/>
      <c r="CG25" s="256"/>
      <c r="CH25" s="256"/>
      <c r="CI25" s="256"/>
      <c r="CJ25" s="256"/>
      <c r="CK25" s="256"/>
      <c r="CL25" s="256"/>
      <c r="CM25" s="256"/>
      <c r="CN25" s="256"/>
      <c r="CO25" s="256"/>
      <c r="CP25" s="256"/>
    </row>
    <row r="26" spans="1:114" s="31" customFormat="1" ht="19.5" customHeight="1">
      <c r="A26" s="260"/>
      <c r="B26" s="263"/>
      <c r="C26" s="263"/>
      <c r="D26" s="81"/>
      <c r="E26" s="316"/>
      <c r="F26" s="316"/>
      <c r="G26" s="316"/>
      <c r="H26" s="316"/>
      <c r="I26" s="316"/>
      <c r="J26" s="316"/>
      <c r="K26" s="316"/>
      <c r="L26" s="316"/>
      <c r="M26" s="316"/>
      <c r="N26" s="317"/>
      <c r="O26" s="318"/>
      <c r="P26" s="318"/>
      <c r="Q26" s="318"/>
      <c r="R26" s="318"/>
      <c r="S26" s="318"/>
      <c r="T26" s="318"/>
      <c r="U26" s="318"/>
      <c r="V26" s="318"/>
      <c r="W26" s="318"/>
      <c r="X26" s="318"/>
      <c r="Y26" s="318"/>
      <c r="Z26" s="318"/>
      <c r="AA26" s="319"/>
      <c r="AB26" s="319"/>
      <c r="AC26" s="318"/>
      <c r="AD26" s="318"/>
      <c r="AE26" s="319"/>
      <c r="AF26" s="318"/>
      <c r="AG26" s="318"/>
      <c r="AH26" s="318"/>
      <c r="AI26" s="319"/>
      <c r="AJ26" s="319"/>
      <c r="AK26" s="319"/>
      <c r="AL26" s="318"/>
      <c r="AM26" s="319"/>
      <c r="AN26" s="319"/>
      <c r="AO26" s="319"/>
      <c r="AP26" s="318"/>
      <c r="AQ26" s="320"/>
      <c r="AR26" s="320"/>
      <c r="AS26" s="318"/>
      <c r="AT26" s="318"/>
      <c r="AU26" s="318"/>
      <c r="AV26" s="318"/>
      <c r="AW26" s="318"/>
      <c r="AX26" s="318"/>
      <c r="AY26" s="318"/>
      <c r="AZ26" s="318"/>
      <c r="BA26" s="318"/>
      <c r="BB26" s="318"/>
      <c r="BC26" s="318"/>
      <c r="BD26" s="318"/>
      <c r="BE26" s="318"/>
      <c r="BF26" s="319"/>
      <c r="BG26" s="318"/>
      <c r="BH26" s="318"/>
      <c r="BI26" s="318"/>
      <c r="BJ26" s="319"/>
      <c r="BK26" s="319"/>
      <c r="BL26" s="318"/>
      <c r="BM26" s="318"/>
      <c r="BN26" s="318"/>
      <c r="BO26" s="318"/>
      <c r="BP26" s="318"/>
      <c r="BQ26" s="319"/>
      <c r="BR26" s="318"/>
      <c r="BS26" s="319"/>
      <c r="BT26" s="318"/>
      <c r="BU26" s="319"/>
      <c r="BV26" s="318"/>
      <c r="BW26" s="318"/>
      <c r="BX26" s="320"/>
      <c r="BY26" s="319"/>
      <c r="BZ26" s="318"/>
      <c r="CA26" s="319"/>
      <c r="CB26" s="319"/>
      <c r="CC26" s="318"/>
      <c r="CD26" s="317"/>
      <c r="CE26" s="99"/>
      <c r="CF26" s="273"/>
      <c r="CG26" s="256"/>
      <c r="CH26" s="256"/>
      <c r="CI26" s="256"/>
      <c r="CJ26" s="256"/>
      <c r="CK26" s="256"/>
      <c r="CL26" s="256"/>
      <c r="CM26" s="256"/>
      <c r="CN26" s="256"/>
      <c r="CO26" s="256"/>
      <c r="CP26" s="256"/>
      <c r="CR26" s="108"/>
    </row>
    <row r="27" spans="1:114" s="31" customFormat="1" ht="19.5" customHeight="1">
      <c r="A27" s="260"/>
      <c r="B27" s="263"/>
      <c r="C27" s="263"/>
      <c r="D27" s="81"/>
      <c r="E27" s="316"/>
      <c r="F27" s="316"/>
      <c r="G27" s="316"/>
      <c r="H27" s="316"/>
      <c r="I27" s="316"/>
      <c r="J27" s="316"/>
      <c r="K27" s="316"/>
      <c r="L27" s="316"/>
      <c r="M27" s="316"/>
      <c r="N27" s="317"/>
      <c r="O27" s="318"/>
      <c r="P27" s="318"/>
      <c r="Q27" s="318"/>
      <c r="R27" s="318"/>
      <c r="S27" s="318"/>
      <c r="T27" s="318"/>
      <c r="U27" s="318"/>
      <c r="V27" s="318"/>
      <c r="W27" s="318"/>
      <c r="X27" s="318"/>
      <c r="Y27" s="318"/>
      <c r="Z27" s="318"/>
      <c r="AA27" s="319"/>
      <c r="AB27" s="319"/>
      <c r="AC27" s="318"/>
      <c r="AD27" s="318"/>
      <c r="AE27" s="319"/>
      <c r="AF27" s="318"/>
      <c r="AG27" s="318"/>
      <c r="AH27" s="318"/>
      <c r="AI27" s="319"/>
      <c r="AJ27" s="319"/>
      <c r="AK27" s="319"/>
      <c r="AL27" s="318"/>
      <c r="AM27" s="319"/>
      <c r="AN27" s="319"/>
      <c r="AO27" s="319"/>
      <c r="AP27" s="318"/>
      <c r="AQ27" s="320"/>
      <c r="AR27" s="320"/>
      <c r="AS27" s="318"/>
      <c r="AT27" s="318"/>
      <c r="AU27" s="318"/>
      <c r="AV27" s="318"/>
      <c r="AW27" s="318"/>
      <c r="AX27" s="318"/>
      <c r="AY27" s="318"/>
      <c r="AZ27" s="318"/>
      <c r="BA27" s="318"/>
      <c r="BB27" s="318"/>
      <c r="BC27" s="318"/>
      <c r="BD27" s="318"/>
      <c r="BE27" s="318"/>
      <c r="BF27" s="319"/>
      <c r="BG27" s="318"/>
      <c r="BH27" s="318"/>
      <c r="BI27" s="318"/>
      <c r="BJ27" s="319"/>
      <c r="BK27" s="319"/>
      <c r="BL27" s="318"/>
      <c r="BM27" s="318"/>
      <c r="BN27" s="318"/>
      <c r="BO27" s="318"/>
      <c r="BP27" s="318"/>
      <c r="BQ27" s="319"/>
      <c r="BR27" s="318"/>
      <c r="BS27" s="319"/>
      <c r="BT27" s="318"/>
      <c r="BU27" s="319"/>
      <c r="BV27" s="318"/>
      <c r="BW27" s="318"/>
      <c r="BX27" s="320"/>
      <c r="BY27" s="319"/>
      <c r="BZ27" s="318"/>
      <c r="CA27" s="319"/>
      <c r="CB27" s="319"/>
      <c r="CC27" s="318"/>
      <c r="CD27" s="317"/>
      <c r="CE27" s="99"/>
      <c r="CF27" s="273"/>
      <c r="CG27" s="256"/>
      <c r="CH27" s="256"/>
      <c r="CI27" s="256"/>
      <c r="CJ27" s="256"/>
      <c r="CK27" s="256"/>
      <c r="CL27" s="256"/>
      <c r="CM27" s="256"/>
      <c r="CN27" s="256"/>
      <c r="CO27" s="256"/>
      <c r="CP27" s="256"/>
      <c r="CS27" s="92"/>
      <c r="CT27" s="93"/>
      <c r="CU27" s="93"/>
      <c r="CV27" s="93"/>
      <c r="CW27" s="93"/>
      <c r="CY27" s="93"/>
      <c r="CZ27" s="93"/>
      <c r="DA27" s="93"/>
      <c r="DB27" s="93"/>
      <c r="DC27" s="93"/>
      <c r="DD27" s="93"/>
      <c r="DE27" s="93"/>
      <c r="DF27" s="93"/>
      <c r="DH27" s="93"/>
      <c r="DI27" s="93"/>
      <c r="DJ27" s="93"/>
    </row>
    <row r="28" spans="1:114" s="31" customFormat="1" ht="19.5" customHeight="1">
      <c r="A28" s="260"/>
      <c r="B28" s="263"/>
      <c r="C28" s="263"/>
      <c r="D28" s="81"/>
      <c r="E28" s="316"/>
      <c r="F28" s="316"/>
      <c r="G28" s="316"/>
      <c r="H28" s="316"/>
      <c r="I28" s="316"/>
      <c r="J28" s="316"/>
      <c r="K28" s="316"/>
      <c r="L28" s="316"/>
      <c r="M28" s="316"/>
      <c r="N28" s="317"/>
      <c r="O28" s="318"/>
      <c r="P28" s="318"/>
      <c r="Q28" s="318"/>
      <c r="R28" s="318"/>
      <c r="S28" s="318"/>
      <c r="T28" s="318"/>
      <c r="U28" s="318"/>
      <c r="V28" s="318"/>
      <c r="W28" s="318"/>
      <c r="X28" s="318"/>
      <c r="Y28" s="318"/>
      <c r="Z28" s="318"/>
      <c r="AA28" s="319"/>
      <c r="AB28" s="319"/>
      <c r="AC28" s="318"/>
      <c r="AD28" s="318"/>
      <c r="AE28" s="319"/>
      <c r="AF28" s="318"/>
      <c r="AG28" s="318"/>
      <c r="AH28" s="318"/>
      <c r="AI28" s="319"/>
      <c r="AJ28" s="319"/>
      <c r="AK28" s="319"/>
      <c r="AL28" s="318"/>
      <c r="AM28" s="319"/>
      <c r="AN28" s="319"/>
      <c r="AO28" s="319"/>
      <c r="AP28" s="318"/>
      <c r="AQ28" s="320"/>
      <c r="AR28" s="320"/>
      <c r="AS28" s="318"/>
      <c r="AT28" s="318"/>
      <c r="AU28" s="318"/>
      <c r="AV28" s="318"/>
      <c r="AW28" s="318"/>
      <c r="AX28" s="318"/>
      <c r="AY28" s="318"/>
      <c r="AZ28" s="318"/>
      <c r="BA28" s="318"/>
      <c r="BB28" s="318"/>
      <c r="BC28" s="318"/>
      <c r="BD28" s="318"/>
      <c r="BE28" s="318"/>
      <c r="BF28" s="319"/>
      <c r="BG28" s="318"/>
      <c r="BH28" s="318"/>
      <c r="BI28" s="318"/>
      <c r="BJ28" s="319"/>
      <c r="BK28" s="319"/>
      <c r="BL28" s="318"/>
      <c r="BM28" s="318"/>
      <c r="BN28" s="318"/>
      <c r="BO28" s="318"/>
      <c r="BP28" s="318"/>
      <c r="BQ28" s="319"/>
      <c r="BR28" s="318"/>
      <c r="BS28" s="319"/>
      <c r="BT28" s="318"/>
      <c r="BU28" s="319"/>
      <c r="BV28" s="318"/>
      <c r="BW28" s="318"/>
      <c r="BX28" s="320"/>
      <c r="BY28" s="319"/>
      <c r="BZ28" s="318"/>
      <c r="CA28" s="319"/>
      <c r="CB28" s="319"/>
      <c r="CC28" s="318"/>
      <c r="CD28" s="317"/>
      <c r="CE28" s="99"/>
      <c r="CF28" s="273"/>
      <c r="CG28" s="256"/>
      <c r="CH28" s="256"/>
      <c r="CI28" s="256"/>
      <c r="CJ28" s="256"/>
      <c r="CK28" s="256"/>
      <c r="CL28" s="256"/>
      <c r="CM28" s="256"/>
      <c r="CN28" s="256"/>
      <c r="CO28" s="256"/>
      <c r="CP28" s="256"/>
      <c r="CS28" s="92"/>
      <c r="CT28" s="93"/>
      <c r="CU28" s="93"/>
      <c r="CV28" s="93"/>
      <c r="CW28" s="93"/>
      <c r="CY28" s="93"/>
      <c r="CZ28" s="93"/>
      <c r="DA28" s="93"/>
      <c r="DB28" s="93"/>
      <c r="DC28" s="93"/>
      <c r="DD28" s="93"/>
      <c r="DE28" s="93"/>
      <c r="DF28" s="93"/>
      <c r="DH28" s="93"/>
      <c r="DI28" s="93"/>
      <c r="DJ28" s="93"/>
    </row>
    <row r="29" spans="1:114" s="31" customFormat="1" ht="19.5" customHeight="1">
      <c r="A29" s="260"/>
      <c r="B29" s="263"/>
      <c r="C29" s="263"/>
      <c r="D29" s="81"/>
      <c r="E29" s="316"/>
      <c r="F29" s="316"/>
      <c r="G29" s="316"/>
      <c r="H29" s="316"/>
      <c r="I29" s="316"/>
      <c r="J29" s="316"/>
      <c r="K29" s="316"/>
      <c r="L29" s="316"/>
      <c r="M29" s="316"/>
      <c r="N29" s="317"/>
      <c r="O29" s="317"/>
      <c r="P29" s="317"/>
      <c r="Q29" s="317"/>
      <c r="R29" s="317"/>
      <c r="S29" s="317"/>
      <c r="T29" s="321"/>
      <c r="U29" s="321"/>
      <c r="V29" s="321"/>
      <c r="W29" s="321"/>
      <c r="X29" s="321"/>
      <c r="Y29" s="321"/>
      <c r="Z29" s="321"/>
      <c r="AA29" s="321"/>
      <c r="AB29" s="321"/>
      <c r="AC29" s="321"/>
      <c r="AD29" s="321"/>
      <c r="AE29" s="321"/>
      <c r="AF29" s="321"/>
      <c r="AG29" s="321"/>
      <c r="AH29" s="322"/>
      <c r="AI29" s="322"/>
      <c r="AJ29" s="323"/>
      <c r="AK29" s="323"/>
      <c r="AL29" s="321"/>
      <c r="AM29" s="321"/>
      <c r="AN29" s="321"/>
      <c r="AO29" s="321"/>
      <c r="AP29" s="321"/>
      <c r="AQ29" s="321"/>
      <c r="AR29" s="321"/>
      <c r="AS29" s="321"/>
      <c r="AT29" s="321"/>
      <c r="AU29" s="321"/>
      <c r="AV29" s="321"/>
      <c r="AW29" s="321"/>
      <c r="AX29" s="321"/>
      <c r="AY29" s="321"/>
      <c r="AZ29" s="321"/>
      <c r="BA29" s="321"/>
      <c r="BB29" s="317"/>
      <c r="BC29" s="317"/>
      <c r="BD29" s="317"/>
      <c r="BE29" s="317"/>
      <c r="BF29" s="317"/>
      <c r="BG29" s="317"/>
      <c r="BH29" s="323"/>
      <c r="BI29" s="323"/>
      <c r="BJ29" s="323"/>
      <c r="BK29" s="323"/>
      <c r="BL29" s="323"/>
      <c r="BM29" s="323"/>
      <c r="BN29" s="323"/>
      <c r="BO29" s="323"/>
      <c r="BP29" s="323"/>
      <c r="BQ29" s="323"/>
      <c r="BR29" s="317"/>
      <c r="BS29" s="317"/>
      <c r="BT29" s="317"/>
      <c r="BU29" s="317"/>
      <c r="BV29" s="317"/>
      <c r="BW29" s="317"/>
      <c r="BX29" s="317"/>
      <c r="BY29" s="317"/>
      <c r="BZ29" s="317"/>
      <c r="CA29" s="317"/>
      <c r="CB29" s="317"/>
      <c r="CC29" s="317"/>
      <c r="CD29" s="317"/>
      <c r="CE29" s="109"/>
      <c r="CF29" s="273"/>
      <c r="CG29" s="256"/>
      <c r="CH29" s="256"/>
      <c r="CI29" s="256"/>
      <c r="CJ29" s="256"/>
      <c r="CK29" s="256"/>
      <c r="CL29" s="256"/>
      <c r="CM29" s="256"/>
      <c r="CN29" s="256"/>
      <c r="CO29" s="256"/>
      <c r="CP29" s="256"/>
    </row>
    <row r="30" spans="1:114" s="31" customFormat="1" ht="19.5" customHeight="1">
      <c r="A30" s="260"/>
      <c r="B30" s="263"/>
      <c r="C30" s="263"/>
      <c r="D30" s="81"/>
      <c r="E30" s="316"/>
      <c r="F30" s="316"/>
      <c r="G30" s="316"/>
      <c r="H30" s="316"/>
      <c r="I30" s="316"/>
      <c r="J30" s="316"/>
      <c r="K30" s="316"/>
      <c r="L30" s="316"/>
      <c r="M30" s="316"/>
      <c r="N30" s="317"/>
      <c r="O30" s="317"/>
      <c r="P30" s="317"/>
      <c r="Q30" s="317"/>
      <c r="R30" s="317"/>
      <c r="S30" s="317"/>
      <c r="T30" s="321"/>
      <c r="U30" s="321"/>
      <c r="V30" s="321"/>
      <c r="W30" s="321"/>
      <c r="X30" s="321"/>
      <c r="Y30" s="321"/>
      <c r="Z30" s="321"/>
      <c r="AA30" s="321"/>
      <c r="AB30" s="321"/>
      <c r="AC30" s="321"/>
      <c r="AD30" s="321"/>
      <c r="AE30" s="321"/>
      <c r="AF30" s="321"/>
      <c r="AG30" s="321"/>
      <c r="AH30" s="322"/>
      <c r="AI30" s="322"/>
      <c r="AJ30" s="323"/>
      <c r="AK30" s="323"/>
      <c r="AL30" s="321"/>
      <c r="AM30" s="321"/>
      <c r="AN30" s="321"/>
      <c r="AO30" s="321"/>
      <c r="AP30" s="321"/>
      <c r="AQ30" s="321"/>
      <c r="AR30" s="321"/>
      <c r="AS30" s="321"/>
      <c r="AT30" s="321"/>
      <c r="AU30" s="321"/>
      <c r="AV30" s="321"/>
      <c r="AW30" s="321"/>
      <c r="AX30" s="321"/>
      <c r="AY30" s="321"/>
      <c r="AZ30" s="321"/>
      <c r="BA30" s="321"/>
      <c r="BB30" s="317"/>
      <c r="BC30" s="317"/>
      <c r="BD30" s="317"/>
      <c r="BE30" s="317"/>
      <c r="BF30" s="317"/>
      <c r="BG30" s="317"/>
      <c r="BH30" s="323"/>
      <c r="BI30" s="323"/>
      <c r="BJ30" s="323"/>
      <c r="BK30" s="323"/>
      <c r="BL30" s="323"/>
      <c r="BM30" s="323"/>
      <c r="BN30" s="323"/>
      <c r="BO30" s="323"/>
      <c r="BP30" s="323"/>
      <c r="BQ30" s="323"/>
      <c r="BR30" s="317"/>
      <c r="BS30" s="317"/>
      <c r="BT30" s="317"/>
      <c r="BU30" s="317"/>
      <c r="BV30" s="317"/>
      <c r="BW30" s="317"/>
      <c r="BX30" s="317"/>
      <c r="BY30" s="317"/>
      <c r="BZ30" s="317"/>
      <c r="CA30" s="317"/>
      <c r="CB30" s="317"/>
      <c r="CC30" s="317"/>
      <c r="CD30" s="317"/>
      <c r="CE30" s="109"/>
      <c r="CF30" s="273"/>
      <c r="CG30" s="256"/>
      <c r="CH30" s="256"/>
      <c r="CI30" s="256"/>
      <c r="CJ30" s="256"/>
      <c r="CK30" s="256"/>
      <c r="CL30" s="256"/>
      <c r="CM30" s="256"/>
      <c r="CN30" s="256"/>
      <c r="CO30" s="256"/>
      <c r="CP30" s="256"/>
    </row>
    <row r="31" spans="1:114" s="31" customFormat="1" ht="19.5" customHeight="1">
      <c r="A31" s="260"/>
      <c r="B31" s="263"/>
      <c r="C31" s="263"/>
      <c r="D31" s="81"/>
      <c r="E31" s="316"/>
      <c r="F31" s="316"/>
      <c r="G31" s="316"/>
      <c r="H31" s="316"/>
      <c r="I31" s="316"/>
      <c r="J31" s="316"/>
      <c r="K31" s="316"/>
      <c r="L31" s="316"/>
      <c r="M31" s="316"/>
      <c r="N31" s="317"/>
      <c r="O31" s="96"/>
      <c r="P31" s="317"/>
      <c r="Q31" s="317"/>
      <c r="R31" s="317"/>
      <c r="S31" s="324"/>
      <c r="T31" s="324"/>
      <c r="U31" s="324"/>
      <c r="V31" s="317"/>
      <c r="W31" s="317"/>
      <c r="X31" s="317"/>
      <c r="Y31" s="317"/>
      <c r="Z31" s="317"/>
      <c r="AA31" s="324"/>
      <c r="AB31" s="324"/>
      <c r="AC31" s="324"/>
      <c r="AD31" s="317"/>
      <c r="AE31" s="317"/>
      <c r="AF31" s="324"/>
      <c r="AG31" s="324"/>
      <c r="AH31" s="324"/>
      <c r="AI31" s="324"/>
      <c r="AJ31" s="324"/>
      <c r="AK31" s="324"/>
      <c r="AL31" s="317"/>
      <c r="AM31" s="317"/>
      <c r="AN31" s="324"/>
      <c r="AO31" s="324"/>
      <c r="AP31" s="324"/>
      <c r="AQ31" s="324"/>
      <c r="AR31" s="324"/>
      <c r="AS31" s="324"/>
      <c r="AT31" s="317"/>
      <c r="AU31" s="317"/>
      <c r="AV31" s="324"/>
      <c r="AW31" s="324"/>
      <c r="AX31" s="324"/>
      <c r="AY31" s="324"/>
      <c r="AZ31" s="324"/>
      <c r="BA31" s="324"/>
      <c r="BB31" s="317"/>
      <c r="BC31" s="317"/>
      <c r="BD31" s="317"/>
      <c r="BE31" s="317"/>
      <c r="BF31" s="317"/>
      <c r="BG31" s="317"/>
      <c r="BH31" s="317"/>
      <c r="BI31" s="317"/>
      <c r="BJ31" s="317"/>
      <c r="BK31" s="317"/>
      <c r="BL31" s="317"/>
      <c r="BM31" s="317"/>
      <c r="BN31" s="317"/>
      <c r="BO31" s="317"/>
      <c r="BP31" s="317"/>
      <c r="BQ31" s="317"/>
      <c r="BR31" s="317"/>
      <c r="BS31" s="317"/>
      <c r="BT31" s="317"/>
      <c r="BU31" s="317"/>
      <c r="BV31" s="317"/>
      <c r="BW31" s="317"/>
      <c r="BX31" s="317"/>
      <c r="BY31" s="317"/>
      <c r="BZ31" s="317"/>
      <c r="CA31" s="317"/>
      <c r="CB31" s="317"/>
      <c r="CC31" s="317"/>
      <c r="CD31" s="317"/>
      <c r="CE31" s="109"/>
      <c r="CF31" s="273"/>
      <c r="CG31" s="256"/>
      <c r="CH31" s="256"/>
      <c r="CI31" s="256"/>
      <c r="CJ31" s="256"/>
      <c r="CK31" s="256"/>
      <c r="CL31" s="256"/>
      <c r="CM31" s="256"/>
      <c r="CN31" s="256"/>
      <c r="CO31" s="256"/>
      <c r="CP31" s="256"/>
    </row>
    <row r="32" spans="1:114" s="31" customFormat="1" ht="19.5" customHeight="1">
      <c r="A32" s="260"/>
      <c r="B32" s="263"/>
      <c r="C32" s="263"/>
      <c r="D32" s="87"/>
      <c r="E32" s="88"/>
      <c r="F32" s="88"/>
      <c r="G32" s="88"/>
      <c r="H32" s="88"/>
      <c r="I32" s="88"/>
      <c r="J32" s="88"/>
      <c r="K32" s="88"/>
      <c r="L32" s="88"/>
      <c r="M32" s="88"/>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1"/>
      <c r="CF32" s="273"/>
      <c r="CG32" s="256"/>
      <c r="CH32" s="256"/>
      <c r="CI32" s="256"/>
      <c r="CJ32" s="256"/>
      <c r="CK32" s="256"/>
      <c r="CL32" s="256"/>
      <c r="CM32" s="256"/>
      <c r="CN32" s="256"/>
      <c r="CO32" s="256"/>
      <c r="CP32" s="256"/>
    </row>
    <row r="33" spans="1:94" ht="8.25" customHeight="1">
      <c r="A33" s="257"/>
      <c r="D33" s="308"/>
      <c r="E33" s="308"/>
      <c r="F33" s="308"/>
      <c r="G33" s="308"/>
      <c r="H33" s="308"/>
      <c r="I33" s="308"/>
      <c r="J33" s="308"/>
      <c r="K33" s="308"/>
      <c r="L33" s="308"/>
      <c r="M33" s="308"/>
      <c r="N33" s="254"/>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9"/>
    </row>
    <row r="34" spans="1:94" ht="7.5" customHeight="1">
      <c r="A34" s="257"/>
      <c r="D34" s="254"/>
      <c r="E34" s="254"/>
      <c r="F34" s="254"/>
      <c r="G34" s="254"/>
      <c r="H34" s="254"/>
      <c r="I34" s="254"/>
      <c r="J34" s="254"/>
      <c r="K34" s="254"/>
      <c r="L34" s="254"/>
      <c r="M34" s="254"/>
      <c r="N34" s="254"/>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9"/>
    </row>
    <row r="35" spans="1:94" s="31" customFormat="1" ht="19.5" customHeight="1">
      <c r="A35" s="260"/>
      <c r="B35" s="261"/>
      <c r="C35" s="262"/>
      <c r="D35" s="283"/>
      <c r="E35" s="284"/>
      <c r="F35" s="284"/>
      <c r="G35" s="284"/>
      <c r="H35" s="284"/>
      <c r="I35" s="284"/>
      <c r="J35" s="284"/>
      <c r="K35" s="284"/>
      <c r="L35" s="421" t="s">
        <v>288</v>
      </c>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c r="AJ35" s="421"/>
      <c r="AK35" s="421"/>
      <c r="AL35" s="421"/>
      <c r="AM35" s="421"/>
      <c r="AN35" s="421"/>
      <c r="AO35" s="421"/>
      <c r="AP35" s="421"/>
      <c r="AQ35" s="421"/>
      <c r="AR35" s="421"/>
      <c r="AS35" s="421"/>
      <c r="AT35" s="421"/>
      <c r="AU35" s="421"/>
      <c r="AV35" s="421"/>
      <c r="AW35" s="421"/>
      <c r="AX35" s="421"/>
      <c r="AY35" s="421"/>
      <c r="AZ35" s="421"/>
      <c r="BA35" s="421"/>
      <c r="BB35" s="421"/>
      <c r="BC35" s="421"/>
      <c r="BD35" s="421"/>
      <c r="BE35" s="421"/>
      <c r="BF35" s="421"/>
      <c r="BG35" s="421"/>
      <c r="BH35" s="421"/>
      <c r="BI35" s="421"/>
      <c r="BJ35" s="421"/>
      <c r="BK35" s="421"/>
      <c r="BL35" s="421"/>
      <c r="BM35" s="421"/>
      <c r="BN35" s="421"/>
      <c r="BO35" s="421"/>
      <c r="BP35" s="421"/>
      <c r="BQ35" s="421"/>
      <c r="BR35" s="421"/>
      <c r="BS35" s="421"/>
      <c r="BT35" s="421"/>
      <c r="BU35" s="417" t="s">
        <v>289</v>
      </c>
      <c r="BV35" s="417"/>
      <c r="BW35" s="417"/>
      <c r="BX35" s="417"/>
      <c r="BY35" s="417"/>
      <c r="BZ35" s="417"/>
      <c r="CA35" s="417"/>
      <c r="CB35" s="417"/>
      <c r="CC35" s="417"/>
      <c r="CD35" s="417"/>
      <c r="CE35" s="418"/>
      <c r="CF35" s="273"/>
      <c r="CG35" s="256"/>
      <c r="CH35" s="256"/>
      <c r="CI35" s="256"/>
      <c r="CJ35" s="256"/>
      <c r="CK35" s="280"/>
      <c r="CL35" s="280"/>
      <c r="CM35" s="280"/>
      <c r="CN35" s="256"/>
      <c r="CO35" s="256"/>
      <c r="CP35" s="256"/>
    </row>
    <row r="36" spans="1:94" s="31" customFormat="1" ht="19.5" customHeight="1" thickBot="1">
      <c r="A36" s="260"/>
      <c r="B36" s="263"/>
      <c r="C36" s="262"/>
      <c r="D36" s="285"/>
      <c r="E36" s="286"/>
      <c r="F36" s="286"/>
      <c r="G36" s="286"/>
      <c r="H36" s="286"/>
      <c r="I36" s="286"/>
      <c r="J36" s="286"/>
      <c r="K36" s="286"/>
      <c r="L36" s="422"/>
      <c r="M36" s="422"/>
      <c r="N36" s="422"/>
      <c r="O36" s="422"/>
      <c r="P36" s="422"/>
      <c r="Q36" s="422"/>
      <c r="R36" s="422"/>
      <c r="S36" s="422"/>
      <c r="T36" s="422"/>
      <c r="U36" s="422"/>
      <c r="V36" s="422"/>
      <c r="W36" s="422"/>
      <c r="X36" s="422"/>
      <c r="Y36" s="422"/>
      <c r="Z36" s="422"/>
      <c r="AA36" s="422"/>
      <c r="AB36" s="422"/>
      <c r="AC36" s="422"/>
      <c r="AD36" s="422"/>
      <c r="AE36" s="422"/>
      <c r="AF36" s="422"/>
      <c r="AG36" s="422"/>
      <c r="AH36" s="422"/>
      <c r="AI36" s="422"/>
      <c r="AJ36" s="422"/>
      <c r="AK36" s="422"/>
      <c r="AL36" s="422"/>
      <c r="AM36" s="422"/>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2"/>
      <c r="BK36" s="422"/>
      <c r="BL36" s="422"/>
      <c r="BM36" s="422"/>
      <c r="BN36" s="422"/>
      <c r="BO36" s="422"/>
      <c r="BP36" s="422"/>
      <c r="BQ36" s="422"/>
      <c r="BR36" s="422"/>
      <c r="BS36" s="422"/>
      <c r="BT36" s="422"/>
      <c r="BU36" s="419"/>
      <c r="BV36" s="419"/>
      <c r="BW36" s="419"/>
      <c r="BX36" s="419"/>
      <c r="BY36" s="419"/>
      <c r="BZ36" s="419"/>
      <c r="CA36" s="419"/>
      <c r="CB36" s="419"/>
      <c r="CC36" s="419"/>
      <c r="CD36" s="419"/>
      <c r="CE36" s="420"/>
      <c r="CF36" s="273"/>
      <c r="CG36" s="256"/>
      <c r="CH36" s="256"/>
      <c r="CI36" s="256"/>
      <c r="CJ36" s="256"/>
      <c r="CK36" s="280"/>
      <c r="CL36" s="280"/>
      <c r="CM36" s="256"/>
      <c r="CN36" s="256"/>
      <c r="CO36" s="256"/>
      <c r="CP36" s="256"/>
    </row>
    <row r="37" spans="1:94" s="31" customFormat="1" ht="19.5" customHeight="1" thickTop="1">
      <c r="A37" s="260"/>
      <c r="B37" s="263"/>
      <c r="C37" s="263"/>
      <c r="D37" s="84"/>
      <c r="E37" s="96"/>
      <c r="F37" s="85"/>
      <c r="G37" s="86"/>
      <c r="H37" s="86"/>
      <c r="I37" s="129" t="s">
        <v>112</v>
      </c>
      <c r="J37" s="314"/>
      <c r="K37" s="314"/>
      <c r="L37" s="314"/>
      <c r="M37" s="314"/>
      <c r="N37" s="215"/>
      <c r="O37" s="215"/>
      <c r="P37" s="215"/>
      <c r="Q37" s="215"/>
      <c r="R37" s="215"/>
      <c r="S37" s="215"/>
      <c r="T37" s="215"/>
      <c r="U37" s="215"/>
      <c r="V37" s="21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315"/>
      <c r="AY37" s="31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6"/>
      <c r="CA37" s="96"/>
      <c r="CB37" s="96"/>
      <c r="CC37" s="96"/>
      <c r="CD37" s="96"/>
      <c r="CE37" s="97"/>
      <c r="CF37" s="273"/>
      <c r="CG37" s="256"/>
      <c r="CH37" s="256"/>
      <c r="CI37" s="256"/>
      <c r="CJ37" s="256"/>
      <c r="CK37" s="280"/>
      <c r="CL37" s="280"/>
      <c r="CM37" s="256"/>
      <c r="CN37" s="256"/>
      <c r="CO37" s="256"/>
      <c r="CP37" s="256"/>
    </row>
    <row r="38" spans="1:94" s="31" customFormat="1" ht="19.5" customHeight="1">
      <c r="A38" s="260"/>
      <c r="B38" s="263"/>
      <c r="C38" s="263"/>
      <c r="D38" s="81"/>
      <c r="E38" s="316"/>
      <c r="F38" s="316"/>
      <c r="G38" s="98"/>
      <c r="H38" s="98"/>
      <c r="I38" s="411" t="s">
        <v>344</v>
      </c>
      <c r="J38" s="412"/>
      <c r="K38" s="412"/>
      <c r="L38" s="412"/>
      <c r="M38" s="412"/>
      <c r="N38" s="412"/>
      <c r="O38" s="412"/>
      <c r="P38" s="412"/>
      <c r="Q38" s="412"/>
      <c r="R38" s="412"/>
      <c r="S38" s="412"/>
      <c r="T38" s="412"/>
      <c r="U38" s="412"/>
      <c r="V38" s="412"/>
      <c r="W38" s="412"/>
      <c r="X38" s="412"/>
      <c r="Y38" s="412"/>
      <c r="Z38" s="412"/>
      <c r="AA38" s="412"/>
      <c r="AB38" s="412"/>
      <c r="AC38" s="412"/>
      <c r="AD38" s="412"/>
      <c r="AE38" s="412"/>
      <c r="AF38" s="412"/>
      <c r="AG38" s="412"/>
      <c r="AH38" s="412"/>
      <c r="AI38" s="412"/>
      <c r="AJ38" s="412"/>
      <c r="AK38" s="412"/>
      <c r="AL38" s="412"/>
      <c r="AM38" s="412"/>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2"/>
      <c r="BK38" s="412"/>
      <c r="BL38" s="412"/>
      <c r="BM38" s="412"/>
      <c r="BN38" s="412"/>
      <c r="BO38" s="412"/>
      <c r="BP38" s="412"/>
      <c r="BQ38" s="412"/>
      <c r="BR38" s="412"/>
      <c r="BS38" s="412"/>
      <c r="BT38" s="412"/>
      <c r="BU38" s="412"/>
      <c r="BV38" s="412"/>
      <c r="BW38" s="412"/>
      <c r="BX38" s="413"/>
      <c r="BY38" s="112"/>
      <c r="BZ38" s="96"/>
      <c r="CA38" s="96"/>
      <c r="CB38" s="96"/>
      <c r="CC38" s="96"/>
      <c r="CD38" s="96"/>
      <c r="CE38" s="97"/>
      <c r="CF38" s="273"/>
      <c r="CG38" s="256"/>
      <c r="CH38" s="256"/>
      <c r="CI38" s="256"/>
      <c r="CJ38" s="256"/>
      <c r="CK38" s="280"/>
      <c r="CL38" s="280"/>
      <c r="CM38" s="256"/>
      <c r="CN38" s="256"/>
      <c r="CO38" s="256"/>
      <c r="CP38" s="256"/>
    </row>
    <row r="39" spans="1:94" s="31" customFormat="1" ht="19.5" customHeight="1">
      <c r="A39" s="260"/>
      <c r="B39" s="263"/>
      <c r="C39" s="263"/>
      <c r="D39" s="81"/>
      <c r="E39" s="316"/>
      <c r="F39" s="316"/>
      <c r="G39" s="98"/>
      <c r="H39" s="98"/>
      <c r="I39" s="414"/>
      <c r="J39" s="415"/>
      <c r="K39" s="415"/>
      <c r="L39" s="415"/>
      <c r="M39" s="415"/>
      <c r="N39" s="415"/>
      <c r="O39" s="415"/>
      <c r="P39" s="415"/>
      <c r="Q39" s="415"/>
      <c r="R39" s="415"/>
      <c r="S39" s="415"/>
      <c r="T39" s="415"/>
      <c r="U39" s="415"/>
      <c r="V39" s="415"/>
      <c r="W39" s="415"/>
      <c r="X39" s="415"/>
      <c r="Y39" s="415"/>
      <c r="Z39" s="415"/>
      <c r="AA39" s="415"/>
      <c r="AB39" s="415"/>
      <c r="AC39" s="415"/>
      <c r="AD39" s="415"/>
      <c r="AE39" s="415"/>
      <c r="AF39" s="415"/>
      <c r="AG39" s="415"/>
      <c r="AH39" s="415"/>
      <c r="AI39" s="415"/>
      <c r="AJ39" s="415"/>
      <c r="AK39" s="415"/>
      <c r="AL39" s="415"/>
      <c r="AM39" s="415"/>
      <c r="AN39" s="415"/>
      <c r="AO39" s="415"/>
      <c r="AP39" s="415"/>
      <c r="AQ39" s="415"/>
      <c r="AR39" s="415"/>
      <c r="AS39" s="415"/>
      <c r="AT39" s="415"/>
      <c r="AU39" s="415"/>
      <c r="AV39" s="415"/>
      <c r="AW39" s="415"/>
      <c r="AX39" s="415"/>
      <c r="AY39" s="415"/>
      <c r="AZ39" s="415"/>
      <c r="BA39" s="415"/>
      <c r="BB39" s="415"/>
      <c r="BC39" s="415"/>
      <c r="BD39" s="415"/>
      <c r="BE39" s="415"/>
      <c r="BF39" s="415"/>
      <c r="BG39" s="415"/>
      <c r="BH39" s="415"/>
      <c r="BI39" s="415"/>
      <c r="BJ39" s="415"/>
      <c r="BK39" s="415"/>
      <c r="BL39" s="415"/>
      <c r="BM39" s="415"/>
      <c r="BN39" s="415"/>
      <c r="BO39" s="415"/>
      <c r="BP39" s="415"/>
      <c r="BQ39" s="415"/>
      <c r="BR39" s="415"/>
      <c r="BS39" s="415"/>
      <c r="BT39" s="415"/>
      <c r="BU39" s="415"/>
      <c r="BV39" s="415"/>
      <c r="BW39" s="415"/>
      <c r="BX39" s="416"/>
      <c r="BY39" s="95"/>
      <c r="BZ39" s="96"/>
      <c r="CA39" s="96"/>
      <c r="CB39" s="96"/>
      <c r="CC39" s="96"/>
      <c r="CD39" s="96"/>
      <c r="CE39" s="97"/>
      <c r="CF39" s="273"/>
      <c r="CG39" s="256"/>
      <c r="CH39" s="256"/>
      <c r="CI39" s="256"/>
      <c r="CJ39" s="256"/>
      <c r="CK39" s="280"/>
      <c r="CL39" s="280"/>
      <c r="CM39" s="256"/>
      <c r="CN39" s="256"/>
      <c r="CO39" s="256"/>
      <c r="CP39" s="256"/>
    </row>
    <row r="40" spans="1:94" s="31" customFormat="1" ht="19.5" customHeight="1">
      <c r="A40" s="260"/>
      <c r="B40" s="263"/>
      <c r="C40" s="263"/>
      <c r="D40" s="81"/>
      <c r="E40" s="316"/>
      <c r="F40" s="316"/>
      <c r="G40" s="98"/>
      <c r="H40" s="98"/>
      <c r="I40" s="98"/>
      <c r="J40" s="98"/>
      <c r="K40" s="98"/>
      <c r="L40" s="98"/>
      <c r="M40" s="98"/>
      <c r="N40" s="95"/>
      <c r="O40" s="82"/>
      <c r="P40" s="82"/>
      <c r="Q40" s="82"/>
      <c r="R40" s="82"/>
      <c r="S40" s="82"/>
      <c r="T40" s="82"/>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2"/>
      <c r="BU40" s="82"/>
      <c r="BV40" s="83"/>
      <c r="BW40" s="83"/>
      <c r="BX40" s="83"/>
      <c r="BY40" s="325"/>
      <c r="BZ40" s="326"/>
      <c r="CA40" s="326"/>
      <c r="CB40" s="326"/>
      <c r="CC40" s="326"/>
      <c r="CD40" s="326"/>
      <c r="CE40" s="99"/>
      <c r="CF40" s="273"/>
      <c r="CG40" s="256"/>
      <c r="CH40" s="256"/>
      <c r="CI40" s="256"/>
      <c r="CJ40" s="256"/>
      <c r="CK40" s="280"/>
      <c r="CL40" s="280"/>
      <c r="CM40" s="256"/>
      <c r="CN40" s="256"/>
      <c r="CO40" s="256"/>
      <c r="CP40" s="256"/>
    </row>
    <row r="41" spans="1:94" s="31" customFormat="1" ht="19.5" customHeight="1">
      <c r="A41" s="260"/>
      <c r="B41" s="263"/>
      <c r="C41" s="263"/>
      <c r="D41" s="81"/>
      <c r="E41" s="316"/>
      <c r="F41" s="316"/>
      <c r="G41" s="98"/>
      <c r="H41" s="98"/>
      <c r="I41" s="404" t="s">
        <v>30</v>
      </c>
      <c r="J41" s="405"/>
      <c r="K41" s="405"/>
      <c r="L41" s="405"/>
      <c r="M41" s="405"/>
      <c r="N41" s="405"/>
      <c r="O41" s="405"/>
      <c r="P41" s="405"/>
      <c r="Q41" s="405"/>
      <c r="R41" s="405"/>
      <c r="S41" s="405"/>
      <c r="T41" s="405"/>
      <c r="U41" s="405"/>
      <c r="V41" s="405"/>
      <c r="W41" s="405"/>
      <c r="X41" s="405"/>
      <c r="Y41" s="405"/>
      <c r="Z41" s="405"/>
      <c r="AA41" s="405"/>
      <c r="AB41" s="405"/>
      <c r="AC41" s="405"/>
      <c r="AD41" s="405"/>
      <c r="AE41" s="405"/>
      <c r="AF41" s="405"/>
      <c r="AG41" s="405"/>
      <c r="AH41" s="405"/>
      <c r="AI41" s="405"/>
      <c r="AJ41" s="405"/>
      <c r="AK41" s="405"/>
      <c r="AL41" s="405"/>
      <c r="AM41" s="405"/>
      <c r="AN41" s="405"/>
      <c r="AO41" s="405"/>
      <c r="AP41" s="405"/>
      <c r="AQ41" s="405"/>
      <c r="AR41" s="405"/>
      <c r="AS41" s="405"/>
      <c r="AT41" s="405"/>
      <c r="AU41" s="405"/>
      <c r="AV41" s="405"/>
      <c r="AW41" s="405"/>
      <c r="AX41" s="405"/>
      <c r="AY41" s="405"/>
      <c r="AZ41" s="405"/>
      <c r="BA41" s="405"/>
      <c r="BB41" s="405"/>
      <c r="BC41" s="405"/>
      <c r="BD41" s="405"/>
      <c r="BE41" s="405"/>
      <c r="BF41" s="405"/>
      <c r="BG41" s="405"/>
      <c r="BH41" s="405"/>
      <c r="BI41" s="405"/>
      <c r="BJ41" s="405"/>
      <c r="BK41" s="405"/>
      <c r="BL41" s="405"/>
      <c r="BM41" s="405"/>
      <c r="BN41" s="405"/>
      <c r="BO41" s="405"/>
      <c r="BP41" s="405"/>
      <c r="BQ41" s="405"/>
      <c r="BR41" s="405"/>
      <c r="BS41" s="405"/>
      <c r="BT41" s="405"/>
      <c r="BU41" s="405"/>
      <c r="BV41" s="405"/>
      <c r="BW41" s="405"/>
      <c r="BX41" s="406"/>
      <c r="BY41" s="95"/>
      <c r="BZ41" s="96"/>
      <c r="CA41" s="96"/>
      <c r="CB41" s="96"/>
      <c r="CC41" s="96"/>
      <c r="CD41" s="96"/>
      <c r="CE41" s="99"/>
      <c r="CF41" s="273"/>
      <c r="CG41" s="256"/>
      <c r="CH41" s="256"/>
      <c r="CI41" s="256"/>
      <c r="CJ41" s="256"/>
      <c r="CK41" s="280"/>
      <c r="CL41" s="280"/>
      <c r="CM41" s="256"/>
      <c r="CN41" s="256"/>
      <c r="CO41" s="256"/>
      <c r="CP41" s="256"/>
    </row>
    <row r="42" spans="1:94" s="31" customFormat="1" ht="19.5" customHeight="1">
      <c r="A42" s="260"/>
      <c r="B42" s="263"/>
      <c r="C42" s="263"/>
      <c r="D42" s="81"/>
      <c r="E42" s="316"/>
      <c r="F42" s="316"/>
      <c r="G42" s="98"/>
      <c r="H42" s="98"/>
      <c r="I42" s="113"/>
      <c r="J42" s="113"/>
      <c r="K42" s="113"/>
      <c r="L42" s="113"/>
      <c r="M42" s="113"/>
      <c r="N42" s="113"/>
      <c r="O42" s="114"/>
      <c r="P42" s="114"/>
      <c r="Q42" s="114"/>
      <c r="R42" s="113"/>
      <c r="S42" s="113"/>
      <c r="T42" s="113"/>
      <c r="U42" s="113"/>
      <c r="V42" s="113"/>
      <c r="W42" s="114"/>
      <c r="X42" s="115"/>
      <c r="Y42" s="113"/>
      <c r="Z42" s="115"/>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4"/>
      <c r="AX42" s="115"/>
      <c r="AY42" s="113"/>
      <c r="AZ42" s="115"/>
      <c r="BA42" s="113"/>
      <c r="BB42" s="113"/>
      <c r="BC42" s="113"/>
      <c r="BD42" s="113"/>
      <c r="BE42" s="113"/>
      <c r="BF42" s="113"/>
      <c r="BG42" s="113"/>
      <c r="BH42" s="113"/>
      <c r="BI42" s="113"/>
      <c r="BJ42" s="113"/>
      <c r="BK42" s="113"/>
      <c r="BL42" s="113"/>
      <c r="BM42" s="113"/>
      <c r="BN42" s="113"/>
      <c r="BO42" s="113"/>
      <c r="BP42" s="113"/>
      <c r="BQ42" s="113"/>
      <c r="BR42" s="113"/>
      <c r="BS42" s="91"/>
      <c r="BT42" s="91"/>
      <c r="BU42" s="91"/>
      <c r="BV42" s="91"/>
      <c r="BW42" s="91"/>
      <c r="BX42" s="91"/>
      <c r="BY42" s="95"/>
      <c r="BZ42" s="96"/>
      <c r="CA42" s="96"/>
      <c r="CB42" s="96"/>
      <c r="CC42" s="96"/>
      <c r="CD42" s="96"/>
      <c r="CE42" s="99"/>
      <c r="CF42" s="327"/>
      <c r="CG42" s="261"/>
      <c r="CH42" s="261"/>
      <c r="CI42" s="261"/>
      <c r="CJ42" s="261"/>
      <c r="CK42" s="261"/>
      <c r="CL42" s="256"/>
      <c r="CM42" s="256"/>
      <c r="CN42" s="256"/>
      <c r="CO42" s="256"/>
      <c r="CP42" s="256"/>
    </row>
    <row r="43" spans="1:94" s="31" customFormat="1" ht="19.5" customHeight="1">
      <c r="A43" s="260"/>
      <c r="B43" s="263"/>
      <c r="C43" s="263"/>
      <c r="D43" s="81"/>
      <c r="E43" s="316"/>
      <c r="F43" s="316"/>
      <c r="G43" s="98"/>
      <c r="H43" s="98"/>
      <c r="I43" s="408" t="s">
        <v>256</v>
      </c>
      <c r="J43" s="409"/>
      <c r="K43" s="409"/>
      <c r="L43" s="409"/>
      <c r="M43" s="409"/>
      <c r="N43" s="409"/>
      <c r="O43" s="409"/>
      <c r="P43" s="409"/>
      <c r="Q43" s="409"/>
      <c r="R43" s="409"/>
      <c r="S43" s="409"/>
      <c r="T43" s="409"/>
      <c r="U43" s="409"/>
      <c r="V43" s="409"/>
      <c r="W43" s="409"/>
      <c r="X43" s="409"/>
      <c r="Y43" s="409"/>
      <c r="Z43" s="409"/>
      <c r="AA43" s="409"/>
      <c r="AB43" s="409"/>
      <c r="AC43" s="409"/>
      <c r="AD43" s="409"/>
      <c r="AE43" s="409"/>
      <c r="AF43" s="409"/>
      <c r="AG43" s="409"/>
      <c r="AH43" s="409"/>
      <c r="AI43" s="409"/>
      <c r="AJ43" s="409"/>
      <c r="AK43" s="409"/>
      <c r="AL43" s="409"/>
      <c r="AM43" s="409"/>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09"/>
      <c r="BK43" s="409"/>
      <c r="BL43" s="409"/>
      <c r="BM43" s="409"/>
      <c r="BN43" s="409"/>
      <c r="BO43" s="409"/>
      <c r="BP43" s="409"/>
      <c r="BQ43" s="409"/>
      <c r="BR43" s="409"/>
      <c r="BS43" s="409"/>
      <c r="BT43" s="409"/>
      <c r="BU43" s="409"/>
      <c r="BV43" s="409"/>
      <c r="BW43" s="409"/>
      <c r="BX43" s="410"/>
      <c r="BY43" s="112"/>
      <c r="BZ43" s="96"/>
      <c r="CA43" s="96"/>
      <c r="CB43" s="96"/>
      <c r="CC43" s="96"/>
      <c r="CD43" s="96"/>
      <c r="CE43" s="90"/>
      <c r="CF43" s="328"/>
      <c r="CG43" s="256"/>
      <c r="CH43" s="256"/>
      <c r="CI43" s="256"/>
      <c r="CJ43" s="256"/>
      <c r="CK43" s="256"/>
      <c r="CL43" s="256"/>
      <c r="CM43" s="256"/>
      <c r="CN43" s="256"/>
      <c r="CO43" s="256"/>
      <c r="CP43" s="256"/>
    </row>
    <row r="44" spans="1:94" s="31" customFormat="1" ht="19.5" customHeight="1">
      <c r="A44" s="260"/>
      <c r="B44" s="263"/>
      <c r="C44" s="263"/>
      <c r="D44" s="81"/>
      <c r="E44" s="316"/>
      <c r="F44" s="316"/>
      <c r="G44" s="98"/>
      <c r="H44" s="98"/>
      <c r="I44" s="165" t="s">
        <v>153</v>
      </c>
      <c r="J44" s="166"/>
      <c r="K44" s="393" t="s">
        <v>251</v>
      </c>
      <c r="L44" s="394"/>
      <c r="M44" s="394"/>
      <c r="N44" s="394"/>
      <c r="O44" s="395"/>
      <c r="P44" s="393" t="s">
        <v>10</v>
      </c>
      <c r="Q44" s="394"/>
      <c r="R44" s="394"/>
      <c r="S44" s="394"/>
      <c r="T44" s="394"/>
      <c r="U44" s="395"/>
      <c r="V44" s="393" t="s">
        <v>263</v>
      </c>
      <c r="W44" s="394"/>
      <c r="X44" s="394"/>
      <c r="Y44" s="394"/>
      <c r="Z44" s="394"/>
      <c r="AA44" s="395"/>
      <c r="AB44" s="396" t="s">
        <v>185</v>
      </c>
      <c r="AC44" s="397"/>
      <c r="AD44" s="397"/>
      <c r="AE44" s="397"/>
      <c r="AF44" s="397"/>
      <c r="AG44" s="397"/>
      <c r="AH44" s="397"/>
      <c r="AI44" s="397"/>
      <c r="AJ44" s="397"/>
      <c r="AK44" s="397"/>
      <c r="AL44" s="397"/>
      <c r="AM44" s="398"/>
      <c r="AN44" s="393" t="s">
        <v>36</v>
      </c>
      <c r="AO44" s="394"/>
      <c r="AP44" s="394"/>
      <c r="AQ44" s="394"/>
      <c r="AR44" s="394"/>
      <c r="AS44" s="394"/>
      <c r="AT44" s="394"/>
      <c r="AU44" s="394"/>
      <c r="AV44" s="394"/>
      <c r="AW44" s="395"/>
      <c r="AX44" s="393" t="s">
        <v>147</v>
      </c>
      <c r="AY44" s="394"/>
      <c r="AZ44" s="394"/>
      <c r="BA44" s="394"/>
      <c r="BB44" s="394"/>
      <c r="BC44" s="394"/>
      <c r="BD44" s="394"/>
      <c r="BE44" s="394"/>
      <c r="BF44" s="394"/>
      <c r="BG44" s="394"/>
      <c r="BH44" s="394"/>
      <c r="BI44" s="394"/>
      <c r="BJ44" s="394"/>
      <c r="BK44" s="394"/>
      <c r="BL44" s="394"/>
      <c r="BM44" s="394"/>
      <c r="BN44" s="395"/>
      <c r="BO44" s="200"/>
      <c r="BP44" s="203" t="s">
        <v>114</v>
      </c>
      <c r="BQ44" s="203"/>
      <c r="BR44" s="203"/>
      <c r="BS44" s="204"/>
      <c r="BT44" s="172"/>
      <c r="BU44" s="199"/>
      <c r="BV44" s="172"/>
      <c r="BW44" s="172"/>
      <c r="BX44" s="175"/>
      <c r="BY44" s="112"/>
      <c r="BZ44" s="96"/>
      <c r="CA44" s="96"/>
      <c r="CB44" s="96"/>
      <c r="CC44" s="96"/>
      <c r="CD44" s="96"/>
      <c r="CE44" s="99"/>
      <c r="CF44" s="273"/>
      <c r="CG44" s="256"/>
      <c r="CH44" s="256"/>
      <c r="CI44" s="256"/>
      <c r="CJ44" s="256"/>
      <c r="CK44" s="256"/>
      <c r="CL44" s="256"/>
      <c r="CM44" s="256"/>
      <c r="CN44" s="256"/>
      <c r="CO44" s="256"/>
      <c r="CP44" s="256"/>
    </row>
    <row r="45" spans="1:94" s="31" customFormat="1" ht="19.5" customHeight="1">
      <c r="A45" s="260"/>
      <c r="B45" s="263"/>
      <c r="C45" s="263"/>
      <c r="D45" s="81"/>
      <c r="E45" s="316"/>
      <c r="F45" s="316"/>
      <c r="G45" s="98"/>
      <c r="H45" s="98"/>
      <c r="I45" s="401" t="s">
        <v>148</v>
      </c>
      <c r="J45" s="403"/>
      <c r="K45" s="117" t="s">
        <v>150</v>
      </c>
      <c r="L45" s="117"/>
      <c r="M45" s="117"/>
      <c r="N45" s="117"/>
      <c r="O45" s="118"/>
      <c r="P45" s="116" t="s">
        <v>264</v>
      </c>
      <c r="Q45" s="117"/>
      <c r="R45" s="117"/>
      <c r="S45" s="117"/>
      <c r="T45" s="117"/>
      <c r="U45" s="118"/>
      <c r="V45" s="116" t="s">
        <v>264</v>
      </c>
      <c r="W45" s="117"/>
      <c r="X45" s="117"/>
      <c r="Y45" s="117"/>
      <c r="Z45" s="117"/>
      <c r="AA45" s="118"/>
      <c r="AB45" s="196" t="s">
        <v>265</v>
      </c>
      <c r="AC45" s="197"/>
      <c r="AD45" s="197"/>
      <c r="AE45" s="197"/>
      <c r="AF45" s="117"/>
      <c r="AG45" s="117"/>
      <c r="AH45" s="117"/>
      <c r="AI45" s="117"/>
      <c r="AJ45" s="117"/>
      <c r="AK45" s="117"/>
      <c r="AL45" s="117"/>
      <c r="AM45" s="118"/>
      <c r="AN45" s="159" t="s">
        <v>205</v>
      </c>
      <c r="AO45" s="119"/>
      <c r="AP45" s="119"/>
      <c r="AQ45" s="117"/>
      <c r="AR45" s="117"/>
      <c r="AS45" s="117"/>
      <c r="AT45" s="311"/>
      <c r="AU45" s="311"/>
      <c r="AV45" s="311"/>
      <c r="AW45" s="117"/>
      <c r="AX45" s="116"/>
      <c r="AY45" s="117" t="s">
        <v>86</v>
      </c>
      <c r="AZ45" s="117"/>
      <c r="BA45" s="117"/>
      <c r="BB45" s="117"/>
      <c r="BC45" s="117"/>
      <c r="BD45" s="117"/>
      <c r="BE45" s="117"/>
      <c r="BF45" s="311"/>
      <c r="BG45" s="311"/>
      <c r="BH45" s="117"/>
      <c r="BI45" s="117"/>
      <c r="BJ45" s="311"/>
      <c r="BK45" s="117"/>
      <c r="BL45" s="117"/>
      <c r="BM45" s="117"/>
      <c r="BN45" s="310"/>
      <c r="BO45" s="401" t="s">
        <v>87</v>
      </c>
      <c r="BP45" s="402"/>
      <c r="BQ45" s="402"/>
      <c r="BR45" s="402"/>
      <c r="BS45" s="403"/>
      <c r="BT45" s="119"/>
      <c r="BU45" s="117" t="s">
        <v>266</v>
      </c>
      <c r="BV45" s="119"/>
      <c r="BW45" s="119"/>
      <c r="BX45" s="118"/>
      <c r="BY45" s="112"/>
      <c r="BZ45" s="96"/>
      <c r="CA45" s="96"/>
      <c r="CB45" s="96"/>
      <c r="CC45" s="96"/>
      <c r="CD45" s="96"/>
      <c r="CE45" s="99"/>
      <c r="CF45" s="273"/>
      <c r="CG45" s="256"/>
      <c r="CH45" s="256"/>
      <c r="CI45" s="256"/>
      <c r="CJ45" s="256"/>
      <c r="CK45" s="256"/>
      <c r="CL45" s="256"/>
      <c r="CM45" s="256"/>
      <c r="CN45" s="256"/>
      <c r="CO45" s="256"/>
      <c r="CP45" s="256"/>
    </row>
    <row r="46" spans="1:94" s="31" customFormat="1" ht="19.5" customHeight="1">
      <c r="A46" s="260"/>
      <c r="B46" s="263"/>
      <c r="C46" s="263"/>
      <c r="D46" s="81"/>
      <c r="E46" s="316"/>
      <c r="F46" s="316"/>
      <c r="G46" s="98"/>
      <c r="H46" s="98"/>
      <c r="I46" s="370" t="s">
        <v>153</v>
      </c>
      <c r="J46" s="371"/>
      <c r="K46" s="157" t="s">
        <v>150</v>
      </c>
      <c r="L46" s="157"/>
      <c r="M46" s="121"/>
      <c r="N46" s="121"/>
      <c r="O46" s="158"/>
      <c r="P46" s="120" t="s">
        <v>264</v>
      </c>
      <c r="Q46" s="121"/>
      <c r="R46" s="121"/>
      <c r="S46" s="121"/>
      <c r="T46" s="121"/>
      <c r="U46" s="124"/>
      <c r="V46" s="120" t="s">
        <v>264</v>
      </c>
      <c r="W46" s="121"/>
      <c r="X46" s="121"/>
      <c r="Y46" s="121"/>
      <c r="Z46" s="121"/>
      <c r="AA46" s="124"/>
      <c r="AB46" s="198" t="s">
        <v>265</v>
      </c>
      <c r="AC46" s="77"/>
      <c r="AD46" s="77"/>
      <c r="AE46" s="77"/>
      <c r="AF46" s="77"/>
      <c r="AG46" s="77"/>
      <c r="AH46" s="77"/>
      <c r="AI46" s="121"/>
      <c r="AJ46" s="121"/>
      <c r="AK46" s="121"/>
      <c r="AL46" s="121"/>
      <c r="AM46" s="124"/>
      <c r="AN46" s="160" t="s">
        <v>205</v>
      </c>
      <c r="AO46" s="160"/>
      <c r="AP46" s="125"/>
      <c r="AQ46" s="121"/>
      <c r="AR46" s="121"/>
      <c r="AS46" s="121"/>
      <c r="AT46" s="287"/>
      <c r="AU46" s="287"/>
      <c r="AV46" s="287"/>
      <c r="AW46" s="157"/>
      <c r="AX46" s="120"/>
      <c r="AY46" s="121" t="s">
        <v>86</v>
      </c>
      <c r="AZ46" s="121"/>
      <c r="BA46" s="121"/>
      <c r="BB46" s="121"/>
      <c r="BC46" s="121"/>
      <c r="BD46" s="121"/>
      <c r="BE46" s="121"/>
      <c r="BF46" s="287"/>
      <c r="BG46" s="287"/>
      <c r="BH46" s="121"/>
      <c r="BI46" s="121"/>
      <c r="BJ46" s="287"/>
      <c r="BK46" s="121"/>
      <c r="BL46" s="121"/>
      <c r="BM46" s="121"/>
      <c r="BN46" s="309"/>
      <c r="BO46" s="372" t="s">
        <v>87</v>
      </c>
      <c r="BP46" s="373"/>
      <c r="BQ46" s="373"/>
      <c r="BR46" s="373"/>
      <c r="BS46" s="374"/>
      <c r="BT46" s="125"/>
      <c r="BU46" s="125" t="s">
        <v>267</v>
      </c>
      <c r="BV46" s="125"/>
      <c r="BW46" s="125"/>
      <c r="BX46" s="124"/>
      <c r="BY46" s="112"/>
      <c r="BZ46" s="96"/>
      <c r="CA46" s="96"/>
      <c r="CB46" s="96"/>
      <c r="CC46" s="96"/>
      <c r="CD46" s="96"/>
      <c r="CE46" s="99"/>
      <c r="CF46" s="273"/>
      <c r="CG46" s="256"/>
      <c r="CH46" s="256"/>
      <c r="CI46" s="256"/>
      <c r="CJ46" s="256"/>
      <c r="CK46" s="256"/>
      <c r="CL46" s="256"/>
      <c r="CM46" s="256"/>
      <c r="CN46" s="256"/>
      <c r="CO46" s="256"/>
      <c r="CP46" s="256"/>
    </row>
    <row r="47" spans="1:94" s="31" customFormat="1" ht="19.5" customHeight="1">
      <c r="A47" s="260"/>
      <c r="B47" s="263"/>
      <c r="C47" s="263"/>
      <c r="D47" s="81"/>
      <c r="E47" s="316"/>
      <c r="F47" s="316"/>
      <c r="G47" s="98"/>
      <c r="H47" s="98"/>
      <c r="I47" s="370" t="s">
        <v>153</v>
      </c>
      <c r="J47" s="371"/>
      <c r="K47" s="157" t="s">
        <v>152</v>
      </c>
      <c r="L47" s="157"/>
      <c r="M47" s="121"/>
      <c r="N47" s="121"/>
      <c r="O47" s="158"/>
      <c r="P47" s="120" t="s">
        <v>264</v>
      </c>
      <c r="Q47" s="121"/>
      <c r="R47" s="121"/>
      <c r="S47" s="121"/>
      <c r="T47" s="121"/>
      <c r="U47" s="124"/>
      <c r="V47" s="120" t="s">
        <v>264</v>
      </c>
      <c r="W47" s="121"/>
      <c r="X47" s="121"/>
      <c r="Y47" s="121"/>
      <c r="Z47" s="121"/>
      <c r="AA47" s="124"/>
      <c r="AB47" s="198" t="s">
        <v>265</v>
      </c>
      <c r="AC47" s="77"/>
      <c r="AD47" s="77"/>
      <c r="AE47" s="77"/>
      <c r="AF47" s="77"/>
      <c r="AG47" s="77"/>
      <c r="AH47" s="77"/>
      <c r="AI47" s="121"/>
      <c r="AJ47" s="121"/>
      <c r="AK47" s="121"/>
      <c r="AL47" s="121"/>
      <c r="AM47" s="124"/>
      <c r="AN47" s="160" t="s">
        <v>247</v>
      </c>
      <c r="AO47" s="160"/>
      <c r="AP47" s="125"/>
      <c r="AQ47" s="121"/>
      <c r="AR47" s="121"/>
      <c r="AS47" s="121"/>
      <c r="AT47" s="287"/>
      <c r="AU47" s="287"/>
      <c r="AV47" s="287"/>
      <c r="AW47" s="157"/>
      <c r="AX47" s="120"/>
      <c r="AY47" s="121" t="s">
        <v>154</v>
      </c>
      <c r="AZ47" s="121"/>
      <c r="BA47" s="121"/>
      <c r="BB47" s="121"/>
      <c r="BC47" s="121"/>
      <c r="BD47" s="121"/>
      <c r="BE47" s="121"/>
      <c r="BF47" s="287"/>
      <c r="BG47" s="287"/>
      <c r="BH47" s="121"/>
      <c r="BI47" s="121"/>
      <c r="BJ47" s="287"/>
      <c r="BK47" s="121"/>
      <c r="BL47" s="121"/>
      <c r="BM47" s="121"/>
      <c r="BN47" s="309"/>
      <c r="BO47" s="372" t="s">
        <v>155</v>
      </c>
      <c r="BP47" s="373"/>
      <c r="BQ47" s="373"/>
      <c r="BR47" s="373"/>
      <c r="BS47" s="374"/>
      <c r="BT47" s="125"/>
      <c r="BU47" s="125" t="s">
        <v>268</v>
      </c>
      <c r="BV47" s="125"/>
      <c r="BW47" s="125"/>
      <c r="BX47" s="124"/>
      <c r="BY47" s="112"/>
      <c r="BZ47" s="96"/>
      <c r="CA47" s="96"/>
      <c r="CB47" s="96"/>
      <c r="CC47" s="96"/>
      <c r="CD47" s="96"/>
      <c r="CE47" s="99"/>
      <c r="CF47" s="273"/>
      <c r="CG47" s="256"/>
      <c r="CH47" s="256"/>
      <c r="CI47" s="256"/>
      <c r="CJ47" s="256"/>
      <c r="CK47" s="256"/>
      <c r="CL47" s="256"/>
      <c r="CM47" s="256"/>
      <c r="CN47" s="256"/>
      <c r="CO47" s="256"/>
      <c r="CP47" s="256"/>
    </row>
    <row r="48" spans="1:94" s="31" customFormat="1" ht="19.5" customHeight="1">
      <c r="A48" s="260"/>
      <c r="B48" s="263"/>
      <c r="C48" s="263"/>
      <c r="D48" s="81"/>
      <c r="E48" s="316"/>
      <c r="F48" s="316"/>
      <c r="G48" s="98"/>
      <c r="H48" s="98"/>
      <c r="I48" s="370" t="s">
        <v>153</v>
      </c>
      <c r="J48" s="371"/>
      <c r="K48" s="157" t="s">
        <v>152</v>
      </c>
      <c r="L48" s="157"/>
      <c r="M48" s="121"/>
      <c r="N48" s="121"/>
      <c r="O48" s="158"/>
      <c r="P48" s="120" t="s">
        <v>264</v>
      </c>
      <c r="Q48" s="121"/>
      <c r="R48" s="121"/>
      <c r="S48" s="121"/>
      <c r="T48" s="121"/>
      <c r="U48" s="124"/>
      <c r="V48" s="120" t="s">
        <v>264</v>
      </c>
      <c r="W48" s="121"/>
      <c r="X48" s="121"/>
      <c r="Y48" s="121"/>
      <c r="Z48" s="121"/>
      <c r="AA48" s="124"/>
      <c r="AB48" s="198" t="s">
        <v>265</v>
      </c>
      <c r="AC48" s="77"/>
      <c r="AD48" s="77"/>
      <c r="AE48" s="77"/>
      <c r="AF48" s="77"/>
      <c r="AG48" s="77"/>
      <c r="AH48" s="77"/>
      <c r="AI48" s="121"/>
      <c r="AJ48" s="121"/>
      <c r="AK48" s="121"/>
      <c r="AL48" s="121"/>
      <c r="AM48" s="124"/>
      <c r="AN48" s="160" t="s">
        <v>247</v>
      </c>
      <c r="AO48" s="125"/>
      <c r="AP48" s="125"/>
      <c r="AQ48" s="121"/>
      <c r="AR48" s="121"/>
      <c r="AS48" s="121"/>
      <c r="AT48" s="287"/>
      <c r="AU48" s="287"/>
      <c r="AV48" s="287"/>
      <c r="AW48" s="157"/>
      <c r="AX48" s="120"/>
      <c r="AY48" s="121" t="s">
        <v>154</v>
      </c>
      <c r="AZ48" s="121"/>
      <c r="BA48" s="121"/>
      <c r="BB48" s="121"/>
      <c r="BC48" s="121"/>
      <c r="BD48" s="121"/>
      <c r="BE48" s="121"/>
      <c r="BF48" s="287"/>
      <c r="BG48" s="287"/>
      <c r="BH48" s="121"/>
      <c r="BI48" s="121"/>
      <c r="BJ48" s="287"/>
      <c r="BK48" s="121"/>
      <c r="BL48" s="121"/>
      <c r="BM48" s="121"/>
      <c r="BN48" s="309"/>
      <c r="BO48" s="372" t="s">
        <v>155</v>
      </c>
      <c r="BP48" s="373"/>
      <c r="BQ48" s="373"/>
      <c r="BR48" s="373"/>
      <c r="BS48" s="374"/>
      <c r="BT48" s="125"/>
      <c r="BU48" s="125" t="s">
        <v>268</v>
      </c>
      <c r="BV48" s="125"/>
      <c r="BW48" s="125"/>
      <c r="BX48" s="124"/>
      <c r="BY48" s="112"/>
      <c r="BZ48" s="96"/>
      <c r="CA48" s="96"/>
      <c r="CB48" s="96"/>
      <c r="CC48" s="96"/>
      <c r="CD48" s="96"/>
      <c r="CE48" s="99"/>
      <c r="CF48" s="273"/>
      <c r="CG48" s="256"/>
      <c r="CH48" s="256"/>
      <c r="CI48" s="256"/>
      <c r="CJ48" s="256"/>
      <c r="CK48" s="256"/>
      <c r="CL48" s="256"/>
      <c r="CM48" s="256"/>
      <c r="CN48" s="256"/>
      <c r="CO48" s="256"/>
      <c r="CP48" s="256"/>
    </row>
    <row r="49" spans="1:94" s="31" customFormat="1" ht="19.5" customHeight="1">
      <c r="A49" s="260"/>
      <c r="B49" s="263"/>
      <c r="C49" s="263"/>
      <c r="D49" s="81"/>
      <c r="E49" s="316"/>
      <c r="F49" s="316"/>
      <c r="G49" s="98"/>
      <c r="H49" s="98"/>
      <c r="I49" s="370" t="s">
        <v>153</v>
      </c>
      <c r="J49" s="371"/>
      <c r="K49" s="157" t="s">
        <v>152</v>
      </c>
      <c r="L49" s="157"/>
      <c r="M49" s="121"/>
      <c r="N49" s="121"/>
      <c r="O49" s="158"/>
      <c r="P49" s="120" t="s">
        <v>264</v>
      </c>
      <c r="Q49" s="121"/>
      <c r="R49" s="121"/>
      <c r="S49" s="121"/>
      <c r="T49" s="121"/>
      <c r="U49" s="124"/>
      <c r="V49" s="120" t="s">
        <v>264</v>
      </c>
      <c r="W49" s="121"/>
      <c r="X49" s="121"/>
      <c r="Y49" s="121"/>
      <c r="Z49" s="121"/>
      <c r="AA49" s="124"/>
      <c r="AB49" s="198" t="s">
        <v>265</v>
      </c>
      <c r="AC49" s="77"/>
      <c r="AD49" s="77"/>
      <c r="AE49" s="77"/>
      <c r="AF49" s="77"/>
      <c r="AG49" s="77"/>
      <c r="AH49" s="77"/>
      <c r="AI49" s="121"/>
      <c r="AJ49" s="121"/>
      <c r="AK49" s="121"/>
      <c r="AL49" s="121"/>
      <c r="AM49" s="124"/>
      <c r="AN49" s="160" t="s">
        <v>247</v>
      </c>
      <c r="AO49" s="125"/>
      <c r="AP49" s="125"/>
      <c r="AQ49" s="121"/>
      <c r="AR49" s="121"/>
      <c r="AS49" s="121"/>
      <c r="AT49" s="287"/>
      <c r="AU49" s="287"/>
      <c r="AV49" s="287"/>
      <c r="AW49" s="157"/>
      <c r="AX49" s="120"/>
      <c r="AY49" s="121" t="s">
        <v>154</v>
      </c>
      <c r="AZ49" s="121"/>
      <c r="BA49" s="121"/>
      <c r="BB49" s="121"/>
      <c r="BC49" s="121"/>
      <c r="BD49" s="121"/>
      <c r="BE49" s="121"/>
      <c r="BF49" s="287"/>
      <c r="BG49" s="287"/>
      <c r="BH49" s="121"/>
      <c r="BI49" s="121"/>
      <c r="BJ49" s="287"/>
      <c r="BK49" s="121"/>
      <c r="BL49" s="121"/>
      <c r="BM49" s="121"/>
      <c r="BN49" s="309"/>
      <c r="BO49" s="372" t="s">
        <v>155</v>
      </c>
      <c r="BP49" s="373"/>
      <c r="BQ49" s="373"/>
      <c r="BR49" s="373"/>
      <c r="BS49" s="374"/>
      <c r="BT49" s="125"/>
      <c r="BU49" s="125" t="s">
        <v>268</v>
      </c>
      <c r="BV49" s="125"/>
      <c r="BW49" s="125"/>
      <c r="BX49" s="124"/>
      <c r="BY49" s="112"/>
      <c r="BZ49" s="96"/>
      <c r="CA49" s="96"/>
      <c r="CB49" s="96"/>
      <c r="CC49" s="96"/>
      <c r="CD49" s="96"/>
      <c r="CE49" s="99"/>
      <c r="CF49" s="273"/>
      <c r="CG49" s="256"/>
      <c r="CH49" s="256"/>
      <c r="CI49" s="256"/>
      <c r="CJ49" s="256"/>
      <c r="CK49" s="256"/>
      <c r="CL49" s="256"/>
      <c r="CM49" s="256"/>
      <c r="CN49" s="256"/>
      <c r="CO49" s="256"/>
      <c r="CP49" s="256"/>
    </row>
    <row r="50" spans="1:94" s="31" customFormat="1" ht="19.5" customHeight="1">
      <c r="A50" s="260"/>
      <c r="B50" s="263"/>
      <c r="C50" s="263"/>
      <c r="D50" s="81"/>
      <c r="E50" s="316"/>
      <c r="F50" s="316"/>
      <c r="G50" s="98"/>
      <c r="H50" s="98"/>
      <c r="I50" s="370" t="s">
        <v>153</v>
      </c>
      <c r="J50" s="371"/>
      <c r="K50" s="157" t="s">
        <v>152</v>
      </c>
      <c r="L50" s="157"/>
      <c r="M50" s="121"/>
      <c r="N50" s="121"/>
      <c r="O50" s="158"/>
      <c r="P50" s="120" t="s">
        <v>264</v>
      </c>
      <c r="Q50" s="121"/>
      <c r="R50" s="121"/>
      <c r="S50" s="121"/>
      <c r="T50" s="121"/>
      <c r="U50" s="124"/>
      <c r="V50" s="120" t="s">
        <v>264</v>
      </c>
      <c r="W50" s="121"/>
      <c r="X50" s="121"/>
      <c r="Y50" s="121"/>
      <c r="Z50" s="121"/>
      <c r="AA50" s="124"/>
      <c r="AB50" s="198" t="s">
        <v>265</v>
      </c>
      <c r="AC50" s="77"/>
      <c r="AD50" s="77"/>
      <c r="AE50" s="77"/>
      <c r="AF50" s="77"/>
      <c r="AG50" s="77"/>
      <c r="AH50" s="77"/>
      <c r="AI50" s="121"/>
      <c r="AJ50" s="121"/>
      <c r="AK50" s="121"/>
      <c r="AL50" s="121"/>
      <c r="AM50" s="124"/>
      <c r="AN50" s="160" t="s">
        <v>247</v>
      </c>
      <c r="AO50" s="125"/>
      <c r="AP50" s="125"/>
      <c r="AQ50" s="121"/>
      <c r="AR50" s="121"/>
      <c r="AS50" s="121"/>
      <c r="AT50" s="287"/>
      <c r="AU50" s="287"/>
      <c r="AV50" s="287"/>
      <c r="AW50" s="157"/>
      <c r="AX50" s="120"/>
      <c r="AY50" s="121" t="s">
        <v>154</v>
      </c>
      <c r="AZ50" s="121"/>
      <c r="BA50" s="121"/>
      <c r="BB50" s="121"/>
      <c r="BC50" s="121"/>
      <c r="BD50" s="121"/>
      <c r="BE50" s="121"/>
      <c r="BF50" s="287"/>
      <c r="BG50" s="287"/>
      <c r="BH50" s="121"/>
      <c r="BI50" s="121"/>
      <c r="BJ50" s="287"/>
      <c r="BK50" s="121"/>
      <c r="BL50" s="121"/>
      <c r="BM50" s="121"/>
      <c r="BN50" s="309"/>
      <c r="BO50" s="372" t="s">
        <v>155</v>
      </c>
      <c r="BP50" s="373"/>
      <c r="BQ50" s="373"/>
      <c r="BR50" s="373"/>
      <c r="BS50" s="374"/>
      <c r="BT50" s="125"/>
      <c r="BU50" s="125" t="s">
        <v>268</v>
      </c>
      <c r="BV50" s="125"/>
      <c r="BW50" s="125"/>
      <c r="BX50" s="124"/>
      <c r="BY50" s="95"/>
      <c r="BZ50" s="96"/>
      <c r="CA50" s="96"/>
      <c r="CB50" s="96"/>
      <c r="CC50" s="96"/>
      <c r="CD50" s="96"/>
      <c r="CE50" s="99"/>
      <c r="CF50" s="273"/>
      <c r="CG50" s="256"/>
      <c r="CH50" s="256"/>
      <c r="CI50" s="256"/>
      <c r="CJ50" s="256"/>
      <c r="CK50" s="256"/>
      <c r="CL50" s="256"/>
      <c r="CM50" s="256"/>
      <c r="CN50" s="256"/>
      <c r="CO50" s="256"/>
      <c r="CP50" s="256"/>
    </row>
    <row r="51" spans="1:94" s="31" customFormat="1" ht="19.5" customHeight="1">
      <c r="A51" s="260"/>
      <c r="B51" s="263"/>
      <c r="C51" s="263"/>
      <c r="D51" s="81"/>
      <c r="E51" s="316"/>
      <c r="F51" s="316"/>
      <c r="G51" s="98"/>
      <c r="H51" s="98"/>
      <c r="I51" s="370" t="s">
        <v>153</v>
      </c>
      <c r="J51" s="371"/>
      <c r="K51" s="157" t="s">
        <v>152</v>
      </c>
      <c r="L51" s="157"/>
      <c r="M51" s="121"/>
      <c r="N51" s="121"/>
      <c r="O51" s="158"/>
      <c r="P51" s="120" t="s">
        <v>264</v>
      </c>
      <c r="Q51" s="121"/>
      <c r="R51" s="121"/>
      <c r="S51" s="121"/>
      <c r="T51" s="121"/>
      <c r="U51" s="124"/>
      <c r="V51" s="120" t="s">
        <v>264</v>
      </c>
      <c r="W51" s="121"/>
      <c r="X51" s="121"/>
      <c r="Y51" s="121"/>
      <c r="Z51" s="121"/>
      <c r="AA51" s="124"/>
      <c r="AB51" s="198" t="s">
        <v>265</v>
      </c>
      <c r="AC51" s="77"/>
      <c r="AD51" s="77"/>
      <c r="AE51" s="77"/>
      <c r="AF51" s="77"/>
      <c r="AG51" s="77"/>
      <c r="AH51" s="77"/>
      <c r="AI51" s="121"/>
      <c r="AJ51" s="121"/>
      <c r="AK51" s="121"/>
      <c r="AL51" s="121"/>
      <c r="AM51" s="124"/>
      <c r="AN51" s="160" t="s">
        <v>247</v>
      </c>
      <c r="AO51" s="125"/>
      <c r="AP51" s="125"/>
      <c r="AQ51" s="121"/>
      <c r="AR51" s="121"/>
      <c r="AS51" s="121"/>
      <c r="AT51" s="287"/>
      <c r="AU51" s="287"/>
      <c r="AV51" s="287"/>
      <c r="AW51" s="157"/>
      <c r="AX51" s="120"/>
      <c r="AY51" s="121" t="s">
        <v>154</v>
      </c>
      <c r="AZ51" s="121"/>
      <c r="BA51" s="121"/>
      <c r="BB51" s="121"/>
      <c r="BC51" s="121"/>
      <c r="BD51" s="121"/>
      <c r="BE51" s="121"/>
      <c r="BF51" s="287"/>
      <c r="BG51" s="287"/>
      <c r="BH51" s="121"/>
      <c r="BI51" s="121"/>
      <c r="BJ51" s="287"/>
      <c r="BK51" s="121"/>
      <c r="BL51" s="121"/>
      <c r="BM51" s="121"/>
      <c r="BN51" s="309"/>
      <c r="BO51" s="372" t="s">
        <v>155</v>
      </c>
      <c r="BP51" s="373"/>
      <c r="BQ51" s="373"/>
      <c r="BR51" s="373"/>
      <c r="BS51" s="374"/>
      <c r="BT51" s="125"/>
      <c r="BU51" s="125" t="s">
        <v>268</v>
      </c>
      <c r="BV51" s="125"/>
      <c r="BW51" s="125"/>
      <c r="BX51" s="124"/>
      <c r="BY51" s="329"/>
      <c r="BZ51" s="330"/>
      <c r="CA51" s="330"/>
      <c r="CB51" s="330"/>
      <c r="CC51" s="330"/>
      <c r="CD51" s="330"/>
      <c r="CE51" s="109"/>
      <c r="CF51" s="273"/>
      <c r="CG51" s="256"/>
      <c r="CH51" s="256"/>
      <c r="CI51" s="256"/>
      <c r="CJ51" s="256"/>
      <c r="CK51" s="256"/>
      <c r="CL51" s="256"/>
      <c r="CM51" s="256"/>
      <c r="CN51" s="256"/>
      <c r="CO51" s="256"/>
      <c r="CP51" s="256"/>
    </row>
    <row r="52" spans="1:94" s="31" customFormat="1" ht="19.5" customHeight="1">
      <c r="A52" s="260"/>
      <c r="B52" s="263"/>
      <c r="C52" s="263"/>
      <c r="D52" s="81"/>
      <c r="E52" s="316"/>
      <c r="F52" s="316"/>
      <c r="G52" s="98"/>
      <c r="H52" s="98"/>
      <c r="I52" s="370" t="s">
        <v>153</v>
      </c>
      <c r="J52" s="371"/>
      <c r="K52" s="157" t="s">
        <v>152</v>
      </c>
      <c r="L52" s="157"/>
      <c r="M52" s="121"/>
      <c r="N52" s="121"/>
      <c r="O52" s="158"/>
      <c r="P52" s="120" t="s">
        <v>264</v>
      </c>
      <c r="Q52" s="121"/>
      <c r="R52" s="121"/>
      <c r="S52" s="121"/>
      <c r="T52" s="121"/>
      <c r="U52" s="124"/>
      <c r="V52" s="120" t="s">
        <v>264</v>
      </c>
      <c r="W52" s="121"/>
      <c r="X52" s="121"/>
      <c r="Y52" s="121"/>
      <c r="Z52" s="121"/>
      <c r="AA52" s="124"/>
      <c r="AB52" s="198" t="s">
        <v>265</v>
      </c>
      <c r="AC52" s="77"/>
      <c r="AD52" s="77"/>
      <c r="AE52" s="77"/>
      <c r="AF52" s="77"/>
      <c r="AG52" s="77"/>
      <c r="AH52" s="77"/>
      <c r="AI52" s="121"/>
      <c r="AJ52" s="121"/>
      <c r="AK52" s="121"/>
      <c r="AL52" s="121"/>
      <c r="AM52" s="124"/>
      <c r="AN52" s="160" t="s">
        <v>247</v>
      </c>
      <c r="AO52" s="125"/>
      <c r="AP52" s="125"/>
      <c r="AQ52" s="121"/>
      <c r="AR52" s="121"/>
      <c r="AS52" s="121"/>
      <c r="AT52" s="287"/>
      <c r="AU52" s="287"/>
      <c r="AV52" s="287"/>
      <c r="AW52" s="157"/>
      <c r="AX52" s="120"/>
      <c r="AY52" s="121" t="s">
        <v>154</v>
      </c>
      <c r="AZ52" s="121"/>
      <c r="BA52" s="121"/>
      <c r="BB52" s="121"/>
      <c r="BC52" s="121"/>
      <c r="BD52" s="121"/>
      <c r="BE52" s="121"/>
      <c r="BF52" s="287"/>
      <c r="BG52" s="287"/>
      <c r="BH52" s="121"/>
      <c r="BI52" s="121"/>
      <c r="BJ52" s="287"/>
      <c r="BK52" s="121"/>
      <c r="BL52" s="121"/>
      <c r="BM52" s="121"/>
      <c r="BN52" s="309"/>
      <c r="BO52" s="372" t="s">
        <v>155</v>
      </c>
      <c r="BP52" s="373"/>
      <c r="BQ52" s="373"/>
      <c r="BR52" s="373"/>
      <c r="BS52" s="374"/>
      <c r="BT52" s="125"/>
      <c r="BU52" s="125" t="s">
        <v>268</v>
      </c>
      <c r="BV52" s="125"/>
      <c r="BW52" s="125"/>
      <c r="BX52" s="124"/>
      <c r="BY52" s="329"/>
      <c r="BZ52" s="330"/>
      <c r="CA52" s="330"/>
      <c r="CB52" s="330"/>
      <c r="CC52" s="330"/>
      <c r="CD52" s="330"/>
      <c r="CE52" s="109"/>
      <c r="CF52" s="273"/>
      <c r="CG52" s="256"/>
      <c r="CH52" s="256"/>
      <c r="CI52" s="256"/>
      <c r="CJ52" s="256"/>
      <c r="CK52" s="256"/>
      <c r="CL52" s="256"/>
      <c r="CM52" s="256"/>
      <c r="CN52" s="256"/>
      <c r="CO52" s="256"/>
      <c r="CP52" s="256"/>
    </row>
    <row r="53" spans="1:94" s="31" customFormat="1" ht="19.5" customHeight="1">
      <c r="A53" s="260"/>
      <c r="B53" s="263"/>
      <c r="C53" s="263"/>
      <c r="D53" s="81"/>
      <c r="E53" s="316"/>
      <c r="F53" s="316"/>
      <c r="G53" s="98"/>
      <c r="H53" s="98"/>
      <c r="I53" s="370" t="s">
        <v>153</v>
      </c>
      <c r="J53" s="371"/>
      <c r="K53" s="157" t="s">
        <v>152</v>
      </c>
      <c r="L53" s="157"/>
      <c r="M53" s="121"/>
      <c r="N53" s="121"/>
      <c r="O53" s="158"/>
      <c r="P53" s="120" t="s">
        <v>264</v>
      </c>
      <c r="Q53" s="121"/>
      <c r="R53" s="121"/>
      <c r="S53" s="121"/>
      <c r="T53" s="121"/>
      <c r="U53" s="124"/>
      <c r="V53" s="120" t="s">
        <v>264</v>
      </c>
      <c r="W53" s="121"/>
      <c r="X53" s="121"/>
      <c r="Y53" s="121"/>
      <c r="Z53" s="121"/>
      <c r="AA53" s="124"/>
      <c r="AB53" s="198" t="s">
        <v>265</v>
      </c>
      <c r="AC53" s="77"/>
      <c r="AD53" s="77"/>
      <c r="AE53" s="77"/>
      <c r="AF53" s="77"/>
      <c r="AG53" s="77"/>
      <c r="AH53" s="77"/>
      <c r="AI53" s="121"/>
      <c r="AJ53" s="121"/>
      <c r="AK53" s="121"/>
      <c r="AL53" s="121"/>
      <c r="AM53" s="124"/>
      <c r="AN53" s="160" t="s">
        <v>247</v>
      </c>
      <c r="AO53" s="125"/>
      <c r="AP53" s="125"/>
      <c r="AQ53" s="121"/>
      <c r="AR53" s="121"/>
      <c r="AS53" s="121"/>
      <c r="AT53" s="287"/>
      <c r="AU53" s="287"/>
      <c r="AV53" s="287"/>
      <c r="AW53" s="157"/>
      <c r="AX53" s="120"/>
      <c r="AY53" s="121" t="s">
        <v>154</v>
      </c>
      <c r="AZ53" s="121"/>
      <c r="BA53" s="121"/>
      <c r="BB53" s="121"/>
      <c r="BC53" s="121"/>
      <c r="BD53" s="121"/>
      <c r="BE53" s="121"/>
      <c r="BF53" s="287"/>
      <c r="BG53" s="287"/>
      <c r="BH53" s="121"/>
      <c r="BI53" s="121"/>
      <c r="BJ53" s="287"/>
      <c r="BK53" s="121"/>
      <c r="BL53" s="121"/>
      <c r="BM53" s="121"/>
      <c r="BN53" s="309"/>
      <c r="BO53" s="372" t="s">
        <v>155</v>
      </c>
      <c r="BP53" s="373"/>
      <c r="BQ53" s="373"/>
      <c r="BR53" s="373"/>
      <c r="BS53" s="374"/>
      <c r="BT53" s="125"/>
      <c r="BU53" s="125" t="s">
        <v>268</v>
      </c>
      <c r="BV53" s="125"/>
      <c r="BW53" s="125"/>
      <c r="BX53" s="124"/>
      <c r="BY53" s="95"/>
      <c r="BZ53" s="96"/>
      <c r="CA53" s="96"/>
      <c r="CB53" s="96"/>
      <c r="CC53" s="96"/>
      <c r="CD53" s="96"/>
      <c r="CE53" s="99"/>
      <c r="CF53" s="273"/>
      <c r="CG53" s="256"/>
      <c r="CH53" s="256"/>
      <c r="CI53" s="256"/>
      <c r="CJ53" s="256"/>
      <c r="CK53" s="256"/>
      <c r="CL53" s="256"/>
      <c r="CM53" s="256"/>
      <c r="CN53" s="256"/>
      <c r="CO53" s="256"/>
      <c r="CP53" s="256"/>
    </row>
    <row r="54" spans="1:94" s="31" customFormat="1" ht="19.5" customHeight="1">
      <c r="A54" s="260"/>
      <c r="B54" s="263"/>
      <c r="C54" s="263"/>
      <c r="D54" s="81"/>
      <c r="E54" s="316"/>
      <c r="F54" s="316"/>
      <c r="G54" s="98"/>
      <c r="H54" s="98"/>
      <c r="I54" s="370" t="s">
        <v>153</v>
      </c>
      <c r="J54" s="371"/>
      <c r="K54" s="157" t="s">
        <v>152</v>
      </c>
      <c r="L54" s="157"/>
      <c r="M54" s="121"/>
      <c r="N54" s="121"/>
      <c r="O54" s="158"/>
      <c r="P54" s="120" t="s">
        <v>264</v>
      </c>
      <c r="Q54" s="121"/>
      <c r="R54" s="121"/>
      <c r="S54" s="121"/>
      <c r="T54" s="121"/>
      <c r="U54" s="124"/>
      <c r="V54" s="120" t="s">
        <v>264</v>
      </c>
      <c r="W54" s="121"/>
      <c r="X54" s="121"/>
      <c r="Y54" s="121"/>
      <c r="Z54" s="121"/>
      <c r="AA54" s="124"/>
      <c r="AB54" s="198" t="s">
        <v>265</v>
      </c>
      <c r="AC54" s="77"/>
      <c r="AD54" s="77"/>
      <c r="AE54" s="77"/>
      <c r="AF54" s="77"/>
      <c r="AG54" s="77"/>
      <c r="AH54" s="77"/>
      <c r="AI54" s="121"/>
      <c r="AJ54" s="121"/>
      <c r="AK54" s="121"/>
      <c r="AL54" s="121"/>
      <c r="AM54" s="124"/>
      <c r="AN54" s="160" t="s">
        <v>247</v>
      </c>
      <c r="AO54" s="125"/>
      <c r="AP54" s="125"/>
      <c r="AQ54" s="121"/>
      <c r="AR54" s="121"/>
      <c r="AS54" s="121"/>
      <c r="AT54" s="287"/>
      <c r="AU54" s="287"/>
      <c r="AV54" s="287"/>
      <c r="AW54" s="157"/>
      <c r="AX54" s="120"/>
      <c r="AY54" s="121" t="s">
        <v>154</v>
      </c>
      <c r="AZ54" s="121"/>
      <c r="BA54" s="121"/>
      <c r="BB54" s="121"/>
      <c r="BC54" s="121"/>
      <c r="BD54" s="121"/>
      <c r="BE54" s="121"/>
      <c r="BF54" s="287"/>
      <c r="BG54" s="287"/>
      <c r="BH54" s="121"/>
      <c r="BI54" s="121"/>
      <c r="BJ54" s="287"/>
      <c r="BK54" s="121"/>
      <c r="BL54" s="121"/>
      <c r="BM54" s="121"/>
      <c r="BN54" s="309"/>
      <c r="BO54" s="372" t="s">
        <v>155</v>
      </c>
      <c r="BP54" s="373"/>
      <c r="BQ54" s="373"/>
      <c r="BR54" s="373"/>
      <c r="BS54" s="374"/>
      <c r="BT54" s="125"/>
      <c r="BU54" s="125" t="s">
        <v>268</v>
      </c>
      <c r="BV54" s="125"/>
      <c r="BW54" s="125"/>
      <c r="BX54" s="124"/>
      <c r="BY54" s="329"/>
      <c r="BZ54" s="330"/>
      <c r="CA54" s="330"/>
      <c r="CB54" s="330"/>
      <c r="CC54" s="330"/>
      <c r="CD54" s="330"/>
      <c r="CE54" s="109"/>
      <c r="CF54" s="273"/>
      <c r="CG54" s="256"/>
      <c r="CH54" s="256"/>
      <c r="CI54" s="256"/>
      <c r="CJ54" s="256"/>
      <c r="CK54" s="256"/>
      <c r="CL54" s="256"/>
      <c r="CM54" s="256"/>
      <c r="CN54" s="256"/>
      <c r="CO54" s="256"/>
      <c r="CP54" s="256"/>
    </row>
    <row r="55" spans="1:94" s="31" customFormat="1" ht="19.5" customHeight="1">
      <c r="A55" s="260"/>
      <c r="B55" s="263"/>
      <c r="C55" s="263"/>
      <c r="D55" s="81"/>
      <c r="E55" s="316"/>
      <c r="F55" s="316"/>
      <c r="G55" s="98"/>
      <c r="H55" s="98"/>
      <c r="I55" s="370" t="s">
        <v>153</v>
      </c>
      <c r="J55" s="371"/>
      <c r="K55" s="157" t="s">
        <v>152</v>
      </c>
      <c r="L55" s="157"/>
      <c r="M55" s="121"/>
      <c r="N55" s="121"/>
      <c r="O55" s="158"/>
      <c r="P55" s="120" t="s">
        <v>264</v>
      </c>
      <c r="Q55" s="121"/>
      <c r="R55" s="121"/>
      <c r="S55" s="121"/>
      <c r="T55" s="121"/>
      <c r="U55" s="124"/>
      <c r="V55" s="120" t="s">
        <v>264</v>
      </c>
      <c r="W55" s="121"/>
      <c r="X55" s="121"/>
      <c r="Y55" s="121"/>
      <c r="Z55" s="121"/>
      <c r="AA55" s="124"/>
      <c r="AB55" s="198" t="s">
        <v>265</v>
      </c>
      <c r="AC55" s="77"/>
      <c r="AD55" s="77"/>
      <c r="AE55" s="77"/>
      <c r="AF55" s="77"/>
      <c r="AG55" s="77"/>
      <c r="AH55" s="77"/>
      <c r="AI55" s="121"/>
      <c r="AJ55" s="121"/>
      <c r="AK55" s="121"/>
      <c r="AL55" s="121"/>
      <c r="AM55" s="124"/>
      <c r="AN55" s="160" t="s">
        <v>247</v>
      </c>
      <c r="AO55" s="125"/>
      <c r="AP55" s="125"/>
      <c r="AQ55" s="121"/>
      <c r="AR55" s="121"/>
      <c r="AS55" s="121"/>
      <c r="AT55" s="287"/>
      <c r="AU55" s="287"/>
      <c r="AV55" s="287"/>
      <c r="AW55" s="157"/>
      <c r="AX55" s="120"/>
      <c r="AY55" s="121" t="s">
        <v>154</v>
      </c>
      <c r="AZ55" s="121"/>
      <c r="BA55" s="121"/>
      <c r="BB55" s="121"/>
      <c r="BC55" s="121"/>
      <c r="BD55" s="121"/>
      <c r="BE55" s="121"/>
      <c r="BF55" s="287"/>
      <c r="BG55" s="287"/>
      <c r="BH55" s="121"/>
      <c r="BI55" s="121"/>
      <c r="BJ55" s="287"/>
      <c r="BK55" s="121"/>
      <c r="BL55" s="121"/>
      <c r="BM55" s="121"/>
      <c r="BN55" s="309"/>
      <c r="BO55" s="372" t="s">
        <v>155</v>
      </c>
      <c r="BP55" s="373"/>
      <c r="BQ55" s="373"/>
      <c r="BR55" s="373"/>
      <c r="BS55" s="374"/>
      <c r="BT55" s="125"/>
      <c r="BU55" s="125" t="s">
        <v>268</v>
      </c>
      <c r="BV55" s="125"/>
      <c r="BW55" s="125"/>
      <c r="BX55" s="124"/>
      <c r="BY55" s="95"/>
      <c r="BZ55" s="96"/>
      <c r="CA55" s="96"/>
      <c r="CB55" s="96"/>
      <c r="CC55" s="96"/>
      <c r="CD55" s="96"/>
      <c r="CE55" s="99"/>
      <c r="CF55" s="273"/>
      <c r="CG55" s="256"/>
      <c r="CH55" s="256"/>
      <c r="CI55" s="256"/>
      <c r="CJ55" s="256"/>
      <c r="CK55" s="256"/>
      <c r="CL55" s="256"/>
      <c r="CM55" s="256"/>
      <c r="CN55" s="256"/>
      <c r="CO55" s="256"/>
      <c r="CP55" s="256"/>
    </row>
    <row r="56" spans="1:94" s="31" customFormat="1" ht="19.5" customHeight="1">
      <c r="A56" s="260"/>
      <c r="B56" s="263"/>
      <c r="C56" s="263"/>
      <c r="D56" s="81"/>
      <c r="E56" s="316"/>
      <c r="F56" s="316"/>
      <c r="G56" s="98"/>
      <c r="H56" s="98"/>
      <c r="I56" s="370" t="s">
        <v>153</v>
      </c>
      <c r="J56" s="371"/>
      <c r="K56" s="157" t="s">
        <v>152</v>
      </c>
      <c r="L56" s="157"/>
      <c r="M56" s="121"/>
      <c r="N56" s="121"/>
      <c r="O56" s="158"/>
      <c r="P56" s="120" t="s">
        <v>264</v>
      </c>
      <c r="Q56" s="121"/>
      <c r="R56" s="121"/>
      <c r="S56" s="121"/>
      <c r="T56" s="121"/>
      <c r="U56" s="124"/>
      <c r="V56" s="120" t="s">
        <v>264</v>
      </c>
      <c r="W56" s="121"/>
      <c r="X56" s="121"/>
      <c r="Y56" s="121"/>
      <c r="Z56" s="121"/>
      <c r="AA56" s="124"/>
      <c r="AB56" s="198" t="s">
        <v>265</v>
      </c>
      <c r="AC56" s="77"/>
      <c r="AD56" s="77"/>
      <c r="AE56" s="77"/>
      <c r="AF56" s="77"/>
      <c r="AG56" s="77"/>
      <c r="AH56" s="77"/>
      <c r="AI56" s="121"/>
      <c r="AJ56" s="121"/>
      <c r="AK56" s="121"/>
      <c r="AL56" s="121"/>
      <c r="AM56" s="124"/>
      <c r="AN56" s="160" t="s">
        <v>247</v>
      </c>
      <c r="AO56" s="125"/>
      <c r="AP56" s="125"/>
      <c r="AQ56" s="121"/>
      <c r="AR56" s="121"/>
      <c r="AS56" s="121"/>
      <c r="AT56" s="287"/>
      <c r="AU56" s="287"/>
      <c r="AV56" s="287"/>
      <c r="AW56" s="157"/>
      <c r="AX56" s="120"/>
      <c r="AY56" s="121" t="s">
        <v>154</v>
      </c>
      <c r="AZ56" s="121"/>
      <c r="BA56" s="121"/>
      <c r="BB56" s="121"/>
      <c r="BC56" s="121"/>
      <c r="BD56" s="121"/>
      <c r="BE56" s="121"/>
      <c r="BF56" s="287"/>
      <c r="BG56" s="287"/>
      <c r="BH56" s="121"/>
      <c r="BI56" s="121"/>
      <c r="BJ56" s="287"/>
      <c r="BK56" s="121"/>
      <c r="BL56" s="121"/>
      <c r="BM56" s="121"/>
      <c r="BN56" s="309"/>
      <c r="BO56" s="372" t="s">
        <v>155</v>
      </c>
      <c r="BP56" s="373"/>
      <c r="BQ56" s="373"/>
      <c r="BR56" s="373"/>
      <c r="BS56" s="374"/>
      <c r="BT56" s="125"/>
      <c r="BU56" s="125" t="s">
        <v>268</v>
      </c>
      <c r="BV56" s="125"/>
      <c r="BW56" s="125"/>
      <c r="BX56" s="124"/>
      <c r="BY56" s="95"/>
      <c r="BZ56" s="317"/>
      <c r="CA56" s="317"/>
      <c r="CB56" s="317"/>
      <c r="CC56" s="317"/>
      <c r="CD56" s="317"/>
      <c r="CE56" s="99"/>
      <c r="CF56" s="273"/>
      <c r="CG56" s="256"/>
      <c r="CH56" s="256"/>
      <c r="CI56" s="256"/>
      <c r="CJ56" s="256"/>
      <c r="CK56" s="256"/>
      <c r="CL56" s="256"/>
      <c r="CM56" s="256"/>
      <c r="CN56" s="256"/>
      <c r="CO56" s="256"/>
      <c r="CP56" s="256"/>
    </row>
    <row r="57" spans="1:94" s="31" customFormat="1" ht="19.5" customHeight="1">
      <c r="A57" s="260"/>
      <c r="B57" s="263"/>
      <c r="C57" s="263"/>
      <c r="D57" s="81"/>
      <c r="E57" s="316"/>
      <c r="F57" s="316"/>
      <c r="G57" s="98"/>
      <c r="H57" s="98"/>
      <c r="I57" s="370" t="s">
        <v>153</v>
      </c>
      <c r="J57" s="371"/>
      <c r="K57" s="157" t="s">
        <v>152</v>
      </c>
      <c r="L57" s="157"/>
      <c r="M57" s="121"/>
      <c r="N57" s="121"/>
      <c r="O57" s="158"/>
      <c r="P57" s="120" t="s">
        <v>264</v>
      </c>
      <c r="Q57" s="121"/>
      <c r="R57" s="121"/>
      <c r="S57" s="121"/>
      <c r="T57" s="121"/>
      <c r="U57" s="124"/>
      <c r="V57" s="120" t="s">
        <v>264</v>
      </c>
      <c r="W57" s="121"/>
      <c r="X57" s="121"/>
      <c r="Y57" s="121"/>
      <c r="Z57" s="121"/>
      <c r="AA57" s="124"/>
      <c r="AB57" s="198" t="s">
        <v>265</v>
      </c>
      <c r="AC57" s="77"/>
      <c r="AD57" s="77"/>
      <c r="AE57" s="77"/>
      <c r="AF57" s="77"/>
      <c r="AG57" s="77"/>
      <c r="AH57" s="77"/>
      <c r="AI57" s="121"/>
      <c r="AJ57" s="121"/>
      <c r="AK57" s="121"/>
      <c r="AL57" s="121"/>
      <c r="AM57" s="124"/>
      <c r="AN57" s="160" t="s">
        <v>247</v>
      </c>
      <c r="AO57" s="125"/>
      <c r="AP57" s="125"/>
      <c r="AQ57" s="121"/>
      <c r="AR57" s="121"/>
      <c r="AS57" s="121"/>
      <c r="AT57" s="287"/>
      <c r="AU57" s="287"/>
      <c r="AV57" s="287"/>
      <c r="AW57" s="157"/>
      <c r="AX57" s="120"/>
      <c r="AY57" s="121" t="s">
        <v>154</v>
      </c>
      <c r="AZ57" s="121"/>
      <c r="BA57" s="121"/>
      <c r="BB57" s="121"/>
      <c r="BC57" s="121"/>
      <c r="BD57" s="121"/>
      <c r="BE57" s="121"/>
      <c r="BF57" s="287"/>
      <c r="BG57" s="287"/>
      <c r="BH57" s="121"/>
      <c r="BI57" s="121"/>
      <c r="BJ57" s="287"/>
      <c r="BK57" s="121"/>
      <c r="BL57" s="121"/>
      <c r="BM57" s="121"/>
      <c r="BN57" s="309"/>
      <c r="BO57" s="372" t="s">
        <v>155</v>
      </c>
      <c r="BP57" s="373"/>
      <c r="BQ57" s="373"/>
      <c r="BR57" s="373"/>
      <c r="BS57" s="374"/>
      <c r="BT57" s="125"/>
      <c r="BU57" s="125" t="s">
        <v>268</v>
      </c>
      <c r="BV57" s="125"/>
      <c r="BW57" s="125"/>
      <c r="BX57" s="124"/>
      <c r="BY57" s="329"/>
      <c r="BZ57" s="330"/>
      <c r="CA57" s="330"/>
      <c r="CB57" s="330"/>
      <c r="CC57" s="330"/>
      <c r="CD57" s="330"/>
      <c r="CE57" s="109"/>
      <c r="CF57" s="273"/>
      <c r="CG57" s="256"/>
      <c r="CH57" s="256"/>
      <c r="CI57" s="256"/>
      <c r="CJ57" s="256"/>
      <c r="CK57" s="256"/>
      <c r="CL57" s="256"/>
      <c r="CM57" s="256"/>
      <c r="CN57" s="256"/>
      <c r="CO57" s="256"/>
      <c r="CP57" s="256"/>
    </row>
    <row r="58" spans="1:94" s="31" customFormat="1" ht="19.5" customHeight="1">
      <c r="A58" s="260"/>
      <c r="B58" s="263"/>
      <c r="C58" s="263"/>
      <c r="D58" s="81"/>
      <c r="E58" s="316"/>
      <c r="F58" s="316"/>
      <c r="G58" s="98"/>
      <c r="H58" s="98"/>
      <c r="I58" s="370" t="s">
        <v>153</v>
      </c>
      <c r="J58" s="371"/>
      <c r="K58" s="157" t="s">
        <v>152</v>
      </c>
      <c r="L58" s="157"/>
      <c r="M58" s="121"/>
      <c r="N58" s="121"/>
      <c r="O58" s="158"/>
      <c r="P58" s="120" t="s">
        <v>264</v>
      </c>
      <c r="Q58" s="121"/>
      <c r="R58" s="121"/>
      <c r="S58" s="121"/>
      <c r="T58" s="121"/>
      <c r="U58" s="124"/>
      <c r="V58" s="120" t="s">
        <v>264</v>
      </c>
      <c r="W58" s="121"/>
      <c r="X58" s="121"/>
      <c r="Y58" s="121"/>
      <c r="Z58" s="121"/>
      <c r="AA58" s="124"/>
      <c r="AB58" s="198" t="s">
        <v>265</v>
      </c>
      <c r="AC58" s="77"/>
      <c r="AD58" s="77"/>
      <c r="AE58" s="77"/>
      <c r="AF58" s="77"/>
      <c r="AG58" s="77"/>
      <c r="AH58" s="77"/>
      <c r="AI58" s="121"/>
      <c r="AJ58" s="121"/>
      <c r="AK58" s="121"/>
      <c r="AL58" s="121"/>
      <c r="AM58" s="124"/>
      <c r="AN58" s="160" t="s">
        <v>247</v>
      </c>
      <c r="AO58" s="125"/>
      <c r="AP58" s="125"/>
      <c r="AQ58" s="121"/>
      <c r="AR58" s="121"/>
      <c r="AS58" s="121"/>
      <c r="AT58" s="287"/>
      <c r="AU58" s="287"/>
      <c r="AV58" s="287"/>
      <c r="AW58" s="157"/>
      <c r="AX58" s="120"/>
      <c r="AY58" s="121" t="s">
        <v>154</v>
      </c>
      <c r="AZ58" s="121"/>
      <c r="BA58" s="121"/>
      <c r="BB58" s="121"/>
      <c r="BC58" s="121"/>
      <c r="BD58" s="121"/>
      <c r="BE58" s="121"/>
      <c r="BF58" s="287"/>
      <c r="BG58" s="287"/>
      <c r="BH58" s="121"/>
      <c r="BI58" s="121"/>
      <c r="BJ58" s="287"/>
      <c r="BK58" s="121"/>
      <c r="BL58" s="121"/>
      <c r="BM58" s="121"/>
      <c r="BN58" s="309"/>
      <c r="BO58" s="372" t="s">
        <v>155</v>
      </c>
      <c r="BP58" s="373"/>
      <c r="BQ58" s="373"/>
      <c r="BR58" s="373"/>
      <c r="BS58" s="374"/>
      <c r="BT58" s="125"/>
      <c r="BU58" s="125" t="s">
        <v>268</v>
      </c>
      <c r="BV58" s="125"/>
      <c r="BW58" s="125"/>
      <c r="BX58" s="124"/>
      <c r="BY58" s="95"/>
      <c r="BZ58" s="96"/>
      <c r="CA58" s="96"/>
      <c r="CB58" s="96"/>
      <c r="CC58" s="96"/>
      <c r="CD58" s="96"/>
      <c r="CE58" s="99"/>
      <c r="CF58" s="273"/>
      <c r="CG58" s="256"/>
      <c r="CH58" s="256"/>
      <c r="CI58" s="256"/>
      <c r="CJ58" s="256"/>
      <c r="CK58" s="256"/>
      <c r="CL58" s="256"/>
      <c r="CM58" s="256"/>
      <c r="CN58" s="256"/>
      <c r="CO58" s="256"/>
      <c r="CP58" s="256"/>
    </row>
    <row r="59" spans="1:94" s="31" customFormat="1" ht="19.5" customHeight="1">
      <c r="A59" s="260"/>
      <c r="B59" s="263"/>
      <c r="C59" s="263"/>
      <c r="D59" s="81"/>
      <c r="E59" s="316"/>
      <c r="F59" s="316"/>
      <c r="G59" s="98"/>
      <c r="H59" s="98"/>
      <c r="I59" s="370" t="s">
        <v>153</v>
      </c>
      <c r="J59" s="371"/>
      <c r="K59" s="157" t="s">
        <v>152</v>
      </c>
      <c r="L59" s="157"/>
      <c r="M59" s="121"/>
      <c r="N59" s="121"/>
      <c r="O59" s="158"/>
      <c r="P59" s="120" t="s">
        <v>264</v>
      </c>
      <c r="Q59" s="121"/>
      <c r="R59" s="121"/>
      <c r="S59" s="121"/>
      <c r="T59" s="121"/>
      <c r="U59" s="124"/>
      <c r="V59" s="120" t="s">
        <v>264</v>
      </c>
      <c r="W59" s="121"/>
      <c r="X59" s="121"/>
      <c r="Y59" s="121"/>
      <c r="Z59" s="121"/>
      <c r="AA59" s="124"/>
      <c r="AB59" s="198" t="s">
        <v>265</v>
      </c>
      <c r="AC59" s="77"/>
      <c r="AD59" s="77"/>
      <c r="AE59" s="77"/>
      <c r="AF59" s="77"/>
      <c r="AG59" s="77"/>
      <c r="AH59" s="77"/>
      <c r="AI59" s="121"/>
      <c r="AJ59" s="121"/>
      <c r="AK59" s="121"/>
      <c r="AL59" s="121"/>
      <c r="AM59" s="124"/>
      <c r="AN59" s="160" t="s">
        <v>247</v>
      </c>
      <c r="AO59" s="125"/>
      <c r="AP59" s="125"/>
      <c r="AQ59" s="121"/>
      <c r="AR59" s="121"/>
      <c r="AS59" s="121"/>
      <c r="AT59" s="287"/>
      <c r="AU59" s="287"/>
      <c r="AV59" s="287"/>
      <c r="AW59" s="157"/>
      <c r="AX59" s="120"/>
      <c r="AY59" s="121" t="s">
        <v>154</v>
      </c>
      <c r="AZ59" s="121"/>
      <c r="BA59" s="121"/>
      <c r="BB59" s="121"/>
      <c r="BC59" s="121"/>
      <c r="BD59" s="121"/>
      <c r="BE59" s="121"/>
      <c r="BF59" s="287"/>
      <c r="BG59" s="287"/>
      <c r="BH59" s="121"/>
      <c r="BI59" s="121"/>
      <c r="BJ59" s="287"/>
      <c r="BK59" s="121"/>
      <c r="BL59" s="121"/>
      <c r="BM59" s="121"/>
      <c r="BN59" s="309"/>
      <c r="BO59" s="372" t="s">
        <v>155</v>
      </c>
      <c r="BP59" s="373"/>
      <c r="BQ59" s="373"/>
      <c r="BR59" s="373"/>
      <c r="BS59" s="374"/>
      <c r="BT59" s="125"/>
      <c r="BU59" s="125" t="s">
        <v>268</v>
      </c>
      <c r="BV59" s="125"/>
      <c r="BW59" s="125"/>
      <c r="BX59" s="124"/>
      <c r="BY59" s="95"/>
      <c r="BZ59" s="317"/>
      <c r="CA59" s="317"/>
      <c r="CB59" s="317"/>
      <c r="CC59" s="317"/>
      <c r="CD59" s="317"/>
      <c r="CE59" s="99"/>
      <c r="CF59" s="273"/>
      <c r="CG59" s="256"/>
      <c r="CH59" s="256"/>
      <c r="CI59" s="256"/>
      <c r="CJ59" s="256"/>
      <c r="CK59" s="256"/>
      <c r="CL59" s="256"/>
      <c r="CM59" s="256"/>
      <c r="CN59" s="256"/>
      <c r="CO59" s="256"/>
      <c r="CP59" s="256"/>
    </row>
    <row r="60" spans="1:94" s="31" customFormat="1" ht="19.5" customHeight="1">
      <c r="A60" s="260"/>
      <c r="B60" s="263"/>
      <c r="C60" s="263"/>
      <c r="D60" s="81"/>
      <c r="E60" s="316"/>
      <c r="F60" s="316"/>
      <c r="G60" s="98"/>
      <c r="H60" s="98"/>
      <c r="I60" s="381" t="s">
        <v>256</v>
      </c>
      <c r="J60" s="382"/>
      <c r="K60" s="382"/>
      <c r="L60" s="382"/>
      <c r="M60" s="382"/>
      <c r="N60" s="382"/>
      <c r="O60" s="382"/>
      <c r="P60" s="382"/>
      <c r="Q60" s="382"/>
      <c r="R60" s="382"/>
      <c r="S60" s="382"/>
      <c r="T60" s="382"/>
      <c r="U60" s="382"/>
      <c r="V60" s="382"/>
      <c r="W60" s="382"/>
      <c r="X60" s="382"/>
      <c r="Y60" s="382"/>
      <c r="Z60" s="382"/>
      <c r="AA60" s="382"/>
      <c r="AB60" s="382"/>
      <c r="AC60" s="382"/>
      <c r="AD60" s="382"/>
      <c r="AE60" s="382"/>
      <c r="AF60" s="382"/>
      <c r="AG60" s="382"/>
      <c r="AH60" s="382"/>
      <c r="AI60" s="382"/>
      <c r="AJ60" s="382"/>
      <c r="AK60" s="382"/>
      <c r="AL60" s="382"/>
      <c r="AM60" s="382"/>
      <c r="AN60" s="382"/>
      <c r="AO60" s="382"/>
      <c r="AP60" s="382"/>
      <c r="AQ60" s="382"/>
      <c r="AR60" s="382"/>
      <c r="AS60" s="382"/>
      <c r="AT60" s="382"/>
      <c r="AU60" s="382"/>
      <c r="AV60" s="382"/>
      <c r="AW60" s="382"/>
      <c r="AX60" s="382"/>
      <c r="AY60" s="382"/>
      <c r="AZ60" s="382"/>
      <c r="BA60" s="382"/>
      <c r="BB60" s="382"/>
      <c r="BC60" s="382"/>
      <c r="BD60" s="382"/>
      <c r="BE60" s="382"/>
      <c r="BF60" s="382"/>
      <c r="BG60" s="382"/>
      <c r="BH60" s="382"/>
      <c r="BI60" s="382"/>
      <c r="BJ60" s="382"/>
      <c r="BK60" s="382"/>
      <c r="BL60" s="382"/>
      <c r="BM60" s="382"/>
      <c r="BN60" s="382"/>
      <c r="BO60" s="382"/>
      <c r="BP60" s="382"/>
      <c r="BQ60" s="382"/>
      <c r="BR60" s="382"/>
      <c r="BS60" s="382"/>
      <c r="BT60" s="382"/>
      <c r="BU60" s="382"/>
      <c r="BV60" s="382"/>
      <c r="BW60" s="382"/>
      <c r="BX60" s="383"/>
      <c r="BY60" s="112"/>
      <c r="BZ60" s="96"/>
      <c r="CA60" s="96"/>
      <c r="CB60" s="96"/>
      <c r="CC60" s="96"/>
      <c r="CD60" s="96"/>
      <c r="CE60" s="99"/>
      <c r="CF60" s="273"/>
      <c r="CG60" s="256"/>
      <c r="CH60" s="256"/>
      <c r="CI60" s="256"/>
      <c r="CJ60" s="256"/>
      <c r="CK60" s="256"/>
      <c r="CL60" s="256"/>
      <c r="CM60" s="256"/>
      <c r="CN60" s="256"/>
      <c r="CO60" s="256"/>
      <c r="CP60" s="256"/>
    </row>
    <row r="61" spans="1:94" s="31" customFormat="1" ht="19.5" customHeight="1">
      <c r="A61" s="260"/>
      <c r="B61" s="263"/>
      <c r="C61" s="263"/>
      <c r="D61" s="81"/>
      <c r="E61" s="316"/>
      <c r="F61" s="316"/>
      <c r="G61" s="98"/>
      <c r="H61" s="98"/>
      <c r="I61" s="437" t="s">
        <v>261</v>
      </c>
      <c r="J61" s="438"/>
      <c r="K61" s="194"/>
      <c r="L61" s="194"/>
      <c r="M61" s="194"/>
      <c r="N61" s="194"/>
      <c r="O61" s="194"/>
      <c r="P61" s="194"/>
      <c r="Q61" s="194"/>
      <c r="R61" s="194"/>
      <c r="S61" s="194"/>
      <c r="T61" s="194"/>
      <c r="U61" s="194"/>
      <c r="V61" s="194"/>
      <c r="W61" s="194"/>
      <c r="X61" s="194"/>
      <c r="Y61" s="194"/>
      <c r="Z61" s="194"/>
      <c r="AA61" s="194"/>
      <c r="AB61" s="194"/>
      <c r="AC61" s="194"/>
      <c r="AD61" s="194"/>
      <c r="AE61" s="194"/>
      <c r="AF61" s="194"/>
      <c r="AG61" s="194"/>
      <c r="AH61" s="194"/>
      <c r="AI61" s="194"/>
      <c r="AJ61" s="194"/>
      <c r="AK61" s="194"/>
      <c r="AL61" s="194"/>
      <c r="AM61" s="194"/>
      <c r="AN61" s="194"/>
      <c r="AO61" s="194"/>
      <c r="AP61" s="194"/>
      <c r="AQ61" s="194"/>
      <c r="AR61" s="194"/>
      <c r="AS61" s="194"/>
      <c r="AT61" s="194"/>
      <c r="AU61" s="194"/>
      <c r="AV61" s="194"/>
      <c r="AW61" s="194"/>
      <c r="AX61" s="194"/>
      <c r="AY61" s="194"/>
      <c r="AZ61" s="194"/>
      <c r="BA61" s="194"/>
      <c r="BB61" s="194"/>
      <c r="BC61" s="194"/>
      <c r="BD61" s="194"/>
      <c r="BE61" s="194"/>
      <c r="BF61" s="194"/>
      <c r="BG61" s="194"/>
      <c r="BH61" s="194"/>
      <c r="BI61" s="194"/>
      <c r="BJ61" s="194"/>
      <c r="BK61" s="194"/>
      <c r="BL61" s="194"/>
      <c r="BM61" s="194"/>
      <c r="BN61" s="194"/>
      <c r="BO61" s="194"/>
      <c r="BP61" s="194"/>
      <c r="BQ61" s="194"/>
      <c r="BR61" s="194"/>
      <c r="BS61" s="194"/>
      <c r="BT61" s="194"/>
      <c r="BU61" s="194"/>
      <c r="BV61" s="194"/>
      <c r="BW61" s="194"/>
      <c r="BX61" s="195"/>
      <c r="BY61" s="112"/>
      <c r="BZ61" s="96"/>
      <c r="CA61" s="96"/>
      <c r="CB61" s="96"/>
      <c r="CC61" s="96"/>
      <c r="CD61" s="96"/>
      <c r="CE61" s="99"/>
      <c r="CF61" s="273"/>
      <c r="CG61" s="256"/>
      <c r="CH61" s="256"/>
      <c r="CI61" s="261"/>
      <c r="CJ61" s="261"/>
      <c r="CK61" s="261"/>
      <c r="CL61" s="256"/>
      <c r="CM61" s="256"/>
      <c r="CN61" s="256"/>
      <c r="CO61" s="256"/>
      <c r="CP61" s="256"/>
    </row>
    <row r="62" spans="1:94" s="31" customFormat="1" ht="19.5" customHeight="1">
      <c r="A62" s="260"/>
      <c r="B62" s="263"/>
      <c r="C62" s="263"/>
      <c r="D62" s="81"/>
      <c r="E62" s="316"/>
      <c r="F62" s="316"/>
      <c r="G62" s="98"/>
      <c r="H62" s="98"/>
      <c r="I62" s="113"/>
      <c r="J62" s="113"/>
      <c r="K62" s="113"/>
      <c r="L62" s="113"/>
      <c r="M62" s="113"/>
      <c r="N62" s="113"/>
      <c r="O62" s="114"/>
      <c r="P62" s="114"/>
      <c r="Q62" s="114"/>
      <c r="R62" s="113"/>
      <c r="S62" s="113"/>
      <c r="T62" s="113"/>
      <c r="U62" s="113"/>
      <c r="V62" s="113"/>
      <c r="W62" s="114"/>
      <c r="X62" s="115"/>
      <c r="Y62" s="113"/>
      <c r="Z62" s="115"/>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4"/>
      <c r="AX62" s="115"/>
      <c r="AY62" s="113"/>
      <c r="AZ62" s="115"/>
      <c r="BA62" s="113"/>
      <c r="BB62" s="113"/>
      <c r="BC62" s="113"/>
      <c r="BD62" s="113"/>
      <c r="BE62" s="113"/>
      <c r="BF62" s="113"/>
      <c r="BG62" s="113"/>
      <c r="BH62" s="113"/>
      <c r="BI62" s="113"/>
      <c r="BJ62" s="113"/>
      <c r="BK62" s="113"/>
      <c r="BL62" s="113"/>
      <c r="BM62" s="113"/>
      <c r="BN62" s="113"/>
      <c r="BO62" s="113"/>
      <c r="BP62" s="113"/>
      <c r="BQ62" s="113"/>
      <c r="BR62" s="113"/>
      <c r="BS62" s="91"/>
      <c r="BT62" s="91"/>
      <c r="BU62" s="91"/>
      <c r="BV62" s="91"/>
      <c r="BW62" s="91"/>
      <c r="BX62" s="91"/>
      <c r="BY62" s="95"/>
      <c r="BZ62" s="96"/>
      <c r="CA62" s="96"/>
      <c r="CB62" s="96"/>
      <c r="CC62" s="96"/>
      <c r="CD62" s="96"/>
      <c r="CE62" s="99"/>
      <c r="CF62" s="327"/>
      <c r="CG62" s="261"/>
      <c r="CH62" s="261"/>
      <c r="CI62" s="261"/>
      <c r="CJ62" s="261"/>
      <c r="CK62" s="261"/>
      <c r="CL62" s="256"/>
      <c r="CM62" s="256"/>
      <c r="CN62" s="256"/>
      <c r="CO62" s="256"/>
      <c r="CP62" s="256"/>
    </row>
    <row r="63" spans="1:94" s="31" customFormat="1" ht="19.5" customHeight="1">
      <c r="A63" s="260"/>
      <c r="B63" s="263"/>
      <c r="C63" s="263"/>
      <c r="D63" s="81"/>
      <c r="E63" s="316"/>
      <c r="F63" s="316"/>
      <c r="G63" s="98"/>
      <c r="H63" s="98"/>
      <c r="I63" s="205"/>
      <c r="J63" s="205"/>
      <c r="K63" s="205"/>
      <c r="L63" s="205"/>
      <c r="M63" s="205"/>
      <c r="N63" s="205"/>
      <c r="O63" s="206"/>
      <c r="P63" s="206"/>
      <c r="Q63" s="206"/>
      <c r="R63" s="205"/>
      <c r="S63" s="205"/>
      <c r="T63" s="205"/>
      <c r="U63" s="205"/>
      <c r="V63" s="205"/>
      <c r="W63" s="206"/>
      <c r="X63" s="207"/>
      <c r="Y63" s="205"/>
      <c r="Z63" s="207"/>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6"/>
      <c r="AX63" s="207"/>
      <c r="AY63" s="215"/>
      <c r="AZ63" s="216"/>
      <c r="BA63" s="215"/>
      <c r="BB63" s="215"/>
      <c r="BC63" s="215"/>
      <c r="BD63" s="215"/>
      <c r="BE63" s="215"/>
      <c r="BF63" s="215"/>
      <c r="BG63" s="215"/>
      <c r="BH63" s="215"/>
      <c r="BI63" s="215"/>
      <c r="BJ63" s="215"/>
      <c r="BK63" s="215"/>
      <c r="BL63" s="215"/>
      <c r="BM63" s="215"/>
      <c r="BN63" s="215"/>
      <c r="BO63" s="215"/>
      <c r="BP63" s="215"/>
      <c r="BQ63" s="215"/>
      <c r="BR63" s="215"/>
      <c r="BS63" s="217"/>
      <c r="BT63" s="217"/>
      <c r="BU63" s="217"/>
      <c r="BV63" s="217"/>
      <c r="BW63" s="217"/>
      <c r="BX63" s="217"/>
      <c r="BY63" s="95"/>
      <c r="BZ63" s="96"/>
      <c r="CA63" s="96"/>
      <c r="CB63" s="96"/>
      <c r="CC63" s="96"/>
      <c r="CD63" s="96"/>
      <c r="CE63" s="99"/>
      <c r="CF63" s="327"/>
      <c r="CG63" s="261"/>
      <c r="CH63" s="261"/>
      <c r="CI63" s="261"/>
      <c r="CJ63" s="261"/>
      <c r="CK63" s="261"/>
      <c r="CL63" s="256"/>
      <c r="CM63" s="256"/>
      <c r="CN63" s="256"/>
      <c r="CO63" s="256"/>
      <c r="CP63" s="256"/>
    </row>
    <row r="64" spans="1:94" s="31" customFormat="1" ht="19.5" customHeight="1">
      <c r="A64" s="260"/>
      <c r="B64" s="263"/>
      <c r="C64" s="263"/>
      <c r="D64" s="81"/>
      <c r="E64" s="316"/>
      <c r="F64" s="316"/>
      <c r="G64" s="98"/>
      <c r="H64" s="98"/>
      <c r="I64" s="408" t="s">
        <v>256</v>
      </c>
      <c r="J64" s="409"/>
      <c r="K64" s="409"/>
      <c r="L64" s="409"/>
      <c r="M64" s="409"/>
      <c r="N64" s="409"/>
      <c r="O64" s="409"/>
      <c r="P64" s="409"/>
      <c r="Q64" s="409"/>
      <c r="R64" s="409"/>
      <c r="S64" s="409"/>
      <c r="T64" s="409"/>
      <c r="U64" s="409"/>
      <c r="V64" s="409"/>
      <c r="W64" s="409"/>
      <c r="X64" s="409"/>
      <c r="Y64" s="409"/>
      <c r="Z64" s="409"/>
      <c r="AA64" s="409"/>
      <c r="AB64" s="409"/>
      <c r="AC64" s="409"/>
      <c r="AD64" s="409"/>
      <c r="AE64" s="409"/>
      <c r="AF64" s="409"/>
      <c r="AG64" s="409"/>
      <c r="AH64" s="409"/>
      <c r="AI64" s="409"/>
      <c r="AJ64" s="409"/>
      <c r="AK64" s="409"/>
      <c r="AL64" s="409"/>
      <c r="AM64" s="409"/>
      <c r="AN64" s="409"/>
      <c r="AO64" s="409"/>
      <c r="AP64" s="409"/>
      <c r="AQ64" s="409"/>
      <c r="AR64" s="409"/>
      <c r="AS64" s="409"/>
      <c r="AT64" s="409"/>
      <c r="AU64" s="409"/>
      <c r="AV64" s="409"/>
      <c r="AW64" s="409"/>
      <c r="AX64" s="409"/>
      <c r="AY64" s="219"/>
      <c r="AZ64" s="216"/>
      <c r="BA64" s="215"/>
      <c r="BB64" s="215"/>
      <c r="BC64" s="215"/>
      <c r="BD64" s="215"/>
      <c r="BE64" s="215"/>
      <c r="BF64" s="215"/>
      <c r="BG64" s="215"/>
      <c r="BH64" s="215"/>
      <c r="BI64" s="215"/>
      <c r="BJ64" s="215"/>
      <c r="BK64" s="215"/>
      <c r="BL64" s="215"/>
      <c r="BM64" s="215"/>
      <c r="BN64" s="215"/>
      <c r="BO64" s="215"/>
      <c r="BP64" s="215"/>
      <c r="BQ64" s="215"/>
      <c r="BR64" s="215"/>
      <c r="BS64" s="217"/>
      <c r="BT64" s="217"/>
      <c r="BU64" s="217"/>
      <c r="BV64" s="217"/>
      <c r="BW64" s="217"/>
      <c r="BX64" s="217"/>
      <c r="BY64" s="95"/>
      <c r="BZ64" s="96"/>
      <c r="CA64" s="96"/>
      <c r="CB64" s="96"/>
      <c r="CC64" s="96"/>
      <c r="CD64" s="96"/>
      <c r="CE64" s="90"/>
      <c r="CF64" s="328"/>
      <c r="CG64" s="256"/>
      <c r="CH64" s="256"/>
      <c r="CI64" s="256"/>
      <c r="CJ64" s="256"/>
      <c r="CK64" s="256"/>
      <c r="CL64" s="256"/>
      <c r="CM64" s="256"/>
      <c r="CN64" s="256"/>
      <c r="CO64" s="256"/>
      <c r="CP64" s="256"/>
    </row>
    <row r="65" spans="1:94" s="31" customFormat="1" ht="19.5" customHeight="1">
      <c r="A65" s="260"/>
      <c r="B65" s="263"/>
      <c r="C65" s="263"/>
      <c r="D65" s="81"/>
      <c r="E65" s="316"/>
      <c r="F65" s="316"/>
      <c r="G65" s="98"/>
      <c r="H65" s="98"/>
      <c r="I65" s="165" t="s">
        <v>153</v>
      </c>
      <c r="J65" s="166"/>
      <c r="K65" s="393" t="s">
        <v>295</v>
      </c>
      <c r="L65" s="394"/>
      <c r="M65" s="394"/>
      <c r="N65" s="394"/>
      <c r="O65" s="394"/>
      <c r="P65" s="394"/>
      <c r="Q65" s="394"/>
      <c r="R65" s="394"/>
      <c r="S65" s="394"/>
      <c r="T65" s="394"/>
      <c r="U65" s="394"/>
      <c r="V65" s="394"/>
      <c r="W65" s="394"/>
      <c r="X65" s="394"/>
      <c r="Y65" s="394"/>
      <c r="Z65" s="394"/>
      <c r="AA65" s="394"/>
      <c r="AB65" s="394"/>
      <c r="AC65" s="394"/>
      <c r="AD65" s="394"/>
      <c r="AE65" s="394"/>
      <c r="AF65" s="200"/>
      <c r="AG65" s="201" t="s">
        <v>57</v>
      </c>
      <c r="AH65" s="203"/>
      <c r="AI65" s="202"/>
      <c r="AJ65" s="393" t="s">
        <v>34</v>
      </c>
      <c r="AK65" s="394"/>
      <c r="AL65" s="394"/>
      <c r="AM65" s="394"/>
      <c r="AN65" s="395"/>
      <c r="AO65" s="394" t="s">
        <v>269</v>
      </c>
      <c r="AP65" s="394"/>
      <c r="AQ65" s="394"/>
      <c r="AR65" s="394"/>
      <c r="AS65" s="394"/>
      <c r="AT65" s="394"/>
      <c r="AU65" s="394"/>
      <c r="AV65" s="394"/>
      <c r="AW65" s="394"/>
      <c r="AX65" s="394"/>
      <c r="AY65" s="219"/>
      <c r="AZ65" s="216"/>
      <c r="BA65" s="215"/>
      <c r="BB65" s="215"/>
      <c r="BC65" s="215"/>
      <c r="BD65" s="215"/>
      <c r="BE65" s="215"/>
      <c r="BF65" s="215"/>
      <c r="BG65" s="215"/>
      <c r="BH65" s="215"/>
      <c r="BI65" s="215"/>
      <c r="BJ65" s="215"/>
      <c r="BK65" s="215"/>
      <c r="BL65" s="215"/>
      <c r="BM65" s="215"/>
      <c r="BN65" s="215"/>
      <c r="BO65" s="215"/>
      <c r="BP65" s="215"/>
      <c r="BQ65" s="215"/>
      <c r="BR65" s="215"/>
      <c r="BS65" s="217"/>
      <c r="BT65" s="217"/>
      <c r="BU65" s="217"/>
      <c r="BV65" s="217"/>
      <c r="BW65" s="217"/>
      <c r="BX65" s="217"/>
      <c r="BY65" s="95"/>
      <c r="BZ65" s="96"/>
      <c r="CA65" s="96"/>
      <c r="CB65" s="96"/>
      <c r="CC65" s="96"/>
      <c r="CD65" s="96"/>
      <c r="CE65" s="90"/>
      <c r="CF65" s="273"/>
      <c r="CG65" s="256"/>
      <c r="CH65" s="256"/>
      <c r="CI65" s="256"/>
      <c r="CJ65" s="256"/>
      <c r="CK65" s="256"/>
      <c r="CL65" s="256"/>
      <c r="CM65" s="256"/>
      <c r="CN65" s="256"/>
      <c r="CO65" s="256"/>
      <c r="CP65" s="256"/>
    </row>
    <row r="66" spans="1:94" s="31" customFormat="1" ht="19.5" customHeight="1">
      <c r="A66" s="260"/>
      <c r="B66" s="263"/>
      <c r="C66" s="263"/>
      <c r="D66" s="81"/>
      <c r="E66" s="316"/>
      <c r="F66" s="316"/>
      <c r="G66" s="98"/>
      <c r="H66" s="98"/>
      <c r="I66" s="401" t="s">
        <v>148</v>
      </c>
      <c r="J66" s="403"/>
      <c r="K66" s="208"/>
      <c r="L66" s="209" t="s">
        <v>149</v>
      </c>
      <c r="M66" s="209"/>
      <c r="N66" s="209"/>
      <c r="O66" s="209"/>
      <c r="P66" s="209"/>
      <c r="Q66" s="209"/>
      <c r="R66" s="209"/>
      <c r="S66" s="209"/>
      <c r="T66" s="209"/>
      <c r="U66" s="209"/>
      <c r="V66" s="209"/>
      <c r="W66" s="209"/>
      <c r="X66" s="209"/>
      <c r="Y66" s="210"/>
      <c r="Z66" s="209"/>
      <c r="AA66" s="209"/>
      <c r="AB66" s="209"/>
      <c r="AC66" s="210"/>
      <c r="AD66" s="210"/>
      <c r="AE66" s="211"/>
      <c r="AF66" s="212"/>
      <c r="AG66" s="209" t="s">
        <v>83</v>
      </c>
      <c r="AH66" s="213"/>
      <c r="AI66" s="214"/>
      <c r="AJ66" s="213" t="s">
        <v>35</v>
      </c>
      <c r="AK66" s="213"/>
      <c r="AL66" s="213"/>
      <c r="AM66" s="209"/>
      <c r="AN66" s="209"/>
      <c r="AO66" s="237"/>
      <c r="AP66" s="331" t="s">
        <v>270</v>
      </c>
      <c r="AQ66" s="237"/>
      <c r="AR66" s="237"/>
      <c r="AS66" s="237"/>
      <c r="AT66" s="236"/>
      <c r="AU66" s="237"/>
      <c r="AV66" s="237"/>
      <c r="AW66" s="237"/>
      <c r="AX66" s="237"/>
      <c r="AY66" s="219"/>
      <c r="AZ66" s="216"/>
      <c r="BA66" s="215"/>
      <c r="BB66" s="215"/>
      <c r="BC66" s="215"/>
      <c r="BD66" s="215"/>
      <c r="BE66" s="215"/>
      <c r="BF66" s="215"/>
      <c r="BG66" s="215"/>
      <c r="BH66" s="215"/>
      <c r="BI66" s="215"/>
      <c r="BJ66" s="215"/>
      <c r="BK66" s="215"/>
      <c r="BL66" s="215"/>
      <c r="BM66" s="215"/>
      <c r="BN66" s="215"/>
      <c r="BO66" s="215"/>
      <c r="BP66" s="215"/>
      <c r="BQ66" s="215"/>
      <c r="BR66" s="215"/>
      <c r="BS66" s="217"/>
      <c r="BT66" s="217"/>
      <c r="BU66" s="217"/>
      <c r="BV66" s="217"/>
      <c r="BW66" s="217"/>
      <c r="BX66" s="217"/>
      <c r="BY66" s="95"/>
      <c r="BZ66" s="96"/>
      <c r="CA66" s="96"/>
      <c r="CB66" s="96"/>
      <c r="CC66" s="96"/>
      <c r="CD66" s="96"/>
      <c r="CE66" s="90"/>
      <c r="CF66" s="273"/>
      <c r="CG66" s="256"/>
      <c r="CH66" s="256"/>
      <c r="CI66" s="256"/>
      <c r="CJ66" s="256"/>
      <c r="CK66" s="256"/>
      <c r="CL66" s="256"/>
      <c r="CM66" s="256"/>
      <c r="CN66" s="256"/>
      <c r="CO66" s="256"/>
      <c r="CP66" s="256"/>
    </row>
    <row r="67" spans="1:94" s="31" customFormat="1" ht="19.5" customHeight="1">
      <c r="A67" s="260"/>
      <c r="B67" s="263"/>
      <c r="C67" s="263"/>
      <c r="D67" s="81"/>
      <c r="E67" s="316"/>
      <c r="F67" s="316"/>
      <c r="G67" s="98"/>
      <c r="H67" s="98"/>
      <c r="I67" s="370" t="s">
        <v>153</v>
      </c>
      <c r="J67" s="371"/>
      <c r="K67" s="123"/>
      <c r="L67" s="121" t="s">
        <v>151</v>
      </c>
      <c r="M67" s="121"/>
      <c r="N67" s="121"/>
      <c r="O67" s="121"/>
      <c r="P67" s="121"/>
      <c r="Q67" s="121"/>
      <c r="R67" s="121"/>
      <c r="S67" s="121"/>
      <c r="T67" s="121"/>
      <c r="U67" s="121"/>
      <c r="V67" s="121"/>
      <c r="W67" s="121"/>
      <c r="X67" s="121"/>
      <c r="Y67" s="287"/>
      <c r="Z67" s="121"/>
      <c r="AA67" s="121"/>
      <c r="AB67" s="121"/>
      <c r="AC67" s="287"/>
      <c r="AD67" s="287"/>
      <c r="AE67" s="124"/>
      <c r="AF67" s="120"/>
      <c r="AG67" s="121" t="s">
        <v>83</v>
      </c>
      <c r="AH67" s="125"/>
      <c r="AI67" s="161"/>
      <c r="AJ67" s="125" t="s">
        <v>35</v>
      </c>
      <c r="AK67" s="125"/>
      <c r="AL67" s="125"/>
      <c r="AM67" s="121"/>
      <c r="AN67" s="124"/>
      <c r="AO67" s="238"/>
      <c r="AP67" s="121" t="s">
        <v>270</v>
      </c>
      <c r="AQ67" s="239"/>
      <c r="AR67" s="239"/>
      <c r="AS67" s="239"/>
      <c r="AT67" s="240"/>
      <c r="AU67" s="239"/>
      <c r="AV67" s="239"/>
      <c r="AW67" s="239"/>
      <c r="AX67" s="239"/>
      <c r="AY67" s="219"/>
      <c r="AZ67" s="216"/>
      <c r="BA67" s="215"/>
      <c r="BB67" s="215"/>
      <c r="BC67" s="215"/>
      <c r="BD67" s="215"/>
      <c r="BE67" s="215"/>
      <c r="BF67" s="215"/>
      <c r="BG67" s="215"/>
      <c r="BH67" s="215"/>
      <c r="BI67" s="215"/>
      <c r="BJ67" s="215"/>
      <c r="BK67" s="215"/>
      <c r="BL67" s="215"/>
      <c r="BM67" s="215"/>
      <c r="BN67" s="215"/>
      <c r="BO67" s="215"/>
      <c r="BP67" s="215"/>
      <c r="BQ67" s="215"/>
      <c r="BR67" s="215"/>
      <c r="BS67" s="217"/>
      <c r="BT67" s="217"/>
      <c r="BU67" s="217"/>
      <c r="BV67" s="217"/>
      <c r="BW67" s="217"/>
      <c r="BX67" s="217"/>
      <c r="BY67" s="95"/>
      <c r="BZ67" s="96"/>
      <c r="CA67" s="96"/>
      <c r="CB67" s="96"/>
      <c r="CC67" s="96"/>
      <c r="CD67" s="96"/>
      <c r="CE67" s="90"/>
      <c r="CF67" s="273"/>
      <c r="CG67" s="256"/>
      <c r="CH67" s="256"/>
      <c r="CI67" s="256"/>
      <c r="CJ67" s="256"/>
      <c r="CK67" s="256"/>
      <c r="CL67" s="256"/>
      <c r="CM67" s="256"/>
      <c r="CN67" s="256"/>
      <c r="CO67" s="256"/>
      <c r="CP67" s="256"/>
    </row>
    <row r="68" spans="1:94" s="31" customFormat="1" ht="19.5" customHeight="1">
      <c r="A68" s="260"/>
      <c r="B68" s="263"/>
      <c r="C68" s="263"/>
      <c r="D68" s="81"/>
      <c r="E68" s="316"/>
      <c r="F68" s="316"/>
      <c r="G68" s="98"/>
      <c r="H68" s="98"/>
      <c r="I68" s="370" t="s">
        <v>153</v>
      </c>
      <c r="J68" s="371"/>
      <c r="K68" s="123"/>
      <c r="L68" s="121" t="s">
        <v>111</v>
      </c>
      <c r="M68" s="121"/>
      <c r="N68" s="121"/>
      <c r="O68" s="121"/>
      <c r="P68" s="121"/>
      <c r="Q68" s="121"/>
      <c r="R68" s="121"/>
      <c r="S68" s="121"/>
      <c r="T68" s="121"/>
      <c r="U68" s="121"/>
      <c r="V68" s="121"/>
      <c r="W68" s="121"/>
      <c r="X68" s="121"/>
      <c r="Y68" s="287"/>
      <c r="Z68" s="121"/>
      <c r="AA68" s="121"/>
      <c r="AB68" s="121"/>
      <c r="AC68" s="287"/>
      <c r="AD68" s="287"/>
      <c r="AE68" s="124"/>
      <c r="AF68" s="120"/>
      <c r="AG68" s="121" t="s">
        <v>156</v>
      </c>
      <c r="AH68" s="125"/>
      <c r="AI68" s="161"/>
      <c r="AJ68" s="125" t="s">
        <v>157</v>
      </c>
      <c r="AK68" s="125"/>
      <c r="AL68" s="125"/>
      <c r="AM68" s="121"/>
      <c r="AN68" s="124"/>
      <c r="AO68" s="238"/>
      <c r="AP68" s="121" t="s">
        <v>270</v>
      </c>
      <c r="AQ68" s="239"/>
      <c r="AR68" s="239"/>
      <c r="AS68" s="239"/>
      <c r="AT68" s="240"/>
      <c r="AU68" s="239"/>
      <c r="AV68" s="239"/>
      <c r="AW68" s="239"/>
      <c r="AX68" s="239"/>
      <c r="AY68" s="219"/>
      <c r="AZ68" s="216"/>
      <c r="BA68" s="215"/>
      <c r="BB68" s="215"/>
      <c r="BC68" s="215"/>
      <c r="BD68" s="215"/>
      <c r="BE68" s="215"/>
      <c r="BF68" s="215"/>
      <c r="BG68" s="215"/>
      <c r="BH68" s="215"/>
      <c r="BI68" s="215"/>
      <c r="BJ68" s="215"/>
      <c r="BK68" s="215"/>
      <c r="BL68" s="215"/>
      <c r="BM68" s="215"/>
      <c r="BN68" s="215"/>
      <c r="BO68" s="215"/>
      <c r="BP68" s="215"/>
      <c r="BQ68" s="215"/>
      <c r="BR68" s="215"/>
      <c r="BS68" s="217"/>
      <c r="BT68" s="217"/>
      <c r="BU68" s="217"/>
      <c r="BV68" s="217"/>
      <c r="BW68" s="217"/>
      <c r="BX68" s="217"/>
      <c r="BY68" s="95"/>
      <c r="BZ68" s="96"/>
      <c r="CA68" s="96"/>
      <c r="CB68" s="96"/>
      <c r="CC68" s="96"/>
      <c r="CD68" s="96"/>
      <c r="CE68" s="90"/>
      <c r="CF68" s="273"/>
      <c r="CG68" s="256"/>
      <c r="CH68" s="256"/>
      <c r="CI68" s="256"/>
      <c r="CJ68" s="256"/>
      <c r="CK68" s="256"/>
      <c r="CL68" s="256"/>
      <c r="CM68" s="256"/>
      <c r="CN68" s="256"/>
      <c r="CO68" s="256"/>
      <c r="CP68" s="256"/>
    </row>
    <row r="69" spans="1:94" s="31" customFormat="1" ht="19.5" customHeight="1">
      <c r="A69" s="260"/>
      <c r="B69" s="263"/>
      <c r="C69" s="263"/>
      <c r="D69" s="81"/>
      <c r="E69" s="316"/>
      <c r="F69" s="316"/>
      <c r="G69" s="98"/>
      <c r="H69" s="98"/>
      <c r="I69" s="370" t="s">
        <v>153</v>
      </c>
      <c r="J69" s="371"/>
      <c r="K69" s="123"/>
      <c r="L69" s="121" t="s">
        <v>111</v>
      </c>
      <c r="M69" s="121"/>
      <c r="N69" s="121"/>
      <c r="O69" s="121"/>
      <c r="P69" s="121"/>
      <c r="Q69" s="121"/>
      <c r="R69" s="121"/>
      <c r="S69" s="121"/>
      <c r="T69" s="121"/>
      <c r="U69" s="121"/>
      <c r="V69" s="121"/>
      <c r="W69" s="121"/>
      <c r="X69" s="121"/>
      <c r="Y69" s="287"/>
      <c r="Z69" s="121"/>
      <c r="AA69" s="121"/>
      <c r="AB69" s="121"/>
      <c r="AC69" s="287"/>
      <c r="AD69" s="287"/>
      <c r="AE69" s="124"/>
      <c r="AF69" s="120"/>
      <c r="AG69" s="121" t="s">
        <v>156</v>
      </c>
      <c r="AH69" s="125"/>
      <c r="AI69" s="161"/>
      <c r="AJ69" s="125" t="s">
        <v>157</v>
      </c>
      <c r="AK69" s="125"/>
      <c r="AL69" s="125"/>
      <c r="AM69" s="121"/>
      <c r="AN69" s="124"/>
      <c r="AO69" s="238"/>
      <c r="AP69" s="121" t="s">
        <v>270</v>
      </c>
      <c r="AQ69" s="239"/>
      <c r="AR69" s="239"/>
      <c r="AS69" s="239"/>
      <c r="AT69" s="240"/>
      <c r="AU69" s="239"/>
      <c r="AV69" s="239"/>
      <c r="AW69" s="239"/>
      <c r="AX69" s="239"/>
      <c r="AY69" s="219"/>
      <c r="AZ69" s="216"/>
      <c r="BA69" s="215"/>
      <c r="BB69" s="215"/>
      <c r="BC69" s="215"/>
      <c r="BD69" s="215"/>
      <c r="BE69" s="215"/>
      <c r="BF69" s="215"/>
      <c r="BG69" s="215"/>
      <c r="BH69" s="215"/>
      <c r="BI69" s="215"/>
      <c r="BJ69" s="215"/>
      <c r="BK69" s="215"/>
      <c r="BL69" s="215"/>
      <c r="BM69" s="215"/>
      <c r="BN69" s="215"/>
      <c r="BO69" s="215"/>
      <c r="BP69" s="215"/>
      <c r="BQ69" s="215"/>
      <c r="BR69" s="215"/>
      <c r="BS69" s="217"/>
      <c r="BT69" s="217"/>
      <c r="BU69" s="217"/>
      <c r="BV69" s="217"/>
      <c r="BW69" s="217"/>
      <c r="BX69" s="217"/>
      <c r="BY69" s="95"/>
      <c r="BZ69" s="96"/>
      <c r="CA69" s="96"/>
      <c r="CB69" s="96"/>
      <c r="CC69" s="96"/>
      <c r="CD69" s="96"/>
      <c r="CE69" s="90"/>
      <c r="CF69" s="273"/>
      <c r="CG69" s="256"/>
      <c r="CH69" s="256"/>
      <c r="CI69" s="256"/>
      <c r="CJ69" s="256"/>
      <c r="CK69" s="256"/>
      <c r="CL69" s="256"/>
      <c r="CM69" s="256"/>
      <c r="CN69" s="256"/>
      <c r="CO69" s="256"/>
      <c r="CP69" s="256"/>
    </row>
    <row r="70" spans="1:94" s="31" customFormat="1" ht="19.5" customHeight="1">
      <c r="A70" s="260"/>
      <c r="B70" s="263"/>
      <c r="C70" s="263"/>
      <c r="D70" s="81"/>
      <c r="E70" s="316"/>
      <c r="F70" s="316"/>
      <c r="G70" s="98"/>
      <c r="H70" s="98"/>
      <c r="I70" s="370" t="s">
        <v>153</v>
      </c>
      <c r="J70" s="371"/>
      <c r="K70" s="123"/>
      <c r="L70" s="121" t="s">
        <v>111</v>
      </c>
      <c r="M70" s="121"/>
      <c r="N70" s="121"/>
      <c r="O70" s="121"/>
      <c r="P70" s="121"/>
      <c r="Q70" s="121"/>
      <c r="R70" s="121"/>
      <c r="S70" s="121"/>
      <c r="T70" s="121"/>
      <c r="U70" s="121"/>
      <c r="V70" s="121"/>
      <c r="W70" s="121"/>
      <c r="X70" s="121"/>
      <c r="Y70" s="287"/>
      <c r="Z70" s="121"/>
      <c r="AA70" s="121"/>
      <c r="AB70" s="121"/>
      <c r="AC70" s="287"/>
      <c r="AD70" s="287"/>
      <c r="AE70" s="124"/>
      <c r="AF70" s="120"/>
      <c r="AG70" s="121" t="s">
        <v>156</v>
      </c>
      <c r="AH70" s="125"/>
      <c r="AI70" s="161"/>
      <c r="AJ70" s="125" t="s">
        <v>157</v>
      </c>
      <c r="AK70" s="125"/>
      <c r="AL70" s="125"/>
      <c r="AM70" s="121"/>
      <c r="AN70" s="124"/>
      <c r="AO70" s="238"/>
      <c r="AP70" s="121" t="s">
        <v>270</v>
      </c>
      <c r="AQ70" s="239"/>
      <c r="AR70" s="239"/>
      <c r="AS70" s="239"/>
      <c r="AT70" s="240"/>
      <c r="AU70" s="239"/>
      <c r="AV70" s="239"/>
      <c r="AW70" s="239"/>
      <c r="AX70" s="239"/>
      <c r="AY70" s="219"/>
      <c r="AZ70" s="216"/>
      <c r="BA70" s="215"/>
      <c r="BB70" s="215"/>
      <c r="BC70" s="215"/>
      <c r="BD70" s="215"/>
      <c r="BE70" s="215"/>
      <c r="BF70" s="215"/>
      <c r="BG70" s="215"/>
      <c r="BH70" s="215"/>
      <c r="BI70" s="215"/>
      <c r="BJ70" s="215"/>
      <c r="BK70" s="215"/>
      <c r="BL70" s="215"/>
      <c r="BM70" s="215"/>
      <c r="BN70" s="215"/>
      <c r="BO70" s="215"/>
      <c r="BP70" s="215"/>
      <c r="BQ70" s="215"/>
      <c r="BR70" s="215"/>
      <c r="BS70" s="217"/>
      <c r="BT70" s="217"/>
      <c r="BU70" s="217"/>
      <c r="BV70" s="217"/>
      <c r="BW70" s="217"/>
      <c r="BX70" s="217"/>
      <c r="BY70" s="95"/>
      <c r="BZ70" s="96"/>
      <c r="CA70" s="96"/>
      <c r="CB70" s="96"/>
      <c r="CC70" s="96"/>
      <c r="CD70" s="96"/>
      <c r="CE70" s="90"/>
      <c r="CF70" s="273"/>
      <c r="CG70" s="256"/>
      <c r="CH70" s="256"/>
      <c r="CI70" s="256"/>
      <c r="CJ70" s="256"/>
      <c r="CK70" s="256"/>
      <c r="CL70" s="256"/>
      <c r="CM70" s="256"/>
      <c r="CN70" s="256"/>
      <c r="CO70" s="256"/>
      <c r="CP70" s="256"/>
    </row>
    <row r="71" spans="1:94" s="31" customFormat="1" ht="19.5" customHeight="1">
      <c r="A71" s="260"/>
      <c r="B71" s="263"/>
      <c r="C71" s="263"/>
      <c r="D71" s="81"/>
      <c r="E71" s="316"/>
      <c r="F71" s="316"/>
      <c r="G71" s="98"/>
      <c r="H71" s="98"/>
      <c r="I71" s="370" t="s">
        <v>153</v>
      </c>
      <c r="J71" s="371"/>
      <c r="K71" s="123"/>
      <c r="L71" s="121" t="s">
        <v>111</v>
      </c>
      <c r="M71" s="121"/>
      <c r="N71" s="121"/>
      <c r="O71" s="121"/>
      <c r="P71" s="121"/>
      <c r="Q71" s="121"/>
      <c r="R71" s="121"/>
      <c r="S71" s="121"/>
      <c r="T71" s="121"/>
      <c r="U71" s="121"/>
      <c r="V71" s="121"/>
      <c r="W71" s="121"/>
      <c r="X71" s="121"/>
      <c r="Y71" s="287"/>
      <c r="Z71" s="121"/>
      <c r="AA71" s="121"/>
      <c r="AB71" s="121"/>
      <c r="AC71" s="287"/>
      <c r="AD71" s="287"/>
      <c r="AE71" s="124"/>
      <c r="AF71" s="120"/>
      <c r="AG71" s="121" t="s">
        <v>156</v>
      </c>
      <c r="AH71" s="125"/>
      <c r="AI71" s="161"/>
      <c r="AJ71" s="125" t="s">
        <v>157</v>
      </c>
      <c r="AK71" s="125"/>
      <c r="AL71" s="125"/>
      <c r="AM71" s="121"/>
      <c r="AN71" s="124"/>
      <c r="AO71" s="238"/>
      <c r="AP71" s="121" t="s">
        <v>270</v>
      </c>
      <c r="AQ71" s="239"/>
      <c r="AR71" s="239"/>
      <c r="AS71" s="239"/>
      <c r="AT71" s="240"/>
      <c r="AU71" s="239"/>
      <c r="AV71" s="239"/>
      <c r="AW71" s="239"/>
      <c r="AX71" s="239"/>
      <c r="AY71" s="219"/>
      <c r="AZ71" s="216"/>
      <c r="BA71" s="215"/>
      <c r="BB71" s="215"/>
      <c r="BC71" s="215"/>
      <c r="BD71" s="215"/>
      <c r="BE71" s="215"/>
      <c r="BF71" s="215"/>
      <c r="BG71" s="215"/>
      <c r="BH71" s="215"/>
      <c r="BI71" s="215"/>
      <c r="BJ71" s="215"/>
      <c r="BK71" s="215"/>
      <c r="BL71" s="215"/>
      <c r="BM71" s="215"/>
      <c r="BN71" s="215"/>
      <c r="BO71" s="215"/>
      <c r="BP71" s="215"/>
      <c r="BQ71" s="215"/>
      <c r="BR71" s="215"/>
      <c r="BS71" s="217"/>
      <c r="BT71" s="217"/>
      <c r="BU71" s="217"/>
      <c r="BV71" s="217"/>
      <c r="BW71" s="217"/>
      <c r="BX71" s="217"/>
      <c r="BY71" s="95"/>
      <c r="BZ71" s="96"/>
      <c r="CA71" s="96"/>
      <c r="CB71" s="96"/>
      <c r="CC71" s="96"/>
      <c r="CD71" s="96"/>
      <c r="CE71" s="90"/>
      <c r="CF71" s="273"/>
      <c r="CG71" s="256"/>
      <c r="CH71" s="256"/>
      <c r="CI71" s="256"/>
      <c r="CJ71" s="256"/>
      <c r="CK71" s="256"/>
      <c r="CL71" s="256"/>
      <c r="CM71" s="256"/>
      <c r="CN71" s="256"/>
      <c r="CO71" s="256"/>
      <c r="CP71" s="256"/>
    </row>
    <row r="72" spans="1:94" s="31" customFormat="1" ht="19.5" customHeight="1">
      <c r="A72" s="260"/>
      <c r="B72" s="263"/>
      <c r="C72" s="263"/>
      <c r="D72" s="81"/>
      <c r="E72" s="316"/>
      <c r="F72" s="316"/>
      <c r="G72" s="98"/>
      <c r="H72" s="98"/>
      <c r="I72" s="370" t="s">
        <v>153</v>
      </c>
      <c r="J72" s="371"/>
      <c r="K72" s="123"/>
      <c r="L72" s="121" t="s">
        <v>111</v>
      </c>
      <c r="M72" s="121"/>
      <c r="N72" s="121"/>
      <c r="O72" s="121"/>
      <c r="P72" s="121"/>
      <c r="Q72" s="121"/>
      <c r="R72" s="121"/>
      <c r="S72" s="121"/>
      <c r="T72" s="121"/>
      <c r="U72" s="121"/>
      <c r="V72" s="121"/>
      <c r="W72" s="121"/>
      <c r="X72" s="121"/>
      <c r="Y72" s="287"/>
      <c r="Z72" s="121"/>
      <c r="AA72" s="121"/>
      <c r="AB72" s="121"/>
      <c r="AC72" s="287"/>
      <c r="AD72" s="287"/>
      <c r="AE72" s="124"/>
      <c r="AF72" s="120"/>
      <c r="AG72" s="121" t="s">
        <v>156</v>
      </c>
      <c r="AH72" s="125"/>
      <c r="AI72" s="161"/>
      <c r="AJ72" s="125" t="s">
        <v>157</v>
      </c>
      <c r="AK72" s="125"/>
      <c r="AL72" s="125"/>
      <c r="AM72" s="121"/>
      <c r="AN72" s="241"/>
      <c r="AO72" s="242"/>
      <c r="AP72" s="121" t="s">
        <v>270</v>
      </c>
      <c r="AQ72" s="243"/>
      <c r="AR72" s="243"/>
      <c r="AS72" s="243"/>
      <c r="AT72" s="244"/>
      <c r="AU72" s="239"/>
      <c r="AV72" s="239"/>
      <c r="AW72" s="239"/>
      <c r="AX72" s="239"/>
      <c r="AY72" s="219"/>
      <c r="AZ72" s="216"/>
      <c r="BA72" s="215"/>
      <c r="BB72" s="215"/>
      <c r="BC72" s="215"/>
      <c r="BD72" s="215"/>
      <c r="BE72" s="215"/>
      <c r="BF72" s="215"/>
      <c r="BG72" s="215"/>
      <c r="BH72" s="215"/>
      <c r="BI72" s="215"/>
      <c r="BJ72" s="215"/>
      <c r="BK72" s="215"/>
      <c r="BL72" s="215"/>
      <c r="BM72" s="215"/>
      <c r="BN72" s="215"/>
      <c r="BO72" s="215"/>
      <c r="BP72" s="215"/>
      <c r="BQ72" s="215"/>
      <c r="BR72" s="215"/>
      <c r="BS72" s="217"/>
      <c r="BT72" s="217"/>
      <c r="BU72" s="217"/>
      <c r="BV72" s="217"/>
      <c r="BW72" s="217"/>
      <c r="BX72" s="217"/>
      <c r="BY72" s="95"/>
      <c r="BZ72" s="96"/>
      <c r="CA72" s="96"/>
      <c r="CB72" s="96"/>
      <c r="CC72" s="96"/>
      <c r="CD72" s="96"/>
      <c r="CE72" s="90"/>
      <c r="CF72" s="273"/>
      <c r="CG72" s="256"/>
      <c r="CH72" s="256"/>
      <c r="CI72" s="256"/>
      <c r="CJ72" s="256"/>
      <c r="CK72" s="256"/>
      <c r="CL72" s="256"/>
      <c r="CM72" s="256"/>
      <c r="CN72" s="256"/>
      <c r="CO72" s="256"/>
      <c r="CP72" s="256"/>
    </row>
    <row r="73" spans="1:94" s="31" customFormat="1" ht="19.5" customHeight="1">
      <c r="A73" s="260"/>
      <c r="B73" s="263"/>
      <c r="C73" s="263"/>
      <c r="D73" s="81"/>
      <c r="E73" s="316"/>
      <c r="F73" s="316"/>
      <c r="G73" s="98"/>
      <c r="H73" s="98"/>
      <c r="I73" s="370" t="s">
        <v>153</v>
      </c>
      <c r="J73" s="371"/>
      <c r="K73" s="123"/>
      <c r="L73" s="121" t="s">
        <v>111</v>
      </c>
      <c r="M73" s="121"/>
      <c r="N73" s="121"/>
      <c r="O73" s="121"/>
      <c r="P73" s="121"/>
      <c r="Q73" s="121"/>
      <c r="R73" s="121"/>
      <c r="S73" s="121"/>
      <c r="T73" s="121"/>
      <c r="U73" s="121"/>
      <c r="V73" s="121"/>
      <c r="W73" s="121"/>
      <c r="X73" s="121"/>
      <c r="Y73" s="287"/>
      <c r="Z73" s="121"/>
      <c r="AA73" s="121"/>
      <c r="AB73" s="121"/>
      <c r="AC73" s="287"/>
      <c r="AD73" s="287"/>
      <c r="AE73" s="124"/>
      <c r="AF73" s="120"/>
      <c r="AG73" s="121" t="s">
        <v>156</v>
      </c>
      <c r="AH73" s="125"/>
      <c r="AI73" s="161"/>
      <c r="AJ73" s="125" t="s">
        <v>157</v>
      </c>
      <c r="AK73" s="125"/>
      <c r="AL73" s="125"/>
      <c r="AM73" s="121"/>
      <c r="AN73" s="241"/>
      <c r="AO73" s="242"/>
      <c r="AP73" s="121" t="s">
        <v>270</v>
      </c>
      <c r="AQ73" s="243"/>
      <c r="AR73" s="243"/>
      <c r="AS73" s="243"/>
      <c r="AT73" s="244"/>
      <c r="AU73" s="239"/>
      <c r="AV73" s="239"/>
      <c r="AW73" s="239"/>
      <c r="AX73" s="239"/>
      <c r="AY73" s="219"/>
      <c r="AZ73" s="216"/>
      <c r="BA73" s="215"/>
      <c r="BB73" s="215"/>
      <c r="BC73" s="215"/>
      <c r="BD73" s="215"/>
      <c r="BE73" s="215"/>
      <c r="BF73" s="215"/>
      <c r="BG73" s="215"/>
      <c r="BH73" s="215"/>
      <c r="BI73" s="215"/>
      <c r="BJ73" s="215"/>
      <c r="BK73" s="215"/>
      <c r="BL73" s="215"/>
      <c r="BM73" s="215"/>
      <c r="BN73" s="215"/>
      <c r="BO73" s="215"/>
      <c r="BP73" s="215"/>
      <c r="BQ73" s="215"/>
      <c r="BR73" s="215"/>
      <c r="BS73" s="217"/>
      <c r="BT73" s="217"/>
      <c r="BU73" s="217"/>
      <c r="BV73" s="217"/>
      <c r="BW73" s="217"/>
      <c r="BX73" s="217"/>
      <c r="BY73" s="95"/>
      <c r="BZ73" s="96"/>
      <c r="CA73" s="96"/>
      <c r="CB73" s="96"/>
      <c r="CC73" s="96"/>
      <c r="CD73" s="96"/>
      <c r="CE73" s="90"/>
      <c r="CF73" s="273"/>
      <c r="CG73" s="256"/>
      <c r="CH73" s="256"/>
      <c r="CI73" s="256"/>
      <c r="CJ73" s="256"/>
      <c r="CK73" s="256"/>
      <c r="CL73" s="256"/>
      <c r="CM73" s="256"/>
      <c r="CN73" s="256"/>
      <c r="CO73" s="256"/>
      <c r="CP73" s="256"/>
    </row>
    <row r="74" spans="1:94" s="31" customFormat="1" ht="19.5" customHeight="1">
      <c r="A74" s="260"/>
      <c r="B74" s="263"/>
      <c r="C74" s="263"/>
      <c r="D74" s="81"/>
      <c r="E74" s="316"/>
      <c r="F74" s="316"/>
      <c r="G74" s="98"/>
      <c r="H74" s="98"/>
      <c r="I74" s="370" t="s">
        <v>153</v>
      </c>
      <c r="J74" s="371"/>
      <c r="K74" s="123"/>
      <c r="L74" s="121" t="s">
        <v>111</v>
      </c>
      <c r="M74" s="121"/>
      <c r="N74" s="121"/>
      <c r="O74" s="121"/>
      <c r="P74" s="121"/>
      <c r="Q74" s="121"/>
      <c r="R74" s="121"/>
      <c r="S74" s="121"/>
      <c r="T74" s="121"/>
      <c r="U74" s="121"/>
      <c r="V74" s="121"/>
      <c r="W74" s="121"/>
      <c r="X74" s="121"/>
      <c r="Y74" s="287"/>
      <c r="Z74" s="121"/>
      <c r="AA74" s="121"/>
      <c r="AB74" s="121"/>
      <c r="AC74" s="287"/>
      <c r="AD74" s="287"/>
      <c r="AE74" s="124"/>
      <c r="AF74" s="120"/>
      <c r="AG74" s="121" t="s">
        <v>156</v>
      </c>
      <c r="AH74" s="125"/>
      <c r="AI74" s="161"/>
      <c r="AJ74" s="125" t="s">
        <v>157</v>
      </c>
      <c r="AK74" s="125"/>
      <c r="AL74" s="125"/>
      <c r="AM74" s="121"/>
      <c r="AN74" s="124"/>
      <c r="AO74" s="238"/>
      <c r="AP74" s="121" t="s">
        <v>270</v>
      </c>
      <c r="AQ74" s="239"/>
      <c r="AR74" s="239"/>
      <c r="AS74" s="239"/>
      <c r="AT74" s="240"/>
      <c r="AU74" s="239"/>
      <c r="AV74" s="239"/>
      <c r="AW74" s="239"/>
      <c r="AX74" s="239"/>
      <c r="AY74" s="219"/>
      <c r="AZ74" s="216"/>
      <c r="BA74" s="215"/>
      <c r="BB74" s="215"/>
      <c r="BC74" s="215"/>
      <c r="BD74" s="215"/>
      <c r="BE74" s="215"/>
      <c r="BF74" s="215"/>
      <c r="BG74" s="215"/>
      <c r="BH74" s="215"/>
      <c r="BI74" s="215"/>
      <c r="BJ74" s="215"/>
      <c r="BK74" s="215"/>
      <c r="BL74" s="215"/>
      <c r="BM74" s="215"/>
      <c r="BN74" s="215"/>
      <c r="BO74" s="215"/>
      <c r="BP74" s="215"/>
      <c r="BQ74" s="215"/>
      <c r="BR74" s="215"/>
      <c r="BS74" s="217"/>
      <c r="BT74" s="217"/>
      <c r="BU74" s="217"/>
      <c r="BV74" s="217"/>
      <c r="BW74" s="217"/>
      <c r="BX74" s="217"/>
      <c r="BY74" s="95"/>
      <c r="BZ74" s="96"/>
      <c r="CA74" s="96"/>
      <c r="CB74" s="96"/>
      <c r="CC74" s="96"/>
      <c r="CD74" s="96"/>
      <c r="CE74" s="90"/>
      <c r="CF74" s="273"/>
      <c r="CG74" s="256"/>
      <c r="CH74" s="256"/>
      <c r="CI74" s="256"/>
      <c r="CJ74" s="256"/>
      <c r="CK74" s="256"/>
      <c r="CL74" s="256"/>
      <c r="CM74" s="256"/>
      <c r="CN74" s="256"/>
      <c r="CO74" s="256"/>
      <c r="CP74" s="256"/>
    </row>
    <row r="75" spans="1:94" s="31" customFormat="1" ht="19.5" customHeight="1">
      <c r="A75" s="260"/>
      <c r="B75" s="263"/>
      <c r="C75" s="263"/>
      <c r="D75" s="81"/>
      <c r="E75" s="316"/>
      <c r="F75" s="316"/>
      <c r="G75" s="98"/>
      <c r="H75" s="98"/>
      <c r="I75" s="370" t="s">
        <v>153</v>
      </c>
      <c r="J75" s="371"/>
      <c r="K75" s="123"/>
      <c r="L75" s="121" t="s">
        <v>111</v>
      </c>
      <c r="M75" s="121"/>
      <c r="N75" s="121"/>
      <c r="O75" s="121"/>
      <c r="P75" s="121"/>
      <c r="Q75" s="121"/>
      <c r="R75" s="121"/>
      <c r="S75" s="121"/>
      <c r="T75" s="121"/>
      <c r="U75" s="121"/>
      <c r="V75" s="121"/>
      <c r="W75" s="121"/>
      <c r="X75" s="121"/>
      <c r="Y75" s="287"/>
      <c r="Z75" s="121"/>
      <c r="AA75" s="121"/>
      <c r="AB75" s="121"/>
      <c r="AC75" s="287"/>
      <c r="AD75" s="287"/>
      <c r="AE75" s="124"/>
      <c r="AF75" s="120"/>
      <c r="AG75" s="121" t="s">
        <v>156</v>
      </c>
      <c r="AH75" s="125"/>
      <c r="AI75" s="161"/>
      <c r="AJ75" s="125" t="s">
        <v>157</v>
      </c>
      <c r="AK75" s="125"/>
      <c r="AL75" s="125"/>
      <c r="AM75" s="121"/>
      <c r="AN75" s="241"/>
      <c r="AO75" s="242"/>
      <c r="AP75" s="121" t="s">
        <v>270</v>
      </c>
      <c r="AQ75" s="243"/>
      <c r="AR75" s="243"/>
      <c r="AS75" s="243"/>
      <c r="AT75" s="244"/>
      <c r="AU75" s="239"/>
      <c r="AV75" s="239"/>
      <c r="AW75" s="239"/>
      <c r="AX75" s="239"/>
      <c r="AY75" s="219"/>
      <c r="AZ75" s="216"/>
      <c r="BA75" s="215"/>
      <c r="BB75" s="215"/>
      <c r="BC75" s="215"/>
      <c r="BD75" s="215"/>
      <c r="BE75" s="215"/>
      <c r="BF75" s="215"/>
      <c r="BG75" s="215"/>
      <c r="BH75" s="215"/>
      <c r="BI75" s="215"/>
      <c r="BJ75" s="215"/>
      <c r="BK75" s="215"/>
      <c r="BL75" s="215"/>
      <c r="BM75" s="215"/>
      <c r="BN75" s="215"/>
      <c r="BO75" s="215"/>
      <c r="BP75" s="215"/>
      <c r="BQ75" s="215"/>
      <c r="BR75" s="215"/>
      <c r="BS75" s="217"/>
      <c r="BT75" s="217"/>
      <c r="BU75" s="217"/>
      <c r="BV75" s="217"/>
      <c r="BW75" s="217"/>
      <c r="BX75" s="217"/>
      <c r="BY75" s="95"/>
      <c r="BZ75" s="96"/>
      <c r="CA75" s="96"/>
      <c r="CB75" s="96"/>
      <c r="CC75" s="96"/>
      <c r="CD75" s="96"/>
      <c r="CE75" s="90"/>
      <c r="CF75" s="273"/>
      <c r="CG75" s="256"/>
      <c r="CH75" s="256"/>
      <c r="CI75" s="256"/>
      <c r="CJ75" s="256"/>
      <c r="CK75" s="256"/>
      <c r="CL75" s="256"/>
      <c r="CM75" s="256"/>
      <c r="CN75" s="256"/>
      <c r="CO75" s="256"/>
      <c r="CP75" s="256"/>
    </row>
    <row r="76" spans="1:94" s="31" customFormat="1" ht="19.5" customHeight="1">
      <c r="A76" s="260"/>
      <c r="B76" s="263"/>
      <c r="C76" s="263"/>
      <c r="D76" s="81"/>
      <c r="E76" s="316"/>
      <c r="F76" s="316"/>
      <c r="G76" s="98"/>
      <c r="H76" s="98"/>
      <c r="I76" s="370" t="s">
        <v>153</v>
      </c>
      <c r="J76" s="371"/>
      <c r="K76" s="123"/>
      <c r="L76" s="121" t="s">
        <v>111</v>
      </c>
      <c r="M76" s="121"/>
      <c r="N76" s="121"/>
      <c r="O76" s="121"/>
      <c r="P76" s="121"/>
      <c r="Q76" s="121"/>
      <c r="R76" s="121"/>
      <c r="S76" s="121"/>
      <c r="T76" s="121"/>
      <c r="U76" s="121"/>
      <c r="V76" s="121"/>
      <c r="W76" s="121"/>
      <c r="X76" s="121"/>
      <c r="Y76" s="287"/>
      <c r="Z76" s="121"/>
      <c r="AA76" s="121"/>
      <c r="AB76" s="121"/>
      <c r="AC76" s="287"/>
      <c r="AD76" s="287"/>
      <c r="AE76" s="124"/>
      <c r="AF76" s="120"/>
      <c r="AG76" s="121" t="s">
        <v>156</v>
      </c>
      <c r="AH76" s="125"/>
      <c r="AI76" s="161"/>
      <c r="AJ76" s="125" t="s">
        <v>157</v>
      </c>
      <c r="AK76" s="125"/>
      <c r="AL76" s="125"/>
      <c r="AM76" s="121"/>
      <c r="AN76" s="124"/>
      <c r="AO76" s="238"/>
      <c r="AP76" s="121" t="s">
        <v>270</v>
      </c>
      <c r="AQ76" s="239"/>
      <c r="AR76" s="239"/>
      <c r="AS76" s="239"/>
      <c r="AT76" s="240"/>
      <c r="AU76" s="239"/>
      <c r="AV76" s="239"/>
      <c r="AW76" s="239"/>
      <c r="AX76" s="239"/>
      <c r="AY76" s="219"/>
      <c r="AZ76" s="216"/>
      <c r="BA76" s="215"/>
      <c r="BB76" s="215"/>
      <c r="BC76" s="215"/>
      <c r="BD76" s="215"/>
      <c r="BE76" s="215"/>
      <c r="BF76" s="215"/>
      <c r="BG76" s="215"/>
      <c r="BH76" s="215"/>
      <c r="BI76" s="215"/>
      <c r="BJ76" s="215"/>
      <c r="BK76" s="215"/>
      <c r="BL76" s="215"/>
      <c r="BM76" s="215"/>
      <c r="BN76" s="215"/>
      <c r="BO76" s="215"/>
      <c r="BP76" s="215"/>
      <c r="BQ76" s="215"/>
      <c r="BR76" s="215"/>
      <c r="BS76" s="217"/>
      <c r="BT76" s="217"/>
      <c r="BU76" s="217"/>
      <c r="BV76" s="217"/>
      <c r="BW76" s="217"/>
      <c r="BX76" s="217"/>
      <c r="BY76" s="95"/>
      <c r="BZ76" s="96"/>
      <c r="CA76" s="96"/>
      <c r="CB76" s="96"/>
      <c r="CC76" s="96"/>
      <c r="CD76" s="96"/>
      <c r="CE76" s="90"/>
      <c r="CF76" s="273"/>
      <c r="CG76" s="256"/>
      <c r="CH76" s="256"/>
      <c r="CI76" s="256"/>
      <c r="CJ76" s="256"/>
      <c r="CK76" s="256"/>
      <c r="CL76" s="256"/>
      <c r="CM76" s="256"/>
      <c r="CN76" s="256"/>
      <c r="CO76" s="256"/>
      <c r="CP76" s="256"/>
    </row>
    <row r="77" spans="1:94" s="31" customFormat="1" ht="19.5" customHeight="1">
      <c r="A77" s="260"/>
      <c r="B77" s="263"/>
      <c r="C77" s="263"/>
      <c r="D77" s="81"/>
      <c r="E77" s="316"/>
      <c r="F77" s="316"/>
      <c r="G77" s="98"/>
      <c r="H77" s="98"/>
      <c r="I77" s="370" t="s">
        <v>153</v>
      </c>
      <c r="J77" s="371"/>
      <c r="K77" s="123"/>
      <c r="L77" s="121" t="s">
        <v>111</v>
      </c>
      <c r="M77" s="121"/>
      <c r="N77" s="121"/>
      <c r="O77" s="121"/>
      <c r="P77" s="121"/>
      <c r="Q77" s="121"/>
      <c r="R77" s="121"/>
      <c r="S77" s="121"/>
      <c r="T77" s="121"/>
      <c r="U77" s="121"/>
      <c r="V77" s="121"/>
      <c r="W77" s="121"/>
      <c r="X77" s="121"/>
      <c r="Y77" s="287"/>
      <c r="Z77" s="121"/>
      <c r="AA77" s="121"/>
      <c r="AB77" s="121"/>
      <c r="AC77" s="287"/>
      <c r="AD77" s="287"/>
      <c r="AE77" s="124"/>
      <c r="AF77" s="120"/>
      <c r="AG77" s="121" t="s">
        <v>156</v>
      </c>
      <c r="AH77" s="125"/>
      <c r="AI77" s="161"/>
      <c r="AJ77" s="125" t="s">
        <v>157</v>
      </c>
      <c r="AK77" s="125"/>
      <c r="AL77" s="125"/>
      <c r="AM77" s="121"/>
      <c r="AN77" s="124"/>
      <c r="AO77" s="245"/>
      <c r="AP77" s="121" t="s">
        <v>270</v>
      </c>
      <c r="AQ77" s="240"/>
      <c r="AR77" s="240"/>
      <c r="AS77" s="240"/>
      <c r="AT77" s="240"/>
      <c r="AU77" s="239"/>
      <c r="AV77" s="239"/>
      <c r="AW77" s="239"/>
      <c r="AX77" s="239"/>
      <c r="AY77" s="219"/>
      <c r="AZ77" s="216"/>
      <c r="BA77" s="215"/>
      <c r="BB77" s="215"/>
      <c r="BC77" s="215"/>
      <c r="BD77" s="215"/>
      <c r="BE77" s="215"/>
      <c r="BF77" s="215"/>
      <c r="BG77" s="215"/>
      <c r="BH77" s="215"/>
      <c r="BI77" s="215"/>
      <c r="BJ77" s="215"/>
      <c r="BK77" s="215"/>
      <c r="BL77" s="215"/>
      <c r="BM77" s="215"/>
      <c r="BN77" s="215"/>
      <c r="BO77" s="215"/>
      <c r="BP77" s="215"/>
      <c r="BQ77" s="215"/>
      <c r="BR77" s="215"/>
      <c r="BS77" s="217"/>
      <c r="BT77" s="217"/>
      <c r="BU77" s="217"/>
      <c r="BV77" s="217"/>
      <c r="BW77" s="217"/>
      <c r="BX77" s="217"/>
      <c r="BY77" s="95"/>
      <c r="BZ77" s="96"/>
      <c r="CA77" s="96"/>
      <c r="CB77" s="96"/>
      <c r="CC77" s="96"/>
      <c r="CD77" s="96"/>
      <c r="CE77" s="90"/>
      <c r="CF77" s="273"/>
      <c r="CG77" s="256"/>
      <c r="CH77" s="256"/>
      <c r="CI77" s="256"/>
      <c r="CJ77" s="256"/>
      <c r="CK77" s="256"/>
      <c r="CL77" s="256"/>
      <c r="CM77" s="256"/>
      <c r="CN77" s="256"/>
      <c r="CO77" s="256"/>
      <c r="CP77" s="256"/>
    </row>
    <row r="78" spans="1:94" s="31" customFormat="1" ht="19.5" customHeight="1">
      <c r="A78" s="260"/>
      <c r="B78" s="263"/>
      <c r="C78" s="263"/>
      <c r="D78" s="81"/>
      <c r="E78" s="316"/>
      <c r="F78" s="316"/>
      <c r="G78" s="98"/>
      <c r="H78" s="98"/>
      <c r="I78" s="370" t="s">
        <v>153</v>
      </c>
      <c r="J78" s="371"/>
      <c r="K78" s="123"/>
      <c r="L78" s="121" t="s">
        <v>111</v>
      </c>
      <c r="M78" s="121"/>
      <c r="N78" s="121"/>
      <c r="O78" s="121"/>
      <c r="P78" s="121"/>
      <c r="Q78" s="121"/>
      <c r="R78" s="121"/>
      <c r="S78" s="121"/>
      <c r="T78" s="121"/>
      <c r="U78" s="121"/>
      <c r="V78" s="121"/>
      <c r="W78" s="121"/>
      <c r="X78" s="121"/>
      <c r="Y78" s="287"/>
      <c r="Z78" s="121"/>
      <c r="AA78" s="121"/>
      <c r="AB78" s="121"/>
      <c r="AC78" s="287"/>
      <c r="AD78" s="287"/>
      <c r="AE78" s="124"/>
      <c r="AF78" s="120"/>
      <c r="AG78" s="121" t="s">
        <v>156</v>
      </c>
      <c r="AH78" s="125"/>
      <c r="AI78" s="161"/>
      <c r="AJ78" s="125" t="s">
        <v>157</v>
      </c>
      <c r="AK78" s="125"/>
      <c r="AL78" s="125"/>
      <c r="AM78" s="121"/>
      <c r="AN78" s="241"/>
      <c r="AO78" s="242"/>
      <c r="AP78" s="121" t="s">
        <v>270</v>
      </c>
      <c r="AQ78" s="243"/>
      <c r="AR78" s="243"/>
      <c r="AS78" s="243"/>
      <c r="AT78" s="244"/>
      <c r="AU78" s="239"/>
      <c r="AV78" s="239"/>
      <c r="AW78" s="239"/>
      <c r="AX78" s="239"/>
      <c r="AY78" s="219"/>
      <c r="AZ78" s="216"/>
      <c r="BA78" s="215"/>
      <c r="BB78" s="215"/>
      <c r="BC78" s="215"/>
      <c r="BD78" s="215"/>
      <c r="BE78" s="215"/>
      <c r="BF78" s="215"/>
      <c r="BG78" s="215"/>
      <c r="BH78" s="215"/>
      <c r="BI78" s="215"/>
      <c r="BJ78" s="215"/>
      <c r="BK78" s="215"/>
      <c r="BL78" s="215"/>
      <c r="BM78" s="215"/>
      <c r="BN78" s="215"/>
      <c r="BO78" s="215"/>
      <c r="BP78" s="215"/>
      <c r="BQ78" s="215"/>
      <c r="BR78" s="215"/>
      <c r="BS78" s="217"/>
      <c r="BT78" s="217"/>
      <c r="BU78" s="217"/>
      <c r="BV78" s="217"/>
      <c r="BW78" s="217"/>
      <c r="BX78" s="217"/>
      <c r="BY78" s="95"/>
      <c r="BZ78" s="96"/>
      <c r="CA78" s="96"/>
      <c r="CB78" s="96"/>
      <c r="CC78" s="96"/>
      <c r="CD78" s="96"/>
      <c r="CE78" s="90"/>
      <c r="CF78" s="273"/>
      <c r="CG78" s="256"/>
      <c r="CH78" s="256"/>
      <c r="CI78" s="256"/>
      <c r="CJ78" s="256"/>
      <c r="CK78" s="256"/>
      <c r="CL78" s="256"/>
      <c r="CM78" s="256"/>
      <c r="CN78" s="256"/>
      <c r="CO78" s="256"/>
      <c r="CP78" s="256"/>
    </row>
    <row r="79" spans="1:94" s="31" customFormat="1" ht="19.5" customHeight="1">
      <c r="A79" s="260"/>
      <c r="B79" s="263"/>
      <c r="C79" s="263"/>
      <c r="D79" s="81"/>
      <c r="E79" s="316"/>
      <c r="F79" s="316"/>
      <c r="G79" s="98"/>
      <c r="H79" s="98"/>
      <c r="I79" s="370" t="s">
        <v>153</v>
      </c>
      <c r="J79" s="371"/>
      <c r="K79" s="123"/>
      <c r="L79" s="121" t="s">
        <v>111</v>
      </c>
      <c r="M79" s="121"/>
      <c r="N79" s="121"/>
      <c r="O79" s="121"/>
      <c r="P79" s="121"/>
      <c r="Q79" s="121"/>
      <c r="R79" s="121"/>
      <c r="S79" s="121"/>
      <c r="T79" s="121"/>
      <c r="U79" s="121"/>
      <c r="V79" s="121"/>
      <c r="W79" s="121"/>
      <c r="X79" s="121"/>
      <c r="Y79" s="287"/>
      <c r="Z79" s="121"/>
      <c r="AA79" s="121"/>
      <c r="AB79" s="121"/>
      <c r="AC79" s="287"/>
      <c r="AD79" s="287"/>
      <c r="AE79" s="124"/>
      <c r="AF79" s="120"/>
      <c r="AG79" s="121" t="s">
        <v>156</v>
      </c>
      <c r="AH79" s="125"/>
      <c r="AI79" s="161"/>
      <c r="AJ79" s="125" t="s">
        <v>157</v>
      </c>
      <c r="AK79" s="125"/>
      <c r="AL79" s="125"/>
      <c r="AM79" s="121"/>
      <c r="AN79" s="124"/>
      <c r="AO79" s="238"/>
      <c r="AP79" s="121" t="s">
        <v>270</v>
      </c>
      <c r="AQ79" s="239"/>
      <c r="AR79" s="239"/>
      <c r="AS79" s="239"/>
      <c r="AT79" s="240"/>
      <c r="AU79" s="239"/>
      <c r="AV79" s="239"/>
      <c r="AW79" s="239"/>
      <c r="AX79" s="239"/>
      <c r="AY79" s="219"/>
      <c r="AZ79" s="216"/>
      <c r="BA79" s="215"/>
      <c r="BB79" s="215"/>
      <c r="BC79" s="215"/>
      <c r="BD79" s="215"/>
      <c r="BE79" s="215"/>
      <c r="BF79" s="215"/>
      <c r="BG79" s="215"/>
      <c r="BH79" s="215"/>
      <c r="BI79" s="215"/>
      <c r="BJ79" s="215"/>
      <c r="BK79" s="215"/>
      <c r="BL79" s="215"/>
      <c r="BM79" s="215"/>
      <c r="BN79" s="215"/>
      <c r="BO79" s="215"/>
      <c r="BP79" s="215"/>
      <c r="BQ79" s="215"/>
      <c r="BR79" s="215"/>
      <c r="BS79" s="217"/>
      <c r="BT79" s="217"/>
      <c r="BU79" s="217"/>
      <c r="BV79" s="217"/>
      <c r="BW79" s="217"/>
      <c r="BX79" s="217"/>
      <c r="BY79" s="95"/>
      <c r="BZ79" s="96"/>
      <c r="CA79" s="96"/>
      <c r="CB79" s="96"/>
      <c r="CC79" s="96"/>
      <c r="CD79" s="96"/>
      <c r="CE79" s="90"/>
      <c r="CF79" s="273"/>
      <c r="CG79" s="256"/>
      <c r="CH79" s="256"/>
      <c r="CI79" s="256"/>
      <c r="CJ79" s="256"/>
      <c r="CK79" s="256"/>
      <c r="CL79" s="256"/>
      <c r="CM79" s="256"/>
      <c r="CN79" s="256"/>
      <c r="CO79" s="256"/>
      <c r="CP79" s="256"/>
    </row>
    <row r="80" spans="1:94" s="31" customFormat="1" ht="19.5" customHeight="1">
      <c r="A80" s="260"/>
      <c r="B80" s="263"/>
      <c r="C80" s="263"/>
      <c r="D80" s="81"/>
      <c r="E80" s="316"/>
      <c r="F80" s="316"/>
      <c r="G80" s="98"/>
      <c r="H80" s="98"/>
      <c r="I80" s="370" t="s">
        <v>153</v>
      </c>
      <c r="J80" s="371"/>
      <c r="K80" s="123"/>
      <c r="L80" s="121" t="s">
        <v>111</v>
      </c>
      <c r="M80" s="121"/>
      <c r="N80" s="121"/>
      <c r="O80" s="121"/>
      <c r="P80" s="121"/>
      <c r="Q80" s="121"/>
      <c r="R80" s="121"/>
      <c r="S80" s="121"/>
      <c r="T80" s="121"/>
      <c r="U80" s="121"/>
      <c r="V80" s="121"/>
      <c r="W80" s="121"/>
      <c r="X80" s="121"/>
      <c r="Y80" s="287"/>
      <c r="Z80" s="121"/>
      <c r="AA80" s="121"/>
      <c r="AB80" s="121"/>
      <c r="AC80" s="287"/>
      <c r="AD80" s="287"/>
      <c r="AE80" s="124"/>
      <c r="AF80" s="120"/>
      <c r="AG80" s="121" t="s">
        <v>156</v>
      </c>
      <c r="AH80" s="125"/>
      <c r="AI80" s="161"/>
      <c r="AJ80" s="125" t="s">
        <v>157</v>
      </c>
      <c r="AK80" s="125"/>
      <c r="AL80" s="125"/>
      <c r="AM80" s="121"/>
      <c r="AN80" s="124"/>
      <c r="AO80" s="245"/>
      <c r="AP80" s="121" t="s">
        <v>270</v>
      </c>
      <c r="AQ80" s="240"/>
      <c r="AR80" s="240"/>
      <c r="AS80" s="240"/>
      <c r="AT80" s="240"/>
      <c r="AU80" s="239"/>
      <c r="AV80" s="239"/>
      <c r="AW80" s="239"/>
      <c r="AX80" s="239"/>
      <c r="AY80" s="219"/>
      <c r="AZ80" s="216"/>
      <c r="BA80" s="215"/>
      <c r="BB80" s="215"/>
      <c r="BC80" s="215"/>
      <c r="BD80" s="215"/>
      <c r="BE80" s="215"/>
      <c r="BF80" s="215"/>
      <c r="BG80" s="215"/>
      <c r="BH80" s="215"/>
      <c r="BI80" s="215"/>
      <c r="BJ80" s="215"/>
      <c r="BK80" s="215"/>
      <c r="BL80" s="215"/>
      <c r="BM80" s="215"/>
      <c r="BN80" s="215"/>
      <c r="BO80" s="215"/>
      <c r="BP80" s="215"/>
      <c r="BQ80" s="215"/>
      <c r="BR80" s="215"/>
      <c r="BS80" s="217"/>
      <c r="BT80" s="217"/>
      <c r="BU80" s="217"/>
      <c r="BV80" s="217"/>
      <c r="BW80" s="217"/>
      <c r="BX80" s="217"/>
      <c r="BY80" s="95"/>
      <c r="BZ80" s="96"/>
      <c r="CA80" s="96"/>
      <c r="CB80" s="96"/>
      <c r="CC80" s="96"/>
      <c r="CD80" s="96"/>
      <c r="CE80" s="90"/>
      <c r="CF80" s="273"/>
      <c r="CG80" s="256"/>
      <c r="CH80" s="256"/>
      <c r="CI80" s="256"/>
      <c r="CJ80" s="256"/>
      <c r="CK80" s="256"/>
      <c r="CL80" s="256"/>
      <c r="CM80" s="256"/>
      <c r="CN80" s="256"/>
      <c r="CO80" s="256"/>
      <c r="CP80" s="256"/>
    </row>
    <row r="81" spans="1:94" s="31" customFormat="1" ht="19.5" customHeight="1">
      <c r="A81" s="260"/>
      <c r="B81" s="263"/>
      <c r="C81" s="263"/>
      <c r="D81" s="81"/>
      <c r="E81" s="316"/>
      <c r="F81" s="316"/>
      <c r="G81" s="98"/>
      <c r="H81" s="98"/>
      <c r="I81" s="408" t="s">
        <v>256</v>
      </c>
      <c r="J81" s="409"/>
      <c r="K81" s="409"/>
      <c r="L81" s="409"/>
      <c r="M81" s="409"/>
      <c r="N81" s="409"/>
      <c r="O81" s="409"/>
      <c r="P81" s="409"/>
      <c r="Q81" s="409"/>
      <c r="R81" s="409"/>
      <c r="S81" s="409"/>
      <c r="T81" s="409"/>
      <c r="U81" s="409"/>
      <c r="V81" s="409"/>
      <c r="W81" s="409"/>
      <c r="X81" s="409"/>
      <c r="Y81" s="409"/>
      <c r="Z81" s="409"/>
      <c r="AA81" s="409"/>
      <c r="AB81" s="409"/>
      <c r="AC81" s="409"/>
      <c r="AD81" s="409"/>
      <c r="AE81" s="409"/>
      <c r="AF81" s="409"/>
      <c r="AG81" s="409"/>
      <c r="AH81" s="409"/>
      <c r="AI81" s="409"/>
      <c r="AJ81" s="409"/>
      <c r="AK81" s="409"/>
      <c r="AL81" s="409"/>
      <c r="AM81" s="409"/>
      <c r="AN81" s="409"/>
      <c r="AO81" s="409"/>
      <c r="AP81" s="409"/>
      <c r="AQ81" s="409"/>
      <c r="AR81" s="409"/>
      <c r="AS81" s="409"/>
      <c r="AT81" s="409"/>
      <c r="AU81" s="409"/>
      <c r="AV81" s="409"/>
      <c r="AW81" s="409"/>
      <c r="AX81" s="409"/>
      <c r="AY81" s="220"/>
      <c r="AZ81" s="221"/>
      <c r="BA81" s="221"/>
      <c r="BB81" s="221"/>
      <c r="BC81" s="221"/>
      <c r="BD81" s="221"/>
      <c r="BE81" s="221"/>
      <c r="BF81" s="221"/>
      <c r="BG81" s="221"/>
      <c r="BH81" s="221"/>
      <c r="BI81" s="221"/>
      <c r="BJ81" s="221"/>
      <c r="BK81" s="221"/>
      <c r="BL81" s="221"/>
      <c r="BM81" s="221"/>
      <c r="BN81" s="221"/>
      <c r="BO81" s="221"/>
      <c r="BP81" s="221"/>
      <c r="BQ81" s="221"/>
      <c r="BR81" s="221"/>
      <c r="BS81" s="221"/>
      <c r="BT81" s="221"/>
      <c r="BU81" s="221"/>
      <c r="BV81" s="221"/>
      <c r="BW81" s="221"/>
      <c r="BX81" s="221"/>
      <c r="BY81" s="95"/>
      <c r="BZ81" s="96"/>
      <c r="CA81" s="96"/>
      <c r="CB81" s="96"/>
      <c r="CC81" s="96"/>
      <c r="CD81" s="96"/>
      <c r="CE81" s="90"/>
      <c r="CF81" s="273"/>
      <c r="CG81" s="256"/>
      <c r="CH81" s="256"/>
      <c r="CI81" s="256"/>
      <c r="CJ81" s="256"/>
      <c r="CK81" s="256"/>
      <c r="CL81" s="256"/>
      <c r="CM81" s="256"/>
      <c r="CN81" s="256"/>
      <c r="CO81" s="256"/>
      <c r="CP81" s="256"/>
    </row>
    <row r="82" spans="1:94" s="31" customFormat="1" ht="19.5" customHeight="1">
      <c r="A82" s="260"/>
      <c r="B82" s="263"/>
      <c r="C82" s="263"/>
      <c r="D82" s="81"/>
      <c r="E82" s="316"/>
      <c r="F82" s="316"/>
      <c r="G82" s="98"/>
      <c r="H82" s="98"/>
      <c r="I82" s="435"/>
      <c r="J82" s="436"/>
      <c r="K82" s="246"/>
      <c r="L82" s="246"/>
      <c r="M82" s="246"/>
      <c r="N82" s="246"/>
      <c r="O82" s="246"/>
      <c r="P82" s="246"/>
      <c r="Q82" s="246"/>
      <c r="R82" s="246"/>
      <c r="S82" s="246"/>
      <c r="T82" s="246"/>
      <c r="U82" s="246"/>
      <c r="V82" s="246"/>
      <c r="W82" s="246"/>
      <c r="X82" s="246"/>
      <c r="Y82" s="246"/>
      <c r="Z82" s="246"/>
      <c r="AA82" s="246"/>
      <c r="AB82" s="246"/>
      <c r="AC82" s="246"/>
      <c r="AD82" s="246"/>
      <c r="AE82" s="246"/>
      <c r="AF82" s="246"/>
      <c r="AG82" s="246"/>
      <c r="AH82" s="246"/>
      <c r="AI82" s="246"/>
      <c r="AJ82" s="246"/>
      <c r="AK82" s="246"/>
      <c r="AL82" s="246"/>
      <c r="AM82" s="246"/>
      <c r="AN82" s="246"/>
      <c r="AO82" s="246"/>
      <c r="AP82" s="246"/>
      <c r="AQ82" s="246"/>
      <c r="AR82" s="246"/>
      <c r="AS82" s="246"/>
      <c r="AT82" s="246"/>
      <c r="AU82" s="246"/>
      <c r="AV82" s="246"/>
      <c r="AW82" s="194" t="s">
        <v>262</v>
      </c>
      <c r="AX82" s="246"/>
      <c r="AY82" s="222"/>
      <c r="AZ82" s="223"/>
      <c r="BA82" s="223"/>
      <c r="BB82" s="223"/>
      <c r="BC82" s="223"/>
      <c r="BD82" s="223"/>
      <c r="BE82" s="223"/>
      <c r="BF82" s="223"/>
      <c r="BG82" s="223"/>
      <c r="BH82" s="223"/>
      <c r="BI82" s="223"/>
      <c r="BJ82" s="223"/>
      <c r="BK82" s="223"/>
      <c r="BL82" s="223"/>
      <c r="BM82" s="223"/>
      <c r="BN82" s="223"/>
      <c r="BO82" s="223"/>
      <c r="BP82" s="223"/>
      <c r="BQ82" s="223"/>
      <c r="BR82" s="223"/>
      <c r="BS82" s="223"/>
      <c r="BT82" s="223"/>
      <c r="BU82" s="223"/>
      <c r="BV82" s="223"/>
      <c r="BW82" s="223"/>
      <c r="BX82" s="223"/>
      <c r="BY82" s="95"/>
      <c r="BZ82" s="96"/>
      <c r="CA82" s="96"/>
      <c r="CB82" s="96"/>
      <c r="CC82" s="96"/>
      <c r="CD82" s="96"/>
      <c r="CE82" s="99"/>
      <c r="CF82" s="273"/>
      <c r="CG82" s="256"/>
      <c r="CH82" s="256"/>
      <c r="CI82" s="261"/>
      <c r="CJ82" s="261"/>
      <c r="CK82" s="261"/>
      <c r="CL82" s="256"/>
      <c r="CM82" s="256"/>
      <c r="CN82" s="256"/>
      <c r="CO82" s="256"/>
      <c r="CP82" s="256"/>
    </row>
    <row r="83" spans="1:94" s="31" customFormat="1" ht="19.5" customHeight="1">
      <c r="A83" s="260"/>
      <c r="B83" s="263"/>
      <c r="C83" s="263"/>
      <c r="D83" s="81"/>
      <c r="E83" s="316"/>
      <c r="F83" s="316"/>
      <c r="G83" s="98"/>
      <c r="H83" s="98"/>
      <c r="I83" s="288"/>
      <c r="J83" s="167"/>
      <c r="K83" s="167"/>
      <c r="L83" s="167"/>
      <c r="M83" s="167"/>
      <c r="N83" s="167"/>
      <c r="O83" s="167"/>
      <c r="P83" s="167"/>
      <c r="Q83" s="167"/>
      <c r="R83" s="167"/>
      <c r="S83" s="167"/>
      <c r="T83" s="167"/>
      <c r="U83" s="167"/>
      <c r="V83" s="167"/>
      <c r="W83" s="167"/>
      <c r="X83" s="167"/>
      <c r="Y83" s="167"/>
      <c r="Z83" s="167"/>
      <c r="AA83" s="167"/>
      <c r="AB83" s="167"/>
      <c r="AC83" s="167"/>
      <c r="AD83" s="167"/>
      <c r="AE83" s="167"/>
      <c r="AF83" s="167"/>
      <c r="AG83" s="167"/>
      <c r="AH83" s="167"/>
      <c r="AI83" s="167"/>
      <c r="AJ83" s="167"/>
      <c r="AK83" s="167"/>
      <c r="AL83" s="167"/>
      <c r="AM83" s="167"/>
      <c r="AN83" s="167"/>
      <c r="AO83" s="167"/>
      <c r="AP83" s="167"/>
      <c r="AQ83" s="167"/>
      <c r="AR83" s="167"/>
      <c r="AS83" s="167"/>
      <c r="AT83" s="167"/>
      <c r="AU83" s="167"/>
      <c r="AV83" s="167"/>
      <c r="AW83" s="167"/>
      <c r="AX83" s="167"/>
      <c r="AY83" s="218"/>
      <c r="AZ83" s="218"/>
      <c r="BA83" s="218"/>
      <c r="BB83" s="218"/>
      <c r="BC83" s="218"/>
      <c r="BD83" s="218"/>
      <c r="BE83" s="218"/>
      <c r="BF83" s="218"/>
      <c r="BG83" s="218"/>
      <c r="BH83" s="218"/>
      <c r="BI83" s="218"/>
      <c r="BJ83" s="218"/>
      <c r="BK83" s="218"/>
      <c r="BL83" s="218"/>
      <c r="BM83" s="218"/>
      <c r="BN83" s="218"/>
      <c r="BO83" s="218"/>
      <c r="BP83" s="218"/>
      <c r="BQ83" s="218"/>
      <c r="BR83" s="218"/>
      <c r="BS83" s="218"/>
      <c r="BT83" s="218"/>
      <c r="BU83" s="218"/>
      <c r="BV83" s="218"/>
      <c r="BW83" s="218"/>
      <c r="BX83" s="218"/>
      <c r="BY83" s="95"/>
      <c r="BZ83" s="96"/>
      <c r="CA83" s="96"/>
      <c r="CB83" s="96"/>
      <c r="CC83" s="96"/>
      <c r="CD83" s="96"/>
      <c r="CE83" s="90"/>
      <c r="CF83" s="328"/>
      <c r="CG83" s="256"/>
      <c r="CH83" s="256"/>
      <c r="CI83" s="256"/>
      <c r="CJ83" s="256"/>
      <c r="CK83" s="256"/>
      <c r="CL83" s="256"/>
      <c r="CM83" s="256"/>
      <c r="CN83" s="256"/>
      <c r="CO83" s="256"/>
      <c r="CP83" s="256"/>
    </row>
    <row r="84" spans="1:94" s="31" customFormat="1" ht="19.5" customHeight="1">
      <c r="A84" s="260"/>
      <c r="B84" s="263"/>
      <c r="C84" s="263"/>
      <c r="D84" s="87"/>
      <c r="E84" s="88"/>
      <c r="F84" s="88"/>
      <c r="G84" s="89"/>
      <c r="H84" s="89"/>
      <c r="I84" s="89"/>
      <c r="J84" s="89"/>
      <c r="K84" s="89"/>
      <c r="L84" s="89"/>
      <c r="M84" s="89"/>
      <c r="N84" s="127"/>
      <c r="O84" s="127"/>
      <c r="P84" s="127"/>
      <c r="Q84" s="127"/>
      <c r="R84" s="127"/>
      <c r="S84" s="127"/>
      <c r="T84" s="127"/>
      <c r="U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7"/>
      <c r="BZ84" s="110"/>
      <c r="CA84" s="110"/>
      <c r="CB84" s="110"/>
      <c r="CC84" s="110"/>
      <c r="CD84" s="110"/>
      <c r="CE84" s="111"/>
      <c r="CF84" s="273"/>
      <c r="CG84" s="256"/>
      <c r="CH84" s="256"/>
      <c r="CI84" s="256"/>
      <c r="CJ84" s="256"/>
      <c r="CK84" s="256"/>
      <c r="CL84" s="256"/>
      <c r="CM84" s="256"/>
      <c r="CN84" s="256"/>
      <c r="CO84" s="256"/>
      <c r="CP84" s="256"/>
    </row>
    <row r="85" spans="1:94" ht="8.25" customHeight="1">
      <c r="A85" s="257"/>
      <c r="D85" s="308"/>
      <c r="E85" s="308"/>
      <c r="F85" s="308"/>
      <c r="G85" s="308"/>
      <c r="H85" s="308"/>
      <c r="I85" s="308"/>
      <c r="J85" s="308"/>
      <c r="K85" s="308"/>
      <c r="L85" s="308"/>
      <c r="M85" s="308"/>
      <c r="N85" s="254"/>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9"/>
    </row>
    <row r="86" spans="1:94" ht="8.25" customHeight="1">
      <c r="A86" s="257"/>
      <c r="D86" s="258"/>
      <c r="E86" s="258"/>
      <c r="F86" s="258"/>
      <c r="G86" s="258"/>
      <c r="H86" s="258"/>
      <c r="I86" s="258"/>
      <c r="J86" s="258"/>
      <c r="K86" s="258"/>
      <c r="L86" s="258"/>
      <c r="M86" s="258"/>
      <c r="N86" s="265"/>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9"/>
    </row>
    <row r="87" spans="1:94" s="25" customFormat="1" ht="19.5" customHeight="1">
      <c r="A87" s="266"/>
      <c r="B87" s="267" t="s">
        <v>158</v>
      </c>
      <c r="C87" s="267"/>
      <c r="D87" s="269"/>
      <c r="E87" s="269"/>
      <c r="F87" s="269"/>
      <c r="G87" s="269"/>
      <c r="H87" s="269"/>
      <c r="I87" s="269"/>
      <c r="J87" s="269"/>
      <c r="K87" s="269"/>
      <c r="L87" s="269"/>
      <c r="M87" s="269"/>
      <c r="N87" s="269"/>
      <c r="O87" s="267"/>
      <c r="P87" s="267"/>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c r="BR87" s="267"/>
      <c r="BS87" s="267"/>
      <c r="BT87" s="267"/>
      <c r="BU87" s="267"/>
      <c r="BV87" s="267"/>
      <c r="BW87" s="267"/>
      <c r="BX87" s="267"/>
      <c r="BY87" s="267"/>
      <c r="BZ87" s="267"/>
      <c r="CA87" s="267"/>
      <c r="CB87" s="267"/>
      <c r="CC87" s="267"/>
      <c r="CD87" s="267"/>
      <c r="CE87" s="267"/>
      <c r="CF87" s="275"/>
      <c r="CG87" s="269"/>
      <c r="CH87" s="269"/>
      <c r="CI87" s="269"/>
      <c r="CJ87" s="269"/>
      <c r="CK87" s="269"/>
      <c r="CL87" s="269"/>
      <c r="CM87" s="269"/>
      <c r="CN87" s="269"/>
      <c r="CO87" s="269"/>
      <c r="CP87" s="269"/>
    </row>
    <row r="88" spans="1:94" s="31" customFormat="1" ht="19.5" customHeight="1">
      <c r="A88" s="260"/>
      <c r="B88" s="384" t="s">
        <v>159</v>
      </c>
      <c r="C88" s="385"/>
      <c r="D88" s="385"/>
      <c r="E88" s="385"/>
      <c r="F88" s="385"/>
      <c r="G88" s="385"/>
      <c r="H88" s="385"/>
      <c r="I88" s="385"/>
      <c r="J88" s="385"/>
      <c r="K88" s="385"/>
      <c r="L88" s="385"/>
      <c r="M88" s="385"/>
      <c r="N88" s="385"/>
      <c r="O88" s="385"/>
      <c r="P88" s="386"/>
      <c r="Q88" s="384" t="s">
        <v>160</v>
      </c>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c r="BK88" s="385"/>
      <c r="BL88" s="386"/>
      <c r="BM88" s="384" t="s">
        <v>161</v>
      </c>
      <c r="BN88" s="385"/>
      <c r="BO88" s="385"/>
      <c r="BP88" s="385"/>
      <c r="BQ88" s="385"/>
      <c r="BR88" s="385"/>
      <c r="BS88" s="385"/>
      <c r="BT88" s="385"/>
      <c r="BU88" s="385"/>
      <c r="BV88" s="385"/>
      <c r="BW88" s="385"/>
      <c r="BX88" s="385"/>
      <c r="BY88" s="385"/>
      <c r="BZ88" s="385"/>
      <c r="CA88" s="385"/>
      <c r="CB88" s="385"/>
      <c r="CC88" s="385"/>
      <c r="CD88" s="385"/>
      <c r="CE88" s="386"/>
      <c r="CF88" s="273"/>
      <c r="CG88" s="256"/>
      <c r="CH88" s="256"/>
      <c r="CI88" s="256"/>
      <c r="CJ88" s="256"/>
      <c r="CK88" s="256"/>
      <c r="CL88" s="256"/>
      <c r="CM88" s="256"/>
      <c r="CN88" s="256"/>
      <c r="CO88" s="256"/>
      <c r="CP88" s="256"/>
    </row>
    <row r="89" spans="1:94" s="31" customFormat="1" ht="29.25" customHeight="1">
      <c r="A89" s="260"/>
      <c r="B89" s="375" t="s">
        <v>125</v>
      </c>
      <c r="C89" s="376"/>
      <c r="D89" s="376"/>
      <c r="E89" s="376"/>
      <c r="F89" s="376"/>
      <c r="G89" s="376"/>
      <c r="H89" s="376"/>
      <c r="I89" s="376"/>
      <c r="J89" s="376"/>
      <c r="K89" s="376"/>
      <c r="L89" s="376"/>
      <c r="M89" s="376"/>
      <c r="N89" s="376"/>
      <c r="O89" s="376"/>
      <c r="P89" s="377"/>
      <c r="Q89" s="378"/>
      <c r="R89" s="379"/>
      <c r="S89" s="379"/>
      <c r="T89" s="379"/>
      <c r="U89" s="379"/>
      <c r="V89" s="379"/>
      <c r="W89" s="379"/>
      <c r="X89" s="379"/>
      <c r="Y89" s="379"/>
      <c r="Z89" s="379"/>
      <c r="AA89" s="379"/>
      <c r="AB89" s="379"/>
      <c r="AC89" s="379"/>
      <c r="AD89" s="379"/>
      <c r="AE89" s="379"/>
      <c r="AF89" s="379"/>
      <c r="AG89" s="379"/>
      <c r="AH89" s="379"/>
      <c r="AI89" s="379"/>
      <c r="AJ89" s="379"/>
      <c r="AK89" s="379"/>
      <c r="AL89" s="379"/>
      <c r="AM89" s="379"/>
      <c r="AN89" s="379"/>
      <c r="AO89" s="379"/>
      <c r="AP89" s="379"/>
      <c r="AQ89" s="379"/>
      <c r="AR89" s="379"/>
      <c r="AS89" s="379"/>
      <c r="AT89" s="379"/>
      <c r="AU89" s="379"/>
      <c r="AV89" s="379"/>
      <c r="AW89" s="379"/>
      <c r="AX89" s="379"/>
      <c r="AY89" s="379"/>
      <c r="AZ89" s="379"/>
      <c r="BA89" s="379"/>
      <c r="BB89" s="379"/>
      <c r="BC89" s="379"/>
      <c r="BD89" s="379"/>
      <c r="BE89" s="379"/>
      <c r="BF89" s="379"/>
      <c r="BG89" s="379"/>
      <c r="BH89" s="379"/>
      <c r="BI89" s="379"/>
      <c r="BJ89" s="379"/>
      <c r="BK89" s="379"/>
      <c r="BL89" s="380"/>
      <c r="BM89" s="367"/>
      <c r="BN89" s="368"/>
      <c r="BO89" s="368"/>
      <c r="BP89" s="368"/>
      <c r="BQ89" s="368"/>
      <c r="BR89" s="368"/>
      <c r="BS89" s="368"/>
      <c r="BT89" s="368"/>
      <c r="BU89" s="368"/>
      <c r="BV89" s="368"/>
      <c r="BW89" s="368"/>
      <c r="BX89" s="368"/>
      <c r="BY89" s="368"/>
      <c r="BZ89" s="368"/>
      <c r="CA89" s="368"/>
      <c r="CB89" s="368"/>
      <c r="CC89" s="368"/>
      <c r="CD89" s="368"/>
      <c r="CE89" s="369"/>
      <c r="CF89" s="281"/>
      <c r="CG89" s="256"/>
      <c r="CH89" s="256"/>
      <c r="CI89" s="256"/>
      <c r="CJ89" s="256"/>
      <c r="CK89" s="256"/>
      <c r="CL89" s="256"/>
      <c r="CM89" s="256"/>
      <c r="CN89" s="256"/>
      <c r="CO89" s="256"/>
      <c r="CP89" s="256"/>
    </row>
    <row r="90" spans="1:94" s="25" customFormat="1" ht="30.75" customHeight="1">
      <c r="A90" s="268"/>
      <c r="B90" s="387" t="s">
        <v>203</v>
      </c>
      <c r="C90" s="388"/>
      <c r="D90" s="388"/>
      <c r="E90" s="388"/>
      <c r="F90" s="388"/>
      <c r="G90" s="388"/>
      <c r="H90" s="388"/>
      <c r="I90" s="388"/>
      <c r="J90" s="388"/>
      <c r="K90" s="388"/>
      <c r="L90" s="388"/>
      <c r="M90" s="388"/>
      <c r="N90" s="388"/>
      <c r="O90" s="388"/>
      <c r="P90" s="389"/>
      <c r="Q90" s="390" t="s">
        <v>537</v>
      </c>
      <c r="R90" s="391"/>
      <c r="S90" s="391"/>
      <c r="T90" s="391"/>
      <c r="U90" s="391"/>
      <c r="V90" s="391"/>
      <c r="W90" s="391"/>
      <c r="X90" s="391"/>
      <c r="Y90" s="391"/>
      <c r="Z90" s="391"/>
      <c r="AA90" s="391"/>
      <c r="AB90" s="391"/>
      <c r="AC90" s="391"/>
      <c r="AD90" s="391"/>
      <c r="AE90" s="391"/>
      <c r="AF90" s="391"/>
      <c r="AG90" s="391"/>
      <c r="AH90" s="391"/>
      <c r="AI90" s="391"/>
      <c r="AJ90" s="391"/>
      <c r="AK90" s="391"/>
      <c r="AL90" s="391"/>
      <c r="AM90" s="391"/>
      <c r="AN90" s="391"/>
      <c r="AO90" s="391"/>
      <c r="AP90" s="391"/>
      <c r="AQ90" s="391"/>
      <c r="AR90" s="391"/>
      <c r="AS90" s="391"/>
      <c r="AT90" s="391"/>
      <c r="AU90" s="391"/>
      <c r="AV90" s="391"/>
      <c r="AW90" s="391"/>
      <c r="AX90" s="391"/>
      <c r="AY90" s="391"/>
      <c r="AZ90" s="391"/>
      <c r="BA90" s="391"/>
      <c r="BB90" s="391"/>
      <c r="BC90" s="391"/>
      <c r="BD90" s="391"/>
      <c r="BE90" s="391"/>
      <c r="BF90" s="391"/>
      <c r="BG90" s="391"/>
      <c r="BH90" s="391"/>
      <c r="BI90" s="391"/>
      <c r="BJ90" s="391"/>
      <c r="BK90" s="391"/>
      <c r="BL90" s="392"/>
      <c r="BM90" s="387"/>
      <c r="BN90" s="388"/>
      <c r="BO90" s="388"/>
      <c r="BP90" s="388"/>
      <c r="BQ90" s="388"/>
      <c r="BR90" s="388"/>
      <c r="BS90" s="388"/>
      <c r="BT90" s="388"/>
      <c r="BU90" s="388"/>
      <c r="BV90" s="388"/>
      <c r="BW90" s="388"/>
      <c r="BX90" s="388"/>
      <c r="BY90" s="388"/>
      <c r="BZ90" s="388"/>
      <c r="CA90" s="388"/>
      <c r="CB90" s="388"/>
      <c r="CC90" s="388"/>
      <c r="CD90" s="388"/>
      <c r="CE90" s="389"/>
      <c r="CF90" s="276"/>
      <c r="CG90" s="269"/>
      <c r="CH90" s="269"/>
      <c r="CI90" s="269"/>
      <c r="CJ90" s="269"/>
      <c r="CK90" s="269"/>
      <c r="CL90" s="269"/>
      <c r="CM90" s="269"/>
      <c r="CN90" s="269"/>
      <c r="CO90" s="269"/>
      <c r="CP90" s="269"/>
    </row>
    <row r="91" spans="1:94" s="25" customFormat="1" ht="30.75" customHeight="1">
      <c r="A91" s="268"/>
      <c r="B91" s="387" t="s">
        <v>162</v>
      </c>
      <c r="C91" s="388"/>
      <c r="D91" s="388"/>
      <c r="E91" s="388"/>
      <c r="F91" s="388"/>
      <c r="G91" s="388"/>
      <c r="H91" s="388"/>
      <c r="I91" s="388"/>
      <c r="J91" s="388"/>
      <c r="K91" s="388"/>
      <c r="L91" s="388"/>
      <c r="M91" s="388"/>
      <c r="N91" s="388"/>
      <c r="O91" s="388"/>
      <c r="P91" s="389"/>
      <c r="Q91" s="390" t="s">
        <v>538</v>
      </c>
      <c r="R91" s="391"/>
      <c r="S91" s="391"/>
      <c r="T91" s="391"/>
      <c r="U91" s="391"/>
      <c r="V91" s="391"/>
      <c r="W91" s="391"/>
      <c r="X91" s="391"/>
      <c r="Y91" s="391"/>
      <c r="Z91" s="391"/>
      <c r="AA91" s="391"/>
      <c r="AB91" s="391"/>
      <c r="AC91" s="391"/>
      <c r="AD91" s="391"/>
      <c r="AE91" s="391"/>
      <c r="AF91" s="391"/>
      <c r="AG91" s="391"/>
      <c r="AH91" s="391"/>
      <c r="AI91" s="391"/>
      <c r="AJ91" s="391"/>
      <c r="AK91" s="391"/>
      <c r="AL91" s="391"/>
      <c r="AM91" s="391"/>
      <c r="AN91" s="391"/>
      <c r="AO91" s="391"/>
      <c r="AP91" s="391"/>
      <c r="AQ91" s="391"/>
      <c r="AR91" s="391"/>
      <c r="AS91" s="391"/>
      <c r="AT91" s="391"/>
      <c r="AU91" s="391"/>
      <c r="AV91" s="391"/>
      <c r="AW91" s="391"/>
      <c r="AX91" s="391"/>
      <c r="AY91" s="391"/>
      <c r="AZ91" s="391"/>
      <c r="BA91" s="391"/>
      <c r="BB91" s="391"/>
      <c r="BC91" s="391"/>
      <c r="BD91" s="391"/>
      <c r="BE91" s="391"/>
      <c r="BF91" s="391"/>
      <c r="BG91" s="391"/>
      <c r="BH91" s="391"/>
      <c r="BI91" s="391"/>
      <c r="BJ91" s="391"/>
      <c r="BK91" s="391"/>
      <c r="BL91" s="392"/>
      <c r="BM91" s="387"/>
      <c r="BN91" s="388"/>
      <c r="BO91" s="388"/>
      <c r="BP91" s="388"/>
      <c r="BQ91" s="388"/>
      <c r="BR91" s="388"/>
      <c r="BS91" s="388"/>
      <c r="BT91" s="388"/>
      <c r="BU91" s="388"/>
      <c r="BV91" s="388"/>
      <c r="BW91" s="388"/>
      <c r="BX91" s="388"/>
      <c r="BY91" s="388"/>
      <c r="BZ91" s="388"/>
      <c r="CA91" s="388"/>
      <c r="CB91" s="388"/>
      <c r="CC91" s="388"/>
      <c r="CD91" s="388"/>
      <c r="CE91" s="389"/>
      <c r="CF91" s="276"/>
      <c r="CG91" s="269"/>
      <c r="CH91" s="269"/>
      <c r="CI91" s="269"/>
      <c r="CJ91" s="269"/>
      <c r="CK91" s="269"/>
      <c r="CL91" s="269"/>
      <c r="CM91" s="269"/>
      <c r="CN91" s="269"/>
      <c r="CO91" s="269"/>
      <c r="CP91" s="269"/>
    </row>
    <row r="92" spans="1:94" s="25" customFormat="1" ht="30.75" customHeight="1">
      <c r="A92" s="268"/>
      <c r="B92" s="387" t="s">
        <v>380</v>
      </c>
      <c r="C92" s="388"/>
      <c r="D92" s="388"/>
      <c r="E92" s="388"/>
      <c r="F92" s="388"/>
      <c r="G92" s="388"/>
      <c r="H92" s="388"/>
      <c r="I92" s="388"/>
      <c r="J92" s="388"/>
      <c r="K92" s="388"/>
      <c r="L92" s="388"/>
      <c r="M92" s="388"/>
      <c r="N92" s="388"/>
      <c r="O92" s="388"/>
      <c r="P92" s="389"/>
      <c r="Q92" s="390" t="s">
        <v>539</v>
      </c>
      <c r="R92" s="391"/>
      <c r="S92" s="391"/>
      <c r="T92" s="391"/>
      <c r="U92" s="391"/>
      <c r="V92" s="391"/>
      <c r="W92" s="391"/>
      <c r="X92" s="391"/>
      <c r="Y92" s="391"/>
      <c r="Z92" s="391"/>
      <c r="AA92" s="391"/>
      <c r="AB92" s="391"/>
      <c r="AC92" s="391"/>
      <c r="AD92" s="391"/>
      <c r="AE92" s="391"/>
      <c r="AF92" s="391"/>
      <c r="AG92" s="391"/>
      <c r="AH92" s="391"/>
      <c r="AI92" s="391"/>
      <c r="AJ92" s="391"/>
      <c r="AK92" s="391"/>
      <c r="AL92" s="391"/>
      <c r="AM92" s="391"/>
      <c r="AN92" s="391"/>
      <c r="AO92" s="391"/>
      <c r="AP92" s="391"/>
      <c r="AQ92" s="391"/>
      <c r="AR92" s="391"/>
      <c r="AS92" s="391"/>
      <c r="AT92" s="391"/>
      <c r="AU92" s="391"/>
      <c r="AV92" s="391"/>
      <c r="AW92" s="391"/>
      <c r="AX92" s="391"/>
      <c r="AY92" s="391"/>
      <c r="AZ92" s="391"/>
      <c r="BA92" s="391"/>
      <c r="BB92" s="391"/>
      <c r="BC92" s="391"/>
      <c r="BD92" s="391"/>
      <c r="BE92" s="391"/>
      <c r="BF92" s="391"/>
      <c r="BG92" s="391"/>
      <c r="BH92" s="391"/>
      <c r="BI92" s="391"/>
      <c r="BJ92" s="391"/>
      <c r="BK92" s="391"/>
      <c r="BL92" s="392"/>
      <c r="BM92" s="387"/>
      <c r="BN92" s="388"/>
      <c r="BO92" s="388"/>
      <c r="BP92" s="388"/>
      <c r="BQ92" s="388"/>
      <c r="BR92" s="388"/>
      <c r="BS92" s="388"/>
      <c r="BT92" s="388"/>
      <c r="BU92" s="388"/>
      <c r="BV92" s="388"/>
      <c r="BW92" s="388"/>
      <c r="BX92" s="388"/>
      <c r="BY92" s="388"/>
      <c r="BZ92" s="388"/>
      <c r="CA92" s="388"/>
      <c r="CB92" s="388"/>
      <c r="CC92" s="388"/>
      <c r="CD92" s="388"/>
      <c r="CE92" s="389"/>
      <c r="CF92" s="276"/>
      <c r="CG92" s="269"/>
      <c r="CH92" s="269"/>
      <c r="CI92" s="269"/>
      <c r="CJ92" s="269"/>
      <c r="CK92" s="269"/>
      <c r="CL92" s="269"/>
      <c r="CM92" s="269"/>
      <c r="CN92" s="269"/>
      <c r="CO92" s="269"/>
      <c r="CP92" s="269"/>
    </row>
    <row r="93" spans="1:94" s="25" customFormat="1" ht="30.75" customHeight="1">
      <c r="A93" s="268"/>
      <c r="B93" s="387" t="s">
        <v>475</v>
      </c>
      <c r="C93" s="388"/>
      <c r="D93" s="388"/>
      <c r="E93" s="388"/>
      <c r="F93" s="388"/>
      <c r="G93" s="388"/>
      <c r="H93" s="388"/>
      <c r="I93" s="388"/>
      <c r="J93" s="388"/>
      <c r="K93" s="388"/>
      <c r="L93" s="388"/>
      <c r="M93" s="388"/>
      <c r="N93" s="388"/>
      <c r="O93" s="388"/>
      <c r="P93" s="389"/>
      <c r="Q93" s="390" t="s">
        <v>540</v>
      </c>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391"/>
      <c r="BC93" s="391"/>
      <c r="BD93" s="391"/>
      <c r="BE93" s="391"/>
      <c r="BF93" s="391"/>
      <c r="BG93" s="391"/>
      <c r="BH93" s="391"/>
      <c r="BI93" s="391"/>
      <c r="BJ93" s="391"/>
      <c r="BK93" s="391"/>
      <c r="BL93" s="392"/>
      <c r="BM93" s="387"/>
      <c r="BN93" s="388"/>
      <c r="BO93" s="388"/>
      <c r="BP93" s="388"/>
      <c r="BQ93" s="388"/>
      <c r="BR93" s="388"/>
      <c r="BS93" s="388"/>
      <c r="BT93" s="388"/>
      <c r="BU93" s="388"/>
      <c r="BV93" s="388"/>
      <c r="BW93" s="388"/>
      <c r="BX93" s="388"/>
      <c r="BY93" s="388"/>
      <c r="BZ93" s="388"/>
      <c r="CA93" s="388"/>
      <c r="CB93" s="388"/>
      <c r="CC93" s="388"/>
      <c r="CD93" s="388"/>
      <c r="CE93" s="389"/>
      <c r="CF93" s="276"/>
      <c r="CG93" s="269"/>
      <c r="CH93" s="269"/>
      <c r="CI93" s="269"/>
      <c r="CJ93" s="269"/>
      <c r="CK93" s="269"/>
      <c r="CL93" s="269"/>
      <c r="CM93" s="269"/>
      <c r="CN93" s="269"/>
      <c r="CO93" s="269"/>
      <c r="CP93" s="269"/>
    </row>
    <row r="94" spans="1:94" s="25" customFormat="1" ht="30.75" customHeight="1">
      <c r="A94" s="268"/>
      <c r="B94" s="387" t="s">
        <v>293</v>
      </c>
      <c r="C94" s="388"/>
      <c r="D94" s="388"/>
      <c r="E94" s="388"/>
      <c r="F94" s="388"/>
      <c r="G94" s="388"/>
      <c r="H94" s="388"/>
      <c r="I94" s="388"/>
      <c r="J94" s="388"/>
      <c r="K94" s="388"/>
      <c r="L94" s="388"/>
      <c r="M94" s="388"/>
      <c r="N94" s="388"/>
      <c r="O94" s="388"/>
      <c r="P94" s="389"/>
      <c r="Q94" s="390" t="s">
        <v>330</v>
      </c>
      <c r="R94" s="391"/>
      <c r="S94" s="391"/>
      <c r="T94" s="391"/>
      <c r="U94" s="391"/>
      <c r="V94" s="391"/>
      <c r="W94" s="391"/>
      <c r="X94" s="391"/>
      <c r="Y94" s="391"/>
      <c r="Z94" s="391"/>
      <c r="AA94" s="391"/>
      <c r="AB94" s="391"/>
      <c r="AC94" s="391"/>
      <c r="AD94" s="391"/>
      <c r="AE94" s="391"/>
      <c r="AF94" s="391"/>
      <c r="AG94" s="391"/>
      <c r="AH94" s="391"/>
      <c r="AI94" s="391"/>
      <c r="AJ94" s="391"/>
      <c r="AK94" s="391"/>
      <c r="AL94" s="391"/>
      <c r="AM94" s="391"/>
      <c r="AN94" s="391"/>
      <c r="AO94" s="391"/>
      <c r="AP94" s="391"/>
      <c r="AQ94" s="391"/>
      <c r="AR94" s="391"/>
      <c r="AS94" s="391"/>
      <c r="AT94" s="391"/>
      <c r="AU94" s="391"/>
      <c r="AV94" s="391"/>
      <c r="AW94" s="391"/>
      <c r="AX94" s="391"/>
      <c r="AY94" s="391"/>
      <c r="AZ94" s="391"/>
      <c r="BA94" s="391"/>
      <c r="BB94" s="391"/>
      <c r="BC94" s="391"/>
      <c r="BD94" s="391"/>
      <c r="BE94" s="391"/>
      <c r="BF94" s="391"/>
      <c r="BG94" s="391"/>
      <c r="BH94" s="391"/>
      <c r="BI94" s="391"/>
      <c r="BJ94" s="391"/>
      <c r="BK94" s="391"/>
      <c r="BL94" s="392"/>
      <c r="BM94" s="387"/>
      <c r="BN94" s="388"/>
      <c r="BO94" s="388"/>
      <c r="BP94" s="388"/>
      <c r="BQ94" s="388"/>
      <c r="BR94" s="388"/>
      <c r="BS94" s="388"/>
      <c r="BT94" s="388"/>
      <c r="BU94" s="388"/>
      <c r="BV94" s="388"/>
      <c r="BW94" s="388"/>
      <c r="BX94" s="388"/>
      <c r="BY94" s="388"/>
      <c r="BZ94" s="388"/>
      <c r="CA94" s="388"/>
      <c r="CB94" s="388"/>
      <c r="CC94" s="388"/>
      <c r="CD94" s="388"/>
      <c r="CE94" s="389"/>
      <c r="CF94" s="276"/>
      <c r="CG94" s="269"/>
      <c r="CH94" s="269"/>
      <c r="CI94" s="269"/>
      <c r="CJ94" s="269"/>
      <c r="CK94" s="269"/>
      <c r="CL94" s="269"/>
      <c r="CM94" s="269"/>
      <c r="CN94" s="269"/>
      <c r="CO94" s="269"/>
      <c r="CP94" s="269"/>
    </row>
    <row r="95" spans="1:94" s="25" customFormat="1" ht="30.75" customHeight="1">
      <c r="A95" s="268"/>
      <c r="B95" s="387" t="s">
        <v>110</v>
      </c>
      <c r="C95" s="388"/>
      <c r="D95" s="388"/>
      <c r="E95" s="388"/>
      <c r="F95" s="388"/>
      <c r="G95" s="388"/>
      <c r="H95" s="388"/>
      <c r="I95" s="388"/>
      <c r="J95" s="388"/>
      <c r="K95" s="388"/>
      <c r="L95" s="388"/>
      <c r="M95" s="388"/>
      <c r="N95" s="388"/>
      <c r="O95" s="388"/>
      <c r="P95" s="389"/>
      <c r="Q95" s="390" t="s">
        <v>398</v>
      </c>
      <c r="R95" s="391"/>
      <c r="S95" s="391"/>
      <c r="T95" s="391"/>
      <c r="U95" s="391"/>
      <c r="V95" s="391"/>
      <c r="W95" s="391"/>
      <c r="X95" s="391"/>
      <c r="Y95" s="391"/>
      <c r="Z95" s="391"/>
      <c r="AA95" s="391"/>
      <c r="AB95" s="391"/>
      <c r="AC95" s="391"/>
      <c r="AD95" s="391"/>
      <c r="AE95" s="391"/>
      <c r="AF95" s="391"/>
      <c r="AG95" s="391"/>
      <c r="AH95" s="391"/>
      <c r="AI95" s="391"/>
      <c r="AJ95" s="391"/>
      <c r="AK95" s="391"/>
      <c r="AL95" s="391"/>
      <c r="AM95" s="391"/>
      <c r="AN95" s="391"/>
      <c r="AO95" s="391"/>
      <c r="AP95" s="391"/>
      <c r="AQ95" s="391"/>
      <c r="AR95" s="391"/>
      <c r="AS95" s="391"/>
      <c r="AT95" s="391"/>
      <c r="AU95" s="391"/>
      <c r="AV95" s="391"/>
      <c r="AW95" s="391"/>
      <c r="AX95" s="391"/>
      <c r="AY95" s="391"/>
      <c r="AZ95" s="391"/>
      <c r="BA95" s="391"/>
      <c r="BB95" s="391"/>
      <c r="BC95" s="391"/>
      <c r="BD95" s="391"/>
      <c r="BE95" s="391"/>
      <c r="BF95" s="391"/>
      <c r="BG95" s="391"/>
      <c r="BH95" s="391"/>
      <c r="BI95" s="391"/>
      <c r="BJ95" s="391"/>
      <c r="BK95" s="391"/>
      <c r="BL95" s="392"/>
      <c r="BM95" s="387"/>
      <c r="BN95" s="388"/>
      <c r="BO95" s="388"/>
      <c r="BP95" s="388"/>
      <c r="BQ95" s="388"/>
      <c r="BR95" s="388"/>
      <c r="BS95" s="388"/>
      <c r="BT95" s="388"/>
      <c r="BU95" s="388"/>
      <c r="BV95" s="388"/>
      <c r="BW95" s="388"/>
      <c r="BX95" s="388"/>
      <c r="BY95" s="388"/>
      <c r="BZ95" s="388"/>
      <c r="CA95" s="388"/>
      <c r="CB95" s="388"/>
      <c r="CC95" s="388"/>
      <c r="CD95" s="388"/>
      <c r="CE95" s="389"/>
      <c r="CF95" s="276"/>
      <c r="CG95" s="269"/>
      <c r="CH95" s="269"/>
      <c r="CI95" s="269"/>
      <c r="CJ95" s="269"/>
      <c r="CK95" s="269"/>
      <c r="CL95" s="269"/>
      <c r="CM95" s="269"/>
      <c r="CN95" s="269"/>
      <c r="CO95" s="269"/>
      <c r="CP95" s="269"/>
    </row>
    <row r="96" spans="1:94" s="25" customFormat="1" ht="30.75" customHeight="1">
      <c r="A96" s="268"/>
      <c r="B96" s="387" t="s">
        <v>132</v>
      </c>
      <c r="C96" s="388"/>
      <c r="D96" s="388"/>
      <c r="E96" s="388"/>
      <c r="F96" s="388"/>
      <c r="G96" s="388"/>
      <c r="H96" s="388"/>
      <c r="I96" s="388"/>
      <c r="J96" s="388"/>
      <c r="K96" s="388"/>
      <c r="L96" s="388"/>
      <c r="M96" s="388"/>
      <c r="N96" s="388"/>
      <c r="O96" s="388"/>
      <c r="P96" s="389"/>
      <c r="Q96" s="390" t="s">
        <v>163</v>
      </c>
      <c r="R96" s="391"/>
      <c r="S96" s="391"/>
      <c r="T96" s="391"/>
      <c r="U96" s="391"/>
      <c r="V96" s="391"/>
      <c r="W96" s="391"/>
      <c r="X96" s="391"/>
      <c r="Y96" s="391"/>
      <c r="Z96" s="391"/>
      <c r="AA96" s="391"/>
      <c r="AB96" s="391"/>
      <c r="AC96" s="391"/>
      <c r="AD96" s="391"/>
      <c r="AE96" s="391"/>
      <c r="AF96" s="391"/>
      <c r="AG96" s="391"/>
      <c r="AH96" s="391"/>
      <c r="AI96" s="391"/>
      <c r="AJ96" s="391"/>
      <c r="AK96" s="391"/>
      <c r="AL96" s="391"/>
      <c r="AM96" s="391"/>
      <c r="AN96" s="391"/>
      <c r="AO96" s="391"/>
      <c r="AP96" s="391"/>
      <c r="AQ96" s="391"/>
      <c r="AR96" s="391"/>
      <c r="AS96" s="391"/>
      <c r="AT96" s="391"/>
      <c r="AU96" s="391"/>
      <c r="AV96" s="391"/>
      <c r="AW96" s="391"/>
      <c r="AX96" s="391"/>
      <c r="AY96" s="391"/>
      <c r="AZ96" s="391"/>
      <c r="BA96" s="391"/>
      <c r="BB96" s="391"/>
      <c r="BC96" s="391"/>
      <c r="BD96" s="391"/>
      <c r="BE96" s="391"/>
      <c r="BF96" s="391"/>
      <c r="BG96" s="391"/>
      <c r="BH96" s="391"/>
      <c r="BI96" s="391"/>
      <c r="BJ96" s="391"/>
      <c r="BK96" s="391"/>
      <c r="BL96" s="392"/>
      <c r="BM96" s="387"/>
      <c r="BN96" s="388"/>
      <c r="BO96" s="388"/>
      <c r="BP96" s="388"/>
      <c r="BQ96" s="388"/>
      <c r="BR96" s="388"/>
      <c r="BS96" s="388"/>
      <c r="BT96" s="388"/>
      <c r="BU96" s="388"/>
      <c r="BV96" s="388"/>
      <c r="BW96" s="388"/>
      <c r="BX96" s="388"/>
      <c r="BY96" s="388"/>
      <c r="BZ96" s="388"/>
      <c r="CA96" s="388"/>
      <c r="CB96" s="388"/>
      <c r="CC96" s="388"/>
      <c r="CD96" s="388"/>
      <c r="CE96" s="389"/>
      <c r="CF96" s="276"/>
      <c r="CG96" s="269"/>
      <c r="CH96" s="269"/>
      <c r="CI96" s="269"/>
      <c r="CJ96" s="269"/>
      <c r="CK96" s="269"/>
      <c r="CL96" s="269"/>
      <c r="CM96" s="269"/>
      <c r="CN96" s="269"/>
      <c r="CO96" s="269"/>
      <c r="CP96" s="269"/>
    </row>
    <row r="97" spans="1:94" s="25" customFormat="1" ht="30.75" customHeight="1">
      <c r="A97" s="268"/>
      <c r="B97" s="387" t="s">
        <v>48</v>
      </c>
      <c r="C97" s="388"/>
      <c r="D97" s="388"/>
      <c r="E97" s="388"/>
      <c r="F97" s="388"/>
      <c r="G97" s="388"/>
      <c r="H97" s="388"/>
      <c r="I97" s="388"/>
      <c r="J97" s="388"/>
      <c r="K97" s="388"/>
      <c r="L97" s="388"/>
      <c r="M97" s="388"/>
      <c r="N97" s="388"/>
      <c r="O97" s="388"/>
      <c r="P97" s="389"/>
      <c r="Q97" s="390" t="s">
        <v>536</v>
      </c>
      <c r="R97" s="391"/>
      <c r="S97" s="391"/>
      <c r="T97" s="391"/>
      <c r="U97" s="391"/>
      <c r="V97" s="391"/>
      <c r="W97" s="391"/>
      <c r="X97" s="391"/>
      <c r="Y97" s="391"/>
      <c r="Z97" s="391"/>
      <c r="AA97" s="391"/>
      <c r="AB97" s="391"/>
      <c r="AC97" s="391"/>
      <c r="AD97" s="391"/>
      <c r="AE97" s="391"/>
      <c r="AF97" s="391"/>
      <c r="AG97" s="391"/>
      <c r="AH97" s="391"/>
      <c r="AI97" s="391"/>
      <c r="AJ97" s="391"/>
      <c r="AK97" s="391"/>
      <c r="AL97" s="391"/>
      <c r="AM97" s="391"/>
      <c r="AN97" s="391"/>
      <c r="AO97" s="391"/>
      <c r="AP97" s="391"/>
      <c r="AQ97" s="391"/>
      <c r="AR97" s="391"/>
      <c r="AS97" s="391"/>
      <c r="AT97" s="391"/>
      <c r="AU97" s="391"/>
      <c r="AV97" s="391"/>
      <c r="AW97" s="391"/>
      <c r="AX97" s="391"/>
      <c r="AY97" s="391"/>
      <c r="AZ97" s="391"/>
      <c r="BA97" s="391"/>
      <c r="BB97" s="391"/>
      <c r="BC97" s="391"/>
      <c r="BD97" s="391"/>
      <c r="BE97" s="391"/>
      <c r="BF97" s="391"/>
      <c r="BG97" s="391"/>
      <c r="BH97" s="391"/>
      <c r="BI97" s="391"/>
      <c r="BJ97" s="391"/>
      <c r="BK97" s="391"/>
      <c r="BL97" s="392"/>
      <c r="BM97" s="387"/>
      <c r="BN97" s="388"/>
      <c r="BO97" s="388"/>
      <c r="BP97" s="388"/>
      <c r="BQ97" s="388"/>
      <c r="BR97" s="388"/>
      <c r="BS97" s="388"/>
      <c r="BT97" s="388"/>
      <c r="BU97" s="388"/>
      <c r="BV97" s="388"/>
      <c r="BW97" s="388"/>
      <c r="BX97" s="388"/>
      <c r="BY97" s="388"/>
      <c r="BZ97" s="388"/>
      <c r="CA97" s="388"/>
      <c r="CB97" s="388"/>
      <c r="CC97" s="388"/>
      <c r="CD97" s="388"/>
      <c r="CE97" s="389"/>
      <c r="CF97" s="276"/>
      <c r="CG97" s="269"/>
      <c r="CH97" s="269"/>
      <c r="CI97" s="269"/>
      <c r="CJ97" s="269"/>
      <c r="CK97" s="269"/>
      <c r="CL97" s="269"/>
      <c r="CM97" s="269"/>
      <c r="CN97" s="269"/>
      <c r="CO97" s="269"/>
      <c r="CP97" s="269"/>
    </row>
    <row r="98" spans="1:94" s="31" customFormat="1" ht="30.75" customHeight="1">
      <c r="A98" s="260"/>
      <c r="B98" s="361" t="s">
        <v>126</v>
      </c>
      <c r="C98" s="362"/>
      <c r="D98" s="362"/>
      <c r="E98" s="362"/>
      <c r="F98" s="362"/>
      <c r="G98" s="362"/>
      <c r="H98" s="362"/>
      <c r="I98" s="362"/>
      <c r="J98" s="362"/>
      <c r="K98" s="362"/>
      <c r="L98" s="362"/>
      <c r="M98" s="362"/>
      <c r="N98" s="362"/>
      <c r="O98" s="362"/>
      <c r="P98" s="363"/>
      <c r="Q98" s="384"/>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H98" s="385"/>
      <c r="BI98" s="385"/>
      <c r="BJ98" s="385"/>
      <c r="BK98" s="385"/>
      <c r="BL98" s="386"/>
      <c r="BM98" s="367"/>
      <c r="BN98" s="368"/>
      <c r="BO98" s="368"/>
      <c r="BP98" s="368"/>
      <c r="BQ98" s="368"/>
      <c r="BR98" s="368"/>
      <c r="BS98" s="368"/>
      <c r="BT98" s="368"/>
      <c r="BU98" s="368"/>
      <c r="BV98" s="368"/>
      <c r="BW98" s="368"/>
      <c r="BX98" s="368"/>
      <c r="BY98" s="368"/>
      <c r="BZ98" s="368"/>
      <c r="CA98" s="368"/>
      <c r="CB98" s="368"/>
      <c r="CC98" s="368"/>
      <c r="CD98" s="368"/>
      <c r="CE98" s="369"/>
      <c r="CF98" s="273"/>
      <c r="CG98" s="256"/>
      <c r="CH98" s="256"/>
      <c r="CI98" s="256"/>
      <c r="CJ98" s="256"/>
      <c r="CK98" s="256"/>
      <c r="CL98" s="256"/>
      <c r="CM98" s="256"/>
      <c r="CN98" s="256"/>
      <c r="CO98" s="256"/>
      <c r="CP98" s="256"/>
    </row>
    <row r="99" spans="1:94" s="25" customFormat="1" ht="30.75" customHeight="1">
      <c r="A99" s="268"/>
      <c r="B99" s="361" t="s">
        <v>299</v>
      </c>
      <c r="C99" s="362"/>
      <c r="D99" s="362"/>
      <c r="E99" s="362"/>
      <c r="F99" s="362"/>
      <c r="G99" s="362"/>
      <c r="H99" s="362"/>
      <c r="I99" s="362"/>
      <c r="J99" s="362"/>
      <c r="K99" s="362"/>
      <c r="L99" s="362"/>
      <c r="M99" s="362"/>
      <c r="N99" s="362"/>
      <c r="O99" s="362"/>
      <c r="P99" s="363"/>
      <c r="Q99" s="364" t="s">
        <v>541</v>
      </c>
      <c r="R99" s="365"/>
      <c r="S99" s="365"/>
      <c r="T99" s="365"/>
      <c r="U99" s="365"/>
      <c r="V99" s="365"/>
      <c r="W99" s="365"/>
      <c r="X99" s="365"/>
      <c r="Y99" s="365"/>
      <c r="Z99" s="365"/>
      <c r="AA99" s="365"/>
      <c r="AB99" s="365"/>
      <c r="AC99" s="365"/>
      <c r="AD99" s="365"/>
      <c r="AE99" s="365"/>
      <c r="AF99" s="365"/>
      <c r="AG99" s="365"/>
      <c r="AH99" s="365"/>
      <c r="AI99" s="365"/>
      <c r="AJ99" s="365"/>
      <c r="AK99" s="365"/>
      <c r="AL99" s="365"/>
      <c r="AM99" s="365"/>
      <c r="AN99" s="365"/>
      <c r="AO99" s="365"/>
      <c r="AP99" s="365"/>
      <c r="AQ99" s="365"/>
      <c r="AR99" s="365"/>
      <c r="AS99" s="365"/>
      <c r="AT99" s="365"/>
      <c r="AU99" s="365"/>
      <c r="AV99" s="365"/>
      <c r="AW99" s="365"/>
      <c r="AX99" s="365"/>
      <c r="AY99" s="365"/>
      <c r="AZ99" s="365"/>
      <c r="BA99" s="365"/>
      <c r="BB99" s="365"/>
      <c r="BC99" s="365"/>
      <c r="BD99" s="365"/>
      <c r="BE99" s="365"/>
      <c r="BF99" s="365"/>
      <c r="BG99" s="365"/>
      <c r="BH99" s="365"/>
      <c r="BI99" s="365"/>
      <c r="BJ99" s="365"/>
      <c r="BK99" s="365"/>
      <c r="BL99" s="366"/>
      <c r="BM99" s="367"/>
      <c r="BN99" s="368"/>
      <c r="BO99" s="368"/>
      <c r="BP99" s="368"/>
      <c r="BQ99" s="368"/>
      <c r="BR99" s="368"/>
      <c r="BS99" s="368"/>
      <c r="BT99" s="368"/>
      <c r="BU99" s="368"/>
      <c r="BV99" s="368"/>
      <c r="BW99" s="368"/>
      <c r="BX99" s="368"/>
      <c r="BY99" s="368"/>
      <c r="BZ99" s="368"/>
      <c r="CA99" s="368"/>
      <c r="CB99" s="368"/>
      <c r="CC99" s="368"/>
      <c r="CD99" s="368"/>
      <c r="CE99" s="369"/>
      <c r="CF99" s="276"/>
      <c r="CG99" s="269"/>
      <c r="CH99" s="269"/>
      <c r="CI99" s="269"/>
      <c r="CJ99" s="269"/>
      <c r="CK99" s="269"/>
      <c r="CL99" s="269"/>
      <c r="CM99" s="269"/>
      <c r="CN99" s="269"/>
      <c r="CO99" s="269"/>
      <c r="CP99" s="269"/>
    </row>
    <row r="100" spans="1:94" s="25" customFormat="1" ht="30.75" customHeight="1">
      <c r="A100" s="268"/>
      <c r="B100" s="361" t="s">
        <v>331</v>
      </c>
      <c r="C100" s="362"/>
      <c r="D100" s="362"/>
      <c r="E100" s="362"/>
      <c r="F100" s="362"/>
      <c r="G100" s="362"/>
      <c r="H100" s="362"/>
      <c r="I100" s="362"/>
      <c r="J100" s="362"/>
      <c r="K100" s="362"/>
      <c r="L100" s="362"/>
      <c r="M100" s="362"/>
      <c r="N100" s="362"/>
      <c r="O100" s="362"/>
      <c r="P100" s="363"/>
      <c r="Q100" s="364" t="s">
        <v>542</v>
      </c>
      <c r="R100" s="365"/>
      <c r="S100" s="365"/>
      <c r="T100" s="365"/>
      <c r="U100" s="365"/>
      <c r="V100" s="365"/>
      <c r="W100" s="365"/>
      <c r="X100" s="365"/>
      <c r="Y100" s="365"/>
      <c r="Z100" s="365"/>
      <c r="AA100" s="365"/>
      <c r="AB100" s="365"/>
      <c r="AC100" s="365"/>
      <c r="AD100" s="365"/>
      <c r="AE100" s="365"/>
      <c r="AF100" s="365"/>
      <c r="AG100" s="365"/>
      <c r="AH100" s="365"/>
      <c r="AI100" s="365"/>
      <c r="AJ100" s="365"/>
      <c r="AK100" s="365"/>
      <c r="AL100" s="365"/>
      <c r="AM100" s="365"/>
      <c r="AN100" s="365"/>
      <c r="AO100" s="365"/>
      <c r="AP100" s="365"/>
      <c r="AQ100" s="365"/>
      <c r="AR100" s="365"/>
      <c r="AS100" s="365"/>
      <c r="AT100" s="365"/>
      <c r="AU100" s="365"/>
      <c r="AV100" s="365"/>
      <c r="AW100" s="365"/>
      <c r="AX100" s="365"/>
      <c r="AY100" s="365"/>
      <c r="AZ100" s="365"/>
      <c r="BA100" s="365"/>
      <c r="BB100" s="365"/>
      <c r="BC100" s="365"/>
      <c r="BD100" s="365"/>
      <c r="BE100" s="365"/>
      <c r="BF100" s="365"/>
      <c r="BG100" s="365"/>
      <c r="BH100" s="365"/>
      <c r="BI100" s="365"/>
      <c r="BJ100" s="365"/>
      <c r="BK100" s="365"/>
      <c r="BL100" s="366"/>
      <c r="BM100" s="367"/>
      <c r="BN100" s="368"/>
      <c r="BO100" s="368"/>
      <c r="BP100" s="368"/>
      <c r="BQ100" s="368"/>
      <c r="BR100" s="368"/>
      <c r="BS100" s="368"/>
      <c r="BT100" s="368"/>
      <c r="BU100" s="368"/>
      <c r="BV100" s="368"/>
      <c r="BW100" s="368"/>
      <c r="BX100" s="368"/>
      <c r="BY100" s="368"/>
      <c r="BZ100" s="368"/>
      <c r="CA100" s="368"/>
      <c r="CB100" s="368"/>
      <c r="CC100" s="368"/>
      <c r="CD100" s="368"/>
      <c r="CE100" s="369"/>
      <c r="CF100" s="276"/>
      <c r="CG100" s="269"/>
      <c r="CH100" s="269"/>
      <c r="CI100" s="269"/>
      <c r="CJ100" s="269"/>
      <c r="CK100" s="269"/>
      <c r="CL100" s="269"/>
      <c r="CM100" s="269"/>
      <c r="CN100" s="269"/>
      <c r="CO100" s="269"/>
      <c r="CP100" s="269"/>
    </row>
    <row r="101" spans="1:94" s="25" customFormat="1" ht="30.75" customHeight="1">
      <c r="A101" s="268"/>
      <c r="B101" s="361" t="s">
        <v>373</v>
      </c>
      <c r="C101" s="362"/>
      <c r="D101" s="362"/>
      <c r="E101" s="362"/>
      <c r="F101" s="362"/>
      <c r="G101" s="362"/>
      <c r="H101" s="362"/>
      <c r="I101" s="362"/>
      <c r="J101" s="362"/>
      <c r="K101" s="362"/>
      <c r="L101" s="362"/>
      <c r="M101" s="362"/>
      <c r="N101" s="362"/>
      <c r="O101" s="362"/>
      <c r="P101" s="363"/>
      <c r="Q101" s="364" t="s">
        <v>543</v>
      </c>
      <c r="R101" s="365"/>
      <c r="S101" s="365"/>
      <c r="T101" s="365"/>
      <c r="U101" s="365"/>
      <c r="V101" s="365"/>
      <c r="W101" s="365"/>
      <c r="X101" s="365"/>
      <c r="Y101" s="365"/>
      <c r="Z101" s="365"/>
      <c r="AA101" s="365"/>
      <c r="AB101" s="365"/>
      <c r="AC101" s="365"/>
      <c r="AD101" s="365"/>
      <c r="AE101" s="365"/>
      <c r="AF101" s="365"/>
      <c r="AG101" s="365"/>
      <c r="AH101" s="365"/>
      <c r="AI101" s="365"/>
      <c r="AJ101" s="365"/>
      <c r="AK101" s="365"/>
      <c r="AL101" s="365"/>
      <c r="AM101" s="365"/>
      <c r="AN101" s="365"/>
      <c r="AO101" s="365"/>
      <c r="AP101" s="365"/>
      <c r="AQ101" s="365"/>
      <c r="AR101" s="365"/>
      <c r="AS101" s="365"/>
      <c r="AT101" s="365"/>
      <c r="AU101" s="365"/>
      <c r="AV101" s="365"/>
      <c r="AW101" s="365"/>
      <c r="AX101" s="365"/>
      <c r="AY101" s="365"/>
      <c r="AZ101" s="365"/>
      <c r="BA101" s="365"/>
      <c r="BB101" s="365"/>
      <c r="BC101" s="365"/>
      <c r="BD101" s="365"/>
      <c r="BE101" s="365"/>
      <c r="BF101" s="365"/>
      <c r="BG101" s="365"/>
      <c r="BH101" s="365"/>
      <c r="BI101" s="365"/>
      <c r="BJ101" s="365"/>
      <c r="BK101" s="365"/>
      <c r="BL101" s="366"/>
      <c r="BM101" s="367"/>
      <c r="BN101" s="368"/>
      <c r="BO101" s="368"/>
      <c r="BP101" s="368"/>
      <c r="BQ101" s="368"/>
      <c r="BR101" s="368"/>
      <c r="BS101" s="368"/>
      <c r="BT101" s="368"/>
      <c r="BU101" s="368"/>
      <c r="BV101" s="368"/>
      <c r="BW101" s="368"/>
      <c r="BX101" s="368"/>
      <c r="BY101" s="368"/>
      <c r="BZ101" s="368"/>
      <c r="CA101" s="368"/>
      <c r="CB101" s="368"/>
      <c r="CC101" s="368"/>
      <c r="CD101" s="368"/>
      <c r="CE101" s="369"/>
      <c r="CF101" s="276"/>
      <c r="CG101" s="269"/>
      <c r="CH101" s="269"/>
      <c r="CI101" s="269"/>
      <c r="CJ101" s="269"/>
      <c r="CK101" s="269"/>
      <c r="CL101" s="269"/>
      <c r="CM101" s="269"/>
      <c r="CN101" s="269"/>
      <c r="CO101" s="269"/>
      <c r="CP101" s="269"/>
    </row>
    <row r="102" spans="1:94" s="25" customFormat="1" ht="30.75" customHeight="1">
      <c r="A102" s="268"/>
      <c r="B102" s="361" t="s">
        <v>257</v>
      </c>
      <c r="C102" s="362"/>
      <c r="D102" s="362"/>
      <c r="E102" s="362"/>
      <c r="F102" s="362"/>
      <c r="G102" s="362"/>
      <c r="H102" s="362"/>
      <c r="I102" s="362"/>
      <c r="J102" s="362"/>
      <c r="K102" s="362"/>
      <c r="L102" s="362"/>
      <c r="M102" s="362"/>
      <c r="N102" s="362"/>
      <c r="O102" s="362"/>
      <c r="P102" s="363"/>
      <c r="Q102" s="364" t="s">
        <v>544</v>
      </c>
      <c r="R102" s="365"/>
      <c r="S102" s="365"/>
      <c r="T102" s="365"/>
      <c r="U102" s="365"/>
      <c r="V102" s="365"/>
      <c r="W102" s="365"/>
      <c r="X102" s="365"/>
      <c r="Y102" s="365"/>
      <c r="Z102" s="365"/>
      <c r="AA102" s="365"/>
      <c r="AB102" s="365"/>
      <c r="AC102" s="365"/>
      <c r="AD102" s="365"/>
      <c r="AE102" s="365"/>
      <c r="AF102" s="365"/>
      <c r="AG102" s="365"/>
      <c r="AH102" s="365"/>
      <c r="AI102" s="365"/>
      <c r="AJ102" s="365"/>
      <c r="AK102" s="365"/>
      <c r="AL102" s="365"/>
      <c r="AM102" s="365"/>
      <c r="AN102" s="365"/>
      <c r="AO102" s="365"/>
      <c r="AP102" s="365"/>
      <c r="AQ102" s="365"/>
      <c r="AR102" s="365"/>
      <c r="AS102" s="365"/>
      <c r="AT102" s="365"/>
      <c r="AU102" s="365"/>
      <c r="AV102" s="365"/>
      <c r="AW102" s="365"/>
      <c r="AX102" s="365"/>
      <c r="AY102" s="365"/>
      <c r="AZ102" s="365"/>
      <c r="BA102" s="365"/>
      <c r="BB102" s="365"/>
      <c r="BC102" s="365"/>
      <c r="BD102" s="365"/>
      <c r="BE102" s="365"/>
      <c r="BF102" s="365"/>
      <c r="BG102" s="365"/>
      <c r="BH102" s="365"/>
      <c r="BI102" s="365"/>
      <c r="BJ102" s="365"/>
      <c r="BK102" s="365"/>
      <c r="BL102" s="366"/>
      <c r="BM102" s="367"/>
      <c r="BN102" s="368"/>
      <c r="BO102" s="368"/>
      <c r="BP102" s="368"/>
      <c r="BQ102" s="368"/>
      <c r="BR102" s="368"/>
      <c r="BS102" s="368"/>
      <c r="BT102" s="368"/>
      <c r="BU102" s="368"/>
      <c r="BV102" s="368"/>
      <c r="BW102" s="368"/>
      <c r="BX102" s="368"/>
      <c r="BY102" s="368"/>
      <c r="BZ102" s="368"/>
      <c r="CA102" s="368"/>
      <c r="CB102" s="368"/>
      <c r="CC102" s="368"/>
      <c r="CD102" s="368"/>
      <c r="CE102" s="369"/>
      <c r="CF102" s="276"/>
      <c r="CG102" s="269"/>
      <c r="CH102" s="269"/>
      <c r="CI102" s="269"/>
      <c r="CJ102" s="269"/>
      <c r="CK102" s="269"/>
      <c r="CL102" s="269"/>
      <c r="CM102" s="269"/>
      <c r="CN102" s="269"/>
      <c r="CO102" s="269"/>
      <c r="CP102" s="269"/>
    </row>
    <row r="103" spans="1:94" s="25" customFormat="1" ht="23.25" customHeight="1">
      <c r="A103" s="268"/>
      <c r="B103" s="269" t="s">
        <v>164</v>
      </c>
      <c r="C103" s="269"/>
      <c r="D103" s="269"/>
      <c r="E103" s="269"/>
      <c r="F103" s="269"/>
      <c r="G103" s="269"/>
      <c r="H103" s="269"/>
      <c r="I103" s="269"/>
      <c r="J103" s="269"/>
      <c r="K103" s="269"/>
      <c r="L103" s="269"/>
      <c r="M103" s="269"/>
      <c r="N103" s="269"/>
      <c r="O103" s="269"/>
      <c r="P103" s="269"/>
      <c r="Q103" s="269"/>
      <c r="R103" s="269" t="s">
        <v>165</v>
      </c>
      <c r="S103" s="269"/>
      <c r="T103" s="269"/>
      <c r="U103" s="269"/>
      <c r="V103" s="269"/>
      <c r="W103" s="269"/>
      <c r="X103" s="269"/>
      <c r="Y103" s="269"/>
      <c r="Z103" s="269"/>
      <c r="AA103" s="269"/>
      <c r="AB103" s="269"/>
      <c r="AC103" s="269"/>
      <c r="AD103" s="269"/>
      <c r="AE103" s="269"/>
      <c r="AF103" s="269"/>
      <c r="AG103" s="269"/>
      <c r="AH103" s="269"/>
      <c r="AI103" s="269"/>
      <c r="AJ103" s="269"/>
      <c r="AK103" s="269"/>
      <c r="AL103" s="269"/>
      <c r="AM103" s="269"/>
      <c r="AN103" s="269"/>
      <c r="AO103" s="269"/>
      <c r="AP103" s="269"/>
      <c r="AQ103" s="269"/>
      <c r="AR103" s="269"/>
      <c r="AS103" s="269"/>
      <c r="AT103" s="269"/>
      <c r="AU103" s="269"/>
      <c r="AV103" s="269"/>
      <c r="AW103" s="269"/>
      <c r="AX103" s="269"/>
      <c r="AY103" s="269"/>
      <c r="AZ103" s="269"/>
      <c r="BA103" s="269"/>
      <c r="BB103" s="269"/>
      <c r="BC103" s="269"/>
      <c r="BD103" s="269"/>
      <c r="BE103" s="269"/>
      <c r="BF103" s="269"/>
      <c r="BG103" s="269"/>
      <c r="BH103" s="269"/>
      <c r="BI103" s="269"/>
      <c r="BJ103" s="269"/>
      <c r="BK103" s="269"/>
      <c r="BL103" s="269"/>
      <c r="BM103" s="269"/>
      <c r="BN103" s="269"/>
      <c r="BO103" s="269"/>
      <c r="BP103" s="269"/>
      <c r="BQ103" s="269"/>
      <c r="BR103" s="269"/>
      <c r="BS103" s="269"/>
      <c r="BT103" s="269"/>
      <c r="BU103" s="269"/>
      <c r="BV103" s="269"/>
      <c r="BW103" s="269"/>
      <c r="BX103" s="269"/>
      <c r="BY103" s="269"/>
      <c r="BZ103" s="269"/>
      <c r="CA103" s="269"/>
      <c r="CB103" s="269"/>
      <c r="CC103" s="269"/>
      <c r="CD103" s="269"/>
      <c r="CE103" s="269"/>
      <c r="CF103" s="276"/>
      <c r="CG103" s="269"/>
      <c r="CH103" s="269"/>
      <c r="CI103" s="269"/>
      <c r="CJ103" s="269"/>
      <c r="CK103" s="269"/>
      <c r="CL103" s="269"/>
      <c r="CM103" s="269"/>
      <c r="CN103" s="269"/>
      <c r="CO103" s="269"/>
      <c r="CP103" s="269"/>
    </row>
    <row r="104" spans="1:94" s="31" customFormat="1" ht="19.5" customHeight="1">
      <c r="A104" s="260"/>
      <c r="B104" s="384" t="s">
        <v>166</v>
      </c>
      <c r="C104" s="385"/>
      <c r="D104" s="385"/>
      <c r="E104" s="385"/>
      <c r="F104" s="385"/>
      <c r="G104" s="385"/>
      <c r="H104" s="385"/>
      <c r="I104" s="385"/>
      <c r="J104" s="385"/>
      <c r="K104" s="385"/>
      <c r="L104" s="385"/>
      <c r="M104" s="385"/>
      <c r="N104" s="385"/>
      <c r="O104" s="385"/>
      <c r="P104" s="386"/>
      <c r="Q104" s="384" t="s">
        <v>167</v>
      </c>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H104" s="385"/>
      <c r="BI104" s="385"/>
      <c r="BJ104" s="385"/>
      <c r="BK104" s="385"/>
      <c r="BL104" s="386"/>
      <c r="BM104" s="384" t="s">
        <v>161</v>
      </c>
      <c r="BN104" s="385"/>
      <c r="BO104" s="385"/>
      <c r="BP104" s="385"/>
      <c r="BQ104" s="385"/>
      <c r="BR104" s="385"/>
      <c r="BS104" s="385"/>
      <c r="BT104" s="385"/>
      <c r="BU104" s="385"/>
      <c r="BV104" s="385"/>
      <c r="BW104" s="385"/>
      <c r="BX104" s="385"/>
      <c r="BY104" s="385"/>
      <c r="BZ104" s="385"/>
      <c r="CA104" s="385"/>
      <c r="CB104" s="385"/>
      <c r="CC104" s="385"/>
      <c r="CD104" s="385"/>
      <c r="CE104" s="386"/>
      <c r="CF104" s="273"/>
      <c r="CG104" s="256"/>
      <c r="CH104" s="256"/>
      <c r="CI104" s="256"/>
      <c r="CJ104" s="256"/>
      <c r="CK104" s="256"/>
      <c r="CL104" s="256"/>
      <c r="CM104" s="256"/>
      <c r="CN104" s="256"/>
      <c r="CO104" s="256"/>
      <c r="CP104" s="256"/>
    </row>
    <row r="105" spans="1:94" s="25" customFormat="1" ht="30.75" customHeight="1">
      <c r="A105" s="268"/>
      <c r="B105" s="361" t="s">
        <v>168</v>
      </c>
      <c r="C105" s="362"/>
      <c r="D105" s="362"/>
      <c r="E105" s="362"/>
      <c r="F105" s="362"/>
      <c r="G105" s="362"/>
      <c r="H105" s="362"/>
      <c r="I105" s="362"/>
      <c r="J105" s="362"/>
      <c r="K105" s="362"/>
      <c r="L105" s="362"/>
      <c r="M105" s="362"/>
      <c r="N105" s="362"/>
      <c r="O105" s="362"/>
      <c r="P105" s="363"/>
      <c r="Q105" s="367" t="s">
        <v>204</v>
      </c>
      <c r="R105" s="368"/>
      <c r="S105" s="368"/>
      <c r="T105" s="368"/>
      <c r="U105" s="368"/>
      <c r="V105" s="368"/>
      <c r="W105" s="368"/>
      <c r="X105" s="368"/>
      <c r="Y105" s="368"/>
      <c r="Z105" s="368"/>
      <c r="AA105" s="368"/>
      <c r="AB105" s="368"/>
      <c r="AC105" s="368"/>
      <c r="AD105" s="368"/>
      <c r="AE105" s="368"/>
      <c r="AF105" s="368"/>
      <c r="AG105" s="368"/>
      <c r="AH105" s="368"/>
      <c r="AI105" s="368"/>
      <c r="AJ105" s="368"/>
      <c r="AK105" s="368"/>
      <c r="AL105" s="368"/>
      <c r="AM105" s="368"/>
      <c r="AN105" s="368"/>
      <c r="AO105" s="368"/>
      <c r="AP105" s="368"/>
      <c r="AQ105" s="368"/>
      <c r="AR105" s="368"/>
      <c r="AS105" s="368"/>
      <c r="AT105" s="368"/>
      <c r="AU105" s="368"/>
      <c r="AV105" s="368"/>
      <c r="AW105" s="368"/>
      <c r="AX105" s="368"/>
      <c r="AY105" s="368"/>
      <c r="AZ105" s="368"/>
      <c r="BA105" s="368"/>
      <c r="BB105" s="368"/>
      <c r="BC105" s="368"/>
      <c r="BD105" s="368"/>
      <c r="BE105" s="368"/>
      <c r="BF105" s="368"/>
      <c r="BG105" s="368"/>
      <c r="BH105" s="368"/>
      <c r="BI105" s="368"/>
      <c r="BJ105" s="368"/>
      <c r="BK105" s="368"/>
      <c r="BL105" s="369"/>
      <c r="BM105" s="387"/>
      <c r="BN105" s="388"/>
      <c r="BO105" s="388"/>
      <c r="BP105" s="388"/>
      <c r="BQ105" s="388"/>
      <c r="BR105" s="388"/>
      <c r="BS105" s="388"/>
      <c r="BT105" s="388"/>
      <c r="BU105" s="388"/>
      <c r="BV105" s="388"/>
      <c r="BW105" s="388"/>
      <c r="BX105" s="388"/>
      <c r="BY105" s="388"/>
      <c r="BZ105" s="388"/>
      <c r="CA105" s="388"/>
      <c r="CB105" s="388"/>
      <c r="CC105" s="388"/>
      <c r="CD105" s="388"/>
      <c r="CE105" s="389"/>
      <c r="CF105" s="276"/>
      <c r="CG105" s="269"/>
      <c r="CH105" s="269"/>
      <c r="CI105" s="269"/>
      <c r="CJ105" s="269"/>
      <c r="CK105" s="269"/>
      <c r="CL105" s="269"/>
      <c r="CM105" s="269"/>
      <c r="CN105" s="269"/>
      <c r="CO105" s="269"/>
      <c r="CP105" s="269"/>
    </row>
    <row r="106" spans="1:94" s="25" customFormat="1" ht="30.75" customHeight="1">
      <c r="A106" s="268"/>
      <c r="B106" s="361" t="s">
        <v>127</v>
      </c>
      <c r="C106" s="362"/>
      <c r="D106" s="362"/>
      <c r="E106" s="362"/>
      <c r="F106" s="362"/>
      <c r="G106" s="362"/>
      <c r="H106" s="362"/>
      <c r="I106" s="362"/>
      <c r="J106" s="362"/>
      <c r="K106" s="362"/>
      <c r="L106" s="362"/>
      <c r="M106" s="362"/>
      <c r="N106" s="362"/>
      <c r="O106" s="362"/>
      <c r="P106" s="363"/>
      <c r="Q106" s="364" t="s">
        <v>131</v>
      </c>
      <c r="R106" s="365"/>
      <c r="S106" s="365"/>
      <c r="T106" s="365"/>
      <c r="U106" s="365"/>
      <c r="V106" s="365"/>
      <c r="W106" s="365"/>
      <c r="X106" s="365"/>
      <c r="Y106" s="365"/>
      <c r="Z106" s="365"/>
      <c r="AA106" s="365"/>
      <c r="AB106" s="365"/>
      <c r="AC106" s="365"/>
      <c r="AD106" s="365"/>
      <c r="AE106" s="365"/>
      <c r="AF106" s="365"/>
      <c r="AG106" s="365"/>
      <c r="AH106" s="365"/>
      <c r="AI106" s="365"/>
      <c r="AJ106" s="365"/>
      <c r="AK106" s="365"/>
      <c r="AL106" s="365"/>
      <c r="AM106" s="365"/>
      <c r="AN106" s="365"/>
      <c r="AO106" s="365"/>
      <c r="AP106" s="365"/>
      <c r="AQ106" s="365"/>
      <c r="AR106" s="365"/>
      <c r="AS106" s="365"/>
      <c r="AT106" s="365"/>
      <c r="AU106" s="365"/>
      <c r="AV106" s="365"/>
      <c r="AW106" s="365"/>
      <c r="AX106" s="365"/>
      <c r="AY106" s="365"/>
      <c r="AZ106" s="365"/>
      <c r="BA106" s="365"/>
      <c r="BB106" s="365"/>
      <c r="BC106" s="365"/>
      <c r="BD106" s="365"/>
      <c r="BE106" s="365"/>
      <c r="BF106" s="365"/>
      <c r="BG106" s="365"/>
      <c r="BH106" s="365"/>
      <c r="BI106" s="365"/>
      <c r="BJ106" s="365"/>
      <c r="BK106" s="365"/>
      <c r="BL106" s="366"/>
      <c r="BM106" s="367"/>
      <c r="BN106" s="368"/>
      <c r="BO106" s="368"/>
      <c r="BP106" s="368"/>
      <c r="BQ106" s="368"/>
      <c r="BR106" s="368"/>
      <c r="BS106" s="368"/>
      <c r="BT106" s="368"/>
      <c r="BU106" s="368"/>
      <c r="BV106" s="368"/>
      <c r="BW106" s="368"/>
      <c r="BX106" s="368"/>
      <c r="BY106" s="368"/>
      <c r="BZ106" s="368"/>
      <c r="CA106" s="368"/>
      <c r="CB106" s="368"/>
      <c r="CC106" s="368"/>
      <c r="CD106" s="368"/>
      <c r="CE106" s="369"/>
      <c r="CF106" s="276"/>
      <c r="CG106" s="269"/>
      <c r="CH106" s="269"/>
      <c r="CI106" s="269"/>
      <c r="CJ106" s="269"/>
      <c r="CK106" s="269"/>
      <c r="CL106" s="269"/>
      <c r="CM106" s="269"/>
      <c r="CN106" s="269"/>
      <c r="CO106" s="269"/>
      <c r="CP106" s="269"/>
    </row>
    <row r="107" spans="1:94" s="25" customFormat="1" ht="30.75" customHeight="1">
      <c r="A107" s="268"/>
      <c r="B107" s="439" t="s">
        <v>128</v>
      </c>
      <c r="C107" s="440"/>
      <c r="D107" s="440"/>
      <c r="E107" s="440"/>
      <c r="F107" s="440"/>
      <c r="G107" s="440"/>
      <c r="H107" s="440"/>
      <c r="I107" s="440"/>
      <c r="J107" s="440"/>
      <c r="K107" s="440"/>
      <c r="L107" s="440"/>
      <c r="M107" s="440"/>
      <c r="N107" s="440"/>
      <c r="O107" s="440"/>
      <c r="P107" s="441"/>
      <c r="Q107" s="364" t="s">
        <v>129</v>
      </c>
      <c r="R107" s="365"/>
      <c r="S107" s="365"/>
      <c r="T107" s="365"/>
      <c r="U107" s="365"/>
      <c r="V107" s="365"/>
      <c r="W107" s="365"/>
      <c r="X107" s="365"/>
      <c r="Y107" s="365"/>
      <c r="Z107" s="365"/>
      <c r="AA107" s="365"/>
      <c r="AB107" s="365"/>
      <c r="AC107" s="365"/>
      <c r="AD107" s="365"/>
      <c r="AE107" s="365"/>
      <c r="AF107" s="365"/>
      <c r="AG107" s="365"/>
      <c r="AH107" s="365"/>
      <c r="AI107" s="365"/>
      <c r="AJ107" s="365"/>
      <c r="AK107" s="365"/>
      <c r="AL107" s="365"/>
      <c r="AM107" s="365"/>
      <c r="AN107" s="365"/>
      <c r="AO107" s="365"/>
      <c r="AP107" s="365"/>
      <c r="AQ107" s="365"/>
      <c r="AR107" s="365"/>
      <c r="AS107" s="365"/>
      <c r="AT107" s="365"/>
      <c r="AU107" s="365"/>
      <c r="AV107" s="365"/>
      <c r="AW107" s="365"/>
      <c r="AX107" s="365"/>
      <c r="AY107" s="365"/>
      <c r="AZ107" s="365"/>
      <c r="BA107" s="365"/>
      <c r="BB107" s="365"/>
      <c r="BC107" s="365"/>
      <c r="BD107" s="365"/>
      <c r="BE107" s="365"/>
      <c r="BF107" s="365"/>
      <c r="BG107" s="365"/>
      <c r="BH107" s="365"/>
      <c r="BI107" s="365"/>
      <c r="BJ107" s="365"/>
      <c r="BK107" s="365"/>
      <c r="BL107" s="366"/>
      <c r="BM107" s="442" t="s">
        <v>130</v>
      </c>
      <c r="BN107" s="443"/>
      <c r="BO107" s="443"/>
      <c r="BP107" s="443"/>
      <c r="BQ107" s="443"/>
      <c r="BR107" s="443"/>
      <c r="BS107" s="443"/>
      <c r="BT107" s="443"/>
      <c r="BU107" s="443"/>
      <c r="BV107" s="443"/>
      <c r="BW107" s="443"/>
      <c r="BX107" s="443"/>
      <c r="BY107" s="443"/>
      <c r="BZ107" s="443"/>
      <c r="CA107" s="443"/>
      <c r="CB107" s="443"/>
      <c r="CC107" s="443"/>
      <c r="CD107" s="443"/>
      <c r="CE107" s="444"/>
      <c r="CF107" s="276"/>
      <c r="CG107" s="269"/>
      <c r="CH107" s="269"/>
      <c r="CI107" s="269"/>
      <c r="CJ107" s="269"/>
      <c r="CK107" s="269"/>
      <c r="CL107" s="269"/>
      <c r="CM107" s="269"/>
      <c r="CN107" s="269"/>
      <c r="CO107" s="269"/>
      <c r="CP107" s="269"/>
    </row>
    <row r="108" spans="1:94" s="45" customFormat="1" ht="4.5" customHeight="1">
      <c r="A108" s="270"/>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c r="AN108" s="271"/>
      <c r="AO108" s="271"/>
      <c r="AP108" s="271"/>
      <c r="AQ108" s="271"/>
      <c r="AR108" s="271"/>
      <c r="AS108" s="271"/>
      <c r="AT108" s="271"/>
      <c r="AU108" s="271"/>
      <c r="AV108" s="271"/>
      <c r="AW108" s="271"/>
      <c r="AX108" s="271"/>
      <c r="AY108" s="271"/>
      <c r="AZ108" s="271"/>
      <c r="BA108" s="271"/>
      <c r="BB108" s="271"/>
      <c r="BC108" s="271"/>
      <c r="BD108" s="271"/>
      <c r="BE108" s="271"/>
      <c r="BF108" s="271"/>
      <c r="BG108" s="271"/>
      <c r="BH108" s="271"/>
      <c r="BI108" s="271"/>
      <c r="BJ108" s="271"/>
      <c r="BK108" s="271"/>
      <c r="BL108" s="271"/>
      <c r="BM108" s="271"/>
      <c r="BN108" s="271"/>
      <c r="BO108" s="271"/>
      <c r="BP108" s="271"/>
      <c r="BQ108" s="271"/>
      <c r="BR108" s="271"/>
      <c r="BS108" s="271"/>
      <c r="BT108" s="271"/>
      <c r="BU108" s="271"/>
      <c r="BV108" s="271"/>
      <c r="BW108" s="271"/>
      <c r="BX108" s="271"/>
      <c r="BY108" s="271"/>
      <c r="BZ108" s="271"/>
      <c r="CA108" s="271"/>
      <c r="CB108" s="271"/>
      <c r="CC108" s="271"/>
      <c r="CD108" s="271"/>
      <c r="CE108" s="271"/>
      <c r="CF108" s="277"/>
      <c r="CG108" s="278"/>
      <c r="CH108" s="278"/>
      <c r="CI108" s="278"/>
      <c r="CJ108" s="278"/>
      <c r="CK108" s="278"/>
      <c r="CL108" s="278"/>
      <c r="CM108" s="278"/>
      <c r="CN108" s="278"/>
      <c r="CO108" s="278"/>
      <c r="CP108" s="278"/>
    </row>
    <row r="109" spans="1:94" s="128" customFormat="1" ht="3" customHeight="1">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c r="Z109" s="272"/>
      <c r="AA109" s="272"/>
      <c r="AB109" s="272"/>
      <c r="AC109" s="272"/>
      <c r="AD109" s="272"/>
      <c r="AE109" s="272"/>
      <c r="AF109" s="272"/>
      <c r="AG109" s="272"/>
      <c r="AH109" s="272"/>
      <c r="AI109" s="272"/>
      <c r="AJ109" s="272"/>
      <c r="AK109" s="272"/>
      <c r="AL109" s="272"/>
      <c r="AM109" s="272"/>
      <c r="AN109" s="272"/>
      <c r="AO109" s="272"/>
      <c r="AP109" s="272"/>
      <c r="AQ109" s="272"/>
      <c r="AR109" s="272"/>
      <c r="AS109" s="272"/>
      <c r="AT109" s="272"/>
      <c r="AU109" s="272"/>
      <c r="AV109" s="272"/>
      <c r="AW109" s="272"/>
      <c r="AX109" s="272"/>
      <c r="AY109" s="272"/>
      <c r="AZ109" s="272"/>
      <c r="BA109" s="272"/>
      <c r="BB109" s="272"/>
      <c r="BC109" s="272"/>
      <c r="BD109" s="272"/>
      <c r="BE109" s="272"/>
      <c r="BF109" s="272"/>
      <c r="BG109" s="272"/>
      <c r="BH109" s="272"/>
      <c r="BI109" s="272"/>
      <c r="BJ109" s="272"/>
      <c r="BK109" s="272"/>
      <c r="BL109" s="272"/>
      <c r="BM109" s="272"/>
      <c r="BN109" s="272"/>
      <c r="BO109" s="272"/>
      <c r="BP109" s="272"/>
      <c r="BQ109" s="272"/>
      <c r="BR109" s="272"/>
      <c r="BS109" s="272"/>
      <c r="BT109" s="272"/>
      <c r="BU109" s="272"/>
      <c r="BV109" s="272"/>
      <c r="BW109" s="272"/>
      <c r="BX109" s="272"/>
      <c r="BY109" s="272"/>
      <c r="BZ109" s="272"/>
      <c r="CA109" s="272"/>
      <c r="CB109" s="272"/>
      <c r="CC109" s="272"/>
      <c r="CD109" s="272"/>
      <c r="CE109" s="272"/>
      <c r="CF109" s="272"/>
      <c r="CG109" s="272"/>
      <c r="CH109" s="272"/>
      <c r="CI109" s="272"/>
      <c r="CJ109" s="272"/>
      <c r="CK109" s="272"/>
      <c r="CL109" s="272"/>
      <c r="CM109" s="272"/>
      <c r="CN109" s="272"/>
      <c r="CO109" s="272"/>
      <c r="CP109" s="272"/>
    </row>
    <row r="110" spans="1:94" s="128" customFormat="1" ht="19.5" customHeight="1">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c r="AA110" s="272"/>
      <c r="AB110" s="272"/>
      <c r="AC110" s="272"/>
      <c r="AD110" s="272"/>
      <c r="AE110" s="272"/>
      <c r="AF110" s="272"/>
      <c r="AG110" s="272"/>
      <c r="AH110" s="272"/>
      <c r="AI110" s="272"/>
      <c r="AJ110" s="272"/>
      <c r="AK110" s="272"/>
      <c r="AL110" s="272"/>
      <c r="AM110" s="272"/>
      <c r="AN110" s="272"/>
      <c r="AO110" s="272"/>
      <c r="AP110" s="272"/>
      <c r="AQ110" s="272"/>
      <c r="AR110" s="272"/>
      <c r="AS110" s="272"/>
      <c r="AT110" s="272"/>
      <c r="AU110" s="272"/>
      <c r="AV110" s="272"/>
      <c r="AW110" s="272"/>
      <c r="AX110" s="272"/>
      <c r="AY110" s="272"/>
      <c r="AZ110" s="272"/>
      <c r="BA110" s="272"/>
      <c r="BB110" s="272"/>
      <c r="BC110" s="272"/>
      <c r="BD110" s="272"/>
      <c r="BE110" s="272"/>
      <c r="BF110" s="272"/>
      <c r="BG110" s="272"/>
      <c r="BH110" s="272"/>
      <c r="BI110" s="272"/>
      <c r="BJ110" s="272"/>
      <c r="BK110" s="272"/>
      <c r="BL110" s="272"/>
      <c r="BM110" s="272"/>
      <c r="BN110" s="272"/>
      <c r="BO110" s="272"/>
      <c r="BP110" s="272"/>
      <c r="BQ110" s="272"/>
      <c r="BR110" s="272"/>
      <c r="BS110" s="272"/>
      <c r="BT110" s="272"/>
      <c r="BU110" s="272"/>
      <c r="BV110" s="272"/>
      <c r="BW110" s="272"/>
      <c r="BX110" s="272"/>
      <c r="BY110" s="272"/>
      <c r="BZ110" s="272"/>
      <c r="CA110" s="272"/>
      <c r="CB110" s="272"/>
      <c r="CC110" s="272"/>
      <c r="CD110" s="272"/>
      <c r="CE110" s="272"/>
      <c r="CF110" s="272"/>
      <c r="CG110" s="272"/>
      <c r="CH110" s="272"/>
      <c r="CI110" s="272"/>
      <c r="CJ110" s="272"/>
      <c r="CK110" s="272"/>
      <c r="CL110" s="272"/>
      <c r="CM110" s="272"/>
      <c r="CN110" s="272"/>
      <c r="CO110" s="272"/>
      <c r="CP110" s="272"/>
    </row>
    <row r="111" spans="1:94" s="128" customFormat="1" ht="19.5" customHeight="1">
      <c r="A111" s="272"/>
      <c r="B111" s="272"/>
      <c r="C111" s="272"/>
      <c r="CF111" s="272"/>
      <c r="CG111" s="272"/>
      <c r="CH111" s="272"/>
      <c r="CI111" s="272"/>
      <c r="CJ111" s="272"/>
      <c r="CK111" s="272"/>
      <c r="CL111" s="272"/>
      <c r="CM111" s="272"/>
      <c r="CN111" s="272"/>
      <c r="CO111" s="272"/>
      <c r="CP111" s="272"/>
    </row>
    <row r="112" spans="1:94" s="128" customFormat="1" ht="19.5" customHeight="1">
      <c r="A112" s="272"/>
      <c r="B112" s="272"/>
      <c r="C112" s="272"/>
      <c r="CF112" s="272"/>
      <c r="CG112" s="272"/>
      <c r="CH112" s="272"/>
      <c r="CI112" s="272"/>
      <c r="CJ112" s="272"/>
      <c r="CK112" s="272"/>
      <c r="CL112" s="272"/>
      <c r="CM112" s="272"/>
      <c r="CN112" s="272"/>
      <c r="CO112" s="272"/>
      <c r="CP112" s="272"/>
    </row>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sheetData>
  <mergeCells count="141">
    <mergeCell ref="BO52:BS52"/>
    <mergeCell ref="BO53:BS53"/>
    <mergeCell ref="BO54:BS54"/>
    <mergeCell ref="BO55:BS55"/>
    <mergeCell ref="BO56:BS56"/>
    <mergeCell ref="BO57:BS57"/>
    <mergeCell ref="BO58:BS58"/>
    <mergeCell ref="I56:J56"/>
    <mergeCell ref="I52:J52"/>
    <mergeCell ref="I53:J53"/>
    <mergeCell ref="I54:J54"/>
    <mergeCell ref="I55:J55"/>
    <mergeCell ref="I57:J57"/>
    <mergeCell ref="I13:BX14"/>
    <mergeCell ref="B106:P106"/>
    <mergeCell ref="Q106:BL106"/>
    <mergeCell ref="BM106:CE106"/>
    <mergeCell ref="B101:P101"/>
    <mergeCell ref="Q101:BL101"/>
    <mergeCell ref="BM101:CE101"/>
    <mergeCell ref="B102:P102"/>
    <mergeCell ref="Q102:BL102"/>
    <mergeCell ref="BM102:CE102"/>
    <mergeCell ref="B96:P96"/>
    <mergeCell ref="Q96:BL96"/>
    <mergeCell ref="BM96:CE96"/>
    <mergeCell ref="B97:P97"/>
    <mergeCell ref="Q97:BL97"/>
    <mergeCell ref="BM97:CE97"/>
    <mergeCell ref="B98:P98"/>
    <mergeCell ref="I72:J72"/>
    <mergeCell ref="I73:J73"/>
    <mergeCell ref="I74:J74"/>
    <mergeCell ref="I75:J75"/>
    <mergeCell ref="BO50:BS50"/>
    <mergeCell ref="Q98:BL98"/>
    <mergeCell ref="BO51:BS51"/>
    <mergeCell ref="B107:P107"/>
    <mergeCell ref="Q107:BL107"/>
    <mergeCell ref="BM107:CE107"/>
    <mergeCell ref="B104:P104"/>
    <mergeCell ref="Q104:BL104"/>
    <mergeCell ref="BM104:CE104"/>
    <mergeCell ref="B105:P105"/>
    <mergeCell ref="Q105:BL105"/>
    <mergeCell ref="BM105:CE105"/>
    <mergeCell ref="BM98:CE98"/>
    <mergeCell ref="B91:P91"/>
    <mergeCell ref="Q91:BL91"/>
    <mergeCell ref="BM91:CE91"/>
    <mergeCell ref="B92:P92"/>
    <mergeCell ref="Q92:BL92"/>
    <mergeCell ref="BM92:CE92"/>
    <mergeCell ref="B95:P95"/>
    <mergeCell ref="Q95:BL95"/>
    <mergeCell ref="BM95:CE95"/>
    <mergeCell ref="B94:P94"/>
    <mergeCell ref="Q94:BL94"/>
    <mergeCell ref="BM94:CE94"/>
    <mergeCell ref="B93:P93"/>
    <mergeCell ref="Q93:BL93"/>
    <mergeCell ref="BM93:CE93"/>
    <mergeCell ref="BO59:BS59"/>
    <mergeCell ref="I82:J82"/>
    <mergeCell ref="K65:AE65"/>
    <mergeCell ref="AO65:AX65"/>
    <mergeCell ref="AJ65:AN65"/>
    <mergeCell ref="I64:AX64"/>
    <mergeCell ref="I81:AX81"/>
    <mergeCell ref="I78:J78"/>
    <mergeCell ref="I79:J79"/>
    <mergeCell ref="I80:J80"/>
    <mergeCell ref="I61:J61"/>
    <mergeCell ref="I71:J71"/>
    <mergeCell ref="I59:J59"/>
    <mergeCell ref="I66:J66"/>
    <mergeCell ref="I67:J67"/>
    <mergeCell ref="I68:J68"/>
    <mergeCell ref="I69:J69"/>
    <mergeCell ref="I70:J70"/>
    <mergeCell ref="AT1:BF1"/>
    <mergeCell ref="A2:BO2"/>
    <mergeCell ref="BP2:BU2"/>
    <mergeCell ref="CA2:CC2"/>
    <mergeCell ref="CD2:CG2"/>
    <mergeCell ref="L3:BO3"/>
    <mergeCell ref="BP3:BU3"/>
    <mergeCell ref="BV3:CG3"/>
    <mergeCell ref="A4:K4"/>
    <mergeCell ref="A3:K3"/>
    <mergeCell ref="L4:BO4"/>
    <mergeCell ref="BP4:BU4"/>
    <mergeCell ref="BV4:CG4"/>
    <mergeCell ref="P44:U44"/>
    <mergeCell ref="V44:AA44"/>
    <mergeCell ref="AB44:AM44"/>
    <mergeCell ref="A7:K7"/>
    <mergeCell ref="L7:CF7"/>
    <mergeCell ref="BO45:BS45"/>
    <mergeCell ref="BO46:BS46"/>
    <mergeCell ref="BO47:BS47"/>
    <mergeCell ref="BO48:BS48"/>
    <mergeCell ref="I46:J46"/>
    <mergeCell ref="I16:BX16"/>
    <mergeCell ref="I41:BX41"/>
    <mergeCell ref="AG20:AS20"/>
    <mergeCell ref="I43:BX43"/>
    <mergeCell ref="I38:BX39"/>
    <mergeCell ref="AN44:AW44"/>
    <mergeCell ref="AX44:BN44"/>
    <mergeCell ref="K44:O44"/>
    <mergeCell ref="I47:J47"/>
    <mergeCell ref="BU10:CE11"/>
    <mergeCell ref="L10:BT11"/>
    <mergeCell ref="L35:BT36"/>
    <mergeCell ref="BU35:CE36"/>
    <mergeCell ref="I45:J45"/>
    <mergeCell ref="B99:P99"/>
    <mergeCell ref="Q99:BL99"/>
    <mergeCell ref="BM99:CE99"/>
    <mergeCell ref="B100:P100"/>
    <mergeCell ref="Q100:BL100"/>
    <mergeCell ref="BM100:CE100"/>
    <mergeCell ref="I48:J48"/>
    <mergeCell ref="I49:J49"/>
    <mergeCell ref="I50:J50"/>
    <mergeCell ref="I51:J51"/>
    <mergeCell ref="BO49:BS49"/>
    <mergeCell ref="B89:P89"/>
    <mergeCell ref="Q89:BL89"/>
    <mergeCell ref="BM89:CE89"/>
    <mergeCell ref="I60:BX60"/>
    <mergeCell ref="B88:P88"/>
    <mergeCell ref="Q88:BL88"/>
    <mergeCell ref="BM88:CE88"/>
    <mergeCell ref="I58:J58"/>
    <mergeCell ref="B90:P90"/>
    <mergeCell ref="Q90:BL90"/>
    <mergeCell ref="BM90:CE90"/>
    <mergeCell ref="I76:J76"/>
    <mergeCell ref="I77:J77"/>
  </mergeCells>
  <phoneticPr fontId="3"/>
  <pageMargins left="0.45" right="0.23" top="0.51" bottom="0.19685039370078741" header="0.7" footer="0.27559055118110237"/>
  <pageSetup paperSize="9" scale="60" fitToHeight="0" orientation="portrait" horizontalDpi="360" verticalDpi="360" r:id="rId1"/>
  <headerFooter>
    <oddHeader xml:space="preserve">&amp;R&amp;P    </oddHeader>
  </headerFooter>
  <rowBreaks count="1" manualBreakCount="1">
    <brk id="6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BK1048575"/>
  <sheetViews>
    <sheetView view="pageBreakPreview" zoomScaleNormal="100" zoomScaleSheetLayoutView="100" workbookViewId="0"/>
  </sheetViews>
  <sheetFormatPr defaultColWidth="1.90625" defaultRowHeight="14"/>
  <cols>
    <col min="1" max="62" width="2.08984375" style="18" customWidth="1"/>
    <col min="63"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38</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397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8</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528"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3" t="s">
        <v>39</v>
      </c>
      <c r="B9" s="353"/>
      <c r="C9" s="353"/>
      <c r="D9" s="507" t="s">
        <v>178</v>
      </c>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336" t="s">
        <v>179</v>
      </c>
      <c r="AU9" s="337"/>
      <c r="AV9" s="337"/>
      <c r="AW9" s="337"/>
      <c r="AX9" s="337"/>
      <c r="AY9" s="337"/>
      <c r="AZ9" s="337"/>
      <c r="BA9" s="337"/>
      <c r="BB9" s="337"/>
      <c r="BC9" s="337"/>
      <c r="BD9" s="337"/>
      <c r="BE9" s="337"/>
      <c r="BF9" s="337"/>
      <c r="BG9" s="337"/>
      <c r="BH9" s="337"/>
      <c r="BI9" s="337"/>
      <c r="BJ9" s="338"/>
      <c r="BK9" s="151"/>
    </row>
    <row r="10" spans="1:63" ht="25.5" customHeight="1">
      <c r="A10" s="508" t="s">
        <v>49</v>
      </c>
      <c r="B10" s="508"/>
      <c r="C10" s="508"/>
      <c r="D10" s="509" t="s">
        <v>251</v>
      </c>
      <c r="E10" s="509"/>
      <c r="F10" s="509"/>
      <c r="G10" s="509"/>
      <c r="H10" s="509"/>
      <c r="I10" s="509"/>
      <c r="J10" s="509"/>
      <c r="K10" s="509"/>
      <c r="L10" s="509"/>
      <c r="M10" s="509"/>
      <c r="N10" s="509"/>
      <c r="O10" s="509"/>
      <c r="P10" s="509"/>
      <c r="Q10" s="509"/>
      <c r="R10" s="509"/>
      <c r="S10" s="509"/>
      <c r="T10" s="509"/>
      <c r="U10" s="509"/>
      <c r="V10" s="509"/>
      <c r="W10" s="509"/>
      <c r="X10" s="509"/>
      <c r="Y10" s="509"/>
      <c r="Z10" s="509"/>
      <c r="AA10" s="509"/>
      <c r="AB10" s="509"/>
      <c r="AC10" s="509"/>
      <c r="AD10" s="509"/>
      <c r="AE10" s="509"/>
      <c r="AF10" s="509"/>
      <c r="AG10" s="509"/>
      <c r="AH10" s="509"/>
      <c r="AI10" s="509"/>
      <c r="AJ10" s="509"/>
      <c r="AK10" s="509"/>
      <c r="AL10" s="509"/>
      <c r="AM10" s="509"/>
      <c r="AN10" s="509"/>
      <c r="AO10" s="509"/>
      <c r="AP10" s="509"/>
      <c r="AQ10" s="509"/>
      <c r="AR10" s="509"/>
      <c r="AS10" s="509"/>
      <c r="AT10" s="510" t="s">
        <v>255</v>
      </c>
      <c r="AU10" s="511"/>
      <c r="AV10" s="511"/>
      <c r="AW10" s="511"/>
      <c r="AX10" s="511"/>
      <c r="AY10" s="511"/>
      <c r="AZ10" s="511"/>
      <c r="BA10" s="511"/>
      <c r="BB10" s="511"/>
      <c r="BC10" s="511"/>
      <c r="BD10" s="511"/>
      <c r="BE10" s="511"/>
      <c r="BF10" s="511"/>
      <c r="BG10" s="511"/>
      <c r="BH10" s="511"/>
      <c r="BI10" s="511"/>
      <c r="BJ10" s="512"/>
      <c r="BK10" s="3"/>
    </row>
    <row r="11" spans="1:63" ht="25.5" customHeight="1">
      <c r="A11" s="549" t="s">
        <v>50</v>
      </c>
      <c r="B11" s="549"/>
      <c r="C11" s="549"/>
      <c r="D11" s="550" t="s">
        <v>271</v>
      </c>
      <c r="E11" s="550"/>
      <c r="F11" s="550"/>
      <c r="G11" s="550"/>
      <c r="H11" s="550"/>
      <c r="I11" s="550"/>
      <c r="J11" s="550"/>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449" t="s">
        <v>180</v>
      </c>
      <c r="AU11" s="450"/>
      <c r="AV11" s="450"/>
      <c r="AW11" s="450"/>
      <c r="AX11" s="450"/>
      <c r="AY11" s="450"/>
      <c r="AZ11" s="450"/>
      <c r="BA11" s="450"/>
      <c r="BB11" s="450"/>
      <c r="BC11" s="450"/>
      <c r="BD11" s="450"/>
      <c r="BE11" s="450"/>
      <c r="BF11" s="450"/>
      <c r="BG11" s="450"/>
      <c r="BH11" s="450"/>
      <c r="BI11" s="450"/>
      <c r="BJ11" s="451"/>
      <c r="BK11" s="151"/>
    </row>
    <row r="12" spans="1:63" ht="25.5" customHeight="1">
      <c r="A12" s="549" t="s">
        <v>272</v>
      </c>
      <c r="B12" s="549"/>
      <c r="C12" s="549"/>
      <c r="D12" s="550" t="s">
        <v>273</v>
      </c>
      <c r="E12" s="550"/>
      <c r="F12" s="550"/>
      <c r="G12" s="550"/>
      <c r="H12" s="550"/>
      <c r="I12" s="550"/>
      <c r="J12" s="550"/>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449" t="s">
        <v>180</v>
      </c>
      <c r="AU12" s="450"/>
      <c r="AV12" s="450"/>
      <c r="AW12" s="450"/>
      <c r="AX12" s="450"/>
      <c r="AY12" s="450"/>
      <c r="AZ12" s="450"/>
      <c r="BA12" s="450"/>
      <c r="BB12" s="450"/>
      <c r="BC12" s="450"/>
      <c r="BD12" s="450"/>
      <c r="BE12" s="450"/>
      <c r="BF12" s="450"/>
      <c r="BG12" s="450"/>
      <c r="BH12" s="450"/>
      <c r="BI12" s="450"/>
      <c r="BJ12" s="451"/>
      <c r="BK12" s="151"/>
    </row>
    <row r="13" spans="1:63" ht="25.5" customHeight="1">
      <c r="A13" s="549" t="s">
        <v>274</v>
      </c>
      <c r="B13" s="549"/>
      <c r="C13" s="549"/>
      <c r="D13" s="550" t="s">
        <v>275</v>
      </c>
      <c r="E13" s="550"/>
      <c r="F13" s="550"/>
      <c r="G13" s="550"/>
      <c r="H13" s="550"/>
      <c r="I13" s="550"/>
      <c r="J13" s="550"/>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449" t="s">
        <v>180</v>
      </c>
      <c r="AU13" s="450"/>
      <c r="AV13" s="450"/>
      <c r="AW13" s="450"/>
      <c r="AX13" s="450"/>
      <c r="AY13" s="450"/>
      <c r="AZ13" s="450"/>
      <c r="BA13" s="450"/>
      <c r="BB13" s="450"/>
      <c r="BC13" s="450"/>
      <c r="BD13" s="450"/>
      <c r="BE13" s="450"/>
      <c r="BF13" s="450"/>
      <c r="BG13" s="450"/>
      <c r="BH13" s="450"/>
      <c r="BI13" s="450"/>
      <c r="BJ13" s="451"/>
      <c r="BK13" s="151"/>
    </row>
    <row r="14" spans="1:63" ht="25.5" customHeight="1">
      <c r="A14" s="551" t="s">
        <v>55</v>
      </c>
      <c r="B14" s="551"/>
      <c r="C14" s="551"/>
      <c r="D14" s="552" t="s">
        <v>176</v>
      </c>
      <c r="E14" s="552"/>
      <c r="F14" s="552"/>
      <c r="G14" s="552"/>
      <c r="H14" s="552"/>
      <c r="I14" s="552"/>
      <c r="J14" s="552"/>
      <c r="K14" s="552"/>
      <c r="L14" s="552"/>
      <c r="M14" s="552"/>
      <c r="N14" s="552"/>
      <c r="O14" s="552"/>
      <c r="P14" s="552"/>
      <c r="Q14" s="552"/>
      <c r="R14" s="552"/>
      <c r="S14" s="552"/>
      <c r="T14" s="552"/>
      <c r="U14" s="552"/>
      <c r="V14" s="552"/>
      <c r="W14" s="552"/>
      <c r="X14" s="552"/>
      <c r="Y14" s="552"/>
      <c r="Z14" s="552"/>
      <c r="AA14" s="552"/>
      <c r="AB14" s="552"/>
      <c r="AC14" s="552"/>
      <c r="AD14" s="552"/>
      <c r="AE14" s="552"/>
      <c r="AF14" s="552"/>
      <c r="AG14" s="552"/>
      <c r="AH14" s="552"/>
      <c r="AI14" s="552"/>
      <c r="AJ14" s="552"/>
      <c r="AK14" s="552"/>
      <c r="AL14" s="552"/>
      <c r="AM14" s="552"/>
      <c r="AN14" s="552"/>
      <c r="AO14" s="552"/>
      <c r="AP14" s="552"/>
      <c r="AQ14" s="552"/>
      <c r="AR14" s="552"/>
      <c r="AS14" s="552"/>
      <c r="AT14" s="461" t="s">
        <v>180</v>
      </c>
      <c r="AU14" s="462"/>
      <c r="AV14" s="462"/>
      <c r="AW14" s="462"/>
      <c r="AX14" s="462"/>
      <c r="AY14" s="462"/>
      <c r="AZ14" s="462"/>
      <c r="BA14" s="462"/>
      <c r="BB14" s="462"/>
      <c r="BC14" s="462"/>
      <c r="BD14" s="462"/>
      <c r="BE14" s="462"/>
      <c r="BF14" s="462"/>
      <c r="BG14" s="462"/>
      <c r="BH14" s="462"/>
      <c r="BI14" s="462"/>
      <c r="BJ14" s="463"/>
      <c r="BK14" s="151"/>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534" t="s">
        <v>39</v>
      </c>
      <c r="B16" s="535"/>
      <c r="C16" s="536"/>
      <c r="D16" s="534" t="s">
        <v>40</v>
      </c>
      <c r="E16" s="535"/>
      <c r="F16" s="535"/>
      <c r="G16" s="535"/>
      <c r="H16" s="535"/>
      <c r="I16" s="535"/>
      <c r="J16" s="535"/>
      <c r="K16" s="535"/>
      <c r="L16" s="535"/>
      <c r="M16" s="535"/>
      <c r="N16" s="535"/>
      <c r="O16" s="535"/>
      <c r="P16" s="535"/>
      <c r="Q16" s="535"/>
      <c r="R16" s="536"/>
      <c r="S16" s="534" t="s">
        <v>41</v>
      </c>
      <c r="T16" s="535"/>
      <c r="U16" s="536"/>
      <c r="V16" s="542" t="s">
        <v>42</v>
      </c>
      <c r="W16" s="543"/>
      <c r="X16" s="543"/>
      <c r="Y16" s="544"/>
      <c r="Z16" s="534" t="s">
        <v>43</v>
      </c>
      <c r="AA16" s="535"/>
      <c r="AB16" s="535"/>
      <c r="AC16" s="536"/>
      <c r="AD16" s="513" t="s">
        <v>44</v>
      </c>
      <c r="AE16" s="514"/>
      <c r="AF16" s="515"/>
      <c r="AG16" s="513" t="s">
        <v>45</v>
      </c>
      <c r="AH16" s="514"/>
      <c r="AI16" s="515"/>
      <c r="AJ16" s="513" t="s">
        <v>46</v>
      </c>
      <c r="AK16" s="514"/>
      <c r="AL16" s="515"/>
      <c r="AM16" s="534" t="s">
        <v>47</v>
      </c>
      <c r="AN16" s="535"/>
      <c r="AO16" s="535"/>
      <c r="AP16" s="535"/>
      <c r="AQ16" s="535"/>
      <c r="AR16" s="535"/>
      <c r="AS16" s="535"/>
      <c r="AT16" s="535"/>
      <c r="AU16" s="535"/>
      <c r="AV16" s="535"/>
      <c r="AW16" s="535"/>
      <c r="AX16" s="535"/>
      <c r="AY16" s="535"/>
      <c r="AZ16" s="535"/>
      <c r="BA16" s="535"/>
      <c r="BB16" s="535"/>
      <c r="BC16" s="535"/>
      <c r="BD16" s="535"/>
      <c r="BE16" s="535"/>
      <c r="BF16" s="535"/>
      <c r="BG16" s="535"/>
      <c r="BH16" s="535"/>
      <c r="BI16" s="535"/>
      <c r="BJ16" s="536"/>
    </row>
    <row r="17" spans="1:62" s="19" customFormat="1" ht="20.25" customHeight="1">
      <c r="A17" s="537"/>
      <c r="B17" s="538"/>
      <c r="C17" s="539"/>
      <c r="D17" s="537"/>
      <c r="E17" s="538"/>
      <c r="F17" s="538"/>
      <c r="G17" s="538"/>
      <c r="H17" s="538"/>
      <c r="I17" s="538"/>
      <c r="J17" s="538"/>
      <c r="K17" s="538"/>
      <c r="L17" s="538"/>
      <c r="M17" s="538"/>
      <c r="N17" s="538"/>
      <c r="O17" s="538"/>
      <c r="P17" s="538"/>
      <c r="Q17" s="538"/>
      <c r="R17" s="539"/>
      <c r="S17" s="537"/>
      <c r="T17" s="538"/>
      <c r="U17" s="539"/>
      <c r="V17" s="531" t="s">
        <v>29</v>
      </c>
      <c r="W17" s="532"/>
      <c r="X17" s="532" t="s">
        <v>48</v>
      </c>
      <c r="Y17" s="533"/>
      <c r="Z17" s="537"/>
      <c r="AA17" s="538"/>
      <c r="AB17" s="538"/>
      <c r="AC17" s="539"/>
      <c r="AD17" s="516"/>
      <c r="AE17" s="517"/>
      <c r="AF17" s="518"/>
      <c r="AG17" s="516"/>
      <c r="AH17" s="517"/>
      <c r="AI17" s="518"/>
      <c r="AJ17" s="516"/>
      <c r="AK17" s="517"/>
      <c r="AL17" s="518"/>
      <c r="AM17" s="537"/>
      <c r="AN17" s="538"/>
      <c r="AO17" s="538"/>
      <c r="AP17" s="538"/>
      <c r="AQ17" s="538"/>
      <c r="AR17" s="538"/>
      <c r="AS17" s="538"/>
      <c r="AT17" s="538"/>
      <c r="AU17" s="538"/>
      <c r="AV17" s="538"/>
      <c r="AW17" s="538"/>
      <c r="AX17" s="538"/>
      <c r="AY17" s="538"/>
      <c r="AZ17" s="538"/>
      <c r="BA17" s="538"/>
      <c r="BB17" s="538"/>
      <c r="BC17" s="538"/>
      <c r="BD17" s="538"/>
      <c r="BE17" s="538"/>
      <c r="BF17" s="538"/>
      <c r="BG17" s="538"/>
      <c r="BH17" s="538"/>
      <c r="BI17" s="538"/>
      <c r="BJ17" s="539"/>
    </row>
    <row r="18" spans="1:62" ht="30.75" customHeight="1">
      <c r="A18" s="546">
        <f>ROW()-17</f>
        <v>1</v>
      </c>
      <c r="B18" s="547"/>
      <c r="C18" s="548"/>
      <c r="D18" s="489" t="s">
        <v>181</v>
      </c>
      <c r="E18" s="490"/>
      <c r="F18" s="490"/>
      <c r="G18" s="490"/>
      <c r="H18" s="490"/>
      <c r="I18" s="490"/>
      <c r="J18" s="490"/>
      <c r="K18" s="490"/>
      <c r="L18" s="490"/>
      <c r="M18" s="490"/>
      <c r="N18" s="490"/>
      <c r="O18" s="490"/>
      <c r="P18" s="490"/>
      <c r="Q18" s="490"/>
      <c r="R18" s="491"/>
      <c r="S18" s="472"/>
      <c r="T18" s="473"/>
      <c r="U18" s="474"/>
      <c r="V18" s="472" t="s">
        <v>276</v>
      </c>
      <c r="W18" s="473"/>
      <c r="X18" s="540" t="s">
        <v>276</v>
      </c>
      <c r="Y18" s="541"/>
      <c r="Z18" s="472"/>
      <c r="AA18" s="473"/>
      <c r="AB18" s="473"/>
      <c r="AC18" s="474"/>
      <c r="AD18" s="472"/>
      <c r="AE18" s="473"/>
      <c r="AF18" s="474"/>
      <c r="AG18" s="472"/>
      <c r="AH18" s="473"/>
      <c r="AI18" s="474"/>
      <c r="AJ18" s="472"/>
      <c r="AK18" s="473"/>
      <c r="AL18" s="474"/>
      <c r="AM18" s="484"/>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6"/>
    </row>
    <row r="19" spans="1:62" ht="41.25" customHeight="1">
      <c r="A19" s="464">
        <f>ROW()-17</f>
        <v>2</v>
      </c>
      <c r="B19" s="465"/>
      <c r="C19" s="466"/>
      <c r="D19" s="484" t="s">
        <v>36</v>
      </c>
      <c r="E19" s="485"/>
      <c r="F19" s="485"/>
      <c r="G19" s="485"/>
      <c r="H19" s="485"/>
      <c r="I19" s="485"/>
      <c r="J19" s="485"/>
      <c r="K19" s="485"/>
      <c r="L19" s="485"/>
      <c r="M19" s="485"/>
      <c r="N19" s="485"/>
      <c r="O19" s="485"/>
      <c r="P19" s="485"/>
      <c r="Q19" s="485"/>
      <c r="R19" s="486"/>
      <c r="S19" s="453" t="s">
        <v>504</v>
      </c>
      <c r="T19" s="454"/>
      <c r="U19" s="455"/>
      <c r="V19" s="453" t="s">
        <v>50</v>
      </c>
      <c r="W19" s="454"/>
      <c r="X19" s="467" t="s">
        <v>50</v>
      </c>
      <c r="Y19" s="455"/>
      <c r="Z19" s="469" t="s">
        <v>547</v>
      </c>
      <c r="AA19" s="450"/>
      <c r="AB19" s="450"/>
      <c r="AC19" s="451"/>
      <c r="AD19" s="453"/>
      <c r="AE19" s="454"/>
      <c r="AF19" s="455"/>
      <c r="AG19" s="453"/>
      <c r="AH19" s="454"/>
      <c r="AI19" s="455"/>
      <c r="AJ19" s="453" t="s">
        <v>37</v>
      </c>
      <c r="AK19" s="454"/>
      <c r="AL19" s="455"/>
      <c r="AM19" s="519" t="s">
        <v>206</v>
      </c>
      <c r="AN19" s="520"/>
      <c r="AO19" s="520"/>
      <c r="AP19" s="520"/>
      <c r="AQ19" s="520"/>
      <c r="AR19" s="520"/>
      <c r="AS19" s="520"/>
      <c r="AT19" s="520"/>
      <c r="AU19" s="520"/>
      <c r="AV19" s="520"/>
      <c r="AW19" s="520"/>
      <c r="AX19" s="520"/>
      <c r="AY19" s="520"/>
      <c r="AZ19" s="520"/>
      <c r="BA19" s="520"/>
      <c r="BB19" s="520"/>
      <c r="BC19" s="520"/>
      <c r="BD19" s="520"/>
      <c r="BE19" s="520"/>
      <c r="BF19" s="520"/>
      <c r="BG19" s="520"/>
      <c r="BH19" s="520"/>
      <c r="BI19" s="520"/>
      <c r="BJ19" s="521"/>
    </row>
    <row r="20" spans="1:62" ht="30.75" customHeight="1">
      <c r="A20" s="464">
        <f t="shared" ref="A20:A48" si="0">ROW()-17</f>
        <v>3</v>
      </c>
      <c r="B20" s="465"/>
      <c r="C20" s="466"/>
      <c r="D20" s="446" t="s">
        <v>207</v>
      </c>
      <c r="E20" s="447"/>
      <c r="F20" s="447"/>
      <c r="G20" s="447"/>
      <c r="H20" s="447"/>
      <c r="I20" s="447"/>
      <c r="J20" s="447"/>
      <c r="K20" s="447"/>
      <c r="L20" s="447"/>
      <c r="M20" s="447"/>
      <c r="N20" s="447"/>
      <c r="O20" s="447"/>
      <c r="P20" s="447"/>
      <c r="Q20" s="447"/>
      <c r="R20" s="448"/>
      <c r="S20" s="449" t="s">
        <v>120</v>
      </c>
      <c r="T20" s="450"/>
      <c r="U20" s="451"/>
      <c r="V20" s="445" t="s">
        <v>175</v>
      </c>
      <c r="W20" s="450"/>
      <c r="X20" s="468" t="s">
        <v>61</v>
      </c>
      <c r="Y20" s="451"/>
      <c r="Z20" s="227" t="s">
        <v>277</v>
      </c>
      <c r="AA20" s="225"/>
      <c r="AB20" s="225"/>
      <c r="AC20" s="226"/>
      <c r="AD20" s="449"/>
      <c r="AE20" s="450"/>
      <c r="AF20" s="451"/>
      <c r="AG20" s="449"/>
      <c r="AH20" s="450"/>
      <c r="AI20" s="451"/>
      <c r="AJ20" s="453" t="s">
        <v>37</v>
      </c>
      <c r="AK20" s="454"/>
      <c r="AL20" s="455"/>
      <c r="AM20" s="452" t="s">
        <v>212</v>
      </c>
      <c r="AN20" s="447"/>
      <c r="AO20" s="447"/>
      <c r="AP20" s="447"/>
      <c r="AQ20" s="447"/>
      <c r="AR20" s="447"/>
      <c r="AS20" s="447"/>
      <c r="AT20" s="447"/>
      <c r="AU20" s="447"/>
      <c r="AV20" s="447"/>
      <c r="AW20" s="447"/>
      <c r="AX20" s="447"/>
      <c r="AY20" s="447"/>
      <c r="AZ20" s="447"/>
      <c r="BA20" s="447"/>
      <c r="BB20" s="447"/>
      <c r="BC20" s="447"/>
      <c r="BD20" s="447"/>
      <c r="BE20" s="447"/>
      <c r="BF20" s="447"/>
      <c r="BG20" s="447"/>
      <c r="BH20" s="447"/>
      <c r="BI20" s="447"/>
      <c r="BJ20" s="448"/>
    </row>
    <row r="21" spans="1:62" ht="30.75" customHeight="1">
      <c r="A21" s="464">
        <f t="shared" si="0"/>
        <v>4</v>
      </c>
      <c r="B21" s="465"/>
      <c r="C21" s="466"/>
      <c r="D21" s="446" t="s">
        <v>113</v>
      </c>
      <c r="E21" s="447"/>
      <c r="F21" s="447"/>
      <c r="G21" s="447"/>
      <c r="H21" s="447"/>
      <c r="I21" s="447"/>
      <c r="J21" s="447"/>
      <c r="K21" s="447"/>
      <c r="L21" s="447"/>
      <c r="M21" s="447"/>
      <c r="N21" s="447"/>
      <c r="O21" s="447"/>
      <c r="P21" s="447"/>
      <c r="Q21" s="447"/>
      <c r="R21" s="448"/>
      <c r="S21" s="453" t="s">
        <v>504</v>
      </c>
      <c r="T21" s="454"/>
      <c r="U21" s="455"/>
      <c r="V21" s="449" t="s">
        <v>53</v>
      </c>
      <c r="W21" s="450"/>
      <c r="X21" s="468" t="s">
        <v>53</v>
      </c>
      <c r="Y21" s="451"/>
      <c r="Z21" s="155" t="s">
        <v>549</v>
      </c>
      <c r="AA21" s="154"/>
      <c r="AB21" s="154"/>
      <c r="AC21" s="153"/>
      <c r="AD21" s="449"/>
      <c r="AE21" s="450"/>
      <c r="AF21" s="451"/>
      <c r="AG21" s="449"/>
      <c r="AH21" s="450"/>
      <c r="AI21" s="451"/>
      <c r="AJ21" s="449" t="s">
        <v>37</v>
      </c>
      <c r="AK21" s="450"/>
      <c r="AL21" s="451"/>
      <c r="AM21" s="501" t="s">
        <v>239</v>
      </c>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30"/>
    </row>
    <row r="22" spans="1:62" ht="30.75" customHeight="1">
      <c r="A22" s="464">
        <f t="shared" si="0"/>
        <v>5</v>
      </c>
      <c r="B22" s="465"/>
      <c r="C22" s="466"/>
      <c r="D22" s="446" t="s">
        <v>115</v>
      </c>
      <c r="E22" s="447"/>
      <c r="F22" s="447"/>
      <c r="G22" s="447"/>
      <c r="H22" s="447"/>
      <c r="I22" s="447"/>
      <c r="J22" s="447"/>
      <c r="K22" s="447"/>
      <c r="L22" s="447"/>
      <c r="M22" s="447"/>
      <c r="N22" s="447"/>
      <c r="O22" s="447"/>
      <c r="P22" s="447"/>
      <c r="Q22" s="447"/>
      <c r="R22" s="448"/>
      <c r="S22" s="449" t="s">
        <v>120</v>
      </c>
      <c r="T22" s="450"/>
      <c r="U22" s="451"/>
      <c r="V22" s="445" t="s">
        <v>175</v>
      </c>
      <c r="W22" s="450"/>
      <c r="X22" s="468" t="s">
        <v>62</v>
      </c>
      <c r="Y22" s="451"/>
      <c r="Z22" s="227" t="s">
        <v>277</v>
      </c>
      <c r="AA22" s="225"/>
      <c r="AB22" s="225"/>
      <c r="AC22" s="226"/>
      <c r="AD22" s="449"/>
      <c r="AE22" s="450"/>
      <c r="AF22" s="451"/>
      <c r="AG22" s="449"/>
      <c r="AH22" s="450"/>
      <c r="AI22" s="451"/>
      <c r="AJ22" s="487" t="s">
        <v>37</v>
      </c>
      <c r="AK22" s="488"/>
      <c r="AL22" s="457"/>
      <c r="AM22" s="452" t="s">
        <v>240</v>
      </c>
      <c r="AN22" s="447"/>
      <c r="AO22" s="447"/>
      <c r="AP22" s="447"/>
      <c r="AQ22" s="447"/>
      <c r="AR22" s="447"/>
      <c r="AS22" s="447"/>
      <c r="AT22" s="447"/>
      <c r="AU22" s="447"/>
      <c r="AV22" s="447"/>
      <c r="AW22" s="447"/>
      <c r="AX22" s="447"/>
      <c r="AY22" s="447"/>
      <c r="AZ22" s="447"/>
      <c r="BA22" s="447"/>
      <c r="BB22" s="447"/>
      <c r="BC22" s="447"/>
      <c r="BD22" s="447"/>
      <c r="BE22" s="447"/>
      <c r="BF22" s="447"/>
      <c r="BG22" s="447"/>
      <c r="BH22" s="447"/>
      <c r="BI22" s="447"/>
      <c r="BJ22" s="448"/>
    </row>
    <row r="23" spans="1:62" ht="38.25" customHeight="1">
      <c r="A23" s="464">
        <f t="shared" si="0"/>
        <v>6</v>
      </c>
      <c r="B23" s="465"/>
      <c r="C23" s="466"/>
      <c r="D23" s="446" t="s">
        <v>114</v>
      </c>
      <c r="E23" s="447"/>
      <c r="F23" s="447"/>
      <c r="G23" s="447"/>
      <c r="H23" s="447"/>
      <c r="I23" s="447"/>
      <c r="J23" s="447"/>
      <c r="K23" s="447"/>
      <c r="L23" s="447"/>
      <c r="M23" s="447"/>
      <c r="N23" s="447"/>
      <c r="O23" s="447"/>
      <c r="P23" s="447"/>
      <c r="Q23" s="447"/>
      <c r="R23" s="448"/>
      <c r="S23" s="453" t="s">
        <v>504</v>
      </c>
      <c r="T23" s="454"/>
      <c r="U23" s="455"/>
      <c r="V23" s="445" t="s">
        <v>175</v>
      </c>
      <c r="W23" s="450"/>
      <c r="X23" s="483" t="s">
        <v>175</v>
      </c>
      <c r="Y23" s="451"/>
      <c r="Z23" s="469" t="s">
        <v>183</v>
      </c>
      <c r="AA23" s="470"/>
      <c r="AB23" s="470"/>
      <c r="AC23" s="471"/>
      <c r="AD23" s="449"/>
      <c r="AE23" s="450"/>
      <c r="AF23" s="451"/>
      <c r="AG23" s="449" t="s">
        <v>37</v>
      </c>
      <c r="AH23" s="450"/>
      <c r="AI23" s="451"/>
      <c r="AJ23" s="487" t="s">
        <v>37</v>
      </c>
      <c r="AK23" s="488"/>
      <c r="AL23" s="457"/>
      <c r="AM23" s="452" t="s">
        <v>451</v>
      </c>
      <c r="AN23" s="447"/>
      <c r="AO23" s="447"/>
      <c r="AP23" s="447"/>
      <c r="AQ23" s="447"/>
      <c r="AR23" s="447"/>
      <c r="AS23" s="447"/>
      <c r="AT23" s="447"/>
      <c r="AU23" s="447"/>
      <c r="AV23" s="447"/>
      <c r="AW23" s="447"/>
      <c r="AX23" s="447"/>
      <c r="AY23" s="447"/>
      <c r="AZ23" s="447"/>
      <c r="BA23" s="447"/>
      <c r="BB23" s="447"/>
      <c r="BC23" s="447"/>
      <c r="BD23" s="447"/>
      <c r="BE23" s="447"/>
      <c r="BF23" s="447"/>
      <c r="BG23" s="447"/>
      <c r="BH23" s="447"/>
      <c r="BI23" s="447"/>
      <c r="BJ23" s="448"/>
    </row>
    <row r="24" spans="1:62" ht="41.15" customHeight="1">
      <c r="A24" s="464">
        <f t="shared" si="0"/>
        <v>7</v>
      </c>
      <c r="B24" s="465"/>
      <c r="C24" s="466"/>
      <c r="D24" s="495" t="s">
        <v>375</v>
      </c>
      <c r="E24" s="496"/>
      <c r="F24" s="496"/>
      <c r="G24" s="496"/>
      <c r="H24" s="496"/>
      <c r="I24" s="496"/>
      <c r="J24" s="496"/>
      <c r="K24" s="496"/>
      <c r="L24" s="496"/>
      <c r="M24" s="496"/>
      <c r="N24" s="496"/>
      <c r="O24" s="496"/>
      <c r="P24" s="496"/>
      <c r="Q24" s="496"/>
      <c r="R24" s="497"/>
      <c r="S24" s="453" t="s">
        <v>504</v>
      </c>
      <c r="T24" s="454"/>
      <c r="U24" s="455"/>
      <c r="V24" s="449" t="s">
        <v>54</v>
      </c>
      <c r="W24" s="450"/>
      <c r="X24" s="468" t="s">
        <v>54</v>
      </c>
      <c r="Y24" s="451"/>
      <c r="Z24" s="449" t="s">
        <v>549</v>
      </c>
      <c r="AA24" s="450"/>
      <c r="AB24" s="450"/>
      <c r="AC24" s="451"/>
      <c r="AD24" s="449"/>
      <c r="AE24" s="450"/>
      <c r="AF24" s="451"/>
      <c r="AG24" s="449"/>
      <c r="AH24" s="450"/>
      <c r="AI24" s="451"/>
      <c r="AJ24" s="487" t="s">
        <v>37</v>
      </c>
      <c r="AK24" s="488"/>
      <c r="AL24" s="457"/>
      <c r="AM24" s="452" t="s">
        <v>379</v>
      </c>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8"/>
    </row>
    <row r="25" spans="1:62" ht="30.75" customHeight="1">
      <c r="A25" s="464">
        <f t="shared" si="0"/>
        <v>8</v>
      </c>
      <c r="B25" s="465"/>
      <c r="C25" s="466"/>
      <c r="D25" s="495" t="s">
        <v>376</v>
      </c>
      <c r="E25" s="496"/>
      <c r="F25" s="496"/>
      <c r="G25" s="496"/>
      <c r="H25" s="496"/>
      <c r="I25" s="496"/>
      <c r="J25" s="496"/>
      <c r="K25" s="496"/>
      <c r="L25" s="496"/>
      <c r="M25" s="496"/>
      <c r="N25" s="496"/>
      <c r="O25" s="496"/>
      <c r="P25" s="496"/>
      <c r="Q25" s="496"/>
      <c r="R25" s="497"/>
      <c r="S25" s="449" t="s">
        <v>120</v>
      </c>
      <c r="T25" s="450"/>
      <c r="U25" s="451"/>
      <c r="V25" s="445" t="s">
        <v>175</v>
      </c>
      <c r="W25" s="450"/>
      <c r="X25" s="468" t="s">
        <v>52</v>
      </c>
      <c r="Y25" s="451"/>
      <c r="Z25" s="227" t="s">
        <v>277</v>
      </c>
      <c r="AA25" s="225"/>
      <c r="AB25" s="225"/>
      <c r="AC25" s="226"/>
      <c r="AD25" s="449"/>
      <c r="AE25" s="450"/>
      <c r="AF25" s="451"/>
      <c r="AG25" s="449"/>
      <c r="AH25" s="450"/>
      <c r="AI25" s="451"/>
      <c r="AJ25" s="487" t="s">
        <v>37</v>
      </c>
      <c r="AK25" s="488"/>
      <c r="AL25" s="457"/>
      <c r="AM25" s="446" t="s">
        <v>217</v>
      </c>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62" ht="30.75" customHeight="1">
      <c r="A26" s="464">
        <f t="shared" si="0"/>
        <v>9</v>
      </c>
      <c r="B26" s="465"/>
      <c r="C26" s="466"/>
      <c r="D26" s="446" t="s">
        <v>57</v>
      </c>
      <c r="E26" s="447"/>
      <c r="F26" s="447"/>
      <c r="G26" s="447"/>
      <c r="H26" s="447"/>
      <c r="I26" s="447"/>
      <c r="J26" s="447"/>
      <c r="K26" s="447"/>
      <c r="L26" s="447"/>
      <c r="M26" s="447"/>
      <c r="N26" s="447"/>
      <c r="O26" s="447"/>
      <c r="P26" s="447"/>
      <c r="Q26" s="447"/>
      <c r="R26" s="448"/>
      <c r="S26" s="453" t="s">
        <v>504</v>
      </c>
      <c r="T26" s="454"/>
      <c r="U26" s="455"/>
      <c r="V26" s="449" t="s">
        <v>53</v>
      </c>
      <c r="W26" s="450"/>
      <c r="X26" s="468" t="s">
        <v>53</v>
      </c>
      <c r="Y26" s="451"/>
      <c r="Z26" s="449" t="s">
        <v>59</v>
      </c>
      <c r="AA26" s="450"/>
      <c r="AB26" s="450"/>
      <c r="AC26" s="451"/>
      <c r="AD26" s="449"/>
      <c r="AE26" s="450"/>
      <c r="AF26" s="451"/>
      <c r="AG26" s="449"/>
      <c r="AH26" s="450"/>
      <c r="AI26" s="451"/>
      <c r="AJ26" s="487" t="s">
        <v>37</v>
      </c>
      <c r="AK26" s="488"/>
      <c r="AL26" s="457"/>
      <c r="AM26" s="452" t="s">
        <v>242</v>
      </c>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8"/>
    </row>
    <row r="27" spans="1:62" ht="30.75" customHeight="1">
      <c r="A27" s="464">
        <f t="shared" si="0"/>
        <v>10</v>
      </c>
      <c r="B27" s="465"/>
      <c r="C27" s="466"/>
      <c r="D27" s="446" t="s">
        <v>377</v>
      </c>
      <c r="E27" s="447"/>
      <c r="F27" s="447"/>
      <c r="G27" s="447"/>
      <c r="H27" s="447"/>
      <c r="I27" s="447"/>
      <c r="J27" s="447"/>
      <c r="K27" s="447"/>
      <c r="L27" s="447"/>
      <c r="M27" s="447"/>
      <c r="N27" s="447"/>
      <c r="O27" s="447"/>
      <c r="P27" s="447"/>
      <c r="Q27" s="447"/>
      <c r="R27" s="448"/>
      <c r="S27" s="453" t="s">
        <v>504</v>
      </c>
      <c r="T27" s="454"/>
      <c r="U27" s="455"/>
      <c r="V27" s="449" t="s">
        <v>50</v>
      </c>
      <c r="W27" s="450"/>
      <c r="X27" s="468" t="s">
        <v>50</v>
      </c>
      <c r="Y27" s="451"/>
      <c r="Z27" s="449" t="s">
        <v>59</v>
      </c>
      <c r="AA27" s="450"/>
      <c r="AB27" s="450"/>
      <c r="AC27" s="451"/>
      <c r="AD27" s="449"/>
      <c r="AE27" s="450"/>
      <c r="AF27" s="451"/>
      <c r="AG27" s="449"/>
      <c r="AH27" s="450"/>
      <c r="AI27" s="451"/>
      <c r="AJ27" s="487" t="s">
        <v>37</v>
      </c>
      <c r="AK27" s="488"/>
      <c r="AL27" s="457"/>
      <c r="AM27" s="452" t="s">
        <v>243</v>
      </c>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8"/>
    </row>
    <row r="28" spans="1:62" ht="33" customHeight="1">
      <c r="A28" s="464">
        <f t="shared" si="0"/>
        <v>11</v>
      </c>
      <c r="B28" s="465"/>
      <c r="C28" s="466"/>
      <c r="D28" s="479" t="s">
        <v>185</v>
      </c>
      <c r="E28" s="480"/>
      <c r="F28" s="480"/>
      <c r="G28" s="480"/>
      <c r="H28" s="480"/>
      <c r="I28" s="480"/>
      <c r="J28" s="480"/>
      <c r="K28" s="480"/>
      <c r="L28" s="480"/>
      <c r="M28" s="480"/>
      <c r="N28" s="480"/>
      <c r="O28" s="480"/>
      <c r="P28" s="480"/>
      <c r="Q28" s="480"/>
      <c r="R28" s="481"/>
      <c r="S28" s="453" t="s">
        <v>504</v>
      </c>
      <c r="T28" s="454"/>
      <c r="U28" s="455"/>
      <c r="V28" s="453" t="s">
        <v>52</v>
      </c>
      <c r="W28" s="482"/>
      <c r="X28" s="467" t="s">
        <v>52</v>
      </c>
      <c r="Y28" s="455"/>
      <c r="Z28" s="227" t="s">
        <v>277</v>
      </c>
      <c r="AA28" s="225"/>
      <c r="AB28" s="225"/>
      <c r="AC28" s="226"/>
      <c r="AD28" s="453"/>
      <c r="AE28" s="454"/>
      <c r="AF28" s="455"/>
      <c r="AG28" s="453" t="s">
        <v>479</v>
      </c>
      <c r="AH28" s="454"/>
      <c r="AI28" s="455"/>
      <c r="AJ28" s="453" t="s">
        <v>479</v>
      </c>
      <c r="AK28" s="454"/>
      <c r="AL28" s="455"/>
      <c r="AM28" s="492" t="s">
        <v>480</v>
      </c>
      <c r="AN28" s="493"/>
      <c r="AO28" s="493"/>
      <c r="AP28" s="493"/>
      <c r="AQ28" s="493"/>
      <c r="AR28" s="493"/>
      <c r="AS28" s="493"/>
      <c r="AT28" s="493"/>
      <c r="AU28" s="493"/>
      <c r="AV28" s="493"/>
      <c r="AW28" s="493"/>
      <c r="AX28" s="493"/>
      <c r="AY28" s="493"/>
      <c r="AZ28" s="493"/>
      <c r="BA28" s="493"/>
      <c r="BB28" s="493"/>
      <c r="BC28" s="493"/>
      <c r="BD28" s="493"/>
      <c r="BE28" s="493"/>
      <c r="BF28" s="493"/>
      <c r="BG28" s="493"/>
      <c r="BH28" s="493"/>
      <c r="BI28" s="493"/>
      <c r="BJ28" s="494"/>
    </row>
    <row r="29" spans="1:62" ht="30.75" customHeight="1">
      <c r="A29" s="464">
        <f t="shared" si="0"/>
        <v>12</v>
      </c>
      <c r="B29" s="465"/>
      <c r="C29" s="466"/>
      <c r="D29" s="446" t="s">
        <v>525</v>
      </c>
      <c r="E29" s="447"/>
      <c r="F29" s="447"/>
      <c r="G29" s="447"/>
      <c r="H29" s="447"/>
      <c r="I29" s="447"/>
      <c r="J29" s="447"/>
      <c r="K29" s="447"/>
      <c r="L29" s="447"/>
      <c r="M29" s="447"/>
      <c r="N29" s="447"/>
      <c r="O29" s="447"/>
      <c r="P29" s="447"/>
      <c r="Q29" s="447"/>
      <c r="R29" s="448"/>
      <c r="S29" s="453" t="s">
        <v>504</v>
      </c>
      <c r="T29" s="454"/>
      <c r="U29" s="455"/>
      <c r="V29" s="449" t="s">
        <v>60</v>
      </c>
      <c r="W29" s="450"/>
      <c r="X29" s="468" t="s">
        <v>61</v>
      </c>
      <c r="Y29" s="451"/>
      <c r="Z29" s="449" t="s">
        <v>59</v>
      </c>
      <c r="AA29" s="450"/>
      <c r="AB29" s="450"/>
      <c r="AC29" s="451"/>
      <c r="AD29" s="449"/>
      <c r="AE29" s="450"/>
      <c r="AF29" s="451"/>
      <c r="AG29" s="449"/>
      <c r="AH29" s="450"/>
      <c r="AI29" s="451"/>
      <c r="AJ29" s="487" t="s">
        <v>37</v>
      </c>
      <c r="AK29" s="488"/>
      <c r="AL29" s="457"/>
      <c r="AM29" s="452" t="s">
        <v>527</v>
      </c>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2" ht="30.75" customHeight="1">
      <c r="A30" s="464">
        <f t="shared" si="0"/>
        <v>13</v>
      </c>
      <c r="B30" s="465"/>
      <c r="C30" s="466"/>
      <c r="D30" s="446" t="s">
        <v>526</v>
      </c>
      <c r="E30" s="447"/>
      <c r="F30" s="447"/>
      <c r="G30" s="447"/>
      <c r="H30" s="447"/>
      <c r="I30" s="447"/>
      <c r="J30" s="447"/>
      <c r="K30" s="447"/>
      <c r="L30" s="447"/>
      <c r="M30" s="447"/>
      <c r="N30" s="447"/>
      <c r="O30" s="447"/>
      <c r="P30" s="447"/>
      <c r="Q30" s="447"/>
      <c r="R30" s="448"/>
      <c r="S30" s="453" t="s">
        <v>504</v>
      </c>
      <c r="T30" s="454"/>
      <c r="U30" s="455"/>
      <c r="V30" s="449" t="s">
        <v>60</v>
      </c>
      <c r="W30" s="450"/>
      <c r="X30" s="468" t="s">
        <v>61</v>
      </c>
      <c r="Y30" s="451"/>
      <c r="Z30" s="449" t="s">
        <v>59</v>
      </c>
      <c r="AA30" s="450"/>
      <c r="AB30" s="450"/>
      <c r="AC30" s="451"/>
      <c r="AD30" s="449"/>
      <c r="AE30" s="450"/>
      <c r="AF30" s="451"/>
      <c r="AG30" s="449"/>
      <c r="AH30" s="450"/>
      <c r="AI30" s="451"/>
      <c r="AJ30" s="487" t="s">
        <v>37</v>
      </c>
      <c r="AK30" s="488"/>
      <c r="AL30" s="457"/>
      <c r="AM30" s="452" t="s">
        <v>528</v>
      </c>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8"/>
    </row>
    <row r="31" spans="1:62" ht="30.75" customHeight="1">
      <c r="A31" s="464">
        <f t="shared" si="0"/>
        <v>14</v>
      </c>
      <c r="B31" s="465"/>
      <c r="C31" s="466"/>
      <c r="D31" s="446" t="s">
        <v>176</v>
      </c>
      <c r="E31" s="447"/>
      <c r="F31" s="447"/>
      <c r="G31" s="447"/>
      <c r="H31" s="447"/>
      <c r="I31" s="447"/>
      <c r="J31" s="447"/>
      <c r="K31" s="447"/>
      <c r="L31" s="447"/>
      <c r="M31" s="447"/>
      <c r="N31" s="447"/>
      <c r="O31" s="447"/>
      <c r="P31" s="447"/>
      <c r="Q31" s="447"/>
      <c r="R31" s="448"/>
      <c r="S31" s="453" t="s">
        <v>504</v>
      </c>
      <c r="T31" s="454"/>
      <c r="U31" s="455"/>
      <c r="V31" s="449" t="s">
        <v>284</v>
      </c>
      <c r="W31" s="450"/>
      <c r="X31" s="468" t="s">
        <v>284</v>
      </c>
      <c r="Y31" s="451"/>
      <c r="Z31" s="152" t="s">
        <v>549</v>
      </c>
      <c r="AA31" s="154"/>
      <c r="AB31" s="154"/>
      <c r="AC31" s="153"/>
      <c r="AD31" s="449"/>
      <c r="AE31" s="450"/>
      <c r="AF31" s="451"/>
      <c r="AG31" s="449"/>
      <c r="AH31" s="450"/>
      <c r="AI31" s="451"/>
      <c r="AJ31" s="449" t="s">
        <v>37</v>
      </c>
      <c r="AK31" s="450"/>
      <c r="AL31" s="451"/>
      <c r="AM31" s="452" t="s">
        <v>548</v>
      </c>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8"/>
    </row>
    <row r="32" spans="1:62" ht="40.5" customHeight="1">
      <c r="A32" s="464">
        <f t="shared" si="0"/>
        <v>15</v>
      </c>
      <c r="B32" s="465"/>
      <c r="C32" s="466"/>
      <c r="D32" s="446" t="s">
        <v>251</v>
      </c>
      <c r="E32" s="447"/>
      <c r="F32" s="447"/>
      <c r="G32" s="447"/>
      <c r="H32" s="447"/>
      <c r="I32" s="447"/>
      <c r="J32" s="447"/>
      <c r="K32" s="447"/>
      <c r="L32" s="447"/>
      <c r="M32" s="447"/>
      <c r="N32" s="447"/>
      <c r="O32" s="447"/>
      <c r="P32" s="447"/>
      <c r="Q32" s="447"/>
      <c r="R32" s="448"/>
      <c r="S32" s="453" t="s">
        <v>504</v>
      </c>
      <c r="T32" s="454"/>
      <c r="U32" s="455"/>
      <c r="V32" s="445" t="s">
        <v>49</v>
      </c>
      <c r="W32" s="450"/>
      <c r="X32" s="483" t="s">
        <v>175</v>
      </c>
      <c r="Y32" s="451"/>
      <c r="Z32" s="469" t="s">
        <v>183</v>
      </c>
      <c r="AA32" s="470"/>
      <c r="AB32" s="470"/>
      <c r="AC32" s="471"/>
      <c r="AD32" s="449"/>
      <c r="AE32" s="450"/>
      <c r="AF32" s="451"/>
      <c r="AG32" s="449" t="s">
        <v>37</v>
      </c>
      <c r="AH32" s="450"/>
      <c r="AI32" s="451"/>
      <c r="AJ32" s="487" t="s">
        <v>37</v>
      </c>
      <c r="AK32" s="488"/>
      <c r="AL32" s="457"/>
      <c r="AM32" s="446" t="s">
        <v>186</v>
      </c>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8"/>
    </row>
    <row r="33" spans="1:62" ht="30.75" customHeight="1">
      <c r="A33" s="464">
        <f t="shared" si="0"/>
        <v>16</v>
      </c>
      <c r="B33" s="465"/>
      <c r="C33" s="466"/>
      <c r="D33" s="489" t="s">
        <v>182</v>
      </c>
      <c r="E33" s="490"/>
      <c r="F33" s="490"/>
      <c r="G33" s="490"/>
      <c r="H33" s="490"/>
      <c r="I33" s="490"/>
      <c r="J33" s="490"/>
      <c r="K33" s="490"/>
      <c r="L33" s="490"/>
      <c r="M33" s="490"/>
      <c r="N33" s="490"/>
      <c r="O33" s="490"/>
      <c r="P33" s="490"/>
      <c r="Q33" s="490"/>
      <c r="R33" s="491"/>
      <c r="S33" s="472"/>
      <c r="T33" s="473"/>
      <c r="U33" s="474"/>
      <c r="V33" s="472" t="s">
        <v>276</v>
      </c>
      <c r="W33" s="473"/>
      <c r="X33" s="475" t="s">
        <v>276</v>
      </c>
      <c r="Y33" s="474"/>
      <c r="Z33" s="472"/>
      <c r="AA33" s="473"/>
      <c r="AB33" s="473"/>
      <c r="AC33" s="474"/>
      <c r="AD33" s="472"/>
      <c r="AE33" s="473"/>
      <c r="AF33" s="474"/>
      <c r="AG33" s="472"/>
      <c r="AH33" s="473"/>
      <c r="AI33" s="474"/>
      <c r="AJ33" s="472"/>
      <c r="AK33" s="473"/>
      <c r="AL33" s="474"/>
      <c r="AM33" s="484"/>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6"/>
    </row>
    <row r="34" spans="1:62" ht="30.75" customHeight="1">
      <c r="A34" s="464">
        <f t="shared" si="0"/>
        <v>17</v>
      </c>
      <c r="B34" s="465"/>
      <c r="C34" s="466"/>
      <c r="D34" s="495" t="s">
        <v>63</v>
      </c>
      <c r="E34" s="496"/>
      <c r="F34" s="496"/>
      <c r="G34" s="496"/>
      <c r="H34" s="496"/>
      <c r="I34" s="496"/>
      <c r="J34" s="496"/>
      <c r="K34" s="496"/>
      <c r="L34" s="496"/>
      <c r="M34" s="496"/>
      <c r="N34" s="496"/>
      <c r="O34" s="496"/>
      <c r="P34" s="496"/>
      <c r="Q34" s="496"/>
      <c r="R34" s="497"/>
      <c r="S34" s="152" t="s">
        <v>58</v>
      </c>
      <c r="T34" s="154"/>
      <c r="U34" s="153"/>
      <c r="V34" s="445" t="s">
        <v>175</v>
      </c>
      <c r="W34" s="450"/>
      <c r="X34" s="483" t="s">
        <v>175</v>
      </c>
      <c r="Y34" s="451"/>
      <c r="Z34" s="469" t="s">
        <v>183</v>
      </c>
      <c r="AA34" s="470"/>
      <c r="AB34" s="470"/>
      <c r="AC34" s="471"/>
      <c r="AD34" s="449"/>
      <c r="AE34" s="450"/>
      <c r="AF34" s="451"/>
      <c r="AG34" s="449"/>
      <c r="AH34" s="450"/>
      <c r="AI34" s="451"/>
      <c r="AJ34" s="449"/>
      <c r="AK34" s="450"/>
      <c r="AL34" s="451"/>
      <c r="AM34" s="446" t="s">
        <v>246</v>
      </c>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8"/>
    </row>
    <row r="35" spans="1:62" ht="30.75" customHeight="1">
      <c r="A35" s="464">
        <f t="shared" si="0"/>
        <v>18</v>
      </c>
      <c r="B35" s="465"/>
      <c r="C35" s="466"/>
      <c r="D35" s="446" t="s">
        <v>252</v>
      </c>
      <c r="E35" s="447"/>
      <c r="F35" s="447"/>
      <c r="G35" s="447"/>
      <c r="H35" s="447"/>
      <c r="I35" s="447"/>
      <c r="J35" s="447"/>
      <c r="K35" s="447"/>
      <c r="L35" s="447"/>
      <c r="M35" s="447"/>
      <c r="N35" s="447"/>
      <c r="O35" s="447"/>
      <c r="P35" s="447"/>
      <c r="Q35" s="447"/>
      <c r="R35" s="448"/>
      <c r="S35" s="449" t="s">
        <v>120</v>
      </c>
      <c r="T35" s="450"/>
      <c r="U35" s="451"/>
      <c r="V35" s="445" t="s">
        <v>175</v>
      </c>
      <c r="W35" s="450"/>
      <c r="X35" s="468" t="s">
        <v>55</v>
      </c>
      <c r="Y35" s="451"/>
      <c r="Z35" s="227" t="s">
        <v>277</v>
      </c>
      <c r="AA35" s="225"/>
      <c r="AB35" s="225"/>
      <c r="AC35" s="226"/>
      <c r="AD35" s="449"/>
      <c r="AE35" s="450"/>
      <c r="AF35" s="451"/>
      <c r="AG35" s="449"/>
      <c r="AH35" s="450"/>
      <c r="AI35" s="451"/>
      <c r="AJ35" s="449"/>
      <c r="AK35" s="450"/>
      <c r="AL35" s="451"/>
      <c r="AM35" s="452" t="s">
        <v>253</v>
      </c>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8"/>
    </row>
    <row r="36" spans="1:62" ht="30.75" customHeight="1">
      <c r="A36" s="464">
        <f t="shared" si="0"/>
        <v>19</v>
      </c>
      <c r="B36" s="465"/>
      <c r="C36" s="466"/>
      <c r="D36" s="476" t="s">
        <v>278</v>
      </c>
      <c r="E36" s="477"/>
      <c r="F36" s="477"/>
      <c r="G36" s="477"/>
      <c r="H36" s="477"/>
      <c r="I36" s="477"/>
      <c r="J36" s="477"/>
      <c r="K36" s="477"/>
      <c r="L36" s="477"/>
      <c r="M36" s="477"/>
      <c r="N36" s="477"/>
      <c r="O36" s="477"/>
      <c r="P36" s="477"/>
      <c r="Q36" s="477"/>
      <c r="R36" s="478"/>
      <c r="S36" s="224" t="s">
        <v>51</v>
      </c>
      <c r="T36" s="225"/>
      <c r="U36" s="226"/>
      <c r="V36" s="453" t="s">
        <v>276</v>
      </c>
      <c r="W36" s="454"/>
      <c r="X36" s="467" t="s">
        <v>61</v>
      </c>
      <c r="Y36" s="455"/>
      <c r="Z36" s="224" t="s">
        <v>59</v>
      </c>
      <c r="AA36" s="225"/>
      <c r="AB36" s="225"/>
      <c r="AC36" s="226"/>
      <c r="AD36" s="453"/>
      <c r="AE36" s="454"/>
      <c r="AF36" s="455"/>
      <c r="AG36" s="453"/>
      <c r="AH36" s="454"/>
      <c r="AI36" s="455"/>
      <c r="AJ36" s="453"/>
      <c r="AK36" s="454"/>
      <c r="AL36" s="455"/>
      <c r="AM36" s="498" t="s">
        <v>281</v>
      </c>
      <c r="AN36" s="499"/>
      <c r="AO36" s="499"/>
      <c r="AP36" s="499"/>
      <c r="AQ36" s="499"/>
      <c r="AR36" s="499"/>
      <c r="AS36" s="499"/>
      <c r="AT36" s="499"/>
      <c r="AU36" s="499"/>
      <c r="AV36" s="499"/>
      <c r="AW36" s="499"/>
      <c r="AX36" s="499"/>
      <c r="AY36" s="499"/>
      <c r="AZ36" s="499"/>
      <c r="BA36" s="499"/>
      <c r="BB36" s="499"/>
      <c r="BC36" s="499"/>
      <c r="BD36" s="499"/>
      <c r="BE36" s="499"/>
      <c r="BF36" s="499"/>
      <c r="BG36" s="499"/>
      <c r="BH36" s="499"/>
      <c r="BI36" s="499"/>
      <c r="BJ36" s="500"/>
    </row>
    <row r="37" spans="1:62" ht="30.75" customHeight="1">
      <c r="A37" s="464">
        <f t="shared" si="0"/>
        <v>20</v>
      </c>
      <c r="B37" s="465"/>
      <c r="C37" s="466"/>
      <c r="D37" s="476" t="s">
        <v>279</v>
      </c>
      <c r="E37" s="477"/>
      <c r="F37" s="477"/>
      <c r="G37" s="477"/>
      <c r="H37" s="477"/>
      <c r="I37" s="477"/>
      <c r="J37" s="477"/>
      <c r="K37" s="477"/>
      <c r="L37" s="477"/>
      <c r="M37" s="477"/>
      <c r="N37" s="477"/>
      <c r="O37" s="477"/>
      <c r="P37" s="477"/>
      <c r="Q37" s="477"/>
      <c r="R37" s="478"/>
      <c r="S37" s="224" t="s">
        <v>51</v>
      </c>
      <c r="T37" s="225"/>
      <c r="U37" s="226"/>
      <c r="V37" s="453" t="s">
        <v>276</v>
      </c>
      <c r="W37" s="454"/>
      <c r="X37" s="467" t="s">
        <v>61</v>
      </c>
      <c r="Y37" s="455"/>
      <c r="Z37" s="224" t="s">
        <v>59</v>
      </c>
      <c r="AA37" s="225"/>
      <c r="AB37" s="225"/>
      <c r="AC37" s="226"/>
      <c r="AD37" s="453"/>
      <c r="AE37" s="454"/>
      <c r="AF37" s="455"/>
      <c r="AG37" s="453"/>
      <c r="AH37" s="454"/>
      <c r="AI37" s="455"/>
      <c r="AJ37" s="453"/>
      <c r="AK37" s="454"/>
      <c r="AL37" s="455"/>
      <c r="AM37" s="498" t="s">
        <v>282</v>
      </c>
      <c r="AN37" s="499"/>
      <c r="AO37" s="499"/>
      <c r="AP37" s="499"/>
      <c r="AQ37" s="499"/>
      <c r="AR37" s="499"/>
      <c r="AS37" s="499"/>
      <c r="AT37" s="499"/>
      <c r="AU37" s="499"/>
      <c r="AV37" s="499"/>
      <c r="AW37" s="499"/>
      <c r="AX37" s="499"/>
      <c r="AY37" s="499"/>
      <c r="AZ37" s="499"/>
      <c r="BA37" s="499"/>
      <c r="BB37" s="499"/>
      <c r="BC37" s="499"/>
      <c r="BD37" s="499"/>
      <c r="BE37" s="499"/>
      <c r="BF37" s="499"/>
      <c r="BG37" s="499"/>
      <c r="BH37" s="499"/>
      <c r="BI37" s="499"/>
      <c r="BJ37" s="500"/>
    </row>
    <row r="38" spans="1:62" ht="30.75" customHeight="1">
      <c r="A38" s="464">
        <f t="shared" si="0"/>
        <v>21</v>
      </c>
      <c r="B38" s="465"/>
      <c r="C38" s="466"/>
      <c r="D38" s="476" t="s">
        <v>280</v>
      </c>
      <c r="E38" s="477"/>
      <c r="F38" s="477"/>
      <c r="G38" s="477"/>
      <c r="H38" s="477"/>
      <c r="I38" s="477"/>
      <c r="J38" s="477"/>
      <c r="K38" s="477"/>
      <c r="L38" s="477"/>
      <c r="M38" s="477"/>
      <c r="N38" s="477"/>
      <c r="O38" s="477"/>
      <c r="P38" s="477"/>
      <c r="Q38" s="477"/>
      <c r="R38" s="478"/>
      <c r="S38" s="224" t="s">
        <v>51</v>
      </c>
      <c r="T38" s="225"/>
      <c r="U38" s="226"/>
      <c r="V38" s="453" t="s">
        <v>276</v>
      </c>
      <c r="W38" s="454"/>
      <c r="X38" s="467" t="s">
        <v>52</v>
      </c>
      <c r="Y38" s="455"/>
      <c r="Z38" s="227" t="s">
        <v>277</v>
      </c>
      <c r="AA38" s="225"/>
      <c r="AB38" s="225"/>
      <c r="AC38" s="226"/>
      <c r="AD38" s="453"/>
      <c r="AE38" s="454"/>
      <c r="AF38" s="455"/>
      <c r="AG38" s="453"/>
      <c r="AH38" s="454"/>
      <c r="AI38" s="455"/>
      <c r="AJ38" s="453"/>
      <c r="AK38" s="454"/>
      <c r="AL38" s="455"/>
      <c r="AM38" s="498" t="s">
        <v>283</v>
      </c>
      <c r="AN38" s="499"/>
      <c r="AO38" s="499"/>
      <c r="AP38" s="499"/>
      <c r="AQ38" s="499"/>
      <c r="AR38" s="499"/>
      <c r="AS38" s="499"/>
      <c r="AT38" s="499"/>
      <c r="AU38" s="499"/>
      <c r="AV38" s="499"/>
      <c r="AW38" s="499"/>
      <c r="AX38" s="499"/>
      <c r="AY38" s="499"/>
      <c r="AZ38" s="499"/>
      <c r="BA38" s="499"/>
      <c r="BB38" s="499"/>
      <c r="BC38" s="499"/>
      <c r="BD38" s="499"/>
      <c r="BE38" s="499"/>
      <c r="BF38" s="499"/>
      <c r="BG38" s="499"/>
      <c r="BH38" s="499"/>
      <c r="BI38" s="499"/>
      <c r="BJ38" s="500"/>
    </row>
    <row r="39" spans="1:62" ht="30.75" customHeight="1">
      <c r="A39" s="464">
        <f t="shared" si="0"/>
        <v>22</v>
      </c>
      <c r="B39" s="465"/>
      <c r="C39" s="466"/>
      <c r="D39" s="495" t="s">
        <v>248</v>
      </c>
      <c r="E39" s="496"/>
      <c r="F39" s="496"/>
      <c r="G39" s="496"/>
      <c r="H39" s="496"/>
      <c r="I39" s="496"/>
      <c r="J39" s="496"/>
      <c r="K39" s="496"/>
      <c r="L39" s="496"/>
      <c r="M39" s="496"/>
      <c r="N39" s="496"/>
      <c r="O39" s="496"/>
      <c r="P39" s="496"/>
      <c r="Q39" s="496"/>
      <c r="R39" s="497"/>
      <c r="S39" s="449" t="s">
        <v>51</v>
      </c>
      <c r="T39" s="450"/>
      <c r="U39" s="451"/>
      <c r="V39" s="445" t="s">
        <v>175</v>
      </c>
      <c r="W39" s="450"/>
      <c r="X39" s="468" t="s">
        <v>50</v>
      </c>
      <c r="Y39" s="451"/>
      <c r="Z39" s="155" t="s">
        <v>549</v>
      </c>
      <c r="AA39" s="154"/>
      <c r="AB39" s="154"/>
      <c r="AC39" s="153"/>
      <c r="AD39" s="449"/>
      <c r="AE39" s="450"/>
      <c r="AF39" s="451"/>
      <c r="AG39" s="449"/>
      <c r="AH39" s="450"/>
      <c r="AI39" s="451"/>
      <c r="AJ39" s="487"/>
      <c r="AK39" s="488"/>
      <c r="AL39" s="457"/>
      <c r="AM39" s="501" t="s">
        <v>211</v>
      </c>
      <c r="AN39" s="502"/>
      <c r="AO39" s="502"/>
      <c r="AP39" s="502"/>
      <c r="AQ39" s="502"/>
      <c r="AR39" s="502"/>
      <c r="AS39" s="502"/>
      <c r="AT39" s="502"/>
      <c r="AU39" s="502"/>
      <c r="AV39" s="502"/>
      <c r="AW39" s="502"/>
      <c r="AX39" s="502"/>
      <c r="AY39" s="502"/>
      <c r="AZ39" s="502"/>
      <c r="BA39" s="502"/>
      <c r="BB39" s="502"/>
      <c r="BC39" s="502"/>
      <c r="BD39" s="502"/>
      <c r="BE39" s="502"/>
      <c r="BF39" s="502"/>
      <c r="BG39" s="502"/>
      <c r="BH39" s="502"/>
      <c r="BI39" s="502"/>
      <c r="BJ39" s="503"/>
    </row>
    <row r="40" spans="1:62" ht="30.75" customHeight="1">
      <c r="A40" s="464">
        <f t="shared" si="0"/>
        <v>23</v>
      </c>
      <c r="B40" s="465"/>
      <c r="C40" s="466"/>
      <c r="D40" s="446" t="s">
        <v>249</v>
      </c>
      <c r="E40" s="447"/>
      <c r="F40" s="447"/>
      <c r="G40" s="447"/>
      <c r="H40" s="447"/>
      <c r="I40" s="447"/>
      <c r="J40" s="447"/>
      <c r="K40" s="447"/>
      <c r="L40" s="447"/>
      <c r="M40" s="447"/>
      <c r="N40" s="447"/>
      <c r="O40" s="447"/>
      <c r="P40" s="447"/>
      <c r="Q40" s="447"/>
      <c r="R40" s="448"/>
      <c r="S40" s="449" t="s">
        <v>120</v>
      </c>
      <c r="T40" s="450"/>
      <c r="U40" s="451"/>
      <c r="V40" s="445" t="s">
        <v>175</v>
      </c>
      <c r="W40" s="450"/>
      <c r="X40" s="468" t="s">
        <v>62</v>
      </c>
      <c r="Y40" s="451"/>
      <c r="Z40" s="227" t="s">
        <v>277</v>
      </c>
      <c r="AA40" s="225"/>
      <c r="AB40" s="225"/>
      <c r="AC40" s="226"/>
      <c r="AD40" s="449"/>
      <c r="AE40" s="450"/>
      <c r="AF40" s="451"/>
      <c r="AG40" s="449"/>
      <c r="AH40" s="450"/>
      <c r="AI40" s="451"/>
      <c r="AJ40" s="449"/>
      <c r="AK40" s="450"/>
      <c r="AL40" s="451"/>
      <c r="AM40" s="452" t="s">
        <v>212</v>
      </c>
      <c r="AN40" s="447"/>
      <c r="AO40" s="447"/>
      <c r="AP40" s="447"/>
      <c r="AQ40" s="447"/>
      <c r="AR40" s="447"/>
      <c r="AS40" s="447"/>
      <c r="AT40" s="447"/>
      <c r="AU40" s="447"/>
      <c r="AV40" s="447"/>
      <c r="AW40" s="447"/>
      <c r="AX40" s="447"/>
      <c r="AY40" s="447"/>
      <c r="AZ40" s="447"/>
      <c r="BA40" s="447"/>
      <c r="BB40" s="447"/>
      <c r="BC40" s="447"/>
      <c r="BD40" s="447"/>
      <c r="BE40" s="447"/>
      <c r="BF40" s="447"/>
      <c r="BG40" s="447"/>
      <c r="BH40" s="447"/>
      <c r="BI40" s="447"/>
      <c r="BJ40" s="448"/>
    </row>
    <row r="41" spans="1:62" ht="30.75" customHeight="1">
      <c r="A41" s="464">
        <f t="shared" si="0"/>
        <v>24</v>
      </c>
      <c r="B41" s="465"/>
      <c r="C41" s="466"/>
      <c r="D41" s="495" t="s">
        <v>116</v>
      </c>
      <c r="E41" s="496"/>
      <c r="F41" s="496"/>
      <c r="G41" s="496"/>
      <c r="H41" s="496"/>
      <c r="I41" s="496"/>
      <c r="J41" s="496"/>
      <c r="K41" s="496"/>
      <c r="L41" s="496"/>
      <c r="M41" s="496"/>
      <c r="N41" s="496"/>
      <c r="O41" s="496"/>
      <c r="P41" s="496"/>
      <c r="Q41" s="496"/>
      <c r="R41" s="497"/>
      <c r="S41" s="449" t="s">
        <v>51</v>
      </c>
      <c r="T41" s="450"/>
      <c r="U41" s="451"/>
      <c r="V41" s="445" t="s">
        <v>175</v>
      </c>
      <c r="W41" s="450"/>
      <c r="X41" s="468" t="s">
        <v>53</v>
      </c>
      <c r="Y41" s="451"/>
      <c r="Z41" s="155" t="s">
        <v>549</v>
      </c>
      <c r="AA41" s="154"/>
      <c r="AB41" s="154"/>
      <c r="AC41" s="153"/>
      <c r="AD41" s="449"/>
      <c r="AE41" s="450"/>
      <c r="AF41" s="451"/>
      <c r="AG41" s="449"/>
      <c r="AH41" s="450"/>
      <c r="AI41" s="451"/>
      <c r="AJ41" s="487"/>
      <c r="AK41" s="488"/>
      <c r="AL41" s="457"/>
      <c r="AM41" s="501" t="s">
        <v>213</v>
      </c>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3"/>
    </row>
    <row r="42" spans="1:62" ht="30.75" customHeight="1">
      <c r="A42" s="464">
        <f t="shared" si="0"/>
        <v>25</v>
      </c>
      <c r="B42" s="465"/>
      <c r="C42" s="466"/>
      <c r="D42" s="446" t="s">
        <v>187</v>
      </c>
      <c r="E42" s="447"/>
      <c r="F42" s="447"/>
      <c r="G42" s="447"/>
      <c r="H42" s="447"/>
      <c r="I42" s="447"/>
      <c r="J42" s="447"/>
      <c r="K42" s="447"/>
      <c r="L42" s="447"/>
      <c r="M42" s="447"/>
      <c r="N42" s="447"/>
      <c r="O42" s="447"/>
      <c r="P42" s="447"/>
      <c r="Q42" s="447"/>
      <c r="R42" s="448"/>
      <c r="S42" s="449" t="s">
        <v>120</v>
      </c>
      <c r="T42" s="450"/>
      <c r="U42" s="451"/>
      <c r="V42" s="445" t="s">
        <v>175</v>
      </c>
      <c r="W42" s="450"/>
      <c r="X42" s="468" t="s">
        <v>62</v>
      </c>
      <c r="Y42" s="451"/>
      <c r="Z42" s="227" t="s">
        <v>277</v>
      </c>
      <c r="AA42" s="225"/>
      <c r="AB42" s="225"/>
      <c r="AC42" s="226"/>
      <c r="AD42" s="449"/>
      <c r="AE42" s="450"/>
      <c r="AF42" s="451"/>
      <c r="AG42" s="449"/>
      <c r="AH42" s="450"/>
      <c r="AI42" s="451"/>
      <c r="AJ42" s="449"/>
      <c r="AK42" s="450"/>
      <c r="AL42" s="451"/>
      <c r="AM42" s="452" t="s">
        <v>214</v>
      </c>
      <c r="AN42" s="447"/>
      <c r="AO42" s="447"/>
      <c r="AP42" s="447"/>
      <c r="AQ42" s="447"/>
      <c r="AR42" s="447"/>
      <c r="AS42" s="447"/>
      <c r="AT42" s="447"/>
      <c r="AU42" s="447"/>
      <c r="AV42" s="447"/>
      <c r="AW42" s="447"/>
      <c r="AX42" s="447"/>
      <c r="AY42" s="447"/>
      <c r="AZ42" s="447"/>
      <c r="BA42" s="447"/>
      <c r="BB42" s="447"/>
      <c r="BC42" s="447"/>
      <c r="BD42" s="447"/>
      <c r="BE42" s="447"/>
      <c r="BF42" s="447"/>
      <c r="BG42" s="447"/>
      <c r="BH42" s="447"/>
      <c r="BI42" s="447"/>
      <c r="BJ42" s="448"/>
    </row>
    <row r="43" spans="1:62" ht="30.75" customHeight="1">
      <c r="A43" s="464">
        <f t="shared" si="0"/>
        <v>26</v>
      </c>
      <c r="B43" s="465"/>
      <c r="C43" s="466"/>
      <c r="D43" s="495" t="s">
        <v>117</v>
      </c>
      <c r="E43" s="496"/>
      <c r="F43" s="496"/>
      <c r="G43" s="496"/>
      <c r="H43" s="496"/>
      <c r="I43" s="496"/>
      <c r="J43" s="496"/>
      <c r="K43" s="496"/>
      <c r="L43" s="496"/>
      <c r="M43" s="496"/>
      <c r="N43" s="496"/>
      <c r="O43" s="496"/>
      <c r="P43" s="496"/>
      <c r="Q43" s="496"/>
      <c r="R43" s="497"/>
      <c r="S43" s="449" t="s">
        <v>51</v>
      </c>
      <c r="T43" s="450"/>
      <c r="U43" s="451"/>
      <c r="V43" s="445" t="s">
        <v>175</v>
      </c>
      <c r="W43" s="450"/>
      <c r="X43" s="468" t="s">
        <v>53</v>
      </c>
      <c r="Y43" s="451"/>
      <c r="Z43" s="227" t="s">
        <v>277</v>
      </c>
      <c r="AA43" s="225"/>
      <c r="AB43" s="225"/>
      <c r="AC43" s="226"/>
      <c r="AD43" s="449"/>
      <c r="AE43" s="450"/>
      <c r="AF43" s="451"/>
      <c r="AG43" s="449"/>
      <c r="AH43" s="450"/>
      <c r="AI43" s="451"/>
      <c r="AJ43" s="487"/>
      <c r="AK43" s="488"/>
      <c r="AL43" s="457"/>
      <c r="AM43" s="452" t="s">
        <v>215</v>
      </c>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5"/>
    </row>
    <row r="44" spans="1:62" ht="30.75" customHeight="1">
      <c r="A44" s="464">
        <f t="shared" si="0"/>
        <v>27</v>
      </c>
      <c r="B44" s="465"/>
      <c r="C44" s="466"/>
      <c r="D44" s="446" t="s">
        <v>118</v>
      </c>
      <c r="E44" s="447"/>
      <c r="F44" s="447"/>
      <c r="G44" s="447"/>
      <c r="H44" s="447"/>
      <c r="I44" s="447"/>
      <c r="J44" s="447"/>
      <c r="K44" s="447"/>
      <c r="L44" s="447"/>
      <c r="M44" s="447"/>
      <c r="N44" s="447"/>
      <c r="O44" s="447"/>
      <c r="P44" s="447"/>
      <c r="Q44" s="447"/>
      <c r="R44" s="448"/>
      <c r="S44" s="449" t="s">
        <v>120</v>
      </c>
      <c r="T44" s="450"/>
      <c r="U44" s="451"/>
      <c r="V44" s="445" t="s">
        <v>175</v>
      </c>
      <c r="W44" s="450"/>
      <c r="X44" s="456" t="s">
        <v>54</v>
      </c>
      <c r="Y44" s="457"/>
      <c r="Z44" s="449" t="s">
        <v>549</v>
      </c>
      <c r="AA44" s="450"/>
      <c r="AB44" s="450"/>
      <c r="AC44" s="451"/>
      <c r="AD44" s="449"/>
      <c r="AE44" s="450"/>
      <c r="AF44" s="451"/>
      <c r="AG44" s="449"/>
      <c r="AH44" s="450"/>
      <c r="AI44" s="451"/>
      <c r="AJ44" s="449"/>
      <c r="AK44" s="450"/>
      <c r="AL44" s="451"/>
      <c r="AM44" s="452" t="s">
        <v>216</v>
      </c>
      <c r="AN44" s="447"/>
      <c r="AO44" s="447"/>
      <c r="AP44" s="447"/>
      <c r="AQ44" s="447"/>
      <c r="AR44" s="447"/>
      <c r="AS44" s="447"/>
      <c r="AT44" s="447"/>
      <c r="AU44" s="447"/>
      <c r="AV44" s="447"/>
      <c r="AW44" s="447"/>
      <c r="AX44" s="447"/>
      <c r="AY44" s="447"/>
      <c r="AZ44" s="447"/>
      <c r="BA44" s="447"/>
      <c r="BB44" s="447"/>
      <c r="BC44" s="447"/>
      <c r="BD44" s="447"/>
      <c r="BE44" s="447"/>
      <c r="BF44" s="447"/>
      <c r="BG44" s="447"/>
      <c r="BH44" s="447"/>
      <c r="BI44" s="447"/>
      <c r="BJ44" s="448"/>
    </row>
    <row r="45" spans="1:62" ht="30.75" customHeight="1">
      <c r="A45" s="464">
        <f t="shared" si="0"/>
        <v>28</v>
      </c>
      <c r="B45" s="465"/>
      <c r="C45" s="466"/>
      <c r="D45" s="446" t="s">
        <v>188</v>
      </c>
      <c r="E45" s="447"/>
      <c r="F45" s="447"/>
      <c r="G45" s="447"/>
      <c r="H45" s="447"/>
      <c r="I45" s="447"/>
      <c r="J45" s="447"/>
      <c r="K45" s="447"/>
      <c r="L45" s="447"/>
      <c r="M45" s="447"/>
      <c r="N45" s="447"/>
      <c r="O45" s="447"/>
      <c r="P45" s="447"/>
      <c r="Q45" s="447"/>
      <c r="R45" s="448"/>
      <c r="S45" s="449" t="s">
        <v>120</v>
      </c>
      <c r="T45" s="450"/>
      <c r="U45" s="451"/>
      <c r="V45" s="445" t="s">
        <v>175</v>
      </c>
      <c r="W45" s="450"/>
      <c r="X45" s="468" t="s">
        <v>56</v>
      </c>
      <c r="Y45" s="451"/>
      <c r="Z45" s="227" t="s">
        <v>277</v>
      </c>
      <c r="AA45" s="225"/>
      <c r="AB45" s="225"/>
      <c r="AC45" s="226"/>
      <c r="AD45" s="449"/>
      <c r="AE45" s="450"/>
      <c r="AF45" s="451"/>
      <c r="AG45" s="449"/>
      <c r="AH45" s="450"/>
      <c r="AI45" s="451"/>
      <c r="AJ45" s="449"/>
      <c r="AK45" s="450"/>
      <c r="AL45" s="451"/>
      <c r="AM45" s="452" t="s">
        <v>217</v>
      </c>
      <c r="AN45" s="447"/>
      <c r="AO45" s="447"/>
      <c r="AP45" s="447"/>
      <c r="AQ45" s="447"/>
      <c r="AR45" s="447"/>
      <c r="AS45" s="447"/>
      <c r="AT45" s="447"/>
      <c r="AU45" s="447"/>
      <c r="AV45" s="447"/>
      <c r="AW45" s="447"/>
      <c r="AX45" s="447"/>
      <c r="AY45" s="447"/>
      <c r="AZ45" s="447"/>
      <c r="BA45" s="447"/>
      <c r="BB45" s="447"/>
      <c r="BC45" s="447"/>
      <c r="BD45" s="447"/>
      <c r="BE45" s="447"/>
      <c r="BF45" s="447"/>
      <c r="BG45" s="447"/>
      <c r="BH45" s="447"/>
      <c r="BI45" s="447"/>
      <c r="BJ45" s="448"/>
    </row>
    <row r="46" spans="1:62" ht="30.75" customHeight="1">
      <c r="A46" s="464">
        <f t="shared" si="0"/>
        <v>29</v>
      </c>
      <c r="B46" s="465"/>
      <c r="C46" s="466"/>
      <c r="D46" s="495" t="s">
        <v>64</v>
      </c>
      <c r="E46" s="496"/>
      <c r="F46" s="496"/>
      <c r="G46" s="496"/>
      <c r="H46" s="496"/>
      <c r="I46" s="496"/>
      <c r="J46" s="496"/>
      <c r="K46" s="496"/>
      <c r="L46" s="496"/>
      <c r="M46" s="496"/>
      <c r="N46" s="496"/>
      <c r="O46" s="496"/>
      <c r="P46" s="496"/>
      <c r="Q46" s="496"/>
      <c r="R46" s="497"/>
      <c r="S46" s="449" t="s">
        <v>51</v>
      </c>
      <c r="T46" s="450"/>
      <c r="U46" s="451"/>
      <c r="V46" s="445" t="s">
        <v>175</v>
      </c>
      <c r="W46" s="450"/>
      <c r="X46" s="468" t="s">
        <v>53</v>
      </c>
      <c r="Y46" s="451"/>
      <c r="Z46" s="449" t="s">
        <v>59</v>
      </c>
      <c r="AA46" s="450"/>
      <c r="AB46" s="450"/>
      <c r="AC46" s="451"/>
      <c r="AD46" s="449"/>
      <c r="AE46" s="450"/>
      <c r="AF46" s="451"/>
      <c r="AG46" s="449"/>
      <c r="AH46" s="450"/>
      <c r="AI46" s="451"/>
      <c r="AJ46" s="487"/>
      <c r="AK46" s="488"/>
      <c r="AL46" s="457"/>
      <c r="AM46" s="452" t="s">
        <v>218</v>
      </c>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5"/>
    </row>
    <row r="47" spans="1:62" ht="30.75" customHeight="1">
      <c r="A47" s="464">
        <f t="shared" si="0"/>
        <v>30</v>
      </c>
      <c r="B47" s="465"/>
      <c r="C47" s="466"/>
      <c r="D47" s="495" t="s">
        <v>119</v>
      </c>
      <c r="E47" s="496"/>
      <c r="F47" s="496"/>
      <c r="G47" s="496"/>
      <c r="H47" s="496"/>
      <c r="I47" s="496"/>
      <c r="J47" s="496"/>
      <c r="K47" s="496"/>
      <c r="L47" s="496"/>
      <c r="M47" s="496"/>
      <c r="N47" s="496"/>
      <c r="O47" s="496"/>
      <c r="P47" s="496"/>
      <c r="Q47" s="496"/>
      <c r="R47" s="497"/>
      <c r="S47" s="449" t="s">
        <v>51</v>
      </c>
      <c r="T47" s="450"/>
      <c r="U47" s="451"/>
      <c r="V47" s="445" t="s">
        <v>175</v>
      </c>
      <c r="W47" s="450"/>
      <c r="X47" s="468" t="s">
        <v>50</v>
      </c>
      <c r="Y47" s="451"/>
      <c r="Z47" s="449" t="s">
        <v>59</v>
      </c>
      <c r="AA47" s="450"/>
      <c r="AB47" s="450"/>
      <c r="AC47" s="451"/>
      <c r="AD47" s="449"/>
      <c r="AE47" s="450"/>
      <c r="AF47" s="451"/>
      <c r="AG47" s="449"/>
      <c r="AH47" s="450"/>
      <c r="AI47" s="451"/>
      <c r="AJ47" s="487"/>
      <c r="AK47" s="488"/>
      <c r="AL47" s="457"/>
      <c r="AM47" s="452" t="s">
        <v>219</v>
      </c>
      <c r="AN47" s="504"/>
      <c r="AO47" s="504"/>
      <c r="AP47" s="504"/>
      <c r="AQ47" s="504"/>
      <c r="AR47" s="504"/>
      <c r="AS47" s="504"/>
      <c r="AT47" s="504"/>
      <c r="AU47" s="504"/>
      <c r="AV47" s="504"/>
      <c r="AW47" s="504"/>
      <c r="AX47" s="504"/>
      <c r="AY47" s="504"/>
      <c r="AZ47" s="504"/>
      <c r="BA47" s="504"/>
      <c r="BB47" s="504"/>
      <c r="BC47" s="504"/>
      <c r="BD47" s="504"/>
      <c r="BE47" s="504"/>
      <c r="BF47" s="504"/>
      <c r="BG47" s="504"/>
      <c r="BH47" s="504"/>
      <c r="BI47" s="504"/>
      <c r="BJ47" s="505"/>
    </row>
    <row r="48" spans="1:62" ht="30.75" customHeight="1">
      <c r="A48" s="464">
        <f t="shared" si="0"/>
        <v>31</v>
      </c>
      <c r="B48" s="465"/>
      <c r="C48" s="466"/>
      <c r="D48" s="495" t="s">
        <v>285</v>
      </c>
      <c r="E48" s="496"/>
      <c r="F48" s="496"/>
      <c r="G48" s="496"/>
      <c r="H48" s="496"/>
      <c r="I48" s="496"/>
      <c r="J48" s="496"/>
      <c r="K48" s="496"/>
      <c r="L48" s="496"/>
      <c r="M48" s="496"/>
      <c r="N48" s="496"/>
      <c r="O48" s="496"/>
      <c r="P48" s="496"/>
      <c r="Q48" s="496"/>
      <c r="R48" s="497"/>
      <c r="S48" s="152" t="s">
        <v>51</v>
      </c>
      <c r="T48" s="154"/>
      <c r="U48" s="153"/>
      <c r="V48" s="445" t="s">
        <v>175</v>
      </c>
      <c r="W48" s="450"/>
      <c r="X48" s="468" t="s">
        <v>284</v>
      </c>
      <c r="Y48" s="451"/>
      <c r="Z48" s="449" t="s">
        <v>549</v>
      </c>
      <c r="AA48" s="450"/>
      <c r="AB48" s="450"/>
      <c r="AC48" s="451"/>
      <c r="AD48" s="449"/>
      <c r="AE48" s="450"/>
      <c r="AF48" s="451"/>
      <c r="AG48" s="449"/>
      <c r="AH48" s="450"/>
      <c r="AI48" s="451"/>
      <c r="AJ48" s="449"/>
      <c r="AK48" s="450"/>
      <c r="AL48" s="451"/>
      <c r="AM48" s="446"/>
      <c r="AN48" s="447"/>
      <c r="AO48" s="447"/>
      <c r="AP48" s="447"/>
      <c r="AQ48" s="447"/>
      <c r="AR48" s="447"/>
      <c r="AS48" s="447"/>
      <c r="AT48" s="447"/>
      <c r="AU48" s="447"/>
      <c r="AV48" s="447"/>
      <c r="AW48" s="447"/>
      <c r="AX48" s="447"/>
      <c r="AY48" s="447"/>
      <c r="AZ48" s="447"/>
      <c r="BA48" s="447"/>
      <c r="BB48" s="447"/>
      <c r="BC48" s="447"/>
      <c r="BD48" s="447"/>
      <c r="BE48" s="447"/>
      <c r="BF48" s="447"/>
      <c r="BG48" s="447"/>
      <c r="BH48" s="447"/>
      <c r="BI48" s="447"/>
      <c r="BJ48" s="448"/>
    </row>
    <row r="49" spans="1:62" ht="30.75" customHeight="1">
      <c r="A49" s="522"/>
      <c r="B49" s="523"/>
      <c r="C49" s="524"/>
      <c r="D49" s="525"/>
      <c r="E49" s="526"/>
      <c r="F49" s="526"/>
      <c r="G49" s="526"/>
      <c r="H49" s="526"/>
      <c r="I49" s="526"/>
      <c r="J49" s="526"/>
      <c r="K49" s="526"/>
      <c r="L49" s="526"/>
      <c r="M49" s="526"/>
      <c r="N49" s="526"/>
      <c r="O49" s="526"/>
      <c r="P49" s="526"/>
      <c r="Q49" s="526"/>
      <c r="R49" s="527"/>
      <c r="S49" s="461"/>
      <c r="T49" s="462"/>
      <c r="U49" s="463"/>
      <c r="V49" s="461"/>
      <c r="W49" s="462"/>
      <c r="X49" s="506"/>
      <c r="Y49" s="463"/>
      <c r="Z49" s="461"/>
      <c r="AA49" s="462"/>
      <c r="AB49" s="462"/>
      <c r="AC49" s="463"/>
      <c r="AD49" s="461"/>
      <c r="AE49" s="462"/>
      <c r="AF49" s="463"/>
      <c r="AG49" s="461"/>
      <c r="AH49" s="462"/>
      <c r="AI49" s="463"/>
      <c r="AJ49" s="461"/>
      <c r="AK49" s="462"/>
      <c r="AL49" s="463"/>
      <c r="AM49" s="458"/>
      <c r="AN49" s="459"/>
      <c r="AO49" s="459"/>
      <c r="AP49" s="459"/>
      <c r="AQ49" s="459"/>
      <c r="AR49" s="459"/>
      <c r="AS49" s="459"/>
      <c r="AT49" s="459"/>
      <c r="AU49" s="459"/>
      <c r="AV49" s="459"/>
      <c r="AW49" s="459"/>
      <c r="AX49" s="459"/>
      <c r="AY49" s="459"/>
      <c r="AZ49" s="459"/>
      <c r="BA49" s="459"/>
      <c r="BB49" s="459"/>
      <c r="BC49" s="459"/>
      <c r="BD49" s="459"/>
      <c r="BE49" s="459"/>
      <c r="BF49" s="459"/>
      <c r="BG49" s="459"/>
      <c r="BH49" s="459"/>
      <c r="BI49" s="459"/>
      <c r="BJ49" s="460"/>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1048575" spans="22:23">
      <c r="V1048575" s="445"/>
      <c r="W1048575" s="445"/>
    </row>
  </sheetData>
  <mergeCells count="344">
    <mergeCell ref="A14:C14"/>
    <mergeCell ref="D14:AS14"/>
    <mergeCell ref="AT14:BJ14"/>
    <mergeCell ref="A25:C25"/>
    <mergeCell ref="A24:C24"/>
    <mergeCell ref="A22:C22"/>
    <mergeCell ref="A23:C23"/>
    <mergeCell ref="A26:C26"/>
    <mergeCell ref="AG24:AI24"/>
    <mergeCell ref="AM24:BJ24"/>
    <mergeCell ref="AM25:BJ25"/>
    <mergeCell ref="V24:W24"/>
    <mergeCell ref="AJ24:AL24"/>
    <mergeCell ref="D22:R22"/>
    <mergeCell ref="D23:R23"/>
    <mergeCell ref="V25:W25"/>
    <mergeCell ref="X25:Y25"/>
    <mergeCell ref="AD25:AF25"/>
    <mergeCell ref="AG25:AI25"/>
    <mergeCell ref="AJ25:AL25"/>
    <mergeCell ref="AM22:BJ22"/>
    <mergeCell ref="AM23:BJ23"/>
    <mergeCell ref="S22:U22"/>
    <mergeCell ref="D24:R24"/>
    <mergeCell ref="A11:C11"/>
    <mergeCell ref="D11:AS11"/>
    <mergeCell ref="AT11:BJ11"/>
    <mergeCell ref="A12:C12"/>
    <mergeCell ref="D12:AS12"/>
    <mergeCell ref="AT12:BJ12"/>
    <mergeCell ref="A13:C13"/>
    <mergeCell ref="D13:AS13"/>
    <mergeCell ref="AT13:BJ13"/>
    <mergeCell ref="Z23:AC23"/>
    <mergeCell ref="Z24:AC24"/>
    <mergeCell ref="A16:C17"/>
    <mergeCell ref="D16:R17"/>
    <mergeCell ref="S16:U17"/>
    <mergeCell ref="A20:C20"/>
    <mergeCell ref="D20:R20"/>
    <mergeCell ref="S20:U20"/>
    <mergeCell ref="A18:C18"/>
    <mergeCell ref="D18:R18"/>
    <mergeCell ref="S18:U18"/>
    <mergeCell ref="X23:Y23"/>
    <mergeCell ref="S21:U21"/>
    <mergeCell ref="A19:C19"/>
    <mergeCell ref="D19:R19"/>
    <mergeCell ref="S19:U19"/>
    <mergeCell ref="V19:W19"/>
    <mergeCell ref="X19:Y19"/>
    <mergeCell ref="Z19:AC19"/>
    <mergeCell ref="S23:U23"/>
    <mergeCell ref="AG22:AI22"/>
    <mergeCell ref="AD23:AF23"/>
    <mergeCell ref="AV2:AY2"/>
    <mergeCell ref="V21:W21"/>
    <mergeCell ref="X21:Y21"/>
    <mergeCell ref="V17:W17"/>
    <mergeCell ref="X17:Y17"/>
    <mergeCell ref="Z16:AC17"/>
    <mergeCell ref="V20:W20"/>
    <mergeCell ref="V18:W18"/>
    <mergeCell ref="X18:Y18"/>
    <mergeCell ref="Z18:AC18"/>
    <mergeCell ref="X20:Y20"/>
    <mergeCell ref="AG18:AI18"/>
    <mergeCell ref="AJ18:AL18"/>
    <mergeCell ref="AD20:AF20"/>
    <mergeCell ref="AG20:AI20"/>
    <mergeCell ref="AJ20:AL20"/>
    <mergeCell ref="AM20:BJ20"/>
    <mergeCell ref="V16:Y16"/>
    <mergeCell ref="AM16:BJ17"/>
    <mergeCell ref="AZ3:BJ3"/>
    <mergeCell ref="AZ2:BC2"/>
    <mergeCell ref="V23:W23"/>
    <mergeCell ref="AD24:AF24"/>
    <mergeCell ref="BD2:BF2"/>
    <mergeCell ref="BG2:BJ2"/>
    <mergeCell ref="H4:AU4"/>
    <mergeCell ref="AG26:AI26"/>
    <mergeCell ref="AG23:AI23"/>
    <mergeCell ref="A2:AU2"/>
    <mergeCell ref="AM26:BJ26"/>
    <mergeCell ref="H6:BJ6"/>
    <mergeCell ref="V22:W22"/>
    <mergeCell ref="X22:Y22"/>
    <mergeCell ref="A3:G3"/>
    <mergeCell ref="H3:AU3"/>
    <mergeCell ref="AM21:BJ21"/>
    <mergeCell ref="AV3:AY3"/>
    <mergeCell ref="A21:C21"/>
    <mergeCell ref="AD21:AF21"/>
    <mergeCell ref="AG21:AI21"/>
    <mergeCell ref="A4:G4"/>
    <mergeCell ref="A6:G6"/>
    <mergeCell ref="AV4:AY4"/>
    <mergeCell ref="AZ4:BJ4"/>
    <mergeCell ref="AD22:AF22"/>
    <mergeCell ref="A9:C9"/>
    <mergeCell ref="A49:C49"/>
    <mergeCell ref="V47:W47"/>
    <mergeCell ref="X47:Y47"/>
    <mergeCell ref="A47:C47"/>
    <mergeCell ref="D49:R49"/>
    <mergeCell ref="S49:U49"/>
    <mergeCell ref="AD41:AF41"/>
    <mergeCell ref="A46:C46"/>
    <mergeCell ref="A41:C41"/>
    <mergeCell ref="V41:W41"/>
    <mergeCell ref="X41:Y41"/>
    <mergeCell ref="A43:C43"/>
    <mergeCell ref="V43:W43"/>
    <mergeCell ref="X43:Y43"/>
    <mergeCell ref="V46:W46"/>
    <mergeCell ref="X46:Y46"/>
    <mergeCell ref="D47:R47"/>
    <mergeCell ref="S47:U47"/>
    <mergeCell ref="AD42:AF42"/>
    <mergeCell ref="A45:C45"/>
    <mergeCell ref="A48:C48"/>
    <mergeCell ref="D48:R48"/>
    <mergeCell ref="V48:W48"/>
    <mergeCell ref="X48:Y48"/>
    <mergeCell ref="D9:AS9"/>
    <mergeCell ref="AT9:BJ9"/>
    <mergeCell ref="A10:C10"/>
    <mergeCell ref="D10:AS10"/>
    <mergeCell ref="AT10:BJ10"/>
    <mergeCell ref="D21:R21"/>
    <mergeCell ref="AM18:BJ18"/>
    <mergeCell ref="AM27:BJ27"/>
    <mergeCell ref="AD27:AF27"/>
    <mergeCell ref="AD16:AF17"/>
    <mergeCell ref="AG16:AI17"/>
    <mergeCell ref="AJ16:AL17"/>
    <mergeCell ref="AJ21:AL21"/>
    <mergeCell ref="AJ22:AL22"/>
    <mergeCell ref="AJ23:AL23"/>
    <mergeCell ref="AG27:AI27"/>
    <mergeCell ref="AD26:AF26"/>
    <mergeCell ref="AJ26:AL26"/>
    <mergeCell ref="AJ27:AL27"/>
    <mergeCell ref="AM19:BJ19"/>
    <mergeCell ref="AD18:AF18"/>
    <mergeCell ref="X24:Y24"/>
    <mergeCell ref="S24:U24"/>
    <mergeCell ref="D25:R25"/>
    <mergeCell ref="AD43:AF43"/>
    <mergeCell ref="AG43:AI43"/>
    <mergeCell ref="V49:W49"/>
    <mergeCell ref="X49:Y49"/>
    <mergeCell ref="Z46:AC46"/>
    <mergeCell ref="AD47:AF47"/>
    <mergeCell ref="AG47:AI47"/>
    <mergeCell ref="Z49:AC49"/>
    <mergeCell ref="Z47:AC47"/>
    <mergeCell ref="V45:W45"/>
    <mergeCell ref="X45:Y45"/>
    <mergeCell ref="AD45:AF45"/>
    <mergeCell ref="AG45:AI45"/>
    <mergeCell ref="AD49:AF49"/>
    <mergeCell ref="Z48:AC48"/>
    <mergeCell ref="AD48:AF48"/>
    <mergeCell ref="AG48:AI48"/>
    <mergeCell ref="AG44:AI44"/>
    <mergeCell ref="AM34:BJ34"/>
    <mergeCell ref="AM41:BJ41"/>
    <mergeCell ref="AM43:BJ43"/>
    <mergeCell ref="AM46:BJ46"/>
    <mergeCell ref="AM47:BJ47"/>
    <mergeCell ref="AJ47:AL47"/>
    <mergeCell ref="AJ46:AL46"/>
    <mergeCell ref="AJ43:AL43"/>
    <mergeCell ref="AJ34:AL34"/>
    <mergeCell ref="AJ41:AL41"/>
    <mergeCell ref="AJ42:AL42"/>
    <mergeCell ref="AM42:BJ42"/>
    <mergeCell ref="AM44:BJ44"/>
    <mergeCell ref="AJ45:AL45"/>
    <mergeCell ref="AM45:BJ45"/>
    <mergeCell ref="AM40:BJ40"/>
    <mergeCell ref="AJ38:AL38"/>
    <mergeCell ref="AM38:BJ38"/>
    <mergeCell ref="AJ44:AL44"/>
    <mergeCell ref="D43:R43"/>
    <mergeCell ref="D46:R46"/>
    <mergeCell ref="D41:R41"/>
    <mergeCell ref="X26:Y26"/>
    <mergeCell ref="V27:W27"/>
    <mergeCell ref="X27:Y27"/>
    <mergeCell ref="V29:W29"/>
    <mergeCell ref="X29:Y29"/>
    <mergeCell ref="D37:R37"/>
    <mergeCell ref="V37:W37"/>
    <mergeCell ref="X37:Y37"/>
    <mergeCell ref="D40:R40"/>
    <mergeCell ref="S40:U40"/>
    <mergeCell ref="V40:W40"/>
    <mergeCell ref="X40:Y40"/>
    <mergeCell ref="S35:U35"/>
    <mergeCell ref="V35:W35"/>
    <mergeCell ref="X35:Y35"/>
    <mergeCell ref="D39:R39"/>
    <mergeCell ref="D36:R36"/>
    <mergeCell ref="S30:U30"/>
    <mergeCell ref="V30:W30"/>
    <mergeCell ref="X42:Y42"/>
    <mergeCell ref="S32:U32"/>
    <mergeCell ref="AM28:BJ28"/>
    <mergeCell ref="D45:R45"/>
    <mergeCell ref="S45:U45"/>
    <mergeCell ref="D34:R34"/>
    <mergeCell ref="A44:C44"/>
    <mergeCell ref="A36:C36"/>
    <mergeCell ref="AD36:AF36"/>
    <mergeCell ref="AG36:AI36"/>
    <mergeCell ref="AJ36:AL36"/>
    <mergeCell ref="AM36:BJ36"/>
    <mergeCell ref="AG42:AI42"/>
    <mergeCell ref="A42:C42"/>
    <mergeCell ref="V42:W42"/>
    <mergeCell ref="AG41:AI41"/>
    <mergeCell ref="D44:R44"/>
    <mergeCell ref="AJ39:AL39"/>
    <mergeCell ref="AM39:BJ39"/>
    <mergeCell ref="A40:C40"/>
    <mergeCell ref="S39:U39"/>
    <mergeCell ref="AG32:AI32"/>
    <mergeCell ref="AJ32:AL32"/>
    <mergeCell ref="AD29:AF29"/>
    <mergeCell ref="AJ37:AL37"/>
    <mergeCell ref="AM37:BJ37"/>
    <mergeCell ref="AJ29:AL29"/>
    <mergeCell ref="Z29:AC29"/>
    <mergeCell ref="Z30:AC30"/>
    <mergeCell ref="A30:C30"/>
    <mergeCell ref="D30:R30"/>
    <mergeCell ref="S28:U28"/>
    <mergeCell ref="D29:R29"/>
    <mergeCell ref="S29:U29"/>
    <mergeCell ref="A33:C33"/>
    <mergeCell ref="D33:R33"/>
    <mergeCell ref="X28:Y28"/>
    <mergeCell ref="AD28:AF28"/>
    <mergeCell ref="AG28:AI28"/>
    <mergeCell ref="AJ28:AL28"/>
    <mergeCell ref="AJ30:AL30"/>
    <mergeCell ref="A29:C29"/>
    <mergeCell ref="AM33:BJ33"/>
    <mergeCell ref="AG33:AI33"/>
    <mergeCell ref="AJ33:AL33"/>
    <mergeCell ref="AD34:AF34"/>
    <mergeCell ref="AG34:AI34"/>
    <mergeCell ref="A34:C34"/>
    <mergeCell ref="X34:Y34"/>
    <mergeCell ref="V34:W34"/>
    <mergeCell ref="AM29:BJ29"/>
    <mergeCell ref="AM30:BJ30"/>
    <mergeCell ref="A31:C31"/>
    <mergeCell ref="D31:R31"/>
    <mergeCell ref="S31:U31"/>
    <mergeCell ref="V31:W31"/>
    <mergeCell ref="X31:Y31"/>
    <mergeCell ref="AD31:AF31"/>
    <mergeCell ref="AG31:AI31"/>
    <mergeCell ref="AJ31:AL31"/>
    <mergeCell ref="AM31:BJ31"/>
    <mergeCell ref="AG29:AI29"/>
    <mergeCell ref="AM32:BJ32"/>
    <mergeCell ref="AD33:AF33"/>
    <mergeCell ref="A32:C32"/>
    <mergeCell ref="D32:R32"/>
    <mergeCell ref="AD19:AF19"/>
    <mergeCell ref="AG19:AI19"/>
    <mergeCell ref="AJ19:AL19"/>
    <mergeCell ref="AD40:AF40"/>
    <mergeCell ref="AG40:AI40"/>
    <mergeCell ref="AJ40:AL40"/>
    <mergeCell ref="A39:C39"/>
    <mergeCell ref="V39:W39"/>
    <mergeCell ref="X39:Y39"/>
    <mergeCell ref="D27:R27"/>
    <mergeCell ref="Z26:AC26"/>
    <mergeCell ref="Z27:AC27"/>
    <mergeCell ref="V26:W26"/>
    <mergeCell ref="A28:C28"/>
    <mergeCell ref="D28:R28"/>
    <mergeCell ref="V28:W28"/>
    <mergeCell ref="V36:W36"/>
    <mergeCell ref="X36:Y36"/>
    <mergeCell ref="AD35:AF35"/>
    <mergeCell ref="AG35:AI35"/>
    <mergeCell ref="V32:W32"/>
    <mergeCell ref="X32:Y32"/>
    <mergeCell ref="Z32:AC32"/>
    <mergeCell ref="AD32:AF32"/>
    <mergeCell ref="S25:U25"/>
    <mergeCell ref="A38:C38"/>
    <mergeCell ref="V38:W38"/>
    <mergeCell ref="X38:Y38"/>
    <mergeCell ref="X30:Y30"/>
    <mergeCell ref="AD38:AF38"/>
    <mergeCell ref="AG38:AI38"/>
    <mergeCell ref="A37:C37"/>
    <mergeCell ref="S26:U26"/>
    <mergeCell ref="S27:U27"/>
    <mergeCell ref="A35:C35"/>
    <mergeCell ref="D35:R35"/>
    <mergeCell ref="AD30:AF30"/>
    <mergeCell ref="AG30:AI30"/>
    <mergeCell ref="A27:C27"/>
    <mergeCell ref="D26:R26"/>
    <mergeCell ref="Z34:AC34"/>
    <mergeCell ref="S33:U33"/>
    <mergeCell ref="V33:W33"/>
    <mergeCell ref="X33:Y33"/>
    <mergeCell ref="Z33:AC33"/>
    <mergeCell ref="D38:R38"/>
    <mergeCell ref="V1048575:W1048575"/>
    <mergeCell ref="D42:R42"/>
    <mergeCell ref="S41:U41"/>
    <mergeCell ref="S43:U43"/>
    <mergeCell ref="S46:U46"/>
    <mergeCell ref="S42:U42"/>
    <mergeCell ref="AJ35:AL35"/>
    <mergeCell ref="AM35:BJ35"/>
    <mergeCell ref="AD37:AF37"/>
    <mergeCell ref="AG37:AI37"/>
    <mergeCell ref="S44:U44"/>
    <mergeCell ref="V44:W44"/>
    <mergeCell ref="X44:Y44"/>
    <mergeCell ref="Z44:AC44"/>
    <mergeCell ref="AD44:AF44"/>
    <mergeCell ref="AD39:AF39"/>
    <mergeCell ref="AG39:AI39"/>
    <mergeCell ref="AM49:BJ49"/>
    <mergeCell ref="AJ49:AL49"/>
    <mergeCell ref="AJ48:AL48"/>
    <mergeCell ref="AM48:BJ48"/>
    <mergeCell ref="AG49:AI49"/>
    <mergeCell ref="AD46:AF46"/>
    <mergeCell ref="AG46:AI4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2"/>
  <sheetViews>
    <sheetView view="pageBreakPreview" zoomScaleNormal="100" zoomScaleSheetLayoutView="100" workbookViewId="0"/>
  </sheetViews>
  <sheetFormatPr defaultColWidth="1.90625" defaultRowHeight="14"/>
  <cols>
    <col min="1" max="89" width="2.08984375" style="18" customWidth="1"/>
    <col min="90"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65</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66</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15" t="str">
        <f>変更履歴!H6</f>
        <v>滞留立替金利経理計上</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36" t="s">
        <v>39</v>
      </c>
      <c r="B8" s="337"/>
      <c r="C8" s="338"/>
      <c r="D8" s="336" t="s">
        <v>40</v>
      </c>
      <c r="E8" s="337"/>
      <c r="F8" s="337"/>
      <c r="G8" s="337"/>
      <c r="H8" s="337"/>
      <c r="I8" s="337"/>
      <c r="J8" s="337"/>
      <c r="K8" s="337"/>
      <c r="L8" s="337"/>
      <c r="M8" s="337"/>
      <c r="N8" s="337"/>
      <c r="O8" s="337"/>
      <c r="P8" s="337"/>
      <c r="Q8" s="338"/>
      <c r="R8" s="561" t="s">
        <v>68</v>
      </c>
      <c r="S8" s="562"/>
      <c r="T8" s="563"/>
      <c r="U8" s="561" t="s">
        <v>69</v>
      </c>
      <c r="V8" s="562"/>
      <c r="W8" s="563"/>
      <c r="X8" s="561" t="s">
        <v>70</v>
      </c>
      <c r="Y8" s="562"/>
      <c r="Z8" s="563"/>
      <c r="AA8" s="561" t="s">
        <v>71</v>
      </c>
      <c r="AB8" s="562"/>
      <c r="AC8" s="563"/>
      <c r="AD8" s="561" t="s">
        <v>72</v>
      </c>
      <c r="AE8" s="562"/>
      <c r="AF8" s="563"/>
      <c r="AG8" s="336" t="s">
        <v>73</v>
      </c>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c r="BK8" s="18" t="s">
        <v>484</v>
      </c>
    </row>
    <row r="9" spans="1:63" s="19" customFormat="1" ht="30" customHeight="1">
      <c r="A9" s="570">
        <f>ROW()-8</f>
        <v>1</v>
      </c>
      <c r="B9" s="571"/>
      <c r="C9" s="572"/>
      <c r="D9" s="573" t="s">
        <v>36</v>
      </c>
      <c r="E9" s="574"/>
      <c r="F9" s="574"/>
      <c r="G9" s="574"/>
      <c r="H9" s="574"/>
      <c r="I9" s="574"/>
      <c r="J9" s="574"/>
      <c r="K9" s="574"/>
      <c r="L9" s="574"/>
      <c r="M9" s="574"/>
      <c r="N9" s="574"/>
      <c r="O9" s="574"/>
      <c r="P9" s="574"/>
      <c r="Q9" s="575"/>
      <c r="R9" s="534"/>
      <c r="S9" s="535"/>
      <c r="T9" s="536"/>
      <c r="U9" s="534"/>
      <c r="V9" s="535"/>
      <c r="W9" s="536"/>
      <c r="X9" s="534"/>
      <c r="Y9" s="535"/>
      <c r="Z9" s="536"/>
      <c r="AA9" s="534" t="s">
        <v>250</v>
      </c>
      <c r="AB9" s="535"/>
      <c r="AC9" s="536"/>
      <c r="AD9" s="534"/>
      <c r="AE9" s="535"/>
      <c r="AF9" s="536"/>
      <c r="AG9" s="553" t="s">
        <v>545</v>
      </c>
      <c r="AH9" s="554"/>
      <c r="AI9" s="554"/>
      <c r="AJ9" s="554"/>
      <c r="AK9" s="554"/>
      <c r="AL9" s="554"/>
      <c r="AM9" s="554"/>
      <c r="AN9" s="554"/>
      <c r="AO9" s="554"/>
      <c r="AP9" s="554"/>
      <c r="AQ9" s="554"/>
      <c r="AR9" s="554"/>
      <c r="AS9" s="554"/>
      <c r="AT9" s="554"/>
      <c r="AU9" s="554"/>
      <c r="AV9" s="554"/>
      <c r="AW9" s="554"/>
      <c r="AX9" s="554"/>
      <c r="AY9" s="554"/>
      <c r="AZ9" s="554"/>
      <c r="BA9" s="554"/>
      <c r="BB9" s="554"/>
      <c r="BC9" s="555"/>
      <c r="BD9" s="534"/>
      <c r="BE9" s="535"/>
      <c r="BF9" s="535"/>
      <c r="BG9" s="535"/>
      <c r="BH9" s="535"/>
      <c r="BI9" s="535"/>
      <c r="BJ9" s="536"/>
      <c r="BK9" s="19" t="s">
        <v>481</v>
      </c>
    </row>
    <row r="10" spans="1:63" ht="42" customHeight="1">
      <c r="A10" s="558">
        <f t="shared" ref="A10:A15" si="0">ROW()-8</f>
        <v>2</v>
      </c>
      <c r="B10" s="559"/>
      <c r="C10" s="560"/>
      <c r="D10" s="446" t="s">
        <v>32</v>
      </c>
      <c r="E10" s="447"/>
      <c r="F10" s="447"/>
      <c r="G10" s="447"/>
      <c r="H10" s="447"/>
      <c r="I10" s="447"/>
      <c r="J10" s="447"/>
      <c r="K10" s="447"/>
      <c r="L10" s="447"/>
      <c r="M10" s="447"/>
      <c r="N10" s="447"/>
      <c r="O10" s="447"/>
      <c r="P10" s="447"/>
      <c r="Q10" s="448"/>
      <c r="R10" s="449"/>
      <c r="S10" s="450"/>
      <c r="T10" s="451"/>
      <c r="U10" s="449"/>
      <c r="V10" s="450"/>
      <c r="W10" s="451"/>
      <c r="X10" s="449"/>
      <c r="Y10" s="450"/>
      <c r="Z10" s="451"/>
      <c r="AA10" s="449" t="s">
        <v>250</v>
      </c>
      <c r="AB10" s="450"/>
      <c r="AC10" s="451"/>
      <c r="AD10" s="449"/>
      <c r="AE10" s="450"/>
      <c r="AF10" s="451"/>
      <c r="AG10" s="553" t="s">
        <v>546</v>
      </c>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5"/>
      <c r="BD10" s="449"/>
      <c r="BE10" s="450"/>
      <c r="BF10" s="450"/>
      <c r="BG10" s="450"/>
      <c r="BH10" s="450"/>
      <c r="BI10" s="450"/>
      <c r="BJ10" s="451"/>
      <c r="BK10" s="18" t="s">
        <v>481</v>
      </c>
    </row>
    <row r="11" spans="1:63" ht="30" customHeight="1">
      <c r="A11" s="558">
        <f t="shared" si="0"/>
        <v>3</v>
      </c>
      <c r="B11" s="559"/>
      <c r="C11" s="560"/>
      <c r="D11" s="446" t="s">
        <v>378</v>
      </c>
      <c r="E11" s="447"/>
      <c r="F11" s="447"/>
      <c r="G11" s="447"/>
      <c r="H11" s="447"/>
      <c r="I11" s="447"/>
      <c r="J11" s="447"/>
      <c r="K11" s="447"/>
      <c r="L11" s="447"/>
      <c r="M11" s="447"/>
      <c r="N11" s="447"/>
      <c r="O11" s="447"/>
      <c r="P11" s="447"/>
      <c r="Q11" s="448"/>
      <c r="R11" s="449"/>
      <c r="S11" s="450"/>
      <c r="T11" s="451"/>
      <c r="U11" s="449"/>
      <c r="V11" s="450"/>
      <c r="W11" s="451"/>
      <c r="X11" s="449"/>
      <c r="Y11" s="450"/>
      <c r="Z11" s="451"/>
      <c r="AA11" s="449" t="s">
        <v>250</v>
      </c>
      <c r="AB11" s="450"/>
      <c r="AC11" s="451"/>
      <c r="AD11" s="449"/>
      <c r="AE11" s="450"/>
      <c r="AF11" s="451"/>
      <c r="AG11" s="553" t="s">
        <v>122</v>
      </c>
      <c r="AH11" s="554"/>
      <c r="AI11" s="554"/>
      <c r="AJ11" s="554"/>
      <c r="AK11" s="554"/>
      <c r="AL11" s="554"/>
      <c r="AM11" s="554"/>
      <c r="AN11" s="554"/>
      <c r="AO11" s="554"/>
      <c r="AP11" s="554"/>
      <c r="AQ11" s="554"/>
      <c r="AR11" s="554"/>
      <c r="AS11" s="554"/>
      <c r="AT11" s="554"/>
      <c r="AU11" s="554"/>
      <c r="AV11" s="554"/>
      <c r="AW11" s="554"/>
      <c r="AX11" s="554"/>
      <c r="AY11" s="554"/>
      <c r="AZ11" s="554"/>
      <c r="BA11" s="554"/>
      <c r="BB11" s="554"/>
      <c r="BC11" s="555"/>
      <c r="BD11" s="449"/>
      <c r="BE11" s="450"/>
      <c r="BF11" s="450"/>
      <c r="BG11" s="450"/>
      <c r="BH11" s="450"/>
      <c r="BI11" s="450"/>
      <c r="BJ11" s="451"/>
      <c r="BK11" s="18" t="s">
        <v>481</v>
      </c>
    </row>
    <row r="12" spans="1:63" ht="30" customHeight="1">
      <c r="A12" s="558">
        <f t="shared" si="0"/>
        <v>4</v>
      </c>
      <c r="B12" s="559"/>
      <c r="C12" s="560"/>
      <c r="D12" s="567" t="s">
        <v>57</v>
      </c>
      <c r="E12" s="568"/>
      <c r="F12" s="568"/>
      <c r="G12" s="568"/>
      <c r="H12" s="568"/>
      <c r="I12" s="568"/>
      <c r="J12" s="568"/>
      <c r="K12" s="568"/>
      <c r="L12" s="568"/>
      <c r="M12" s="568"/>
      <c r="N12" s="568"/>
      <c r="O12" s="568"/>
      <c r="P12" s="568"/>
      <c r="Q12" s="569"/>
      <c r="R12" s="449"/>
      <c r="S12" s="450"/>
      <c r="T12" s="451"/>
      <c r="U12" s="449"/>
      <c r="V12" s="450"/>
      <c r="W12" s="451"/>
      <c r="X12" s="453" t="s">
        <v>250</v>
      </c>
      <c r="Y12" s="454"/>
      <c r="Z12" s="455"/>
      <c r="AA12" s="453"/>
      <c r="AB12" s="454"/>
      <c r="AC12" s="455"/>
      <c r="AD12" s="453"/>
      <c r="AE12" s="454"/>
      <c r="AF12" s="455"/>
      <c r="AG12" s="553" t="s">
        <v>430</v>
      </c>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449"/>
      <c r="BE12" s="450"/>
      <c r="BF12" s="450"/>
      <c r="BG12" s="450"/>
      <c r="BH12" s="450"/>
      <c r="BI12" s="450"/>
      <c r="BJ12" s="451"/>
      <c r="BK12" s="18" t="s">
        <v>482</v>
      </c>
    </row>
    <row r="13" spans="1:63" ht="30" customHeight="1">
      <c r="A13" s="558">
        <f t="shared" si="0"/>
        <v>5</v>
      </c>
      <c r="B13" s="559"/>
      <c r="C13" s="560"/>
      <c r="D13" s="567" t="s">
        <v>377</v>
      </c>
      <c r="E13" s="568"/>
      <c r="F13" s="568"/>
      <c r="G13" s="568"/>
      <c r="H13" s="568"/>
      <c r="I13" s="568"/>
      <c r="J13" s="568"/>
      <c r="K13" s="568"/>
      <c r="L13" s="568"/>
      <c r="M13" s="568"/>
      <c r="N13" s="568"/>
      <c r="O13" s="568"/>
      <c r="P13" s="568"/>
      <c r="Q13" s="569"/>
      <c r="R13" s="449"/>
      <c r="S13" s="450"/>
      <c r="T13" s="451"/>
      <c r="U13" s="449"/>
      <c r="V13" s="450"/>
      <c r="W13" s="451"/>
      <c r="X13" s="449" t="s">
        <v>368</v>
      </c>
      <c r="Y13" s="450"/>
      <c r="Z13" s="451"/>
      <c r="AA13" s="449"/>
      <c r="AB13" s="450"/>
      <c r="AC13" s="451"/>
      <c r="AD13" s="449"/>
      <c r="AE13" s="450"/>
      <c r="AF13" s="451"/>
      <c r="AG13" s="553" t="s">
        <v>431</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49"/>
      <c r="BE13" s="450"/>
      <c r="BF13" s="450"/>
      <c r="BG13" s="450"/>
      <c r="BH13" s="450"/>
      <c r="BI13" s="450"/>
      <c r="BJ13" s="451"/>
      <c r="BK13" s="18" t="s">
        <v>482</v>
      </c>
    </row>
    <row r="14" spans="1:63" ht="53.15" customHeight="1">
      <c r="A14" s="558">
        <f t="shared" si="0"/>
        <v>6</v>
      </c>
      <c r="B14" s="559"/>
      <c r="C14" s="560"/>
      <c r="D14" s="446" t="s">
        <v>200</v>
      </c>
      <c r="E14" s="447"/>
      <c r="F14" s="447"/>
      <c r="G14" s="447"/>
      <c r="H14" s="447"/>
      <c r="I14" s="447"/>
      <c r="J14" s="447"/>
      <c r="K14" s="447"/>
      <c r="L14" s="447"/>
      <c r="M14" s="447"/>
      <c r="N14" s="447"/>
      <c r="O14" s="447"/>
      <c r="P14" s="447"/>
      <c r="Q14" s="448"/>
      <c r="R14" s="449"/>
      <c r="S14" s="450"/>
      <c r="T14" s="451"/>
      <c r="U14" s="449" t="s">
        <v>368</v>
      </c>
      <c r="V14" s="450"/>
      <c r="W14" s="451"/>
      <c r="X14" s="449"/>
      <c r="Y14" s="450"/>
      <c r="Z14" s="451"/>
      <c r="AA14" s="449"/>
      <c r="AB14" s="450"/>
      <c r="AC14" s="451"/>
      <c r="AD14" s="449"/>
      <c r="AE14" s="450"/>
      <c r="AF14" s="451"/>
      <c r="AG14" s="553" t="s">
        <v>485</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49"/>
      <c r="BE14" s="450"/>
      <c r="BF14" s="450"/>
      <c r="BG14" s="450"/>
      <c r="BH14" s="450"/>
      <c r="BI14" s="450"/>
      <c r="BJ14" s="451"/>
      <c r="BK14" s="18" t="s">
        <v>483</v>
      </c>
    </row>
    <row r="15" spans="1:63" ht="51" customHeight="1">
      <c r="A15" s="558">
        <f t="shared" si="0"/>
        <v>7</v>
      </c>
      <c r="B15" s="559"/>
      <c r="C15" s="560"/>
      <c r="D15" s="446" t="s">
        <v>201</v>
      </c>
      <c r="E15" s="447"/>
      <c r="F15" s="447"/>
      <c r="G15" s="447"/>
      <c r="H15" s="447"/>
      <c r="I15" s="447"/>
      <c r="J15" s="447"/>
      <c r="K15" s="447"/>
      <c r="L15" s="447"/>
      <c r="M15" s="447"/>
      <c r="N15" s="447"/>
      <c r="O15" s="447"/>
      <c r="P15" s="447"/>
      <c r="Q15" s="448"/>
      <c r="R15" s="449"/>
      <c r="S15" s="450"/>
      <c r="T15" s="451"/>
      <c r="U15" s="449" t="s">
        <v>368</v>
      </c>
      <c r="V15" s="450"/>
      <c r="W15" s="451"/>
      <c r="X15" s="449"/>
      <c r="Y15" s="450"/>
      <c r="Z15" s="451"/>
      <c r="AA15" s="449"/>
      <c r="AB15" s="450"/>
      <c r="AC15" s="451"/>
      <c r="AD15" s="449"/>
      <c r="AE15" s="450"/>
      <c r="AF15" s="451"/>
      <c r="AG15" s="553" t="s">
        <v>485</v>
      </c>
      <c r="AH15" s="554"/>
      <c r="AI15" s="554"/>
      <c r="AJ15" s="554"/>
      <c r="AK15" s="554"/>
      <c r="AL15" s="554"/>
      <c r="AM15" s="554"/>
      <c r="AN15" s="554"/>
      <c r="AO15" s="554"/>
      <c r="AP15" s="554"/>
      <c r="AQ15" s="554"/>
      <c r="AR15" s="554"/>
      <c r="AS15" s="554"/>
      <c r="AT15" s="554"/>
      <c r="AU15" s="554"/>
      <c r="AV15" s="554"/>
      <c r="AW15" s="554"/>
      <c r="AX15" s="554"/>
      <c r="AY15" s="554"/>
      <c r="AZ15" s="554"/>
      <c r="BA15" s="554"/>
      <c r="BB15" s="554"/>
      <c r="BC15" s="555"/>
      <c r="BD15" s="449"/>
      <c r="BE15" s="450"/>
      <c r="BF15" s="450"/>
      <c r="BG15" s="450"/>
      <c r="BH15" s="450"/>
      <c r="BI15" s="450"/>
      <c r="BJ15" s="451"/>
      <c r="BK15" s="18" t="s">
        <v>483</v>
      </c>
    </row>
    <row r="16" spans="1:63" ht="30" customHeight="1">
      <c r="A16" s="449"/>
      <c r="B16" s="450"/>
      <c r="C16" s="451"/>
      <c r="D16" s="446"/>
      <c r="E16" s="447"/>
      <c r="F16" s="447"/>
      <c r="G16" s="447"/>
      <c r="H16" s="447"/>
      <c r="I16" s="447"/>
      <c r="J16" s="447"/>
      <c r="K16" s="447"/>
      <c r="L16" s="447"/>
      <c r="M16" s="447"/>
      <c r="N16" s="447"/>
      <c r="O16" s="447"/>
      <c r="P16" s="447"/>
      <c r="Q16" s="448"/>
      <c r="R16" s="449"/>
      <c r="S16" s="450"/>
      <c r="T16" s="451"/>
      <c r="U16" s="449"/>
      <c r="V16" s="450"/>
      <c r="W16" s="451"/>
      <c r="X16" s="449"/>
      <c r="Y16" s="450"/>
      <c r="Z16" s="451"/>
      <c r="AA16" s="449"/>
      <c r="AB16" s="450"/>
      <c r="AC16" s="451"/>
      <c r="AD16" s="449"/>
      <c r="AE16" s="450"/>
      <c r="AF16" s="451"/>
      <c r="AG16" s="553"/>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49"/>
      <c r="BE16" s="450"/>
      <c r="BF16" s="450"/>
      <c r="BG16" s="450"/>
      <c r="BH16" s="450"/>
      <c r="BI16" s="450"/>
      <c r="BJ16" s="451"/>
    </row>
    <row r="17" spans="1:62" ht="30" customHeight="1">
      <c r="A17" s="449"/>
      <c r="B17" s="450"/>
      <c r="C17" s="451"/>
      <c r="D17" s="446"/>
      <c r="E17" s="447"/>
      <c r="F17" s="447"/>
      <c r="G17" s="447"/>
      <c r="H17" s="447"/>
      <c r="I17" s="447"/>
      <c r="J17" s="447"/>
      <c r="K17" s="447"/>
      <c r="L17" s="447"/>
      <c r="M17" s="447"/>
      <c r="N17" s="447"/>
      <c r="O17" s="447"/>
      <c r="P17" s="447"/>
      <c r="Q17" s="448"/>
      <c r="R17" s="449"/>
      <c r="S17" s="450"/>
      <c r="T17" s="451"/>
      <c r="U17" s="449"/>
      <c r="V17" s="450"/>
      <c r="W17" s="451"/>
      <c r="X17" s="449"/>
      <c r="Y17" s="450"/>
      <c r="Z17" s="451"/>
      <c r="AA17" s="449"/>
      <c r="AB17" s="450"/>
      <c r="AC17" s="451"/>
      <c r="AD17" s="449"/>
      <c r="AE17" s="450"/>
      <c r="AF17" s="451"/>
      <c r="AG17" s="553"/>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49"/>
      <c r="BE17" s="450"/>
      <c r="BF17" s="450"/>
      <c r="BG17" s="450"/>
      <c r="BH17" s="450"/>
      <c r="BI17" s="450"/>
      <c r="BJ17" s="451"/>
    </row>
    <row r="18" spans="1:62" ht="30" customHeight="1">
      <c r="A18" s="449"/>
      <c r="B18" s="450"/>
      <c r="C18" s="451"/>
      <c r="D18" s="446"/>
      <c r="E18" s="447"/>
      <c r="F18" s="447"/>
      <c r="G18" s="447"/>
      <c r="H18" s="447"/>
      <c r="I18" s="447"/>
      <c r="J18" s="447"/>
      <c r="K18" s="447"/>
      <c r="L18" s="447"/>
      <c r="M18" s="447"/>
      <c r="N18" s="447"/>
      <c r="O18" s="447"/>
      <c r="P18" s="447"/>
      <c r="Q18" s="448"/>
      <c r="R18" s="449"/>
      <c r="S18" s="450"/>
      <c r="T18" s="451"/>
      <c r="U18" s="449"/>
      <c r="V18" s="450"/>
      <c r="W18" s="451"/>
      <c r="X18" s="449"/>
      <c r="Y18" s="450"/>
      <c r="Z18" s="451"/>
      <c r="AA18" s="449"/>
      <c r="AB18" s="450"/>
      <c r="AC18" s="451"/>
      <c r="AD18" s="449"/>
      <c r="AE18" s="450"/>
      <c r="AF18" s="451"/>
      <c r="AG18" s="553"/>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49"/>
      <c r="BE18" s="450"/>
      <c r="BF18" s="450"/>
      <c r="BG18" s="450"/>
      <c r="BH18" s="450"/>
      <c r="BI18" s="450"/>
      <c r="BJ18" s="451"/>
    </row>
    <row r="19" spans="1:62" ht="30" customHeight="1">
      <c r="A19" s="449"/>
      <c r="B19" s="450"/>
      <c r="C19" s="451"/>
      <c r="D19" s="446"/>
      <c r="E19" s="447"/>
      <c r="F19" s="447"/>
      <c r="G19" s="447"/>
      <c r="H19" s="447"/>
      <c r="I19" s="447"/>
      <c r="J19" s="447"/>
      <c r="K19" s="447"/>
      <c r="L19" s="447"/>
      <c r="M19" s="447"/>
      <c r="N19" s="447"/>
      <c r="O19" s="447"/>
      <c r="P19" s="447"/>
      <c r="Q19" s="448"/>
      <c r="R19" s="449"/>
      <c r="S19" s="450"/>
      <c r="T19" s="451"/>
      <c r="U19" s="449"/>
      <c r="V19" s="450"/>
      <c r="W19" s="451"/>
      <c r="X19" s="449"/>
      <c r="Y19" s="450"/>
      <c r="Z19" s="451"/>
      <c r="AA19" s="449"/>
      <c r="AB19" s="450"/>
      <c r="AC19" s="451"/>
      <c r="AD19" s="449"/>
      <c r="AE19" s="450"/>
      <c r="AF19" s="451"/>
      <c r="AG19" s="553"/>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49"/>
      <c r="BE19" s="450"/>
      <c r="BF19" s="450"/>
      <c r="BG19" s="450"/>
      <c r="BH19" s="450"/>
      <c r="BI19" s="450"/>
      <c r="BJ19" s="451"/>
    </row>
    <row r="20" spans="1:62" ht="30" customHeight="1">
      <c r="A20" s="449"/>
      <c r="B20" s="450"/>
      <c r="C20" s="451"/>
      <c r="D20" s="446"/>
      <c r="E20" s="447"/>
      <c r="F20" s="447"/>
      <c r="G20" s="447"/>
      <c r="H20" s="447"/>
      <c r="I20" s="447"/>
      <c r="J20" s="447"/>
      <c r="K20" s="447"/>
      <c r="L20" s="447"/>
      <c r="M20" s="447"/>
      <c r="N20" s="447"/>
      <c r="O20" s="447"/>
      <c r="P20" s="447"/>
      <c r="Q20" s="448"/>
      <c r="R20" s="449"/>
      <c r="S20" s="450"/>
      <c r="T20" s="451"/>
      <c r="U20" s="449"/>
      <c r="V20" s="450"/>
      <c r="W20" s="451"/>
      <c r="X20" s="449"/>
      <c r="Y20" s="450"/>
      <c r="Z20" s="451"/>
      <c r="AA20" s="449"/>
      <c r="AB20" s="450"/>
      <c r="AC20" s="451"/>
      <c r="AD20" s="449"/>
      <c r="AE20" s="450"/>
      <c r="AF20" s="451"/>
      <c r="AG20" s="553"/>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49"/>
      <c r="BE20" s="450"/>
      <c r="BF20" s="450"/>
      <c r="BG20" s="450"/>
      <c r="BH20" s="450"/>
      <c r="BI20" s="450"/>
      <c r="BJ20" s="451"/>
    </row>
    <row r="21" spans="1:62" ht="30" customHeight="1">
      <c r="A21" s="449"/>
      <c r="B21" s="450"/>
      <c r="C21" s="451"/>
      <c r="D21" s="446"/>
      <c r="E21" s="447"/>
      <c r="F21" s="447"/>
      <c r="G21" s="447"/>
      <c r="H21" s="447"/>
      <c r="I21" s="447"/>
      <c r="J21" s="447"/>
      <c r="K21" s="447"/>
      <c r="L21" s="447"/>
      <c r="M21" s="447"/>
      <c r="N21" s="447"/>
      <c r="O21" s="447"/>
      <c r="P21" s="447"/>
      <c r="Q21" s="448"/>
      <c r="R21" s="449"/>
      <c r="S21" s="450"/>
      <c r="T21" s="451"/>
      <c r="U21" s="449"/>
      <c r="V21" s="450"/>
      <c r="W21" s="451"/>
      <c r="X21" s="449"/>
      <c r="Y21" s="450"/>
      <c r="Z21" s="451"/>
      <c r="AA21" s="449"/>
      <c r="AB21" s="450"/>
      <c r="AC21" s="451"/>
      <c r="AD21" s="449"/>
      <c r="AE21" s="450"/>
      <c r="AF21" s="451"/>
      <c r="AG21" s="553"/>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49"/>
      <c r="BE21" s="450"/>
      <c r="BF21" s="450"/>
      <c r="BG21" s="450"/>
      <c r="BH21" s="450"/>
      <c r="BI21" s="450"/>
      <c r="BJ21" s="451"/>
    </row>
    <row r="22" spans="1:62" ht="30" customHeight="1">
      <c r="A22" s="461"/>
      <c r="B22" s="462"/>
      <c r="C22" s="463"/>
      <c r="D22" s="458"/>
      <c r="E22" s="459"/>
      <c r="F22" s="459"/>
      <c r="G22" s="459"/>
      <c r="H22" s="459"/>
      <c r="I22" s="459"/>
      <c r="J22" s="459"/>
      <c r="K22" s="459"/>
      <c r="L22" s="459"/>
      <c r="M22" s="459"/>
      <c r="N22" s="459"/>
      <c r="O22" s="459"/>
      <c r="P22" s="459"/>
      <c r="Q22" s="460"/>
      <c r="R22" s="461"/>
      <c r="S22" s="462"/>
      <c r="T22" s="463"/>
      <c r="U22" s="461"/>
      <c r="V22" s="462"/>
      <c r="W22" s="463"/>
      <c r="X22" s="461"/>
      <c r="Y22" s="462"/>
      <c r="Z22" s="463"/>
      <c r="AA22" s="461"/>
      <c r="AB22" s="462"/>
      <c r="AC22" s="463"/>
      <c r="AD22" s="461"/>
      <c r="AE22" s="462"/>
      <c r="AF22" s="463"/>
      <c r="AG22" s="458"/>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60"/>
      <c r="BD22" s="461"/>
      <c r="BE22" s="462"/>
      <c r="BF22" s="462"/>
      <c r="BG22" s="462"/>
      <c r="BH22" s="462"/>
      <c r="BI22" s="462"/>
      <c r="BJ22" s="463"/>
    </row>
    <row r="23" spans="1:62" s="20" customFormat="1" ht="5.25" customHeight="1">
      <c r="B23" s="21"/>
      <c r="C23" s="21"/>
      <c r="D23" s="21"/>
      <c r="E23" s="21"/>
      <c r="F23" s="21"/>
      <c r="G23" s="21"/>
      <c r="H23" s="21"/>
      <c r="I23" s="21"/>
      <c r="J23" s="21"/>
      <c r="K23" s="21"/>
      <c r="L23" s="21"/>
      <c r="M23" s="21"/>
      <c r="N23" s="21"/>
      <c r="O23" s="21"/>
      <c r="P23" s="21"/>
      <c r="Q23" s="21"/>
      <c r="R23" s="21"/>
      <c r="S23" s="21"/>
    </row>
    <row r="24" spans="1:62" ht="24" customHeight="1"/>
    <row r="25" spans="1:62" ht="24" customHeight="1"/>
    <row r="26" spans="1:62" ht="24" customHeight="1"/>
    <row r="27" spans="1:62" ht="24" customHeight="1"/>
    <row r="28" spans="1:62" ht="24" customHeight="1"/>
    <row r="29" spans="1:62" ht="17.149999999999999" customHeight="1"/>
    <row r="30" spans="1:62" ht="17.149999999999999" customHeight="1"/>
    <row r="31" spans="1:62" ht="17.149999999999999" customHeight="1"/>
    <row r="32" spans="1:62" ht="17.149999999999999" customHeight="1"/>
  </sheetData>
  <mergeCells count="149">
    <mergeCell ref="AD20:AF20"/>
    <mergeCell ref="AG20:BC20"/>
    <mergeCell ref="AA21:AC21"/>
    <mergeCell ref="AD21:AF21"/>
    <mergeCell ref="AG21:BC21"/>
    <mergeCell ref="X19:Z19"/>
    <mergeCell ref="AA19:AC19"/>
    <mergeCell ref="AD19:AF19"/>
    <mergeCell ref="BD22:BJ22"/>
    <mergeCell ref="BD20:BJ20"/>
    <mergeCell ref="A22:C22"/>
    <mergeCell ref="R22:T22"/>
    <mergeCell ref="U22:W22"/>
    <mergeCell ref="X22:Z22"/>
    <mergeCell ref="AA22:AC22"/>
    <mergeCell ref="AD22:AF22"/>
    <mergeCell ref="BD21:BJ21"/>
    <mergeCell ref="A21:C21"/>
    <mergeCell ref="R21:T21"/>
    <mergeCell ref="U21:W21"/>
    <mergeCell ref="X21:Z21"/>
    <mergeCell ref="AG22:BC22"/>
    <mergeCell ref="D22:Q22"/>
    <mergeCell ref="A20:C20"/>
    <mergeCell ref="R20:T20"/>
    <mergeCell ref="U20:W20"/>
    <mergeCell ref="X20:Z20"/>
    <mergeCell ref="BD13:BJ13"/>
    <mergeCell ref="D13:Q13"/>
    <mergeCell ref="D14:Q14"/>
    <mergeCell ref="R14:T14"/>
    <mergeCell ref="U14:W14"/>
    <mergeCell ref="AG13:BC13"/>
    <mergeCell ref="U13:W13"/>
    <mergeCell ref="X13:Z13"/>
    <mergeCell ref="AA13:AC13"/>
    <mergeCell ref="AD13:AF13"/>
    <mergeCell ref="A14:C14"/>
    <mergeCell ref="X14:Z14"/>
    <mergeCell ref="AA14:AC14"/>
    <mergeCell ref="AD14:AF14"/>
    <mergeCell ref="AG14:BC14"/>
    <mergeCell ref="BD14:BJ14"/>
    <mergeCell ref="D20:Q20"/>
    <mergeCell ref="X16:Z16"/>
    <mergeCell ref="AA20:AC20"/>
    <mergeCell ref="AD18:AF18"/>
    <mergeCell ref="AG8:BC8"/>
    <mergeCell ref="AG9:BC9"/>
    <mergeCell ref="BD9:BJ9"/>
    <mergeCell ref="A12:C12"/>
    <mergeCell ref="D12:Q12"/>
    <mergeCell ref="R12:T12"/>
    <mergeCell ref="A13:C13"/>
    <mergeCell ref="R13:T13"/>
    <mergeCell ref="AD12:AF12"/>
    <mergeCell ref="AG12:BC12"/>
    <mergeCell ref="BD12:BJ12"/>
    <mergeCell ref="U12:W12"/>
    <mergeCell ref="X12:Z12"/>
    <mergeCell ref="AA12:AC12"/>
    <mergeCell ref="X8:Z8"/>
    <mergeCell ref="AA8:AC8"/>
    <mergeCell ref="A9:C9"/>
    <mergeCell ref="D9:Q9"/>
    <mergeCell ref="R9:T9"/>
    <mergeCell ref="U9:W9"/>
    <mergeCell ref="X9:Z9"/>
    <mergeCell ref="AA9:AC9"/>
    <mergeCell ref="AD9:AF9"/>
    <mergeCell ref="D11:Q11"/>
    <mergeCell ref="A2:AU2"/>
    <mergeCell ref="AV2:AY2"/>
    <mergeCell ref="AZ2:BC2"/>
    <mergeCell ref="BD2:BF2"/>
    <mergeCell ref="BG2:BJ2"/>
    <mergeCell ref="A3:G3"/>
    <mergeCell ref="H3:AU3"/>
    <mergeCell ref="AV3:AY3"/>
    <mergeCell ref="AZ3:BJ3"/>
    <mergeCell ref="AG18:BC18"/>
    <mergeCell ref="BD18:BJ18"/>
    <mergeCell ref="A11:C11"/>
    <mergeCell ref="A4:G4"/>
    <mergeCell ref="H4:AU4"/>
    <mergeCell ref="AV4:AY4"/>
    <mergeCell ref="AZ4:BJ4"/>
    <mergeCell ref="A6:G6"/>
    <mergeCell ref="A10:C10"/>
    <mergeCell ref="D10:Q10"/>
    <mergeCell ref="R10:T10"/>
    <mergeCell ref="U10:W10"/>
    <mergeCell ref="X10:Z10"/>
    <mergeCell ref="AA10:AC10"/>
    <mergeCell ref="AD10:AF10"/>
    <mergeCell ref="AG10:BC10"/>
    <mergeCell ref="BD10:BJ10"/>
    <mergeCell ref="AD8:AF8"/>
    <mergeCell ref="BD8:BJ8"/>
    <mergeCell ref="A8:C8"/>
    <mergeCell ref="D8:Q8"/>
    <mergeCell ref="R8:T8"/>
    <mergeCell ref="U8:W8"/>
    <mergeCell ref="A15:C15"/>
    <mergeCell ref="U15:W15"/>
    <mergeCell ref="D15:Q15"/>
    <mergeCell ref="D18:Q18"/>
    <mergeCell ref="D19:Q19"/>
    <mergeCell ref="R17:T17"/>
    <mergeCell ref="X17:Z17"/>
    <mergeCell ref="AA17:AC17"/>
    <mergeCell ref="D16:Q16"/>
    <mergeCell ref="D17:Q17"/>
    <mergeCell ref="X18:Z18"/>
    <mergeCell ref="AA18:AC18"/>
    <mergeCell ref="A18:C18"/>
    <mergeCell ref="R18:T18"/>
    <mergeCell ref="U18:W18"/>
    <mergeCell ref="A16:C16"/>
    <mergeCell ref="R16:T16"/>
    <mergeCell ref="U16:W16"/>
    <mergeCell ref="A19:C19"/>
    <mergeCell ref="R19:T19"/>
    <mergeCell ref="U19:W19"/>
    <mergeCell ref="A17:C17"/>
    <mergeCell ref="R11:T11"/>
    <mergeCell ref="U11:W11"/>
    <mergeCell ref="X11:Z11"/>
    <mergeCell ref="AA11:AC11"/>
    <mergeCell ref="AD11:AF11"/>
    <mergeCell ref="AG11:BC11"/>
    <mergeCell ref="BD11:BJ11"/>
    <mergeCell ref="D21:Q21"/>
    <mergeCell ref="X15:Z15"/>
    <mergeCell ref="AA15:AC15"/>
    <mergeCell ref="AD15:AF15"/>
    <mergeCell ref="BD15:BJ15"/>
    <mergeCell ref="AG15:BC15"/>
    <mergeCell ref="AG19:BC19"/>
    <mergeCell ref="BD19:BJ19"/>
    <mergeCell ref="AA16:AC16"/>
    <mergeCell ref="AD16:AF16"/>
    <mergeCell ref="AG16:BC16"/>
    <mergeCell ref="BD16:BJ16"/>
    <mergeCell ref="U17:W17"/>
    <mergeCell ref="AD17:AF17"/>
    <mergeCell ref="AG17:BC17"/>
    <mergeCell ref="BD17:BJ17"/>
    <mergeCell ref="R15:T15"/>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BK47"/>
  <sheetViews>
    <sheetView view="pageBreakPreview" zoomScaleNormal="100" zoomScaleSheetLayoutView="100" workbookViewId="0"/>
  </sheetViews>
  <sheetFormatPr defaultColWidth="1.90625" defaultRowHeight="14"/>
  <cols>
    <col min="1" max="74" width="2.08984375" style="18" customWidth="1"/>
    <col min="75" max="16384" width="1.9062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76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77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36" t="s">
        <v>39</v>
      </c>
      <c r="B8" s="337"/>
      <c r="C8" s="338"/>
      <c r="D8" s="336" t="s">
        <v>78</v>
      </c>
      <c r="E8" s="337"/>
      <c r="F8" s="337"/>
      <c r="G8" s="337"/>
      <c r="H8" s="337"/>
      <c r="I8" s="337"/>
      <c r="J8" s="337"/>
      <c r="K8" s="337"/>
      <c r="L8" s="337"/>
      <c r="M8" s="337"/>
      <c r="N8" s="337"/>
      <c r="O8" s="337"/>
      <c r="P8" s="338"/>
      <c r="Q8" s="336" t="s">
        <v>79</v>
      </c>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39" customHeight="1">
      <c r="A9" s="558">
        <f>ROW()-8</f>
        <v>1</v>
      </c>
      <c r="B9" s="559"/>
      <c r="C9" s="560"/>
      <c r="D9" s="585" t="s">
        <v>202</v>
      </c>
      <c r="E9" s="586"/>
      <c r="F9" s="586"/>
      <c r="G9" s="586"/>
      <c r="H9" s="586"/>
      <c r="I9" s="586"/>
      <c r="J9" s="586"/>
      <c r="K9" s="586"/>
      <c r="L9" s="586"/>
      <c r="M9" s="586"/>
      <c r="N9" s="586"/>
      <c r="O9" s="586"/>
      <c r="P9" s="587"/>
      <c r="Q9" s="579" t="s">
        <v>551</v>
      </c>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0"/>
      <c r="BB9" s="580"/>
      <c r="BC9" s="581"/>
      <c r="BD9" s="582"/>
      <c r="BE9" s="583"/>
      <c r="BF9" s="583"/>
      <c r="BG9" s="583"/>
      <c r="BH9" s="583"/>
      <c r="BI9" s="583"/>
      <c r="BJ9" s="584"/>
    </row>
    <row r="10" spans="1:63" ht="42" customHeight="1">
      <c r="A10" s="558" t="s">
        <v>50</v>
      </c>
      <c r="B10" s="559"/>
      <c r="C10" s="560"/>
      <c r="D10" s="585" t="s">
        <v>391</v>
      </c>
      <c r="E10" s="586"/>
      <c r="F10" s="586"/>
      <c r="G10" s="586"/>
      <c r="H10" s="586"/>
      <c r="I10" s="586"/>
      <c r="J10" s="586"/>
      <c r="K10" s="586"/>
      <c r="L10" s="586"/>
      <c r="M10" s="586"/>
      <c r="N10" s="586"/>
      <c r="O10" s="586"/>
      <c r="P10" s="587"/>
      <c r="Q10" s="579" t="s">
        <v>530</v>
      </c>
      <c r="R10" s="580"/>
      <c r="S10" s="580"/>
      <c r="T10" s="580"/>
      <c r="U10" s="580"/>
      <c r="V10" s="580"/>
      <c r="W10" s="580"/>
      <c r="X10" s="580"/>
      <c r="Y10" s="580"/>
      <c r="Z10" s="580"/>
      <c r="AA10" s="580"/>
      <c r="AB10" s="580"/>
      <c r="AC10" s="580"/>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c r="AZ10" s="580"/>
      <c r="BA10" s="580"/>
      <c r="BB10" s="580"/>
      <c r="BC10" s="581"/>
      <c r="BD10" s="449"/>
      <c r="BE10" s="450"/>
      <c r="BF10" s="450"/>
      <c r="BG10" s="450"/>
      <c r="BH10" s="450"/>
      <c r="BI10" s="450"/>
      <c r="BJ10" s="451"/>
    </row>
    <row r="11" spans="1:63" ht="50.9" customHeight="1">
      <c r="A11" s="558">
        <f t="shared" ref="A11:A13" si="0">ROW()-8</f>
        <v>3</v>
      </c>
      <c r="B11" s="559"/>
      <c r="C11" s="560"/>
      <c r="D11" s="579" t="s">
        <v>461</v>
      </c>
      <c r="E11" s="580"/>
      <c r="F11" s="580"/>
      <c r="G11" s="580"/>
      <c r="H11" s="580"/>
      <c r="I11" s="580"/>
      <c r="J11" s="580"/>
      <c r="K11" s="580"/>
      <c r="L11" s="580"/>
      <c r="M11" s="580"/>
      <c r="N11" s="580"/>
      <c r="O11" s="580"/>
      <c r="P11" s="581"/>
      <c r="Q11" s="579" t="s">
        <v>531</v>
      </c>
      <c r="R11" s="580"/>
      <c r="S11" s="580"/>
      <c r="T11" s="580"/>
      <c r="U11" s="580"/>
      <c r="V11" s="580"/>
      <c r="W11" s="580"/>
      <c r="X11" s="580"/>
      <c r="Y11" s="580"/>
      <c r="Z11" s="580"/>
      <c r="AA11" s="580"/>
      <c r="AB11" s="580"/>
      <c r="AC11" s="580"/>
      <c r="AD11" s="580"/>
      <c r="AE11" s="580"/>
      <c r="AF11" s="580"/>
      <c r="AG11" s="580"/>
      <c r="AH11" s="580"/>
      <c r="AI11" s="580"/>
      <c r="AJ11" s="580"/>
      <c r="AK11" s="580"/>
      <c r="AL11" s="580"/>
      <c r="AM11" s="580"/>
      <c r="AN11" s="580"/>
      <c r="AO11" s="580"/>
      <c r="AP11" s="580"/>
      <c r="AQ11" s="580"/>
      <c r="AR11" s="580"/>
      <c r="AS11" s="580"/>
      <c r="AT11" s="580"/>
      <c r="AU11" s="580"/>
      <c r="AV11" s="580"/>
      <c r="AW11" s="580"/>
      <c r="AX11" s="580"/>
      <c r="AY11" s="580"/>
      <c r="AZ11" s="580"/>
      <c r="BA11" s="580"/>
      <c r="BB11" s="580"/>
      <c r="BC11" s="581"/>
      <c r="BD11" s="449"/>
      <c r="BE11" s="450"/>
      <c r="BF11" s="450"/>
      <c r="BG11" s="450"/>
      <c r="BH11" s="450"/>
      <c r="BI11" s="450"/>
      <c r="BJ11" s="451"/>
    </row>
    <row r="12" spans="1:63" ht="49.4" customHeight="1">
      <c r="A12" s="558">
        <f t="shared" si="0"/>
        <v>4</v>
      </c>
      <c r="B12" s="559"/>
      <c r="C12" s="560"/>
      <c r="D12" s="579" t="s">
        <v>462</v>
      </c>
      <c r="E12" s="580"/>
      <c r="F12" s="580"/>
      <c r="G12" s="580"/>
      <c r="H12" s="580"/>
      <c r="I12" s="580"/>
      <c r="J12" s="580"/>
      <c r="K12" s="580"/>
      <c r="L12" s="580"/>
      <c r="M12" s="580"/>
      <c r="N12" s="580"/>
      <c r="O12" s="580"/>
      <c r="P12" s="581"/>
      <c r="Q12" s="579" t="s">
        <v>532</v>
      </c>
      <c r="R12" s="580"/>
      <c r="S12" s="580"/>
      <c r="T12" s="580"/>
      <c r="U12" s="580"/>
      <c r="V12" s="580"/>
      <c r="W12" s="580"/>
      <c r="X12" s="580"/>
      <c r="Y12" s="580"/>
      <c r="Z12" s="580"/>
      <c r="AA12" s="580"/>
      <c r="AB12" s="580"/>
      <c r="AC12" s="580"/>
      <c r="AD12" s="580"/>
      <c r="AE12" s="580"/>
      <c r="AF12" s="580"/>
      <c r="AG12" s="580"/>
      <c r="AH12" s="580"/>
      <c r="AI12" s="580"/>
      <c r="AJ12" s="580"/>
      <c r="AK12" s="580"/>
      <c r="AL12" s="580"/>
      <c r="AM12" s="580"/>
      <c r="AN12" s="580"/>
      <c r="AO12" s="580"/>
      <c r="AP12" s="580"/>
      <c r="AQ12" s="580"/>
      <c r="AR12" s="580"/>
      <c r="AS12" s="580"/>
      <c r="AT12" s="580"/>
      <c r="AU12" s="580"/>
      <c r="AV12" s="580"/>
      <c r="AW12" s="580"/>
      <c r="AX12" s="580"/>
      <c r="AY12" s="580"/>
      <c r="AZ12" s="580"/>
      <c r="BA12" s="580"/>
      <c r="BB12" s="580"/>
      <c r="BC12" s="581"/>
      <c r="BD12" s="449"/>
      <c r="BE12" s="450"/>
      <c r="BF12" s="450"/>
      <c r="BG12" s="450"/>
      <c r="BH12" s="450"/>
      <c r="BI12" s="450"/>
      <c r="BJ12" s="451"/>
    </row>
    <row r="13" spans="1:63" ht="50.9" customHeight="1">
      <c r="A13" s="558">
        <f t="shared" si="0"/>
        <v>5</v>
      </c>
      <c r="B13" s="559"/>
      <c r="C13" s="560"/>
      <c r="D13" s="579" t="s">
        <v>463</v>
      </c>
      <c r="E13" s="580"/>
      <c r="F13" s="580"/>
      <c r="G13" s="580"/>
      <c r="H13" s="580"/>
      <c r="I13" s="580"/>
      <c r="J13" s="580"/>
      <c r="K13" s="580"/>
      <c r="L13" s="580"/>
      <c r="M13" s="580"/>
      <c r="N13" s="580"/>
      <c r="O13" s="580"/>
      <c r="P13" s="581"/>
      <c r="Q13" s="579" t="s">
        <v>533</v>
      </c>
      <c r="R13" s="580"/>
      <c r="S13" s="580"/>
      <c r="T13" s="580"/>
      <c r="U13" s="580"/>
      <c r="V13" s="580"/>
      <c r="W13" s="580"/>
      <c r="X13" s="580"/>
      <c r="Y13" s="580"/>
      <c r="Z13" s="580"/>
      <c r="AA13" s="580"/>
      <c r="AB13" s="580"/>
      <c r="AC13" s="580"/>
      <c r="AD13" s="580"/>
      <c r="AE13" s="580"/>
      <c r="AF13" s="580"/>
      <c r="AG13" s="580"/>
      <c r="AH13" s="580"/>
      <c r="AI13" s="580"/>
      <c r="AJ13" s="580"/>
      <c r="AK13" s="580"/>
      <c r="AL13" s="580"/>
      <c r="AM13" s="580"/>
      <c r="AN13" s="580"/>
      <c r="AO13" s="580"/>
      <c r="AP13" s="580"/>
      <c r="AQ13" s="580"/>
      <c r="AR13" s="580"/>
      <c r="AS13" s="580"/>
      <c r="AT13" s="580"/>
      <c r="AU13" s="580"/>
      <c r="AV13" s="580"/>
      <c r="AW13" s="580"/>
      <c r="AX13" s="580"/>
      <c r="AY13" s="580"/>
      <c r="AZ13" s="580"/>
      <c r="BA13" s="580"/>
      <c r="BB13" s="580"/>
      <c r="BC13" s="581"/>
      <c r="BD13" s="449"/>
      <c r="BE13" s="450"/>
      <c r="BF13" s="450"/>
      <c r="BG13" s="450"/>
      <c r="BH13" s="450"/>
      <c r="BI13" s="450"/>
      <c r="BJ13" s="451"/>
    </row>
    <row r="14" spans="1:63" ht="42" customHeight="1">
      <c r="A14" s="558">
        <f>ROW()-8</f>
        <v>6</v>
      </c>
      <c r="B14" s="559"/>
      <c r="C14" s="560"/>
      <c r="D14" s="585" t="s">
        <v>366</v>
      </c>
      <c r="E14" s="586"/>
      <c r="F14" s="586"/>
      <c r="G14" s="586"/>
      <c r="H14" s="586"/>
      <c r="I14" s="586"/>
      <c r="J14" s="586"/>
      <c r="K14" s="586"/>
      <c r="L14" s="586"/>
      <c r="M14" s="586"/>
      <c r="N14" s="586"/>
      <c r="O14" s="586"/>
      <c r="P14" s="587"/>
      <c r="Q14" s="579" t="s">
        <v>367</v>
      </c>
      <c r="R14" s="580"/>
      <c r="S14" s="580"/>
      <c r="T14" s="580"/>
      <c r="U14" s="580"/>
      <c r="V14" s="580"/>
      <c r="W14" s="580"/>
      <c r="X14" s="580"/>
      <c r="Y14" s="580"/>
      <c r="Z14" s="580"/>
      <c r="AA14" s="580"/>
      <c r="AB14" s="580"/>
      <c r="AC14" s="580"/>
      <c r="AD14" s="580"/>
      <c r="AE14" s="580"/>
      <c r="AF14" s="580"/>
      <c r="AG14" s="580"/>
      <c r="AH14" s="580"/>
      <c r="AI14" s="580"/>
      <c r="AJ14" s="580"/>
      <c r="AK14" s="580"/>
      <c r="AL14" s="580"/>
      <c r="AM14" s="580"/>
      <c r="AN14" s="580"/>
      <c r="AO14" s="580"/>
      <c r="AP14" s="580"/>
      <c r="AQ14" s="580"/>
      <c r="AR14" s="580"/>
      <c r="AS14" s="580"/>
      <c r="AT14" s="580"/>
      <c r="AU14" s="580"/>
      <c r="AV14" s="580"/>
      <c r="AW14" s="580"/>
      <c r="AX14" s="580"/>
      <c r="AY14" s="580"/>
      <c r="AZ14" s="580"/>
      <c r="BA14" s="580"/>
      <c r="BB14" s="580"/>
      <c r="BC14" s="581"/>
      <c r="BD14" s="449"/>
      <c r="BE14" s="450"/>
      <c r="BF14" s="450"/>
      <c r="BG14" s="450"/>
      <c r="BH14" s="450"/>
      <c r="BI14" s="450"/>
      <c r="BJ14" s="451"/>
    </row>
    <row r="15" spans="1:63" ht="30" customHeight="1">
      <c r="A15" s="558">
        <f t="shared" ref="A15:A30" si="1">ROW()-8</f>
        <v>7</v>
      </c>
      <c r="B15" s="559"/>
      <c r="C15" s="560"/>
      <c r="D15" s="585" t="s">
        <v>432</v>
      </c>
      <c r="E15" s="586"/>
      <c r="F15" s="586"/>
      <c r="G15" s="586"/>
      <c r="H15" s="586"/>
      <c r="I15" s="586"/>
      <c r="J15" s="586"/>
      <c r="K15" s="586"/>
      <c r="L15" s="586"/>
      <c r="M15" s="586"/>
      <c r="N15" s="586"/>
      <c r="O15" s="586"/>
      <c r="P15" s="587"/>
      <c r="Q15" s="579" t="s">
        <v>433</v>
      </c>
      <c r="R15" s="580"/>
      <c r="S15" s="580"/>
      <c r="T15" s="580"/>
      <c r="U15" s="580"/>
      <c r="V15" s="580"/>
      <c r="W15" s="580"/>
      <c r="X15" s="580"/>
      <c r="Y15" s="580"/>
      <c r="Z15" s="580"/>
      <c r="AA15" s="580"/>
      <c r="AB15" s="580"/>
      <c r="AC15" s="580"/>
      <c r="AD15" s="580"/>
      <c r="AE15" s="580"/>
      <c r="AF15" s="580"/>
      <c r="AG15" s="580"/>
      <c r="AH15" s="580"/>
      <c r="AI15" s="580"/>
      <c r="AJ15" s="580"/>
      <c r="AK15" s="580"/>
      <c r="AL15" s="580"/>
      <c r="AM15" s="580"/>
      <c r="AN15" s="580"/>
      <c r="AO15" s="580"/>
      <c r="AP15" s="580"/>
      <c r="AQ15" s="580"/>
      <c r="AR15" s="580"/>
      <c r="AS15" s="580"/>
      <c r="AT15" s="580"/>
      <c r="AU15" s="580"/>
      <c r="AV15" s="580"/>
      <c r="AW15" s="580"/>
      <c r="AX15" s="580"/>
      <c r="AY15" s="580"/>
      <c r="AZ15" s="580"/>
      <c r="BA15" s="580"/>
      <c r="BB15" s="580"/>
      <c r="BC15" s="581"/>
      <c r="BD15" s="449"/>
      <c r="BE15" s="450"/>
      <c r="BF15" s="450"/>
      <c r="BG15" s="450"/>
      <c r="BH15" s="450"/>
      <c r="BI15" s="450"/>
      <c r="BJ15" s="451"/>
    </row>
    <row r="16" spans="1:63" ht="30" customHeight="1">
      <c r="A16" s="558">
        <f t="shared" si="1"/>
        <v>8</v>
      </c>
      <c r="B16" s="559"/>
      <c r="C16" s="560"/>
      <c r="D16" s="585" t="s">
        <v>434</v>
      </c>
      <c r="E16" s="586"/>
      <c r="F16" s="586"/>
      <c r="G16" s="586"/>
      <c r="H16" s="586"/>
      <c r="I16" s="586"/>
      <c r="J16" s="586"/>
      <c r="K16" s="586"/>
      <c r="L16" s="586"/>
      <c r="M16" s="586"/>
      <c r="N16" s="586"/>
      <c r="O16" s="586"/>
      <c r="P16" s="587"/>
      <c r="Q16" s="579" t="s">
        <v>435</v>
      </c>
      <c r="R16" s="580"/>
      <c r="S16" s="580"/>
      <c r="T16" s="580"/>
      <c r="U16" s="580"/>
      <c r="V16" s="580"/>
      <c r="W16" s="580"/>
      <c r="X16" s="580"/>
      <c r="Y16" s="580"/>
      <c r="Z16" s="580"/>
      <c r="AA16" s="580"/>
      <c r="AB16" s="580"/>
      <c r="AC16" s="580"/>
      <c r="AD16" s="580"/>
      <c r="AE16" s="580"/>
      <c r="AF16" s="580"/>
      <c r="AG16" s="580"/>
      <c r="AH16" s="580"/>
      <c r="AI16" s="580"/>
      <c r="AJ16" s="580"/>
      <c r="AK16" s="580"/>
      <c r="AL16" s="580"/>
      <c r="AM16" s="580"/>
      <c r="AN16" s="580"/>
      <c r="AO16" s="580"/>
      <c r="AP16" s="580"/>
      <c r="AQ16" s="580"/>
      <c r="AR16" s="580"/>
      <c r="AS16" s="580"/>
      <c r="AT16" s="580"/>
      <c r="AU16" s="580"/>
      <c r="AV16" s="580"/>
      <c r="AW16" s="580"/>
      <c r="AX16" s="580"/>
      <c r="AY16" s="580"/>
      <c r="AZ16" s="580"/>
      <c r="BA16" s="580"/>
      <c r="BB16" s="580"/>
      <c r="BC16" s="581"/>
      <c r="BD16" s="449"/>
      <c r="BE16" s="450"/>
      <c r="BF16" s="450"/>
      <c r="BG16" s="450"/>
      <c r="BH16" s="450"/>
      <c r="BI16" s="450"/>
      <c r="BJ16" s="451"/>
    </row>
    <row r="17" spans="1:62" ht="49.5" customHeight="1">
      <c r="A17" s="558">
        <f t="shared" si="1"/>
        <v>9</v>
      </c>
      <c r="B17" s="559"/>
      <c r="C17" s="560"/>
      <c r="D17" s="585" t="s">
        <v>436</v>
      </c>
      <c r="E17" s="586"/>
      <c r="F17" s="586"/>
      <c r="G17" s="586"/>
      <c r="H17" s="586"/>
      <c r="I17" s="586"/>
      <c r="J17" s="586"/>
      <c r="K17" s="586"/>
      <c r="L17" s="586"/>
      <c r="M17" s="586"/>
      <c r="N17" s="586"/>
      <c r="O17" s="586"/>
      <c r="P17" s="587"/>
      <c r="Q17" s="579" t="s">
        <v>497</v>
      </c>
      <c r="R17" s="580"/>
      <c r="S17" s="580"/>
      <c r="T17" s="580"/>
      <c r="U17" s="580"/>
      <c r="V17" s="580"/>
      <c r="W17" s="580"/>
      <c r="X17" s="580"/>
      <c r="Y17" s="580"/>
      <c r="Z17" s="580"/>
      <c r="AA17" s="580"/>
      <c r="AB17" s="580"/>
      <c r="AC17" s="580"/>
      <c r="AD17" s="580"/>
      <c r="AE17" s="580"/>
      <c r="AF17" s="580"/>
      <c r="AG17" s="580"/>
      <c r="AH17" s="580"/>
      <c r="AI17" s="580"/>
      <c r="AJ17" s="580"/>
      <c r="AK17" s="580"/>
      <c r="AL17" s="580"/>
      <c r="AM17" s="580"/>
      <c r="AN17" s="580"/>
      <c r="AO17" s="580"/>
      <c r="AP17" s="580"/>
      <c r="AQ17" s="580"/>
      <c r="AR17" s="580"/>
      <c r="AS17" s="580"/>
      <c r="AT17" s="580"/>
      <c r="AU17" s="580"/>
      <c r="AV17" s="580"/>
      <c r="AW17" s="580"/>
      <c r="AX17" s="580"/>
      <c r="AY17" s="580"/>
      <c r="AZ17" s="580"/>
      <c r="BA17" s="580"/>
      <c r="BB17" s="580"/>
      <c r="BC17" s="581"/>
      <c r="BD17" s="449"/>
      <c r="BE17" s="450"/>
      <c r="BF17" s="450"/>
      <c r="BG17" s="450"/>
      <c r="BH17" s="450"/>
      <c r="BI17" s="450"/>
      <c r="BJ17" s="451"/>
    </row>
    <row r="18" spans="1:62" ht="49.5" customHeight="1">
      <c r="A18" s="558">
        <f t="shared" si="1"/>
        <v>10</v>
      </c>
      <c r="B18" s="559"/>
      <c r="C18" s="560"/>
      <c r="D18" s="585" t="s">
        <v>437</v>
      </c>
      <c r="E18" s="586"/>
      <c r="F18" s="586"/>
      <c r="G18" s="586"/>
      <c r="H18" s="586"/>
      <c r="I18" s="586"/>
      <c r="J18" s="586"/>
      <c r="K18" s="586"/>
      <c r="L18" s="586"/>
      <c r="M18" s="586"/>
      <c r="N18" s="586"/>
      <c r="O18" s="586"/>
      <c r="P18" s="587"/>
      <c r="Q18" s="579" t="s">
        <v>498</v>
      </c>
      <c r="R18" s="580"/>
      <c r="S18" s="580"/>
      <c r="T18" s="580"/>
      <c r="U18" s="580"/>
      <c r="V18" s="580"/>
      <c r="W18" s="580"/>
      <c r="X18" s="580"/>
      <c r="Y18" s="580"/>
      <c r="Z18" s="580"/>
      <c r="AA18" s="580"/>
      <c r="AB18" s="580"/>
      <c r="AC18" s="580"/>
      <c r="AD18" s="580"/>
      <c r="AE18" s="580"/>
      <c r="AF18" s="580"/>
      <c r="AG18" s="580"/>
      <c r="AH18" s="580"/>
      <c r="AI18" s="580"/>
      <c r="AJ18" s="580"/>
      <c r="AK18" s="580"/>
      <c r="AL18" s="580"/>
      <c r="AM18" s="580"/>
      <c r="AN18" s="580"/>
      <c r="AO18" s="580"/>
      <c r="AP18" s="580"/>
      <c r="AQ18" s="580"/>
      <c r="AR18" s="580"/>
      <c r="AS18" s="580"/>
      <c r="AT18" s="580"/>
      <c r="AU18" s="580"/>
      <c r="AV18" s="580"/>
      <c r="AW18" s="580"/>
      <c r="AX18" s="580"/>
      <c r="AY18" s="580"/>
      <c r="AZ18" s="580"/>
      <c r="BA18" s="580"/>
      <c r="BB18" s="580"/>
      <c r="BC18" s="581"/>
      <c r="BD18" s="449"/>
      <c r="BE18" s="450"/>
      <c r="BF18" s="450"/>
      <c r="BG18" s="450"/>
      <c r="BH18" s="450"/>
      <c r="BI18" s="450"/>
      <c r="BJ18" s="451"/>
    </row>
    <row r="19" spans="1:62" ht="30" customHeight="1">
      <c r="A19" s="558">
        <f t="shared" si="1"/>
        <v>11</v>
      </c>
      <c r="B19" s="559"/>
      <c r="C19" s="560"/>
      <c r="D19" s="585" t="s">
        <v>438</v>
      </c>
      <c r="E19" s="586"/>
      <c r="F19" s="586"/>
      <c r="G19" s="586"/>
      <c r="H19" s="586"/>
      <c r="I19" s="586"/>
      <c r="J19" s="586"/>
      <c r="K19" s="586"/>
      <c r="L19" s="586"/>
      <c r="M19" s="586"/>
      <c r="N19" s="586"/>
      <c r="O19" s="586"/>
      <c r="P19" s="587"/>
      <c r="Q19" s="579" t="s">
        <v>439</v>
      </c>
      <c r="R19" s="580"/>
      <c r="S19" s="580"/>
      <c r="T19" s="580"/>
      <c r="U19" s="580"/>
      <c r="V19" s="580"/>
      <c r="W19" s="580"/>
      <c r="X19" s="580"/>
      <c r="Y19" s="580"/>
      <c r="Z19" s="580"/>
      <c r="AA19" s="580"/>
      <c r="AB19" s="580"/>
      <c r="AC19" s="580"/>
      <c r="AD19" s="580"/>
      <c r="AE19" s="580"/>
      <c r="AF19" s="580"/>
      <c r="AG19" s="580"/>
      <c r="AH19" s="580"/>
      <c r="AI19" s="580"/>
      <c r="AJ19" s="580"/>
      <c r="AK19" s="580"/>
      <c r="AL19" s="580"/>
      <c r="AM19" s="580"/>
      <c r="AN19" s="580"/>
      <c r="AO19" s="580"/>
      <c r="AP19" s="580"/>
      <c r="AQ19" s="580"/>
      <c r="AR19" s="580"/>
      <c r="AS19" s="580"/>
      <c r="AT19" s="580"/>
      <c r="AU19" s="580"/>
      <c r="AV19" s="580"/>
      <c r="AW19" s="580"/>
      <c r="AX19" s="580"/>
      <c r="AY19" s="580"/>
      <c r="AZ19" s="580"/>
      <c r="BA19" s="580"/>
      <c r="BB19" s="580"/>
      <c r="BC19" s="581"/>
      <c r="BD19" s="449"/>
      <c r="BE19" s="450"/>
      <c r="BF19" s="450"/>
      <c r="BG19" s="450"/>
      <c r="BH19" s="450"/>
      <c r="BI19" s="450"/>
      <c r="BJ19" s="451"/>
    </row>
    <row r="20" spans="1:62" ht="47.9" customHeight="1">
      <c r="A20" s="558">
        <f t="shared" si="1"/>
        <v>12</v>
      </c>
      <c r="B20" s="559"/>
      <c r="C20" s="560"/>
      <c r="D20" s="585" t="s">
        <v>440</v>
      </c>
      <c r="E20" s="586"/>
      <c r="F20" s="586"/>
      <c r="G20" s="586"/>
      <c r="H20" s="586"/>
      <c r="I20" s="586"/>
      <c r="J20" s="586"/>
      <c r="K20" s="586"/>
      <c r="L20" s="586"/>
      <c r="M20" s="586"/>
      <c r="N20" s="586"/>
      <c r="O20" s="586"/>
      <c r="P20" s="587"/>
      <c r="Q20" s="579" t="s">
        <v>499</v>
      </c>
      <c r="R20" s="580"/>
      <c r="S20" s="580"/>
      <c r="T20" s="580"/>
      <c r="U20" s="580"/>
      <c r="V20" s="580"/>
      <c r="W20" s="580"/>
      <c r="X20" s="580"/>
      <c r="Y20" s="580"/>
      <c r="Z20" s="580"/>
      <c r="AA20" s="580"/>
      <c r="AB20" s="580"/>
      <c r="AC20" s="580"/>
      <c r="AD20" s="580"/>
      <c r="AE20" s="580"/>
      <c r="AF20" s="580"/>
      <c r="AG20" s="580"/>
      <c r="AH20" s="580"/>
      <c r="AI20" s="580"/>
      <c r="AJ20" s="580"/>
      <c r="AK20" s="580"/>
      <c r="AL20" s="580"/>
      <c r="AM20" s="580"/>
      <c r="AN20" s="580"/>
      <c r="AO20" s="580"/>
      <c r="AP20" s="580"/>
      <c r="AQ20" s="580"/>
      <c r="AR20" s="580"/>
      <c r="AS20" s="580"/>
      <c r="AT20" s="580"/>
      <c r="AU20" s="580"/>
      <c r="AV20" s="580"/>
      <c r="AW20" s="580"/>
      <c r="AX20" s="580"/>
      <c r="AY20" s="580"/>
      <c r="AZ20" s="580"/>
      <c r="BA20" s="580"/>
      <c r="BB20" s="580"/>
      <c r="BC20" s="581"/>
      <c r="BD20" s="449"/>
      <c r="BE20" s="450"/>
      <c r="BF20" s="450"/>
      <c r="BG20" s="450"/>
      <c r="BH20" s="450"/>
      <c r="BI20" s="450"/>
      <c r="BJ20" s="451"/>
    </row>
    <row r="21" spans="1:62" ht="30" customHeight="1">
      <c r="A21" s="558">
        <f t="shared" si="1"/>
        <v>13</v>
      </c>
      <c r="B21" s="559"/>
      <c r="C21" s="560"/>
      <c r="D21" s="585" t="s">
        <v>467</v>
      </c>
      <c r="E21" s="586"/>
      <c r="F21" s="586"/>
      <c r="G21" s="586"/>
      <c r="H21" s="586"/>
      <c r="I21" s="586"/>
      <c r="J21" s="586"/>
      <c r="K21" s="586"/>
      <c r="L21" s="586"/>
      <c r="M21" s="586"/>
      <c r="N21" s="586"/>
      <c r="O21" s="586"/>
      <c r="P21" s="587"/>
      <c r="Q21" s="579" t="s">
        <v>468</v>
      </c>
      <c r="R21" s="580"/>
      <c r="S21" s="580"/>
      <c r="T21" s="580"/>
      <c r="U21" s="580"/>
      <c r="V21" s="580"/>
      <c r="W21" s="580"/>
      <c r="X21" s="580"/>
      <c r="Y21" s="580"/>
      <c r="Z21" s="580"/>
      <c r="AA21" s="580"/>
      <c r="AB21" s="580"/>
      <c r="AC21" s="580"/>
      <c r="AD21" s="580"/>
      <c r="AE21" s="580"/>
      <c r="AF21" s="580"/>
      <c r="AG21" s="580"/>
      <c r="AH21" s="580"/>
      <c r="AI21" s="580"/>
      <c r="AJ21" s="580"/>
      <c r="AK21" s="580"/>
      <c r="AL21" s="580"/>
      <c r="AM21" s="580"/>
      <c r="AN21" s="580"/>
      <c r="AO21" s="580"/>
      <c r="AP21" s="580"/>
      <c r="AQ21" s="580"/>
      <c r="AR21" s="580"/>
      <c r="AS21" s="580"/>
      <c r="AT21" s="580"/>
      <c r="AU21" s="580"/>
      <c r="AV21" s="580"/>
      <c r="AW21" s="580"/>
      <c r="AX21" s="580"/>
      <c r="AY21" s="580"/>
      <c r="AZ21" s="580"/>
      <c r="BA21" s="580"/>
      <c r="BB21" s="580"/>
      <c r="BC21" s="581"/>
      <c r="BD21" s="449"/>
      <c r="BE21" s="450"/>
      <c r="BF21" s="450"/>
      <c r="BG21" s="450"/>
      <c r="BH21" s="450"/>
      <c r="BI21" s="450"/>
      <c r="BJ21" s="451"/>
    </row>
    <row r="22" spans="1:62" ht="30" customHeight="1">
      <c r="A22" s="558">
        <f t="shared" si="1"/>
        <v>14</v>
      </c>
      <c r="B22" s="559"/>
      <c r="C22" s="560"/>
      <c r="D22" s="585" t="s">
        <v>441</v>
      </c>
      <c r="E22" s="586"/>
      <c r="F22" s="586"/>
      <c r="G22" s="586"/>
      <c r="H22" s="586"/>
      <c r="I22" s="586"/>
      <c r="J22" s="586"/>
      <c r="K22" s="586"/>
      <c r="L22" s="586"/>
      <c r="M22" s="586"/>
      <c r="N22" s="586"/>
      <c r="O22" s="586"/>
      <c r="P22" s="587"/>
      <c r="Q22" s="579" t="s">
        <v>442</v>
      </c>
      <c r="R22" s="580"/>
      <c r="S22" s="580"/>
      <c r="T22" s="580"/>
      <c r="U22" s="580"/>
      <c r="V22" s="580"/>
      <c r="W22" s="580"/>
      <c r="X22" s="580"/>
      <c r="Y22" s="580"/>
      <c r="Z22" s="580"/>
      <c r="AA22" s="580"/>
      <c r="AB22" s="580"/>
      <c r="AC22" s="580"/>
      <c r="AD22" s="580"/>
      <c r="AE22" s="580"/>
      <c r="AF22" s="580"/>
      <c r="AG22" s="580"/>
      <c r="AH22" s="580"/>
      <c r="AI22" s="580"/>
      <c r="AJ22" s="580"/>
      <c r="AK22" s="580"/>
      <c r="AL22" s="580"/>
      <c r="AM22" s="580"/>
      <c r="AN22" s="580"/>
      <c r="AO22" s="580"/>
      <c r="AP22" s="580"/>
      <c r="AQ22" s="580"/>
      <c r="AR22" s="580"/>
      <c r="AS22" s="580"/>
      <c r="AT22" s="580"/>
      <c r="AU22" s="580"/>
      <c r="AV22" s="580"/>
      <c r="AW22" s="580"/>
      <c r="AX22" s="580"/>
      <c r="AY22" s="580"/>
      <c r="AZ22" s="580"/>
      <c r="BA22" s="580"/>
      <c r="BB22" s="580"/>
      <c r="BC22" s="581"/>
      <c r="BD22" s="449"/>
      <c r="BE22" s="450"/>
      <c r="BF22" s="450"/>
      <c r="BG22" s="450"/>
      <c r="BH22" s="450"/>
      <c r="BI22" s="450"/>
      <c r="BJ22" s="451"/>
    </row>
    <row r="23" spans="1:62" ht="30" customHeight="1">
      <c r="A23" s="558">
        <f t="shared" si="1"/>
        <v>15</v>
      </c>
      <c r="B23" s="559"/>
      <c r="C23" s="560"/>
      <c r="D23" s="585" t="s">
        <v>443</v>
      </c>
      <c r="E23" s="586"/>
      <c r="F23" s="586"/>
      <c r="G23" s="586"/>
      <c r="H23" s="586"/>
      <c r="I23" s="586"/>
      <c r="J23" s="586"/>
      <c r="K23" s="586"/>
      <c r="L23" s="586"/>
      <c r="M23" s="586"/>
      <c r="N23" s="586"/>
      <c r="O23" s="586"/>
      <c r="P23" s="587"/>
      <c r="Q23" s="579" t="s">
        <v>444</v>
      </c>
      <c r="R23" s="580"/>
      <c r="S23" s="580"/>
      <c r="T23" s="580"/>
      <c r="U23" s="580"/>
      <c r="V23" s="580"/>
      <c r="W23" s="580"/>
      <c r="X23" s="580"/>
      <c r="Y23" s="580"/>
      <c r="Z23" s="580"/>
      <c r="AA23" s="580"/>
      <c r="AB23" s="580"/>
      <c r="AC23" s="580"/>
      <c r="AD23" s="580"/>
      <c r="AE23" s="580"/>
      <c r="AF23" s="580"/>
      <c r="AG23" s="580"/>
      <c r="AH23" s="580"/>
      <c r="AI23" s="580"/>
      <c r="AJ23" s="580"/>
      <c r="AK23" s="580"/>
      <c r="AL23" s="580"/>
      <c r="AM23" s="580"/>
      <c r="AN23" s="580"/>
      <c r="AO23" s="580"/>
      <c r="AP23" s="580"/>
      <c r="AQ23" s="580"/>
      <c r="AR23" s="580"/>
      <c r="AS23" s="580"/>
      <c r="AT23" s="580"/>
      <c r="AU23" s="580"/>
      <c r="AV23" s="580"/>
      <c r="AW23" s="580"/>
      <c r="AX23" s="580"/>
      <c r="AY23" s="580"/>
      <c r="AZ23" s="580"/>
      <c r="BA23" s="580"/>
      <c r="BB23" s="580"/>
      <c r="BC23" s="581"/>
      <c r="BD23" s="449"/>
      <c r="BE23" s="450"/>
      <c r="BF23" s="450"/>
      <c r="BG23" s="450"/>
      <c r="BH23" s="450"/>
      <c r="BI23" s="450"/>
      <c r="BJ23" s="451"/>
    </row>
    <row r="24" spans="1:62" ht="30" customHeight="1">
      <c r="A24" s="558">
        <f t="shared" si="1"/>
        <v>16</v>
      </c>
      <c r="B24" s="559"/>
      <c r="C24" s="560"/>
      <c r="D24" s="585" t="s">
        <v>445</v>
      </c>
      <c r="E24" s="586"/>
      <c r="F24" s="586"/>
      <c r="G24" s="586"/>
      <c r="H24" s="586"/>
      <c r="I24" s="586"/>
      <c r="J24" s="586"/>
      <c r="K24" s="586"/>
      <c r="L24" s="586"/>
      <c r="M24" s="586"/>
      <c r="N24" s="586"/>
      <c r="O24" s="586"/>
      <c r="P24" s="587"/>
      <c r="Q24" s="579" t="s">
        <v>446</v>
      </c>
      <c r="R24" s="580"/>
      <c r="S24" s="580"/>
      <c r="T24" s="580"/>
      <c r="U24" s="580"/>
      <c r="V24" s="580"/>
      <c r="W24" s="580"/>
      <c r="X24" s="580"/>
      <c r="Y24" s="580"/>
      <c r="Z24" s="580"/>
      <c r="AA24" s="580"/>
      <c r="AB24" s="580"/>
      <c r="AC24" s="580"/>
      <c r="AD24" s="580"/>
      <c r="AE24" s="580"/>
      <c r="AF24" s="580"/>
      <c r="AG24" s="580"/>
      <c r="AH24" s="580"/>
      <c r="AI24" s="580"/>
      <c r="AJ24" s="580"/>
      <c r="AK24" s="580"/>
      <c r="AL24" s="580"/>
      <c r="AM24" s="580"/>
      <c r="AN24" s="580"/>
      <c r="AO24" s="580"/>
      <c r="AP24" s="580"/>
      <c r="AQ24" s="580"/>
      <c r="AR24" s="580"/>
      <c r="AS24" s="580"/>
      <c r="AT24" s="580"/>
      <c r="AU24" s="580"/>
      <c r="AV24" s="580"/>
      <c r="AW24" s="580"/>
      <c r="AX24" s="580"/>
      <c r="AY24" s="580"/>
      <c r="AZ24" s="580"/>
      <c r="BA24" s="580"/>
      <c r="BB24" s="580"/>
      <c r="BC24" s="581"/>
      <c r="BD24" s="449"/>
      <c r="BE24" s="450"/>
      <c r="BF24" s="450"/>
      <c r="BG24" s="450"/>
      <c r="BH24" s="450"/>
      <c r="BI24" s="450"/>
      <c r="BJ24" s="451"/>
    </row>
    <row r="25" spans="1:62" ht="40.4" customHeight="1">
      <c r="A25" s="558">
        <f t="shared" si="1"/>
        <v>17</v>
      </c>
      <c r="B25" s="559"/>
      <c r="C25" s="560"/>
      <c r="D25" s="585" t="s">
        <v>447</v>
      </c>
      <c r="E25" s="586"/>
      <c r="F25" s="586"/>
      <c r="G25" s="586"/>
      <c r="H25" s="586"/>
      <c r="I25" s="586"/>
      <c r="J25" s="586"/>
      <c r="K25" s="586"/>
      <c r="L25" s="586"/>
      <c r="M25" s="586"/>
      <c r="N25" s="586"/>
      <c r="O25" s="586"/>
      <c r="P25" s="587"/>
      <c r="Q25" s="579" t="s">
        <v>500</v>
      </c>
      <c r="R25" s="580"/>
      <c r="S25" s="580"/>
      <c r="T25" s="580"/>
      <c r="U25" s="580"/>
      <c r="V25" s="580"/>
      <c r="W25" s="580"/>
      <c r="X25" s="580"/>
      <c r="Y25" s="580"/>
      <c r="Z25" s="580"/>
      <c r="AA25" s="580"/>
      <c r="AB25" s="580"/>
      <c r="AC25" s="580"/>
      <c r="AD25" s="580"/>
      <c r="AE25" s="580"/>
      <c r="AF25" s="580"/>
      <c r="AG25" s="580"/>
      <c r="AH25" s="580"/>
      <c r="AI25" s="580"/>
      <c r="AJ25" s="580"/>
      <c r="AK25" s="580"/>
      <c r="AL25" s="580"/>
      <c r="AM25" s="580"/>
      <c r="AN25" s="580"/>
      <c r="AO25" s="580"/>
      <c r="AP25" s="580"/>
      <c r="AQ25" s="580"/>
      <c r="AR25" s="580"/>
      <c r="AS25" s="580"/>
      <c r="AT25" s="580"/>
      <c r="AU25" s="580"/>
      <c r="AV25" s="580"/>
      <c r="AW25" s="580"/>
      <c r="AX25" s="580"/>
      <c r="AY25" s="580"/>
      <c r="AZ25" s="580"/>
      <c r="BA25" s="580"/>
      <c r="BB25" s="580"/>
      <c r="BC25" s="581"/>
      <c r="BD25" s="449"/>
      <c r="BE25" s="450"/>
      <c r="BF25" s="450"/>
      <c r="BG25" s="450"/>
      <c r="BH25" s="450"/>
      <c r="BI25" s="450"/>
      <c r="BJ25" s="451"/>
    </row>
    <row r="26" spans="1:62" ht="38.9" customHeight="1">
      <c r="A26" s="558">
        <f t="shared" si="1"/>
        <v>18</v>
      </c>
      <c r="B26" s="559"/>
      <c r="C26" s="560"/>
      <c r="D26" s="585" t="s">
        <v>448</v>
      </c>
      <c r="E26" s="586"/>
      <c r="F26" s="586"/>
      <c r="G26" s="586"/>
      <c r="H26" s="586"/>
      <c r="I26" s="586"/>
      <c r="J26" s="586"/>
      <c r="K26" s="586"/>
      <c r="L26" s="586"/>
      <c r="M26" s="586"/>
      <c r="N26" s="586"/>
      <c r="O26" s="586"/>
      <c r="P26" s="587"/>
      <c r="Q26" s="579" t="s">
        <v>501</v>
      </c>
      <c r="R26" s="580"/>
      <c r="S26" s="580"/>
      <c r="T26" s="580"/>
      <c r="U26" s="580"/>
      <c r="V26" s="580"/>
      <c r="W26" s="580"/>
      <c r="X26" s="580"/>
      <c r="Y26" s="580"/>
      <c r="Z26" s="580"/>
      <c r="AA26" s="580"/>
      <c r="AB26" s="580"/>
      <c r="AC26" s="580"/>
      <c r="AD26" s="580"/>
      <c r="AE26" s="580"/>
      <c r="AF26" s="580"/>
      <c r="AG26" s="580"/>
      <c r="AH26" s="580"/>
      <c r="AI26" s="580"/>
      <c r="AJ26" s="580"/>
      <c r="AK26" s="580"/>
      <c r="AL26" s="580"/>
      <c r="AM26" s="580"/>
      <c r="AN26" s="580"/>
      <c r="AO26" s="580"/>
      <c r="AP26" s="580"/>
      <c r="AQ26" s="580"/>
      <c r="AR26" s="580"/>
      <c r="AS26" s="580"/>
      <c r="AT26" s="580"/>
      <c r="AU26" s="580"/>
      <c r="AV26" s="580"/>
      <c r="AW26" s="580"/>
      <c r="AX26" s="580"/>
      <c r="AY26" s="580"/>
      <c r="AZ26" s="580"/>
      <c r="BA26" s="580"/>
      <c r="BB26" s="580"/>
      <c r="BC26" s="581"/>
      <c r="BD26" s="449"/>
      <c r="BE26" s="450"/>
      <c r="BF26" s="450"/>
      <c r="BG26" s="450"/>
      <c r="BH26" s="450"/>
      <c r="BI26" s="450"/>
      <c r="BJ26" s="451"/>
    </row>
    <row r="27" spans="1:62" ht="38.9" customHeight="1">
      <c r="A27" s="558">
        <f t="shared" si="1"/>
        <v>19</v>
      </c>
      <c r="B27" s="559"/>
      <c r="C27" s="560"/>
      <c r="D27" s="585" t="s">
        <v>449</v>
      </c>
      <c r="E27" s="586"/>
      <c r="F27" s="586"/>
      <c r="G27" s="586"/>
      <c r="H27" s="586"/>
      <c r="I27" s="586"/>
      <c r="J27" s="586"/>
      <c r="K27" s="586"/>
      <c r="L27" s="586"/>
      <c r="M27" s="586"/>
      <c r="N27" s="586"/>
      <c r="O27" s="586"/>
      <c r="P27" s="587"/>
      <c r="Q27" s="579" t="s">
        <v>502</v>
      </c>
      <c r="R27" s="580"/>
      <c r="S27" s="580"/>
      <c r="T27" s="580"/>
      <c r="U27" s="580"/>
      <c r="V27" s="580"/>
      <c r="W27" s="580"/>
      <c r="X27" s="580"/>
      <c r="Y27" s="580"/>
      <c r="Z27" s="580"/>
      <c r="AA27" s="580"/>
      <c r="AB27" s="580"/>
      <c r="AC27" s="580"/>
      <c r="AD27" s="580"/>
      <c r="AE27" s="580"/>
      <c r="AF27" s="580"/>
      <c r="AG27" s="580"/>
      <c r="AH27" s="580"/>
      <c r="AI27" s="580"/>
      <c r="AJ27" s="580"/>
      <c r="AK27" s="580"/>
      <c r="AL27" s="580"/>
      <c r="AM27" s="580"/>
      <c r="AN27" s="580"/>
      <c r="AO27" s="580"/>
      <c r="AP27" s="580"/>
      <c r="AQ27" s="580"/>
      <c r="AR27" s="580"/>
      <c r="AS27" s="580"/>
      <c r="AT27" s="580"/>
      <c r="AU27" s="580"/>
      <c r="AV27" s="580"/>
      <c r="AW27" s="580"/>
      <c r="AX27" s="580"/>
      <c r="AY27" s="580"/>
      <c r="AZ27" s="580"/>
      <c r="BA27" s="580"/>
      <c r="BB27" s="580"/>
      <c r="BC27" s="581"/>
      <c r="BD27" s="449"/>
      <c r="BE27" s="450"/>
      <c r="BF27" s="450"/>
      <c r="BG27" s="450"/>
      <c r="BH27" s="450"/>
      <c r="BI27" s="450"/>
      <c r="BJ27" s="451"/>
    </row>
    <row r="28" spans="1:62" ht="45" customHeight="1">
      <c r="A28" s="558">
        <f t="shared" si="1"/>
        <v>20</v>
      </c>
      <c r="B28" s="559"/>
      <c r="C28" s="560"/>
      <c r="D28" s="585" t="s">
        <v>455</v>
      </c>
      <c r="E28" s="586"/>
      <c r="F28" s="586"/>
      <c r="G28" s="586"/>
      <c r="H28" s="586"/>
      <c r="I28" s="586"/>
      <c r="J28" s="586"/>
      <c r="K28" s="586"/>
      <c r="L28" s="586"/>
      <c r="M28" s="586"/>
      <c r="N28" s="586"/>
      <c r="O28" s="586"/>
      <c r="P28" s="587"/>
      <c r="Q28" s="579" t="s">
        <v>456</v>
      </c>
      <c r="R28" s="580"/>
      <c r="S28" s="580"/>
      <c r="T28" s="580"/>
      <c r="U28" s="580"/>
      <c r="V28" s="580"/>
      <c r="W28" s="580"/>
      <c r="X28" s="580"/>
      <c r="Y28" s="580"/>
      <c r="Z28" s="580"/>
      <c r="AA28" s="580"/>
      <c r="AB28" s="580"/>
      <c r="AC28" s="580"/>
      <c r="AD28" s="580"/>
      <c r="AE28" s="580"/>
      <c r="AF28" s="580"/>
      <c r="AG28" s="580"/>
      <c r="AH28" s="580"/>
      <c r="AI28" s="580"/>
      <c r="AJ28" s="580"/>
      <c r="AK28" s="580"/>
      <c r="AL28" s="580"/>
      <c r="AM28" s="580"/>
      <c r="AN28" s="580"/>
      <c r="AO28" s="580"/>
      <c r="AP28" s="580"/>
      <c r="AQ28" s="580"/>
      <c r="AR28" s="580"/>
      <c r="AS28" s="580"/>
      <c r="AT28" s="580"/>
      <c r="AU28" s="580"/>
      <c r="AV28" s="580"/>
      <c r="AW28" s="580"/>
      <c r="AX28" s="580"/>
      <c r="AY28" s="580"/>
      <c r="AZ28" s="580"/>
      <c r="BA28" s="580"/>
      <c r="BB28" s="580"/>
      <c r="BC28" s="581"/>
      <c r="BD28" s="582"/>
      <c r="BE28" s="583"/>
      <c r="BF28" s="583"/>
      <c r="BG28" s="583"/>
      <c r="BH28" s="583"/>
      <c r="BI28" s="583"/>
      <c r="BJ28" s="584"/>
    </row>
    <row r="29" spans="1:62" ht="45" customHeight="1">
      <c r="A29" s="558">
        <f t="shared" si="1"/>
        <v>21</v>
      </c>
      <c r="B29" s="559"/>
      <c r="C29" s="560"/>
      <c r="D29" s="585" t="s">
        <v>457</v>
      </c>
      <c r="E29" s="586"/>
      <c r="F29" s="586"/>
      <c r="G29" s="586"/>
      <c r="H29" s="586"/>
      <c r="I29" s="586"/>
      <c r="J29" s="586"/>
      <c r="K29" s="586"/>
      <c r="L29" s="586"/>
      <c r="M29" s="586"/>
      <c r="N29" s="586"/>
      <c r="O29" s="586"/>
      <c r="P29" s="587"/>
      <c r="Q29" s="579" t="s">
        <v>458</v>
      </c>
      <c r="R29" s="580"/>
      <c r="S29" s="580"/>
      <c r="T29" s="580"/>
      <c r="U29" s="580"/>
      <c r="V29" s="580"/>
      <c r="W29" s="580"/>
      <c r="X29" s="580"/>
      <c r="Y29" s="580"/>
      <c r="Z29" s="580"/>
      <c r="AA29" s="580"/>
      <c r="AB29" s="580"/>
      <c r="AC29" s="580"/>
      <c r="AD29" s="580"/>
      <c r="AE29" s="580"/>
      <c r="AF29" s="580"/>
      <c r="AG29" s="580"/>
      <c r="AH29" s="580"/>
      <c r="AI29" s="580"/>
      <c r="AJ29" s="580"/>
      <c r="AK29" s="580"/>
      <c r="AL29" s="580"/>
      <c r="AM29" s="580"/>
      <c r="AN29" s="580"/>
      <c r="AO29" s="580"/>
      <c r="AP29" s="580"/>
      <c r="AQ29" s="580"/>
      <c r="AR29" s="580"/>
      <c r="AS29" s="580"/>
      <c r="AT29" s="580"/>
      <c r="AU29" s="580"/>
      <c r="AV29" s="580"/>
      <c r="AW29" s="580"/>
      <c r="AX29" s="580"/>
      <c r="AY29" s="580"/>
      <c r="AZ29" s="580"/>
      <c r="BA29" s="580"/>
      <c r="BB29" s="580"/>
      <c r="BC29" s="581"/>
      <c r="BD29" s="582"/>
      <c r="BE29" s="583"/>
      <c r="BF29" s="583"/>
      <c r="BG29" s="583"/>
      <c r="BH29" s="583"/>
      <c r="BI29" s="583"/>
      <c r="BJ29" s="584"/>
    </row>
    <row r="30" spans="1:62" ht="45" customHeight="1">
      <c r="A30" s="558">
        <f t="shared" si="1"/>
        <v>22</v>
      </c>
      <c r="B30" s="559"/>
      <c r="C30" s="560"/>
      <c r="D30" s="585" t="s">
        <v>459</v>
      </c>
      <c r="E30" s="586"/>
      <c r="F30" s="586"/>
      <c r="G30" s="586"/>
      <c r="H30" s="586"/>
      <c r="I30" s="586"/>
      <c r="J30" s="586"/>
      <c r="K30" s="586"/>
      <c r="L30" s="586"/>
      <c r="M30" s="586"/>
      <c r="N30" s="586"/>
      <c r="O30" s="586"/>
      <c r="P30" s="587"/>
      <c r="Q30" s="579" t="s">
        <v>460</v>
      </c>
      <c r="R30" s="580"/>
      <c r="S30" s="580"/>
      <c r="T30" s="580"/>
      <c r="U30" s="580"/>
      <c r="V30" s="580"/>
      <c r="W30" s="580"/>
      <c r="X30" s="580"/>
      <c r="Y30" s="580"/>
      <c r="Z30" s="580"/>
      <c r="AA30" s="580"/>
      <c r="AB30" s="580"/>
      <c r="AC30" s="580"/>
      <c r="AD30" s="580"/>
      <c r="AE30" s="580"/>
      <c r="AF30" s="580"/>
      <c r="AG30" s="580"/>
      <c r="AH30" s="580"/>
      <c r="AI30" s="580"/>
      <c r="AJ30" s="580"/>
      <c r="AK30" s="580"/>
      <c r="AL30" s="580"/>
      <c r="AM30" s="580"/>
      <c r="AN30" s="580"/>
      <c r="AO30" s="580"/>
      <c r="AP30" s="580"/>
      <c r="AQ30" s="580"/>
      <c r="AR30" s="580"/>
      <c r="AS30" s="580"/>
      <c r="AT30" s="580"/>
      <c r="AU30" s="580"/>
      <c r="AV30" s="580"/>
      <c r="AW30" s="580"/>
      <c r="AX30" s="580"/>
      <c r="AY30" s="580"/>
      <c r="AZ30" s="580"/>
      <c r="BA30" s="580"/>
      <c r="BB30" s="580"/>
      <c r="BC30" s="581"/>
      <c r="BD30" s="582"/>
      <c r="BE30" s="583"/>
      <c r="BF30" s="583"/>
      <c r="BG30" s="583"/>
      <c r="BH30" s="583"/>
      <c r="BI30" s="583"/>
      <c r="BJ30" s="584"/>
    </row>
    <row r="31" spans="1:62" ht="30" customHeight="1">
      <c r="A31" s="558"/>
      <c r="B31" s="559"/>
      <c r="C31" s="560"/>
      <c r="D31" s="495"/>
      <c r="E31" s="496"/>
      <c r="F31" s="496"/>
      <c r="G31" s="496"/>
      <c r="H31" s="496"/>
      <c r="I31" s="496"/>
      <c r="J31" s="496"/>
      <c r="K31" s="496"/>
      <c r="L31" s="496"/>
      <c r="M31" s="496"/>
      <c r="N31" s="496"/>
      <c r="O31" s="496"/>
      <c r="P31" s="497"/>
      <c r="Q31" s="452"/>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5"/>
      <c r="BD31" s="449"/>
      <c r="BE31" s="450"/>
      <c r="BF31" s="450"/>
      <c r="BG31" s="450"/>
      <c r="BH31" s="450"/>
      <c r="BI31" s="450"/>
      <c r="BJ31" s="451"/>
    </row>
    <row r="32" spans="1:62" ht="30" customHeight="1">
      <c r="A32" s="558"/>
      <c r="B32" s="559"/>
      <c r="C32" s="560"/>
      <c r="D32" s="495"/>
      <c r="E32" s="496"/>
      <c r="F32" s="496"/>
      <c r="G32" s="496"/>
      <c r="H32" s="496"/>
      <c r="I32" s="496"/>
      <c r="J32" s="496"/>
      <c r="K32" s="496"/>
      <c r="L32" s="496"/>
      <c r="M32" s="496"/>
      <c r="N32" s="496"/>
      <c r="O32" s="496"/>
      <c r="P32" s="497"/>
      <c r="Q32" s="452"/>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5"/>
      <c r="BD32" s="449"/>
      <c r="BE32" s="450"/>
      <c r="BF32" s="450"/>
      <c r="BG32" s="450"/>
      <c r="BH32" s="450"/>
      <c r="BI32" s="450"/>
      <c r="BJ32" s="451"/>
    </row>
    <row r="33" spans="1:62" ht="30" customHeight="1">
      <c r="A33" s="522"/>
      <c r="B33" s="523"/>
      <c r="C33" s="524"/>
      <c r="D33" s="525"/>
      <c r="E33" s="526"/>
      <c r="F33" s="526"/>
      <c r="G33" s="526"/>
      <c r="H33" s="526"/>
      <c r="I33" s="526"/>
      <c r="J33" s="526"/>
      <c r="K33" s="526"/>
      <c r="L33" s="526"/>
      <c r="M33" s="526"/>
      <c r="N33" s="526"/>
      <c r="O33" s="526"/>
      <c r="P33" s="527"/>
      <c r="Q33" s="576"/>
      <c r="R33" s="577"/>
      <c r="S33" s="577"/>
      <c r="T33" s="577"/>
      <c r="U33" s="577"/>
      <c r="V33" s="577"/>
      <c r="W33" s="577"/>
      <c r="X33" s="577"/>
      <c r="Y33" s="577"/>
      <c r="Z33" s="577"/>
      <c r="AA33" s="577"/>
      <c r="AB33" s="577"/>
      <c r="AC33" s="577"/>
      <c r="AD33" s="577"/>
      <c r="AE33" s="577"/>
      <c r="AF33" s="577"/>
      <c r="AG33" s="577"/>
      <c r="AH33" s="577"/>
      <c r="AI33" s="577"/>
      <c r="AJ33" s="577"/>
      <c r="AK33" s="577"/>
      <c r="AL33" s="577"/>
      <c r="AM33" s="577"/>
      <c r="AN33" s="577"/>
      <c r="AO33" s="577"/>
      <c r="AP33" s="577"/>
      <c r="AQ33" s="577"/>
      <c r="AR33" s="577"/>
      <c r="AS33" s="577"/>
      <c r="AT33" s="577"/>
      <c r="AU33" s="577"/>
      <c r="AV33" s="577"/>
      <c r="AW33" s="577"/>
      <c r="AX33" s="577"/>
      <c r="AY33" s="577"/>
      <c r="AZ33" s="577"/>
      <c r="BA33" s="577"/>
      <c r="BB33" s="577"/>
      <c r="BC33" s="578"/>
      <c r="BD33" s="461"/>
      <c r="BE33" s="462"/>
      <c r="BF33" s="462"/>
      <c r="BG33" s="462"/>
      <c r="BH33" s="462"/>
      <c r="BI33" s="462"/>
      <c r="BJ33" s="463"/>
    </row>
    <row r="34" spans="1:62" s="20" customFormat="1" ht="3" customHeight="1">
      <c r="B34" s="21"/>
      <c r="C34" s="21"/>
      <c r="D34" s="21"/>
      <c r="E34" s="21"/>
      <c r="F34" s="21"/>
      <c r="G34" s="21"/>
      <c r="H34" s="21"/>
      <c r="I34" s="21"/>
      <c r="J34" s="21"/>
      <c r="K34" s="21"/>
      <c r="L34" s="21"/>
      <c r="M34" s="21"/>
      <c r="N34" s="21"/>
      <c r="O34" s="21"/>
      <c r="P34" s="21"/>
      <c r="Q34" s="21"/>
    </row>
    <row r="35" spans="1:62" ht="21" customHeight="1">
      <c r="B35" s="19"/>
      <c r="C35" s="19"/>
      <c r="D35" s="19"/>
      <c r="E35" s="19"/>
      <c r="F35" s="19"/>
      <c r="G35" s="19"/>
      <c r="H35" s="19"/>
      <c r="I35" s="19"/>
      <c r="J35" s="19"/>
      <c r="K35" s="19"/>
      <c r="L35" s="19"/>
      <c r="M35" s="19"/>
      <c r="N35" s="19"/>
      <c r="O35" s="19"/>
      <c r="P35" s="19"/>
      <c r="Q35" s="19"/>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119">
    <mergeCell ref="A12:C12"/>
    <mergeCell ref="D12:P12"/>
    <mergeCell ref="Q12:BC12"/>
    <mergeCell ref="BD12:BJ12"/>
    <mergeCell ref="A4:G4"/>
    <mergeCell ref="H4:AU4"/>
    <mergeCell ref="A10:C10"/>
    <mergeCell ref="A11:C11"/>
    <mergeCell ref="BD9:BJ9"/>
    <mergeCell ref="AV4:AY4"/>
    <mergeCell ref="AZ4:BJ4"/>
    <mergeCell ref="A6:G6"/>
    <mergeCell ref="Q8:BC8"/>
    <mergeCell ref="H6:BJ6"/>
    <mergeCell ref="BD8:BJ8"/>
    <mergeCell ref="D8:P8"/>
    <mergeCell ref="A9:C9"/>
    <mergeCell ref="A8:C8"/>
    <mergeCell ref="Q9:BC9"/>
    <mergeCell ref="A2:AU2"/>
    <mergeCell ref="AV2:AY2"/>
    <mergeCell ref="BD2:BF2"/>
    <mergeCell ref="BG2:BJ2"/>
    <mergeCell ref="A3:G3"/>
    <mergeCell ref="H3:AU3"/>
    <mergeCell ref="AV3:AY3"/>
    <mergeCell ref="AZ3:BJ3"/>
    <mergeCell ref="AZ2:BC2"/>
    <mergeCell ref="A33:C33"/>
    <mergeCell ref="D31:P31"/>
    <mergeCell ref="D32:P32"/>
    <mergeCell ref="D33:P33"/>
    <mergeCell ref="D9:P9"/>
    <mergeCell ref="D10:P10"/>
    <mergeCell ref="D11:P11"/>
    <mergeCell ref="D25:P25"/>
    <mergeCell ref="D26:P26"/>
    <mergeCell ref="D27:P27"/>
    <mergeCell ref="D28:P28"/>
    <mergeCell ref="D29:P29"/>
    <mergeCell ref="D30:P30"/>
    <mergeCell ref="A13:C13"/>
    <mergeCell ref="D22:P22"/>
    <mergeCell ref="D23:P23"/>
    <mergeCell ref="D24:P24"/>
    <mergeCell ref="D13:P13"/>
    <mergeCell ref="D16:P16"/>
    <mergeCell ref="D17:P17"/>
    <mergeCell ref="A19:C19"/>
    <mergeCell ref="A20:C20"/>
    <mergeCell ref="A22:C22"/>
    <mergeCell ref="A23:C23"/>
    <mergeCell ref="D18:P18"/>
    <mergeCell ref="D19:P19"/>
    <mergeCell ref="D20:P20"/>
    <mergeCell ref="D14:P14"/>
    <mergeCell ref="D15:P15"/>
    <mergeCell ref="A29:C29"/>
    <mergeCell ref="A30:C30"/>
    <mergeCell ref="A31:C31"/>
    <mergeCell ref="A32:C32"/>
    <mergeCell ref="A14:C14"/>
    <mergeCell ref="A15:C15"/>
    <mergeCell ref="A16:C16"/>
    <mergeCell ref="A17:C17"/>
    <mergeCell ref="A18:C18"/>
    <mergeCell ref="A24:C24"/>
    <mergeCell ref="A25:C25"/>
    <mergeCell ref="A26:C26"/>
    <mergeCell ref="A27:C27"/>
    <mergeCell ref="A28:C28"/>
    <mergeCell ref="A21:C21"/>
    <mergeCell ref="D21:P21"/>
    <mergeCell ref="Q13:BC13"/>
    <mergeCell ref="BD13:BJ13"/>
    <mergeCell ref="Q11:BC11"/>
    <mergeCell ref="BD11:BJ11"/>
    <mergeCell ref="BD29:BJ29"/>
    <mergeCell ref="Q22:BC22"/>
    <mergeCell ref="Q23:BC23"/>
    <mergeCell ref="Q24:BC24"/>
    <mergeCell ref="Q25:BC25"/>
    <mergeCell ref="Q26:BC26"/>
    <mergeCell ref="Q27:BC27"/>
    <mergeCell ref="Q28:BC28"/>
    <mergeCell ref="Q29:BC29"/>
    <mergeCell ref="Q14:BC14"/>
    <mergeCell ref="Q15:BC15"/>
    <mergeCell ref="Q16:BC16"/>
    <mergeCell ref="Q17:BC17"/>
    <mergeCell ref="Q18:BC18"/>
    <mergeCell ref="Q19:BC19"/>
    <mergeCell ref="Q20:BC20"/>
    <mergeCell ref="Q21:BC21"/>
    <mergeCell ref="BD21:BJ21"/>
    <mergeCell ref="Q31:BC31"/>
    <mergeCell ref="Q32:BC32"/>
    <mergeCell ref="BD33:BJ33"/>
    <mergeCell ref="BD31:BJ31"/>
    <mergeCell ref="BD32:BJ32"/>
    <mergeCell ref="Q33:BC33"/>
    <mergeCell ref="Q30:BC30"/>
    <mergeCell ref="Q10:BC10"/>
    <mergeCell ref="BD10:BJ10"/>
    <mergeCell ref="BD30:BJ30"/>
    <mergeCell ref="BD24:BJ24"/>
    <mergeCell ref="BD25:BJ25"/>
    <mergeCell ref="BD26:BJ26"/>
    <mergeCell ref="BD27:BJ27"/>
    <mergeCell ref="BD28:BJ28"/>
    <mergeCell ref="BD18:BJ18"/>
    <mergeCell ref="BD19:BJ19"/>
    <mergeCell ref="BD20:BJ20"/>
    <mergeCell ref="BD22:BJ22"/>
    <mergeCell ref="BD23:BJ23"/>
    <mergeCell ref="BD14:BJ14"/>
    <mergeCell ref="BD15:BJ15"/>
    <mergeCell ref="BD16:BJ16"/>
    <mergeCell ref="BD17:BJ17"/>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FBBE7-8BC7-42BA-ABC5-CB097CF24C43}">
  <sheetPr codeName="Sheet4"/>
  <dimension ref="A1:FO484"/>
  <sheetViews>
    <sheetView view="pageBreakPreview" zoomScaleNormal="90" zoomScaleSheetLayoutView="100" workbookViewId="0"/>
  </sheetViews>
  <sheetFormatPr defaultColWidth="1.90625" defaultRowHeight="11"/>
  <cols>
    <col min="1" max="3" width="1.90625" style="254" customWidth="1"/>
    <col min="4" max="83" width="1.90625" style="57" customWidth="1"/>
    <col min="84" max="84" width="1.90625" style="254" customWidth="1"/>
    <col min="85" max="171" width="1.90625" style="254"/>
    <col min="172" max="16384" width="1.90625" style="57"/>
  </cols>
  <sheetData>
    <row r="1" spans="1:171" s="249" customFormat="1" ht="19.5" customHeight="1">
      <c r="A1" s="247" t="s">
        <v>15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423"/>
      <c r="AU1" s="423"/>
      <c r="AV1" s="423"/>
      <c r="AW1" s="423"/>
      <c r="AX1" s="423"/>
      <c r="AY1" s="423"/>
      <c r="AZ1" s="423"/>
      <c r="BA1" s="423"/>
      <c r="BB1" s="423"/>
      <c r="BC1" s="423"/>
      <c r="BD1" s="423"/>
      <c r="BE1" s="423"/>
      <c r="BF1" s="423"/>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8" t="s">
        <v>1</v>
      </c>
      <c r="CH1" s="247"/>
      <c r="CI1" s="247"/>
      <c r="CJ1" s="247"/>
      <c r="CK1" s="247"/>
      <c r="CL1" s="247"/>
    </row>
    <row r="2" spans="1:171" s="252" customFormat="1" ht="19.5" customHeight="1">
      <c r="A2" s="424" t="s">
        <v>26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6"/>
      <c r="BP2" s="427" t="s">
        <v>3</v>
      </c>
      <c r="BQ2" s="428"/>
      <c r="BR2" s="428"/>
      <c r="BS2" s="428"/>
      <c r="BT2" s="428"/>
      <c r="BU2" s="429"/>
      <c r="BV2" s="250" t="s">
        <v>27</v>
      </c>
      <c r="BW2" s="146"/>
      <c r="BX2" s="147"/>
      <c r="BY2" s="250"/>
      <c r="BZ2" s="147"/>
      <c r="CA2" s="427" t="s">
        <v>5</v>
      </c>
      <c r="CB2" s="428"/>
      <c r="CC2" s="429"/>
      <c r="CD2" s="427"/>
      <c r="CE2" s="428"/>
      <c r="CF2" s="428"/>
      <c r="CG2" s="429"/>
      <c r="CH2" s="251"/>
      <c r="CI2" s="251"/>
      <c r="CJ2" s="251"/>
      <c r="CK2" s="251"/>
      <c r="CL2" s="251"/>
    </row>
    <row r="3" spans="1:171" s="249" customFormat="1" ht="19.5" customHeight="1">
      <c r="A3" s="427" t="s">
        <v>6</v>
      </c>
      <c r="B3" s="428"/>
      <c r="C3" s="428"/>
      <c r="D3" s="428"/>
      <c r="E3" s="428"/>
      <c r="F3" s="428"/>
      <c r="G3" s="428"/>
      <c r="H3" s="428"/>
      <c r="I3" s="428"/>
      <c r="J3" s="428"/>
      <c r="K3" s="429"/>
      <c r="L3" s="430" t="s">
        <v>291</v>
      </c>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2"/>
      <c r="BP3" s="427" t="s">
        <v>7</v>
      </c>
      <c r="BQ3" s="428"/>
      <c r="BR3" s="428"/>
      <c r="BS3" s="428"/>
      <c r="BT3" s="428"/>
      <c r="BU3" s="429"/>
      <c r="BV3" s="427" t="s">
        <v>287</v>
      </c>
      <c r="BW3" s="428"/>
      <c r="BX3" s="428"/>
      <c r="BY3" s="428"/>
      <c r="BZ3" s="428"/>
      <c r="CA3" s="428"/>
      <c r="CB3" s="428"/>
      <c r="CC3" s="428"/>
      <c r="CD3" s="428"/>
      <c r="CE3" s="428"/>
      <c r="CF3" s="428"/>
      <c r="CG3" s="429"/>
      <c r="CH3" s="247"/>
      <c r="CI3" s="247"/>
      <c r="CJ3" s="247"/>
      <c r="CK3" s="247"/>
      <c r="CL3" s="247"/>
    </row>
    <row r="4" spans="1:171" s="249" customFormat="1" ht="19.5" customHeight="1">
      <c r="A4" s="427" t="s">
        <v>8</v>
      </c>
      <c r="B4" s="428"/>
      <c r="C4" s="428"/>
      <c r="D4" s="428"/>
      <c r="E4" s="428"/>
      <c r="F4" s="428"/>
      <c r="G4" s="428"/>
      <c r="H4" s="428"/>
      <c r="I4" s="428"/>
      <c r="J4" s="428"/>
      <c r="K4" s="429"/>
      <c r="L4" s="430" t="s">
        <v>75</v>
      </c>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3"/>
      <c r="BL4" s="433"/>
      <c r="BM4" s="433"/>
      <c r="BN4" s="433"/>
      <c r="BO4" s="434"/>
      <c r="BP4" s="427" t="s">
        <v>10</v>
      </c>
      <c r="BQ4" s="428"/>
      <c r="BR4" s="428"/>
      <c r="BS4" s="428"/>
      <c r="BT4" s="428"/>
      <c r="BU4" s="429"/>
      <c r="BV4" s="427"/>
      <c r="BW4" s="428"/>
      <c r="BX4" s="428"/>
      <c r="BY4" s="428"/>
      <c r="BZ4" s="428"/>
      <c r="CA4" s="428"/>
      <c r="CB4" s="428"/>
      <c r="CC4" s="428"/>
      <c r="CD4" s="428"/>
      <c r="CE4" s="428"/>
      <c r="CF4" s="428"/>
      <c r="CG4" s="429"/>
      <c r="CH4" s="247"/>
      <c r="CI4" s="247"/>
      <c r="CJ4" s="247"/>
      <c r="CK4" s="247"/>
      <c r="CL4" s="247"/>
    </row>
    <row r="5" spans="1:171" s="254" customFormat="1" ht="6.75" customHeight="1">
      <c r="A5" s="253"/>
      <c r="B5" s="253"/>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row>
    <row r="6" spans="1:171" s="254" customFormat="1" ht="6.75" customHeight="1"/>
    <row r="7" spans="1:171" s="256" customFormat="1" ht="19.5" customHeight="1">
      <c r="A7" s="384" t="s">
        <v>28</v>
      </c>
      <c r="B7" s="385"/>
      <c r="C7" s="385"/>
      <c r="D7" s="385"/>
      <c r="E7" s="385"/>
      <c r="F7" s="385"/>
      <c r="G7" s="385"/>
      <c r="H7" s="385"/>
      <c r="I7" s="385"/>
      <c r="J7" s="385"/>
      <c r="K7" s="386"/>
      <c r="L7" s="361" t="s">
        <v>300</v>
      </c>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400"/>
      <c r="CG7" s="255"/>
    </row>
    <row r="8" spans="1:171" s="254" customFormat="1" ht="9" customHeight="1">
      <c r="CF8" s="259"/>
    </row>
    <row r="9" spans="1:171" s="254" customFormat="1" ht="14.25" customHeight="1">
      <c r="A9" s="257"/>
      <c r="D9" s="282" t="s">
        <v>302</v>
      </c>
      <c r="E9" s="258"/>
      <c r="F9" s="258"/>
      <c r="G9" s="258"/>
      <c r="H9" s="258"/>
      <c r="I9" s="258"/>
      <c r="J9" s="258"/>
      <c r="K9" s="258"/>
      <c r="M9" s="282" t="s">
        <v>298</v>
      </c>
      <c r="CF9" s="259"/>
    </row>
    <row r="10" spans="1:171" s="31" customFormat="1" ht="19.5" customHeight="1">
      <c r="A10" s="260"/>
      <c r="B10" s="261"/>
      <c r="C10" s="262"/>
      <c r="D10" s="283"/>
      <c r="E10" s="284"/>
      <c r="F10" s="284"/>
      <c r="G10" s="284"/>
      <c r="H10" s="284"/>
      <c r="I10" s="284"/>
      <c r="J10" s="284"/>
      <c r="K10" s="284"/>
      <c r="L10" s="284"/>
      <c r="M10" s="421" t="s">
        <v>300</v>
      </c>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284"/>
      <c r="BR10" s="284"/>
      <c r="BS10" s="284"/>
      <c r="BT10" s="284"/>
      <c r="BU10" s="417" t="s">
        <v>289</v>
      </c>
      <c r="BV10" s="417"/>
      <c r="BW10" s="417"/>
      <c r="BX10" s="417"/>
      <c r="BY10" s="417"/>
      <c r="BZ10" s="417"/>
      <c r="CA10" s="417"/>
      <c r="CB10" s="417"/>
      <c r="CC10" s="417"/>
      <c r="CD10" s="417"/>
      <c r="CE10" s="418"/>
      <c r="CF10" s="273"/>
      <c r="CG10" s="256"/>
      <c r="CH10" s="256"/>
      <c r="CI10" s="256"/>
      <c r="CJ10" s="256"/>
      <c r="CK10" s="256"/>
      <c r="CL10" s="256"/>
      <c r="CM10" s="256"/>
      <c r="CN10" s="256"/>
      <c r="CO10" s="256"/>
      <c r="CP10" s="256"/>
      <c r="CQ10" s="256"/>
      <c r="CR10" s="256"/>
      <c r="CS10" s="256"/>
      <c r="CT10" s="256"/>
      <c r="CU10" s="256"/>
      <c r="CV10" s="256"/>
      <c r="CW10" s="256"/>
      <c r="CX10" s="256"/>
      <c r="CY10" s="256"/>
      <c r="CZ10" s="256"/>
      <c r="DA10" s="256"/>
      <c r="DB10" s="256"/>
      <c r="DC10" s="256"/>
      <c r="DD10" s="256"/>
      <c r="DE10" s="256"/>
      <c r="DF10" s="256"/>
      <c r="DG10" s="256"/>
      <c r="DH10" s="256"/>
      <c r="DI10" s="256"/>
      <c r="DJ10" s="256"/>
      <c r="DK10" s="256"/>
      <c r="DL10" s="256"/>
      <c r="DM10" s="256"/>
      <c r="DN10" s="256"/>
      <c r="DO10" s="256"/>
      <c r="DP10" s="256"/>
      <c r="DQ10" s="256"/>
      <c r="DR10" s="256"/>
      <c r="DS10" s="256"/>
      <c r="DT10" s="256"/>
      <c r="DU10" s="256"/>
      <c r="DV10" s="256"/>
      <c r="DW10" s="256"/>
      <c r="DX10" s="256"/>
      <c r="DY10" s="256"/>
      <c r="DZ10" s="256"/>
      <c r="EA10" s="256"/>
      <c r="EB10" s="256"/>
      <c r="EC10" s="256"/>
      <c r="ED10" s="256"/>
      <c r="EE10" s="256"/>
      <c r="EF10" s="256"/>
      <c r="EG10" s="256"/>
      <c r="EH10" s="256"/>
      <c r="EI10" s="256"/>
      <c r="EJ10" s="256"/>
      <c r="EK10" s="256"/>
      <c r="EL10" s="256"/>
      <c r="EM10" s="256"/>
      <c r="EN10" s="256"/>
      <c r="EO10" s="256"/>
      <c r="EP10" s="256"/>
      <c r="EQ10" s="256"/>
      <c r="ER10" s="256"/>
      <c r="ES10" s="256"/>
      <c r="ET10" s="256"/>
      <c r="EU10" s="256"/>
      <c r="EV10" s="256"/>
      <c r="EW10" s="256"/>
      <c r="EX10" s="256"/>
      <c r="EY10" s="256"/>
      <c r="EZ10" s="256"/>
      <c r="FA10" s="256"/>
      <c r="FB10" s="256"/>
      <c r="FC10" s="256"/>
      <c r="FD10" s="256"/>
      <c r="FE10" s="256"/>
      <c r="FF10" s="256"/>
      <c r="FG10" s="256"/>
      <c r="FH10" s="256"/>
      <c r="FI10" s="256"/>
      <c r="FJ10" s="256"/>
      <c r="FK10" s="256"/>
      <c r="FL10" s="256"/>
      <c r="FM10" s="256"/>
      <c r="FN10" s="256"/>
      <c r="FO10" s="256"/>
    </row>
    <row r="11" spans="1:171" s="31" customFormat="1" ht="19.5" customHeight="1" thickBot="1">
      <c r="A11" s="260"/>
      <c r="B11" s="263"/>
      <c r="C11" s="262"/>
      <c r="D11" s="286"/>
      <c r="E11" s="286"/>
      <c r="F11" s="286"/>
      <c r="G11" s="286"/>
      <c r="H11" s="286"/>
      <c r="I11" s="286"/>
      <c r="J11" s="286"/>
      <c r="K11" s="286"/>
      <c r="L11" s="286"/>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286"/>
      <c r="BR11" s="286"/>
      <c r="BS11" s="286"/>
      <c r="BT11" s="286"/>
      <c r="BU11" s="419"/>
      <c r="BV11" s="419"/>
      <c r="BW11" s="419"/>
      <c r="BX11" s="419"/>
      <c r="BY11" s="419"/>
      <c r="BZ11" s="419"/>
      <c r="CA11" s="419"/>
      <c r="CB11" s="419"/>
      <c r="CC11" s="419"/>
      <c r="CD11" s="419"/>
      <c r="CE11" s="420"/>
      <c r="CF11" s="273"/>
      <c r="CG11" s="256"/>
      <c r="CH11" s="256"/>
      <c r="CI11" s="256"/>
      <c r="CJ11" s="256"/>
      <c r="CK11" s="256"/>
      <c r="CL11" s="256"/>
      <c r="CM11" s="256"/>
      <c r="CN11" s="256"/>
      <c r="CO11" s="256"/>
      <c r="CP11" s="256"/>
      <c r="CQ11" s="256"/>
      <c r="CR11" s="256"/>
      <c r="CS11" s="256"/>
      <c r="CT11" s="256"/>
      <c r="CU11" s="256"/>
      <c r="CV11" s="256"/>
      <c r="CW11" s="256"/>
      <c r="CX11" s="256"/>
      <c r="CY11" s="256"/>
      <c r="CZ11" s="256"/>
      <c r="DA11" s="256"/>
      <c r="DB11" s="256"/>
      <c r="DC11" s="256"/>
      <c r="DD11" s="256"/>
      <c r="DE11" s="256"/>
      <c r="DF11" s="256"/>
      <c r="DG11" s="256"/>
      <c r="DH11" s="256"/>
      <c r="DI11" s="256"/>
      <c r="DJ11" s="256"/>
      <c r="DK11" s="256"/>
      <c r="DL11" s="256"/>
      <c r="DM11" s="256"/>
      <c r="DN11" s="256"/>
      <c r="DO11" s="256"/>
      <c r="DP11" s="256"/>
      <c r="DQ11" s="256"/>
      <c r="DR11" s="256"/>
      <c r="DS11" s="256"/>
      <c r="DT11" s="256"/>
      <c r="DU11" s="256"/>
      <c r="DV11" s="256"/>
      <c r="DW11" s="256"/>
      <c r="DX11" s="256"/>
      <c r="DY11" s="256"/>
      <c r="DZ11" s="256"/>
      <c r="EA11" s="256"/>
      <c r="EB11" s="256"/>
      <c r="EC11" s="256"/>
      <c r="ED11" s="256"/>
      <c r="EE11" s="256"/>
      <c r="EF11" s="256"/>
      <c r="EG11" s="256"/>
      <c r="EH11" s="256"/>
      <c r="EI11" s="256"/>
      <c r="EJ11" s="256"/>
      <c r="EK11" s="256"/>
      <c r="EL11" s="256"/>
      <c r="EM11" s="256"/>
      <c r="EN11" s="256"/>
      <c r="EO11" s="256"/>
      <c r="EP11" s="256"/>
      <c r="EQ11" s="256"/>
      <c r="ER11" s="256"/>
      <c r="ES11" s="256"/>
      <c r="ET11" s="256"/>
      <c r="EU11" s="256"/>
      <c r="EV11" s="256"/>
      <c r="EW11" s="256"/>
      <c r="EX11" s="256"/>
      <c r="EY11" s="256"/>
      <c r="EZ11" s="256"/>
      <c r="FA11" s="256"/>
      <c r="FB11" s="256"/>
      <c r="FC11" s="256"/>
      <c r="FD11" s="256"/>
      <c r="FE11" s="256"/>
      <c r="FF11" s="256"/>
      <c r="FG11" s="256"/>
      <c r="FH11" s="256"/>
      <c r="FI11" s="256"/>
      <c r="FJ11" s="256"/>
      <c r="FK11" s="256"/>
      <c r="FL11" s="256"/>
      <c r="FM11" s="256"/>
      <c r="FN11" s="256"/>
      <c r="FO11" s="256"/>
    </row>
    <row r="12" spans="1:171" s="31" customFormat="1" ht="19.5" customHeight="1" thickTop="1">
      <c r="A12" s="260"/>
      <c r="B12" s="263"/>
      <c r="C12" s="262"/>
      <c r="D12" s="86"/>
      <c r="E12" s="86"/>
      <c r="F12" s="86"/>
      <c r="G12" s="86"/>
      <c r="H12" s="179" t="s">
        <v>303</v>
      </c>
      <c r="I12" s="179"/>
      <c r="J12" s="179"/>
      <c r="K12" s="179"/>
      <c r="L12" s="179"/>
      <c r="M12" s="179" t="s">
        <v>31</v>
      </c>
      <c r="N12" s="179"/>
      <c r="O12" s="129" t="s">
        <v>313</v>
      </c>
      <c r="P12" s="129"/>
      <c r="Q12" s="129"/>
      <c r="R12" s="12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80"/>
      <c r="AX12" s="180"/>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95"/>
      <c r="CD12" s="95"/>
      <c r="CE12" s="181"/>
      <c r="CF12" s="273"/>
      <c r="CG12" s="256"/>
      <c r="CH12" s="256"/>
      <c r="CI12" s="256"/>
      <c r="CJ12" s="256"/>
      <c r="CK12" s="256"/>
      <c r="CL12" s="256"/>
      <c r="CM12" s="256"/>
      <c r="CN12" s="256"/>
      <c r="CO12" s="256"/>
      <c r="CP12" s="256"/>
      <c r="CQ12" s="256"/>
      <c r="CR12" s="256"/>
      <c r="CS12" s="256"/>
      <c r="CT12" s="256"/>
      <c r="CU12" s="256"/>
      <c r="CV12" s="256"/>
      <c r="CW12" s="256"/>
      <c r="CX12" s="256"/>
      <c r="CY12" s="256"/>
      <c r="CZ12" s="256"/>
      <c r="DA12" s="256"/>
      <c r="DB12" s="256"/>
      <c r="DC12" s="256"/>
      <c r="DD12" s="256"/>
      <c r="DE12" s="256"/>
      <c r="DF12" s="256"/>
      <c r="DG12" s="256"/>
      <c r="DH12" s="256"/>
      <c r="DI12" s="256"/>
      <c r="DJ12" s="256"/>
      <c r="DK12" s="256"/>
      <c r="DL12" s="256"/>
      <c r="DM12" s="256"/>
      <c r="DN12" s="256"/>
      <c r="DO12" s="256"/>
      <c r="DP12" s="256"/>
      <c r="DQ12" s="256"/>
      <c r="DR12" s="256"/>
      <c r="DS12" s="256"/>
      <c r="DT12" s="256"/>
      <c r="DU12" s="256"/>
      <c r="DV12" s="256"/>
      <c r="DW12" s="256"/>
      <c r="DX12" s="256"/>
      <c r="DY12" s="256"/>
      <c r="DZ12" s="256"/>
      <c r="EA12" s="256"/>
      <c r="EB12" s="256"/>
      <c r="EC12" s="256"/>
      <c r="ED12" s="256"/>
      <c r="EE12" s="256"/>
      <c r="EF12" s="256"/>
      <c r="EG12" s="256"/>
      <c r="EH12" s="256"/>
      <c r="EI12" s="256"/>
      <c r="EJ12" s="256"/>
      <c r="EK12" s="256"/>
      <c r="EL12" s="256"/>
      <c r="EM12" s="256"/>
      <c r="EN12" s="256"/>
      <c r="EO12" s="256"/>
      <c r="EP12" s="256"/>
      <c r="EQ12" s="256"/>
      <c r="ER12" s="256"/>
      <c r="ES12" s="256"/>
      <c r="ET12" s="256"/>
      <c r="EU12" s="256"/>
      <c r="EV12" s="256"/>
      <c r="EW12" s="256"/>
      <c r="EX12" s="256"/>
      <c r="EY12" s="256"/>
      <c r="EZ12" s="256"/>
      <c r="FA12" s="256"/>
      <c r="FB12" s="256"/>
      <c r="FC12" s="256"/>
      <c r="FD12" s="256"/>
      <c r="FE12" s="256"/>
      <c r="FF12" s="256"/>
      <c r="FG12" s="256"/>
      <c r="FH12" s="256"/>
      <c r="FI12" s="256"/>
      <c r="FJ12" s="256"/>
      <c r="FK12" s="256"/>
      <c r="FL12" s="256"/>
      <c r="FM12" s="256"/>
      <c r="FN12" s="256"/>
      <c r="FO12" s="256"/>
    </row>
    <row r="13" spans="1:171" s="31" customFormat="1" ht="19.5" customHeight="1">
      <c r="A13" s="260"/>
      <c r="B13" s="263"/>
      <c r="C13" s="262"/>
      <c r="D13" s="98"/>
      <c r="E13" s="98"/>
      <c r="F13" s="98"/>
      <c r="G13" s="98"/>
      <c r="H13" s="411" t="s">
        <v>319</v>
      </c>
      <c r="I13" s="412"/>
      <c r="J13" s="412"/>
      <c r="K13" s="412"/>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3"/>
      <c r="CC13" s="95"/>
      <c r="CD13" s="95"/>
      <c r="CE13" s="186"/>
      <c r="CF13" s="273"/>
      <c r="CG13" s="256"/>
      <c r="CH13" s="256"/>
      <c r="CI13" s="256"/>
      <c r="CJ13" s="256"/>
      <c r="CK13" s="256"/>
      <c r="CL13" s="256"/>
      <c r="CM13" s="256"/>
      <c r="CN13" s="256"/>
      <c r="CO13" s="256"/>
      <c r="CP13" s="256"/>
      <c r="CQ13" s="256"/>
      <c r="CR13" s="256"/>
      <c r="CS13" s="256"/>
      <c r="CT13" s="256"/>
      <c r="CU13" s="256"/>
      <c r="CV13" s="256"/>
      <c r="CW13" s="256"/>
      <c r="CX13" s="256"/>
      <c r="CY13" s="256"/>
      <c r="CZ13" s="256"/>
      <c r="DA13" s="256"/>
      <c r="DB13" s="256"/>
      <c r="DC13" s="256"/>
      <c r="DD13" s="256"/>
      <c r="DE13" s="256"/>
      <c r="DF13" s="256"/>
      <c r="DG13" s="256"/>
      <c r="DH13" s="256"/>
      <c r="DI13" s="256"/>
      <c r="DJ13" s="256"/>
      <c r="DK13" s="256"/>
      <c r="DL13" s="256"/>
      <c r="DM13" s="256"/>
      <c r="DN13" s="256"/>
      <c r="DO13" s="256"/>
      <c r="DP13" s="256"/>
      <c r="DQ13" s="256"/>
      <c r="DR13" s="256"/>
      <c r="DS13" s="256"/>
      <c r="DT13" s="256"/>
      <c r="DU13" s="256"/>
      <c r="DV13" s="256"/>
      <c r="DW13" s="256"/>
      <c r="DX13" s="256"/>
      <c r="DY13" s="256"/>
      <c r="DZ13" s="256"/>
      <c r="EA13" s="256"/>
      <c r="EB13" s="256"/>
      <c r="EC13" s="256"/>
      <c r="ED13" s="256"/>
      <c r="EE13" s="256"/>
      <c r="EF13" s="256"/>
      <c r="EG13" s="256"/>
      <c r="EH13" s="256"/>
      <c r="EI13" s="256"/>
      <c r="EJ13" s="256"/>
      <c r="EK13" s="256"/>
      <c r="EL13" s="256"/>
      <c r="EM13" s="256"/>
      <c r="EN13" s="256"/>
      <c r="EO13" s="256"/>
      <c r="EP13" s="256"/>
      <c r="EQ13" s="256"/>
      <c r="ER13" s="256"/>
      <c r="ES13" s="256"/>
      <c r="ET13" s="256"/>
      <c r="EU13" s="256"/>
      <c r="EV13" s="256"/>
      <c r="EW13" s="256"/>
      <c r="EX13" s="256"/>
      <c r="EY13" s="256"/>
      <c r="EZ13" s="256"/>
      <c r="FA13" s="256"/>
      <c r="FB13" s="256"/>
      <c r="FC13" s="256"/>
      <c r="FD13" s="256"/>
      <c r="FE13" s="256"/>
      <c r="FF13" s="256"/>
      <c r="FG13" s="256"/>
      <c r="FH13" s="256"/>
      <c r="FI13" s="256"/>
      <c r="FJ13" s="256"/>
      <c r="FK13" s="256"/>
      <c r="FL13" s="256"/>
      <c r="FM13" s="256"/>
      <c r="FN13" s="256"/>
      <c r="FO13" s="256"/>
    </row>
    <row r="14" spans="1:171" s="31" customFormat="1" ht="19.5" customHeight="1">
      <c r="A14" s="260"/>
      <c r="B14" s="263"/>
      <c r="C14" s="262"/>
      <c r="D14" s="98"/>
      <c r="E14" s="98"/>
      <c r="F14" s="98"/>
      <c r="G14" s="98"/>
      <c r="H14" s="414"/>
      <c r="I14" s="415"/>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5"/>
      <c r="BK14" s="415"/>
      <c r="BL14" s="415"/>
      <c r="BM14" s="415"/>
      <c r="BN14" s="415"/>
      <c r="BO14" s="415"/>
      <c r="BP14" s="415"/>
      <c r="BQ14" s="415"/>
      <c r="BR14" s="415"/>
      <c r="BS14" s="415"/>
      <c r="BT14" s="415"/>
      <c r="BU14" s="415"/>
      <c r="BV14" s="415"/>
      <c r="BW14" s="415"/>
      <c r="BX14" s="415"/>
      <c r="BY14" s="415"/>
      <c r="BZ14" s="415"/>
      <c r="CA14" s="415"/>
      <c r="CB14" s="416"/>
      <c r="CC14" s="95"/>
      <c r="CD14" s="95"/>
      <c r="CE14" s="186"/>
      <c r="CF14" s="273"/>
      <c r="CG14" s="256"/>
      <c r="CH14" s="256"/>
      <c r="CI14" s="256"/>
      <c r="CJ14" s="256"/>
      <c r="CK14" s="256"/>
      <c r="CL14" s="256"/>
      <c r="CM14" s="256"/>
      <c r="CN14" s="256"/>
      <c r="CO14" s="256"/>
      <c r="CP14" s="256"/>
      <c r="CQ14" s="256"/>
      <c r="CR14" s="256"/>
      <c r="CS14" s="256"/>
      <c r="CT14" s="256"/>
      <c r="CU14" s="256"/>
      <c r="CV14" s="256"/>
      <c r="CW14" s="256"/>
      <c r="CX14" s="256"/>
      <c r="CY14" s="256"/>
      <c r="CZ14" s="256"/>
      <c r="DA14" s="256"/>
      <c r="DB14" s="256"/>
      <c r="DC14" s="256"/>
      <c r="DD14" s="256"/>
      <c r="DE14" s="256"/>
      <c r="DF14" s="256"/>
      <c r="DG14" s="256"/>
      <c r="DH14" s="256"/>
      <c r="DI14" s="256"/>
      <c r="DJ14" s="256"/>
      <c r="DK14" s="256"/>
      <c r="DL14" s="256"/>
      <c r="DM14" s="256"/>
      <c r="DN14" s="256"/>
      <c r="DO14" s="256"/>
      <c r="DP14" s="256"/>
      <c r="DQ14" s="256"/>
      <c r="DR14" s="256"/>
      <c r="DS14" s="256"/>
      <c r="DT14" s="256"/>
      <c r="DU14" s="256"/>
      <c r="DV14" s="256"/>
      <c r="DW14" s="256"/>
      <c r="DX14" s="256"/>
      <c r="DY14" s="256"/>
      <c r="DZ14" s="256"/>
      <c r="EA14" s="256"/>
      <c r="EB14" s="256"/>
      <c r="EC14" s="256"/>
      <c r="ED14" s="256"/>
      <c r="EE14" s="256"/>
      <c r="EF14" s="256"/>
      <c r="EG14" s="256"/>
      <c r="EH14" s="256"/>
      <c r="EI14" s="256"/>
      <c r="EJ14" s="256"/>
      <c r="EK14" s="256"/>
      <c r="EL14" s="256"/>
      <c r="EM14" s="256"/>
      <c r="EN14" s="256"/>
      <c r="EO14" s="256"/>
      <c r="EP14" s="256"/>
      <c r="EQ14" s="256"/>
      <c r="ER14" s="256"/>
      <c r="ES14" s="256"/>
      <c r="ET14" s="256"/>
      <c r="EU14" s="256"/>
      <c r="EV14" s="256"/>
      <c r="EW14" s="256"/>
      <c r="EX14" s="256"/>
      <c r="EY14" s="256"/>
      <c r="EZ14" s="256"/>
      <c r="FA14" s="256"/>
      <c r="FB14" s="256"/>
      <c r="FC14" s="256"/>
      <c r="FD14" s="256"/>
      <c r="FE14" s="256"/>
      <c r="FF14" s="256"/>
      <c r="FG14" s="256"/>
      <c r="FH14" s="256"/>
      <c r="FI14" s="256"/>
      <c r="FJ14" s="256"/>
      <c r="FK14" s="256"/>
      <c r="FL14" s="256"/>
      <c r="FM14" s="256"/>
      <c r="FN14" s="256"/>
      <c r="FO14" s="256"/>
    </row>
    <row r="15" spans="1:171" s="31" customFormat="1" ht="19.5" customHeight="1">
      <c r="A15" s="260"/>
      <c r="B15" s="263"/>
      <c r="C15" s="262"/>
      <c r="D15" s="98"/>
      <c r="E15" s="98"/>
      <c r="F15" s="98"/>
      <c r="G15" s="98"/>
      <c r="H15" s="183"/>
      <c r="I15" s="183"/>
      <c r="J15" s="183"/>
      <c r="K15" s="183"/>
      <c r="L15" s="183"/>
      <c r="M15" s="183"/>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3"/>
      <c r="BN15" s="183"/>
      <c r="BO15" s="184"/>
      <c r="BP15" s="184"/>
      <c r="BQ15" s="184"/>
      <c r="BR15" s="184"/>
      <c r="BS15" s="184"/>
      <c r="BT15" s="184"/>
      <c r="BU15" s="184"/>
      <c r="BV15" s="184"/>
      <c r="BW15" s="184"/>
      <c r="BX15" s="185"/>
      <c r="BY15" s="179"/>
      <c r="BZ15" s="179"/>
      <c r="CA15" s="179"/>
      <c r="CB15" s="179"/>
      <c r="CC15" s="95"/>
      <c r="CD15" s="95"/>
      <c r="CE15" s="181"/>
      <c r="CF15" s="273"/>
      <c r="CG15" s="256"/>
      <c r="CH15" s="256"/>
      <c r="CI15" s="256"/>
      <c r="CJ15" s="256"/>
      <c r="CK15" s="256"/>
      <c r="CL15" s="256"/>
      <c r="CM15" s="256"/>
      <c r="CN15" s="256"/>
      <c r="CO15" s="256"/>
      <c r="CP15" s="256"/>
      <c r="CQ15" s="256"/>
      <c r="CR15" s="256"/>
      <c r="CS15" s="256"/>
      <c r="CT15" s="256"/>
      <c r="CU15" s="256"/>
      <c r="CV15" s="256"/>
      <c r="CW15" s="256"/>
      <c r="CX15" s="256"/>
      <c r="CY15" s="256"/>
      <c r="CZ15" s="256"/>
      <c r="DA15" s="256"/>
      <c r="DB15" s="256"/>
      <c r="DC15" s="256"/>
      <c r="DD15" s="256"/>
      <c r="DE15" s="256"/>
      <c r="DF15" s="256"/>
      <c r="DG15" s="256"/>
      <c r="DH15" s="256"/>
      <c r="DI15" s="256"/>
      <c r="DJ15" s="256"/>
      <c r="DK15" s="256"/>
      <c r="DL15" s="256"/>
      <c r="DM15" s="256"/>
      <c r="DN15" s="256"/>
      <c r="DO15" s="256"/>
      <c r="DP15" s="256"/>
      <c r="DQ15" s="256"/>
      <c r="DR15" s="256"/>
      <c r="DS15" s="256"/>
      <c r="DT15" s="256"/>
      <c r="DU15" s="256"/>
      <c r="DV15" s="256"/>
      <c r="DW15" s="256"/>
      <c r="DX15" s="256"/>
      <c r="DY15" s="256"/>
      <c r="DZ15" s="256"/>
      <c r="EA15" s="256"/>
      <c r="EB15" s="256"/>
      <c r="EC15" s="256"/>
      <c r="ED15" s="256"/>
      <c r="EE15" s="256"/>
      <c r="EF15" s="256"/>
      <c r="EG15" s="256"/>
      <c r="EH15" s="256"/>
      <c r="EI15" s="256"/>
      <c r="EJ15" s="256"/>
      <c r="EK15" s="256"/>
      <c r="EL15" s="256"/>
      <c r="EM15" s="256"/>
      <c r="EN15" s="256"/>
      <c r="EO15" s="256"/>
      <c r="EP15" s="256"/>
      <c r="EQ15" s="256"/>
      <c r="ER15" s="256"/>
      <c r="ES15" s="256"/>
      <c r="ET15" s="256"/>
      <c r="EU15" s="256"/>
      <c r="EV15" s="256"/>
      <c r="EW15" s="256"/>
      <c r="EX15" s="256"/>
      <c r="EY15" s="256"/>
      <c r="EZ15" s="256"/>
      <c r="FA15" s="256"/>
      <c r="FB15" s="256"/>
      <c r="FC15" s="256"/>
      <c r="FD15" s="256"/>
      <c r="FE15" s="256"/>
      <c r="FF15" s="256"/>
      <c r="FG15" s="256"/>
      <c r="FH15" s="256"/>
      <c r="FI15" s="256"/>
      <c r="FJ15" s="256"/>
      <c r="FK15" s="256"/>
      <c r="FL15" s="256"/>
      <c r="FM15" s="256"/>
      <c r="FN15" s="256"/>
      <c r="FO15" s="256"/>
    </row>
    <row r="16" spans="1:171" s="31" customFormat="1" ht="19.5" customHeight="1">
      <c r="A16" s="260"/>
      <c r="B16" s="263"/>
      <c r="C16" s="262"/>
      <c r="D16" s="98"/>
      <c r="E16" s="98"/>
      <c r="F16" s="98"/>
      <c r="G16" s="98"/>
      <c r="H16" s="404" t="s">
        <v>88</v>
      </c>
      <c r="I16" s="405"/>
      <c r="J16" s="405"/>
      <c r="K16" s="405"/>
      <c r="L16" s="405"/>
      <c r="M16" s="405"/>
      <c r="N16" s="405"/>
      <c r="O16" s="405"/>
      <c r="P16" s="405"/>
      <c r="Q16" s="405"/>
      <c r="R16" s="405"/>
      <c r="S16" s="405"/>
      <c r="T16" s="405"/>
      <c r="U16" s="405"/>
      <c r="V16" s="405"/>
      <c r="W16" s="405"/>
      <c r="X16" s="405"/>
      <c r="Y16" s="405"/>
      <c r="Z16" s="405"/>
      <c r="AA16" s="405"/>
      <c r="AB16" s="405"/>
      <c r="AC16" s="405"/>
      <c r="AD16" s="405"/>
      <c r="AE16" s="405"/>
      <c r="AF16" s="405"/>
      <c r="AG16" s="405"/>
      <c r="AH16" s="405"/>
      <c r="AI16" s="405"/>
      <c r="AJ16" s="405"/>
      <c r="AK16" s="405"/>
      <c r="AL16" s="405"/>
      <c r="AM16" s="405"/>
      <c r="AN16" s="405"/>
      <c r="AO16" s="405"/>
      <c r="AP16" s="405"/>
      <c r="AQ16" s="405"/>
      <c r="AR16" s="405"/>
      <c r="AS16" s="405"/>
      <c r="AT16" s="405"/>
      <c r="AU16" s="405"/>
      <c r="AV16" s="405"/>
      <c r="AW16" s="405"/>
      <c r="AX16" s="405"/>
      <c r="AY16" s="405"/>
      <c r="AZ16" s="405"/>
      <c r="BA16" s="405"/>
      <c r="BB16" s="405"/>
      <c r="BC16" s="405"/>
      <c r="BD16" s="405"/>
      <c r="BE16" s="405"/>
      <c r="BF16" s="405"/>
      <c r="BG16" s="405"/>
      <c r="BH16" s="405"/>
      <c r="BI16" s="405"/>
      <c r="BJ16" s="405"/>
      <c r="BK16" s="405"/>
      <c r="BL16" s="405"/>
      <c r="BM16" s="405"/>
      <c r="BN16" s="405"/>
      <c r="BO16" s="405"/>
      <c r="BP16" s="405"/>
      <c r="BQ16" s="405"/>
      <c r="BR16" s="405"/>
      <c r="BS16" s="405"/>
      <c r="BT16" s="405"/>
      <c r="BU16" s="405"/>
      <c r="BV16" s="405"/>
      <c r="BW16" s="405"/>
      <c r="BX16" s="405"/>
      <c r="BY16" s="405"/>
      <c r="BZ16" s="405"/>
      <c r="CA16" s="405"/>
      <c r="CB16" s="406"/>
      <c r="CC16" s="95"/>
      <c r="CD16" s="95"/>
      <c r="CE16" s="181"/>
      <c r="CF16" s="273"/>
      <c r="CG16" s="256"/>
      <c r="CH16" s="256"/>
      <c r="CI16" s="256"/>
      <c r="CJ16" s="256"/>
      <c r="CK16" s="256"/>
      <c r="CL16" s="256"/>
      <c r="CM16" s="256"/>
      <c r="CN16" s="256"/>
      <c r="CO16" s="256"/>
      <c r="CP16" s="256"/>
      <c r="CQ16" s="256"/>
      <c r="CR16" s="256"/>
      <c r="CS16" s="256"/>
      <c r="CT16" s="256"/>
      <c r="CU16" s="256"/>
      <c r="CV16" s="256"/>
      <c r="CW16" s="256"/>
      <c r="CX16" s="256"/>
      <c r="CY16" s="256"/>
      <c r="CZ16" s="256"/>
      <c r="DA16" s="256"/>
      <c r="DB16" s="256"/>
      <c r="DC16" s="256"/>
      <c r="DD16" s="256"/>
      <c r="DE16" s="256"/>
      <c r="DF16" s="256"/>
      <c r="DG16" s="256"/>
      <c r="DH16" s="256"/>
      <c r="DI16" s="256"/>
      <c r="DJ16" s="256"/>
      <c r="DK16" s="256"/>
      <c r="DL16" s="256"/>
      <c r="DM16" s="256"/>
      <c r="DN16" s="256"/>
      <c r="DO16" s="256"/>
      <c r="DP16" s="256"/>
      <c r="DQ16" s="256"/>
      <c r="DR16" s="256"/>
      <c r="DS16" s="256"/>
      <c r="DT16" s="256"/>
      <c r="DU16" s="256"/>
      <c r="DV16" s="256"/>
      <c r="DW16" s="256"/>
      <c r="DX16" s="256"/>
      <c r="DY16" s="256"/>
      <c r="DZ16" s="256"/>
      <c r="EA16" s="256"/>
      <c r="EB16" s="256"/>
      <c r="EC16" s="256"/>
      <c r="ED16" s="256"/>
      <c r="EE16" s="256"/>
      <c r="EF16" s="256"/>
      <c r="EG16" s="256"/>
      <c r="EH16" s="256"/>
      <c r="EI16" s="256"/>
      <c r="EJ16" s="256"/>
      <c r="EK16" s="256"/>
      <c r="EL16" s="256"/>
      <c r="EM16" s="256"/>
      <c r="EN16" s="256"/>
      <c r="EO16" s="256"/>
      <c r="EP16" s="256"/>
      <c r="EQ16" s="256"/>
      <c r="ER16" s="256"/>
      <c r="ES16" s="256"/>
      <c r="ET16" s="256"/>
      <c r="EU16" s="256"/>
      <c r="EV16" s="256"/>
      <c r="EW16" s="256"/>
      <c r="EX16" s="256"/>
      <c r="EY16" s="256"/>
      <c r="EZ16" s="256"/>
      <c r="FA16" s="256"/>
      <c r="FB16" s="256"/>
      <c r="FC16" s="256"/>
      <c r="FD16" s="256"/>
      <c r="FE16" s="256"/>
      <c r="FF16" s="256"/>
      <c r="FG16" s="256"/>
      <c r="FH16" s="256"/>
      <c r="FI16" s="256"/>
      <c r="FJ16" s="256"/>
      <c r="FK16" s="256"/>
      <c r="FL16" s="256"/>
      <c r="FM16" s="256"/>
      <c r="FN16" s="256"/>
      <c r="FO16" s="256"/>
    </row>
    <row r="17" spans="1:171" s="31" customFormat="1" ht="19.5" customHeight="1">
      <c r="A17" s="260"/>
      <c r="B17" s="263"/>
      <c r="C17" s="262"/>
      <c r="D17" s="98"/>
      <c r="E17" s="98"/>
      <c r="F17" s="98"/>
      <c r="G17" s="98"/>
      <c r="H17" s="296" t="s">
        <v>269</v>
      </c>
      <c r="I17" s="294"/>
      <c r="J17" s="294"/>
      <c r="K17" s="294"/>
      <c r="L17" s="294"/>
      <c r="M17" s="294"/>
      <c r="N17" s="294"/>
      <c r="O17" s="294"/>
      <c r="P17" s="121"/>
      <c r="Q17" s="124"/>
      <c r="R17" s="121"/>
      <c r="S17" s="121"/>
      <c r="T17" s="121"/>
      <c r="U17" s="121"/>
      <c r="V17" s="121"/>
      <c r="W17" s="121"/>
      <c r="X17" s="121"/>
      <c r="Y17" s="121"/>
      <c r="Z17" s="121"/>
      <c r="AA17" s="121"/>
      <c r="AB17" s="121"/>
      <c r="AC17" s="121"/>
      <c r="AD17" s="121"/>
      <c r="AE17" s="121"/>
      <c r="AF17" s="121"/>
      <c r="AG17" s="121"/>
      <c r="AH17" s="121"/>
      <c r="AI17" s="121"/>
      <c r="AJ17" s="287"/>
      <c r="AK17" s="287"/>
      <c r="AL17" s="287"/>
      <c r="AM17" s="287"/>
      <c r="AN17" s="287"/>
      <c r="AO17" s="287"/>
      <c r="AP17" s="120" t="s">
        <v>311</v>
      </c>
      <c r="AQ17" s="305"/>
      <c r="AR17" s="305"/>
      <c r="AS17" s="305"/>
      <c r="AT17" s="305"/>
      <c r="AU17" s="121"/>
      <c r="AV17" s="121"/>
      <c r="AW17" s="121"/>
      <c r="AX17" s="121"/>
      <c r="AY17" s="124"/>
      <c r="AZ17" s="294"/>
      <c r="BA17" s="294"/>
      <c r="BB17" s="294"/>
      <c r="BC17" s="294"/>
      <c r="BD17" s="294"/>
      <c r="BE17" s="121"/>
      <c r="BF17" s="305"/>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4"/>
      <c r="CC17" s="95"/>
      <c r="CD17" s="95"/>
      <c r="CE17" s="181"/>
      <c r="CF17" s="273"/>
      <c r="CG17" s="256"/>
      <c r="CH17" s="256"/>
      <c r="CI17" s="256"/>
      <c r="CJ17" s="256"/>
      <c r="CK17" s="256"/>
      <c r="CL17" s="256"/>
      <c r="CM17" s="256"/>
      <c r="CN17" s="256"/>
      <c r="CO17" s="256"/>
      <c r="CP17" s="256"/>
      <c r="CQ17" s="256"/>
      <c r="CR17" s="256"/>
      <c r="CS17" s="256"/>
      <c r="CT17" s="256"/>
      <c r="CU17" s="256"/>
      <c r="CV17" s="256"/>
      <c r="CW17" s="256"/>
      <c r="CX17" s="256"/>
      <c r="CY17" s="256"/>
      <c r="CZ17" s="256"/>
      <c r="DA17" s="256"/>
      <c r="DB17" s="256"/>
      <c r="DC17" s="256"/>
      <c r="DD17" s="256"/>
      <c r="DE17" s="256"/>
      <c r="DF17" s="256"/>
      <c r="DG17" s="256"/>
      <c r="DH17" s="256"/>
      <c r="DI17" s="256"/>
      <c r="DJ17" s="256"/>
      <c r="DK17" s="256"/>
      <c r="DL17" s="256"/>
      <c r="DM17" s="256"/>
      <c r="DN17" s="256"/>
      <c r="DO17" s="256"/>
      <c r="DP17" s="256"/>
      <c r="DQ17" s="256"/>
      <c r="DR17" s="256"/>
      <c r="DS17" s="256"/>
      <c r="DT17" s="256"/>
      <c r="DU17" s="256"/>
      <c r="DV17" s="256"/>
      <c r="DW17" s="256"/>
      <c r="DX17" s="256"/>
      <c r="DY17" s="256"/>
      <c r="DZ17" s="256"/>
      <c r="EA17" s="256"/>
      <c r="EB17" s="256"/>
      <c r="EC17" s="256"/>
      <c r="ED17" s="256"/>
      <c r="EE17" s="256"/>
      <c r="EF17" s="256"/>
      <c r="EG17" s="256"/>
      <c r="EH17" s="256"/>
      <c r="EI17" s="256"/>
      <c r="EJ17" s="256"/>
      <c r="EK17" s="256"/>
      <c r="EL17" s="256"/>
      <c r="EM17" s="256"/>
      <c r="EN17" s="256"/>
      <c r="EO17" s="256"/>
      <c r="EP17" s="256"/>
      <c r="EQ17" s="256"/>
      <c r="ER17" s="256"/>
      <c r="ES17" s="256"/>
      <c r="ET17" s="256"/>
      <c r="EU17" s="256"/>
      <c r="EV17" s="256"/>
      <c r="EW17" s="256"/>
      <c r="EX17" s="256"/>
      <c r="EY17" s="256"/>
      <c r="EZ17" s="256"/>
      <c r="FA17" s="256"/>
      <c r="FB17" s="256"/>
      <c r="FC17" s="256"/>
      <c r="FD17" s="256"/>
      <c r="FE17" s="256"/>
      <c r="FF17" s="256"/>
      <c r="FG17" s="256"/>
      <c r="FH17" s="256"/>
      <c r="FI17" s="256"/>
      <c r="FJ17" s="256"/>
      <c r="FK17" s="256"/>
      <c r="FL17" s="256"/>
      <c r="FM17" s="256"/>
      <c r="FN17" s="256"/>
      <c r="FO17" s="256"/>
    </row>
    <row r="18" spans="1:171" s="31" customFormat="1" ht="19.5" customHeight="1">
      <c r="A18" s="260"/>
      <c r="B18" s="263"/>
      <c r="C18" s="262"/>
      <c r="D18" s="98"/>
      <c r="E18" s="98"/>
      <c r="F18" s="98"/>
      <c r="G18" s="98"/>
      <c r="H18" s="296" t="s">
        <v>170</v>
      </c>
      <c r="I18" s="294"/>
      <c r="J18" s="294"/>
      <c r="K18" s="294"/>
      <c r="L18" s="294"/>
      <c r="M18" s="294"/>
      <c r="N18" s="294"/>
      <c r="O18" s="294"/>
      <c r="P18" s="121"/>
      <c r="Q18" s="124"/>
      <c r="R18" s="121"/>
      <c r="S18" s="121"/>
      <c r="T18" s="121"/>
      <c r="U18" s="121"/>
      <c r="V18" s="121"/>
      <c r="W18" s="121"/>
      <c r="X18" s="121"/>
      <c r="Y18" s="121"/>
      <c r="Z18" s="121"/>
      <c r="AA18" s="121"/>
      <c r="AB18" s="121"/>
      <c r="AC18" s="121"/>
      <c r="AD18" s="121"/>
      <c r="AE18" s="121"/>
      <c r="AF18" s="121"/>
      <c r="AG18" s="121"/>
      <c r="AH18" s="121"/>
      <c r="AI18" s="121"/>
      <c r="AJ18" s="287"/>
      <c r="AK18" s="287"/>
      <c r="AL18" s="287"/>
      <c r="AM18" s="287"/>
      <c r="AN18" s="287"/>
      <c r="AO18" s="287"/>
      <c r="AP18" s="132" t="s">
        <v>171</v>
      </c>
      <c r="AU18" s="133"/>
      <c r="AV18" s="133"/>
      <c r="AW18" s="133"/>
      <c r="AX18" s="133"/>
      <c r="AY18" s="142"/>
      <c r="AZ18" s="294"/>
      <c r="BA18" s="294"/>
      <c r="BB18" s="294"/>
      <c r="BC18" s="294"/>
      <c r="BD18" s="294"/>
      <c r="BE18" s="121"/>
      <c r="BF18" s="305"/>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4"/>
      <c r="CC18" s="95"/>
      <c r="CD18" s="95"/>
      <c r="CE18" s="181"/>
      <c r="CF18" s="273"/>
      <c r="CG18" s="256"/>
      <c r="CH18" s="256"/>
      <c r="CI18" s="256"/>
      <c r="CJ18" s="256"/>
      <c r="CK18" s="256"/>
      <c r="CL18" s="256"/>
      <c r="CM18" s="256"/>
      <c r="CN18" s="256"/>
      <c r="CO18" s="256"/>
      <c r="CP18" s="256"/>
      <c r="CQ18" s="256"/>
      <c r="CR18" s="256"/>
      <c r="CS18" s="256"/>
      <c r="CT18" s="256"/>
      <c r="CU18" s="256"/>
      <c r="CV18" s="256"/>
      <c r="CW18" s="256"/>
      <c r="CX18" s="256"/>
      <c r="CY18" s="256"/>
      <c r="CZ18" s="256"/>
      <c r="DA18" s="256"/>
      <c r="DB18" s="256"/>
      <c r="DC18" s="256"/>
      <c r="DD18" s="256"/>
      <c r="DE18" s="256"/>
      <c r="DF18" s="256"/>
      <c r="DG18" s="256"/>
      <c r="DH18" s="256"/>
      <c r="DI18" s="256"/>
      <c r="DJ18" s="256"/>
      <c r="DK18" s="256"/>
      <c r="DL18" s="256"/>
      <c r="DM18" s="256"/>
      <c r="DN18" s="256"/>
      <c r="DO18" s="256"/>
      <c r="DP18" s="256"/>
      <c r="DQ18" s="256"/>
      <c r="DR18" s="256"/>
      <c r="DS18" s="256"/>
      <c r="DT18" s="256"/>
      <c r="DU18" s="256"/>
      <c r="DV18" s="256"/>
      <c r="DW18" s="256"/>
      <c r="DX18" s="256"/>
      <c r="DY18" s="256"/>
      <c r="DZ18" s="256"/>
      <c r="EA18" s="256"/>
      <c r="EB18" s="256"/>
      <c r="EC18" s="256"/>
      <c r="ED18" s="256"/>
      <c r="EE18" s="256"/>
      <c r="EF18" s="256"/>
      <c r="EG18" s="256"/>
      <c r="EH18" s="256"/>
      <c r="EI18" s="256"/>
      <c r="EJ18" s="256"/>
      <c r="EK18" s="256"/>
      <c r="EL18" s="256"/>
      <c r="EM18" s="256"/>
      <c r="EN18" s="256"/>
      <c r="EO18" s="256"/>
      <c r="EP18" s="256"/>
      <c r="EQ18" s="256"/>
      <c r="ER18" s="256"/>
      <c r="ES18" s="256"/>
      <c r="ET18" s="256"/>
      <c r="EU18" s="256"/>
      <c r="EV18" s="256"/>
      <c r="EW18" s="256"/>
      <c r="EX18" s="256"/>
      <c r="EY18" s="256"/>
      <c r="EZ18" s="256"/>
      <c r="FA18" s="256"/>
      <c r="FB18" s="256"/>
      <c r="FC18" s="256"/>
      <c r="FD18" s="256"/>
      <c r="FE18" s="256"/>
      <c r="FF18" s="256"/>
      <c r="FG18" s="256"/>
      <c r="FH18" s="256"/>
      <c r="FI18" s="256"/>
      <c r="FJ18" s="256"/>
      <c r="FK18" s="256"/>
      <c r="FL18" s="256"/>
      <c r="FM18" s="256"/>
      <c r="FN18" s="256"/>
      <c r="FO18" s="256"/>
    </row>
    <row r="19" spans="1:171" s="31" customFormat="1" ht="19.5" customHeight="1">
      <c r="A19" s="260"/>
      <c r="B19" s="263"/>
      <c r="C19" s="262"/>
      <c r="D19" s="98"/>
      <c r="E19" s="98"/>
      <c r="F19" s="98"/>
      <c r="G19" s="98"/>
      <c r="H19" s="404" t="s">
        <v>127</v>
      </c>
      <c r="I19" s="405"/>
      <c r="J19" s="405"/>
      <c r="K19" s="405"/>
      <c r="L19" s="405"/>
      <c r="M19" s="405"/>
      <c r="N19" s="405"/>
      <c r="O19" s="405"/>
      <c r="P19" s="405"/>
      <c r="Q19" s="405"/>
      <c r="R19" s="405"/>
      <c r="S19" s="405"/>
      <c r="T19" s="405"/>
      <c r="U19" s="405"/>
      <c r="V19" s="405"/>
      <c r="W19" s="405"/>
      <c r="X19" s="405"/>
      <c r="Y19" s="405"/>
      <c r="Z19" s="405"/>
      <c r="AA19" s="405"/>
      <c r="AB19" s="405"/>
      <c r="AC19" s="405"/>
      <c r="AD19" s="405"/>
      <c r="AE19" s="405"/>
      <c r="AF19" s="405"/>
      <c r="AG19" s="405"/>
      <c r="AH19" s="405"/>
      <c r="AI19" s="405"/>
      <c r="AJ19" s="405"/>
      <c r="AK19" s="405"/>
      <c r="AL19" s="405"/>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5"/>
      <c r="BK19" s="405"/>
      <c r="BL19" s="405"/>
      <c r="BM19" s="405"/>
      <c r="BN19" s="405"/>
      <c r="BO19" s="405"/>
      <c r="BP19" s="405"/>
      <c r="BQ19" s="405"/>
      <c r="BR19" s="405"/>
      <c r="BS19" s="405"/>
      <c r="BT19" s="405"/>
      <c r="BU19" s="405"/>
      <c r="BV19" s="405"/>
      <c r="BW19" s="405"/>
      <c r="BX19" s="405"/>
      <c r="BY19" s="405"/>
      <c r="BZ19" s="405"/>
      <c r="CA19" s="405"/>
      <c r="CB19" s="406"/>
      <c r="CC19" s="95"/>
      <c r="CD19" s="95"/>
      <c r="CE19" s="181"/>
      <c r="CF19" s="273"/>
      <c r="CG19" s="256"/>
      <c r="CH19" s="256"/>
      <c r="CI19" s="256"/>
      <c r="CJ19" s="256"/>
      <c r="CK19" s="256"/>
      <c r="CL19" s="256"/>
      <c r="CM19" s="256"/>
      <c r="CN19" s="256"/>
      <c r="CO19" s="256"/>
      <c r="CP19" s="256"/>
      <c r="CQ19" s="256"/>
      <c r="CR19" s="256"/>
      <c r="CS19" s="256"/>
      <c r="CT19" s="256"/>
      <c r="CU19" s="256"/>
      <c r="CV19" s="256"/>
      <c r="CW19" s="256"/>
      <c r="CX19" s="256"/>
      <c r="CY19" s="256"/>
      <c r="CZ19" s="256"/>
      <c r="DA19" s="256"/>
      <c r="DB19" s="256"/>
      <c r="DC19" s="256"/>
      <c r="DD19" s="256"/>
      <c r="DE19" s="256"/>
      <c r="DF19" s="256"/>
      <c r="DG19" s="256"/>
      <c r="DH19" s="256"/>
      <c r="DI19" s="256"/>
      <c r="DJ19" s="256"/>
      <c r="DK19" s="256"/>
      <c r="DL19" s="256"/>
      <c r="DM19" s="256"/>
      <c r="DN19" s="256"/>
      <c r="DO19" s="256"/>
      <c r="DP19" s="256"/>
      <c r="DQ19" s="256"/>
      <c r="DR19" s="256"/>
      <c r="DS19" s="256"/>
      <c r="DT19" s="256"/>
      <c r="DU19" s="256"/>
      <c r="DV19" s="256"/>
      <c r="DW19" s="256"/>
      <c r="DX19" s="256"/>
      <c r="DY19" s="256"/>
      <c r="DZ19" s="256"/>
      <c r="EA19" s="256"/>
      <c r="EB19" s="256"/>
      <c r="EC19" s="256"/>
      <c r="ED19" s="256"/>
      <c r="EE19" s="256"/>
      <c r="EF19" s="256"/>
      <c r="EG19" s="256"/>
      <c r="EH19" s="256"/>
      <c r="EI19" s="256"/>
      <c r="EJ19" s="256"/>
      <c r="EK19" s="256"/>
      <c r="EL19" s="256"/>
      <c r="EM19" s="256"/>
      <c r="EN19" s="256"/>
      <c r="EO19" s="256"/>
      <c r="EP19" s="256"/>
      <c r="EQ19" s="256"/>
      <c r="ER19" s="256"/>
      <c r="ES19" s="256"/>
      <c r="ET19" s="256"/>
      <c r="EU19" s="256"/>
      <c r="EV19" s="256"/>
      <c r="EW19" s="256"/>
      <c r="EX19" s="256"/>
      <c r="EY19" s="256"/>
      <c r="EZ19" s="256"/>
      <c r="FA19" s="256"/>
      <c r="FB19" s="256"/>
      <c r="FC19" s="256"/>
      <c r="FD19" s="256"/>
      <c r="FE19" s="256"/>
      <c r="FF19" s="256"/>
      <c r="FG19" s="256"/>
      <c r="FH19" s="256"/>
      <c r="FI19" s="256"/>
      <c r="FJ19" s="256"/>
      <c r="FK19" s="256"/>
      <c r="FL19" s="256"/>
      <c r="FM19" s="256"/>
      <c r="FN19" s="256"/>
      <c r="FO19" s="256"/>
    </row>
    <row r="20" spans="1:171" s="31" customFormat="1" ht="19.5" customHeight="1">
      <c r="A20" s="260"/>
      <c r="B20" s="263"/>
      <c r="C20" s="262"/>
      <c r="D20" s="98"/>
      <c r="E20" s="98"/>
      <c r="F20" s="98"/>
      <c r="G20" s="98"/>
      <c r="H20" s="123" t="s">
        <v>306</v>
      </c>
      <c r="I20" s="121"/>
      <c r="J20" s="121"/>
      <c r="K20" s="121"/>
      <c r="L20" s="121"/>
      <c r="M20" s="121"/>
      <c r="N20" s="121"/>
      <c r="O20" s="121"/>
      <c r="P20" s="121"/>
      <c r="Q20" s="121"/>
      <c r="R20" s="120"/>
      <c r="S20" s="121"/>
      <c r="T20" s="121"/>
      <c r="U20" s="122"/>
      <c r="V20" s="121"/>
      <c r="W20" s="287"/>
      <c r="X20" s="287"/>
      <c r="Y20" s="287"/>
      <c r="Z20" s="287"/>
      <c r="AA20" s="287"/>
      <c r="AB20" s="287"/>
      <c r="AC20" s="287"/>
      <c r="AD20" s="287"/>
      <c r="AE20" s="122"/>
      <c r="AF20" s="287"/>
      <c r="AG20" s="287"/>
      <c r="AH20" s="287"/>
      <c r="AI20" s="287"/>
      <c r="AJ20" s="287"/>
      <c r="AK20" s="287"/>
      <c r="AL20" s="287"/>
      <c r="AM20" s="287"/>
      <c r="AN20" s="287"/>
      <c r="AO20" s="287"/>
      <c r="AP20" s="123" t="s">
        <v>307</v>
      </c>
      <c r="AQ20" s="121"/>
      <c r="AR20" s="121"/>
      <c r="AS20" s="121"/>
      <c r="AT20" s="121"/>
      <c r="AU20" s="121"/>
      <c r="AV20" s="121"/>
      <c r="AW20" s="121"/>
      <c r="AX20" s="121"/>
      <c r="AY20" s="121"/>
      <c r="AZ20" s="120"/>
      <c r="BA20" s="121"/>
      <c r="BB20" s="121"/>
      <c r="BC20" s="122"/>
      <c r="BD20" s="121"/>
      <c r="BE20" s="287"/>
      <c r="BF20" s="287"/>
      <c r="BG20" s="287"/>
      <c r="BH20" s="287"/>
      <c r="BI20" s="287"/>
      <c r="BJ20" s="287"/>
      <c r="BK20" s="287"/>
      <c r="BL20" s="287"/>
      <c r="BM20" s="122"/>
      <c r="BN20" s="287"/>
      <c r="BO20" s="287"/>
      <c r="BP20" s="287"/>
      <c r="BQ20" s="287"/>
      <c r="BR20" s="287"/>
      <c r="BS20" s="287"/>
      <c r="BT20" s="287"/>
      <c r="BU20" s="287"/>
      <c r="BV20" s="287"/>
      <c r="BW20" s="287"/>
      <c r="BX20" s="287"/>
      <c r="BY20" s="287"/>
      <c r="BZ20" s="130"/>
      <c r="CA20" s="130"/>
      <c r="CB20" s="131"/>
      <c r="CC20" s="95"/>
      <c r="CD20" s="95"/>
      <c r="CE20" s="181"/>
      <c r="CF20" s="273"/>
      <c r="CG20" s="256"/>
      <c r="CH20" s="256"/>
      <c r="CI20" s="256"/>
      <c r="CJ20" s="256"/>
      <c r="CK20" s="256"/>
      <c r="CL20" s="256"/>
      <c r="CM20" s="256"/>
      <c r="CN20" s="256"/>
      <c r="CO20" s="256"/>
      <c r="CP20" s="256"/>
      <c r="CQ20" s="256"/>
      <c r="CR20" s="256"/>
      <c r="CS20" s="256"/>
      <c r="CT20" s="256"/>
      <c r="CU20" s="256"/>
      <c r="CV20" s="256"/>
      <c r="CW20" s="256"/>
      <c r="CX20" s="256"/>
      <c r="CY20" s="256"/>
      <c r="CZ20" s="256"/>
      <c r="DA20" s="256"/>
      <c r="DB20" s="256"/>
      <c r="DC20" s="256"/>
      <c r="DD20" s="256"/>
      <c r="DE20" s="256"/>
      <c r="DF20" s="256"/>
      <c r="DG20" s="256"/>
      <c r="DH20" s="256"/>
      <c r="DI20" s="256"/>
      <c r="DJ20" s="256"/>
      <c r="DK20" s="256"/>
      <c r="DL20" s="256"/>
      <c r="DM20" s="256"/>
      <c r="DN20" s="256"/>
      <c r="DO20" s="256"/>
      <c r="DP20" s="256"/>
      <c r="DQ20" s="256"/>
      <c r="DR20" s="256"/>
      <c r="DS20" s="256"/>
      <c r="DT20" s="256"/>
      <c r="DU20" s="256"/>
      <c r="DV20" s="256"/>
      <c r="DW20" s="256"/>
      <c r="DX20" s="256"/>
      <c r="DY20" s="256"/>
      <c r="DZ20" s="256"/>
      <c r="EA20" s="256"/>
      <c r="EB20" s="256"/>
      <c r="EC20" s="256"/>
      <c r="ED20" s="256"/>
      <c r="EE20" s="256"/>
      <c r="EF20" s="256"/>
      <c r="EG20" s="256"/>
      <c r="EH20" s="256"/>
      <c r="EI20" s="256"/>
      <c r="EJ20" s="256"/>
      <c r="EK20" s="256"/>
      <c r="EL20" s="256"/>
      <c r="EM20" s="256"/>
      <c r="EN20" s="256"/>
      <c r="EO20" s="256"/>
      <c r="EP20" s="256"/>
      <c r="EQ20" s="256"/>
      <c r="ER20" s="256"/>
      <c r="ES20" s="256"/>
      <c r="ET20" s="256"/>
      <c r="EU20" s="256"/>
      <c r="EV20" s="256"/>
      <c r="EW20" s="256"/>
      <c r="EX20" s="256"/>
      <c r="EY20" s="256"/>
      <c r="EZ20" s="256"/>
      <c r="FA20" s="256"/>
      <c r="FB20" s="256"/>
      <c r="FC20" s="256"/>
      <c r="FD20" s="256"/>
      <c r="FE20" s="256"/>
      <c r="FF20" s="256"/>
      <c r="FG20" s="256"/>
      <c r="FH20" s="256"/>
      <c r="FI20" s="256"/>
      <c r="FJ20" s="256"/>
      <c r="FK20" s="256"/>
      <c r="FL20" s="256"/>
      <c r="FM20" s="256"/>
      <c r="FN20" s="256"/>
      <c r="FO20" s="256"/>
    </row>
    <row r="21" spans="1:171" s="31" customFormat="1" ht="19.5" customHeight="1">
      <c r="A21" s="260"/>
      <c r="B21" s="263"/>
      <c r="C21" s="262"/>
      <c r="D21" s="98"/>
      <c r="E21" s="98"/>
      <c r="F21" s="98"/>
      <c r="G21" s="98"/>
      <c r="H21" s="120" t="s">
        <v>169</v>
      </c>
      <c r="I21" s="121"/>
      <c r="J21" s="121"/>
      <c r="K21" s="121"/>
      <c r="L21" s="121"/>
      <c r="M21" s="121"/>
      <c r="N21" s="287"/>
      <c r="O21" s="287"/>
      <c r="P21" s="287"/>
      <c r="Q21" s="133"/>
      <c r="R21" s="120" t="s">
        <v>305</v>
      </c>
      <c r="S21" s="77"/>
      <c r="T21" s="101"/>
      <c r="U21" s="101"/>
      <c r="V21" s="101"/>
      <c r="W21" s="101"/>
      <c r="X21" s="101"/>
      <c r="Y21" s="101"/>
      <c r="Z21" s="106"/>
      <c r="AA21" s="106"/>
      <c r="AB21" s="106"/>
      <c r="AC21" s="106"/>
      <c r="AD21" s="100"/>
      <c r="AE21" s="100"/>
      <c r="AF21" s="101"/>
      <c r="AG21" s="100"/>
      <c r="AH21" s="100"/>
      <c r="AI21" s="100"/>
      <c r="AJ21" s="101"/>
      <c r="AK21" s="100"/>
      <c r="AL21" s="287"/>
      <c r="AM21" s="287"/>
      <c r="AN21" s="287"/>
      <c r="AO21" s="287"/>
      <c r="AP21" s="123" t="s">
        <v>308</v>
      </c>
      <c r="AQ21" s="121"/>
      <c r="AR21" s="121"/>
      <c r="AS21" s="121"/>
      <c r="AT21" s="121"/>
      <c r="AU21" s="121"/>
      <c r="AV21" s="121"/>
      <c r="AW21" s="121"/>
      <c r="AX21" s="121"/>
      <c r="AY21" s="121"/>
      <c r="AZ21" s="134"/>
      <c r="BA21" s="135"/>
      <c r="BB21" s="135"/>
      <c r="BC21" s="135"/>
      <c r="BD21" s="135"/>
      <c r="BE21" s="135"/>
      <c r="BF21" s="136"/>
      <c r="BG21" s="135"/>
      <c r="BH21" s="135"/>
      <c r="BI21" s="121"/>
      <c r="BJ21" s="121"/>
      <c r="BK21" s="121"/>
      <c r="BL21" s="121"/>
      <c r="BM21" s="121"/>
      <c r="BN21" s="121"/>
      <c r="BO21" s="121"/>
      <c r="BP21" s="121"/>
      <c r="BQ21" s="121"/>
      <c r="BR21" s="121"/>
      <c r="BS21" s="121"/>
      <c r="BT21" s="287"/>
      <c r="BU21" s="100"/>
      <c r="BV21" s="100"/>
      <c r="BW21" s="100"/>
      <c r="BX21" s="130"/>
      <c r="BY21" s="130"/>
      <c r="BZ21" s="130"/>
      <c r="CA21" s="130"/>
      <c r="CB21" s="131"/>
      <c r="CC21" s="95"/>
      <c r="CD21" s="95"/>
      <c r="CE21" s="181"/>
      <c r="CF21" s="273"/>
      <c r="CG21" s="256"/>
      <c r="CH21" s="256"/>
      <c r="CI21" s="256"/>
      <c r="CJ21" s="256"/>
      <c r="CK21" s="256"/>
      <c r="CL21" s="256"/>
      <c r="CM21" s="256"/>
      <c r="CN21" s="256"/>
      <c r="CO21" s="256"/>
      <c r="CP21" s="256"/>
      <c r="CQ21" s="256"/>
      <c r="CR21" s="256"/>
      <c r="CS21" s="256"/>
      <c r="CT21" s="256"/>
      <c r="CU21" s="256"/>
      <c r="CV21" s="256"/>
      <c r="CW21" s="256"/>
      <c r="CX21" s="256"/>
      <c r="CY21" s="256"/>
      <c r="CZ21" s="256"/>
      <c r="DA21" s="256"/>
      <c r="DB21" s="256"/>
      <c r="DC21" s="256"/>
      <c r="DD21" s="256"/>
      <c r="DE21" s="256"/>
      <c r="DF21" s="256"/>
      <c r="DG21" s="256"/>
      <c r="DH21" s="256"/>
      <c r="DI21" s="256"/>
      <c r="DJ21" s="256"/>
      <c r="DK21" s="256"/>
      <c r="DL21" s="256"/>
      <c r="DM21" s="256"/>
      <c r="DN21" s="256"/>
      <c r="DO21" s="256"/>
      <c r="DP21" s="256"/>
      <c r="DQ21" s="256"/>
      <c r="DR21" s="256"/>
      <c r="DS21" s="256"/>
      <c r="DT21" s="256"/>
      <c r="DU21" s="256"/>
      <c r="DV21" s="256"/>
      <c r="DW21" s="256"/>
      <c r="DX21" s="256"/>
      <c r="DY21" s="256"/>
      <c r="DZ21" s="256"/>
      <c r="EA21" s="256"/>
      <c r="EB21" s="256"/>
      <c r="EC21" s="256"/>
      <c r="ED21" s="256"/>
      <c r="EE21" s="256"/>
      <c r="EF21" s="256"/>
      <c r="EG21" s="256"/>
      <c r="EH21" s="256"/>
      <c r="EI21" s="256"/>
      <c r="EJ21" s="256"/>
      <c r="EK21" s="256"/>
      <c r="EL21" s="256"/>
      <c r="EM21" s="256"/>
      <c r="EN21" s="256"/>
      <c r="EO21" s="256"/>
      <c r="EP21" s="256"/>
      <c r="EQ21" s="256"/>
      <c r="ER21" s="256"/>
      <c r="ES21" s="256"/>
      <c r="ET21" s="256"/>
      <c r="EU21" s="256"/>
      <c r="EV21" s="256"/>
      <c r="EW21" s="256"/>
      <c r="EX21" s="256"/>
      <c r="EY21" s="256"/>
      <c r="EZ21" s="256"/>
      <c r="FA21" s="256"/>
      <c r="FB21" s="256"/>
      <c r="FC21" s="256"/>
      <c r="FD21" s="256"/>
      <c r="FE21" s="256"/>
      <c r="FF21" s="256"/>
      <c r="FG21" s="256"/>
      <c r="FH21" s="256"/>
      <c r="FI21" s="256"/>
      <c r="FJ21" s="256"/>
      <c r="FK21" s="256"/>
      <c r="FL21" s="256"/>
      <c r="FM21" s="256"/>
      <c r="FN21" s="256"/>
      <c r="FO21" s="256"/>
    </row>
    <row r="22" spans="1:171" s="31" customFormat="1" ht="19.5" customHeight="1">
      <c r="A22" s="260"/>
      <c r="B22" s="263"/>
      <c r="C22" s="262"/>
      <c r="D22" s="98"/>
      <c r="E22" s="98"/>
      <c r="F22" s="98"/>
      <c r="G22" s="98"/>
      <c r="H22" s="120" t="s">
        <v>371</v>
      </c>
      <c r="I22" s="133"/>
      <c r="J22" s="133"/>
      <c r="K22" s="133"/>
      <c r="L22" s="133"/>
      <c r="M22" s="133"/>
      <c r="N22" s="133"/>
      <c r="O22" s="133"/>
      <c r="P22" s="133"/>
      <c r="Q22" s="133"/>
      <c r="R22" s="120"/>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33"/>
      <c r="BQ22" s="133"/>
      <c r="BR22" s="133"/>
      <c r="BS22" s="133"/>
      <c r="BT22" s="295"/>
      <c r="BU22" s="295"/>
      <c r="BV22" s="130"/>
      <c r="BW22" s="130"/>
      <c r="BX22" s="130"/>
      <c r="BY22" s="130"/>
      <c r="BZ22" s="130"/>
      <c r="CA22" s="130"/>
      <c r="CB22" s="131"/>
      <c r="CC22" s="95"/>
      <c r="CD22" s="95"/>
      <c r="CE22" s="181"/>
      <c r="CF22" s="273"/>
      <c r="CG22" s="256"/>
      <c r="CH22" s="256"/>
      <c r="CI22" s="256"/>
      <c r="CJ22" s="256"/>
      <c r="CK22" s="256"/>
      <c r="CL22" s="256"/>
      <c r="CM22" s="256"/>
      <c r="CN22" s="256"/>
      <c r="CO22" s="256"/>
      <c r="CP22" s="256"/>
      <c r="CQ22" s="256"/>
      <c r="CR22" s="256"/>
      <c r="CS22" s="256"/>
      <c r="CT22" s="256"/>
      <c r="CU22" s="256"/>
      <c r="CV22" s="256"/>
      <c r="CW22" s="256"/>
      <c r="CX22" s="256"/>
      <c r="CY22" s="256"/>
      <c r="CZ22" s="256"/>
      <c r="DA22" s="256"/>
      <c r="DB22" s="256"/>
      <c r="DC22" s="256"/>
      <c r="DD22" s="256"/>
      <c r="DE22" s="256"/>
      <c r="DF22" s="256"/>
      <c r="DG22" s="256"/>
      <c r="DH22" s="256"/>
      <c r="DI22" s="256"/>
      <c r="DJ22" s="256"/>
      <c r="DK22" s="256"/>
      <c r="DL22" s="256"/>
      <c r="DM22" s="256"/>
      <c r="DN22" s="256"/>
      <c r="DO22" s="256"/>
      <c r="DP22" s="256"/>
      <c r="DQ22" s="256"/>
      <c r="DR22" s="256"/>
      <c r="DS22" s="256"/>
      <c r="DT22" s="256"/>
      <c r="DU22" s="256"/>
      <c r="DV22" s="256"/>
      <c r="DW22" s="256"/>
      <c r="DX22" s="256"/>
      <c r="DY22" s="256"/>
      <c r="DZ22" s="256"/>
      <c r="EA22" s="256"/>
      <c r="EB22" s="256"/>
      <c r="EC22" s="256"/>
      <c r="ED22" s="256"/>
      <c r="EE22" s="256"/>
      <c r="EF22" s="256"/>
      <c r="EG22" s="256"/>
      <c r="EH22" s="256"/>
      <c r="EI22" s="256"/>
      <c r="EJ22" s="256"/>
      <c r="EK22" s="256"/>
      <c r="EL22" s="256"/>
      <c r="EM22" s="256"/>
      <c r="EN22" s="256"/>
      <c r="EO22" s="256"/>
      <c r="EP22" s="256"/>
      <c r="EQ22" s="256"/>
      <c r="ER22" s="256"/>
      <c r="ES22" s="256"/>
      <c r="ET22" s="256"/>
      <c r="EU22" s="256"/>
      <c r="EV22" s="256"/>
      <c r="EW22" s="256"/>
      <c r="EX22" s="256"/>
      <c r="EY22" s="256"/>
      <c r="EZ22" s="256"/>
      <c r="FA22" s="256"/>
      <c r="FB22" s="256"/>
      <c r="FC22" s="256"/>
      <c r="FD22" s="256"/>
      <c r="FE22" s="256"/>
      <c r="FF22" s="256"/>
      <c r="FG22" s="256"/>
      <c r="FH22" s="256"/>
      <c r="FI22" s="256"/>
      <c r="FJ22" s="256"/>
      <c r="FK22" s="256"/>
      <c r="FL22" s="256"/>
      <c r="FM22" s="256"/>
      <c r="FN22" s="256"/>
      <c r="FO22" s="256"/>
    </row>
    <row r="23" spans="1:171" s="31" customFormat="1" ht="19.5" customHeight="1">
      <c r="A23" s="260"/>
      <c r="B23" s="263"/>
      <c r="C23" s="262"/>
      <c r="D23" s="98"/>
      <c r="E23" s="98"/>
      <c r="F23" s="98"/>
      <c r="G23" s="98"/>
      <c r="H23" s="132" t="s">
        <v>370</v>
      </c>
      <c r="I23" s="133"/>
      <c r="J23" s="133"/>
      <c r="K23" s="133"/>
      <c r="L23" s="133"/>
      <c r="M23" s="133"/>
      <c r="N23" s="133"/>
      <c r="O23" s="133"/>
      <c r="P23" s="133"/>
      <c r="Q23" s="133"/>
      <c r="R23" s="120"/>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20" t="s">
        <v>372</v>
      </c>
      <c r="AQ23" s="121"/>
      <c r="AR23" s="121"/>
      <c r="AS23" s="121"/>
      <c r="AT23" s="121"/>
      <c r="AU23" s="121"/>
      <c r="AV23" s="121"/>
      <c r="AW23" s="121"/>
      <c r="AX23" s="121"/>
      <c r="AY23" s="124"/>
      <c r="AZ23" s="121"/>
      <c r="BA23" s="121"/>
      <c r="BB23" s="121"/>
      <c r="BC23" s="121"/>
      <c r="BD23" s="121"/>
      <c r="BE23" s="121"/>
      <c r="BF23" s="121"/>
      <c r="BG23" s="121"/>
      <c r="BH23" s="121"/>
      <c r="BI23" s="121"/>
      <c r="BJ23" s="121"/>
      <c r="BK23" s="121"/>
      <c r="BL23" s="121"/>
      <c r="BM23" s="121"/>
      <c r="BN23" s="121"/>
      <c r="BO23" s="121"/>
      <c r="BP23" s="133"/>
      <c r="BQ23" s="133"/>
      <c r="BR23" s="133"/>
      <c r="BS23" s="133"/>
      <c r="BT23" s="295"/>
      <c r="BU23" s="295"/>
      <c r="BV23" s="130"/>
      <c r="BW23" s="130"/>
      <c r="BX23" s="130"/>
      <c r="BY23" s="130"/>
      <c r="BZ23" s="130"/>
      <c r="CA23" s="130"/>
      <c r="CB23" s="131"/>
      <c r="CC23" s="95"/>
      <c r="CD23" s="95"/>
      <c r="CE23" s="181"/>
      <c r="CF23" s="273"/>
      <c r="CG23" s="256"/>
      <c r="CH23" s="256"/>
      <c r="CI23" s="256"/>
      <c r="CJ23" s="256"/>
      <c r="CK23" s="256"/>
      <c r="CL23" s="256"/>
      <c r="CM23" s="256"/>
      <c r="CN23" s="256"/>
      <c r="CO23" s="256"/>
      <c r="CP23" s="256"/>
      <c r="CQ23" s="256"/>
      <c r="CR23" s="256"/>
      <c r="CS23" s="256"/>
      <c r="CT23" s="256"/>
      <c r="CU23" s="256"/>
      <c r="CV23" s="256"/>
      <c r="CW23" s="256"/>
      <c r="CX23" s="256"/>
      <c r="CY23" s="256"/>
      <c r="CZ23" s="256"/>
      <c r="DA23" s="256"/>
      <c r="DB23" s="256"/>
      <c r="DC23" s="256"/>
      <c r="DD23" s="256"/>
      <c r="DE23" s="256"/>
      <c r="DF23" s="256"/>
      <c r="DG23" s="256"/>
      <c r="DH23" s="256"/>
      <c r="DI23" s="256"/>
      <c r="DJ23" s="256"/>
      <c r="DK23" s="256"/>
      <c r="DL23" s="256"/>
      <c r="DM23" s="256"/>
      <c r="DN23" s="256"/>
      <c r="DO23" s="256"/>
      <c r="DP23" s="256"/>
      <c r="DQ23" s="256"/>
      <c r="DR23" s="256"/>
      <c r="DS23" s="256"/>
      <c r="DT23" s="256"/>
      <c r="DU23" s="256"/>
      <c r="DV23" s="256"/>
      <c r="DW23" s="256"/>
      <c r="DX23" s="256"/>
      <c r="DY23" s="256"/>
      <c r="DZ23" s="256"/>
      <c r="EA23" s="256"/>
      <c r="EB23" s="256"/>
      <c r="EC23" s="256"/>
      <c r="ED23" s="256"/>
      <c r="EE23" s="256"/>
      <c r="EF23" s="256"/>
      <c r="EG23" s="256"/>
      <c r="EH23" s="256"/>
      <c r="EI23" s="256"/>
      <c r="EJ23" s="256"/>
      <c r="EK23" s="256"/>
      <c r="EL23" s="256"/>
      <c r="EM23" s="256"/>
      <c r="EN23" s="256"/>
      <c r="EO23" s="256"/>
      <c r="EP23" s="256"/>
      <c r="EQ23" s="256"/>
      <c r="ER23" s="256"/>
      <c r="ES23" s="256"/>
      <c r="ET23" s="256"/>
      <c r="EU23" s="256"/>
      <c r="EV23" s="256"/>
      <c r="EW23" s="256"/>
      <c r="EX23" s="256"/>
      <c r="EY23" s="256"/>
      <c r="EZ23" s="256"/>
      <c r="FA23" s="256"/>
      <c r="FB23" s="256"/>
      <c r="FC23" s="256"/>
      <c r="FD23" s="256"/>
      <c r="FE23" s="256"/>
      <c r="FF23" s="256"/>
      <c r="FG23" s="256"/>
      <c r="FH23" s="256"/>
      <c r="FI23" s="256"/>
      <c r="FJ23" s="256"/>
      <c r="FK23" s="256"/>
      <c r="FL23" s="256"/>
      <c r="FM23" s="256"/>
      <c r="FN23" s="256"/>
      <c r="FO23" s="256"/>
    </row>
    <row r="24" spans="1:171" s="31" customFormat="1" ht="19.5" customHeight="1">
      <c r="A24" s="260"/>
      <c r="B24" s="263"/>
      <c r="C24" s="262"/>
      <c r="D24" s="98"/>
      <c r="E24" s="98"/>
      <c r="F24" s="98"/>
      <c r="G24" s="98"/>
      <c r="H24" s="588" t="s">
        <v>383</v>
      </c>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90"/>
      <c r="CC24" s="95"/>
      <c r="CD24" s="95"/>
      <c r="CE24" s="181"/>
      <c r="CF24" s="273"/>
      <c r="CG24" s="256"/>
      <c r="CH24" s="256"/>
      <c r="CI24" s="256"/>
      <c r="CJ24" s="256"/>
      <c r="CK24" s="256"/>
      <c r="CL24" s="256"/>
      <c r="CM24" s="256"/>
      <c r="CN24" s="256"/>
      <c r="CO24" s="256"/>
      <c r="CP24" s="256"/>
      <c r="CQ24" s="256"/>
      <c r="CR24" s="256"/>
      <c r="CS24" s="256"/>
      <c r="CT24" s="256"/>
      <c r="CU24" s="256"/>
      <c r="CV24" s="256"/>
      <c r="CW24" s="256"/>
      <c r="CX24" s="256"/>
      <c r="CY24" s="256"/>
      <c r="CZ24" s="256"/>
      <c r="DA24" s="256"/>
      <c r="DB24" s="256"/>
      <c r="DC24" s="256"/>
      <c r="DD24" s="256"/>
      <c r="DE24" s="256"/>
      <c r="DF24" s="256"/>
      <c r="DG24" s="256"/>
      <c r="DH24" s="256"/>
      <c r="DI24" s="256"/>
      <c r="DJ24" s="256"/>
      <c r="DK24" s="256"/>
      <c r="DL24" s="256"/>
      <c r="DM24" s="256"/>
      <c r="DN24" s="256"/>
      <c r="DO24" s="256"/>
      <c r="DP24" s="256"/>
      <c r="DQ24" s="256"/>
      <c r="DR24" s="256"/>
      <c r="DS24" s="256"/>
      <c r="DT24" s="256"/>
      <c r="DU24" s="256"/>
      <c r="DV24" s="256"/>
      <c r="DW24" s="256"/>
      <c r="DX24" s="256"/>
      <c r="DY24" s="256"/>
      <c r="DZ24" s="256"/>
      <c r="EA24" s="256"/>
      <c r="EB24" s="256"/>
      <c r="EC24" s="256"/>
      <c r="ED24" s="256"/>
      <c r="EE24" s="256"/>
      <c r="EF24" s="256"/>
      <c r="EG24" s="256"/>
      <c r="EH24" s="256"/>
      <c r="EI24" s="256"/>
      <c r="EJ24" s="256"/>
      <c r="EK24" s="256"/>
      <c r="EL24" s="256"/>
      <c r="EM24" s="256"/>
      <c r="EN24" s="256"/>
      <c r="EO24" s="256"/>
      <c r="EP24" s="256"/>
      <c r="EQ24" s="256"/>
      <c r="ER24" s="256"/>
      <c r="ES24" s="256"/>
      <c r="ET24" s="256"/>
      <c r="EU24" s="256"/>
      <c r="EV24" s="256"/>
      <c r="EW24" s="256"/>
      <c r="EX24" s="256"/>
      <c r="EY24" s="256"/>
      <c r="EZ24" s="256"/>
      <c r="FA24" s="256"/>
      <c r="FB24" s="256"/>
      <c r="FC24" s="256"/>
      <c r="FD24" s="256"/>
      <c r="FE24" s="256"/>
      <c r="FF24" s="256"/>
      <c r="FG24" s="256"/>
      <c r="FH24" s="256"/>
      <c r="FI24" s="256"/>
      <c r="FJ24" s="256"/>
      <c r="FK24" s="256"/>
      <c r="FL24" s="256"/>
      <c r="FM24" s="256"/>
      <c r="FN24" s="256"/>
      <c r="FO24" s="256"/>
    </row>
    <row r="25" spans="1:171" s="31" customFormat="1" ht="19.5" customHeight="1">
      <c r="A25" s="260"/>
      <c r="B25" s="263"/>
      <c r="C25" s="262"/>
      <c r="D25" s="98"/>
      <c r="E25" s="98"/>
      <c r="F25" s="98"/>
      <c r="G25" s="98"/>
      <c r="H25" s="404"/>
      <c r="I25" s="405"/>
      <c r="J25" s="405"/>
      <c r="K25" s="405"/>
      <c r="L25" s="405"/>
      <c r="M25" s="405"/>
      <c r="N25" s="405"/>
      <c r="O25" s="405"/>
      <c r="P25" s="405"/>
      <c r="Q25" s="405"/>
      <c r="R25" s="405"/>
      <c r="S25" s="405"/>
      <c r="T25" s="405"/>
      <c r="U25" s="405"/>
      <c r="V25" s="405"/>
      <c r="W25" s="405"/>
      <c r="X25" s="405"/>
      <c r="Y25" s="405"/>
      <c r="Z25" s="405"/>
      <c r="AA25" s="405"/>
      <c r="AB25" s="405"/>
      <c r="AC25" s="405"/>
      <c r="AD25" s="405"/>
      <c r="AE25" s="405"/>
      <c r="AF25" s="405"/>
      <c r="AG25" s="405"/>
      <c r="AH25" s="405"/>
      <c r="AI25" s="405"/>
      <c r="AJ25" s="405"/>
      <c r="AK25" s="405"/>
      <c r="AL25" s="405"/>
      <c r="AM25" s="405"/>
      <c r="AN25" s="405"/>
      <c r="AO25" s="405"/>
      <c r="AP25" s="405"/>
      <c r="AQ25" s="405"/>
      <c r="AR25" s="405"/>
      <c r="AS25" s="405"/>
      <c r="AT25" s="405"/>
      <c r="AU25" s="405"/>
      <c r="AV25" s="405"/>
      <c r="AW25" s="405"/>
      <c r="AX25" s="405"/>
      <c r="AY25" s="405"/>
      <c r="AZ25" s="405"/>
      <c r="BA25" s="405"/>
      <c r="BB25" s="405"/>
      <c r="BC25" s="405"/>
      <c r="BD25" s="405"/>
      <c r="BE25" s="405"/>
      <c r="BF25" s="405"/>
      <c r="BG25" s="405"/>
      <c r="BH25" s="405"/>
      <c r="BI25" s="405"/>
      <c r="BJ25" s="405"/>
      <c r="BK25" s="405"/>
      <c r="BL25" s="405"/>
      <c r="BM25" s="405"/>
      <c r="BN25" s="405"/>
      <c r="BO25" s="405"/>
      <c r="BP25" s="405"/>
      <c r="BQ25" s="405"/>
      <c r="BR25" s="405"/>
      <c r="BS25" s="405"/>
      <c r="BT25" s="405"/>
      <c r="BU25" s="405"/>
      <c r="BV25" s="405"/>
      <c r="BW25" s="405"/>
      <c r="BX25" s="405"/>
      <c r="BY25" s="405"/>
      <c r="BZ25" s="405"/>
      <c r="CA25" s="405"/>
      <c r="CB25" s="406"/>
      <c r="CC25" s="95"/>
      <c r="CD25" s="95"/>
      <c r="CE25" s="181"/>
      <c r="CF25" s="273"/>
      <c r="CG25" s="256"/>
      <c r="CH25" s="256"/>
      <c r="CI25" s="256"/>
      <c r="CJ25" s="256"/>
      <c r="CK25" s="256"/>
      <c r="CL25" s="256"/>
      <c r="CM25" s="256"/>
      <c r="CN25" s="256"/>
      <c r="CO25" s="256"/>
      <c r="CP25" s="256"/>
      <c r="CQ25" s="256"/>
      <c r="CR25" s="256"/>
      <c r="CS25" s="256"/>
      <c r="CT25" s="256"/>
      <c r="CU25" s="256"/>
      <c r="CV25" s="256"/>
      <c r="CW25" s="256"/>
      <c r="CX25" s="256"/>
      <c r="CY25" s="256"/>
      <c r="CZ25" s="256"/>
      <c r="DA25" s="256"/>
      <c r="DB25" s="256"/>
      <c r="DC25" s="256"/>
      <c r="DD25" s="256"/>
      <c r="DE25" s="256"/>
      <c r="DF25" s="256"/>
      <c r="DG25" s="256"/>
      <c r="DH25" s="256"/>
      <c r="DI25" s="256"/>
      <c r="DJ25" s="256"/>
      <c r="DK25" s="256"/>
      <c r="DL25" s="256"/>
      <c r="DM25" s="256"/>
      <c r="DN25" s="256"/>
      <c r="DO25" s="256"/>
      <c r="DP25" s="256"/>
      <c r="DQ25" s="256"/>
      <c r="DR25" s="256"/>
      <c r="DS25" s="256"/>
      <c r="DT25" s="256"/>
      <c r="DU25" s="256"/>
      <c r="DV25" s="256"/>
      <c r="DW25" s="256"/>
      <c r="DX25" s="256"/>
      <c r="DY25" s="256"/>
      <c r="DZ25" s="256"/>
      <c r="EA25" s="256"/>
      <c r="EB25" s="256"/>
      <c r="EC25" s="256"/>
      <c r="ED25" s="256"/>
      <c r="EE25" s="256"/>
      <c r="EF25" s="256"/>
      <c r="EG25" s="256"/>
      <c r="EH25" s="256"/>
      <c r="EI25" s="256"/>
      <c r="EJ25" s="256"/>
      <c r="EK25" s="256"/>
      <c r="EL25" s="256"/>
      <c r="EM25" s="256"/>
      <c r="EN25" s="256"/>
      <c r="EO25" s="256"/>
      <c r="EP25" s="256"/>
      <c r="EQ25" s="256"/>
      <c r="ER25" s="256"/>
      <c r="ES25" s="256"/>
      <c r="ET25" s="256"/>
      <c r="EU25" s="256"/>
      <c r="EV25" s="256"/>
      <c r="EW25" s="256"/>
      <c r="EX25" s="256"/>
      <c r="EY25" s="256"/>
      <c r="EZ25" s="256"/>
      <c r="FA25" s="256"/>
      <c r="FB25" s="256"/>
      <c r="FC25" s="256"/>
      <c r="FD25" s="256"/>
      <c r="FE25" s="256"/>
      <c r="FF25" s="256"/>
      <c r="FG25" s="256"/>
      <c r="FH25" s="256"/>
      <c r="FI25" s="256"/>
      <c r="FJ25" s="256"/>
      <c r="FK25" s="256"/>
      <c r="FL25" s="256"/>
      <c r="FM25" s="256"/>
      <c r="FN25" s="256"/>
      <c r="FO25" s="256"/>
    </row>
    <row r="26" spans="1:171" s="31" customFormat="1" ht="20.25" customHeight="1">
      <c r="A26" s="260"/>
      <c r="B26" s="263"/>
      <c r="C26" s="262"/>
      <c r="D26" s="98"/>
      <c r="E26" s="98"/>
      <c r="F26" s="98"/>
      <c r="G26" s="98"/>
      <c r="H26" s="306"/>
      <c r="I26" s="183"/>
      <c r="J26" s="183"/>
      <c r="K26" s="183"/>
      <c r="L26" s="183"/>
      <c r="M26" s="183"/>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4"/>
      <c r="BK26" s="184"/>
      <c r="BL26" s="184"/>
      <c r="BM26" s="183"/>
      <c r="BN26" s="183"/>
      <c r="BO26" s="184"/>
      <c r="BP26" s="184"/>
      <c r="BQ26" s="184"/>
      <c r="BR26" s="184"/>
      <c r="BS26" s="184"/>
      <c r="BT26" s="184"/>
      <c r="BU26" s="184"/>
      <c r="BV26" s="184"/>
      <c r="BW26" s="184"/>
      <c r="BX26" s="185"/>
      <c r="BY26" s="179"/>
      <c r="BZ26" s="179"/>
      <c r="CA26" s="179"/>
      <c r="CB26" s="179"/>
      <c r="CC26" s="179"/>
      <c r="CD26" s="95"/>
      <c r="CE26" s="181"/>
      <c r="CF26" s="273"/>
      <c r="CG26" s="256"/>
      <c r="CH26" s="256"/>
      <c r="CI26" s="256"/>
      <c r="CJ26" s="256"/>
      <c r="CK26" s="256"/>
      <c r="CL26" s="256"/>
      <c r="CM26" s="256"/>
      <c r="CN26" s="256"/>
      <c r="CO26" s="256"/>
      <c r="CP26" s="256"/>
      <c r="CQ26" s="256"/>
      <c r="CR26" s="256"/>
      <c r="CS26" s="256"/>
      <c r="CT26" s="256"/>
      <c r="CU26" s="256"/>
      <c r="CV26" s="256"/>
      <c r="CW26" s="256"/>
      <c r="CX26" s="256"/>
      <c r="CY26" s="256"/>
      <c r="CZ26" s="256"/>
      <c r="DA26" s="256"/>
      <c r="DB26" s="256"/>
      <c r="DC26" s="256"/>
      <c r="DD26" s="256"/>
      <c r="DE26" s="256"/>
      <c r="DF26" s="256"/>
      <c r="DG26" s="256"/>
      <c r="DH26" s="256"/>
      <c r="DI26" s="256"/>
      <c r="DJ26" s="256"/>
      <c r="DK26" s="256"/>
      <c r="DL26" s="256"/>
      <c r="DM26" s="256"/>
      <c r="DN26" s="256"/>
      <c r="DO26" s="256"/>
      <c r="DP26" s="256"/>
      <c r="DQ26" s="256"/>
      <c r="DR26" s="256"/>
      <c r="DS26" s="256"/>
      <c r="DT26" s="256"/>
      <c r="DU26" s="256"/>
      <c r="DV26" s="256"/>
      <c r="DW26" s="256"/>
      <c r="DX26" s="256"/>
      <c r="DY26" s="256"/>
      <c r="DZ26" s="256"/>
      <c r="EA26" s="256"/>
      <c r="EB26" s="256"/>
      <c r="EC26" s="256"/>
      <c r="ED26" s="256"/>
      <c r="EE26" s="256"/>
      <c r="EF26" s="256"/>
      <c r="EG26" s="256"/>
      <c r="EH26" s="256"/>
      <c r="EI26" s="256"/>
      <c r="EJ26" s="256"/>
      <c r="EK26" s="256"/>
      <c r="EL26" s="256"/>
      <c r="EM26" s="256"/>
      <c r="EN26" s="256"/>
      <c r="EO26" s="256"/>
      <c r="EP26" s="256"/>
      <c r="EQ26" s="256"/>
      <c r="ER26" s="256"/>
      <c r="ES26" s="256"/>
      <c r="ET26" s="256"/>
      <c r="EU26" s="256"/>
      <c r="EV26" s="256"/>
      <c r="EW26" s="256"/>
      <c r="EX26" s="256"/>
      <c r="EY26" s="256"/>
      <c r="EZ26" s="256"/>
      <c r="FA26" s="256"/>
      <c r="FB26" s="256"/>
      <c r="FC26" s="256"/>
      <c r="FD26" s="256"/>
      <c r="FE26" s="256"/>
      <c r="FF26" s="256"/>
      <c r="FG26" s="256"/>
      <c r="FH26" s="256"/>
      <c r="FI26" s="256"/>
      <c r="FJ26" s="256"/>
      <c r="FK26" s="256"/>
      <c r="FL26" s="256"/>
      <c r="FM26" s="256"/>
      <c r="FN26" s="256"/>
      <c r="FO26" s="256"/>
    </row>
    <row r="27" spans="1:171" s="31" customFormat="1" ht="19.5" customHeight="1">
      <c r="A27" s="260"/>
      <c r="B27" s="263"/>
      <c r="C27" s="262"/>
      <c r="D27" s="98"/>
      <c r="E27" s="98"/>
      <c r="F27" s="98"/>
      <c r="G27" s="98"/>
      <c r="H27" s="404" t="s">
        <v>85</v>
      </c>
      <c r="I27" s="405"/>
      <c r="J27" s="405"/>
      <c r="K27" s="405"/>
      <c r="L27" s="405"/>
      <c r="M27" s="405"/>
      <c r="N27" s="405"/>
      <c r="O27" s="405"/>
      <c r="P27" s="405"/>
      <c r="Q27" s="405"/>
      <c r="R27" s="405"/>
      <c r="S27" s="405"/>
      <c r="T27" s="405"/>
      <c r="U27" s="405"/>
      <c r="V27" s="405"/>
      <c r="W27" s="405"/>
      <c r="X27" s="405"/>
      <c r="Y27" s="405"/>
      <c r="Z27" s="405"/>
      <c r="AA27" s="405"/>
      <c r="AB27" s="405"/>
      <c r="AC27" s="405"/>
      <c r="AD27" s="405"/>
      <c r="AE27" s="405"/>
      <c r="AF27" s="405"/>
      <c r="AG27" s="405"/>
      <c r="AH27" s="405"/>
      <c r="AI27" s="405"/>
      <c r="AJ27" s="405"/>
      <c r="AK27" s="405"/>
      <c r="AL27" s="405"/>
      <c r="AM27" s="405"/>
      <c r="AN27" s="405"/>
      <c r="AO27" s="405"/>
      <c r="AP27" s="405"/>
      <c r="AQ27" s="405"/>
      <c r="AR27" s="405"/>
      <c r="AS27" s="405"/>
      <c r="AT27" s="405"/>
      <c r="AU27" s="405"/>
      <c r="AV27" s="405"/>
      <c r="AW27" s="405"/>
      <c r="AX27" s="405"/>
      <c r="AY27" s="405"/>
      <c r="AZ27" s="405"/>
      <c r="BA27" s="405"/>
      <c r="BB27" s="405"/>
      <c r="BC27" s="405"/>
      <c r="BD27" s="405"/>
      <c r="BE27" s="405"/>
      <c r="BF27" s="405"/>
      <c r="BG27" s="405"/>
      <c r="BH27" s="405"/>
      <c r="BI27" s="405"/>
      <c r="BJ27" s="405"/>
      <c r="BK27" s="405"/>
      <c r="BL27" s="405"/>
      <c r="BM27" s="405"/>
      <c r="BN27" s="405"/>
      <c r="BO27" s="405"/>
      <c r="BP27" s="405"/>
      <c r="BQ27" s="405"/>
      <c r="BR27" s="405"/>
      <c r="BS27" s="405"/>
      <c r="BT27" s="405"/>
      <c r="BU27" s="405"/>
      <c r="BV27" s="405"/>
      <c r="BW27" s="405"/>
      <c r="BX27" s="405"/>
      <c r="BY27" s="405"/>
      <c r="BZ27" s="405"/>
      <c r="CA27" s="405"/>
      <c r="CB27" s="406"/>
      <c r="CC27" s="179"/>
      <c r="CD27" s="95"/>
      <c r="CE27" s="187"/>
      <c r="CF27" s="273"/>
      <c r="CG27" s="256"/>
      <c r="CH27" s="256"/>
      <c r="CI27" s="256"/>
      <c r="CJ27" s="256"/>
      <c r="CK27" s="256"/>
      <c r="CL27" s="256"/>
      <c r="CM27" s="256"/>
      <c r="CN27" s="256"/>
      <c r="CO27" s="256"/>
      <c r="CP27" s="256"/>
      <c r="CQ27" s="256"/>
      <c r="CR27" s="256"/>
      <c r="CS27" s="256"/>
      <c r="CT27" s="256"/>
      <c r="CU27" s="256"/>
      <c r="CV27" s="256"/>
      <c r="CW27" s="256"/>
      <c r="CX27" s="256"/>
      <c r="CY27" s="256"/>
      <c r="CZ27" s="256"/>
      <c r="DA27" s="256"/>
      <c r="DB27" s="256"/>
      <c r="DC27" s="256"/>
      <c r="DD27" s="256"/>
      <c r="DE27" s="256"/>
      <c r="DF27" s="256"/>
      <c r="DG27" s="256"/>
      <c r="DH27" s="256"/>
      <c r="DI27" s="256"/>
      <c r="DJ27" s="256"/>
      <c r="DK27" s="256"/>
      <c r="DL27" s="256"/>
      <c r="DM27" s="256"/>
      <c r="DN27" s="256"/>
      <c r="DO27" s="256"/>
      <c r="DP27" s="256"/>
      <c r="DQ27" s="256"/>
      <c r="DR27" s="256"/>
      <c r="DS27" s="256"/>
      <c r="DT27" s="256"/>
      <c r="DU27" s="256"/>
      <c r="DV27" s="256"/>
      <c r="DW27" s="256"/>
      <c r="DX27" s="256"/>
      <c r="DY27" s="256"/>
      <c r="DZ27" s="256"/>
      <c r="EA27" s="256"/>
      <c r="EB27" s="256"/>
      <c r="EC27" s="256"/>
      <c r="ED27" s="256"/>
      <c r="EE27" s="256"/>
      <c r="EF27" s="256"/>
      <c r="EG27" s="256"/>
      <c r="EH27" s="256"/>
      <c r="EI27" s="256"/>
      <c r="EJ27" s="256"/>
      <c r="EK27" s="256"/>
      <c r="EL27" s="256"/>
      <c r="EM27" s="256"/>
      <c r="EN27" s="256"/>
      <c r="EO27" s="256"/>
      <c r="EP27" s="256"/>
      <c r="EQ27" s="256"/>
      <c r="ER27" s="256"/>
      <c r="ES27" s="256"/>
      <c r="ET27" s="256"/>
      <c r="EU27" s="256"/>
      <c r="EV27" s="256"/>
      <c r="EW27" s="256"/>
      <c r="EX27" s="256"/>
      <c r="EY27" s="256"/>
      <c r="EZ27" s="256"/>
      <c r="FA27" s="256"/>
      <c r="FB27" s="256"/>
      <c r="FC27" s="256"/>
      <c r="FD27" s="256"/>
      <c r="FE27" s="256"/>
      <c r="FF27" s="256"/>
      <c r="FG27" s="256"/>
      <c r="FH27" s="256"/>
      <c r="FI27" s="256"/>
      <c r="FJ27" s="256"/>
      <c r="FK27" s="256"/>
      <c r="FL27" s="256"/>
      <c r="FM27" s="256"/>
      <c r="FN27" s="256"/>
      <c r="FO27" s="256"/>
    </row>
    <row r="28" spans="1:171" s="31" customFormat="1" ht="19.5" customHeight="1">
      <c r="A28" s="260"/>
      <c r="B28" s="263"/>
      <c r="C28" s="262"/>
      <c r="D28" s="98"/>
      <c r="E28" s="98"/>
      <c r="F28" s="98"/>
      <c r="G28" s="98"/>
      <c r="H28" s="168" t="s">
        <v>220</v>
      </c>
      <c r="I28" s="169"/>
      <c r="J28" s="169"/>
      <c r="K28" s="169"/>
      <c r="L28" s="169"/>
      <c r="M28" s="169"/>
      <c r="N28" s="169"/>
      <c r="O28" s="169"/>
      <c r="P28" s="169"/>
      <c r="Q28" s="169"/>
      <c r="R28" s="169"/>
      <c r="S28" s="169"/>
      <c r="T28" s="170"/>
      <c r="U28" s="171" t="s">
        <v>96</v>
      </c>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c r="AY28" s="168" t="s">
        <v>97</v>
      </c>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3"/>
      <c r="CC28" s="179"/>
      <c r="CD28" s="95"/>
      <c r="CE28" s="181"/>
      <c r="CF28" s="273"/>
      <c r="CG28" s="256"/>
      <c r="CH28" s="256"/>
      <c r="CI28" s="256"/>
      <c r="CJ28" s="256"/>
      <c r="CK28" s="256"/>
      <c r="CL28" s="256"/>
      <c r="CM28" s="256"/>
      <c r="CN28" s="256"/>
      <c r="CO28" s="256"/>
      <c r="CP28" s="256"/>
      <c r="CQ28" s="256"/>
      <c r="CR28" s="256"/>
      <c r="CS28" s="256"/>
      <c r="CT28" s="256"/>
      <c r="CU28" s="256"/>
      <c r="CV28" s="256"/>
      <c r="CW28" s="256"/>
      <c r="CX28" s="256"/>
      <c r="CY28" s="256"/>
      <c r="CZ28" s="256"/>
      <c r="DA28" s="256"/>
      <c r="DB28" s="256"/>
      <c r="DC28" s="256"/>
      <c r="DD28" s="256"/>
      <c r="DE28" s="256"/>
      <c r="DF28" s="256"/>
      <c r="DG28" s="256"/>
      <c r="DH28" s="256"/>
      <c r="DI28" s="256"/>
      <c r="DJ28" s="256"/>
      <c r="DK28" s="256"/>
      <c r="DL28" s="256"/>
      <c r="DM28" s="256"/>
      <c r="DN28" s="256"/>
      <c r="DO28" s="256"/>
      <c r="DP28" s="256"/>
      <c r="DQ28" s="256"/>
      <c r="DR28" s="256"/>
      <c r="DS28" s="256"/>
      <c r="DT28" s="256"/>
      <c r="DU28" s="256"/>
      <c r="DV28" s="256"/>
      <c r="DW28" s="256"/>
      <c r="DX28" s="256"/>
      <c r="DY28" s="256"/>
      <c r="DZ28" s="256"/>
      <c r="EA28" s="256"/>
      <c r="EB28" s="256"/>
      <c r="EC28" s="256"/>
      <c r="ED28" s="256"/>
      <c r="EE28" s="256"/>
      <c r="EF28" s="256"/>
      <c r="EG28" s="256"/>
      <c r="EH28" s="256"/>
      <c r="EI28" s="256"/>
      <c r="EJ28" s="256"/>
      <c r="EK28" s="256"/>
      <c r="EL28" s="256"/>
      <c r="EM28" s="256"/>
      <c r="EN28" s="256"/>
      <c r="EO28" s="256"/>
      <c r="EP28" s="256"/>
      <c r="EQ28" s="256"/>
      <c r="ER28" s="256"/>
      <c r="ES28" s="256"/>
      <c r="ET28" s="256"/>
      <c r="EU28" s="256"/>
      <c r="EV28" s="256"/>
      <c r="EW28" s="256"/>
      <c r="EX28" s="256"/>
      <c r="EY28" s="256"/>
      <c r="EZ28" s="256"/>
      <c r="FA28" s="256"/>
      <c r="FB28" s="256"/>
      <c r="FC28" s="256"/>
      <c r="FD28" s="256"/>
      <c r="FE28" s="256"/>
      <c r="FF28" s="256"/>
      <c r="FG28" s="256"/>
      <c r="FH28" s="256"/>
      <c r="FI28" s="256"/>
      <c r="FJ28" s="256"/>
      <c r="FK28" s="256"/>
      <c r="FL28" s="256"/>
      <c r="FM28" s="256"/>
      <c r="FN28" s="256"/>
      <c r="FO28" s="256"/>
    </row>
    <row r="29" spans="1:171" s="31" customFormat="1" ht="19.5" customHeight="1">
      <c r="A29" s="260"/>
      <c r="B29" s="263"/>
      <c r="C29" s="262"/>
      <c r="D29" s="98"/>
      <c r="E29" s="98"/>
      <c r="F29" s="98"/>
      <c r="G29" s="98"/>
      <c r="H29" s="168" t="s">
        <v>145</v>
      </c>
      <c r="I29" s="172"/>
      <c r="J29" s="172"/>
      <c r="K29" s="172"/>
      <c r="L29" s="172"/>
      <c r="M29" s="172"/>
      <c r="N29" s="172"/>
      <c r="O29" s="172"/>
      <c r="P29" s="172"/>
      <c r="Q29" s="172"/>
      <c r="R29" s="172"/>
      <c r="S29" s="174"/>
      <c r="T29" s="175"/>
      <c r="U29" s="176"/>
      <c r="V29" s="591"/>
      <c r="W29" s="591"/>
      <c r="X29" s="591"/>
      <c r="Y29" s="591"/>
      <c r="Z29" s="591"/>
      <c r="AA29" s="591"/>
      <c r="AB29" s="591"/>
      <c r="AC29" s="591"/>
      <c r="AD29" s="591"/>
      <c r="AE29" s="591"/>
      <c r="AF29" s="591"/>
      <c r="AG29" s="591"/>
      <c r="AH29" s="591"/>
      <c r="AI29" s="591"/>
      <c r="AJ29" s="591"/>
      <c r="AK29" s="591"/>
      <c r="AL29" s="591"/>
      <c r="AM29" s="591"/>
      <c r="AN29" s="591"/>
      <c r="AO29" s="591"/>
      <c r="AP29" s="591"/>
      <c r="AQ29" s="591"/>
      <c r="AR29" s="591"/>
      <c r="AS29" s="591"/>
      <c r="AT29" s="591"/>
      <c r="AU29" s="591"/>
      <c r="AV29" s="591"/>
      <c r="AW29" s="591"/>
      <c r="AX29" s="177"/>
      <c r="AY29" s="176"/>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175"/>
      <c r="CC29" s="179"/>
      <c r="CD29" s="95"/>
      <c r="CE29" s="181"/>
      <c r="CF29" s="273"/>
      <c r="CG29" s="256"/>
      <c r="CH29" s="256"/>
      <c r="CI29" s="256"/>
      <c r="CJ29" s="256"/>
      <c r="CK29" s="256"/>
      <c r="CL29" s="256"/>
      <c r="CM29" s="256"/>
      <c r="CN29" s="256"/>
      <c r="CO29" s="256"/>
      <c r="CP29" s="256"/>
      <c r="CQ29" s="256"/>
      <c r="CR29" s="256"/>
      <c r="CS29" s="256"/>
      <c r="CT29" s="256"/>
      <c r="CU29" s="256"/>
      <c r="CV29" s="256"/>
      <c r="CW29" s="256"/>
      <c r="CX29" s="256"/>
      <c r="CY29" s="256"/>
      <c r="CZ29" s="256"/>
      <c r="DA29" s="256"/>
      <c r="DB29" s="256"/>
      <c r="DC29" s="256"/>
      <c r="DD29" s="256"/>
      <c r="DE29" s="256"/>
      <c r="DF29" s="256"/>
      <c r="DG29" s="256"/>
      <c r="DH29" s="256"/>
      <c r="DI29" s="256"/>
      <c r="DJ29" s="256"/>
      <c r="DK29" s="256"/>
      <c r="DL29" s="256"/>
      <c r="DM29" s="256"/>
      <c r="DN29" s="256"/>
      <c r="DO29" s="256"/>
      <c r="DP29" s="256"/>
      <c r="DQ29" s="256"/>
      <c r="DR29" s="256"/>
      <c r="DS29" s="256"/>
      <c r="DT29" s="256"/>
      <c r="DU29" s="256"/>
      <c r="DV29" s="256"/>
      <c r="DW29" s="256"/>
      <c r="DX29" s="256"/>
      <c r="DY29" s="256"/>
      <c r="DZ29" s="256"/>
      <c r="EA29" s="256"/>
      <c r="EB29" s="256"/>
      <c r="EC29" s="256"/>
      <c r="ED29" s="256"/>
      <c r="EE29" s="256"/>
      <c r="EF29" s="256"/>
      <c r="EG29" s="256"/>
      <c r="EH29" s="256"/>
      <c r="EI29" s="256"/>
      <c r="EJ29" s="256"/>
      <c r="EK29" s="256"/>
      <c r="EL29" s="256"/>
      <c r="EM29" s="256"/>
      <c r="EN29" s="256"/>
      <c r="EO29" s="256"/>
      <c r="EP29" s="256"/>
      <c r="EQ29" s="256"/>
      <c r="ER29" s="256"/>
      <c r="ES29" s="256"/>
      <c r="ET29" s="256"/>
      <c r="EU29" s="256"/>
      <c r="EV29" s="256"/>
      <c r="EW29" s="256"/>
      <c r="EX29" s="256"/>
      <c r="EY29" s="256"/>
      <c r="EZ29" s="256"/>
      <c r="FA29" s="256"/>
      <c r="FB29" s="256"/>
      <c r="FC29" s="256"/>
      <c r="FD29" s="256"/>
      <c r="FE29" s="256"/>
      <c r="FF29" s="256"/>
      <c r="FG29" s="256"/>
      <c r="FH29" s="256"/>
      <c r="FI29" s="256"/>
      <c r="FJ29" s="256"/>
      <c r="FK29" s="256"/>
      <c r="FL29" s="256"/>
      <c r="FM29" s="256"/>
      <c r="FN29" s="256"/>
      <c r="FO29" s="256"/>
    </row>
    <row r="30" spans="1:171" s="31" customFormat="1" ht="19.5" customHeight="1">
      <c r="A30" s="260"/>
      <c r="B30" s="263"/>
      <c r="C30" s="262"/>
      <c r="D30" s="98"/>
      <c r="E30" s="98"/>
      <c r="F30" s="98"/>
      <c r="G30" s="98"/>
      <c r="H30" s="168" t="s">
        <v>144</v>
      </c>
      <c r="I30" s="172"/>
      <c r="J30" s="172"/>
      <c r="K30" s="172"/>
      <c r="L30" s="172"/>
      <c r="M30" s="172"/>
      <c r="N30" s="172"/>
      <c r="O30" s="172"/>
      <c r="P30" s="172"/>
      <c r="Q30" s="172"/>
      <c r="R30" s="172"/>
      <c r="S30" s="174"/>
      <c r="T30" s="175"/>
      <c r="U30" s="597"/>
      <c r="V30" s="598"/>
      <c r="W30" s="598"/>
      <c r="X30" s="598"/>
      <c r="Y30" s="598"/>
      <c r="Z30" s="598"/>
      <c r="AA30" s="598"/>
      <c r="AB30" s="598"/>
      <c r="AC30" s="598"/>
      <c r="AD30" s="598"/>
      <c r="AE30" s="598"/>
      <c r="AF30" s="598"/>
      <c r="AG30" s="598"/>
      <c r="AH30" s="598"/>
      <c r="AI30" s="598"/>
      <c r="AJ30" s="598"/>
      <c r="AK30" s="598"/>
      <c r="AL30" s="598"/>
      <c r="AM30" s="598"/>
      <c r="AN30" s="598"/>
      <c r="AO30" s="598"/>
      <c r="AP30" s="598"/>
      <c r="AQ30" s="598"/>
      <c r="AR30" s="598"/>
      <c r="AS30" s="598"/>
      <c r="AT30" s="598"/>
      <c r="AU30" s="598"/>
      <c r="AV30" s="598"/>
      <c r="AW30" s="598"/>
      <c r="AX30" s="177"/>
      <c r="AY30" s="176"/>
      <c r="AZ30" s="177"/>
      <c r="BA30" s="599"/>
      <c r="BB30" s="598"/>
      <c r="BC30" s="598"/>
      <c r="BD30" s="598"/>
      <c r="BE30" s="598"/>
      <c r="BF30" s="598"/>
      <c r="BG30" s="598"/>
      <c r="BH30" s="598"/>
      <c r="BI30" s="598"/>
      <c r="BJ30" s="598"/>
      <c r="BK30" s="598"/>
      <c r="BL30" s="598"/>
      <c r="BM30" s="598"/>
      <c r="BN30" s="598"/>
      <c r="BO30" s="598"/>
      <c r="BP30" s="598"/>
      <c r="BQ30" s="598"/>
      <c r="BR30" s="598"/>
      <c r="BS30" s="598"/>
      <c r="BT30" s="598"/>
      <c r="BU30" s="598"/>
      <c r="BV30" s="598"/>
      <c r="BW30" s="598"/>
      <c r="BX30" s="598"/>
      <c r="BY30" s="598"/>
      <c r="BZ30" s="598"/>
      <c r="CA30" s="598"/>
      <c r="CB30" s="175"/>
      <c r="CC30" s="179"/>
      <c r="CD30" s="95"/>
      <c r="CE30" s="181"/>
      <c r="CF30" s="273"/>
      <c r="CG30" s="256"/>
      <c r="CH30" s="256"/>
      <c r="CI30" s="256"/>
      <c r="CJ30" s="256"/>
      <c r="CK30" s="256"/>
      <c r="CL30" s="256"/>
      <c r="CM30" s="256"/>
      <c r="CN30" s="256"/>
      <c r="CO30" s="256"/>
      <c r="CP30" s="256"/>
      <c r="CQ30" s="256"/>
      <c r="CR30" s="256"/>
      <c r="CS30" s="256"/>
      <c r="CT30" s="256"/>
      <c r="CU30" s="256"/>
      <c r="CV30" s="256"/>
      <c r="CW30" s="256"/>
      <c r="CX30" s="256"/>
      <c r="CY30" s="256"/>
      <c r="CZ30" s="256"/>
      <c r="DA30" s="256"/>
      <c r="DB30" s="256"/>
      <c r="DC30" s="256"/>
      <c r="DD30" s="256"/>
      <c r="DE30" s="256"/>
      <c r="DF30" s="256"/>
      <c r="DG30" s="256"/>
      <c r="DH30" s="256"/>
      <c r="DI30" s="256"/>
      <c r="DJ30" s="256"/>
      <c r="DK30" s="256"/>
      <c r="DL30" s="256"/>
      <c r="DM30" s="256"/>
      <c r="DN30" s="256"/>
      <c r="DO30" s="256"/>
      <c r="DP30" s="256"/>
      <c r="DQ30" s="256"/>
      <c r="DR30" s="256"/>
      <c r="DS30" s="256"/>
      <c r="DT30" s="256"/>
      <c r="DU30" s="256"/>
      <c r="DV30" s="256"/>
      <c r="DW30" s="256"/>
      <c r="DX30" s="256"/>
      <c r="DY30" s="256"/>
      <c r="DZ30" s="256"/>
      <c r="EA30" s="256"/>
      <c r="EB30" s="256"/>
      <c r="EC30" s="256"/>
      <c r="ED30" s="256"/>
      <c r="EE30" s="256"/>
      <c r="EF30" s="256"/>
      <c r="EG30" s="256"/>
      <c r="EH30" s="256"/>
      <c r="EI30" s="256"/>
      <c r="EJ30" s="256"/>
      <c r="EK30" s="256"/>
      <c r="EL30" s="256"/>
      <c r="EM30" s="256"/>
      <c r="EN30" s="256"/>
      <c r="EO30" s="256"/>
      <c r="EP30" s="256"/>
      <c r="EQ30" s="256"/>
      <c r="ER30" s="256"/>
      <c r="ES30" s="256"/>
      <c r="ET30" s="256"/>
      <c r="EU30" s="256"/>
      <c r="EV30" s="256"/>
      <c r="EW30" s="256"/>
      <c r="EX30" s="256"/>
      <c r="EY30" s="256"/>
      <c r="EZ30" s="256"/>
      <c r="FA30" s="256"/>
      <c r="FB30" s="256"/>
      <c r="FC30" s="256"/>
      <c r="FD30" s="256"/>
      <c r="FE30" s="256"/>
      <c r="FF30" s="256"/>
      <c r="FG30" s="256"/>
      <c r="FH30" s="256"/>
      <c r="FI30" s="256"/>
      <c r="FJ30" s="256"/>
      <c r="FK30" s="256"/>
      <c r="FL30" s="256"/>
      <c r="FM30" s="256"/>
      <c r="FN30" s="256"/>
      <c r="FO30" s="256"/>
    </row>
    <row r="31" spans="1:171" s="31" customFormat="1" ht="19.5" customHeight="1">
      <c r="A31" s="260"/>
      <c r="B31" s="263"/>
      <c r="C31" s="262"/>
      <c r="D31" s="98"/>
      <c r="E31" s="98"/>
      <c r="F31" s="98"/>
      <c r="G31" s="98"/>
      <c r="H31" s="168" t="s">
        <v>143</v>
      </c>
      <c r="I31" s="172"/>
      <c r="J31" s="172"/>
      <c r="K31" s="172"/>
      <c r="L31" s="172"/>
      <c r="M31" s="172"/>
      <c r="N31" s="172"/>
      <c r="O31" s="172"/>
      <c r="P31" s="172"/>
      <c r="Q31" s="172"/>
      <c r="R31" s="172"/>
      <c r="S31" s="174"/>
      <c r="T31" s="175"/>
      <c r="U31" s="176"/>
      <c r="V31" s="591"/>
      <c r="W31" s="591"/>
      <c r="X31" s="591"/>
      <c r="Y31" s="591"/>
      <c r="Z31" s="591"/>
      <c r="AA31" s="591"/>
      <c r="AB31" s="591"/>
      <c r="AC31" s="591"/>
      <c r="AD31" s="591"/>
      <c r="AE31" s="591"/>
      <c r="AF31" s="591"/>
      <c r="AG31" s="591"/>
      <c r="AH31" s="591"/>
      <c r="AI31" s="591"/>
      <c r="AJ31" s="591"/>
      <c r="AK31" s="591"/>
      <c r="AL31" s="591"/>
      <c r="AM31" s="591"/>
      <c r="AN31" s="591"/>
      <c r="AO31" s="591"/>
      <c r="AP31" s="591"/>
      <c r="AQ31" s="591"/>
      <c r="AR31" s="591"/>
      <c r="AS31" s="591"/>
      <c r="AT31" s="591"/>
      <c r="AU31" s="591"/>
      <c r="AV31" s="591"/>
      <c r="AW31" s="591"/>
      <c r="AX31" s="177"/>
      <c r="AY31" s="176"/>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175"/>
      <c r="CC31" s="179"/>
      <c r="CD31" s="95"/>
      <c r="CE31" s="187"/>
      <c r="CF31" s="273"/>
      <c r="CG31" s="256"/>
      <c r="CH31" s="256"/>
      <c r="CI31" s="256"/>
      <c r="CJ31" s="256"/>
      <c r="CK31" s="256"/>
      <c r="CL31" s="256"/>
      <c r="CM31" s="256"/>
      <c r="CN31" s="256"/>
      <c r="CO31" s="256"/>
      <c r="CP31" s="256"/>
      <c r="CQ31" s="256"/>
      <c r="CR31" s="256"/>
      <c r="CS31" s="256"/>
      <c r="CT31" s="256"/>
      <c r="CU31" s="256"/>
      <c r="CV31" s="256"/>
      <c r="CW31" s="256"/>
      <c r="CX31" s="256"/>
      <c r="CY31" s="256"/>
      <c r="CZ31" s="256"/>
      <c r="DA31" s="256"/>
      <c r="DB31" s="256"/>
      <c r="DC31" s="256"/>
      <c r="DD31" s="256"/>
      <c r="DE31" s="256"/>
      <c r="DF31" s="256"/>
      <c r="DG31" s="256"/>
      <c r="DH31" s="256"/>
      <c r="DI31" s="256"/>
      <c r="DJ31" s="256"/>
      <c r="DK31" s="256"/>
      <c r="DL31" s="256"/>
      <c r="DM31" s="256"/>
      <c r="DN31" s="256"/>
      <c r="DO31" s="256"/>
      <c r="DP31" s="256"/>
      <c r="DQ31" s="256"/>
      <c r="DR31" s="256"/>
      <c r="DS31" s="256"/>
      <c r="DT31" s="256"/>
      <c r="DU31" s="256"/>
      <c r="DV31" s="256"/>
      <c r="DW31" s="256"/>
      <c r="DX31" s="256"/>
      <c r="DY31" s="256"/>
      <c r="DZ31" s="256"/>
      <c r="EA31" s="256"/>
      <c r="EB31" s="256"/>
      <c r="EC31" s="256"/>
      <c r="ED31" s="256"/>
      <c r="EE31" s="256"/>
      <c r="EF31" s="256"/>
      <c r="EG31" s="256"/>
      <c r="EH31" s="256"/>
      <c r="EI31" s="256"/>
      <c r="EJ31" s="256"/>
      <c r="EK31" s="256"/>
      <c r="EL31" s="256"/>
      <c r="EM31" s="256"/>
      <c r="EN31" s="256"/>
      <c r="EO31" s="256"/>
      <c r="EP31" s="256"/>
      <c r="EQ31" s="256"/>
      <c r="ER31" s="256"/>
      <c r="ES31" s="256"/>
      <c r="ET31" s="256"/>
      <c r="EU31" s="256"/>
      <c r="EV31" s="256"/>
      <c r="EW31" s="256"/>
      <c r="EX31" s="256"/>
      <c r="EY31" s="256"/>
      <c r="EZ31" s="256"/>
      <c r="FA31" s="256"/>
      <c r="FB31" s="256"/>
      <c r="FC31" s="256"/>
      <c r="FD31" s="256"/>
      <c r="FE31" s="256"/>
      <c r="FF31" s="256"/>
      <c r="FG31" s="256"/>
      <c r="FH31" s="256"/>
      <c r="FI31" s="256"/>
      <c r="FJ31" s="256"/>
      <c r="FK31" s="256"/>
      <c r="FL31" s="256"/>
      <c r="FM31" s="256"/>
      <c r="FN31" s="256"/>
      <c r="FO31" s="256"/>
    </row>
    <row r="32" spans="1:171" s="31" customFormat="1" ht="19.5" customHeight="1">
      <c r="A32" s="260"/>
      <c r="B32" s="263"/>
      <c r="C32" s="262"/>
      <c r="D32" s="98"/>
      <c r="E32" s="98"/>
      <c r="F32" s="98"/>
      <c r="G32" s="98"/>
      <c r="H32" s="183"/>
      <c r="I32" s="183"/>
      <c r="J32" s="183"/>
      <c r="K32" s="183"/>
      <c r="L32" s="183"/>
      <c r="M32" s="183"/>
      <c r="N32" s="184"/>
      <c r="O32" s="184"/>
      <c r="P32" s="184"/>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3"/>
      <c r="BN32" s="183"/>
      <c r="BO32" s="184"/>
      <c r="BP32" s="184"/>
      <c r="BQ32" s="184"/>
      <c r="BR32" s="184"/>
      <c r="BS32" s="184"/>
      <c r="BT32" s="184"/>
      <c r="BU32" s="184"/>
      <c r="BV32" s="184"/>
      <c r="BW32" s="184"/>
      <c r="BX32" s="185"/>
      <c r="BY32" s="179"/>
      <c r="BZ32" s="179"/>
      <c r="CA32" s="179"/>
      <c r="CB32" s="179"/>
      <c r="CC32" s="179"/>
      <c r="CD32" s="95"/>
      <c r="CE32" s="181"/>
      <c r="CF32" s="273"/>
      <c r="CG32" s="256"/>
      <c r="CH32" s="256"/>
      <c r="CI32" s="256"/>
      <c r="CJ32" s="256"/>
      <c r="CK32" s="256"/>
      <c r="CL32" s="256"/>
      <c r="CM32" s="256"/>
      <c r="CN32" s="256"/>
      <c r="CO32" s="256"/>
      <c r="CP32" s="256"/>
      <c r="CQ32" s="256"/>
      <c r="CR32" s="256"/>
      <c r="CS32" s="256"/>
      <c r="CT32" s="256"/>
      <c r="CU32" s="256"/>
      <c r="CV32" s="256"/>
      <c r="CW32" s="256"/>
      <c r="CX32" s="256"/>
      <c r="CY32" s="256"/>
      <c r="CZ32" s="256"/>
      <c r="DA32" s="256"/>
      <c r="DB32" s="256"/>
      <c r="DC32" s="256"/>
      <c r="DD32" s="256"/>
      <c r="DE32" s="256"/>
      <c r="DF32" s="256"/>
      <c r="DG32" s="256"/>
      <c r="DH32" s="256"/>
      <c r="DI32" s="256"/>
      <c r="DJ32" s="256"/>
      <c r="DK32" s="256"/>
      <c r="DL32" s="256"/>
      <c r="DM32" s="256"/>
      <c r="DN32" s="256"/>
      <c r="DO32" s="256"/>
      <c r="DP32" s="256"/>
      <c r="DQ32" s="256"/>
      <c r="DR32" s="256"/>
      <c r="DS32" s="256"/>
      <c r="DT32" s="256"/>
      <c r="DU32" s="256"/>
      <c r="DV32" s="256"/>
      <c r="DW32" s="256"/>
      <c r="DX32" s="256"/>
      <c r="DY32" s="256"/>
      <c r="DZ32" s="256"/>
      <c r="EA32" s="256"/>
      <c r="EB32" s="256"/>
      <c r="EC32" s="256"/>
      <c r="ED32" s="256"/>
      <c r="EE32" s="256"/>
      <c r="EF32" s="256"/>
      <c r="EG32" s="256"/>
      <c r="EH32" s="256"/>
      <c r="EI32" s="256"/>
      <c r="EJ32" s="256"/>
      <c r="EK32" s="256"/>
      <c r="EL32" s="256"/>
      <c r="EM32" s="256"/>
      <c r="EN32" s="256"/>
      <c r="EO32" s="256"/>
      <c r="EP32" s="256"/>
      <c r="EQ32" s="256"/>
      <c r="ER32" s="256"/>
      <c r="ES32" s="256"/>
      <c r="ET32" s="256"/>
      <c r="EU32" s="256"/>
      <c r="EV32" s="256"/>
      <c r="EW32" s="256"/>
      <c r="EX32" s="256"/>
      <c r="EY32" s="256"/>
      <c r="EZ32" s="256"/>
      <c r="FA32" s="256"/>
      <c r="FB32" s="256"/>
      <c r="FC32" s="256"/>
      <c r="FD32" s="256"/>
      <c r="FE32" s="256"/>
      <c r="FF32" s="256"/>
      <c r="FG32" s="256"/>
      <c r="FH32" s="256"/>
      <c r="FI32" s="256"/>
      <c r="FJ32" s="256"/>
      <c r="FK32" s="256"/>
      <c r="FL32" s="256"/>
      <c r="FM32" s="256"/>
      <c r="FN32" s="256"/>
      <c r="FO32" s="256"/>
    </row>
    <row r="33" spans="1:171" s="31" customFormat="1" ht="19.5" customHeight="1">
      <c r="A33" s="260"/>
      <c r="B33" s="263"/>
      <c r="C33" s="262"/>
      <c r="D33" s="98"/>
      <c r="E33" s="98"/>
      <c r="F33" s="98"/>
      <c r="G33" s="98"/>
      <c r="H33" s="183"/>
      <c r="I33" s="183"/>
      <c r="J33" s="183"/>
      <c r="K33" s="183"/>
      <c r="L33" s="183"/>
      <c r="M33" s="183"/>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3"/>
      <c r="BN33" s="183"/>
      <c r="BO33" s="184"/>
      <c r="BP33" s="184"/>
      <c r="BQ33" s="184"/>
      <c r="BR33" s="184"/>
      <c r="BS33" s="184"/>
      <c r="BT33" s="184"/>
      <c r="BU33" s="184"/>
      <c r="BV33" s="184"/>
      <c r="BW33" s="184"/>
      <c r="BX33" s="185"/>
      <c r="BY33" s="179"/>
      <c r="BZ33" s="179"/>
      <c r="CA33" s="179"/>
      <c r="CB33" s="179"/>
      <c r="CC33" s="179"/>
      <c r="CD33" s="95"/>
      <c r="CE33" s="181"/>
      <c r="CF33" s="273"/>
      <c r="CG33" s="256"/>
      <c r="CH33" s="256"/>
      <c r="CI33" s="256"/>
      <c r="CJ33" s="256"/>
      <c r="CK33" s="256"/>
      <c r="CL33" s="256"/>
      <c r="CM33" s="256"/>
      <c r="CN33" s="256"/>
      <c r="CO33" s="256"/>
      <c r="CP33" s="256"/>
      <c r="CQ33" s="256"/>
      <c r="CR33" s="256"/>
      <c r="CS33" s="256"/>
      <c r="CT33" s="256"/>
      <c r="CU33" s="256"/>
      <c r="CV33" s="256"/>
      <c r="CW33" s="256"/>
      <c r="CX33" s="256"/>
      <c r="CY33" s="256"/>
      <c r="CZ33" s="256"/>
      <c r="DA33" s="256"/>
      <c r="DB33" s="256"/>
      <c r="DC33" s="256"/>
      <c r="DD33" s="256"/>
      <c r="DE33" s="256"/>
      <c r="DF33" s="256"/>
      <c r="DG33" s="256"/>
      <c r="DH33" s="256"/>
      <c r="DI33" s="256"/>
      <c r="DJ33" s="256"/>
      <c r="DK33" s="256"/>
      <c r="DL33" s="256"/>
      <c r="DM33" s="256"/>
      <c r="DN33" s="256"/>
      <c r="DO33" s="256"/>
      <c r="DP33" s="256"/>
      <c r="DQ33" s="256"/>
      <c r="DR33" s="256"/>
      <c r="DS33" s="256"/>
      <c r="DT33" s="256"/>
      <c r="DU33" s="256"/>
      <c r="DV33" s="256"/>
      <c r="DW33" s="256"/>
      <c r="DX33" s="256"/>
      <c r="DY33" s="256"/>
      <c r="DZ33" s="256"/>
      <c r="EA33" s="256"/>
      <c r="EB33" s="256"/>
      <c r="EC33" s="256"/>
      <c r="ED33" s="256"/>
      <c r="EE33" s="256"/>
      <c r="EF33" s="256"/>
      <c r="EG33" s="256"/>
      <c r="EH33" s="256"/>
      <c r="EI33" s="256"/>
      <c r="EJ33" s="256"/>
      <c r="EK33" s="256"/>
      <c r="EL33" s="256"/>
      <c r="EM33" s="256"/>
      <c r="EN33" s="256"/>
      <c r="EO33" s="256"/>
      <c r="EP33" s="256"/>
      <c r="EQ33" s="256"/>
      <c r="ER33" s="256"/>
      <c r="ES33" s="256"/>
      <c r="ET33" s="256"/>
      <c r="EU33" s="256"/>
      <c r="EV33" s="256"/>
      <c r="EW33" s="256"/>
      <c r="EX33" s="256"/>
      <c r="EY33" s="256"/>
      <c r="EZ33" s="256"/>
      <c r="FA33" s="256"/>
      <c r="FB33" s="256"/>
      <c r="FC33" s="256"/>
      <c r="FD33" s="256"/>
      <c r="FE33" s="256"/>
      <c r="FF33" s="256"/>
      <c r="FG33" s="256"/>
      <c r="FH33" s="256"/>
      <c r="FI33" s="256"/>
      <c r="FJ33" s="256"/>
      <c r="FK33" s="256"/>
      <c r="FL33" s="256"/>
      <c r="FM33" s="256"/>
      <c r="FN33" s="256"/>
      <c r="FO33" s="256"/>
    </row>
    <row r="34" spans="1:171" s="31" customFormat="1" ht="19.5" customHeight="1">
      <c r="A34" s="260"/>
      <c r="B34" s="263"/>
      <c r="C34" s="262"/>
      <c r="D34" s="98"/>
      <c r="E34" s="98"/>
      <c r="F34" s="98"/>
      <c r="G34" s="98"/>
      <c r="H34" s="404" t="s">
        <v>402</v>
      </c>
      <c r="I34" s="405"/>
      <c r="J34" s="405"/>
      <c r="K34" s="405"/>
      <c r="L34" s="405"/>
      <c r="M34" s="405"/>
      <c r="N34" s="405"/>
      <c r="O34" s="405"/>
      <c r="P34" s="405"/>
      <c r="Q34" s="405"/>
      <c r="R34" s="405"/>
      <c r="S34" s="405"/>
      <c r="T34" s="405"/>
      <c r="U34" s="405"/>
      <c r="V34" s="405"/>
      <c r="W34" s="405"/>
      <c r="X34" s="405"/>
      <c r="Y34" s="405"/>
      <c r="Z34" s="405"/>
      <c r="AA34" s="405"/>
      <c r="AB34" s="405"/>
      <c r="AC34" s="405"/>
      <c r="AD34" s="405"/>
      <c r="AE34" s="405"/>
      <c r="AF34" s="405"/>
      <c r="AG34" s="405"/>
      <c r="AH34" s="405"/>
      <c r="AI34" s="405"/>
      <c r="AJ34" s="405"/>
      <c r="AK34" s="405"/>
      <c r="AL34" s="405"/>
      <c r="AM34" s="405"/>
      <c r="AN34" s="405"/>
      <c r="AO34" s="405"/>
      <c r="AP34" s="405"/>
      <c r="AQ34" s="405"/>
      <c r="AR34" s="405"/>
      <c r="AS34" s="405"/>
      <c r="AT34" s="405"/>
      <c r="AU34" s="405"/>
      <c r="AV34" s="405"/>
      <c r="AW34" s="405"/>
      <c r="AX34" s="405"/>
      <c r="AY34" s="405"/>
      <c r="AZ34" s="405"/>
      <c r="BA34" s="405"/>
      <c r="BB34" s="405"/>
      <c r="BC34" s="405"/>
      <c r="BD34" s="405"/>
      <c r="BE34" s="405"/>
      <c r="BF34" s="405"/>
      <c r="BG34" s="405"/>
      <c r="BH34" s="405"/>
      <c r="BI34" s="405"/>
      <c r="BJ34" s="405"/>
      <c r="BK34" s="405"/>
      <c r="BL34" s="405"/>
      <c r="BM34" s="405"/>
      <c r="BN34" s="405"/>
      <c r="BO34" s="405"/>
      <c r="BP34" s="405"/>
      <c r="BQ34" s="405"/>
      <c r="BR34" s="405"/>
      <c r="BS34" s="405"/>
      <c r="BT34" s="405"/>
      <c r="BU34" s="405"/>
      <c r="BV34" s="405"/>
      <c r="BW34" s="405"/>
      <c r="BX34" s="405"/>
      <c r="BY34" s="405"/>
      <c r="BZ34" s="405"/>
      <c r="CA34" s="405"/>
      <c r="CB34" s="406"/>
      <c r="CC34" s="179"/>
      <c r="CD34" s="95"/>
      <c r="CE34" s="181"/>
      <c r="CF34" s="273"/>
      <c r="CG34" s="256"/>
      <c r="CH34" s="256"/>
      <c r="CI34" s="256"/>
      <c r="CJ34" s="256"/>
      <c r="CK34" s="256"/>
      <c r="CL34" s="256"/>
      <c r="CM34" s="256"/>
      <c r="CN34" s="256"/>
      <c r="CO34" s="256"/>
      <c r="CP34" s="256"/>
      <c r="CQ34" s="256"/>
      <c r="CR34" s="256"/>
      <c r="CS34" s="256"/>
      <c r="CT34" s="256"/>
      <c r="CU34" s="256"/>
      <c r="CV34" s="256"/>
      <c r="CW34" s="256"/>
      <c r="CX34" s="256"/>
      <c r="CY34" s="256"/>
      <c r="CZ34" s="256"/>
      <c r="DA34" s="256"/>
      <c r="DB34" s="256"/>
      <c r="DC34" s="256"/>
      <c r="DD34" s="256"/>
      <c r="DE34" s="256"/>
      <c r="DF34" s="256"/>
      <c r="DG34" s="256"/>
      <c r="DH34" s="256"/>
      <c r="DI34" s="256"/>
      <c r="DJ34" s="256"/>
      <c r="DK34" s="256"/>
      <c r="DL34" s="256"/>
      <c r="DM34" s="256"/>
      <c r="DN34" s="256"/>
      <c r="DO34" s="256"/>
      <c r="DP34" s="256"/>
      <c r="DQ34" s="256"/>
      <c r="DR34" s="256"/>
      <c r="DS34" s="256"/>
      <c r="DT34" s="256"/>
      <c r="DU34" s="256"/>
      <c r="DV34" s="256"/>
      <c r="DW34" s="256"/>
      <c r="DX34" s="256"/>
      <c r="DY34" s="256"/>
      <c r="DZ34" s="256"/>
      <c r="EA34" s="256"/>
      <c r="EB34" s="256"/>
      <c r="EC34" s="256"/>
      <c r="ED34" s="256"/>
      <c r="EE34" s="256"/>
      <c r="EF34" s="256"/>
      <c r="EG34" s="256"/>
      <c r="EH34" s="256"/>
      <c r="EI34" s="256"/>
      <c r="EJ34" s="256"/>
      <c r="EK34" s="256"/>
      <c r="EL34" s="256"/>
      <c r="EM34" s="256"/>
      <c r="EN34" s="256"/>
      <c r="EO34" s="256"/>
      <c r="EP34" s="256"/>
      <c r="EQ34" s="256"/>
      <c r="ER34" s="256"/>
      <c r="ES34" s="256"/>
      <c r="ET34" s="256"/>
      <c r="EU34" s="256"/>
      <c r="EV34" s="256"/>
      <c r="EW34" s="256"/>
      <c r="EX34" s="256"/>
      <c r="EY34" s="256"/>
      <c r="EZ34" s="256"/>
      <c r="FA34" s="256"/>
      <c r="FB34" s="256"/>
      <c r="FC34" s="256"/>
      <c r="FD34" s="256"/>
      <c r="FE34" s="256"/>
      <c r="FF34" s="256"/>
      <c r="FG34" s="256"/>
      <c r="FH34" s="256"/>
      <c r="FI34" s="256"/>
      <c r="FJ34" s="256"/>
      <c r="FK34" s="256"/>
      <c r="FL34" s="256"/>
      <c r="FM34" s="256"/>
      <c r="FN34" s="256"/>
      <c r="FO34" s="256"/>
    </row>
    <row r="35" spans="1:171" s="31" customFormat="1" ht="19.5" customHeight="1">
      <c r="A35" s="260"/>
      <c r="B35" s="263"/>
      <c r="C35" s="262"/>
      <c r="D35" s="98"/>
      <c r="E35" s="98"/>
      <c r="F35" s="98"/>
      <c r="G35" s="98"/>
      <c r="H35" s="600" t="s">
        <v>403</v>
      </c>
      <c r="I35" s="600"/>
      <c r="J35" s="600"/>
      <c r="K35" s="600"/>
      <c r="L35" s="600"/>
      <c r="M35" s="600"/>
      <c r="N35" s="600"/>
      <c r="O35" s="600"/>
      <c r="P35" s="600"/>
      <c r="Q35" s="600"/>
      <c r="R35" s="600"/>
      <c r="S35" s="600"/>
      <c r="T35" s="600"/>
      <c r="U35" s="600" t="s">
        <v>404</v>
      </c>
      <c r="V35" s="600"/>
      <c r="W35" s="600"/>
      <c r="X35" s="600"/>
      <c r="Y35" s="600"/>
      <c r="Z35" s="600"/>
      <c r="AA35" s="600"/>
      <c r="AB35" s="600"/>
      <c r="AC35" s="600"/>
      <c r="AD35" s="600"/>
      <c r="AE35" s="600"/>
      <c r="AF35" s="600"/>
      <c r="AG35" s="600"/>
      <c r="AH35" s="600" t="s">
        <v>405</v>
      </c>
      <c r="AI35" s="600"/>
      <c r="AJ35" s="600"/>
      <c r="AK35" s="600"/>
      <c r="AL35" s="600"/>
      <c r="AM35" s="600"/>
      <c r="AN35" s="600"/>
      <c r="AO35" s="600"/>
      <c r="AP35" s="600"/>
      <c r="AQ35" s="600"/>
      <c r="AR35" s="600"/>
      <c r="AS35" s="600"/>
      <c r="AT35" s="600"/>
      <c r="AU35" s="600"/>
      <c r="AV35" s="600"/>
      <c r="AW35" s="600"/>
      <c r="AX35" s="600"/>
      <c r="AY35" s="600"/>
      <c r="AZ35" s="600"/>
      <c r="BA35" s="600"/>
      <c r="BB35" s="600"/>
      <c r="BC35" s="600"/>
      <c r="BD35" s="600"/>
      <c r="BE35" s="600"/>
      <c r="BF35" s="600"/>
      <c r="BG35" s="600"/>
      <c r="BH35" s="396" t="s">
        <v>406</v>
      </c>
      <c r="BI35" s="397"/>
      <c r="BJ35" s="397"/>
      <c r="BK35" s="397"/>
      <c r="BL35" s="397"/>
      <c r="BM35" s="397"/>
      <c r="BN35" s="397"/>
      <c r="BO35" s="397"/>
      <c r="BP35" s="397"/>
      <c r="BQ35" s="397"/>
      <c r="BR35" s="397"/>
      <c r="BS35" s="397"/>
      <c r="BT35" s="397"/>
      <c r="BU35" s="397"/>
      <c r="BV35" s="397"/>
      <c r="BW35" s="397"/>
      <c r="BX35" s="397"/>
      <c r="BY35" s="397"/>
      <c r="BZ35" s="397"/>
      <c r="CA35" s="397"/>
      <c r="CB35" s="398"/>
      <c r="CC35" s="179"/>
      <c r="CD35" s="95"/>
      <c r="CE35" s="181"/>
      <c r="CF35" s="273"/>
      <c r="CG35" s="256"/>
      <c r="CH35" s="256"/>
      <c r="CI35" s="256"/>
      <c r="CJ35" s="256"/>
      <c r="CK35" s="256"/>
      <c r="CL35" s="256"/>
      <c r="CM35" s="256"/>
      <c r="CN35" s="256"/>
      <c r="CO35" s="256"/>
      <c r="CP35" s="256"/>
      <c r="CQ35" s="256"/>
      <c r="CR35" s="256"/>
      <c r="CS35" s="256"/>
      <c r="CT35" s="256"/>
      <c r="CU35" s="256"/>
      <c r="CV35" s="256"/>
      <c r="CW35" s="256"/>
      <c r="CX35" s="256"/>
      <c r="CY35" s="256"/>
      <c r="CZ35" s="256"/>
      <c r="DA35" s="256"/>
      <c r="DB35" s="256"/>
      <c r="DC35" s="256"/>
      <c r="DD35" s="256"/>
      <c r="DE35" s="256"/>
      <c r="DF35" s="256"/>
      <c r="DG35" s="256"/>
      <c r="DH35" s="256"/>
      <c r="DI35" s="256"/>
      <c r="DJ35" s="256"/>
      <c r="DK35" s="256"/>
      <c r="DL35" s="256"/>
      <c r="DM35" s="256"/>
      <c r="DN35" s="256"/>
      <c r="DO35" s="256"/>
      <c r="DP35" s="256"/>
      <c r="DQ35" s="256"/>
      <c r="DR35" s="256"/>
      <c r="DS35" s="256"/>
      <c r="DT35" s="256"/>
      <c r="DU35" s="256"/>
      <c r="DV35" s="256"/>
      <c r="DW35" s="256"/>
      <c r="DX35" s="256"/>
      <c r="DY35" s="256"/>
      <c r="DZ35" s="256"/>
      <c r="EA35" s="256"/>
      <c r="EB35" s="256"/>
      <c r="EC35" s="256"/>
      <c r="ED35" s="256"/>
      <c r="EE35" s="256"/>
      <c r="EF35" s="256"/>
      <c r="EG35" s="256"/>
      <c r="EH35" s="256"/>
      <c r="EI35" s="256"/>
      <c r="EJ35" s="256"/>
      <c r="EK35" s="256"/>
      <c r="EL35" s="256"/>
      <c r="EM35" s="256"/>
      <c r="EN35" s="256"/>
      <c r="EO35" s="256"/>
      <c r="EP35" s="256"/>
      <c r="EQ35" s="256"/>
      <c r="ER35" s="256"/>
      <c r="ES35" s="256"/>
      <c r="ET35" s="256"/>
      <c r="EU35" s="256"/>
      <c r="EV35" s="256"/>
      <c r="EW35" s="256"/>
      <c r="EX35" s="256"/>
      <c r="EY35" s="256"/>
      <c r="EZ35" s="256"/>
      <c r="FA35" s="256"/>
      <c r="FB35" s="256"/>
      <c r="FC35" s="256"/>
      <c r="FD35" s="256"/>
      <c r="FE35" s="256"/>
      <c r="FF35" s="256"/>
      <c r="FG35" s="256"/>
      <c r="FH35" s="256"/>
      <c r="FI35" s="256"/>
      <c r="FJ35" s="256"/>
      <c r="FK35" s="256"/>
      <c r="FL35" s="256"/>
      <c r="FM35" s="256"/>
      <c r="FN35" s="256"/>
      <c r="FO35" s="256"/>
    </row>
    <row r="36" spans="1:171" s="31" customFormat="1" ht="19.5" customHeight="1">
      <c r="A36" s="260"/>
      <c r="B36" s="263"/>
      <c r="C36" s="262"/>
      <c r="D36" s="98"/>
      <c r="E36" s="98"/>
      <c r="F36" s="98"/>
      <c r="G36" s="98"/>
      <c r="H36" s="183"/>
      <c r="I36" s="183"/>
      <c r="J36" s="183"/>
      <c r="K36" s="183"/>
      <c r="L36" s="183"/>
      <c r="M36" s="183"/>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3"/>
      <c r="BN36" s="183"/>
      <c r="BO36" s="184"/>
      <c r="BP36" s="184"/>
      <c r="BQ36" s="184"/>
      <c r="BR36" s="184"/>
      <c r="BS36" s="184"/>
      <c r="BT36" s="184"/>
      <c r="BU36" s="184"/>
      <c r="BV36" s="184"/>
      <c r="BW36" s="184"/>
      <c r="BX36" s="185"/>
      <c r="BY36" s="179"/>
      <c r="BZ36" s="179"/>
      <c r="CA36" s="179"/>
      <c r="CB36" s="179"/>
      <c r="CC36" s="179"/>
      <c r="CD36" s="95"/>
      <c r="CE36" s="181"/>
      <c r="CF36" s="273"/>
      <c r="CG36" s="256"/>
      <c r="CH36" s="256"/>
      <c r="CI36" s="256"/>
      <c r="CJ36" s="256"/>
      <c r="CK36" s="256"/>
      <c r="CL36" s="256"/>
      <c r="CM36" s="256"/>
      <c r="CN36" s="256"/>
      <c r="CO36" s="256"/>
      <c r="CP36" s="256"/>
      <c r="CQ36" s="256"/>
      <c r="CR36" s="256"/>
      <c r="CS36" s="256"/>
      <c r="CT36" s="256"/>
      <c r="CU36" s="256"/>
      <c r="CV36" s="256"/>
      <c r="CW36" s="256"/>
      <c r="CX36" s="256"/>
      <c r="CY36" s="256"/>
      <c r="CZ36" s="256"/>
      <c r="DA36" s="256"/>
      <c r="DB36" s="256"/>
      <c r="DC36" s="256"/>
      <c r="DD36" s="256"/>
      <c r="DE36" s="256"/>
      <c r="DF36" s="256"/>
      <c r="DG36" s="256"/>
      <c r="DH36" s="256"/>
      <c r="DI36" s="256"/>
      <c r="DJ36" s="256"/>
      <c r="DK36" s="256"/>
      <c r="DL36" s="256"/>
      <c r="DM36" s="256"/>
      <c r="DN36" s="256"/>
      <c r="DO36" s="256"/>
      <c r="DP36" s="256"/>
      <c r="DQ36" s="256"/>
      <c r="DR36" s="256"/>
      <c r="DS36" s="256"/>
      <c r="DT36" s="256"/>
      <c r="DU36" s="256"/>
      <c r="DV36" s="256"/>
      <c r="DW36" s="256"/>
      <c r="DX36" s="256"/>
      <c r="DY36" s="256"/>
      <c r="DZ36" s="256"/>
      <c r="EA36" s="256"/>
      <c r="EB36" s="256"/>
      <c r="EC36" s="256"/>
      <c r="ED36" s="256"/>
      <c r="EE36" s="256"/>
      <c r="EF36" s="256"/>
      <c r="EG36" s="256"/>
      <c r="EH36" s="256"/>
      <c r="EI36" s="256"/>
      <c r="EJ36" s="256"/>
      <c r="EK36" s="256"/>
      <c r="EL36" s="256"/>
      <c r="EM36" s="256"/>
      <c r="EN36" s="256"/>
      <c r="EO36" s="256"/>
      <c r="EP36" s="256"/>
      <c r="EQ36" s="256"/>
      <c r="ER36" s="256"/>
      <c r="ES36" s="256"/>
      <c r="ET36" s="256"/>
      <c r="EU36" s="256"/>
      <c r="EV36" s="256"/>
      <c r="EW36" s="256"/>
      <c r="EX36" s="256"/>
      <c r="EY36" s="256"/>
      <c r="EZ36" s="256"/>
      <c r="FA36" s="256"/>
      <c r="FB36" s="256"/>
      <c r="FC36" s="256"/>
      <c r="FD36" s="256"/>
      <c r="FE36" s="256"/>
      <c r="FF36" s="256"/>
      <c r="FG36" s="256"/>
      <c r="FH36" s="256"/>
      <c r="FI36" s="256"/>
      <c r="FJ36" s="256"/>
      <c r="FK36" s="256"/>
      <c r="FL36" s="256"/>
      <c r="FM36" s="256"/>
      <c r="FN36" s="256"/>
      <c r="FO36" s="256"/>
    </row>
    <row r="37" spans="1:171" s="31" customFormat="1" ht="19.5" customHeight="1">
      <c r="A37" s="260"/>
      <c r="B37" s="263"/>
      <c r="C37" s="262"/>
      <c r="D37" s="98"/>
      <c r="E37" s="98"/>
      <c r="F37" s="98"/>
      <c r="G37" s="98"/>
      <c r="H37" s="183"/>
      <c r="I37" s="183"/>
      <c r="J37" s="183"/>
      <c r="K37" s="183"/>
      <c r="L37" s="183"/>
      <c r="M37" s="183"/>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3"/>
      <c r="BN37" s="183"/>
      <c r="BO37" s="184"/>
      <c r="BP37" s="184"/>
      <c r="BQ37" s="184"/>
      <c r="BR37" s="184"/>
      <c r="BS37" s="184"/>
      <c r="BT37" s="184"/>
      <c r="BU37" s="184"/>
      <c r="BV37" s="184"/>
      <c r="BW37" s="184"/>
      <c r="BX37" s="185"/>
      <c r="BY37" s="179"/>
      <c r="BZ37" s="179"/>
      <c r="CA37" s="179"/>
      <c r="CB37" s="179"/>
      <c r="CC37" s="179"/>
      <c r="CD37" s="95"/>
      <c r="CE37" s="181"/>
      <c r="CF37" s="273"/>
      <c r="CG37" s="256"/>
      <c r="CH37" s="256"/>
      <c r="CI37" s="256"/>
      <c r="CJ37" s="256"/>
      <c r="CK37" s="256"/>
      <c r="CL37" s="256"/>
      <c r="CM37" s="256"/>
      <c r="CN37" s="256"/>
      <c r="CO37" s="256"/>
      <c r="CP37" s="256"/>
      <c r="CQ37" s="256"/>
      <c r="CR37" s="256"/>
      <c r="CS37" s="256"/>
      <c r="CT37" s="256"/>
      <c r="CU37" s="256"/>
      <c r="CV37" s="256"/>
      <c r="CW37" s="256"/>
      <c r="CX37" s="256"/>
      <c r="CY37" s="256"/>
      <c r="CZ37" s="256"/>
      <c r="DA37" s="256"/>
      <c r="DB37" s="256"/>
      <c r="DC37" s="256"/>
      <c r="DD37" s="256"/>
      <c r="DE37" s="256"/>
      <c r="DF37" s="256"/>
      <c r="DG37" s="256"/>
      <c r="DH37" s="256"/>
      <c r="DI37" s="256"/>
      <c r="DJ37" s="256"/>
      <c r="DK37" s="256"/>
      <c r="DL37" s="256"/>
      <c r="DM37" s="256"/>
      <c r="DN37" s="256"/>
      <c r="DO37" s="256"/>
      <c r="DP37" s="256"/>
      <c r="DQ37" s="256"/>
      <c r="DR37" s="256"/>
      <c r="DS37" s="256"/>
      <c r="DT37" s="256"/>
      <c r="DU37" s="256"/>
      <c r="DV37" s="256"/>
      <c r="DW37" s="256"/>
      <c r="DX37" s="256"/>
      <c r="DY37" s="256"/>
      <c r="DZ37" s="256"/>
      <c r="EA37" s="256"/>
      <c r="EB37" s="256"/>
      <c r="EC37" s="256"/>
      <c r="ED37" s="256"/>
      <c r="EE37" s="256"/>
      <c r="EF37" s="256"/>
      <c r="EG37" s="256"/>
      <c r="EH37" s="256"/>
      <c r="EI37" s="256"/>
      <c r="EJ37" s="256"/>
      <c r="EK37" s="256"/>
      <c r="EL37" s="256"/>
      <c r="EM37" s="256"/>
      <c r="EN37" s="256"/>
      <c r="EO37" s="256"/>
      <c r="EP37" s="256"/>
      <c r="EQ37" s="256"/>
      <c r="ER37" s="256"/>
      <c r="ES37" s="256"/>
      <c r="ET37" s="256"/>
      <c r="EU37" s="256"/>
      <c r="EV37" s="256"/>
      <c r="EW37" s="256"/>
      <c r="EX37" s="256"/>
      <c r="EY37" s="256"/>
      <c r="EZ37" s="256"/>
      <c r="FA37" s="256"/>
      <c r="FB37" s="256"/>
      <c r="FC37" s="256"/>
      <c r="FD37" s="256"/>
      <c r="FE37" s="256"/>
      <c r="FF37" s="256"/>
      <c r="FG37" s="256"/>
      <c r="FH37" s="256"/>
      <c r="FI37" s="256"/>
      <c r="FJ37" s="256"/>
      <c r="FK37" s="256"/>
      <c r="FL37" s="256"/>
      <c r="FM37" s="256"/>
      <c r="FN37" s="256"/>
      <c r="FO37" s="256"/>
    </row>
    <row r="38" spans="1:171" s="31" customFormat="1" ht="19.5" customHeight="1">
      <c r="A38" s="260"/>
      <c r="B38" s="263"/>
      <c r="C38" s="262"/>
      <c r="D38" s="98"/>
      <c r="E38" s="98"/>
      <c r="F38" s="98"/>
      <c r="G38" s="98"/>
      <c r="H38" s="183"/>
      <c r="I38" s="183"/>
      <c r="J38" s="183"/>
      <c r="K38" s="183"/>
      <c r="L38" s="183"/>
      <c r="M38" s="183"/>
      <c r="N38" s="184"/>
      <c r="O38" s="184"/>
      <c r="P38" s="184"/>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3"/>
      <c r="BN38" s="183"/>
      <c r="BO38" s="184"/>
      <c r="BP38" s="184"/>
      <c r="BQ38" s="184"/>
      <c r="BR38" s="184"/>
      <c r="BS38" s="184"/>
      <c r="BT38" s="184"/>
      <c r="BU38" s="184"/>
      <c r="BV38" s="184"/>
      <c r="BW38" s="184"/>
      <c r="BX38" s="185"/>
      <c r="BY38" s="179"/>
      <c r="BZ38" s="179"/>
      <c r="CA38" s="179"/>
      <c r="CB38" s="179"/>
      <c r="CC38" s="179"/>
      <c r="CD38" s="95"/>
      <c r="CE38" s="181"/>
      <c r="CF38" s="273"/>
      <c r="CG38" s="256"/>
      <c r="CH38" s="256"/>
      <c r="CI38" s="256"/>
      <c r="CJ38" s="256"/>
      <c r="CK38" s="256"/>
      <c r="CL38" s="256"/>
      <c r="CM38" s="256"/>
      <c r="CN38" s="256"/>
      <c r="CO38" s="256"/>
      <c r="CP38" s="256"/>
      <c r="CQ38" s="256"/>
      <c r="CR38" s="256"/>
      <c r="CS38" s="256"/>
      <c r="CT38" s="256"/>
      <c r="CU38" s="256"/>
      <c r="CV38" s="256"/>
      <c r="CW38" s="256"/>
      <c r="CX38" s="256"/>
      <c r="CY38" s="256"/>
      <c r="CZ38" s="256"/>
      <c r="DA38" s="256"/>
      <c r="DB38" s="256"/>
      <c r="DC38" s="256"/>
      <c r="DD38" s="256"/>
      <c r="DE38" s="256"/>
      <c r="DF38" s="256"/>
      <c r="DG38" s="256"/>
      <c r="DH38" s="256"/>
      <c r="DI38" s="256"/>
      <c r="DJ38" s="256"/>
      <c r="DK38" s="256"/>
      <c r="DL38" s="256"/>
      <c r="DM38" s="256"/>
      <c r="DN38" s="256"/>
      <c r="DO38" s="256"/>
      <c r="DP38" s="256"/>
      <c r="DQ38" s="256"/>
      <c r="DR38" s="256"/>
      <c r="DS38" s="256"/>
      <c r="DT38" s="256"/>
      <c r="DU38" s="256"/>
      <c r="DV38" s="256"/>
      <c r="DW38" s="256"/>
      <c r="DX38" s="256"/>
      <c r="DY38" s="256"/>
      <c r="DZ38" s="256"/>
      <c r="EA38" s="256"/>
      <c r="EB38" s="256"/>
      <c r="EC38" s="256"/>
      <c r="ED38" s="256"/>
      <c r="EE38" s="256"/>
      <c r="EF38" s="256"/>
      <c r="EG38" s="256"/>
      <c r="EH38" s="256"/>
      <c r="EI38" s="256"/>
      <c r="EJ38" s="256"/>
      <c r="EK38" s="256"/>
      <c r="EL38" s="256"/>
      <c r="EM38" s="256"/>
      <c r="EN38" s="256"/>
      <c r="EO38" s="256"/>
      <c r="EP38" s="256"/>
      <c r="EQ38" s="256"/>
      <c r="ER38" s="256"/>
      <c r="ES38" s="256"/>
      <c r="ET38" s="256"/>
      <c r="EU38" s="256"/>
      <c r="EV38" s="256"/>
      <c r="EW38" s="256"/>
      <c r="EX38" s="256"/>
      <c r="EY38" s="256"/>
      <c r="EZ38" s="256"/>
      <c r="FA38" s="256"/>
      <c r="FB38" s="256"/>
      <c r="FC38" s="256"/>
      <c r="FD38" s="256"/>
      <c r="FE38" s="256"/>
      <c r="FF38" s="256"/>
      <c r="FG38" s="256"/>
      <c r="FH38" s="256"/>
      <c r="FI38" s="256"/>
      <c r="FJ38" s="256"/>
      <c r="FK38" s="256"/>
      <c r="FL38" s="256"/>
      <c r="FM38" s="256"/>
      <c r="FN38" s="256"/>
      <c r="FO38" s="256"/>
    </row>
    <row r="39" spans="1:171" s="31" customFormat="1" ht="19.5" customHeight="1">
      <c r="A39" s="260"/>
      <c r="B39" s="263"/>
      <c r="C39" s="262"/>
      <c r="D39" s="98"/>
      <c r="E39" s="98"/>
      <c r="F39" s="98"/>
      <c r="G39" s="98"/>
      <c r="H39" s="179"/>
      <c r="I39" s="179"/>
      <c r="J39" s="179"/>
      <c r="K39" s="179"/>
      <c r="L39" s="179"/>
      <c r="M39" s="179"/>
      <c r="N39" s="292"/>
      <c r="O39" s="179"/>
      <c r="P39" s="179"/>
      <c r="Q39" s="179"/>
      <c r="R39" s="179"/>
      <c r="S39" s="180"/>
      <c r="T39" s="180"/>
      <c r="U39" s="180"/>
      <c r="V39" s="180"/>
      <c r="W39" s="180"/>
      <c r="X39" s="180"/>
      <c r="Y39" s="180"/>
      <c r="Z39" s="180"/>
      <c r="AA39" s="179"/>
      <c r="AB39" s="292"/>
      <c r="AC39" s="180"/>
      <c r="AD39" s="179"/>
      <c r="AE39" s="179"/>
      <c r="AF39" s="179"/>
      <c r="AG39" s="179"/>
      <c r="AH39" s="179"/>
      <c r="AI39" s="179"/>
      <c r="AJ39" s="179"/>
      <c r="AK39" s="179"/>
      <c r="AL39" s="179"/>
      <c r="AM39" s="179"/>
      <c r="AN39" s="179"/>
      <c r="AO39" s="179"/>
      <c r="AP39" s="179"/>
      <c r="AQ39" s="179"/>
      <c r="AR39" s="179"/>
      <c r="AS39" s="179"/>
      <c r="AT39" s="292"/>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95"/>
      <c r="CE39" s="181"/>
      <c r="CF39" s="273"/>
      <c r="CG39" s="256"/>
      <c r="CH39" s="256"/>
      <c r="CI39" s="256"/>
      <c r="CJ39" s="256"/>
      <c r="CK39" s="256"/>
      <c r="CL39" s="256"/>
      <c r="CM39" s="256"/>
      <c r="CN39" s="256"/>
      <c r="CO39" s="261"/>
      <c r="CP39" s="261"/>
      <c r="CQ39" s="261"/>
      <c r="CR39" s="261"/>
      <c r="CS39" s="261"/>
      <c r="CT39" s="261"/>
      <c r="CU39" s="261"/>
      <c r="CV39" s="261"/>
      <c r="CW39" s="261"/>
      <c r="CX39" s="261"/>
      <c r="CY39" s="261"/>
      <c r="CZ39" s="261"/>
      <c r="DA39" s="261"/>
      <c r="DB39" s="261"/>
      <c r="DC39" s="261"/>
      <c r="DD39" s="261"/>
      <c r="DE39" s="261"/>
      <c r="DF39" s="261"/>
      <c r="DG39" s="261"/>
      <c r="DH39" s="261"/>
      <c r="DI39" s="279"/>
      <c r="DJ39" s="279"/>
      <c r="DK39" s="261"/>
      <c r="DL39" s="261"/>
      <c r="DM39" s="261"/>
      <c r="DN39" s="261"/>
      <c r="DO39" s="261"/>
      <c r="DP39" s="261"/>
      <c r="DQ39" s="261"/>
      <c r="DR39" s="261"/>
      <c r="DS39" s="261"/>
      <c r="DT39" s="261"/>
      <c r="DU39" s="261"/>
      <c r="DV39" s="261"/>
      <c r="DW39" s="261"/>
      <c r="DX39" s="261"/>
      <c r="DY39" s="279"/>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row>
    <row r="40" spans="1:171" s="31" customFormat="1" ht="19.5" customHeight="1">
      <c r="A40" s="260"/>
      <c r="B40" s="263"/>
      <c r="C40" s="262"/>
      <c r="D40" s="98"/>
      <c r="E40" s="98"/>
      <c r="F40" s="98"/>
      <c r="G40" s="98"/>
      <c r="H40" s="192"/>
      <c r="I40" s="179"/>
      <c r="J40" s="179"/>
      <c r="K40" s="179"/>
      <c r="L40" s="179"/>
      <c r="M40" s="179"/>
      <c r="N40" s="179"/>
      <c r="O40" s="179"/>
      <c r="P40" s="179"/>
      <c r="Q40" s="179"/>
      <c r="R40" s="179"/>
      <c r="S40" s="179"/>
      <c r="T40" s="179"/>
      <c r="U40" s="179"/>
      <c r="V40" s="193"/>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95"/>
      <c r="CE40" s="181"/>
      <c r="CF40" s="273"/>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row>
    <row r="41" spans="1:171" s="31" customFormat="1" ht="19.5" customHeight="1">
      <c r="A41" s="260"/>
      <c r="B41" s="263"/>
      <c r="C41" s="263"/>
      <c r="D41" s="182"/>
      <c r="E41" s="89"/>
      <c r="F41" s="89"/>
      <c r="G41" s="89"/>
      <c r="H41" s="89"/>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7"/>
      <c r="BZ41" s="127"/>
      <c r="CA41" s="127"/>
      <c r="CB41" s="127"/>
      <c r="CC41" s="127"/>
      <c r="CD41" s="127"/>
      <c r="CE41" s="188"/>
      <c r="CF41" s="273"/>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row>
    <row r="42" spans="1:171" s="31" customFormat="1" ht="19.5" customHeight="1">
      <c r="A42" s="260"/>
      <c r="B42" s="263"/>
      <c r="C42" s="263"/>
      <c r="D42" s="289"/>
      <c r="E42" s="289"/>
      <c r="F42" s="289"/>
      <c r="G42" s="289"/>
      <c r="H42" s="289"/>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1"/>
      <c r="CF42" s="273"/>
      <c r="CG42" s="256"/>
      <c r="CH42" s="256"/>
      <c r="CI42" s="256"/>
      <c r="CJ42" s="256"/>
      <c r="CK42" s="256"/>
      <c r="CL42" s="256"/>
      <c r="CM42" s="256"/>
      <c r="CN42" s="256"/>
      <c r="CO42" s="256"/>
      <c r="CP42" s="256"/>
      <c r="CQ42" s="256"/>
      <c r="CR42" s="256"/>
      <c r="CS42" s="256"/>
      <c r="CT42" s="256"/>
      <c r="CU42" s="256"/>
      <c r="CV42" s="256"/>
      <c r="CW42" s="256"/>
      <c r="CX42" s="256"/>
      <c r="CY42" s="256"/>
      <c r="CZ42" s="256"/>
      <c r="DA42" s="256"/>
      <c r="DB42" s="256"/>
      <c r="DC42" s="256"/>
      <c r="DD42" s="256"/>
      <c r="DE42" s="256"/>
      <c r="DF42" s="256"/>
      <c r="DG42" s="256"/>
      <c r="DH42" s="256"/>
      <c r="DI42" s="256"/>
      <c r="DJ42" s="256"/>
      <c r="DK42" s="256"/>
      <c r="DL42" s="256"/>
      <c r="DM42" s="256"/>
      <c r="DN42" s="256"/>
      <c r="DO42" s="256"/>
      <c r="DP42" s="256"/>
      <c r="DQ42" s="256"/>
      <c r="DR42" s="256"/>
      <c r="DS42" s="256"/>
      <c r="DT42" s="256"/>
      <c r="DU42" s="256"/>
      <c r="DV42" s="256"/>
      <c r="DW42" s="256"/>
      <c r="DX42" s="256"/>
      <c r="DY42" s="256"/>
      <c r="DZ42" s="256"/>
      <c r="EA42" s="256"/>
      <c r="EB42" s="256"/>
      <c r="EC42" s="256"/>
      <c r="ED42" s="256"/>
      <c r="EE42" s="256"/>
      <c r="EF42" s="256"/>
      <c r="EG42" s="256"/>
      <c r="EH42" s="256"/>
      <c r="EI42" s="256"/>
      <c r="EJ42" s="256"/>
      <c r="EK42" s="256"/>
      <c r="EL42" s="256"/>
      <c r="EM42" s="256"/>
      <c r="EN42" s="256"/>
      <c r="EO42" s="256"/>
      <c r="EP42" s="256"/>
      <c r="EQ42" s="256"/>
      <c r="ER42" s="256"/>
      <c r="ES42" s="256"/>
      <c r="ET42" s="256"/>
      <c r="EU42" s="256"/>
      <c r="EV42" s="256"/>
      <c r="EW42" s="256"/>
      <c r="EX42" s="256"/>
      <c r="EY42" s="256"/>
      <c r="EZ42" s="256"/>
      <c r="FA42" s="256"/>
      <c r="FB42" s="256"/>
      <c r="FC42" s="256"/>
      <c r="FD42" s="256"/>
      <c r="FE42" s="256"/>
      <c r="FF42" s="256"/>
      <c r="FG42" s="256"/>
      <c r="FH42" s="256"/>
      <c r="FI42" s="256"/>
      <c r="FJ42" s="256"/>
      <c r="FK42" s="256"/>
      <c r="FL42" s="256"/>
      <c r="FM42" s="256"/>
      <c r="FN42" s="256"/>
      <c r="FO42" s="256"/>
    </row>
    <row r="43" spans="1:171" s="254" customFormat="1" ht="14.25" customHeight="1">
      <c r="A43" s="257"/>
      <c r="D43" s="282"/>
      <c r="E43" s="282" t="s">
        <v>386</v>
      </c>
      <c r="F43" s="258"/>
      <c r="G43" s="258"/>
      <c r="H43" s="258"/>
      <c r="I43" s="258"/>
      <c r="J43" s="258"/>
      <c r="K43" s="258"/>
      <c r="M43" s="282"/>
      <c r="CF43" s="259"/>
    </row>
    <row r="44" spans="1:171" s="31" customFormat="1" ht="19.5" customHeight="1">
      <c r="A44" s="260"/>
      <c r="B44" s="261"/>
      <c r="C44" s="262"/>
      <c r="D44" s="283"/>
      <c r="E44" s="284"/>
      <c r="F44" s="284"/>
      <c r="G44" s="284"/>
      <c r="H44" s="284"/>
      <c r="I44" s="284"/>
      <c r="J44" s="284"/>
      <c r="K44" s="284"/>
      <c r="L44" s="284"/>
      <c r="M44" s="421" t="s">
        <v>300</v>
      </c>
      <c r="N44" s="421"/>
      <c r="O44" s="421"/>
      <c r="P44" s="421"/>
      <c r="Q44" s="421"/>
      <c r="R44" s="421"/>
      <c r="S44" s="421"/>
      <c r="T44" s="421"/>
      <c r="U44" s="421"/>
      <c r="V44" s="421"/>
      <c r="W44" s="421"/>
      <c r="X44" s="421"/>
      <c r="Y44" s="421"/>
      <c r="Z44" s="421"/>
      <c r="AA44" s="421"/>
      <c r="AB44" s="421"/>
      <c r="AC44" s="421"/>
      <c r="AD44" s="421"/>
      <c r="AE44" s="421"/>
      <c r="AF44" s="421"/>
      <c r="AG44" s="421"/>
      <c r="AH44" s="421"/>
      <c r="AI44" s="421"/>
      <c r="AJ44" s="421"/>
      <c r="AK44" s="421"/>
      <c r="AL44" s="421"/>
      <c r="AM44" s="421"/>
      <c r="AN44" s="421"/>
      <c r="AO44" s="421"/>
      <c r="AP44" s="421"/>
      <c r="AQ44" s="421"/>
      <c r="AR44" s="421"/>
      <c r="AS44" s="421"/>
      <c r="AT44" s="421"/>
      <c r="AU44" s="421"/>
      <c r="AV44" s="421"/>
      <c r="AW44" s="421"/>
      <c r="AX44" s="421"/>
      <c r="AY44" s="421"/>
      <c r="AZ44" s="421"/>
      <c r="BA44" s="421"/>
      <c r="BB44" s="421"/>
      <c r="BC44" s="421"/>
      <c r="BD44" s="421"/>
      <c r="BE44" s="421"/>
      <c r="BF44" s="421"/>
      <c r="BG44" s="421"/>
      <c r="BH44" s="421"/>
      <c r="BI44" s="421"/>
      <c r="BJ44" s="421"/>
      <c r="BK44" s="421"/>
      <c r="BL44" s="421"/>
      <c r="BM44" s="421"/>
      <c r="BN44" s="421"/>
      <c r="BO44" s="421"/>
      <c r="BP44" s="421"/>
      <c r="BQ44" s="284"/>
      <c r="BR44" s="284"/>
      <c r="BS44" s="284"/>
      <c r="BT44" s="284"/>
      <c r="BU44" s="417" t="s">
        <v>289</v>
      </c>
      <c r="BV44" s="417"/>
      <c r="BW44" s="417"/>
      <c r="BX44" s="417"/>
      <c r="BY44" s="417"/>
      <c r="BZ44" s="417"/>
      <c r="CA44" s="417"/>
      <c r="CB44" s="417"/>
      <c r="CC44" s="417"/>
      <c r="CD44" s="417"/>
      <c r="CE44" s="418"/>
      <c r="CF44" s="273"/>
      <c r="CG44" s="256"/>
      <c r="CH44" s="256"/>
      <c r="CI44" s="256"/>
      <c r="CJ44" s="256"/>
      <c r="CK44" s="256"/>
      <c r="CL44" s="256"/>
      <c r="CM44" s="256"/>
      <c r="CN44" s="256"/>
      <c r="CO44" s="256"/>
      <c r="CP44" s="256"/>
      <c r="CQ44" s="256"/>
      <c r="CR44" s="256"/>
      <c r="CS44" s="256"/>
      <c r="CT44" s="256"/>
      <c r="CU44" s="256"/>
      <c r="CV44" s="256"/>
      <c r="CW44" s="256"/>
      <c r="CX44" s="256"/>
      <c r="CY44" s="256"/>
      <c r="CZ44" s="256"/>
      <c r="DA44" s="256"/>
      <c r="DB44" s="256"/>
      <c r="DC44" s="256"/>
      <c r="DD44" s="256"/>
      <c r="DE44" s="256"/>
      <c r="DF44" s="256"/>
      <c r="DG44" s="256"/>
      <c r="DH44" s="256"/>
      <c r="DI44" s="256"/>
      <c r="DJ44" s="256"/>
      <c r="DK44" s="256"/>
      <c r="DL44" s="256"/>
      <c r="DM44" s="256"/>
      <c r="DN44" s="256"/>
      <c r="DO44" s="256"/>
      <c r="DP44" s="256"/>
      <c r="DQ44" s="256"/>
      <c r="DR44" s="256"/>
      <c r="DS44" s="256"/>
      <c r="DT44" s="256"/>
      <c r="DU44" s="256"/>
      <c r="DV44" s="256"/>
      <c r="DW44" s="256"/>
      <c r="DX44" s="256"/>
      <c r="DY44" s="256"/>
      <c r="DZ44" s="256"/>
      <c r="EA44" s="256"/>
      <c r="EB44" s="256"/>
      <c r="EC44" s="256"/>
      <c r="ED44" s="256"/>
      <c r="EE44" s="256"/>
      <c r="EF44" s="256"/>
      <c r="EG44" s="256"/>
      <c r="EH44" s="256"/>
      <c r="EI44" s="256"/>
      <c r="EJ44" s="256"/>
      <c r="EK44" s="256"/>
      <c r="EL44" s="256"/>
      <c r="EM44" s="256"/>
      <c r="EN44" s="256"/>
      <c r="EO44" s="256"/>
      <c r="EP44" s="256"/>
      <c r="EQ44" s="256"/>
      <c r="ER44" s="256"/>
      <c r="ES44" s="256"/>
      <c r="ET44" s="256"/>
      <c r="EU44" s="256"/>
      <c r="EV44" s="256"/>
      <c r="EW44" s="256"/>
      <c r="EX44" s="256"/>
      <c r="EY44" s="256"/>
      <c r="EZ44" s="256"/>
      <c r="FA44" s="256"/>
      <c r="FB44" s="256"/>
      <c r="FC44" s="256"/>
      <c r="FD44" s="256"/>
      <c r="FE44" s="256"/>
      <c r="FF44" s="256"/>
      <c r="FG44" s="256"/>
      <c r="FH44" s="256"/>
      <c r="FI44" s="256"/>
      <c r="FJ44" s="256"/>
      <c r="FK44" s="256"/>
      <c r="FL44" s="256"/>
      <c r="FM44" s="256"/>
      <c r="FN44" s="256"/>
      <c r="FO44" s="256"/>
    </row>
    <row r="45" spans="1:171" s="31" customFormat="1" ht="19.5" customHeight="1" thickBot="1">
      <c r="A45" s="260"/>
      <c r="B45" s="263"/>
      <c r="C45" s="262"/>
      <c r="D45" s="286"/>
      <c r="E45" s="286"/>
      <c r="F45" s="286"/>
      <c r="G45" s="286"/>
      <c r="H45" s="286"/>
      <c r="I45" s="286"/>
      <c r="J45" s="286"/>
      <c r="K45" s="286"/>
      <c r="L45" s="286"/>
      <c r="M45" s="422"/>
      <c r="N45" s="422"/>
      <c r="O45" s="422"/>
      <c r="P45" s="422"/>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2"/>
      <c r="BK45" s="422"/>
      <c r="BL45" s="422"/>
      <c r="BM45" s="422"/>
      <c r="BN45" s="422"/>
      <c r="BO45" s="422"/>
      <c r="BP45" s="422"/>
      <c r="BQ45" s="286"/>
      <c r="BR45" s="286"/>
      <c r="BS45" s="286"/>
      <c r="BT45" s="286"/>
      <c r="BU45" s="419"/>
      <c r="BV45" s="419"/>
      <c r="BW45" s="419"/>
      <c r="BX45" s="419"/>
      <c r="BY45" s="419"/>
      <c r="BZ45" s="419"/>
      <c r="CA45" s="419"/>
      <c r="CB45" s="419"/>
      <c r="CC45" s="419"/>
      <c r="CD45" s="419"/>
      <c r="CE45" s="420"/>
      <c r="CF45" s="273"/>
      <c r="CG45" s="256"/>
      <c r="CH45" s="256"/>
      <c r="CI45" s="256"/>
      <c r="CJ45" s="256"/>
      <c r="CK45" s="256"/>
      <c r="CL45" s="256"/>
      <c r="CM45" s="256"/>
      <c r="CN45" s="256"/>
      <c r="CO45" s="256"/>
      <c r="CP45" s="256"/>
      <c r="CQ45" s="256"/>
      <c r="CR45" s="256"/>
      <c r="CS45" s="256"/>
      <c r="CT45" s="256"/>
      <c r="CU45" s="256"/>
      <c r="CV45" s="256"/>
      <c r="CW45" s="256"/>
      <c r="CX45" s="256"/>
      <c r="CY45" s="256"/>
      <c r="CZ45" s="256"/>
      <c r="DA45" s="256"/>
      <c r="DB45" s="256"/>
      <c r="DC45" s="256"/>
      <c r="DD45" s="256"/>
      <c r="DE45" s="256"/>
      <c r="DF45" s="256"/>
      <c r="DG45" s="256"/>
      <c r="DH45" s="256"/>
      <c r="DI45" s="256"/>
      <c r="DJ45" s="256"/>
      <c r="DK45" s="256"/>
      <c r="DL45" s="256"/>
      <c r="DM45" s="256"/>
      <c r="DN45" s="256"/>
      <c r="DO45" s="256"/>
      <c r="DP45" s="256"/>
      <c r="DQ45" s="256"/>
      <c r="DR45" s="256"/>
      <c r="DS45" s="256"/>
      <c r="DT45" s="256"/>
      <c r="DU45" s="256"/>
      <c r="DV45" s="256"/>
      <c r="DW45" s="256"/>
      <c r="DX45" s="256"/>
      <c r="DY45" s="256"/>
      <c r="DZ45" s="256"/>
      <c r="EA45" s="256"/>
      <c r="EB45" s="256"/>
      <c r="EC45" s="256"/>
      <c r="ED45" s="256"/>
      <c r="EE45" s="256"/>
      <c r="EF45" s="256"/>
      <c r="EG45" s="256"/>
      <c r="EH45" s="256"/>
      <c r="EI45" s="256"/>
      <c r="EJ45" s="256"/>
      <c r="EK45" s="256"/>
      <c r="EL45" s="256"/>
      <c r="EM45" s="256"/>
      <c r="EN45" s="256"/>
      <c r="EO45" s="256"/>
      <c r="EP45" s="256"/>
      <c r="EQ45" s="256"/>
      <c r="ER45" s="256"/>
      <c r="ES45" s="256"/>
      <c r="ET45" s="256"/>
      <c r="EU45" s="256"/>
      <c r="EV45" s="256"/>
      <c r="EW45" s="256"/>
      <c r="EX45" s="256"/>
      <c r="EY45" s="256"/>
      <c r="EZ45" s="256"/>
      <c r="FA45" s="256"/>
      <c r="FB45" s="256"/>
      <c r="FC45" s="256"/>
      <c r="FD45" s="256"/>
      <c r="FE45" s="256"/>
      <c r="FF45" s="256"/>
      <c r="FG45" s="256"/>
      <c r="FH45" s="256"/>
      <c r="FI45" s="256"/>
      <c r="FJ45" s="256"/>
      <c r="FK45" s="256"/>
      <c r="FL45" s="256"/>
      <c r="FM45" s="256"/>
      <c r="FN45" s="256"/>
      <c r="FO45" s="256"/>
    </row>
    <row r="46" spans="1:171" s="31" customFormat="1" ht="19.5" customHeight="1" thickTop="1">
      <c r="A46" s="260"/>
      <c r="B46" s="263"/>
      <c r="C46" s="262"/>
      <c r="D46" s="86"/>
      <c r="E46" s="86"/>
      <c r="F46" s="86"/>
      <c r="G46" s="86"/>
      <c r="H46" s="179" t="s">
        <v>303</v>
      </c>
      <c r="I46" s="179"/>
      <c r="J46" s="179"/>
      <c r="K46" s="179"/>
      <c r="L46" s="179"/>
      <c r="M46" s="179" t="s">
        <v>31</v>
      </c>
      <c r="N46" s="179"/>
      <c r="O46" s="129" t="s">
        <v>313</v>
      </c>
      <c r="P46" s="129"/>
      <c r="Q46" s="129"/>
      <c r="R46" s="12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80"/>
      <c r="AX46" s="180"/>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95"/>
      <c r="CD46" s="95"/>
      <c r="CE46" s="181"/>
      <c r="CF46" s="273"/>
      <c r="CG46" s="256"/>
      <c r="CH46" s="256"/>
      <c r="CI46" s="256"/>
      <c r="CJ46" s="256"/>
      <c r="CK46" s="256"/>
      <c r="CL46" s="256"/>
      <c r="CM46" s="256"/>
      <c r="CN46" s="256"/>
      <c r="CO46" s="256"/>
      <c r="CP46" s="256"/>
      <c r="CQ46" s="256"/>
      <c r="CR46" s="256"/>
      <c r="CS46" s="256"/>
      <c r="CT46" s="256"/>
      <c r="CU46" s="256"/>
      <c r="CV46" s="256"/>
      <c r="CW46" s="256"/>
      <c r="CX46" s="256"/>
      <c r="CY46" s="256"/>
      <c r="CZ46" s="256"/>
      <c r="DA46" s="256"/>
      <c r="DB46" s="256"/>
      <c r="DC46" s="256"/>
      <c r="DD46" s="256"/>
      <c r="DE46" s="256"/>
      <c r="DF46" s="256"/>
      <c r="DG46" s="256"/>
      <c r="DH46" s="256"/>
      <c r="DI46" s="256"/>
      <c r="DJ46" s="256"/>
      <c r="DK46" s="256"/>
      <c r="DL46" s="256"/>
      <c r="DM46" s="256"/>
      <c r="DN46" s="256"/>
      <c r="DO46" s="256"/>
      <c r="DP46" s="256"/>
      <c r="DQ46" s="256"/>
      <c r="DR46" s="256"/>
      <c r="DS46" s="256"/>
      <c r="DT46" s="256"/>
      <c r="DU46" s="256"/>
      <c r="DV46" s="256"/>
      <c r="DW46" s="256"/>
      <c r="DX46" s="256"/>
      <c r="DY46" s="256"/>
      <c r="DZ46" s="256"/>
      <c r="EA46" s="256"/>
      <c r="EB46" s="256"/>
      <c r="EC46" s="256"/>
      <c r="ED46" s="256"/>
      <c r="EE46" s="256"/>
      <c r="EF46" s="256"/>
      <c r="EG46" s="256"/>
      <c r="EH46" s="256"/>
      <c r="EI46" s="256"/>
      <c r="EJ46" s="256"/>
      <c r="EK46" s="256"/>
      <c r="EL46" s="256"/>
      <c r="EM46" s="256"/>
      <c r="EN46" s="256"/>
      <c r="EO46" s="256"/>
      <c r="EP46" s="256"/>
      <c r="EQ46" s="256"/>
      <c r="ER46" s="256"/>
      <c r="ES46" s="256"/>
      <c r="ET46" s="256"/>
      <c r="EU46" s="256"/>
      <c r="EV46" s="256"/>
      <c r="EW46" s="256"/>
      <c r="EX46" s="256"/>
      <c r="EY46" s="256"/>
      <c r="EZ46" s="256"/>
      <c r="FA46" s="256"/>
      <c r="FB46" s="256"/>
      <c r="FC46" s="256"/>
      <c r="FD46" s="256"/>
      <c r="FE46" s="256"/>
      <c r="FF46" s="256"/>
      <c r="FG46" s="256"/>
      <c r="FH46" s="256"/>
      <c r="FI46" s="256"/>
      <c r="FJ46" s="256"/>
      <c r="FK46" s="256"/>
      <c r="FL46" s="256"/>
      <c r="FM46" s="256"/>
      <c r="FN46" s="256"/>
      <c r="FO46" s="256"/>
    </row>
    <row r="47" spans="1:171" s="31" customFormat="1" ht="19.5" customHeight="1">
      <c r="A47" s="260"/>
      <c r="B47" s="263"/>
      <c r="C47" s="262"/>
      <c r="D47" s="98"/>
      <c r="E47" s="98"/>
      <c r="F47" s="98"/>
      <c r="G47" s="98"/>
      <c r="H47" s="411" t="s">
        <v>319</v>
      </c>
      <c r="I47" s="412"/>
      <c r="J47" s="412"/>
      <c r="K47" s="412"/>
      <c r="L47" s="412"/>
      <c r="M47" s="412"/>
      <c r="N47" s="412"/>
      <c r="O47" s="412"/>
      <c r="P47" s="412"/>
      <c r="Q47" s="412"/>
      <c r="R47" s="412"/>
      <c r="S47" s="412"/>
      <c r="T47" s="412"/>
      <c r="U47" s="412"/>
      <c r="V47" s="412"/>
      <c r="W47" s="412"/>
      <c r="X47" s="412"/>
      <c r="Y47" s="412"/>
      <c r="Z47" s="412"/>
      <c r="AA47" s="412"/>
      <c r="AB47" s="412"/>
      <c r="AC47" s="412"/>
      <c r="AD47" s="412"/>
      <c r="AE47" s="412"/>
      <c r="AF47" s="412"/>
      <c r="AG47" s="412"/>
      <c r="AH47" s="412"/>
      <c r="AI47" s="412"/>
      <c r="AJ47" s="412"/>
      <c r="AK47" s="412"/>
      <c r="AL47" s="412"/>
      <c r="AM47" s="412"/>
      <c r="AN47" s="412"/>
      <c r="AO47" s="412"/>
      <c r="AP47" s="412"/>
      <c r="AQ47" s="412"/>
      <c r="AR47" s="412"/>
      <c r="AS47" s="412"/>
      <c r="AT47" s="412"/>
      <c r="AU47" s="412"/>
      <c r="AV47" s="412"/>
      <c r="AW47" s="412"/>
      <c r="AX47" s="412"/>
      <c r="AY47" s="412"/>
      <c r="AZ47" s="412"/>
      <c r="BA47" s="412"/>
      <c r="BB47" s="412"/>
      <c r="BC47" s="412"/>
      <c r="BD47" s="412"/>
      <c r="BE47" s="412"/>
      <c r="BF47" s="412"/>
      <c r="BG47" s="412"/>
      <c r="BH47" s="412"/>
      <c r="BI47" s="412"/>
      <c r="BJ47" s="412"/>
      <c r="BK47" s="412"/>
      <c r="BL47" s="412"/>
      <c r="BM47" s="412"/>
      <c r="BN47" s="412"/>
      <c r="BO47" s="412"/>
      <c r="BP47" s="412"/>
      <c r="BQ47" s="412"/>
      <c r="BR47" s="412"/>
      <c r="BS47" s="412"/>
      <c r="BT47" s="412"/>
      <c r="BU47" s="412"/>
      <c r="BV47" s="412"/>
      <c r="BW47" s="412"/>
      <c r="BX47" s="412"/>
      <c r="BY47" s="412"/>
      <c r="BZ47" s="412"/>
      <c r="CA47" s="412"/>
      <c r="CB47" s="413"/>
      <c r="CC47" s="95"/>
      <c r="CD47" s="95"/>
      <c r="CE47" s="186"/>
      <c r="CF47" s="273"/>
      <c r="CG47" s="256"/>
      <c r="CH47" s="256"/>
      <c r="CI47" s="256"/>
      <c r="CJ47" s="256"/>
      <c r="CK47" s="256"/>
      <c r="CL47" s="256"/>
      <c r="CM47" s="256"/>
      <c r="CN47" s="256"/>
      <c r="CO47" s="256"/>
      <c r="CP47" s="256"/>
      <c r="CQ47" s="256"/>
      <c r="CR47" s="256"/>
      <c r="CS47" s="256"/>
      <c r="CT47" s="256"/>
      <c r="CU47" s="256"/>
      <c r="CV47" s="256"/>
      <c r="CW47" s="256"/>
      <c r="CX47" s="256"/>
      <c r="CY47" s="256"/>
      <c r="CZ47" s="256"/>
      <c r="DA47" s="256"/>
      <c r="DB47" s="256"/>
      <c r="DC47" s="256"/>
      <c r="DD47" s="256"/>
      <c r="DE47" s="256"/>
      <c r="DF47" s="256"/>
      <c r="DG47" s="256"/>
      <c r="DH47" s="256"/>
      <c r="DI47" s="256"/>
      <c r="DJ47" s="256"/>
      <c r="DK47" s="256"/>
      <c r="DL47" s="256"/>
      <c r="DM47" s="256"/>
      <c r="DN47" s="256"/>
      <c r="DO47" s="256"/>
      <c r="DP47" s="256"/>
      <c r="DQ47" s="256"/>
      <c r="DR47" s="256"/>
      <c r="DS47" s="256"/>
      <c r="DT47" s="256"/>
      <c r="DU47" s="256"/>
      <c r="DV47" s="256"/>
      <c r="DW47" s="256"/>
      <c r="DX47" s="256"/>
      <c r="DY47" s="256"/>
      <c r="DZ47" s="256"/>
      <c r="EA47" s="256"/>
      <c r="EB47" s="256"/>
      <c r="EC47" s="256"/>
      <c r="ED47" s="256"/>
      <c r="EE47" s="256"/>
      <c r="EF47" s="256"/>
      <c r="EG47" s="256"/>
      <c r="EH47" s="256"/>
      <c r="EI47" s="256"/>
      <c r="EJ47" s="256"/>
      <c r="EK47" s="256"/>
      <c r="EL47" s="256"/>
      <c r="EM47" s="256"/>
      <c r="EN47" s="256"/>
      <c r="EO47" s="256"/>
      <c r="EP47" s="256"/>
      <c r="EQ47" s="256"/>
      <c r="ER47" s="256"/>
      <c r="ES47" s="256"/>
      <c r="ET47" s="256"/>
      <c r="EU47" s="256"/>
      <c r="EV47" s="256"/>
      <c r="EW47" s="256"/>
      <c r="EX47" s="256"/>
      <c r="EY47" s="256"/>
      <c r="EZ47" s="256"/>
      <c r="FA47" s="256"/>
      <c r="FB47" s="256"/>
      <c r="FC47" s="256"/>
      <c r="FD47" s="256"/>
      <c r="FE47" s="256"/>
      <c r="FF47" s="256"/>
      <c r="FG47" s="256"/>
      <c r="FH47" s="256"/>
      <c r="FI47" s="256"/>
      <c r="FJ47" s="256"/>
      <c r="FK47" s="256"/>
      <c r="FL47" s="256"/>
      <c r="FM47" s="256"/>
      <c r="FN47" s="256"/>
      <c r="FO47" s="256"/>
    </row>
    <row r="48" spans="1:171" s="31" customFormat="1" ht="19.5" customHeight="1">
      <c r="A48" s="260"/>
      <c r="B48" s="263"/>
      <c r="C48" s="262"/>
      <c r="D48" s="98"/>
      <c r="E48" s="98"/>
      <c r="F48" s="98"/>
      <c r="G48" s="98"/>
      <c r="H48" s="414"/>
      <c r="I48" s="415"/>
      <c r="J48" s="415"/>
      <c r="K48" s="415"/>
      <c r="L48" s="415"/>
      <c r="M48" s="415"/>
      <c r="N48" s="415"/>
      <c r="O48" s="415"/>
      <c r="P48" s="415"/>
      <c r="Q48" s="415"/>
      <c r="R48" s="415"/>
      <c r="S48" s="415"/>
      <c r="T48" s="415"/>
      <c r="U48" s="415"/>
      <c r="V48" s="415"/>
      <c r="W48" s="415"/>
      <c r="X48" s="415"/>
      <c r="Y48" s="415"/>
      <c r="Z48" s="415"/>
      <c r="AA48" s="415"/>
      <c r="AB48" s="415"/>
      <c r="AC48" s="415"/>
      <c r="AD48" s="415"/>
      <c r="AE48" s="415"/>
      <c r="AF48" s="415"/>
      <c r="AG48" s="415"/>
      <c r="AH48" s="415"/>
      <c r="AI48" s="415"/>
      <c r="AJ48" s="415"/>
      <c r="AK48" s="415"/>
      <c r="AL48" s="415"/>
      <c r="AM48" s="415"/>
      <c r="AN48" s="415"/>
      <c r="AO48" s="415"/>
      <c r="AP48" s="415"/>
      <c r="AQ48" s="415"/>
      <c r="AR48" s="415"/>
      <c r="AS48" s="415"/>
      <c r="AT48" s="415"/>
      <c r="AU48" s="415"/>
      <c r="AV48" s="415"/>
      <c r="AW48" s="415"/>
      <c r="AX48" s="415"/>
      <c r="AY48" s="415"/>
      <c r="AZ48" s="415"/>
      <c r="BA48" s="415"/>
      <c r="BB48" s="415"/>
      <c r="BC48" s="415"/>
      <c r="BD48" s="415"/>
      <c r="BE48" s="415"/>
      <c r="BF48" s="415"/>
      <c r="BG48" s="415"/>
      <c r="BH48" s="415"/>
      <c r="BI48" s="415"/>
      <c r="BJ48" s="415"/>
      <c r="BK48" s="415"/>
      <c r="BL48" s="415"/>
      <c r="BM48" s="415"/>
      <c r="BN48" s="415"/>
      <c r="BO48" s="415"/>
      <c r="BP48" s="415"/>
      <c r="BQ48" s="415"/>
      <c r="BR48" s="415"/>
      <c r="BS48" s="415"/>
      <c r="BT48" s="415"/>
      <c r="BU48" s="415"/>
      <c r="BV48" s="415"/>
      <c r="BW48" s="415"/>
      <c r="BX48" s="415"/>
      <c r="BY48" s="415"/>
      <c r="BZ48" s="415"/>
      <c r="CA48" s="415"/>
      <c r="CB48" s="416"/>
      <c r="CC48" s="95"/>
      <c r="CD48" s="95"/>
      <c r="CE48" s="186"/>
      <c r="CF48" s="273"/>
      <c r="CG48" s="256"/>
      <c r="CH48" s="256"/>
      <c r="CI48" s="256"/>
      <c r="CJ48" s="256"/>
      <c r="CK48" s="256"/>
      <c r="CL48" s="256"/>
      <c r="CM48" s="256"/>
      <c r="CN48" s="256"/>
      <c r="CO48" s="256"/>
      <c r="CP48" s="256"/>
      <c r="CQ48" s="256"/>
      <c r="CR48" s="256"/>
      <c r="CS48" s="256"/>
      <c r="CT48" s="256"/>
      <c r="CU48" s="256"/>
      <c r="CV48" s="256"/>
      <c r="CW48" s="256"/>
      <c r="CX48" s="256"/>
      <c r="CY48" s="256"/>
      <c r="CZ48" s="256"/>
      <c r="DA48" s="256"/>
      <c r="DB48" s="256"/>
      <c r="DC48" s="256"/>
      <c r="DD48" s="256"/>
      <c r="DE48" s="256"/>
      <c r="DF48" s="256"/>
      <c r="DG48" s="256"/>
      <c r="DH48" s="256"/>
      <c r="DI48" s="256"/>
      <c r="DJ48" s="256"/>
      <c r="DK48" s="256"/>
      <c r="DL48" s="256"/>
      <c r="DM48" s="256"/>
      <c r="DN48" s="256"/>
      <c r="DO48" s="256"/>
      <c r="DP48" s="256"/>
      <c r="DQ48" s="256"/>
      <c r="DR48" s="256"/>
      <c r="DS48" s="256"/>
      <c r="DT48" s="256"/>
      <c r="DU48" s="256"/>
      <c r="DV48" s="256"/>
      <c r="DW48" s="256"/>
      <c r="DX48" s="256"/>
      <c r="DY48" s="256"/>
      <c r="DZ48" s="256"/>
      <c r="EA48" s="256"/>
      <c r="EB48" s="256"/>
      <c r="EC48" s="256"/>
      <c r="ED48" s="256"/>
      <c r="EE48" s="256"/>
      <c r="EF48" s="256"/>
      <c r="EG48" s="256"/>
      <c r="EH48" s="256"/>
      <c r="EI48" s="256"/>
      <c r="EJ48" s="256"/>
      <c r="EK48" s="256"/>
      <c r="EL48" s="256"/>
      <c r="EM48" s="256"/>
      <c r="EN48" s="256"/>
      <c r="EO48" s="256"/>
      <c r="EP48" s="256"/>
      <c r="EQ48" s="256"/>
      <c r="ER48" s="256"/>
      <c r="ES48" s="256"/>
      <c r="ET48" s="256"/>
      <c r="EU48" s="256"/>
      <c r="EV48" s="256"/>
      <c r="EW48" s="256"/>
      <c r="EX48" s="256"/>
      <c r="EY48" s="256"/>
      <c r="EZ48" s="256"/>
      <c r="FA48" s="256"/>
      <c r="FB48" s="256"/>
      <c r="FC48" s="256"/>
      <c r="FD48" s="256"/>
      <c r="FE48" s="256"/>
      <c r="FF48" s="256"/>
      <c r="FG48" s="256"/>
      <c r="FH48" s="256"/>
      <c r="FI48" s="256"/>
      <c r="FJ48" s="256"/>
      <c r="FK48" s="256"/>
      <c r="FL48" s="256"/>
      <c r="FM48" s="256"/>
      <c r="FN48" s="256"/>
      <c r="FO48" s="256"/>
    </row>
    <row r="49" spans="1:171" s="31" customFormat="1" ht="19.5" customHeight="1">
      <c r="A49" s="260"/>
      <c r="B49" s="263"/>
      <c r="C49" s="262"/>
      <c r="D49" s="98"/>
      <c r="E49" s="98"/>
      <c r="F49" s="98"/>
      <c r="G49" s="98"/>
      <c r="H49" s="183"/>
      <c r="I49" s="183"/>
      <c r="J49" s="183"/>
      <c r="K49" s="183"/>
      <c r="L49" s="183"/>
      <c r="M49" s="183"/>
      <c r="N49" s="184"/>
      <c r="O49" s="184"/>
      <c r="P49" s="184"/>
      <c r="Q49" s="184"/>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4"/>
      <c r="BM49" s="183"/>
      <c r="BN49" s="183"/>
      <c r="BO49" s="184"/>
      <c r="BP49" s="184"/>
      <c r="BQ49" s="184"/>
      <c r="BR49" s="184"/>
      <c r="BS49" s="184"/>
      <c r="BT49" s="184"/>
      <c r="BU49" s="184"/>
      <c r="BV49" s="184"/>
      <c r="BW49" s="184"/>
      <c r="BX49" s="185"/>
      <c r="BY49" s="179"/>
      <c r="BZ49" s="179"/>
      <c r="CA49" s="179"/>
      <c r="CB49" s="179"/>
      <c r="CC49" s="95"/>
      <c r="CD49" s="95"/>
      <c r="CE49" s="181"/>
      <c r="CF49" s="273"/>
      <c r="CG49" s="256"/>
      <c r="CH49" s="256"/>
      <c r="CI49" s="256"/>
      <c r="CJ49" s="256"/>
      <c r="CK49" s="256"/>
      <c r="CL49" s="256"/>
      <c r="CM49" s="256"/>
      <c r="CN49" s="256"/>
      <c r="CO49" s="256"/>
      <c r="CP49" s="256"/>
      <c r="CQ49" s="256"/>
      <c r="CR49" s="256"/>
      <c r="CS49" s="256"/>
      <c r="CT49" s="256"/>
      <c r="CU49" s="256"/>
      <c r="CV49" s="256"/>
      <c r="CW49" s="256"/>
      <c r="CX49" s="256"/>
      <c r="CY49" s="256"/>
      <c r="CZ49" s="256"/>
      <c r="DA49" s="256"/>
      <c r="DB49" s="256"/>
      <c r="DC49" s="256"/>
      <c r="DD49" s="256"/>
      <c r="DE49" s="256"/>
      <c r="DF49" s="256"/>
      <c r="DG49" s="256"/>
      <c r="DH49" s="256"/>
      <c r="DI49" s="256"/>
      <c r="DJ49" s="256"/>
      <c r="DK49" s="256"/>
      <c r="DL49" s="256"/>
      <c r="DM49" s="256"/>
      <c r="DN49" s="256"/>
      <c r="DO49" s="256"/>
      <c r="DP49" s="256"/>
      <c r="DQ49" s="256"/>
      <c r="DR49" s="256"/>
      <c r="DS49" s="256"/>
      <c r="DT49" s="256"/>
      <c r="DU49" s="256"/>
      <c r="DV49" s="256"/>
      <c r="DW49" s="256"/>
      <c r="DX49" s="256"/>
      <c r="DY49" s="256"/>
      <c r="DZ49" s="256"/>
      <c r="EA49" s="256"/>
      <c r="EB49" s="256"/>
      <c r="EC49" s="256"/>
      <c r="ED49" s="256"/>
      <c r="EE49" s="256"/>
      <c r="EF49" s="256"/>
      <c r="EG49" s="256"/>
      <c r="EH49" s="256"/>
      <c r="EI49" s="256"/>
      <c r="EJ49" s="256"/>
      <c r="EK49" s="256"/>
      <c r="EL49" s="256"/>
      <c r="EM49" s="256"/>
      <c r="EN49" s="256"/>
      <c r="EO49" s="256"/>
      <c r="EP49" s="256"/>
      <c r="EQ49" s="256"/>
      <c r="ER49" s="256"/>
      <c r="ES49" s="256"/>
      <c r="ET49" s="256"/>
      <c r="EU49" s="256"/>
      <c r="EV49" s="256"/>
      <c r="EW49" s="256"/>
      <c r="EX49" s="256"/>
      <c r="EY49" s="256"/>
      <c r="EZ49" s="256"/>
      <c r="FA49" s="256"/>
      <c r="FB49" s="256"/>
      <c r="FC49" s="256"/>
      <c r="FD49" s="256"/>
      <c r="FE49" s="256"/>
      <c r="FF49" s="256"/>
      <c r="FG49" s="256"/>
      <c r="FH49" s="256"/>
      <c r="FI49" s="256"/>
      <c r="FJ49" s="256"/>
      <c r="FK49" s="256"/>
      <c r="FL49" s="256"/>
      <c r="FM49" s="256"/>
      <c r="FN49" s="256"/>
      <c r="FO49" s="256"/>
    </row>
    <row r="50" spans="1:171" s="31" customFormat="1" ht="19.5" customHeight="1">
      <c r="A50" s="260"/>
      <c r="B50" s="263"/>
      <c r="C50" s="262"/>
      <c r="D50" s="98"/>
      <c r="E50" s="98"/>
      <c r="F50" s="98"/>
      <c r="G50" s="98"/>
      <c r="H50" s="404" t="s">
        <v>88</v>
      </c>
      <c r="I50" s="405"/>
      <c r="J50" s="405"/>
      <c r="K50" s="405"/>
      <c r="L50" s="405"/>
      <c r="M50" s="405"/>
      <c r="N50" s="405"/>
      <c r="O50" s="405"/>
      <c r="P50" s="405"/>
      <c r="Q50" s="405"/>
      <c r="R50" s="405"/>
      <c r="S50" s="405"/>
      <c r="T50" s="405"/>
      <c r="U50" s="405"/>
      <c r="V50" s="405"/>
      <c r="W50" s="405"/>
      <c r="X50" s="405"/>
      <c r="Y50" s="405"/>
      <c r="Z50" s="405"/>
      <c r="AA50" s="405"/>
      <c r="AB50" s="405"/>
      <c r="AC50" s="405"/>
      <c r="AD50" s="405"/>
      <c r="AE50" s="405"/>
      <c r="AF50" s="405"/>
      <c r="AG50" s="405"/>
      <c r="AH50" s="405"/>
      <c r="AI50" s="405"/>
      <c r="AJ50" s="405"/>
      <c r="AK50" s="405"/>
      <c r="AL50" s="405"/>
      <c r="AM50" s="405"/>
      <c r="AN50" s="405"/>
      <c r="AO50" s="405"/>
      <c r="AP50" s="405"/>
      <c r="AQ50" s="405"/>
      <c r="AR50" s="405"/>
      <c r="AS50" s="405"/>
      <c r="AT50" s="405"/>
      <c r="AU50" s="405"/>
      <c r="AV50" s="405"/>
      <c r="AW50" s="405"/>
      <c r="AX50" s="405"/>
      <c r="AY50" s="405"/>
      <c r="AZ50" s="405"/>
      <c r="BA50" s="405"/>
      <c r="BB50" s="405"/>
      <c r="BC50" s="405"/>
      <c r="BD50" s="405"/>
      <c r="BE50" s="405"/>
      <c r="BF50" s="405"/>
      <c r="BG50" s="405"/>
      <c r="BH50" s="405"/>
      <c r="BI50" s="405"/>
      <c r="BJ50" s="405"/>
      <c r="BK50" s="405"/>
      <c r="BL50" s="405"/>
      <c r="BM50" s="405"/>
      <c r="BN50" s="405"/>
      <c r="BO50" s="405"/>
      <c r="BP50" s="405"/>
      <c r="BQ50" s="405"/>
      <c r="BR50" s="405"/>
      <c r="BS50" s="405"/>
      <c r="BT50" s="405"/>
      <c r="BU50" s="405"/>
      <c r="BV50" s="405"/>
      <c r="BW50" s="405"/>
      <c r="BX50" s="405"/>
      <c r="BY50" s="405"/>
      <c r="BZ50" s="405"/>
      <c r="CA50" s="405"/>
      <c r="CB50" s="406"/>
      <c r="CC50" s="95"/>
      <c r="CD50" s="95"/>
      <c r="CE50" s="181"/>
      <c r="CF50" s="273"/>
      <c r="CG50" s="256"/>
      <c r="CH50" s="256"/>
      <c r="CI50" s="256"/>
      <c r="CJ50" s="256"/>
      <c r="CK50" s="256"/>
      <c r="CL50" s="256"/>
      <c r="CM50" s="256"/>
      <c r="CN50" s="256"/>
      <c r="CO50" s="256"/>
      <c r="CP50" s="256"/>
      <c r="CQ50" s="256"/>
      <c r="CR50" s="256"/>
      <c r="CS50" s="256"/>
      <c r="CT50" s="256"/>
      <c r="CU50" s="256"/>
      <c r="CV50" s="256"/>
      <c r="CW50" s="256"/>
      <c r="CX50" s="256"/>
      <c r="CY50" s="256"/>
      <c r="CZ50" s="256"/>
      <c r="DA50" s="256"/>
      <c r="DB50" s="256"/>
      <c r="DC50" s="256"/>
      <c r="DD50" s="256"/>
      <c r="DE50" s="256"/>
      <c r="DF50" s="256"/>
      <c r="DG50" s="256"/>
      <c r="DH50" s="256"/>
      <c r="DI50" s="256"/>
      <c r="DJ50" s="256"/>
      <c r="DK50" s="256"/>
      <c r="DL50" s="256"/>
      <c r="DM50" s="256"/>
      <c r="DN50" s="256"/>
      <c r="DO50" s="256"/>
      <c r="DP50" s="256"/>
      <c r="DQ50" s="256"/>
      <c r="DR50" s="256"/>
      <c r="DS50" s="256"/>
      <c r="DT50" s="256"/>
      <c r="DU50" s="256"/>
      <c r="DV50" s="256"/>
      <c r="DW50" s="256"/>
      <c r="DX50" s="256"/>
      <c r="DY50" s="256"/>
      <c r="DZ50" s="256"/>
      <c r="EA50" s="256"/>
      <c r="EB50" s="256"/>
      <c r="EC50" s="256"/>
      <c r="ED50" s="256"/>
      <c r="EE50" s="256"/>
      <c r="EF50" s="256"/>
      <c r="EG50" s="256"/>
      <c r="EH50" s="256"/>
      <c r="EI50" s="256"/>
      <c r="EJ50" s="256"/>
      <c r="EK50" s="256"/>
      <c r="EL50" s="256"/>
      <c r="EM50" s="256"/>
      <c r="EN50" s="256"/>
      <c r="EO50" s="256"/>
      <c r="EP50" s="256"/>
      <c r="EQ50" s="256"/>
      <c r="ER50" s="256"/>
      <c r="ES50" s="256"/>
      <c r="ET50" s="256"/>
      <c r="EU50" s="256"/>
      <c r="EV50" s="256"/>
      <c r="EW50" s="256"/>
      <c r="EX50" s="256"/>
      <c r="EY50" s="256"/>
      <c r="EZ50" s="256"/>
      <c r="FA50" s="256"/>
      <c r="FB50" s="256"/>
      <c r="FC50" s="256"/>
      <c r="FD50" s="256"/>
      <c r="FE50" s="256"/>
      <c r="FF50" s="256"/>
      <c r="FG50" s="256"/>
      <c r="FH50" s="256"/>
      <c r="FI50" s="256"/>
      <c r="FJ50" s="256"/>
      <c r="FK50" s="256"/>
      <c r="FL50" s="256"/>
      <c r="FM50" s="256"/>
      <c r="FN50" s="256"/>
      <c r="FO50" s="256"/>
    </row>
    <row r="51" spans="1:171" s="31" customFormat="1" ht="19.5" customHeight="1">
      <c r="A51" s="260"/>
      <c r="B51" s="263"/>
      <c r="C51" s="262"/>
      <c r="D51" s="98"/>
      <c r="E51" s="98"/>
      <c r="F51" s="98"/>
      <c r="G51" s="98"/>
      <c r="H51" s="296" t="s">
        <v>269</v>
      </c>
      <c r="I51" s="294"/>
      <c r="J51" s="294"/>
      <c r="K51" s="294"/>
      <c r="L51" s="294"/>
      <c r="M51" s="294"/>
      <c r="N51" s="294"/>
      <c r="O51" s="294"/>
      <c r="P51" s="121"/>
      <c r="Q51" s="124"/>
      <c r="R51" s="121"/>
      <c r="S51" s="121"/>
      <c r="T51" s="121"/>
      <c r="U51" s="121"/>
      <c r="V51" s="121"/>
      <c r="W51" s="121"/>
      <c r="X51" s="121"/>
      <c r="Y51" s="121"/>
      <c r="Z51" s="121"/>
      <c r="AA51" s="121"/>
      <c r="AB51" s="121"/>
      <c r="AC51" s="121"/>
      <c r="AD51" s="121"/>
      <c r="AE51" s="121"/>
      <c r="AF51" s="121"/>
      <c r="AG51" s="121"/>
      <c r="AH51" s="121"/>
      <c r="AI51" s="121"/>
      <c r="AJ51" s="287"/>
      <c r="AK51" s="287"/>
      <c r="AL51" s="287"/>
      <c r="AM51" s="287"/>
      <c r="AN51" s="287"/>
      <c r="AO51" s="287"/>
      <c r="AP51" s="120" t="s">
        <v>311</v>
      </c>
      <c r="AQ51" s="305"/>
      <c r="AR51" s="305"/>
      <c r="AS51" s="305"/>
      <c r="AT51" s="305"/>
      <c r="AU51" s="121"/>
      <c r="AV51" s="121"/>
      <c r="AW51" s="121"/>
      <c r="AX51" s="121"/>
      <c r="AY51" s="124"/>
      <c r="AZ51" s="294"/>
      <c r="BA51" s="294"/>
      <c r="BB51" s="294"/>
      <c r="BC51" s="294"/>
      <c r="BD51" s="294"/>
      <c r="BE51" s="121"/>
      <c r="BF51" s="305"/>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4"/>
      <c r="CC51" s="95"/>
      <c r="CD51" s="95"/>
      <c r="CE51" s="181"/>
      <c r="CF51" s="273"/>
      <c r="CG51" s="256"/>
      <c r="CH51" s="256"/>
      <c r="CI51" s="256"/>
      <c r="CJ51" s="256"/>
      <c r="CK51" s="256"/>
      <c r="CL51" s="256"/>
      <c r="CM51" s="256"/>
      <c r="CN51" s="256"/>
      <c r="CO51" s="256"/>
      <c r="CP51" s="256"/>
      <c r="CQ51" s="256"/>
      <c r="CR51" s="256"/>
      <c r="CS51" s="256"/>
      <c r="CT51" s="256"/>
      <c r="CU51" s="256"/>
      <c r="CV51" s="256"/>
      <c r="CW51" s="256"/>
      <c r="CX51" s="256"/>
      <c r="CY51" s="256"/>
      <c r="CZ51" s="256"/>
      <c r="DA51" s="256"/>
      <c r="DB51" s="256"/>
      <c r="DC51" s="256"/>
      <c r="DD51" s="256"/>
      <c r="DE51" s="256"/>
      <c r="DF51" s="256"/>
      <c r="DG51" s="256"/>
      <c r="DH51" s="256"/>
      <c r="DI51" s="256"/>
      <c r="DJ51" s="256"/>
      <c r="DK51" s="256"/>
      <c r="DL51" s="256"/>
      <c r="DM51" s="256"/>
      <c r="DN51" s="256"/>
      <c r="DO51" s="256"/>
      <c r="DP51" s="256"/>
      <c r="DQ51" s="256"/>
      <c r="DR51" s="256"/>
      <c r="DS51" s="256"/>
      <c r="DT51" s="256"/>
      <c r="DU51" s="256"/>
      <c r="DV51" s="256"/>
      <c r="DW51" s="256"/>
      <c r="DX51" s="256"/>
      <c r="DY51" s="256"/>
      <c r="DZ51" s="256"/>
      <c r="EA51" s="256"/>
      <c r="EB51" s="256"/>
      <c r="EC51" s="256"/>
      <c r="ED51" s="256"/>
      <c r="EE51" s="256"/>
      <c r="EF51" s="256"/>
      <c r="EG51" s="256"/>
      <c r="EH51" s="256"/>
      <c r="EI51" s="256"/>
      <c r="EJ51" s="256"/>
      <c r="EK51" s="256"/>
      <c r="EL51" s="256"/>
      <c r="EM51" s="256"/>
      <c r="EN51" s="256"/>
      <c r="EO51" s="256"/>
      <c r="EP51" s="256"/>
      <c r="EQ51" s="256"/>
      <c r="ER51" s="256"/>
      <c r="ES51" s="256"/>
      <c r="ET51" s="256"/>
      <c r="EU51" s="256"/>
      <c r="EV51" s="256"/>
      <c r="EW51" s="256"/>
      <c r="EX51" s="256"/>
      <c r="EY51" s="256"/>
      <c r="EZ51" s="256"/>
      <c r="FA51" s="256"/>
      <c r="FB51" s="256"/>
      <c r="FC51" s="256"/>
      <c r="FD51" s="256"/>
      <c r="FE51" s="256"/>
      <c r="FF51" s="256"/>
      <c r="FG51" s="256"/>
      <c r="FH51" s="256"/>
      <c r="FI51" s="256"/>
      <c r="FJ51" s="256"/>
      <c r="FK51" s="256"/>
      <c r="FL51" s="256"/>
      <c r="FM51" s="256"/>
      <c r="FN51" s="256"/>
      <c r="FO51" s="256"/>
    </row>
    <row r="52" spans="1:171" s="31" customFormat="1" ht="19.5" customHeight="1">
      <c r="A52" s="260"/>
      <c r="B52" s="263"/>
      <c r="C52" s="262"/>
      <c r="D52" s="98"/>
      <c r="E52" s="98"/>
      <c r="F52" s="98"/>
      <c r="G52" s="98"/>
      <c r="H52" s="296" t="s">
        <v>170</v>
      </c>
      <c r="I52" s="294"/>
      <c r="J52" s="294"/>
      <c r="K52" s="294"/>
      <c r="L52" s="294"/>
      <c r="M52" s="294"/>
      <c r="N52" s="294"/>
      <c r="O52" s="294"/>
      <c r="P52" s="121"/>
      <c r="Q52" s="124"/>
      <c r="R52" s="121"/>
      <c r="S52" s="121"/>
      <c r="T52" s="121"/>
      <c r="U52" s="121"/>
      <c r="V52" s="121"/>
      <c r="W52" s="121"/>
      <c r="X52" s="121"/>
      <c r="Y52" s="121"/>
      <c r="Z52" s="121"/>
      <c r="AA52" s="121"/>
      <c r="AB52" s="121"/>
      <c r="AC52" s="121"/>
      <c r="AD52" s="121"/>
      <c r="AE52" s="121"/>
      <c r="AF52" s="121"/>
      <c r="AG52" s="121"/>
      <c r="AH52" s="121"/>
      <c r="AI52" s="121"/>
      <c r="AJ52" s="287"/>
      <c r="AK52" s="287"/>
      <c r="AL52" s="287"/>
      <c r="AM52" s="287"/>
      <c r="AN52" s="287"/>
      <c r="AO52" s="287"/>
      <c r="AP52" s="132" t="s">
        <v>171</v>
      </c>
      <c r="AU52" s="133"/>
      <c r="AV52" s="133"/>
      <c r="AW52" s="133"/>
      <c r="AX52" s="133"/>
      <c r="AY52" s="142"/>
      <c r="AZ52" s="294"/>
      <c r="BA52" s="294"/>
      <c r="BB52" s="294"/>
      <c r="BC52" s="294"/>
      <c r="BD52" s="294"/>
      <c r="BE52" s="121"/>
      <c r="BF52" s="305"/>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124"/>
      <c r="CC52" s="95"/>
      <c r="CD52" s="95"/>
      <c r="CE52" s="181"/>
      <c r="CF52" s="273"/>
      <c r="CG52" s="256"/>
      <c r="CH52" s="256"/>
      <c r="CI52" s="256"/>
      <c r="CJ52" s="256"/>
      <c r="CK52" s="256"/>
      <c r="CL52" s="256"/>
      <c r="CM52" s="256"/>
      <c r="CN52" s="256"/>
      <c r="CO52" s="256"/>
      <c r="CP52" s="256"/>
      <c r="CQ52" s="256"/>
      <c r="CR52" s="256"/>
      <c r="CS52" s="256"/>
      <c r="CT52" s="256"/>
      <c r="CU52" s="256"/>
      <c r="CV52" s="256"/>
      <c r="CW52" s="256"/>
      <c r="CX52" s="256"/>
      <c r="CY52" s="256"/>
      <c r="CZ52" s="256"/>
      <c r="DA52" s="256"/>
      <c r="DB52" s="256"/>
      <c r="DC52" s="256"/>
      <c r="DD52" s="256"/>
      <c r="DE52" s="256"/>
      <c r="DF52" s="256"/>
      <c r="DG52" s="256"/>
      <c r="DH52" s="256"/>
      <c r="DI52" s="256"/>
      <c r="DJ52" s="256"/>
      <c r="DK52" s="256"/>
      <c r="DL52" s="256"/>
      <c r="DM52" s="256"/>
      <c r="DN52" s="256"/>
      <c r="DO52" s="256"/>
      <c r="DP52" s="256"/>
      <c r="DQ52" s="256"/>
      <c r="DR52" s="256"/>
      <c r="DS52" s="256"/>
      <c r="DT52" s="256"/>
      <c r="DU52" s="256"/>
      <c r="DV52" s="256"/>
      <c r="DW52" s="256"/>
      <c r="DX52" s="256"/>
      <c r="DY52" s="256"/>
      <c r="DZ52" s="256"/>
      <c r="EA52" s="256"/>
      <c r="EB52" s="256"/>
      <c r="EC52" s="256"/>
      <c r="ED52" s="256"/>
      <c r="EE52" s="256"/>
      <c r="EF52" s="256"/>
      <c r="EG52" s="256"/>
      <c r="EH52" s="256"/>
      <c r="EI52" s="256"/>
      <c r="EJ52" s="256"/>
      <c r="EK52" s="256"/>
      <c r="EL52" s="256"/>
      <c r="EM52" s="256"/>
      <c r="EN52" s="256"/>
      <c r="EO52" s="256"/>
      <c r="EP52" s="256"/>
      <c r="EQ52" s="256"/>
      <c r="ER52" s="256"/>
      <c r="ES52" s="256"/>
      <c r="ET52" s="256"/>
      <c r="EU52" s="256"/>
      <c r="EV52" s="256"/>
      <c r="EW52" s="256"/>
      <c r="EX52" s="256"/>
      <c r="EY52" s="256"/>
      <c r="EZ52" s="256"/>
      <c r="FA52" s="256"/>
      <c r="FB52" s="256"/>
      <c r="FC52" s="256"/>
      <c r="FD52" s="256"/>
      <c r="FE52" s="256"/>
      <c r="FF52" s="256"/>
      <c r="FG52" s="256"/>
      <c r="FH52" s="256"/>
      <c r="FI52" s="256"/>
      <c r="FJ52" s="256"/>
      <c r="FK52" s="256"/>
      <c r="FL52" s="256"/>
      <c r="FM52" s="256"/>
      <c r="FN52" s="256"/>
      <c r="FO52" s="256"/>
    </row>
    <row r="53" spans="1:171" s="31" customFormat="1" ht="19.5" customHeight="1">
      <c r="A53" s="260"/>
      <c r="B53" s="263"/>
      <c r="C53" s="262"/>
      <c r="D53" s="98"/>
      <c r="E53" s="98"/>
      <c r="F53" s="98"/>
      <c r="G53" s="98"/>
      <c r="H53" s="404" t="s">
        <v>127</v>
      </c>
      <c r="I53" s="405"/>
      <c r="J53" s="405"/>
      <c r="K53" s="405"/>
      <c r="L53" s="405"/>
      <c r="M53" s="405"/>
      <c r="N53" s="405"/>
      <c r="O53" s="405"/>
      <c r="P53" s="405"/>
      <c r="Q53" s="405"/>
      <c r="R53" s="405"/>
      <c r="S53" s="405"/>
      <c r="T53" s="405"/>
      <c r="U53" s="405"/>
      <c r="V53" s="405"/>
      <c r="W53" s="405"/>
      <c r="X53" s="405"/>
      <c r="Y53" s="405"/>
      <c r="Z53" s="405"/>
      <c r="AA53" s="405"/>
      <c r="AB53" s="405"/>
      <c r="AC53" s="405"/>
      <c r="AD53" s="405"/>
      <c r="AE53" s="405"/>
      <c r="AF53" s="405"/>
      <c r="AG53" s="405"/>
      <c r="AH53" s="405"/>
      <c r="AI53" s="405"/>
      <c r="AJ53" s="405"/>
      <c r="AK53" s="405"/>
      <c r="AL53" s="405"/>
      <c r="AM53" s="405"/>
      <c r="AN53" s="405"/>
      <c r="AO53" s="405"/>
      <c r="AP53" s="405"/>
      <c r="AQ53" s="405"/>
      <c r="AR53" s="405"/>
      <c r="AS53" s="405"/>
      <c r="AT53" s="405"/>
      <c r="AU53" s="405"/>
      <c r="AV53" s="405"/>
      <c r="AW53" s="405"/>
      <c r="AX53" s="405"/>
      <c r="AY53" s="405"/>
      <c r="AZ53" s="405"/>
      <c r="BA53" s="405"/>
      <c r="BB53" s="405"/>
      <c r="BC53" s="405"/>
      <c r="BD53" s="405"/>
      <c r="BE53" s="405"/>
      <c r="BF53" s="405"/>
      <c r="BG53" s="405"/>
      <c r="BH53" s="405"/>
      <c r="BI53" s="405"/>
      <c r="BJ53" s="405"/>
      <c r="BK53" s="405"/>
      <c r="BL53" s="405"/>
      <c r="BM53" s="405"/>
      <c r="BN53" s="405"/>
      <c r="BO53" s="405"/>
      <c r="BP53" s="405"/>
      <c r="BQ53" s="405"/>
      <c r="BR53" s="405"/>
      <c r="BS53" s="405"/>
      <c r="BT53" s="405"/>
      <c r="BU53" s="405"/>
      <c r="BV53" s="405"/>
      <c r="BW53" s="405"/>
      <c r="BX53" s="405"/>
      <c r="BY53" s="405"/>
      <c r="BZ53" s="405"/>
      <c r="CA53" s="405"/>
      <c r="CB53" s="406"/>
      <c r="CC53" s="95"/>
      <c r="CD53" s="95"/>
      <c r="CE53" s="181"/>
      <c r="CF53" s="273"/>
      <c r="CG53" s="256"/>
      <c r="CH53" s="256"/>
      <c r="CI53" s="256"/>
      <c r="CJ53" s="256"/>
      <c r="CK53" s="256"/>
      <c r="CL53" s="256"/>
      <c r="CM53" s="256"/>
      <c r="CN53" s="256"/>
      <c r="CO53" s="256"/>
      <c r="CP53" s="256"/>
      <c r="CQ53" s="256"/>
      <c r="CR53" s="256"/>
      <c r="CS53" s="256"/>
      <c r="CT53" s="256"/>
      <c r="CU53" s="256"/>
      <c r="CV53" s="256"/>
      <c r="CW53" s="256"/>
      <c r="CX53" s="256"/>
      <c r="CY53" s="256"/>
      <c r="CZ53" s="256"/>
      <c r="DA53" s="256"/>
      <c r="DB53" s="256"/>
      <c r="DC53" s="256"/>
      <c r="DD53" s="256"/>
      <c r="DE53" s="256"/>
      <c r="DF53" s="256"/>
      <c r="DG53" s="256"/>
      <c r="DH53" s="256"/>
      <c r="DI53" s="256"/>
      <c r="DJ53" s="256"/>
      <c r="DK53" s="256"/>
      <c r="DL53" s="256"/>
      <c r="DM53" s="256"/>
      <c r="DN53" s="256"/>
      <c r="DO53" s="256"/>
      <c r="DP53" s="256"/>
      <c r="DQ53" s="256"/>
      <c r="DR53" s="256"/>
      <c r="DS53" s="256"/>
      <c r="DT53" s="256"/>
      <c r="DU53" s="256"/>
      <c r="DV53" s="256"/>
      <c r="DW53" s="256"/>
      <c r="DX53" s="256"/>
      <c r="DY53" s="256"/>
      <c r="DZ53" s="256"/>
      <c r="EA53" s="256"/>
      <c r="EB53" s="256"/>
      <c r="EC53" s="256"/>
      <c r="ED53" s="256"/>
      <c r="EE53" s="256"/>
      <c r="EF53" s="256"/>
      <c r="EG53" s="256"/>
      <c r="EH53" s="256"/>
      <c r="EI53" s="256"/>
      <c r="EJ53" s="256"/>
      <c r="EK53" s="256"/>
      <c r="EL53" s="256"/>
      <c r="EM53" s="256"/>
      <c r="EN53" s="256"/>
      <c r="EO53" s="256"/>
      <c r="EP53" s="256"/>
      <c r="EQ53" s="256"/>
      <c r="ER53" s="256"/>
      <c r="ES53" s="256"/>
      <c r="ET53" s="256"/>
      <c r="EU53" s="256"/>
      <c r="EV53" s="256"/>
      <c r="EW53" s="256"/>
      <c r="EX53" s="256"/>
      <c r="EY53" s="256"/>
      <c r="EZ53" s="256"/>
      <c r="FA53" s="256"/>
      <c r="FB53" s="256"/>
      <c r="FC53" s="256"/>
      <c r="FD53" s="256"/>
      <c r="FE53" s="256"/>
      <c r="FF53" s="256"/>
      <c r="FG53" s="256"/>
      <c r="FH53" s="256"/>
      <c r="FI53" s="256"/>
      <c r="FJ53" s="256"/>
      <c r="FK53" s="256"/>
      <c r="FL53" s="256"/>
      <c r="FM53" s="256"/>
      <c r="FN53" s="256"/>
      <c r="FO53" s="256"/>
    </row>
    <row r="54" spans="1:171" s="31" customFormat="1" ht="19.5" customHeight="1">
      <c r="A54" s="260"/>
      <c r="B54" s="263"/>
      <c r="C54" s="262"/>
      <c r="D54" s="98"/>
      <c r="E54" s="98"/>
      <c r="F54" s="98"/>
      <c r="G54" s="98"/>
      <c r="H54" s="123" t="s">
        <v>306</v>
      </c>
      <c r="I54" s="121"/>
      <c r="J54" s="121"/>
      <c r="K54" s="121"/>
      <c r="L54" s="121"/>
      <c r="M54" s="121"/>
      <c r="N54" s="121"/>
      <c r="O54" s="121"/>
      <c r="P54" s="121"/>
      <c r="Q54" s="121"/>
      <c r="R54" s="120"/>
      <c r="S54" s="121"/>
      <c r="T54" s="121"/>
      <c r="U54" s="122"/>
      <c r="V54" s="121"/>
      <c r="W54" s="287"/>
      <c r="X54" s="287"/>
      <c r="Y54" s="287"/>
      <c r="Z54" s="287"/>
      <c r="AA54" s="287"/>
      <c r="AB54" s="287"/>
      <c r="AC54" s="287"/>
      <c r="AD54" s="287"/>
      <c r="AE54" s="122"/>
      <c r="AF54" s="287"/>
      <c r="AG54" s="287"/>
      <c r="AH54" s="287"/>
      <c r="AI54" s="287"/>
      <c r="AJ54" s="287"/>
      <c r="AK54" s="287"/>
      <c r="AL54" s="287"/>
      <c r="AM54" s="287"/>
      <c r="AN54" s="287"/>
      <c r="AO54" s="287"/>
      <c r="AP54" s="123" t="s">
        <v>307</v>
      </c>
      <c r="AQ54" s="121"/>
      <c r="AR54" s="121"/>
      <c r="AS54" s="121"/>
      <c r="AT54" s="121"/>
      <c r="AU54" s="121"/>
      <c r="AV54" s="121"/>
      <c r="AW54" s="121"/>
      <c r="AX54" s="121"/>
      <c r="AY54" s="121"/>
      <c r="AZ54" s="120"/>
      <c r="BA54" s="121"/>
      <c r="BB54" s="121"/>
      <c r="BC54" s="122"/>
      <c r="BD54" s="121"/>
      <c r="BE54" s="287"/>
      <c r="BF54" s="287"/>
      <c r="BG54" s="287"/>
      <c r="BH54" s="287"/>
      <c r="BI54" s="287"/>
      <c r="BJ54" s="287"/>
      <c r="BK54" s="287"/>
      <c r="BL54" s="287"/>
      <c r="BM54" s="122"/>
      <c r="BN54" s="287"/>
      <c r="BO54" s="287"/>
      <c r="BP54" s="287"/>
      <c r="BQ54" s="287"/>
      <c r="BR54" s="287"/>
      <c r="BS54" s="287"/>
      <c r="BT54" s="287"/>
      <c r="BU54" s="287"/>
      <c r="BV54" s="287"/>
      <c r="BW54" s="287"/>
      <c r="BX54" s="287"/>
      <c r="BY54" s="287"/>
      <c r="BZ54" s="130"/>
      <c r="CA54" s="130"/>
      <c r="CB54" s="131"/>
      <c r="CC54" s="95"/>
      <c r="CD54" s="95"/>
      <c r="CE54" s="181"/>
      <c r="CF54" s="273"/>
      <c r="CG54" s="256"/>
      <c r="CH54" s="256"/>
      <c r="CI54" s="256"/>
      <c r="CJ54" s="256"/>
      <c r="CK54" s="256"/>
      <c r="CL54" s="256"/>
      <c r="CM54" s="256"/>
      <c r="CN54" s="256"/>
      <c r="CO54" s="256"/>
      <c r="CP54" s="256"/>
      <c r="CQ54" s="256"/>
      <c r="CR54" s="256"/>
      <c r="CS54" s="256"/>
      <c r="CT54" s="256"/>
      <c r="CU54" s="256"/>
      <c r="CV54" s="256"/>
      <c r="CW54" s="256"/>
      <c r="CX54" s="256"/>
      <c r="CY54" s="256"/>
      <c r="CZ54" s="256"/>
      <c r="DA54" s="256"/>
      <c r="DB54" s="256"/>
      <c r="DC54" s="256"/>
      <c r="DD54" s="256"/>
      <c r="DE54" s="256"/>
      <c r="DF54" s="256"/>
      <c r="DG54" s="256"/>
      <c r="DH54" s="256"/>
      <c r="DI54" s="256"/>
      <c r="DJ54" s="256"/>
      <c r="DK54" s="256"/>
      <c r="DL54" s="256"/>
      <c r="DM54" s="256"/>
      <c r="DN54" s="256"/>
      <c r="DO54" s="256"/>
      <c r="DP54" s="256"/>
      <c r="DQ54" s="256"/>
      <c r="DR54" s="256"/>
      <c r="DS54" s="256"/>
      <c r="DT54" s="256"/>
      <c r="DU54" s="256"/>
      <c r="DV54" s="256"/>
      <c r="DW54" s="256"/>
      <c r="DX54" s="256"/>
      <c r="DY54" s="256"/>
      <c r="DZ54" s="256"/>
      <c r="EA54" s="256"/>
      <c r="EB54" s="256"/>
      <c r="EC54" s="256"/>
      <c r="ED54" s="256"/>
      <c r="EE54" s="256"/>
      <c r="EF54" s="256"/>
      <c r="EG54" s="256"/>
      <c r="EH54" s="256"/>
      <c r="EI54" s="256"/>
      <c r="EJ54" s="256"/>
      <c r="EK54" s="256"/>
      <c r="EL54" s="256"/>
      <c r="EM54" s="256"/>
      <c r="EN54" s="256"/>
      <c r="EO54" s="256"/>
      <c r="EP54" s="256"/>
      <c r="EQ54" s="256"/>
      <c r="ER54" s="256"/>
      <c r="ES54" s="256"/>
      <c r="ET54" s="256"/>
      <c r="EU54" s="256"/>
      <c r="EV54" s="256"/>
      <c r="EW54" s="256"/>
      <c r="EX54" s="256"/>
      <c r="EY54" s="256"/>
      <c r="EZ54" s="256"/>
      <c r="FA54" s="256"/>
      <c r="FB54" s="256"/>
      <c r="FC54" s="256"/>
      <c r="FD54" s="256"/>
      <c r="FE54" s="256"/>
      <c r="FF54" s="256"/>
      <c r="FG54" s="256"/>
      <c r="FH54" s="256"/>
      <c r="FI54" s="256"/>
      <c r="FJ54" s="256"/>
      <c r="FK54" s="256"/>
      <c r="FL54" s="256"/>
      <c r="FM54" s="256"/>
      <c r="FN54" s="256"/>
      <c r="FO54" s="256"/>
    </row>
    <row r="55" spans="1:171" s="31" customFormat="1" ht="19.5" customHeight="1">
      <c r="A55" s="260"/>
      <c r="B55" s="263"/>
      <c r="C55" s="262"/>
      <c r="D55" s="98"/>
      <c r="E55" s="98"/>
      <c r="F55" s="98"/>
      <c r="G55" s="98"/>
      <c r="H55" s="120" t="s">
        <v>169</v>
      </c>
      <c r="I55" s="121"/>
      <c r="J55" s="121"/>
      <c r="K55" s="121"/>
      <c r="L55" s="121"/>
      <c r="M55" s="121"/>
      <c r="N55" s="287"/>
      <c r="O55" s="287"/>
      <c r="P55" s="287"/>
      <c r="Q55" s="133"/>
      <c r="R55" s="120" t="s">
        <v>305</v>
      </c>
      <c r="S55" s="77"/>
      <c r="T55" s="101"/>
      <c r="U55" s="101"/>
      <c r="V55" s="101"/>
      <c r="W55" s="101"/>
      <c r="X55" s="101"/>
      <c r="Y55" s="101"/>
      <c r="Z55" s="106"/>
      <c r="AA55" s="106"/>
      <c r="AB55" s="106"/>
      <c r="AC55" s="106"/>
      <c r="AD55" s="100"/>
      <c r="AE55" s="100"/>
      <c r="AF55" s="101"/>
      <c r="AG55" s="100"/>
      <c r="AH55" s="100"/>
      <c r="AI55" s="100"/>
      <c r="AJ55" s="101"/>
      <c r="AK55" s="100"/>
      <c r="AL55" s="287"/>
      <c r="AM55" s="287"/>
      <c r="AN55" s="287"/>
      <c r="AO55" s="287"/>
      <c r="AP55" s="123" t="s">
        <v>308</v>
      </c>
      <c r="AQ55" s="121"/>
      <c r="AR55" s="121"/>
      <c r="AS55" s="121"/>
      <c r="AT55" s="121"/>
      <c r="AU55" s="121"/>
      <c r="AV55" s="121"/>
      <c r="AW55" s="121"/>
      <c r="AX55" s="121"/>
      <c r="AY55" s="121"/>
      <c r="AZ55" s="134"/>
      <c r="BA55" s="135"/>
      <c r="BB55" s="135"/>
      <c r="BC55" s="135"/>
      <c r="BD55" s="135"/>
      <c r="BE55" s="135"/>
      <c r="BF55" s="136"/>
      <c r="BG55" s="135"/>
      <c r="BH55" s="135"/>
      <c r="BI55" s="121"/>
      <c r="BJ55" s="121"/>
      <c r="BK55" s="121"/>
      <c r="BL55" s="121"/>
      <c r="BM55" s="121"/>
      <c r="BN55" s="121"/>
      <c r="BO55" s="121"/>
      <c r="BP55" s="121"/>
      <c r="BQ55" s="121"/>
      <c r="BR55" s="121"/>
      <c r="BS55" s="121"/>
      <c r="BT55" s="287"/>
      <c r="BU55" s="100"/>
      <c r="BV55" s="100"/>
      <c r="BW55" s="100"/>
      <c r="BX55" s="130"/>
      <c r="BY55" s="130"/>
      <c r="BZ55" s="130"/>
      <c r="CA55" s="130"/>
      <c r="CB55" s="131"/>
      <c r="CC55" s="95"/>
      <c r="CD55" s="95"/>
      <c r="CE55" s="181"/>
      <c r="CF55" s="273"/>
      <c r="CG55" s="256"/>
      <c r="CH55" s="256"/>
      <c r="CI55" s="256"/>
      <c r="CJ55" s="256"/>
      <c r="CK55" s="256"/>
      <c r="CL55" s="256"/>
      <c r="CM55" s="256"/>
      <c r="CN55" s="256"/>
      <c r="CO55" s="256"/>
      <c r="CP55" s="256"/>
      <c r="CQ55" s="256"/>
      <c r="CR55" s="256"/>
      <c r="CS55" s="256"/>
      <c r="CT55" s="256"/>
      <c r="CU55" s="256"/>
      <c r="CV55" s="256"/>
      <c r="CW55" s="256"/>
      <c r="CX55" s="256"/>
      <c r="CY55" s="256"/>
      <c r="CZ55" s="256"/>
      <c r="DA55" s="256"/>
      <c r="DB55" s="256"/>
      <c r="DC55" s="256"/>
      <c r="DD55" s="256"/>
      <c r="DE55" s="256"/>
      <c r="DF55" s="256"/>
      <c r="DG55" s="256"/>
      <c r="DH55" s="256"/>
      <c r="DI55" s="256"/>
      <c r="DJ55" s="256"/>
      <c r="DK55" s="256"/>
      <c r="DL55" s="256"/>
      <c r="DM55" s="256"/>
      <c r="DN55" s="256"/>
      <c r="DO55" s="256"/>
      <c r="DP55" s="256"/>
      <c r="DQ55" s="256"/>
      <c r="DR55" s="256"/>
      <c r="DS55" s="256"/>
      <c r="DT55" s="256"/>
      <c r="DU55" s="256"/>
      <c r="DV55" s="256"/>
      <c r="DW55" s="256"/>
      <c r="DX55" s="256"/>
      <c r="DY55" s="256"/>
      <c r="DZ55" s="256"/>
      <c r="EA55" s="256"/>
      <c r="EB55" s="256"/>
      <c r="EC55" s="256"/>
      <c r="ED55" s="256"/>
      <c r="EE55" s="256"/>
      <c r="EF55" s="256"/>
      <c r="EG55" s="256"/>
      <c r="EH55" s="256"/>
      <c r="EI55" s="256"/>
      <c r="EJ55" s="256"/>
      <c r="EK55" s="256"/>
      <c r="EL55" s="256"/>
      <c r="EM55" s="256"/>
      <c r="EN55" s="256"/>
      <c r="EO55" s="256"/>
      <c r="EP55" s="256"/>
      <c r="EQ55" s="256"/>
      <c r="ER55" s="256"/>
      <c r="ES55" s="256"/>
      <c r="ET55" s="256"/>
      <c r="EU55" s="256"/>
      <c r="EV55" s="256"/>
      <c r="EW55" s="256"/>
      <c r="EX55" s="256"/>
      <c r="EY55" s="256"/>
      <c r="EZ55" s="256"/>
      <c r="FA55" s="256"/>
      <c r="FB55" s="256"/>
      <c r="FC55" s="256"/>
      <c r="FD55" s="256"/>
      <c r="FE55" s="256"/>
      <c r="FF55" s="256"/>
      <c r="FG55" s="256"/>
      <c r="FH55" s="256"/>
      <c r="FI55" s="256"/>
      <c r="FJ55" s="256"/>
      <c r="FK55" s="256"/>
      <c r="FL55" s="256"/>
      <c r="FM55" s="256"/>
      <c r="FN55" s="256"/>
      <c r="FO55" s="256"/>
    </row>
    <row r="56" spans="1:171" s="31" customFormat="1" ht="19.5" customHeight="1">
      <c r="A56" s="260"/>
      <c r="B56" s="263"/>
      <c r="C56" s="262"/>
      <c r="D56" s="98"/>
      <c r="E56" s="98"/>
      <c r="F56" s="98"/>
      <c r="G56" s="98"/>
      <c r="H56" s="120" t="s">
        <v>371</v>
      </c>
      <c r="I56" s="133"/>
      <c r="J56" s="133"/>
      <c r="K56" s="133"/>
      <c r="L56" s="133"/>
      <c r="M56" s="133"/>
      <c r="N56" s="133"/>
      <c r="O56" s="133"/>
      <c r="P56" s="133"/>
      <c r="Q56" s="133"/>
      <c r="R56" s="120"/>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33"/>
      <c r="BQ56" s="133"/>
      <c r="BR56" s="133"/>
      <c r="BS56" s="133"/>
      <c r="BT56" s="295"/>
      <c r="BU56" s="295"/>
      <c r="BV56" s="130"/>
      <c r="BW56" s="130"/>
      <c r="BX56" s="130"/>
      <c r="BY56" s="130"/>
      <c r="BZ56" s="130"/>
      <c r="CA56" s="130"/>
      <c r="CB56" s="131"/>
      <c r="CC56" s="95"/>
      <c r="CD56" s="95"/>
      <c r="CE56" s="181"/>
      <c r="CF56" s="273"/>
      <c r="CG56" s="256"/>
      <c r="CH56" s="256"/>
      <c r="CI56" s="256"/>
      <c r="CJ56" s="256"/>
      <c r="CK56" s="256"/>
      <c r="CL56" s="256"/>
      <c r="CM56" s="256"/>
      <c r="CN56" s="256"/>
      <c r="CO56" s="256"/>
      <c r="CP56" s="256"/>
      <c r="CQ56" s="256"/>
      <c r="CR56" s="256"/>
      <c r="CS56" s="256"/>
      <c r="CT56" s="256"/>
      <c r="CU56" s="256"/>
      <c r="CV56" s="256"/>
      <c r="CW56" s="256"/>
      <c r="CX56" s="256"/>
      <c r="CY56" s="256"/>
      <c r="CZ56" s="256"/>
      <c r="DA56" s="256"/>
      <c r="DB56" s="256"/>
      <c r="DC56" s="256"/>
      <c r="DD56" s="256"/>
      <c r="DE56" s="256"/>
      <c r="DF56" s="256"/>
      <c r="DG56" s="256"/>
      <c r="DH56" s="256"/>
      <c r="DI56" s="256"/>
      <c r="DJ56" s="256"/>
      <c r="DK56" s="256"/>
      <c r="DL56" s="256"/>
      <c r="DM56" s="256"/>
      <c r="DN56" s="256"/>
      <c r="DO56" s="256"/>
      <c r="DP56" s="256"/>
      <c r="DQ56" s="256"/>
      <c r="DR56" s="256"/>
      <c r="DS56" s="256"/>
      <c r="DT56" s="256"/>
      <c r="DU56" s="256"/>
      <c r="DV56" s="256"/>
      <c r="DW56" s="256"/>
      <c r="DX56" s="256"/>
      <c r="DY56" s="256"/>
      <c r="DZ56" s="256"/>
      <c r="EA56" s="256"/>
      <c r="EB56" s="256"/>
      <c r="EC56" s="256"/>
      <c r="ED56" s="256"/>
      <c r="EE56" s="256"/>
      <c r="EF56" s="256"/>
      <c r="EG56" s="256"/>
      <c r="EH56" s="256"/>
      <c r="EI56" s="256"/>
      <c r="EJ56" s="256"/>
      <c r="EK56" s="256"/>
      <c r="EL56" s="256"/>
      <c r="EM56" s="256"/>
      <c r="EN56" s="256"/>
      <c r="EO56" s="256"/>
      <c r="EP56" s="256"/>
      <c r="EQ56" s="256"/>
      <c r="ER56" s="256"/>
      <c r="ES56" s="256"/>
      <c r="ET56" s="256"/>
      <c r="EU56" s="256"/>
      <c r="EV56" s="256"/>
      <c r="EW56" s="256"/>
      <c r="EX56" s="256"/>
      <c r="EY56" s="256"/>
      <c r="EZ56" s="256"/>
      <c r="FA56" s="256"/>
      <c r="FB56" s="256"/>
      <c r="FC56" s="256"/>
      <c r="FD56" s="256"/>
      <c r="FE56" s="256"/>
      <c r="FF56" s="256"/>
      <c r="FG56" s="256"/>
      <c r="FH56" s="256"/>
      <c r="FI56" s="256"/>
      <c r="FJ56" s="256"/>
      <c r="FK56" s="256"/>
      <c r="FL56" s="256"/>
      <c r="FM56" s="256"/>
      <c r="FN56" s="256"/>
      <c r="FO56" s="256"/>
    </row>
    <row r="57" spans="1:171" s="31" customFormat="1" ht="19.5" customHeight="1">
      <c r="A57" s="260"/>
      <c r="B57" s="263"/>
      <c r="C57" s="262"/>
      <c r="D57" s="98"/>
      <c r="E57" s="98"/>
      <c r="F57" s="98"/>
      <c r="G57" s="98"/>
      <c r="H57" s="132" t="s">
        <v>370</v>
      </c>
      <c r="I57" s="133"/>
      <c r="J57" s="133"/>
      <c r="K57" s="133"/>
      <c r="L57" s="133"/>
      <c r="M57" s="133"/>
      <c r="N57" s="133"/>
      <c r="O57" s="133"/>
      <c r="P57" s="133"/>
      <c r="Q57" s="133"/>
      <c r="R57" s="120"/>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20" t="s">
        <v>372</v>
      </c>
      <c r="AQ57" s="121"/>
      <c r="AR57" s="121"/>
      <c r="AS57" s="121"/>
      <c r="AT57" s="121"/>
      <c r="AU57" s="121"/>
      <c r="AV57" s="121"/>
      <c r="AW57" s="121"/>
      <c r="AX57" s="121"/>
      <c r="AY57" s="124"/>
      <c r="AZ57" s="121"/>
      <c r="BA57" s="121"/>
      <c r="BB57" s="121"/>
      <c r="BC57" s="121"/>
      <c r="BD57" s="121"/>
      <c r="BE57" s="121"/>
      <c r="BF57" s="121"/>
      <c r="BG57" s="121"/>
      <c r="BH57" s="121"/>
      <c r="BI57" s="121"/>
      <c r="BJ57" s="121"/>
      <c r="BK57" s="121"/>
      <c r="BL57" s="121"/>
      <c r="BM57" s="121"/>
      <c r="BN57" s="121"/>
      <c r="BO57" s="121"/>
      <c r="BP57" s="133"/>
      <c r="BQ57" s="133"/>
      <c r="BR57" s="133"/>
      <c r="BS57" s="133"/>
      <c r="BT57" s="295"/>
      <c r="BU57" s="295"/>
      <c r="BV57" s="130"/>
      <c r="BW57" s="130"/>
      <c r="BX57" s="130"/>
      <c r="BY57" s="130"/>
      <c r="BZ57" s="130"/>
      <c r="CA57" s="130"/>
      <c r="CB57" s="131"/>
      <c r="CC57" s="95"/>
      <c r="CD57" s="95"/>
      <c r="CE57" s="181"/>
      <c r="CF57" s="273"/>
      <c r="CG57" s="256"/>
      <c r="CH57" s="256"/>
      <c r="CI57" s="256"/>
      <c r="CJ57" s="256"/>
      <c r="CK57" s="256"/>
      <c r="CL57" s="256"/>
      <c r="CM57" s="256"/>
      <c r="CN57" s="256"/>
      <c r="CO57" s="256"/>
      <c r="CP57" s="256"/>
      <c r="CQ57" s="256"/>
      <c r="CR57" s="256"/>
      <c r="CS57" s="256"/>
      <c r="CT57" s="256"/>
      <c r="CU57" s="256"/>
      <c r="CV57" s="256"/>
      <c r="CW57" s="256"/>
      <c r="CX57" s="256"/>
      <c r="CY57" s="256"/>
      <c r="CZ57" s="256"/>
      <c r="DA57" s="256"/>
      <c r="DB57" s="256"/>
      <c r="DC57" s="256"/>
      <c r="DD57" s="256"/>
      <c r="DE57" s="256"/>
      <c r="DF57" s="256"/>
      <c r="DG57" s="256"/>
      <c r="DH57" s="256"/>
      <c r="DI57" s="256"/>
      <c r="DJ57" s="256"/>
      <c r="DK57" s="256"/>
      <c r="DL57" s="256"/>
      <c r="DM57" s="256"/>
      <c r="DN57" s="256"/>
      <c r="DO57" s="256"/>
      <c r="DP57" s="256"/>
      <c r="DQ57" s="256"/>
      <c r="DR57" s="256"/>
      <c r="DS57" s="256"/>
      <c r="DT57" s="256"/>
      <c r="DU57" s="256"/>
      <c r="DV57" s="256"/>
      <c r="DW57" s="256"/>
      <c r="DX57" s="256"/>
      <c r="DY57" s="256"/>
      <c r="DZ57" s="256"/>
      <c r="EA57" s="256"/>
      <c r="EB57" s="256"/>
      <c r="EC57" s="256"/>
      <c r="ED57" s="256"/>
      <c r="EE57" s="256"/>
      <c r="EF57" s="256"/>
      <c r="EG57" s="256"/>
      <c r="EH57" s="256"/>
      <c r="EI57" s="256"/>
      <c r="EJ57" s="256"/>
      <c r="EK57" s="256"/>
      <c r="EL57" s="256"/>
      <c r="EM57" s="256"/>
      <c r="EN57" s="256"/>
      <c r="EO57" s="256"/>
      <c r="EP57" s="256"/>
      <c r="EQ57" s="256"/>
      <c r="ER57" s="256"/>
      <c r="ES57" s="256"/>
      <c r="ET57" s="256"/>
      <c r="EU57" s="256"/>
      <c r="EV57" s="256"/>
      <c r="EW57" s="256"/>
      <c r="EX57" s="256"/>
      <c r="EY57" s="256"/>
      <c r="EZ57" s="256"/>
      <c r="FA57" s="256"/>
      <c r="FB57" s="256"/>
      <c r="FC57" s="256"/>
      <c r="FD57" s="256"/>
      <c r="FE57" s="256"/>
      <c r="FF57" s="256"/>
      <c r="FG57" s="256"/>
      <c r="FH57" s="256"/>
      <c r="FI57" s="256"/>
      <c r="FJ57" s="256"/>
      <c r="FK57" s="256"/>
      <c r="FL57" s="256"/>
      <c r="FM57" s="256"/>
      <c r="FN57" s="256"/>
      <c r="FO57" s="256"/>
    </row>
    <row r="58" spans="1:171" s="31" customFormat="1" ht="19.5" customHeight="1">
      <c r="A58" s="260"/>
      <c r="B58" s="263"/>
      <c r="C58" s="262"/>
      <c r="D58" s="98"/>
      <c r="E58" s="98"/>
      <c r="F58" s="98"/>
      <c r="G58" s="98"/>
      <c r="H58" s="132" t="s">
        <v>134</v>
      </c>
      <c r="I58" s="133"/>
      <c r="J58" s="133"/>
      <c r="K58" s="133"/>
      <c r="L58" s="133"/>
      <c r="M58" s="133"/>
      <c r="N58" s="133"/>
      <c r="O58" s="133"/>
      <c r="P58" s="133"/>
      <c r="Q58" s="133"/>
      <c r="R58" s="120"/>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20" t="s">
        <v>139</v>
      </c>
      <c r="AQ58" s="121"/>
      <c r="AR58" s="121"/>
      <c r="AS58" s="121"/>
      <c r="AT58" s="121"/>
      <c r="AU58" s="121"/>
      <c r="AV58" s="121"/>
      <c r="AW58" s="121"/>
      <c r="AX58" s="121"/>
      <c r="AY58" s="124"/>
      <c r="AZ58" s="121"/>
      <c r="BA58" s="121"/>
      <c r="BB58" s="121"/>
      <c r="BC58" s="121"/>
      <c r="BD58" s="121"/>
      <c r="BE58" s="121"/>
      <c r="BF58" s="121"/>
      <c r="BG58" s="121"/>
      <c r="BH58" s="121"/>
      <c r="BI58" s="121"/>
      <c r="BJ58" s="121"/>
      <c r="BK58" s="121"/>
      <c r="BL58" s="121"/>
      <c r="BM58" s="121"/>
      <c r="BN58" s="121"/>
      <c r="BO58" s="121"/>
      <c r="BP58" s="133"/>
      <c r="BQ58" s="133"/>
      <c r="BR58" s="133"/>
      <c r="BS58" s="133"/>
      <c r="BT58" s="295"/>
      <c r="BU58" s="295"/>
      <c r="BV58" s="130"/>
      <c r="BW58" s="130"/>
      <c r="BX58" s="130"/>
      <c r="BY58" s="130"/>
      <c r="BZ58" s="130"/>
      <c r="CA58" s="130"/>
      <c r="CB58" s="131"/>
      <c r="CC58" s="95"/>
      <c r="CD58" s="95"/>
      <c r="CE58" s="181"/>
      <c r="CF58" s="273"/>
      <c r="CG58" s="256"/>
      <c r="CH58" s="256"/>
      <c r="CI58" s="256"/>
      <c r="CJ58" s="256"/>
      <c r="CK58" s="256"/>
      <c r="CL58" s="256"/>
      <c r="CM58" s="256"/>
      <c r="CN58" s="256"/>
      <c r="CO58" s="256"/>
      <c r="CP58" s="256"/>
      <c r="CQ58" s="256"/>
      <c r="CR58" s="256"/>
      <c r="CS58" s="256"/>
      <c r="CT58" s="256"/>
      <c r="CU58" s="256"/>
      <c r="CV58" s="256"/>
      <c r="CW58" s="256"/>
      <c r="CX58" s="256"/>
      <c r="CY58" s="256"/>
      <c r="CZ58" s="256"/>
      <c r="DA58" s="256"/>
      <c r="DB58" s="256"/>
      <c r="DC58" s="256"/>
      <c r="DD58" s="256"/>
      <c r="DE58" s="256"/>
      <c r="DF58" s="256"/>
      <c r="DG58" s="256"/>
      <c r="DH58" s="256"/>
      <c r="DI58" s="256"/>
      <c r="DJ58" s="256"/>
      <c r="DK58" s="256"/>
      <c r="DL58" s="256"/>
      <c r="DM58" s="256"/>
      <c r="DN58" s="256"/>
      <c r="DO58" s="256"/>
      <c r="DP58" s="256"/>
      <c r="DQ58" s="256"/>
      <c r="DR58" s="256"/>
      <c r="DS58" s="256"/>
      <c r="DT58" s="256"/>
      <c r="DU58" s="256"/>
      <c r="DV58" s="256"/>
      <c r="DW58" s="256"/>
      <c r="DX58" s="256"/>
      <c r="DY58" s="256"/>
      <c r="DZ58" s="256"/>
      <c r="EA58" s="256"/>
      <c r="EB58" s="256"/>
      <c r="EC58" s="256"/>
      <c r="ED58" s="256"/>
      <c r="EE58" s="256"/>
      <c r="EF58" s="256"/>
      <c r="EG58" s="256"/>
      <c r="EH58" s="256"/>
      <c r="EI58" s="256"/>
      <c r="EJ58" s="256"/>
      <c r="EK58" s="256"/>
      <c r="EL58" s="256"/>
      <c r="EM58" s="256"/>
      <c r="EN58" s="256"/>
      <c r="EO58" s="256"/>
      <c r="EP58" s="256"/>
      <c r="EQ58" s="256"/>
      <c r="ER58" s="256"/>
      <c r="ES58" s="256"/>
      <c r="ET58" s="256"/>
      <c r="EU58" s="256"/>
      <c r="EV58" s="256"/>
      <c r="EW58" s="256"/>
      <c r="EX58" s="256"/>
      <c r="EY58" s="256"/>
      <c r="EZ58" s="256"/>
      <c r="FA58" s="256"/>
      <c r="FB58" s="256"/>
      <c r="FC58" s="256"/>
      <c r="FD58" s="256"/>
      <c r="FE58" s="256"/>
      <c r="FF58" s="256"/>
      <c r="FG58" s="256"/>
      <c r="FH58" s="256"/>
      <c r="FI58" s="256"/>
      <c r="FJ58" s="256"/>
      <c r="FK58" s="256"/>
      <c r="FL58" s="256"/>
      <c r="FM58" s="256"/>
      <c r="FN58" s="256"/>
      <c r="FO58" s="256"/>
    </row>
    <row r="59" spans="1:171" s="31" customFormat="1" ht="19.5" customHeight="1">
      <c r="A59" s="260"/>
      <c r="B59" s="263"/>
      <c r="C59" s="262"/>
      <c r="D59" s="98"/>
      <c r="E59" s="98"/>
      <c r="F59" s="98"/>
      <c r="G59" s="98"/>
      <c r="H59" s="588" t="s">
        <v>369</v>
      </c>
      <c r="I59" s="589"/>
      <c r="J59" s="589"/>
      <c r="K59" s="589"/>
      <c r="L59" s="589"/>
      <c r="M59" s="589"/>
      <c r="N59" s="589"/>
      <c r="O59" s="589"/>
      <c r="P59" s="589"/>
      <c r="Q59" s="589"/>
      <c r="R59" s="589"/>
      <c r="S59" s="589"/>
      <c r="T59" s="589"/>
      <c r="U59" s="589"/>
      <c r="V59" s="589"/>
      <c r="W59" s="589"/>
      <c r="X59" s="589"/>
      <c r="Y59" s="589"/>
      <c r="Z59" s="589"/>
      <c r="AA59" s="589"/>
      <c r="AB59" s="589"/>
      <c r="AC59" s="589"/>
      <c r="AD59" s="589"/>
      <c r="AE59" s="589"/>
      <c r="AF59" s="589"/>
      <c r="AG59" s="589"/>
      <c r="AH59" s="589"/>
      <c r="AI59" s="589"/>
      <c r="AJ59" s="589"/>
      <c r="AK59" s="589"/>
      <c r="AL59" s="589"/>
      <c r="AM59" s="589"/>
      <c r="AN59" s="589"/>
      <c r="AO59" s="589"/>
      <c r="AP59" s="589"/>
      <c r="AQ59" s="589"/>
      <c r="AR59" s="589"/>
      <c r="AS59" s="589"/>
      <c r="AT59" s="589"/>
      <c r="AU59" s="589"/>
      <c r="AV59" s="589"/>
      <c r="AW59" s="589"/>
      <c r="AX59" s="589"/>
      <c r="AY59" s="589"/>
      <c r="AZ59" s="589"/>
      <c r="BA59" s="589"/>
      <c r="BB59" s="589"/>
      <c r="BC59" s="589"/>
      <c r="BD59" s="589"/>
      <c r="BE59" s="589"/>
      <c r="BF59" s="589"/>
      <c r="BG59" s="589"/>
      <c r="BH59" s="589"/>
      <c r="BI59" s="589"/>
      <c r="BJ59" s="589"/>
      <c r="BK59" s="589"/>
      <c r="BL59" s="589"/>
      <c r="BM59" s="589"/>
      <c r="BN59" s="589"/>
      <c r="BO59" s="589"/>
      <c r="BP59" s="589"/>
      <c r="BQ59" s="589"/>
      <c r="BR59" s="589"/>
      <c r="BS59" s="589"/>
      <c r="BT59" s="589"/>
      <c r="BU59" s="589"/>
      <c r="BV59" s="589"/>
      <c r="BW59" s="589"/>
      <c r="BX59" s="589"/>
      <c r="BY59" s="589"/>
      <c r="BZ59" s="589"/>
      <c r="CA59" s="589"/>
      <c r="CB59" s="590"/>
      <c r="CC59" s="95"/>
      <c r="CD59" s="95"/>
      <c r="CE59" s="181"/>
      <c r="CF59" s="273"/>
      <c r="CG59" s="256"/>
      <c r="CH59" s="256"/>
      <c r="CI59" s="256"/>
      <c r="CJ59" s="256"/>
      <c r="CK59" s="256"/>
      <c r="CL59" s="256"/>
      <c r="CM59" s="256"/>
      <c r="CN59" s="256"/>
      <c r="CO59" s="256"/>
      <c r="CP59" s="256"/>
      <c r="CQ59" s="256"/>
      <c r="CR59" s="256"/>
      <c r="CS59" s="256"/>
      <c r="CT59" s="256"/>
      <c r="CU59" s="256"/>
      <c r="CV59" s="256"/>
      <c r="CW59" s="256"/>
      <c r="CX59" s="256"/>
      <c r="CY59" s="256"/>
      <c r="CZ59" s="256"/>
      <c r="DA59" s="256"/>
      <c r="DB59" s="256"/>
      <c r="DC59" s="256"/>
      <c r="DD59" s="256"/>
      <c r="DE59" s="256"/>
      <c r="DF59" s="256"/>
      <c r="DG59" s="256"/>
      <c r="DH59" s="256"/>
      <c r="DI59" s="256"/>
      <c r="DJ59" s="256"/>
      <c r="DK59" s="256"/>
      <c r="DL59" s="256"/>
      <c r="DM59" s="256"/>
      <c r="DN59" s="256"/>
      <c r="DO59" s="256"/>
      <c r="DP59" s="256"/>
      <c r="DQ59" s="256"/>
      <c r="DR59" s="256"/>
      <c r="DS59" s="256"/>
      <c r="DT59" s="256"/>
      <c r="DU59" s="256"/>
      <c r="DV59" s="256"/>
      <c r="DW59" s="256"/>
      <c r="DX59" s="256"/>
      <c r="DY59" s="256"/>
      <c r="DZ59" s="256"/>
      <c r="EA59" s="256"/>
      <c r="EB59" s="256"/>
      <c r="EC59" s="256"/>
      <c r="ED59" s="256"/>
      <c r="EE59" s="256"/>
      <c r="EF59" s="256"/>
      <c r="EG59" s="256"/>
      <c r="EH59" s="256"/>
      <c r="EI59" s="256"/>
      <c r="EJ59" s="256"/>
      <c r="EK59" s="256"/>
      <c r="EL59" s="256"/>
      <c r="EM59" s="256"/>
      <c r="EN59" s="256"/>
      <c r="EO59" s="256"/>
      <c r="EP59" s="256"/>
      <c r="EQ59" s="256"/>
      <c r="ER59" s="256"/>
      <c r="ES59" s="256"/>
      <c r="ET59" s="256"/>
      <c r="EU59" s="256"/>
      <c r="EV59" s="256"/>
      <c r="EW59" s="256"/>
      <c r="EX59" s="256"/>
      <c r="EY59" s="256"/>
      <c r="EZ59" s="256"/>
      <c r="FA59" s="256"/>
      <c r="FB59" s="256"/>
      <c r="FC59" s="256"/>
      <c r="FD59" s="256"/>
      <c r="FE59" s="256"/>
      <c r="FF59" s="256"/>
      <c r="FG59" s="256"/>
      <c r="FH59" s="256"/>
      <c r="FI59" s="256"/>
      <c r="FJ59" s="256"/>
      <c r="FK59" s="256"/>
      <c r="FL59" s="256"/>
      <c r="FM59" s="256"/>
      <c r="FN59" s="256"/>
      <c r="FO59" s="256"/>
    </row>
    <row r="60" spans="1:171" s="31" customFormat="1" ht="19.5" customHeight="1">
      <c r="A60" s="260"/>
      <c r="B60" s="263"/>
      <c r="C60" s="262"/>
      <c r="D60" s="98"/>
      <c r="E60" s="98"/>
      <c r="F60" s="98"/>
      <c r="G60" s="98"/>
      <c r="H60" s="404"/>
      <c r="I60" s="405"/>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405"/>
      <c r="AI60" s="405"/>
      <c r="AJ60" s="405"/>
      <c r="AK60" s="405"/>
      <c r="AL60" s="405"/>
      <c r="AM60" s="405"/>
      <c r="AN60" s="405"/>
      <c r="AO60" s="405"/>
      <c r="AP60" s="405"/>
      <c r="AQ60" s="405"/>
      <c r="AR60" s="405"/>
      <c r="AS60" s="405"/>
      <c r="AT60" s="405"/>
      <c r="AU60" s="405"/>
      <c r="AV60" s="405"/>
      <c r="AW60" s="405"/>
      <c r="AX60" s="405"/>
      <c r="AY60" s="405"/>
      <c r="AZ60" s="405"/>
      <c r="BA60" s="405"/>
      <c r="BB60" s="405"/>
      <c r="BC60" s="405"/>
      <c r="BD60" s="405"/>
      <c r="BE60" s="405"/>
      <c r="BF60" s="405"/>
      <c r="BG60" s="405"/>
      <c r="BH60" s="405"/>
      <c r="BI60" s="405"/>
      <c r="BJ60" s="405"/>
      <c r="BK60" s="405"/>
      <c r="BL60" s="405"/>
      <c r="BM60" s="405"/>
      <c r="BN60" s="405"/>
      <c r="BO60" s="405"/>
      <c r="BP60" s="405"/>
      <c r="BQ60" s="405"/>
      <c r="BR60" s="405"/>
      <c r="BS60" s="405"/>
      <c r="BT60" s="405"/>
      <c r="BU60" s="405"/>
      <c r="BV60" s="405"/>
      <c r="BW60" s="405"/>
      <c r="BX60" s="405"/>
      <c r="BY60" s="405"/>
      <c r="BZ60" s="405"/>
      <c r="CA60" s="405"/>
      <c r="CB60" s="406"/>
      <c r="CC60" s="95"/>
      <c r="CD60" s="95"/>
      <c r="CE60" s="181"/>
      <c r="CF60" s="273"/>
      <c r="CG60" s="256"/>
      <c r="CH60" s="256"/>
      <c r="CI60" s="256"/>
      <c r="CJ60" s="256"/>
      <c r="CK60" s="256"/>
      <c r="CL60" s="256"/>
      <c r="CM60" s="256"/>
      <c r="CN60" s="256"/>
      <c r="CO60" s="256"/>
      <c r="CP60" s="256"/>
      <c r="CQ60" s="256"/>
      <c r="CR60" s="256"/>
      <c r="CS60" s="256"/>
      <c r="CT60" s="256"/>
      <c r="CU60" s="256"/>
      <c r="CV60" s="256"/>
      <c r="CW60" s="256"/>
      <c r="CX60" s="256"/>
      <c r="CY60" s="256"/>
      <c r="CZ60" s="256"/>
      <c r="DA60" s="256"/>
      <c r="DB60" s="256"/>
      <c r="DC60" s="256"/>
      <c r="DD60" s="256"/>
      <c r="DE60" s="256"/>
      <c r="DF60" s="256"/>
      <c r="DG60" s="256"/>
      <c r="DH60" s="256"/>
      <c r="DI60" s="256"/>
      <c r="DJ60" s="256"/>
      <c r="DK60" s="256"/>
      <c r="DL60" s="256"/>
      <c r="DM60" s="256"/>
      <c r="DN60" s="256"/>
      <c r="DO60" s="256"/>
      <c r="DP60" s="256"/>
      <c r="DQ60" s="256"/>
      <c r="DR60" s="256"/>
      <c r="DS60" s="256"/>
      <c r="DT60" s="256"/>
      <c r="DU60" s="256"/>
      <c r="DV60" s="256"/>
      <c r="DW60" s="256"/>
      <c r="DX60" s="256"/>
      <c r="DY60" s="256"/>
      <c r="DZ60" s="256"/>
      <c r="EA60" s="256"/>
      <c r="EB60" s="256"/>
      <c r="EC60" s="256"/>
      <c r="ED60" s="256"/>
      <c r="EE60" s="256"/>
      <c r="EF60" s="256"/>
      <c r="EG60" s="256"/>
      <c r="EH60" s="256"/>
      <c r="EI60" s="256"/>
      <c r="EJ60" s="256"/>
      <c r="EK60" s="256"/>
      <c r="EL60" s="256"/>
      <c r="EM60" s="256"/>
      <c r="EN60" s="256"/>
      <c r="EO60" s="256"/>
      <c r="EP60" s="256"/>
      <c r="EQ60" s="256"/>
      <c r="ER60" s="256"/>
      <c r="ES60" s="256"/>
      <c r="ET60" s="256"/>
      <c r="EU60" s="256"/>
      <c r="EV60" s="256"/>
      <c r="EW60" s="256"/>
      <c r="EX60" s="256"/>
      <c r="EY60" s="256"/>
      <c r="EZ60" s="256"/>
      <c r="FA60" s="256"/>
      <c r="FB60" s="256"/>
      <c r="FC60" s="256"/>
      <c r="FD60" s="256"/>
      <c r="FE60" s="256"/>
      <c r="FF60" s="256"/>
      <c r="FG60" s="256"/>
      <c r="FH60" s="256"/>
      <c r="FI60" s="256"/>
      <c r="FJ60" s="256"/>
      <c r="FK60" s="256"/>
      <c r="FL60" s="256"/>
      <c r="FM60" s="256"/>
      <c r="FN60" s="256"/>
      <c r="FO60" s="256"/>
    </row>
    <row r="61" spans="1:171" s="31" customFormat="1" ht="20.25" customHeight="1">
      <c r="A61" s="260"/>
      <c r="B61" s="263"/>
      <c r="C61" s="262"/>
      <c r="D61" s="98"/>
      <c r="E61" s="98"/>
      <c r="F61" s="98"/>
      <c r="G61" s="98"/>
      <c r="H61" s="306"/>
      <c r="I61" s="183"/>
      <c r="J61" s="183"/>
      <c r="K61" s="183"/>
      <c r="L61" s="183"/>
      <c r="M61" s="183"/>
      <c r="N61" s="184"/>
      <c r="O61" s="184"/>
      <c r="P61" s="184"/>
      <c r="Q61" s="184"/>
      <c r="R61" s="184"/>
      <c r="S61" s="184"/>
      <c r="T61" s="184"/>
      <c r="U61" s="184"/>
      <c r="V61" s="184"/>
      <c r="W61" s="184"/>
      <c r="X61" s="184"/>
      <c r="Y61" s="184"/>
      <c r="Z61" s="184"/>
      <c r="AA61" s="184"/>
      <c r="AB61" s="184"/>
      <c r="AC61" s="184"/>
      <c r="AD61" s="184"/>
      <c r="AE61" s="184"/>
      <c r="AF61" s="184"/>
      <c r="AG61" s="184"/>
      <c r="AH61" s="184"/>
      <c r="AI61" s="184"/>
      <c r="AJ61" s="184"/>
      <c r="AK61" s="184"/>
      <c r="AL61" s="184"/>
      <c r="AM61" s="184"/>
      <c r="AN61" s="184"/>
      <c r="AO61" s="184"/>
      <c r="AP61" s="184"/>
      <c r="AQ61" s="184"/>
      <c r="AR61" s="184"/>
      <c r="AS61" s="184"/>
      <c r="AT61" s="184"/>
      <c r="AU61" s="184"/>
      <c r="AV61" s="184"/>
      <c r="AW61" s="184"/>
      <c r="AX61" s="184"/>
      <c r="AY61" s="184"/>
      <c r="AZ61" s="184"/>
      <c r="BA61" s="184"/>
      <c r="BB61" s="184"/>
      <c r="BC61" s="184"/>
      <c r="BD61" s="184"/>
      <c r="BE61" s="184"/>
      <c r="BF61" s="184"/>
      <c r="BG61" s="184"/>
      <c r="BH61" s="184"/>
      <c r="BI61" s="184"/>
      <c r="BJ61" s="184"/>
      <c r="BK61" s="184"/>
      <c r="BL61" s="184"/>
      <c r="BM61" s="183"/>
      <c r="BN61" s="183"/>
      <c r="BO61" s="184"/>
      <c r="BP61" s="184"/>
      <c r="BQ61" s="184"/>
      <c r="BR61" s="184"/>
      <c r="BS61" s="184"/>
      <c r="BT61" s="184"/>
      <c r="BU61" s="184"/>
      <c r="BV61" s="184"/>
      <c r="BW61" s="184"/>
      <c r="BX61" s="185"/>
      <c r="BY61" s="179"/>
      <c r="BZ61" s="179"/>
      <c r="CA61" s="179"/>
      <c r="CB61" s="179"/>
      <c r="CC61" s="179"/>
      <c r="CD61" s="95"/>
      <c r="CE61" s="181"/>
      <c r="CF61" s="273"/>
      <c r="CG61" s="256"/>
      <c r="CH61" s="256"/>
      <c r="CI61" s="256"/>
      <c r="CJ61" s="256"/>
      <c r="CK61" s="256"/>
      <c r="CL61" s="256"/>
      <c r="CM61" s="256"/>
      <c r="CN61" s="256"/>
      <c r="CO61" s="256"/>
      <c r="CP61" s="256"/>
      <c r="CQ61" s="256"/>
      <c r="CR61" s="256"/>
      <c r="CS61" s="256"/>
      <c r="CT61" s="256"/>
      <c r="CU61" s="256"/>
      <c r="CV61" s="256"/>
      <c r="CW61" s="256"/>
      <c r="CX61" s="256"/>
      <c r="CY61" s="256"/>
      <c r="CZ61" s="256"/>
      <c r="DA61" s="256"/>
      <c r="DB61" s="256"/>
      <c r="DC61" s="256"/>
      <c r="DD61" s="256"/>
      <c r="DE61" s="256"/>
      <c r="DF61" s="256"/>
      <c r="DG61" s="256"/>
      <c r="DH61" s="256"/>
      <c r="DI61" s="256"/>
      <c r="DJ61" s="256"/>
      <c r="DK61" s="256"/>
      <c r="DL61" s="256"/>
      <c r="DM61" s="256"/>
      <c r="DN61" s="256"/>
      <c r="DO61" s="256"/>
      <c r="DP61" s="256"/>
      <c r="DQ61" s="256"/>
      <c r="DR61" s="256"/>
      <c r="DS61" s="256"/>
      <c r="DT61" s="256"/>
      <c r="DU61" s="256"/>
      <c r="DV61" s="256"/>
      <c r="DW61" s="256"/>
      <c r="DX61" s="256"/>
      <c r="DY61" s="256"/>
      <c r="DZ61" s="256"/>
      <c r="EA61" s="256"/>
      <c r="EB61" s="256"/>
      <c r="EC61" s="256"/>
      <c r="ED61" s="256"/>
      <c r="EE61" s="256"/>
      <c r="EF61" s="256"/>
      <c r="EG61" s="256"/>
      <c r="EH61" s="256"/>
      <c r="EI61" s="256"/>
      <c r="EJ61" s="256"/>
      <c r="EK61" s="256"/>
      <c r="EL61" s="256"/>
      <c r="EM61" s="256"/>
      <c r="EN61" s="256"/>
      <c r="EO61" s="256"/>
      <c r="EP61" s="256"/>
      <c r="EQ61" s="256"/>
      <c r="ER61" s="256"/>
      <c r="ES61" s="256"/>
      <c r="ET61" s="256"/>
      <c r="EU61" s="256"/>
      <c r="EV61" s="256"/>
      <c r="EW61" s="256"/>
      <c r="EX61" s="256"/>
      <c r="EY61" s="256"/>
      <c r="EZ61" s="256"/>
      <c r="FA61" s="256"/>
      <c r="FB61" s="256"/>
      <c r="FC61" s="256"/>
      <c r="FD61" s="256"/>
      <c r="FE61" s="256"/>
      <c r="FF61" s="256"/>
      <c r="FG61" s="256"/>
      <c r="FH61" s="256"/>
      <c r="FI61" s="256"/>
      <c r="FJ61" s="256"/>
      <c r="FK61" s="256"/>
      <c r="FL61" s="256"/>
      <c r="FM61" s="256"/>
      <c r="FN61" s="256"/>
      <c r="FO61" s="256"/>
    </row>
    <row r="62" spans="1:171" s="31" customFormat="1" ht="19.5" customHeight="1">
      <c r="A62" s="260"/>
      <c r="B62" s="263"/>
      <c r="C62" s="262"/>
      <c r="D62" s="98"/>
      <c r="E62" s="98"/>
      <c r="F62" s="98"/>
      <c r="G62" s="98"/>
      <c r="H62" s="404" t="s">
        <v>85</v>
      </c>
      <c r="I62" s="405"/>
      <c r="J62" s="405"/>
      <c r="K62" s="405"/>
      <c r="L62" s="405"/>
      <c r="M62" s="405"/>
      <c r="N62" s="405"/>
      <c r="O62" s="405"/>
      <c r="P62" s="405"/>
      <c r="Q62" s="405"/>
      <c r="R62" s="405"/>
      <c r="S62" s="405"/>
      <c r="T62" s="405"/>
      <c r="U62" s="405"/>
      <c r="V62" s="405"/>
      <c r="W62" s="405"/>
      <c r="X62" s="405"/>
      <c r="Y62" s="405"/>
      <c r="Z62" s="405"/>
      <c r="AA62" s="405"/>
      <c r="AB62" s="405"/>
      <c r="AC62" s="405"/>
      <c r="AD62" s="405"/>
      <c r="AE62" s="405"/>
      <c r="AF62" s="405"/>
      <c r="AG62" s="405"/>
      <c r="AH62" s="405"/>
      <c r="AI62" s="405"/>
      <c r="AJ62" s="405"/>
      <c r="AK62" s="405"/>
      <c r="AL62" s="405"/>
      <c r="AM62" s="405"/>
      <c r="AN62" s="405"/>
      <c r="AO62" s="405"/>
      <c r="AP62" s="405"/>
      <c r="AQ62" s="405"/>
      <c r="AR62" s="405"/>
      <c r="AS62" s="405"/>
      <c r="AT62" s="405"/>
      <c r="AU62" s="405"/>
      <c r="AV62" s="405"/>
      <c r="AW62" s="405"/>
      <c r="AX62" s="405"/>
      <c r="AY62" s="405"/>
      <c r="AZ62" s="405"/>
      <c r="BA62" s="405"/>
      <c r="BB62" s="405"/>
      <c r="BC62" s="405"/>
      <c r="BD62" s="405"/>
      <c r="BE62" s="405"/>
      <c r="BF62" s="405"/>
      <c r="BG62" s="405"/>
      <c r="BH62" s="405"/>
      <c r="BI62" s="405"/>
      <c r="BJ62" s="405"/>
      <c r="BK62" s="405"/>
      <c r="BL62" s="405"/>
      <c r="BM62" s="405"/>
      <c r="BN62" s="405"/>
      <c r="BO62" s="405"/>
      <c r="BP62" s="405"/>
      <c r="BQ62" s="405"/>
      <c r="BR62" s="405"/>
      <c r="BS62" s="405"/>
      <c r="BT62" s="405"/>
      <c r="BU62" s="405"/>
      <c r="BV62" s="405"/>
      <c r="BW62" s="405"/>
      <c r="BX62" s="405"/>
      <c r="BY62" s="405"/>
      <c r="BZ62" s="405"/>
      <c r="CA62" s="405"/>
      <c r="CB62" s="406"/>
      <c r="CC62" s="179"/>
      <c r="CD62" s="95"/>
      <c r="CE62" s="187"/>
      <c r="CF62" s="273"/>
      <c r="CG62" s="256"/>
      <c r="CH62" s="256"/>
      <c r="CI62" s="256"/>
      <c r="CJ62" s="256"/>
      <c r="CK62" s="256"/>
      <c r="CL62" s="256"/>
      <c r="CM62" s="256"/>
      <c r="CN62" s="256"/>
      <c r="CO62" s="256"/>
      <c r="CP62" s="256"/>
      <c r="CQ62" s="256"/>
      <c r="CR62" s="256"/>
      <c r="CS62" s="256"/>
      <c r="CT62" s="256"/>
      <c r="CU62" s="256"/>
      <c r="CV62" s="256"/>
      <c r="CW62" s="256"/>
      <c r="CX62" s="256"/>
      <c r="CY62" s="256"/>
      <c r="CZ62" s="256"/>
      <c r="DA62" s="256"/>
      <c r="DB62" s="256"/>
      <c r="DC62" s="256"/>
      <c r="DD62" s="256"/>
      <c r="DE62" s="256"/>
      <c r="DF62" s="256"/>
      <c r="DG62" s="256"/>
      <c r="DH62" s="256"/>
      <c r="DI62" s="256"/>
      <c r="DJ62" s="256"/>
      <c r="DK62" s="256"/>
      <c r="DL62" s="256"/>
      <c r="DM62" s="256"/>
      <c r="DN62" s="256"/>
      <c r="DO62" s="256"/>
      <c r="DP62" s="256"/>
      <c r="DQ62" s="256"/>
      <c r="DR62" s="256"/>
      <c r="DS62" s="256"/>
      <c r="DT62" s="256"/>
      <c r="DU62" s="256"/>
      <c r="DV62" s="256"/>
      <c r="DW62" s="256"/>
      <c r="DX62" s="256"/>
      <c r="DY62" s="256"/>
      <c r="DZ62" s="256"/>
      <c r="EA62" s="256"/>
      <c r="EB62" s="256"/>
      <c r="EC62" s="256"/>
      <c r="ED62" s="256"/>
      <c r="EE62" s="256"/>
      <c r="EF62" s="256"/>
      <c r="EG62" s="256"/>
      <c r="EH62" s="256"/>
      <c r="EI62" s="256"/>
      <c r="EJ62" s="256"/>
      <c r="EK62" s="256"/>
      <c r="EL62" s="256"/>
      <c r="EM62" s="256"/>
      <c r="EN62" s="256"/>
      <c r="EO62" s="256"/>
      <c r="EP62" s="256"/>
      <c r="EQ62" s="256"/>
      <c r="ER62" s="256"/>
      <c r="ES62" s="256"/>
      <c r="ET62" s="256"/>
      <c r="EU62" s="256"/>
      <c r="EV62" s="256"/>
      <c r="EW62" s="256"/>
      <c r="EX62" s="256"/>
      <c r="EY62" s="256"/>
      <c r="EZ62" s="256"/>
      <c r="FA62" s="256"/>
      <c r="FB62" s="256"/>
      <c r="FC62" s="256"/>
      <c r="FD62" s="256"/>
      <c r="FE62" s="256"/>
      <c r="FF62" s="256"/>
      <c r="FG62" s="256"/>
      <c r="FH62" s="256"/>
      <c r="FI62" s="256"/>
      <c r="FJ62" s="256"/>
      <c r="FK62" s="256"/>
      <c r="FL62" s="256"/>
      <c r="FM62" s="256"/>
      <c r="FN62" s="256"/>
      <c r="FO62" s="256"/>
    </row>
    <row r="63" spans="1:171" s="31" customFormat="1" ht="19.5" customHeight="1">
      <c r="A63" s="260"/>
      <c r="B63" s="263"/>
      <c r="C63" s="262"/>
      <c r="D63" s="98"/>
      <c r="E63" s="98"/>
      <c r="F63" s="98"/>
      <c r="G63" s="98"/>
      <c r="H63" s="168" t="s">
        <v>220</v>
      </c>
      <c r="I63" s="169"/>
      <c r="J63" s="169"/>
      <c r="K63" s="169"/>
      <c r="L63" s="169"/>
      <c r="M63" s="169"/>
      <c r="N63" s="169"/>
      <c r="O63" s="169"/>
      <c r="P63" s="169"/>
      <c r="Q63" s="169"/>
      <c r="R63" s="169"/>
      <c r="S63" s="169"/>
      <c r="T63" s="170"/>
      <c r="U63" s="171" t="s">
        <v>96</v>
      </c>
      <c r="V63" s="169"/>
      <c r="W63" s="169"/>
      <c r="X63" s="169"/>
      <c r="Y63" s="169"/>
      <c r="Z63" s="169"/>
      <c r="AA63" s="169"/>
      <c r="AB63" s="169"/>
      <c r="AC63" s="169"/>
      <c r="AD63" s="169"/>
      <c r="AE63" s="169"/>
      <c r="AF63" s="169"/>
      <c r="AG63" s="169"/>
      <c r="AH63" s="169"/>
      <c r="AI63" s="169"/>
      <c r="AJ63" s="169"/>
      <c r="AK63" s="169"/>
      <c r="AL63" s="169"/>
      <c r="AM63" s="169"/>
      <c r="AN63" s="169"/>
      <c r="AO63" s="169"/>
      <c r="AP63" s="169"/>
      <c r="AQ63" s="169"/>
      <c r="AR63" s="169"/>
      <c r="AS63" s="169"/>
      <c r="AT63" s="169"/>
      <c r="AU63" s="169"/>
      <c r="AV63" s="169"/>
      <c r="AW63" s="169"/>
      <c r="AX63" s="169"/>
      <c r="AY63" s="168" t="s">
        <v>97</v>
      </c>
      <c r="AZ63" s="172"/>
      <c r="BA63" s="172"/>
      <c r="BB63" s="172"/>
      <c r="BC63" s="172"/>
      <c r="BD63" s="172"/>
      <c r="BE63" s="172"/>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3"/>
      <c r="CC63" s="179"/>
      <c r="CD63" s="95"/>
      <c r="CE63" s="181"/>
      <c r="CF63" s="273"/>
      <c r="CG63" s="256"/>
      <c r="CH63" s="256"/>
      <c r="CI63" s="256"/>
      <c r="CJ63" s="256"/>
      <c r="CK63" s="256"/>
      <c r="CL63" s="256"/>
      <c r="CM63" s="256"/>
      <c r="CN63" s="256"/>
      <c r="CO63" s="256"/>
      <c r="CP63" s="256"/>
      <c r="CQ63" s="256"/>
      <c r="CR63" s="256"/>
      <c r="CS63" s="256"/>
      <c r="CT63" s="256"/>
      <c r="CU63" s="256"/>
      <c r="CV63" s="256"/>
      <c r="CW63" s="256"/>
      <c r="CX63" s="256"/>
      <c r="CY63" s="256"/>
      <c r="CZ63" s="256"/>
      <c r="DA63" s="256"/>
      <c r="DB63" s="256"/>
      <c r="DC63" s="256"/>
      <c r="DD63" s="256"/>
      <c r="DE63" s="256"/>
      <c r="DF63" s="256"/>
      <c r="DG63" s="256"/>
      <c r="DH63" s="256"/>
      <c r="DI63" s="256"/>
      <c r="DJ63" s="256"/>
      <c r="DK63" s="256"/>
      <c r="DL63" s="256"/>
      <c r="DM63" s="256"/>
      <c r="DN63" s="256"/>
      <c r="DO63" s="256"/>
      <c r="DP63" s="256"/>
      <c r="DQ63" s="256"/>
      <c r="DR63" s="256"/>
      <c r="DS63" s="256"/>
      <c r="DT63" s="256"/>
      <c r="DU63" s="256"/>
      <c r="DV63" s="256"/>
      <c r="DW63" s="256"/>
      <c r="DX63" s="256"/>
      <c r="DY63" s="256"/>
      <c r="DZ63" s="256"/>
      <c r="EA63" s="256"/>
      <c r="EB63" s="256"/>
      <c r="EC63" s="256"/>
      <c r="ED63" s="256"/>
      <c r="EE63" s="256"/>
      <c r="EF63" s="256"/>
      <c r="EG63" s="256"/>
      <c r="EH63" s="256"/>
      <c r="EI63" s="256"/>
      <c r="EJ63" s="256"/>
      <c r="EK63" s="256"/>
      <c r="EL63" s="256"/>
      <c r="EM63" s="256"/>
      <c r="EN63" s="256"/>
      <c r="EO63" s="256"/>
      <c r="EP63" s="256"/>
      <c r="EQ63" s="256"/>
      <c r="ER63" s="256"/>
      <c r="ES63" s="256"/>
      <c r="ET63" s="256"/>
      <c r="EU63" s="256"/>
      <c r="EV63" s="256"/>
      <c r="EW63" s="256"/>
      <c r="EX63" s="256"/>
      <c r="EY63" s="256"/>
      <c r="EZ63" s="256"/>
      <c r="FA63" s="256"/>
      <c r="FB63" s="256"/>
      <c r="FC63" s="256"/>
      <c r="FD63" s="256"/>
      <c r="FE63" s="256"/>
      <c r="FF63" s="256"/>
      <c r="FG63" s="256"/>
      <c r="FH63" s="256"/>
      <c r="FI63" s="256"/>
      <c r="FJ63" s="256"/>
      <c r="FK63" s="256"/>
      <c r="FL63" s="256"/>
      <c r="FM63" s="256"/>
      <c r="FN63" s="256"/>
      <c r="FO63" s="256"/>
    </row>
    <row r="64" spans="1:171" s="31" customFormat="1" ht="19.5" customHeight="1">
      <c r="A64" s="260"/>
      <c r="B64" s="263"/>
      <c r="C64" s="262"/>
      <c r="D64" s="98"/>
      <c r="E64" s="98"/>
      <c r="F64" s="98"/>
      <c r="G64" s="98"/>
      <c r="H64" s="168" t="s">
        <v>145</v>
      </c>
      <c r="I64" s="172"/>
      <c r="J64" s="172"/>
      <c r="K64" s="172"/>
      <c r="L64" s="172"/>
      <c r="M64" s="172"/>
      <c r="N64" s="172"/>
      <c r="O64" s="172"/>
      <c r="P64" s="172"/>
      <c r="Q64" s="172"/>
      <c r="R64" s="172"/>
      <c r="S64" s="174"/>
      <c r="T64" s="175"/>
      <c r="U64" s="176"/>
      <c r="V64" s="591"/>
      <c r="W64" s="591"/>
      <c r="X64" s="591"/>
      <c r="Y64" s="591"/>
      <c r="Z64" s="591"/>
      <c r="AA64" s="591"/>
      <c r="AB64" s="591"/>
      <c r="AC64" s="591"/>
      <c r="AD64" s="591"/>
      <c r="AE64" s="591"/>
      <c r="AF64" s="591"/>
      <c r="AG64" s="591"/>
      <c r="AH64" s="591"/>
      <c r="AI64" s="591"/>
      <c r="AJ64" s="591"/>
      <c r="AK64" s="591"/>
      <c r="AL64" s="591"/>
      <c r="AM64" s="591"/>
      <c r="AN64" s="591"/>
      <c r="AO64" s="591"/>
      <c r="AP64" s="591"/>
      <c r="AQ64" s="591"/>
      <c r="AR64" s="591"/>
      <c r="AS64" s="591"/>
      <c r="AT64" s="591"/>
      <c r="AU64" s="591"/>
      <c r="AV64" s="591"/>
      <c r="AW64" s="591"/>
      <c r="AX64" s="177"/>
      <c r="AY64" s="176"/>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175"/>
      <c r="CC64" s="179"/>
      <c r="CD64" s="95"/>
      <c r="CE64" s="181"/>
      <c r="CF64" s="273"/>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6"/>
      <c r="DM64" s="256"/>
      <c r="DN64" s="256"/>
      <c r="DO64" s="256"/>
      <c r="DP64" s="256"/>
      <c r="DQ64" s="256"/>
      <c r="DR64" s="256"/>
      <c r="DS64" s="256"/>
      <c r="DT64" s="256"/>
      <c r="DU64" s="256"/>
      <c r="DV64" s="256"/>
      <c r="DW64" s="256"/>
      <c r="DX64" s="256"/>
      <c r="DY64" s="256"/>
      <c r="DZ64" s="256"/>
      <c r="EA64" s="256"/>
      <c r="EB64" s="256"/>
      <c r="EC64" s="256"/>
      <c r="ED64" s="256"/>
      <c r="EE64" s="256"/>
      <c r="EF64" s="256"/>
      <c r="EG64" s="256"/>
      <c r="EH64" s="256"/>
      <c r="EI64" s="256"/>
      <c r="EJ64" s="256"/>
      <c r="EK64" s="256"/>
      <c r="EL64" s="256"/>
      <c r="EM64" s="256"/>
      <c r="EN64" s="256"/>
      <c r="EO64" s="256"/>
      <c r="EP64" s="256"/>
      <c r="EQ64" s="256"/>
      <c r="ER64" s="256"/>
      <c r="ES64" s="256"/>
      <c r="ET64" s="256"/>
      <c r="EU64" s="256"/>
      <c r="EV64" s="256"/>
      <c r="EW64" s="256"/>
      <c r="EX64" s="256"/>
      <c r="EY64" s="256"/>
      <c r="EZ64" s="256"/>
      <c r="FA64" s="256"/>
      <c r="FB64" s="256"/>
      <c r="FC64" s="256"/>
      <c r="FD64" s="256"/>
      <c r="FE64" s="256"/>
      <c r="FF64" s="256"/>
      <c r="FG64" s="256"/>
      <c r="FH64" s="256"/>
      <c r="FI64" s="256"/>
      <c r="FJ64" s="256"/>
      <c r="FK64" s="256"/>
      <c r="FL64" s="256"/>
      <c r="FM64" s="256"/>
      <c r="FN64" s="256"/>
      <c r="FO64" s="256"/>
    </row>
    <row r="65" spans="1:171" s="31" customFormat="1" ht="19.5" customHeight="1">
      <c r="A65" s="260"/>
      <c r="B65" s="263"/>
      <c r="C65" s="262"/>
      <c r="D65" s="98"/>
      <c r="E65" s="98"/>
      <c r="F65" s="98"/>
      <c r="G65" s="98"/>
      <c r="H65" s="168" t="s">
        <v>144</v>
      </c>
      <c r="I65" s="172"/>
      <c r="J65" s="172"/>
      <c r="K65" s="172"/>
      <c r="L65" s="172"/>
      <c r="M65" s="172"/>
      <c r="N65" s="172"/>
      <c r="O65" s="172"/>
      <c r="P65" s="172"/>
      <c r="Q65" s="172"/>
      <c r="R65" s="172"/>
      <c r="S65" s="174"/>
      <c r="T65" s="175"/>
      <c r="U65" s="597"/>
      <c r="V65" s="598"/>
      <c r="W65" s="598"/>
      <c r="X65" s="598"/>
      <c r="Y65" s="598"/>
      <c r="Z65" s="598"/>
      <c r="AA65" s="598"/>
      <c r="AB65" s="598"/>
      <c r="AC65" s="598"/>
      <c r="AD65" s="598"/>
      <c r="AE65" s="598"/>
      <c r="AF65" s="598"/>
      <c r="AG65" s="598"/>
      <c r="AH65" s="598"/>
      <c r="AI65" s="598"/>
      <c r="AJ65" s="598"/>
      <c r="AK65" s="598"/>
      <c r="AL65" s="598"/>
      <c r="AM65" s="598"/>
      <c r="AN65" s="598"/>
      <c r="AO65" s="598"/>
      <c r="AP65" s="598"/>
      <c r="AQ65" s="598"/>
      <c r="AR65" s="598"/>
      <c r="AS65" s="598"/>
      <c r="AT65" s="598"/>
      <c r="AU65" s="598"/>
      <c r="AV65" s="598"/>
      <c r="AW65" s="598"/>
      <c r="AX65" s="177"/>
      <c r="AY65" s="176"/>
      <c r="AZ65" s="177"/>
      <c r="BA65" s="599"/>
      <c r="BB65" s="598"/>
      <c r="BC65" s="598"/>
      <c r="BD65" s="598"/>
      <c r="BE65" s="598"/>
      <c r="BF65" s="598"/>
      <c r="BG65" s="598"/>
      <c r="BH65" s="598"/>
      <c r="BI65" s="598"/>
      <c r="BJ65" s="598"/>
      <c r="BK65" s="598"/>
      <c r="BL65" s="598"/>
      <c r="BM65" s="598"/>
      <c r="BN65" s="598"/>
      <c r="BO65" s="598"/>
      <c r="BP65" s="598"/>
      <c r="BQ65" s="598"/>
      <c r="BR65" s="598"/>
      <c r="BS65" s="598"/>
      <c r="BT65" s="598"/>
      <c r="BU65" s="598"/>
      <c r="BV65" s="598"/>
      <c r="BW65" s="598"/>
      <c r="BX65" s="598"/>
      <c r="BY65" s="598"/>
      <c r="BZ65" s="598"/>
      <c r="CA65" s="598"/>
      <c r="CB65" s="175"/>
      <c r="CC65" s="179"/>
      <c r="CD65" s="95"/>
      <c r="CE65" s="181"/>
      <c r="CF65" s="273"/>
      <c r="CG65" s="256"/>
      <c r="CH65" s="256"/>
      <c r="CI65" s="256"/>
      <c r="CJ65" s="256"/>
      <c r="CK65" s="256"/>
      <c r="CL65" s="256"/>
      <c r="CM65" s="256"/>
      <c r="CN65" s="256"/>
      <c r="CO65" s="256"/>
      <c r="CP65" s="256"/>
      <c r="CQ65" s="256"/>
      <c r="CR65" s="256"/>
      <c r="CS65" s="256"/>
      <c r="CT65" s="256"/>
      <c r="CU65" s="256"/>
      <c r="CV65" s="256"/>
      <c r="CW65" s="256"/>
      <c r="CX65" s="256"/>
      <c r="CY65" s="256"/>
      <c r="CZ65" s="256"/>
      <c r="DA65" s="256"/>
      <c r="DB65" s="256"/>
      <c r="DC65" s="256"/>
      <c r="DD65" s="256"/>
      <c r="DE65" s="256"/>
      <c r="DF65" s="256"/>
      <c r="DG65" s="256"/>
      <c r="DH65" s="256"/>
      <c r="DI65" s="256"/>
      <c r="DJ65" s="256"/>
      <c r="DK65" s="256"/>
      <c r="DL65" s="256"/>
      <c r="DM65" s="256"/>
      <c r="DN65" s="256"/>
      <c r="DO65" s="256"/>
      <c r="DP65" s="256"/>
      <c r="DQ65" s="256"/>
      <c r="DR65" s="256"/>
      <c r="DS65" s="256"/>
      <c r="DT65" s="256"/>
      <c r="DU65" s="256"/>
      <c r="DV65" s="256"/>
      <c r="DW65" s="256"/>
      <c r="DX65" s="256"/>
      <c r="DY65" s="256"/>
      <c r="DZ65" s="256"/>
      <c r="EA65" s="256"/>
      <c r="EB65" s="256"/>
      <c r="EC65" s="256"/>
      <c r="ED65" s="256"/>
      <c r="EE65" s="256"/>
      <c r="EF65" s="256"/>
      <c r="EG65" s="256"/>
      <c r="EH65" s="256"/>
      <c r="EI65" s="256"/>
      <c r="EJ65" s="256"/>
      <c r="EK65" s="256"/>
      <c r="EL65" s="256"/>
      <c r="EM65" s="256"/>
      <c r="EN65" s="256"/>
      <c r="EO65" s="256"/>
      <c r="EP65" s="256"/>
      <c r="EQ65" s="256"/>
      <c r="ER65" s="256"/>
      <c r="ES65" s="256"/>
      <c r="ET65" s="256"/>
      <c r="EU65" s="256"/>
      <c r="EV65" s="256"/>
      <c r="EW65" s="256"/>
      <c r="EX65" s="256"/>
      <c r="EY65" s="256"/>
      <c r="EZ65" s="256"/>
      <c r="FA65" s="256"/>
      <c r="FB65" s="256"/>
      <c r="FC65" s="256"/>
      <c r="FD65" s="256"/>
      <c r="FE65" s="256"/>
      <c r="FF65" s="256"/>
      <c r="FG65" s="256"/>
      <c r="FH65" s="256"/>
      <c r="FI65" s="256"/>
      <c r="FJ65" s="256"/>
      <c r="FK65" s="256"/>
      <c r="FL65" s="256"/>
      <c r="FM65" s="256"/>
      <c r="FN65" s="256"/>
      <c r="FO65" s="256"/>
    </row>
    <row r="66" spans="1:171" s="31" customFormat="1" ht="19.5" customHeight="1">
      <c r="A66" s="260"/>
      <c r="B66" s="263"/>
      <c r="C66" s="262"/>
      <c r="D66" s="98"/>
      <c r="E66" s="98"/>
      <c r="F66" s="98"/>
      <c r="G66" s="98"/>
      <c r="H66" s="168" t="s">
        <v>143</v>
      </c>
      <c r="I66" s="172"/>
      <c r="J66" s="172"/>
      <c r="K66" s="172"/>
      <c r="L66" s="172"/>
      <c r="M66" s="172"/>
      <c r="N66" s="172"/>
      <c r="O66" s="172"/>
      <c r="P66" s="172"/>
      <c r="Q66" s="172"/>
      <c r="R66" s="172"/>
      <c r="S66" s="174"/>
      <c r="T66" s="175"/>
      <c r="U66" s="176"/>
      <c r="V66" s="591"/>
      <c r="W66" s="591"/>
      <c r="X66" s="591"/>
      <c r="Y66" s="591"/>
      <c r="Z66" s="591"/>
      <c r="AA66" s="591"/>
      <c r="AB66" s="591"/>
      <c r="AC66" s="591"/>
      <c r="AD66" s="591"/>
      <c r="AE66" s="591"/>
      <c r="AF66" s="591"/>
      <c r="AG66" s="591"/>
      <c r="AH66" s="591"/>
      <c r="AI66" s="591"/>
      <c r="AJ66" s="591"/>
      <c r="AK66" s="591"/>
      <c r="AL66" s="591"/>
      <c r="AM66" s="591"/>
      <c r="AN66" s="591"/>
      <c r="AO66" s="591"/>
      <c r="AP66" s="591"/>
      <c r="AQ66" s="591"/>
      <c r="AR66" s="591"/>
      <c r="AS66" s="591"/>
      <c r="AT66" s="591"/>
      <c r="AU66" s="591"/>
      <c r="AV66" s="591"/>
      <c r="AW66" s="591"/>
      <c r="AX66" s="177"/>
      <c r="AY66" s="176"/>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175"/>
      <c r="CC66" s="179"/>
      <c r="CD66" s="95"/>
      <c r="CE66" s="187"/>
      <c r="CF66" s="273"/>
      <c r="CG66" s="256"/>
      <c r="CH66" s="256"/>
      <c r="CI66" s="256"/>
      <c r="CJ66" s="256"/>
      <c r="CK66" s="256"/>
      <c r="CL66" s="256"/>
      <c r="CM66" s="256"/>
      <c r="CN66" s="256"/>
      <c r="CO66" s="256"/>
      <c r="CP66" s="256"/>
      <c r="CQ66" s="256"/>
      <c r="CR66" s="256"/>
      <c r="CS66" s="256"/>
      <c r="CT66" s="256"/>
      <c r="CU66" s="256"/>
      <c r="CV66" s="256"/>
      <c r="CW66" s="256"/>
      <c r="CX66" s="256"/>
      <c r="CY66" s="256"/>
      <c r="CZ66" s="256"/>
      <c r="DA66" s="256"/>
      <c r="DB66" s="256"/>
      <c r="DC66" s="256"/>
      <c r="DD66" s="256"/>
      <c r="DE66" s="256"/>
      <c r="DF66" s="256"/>
      <c r="DG66" s="256"/>
      <c r="DH66" s="256"/>
      <c r="DI66" s="256"/>
      <c r="DJ66" s="256"/>
      <c r="DK66" s="256"/>
      <c r="DL66" s="256"/>
      <c r="DM66" s="256"/>
      <c r="DN66" s="256"/>
      <c r="DO66" s="256"/>
      <c r="DP66" s="256"/>
      <c r="DQ66" s="256"/>
      <c r="DR66" s="256"/>
      <c r="DS66" s="256"/>
      <c r="DT66" s="256"/>
      <c r="DU66" s="256"/>
      <c r="DV66" s="256"/>
      <c r="DW66" s="256"/>
      <c r="DX66" s="256"/>
      <c r="DY66" s="256"/>
      <c r="DZ66" s="256"/>
      <c r="EA66" s="256"/>
      <c r="EB66" s="256"/>
      <c r="EC66" s="256"/>
      <c r="ED66" s="256"/>
      <c r="EE66" s="256"/>
      <c r="EF66" s="256"/>
      <c r="EG66" s="256"/>
      <c r="EH66" s="256"/>
      <c r="EI66" s="256"/>
      <c r="EJ66" s="256"/>
      <c r="EK66" s="256"/>
      <c r="EL66" s="256"/>
      <c r="EM66" s="256"/>
      <c r="EN66" s="256"/>
      <c r="EO66" s="256"/>
      <c r="EP66" s="256"/>
      <c r="EQ66" s="256"/>
      <c r="ER66" s="256"/>
      <c r="ES66" s="256"/>
      <c r="ET66" s="256"/>
      <c r="EU66" s="256"/>
      <c r="EV66" s="256"/>
      <c r="EW66" s="256"/>
      <c r="EX66" s="256"/>
      <c r="EY66" s="256"/>
      <c r="EZ66" s="256"/>
      <c r="FA66" s="256"/>
      <c r="FB66" s="256"/>
      <c r="FC66" s="256"/>
      <c r="FD66" s="256"/>
      <c r="FE66" s="256"/>
      <c r="FF66" s="256"/>
      <c r="FG66" s="256"/>
      <c r="FH66" s="256"/>
      <c r="FI66" s="256"/>
      <c r="FJ66" s="256"/>
      <c r="FK66" s="256"/>
      <c r="FL66" s="256"/>
      <c r="FM66" s="256"/>
      <c r="FN66" s="256"/>
      <c r="FO66" s="256"/>
    </row>
    <row r="67" spans="1:171" s="31" customFormat="1" ht="19.5" customHeight="1">
      <c r="A67" s="260"/>
      <c r="B67" s="263"/>
      <c r="C67" s="262"/>
      <c r="D67" s="98"/>
      <c r="E67" s="98"/>
      <c r="F67" s="98"/>
      <c r="G67" s="98"/>
      <c r="H67" s="183"/>
      <c r="I67" s="183"/>
      <c r="J67" s="183"/>
      <c r="K67" s="183"/>
      <c r="L67" s="183"/>
      <c r="M67" s="183"/>
      <c r="N67" s="184"/>
      <c r="O67" s="184"/>
      <c r="P67" s="184"/>
      <c r="Q67" s="184"/>
      <c r="R67" s="184"/>
      <c r="S67" s="184"/>
      <c r="T67" s="184"/>
      <c r="U67" s="184"/>
      <c r="V67" s="184"/>
      <c r="W67" s="184"/>
      <c r="X67" s="184"/>
      <c r="Y67" s="184"/>
      <c r="Z67" s="184"/>
      <c r="AA67" s="184"/>
      <c r="AB67" s="184"/>
      <c r="AC67" s="184"/>
      <c r="AD67" s="184"/>
      <c r="AE67" s="184"/>
      <c r="AF67" s="184"/>
      <c r="AG67" s="184"/>
      <c r="AH67" s="184"/>
      <c r="AI67" s="184"/>
      <c r="AJ67" s="184"/>
      <c r="AK67" s="184"/>
      <c r="AL67" s="184"/>
      <c r="AM67" s="184"/>
      <c r="AN67" s="184"/>
      <c r="AO67" s="184"/>
      <c r="AP67" s="184"/>
      <c r="AQ67" s="184"/>
      <c r="AR67" s="184"/>
      <c r="AS67" s="184"/>
      <c r="AT67" s="184"/>
      <c r="AU67" s="184"/>
      <c r="AV67" s="184"/>
      <c r="AW67" s="184"/>
      <c r="AX67" s="184"/>
      <c r="AY67" s="184"/>
      <c r="AZ67" s="184"/>
      <c r="BA67" s="184"/>
      <c r="BB67" s="184"/>
      <c r="BC67" s="184"/>
      <c r="BD67" s="184"/>
      <c r="BE67" s="184"/>
      <c r="BF67" s="184"/>
      <c r="BG67" s="184"/>
      <c r="BH67" s="184"/>
      <c r="BI67" s="184"/>
      <c r="BJ67" s="184"/>
      <c r="BK67" s="184"/>
      <c r="BL67" s="184"/>
      <c r="BM67" s="183"/>
      <c r="BN67" s="183"/>
      <c r="BO67" s="184"/>
      <c r="BP67" s="184"/>
      <c r="BQ67" s="184"/>
      <c r="BR67" s="184"/>
      <c r="BS67" s="184"/>
      <c r="BT67" s="184"/>
      <c r="BU67" s="184"/>
      <c r="BV67" s="184"/>
      <c r="BW67" s="184"/>
      <c r="BX67" s="185"/>
      <c r="BY67" s="179"/>
      <c r="BZ67" s="179"/>
      <c r="CA67" s="179"/>
      <c r="CB67" s="179"/>
      <c r="CC67" s="179"/>
      <c r="CD67" s="95"/>
      <c r="CE67" s="181"/>
      <c r="CF67" s="273"/>
      <c r="CG67" s="256"/>
      <c r="CH67" s="256"/>
      <c r="CI67" s="256"/>
      <c r="CJ67" s="256"/>
      <c r="CK67" s="256"/>
      <c r="CL67" s="256"/>
      <c r="CM67" s="256"/>
      <c r="CN67" s="256"/>
      <c r="CO67" s="256"/>
      <c r="CP67" s="256"/>
      <c r="CQ67" s="256"/>
      <c r="CR67" s="256"/>
      <c r="CS67" s="256"/>
      <c r="CT67" s="256"/>
      <c r="CU67" s="256"/>
      <c r="CV67" s="256"/>
      <c r="CW67" s="256"/>
      <c r="CX67" s="256"/>
      <c r="CY67" s="256"/>
      <c r="CZ67" s="256"/>
      <c r="DA67" s="256"/>
      <c r="DB67" s="256"/>
      <c r="DC67" s="256"/>
      <c r="DD67" s="256"/>
      <c r="DE67" s="256"/>
      <c r="DF67" s="256"/>
      <c r="DG67" s="256"/>
      <c r="DH67" s="256"/>
      <c r="DI67" s="256"/>
      <c r="DJ67" s="256"/>
      <c r="DK67" s="256"/>
      <c r="DL67" s="256"/>
      <c r="DM67" s="256"/>
      <c r="DN67" s="256"/>
      <c r="DO67" s="256"/>
      <c r="DP67" s="256"/>
      <c r="DQ67" s="256"/>
      <c r="DR67" s="256"/>
      <c r="DS67" s="256"/>
      <c r="DT67" s="256"/>
      <c r="DU67" s="256"/>
      <c r="DV67" s="256"/>
      <c r="DW67" s="256"/>
      <c r="DX67" s="256"/>
      <c r="DY67" s="256"/>
      <c r="DZ67" s="256"/>
      <c r="EA67" s="256"/>
      <c r="EB67" s="256"/>
      <c r="EC67" s="256"/>
      <c r="ED67" s="256"/>
      <c r="EE67" s="256"/>
      <c r="EF67" s="256"/>
      <c r="EG67" s="256"/>
      <c r="EH67" s="256"/>
      <c r="EI67" s="256"/>
      <c r="EJ67" s="256"/>
      <c r="EK67" s="256"/>
      <c r="EL67" s="256"/>
      <c r="EM67" s="256"/>
      <c r="EN67" s="256"/>
      <c r="EO67" s="256"/>
      <c r="EP67" s="256"/>
      <c r="EQ67" s="256"/>
      <c r="ER67" s="256"/>
      <c r="ES67" s="256"/>
      <c r="ET67" s="256"/>
      <c r="EU67" s="256"/>
      <c r="EV67" s="256"/>
      <c r="EW67" s="256"/>
      <c r="EX67" s="256"/>
      <c r="EY67" s="256"/>
      <c r="EZ67" s="256"/>
      <c r="FA67" s="256"/>
      <c r="FB67" s="256"/>
      <c r="FC67" s="256"/>
      <c r="FD67" s="256"/>
      <c r="FE67" s="256"/>
      <c r="FF67" s="256"/>
      <c r="FG67" s="256"/>
      <c r="FH67" s="256"/>
      <c r="FI67" s="256"/>
      <c r="FJ67" s="256"/>
      <c r="FK67" s="256"/>
      <c r="FL67" s="256"/>
      <c r="FM67" s="256"/>
      <c r="FN67" s="256"/>
      <c r="FO67" s="256"/>
    </row>
    <row r="68" spans="1:171" s="31" customFormat="1" ht="19.5" customHeight="1">
      <c r="A68" s="260"/>
      <c r="B68" s="263"/>
      <c r="C68" s="262"/>
      <c r="D68" s="98"/>
      <c r="E68" s="98"/>
      <c r="F68" s="98"/>
      <c r="G68" s="98"/>
      <c r="H68" s="183"/>
      <c r="I68" s="183"/>
      <c r="J68" s="183"/>
      <c r="K68" s="183"/>
      <c r="L68" s="183"/>
      <c r="M68" s="183"/>
      <c r="N68" s="184"/>
      <c r="O68" s="184"/>
      <c r="P68" s="184"/>
      <c r="Q68" s="184"/>
      <c r="R68" s="184"/>
      <c r="S68" s="184"/>
      <c r="T68" s="184"/>
      <c r="U68" s="184"/>
      <c r="V68" s="184"/>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c r="BF68" s="184"/>
      <c r="BG68" s="184"/>
      <c r="BH68" s="184"/>
      <c r="BI68" s="184"/>
      <c r="BJ68" s="184"/>
      <c r="BK68" s="184"/>
      <c r="BL68" s="184"/>
      <c r="BM68" s="183"/>
      <c r="BN68" s="183"/>
      <c r="BO68" s="184"/>
      <c r="BP68" s="184"/>
      <c r="BQ68" s="184"/>
      <c r="BR68" s="184"/>
      <c r="BS68" s="184"/>
      <c r="BT68" s="184"/>
      <c r="BU68" s="184"/>
      <c r="BV68" s="184"/>
      <c r="BW68" s="184"/>
      <c r="BX68" s="185"/>
      <c r="BY68" s="179"/>
      <c r="BZ68" s="179"/>
      <c r="CA68" s="179"/>
      <c r="CB68" s="179"/>
      <c r="CC68" s="179"/>
      <c r="CD68" s="95"/>
      <c r="CE68" s="181"/>
      <c r="CF68" s="273"/>
      <c r="CG68" s="256"/>
      <c r="CH68" s="256"/>
      <c r="CI68" s="256"/>
      <c r="CJ68" s="256"/>
      <c r="CK68" s="256"/>
      <c r="CL68" s="256"/>
      <c r="CM68" s="256"/>
      <c r="CN68" s="256"/>
      <c r="CO68" s="256"/>
      <c r="CP68" s="256"/>
      <c r="CQ68" s="256"/>
      <c r="CR68" s="256"/>
      <c r="CS68" s="256"/>
      <c r="CT68" s="256"/>
      <c r="CU68" s="256"/>
      <c r="CV68" s="256"/>
      <c r="CW68" s="256"/>
      <c r="CX68" s="256"/>
      <c r="CY68" s="256"/>
      <c r="CZ68" s="256"/>
      <c r="DA68" s="256"/>
      <c r="DB68" s="256"/>
      <c r="DC68" s="256"/>
      <c r="DD68" s="256"/>
      <c r="DE68" s="256"/>
      <c r="DF68" s="256"/>
      <c r="DG68" s="256"/>
      <c r="DH68" s="256"/>
      <c r="DI68" s="256"/>
      <c r="DJ68" s="256"/>
      <c r="DK68" s="256"/>
      <c r="DL68" s="256"/>
      <c r="DM68" s="256"/>
      <c r="DN68" s="256"/>
      <c r="DO68" s="256"/>
      <c r="DP68" s="256"/>
      <c r="DQ68" s="256"/>
      <c r="DR68" s="256"/>
      <c r="DS68" s="256"/>
      <c r="DT68" s="256"/>
      <c r="DU68" s="256"/>
      <c r="DV68" s="256"/>
      <c r="DW68" s="256"/>
      <c r="DX68" s="256"/>
      <c r="DY68" s="256"/>
      <c r="DZ68" s="256"/>
      <c r="EA68" s="256"/>
      <c r="EB68" s="256"/>
      <c r="EC68" s="256"/>
      <c r="ED68" s="256"/>
      <c r="EE68" s="256"/>
      <c r="EF68" s="256"/>
      <c r="EG68" s="256"/>
      <c r="EH68" s="256"/>
      <c r="EI68" s="256"/>
      <c r="EJ68" s="256"/>
      <c r="EK68" s="256"/>
      <c r="EL68" s="256"/>
      <c r="EM68" s="256"/>
      <c r="EN68" s="256"/>
      <c r="EO68" s="256"/>
      <c r="EP68" s="256"/>
      <c r="EQ68" s="256"/>
      <c r="ER68" s="256"/>
      <c r="ES68" s="256"/>
      <c r="ET68" s="256"/>
      <c r="EU68" s="256"/>
      <c r="EV68" s="256"/>
      <c r="EW68" s="256"/>
      <c r="EX68" s="256"/>
      <c r="EY68" s="256"/>
      <c r="EZ68" s="256"/>
      <c r="FA68" s="256"/>
      <c r="FB68" s="256"/>
      <c r="FC68" s="256"/>
      <c r="FD68" s="256"/>
      <c r="FE68" s="256"/>
      <c r="FF68" s="256"/>
      <c r="FG68" s="256"/>
      <c r="FH68" s="256"/>
      <c r="FI68" s="256"/>
      <c r="FJ68" s="256"/>
      <c r="FK68" s="256"/>
      <c r="FL68" s="256"/>
      <c r="FM68" s="256"/>
      <c r="FN68" s="256"/>
      <c r="FO68" s="256"/>
    </row>
    <row r="69" spans="1:171" s="31" customFormat="1" ht="19.5" customHeight="1">
      <c r="A69" s="260"/>
      <c r="B69" s="263"/>
      <c r="C69" s="262"/>
      <c r="D69" s="98"/>
      <c r="E69" s="98"/>
      <c r="F69" s="98"/>
      <c r="G69" s="98"/>
      <c r="H69" s="404" t="s">
        <v>402</v>
      </c>
      <c r="I69" s="405"/>
      <c r="J69" s="405"/>
      <c r="K69" s="405"/>
      <c r="L69" s="405"/>
      <c r="M69" s="405"/>
      <c r="N69" s="405"/>
      <c r="O69" s="405"/>
      <c r="P69" s="405"/>
      <c r="Q69" s="405"/>
      <c r="R69" s="405"/>
      <c r="S69" s="405"/>
      <c r="T69" s="405"/>
      <c r="U69" s="405"/>
      <c r="V69" s="405"/>
      <c r="W69" s="405"/>
      <c r="X69" s="405"/>
      <c r="Y69" s="405"/>
      <c r="Z69" s="405"/>
      <c r="AA69" s="405"/>
      <c r="AB69" s="405"/>
      <c r="AC69" s="405"/>
      <c r="AD69" s="405"/>
      <c r="AE69" s="405"/>
      <c r="AF69" s="405"/>
      <c r="AG69" s="405"/>
      <c r="AH69" s="405"/>
      <c r="AI69" s="405"/>
      <c r="AJ69" s="405"/>
      <c r="AK69" s="405"/>
      <c r="AL69" s="405"/>
      <c r="AM69" s="405"/>
      <c r="AN69" s="405"/>
      <c r="AO69" s="405"/>
      <c r="AP69" s="405"/>
      <c r="AQ69" s="405"/>
      <c r="AR69" s="405"/>
      <c r="AS69" s="405"/>
      <c r="AT69" s="405"/>
      <c r="AU69" s="405"/>
      <c r="AV69" s="405"/>
      <c r="AW69" s="405"/>
      <c r="AX69" s="405"/>
      <c r="AY69" s="405"/>
      <c r="AZ69" s="405"/>
      <c r="BA69" s="405"/>
      <c r="BB69" s="405"/>
      <c r="BC69" s="405"/>
      <c r="BD69" s="405"/>
      <c r="BE69" s="405"/>
      <c r="BF69" s="405"/>
      <c r="BG69" s="405"/>
      <c r="BH69" s="405"/>
      <c r="BI69" s="405"/>
      <c r="BJ69" s="405"/>
      <c r="BK69" s="405"/>
      <c r="BL69" s="405"/>
      <c r="BM69" s="405"/>
      <c r="BN69" s="405"/>
      <c r="BO69" s="405"/>
      <c r="BP69" s="405"/>
      <c r="BQ69" s="405"/>
      <c r="BR69" s="405"/>
      <c r="BS69" s="405"/>
      <c r="BT69" s="405"/>
      <c r="BU69" s="405"/>
      <c r="BV69" s="405"/>
      <c r="BW69" s="405"/>
      <c r="BX69" s="405"/>
      <c r="BY69" s="405"/>
      <c r="BZ69" s="405"/>
      <c r="CA69" s="405"/>
      <c r="CB69" s="406"/>
      <c r="CC69" s="179"/>
      <c r="CD69" s="95"/>
      <c r="CE69" s="181"/>
      <c r="CF69" s="273"/>
      <c r="CG69" s="256"/>
      <c r="CH69" s="256"/>
      <c r="CI69" s="256"/>
      <c r="CJ69" s="256"/>
      <c r="CK69" s="256"/>
      <c r="CL69" s="256"/>
      <c r="CM69" s="256"/>
      <c r="CN69" s="256"/>
      <c r="CO69" s="256"/>
      <c r="CP69" s="256"/>
      <c r="CQ69" s="256"/>
      <c r="CR69" s="256"/>
      <c r="CS69" s="256"/>
      <c r="CT69" s="256"/>
      <c r="CU69" s="256"/>
      <c r="CV69" s="256"/>
      <c r="CW69" s="256"/>
      <c r="CX69" s="256"/>
      <c r="CY69" s="256"/>
      <c r="CZ69" s="256"/>
      <c r="DA69" s="256"/>
      <c r="DB69" s="256"/>
      <c r="DC69" s="256"/>
      <c r="DD69" s="256"/>
      <c r="DE69" s="256"/>
      <c r="DF69" s="256"/>
      <c r="DG69" s="256"/>
      <c r="DH69" s="256"/>
      <c r="DI69" s="256"/>
      <c r="DJ69" s="256"/>
      <c r="DK69" s="256"/>
      <c r="DL69" s="256"/>
      <c r="DM69" s="256"/>
      <c r="DN69" s="256"/>
      <c r="DO69" s="256"/>
      <c r="DP69" s="256"/>
      <c r="DQ69" s="256"/>
      <c r="DR69" s="256"/>
      <c r="DS69" s="256"/>
      <c r="DT69" s="256"/>
      <c r="DU69" s="256"/>
      <c r="DV69" s="256"/>
      <c r="DW69" s="256"/>
      <c r="DX69" s="256"/>
      <c r="DY69" s="256"/>
      <c r="DZ69" s="256"/>
      <c r="EA69" s="256"/>
      <c r="EB69" s="256"/>
      <c r="EC69" s="256"/>
      <c r="ED69" s="256"/>
      <c r="EE69" s="256"/>
      <c r="EF69" s="256"/>
      <c r="EG69" s="256"/>
      <c r="EH69" s="256"/>
      <c r="EI69" s="256"/>
      <c r="EJ69" s="256"/>
      <c r="EK69" s="256"/>
      <c r="EL69" s="256"/>
      <c r="EM69" s="256"/>
      <c r="EN69" s="256"/>
      <c r="EO69" s="256"/>
      <c r="EP69" s="256"/>
      <c r="EQ69" s="256"/>
      <c r="ER69" s="256"/>
      <c r="ES69" s="256"/>
      <c r="ET69" s="256"/>
      <c r="EU69" s="256"/>
      <c r="EV69" s="256"/>
      <c r="EW69" s="256"/>
      <c r="EX69" s="256"/>
      <c r="EY69" s="256"/>
      <c r="EZ69" s="256"/>
      <c r="FA69" s="256"/>
      <c r="FB69" s="256"/>
      <c r="FC69" s="256"/>
      <c r="FD69" s="256"/>
      <c r="FE69" s="256"/>
      <c r="FF69" s="256"/>
      <c r="FG69" s="256"/>
      <c r="FH69" s="256"/>
      <c r="FI69" s="256"/>
      <c r="FJ69" s="256"/>
      <c r="FK69" s="256"/>
      <c r="FL69" s="256"/>
      <c r="FM69" s="256"/>
      <c r="FN69" s="256"/>
      <c r="FO69" s="256"/>
    </row>
    <row r="70" spans="1:171" s="31" customFormat="1" ht="19.5" customHeight="1">
      <c r="A70" s="260"/>
      <c r="B70" s="263"/>
      <c r="C70" s="262"/>
      <c r="D70" s="98"/>
      <c r="E70" s="98"/>
      <c r="F70" s="98"/>
      <c r="G70" s="98"/>
      <c r="H70" s="600" t="s">
        <v>403</v>
      </c>
      <c r="I70" s="600"/>
      <c r="J70" s="600"/>
      <c r="K70" s="600"/>
      <c r="L70" s="600"/>
      <c r="M70" s="600"/>
      <c r="N70" s="600"/>
      <c r="O70" s="600"/>
      <c r="P70" s="600"/>
      <c r="Q70" s="600"/>
      <c r="R70" s="600"/>
      <c r="S70" s="600"/>
      <c r="T70" s="600"/>
      <c r="U70" s="600" t="s">
        <v>404</v>
      </c>
      <c r="V70" s="600"/>
      <c r="W70" s="600"/>
      <c r="X70" s="600"/>
      <c r="Y70" s="600"/>
      <c r="Z70" s="600"/>
      <c r="AA70" s="600"/>
      <c r="AB70" s="600"/>
      <c r="AC70" s="600"/>
      <c r="AD70" s="600"/>
      <c r="AE70" s="600"/>
      <c r="AF70" s="600"/>
      <c r="AG70" s="600"/>
      <c r="AH70" s="600" t="s">
        <v>405</v>
      </c>
      <c r="AI70" s="600"/>
      <c r="AJ70" s="600"/>
      <c r="AK70" s="600"/>
      <c r="AL70" s="600"/>
      <c r="AM70" s="600"/>
      <c r="AN70" s="600"/>
      <c r="AO70" s="600"/>
      <c r="AP70" s="600"/>
      <c r="AQ70" s="600"/>
      <c r="AR70" s="600"/>
      <c r="AS70" s="600"/>
      <c r="AT70" s="600"/>
      <c r="AU70" s="600"/>
      <c r="AV70" s="600"/>
      <c r="AW70" s="600"/>
      <c r="AX70" s="600"/>
      <c r="AY70" s="600"/>
      <c r="AZ70" s="600"/>
      <c r="BA70" s="600"/>
      <c r="BB70" s="600"/>
      <c r="BC70" s="600"/>
      <c r="BD70" s="600"/>
      <c r="BE70" s="600"/>
      <c r="BF70" s="600"/>
      <c r="BG70" s="600"/>
      <c r="BH70" s="396" t="s">
        <v>406</v>
      </c>
      <c r="BI70" s="397"/>
      <c r="BJ70" s="397"/>
      <c r="BK70" s="397"/>
      <c r="BL70" s="397"/>
      <c r="BM70" s="397"/>
      <c r="BN70" s="397"/>
      <c r="BO70" s="397"/>
      <c r="BP70" s="397"/>
      <c r="BQ70" s="397"/>
      <c r="BR70" s="397"/>
      <c r="BS70" s="397"/>
      <c r="BT70" s="397"/>
      <c r="BU70" s="397"/>
      <c r="BV70" s="397"/>
      <c r="BW70" s="397"/>
      <c r="BX70" s="397"/>
      <c r="BY70" s="397"/>
      <c r="BZ70" s="397"/>
      <c r="CA70" s="397"/>
      <c r="CB70" s="398"/>
      <c r="CC70" s="179"/>
      <c r="CD70" s="95"/>
      <c r="CE70" s="181"/>
      <c r="CF70" s="273"/>
      <c r="CG70" s="256"/>
      <c r="CH70" s="256"/>
      <c r="CI70" s="256"/>
      <c r="CJ70" s="256"/>
      <c r="CK70" s="256"/>
      <c r="CL70" s="256"/>
      <c r="CM70" s="256"/>
      <c r="CN70" s="256"/>
      <c r="CO70" s="256"/>
      <c r="CP70" s="256"/>
      <c r="CQ70" s="256"/>
      <c r="CR70" s="256"/>
      <c r="CS70" s="256"/>
      <c r="CT70" s="256"/>
      <c r="CU70" s="256"/>
      <c r="CV70" s="256"/>
      <c r="CW70" s="256"/>
      <c r="CX70" s="256"/>
      <c r="CY70" s="256"/>
      <c r="CZ70" s="256"/>
      <c r="DA70" s="256"/>
      <c r="DB70" s="256"/>
      <c r="DC70" s="256"/>
      <c r="DD70" s="256"/>
      <c r="DE70" s="256"/>
      <c r="DF70" s="256"/>
      <c r="DG70" s="256"/>
      <c r="DH70" s="256"/>
      <c r="DI70" s="256"/>
      <c r="DJ70" s="256"/>
      <c r="DK70" s="256"/>
      <c r="DL70" s="256"/>
      <c r="DM70" s="256"/>
      <c r="DN70" s="256"/>
      <c r="DO70" s="256"/>
      <c r="DP70" s="256"/>
      <c r="DQ70" s="256"/>
      <c r="DR70" s="256"/>
      <c r="DS70" s="256"/>
      <c r="DT70" s="256"/>
      <c r="DU70" s="256"/>
      <c r="DV70" s="256"/>
      <c r="DW70" s="256"/>
      <c r="DX70" s="256"/>
      <c r="DY70" s="256"/>
      <c r="DZ70" s="256"/>
      <c r="EA70" s="256"/>
      <c r="EB70" s="256"/>
      <c r="EC70" s="256"/>
      <c r="ED70" s="256"/>
      <c r="EE70" s="256"/>
      <c r="EF70" s="256"/>
      <c r="EG70" s="256"/>
      <c r="EH70" s="256"/>
      <c r="EI70" s="256"/>
      <c r="EJ70" s="256"/>
      <c r="EK70" s="256"/>
      <c r="EL70" s="256"/>
      <c r="EM70" s="256"/>
      <c r="EN70" s="256"/>
      <c r="EO70" s="256"/>
      <c r="EP70" s="256"/>
      <c r="EQ70" s="256"/>
      <c r="ER70" s="256"/>
      <c r="ES70" s="256"/>
      <c r="ET70" s="256"/>
      <c r="EU70" s="256"/>
      <c r="EV70" s="256"/>
      <c r="EW70" s="256"/>
      <c r="EX70" s="256"/>
      <c r="EY70" s="256"/>
      <c r="EZ70" s="256"/>
      <c r="FA70" s="256"/>
      <c r="FB70" s="256"/>
      <c r="FC70" s="256"/>
      <c r="FD70" s="256"/>
      <c r="FE70" s="256"/>
      <c r="FF70" s="256"/>
      <c r="FG70" s="256"/>
      <c r="FH70" s="256"/>
      <c r="FI70" s="256"/>
      <c r="FJ70" s="256"/>
      <c r="FK70" s="256"/>
      <c r="FL70" s="256"/>
      <c r="FM70" s="256"/>
      <c r="FN70" s="256"/>
      <c r="FO70" s="256"/>
    </row>
    <row r="71" spans="1:171" s="31" customFormat="1" ht="19.5" customHeight="1">
      <c r="A71" s="260"/>
      <c r="B71" s="263"/>
      <c r="C71" s="262"/>
      <c r="D71" s="98"/>
      <c r="E71" s="98"/>
      <c r="F71" s="98"/>
      <c r="G71" s="98"/>
      <c r="H71" s="183"/>
      <c r="I71" s="183"/>
      <c r="J71" s="183"/>
      <c r="K71" s="183"/>
      <c r="L71" s="183"/>
      <c r="M71" s="183"/>
      <c r="N71" s="184"/>
      <c r="O71" s="184"/>
      <c r="P71" s="184"/>
      <c r="Q71" s="184"/>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4"/>
      <c r="AR71" s="184"/>
      <c r="AS71" s="184"/>
      <c r="AT71" s="184"/>
      <c r="AU71" s="184"/>
      <c r="AV71" s="184"/>
      <c r="AW71" s="184"/>
      <c r="AX71" s="184"/>
      <c r="AY71" s="184"/>
      <c r="AZ71" s="184"/>
      <c r="BA71" s="184"/>
      <c r="BB71" s="184"/>
      <c r="BC71" s="184"/>
      <c r="BD71" s="184"/>
      <c r="BE71" s="184"/>
      <c r="BF71" s="184"/>
      <c r="BG71" s="184"/>
      <c r="BH71" s="184"/>
      <c r="BI71" s="184"/>
      <c r="BJ71" s="184"/>
      <c r="BK71" s="184"/>
      <c r="BL71" s="184"/>
      <c r="BM71" s="183"/>
      <c r="BN71" s="183"/>
      <c r="BO71" s="184"/>
      <c r="BP71" s="184"/>
      <c r="BQ71" s="184"/>
      <c r="BR71" s="184"/>
      <c r="BS71" s="184"/>
      <c r="BT71" s="184"/>
      <c r="BU71" s="184"/>
      <c r="BV71" s="184"/>
      <c r="BW71" s="184"/>
      <c r="BX71" s="185"/>
      <c r="BY71" s="179"/>
      <c r="BZ71" s="179"/>
      <c r="CA71" s="179"/>
      <c r="CB71" s="179"/>
      <c r="CC71" s="179"/>
      <c r="CD71" s="95"/>
      <c r="CE71" s="181"/>
      <c r="CF71" s="273"/>
      <c r="CG71" s="256"/>
      <c r="CH71" s="256"/>
      <c r="CI71" s="256"/>
      <c r="CJ71" s="256"/>
      <c r="CK71" s="256"/>
      <c r="CL71" s="256"/>
      <c r="CM71" s="256"/>
      <c r="CN71" s="256"/>
      <c r="CO71" s="256"/>
      <c r="CP71" s="256"/>
      <c r="CQ71" s="256"/>
      <c r="CR71" s="256"/>
      <c r="CS71" s="256"/>
      <c r="CT71" s="256"/>
      <c r="CU71" s="256"/>
      <c r="CV71" s="256"/>
      <c r="CW71" s="256"/>
      <c r="CX71" s="256"/>
      <c r="CY71" s="256"/>
      <c r="CZ71" s="256"/>
      <c r="DA71" s="256"/>
      <c r="DB71" s="256"/>
      <c r="DC71" s="256"/>
      <c r="DD71" s="256"/>
      <c r="DE71" s="256"/>
      <c r="DF71" s="256"/>
      <c r="DG71" s="256"/>
      <c r="DH71" s="256"/>
      <c r="DI71" s="256"/>
      <c r="DJ71" s="256"/>
      <c r="DK71" s="256"/>
      <c r="DL71" s="256"/>
      <c r="DM71" s="256"/>
      <c r="DN71" s="256"/>
      <c r="DO71" s="256"/>
      <c r="DP71" s="256"/>
      <c r="DQ71" s="256"/>
      <c r="DR71" s="256"/>
      <c r="DS71" s="256"/>
      <c r="DT71" s="256"/>
      <c r="DU71" s="256"/>
      <c r="DV71" s="256"/>
      <c r="DW71" s="256"/>
      <c r="DX71" s="256"/>
      <c r="DY71" s="256"/>
      <c r="DZ71" s="256"/>
      <c r="EA71" s="256"/>
      <c r="EB71" s="256"/>
      <c r="EC71" s="256"/>
      <c r="ED71" s="256"/>
      <c r="EE71" s="256"/>
      <c r="EF71" s="256"/>
      <c r="EG71" s="256"/>
      <c r="EH71" s="256"/>
      <c r="EI71" s="256"/>
      <c r="EJ71" s="256"/>
      <c r="EK71" s="256"/>
      <c r="EL71" s="256"/>
      <c r="EM71" s="256"/>
      <c r="EN71" s="256"/>
      <c r="EO71" s="256"/>
      <c r="EP71" s="256"/>
      <c r="EQ71" s="256"/>
      <c r="ER71" s="256"/>
      <c r="ES71" s="256"/>
      <c r="ET71" s="256"/>
      <c r="EU71" s="256"/>
      <c r="EV71" s="256"/>
      <c r="EW71" s="256"/>
      <c r="EX71" s="256"/>
      <c r="EY71" s="256"/>
      <c r="EZ71" s="256"/>
      <c r="FA71" s="256"/>
      <c r="FB71" s="256"/>
      <c r="FC71" s="256"/>
      <c r="FD71" s="256"/>
      <c r="FE71" s="256"/>
      <c r="FF71" s="256"/>
      <c r="FG71" s="256"/>
      <c r="FH71" s="256"/>
      <c r="FI71" s="256"/>
      <c r="FJ71" s="256"/>
      <c r="FK71" s="256"/>
      <c r="FL71" s="256"/>
      <c r="FM71" s="256"/>
      <c r="FN71" s="256"/>
      <c r="FO71" s="256"/>
    </row>
    <row r="72" spans="1:171" s="31" customFormat="1" ht="19.5" customHeight="1">
      <c r="A72" s="260"/>
      <c r="B72" s="263"/>
      <c r="C72" s="262"/>
      <c r="D72" s="98"/>
      <c r="E72" s="98"/>
      <c r="F72" s="98"/>
      <c r="G72" s="98"/>
      <c r="H72" s="183"/>
      <c r="I72" s="183"/>
      <c r="J72" s="183"/>
      <c r="K72" s="183"/>
      <c r="L72" s="183"/>
      <c r="M72" s="183"/>
      <c r="N72" s="184"/>
      <c r="O72" s="184"/>
      <c r="P72" s="184"/>
      <c r="Q72" s="184"/>
      <c r="R72" s="184"/>
      <c r="S72" s="184"/>
      <c r="T72" s="184"/>
      <c r="U72" s="184"/>
      <c r="V72" s="184"/>
      <c r="W72" s="184"/>
      <c r="X72" s="184"/>
      <c r="Y72" s="184"/>
      <c r="Z72" s="184"/>
      <c r="AA72" s="184"/>
      <c r="AB72" s="184"/>
      <c r="AC72" s="184"/>
      <c r="AD72" s="184"/>
      <c r="AE72" s="184"/>
      <c r="AF72" s="184"/>
      <c r="AG72" s="184"/>
      <c r="AH72" s="184"/>
      <c r="AI72" s="184"/>
      <c r="AJ72" s="184"/>
      <c r="AK72" s="184"/>
      <c r="AL72" s="184"/>
      <c r="AM72" s="184"/>
      <c r="AN72" s="184"/>
      <c r="AO72" s="184"/>
      <c r="AP72" s="184"/>
      <c r="AQ72" s="184"/>
      <c r="AR72" s="184"/>
      <c r="AS72" s="184"/>
      <c r="AT72" s="184"/>
      <c r="AU72" s="184"/>
      <c r="AV72" s="184"/>
      <c r="AW72" s="184"/>
      <c r="AX72" s="184"/>
      <c r="AY72" s="184"/>
      <c r="AZ72" s="184"/>
      <c r="BA72" s="184"/>
      <c r="BB72" s="184"/>
      <c r="BC72" s="184"/>
      <c r="BD72" s="184"/>
      <c r="BE72" s="184"/>
      <c r="BF72" s="184"/>
      <c r="BG72" s="184"/>
      <c r="BH72" s="184"/>
      <c r="BI72" s="184"/>
      <c r="BJ72" s="184"/>
      <c r="BK72" s="184"/>
      <c r="BL72" s="184"/>
      <c r="BM72" s="183"/>
      <c r="BN72" s="183"/>
      <c r="BO72" s="184"/>
      <c r="BP72" s="184"/>
      <c r="BQ72" s="184"/>
      <c r="BR72" s="184"/>
      <c r="BS72" s="184"/>
      <c r="BT72" s="184"/>
      <c r="BU72" s="184"/>
      <c r="BV72" s="184"/>
      <c r="BW72" s="184"/>
      <c r="BX72" s="185"/>
      <c r="BY72" s="179"/>
      <c r="BZ72" s="179"/>
      <c r="CA72" s="179"/>
      <c r="CB72" s="179"/>
      <c r="CC72" s="179"/>
      <c r="CD72" s="95"/>
      <c r="CE72" s="181"/>
      <c r="CF72" s="273"/>
      <c r="CG72" s="256"/>
      <c r="CH72" s="256"/>
      <c r="CI72" s="256"/>
      <c r="CJ72" s="256"/>
      <c r="CK72" s="256"/>
      <c r="CL72" s="256"/>
      <c r="CM72" s="256"/>
      <c r="CN72" s="256"/>
      <c r="CO72" s="256"/>
      <c r="CP72" s="256"/>
      <c r="CQ72" s="256"/>
      <c r="CR72" s="256"/>
      <c r="CS72" s="256"/>
      <c r="CT72" s="256"/>
      <c r="CU72" s="256"/>
      <c r="CV72" s="256"/>
      <c r="CW72" s="256"/>
      <c r="CX72" s="256"/>
      <c r="CY72" s="256"/>
      <c r="CZ72" s="256"/>
      <c r="DA72" s="256"/>
      <c r="DB72" s="256"/>
      <c r="DC72" s="256"/>
      <c r="DD72" s="256"/>
      <c r="DE72" s="256"/>
      <c r="DF72" s="256"/>
      <c r="DG72" s="256"/>
      <c r="DH72" s="256"/>
      <c r="DI72" s="256"/>
      <c r="DJ72" s="256"/>
      <c r="DK72" s="256"/>
      <c r="DL72" s="256"/>
      <c r="DM72" s="256"/>
      <c r="DN72" s="256"/>
      <c r="DO72" s="256"/>
      <c r="DP72" s="256"/>
      <c r="DQ72" s="256"/>
      <c r="DR72" s="256"/>
      <c r="DS72" s="256"/>
      <c r="DT72" s="256"/>
      <c r="DU72" s="256"/>
      <c r="DV72" s="256"/>
      <c r="DW72" s="256"/>
      <c r="DX72" s="256"/>
      <c r="DY72" s="256"/>
      <c r="DZ72" s="256"/>
      <c r="EA72" s="256"/>
      <c r="EB72" s="256"/>
      <c r="EC72" s="256"/>
      <c r="ED72" s="256"/>
      <c r="EE72" s="256"/>
      <c r="EF72" s="256"/>
      <c r="EG72" s="256"/>
      <c r="EH72" s="256"/>
      <c r="EI72" s="256"/>
      <c r="EJ72" s="256"/>
      <c r="EK72" s="256"/>
      <c r="EL72" s="256"/>
      <c r="EM72" s="256"/>
      <c r="EN72" s="256"/>
      <c r="EO72" s="256"/>
      <c r="EP72" s="256"/>
      <c r="EQ72" s="256"/>
      <c r="ER72" s="256"/>
      <c r="ES72" s="256"/>
      <c r="ET72" s="256"/>
      <c r="EU72" s="256"/>
      <c r="EV72" s="256"/>
      <c r="EW72" s="256"/>
      <c r="EX72" s="256"/>
      <c r="EY72" s="256"/>
      <c r="EZ72" s="256"/>
      <c r="FA72" s="256"/>
      <c r="FB72" s="256"/>
      <c r="FC72" s="256"/>
      <c r="FD72" s="256"/>
      <c r="FE72" s="256"/>
      <c r="FF72" s="256"/>
      <c r="FG72" s="256"/>
      <c r="FH72" s="256"/>
      <c r="FI72" s="256"/>
      <c r="FJ72" s="256"/>
      <c r="FK72" s="256"/>
      <c r="FL72" s="256"/>
      <c r="FM72" s="256"/>
      <c r="FN72" s="256"/>
      <c r="FO72" s="256"/>
    </row>
    <row r="73" spans="1:171" s="31" customFormat="1" ht="19.5" customHeight="1">
      <c r="A73" s="260"/>
      <c r="B73" s="263"/>
      <c r="C73" s="262"/>
      <c r="D73" s="98"/>
      <c r="E73" s="98"/>
      <c r="F73" s="98"/>
      <c r="G73" s="98"/>
      <c r="H73" s="179"/>
      <c r="I73" s="179"/>
      <c r="J73" s="179"/>
      <c r="K73" s="179"/>
      <c r="L73" s="179"/>
      <c r="M73" s="179"/>
      <c r="N73" s="292"/>
      <c r="O73" s="179"/>
      <c r="P73" s="179"/>
      <c r="Q73" s="179"/>
      <c r="R73" s="179"/>
      <c r="S73" s="180"/>
      <c r="T73" s="180"/>
      <c r="U73" s="180"/>
      <c r="V73" s="180"/>
      <c r="W73" s="180"/>
      <c r="X73" s="180"/>
      <c r="Y73" s="180"/>
      <c r="Z73" s="180"/>
      <c r="AA73" s="179"/>
      <c r="AB73" s="292"/>
      <c r="AC73" s="180"/>
      <c r="AD73" s="179"/>
      <c r="AE73" s="179"/>
      <c r="AF73" s="179"/>
      <c r="AG73" s="179"/>
      <c r="AH73" s="179"/>
      <c r="AI73" s="179"/>
      <c r="AJ73" s="179"/>
      <c r="AK73" s="179"/>
      <c r="AL73" s="179"/>
      <c r="AM73" s="179"/>
      <c r="AN73" s="179"/>
      <c r="AO73" s="179"/>
      <c r="AP73" s="179"/>
      <c r="AQ73" s="179"/>
      <c r="AR73" s="179"/>
      <c r="AS73" s="179"/>
      <c r="AT73" s="292"/>
      <c r="AU73" s="179"/>
      <c r="AV73" s="179"/>
      <c r="AW73" s="179"/>
      <c r="AX73" s="179"/>
      <c r="AY73" s="179"/>
      <c r="AZ73" s="179"/>
      <c r="BA73" s="179"/>
      <c r="BB73" s="179"/>
      <c r="BC73" s="179"/>
      <c r="BD73" s="179"/>
      <c r="BE73" s="179"/>
      <c r="BF73" s="179"/>
      <c r="BG73" s="179"/>
      <c r="BH73" s="179"/>
      <c r="BI73" s="179"/>
      <c r="BJ73" s="179"/>
      <c r="BK73" s="179"/>
      <c r="BL73" s="179"/>
      <c r="BM73" s="179"/>
      <c r="BN73" s="179"/>
      <c r="BO73" s="179"/>
      <c r="BP73" s="179"/>
      <c r="BQ73" s="179"/>
      <c r="BR73" s="179"/>
      <c r="BS73" s="179"/>
      <c r="BT73" s="179"/>
      <c r="BU73" s="179"/>
      <c r="BV73" s="179"/>
      <c r="BW73" s="179"/>
      <c r="BX73" s="179"/>
      <c r="BY73" s="179"/>
      <c r="BZ73" s="179"/>
      <c r="CA73" s="179"/>
      <c r="CB73" s="179"/>
      <c r="CC73" s="179"/>
      <c r="CD73" s="95"/>
      <c r="CE73" s="181"/>
      <c r="CF73" s="273"/>
      <c r="CG73" s="256"/>
      <c r="CH73" s="256"/>
      <c r="CI73" s="256"/>
      <c r="CJ73" s="256"/>
      <c r="CK73" s="256"/>
      <c r="CL73" s="256"/>
      <c r="CM73" s="256"/>
      <c r="CN73" s="256"/>
      <c r="CO73" s="261"/>
      <c r="CP73" s="261"/>
      <c r="CQ73" s="261"/>
      <c r="CR73" s="261"/>
      <c r="CS73" s="261"/>
      <c r="CT73" s="261"/>
      <c r="CU73" s="261"/>
      <c r="CV73" s="261"/>
      <c r="CW73" s="261"/>
      <c r="CX73" s="261"/>
      <c r="CY73" s="261"/>
      <c r="CZ73" s="261"/>
      <c r="DA73" s="261"/>
      <c r="DB73" s="261"/>
      <c r="DC73" s="261"/>
      <c r="DD73" s="261"/>
      <c r="DE73" s="261"/>
      <c r="DF73" s="261"/>
      <c r="DG73" s="261"/>
      <c r="DH73" s="261"/>
      <c r="DI73" s="279"/>
      <c r="DJ73" s="279"/>
      <c r="DK73" s="261"/>
      <c r="DL73" s="261"/>
      <c r="DM73" s="261"/>
      <c r="DN73" s="261"/>
      <c r="DO73" s="261"/>
      <c r="DP73" s="261"/>
      <c r="DQ73" s="261"/>
      <c r="DR73" s="261"/>
      <c r="DS73" s="261"/>
      <c r="DT73" s="261"/>
      <c r="DU73" s="261"/>
      <c r="DV73" s="261"/>
      <c r="DW73" s="261"/>
      <c r="DX73" s="261"/>
      <c r="DY73" s="279"/>
      <c r="DZ73" s="256"/>
      <c r="EA73" s="256"/>
      <c r="EB73" s="256"/>
      <c r="EC73" s="256"/>
      <c r="ED73" s="256"/>
      <c r="EE73" s="256"/>
      <c r="EF73" s="256"/>
      <c r="EG73" s="256"/>
      <c r="EH73" s="256"/>
      <c r="EI73" s="256"/>
      <c r="EJ73" s="256"/>
      <c r="EK73" s="256"/>
      <c r="EL73" s="256"/>
      <c r="EM73" s="256"/>
      <c r="EN73" s="256"/>
      <c r="EO73" s="256"/>
      <c r="EP73" s="256"/>
      <c r="EQ73" s="256"/>
      <c r="ER73" s="256"/>
      <c r="ES73" s="256"/>
      <c r="ET73" s="256"/>
      <c r="EU73" s="256"/>
      <c r="EV73" s="256"/>
      <c r="EW73" s="256"/>
      <c r="EX73" s="256"/>
      <c r="EY73" s="256"/>
      <c r="EZ73" s="256"/>
      <c r="FA73" s="256"/>
      <c r="FB73" s="256"/>
      <c r="FC73" s="256"/>
      <c r="FD73" s="256"/>
      <c r="FE73" s="256"/>
      <c r="FF73" s="256"/>
      <c r="FG73" s="256"/>
      <c r="FH73" s="256"/>
      <c r="FI73" s="256"/>
      <c r="FJ73" s="256"/>
      <c r="FK73" s="256"/>
      <c r="FL73" s="256"/>
      <c r="FM73" s="256"/>
      <c r="FN73" s="256"/>
      <c r="FO73" s="256"/>
    </row>
    <row r="74" spans="1:171" s="31" customFormat="1" ht="19.5" customHeight="1">
      <c r="A74" s="260"/>
      <c r="B74" s="263"/>
      <c r="C74" s="262"/>
      <c r="D74" s="98"/>
      <c r="E74" s="98"/>
      <c r="F74" s="98"/>
      <c r="G74" s="98"/>
      <c r="H74" s="192"/>
      <c r="I74" s="179"/>
      <c r="J74" s="179"/>
      <c r="K74" s="179"/>
      <c r="L74" s="179"/>
      <c r="M74" s="179"/>
      <c r="N74" s="179"/>
      <c r="O74" s="179"/>
      <c r="P74" s="179"/>
      <c r="Q74" s="179"/>
      <c r="R74" s="179"/>
      <c r="S74" s="179"/>
      <c r="T74" s="179"/>
      <c r="U74" s="179"/>
      <c r="V74" s="193"/>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95"/>
      <c r="CE74" s="181"/>
      <c r="CF74" s="273"/>
      <c r="CG74" s="256"/>
      <c r="CH74" s="256"/>
      <c r="CI74" s="256"/>
      <c r="CJ74" s="256"/>
      <c r="CK74" s="256"/>
      <c r="CL74" s="256"/>
      <c r="CM74" s="256"/>
      <c r="CN74" s="256"/>
      <c r="CO74" s="256"/>
      <c r="CP74" s="256"/>
      <c r="CQ74" s="256"/>
      <c r="CR74" s="256"/>
      <c r="CS74" s="256"/>
      <c r="CT74" s="256"/>
      <c r="CU74" s="256"/>
      <c r="CV74" s="256"/>
      <c r="CW74" s="256"/>
      <c r="CX74" s="256"/>
      <c r="CY74" s="256"/>
      <c r="CZ74" s="256"/>
      <c r="DA74" s="256"/>
      <c r="DB74" s="256"/>
      <c r="DC74" s="256"/>
      <c r="DD74" s="256"/>
      <c r="DE74" s="256"/>
      <c r="DF74" s="256"/>
      <c r="DG74" s="256"/>
      <c r="DH74" s="256"/>
      <c r="DI74" s="256"/>
      <c r="DJ74" s="256"/>
      <c r="DK74" s="256"/>
      <c r="DL74" s="256"/>
      <c r="DM74" s="256"/>
      <c r="DN74" s="256"/>
      <c r="DO74" s="256"/>
      <c r="DP74" s="256"/>
      <c r="DQ74" s="256"/>
      <c r="DR74" s="256"/>
      <c r="DS74" s="256"/>
      <c r="DT74" s="256"/>
      <c r="DU74" s="256"/>
      <c r="DV74" s="256"/>
      <c r="DW74" s="256"/>
      <c r="DX74" s="256"/>
      <c r="DY74" s="256"/>
      <c r="DZ74" s="256"/>
      <c r="EA74" s="256"/>
      <c r="EB74" s="256"/>
      <c r="EC74" s="256"/>
      <c r="ED74" s="256"/>
      <c r="EE74" s="256"/>
      <c r="EF74" s="256"/>
      <c r="EG74" s="256"/>
      <c r="EH74" s="256"/>
      <c r="EI74" s="256"/>
      <c r="EJ74" s="256"/>
      <c r="EK74" s="256"/>
      <c r="EL74" s="256"/>
      <c r="EM74" s="256"/>
      <c r="EN74" s="256"/>
      <c r="EO74" s="256"/>
      <c r="EP74" s="256"/>
      <c r="EQ74" s="256"/>
      <c r="ER74" s="256"/>
      <c r="ES74" s="256"/>
      <c r="ET74" s="256"/>
      <c r="EU74" s="256"/>
      <c r="EV74" s="256"/>
      <c r="EW74" s="256"/>
      <c r="EX74" s="256"/>
      <c r="EY74" s="256"/>
      <c r="EZ74" s="256"/>
      <c r="FA74" s="256"/>
      <c r="FB74" s="256"/>
      <c r="FC74" s="256"/>
      <c r="FD74" s="256"/>
      <c r="FE74" s="256"/>
      <c r="FF74" s="256"/>
      <c r="FG74" s="256"/>
      <c r="FH74" s="256"/>
      <c r="FI74" s="256"/>
      <c r="FJ74" s="256"/>
      <c r="FK74" s="256"/>
      <c r="FL74" s="256"/>
      <c r="FM74" s="256"/>
      <c r="FN74" s="256"/>
      <c r="FO74" s="256"/>
    </row>
    <row r="75" spans="1:171" s="31" customFormat="1" ht="19.5" customHeight="1">
      <c r="A75" s="260"/>
      <c r="B75" s="263"/>
      <c r="C75" s="263"/>
      <c r="D75" s="182"/>
      <c r="E75" s="89"/>
      <c r="F75" s="89"/>
      <c r="G75" s="89"/>
      <c r="H75" s="89"/>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7"/>
      <c r="BZ75" s="127"/>
      <c r="CA75" s="127"/>
      <c r="CB75" s="127"/>
      <c r="CC75" s="127"/>
      <c r="CD75" s="127"/>
      <c r="CE75" s="188"/>
      <c r="CF75" s="273"/>
      <c r="CG75" s="256"/>
      <c r="CH75" s="256"/>
      <c r="CI75" s="256"/>
      <c r="CJ75" s="256"/>
      <c r="CK75" s="256"/>
      <c r="CL75" s="256"/>
      <c r="CM75" s="256"/>
      <c r="CN75" s="256"/>
      <c r="CO75" s="256"/>
      <c r="CP75" s="256"/>
      <c r="CQ75" s="256"/>
      <c r="CR75" s="256"/>
      <c r="CS75" s="256"/>
      <c r="CT75" s="256"/>
      <c r="CU75" s="256"/>
      <c r="CV75" s="256"/>
      <c r="CW75" s="256"/>
      <c r="CX75" s="256"/>
      <c r="CY75" s="256"/>
      <c r="CZ75" s="256"/>
      <c r="DA75" s="256"/>
      <c r="DB75" s="256"/>
      <c r="DC75" s="256"/>
      <c r="DD75" s="256"/>
      <c r="DE75" s="256"/>
      <c r="DF75" s="256"/>
      <c r="DG75" s="256"/>
      <c r="DH75" s="256"/>
      <c r="DI75" s="256"/>
      <c r="DJ75" s="256"/>
      <c r="DK75" s="256"/>
      <c r="DL75" s="256"/>
      <c r="DM75" s="256"/>
      <c r="DN75" s="256"/>
      <c r="DO75" s="256"/>
      <c r="DP75" s="256"/>
      <c r="DQ75" s="256"/>
      <c r="DR75" s="256"/>
      <c r="DS75" s="256"/>
      <c r="DT75" s="256"/>
      <c r="DU75" s="256"/>
      <c r="DV75" s="256"/>
      <c r="DW75" s="256"/>
      <c r="DX75" s="256"/>
      <c r="DY75" s="256"/>
      <c r="DZ75" s="256"/>
      <c r="EA75" s="256"/>
      <c r="EB75" s="256"/>
      <c r="EC75" s="256"/>
      <c r="ED75" s="256"/>
      <c r="EE75" s="256"/>
      <c r="EF75" s="256"/>
      <c r="EG75" s="256"/>
      <c r="EH75" s="256"/>
      <c r="EI75" s="256"/>
      <c r="EJ75" s="256"/>
      <c r="EK75" s="256"/>
      <c r="EL75" s="256"/>
      <c r="EM75" s="256"/>
      <c r="EN75" s="256"/>
      <c r="EO75" s="256"/>
      <c r="EP75" s="256"/>
      <c r="EQ75" s="256"/>
      <c r="ER75" s="256"/>
      <c r="ES75" s="256"/>
      <c r="ET75" s="256"/>
      <c r="EU75" s="256"/>
      <c r="EV75" s="256"/>
      <c r="EW75" s="256"/>
      <c r="EX75" s="256"/>
      <c r="EY75" s="256"/>
      <c r="EZ75" s="256"/>
      <c r="FA75" s="256"/>
      <c r="FB75" s="256"/>
      <c r="FC75" s="256"/>
      <c r="FD75" s="256"/>
      <c r="FE75" s="256"/>
      <c r="FF75" s="256"/>
      <c r="FG75" s="256"/>
      <c r="FH75" s="256"/>
      <c r="FI75" s="256"/>
      <c r="FJ75" s="256"/>
      <c r="FK75" s="256"/>
      <c r="FL75" s="256"/>
      <c r="FM75" s="256"/>
      <c r="FN75" s="256"/>
      <c r="FO75" s="256"/>
    </row>
    <row r="76" spans="1:171" s="254" customFormat="1" ht="14.25" customHeight="1">
      <c r="A76" s="257"/>
      <c r="D76" s="307"/>
      <c r="E76" s="308"/>
      <c r="F76" s="308"/>
      <c r="G76" s="308"/>
      <c r="H76" s="308"/>
      <c r="I76" s="308"/>
      <c r="J76" s="308"/>
      <c r="K76" s="308"/>
      <c r="M76" s="307"/>
      <c r="Q76" s="307"/>
      <c r="T76" s="307"/>
      <c r="Y76" s="307"/>
      <c r="AB76" s="307"/>
      <c r="CF76" s="259"/>
    </row>
    <row r="77" spans="1:171" s="254" customFormat="1" ht="14.25" customHeight="1">
      <c r="A77" s="257"/>
      <c r="D77" s="282"/>
      <c r="E77" s="282" t="s">
        <v>387</v>
      </c>
      <c r="F77" s="258"/>
      <c r="G77" s="258"/>
      <c r="H77" s="258"/>
      <c r="I77" s="258"/>
      <c r="J77" s="258"/>
      <c r="K77" s="258"/>
      <c r="M77" s="282"/>
      <c r="CF77" s="259"/>
    </row>
    <row r="78" spans="1:171" s="31" customFormat="1" ht="19.5" customHeight="1">
      <c r="A78" s="260"/>
      <c r="B78" s="261"/>
      <c r="C78" s="262"/>
      <c r="D78" s="283"/>
      <c r="E78" s="284"/>
      <c r="F78" s="284"/>
      <c r="G78" s="284"/>
      <c r="H78" s="284"/>
      <c r="I78" s="284"/>
      <c r="J78" s="284"/>
      <c r="K78" s="284"/>
      <c r="L78" s="284"/>
      <c r="M78" s="421" t="s">
        <v>300</v>
      </c>
      <c r="N78" s="421"/>
      <c r="O78" s="421"/>
      <c r="P78" s="421"/>
      <c r="Q78" s="421"/>
      <c r="R78" s="421"/>
      <c r="S78" s="421"/>
      <c r="T78" s="421"/>
      <c r="U78" s="421"/>
      <c r="V78" s="421"/>
      <c r="W78" s="421"/>
      <c r="X78" s="421"/>
      <c r="Y78" s="421"/>
      <c r="Z78" s="421"/>
      <c r="AA78" s="421"/>
      <c r="AB78" s="421"/>
      <c r="AC78" s="421"/>
      <c r="AD78" s="421"/>
      <c r="AE78" s="421"/>
      <c r="AF78" s="421"/>
      <c r="AG78" s="421"/>
      <c r="AH78" s="421"/>
      <c r="AI78" s="421"/>
      <c r="AJ78" s="421"/>
      <c r="AK78" s="421"/>
      <c r="AL78" s="421"/>
      <c r="AM78" s="421"/>
      <c r="AN78" s="421"/>
      <c r="AO78" s="421"/>
      <c r="AP78" s="421"/>
      <c r="AQ78" s="421"/>
      <c r="AR78" s="421"/>
      <c r="AS78" s="421"/>
      <c r="AT78" s="421"/>
      <c r="AU78" s="421"/>
      <c r="AV78" s="421"/>
      <c r="AW78" s="421"/>
      <c r="AX78" s="421"/>
      <c r="AY78" s="421"/>
      <c r="AZ78" s="421"/>
      <c r="BA78" s="421"/>
      <c r="BB78" s="421"/>
      <c r="BC78" s="421"/>
      <c r="BD78" s="421"/>
      <c r="BE78" s="421"/>
      <c r="BF78" s="421"/>
      <c r="BG78" s="421"/>
      <c r="BH78" s="421"/>
      <c r="BI78" s="421"/>
      <c r="BJ78" s="421"/>
      <c r="BK78" s="421"/>
      <c r="BL78" s="421"/>
      <c r="BM78" s="421"/>
      <c r="BN78" s="421"/>
      <c r="BO78" s="421"/>
      <c r="BP78" s="421"/>
      <c r="BQ78" s="284"/>
      <c r="BR78" s="284"/>
      <c r="BS78" s="284"/>
      <c r="BT78" s="284"/>
      <c r="BU78" s="417" t="s">
        <v>289</v>
      </c>
      <c r="BV78" s="417"/>
      <c r="BW78" s="417"/>
      <c r="BX78" s="417"/>
      <c r="BY78" s="417"/>
      <c r="BZ78" s="417"/>
      <c r="CA78" s="417"/>
      <c r="CB78" s="417"/>
      <c r="CC78" s="417"/>
      <c r="CD78" s="417"/>
      <c r="CE78" s="418"/>
      <c r="CF78" s="273"/>
      <c r="CG78" s="256"/>
      <c r="CH78" s="256"/>
      <c r="CI78" s="256"/>
      <c r="CJ78" s="256"/>
      <c r="CK78" s="256"/>
      <c r="CL78" s="256"/>
      <c r="CM78" s="256"/>
      <c r="CN78" s="256"/>
      <c r="CO78" s="256"/>
      <c r="CP78" s="256"/>
      <c r="CQ78" s="256"/>
      <c r="CR78" s="256"/>
      <c r="CS78" s="256"/>
      <c r="CT78" s="256"/>
      <c r="CU78" s="256"/>
      <c r="CV78" s="256"/>
      <c r="CW78" s="256"/>
      <c r="CX78" s="256"/>
      <c r="CY78" s="256"/>
      <c r="CZ78" s="256"/>
      <c r="DA78" s="256"/>
      <c r="DB78" s="256"/>
      <c r="DC78" s="256"/>
      <c r="DD78" s="256"/>
      <c r="DE78" s="256"/>
      <c r="DF78" s="256"/>
      <c r="DG78" s="256"/>
      <c r="DH78" s="256"/>
      <c r="DI78" s="256"/>
      <c r="DJ78" s="256"/>
      <c r="DK78" s="256"/>
      <c r="DL78" s="256"/>
      <c r="DM78" s="256"/>
      <c r="DN78" s="256"/>
      <c r="DO78" s="256"/>
      <c r="DP78" s="256"/>
      <c r="DQ78" s="256"/>
      <c r="DR78" s="256"/>
      <c r="DS78" s="256"/>
      <c r="DT78" s="256"/>
      <c r="DU78" s="256"/>
      <c r="DV78" s="256"/>
      <c r="DW78" s="256"/>
      <c r="DX78" s="256"/>
      <c r="DY78" s="256"/>
      <c r="DZ78" s="256"/>
      <c r="EA78" s="256"/>
      <c r="EB78" s="256"/>
      <c r="EC78" s="256"/>
      <c r="ED78" s="256"/>
      <c r="EE78" s="256"/>
      <c r="EF78" s="256"/>
      <c r="EG78" s="256"/>
      <c r="EH78" s="256"/>
      <c r="EI78" s="256"/>
      <c r="EJ78" s="256"/>
      <c r="EK78" s="256"/>
      <c r="EL78" s="256"/>
      <c r="EM78" s="256"/>
      <c r="EN78" s="256"/>
      <c r="EO78" s="256"/>
      <c r="EP78" s="256"/>
      <c r="EQ78" s="256"/>
      <c r="ER78" s="256"/>
      <c r="ES78" s="256"/>
      <c r="ET78" s="256"/>
      <c r="EU78" s="256"/>
      <c r="EV78" s="256"/>
      <c r="EW78" s="256"/>
      <c r="EX78" s="256"/>
      <c r="EY78" s="256"/>
      <c r="EZ78" s="256"/>
      <c r="FA78" s="256"/>
      <c r="FB78" s="256"/>
      <c r="FC78" s="256"/>
      <c r="FD78" s="256"/>
      <c r="FE78" s="256"/>
      <c r="FF78" s="256"/>
      <c r="FG78" s="256"/>
      <c r="FH78" s="256"/>
      <c r="FI78" s="256"/>
      <c r="FJ78" s="256"/>
      <c r="FK78" s="256"/>
      <c r="FL78" s="256"/>
      <c r="FM78" s="256"/>
      <c r="FN78" s="256"/>
      <c r="FO78" s="256"/>
    </row>
    <row r="79" spans="1:171" s="31" customFormat="1" ht="19.5" customHeight="1" thickBot="1">
      <c r="A79" s="260"/>
      <c r="B79" s="263"/>
      <c r="C79" s="262"/>
      <c r="D79" s="286"/>
      <c r="E79" s="286"/>
      <c r="F79" s="286"/>
      <c r="G79" s="286"/>
      <c r="H79" s="286"/>
      <c r="I79" s="286"/>
      <c r="J79" s="286"/>
      <c r="K79" s="286"/>
      <c r="L79" s="286"/>
      <c r="M79" s="422"/>
      <c r="N79" s="422"/>
      <c r="O79" s="422"/>
      <c r="P79" s="422"/>
      <c r="Q79" s="422"/>
      <c r="R79" s="422"/>
      <c r="S79" s="422"/>
      <c r="T79" s="422"/>
      <c r="U79" s="422"/>
      <c r="V79" s="422"/>
      <c r="W79" s="422"/>
      <c r="X79" s="422"/>
      <c r="Y79" s="422"/>
      <c r="Z79" s="422"/>
      <c r="AA79" s="422"/>
      <c r="AB79" s="422"/>
      <c r="AC79" s="422"/>
      <c r="AD79" s="422"/>
      <c r="AE79" s="422"/>
      <c r="AF79" s="422"/>
      <c r="AG79" s="422"/>
      <c r="AH79" s="422"/>
      <c r="AI79" s="422"/>
      <c r="AJ79" s="422"/>
      <c r="AK79" s="422"/>
      <c r="AL79" s="422"/>
      <c r="AM79" s="422"/>
      <c r="AN79" s="422"/>
      <c r="AO79" s="422"/>
      <c r="AP79" s="422"/>
      <c r="AQ79" s="422"/>
      <c r="AR79" s="422"/>
      <c r="AS79" s="422"/>
      <c r="AT79" s="422"/>
      <c r="AU79" s="422"/>
      <c r="AV79" s="422"/>
      <c r="AW79" s="422"/>
      <c r="AX79" s="422"/>
      <c r="AY79" s="422"/>
      <c r="AZ79" s="422"/>
      <c r="BA79" s="422"/>
      <c r="BB79" s="422"/>
      <c r="BC79" s="422"/>
      <c r="BD79" s="422"/>
      <c r="BE79" s="422"/>
      <c r="BF79" s="422"/>
      <c r="BG79" s="422"/>
      <c r="BH79" s="422"/>
      <c r="BI79" s="422"/>
      <c r="BJ79" s="422"/>
      <c r="BK79" s="422"/>
      <c r="BL79" s="422"/>
      <c r="BM79" s="422"/>
      <c r="BN79" s="422"/>
      <c r="BO79" s="422"/>
      <c r="BP79" s="422"/>
      <c r="BQ79" s="286"/>
      <c r="BR79" s="286"/>
      <c r="BS79" s="286"/>
      <c r="BT79" s="286"/>
      <c r="BU79" s="419"/>
      <c r="BV79" s="419"/>
      <c r="BW79" s="419"/>
      <c r="BX79" s="419"/>
      <c r="BY79" s="419"/>
      <c r="BZ79" s="419"/>
      <c r="CA79" s="419"/>
      <c r="CB79" s="419"/>
      <c r="CC79" s="419"/>
      <c r="CD79" s="419"/>
      <c r="CE79" s="420"/>
      <c r="CF79" s="273"/>
      <c r="CG79" s="256"/>
      <c r="CH79" s="256"/>
      <c r="CI79" s="256"/>
      <c r="CJ79" s="256"/>
      <c r="CK79" s="256"/>
      <c r="CL79" s="256"/>
      <c r="CM79" s="256"/>
      <c r="CN79" s="256"/>
      <c r="CO79" s="256"/>
      <c r="CP79" s="256"/>
      <c r="CQ79" s="256"/>
      <c r="CR79" s="256"/>
      <c r="CS79" s="256"/>
      <c r="CT79" s="256"/>
      <c r="CU79" s="256"/>
      <c r="CV79" s="256"/>
      <c r="CW79" s="256"/>
      <c r="CX79" s="256"/>
      <c r="CY79" s="256"/>
      <c r="CZ79" s="256"/>
      <c r="DA79" s="256"/>
      <c r="DB79" s="256"/>
      <c r="DC79" s="256"/>
      <c r="DD79" s="256"/>
      <c r="DE79" s="256"/>
      <c r="DF79" s="256"/>
      <c r="DG79" s="256"/>
      <c r="DH79" s="256"/>
      <c r="DI79" s="256"/>
      <c r="DJ79" s="256"/>
      <c r="DK79" s="256"/>
      <c r="DL79" s="256"/>
      <c r="DM79" s="256"/>
      <c r="DN79" s="256"/>
      <c r="DO79" s="256"/>
      <c r="DP79" s="256"/>
      <c r="DQ79" s="256"/>
      <c r="DR79" s="256"/>
      <c r="DS79" s="256"/>
      <c r="DT79" s="256"/>
      <c r="DU79" s="256"/>
      <c r="DV79" s="256"/>
      <c r="DW79" s="256"/>
      <c r="DX79" s="256"/>
      <c r="DY79" s="256"/>
      <c r="DZ79" s="256"/>
      <c r="EA79" s="256"/>
      <c r="EB79" s="256"/>
      <c r="EC79" s="256"/>
      <c r="ED79" s="256"/>
      <c r="EE79" s="256"/>
      <c r="EF79" s="256"/>
      <c r="EG79" s="256"/>
      <c r="EH79" s="256"/>
      <c r="EI79" s="256"/>
      <c r="EJ79" s="256"/>
      <c r="EK79" s="256"/>
      <c r="EL79" s="256"/>
      <c r="EM79" s="256"/>
      <c r="EN79" s="256"/>
      <c r="EO79" s="256"/>
      <c r="EP79" s="256"/>
      <c r="EQ79" s="256"/>
      <c r="ER79" s="256"/>
      <c r="ES79" s="256"/>
      <c r="ET79" s="256"/>
      <c r="EU79" s="256"/>
      <c r="EV79" s="256"/>
      <c r="EW79" s="256"/>
      <c r="EX79" s="256"/>
      <c r="EY79" s="256"/>
      <c r="EZ79" s="256"/>
      <c r="FA79" s="256"/>
      <c r="FB79" s="256"/>
      <c r="FC79" s="256"/>
      <c r="FD79" s="256"/>
      <c r="FE79" s="256"/>
      <c r="FF79" s="256"/>
      <c r="FG79" s="256"/>
      <c r="FH79" s="256"/>
      <c r="FI79" s="256"/>
      <c r="FJ79" s="256"/>
      <c r="FK79" s="256"/>
      <c r="FL79" s="256"/>
      <c r="FM79" s="256"/>
      <c r="FN79" s="256"/>
      <c r="FO79" s="256"/>
    </row>
    <row r="80" spans="1:171" s="31" customFormat="1" ht="19.5" customHeight="1" thickTop="1">
      <c r="A80" s="260"/>
      <c r="B80" s="263"/>
      <c r="C80" s="262"/>
      <c r="D80" s="86"/>
      <c r="E80" s="86"/>
      <c r="F80" s="86"/>
      <c r="G80" s="86"/>
      <c r="H80" s="179" t="s">
        <v>303</v>
      </c>
      <c r="I80" s="179"/>
      <c r="J80" s="179"/>
      <c r="K80" s="179"/>
      <c r="L80" s="179"/>
      <c r="M80" s="179" t="s">
        <v>31</v>
      </c>
      <c r="N80" s="179"/>
      <c r="O80" s="129" t="s">
        <v>313</v>
      </c>
      <c r="P80" s="129"/>
      <c r="Q80" s="129"/>
      <c r="R80" s="129"/>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c r="AP80" s="179"/>
      <c r="AQ80" s="179"/>
      <c r="AR80" s="179"/>
      <c r="AS80" s="179"/>
      <c r="AT80" s="179"/>
      <c r="AU80" s="179"/>
      <c r="AV80" s="179"/>
      <c r="AW80" s="180"/>
      <c r="AX80" s="180"/>
      <c r="AY80" s="179"/>
      <c r="AZ80" s="179"/>
      <c r="BA80" s="179"/>
      <c r="BB80" s="179"/>
      <c r="BC80" s="179"/>
      <c r="BD80" s="179"/>
      <c r="BE80" s="179"/>
      <c r="BF80" s="179"/>
      <c r="BG80" s="179"/>
      <c r="BH80" s="179"/>
      <c r="BI80" s="179"/>
      <c r="BJ80" s="179"/>
      <c r="BK80" s="179"/>
      <c r="BL80" s="179"/>
      <c r="BM80" s="179"/>
      <c r="BN80" s="179"/>
      <c r="BO80" s="179"/>
      <c r="BP80" s="179"/>
      <c r="BQ80" s="179"/>
      <c r="BR80" s="179"/>
      <c r="BS80" s="179"/>
      <c r="BT80" s="179"/>
      <c r="BU80" s="179"/>
      <c r="BV80" s="179"/>
      <c r="BW80" s="179"/>
      <c r="BX80" s="179"/>
      <c r="BY80" s="179"/>
      <c r="BZ80" s="179"/>
      <c r="CA80" s="179"/>
      <c r="CB80" s="179"/>
      <c r="CC80" s="95"/>
      <c r="CD80" s="95"/>
      <c r="CE80" s="181"/>
      <c r="CF80" s="273"/>
      <c r="CG80" s="256"/>
      <c r="CH80" s="256"/>
      <c r="CI80" s="256"/>
      <c r="CJ80" s="256"/>
      <c r="CK80" s="256"/>
      <c r="CL80" s="256"/>
      <c r="CM80" s="256"/>
      <c r="CN80" s="256"/>
      <c r="CO80" s="256"/>
      <c r="CP80" s="256"/>
      <c r="CQ80" s="256"/>
      <c r="CR80" s="256"/>
      <c r="CS80" s="256"/>
      <c r="CT80" s="256"/>
      <c r="CU80" s="256"/>
      <c r="CV80" s="256"/>
      <c r="CW80" s="256"/>
      <c r="CX80" s="256"/>
      <c r="CY80" s="256"/>
      <c r="CZ80" s="256"/>
      <c r="DA80" s="256"/>
      <c r="DB80" s="256"/>
      <c r="DC80" s="256"/>
      <c r="DD80" s="256"/>
      <c r="DE80" s="256"/>
      <c r="DF80" s="256"/>
      <c r="DG80" s="256"/>
      <c r="DH80" s="256"/>
      <c r="DI80" s="256"/>
      <c r="DJ80" s="256"/>
      <c r="DK80" s="256"/>
      <c r="DL80" s="256"/>
      <c r="DM80" s="256"/>
      <c r="DN80" s="256"/>
      <c r="DO80" s="256"/>
      <c r="DP80" s="256"/>
      <c r="DQ80" s="256"/>
      <c r="DR80" s="256"/>
      <c r="DS80" s="256"/>
      <c r="DT80" s="256"/>
      <c r="DU80" s="256"/>
      <c r="DV80" s="256"/>
      <c r="DW80" s="256"/>
      <c r="DX80" s="256"/>
      <c r="DY80" s="256"/>
      <c r="DZ80" s="256"/>
      <c r="EA80" s="256"/>
      <c r="EB80" s="256"/>
      <c r="EC80" s="256"/>
      <c r="ED80" s="256"/>
      <c r="EE80" s="256"/>
      <c r="EF80" s="256"/>
      <c r="EG80" s="256"/>
      <c r="EH80" s="256"/>
      <c r="EI80" s="256"/>
      <c r="EJ80" s="256"/>
      <c r="EK80" s="256"/>
      <c r="EL80" s="256"/>
      <c r="EM80" s="256"/>
      <c r="EN80" s="256"/>
      <c r="EO80" s="256"/>
      <c r="EP80" s="256"/>
      <c r="EQ80" s="256"/>
      <c r="ER80" s="256"/>
      <c r="ES80" s="256"/>
      <c r="ET80" s="256"/>
      <c r="EU80" s="256"/>
      <c r="EV80" s="256"/>
      <c r="EW80" s="256"/>
      <c r="EX80" s="256"/>
      <c r="EY80" s="256"/>
      <c r="EZ80" s="256"/>
      <c r="FA80" s="256"/>
      <c r="FB80" s="256"/>
      <c r="FC80" s="256"/>
      <c r="FD80" s="256"/>
      <c r="FE80" s="256"/>
      <c r="FF80" s="256"/>
      <c r="FG80" s="256"/>
      <c r="FH80" s="256"/>
      <c r="FI80" s="256"/>
      <c r="FJ80" s="256"/>
      <c r="FK80" s="256"/>
      <c r="FL80" s="256"/>
      <c r="FM80" s="256"/>
      <c r="FN80" s="256"/>
      <c r="FO80" s="256"/>
    </row>
    <row r="81" spans="1:171" s="31" customFormat="1" ht="19.5" customHeight="1">
      <c r="A81" s="260"/>
      <c r="B81" s="263"/>
      <c r="C81" s="262"/>
      <c r="D81" s="98"/>
      <c r="E81" s="98"/>
      <c r="F81" s="98"/>
      <c r="G81" s="98"/>
      <c r="H81" s="411" t="s">
        <v>319</v>
      </c>
      <c r="I81" s="412"/>
      <c r="J81" s="412"/>
      <c r="K81" s="412"/>
      <c r="L81" s="412"/>
      <c r="M81" s="412"/>
      <c r="N81" s="412"/>
      <c r="O81" s="412"/>
      <c r="P81" s="412"/>
      <c r="Q81" s="412"/>
      <c r="R81" s="412"/>
      <c r="S81" s="412"/>
      <c r="T81" s="412"/>
      <c r="U81" s="412"/>
      <c r="V81" s="412"/>
      <c r="W81" s="412"/>
      <c r="X81" s="412"/>
      <c r="Y81" s="412"/>
      <c r="Z81" s="412"/>
      <c r="AA81" s="412"/>
      <c r="AB81" s="412"/>
      <c r="AC81" s="412"/>
      <c r="AD81" s="412"/>
      <c r="AE81" s="412"/>
      <c r="AF81" s="412"/>
      <c r="AG81" s="412"/>
      <c r="AH81" s="412"/>
      <c r="AI81" s="412"/>
      <c r="AJ81" s="412"/>
      <c r="AK81" s="412"/>
      <c r="AL81" s="412"/>
      <c r="AM81" s="412"/>
      <c r="AN81" s="412"/>
      <c r="AO81" s="412"/>
      <c r="AP81" s="412"/>
      <c r="AQ81" s="412"/>
      <c r="AR81" s="412"/>
      <c r="AS81" s="412"/>
      <c r="AT81" s="412"/>
      <c r="AU81" s="412"/>
      <c r="AV81" s="412"/>
      <c r="AW81" s="412"/>
      <c r="AX81" s="412"/>
      <c r="AY81" s="412"/>
      <c r="AZ81" s="412"/>
      <c r="BA81" s="412"/>
      <c r="BB81" s="412"/>
      <c r="BC81" s="412"/>
      <c r="BD81" s="412"/>
      <c r="BE81" s="412"/>
      <c r="BF81" s="412"/>
      <c r="BG81" s="412"/>
      <c r="BH81" s="412"/>
      <c r="BI81" s="412"/>
      <c r="BJ81" s="412"/>
      <c r="BK81" s="412"/>
      <c r="BL81" s="412"/>
      <c r="BM81" s="412"/>
      <c r="BN81" s="412"/>
      <c r="BO81" s="412"/>
      <c r="BP81" s="412"/>
      <c r="BQ81" s="412"/>
      <c r="BR81" s="412"/>
      <c r="BS81" s="412"/>
      <c r="BT81" s="412"/>
      <c r="BU81" s="412"/>
      <c r="BV81" s="412"/>
      <c r="BW81" s="412"/>
      <c r="BX81" s="412"/>
      <c r="BY81" s="412"/>
      <c r="BZ81" s="412"/>
      <c r="CA81" s="412"/>
      <c r="CB81" s="413"/>
      <c r="CC81" s="95"/>
      <c r="CD81" s="95"/>
      <c r="CE81" s="186"/>
      <c r="CF81" s="273"/>
      <c r="CG81" s="256"/>
      <c r="CH81" s="256"/>
      <c r="CI81" s="256"/>
      <c r="CJ81" s="256"/>
      <c r="CK81" s="256"/>
      <c r="CL81" s="256"/>
      <c r="CM81" s="256"/>
      <c r="CN81" s="256"/>
      <c r="CO81" s="256"/>
      <c r="CP81" s="256"/>
      <c r="CQ81" s="256"/>
      <c r="CR81" s="256"/>
      <c r="CS81" s="256"/>
      <c r="CT81" s="256"/>
      <c r="CU81" s="256"/>
      <c r="CV81" s="256"/>
      <c r="CW81" s="256"/>
      <c r="CX81" s="256"/>
      <c r="CY81" s="256"/>
      <c r="CZ81" s="256"/>
      <c r="DA81" s="256"/>
      <c r="DB81" s="256"/>
      <c r="DC81" s="256"/>
      <c r="DD81" s="256"/>
      <c r="DE81" s="256"/>
      <c r="DF81" s="256"/>
      <c r="DG81" s="256"/>
      <c r="DH81" s="256"/>
      <c r="DI81" s="256"/>
      <c r="DJ81" s="256"/>
      <c r="DK81" s="256"/>
      <c r="DL81" s="256"/>
      <c r="DM81" s="256"/>
      <c r="DN81" s="256"/>
      <c r="DO81" s="256"/>
      <c r="DP81" s="256"/>
      <c r="DQ81" s="256"/>
      <c r="DR81" s="256"/>
      <c r="DS81" s="256"/>
      <c r="DT81" s="256"/>
      <c r="DU81" s="256"/>
      <c r="DV81" s="256"/>
      <c r="DW81" s="256"/>
      <c r="DX81" s="256"/>
      <c r="DY81" s="256"/>
      <c r="DZ81" s="256"/>
      <c r="EA81" s="256"/>
      <c r="EB81" s="256"/>
      <c r="EC81" s="256"/>
      <c r="ED81" s="256"/>
      <c r="EE81" s="256"/>
      <c r="EF81" s="256"/>
      <c r="EG81" s="256"/>
      <c r="EH81" s="256"/>
      <c r="EI81" s="256"/>
      <c r="EJ81" s="256"/>
      <c r="EK81" s="256"/>
      <c r="EL81" s="256"/>
      <c r="EM81" s="256"/>
      <c r="EN81" s="256"/>
      <c r="EO81" s="256"/>
      <c r="EP81" s="256"/>
      <c r="EQ81" s="256"/>
      <c r="ER81" s="256"/>
      <c r="ES81" s="256"/>
      <c r="ET81" s="256"/>
      <c r="EU81" s="256"/>
      <c r="EV81" s="256"/>
      <c r="EW81" s="256"/>
      <c r="EX81" s="256"/>
      <c r="EY81" s="256"/>
      <c r="EZ81" s="256"/>
      <c r="FA81" s="256"/>
      <c r="FB81" s="256"/>
      <c r="FC81" s="256"/>
      <c r="FD81" s="256"/>
      <c r="FE81" s="256"/>
      <c r="FF81" s="256"/>
      <c r="FG81" s="256"/>
      <c r="FH81" s="256"/>
      <c r="FI81" s="256"/>
      <c r="FJ81" s="256"/>
      <c r="FK81" s="256"/>
      <c r="FL81" s="256"/>
      <c r="FM81" s="256"/>
      <c r="FN81" s="256"/>
      <c r="FO81" s="256"/>
    </row>
    <row r="82" spans="1:171" s="31" customFormat="1" ht="19.5" customHeight="1">
      <c r="A82" s="260"/>
      <c r="B82" s="263"/>
      <c r="C82" s="262"/>
      <c r="D82" s="98"/>
      <c r="E82" s="98"/>
      <c r="F82" s="98"/>
      <c r="G82" s="98"/>
      <c r="H82" s="414"/>
      <c r="I82" s="415"/>
      <c r="J82" s="415"/>
      <c r="K82" s="415"/>
      <c r="L82" s="415"/>
      <c r="M82" s="415"/>
      <c r="N82" s="415"/>
      <c r="O82" s="415"/>
      <c r="P82" s="415"/>
      <c r="Q82" s="415"/>
      <c r="R82" s="415"/>
      <c r="S82" s="415"/>
      <c r="T82" s="415"/>
      <c r="U82" s="415"/>
      <c r="V82" s="415"/>
      <c r="W82" s="415"/>
      <c r="X82" s="415"/>
      <c r="Y82" s="415"/>
      <c r="Z82" s="415"/>
      <c r="AA82" s="415"/>
      <c r="AB82" s="415"/>
      <c r="AC82" s="415"/>
      <c r="AD82" s="415"/>
      <c r="AE82" s="415"/>
      <c r="AF82" s="415"/>
      <c r="AG82" s="415"/>
      <c r="AH82" s="415"/>
      <c r="AI82" s="415"/>
      <c r="AJ82" s="415"/>
      <c r="AK82" s="415"/>
      <c r="AL82" s="415"/>
      <c r="AM82" s="415"/>
      <c r="AN82" s="415"/>
      <c r="AO82" s="415"/>
      <c r="AP82" s="415"/>
      <c r="AQ82" s="415"/>
      <c r="AR82" s="415"/>
      <c r="AS82" s="415"/>
      <c r="AT82" s="415"/>
      <c r="AU82" s="415"/>
      <c r="AV82" s="415"/>
      <c r="AW82" s="415"/>
      <c r="AX82" s="415"/>
      <c r="AY82" s="415"/>
      <c r="AZ82" s="415"/>
      <c r="BA82" s="415"/>
      <c r="BB82" s="415"/>
      <c r="BC82" s="415"/>
      <c r="BD82" s="415"/>
      <c r="BE82" s="415"/>
      <c r="BF82" s="415"/>
      <c r="BG82" s="415"/>
      <c r="BH82" s="415"/>
      <c r="BI82" s="415"/>
      <c r="BJ82" s="415"/>
      <c r="BK82" s="415"/>
      <c r="BL82" s="415"/>
      <c r="BM82" s="415"/>
      <c r="BN82" s="415"/>
      <c r="BO82" s="415"/>
      <c r="BP82" s="415"/>
      <c r="BQ82" s="415"/>
      <c r="BR82" s="415"/>
      <c r="BS82" s="415"/>
      <c r="BT82" s="415"/>
      <c r="BU82" s="415"/>
      <c r="BV82" s="415"/>
      <c r="BW82" s="415"/>
      <c r="BX82" s="415"/>
      <c r="BY82" s="415"/>
      <c r="BZ82" s="415"/>
      <c r="CA82" s="415"/>
      <c r="CB82" s="416"/>
      <c r="CC82" s="95"/>
      <c r="CD82" s="95"/>
      <c r="CE82" s="186"/>
      <c r="CF82" s="273"/>
      <c r="CG82" s="256"/>
      <c r="CH82" s="256"/>
      <c r="CI82" s="256"/>
      <c r="CJ82" s="256"/>
      <c r="CK82" s="256"/>
      <c r="CL82" s="256"/>
      <c r="CM82" s="256"/>
      <c r="CN82" s="256"/>
      <c r="CO82" s="256"/>
      <c r="CP82" s="256"/>
      <c r="CQ82" s="256"/>
      <c r="CR82" s="256"/>
      <c r="CS82" s="256"/>
      <c r="CT82" s="256"/>
      <c r="CU82" s="256"/>
      <c r="CV82" s="256"/>
      <c r="CW82" s="256"/>
      <c r="CX82" s="256"/>
      <c r="CY82" s="256"/>
      <c r="CZ82" s="256"/>
      <c r="DA82" s="256"/>
      <c r="DB82" s="256"/>
      <c r="DC82" s="256"/>
      <c r="DD82" s="256"/>
      <c r="DE82" s="256"/>
      <c r="DF82" s="256"/>
      <c r="DG82" s="256"/>
      <c r="DH82" s="256"/>
      <c r="DI82" s="256"/>
      <c r="DJ82" s="256"/>
      <c r="DK82" s="256"/>
      <c r="DL82" s="256"/>
      <c r="DM82" s="256"/>
      <c r="DN82" s="256"/>
      <c r="DO82" s="256"/>
      <c r="DP82" s="256"/>
      <c r="DQ82" s="256"/>
      <c r="DR82" s="256"/>
      <c r="DS82" s="256"/>
      <c r="DT82" s="256"/>
      <c r="DU82" s="256"/>
      <c r="DV82" s="256"/>
      <c r="DW82" s="256"/>
      <c r="DX82" s="256"/>
      <c r="DY82" s="256"/>
      <c r="DZ82" s="256"/>
      <c r="EA82" s="256"/>
      <c r="EB82" s="256"/>
      <c r="EC82" s="256"/>
      <c r="ED82" s="256"/>
      <c r="EE82" s="256"/>
      <c r="EF82" s="256"/>
      <c r="EG82" s="256"/>
      <c r="EH82" s="256"/>
      <c r="EI82" s="256"/>
      <c r="EJ82" s="256"/>
      <c r="EK82" s="256"/>
      <c r="EL82" s="256"/>
      <c r="EM82" s="256"/>
      <c r="EN82" s="256"/>
      <c r="EO82" s="256"/>
      <c r="EP82" s="256"/>
      <c r="EQ82" s="256"/>
      <c r="ER82" s="256"/>
      <c r="ES82" s="256"/>
      <c r="ET82" s="256"/>
      <c r="EU82" s="256"/>
      <c r="EV82" s="256"/>
      <c r="EW82" s="256"/>
      <c r="EX82" s="256"/>
      <c r="EY82" s="256"/>
      <c r="EZ82" s="256"/>
      <c r="FA82" s="256"/>
      <c r="FB82" s="256"/>
      <c r="FC82" s="256"/>
      <c r="FD82" s="256"/>
      <c r="FE82" s="256"/>
      <c r="FF82" s="256"/>
      <c r="FG82" s="256"/>
      <c r="FH82" s="256"/>
      <c r="FI82" s="256"/>
      <c r="FJ82" s="256"/>
      <c r="FK82" s="256"/>
      <c r="FL82" s="256"/>
      <c r="FM82" s="256"/>
      <c r="FN82" s="256"/>
      <c r="FO82" s="256"/>
    </row>
    <row r="83" spans="1:171" s="31" customFormat="1" ht="19.5" customHeight="1">
      <c r="A83" s="260"/>
      <c r="B83" s="263"/>
      <c r="C83" s="262"/>
      <c r="D83" s="98"/>
      <c r="E83" s="98"/>
      <c r="F83" s="98"/>
      <c r="G83" s="98"/>
      <c r="H83" s="183"/>
      <c r="I83" s="183"/>
      <c r="J83" s="183"/>
      <c r="K83" s="183"/>
      <c r="L83" s="183"/>
      <c r="M83" s="183"/>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3"/>
      <c r="BN83" s="183"/>
      <c r="BO83" s="184"/>
      <c r="BP83" s="184"/>
      <c r="BQ83" s="184"/>
      <c r="BR83" s="184"/>
      <c r="BS83" s="184"/>
      <c r="BT83" s="184"/>
      <c r="BU83" s="184"/>
      <c r="BV83" s="184"/>
      <c r="BW83" s="184"/>
      <c r="BX83" s="185"/>
      <c r="BY83" s="179"/>
      <c r="BZ83" s="179"/>
      <c r="CA83" s="179"/>
      <c r="CB83" s="179"/>
      <c r="CC83" s="95"/>
      <c r="CD83" s="95"/>
      <c r="CE83" s="181"/>
      <c r="CF83" s="273"/>
      <c r="CG83" s="256"/>
      <c r="CH83" s="256"/>
      <c r="CI83" s="256"/>
      <c r="CJ83" s="256"/>
      <c r="CK83" s="256"/>
      <c r="CL83" s="256"/>
      <c r="CM83" s="256"/>
      <c r="CN83" s="256"/>
      <c r="CO83" s="256"/>
      <c r="CP83" s="256"/>
      <c r="CQ83" s="256"/>
      <c r="CR83" s="256"/>
      <c r="CS83" s="256"/>
      <c r="CT83" s="256"/>
      <c r="CU83" s="256"/>
      <c r="CV83" s="256"/>
      <c r="CW83" s="256"/>
      <c r="CX83" s="256"/>
      <c r="CY83" s="256"/>
      <c r="CZ83" s="256"/>
      <c r="DA83" s="256"/>
      <c r="DB83" s="256"/>
      <c r="DC83" s="256"/>
      <c r="DD83" s="256"/>
      <c r="DE83" s="256"/>
      <c r="DF83" s="256"/>
      <c r="DG83" s="256"/>
      <c r="DH83" s="256"/>
      <c r="DI83" s="256"/>
      <c r="DJ83" s="256"/>
      <c r="DK83" s="256"/>
      <c r="DL83" s="256"/>
      <c r="DM83" s="256"/>
      <c r="DN83" s="256"/>
      <c r="DO83" s="256"/>
      <c r="DP83" s="256"/>
      <c r="DQ83" s="256"/>
      <c r="DR83" s="256"/>
      <c r="DS83" s="256"/>
      <c r="DT83" s="256"/>
      <c r="DU83" s="256"/>
      <c r="DV83" s="256"/>
      <c r="DW83" s="256"/>
      <c r="DX83" s="256"/>
      <c r="DY83" s="256"/>
      <c r="DZ83" s="256"/>
      <c r="EA83" s="256"/>
      <c r="EB83" s="256"/>
      <c r="EC83" s="256"/>
      <c r="ED83" s="256"/>
      <c r="EE83" s="256"/>
      <c r="EF83" s="256"/>
      <c r="EG83" s="256"/>
      <c r="EH83" s="256"/>
      <c r="EI83" s="256"/>
      <c r="EJ83" s="256"/>
      <c r="EK83" s="256"/>
      <c r="EL83" s="256"/>
      <c r="EM83" s="256"/>
      <c r="EN83" s="256"/>
      <c r="EO83" s="256"/>
      <c r="EP83" s="256"/>
      <c r="EQ83" s="256"/>
      <c r="ER83" s="256"/>
      <c r="ES83" s="256"/>
      <c r="ET83" s="256"/>
      <c r="EU83" s="256"/>
      <c r="EV83" s="256"/>
      <c r="EW83" s="256"/>
      <c r="EX83" s="256"/>
      <c r="EY83" s="256"/>
      <c r="EZ83" s="256"/>
      <c r="FA83" s="256"/>
      <c r="FB83" s="256"/>
      <c r="FC83" s="256"/>
      <c r="FD83" s="256"/>
      <c r="FE83" s="256"/>
      <c r="FF83" s="256"/>
      <c r="FG83" s="256"/>
      <c r="FH83" s="256"/>
      <c r="FI83" s="256"/>
      <c r="FJ83" s="256"/>
      <c r="FK83" s="256"/>
      <c r="FL83" s="256"/>
      <c r="FM83" s="256"/>
      <c r="FN83" s="256"/>
      <c r="FO83" s="256"/>
    </row>
    <row r="84" spans="1:171" s="31" customFormat="1" ht="19.5" customHeight="1">
      <c r="A84" s="260"/>
      <c r="B84" s="263"/>
      <c r="C84" s="262"/>
      <c r="D84" s="98"/>
      <c r="E84" s="98"/>
      <c r="F84" s="98"/>
      <c r="G84" s="98"/>
      <c r="H84" s="404" t="s">
        <v>88</v>
      </c>
      <c r="I84" s="405"/>
      <c r="J84" s="405"/>
      <c r="K84" s="405"/>
      <c r="L84" s="405"/>
      <c r="M84" s="405"/>
      <c r="N84" s="405"/>
      <c r="O84" s="405"/>
      <c r="P84" s="405"/>
      <c r="Q84" s="405"/>
      <c r="R84" s="405"/>
      <c r="S84" s="405"/>
      <c r="T84" s="405"/>
      <c r="U84" s="405"/>
      <c r="V84" s="405"/>
      <c r="W84" s="405"/>
      <c r="X84" s="405"/>
      <c r="Y84" s="405"/>
      <c r="Z84" s="405"/>
      <c r="AA84" s="405"/>
      <c r="AB84" s="405"/>
      <c r="AC84" s="405"/>
      <c r="AD84" s="405"/>
      <c r="AE84" s="405"/>
      <c r="AF84" s="405"/>
      <c r="AG84" s="405"/>
      <c r="AH84" s="405"/>
      <c r="AI84" s="405"/>
      <c r="AJ84" s="405"/>
      <c r="AK84" s="405"/>
      <c r="AL84" s="405"/>
      <c r="AM84" s="405"/>
      <c r="AN84" s="405"/>
      <c r="AO84" s="405"/>
      <c r="AP84" s="405"/>
      <c r="AQ84" s="405"/>
      <c r="AR84" s="405"/>
      <c r="AS84" s="405"/>
      <c r="AT84" s="405"/>
      <c r="AU84" s="405"/>
      <c r="AV84" s="405"/>
      <c r="AW84" s="405"/>
      <c r="AX84" s="405"/>
      <c r="AY84" s="405"/>
      <c r="AZ84" s="405"/>
      <c r="BA84" s="405"/>
      <c r="BB84" s="405"/>
      <c r="BC84" s="405"/>
      <c r="BD84" s="405"/>
      <c r="BE84" s="405"/>
      <c r="BF84" s="405"/>
      <c r="BG84" s="405"/>
      <c r="BH84" s="405"/>
      <c r="BI84" s="405"/>
      <c r="BJ84" s="405"/>
      <c r="BK84" s="405"/>
      <c r="BL84" s="405"/>
      <c r="BM84" s="405"/>
      <c r="BN84" s="405"/>
      <c r="BO84" s="405"/>
      <c r="BP84" s="405"/>
      <c r="BQ84" s="405"/>
      <c r="BR84" s="405"/>
      <c r="BS84" s="405"/>
      <c r="BT84" s="405"/>
      <c r="BU84" s="405"/>
      <c r="BV84" s="405"/>
      <c r="BW84" s="405"/>
      <c r="BX84" s="405"/>
      <c r="BY84" s="405"/>
      <c r="BZ84" s="405"/>
      <c r="CA84" s="405"/>
      <c r="CB84" s="406"/>
      <c r="CC84" s="95"/>
      <c r="CD84" s="95"/>
      <c r="CE84" s="181"/>
      <c r="CF84" s="273"/>
      <c r="CG84" s="256"/>
      <c r="CH84" s="256"/>
      <c r="CI84" s="256"/>
      <c r="CJ84" s="256"/>
      <c r="CK84" s="256"/>
      <c r="CL84" s="256"/>
      <c r="CM84" s="256"/>
      <c r="CN84" s="256"/>
      <c r="CO84" s="256"/>
      <c r="CP84" s="256"/>
      <c r="CQ84" s="256"/>
      <c r="CR84" s="256"/>
      <c r="CS84" s="256"/>
      <c r="CT84" s="256"/>
      <c r="CU84" s="256"/>
      <c r="CV84" s="256"/>
      <c r="CW84" s="256"/>
      <c r="CX84" s="256"/>
      <c r="CY84" s="256"/>
      <c r="CZ84" s="256"/>
      <c r="DA84" s="256"/>
      <c r="DB84" s="256"/>
      <c r="DC84" s="256"/>
      <c r="DD84" s="256"/>
      <c r="DE84" s="256"/>
      <c r="DF84" s="256"/>
      <c r="DG84" s="256"/>
      <c r="DH84" s="256"/>
      <c r="DI84" s="256"/>
      <c r="DJ84" s="256"/>
      <c r="DK84" s="256"/>
      <c r="DL84" s="256"/>
      <c r="DM84" s="256"/>
      <c r="DN84" s="256"/>
      <c r="DO84" s="256"/>
      <c r="DP84" s="256"/>
      <c r="DQ84" s="256"/>
      <c r="DR84" s="256"/>
      <c r="DS84" s="256"/>
      <c r="DT84" s="256"/>
      <c r="DU84" s="256"/>
      <c r="DV84" s="256"/>
      <c r="DW84" s="256"/>
      <c r="DX84" s="256"/>
      <c r="DY84" s="256"/>
      <c r="DZ84" s="256"/>
      <c r="EA84" s="256"/>
      <c r="EB84" s="256"/>
      <c r="EC84" s="256"/>
      <c r="ED84" s="256"/>
      <c r="EE84" s="256"/>
      <c r="EF84" s="256"/>
      <c r="EG84" s="256"/>
      <c r="EH84" s="256"/>
      <c r="EI84" s="256"/>
      <c r="EJ84" s="256"/>
      <c r="EK84" s="256"/>
      <c r="EL84" s="256"/>
      <c r="EM84" s="256"/>
      <c r="EN84" s="256"/>
      <c r="EO84" s="256"/>
      <c r="EP84" s="256"/>
      <c r="EQ84" s="256"/>
      <c r="ER84" s="256"/>
      <c r="ES84" s="256"/>
      <c r="ET84" s="256"/>
      <c r="EU84" s="256"/>
      <c r="EV84" s="256"/>
      <c r="EW84" s="256"/>
      <c r="EX84" s="256"/>
      <c r="EY84" s="256"/>
      <c r="EZ84" s="256"/>
      <c r="FA84" s="256"/>
      <c r="FB84" s="256"/>
      <c r="FC84" s="256"/>
      <c r="FD84" s="256"/>
      <c r="FE84" s="256"/>
      <c r="FF84" s="256"/>
      <c r="FG84" s="256"/>
      <c r="FH84" s="256"/>
      <c r="FI84" s="256"/>
      <c r="FJ84" s="256"/>
      <c r="FK84" s="256"/>
      <c r="FL84" s="256"/>
      <c r="FM84" s="256"/>
      <c r="FN84" s="256"/>
      <c r="FO84" s="256"/>
    </row>
    <row r="85" spans="1:171" s="31" customFormat="1" ht="19.5" customHeight="1">
      <c r="A85" s="260"/>
      <c r="B85" s="263"/>
      <c r="C85" s="262"/>
      <c r="D85" s="98"/>
      <c r="E85" s="98"/>
      <c r="F85" s="98"/>
      <c r="G85" s="98"/>
      <c r="H85" s="296" t="s">
        <v>269</v>
      </c>
      <c r="I85" s="294"/>
      <c r="J85" s="294"/>
      <c r="K85" s="294"/>
      <c r="L85" s="294"/>
      <c r="M85" s="294"/>
      <c r="N85" s="294"/>
      <c r="O85" s="294"/>
      <c r="P85" s="121"/>
      <c r="Q85" s="124"/>
      <c r="R85" s="121"/>
      <c r="S85" s="121"/>
      <c r="T85" s="121"/>
      <c r="U85" s="121"/>
      <c r="V85" s="121"/>
      <c r="W85" s="121"/>
      <c r="X85" s="121"/>
      <c r="Y85" s="121"/>
      <c r="Z85" s="121"/>
      <c r="AA85" s="121"/>
      <c r="AB85" s="121"/>
      <c r="AC85" s="121"/>
      <c r="AD85" s="121"/>
      <c r="AE85" s="121"/>
      <c r="AF85" s="121"/>
      <c r="AG85" s="121"/>
      <c r="AH85" s="121"/>
      <c r="AI85" s="121"/>
      <c r="AJ85" s="287"/>
      <c r="AK85" s="287"/>
      <c r="AL85" s="287"/>
      <c r="AM85" s="287"/>
      <c r="AN85" s="287"/>
      <c r="AO85" s="287"/>
      <c r="AP85" s="120" t="s">
        <v>311</v>
      </c>
      <c r="AQ85" s="305"/>
      <c r="AR85" s="305"/>
      <c r="AS85" s="305"/>
      <c r="AT85" s="305"/>
      <c r="AU85" s="121"/>
      <c r="AV85" s="121"/>
      <c r="AW85" s="121"/>
      <c r="AX85" s="121"/>
      <c r="AY85" s="124"/>
      <c r="AZ85" s="294"/>
      <c r="BA85" s="294"/>
      <c r="BB85" s="294"/>
      <c r="BC85" s="294"/>
      <c r="BD85" s="294"/>
      <c r="BE85" s="121"/>
      <c r="BF85" s="305"/>
      <c r="BG85" s="121"/>
      <c r="BH85" s="121"/>
      <c r="BI85" s="121"/>
      <c r="BJ85" s="121"/>
      <c r="BK85" s="121"/>
      <c r="BL85" s="121"/>
      <c r="BM85" s="121"/>
      <c r="BN85" s="121"/>
      <c r="BO85" s="121"/>
      <c r="BP85" s="121"/>
      <c r="BQ85" s="121"/>
      <c r="BR85" s="121"/>
      <c r="BS85" s="121"/>
      <c r="BT85" s="121"/>
      <c r="BU85" s="121"/>
      <c r="BV85" s="121"/>
      <c r="BW85" s="121"/>
      <c r="BX85" s="121"/>
      <c r="BY85" s="121"/>
      <c r="BZ85" s="121"/>
      <c r="CA85" s="121"/>
      <c r="CB85" s="124"/>
      <c r="CC85" s="95"/>
      <c r="CD85" s="95"/>
      <c r="CE85" s="181"/>
      <c r="CF85" s="273"/>
      <c r="CG85" s="256"/>
      <c r="CH85" s="256"/>
      <c r="CI85" s="256"/>
      <c r="CJ85" s="256"/>
      <c r="CK85" s="256"/>
      <c r="CL85" s="256"/>
      <c r="CM85" s="256"/>
      <c r="CN85" s="256"/>
      <c r="CO85" s="256"/>
      <c r="CP85" s="256"/>
      <c r="CQ85" s="256"/>
      <c r="CR85" s="256"/>
      <c r="CS85" s="256"/>
      <c r="CT85" s="256"/>
      <c r="CU85" s="256"/>
      <c r="CV85" s="256"/>
      <c r="CW85" s="256"/>
      <c r="CX85" s="256"/>
      <c r="CY85" s="256"/>
      <c r="CZ85" s="256"/>
      <c r="DA85" s="256"/>
      <c r="DB85" s="256"/>
      <c r="DC85" s="256"/>
      <c r="DD85" s="256"/>
      <c r="DE85" s="256"/>
      <c r="DF85" s="256"/>
      <c r="DG85" s="256"/>
      <c r="DH85" s="256"/>
      <c r="DI85" s="256"/>
      <c r="DJ85" s="256"/>
      <c r="DK85" s="256"/>
      <c r="DL85" s="256"/>
      <c r="DM85" s="256"/>
      <c r="DN85" s="256"/>
      <c r="DO85" s="256"/>
      <c r="DP85" s="256"/>
      <c r="DQ85" s="256"/>
      <c r="DR85" s="256"/>
      <c r="DS85" s="256"/>
      <c r="DT85" s="256"/>
      <c r="DU85" s="256"/>
      <c r="DV85" s="256"/>
      <c r="DW85" s="256"/>
      <c r="DX85" s="256"/>
      <c r="DY85" s="256"/>
      <c r="DZ85" s="256"/>
      <c r="EA85" s="256"/>
      <c r="EB85" s="256"/>
      <c r="EC85" s="256"/>
      <c r="ED85" s="256"/>
      <c r="EE85" s="256"/>
      <c r="EF85" s="256"/>
      <c r="EG85" s="256"/>
      <c r="EH85" s="256"/>
      <c r="EI85" s="256"/>
      <c r="EJ85" s="256"/>
      <c r="EK85" s="256"/>
      <c r="EL85" s="256"/>
      <c r="EM85" s="256"/>
      <c r="EN85" s="256"/>
      <c r="EO85" s="256"/>
      <c r="EP85" s="256"/>
      <c r="EQ85" s="256"/>
      <c r="ER85" s="256"/>
      <c r="ES85" s="256"/>
      <c r="ET85" s="256"/>
      <c r="EU85" s="256"/>
      <c r="EV85" s="256"/>
      <c r="EW85" s="256"/>
      <c r="EX85" s="256"/>
      <c r="EY85" s="256"/>
      <c r="EZ85" s="256"/>
      <c r="FA85" s="256"/>
      <c r="FB85" s="256"/>
      <c r="FC85" s="256"/>
      <c r="FD85" s="256"/>
      <c r="FE85" s="256"/>
      <c r="FF85" s="256"/>
      <c r="FG85" s="256"/>
      <c r="FH85" s="256"/>
      <c r="FI85" s="256"/>
      <c r="FJ85" s="256"/>
      <c r="FK85" s="256"/>
      <c r="FL85" s="256"/>
      <c r="FM85" s="256"/>
      <c r="FN85" s="256"/>
      <c r="FO85" s="256"/>
    </row>
    <row r="86" spans="1:171" s="31" customFormat="1" ht="19.5" customHeight="1">
      <c r="A86" s="260"/>
      <c r="B86" s="263"/>
      <c r="C86" s="262"/>
      <c r="D86" s="98"/>
      <c r="E86" s="98"/>
      <c r="F86" s="98"/>
      <c r="G86" s="98"/>
      <c r="H86" s="296" t="s">
        <v>170</v>
      </c>
      <c r="I86" s="294"/>
      <c r="J86" s="294"/>
      <c r="K86" s="294"/>
      <c r="L86" s="294"/>
      <c r="M86" s="294"/>
      <c r="N86" s="294"/>
      <c r="O86" s="294"/>
      <c r="P86" s="121"/>
      <c r="Q86" s="124"/>
      <c r="R86" s="121"/>
      <c r="S86" s="121"/>
      <c r="T86" s="121"/>
      <c r="U86" s="121"/>
      <c r="V86" s="121"/>
      <c r="W86" s="121"/>
      <c r="X86" s="121"/>
      <c r="Y86" s="121"/>
      <c r="Z86" s="121"/>
      <c r="AA86" s="121"/>
      <c r="AB86" s="121"/>
      <c r="AC86" s="121"/>
      <c r="AD86" s="121"/>
      <c r="AE86" s="121"/>
      <c r="AF86" s="121"/>
      <c r="AG86" s="121"/>
      <c r="AH86" s="121"/>
      <c r="AI86" s="121"/>
      <c r="AJ86" s="287"/>
      <c r="AK86" s="287"/>
      <c r="AL86" s="287"/>
      <c r="AM86" s="287"/>
      <c r="AN86" s="287"/>
      <c r="AO86" s="287"/>
      <c r="AP86" s="132" t="s">
        <v>171</v>
      </c>
      <c r="AU86" s="133"/>
      <c r="AV86" s="133"/>
      <c r="AW86" s="133"/>
      <c r="AX86" s="133"/>
      <c r="AY86" s="142"/>
      <c r="AZ86" s="294"/>
      <c r="BA86" s="294"/>
      <c r="BB86" s="294"/>
      <c r="BC86" s="294"/>
      <c r="BD86" s="294"/>
      <c r="BE86" s="121"/>
      <c r="BF86" s="305"/>
      <c r="BG86" s="121"/>
      <c r="BH86" s="121"/>
      <c r="BI86" s="121"/>
      <c r="BJ86" s="121"/>
      <c r="BK86" s="121"/>
      <c r="BL86" s="121"/>
      <c r="BM86" s="121"/>
      <c r="BN86" s="121"/>
      <c r="BO86" s="121"/>
      <c r="BP86" s="121"/>
      <c r="BQ86" s="121"/>
      <c r="BR86" s="121"/>
      <c r="BS86" s="121"/>
      <c r="BT86" s="121"/>
      <c r="BU86" s="121"/>
      <c r="BV86" s="121"/>
      <c r="BW86" s="121"/>
      <c r="BX86" s="121"/>
      <c r="BY86" s="121"/>
      <c r="BZ86" s="121"/>
      <c r="CA86" s="121"/>
      <c r="CB86" s="124"/>
      <c r="CC86" s="95"/>
      <c r="CD86" s="95"/>
      <c r="CE86" s="181"/>
      <c r="CF86" s="273"/>
      <c r="CG86" s="256"/>
      <c r="CH86" s="256"/>
      <c r="CI86" s="256"/>
      <c r="CJ86" s="256"/>
      <c r="CK86" s="256"/>
      <c r="CL86" s="256"/>
      <c r="CM86" s="256"/>
      <c r="CN86" s="256"/>
      <c r="CO86" s="256"/>
      <c r="CP86" s="256"/>
      <c r="CQ86" s="256"/>
      <c r="CR86" s="256"/>
      <c r="CS86" s="256"/>
      <c r="CT86" s="256"/>
      <c r="CU86" s="256"/>
      <c r="CV86" s="256"/>
      <c r="CW86" s="256"/>
      <c r="CX86" s="256"/>
      <c r="CY86" s="256"/>
      <c r="CZ86" s="256"/>
      <c r="DA86" s="256"/>
      <c r="DB86" s="256"/>
      <c r="DC86" s="256"/>
      <c r="DD86" s="256"/>
      <c r="DE86" s="256"/>
      <c r="DF86" s="256"/>
      <c r="DG86" s="256"/>
      <c r="DH86" s="256"/>
      <c r="DI86" s="256"/>
      <c r="DJ86" s="256"/>
      <c r="DK86" s="256"/>
      <c r="DL86" s="256"/>
      <c r="DM86" s="256"/>
      <c r="DN86" s="256"/>
      <c r="DO86" s="256"/>
      <c r="DP86" s="256"/>
      <c r="DQ86" s="256"/>
      <c r="DR86" s="256"/>
      <c r="DS86" s="256"/>
      <c r="DT86" s="256"/>
      <c r="DU86" s="256"/>
      <c r="DV86" s="256"/>
      <c r="DW86" s="256"/>
      <c r="DX86" s="256"/>
      <c r="DY86" s="256"/>
      <c r="DZ86" s="256"/>
      <c r="EA86" s="256"/>
      <c r="EB86" s="256"/>
      <c r="EC86" s="256"/>
      <c r="ED86" s="256"/>
      <c r="EE86" s="256"/>
      <c r="EF86" s="256"/>
      <c r="EG86" s="256"/>
      <c r="EH86" s="256"/>
      <c r="EI86" s="256"/>
      <c r="EJ86" s="256"/>
      <c r="EK86" s="256"/>
      <c r="EL86" s="256"/>
      <c r="EM86" s="256"/>
      <c r="EN86" s="256"/>
      <c r="EO86" s="256"/>
      <c r="EP86" s="256"/>
      <c r="EQ86" s="256"/>
      <c r="ER86" s="256"/>
      <c r="ES86" s="256"/>
      <c r="ET86" s="256"/>
      <c r="EU86" s="256"/>
      <c r="EV86" s="256"/>
      <c r="EW86" s="256"/>
      <c r="EX86" s="256"/>
      <c r="EY86" s="256"/>
      <c r="EZ86" s="256"/>
      <c r="FA86" s="256"/>
      <c r="FB86" s="256"/>
      <c r="FC86" s="256"/>
      <c r="FD86" s="256"/>
      <c r="FE86" s="256"/>
      <c r="FF86" s="256"/>
      <c r="FG86" s="256"/>
      <c r="FH86" s="256"/>
      <c r="FI86" s="256"/>
      <c r="FJ86" s="256"/>
      <c r="FK86" s="256"/>
      <c r="FL86" s="256"/>
      <c r="FM86" s="256"/>
      <c r="FN86" s="256"/>
      <c r="FO86" s="256"/>
    </row>
    <row r="87" spans="1:171" s="31" customFormat="1" ht="19.5" customHeight="1">
      <c r="A87" s="260"/>
      <c r="B87" s="263"/>
      <c r="C87" s="262"/>
      <c r="D87" s="98"/>
      <c r="E87" s="98"/>
      <c r="F87" s="98"/>
      <c r="G87" s="98"/>
      <c r="H87" s="404" t="s">
        <v>127</v>
      </c>
      <c r="I87" s="405"/>
      <c r="J87" s="405"/>
      <c r="K87" s="405"/>
      <c r="L87" s="405"/>
      <c r="M87" s="405"/>
      <c r="N87" s="405"/>
      <c r="O87" s="405"/>
      <c r="P87" s="405"/>
      <c r="Q87" s="405"/>
      <c r="R87" s="405"/>
      <c r="S87" s="405"/>
      <c r="T87" s="405"/>
      <c r="U87" s="405"/>
      <c r="V87" s="405"/>
      <c r="W87" s="405"/>
      <c r="X87" s="405"/>
      <c r="Y87" s="405"/>
      <c r="Z87" s="405"/>
      <c r="AA87" s="405"/>
      <c r="AB87" s="405"/>
      <c r="AC87" s="405"/>
      <c r="AD87" s="405"/>
      <c r="AE87" s="405"/>
      <c r="AF87" s="405"/>
      <c r="AG87" s="405"/>
      <c r="AH87" s="405"/>
      <c r="AI87" s="405"/>
      <c r="AJ87" s="405"/>
      <c r="AK87" s="405"/>
      <c r="AL87" s="405"/>
      <c r="AM87" s="405"/>
      <c r="AN87" s="405"/>
      <c r="AO87" s="405"/>
      <c r="AP87" s="405"/>
      <c r="AQ87" s="405"/>
      <c r="AR87" s="405"/>
      <c r="AS87" s="405"/>
      <c r="AT87" s="405"/>
      <c r="AU87" s="405"/>
      <c r="AV87" s="405"/>
      <c r="AW87" s="405"/>
      <c r="AX87" s="405"/>
      <c r="AY87" s="405"/>
      <c r="AZ87" s="405"/>
      <c r="BA87" s="405"/>
      <c r="BB87" s="405"/>
      <c r="BC87" s="405"/>
      <c r="BD87" s="405"/>
      <c r="BE87" s="405"/>
      <c r="BF87" s="405"/>
      <c r="BG87" s="405"/>
      <c r="BH87" s="405"/>
      <c r="BI87" s="405"/>
      <c r="BJ87" s="405"/>
      <c r="BK87" s="405"/>
      <c r="BL87" s="405"/>
      <c r="BM87" s="405"/>
      <c r="BN87" s="405"/>
      <c r="BO87" s="405"/>
      <c r="BP87" s="405"/>
      <c r="BQ87" s="405"/>
      <c r="BR87" s="405"/>
      <c r="BS87" s="405"/>
      <c r="BT87" s="405"/>
      <c r="BU87" s="405"/>
      <c r="BV87" s="405"/>
      <c r="BW87" s="405"/>
      <c r="BX87" s="405"/>
      <c r="BY87" s="405"/>
      <c r="BZ87" s="405"/>
      <c r="CA87" s="405"/>
      <c r="CB87" s="406"/>
      <c r="CC87" s="95"/>
      <c r="CD87" s="95"/>
      <c r="CE87" s="181"/>
      <c r="CF87" s="273"/>
      <c r="CG87" s="256"/>
      <c r="CH87" s="256"/>
      <c r="CI87" s="256"/>
      <c r="CJ87" s="256"/>
      <c r="CK87" s="256"/>
      <c r="CL87" s="256"/>
      <c r="CM87" s="256"/>
      <c r="CN87" s="256"/>
      <c r="CO87" s="256"/>
      <c r="CP87" s="256"/>
      <c r="CQ87" s="256"/>
      <c r="CR87" s="256"/>
      <c r="CS87" s="256"/>
      <c r="CT87" s="256"/>
      <c r="CU87" s="256"/>
      <c r="CV87" s="256"/>
      <c r="CW87" s="256"/>
      <c r="CX87" s="256"/>
      <c r="CY87" s="256"/>
      <c r="CZ87" s="256"/>
      <c r="DA87" s="256"/>
      <c r="DB87" s="256"/>
      <c r="DC87" s="256"/>
      <c r="DD87" s="256"/>
      <c r="DE87" s="256"/>
      <c r="DF87" s="256"/>
      <c r="DG87" s="256"/>
      <c r="DH87" s="256"/>
      <c r="DI87" s="256"/>
      <c r="DJ87" s="256"/>
      <c r="DK87" s="256"/>
      <c r="DL87" s="256"/>
      <c r="DM87" s="256"/>
      <c r="DN87" s="256"/>
      <c r="DO87" s="256"/>
      <c r="DP87" s="256"/>
      <c r="DQ87" s="256"/>
      <c r="DR87" s="256"/>
      <c r="DS87" s="256"/>
      <c r="DT87" s="256"/>
      <c r="DU87" s="256"/>
      <c r="DV87" s="256"/>
      <c r="DW87" s="256"/>
      <c r="DX87" s="256"/>
      <c r="DY87" s="256"/>
      <c r="DZ87" s="256"/>
      <c r="EA87" s="256"/>
      <c r="EB87" s="256"/>
      <c r="EC87" s="256"/>
      <c r="ED87" s="256"/>
      <c r="EE87" s="256"/>
      <c r="EF87" s="256"/>
      <c r="EG87" s="256"/>
      <c r="EH87" s="256"/>
      <c r="EI87" s="256"/>
      <c r="EJ87" s="256"/>
      <c r="EK87" s="256"/>
      <c r="EL87" s="256"/>
      <c r="EM87" s="256"/>
      <c r="EN87" s="256"/>
      <c r="EO87" s="256"/>
      <c r="EP87" s="256"/>
      <c r="EQ87" s="256"/>
      <c r="ER87" s="256"/>
      <c r="ES87" s="256"/>
      <c r="ET87" s="256"/>
      <c r="EU87" s="256"/>
      <c r="EV87" s="256"/>
      <c r="EW87" s="256"/>
      <c r="EX87" s="256"/>
      <c r="EY87" s="256"/>
      <c r="EZ87" s="256"/>
      <c r="FA87" s="256"/>
      <c r="FB87" s="256"/>
      <c r="FC87" s="256"/>
      <c r="FD87" s="256"/>
      <c r="FE87" s="256"/>
      <c r="FF87" s="256"/>
      <c r="FG87" s="256"/>
      <c r="FH87" s="256"/>
      <c r="FI87" s="256"/>
      <c r="FJ87" s="256"/>
      <c r="FK87" s="256"/>
      <c r="FL87" s="256"/>
      <c r="FM87" s="256"/>
      <c r="FN87" s="256"/>
      <c r="FO87" s="256"/>
    </row>
    <row r="88" spans="1:171" s="31" customFormat="1" ht="19.5" customHeight="1">
      <c r="A88" s="260"/>
      <c r="B88" s="263"/>
      <c r="C88" s="262"/>
      <c r="D88" s="98"/>
      <c r="E88" s="98"/>
      <c r="F88" s="98"/>
      <c r="G88" s="98"/>
      <c r="H88" s="123" t="s">
        <v>306</v>
      </c>
      <c r="I88" s="121"/>
      <c r="J88" s="121"/>
      <c r="K88" s="121"/>
      <c r="L88" s="121"/>
      <c r="M88" s="121"/>
      <c r="N88" s="121"/>
      <c r="O88" s="121"/>
      <c r="P88" s="121"/>
      <c r="Q88" s="121"/>
      <c r="R88" s="120"/>
      <c r="S88" s="121"/>
      <c r="T88" s="121"/>
      <c r="U88" s="122"/>
      <c r="V88" s="121"/>
      <c r="W88" s="287"/>
      <c r="X88" s="287"/>
      <c r="Y88" s="287"/>
      <c r="Z88" s="287"/>
      <c r="AA88" s="287"/>
      <c r="AB88" s="287"/>
      <c r="AC88" s="287"/>
      <c r="AD88" s="287"/>
      <c r="AE88" s="122"/>
      <c r="AF88" s="287"/>
      <c r="AG88" s="287"/>
      <c r="AH88" s="287"/>
      <c r="AI88" s="287"/>
      <c r="AJ88" s="287"/>
      <c r="AK88" s="287"/>
      <c r="AL88" s="287"/>
      <c r="AM88" s="287"/>
      <c r="AN88" s="287"/>
      <c r="AO88" s="287"/>
      <c r="AP88" s="123" t="s">
        <v>307</v>
      </c>
      <c r="AQ88" s="121"/>
      <c r="AR88" s="121"/>
      <c r="AS88" s="121"/>
      <c r="AT88" s="121"/>
      <c r="AU88" s="121"/>
      <c r="AV88" s="121"/>
      <c r="AW88" s="121"/>
      <c r="AX88" s="121"/>
      <c r="AY88" s="121"/>
      <c r="AZ88" s="120"/>
      <c r="BA88" s="121"/>
      <c r="BB88" s="121"/>
      <c r="BC88" s="122"/>
      <c r="BD88" s="121"/>
      <c r="BE88" s="287"/>
      <c r="BF88" s="287"/>
      <c r="BG88" s="287"/>
      <c r="BH88" s="287"/>
      <c r="BI88" s="287"/>
      <c r="BJ88" s="287"/>
      <c r="BK88" s="287"/>
      <c r="BL88" s="287"/>
      <c r="BM88" s="122"/>
      <c r="BN88" s="287"/>
      <c r="BO88" s="287"/>
      <c r="BP88" s="287"/>
      <c r="BQ88" s="287"/>
      <c r="BR88" s="287"/>
      <c r="BS88" s="287"/>
      <c r="BT88" s="287"/>
      <c r="BU88" s="287"/>
      <c r="BV88" s="287"/>
      <c r="BW88" s="287"/>
      <c r="BX88" s="287"/>
      <c r="BY88" s="287"/>
      <c r="BZ88" s="130"/>
      <c r="CA88" s="130"/>
      <c r="CB88" s="131"/>
      <c r="CC88" s="95"/>
      <c r="CD88" s="95"/>
      <c r="CE88" s="181"/>
      <c r="CF88" s="273"/>
      <c r="CG88" s="256"/>
      <c r="CH88" s="256"/>
      <c r="CI88" s="256"/>
      <c r="CJ88" s="256"/>
      <c r="CK88" s="256"/>
      <c r="CL88" s="256"/>
      <c r="CM88" s="256"/>
      <c r="CN88" s="256"/>
      <c r="CO88" s="256"/>
      <c r="CP88" s="256"/>
      <c r="CQ88" s="256"/>
      <c r="CR88" s="256"/>
      <c r="CS88" s="256"/>
      <c r="CT88" s="256"/>
      <c r="CU88" s="256"/>
      <c r="CV88" s="256"/>
      <c r="CW88" s="256"/>
      <c r="CX88" s="256"/>
      <c r="CY88" s="256"/>
      <c r="CZ88" s="256"/>
      <c r="DA88" s="256"/>
      <c r="DB88" s="256"/>
      <c r="DC88" s="256"/>
      <c r="DD88" s="256"/>
      <c r="DE88" s="256"/>
      <c r="DF88" s="256"/>
      <c r="DG88" s="256"/>
      <c r="DH88" s="256"/>
      <c r="DI88" s="256"/>
      <c r="DJ88" s="256"/>
      <c r="DK88" s="256"/>
      <c r="DL88" s="256"/>
      <c r="DM88" s="256"/>
      <c r="DN88" s="256"/>
      <c r="DO88" s="256"/>
      <c r="DP88" s="256"/>
      <c r="DQ88" s="256"/>
      <c r="DR88" s="256"/>
      <c r="DS88" s="256"/>
      <c r="DT88" s="256"/>
      <c r="DU88" s="256"/>
      <c r="DV88" s="256"/>
      <c r="DW88" s="256"/>
      <c r="DX88" s="256"/>
      <c r="DY88" s="256"/>
      <c r="DZ88" s="256"/>
      <c r="EA88" s="256"/>
      <c r="EB88" s="256"/>
      <c r="EC88" s="256"/>
      <c r="ED88" s="256"/>
      <c r="EE88" s="256"/>
      <c r="EF88" s="256"/>
      <c r="EG88" s="256"/>
      <c r="EH88" s="256"/>
      <c r="EI88" s="256"/>
      <c r="EJ88" s="256"/>
      <c r="EK88" s="256"/>
      <c r="EL88" s="256"/>
      <c r="EM88" s="256"/>
      <c r="EN88" s="256"/>
      <c r="EO88" s="256"/>
      <c r="EP88" s="256"/>
      <c r="EQ88" s="256"/>
      <c r="ER88" s="256"/>
      <c r="ES88" s="256"/>
      <c r="ET88" s="256"/>
      <c r="EU88" s="256"/>
      <c r="EV88" s="256"/>
      <c r="EW88" s="256"/>
      <c r="EX88" s="256"/>
      <c r="EY88" s="256"/>
      <c r="EZ88" s="256"/>
      <c r="FA88" s="256"/>
      <c r="FB88" s="256"/>
      <c r="FC88" s="256"/>
      <c r="FD88" s="256"/>
      <c r="FE88" s="256"/>
      <c r="FF88" s="256"/>
      <c r="FG88" s="256"/>
      <c r="FH88" s="256"/>
      <c r="FI88" s="256"/>
      <c r="FJ88" s="256"/>
      <c r="FK88" s="256"/>
      <c r="FL88" s="256"/>
      <c r="FM88" s="256"/>
      <c r="FN88" s="256"/>
      <c r="FO88" s="256"/>
    </row>
    <row r="89" spans="1:171" s="31" customFormat="1" ht="19.5" customHeight="1">
      <c r="A89" s="260"/>
      <c r="B89" s="263"/>
      <c r="C89" s="262"/>
      <c r="D89" s="98"/>
      <c r="E89" s="98"/>
      <c r="F89" s="98"/>
      <c r="G89" s="98"/>
      <c r="H89" s="120" t="s">
        <v>169</v>
      </c>
      <c r="I89" s="121"/>
      <c r="J89" s="121"/>
      <c r="K89" s="121"/>
      <c r="L89" s="121"/>
      <c r="M89" s="121"/>
      <c r="N89" s="287"/>
      <c r="O89" s="287"/>
      <c r="P89" s="287"/>
      <c r="Q89" s="133"/>
      <c r="R89" s="120" t="s">
        <v>305</v>
      </c>
      <c r="S89" s="77"/>
      <c r="T89" s="101"/>
      <c r="U89" s="101"/>
      <c r="V89" s="101"/>
      <c r="W89" s="101"/>
      <c r="X89" s="101"/>
      <c r="Y89" s="101"/>
      <c r="Z89" s="106"/>
      <c r="AA89" s="106"/>
      <c r="AB89" s="106"/>
      <c r="AC89" s="106"/>
      <c r="AD89" s="100"/>
      <c r="AE89" s="100"/>
      <c r="AF89" s="101"/>
      <c r="AG89" s="100"/>
      <c r="AH89" s="100"/>
      <c r="AI89" s="100"/>
      <c r="AJ89" s="101"/>
      <c r="AK89" s="100"/>
      <c r="AL89" s="287"/>
      <c r="AM89" s="287"/>
      <c r="AN89" s="287"/>
      <c r="AO89" s="287"/>
      <c r="AP89" s="123" t="s">
        <v>308</v>
      </c>
      <c r="AQ89" s="121"/>
      <c r="AR89" s="121"/>
      <c r="AS89" s="121"/>
      <c r="AT89" s="121"/>
      <c r="AU89" s="121"/>
      <c r="AV89" s="121"/>
      <c r="AW89" s="121"/>
      <c r="AX89" s="121"/>
      <c r="AY89" s="121"/>
      <c r="AZ89" s="134"/>
      <c r="BA89" s="135"/>
      <c r="BB89" s="135"/>
      <c r="BC89" s="135"/>
      <c r="BD89" s="135"/>
      <c r="BE89" s="135"/>
      <c r="BF89" s="136"/>
      <c r="BG89" s="135"/>
      <c r="BH89" s="135"/>
      <c r="BI89" s="121"/>
      <c r="BJ89" s="121"/>
      <c r="BK89" s="121"/>
      <c r="BL89" s="121"/>
      <c r="BM89" s="121"/>
      <c r="BN89" s="121"/>
      <c r="BO89" s="121"/>
      <c r="BP89" s="121"/>
      <c r="BQ89" s="121"/>
      <c r="BR89" s="121"/>
      <c r="BS89" s="121"/>
      <c r="BT89" s="287"/>
      <c r="BU89" s="100"/>
      <c r="BV89" s="100"/>
      <c r="BW89" s="100"/>
      <c r="BX89" s="130"/>
      <c r="BY89" s="130"/>
      <c r="BZ89" s="130"/>
      <c r="CA89" s="130"/>
      <c r="CB89" s="131"/>
      <c r="CC89" s="95"/>
      <c r="CD89" s="95"/>
      <c r="CE89" s="181"/>
      <c r="CF89" s="273"/>
      <c r="CG89" s="256"/>
      <c r="CH89" s="256"/>
      <c r="CI89" s="256"/>
      <c r="CJ89" s="256"/>
      <c r="CK89" s="256"/>
      <c r="CL89" s="256"/>
      <c r="CM89" s="256"/>
      <c r="CN89" s="256"/>
      <c r="CO89" s="256"/>
      <c r="CP89" s="256"/>
      <c r="CQ89" s="256"/>
      <c r="CR89" s="256"/>
      <c r="CS89" s="256"/>
      <c r="CT89" s="256"/>
      <c r="CU89" s="256"/>
      <c r="CV89" s="256"/>
      <c r="CW89" s="256"/>
      <c r="CX89" s="256"/>
      <c r="CY89" s="256"/>
      <c r="CZ89" s="256"/>
      <c r="DA89" s="256"/>
      <c r="DB89" s="256"/>
      <c r="DC89" s="256"/>
      <c r="DD89" s="256"/>
      <c r="DE89" s="256"/>
      <c r="DF89" s="256"/>
      <c r="DG89" s="256"/>
      <c r="DH89" s="256"/>
      <c r="DI89" s="256"/>
      <c r="DJ89" s="256"/>
      <c r="DK89" s="256"/>
      <c r="DL89" s="256"/>
      <c r="DM89" s="256"/>
      <c r="DN89" s="256"/>
      <c r="DO89" s="256"/>
      <c r="DP89" s="256"/>
      <c r="DQ89" s="256"/>
      <c r="DR89" s="256"/>
      <c r="DS89" s="256"/>
      <c r="DT89" s="256"/>
      <c r="DU89" s="256"/>
      <c r="DV89" s="256"/>
      <c r="DW89" s="256"/>
      <c r="DX89" s="256"/>
      <c r="DY89" s="256"/>
      <c r="DZ89" s="256"/>
      <c r="EA89" s="256"/>
      <c r="EB89" s="256"/>
      <c r="EC89" s="256"/>
      <c r="ED89" s="256"/>
      <c r="EE89" s="256"/>
      <c r="EF89" s="256"/>
      <c r="EG89" s="256"/>
      <c r="EH89" s="256"/>
      <c r="EI89" s="256"/>
      <c r="EJ89" s="256"/>
      <c r="EK89" s="256"/>
      <c r="EL89" s="256"/>
      <c r="EM89" s="256"/>
      <c r="EN89" s="256"/>
      <c r="EO89" s="256"/>
      <c r="EP89" s="256"/>
      <c r="EQ89" s="256"/>
      <c r="ER89" s="256"/>
      <c r="ES89" s="256"/>
      <c r="ET89" s="256"/>
      <c r="EU89" s="256"/>
      <c r="EV89" s="256"/>
      <c r="EW89" s="256"/>
      <c r="EX89" s="256"/>
      <c r="EY89" s="256"/>
      <c r="EZ89" s="256"/>
      <c r="FA89" s="256"/>
      <c r="FB89" s="256"/>
      <c r="FC89" s="256"/>
      <c r="FD89" s="256"/>
      <c r="FE89" s="256"/>
      <c r="FF89" s="256"/>
      <c r="FG89" s="256"/>
      <c r="FH89" s="256"/>
      <c r="FI89" s="256"/>
      <c r="FJ89" s="256"/>
      <c r="FK89" s="256"/>
      <c r="FL89" s="256"/>
      <c r="FM89" s="256"/>
      <c r="FN89" s="256"/>
      <c r="FO89" s="256"/>
    </row>
    <row r="90" spans="1:171" s="31" customFormat="1" ht="19.5" customHeight="1">
      <c r="A90" s="260"/>
      <c r="B90" s="263"/>
      <c r="C90" s="262"/>
      <c r="D90" s="98"/>
      <c r="E90" s="98"/>
      <c r="F90" s="98"/>
      <c r="G90" s="98"/>
      <c r="H90" s="120" t="s">
        <v>371</v>
      </c>
      <c r="I90" s="133"/>
      <c r="J90" s="133"/>
      <c r="K90" s="133"/>
      <c r="L90" s="133"/>
      <c r="M90" s="133"/>
      <c r="N90" s="133"/>
      <c r="O90" s="133"/>
      <c r="P90" s="133"/>
      <c r="Q90" s="133"/>
      <c r="R90" s="120"/>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33"/>
      <c r="BQ90" s="133"/>
      <c r="BR90" s="133"/>
      <c r="BS90" s="133"/>
      <c r="BT90" s="295"/>
      <c r="BU90" s="295"/>
      <c r="BV90" s="130"/>
      <c r="BW90" s="130"/>
      <c r="BX90" s="130"/>
      <c r="BY90" s="130"/>
      <c r="BZ90" s="130"/>
      <c r="CA90" s="130"/>
      <c r="CB90" s="131"/>
      <c r="CC90" s="95"/>
      <c r="CD90" s="95"/>
      <c r="CE90" s="181"/>
      <c r="CF90" s="273"/>
      <c r="CG90" s="256"/>
      <c r="CH90" s="256"/>
      <c r="CI90" s="256"/>
      <c r="CJ90" s="256"/>
      <c r="CK90" s="256"/>
      <c r="CL90" s="256"/>
      <c r="CM90" s="256"/>
      <c r="CN90" s="256"/>
      <c r="CO90" s="256"/>
      <c r="CP90" s="256"/>
      <c r="CQ90" s="256"/>
      <c r="CR90" s="256"/>
      <c r="CS90" s="256"/>
      <c r="CT90" s="256"/>
      <c r="CU90" s="256"/>
      <c r="CV90" s="256"/>
      <c r="CW90" s="256"/>
      <c r="CX90" s="256"/>
      <c r="CY90" s="256"/>
      <c r="CZ90" s="256"/>
      <c r="DA90" s="256"/>
      <c r="DB90" s="256"/>
      <c r="DC90" s="256"/>
      <c r="DD90" s="256"/>
      <c r="DE90" s="256"/>
      <c r="DF90" s="256"/>
      <c r="DG90" s="256"/>
      <c r="DH90" s="256"/>
      <c r="DI90" s="256"/>
      <c r="DJ90" s="256"/>
      <c r="DK90" s="256"/>
      <c r="DL90" s="256"/>
      <c r="DM90" s="256"/>
      <c r="DN90" s="256"/>
      <c r="DO90" s="256"/>
      <c r="DP90" s="256"/>
      <c r="DQ90" s="256"/>
      <c r="DR90" s="256"/>
      <c r="DS90" s="256"/>
      <c r="DT90" s="256"/>
      <c r="DU90" s="256"/>
      <c r="DV90" s="256"/>
      <c r="DW90" s="256"/>
      <c r="DX90" s="256"/>
      <c r="DY90" s="256"/>
      <c r="DZ90" s="256"/>
      <c r="EA90" s="256"/>
      <c r="EB90" s="256"/>
      <c r="EC90" s="256"/>
      <c r="ED90" s="256"/>
      <c r="EE90" s="256"/>
      <c r="EF90" s="256"/>
      <c r="EG90" s="256"/>
      <c r="EH90" s="256"/>
      <c r="EI90" s="256"/>
      <c r="EJ90" s="256"/>
      <c r="EK90" s="256"/>
      <c r="EL90" s="256"/>
      <c r="EM90" s="256"/>
      <c r="EN90" s="256"/>
      <c r="EO90" s="256"/>
      <c r="EP90" s="256"/>
      <c r="EQ90" s="256"/>
      <c r="ER90" s="256"/>
      <c r="ES90" s="256"/>
      <c r="ET90" s="256"/>
      <c r="EU90" s="256"/>
      <c r="EV90" s="256"/>
      <c r="EW90" s="256"/>
      <c r="EX90" s="256"/>
      <c r="EY90" s="256"/>
      <c r="EZ90" s="256"/>
      <c r="FA90" s="256"/>
      <c r="FB90" s="256"/>
      <c r="FC90" s="256"/>
      <c r="FD90" s="256"/>
      <c r="FE90" s="256"/>
      <c r="FF90" s="256"/>
      <c r="FG90" s="256"/>
      <c r="FH90" s="256"/>
      <c r="FI90" s="256"/>
      <c r="FJ90" s="256"/>
      <c r="FK90" s="256"/>
      <c r="FL90" s="256"/>
      <c r="FM90" s="256"/>
      <c r="FN90" s="256"/>
      <c r="FO90" s="256"/>
    </row>
    <row r="91" spans="1:171" s="31" customFormat="1" ht="19.5" customHeight="1">
      <c r="A91" s="260"/>
      <c r="B91" s="263"/>
      <c r="C91" s="262"/>
      <c r="D91" s="98"/>
      <c r="E91" s="98"/>
      <c r="F91" s="98"/>
      <c r="G91" s="98"/>
      <c r="H91" s="132" t="s">
        <v>370</v>
      </c>
      <c r="I91" s="133"/>
      <c r="J91" s="133"/>
      <c r="K91" s="133"/>
      <c r="L91" s="133"/>
      <c r="M91" s="133"/>
      <c r="N91" s="133"/>
      <c r="O91" s="133"/>
      <c r="P91" s="133"/>
      <c r="Q91" s="133"/>
      <c r="R91" s="120"/>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20" t="s">
        <v>372</v>
      </c>
      <c r="AQ91" s="121"/>
      <c r="AR91" s="121"/>
      <c r="AS91" s="121"/>
      <c r="AT91" s="121"/>
      <c r="AU91" s="121"/>
      <c r="AV91" s="121"/>
      <c r="AW91" s="121"/>
      <c r="AX91" s="121"/>
      <c r="AY91" s="124"/>
      <c r="AZ91" s="121"/>
      <c r="BA91" s="121"/>
      <c r="BB91" s="121"/>
      <c r="BC91" s="121"/>
      <c r="BD91" s="121"/>
      <c r="BE91" s="121"/>
      <c r="BF91" s="121"/>
      <c r="BG91" s="121"/>
      <c r="BH91" s="121"/>
      <c r="BI91" s="121"/>
      <c r="BJ91" s="121"/>
      <c r="BK91" s="121"/>
      <c r="BL91" s="121"/>
      <c r="BM91" s="121"/>
      <c r="BN91" s="121"/>
      <c r="BO91" s="121"/>
      <c r="BP91" s="133"/>
      <c r="BQ91" s="133"/>
      <c r="BR91" s="133"/>
      <c r="BS91" s="133"/>
      <c r="BT91" s="295"/>
      <c r="BU91" s="295"/>
      <c r="BV91" s="130"/>
      <c r="BW91" s="130"/>
      <c r="BX91" s="130"/>
      <c r="BY91" s="130"/>
      <c r="BZ91" s="130"/>
      <c r="CA91" s="130"/>
      <c r="CB91" s="131"/>
      <c r="CC91" s="95"/>
      <c r="CD91" s="95"/>
      <c r="CE91" s="181"/>
      <c r="CF91" s="273"/>
      <c r="CG91" s="256"/>
      <c r="CH91" s="256"/>
      <c r="CI91" s="256"/>
      <c r="CJ91" s="256"/>
      <c r="CK91" s="256"/>
      <c r="CL91" s="256"/>
      <c r="CM91" s="256"/>
      <c r="CN91" s="256"/>
      <c r="CO91" s="256"/>
      <c r="CP91" s="256"/>
      <c r="CQ91" s="256"/>
      <c r="CR91" s="256"/>
      <c r="CS91" s="256"/>
      <c r="CT91" s="256"/>
      <c r="CU91" s="256"/>
      <c r="CV91" s="256"/>
      <c r="CW91" s="256"/>
      <c r="CX91" s="256"/>
      <c r="CY91" s="256"/>
      <c r="CZ91" s="256"/>
      <c r="DA91" s="256"/>
      <c r="DB91" s="256"/>
      <c r="DC91" s="256"/>
      <c r="DD91" s="256"/>
      <c r="DE91" s="256"/>
      <c r="DF91" s="256"/>
      <c r="DG91" s="256"/>
      <c r="DH91" s="256"/>
      <c r="DI91" s="256"/>
      <c r="DJ91" s="256"/>
      <c r="DK91" s="256"/>
      <c r="DL91" s="256"/>
      <c r="DM91" s="256"/>
      <c r="DN91" s="256"/>
      <c r="DO91" s="256"/>
      <c r="DP91" s="256"/>
      <c r="DQ91" s="256"/>
      <c r="DR91" s="256"/>
      <c r="DS91" s="256"/>
      <c r="DT91" s="256"/>
      <c r="DU91" s="256"/>
      <c r="DV91" s="256"/>
      <c r="DW91" s="256"/>
      <c r="DX91" s="256"/>
      <c r="DY91" s="256"/>
      <c r="DZ91" s="256"/>
      <c r="EA91" s="256"/>
      <c r="EB91" s="256"/>
      <c r="EC91" s="256"/>
      <c r="ED91" s="256"/>
      <c r="EE91" s="256"/>
      <c r="EF91" s="256"/>
      <c r="EG91" s="256"/>
      <c r="EH91" s="256"/>
      <c r="EI91" s="256"/>
      <c r="EJ91" s="256"/>
      <c r="EK91" s="256"/>
      <c r="EL91" s="256"/>
      <c r="EM91" s="256"/>
      <c r="EN91" s="256"/>
      <c r="EO91" s="256"/>
      <c r="EP91" s="256"/>
      <c r="EQ91" s="256"/>
      <c r="ER91" s="256"/>
      <c r="ES91" s="256"/>
      <c r="ET91" s="256"/>
      <c r="EU91" s="256"/>
      <c r="EV91" s="256"/>
      <c r="EW91" s="256"/>
      <c r="EX91" s="256"/>
      <c r="EY91" s="256"/>
      <c r="EZ91" s="256"/>
      <c r="FA91" s="256"/>
      <c r="FB91" s="256"/>
      <c r="FC91" s="256"/>
      <c r="FD91" s="256"/>
      <c r="FE91" s="256"/>
      <c r="FF91" s="256"/>
      <c r="FG91" s="256"/>
      <c r="FH91" s="256"/>
      <c r="FI91" s="256"/>
      <c r="FJ91" s="256"/>
      <c r="FK91" s="256"/>
      <c r="FL91" s="256"/>
      <c r="FM91" s="256"/>
      <c r="FN91" s="256"/>
      <c r="FO91" s="256"/>
    </row>
    <row r="92" spans="1:171" s="31" customFormat="1" ht="19.5" customHeight="1">
      <c r="A92" s="260"/>
      <c r="B92" s="263"/>
      <c r="C92" s="262"/>
      <c r="D92" s="98"/>
      <c r="E92" s="98"/>
      <c r="F92" s="98"/>
      <c r="G92" s="98"/>
      <c r="H92" s="132" t="s">
        <v>134</v>
      </c>
      <c r="I92" s="133"/>
      <c r="J92" s="133"/>
      <c r="K92" s="133"/>
      <c r="L92" s="133"/>
      <c r="M92" s="133"/>
      <c r="N92" s="133"/>
      <c r="O92" s="133"/>
      <c r="P92" s="133"/>
      <c r="Q92" s="133"/>
      <c r="R92" s="120"/>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20" t="s">
        <v>139</v>
      </c>
      <c r="AQ92" s="121"/>
      <c r="AR92" s="121"/>
      <c r="AS92" s="121"/>
      <c r="AT92" s="121"/>
      <c r="AU92" s="121"/>
      <c r="AV92" s="121"/>
      <c r="AW92" s="121"/>
      <c r="AX92" s="121"/>
      <c r="AY92" s="124"/>
      <c r="AZ92" s="121"/>
      <c r="BA92" s="121"/>
      <c r="BB92" s="121"/>
      <c r="BC92" s="121"/>
      <c r="BD92" s="121"/>
      <c r="BE92" s="121"/>
      <c r="BF92" s="121"/>
      <c r="BG92" s="121"/>
      <c r="BH92" s="121"/>
      <c r="BI92" s="121"/>
      <c r="BJ92" s="121"/>
      <c r="BK92" s="121"/>
      <c r="BL92" s="121"/>
      <c r="BM92" s="121"/>
      <c r="BN92" s="121"/>
      <c r="BO92" s="121"/>
      <c r="BP92" s="133"/>
      <c r="BQ92" s="133"/>
      <c r="BR92" s="133"/>
      <c r="BS92" s="133"/>
      <c r="BT92" s="295"/>
      <c r="BU92" s="295"/>
      <c r="BV92" s="130"/>
      <c r="BW92" s="130"/>
      <c r="BX92" s="130"/>
      <c r="BY92" s="130"/>
      <c r="BZ92" s="130"/>
      <c r="CA92" s="130"/>
      <c r="CB92" s="131"/>
      <c r="CC92" s="95"/>
      <c r="CD92" s="95"/>
      <c r="CE92" s="181"/>
      <c r="CF92" s="273"/>
      <c r="CG92" s="256"/>
      <c r="CH92" s="256"/>
      <c r="CI92" s="256"/>
      <c r="CJ92" s="256"/>
      <c r="CK92" s="256"/>
      <c r="CL92" s="256"/>
      <c r="CM92" s="256"/>
      <c r="CN92" s="256"/>
      <c r="CO92" s="256"/>
      <c r="CP92" s="256"/>
      <c r="CQ92" s="256"/>
      <c r="CR92" s="256"/>
      <c r="CS92" s="256"/>
      <c r="CT92" s="256"/>
      <c r="CU92" s="256"/>
      <c r="CV92" s="256"/>
      <c r="CW92" s="256"/>
      <c r="CX92" s="256"/>
      <c r="CY92" s="256"/>
      <c r="CZ92" s="256"/>
      <c r="DA92" s="256"/>
      <c r="DB92" s="256"/>
      <c r="DC92" s="256"/>
      <c r="DD92" s="256"/>
      <c r="DE92" s="256"/>
      <c r="DF92" s="256"/>
      <c r="DG92" s="256"/>
      <c r="DH92" s="256"/>
      <c r="DI92" s="256"/>
      <c r="DJ92" s="256"/>
      <c r="DK92" s="256"/>
      <c r="DL92" s="256"/>
      <c r="DM92" s="256"/>
      <c r="DN92" s="256"/>
      <c r="DO92" s="256"/>
      <c r="DP92" s="256"/>
      <c r="DQ92" s="256"/>
      <c r="DR92" s="256"/>
      <c r="DS92" s="256"/>
      <c r="DT92" s="256"/>
      <c r="DU92" s="256"/>
      <c r="DV92" s="256"/>
      <c r="DW92" s="256"/>
      <c r="DX92" s="256"/>
      <c r="DY92" s="256"/>
      <c r="DZ92" s="256"/>
      <c r="EA92" s="256"/>
      <c r="EB92" s="256"/>
      <c r="EC92" s="256"/>
      <c r="ED92" s="256"/>
      <c r="EE92" s="256"/>
      <c r="EF92" s="256"/>
      <c r="EG92" s="256"/>
      <c r="EH92" s="256"/>
      <c r="EI92" s="256"/>
      <c r="EJ92" s="256"/>
      <c r="EK92" s="256"/>
      <c r="EL92" s="256"/>
      <c r="EM92" s="256"/>
      <c r="EN92" s="256"/>
      <c r="EO92" s="256"/>
      <c r="EP92" s="256"/>
      <c r="EQ92" s="256"/>
      <c r="ER92" s="256"/>
      <c r="ES92" s="256"/>
      <c r="ET92" s="256"/>
      <c r="EU92" s="256"/>
      <c r="EV92" s="256"/>
      <c r="EW92" s="256"/>
      <c r="EX92" s="256"/>
      <c r="EY92" s="256"/>
      <c r="EZ92" s="256"/>
      <c r="FA92" s="256"/>
      <c r="FB92" s="256"/>
      <c r="FC92" s="256"/>
      <c r="FD92" s="256"/>
      <c r="FE92" s="256"/>
      <c r="FF92" s="256"/>
      <c r="FG92" s="256"/>
      <c r="FH92" s="256"/>
      <c r="FI92" s="256"/>
      <c r="FJ92" s="256"/>
      <c r="FK92" s="256"/>
      <c r="FL92" s="256"/>
      <c r="FM92" s="256"/>
      <c r="FN92" s="256"/>
      <c r="FO92" s="256"/>
    </row>
    <row r="93" spans="1:171" s="31" customFormat="1" ht="19.5" customHeight="1">
      <c r="A93" s="260"/>
      <c r="B93" s="263"/>
      <c r="C93" s="262"/>
      <c r="D93" s="98"/>
      <c r="E93" s="98"/>
      <c r="F93" s="98"/>
      <c r="G93" s="98"/>
      <c r="H93" s="132" t="s">
        <v>304</v>
      </c>
      <c r="I93" s="133"/>
      <c r="J93" s="133"/>
      <c r="K93" s="133"/>
      <c r="L93" s="133"/>
      <c r="M93" s="133"/>
      <c r="N93" s="133"/>
      <c r="O93" s="133"/>
      <c r="P93" s="133"/>
      <c r="Q93" s="133"/>
      <c r="R93" s="120"/>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20" t="s">
        <v>142</v>
      </c>
      <c r="AQ93" s="121"/>
      <c r="AR93" s="121"/>
      <c r="AS93" s="121"/>
      <c r="AT93" s="121"/>
      <c r="AU93" s="121"/>
      <c r="AV93" s="121"/>
      <c r="AW93" s="121"/>
      <c r="AX93" s="121"/>
      <c r="AY93" s="124"/>
      <c r="AZ93" s="121"/>
      <c r="BA93" s="121"/>
      <c r="BB93" s="121"/>
      <c r="BC93" s="121"/>
      <c r="BD93" s="121"/>
      <c r="BE93" s="121"/>
      <c r="BF93" s="121"/>
      <c r="BG93" s="121"/>
      <c r="BH93" s="121"/>
      <c r="BI93" s="121"/>
      <c r="BJ93" s="121"/>
      <c r="BK93" s="121"/>
      <c r="BL93" s="121"/>
      <c r="BM93" s="121"/>
      <c r="BN93" s="121"/>
      <c r="BO93" s="121"/>
      <c r="BP93" s="133"/>
      <c r="BQ93" s="133"/>
      <c r="BR93" s="133"/>
      <c r="BS93" s="133"/>
      <c r="BT93" s="295"/>
      <c r="BU93" s="295"/>
      <c r="BV93" s="130"/>
      <c r="BW93" s="130"/>
      <c r="BX93" s="130"/>
      <c r="BY93" s="130"/>
      <c r="BZ93" s="130"/>
      <c r="CA93" s="130"/>
      <c r="CB93" s="131"/>
      <c r="CC93" s="95"/>
      <c r="CD93" s="95"/>
      <c r="CE93" s="181"/>
      <c r="CF93" s="273"/>
      <c r="CG93" s="256"/>
      <c r="CH93" s="256"/>
      <c r="CI93" s="256"/>
      <c r="CJ93" s="256"/>
      <c r="CK93" s="256"/>
      <c r="CL93" s="256"/>
      <c r="CM93" s="256"/>
      <c r="CN93" s="256"/>
      <c r="CO93" s="256"/>
      <c r="CP93" s="256"/>
      <c r="CQ93" s="256"/>
      <c r="CR93" s="256"/>
      <c r="CS93" s="256"/>
      <c r="CT93" s="256"/>
      <c r="CU93" s="256"/>
      <c r="CV93" s="256"/>
      <c r="CW93" s="256"/>
      <c r="CX93" s="256"/>
      <c r="CY93" s="256"/>
      <c r="CZ93" s="256"/>
      <c r="DA93" s="256"/>
      <c r="DB93" s="256"/>
      <c r="DC93" s="256"/>
      <c r="DD93" s="256"/>
      <c r="DE93" s="256"/>
      <c r="DF93" s="256"/>
      <c r="DG93" s="256"/>
      <c r="DH93" s="256"/>
      <c r="DI93" s="256"/>
      <c r="DJ93" s="256"/>
      <c r="DK93" s="256"/>
      <c r="DL93" s="256"/>
      <c r="DM93" s="256"/>
      <c r="DN93" s="256"/>
      <c r="DO93" s="256"/>
      <c r="DP93" s="256"/>
      <c r="DQ93" s="256"/>
      <c r="DR93" s="256"/>
      <c r="DS93" s="256"/>
      <c r="DT93" s="256"/>
      <c r="DU93" s="256"/>
      <c r="DV93" s="256"/>
      <c r="DW93" s="256"/>
      <c r="DX93" s="256"/>
      <c r="DY93" s="256"/>
      <c r="DZ93" s="256"/>
      <c r="EA93" s="256"/>
      <c r="EB93" s="256"/>
      <c r="EC93" s="256"/>
      <c r="ED93" s="256"/>
      <c r="EE93" s="256"/>
      <c r="EF93" s="256"/>
      <c r="EG93" s="256"/>
      <c r="EH93" s="256"/>
      <c r="EI93" s="256"/>
      <c r="EJ93" s="256"/>
      <c r="EK93" s="256"/>
      <c r="EL93" s="256"/>
      <c r="EM93" s="256"/>
      <c r="EN93" s="256"/>
      <c r="EO93" s="256"/>
      <c r="EP93" s="256"/>
      <c r="EQ93" s="256"/>
      <c r="ER93" s="256"/>
      <c r="ES93" s="256"/>
      <c r="ET93" s="256"/>
      <c r="EU93" s="256"/>
      <c r="EV93" s="256"/>
      <c r="EW93" s="256"/>
      <c r="EX93" s="256"/>
      <c r="EY93" s="256"/>
      <c r="EZ93" s="256"/>
      <c r="FA93" s="256"/>
      <c r="FB93" s="256"/>
      <c r="FC93" s="256"/>
      <c r="FD93" s="256"/>
      <c r="FE93" s="256"/>
      <c r="FF93" s="256"/>
      <c r="FG93" s="256"/>
      <c r="FH93" s="256"/>
      <c r="FI93" s="256"/>
      <c r="FJ93" s="256"/>
      <c r="FK93" s="256"/>
      <c r="FL93" s="256"/>
      <c r="FM93" s="256"/>
      <c r="FN93" s="256"/>
      <c r="FO93" s="256"/>
    </row>
    <row r="94" spans="1:171" s="31" customFormat="1" ht="19.5" customHeight="1">
      <c r="A94" s="260"/>
      <c r="B94" s="263"/>
      <c r="C94" s="262"/>
      <c r="D94" s="98"/>
      <c r="E94" s="98"/>
      <c r="F94" s="98"/>
      <c r="G94" s="98"/>
      <c r="H94" s="404"/>
      <c r="I94" s="405"/>
      <c r="J94" s="405"/>
      <c r="K94" s="405"/>
      <c r="L94" s="405"/>
      <c r="M94" s="405"/>
      <c r="N94" s="405"/>
      <c r="O94" s="405"/>
      <c r="P94" s="405"/>
      <c r="Q94" s="405"/>
      <c r="R94" s="405"/>
      <c r="S94" s="405"/>
      <c r="T94" s="405"/>
      <c r="U94" s="405"/>
      <c r="V94" s="405"/>
      <c r="W94" s="405"/>
      <c r="X94" s="405"/>
      <c r="Y94" s="405"/>
      <c r="Z94" s="405"/>
      <c r="AA94" s="405"/>
      <c r="AB94" s="405"/>
      <c r="AC94" s="405"/>
      <c r="AD94" s="405"/>
      <c r="AE94" s="405"/>
      <c r="AF94" s="405"/>
      <c r="AG94" s="405"/>
      <c r="AH94" s="405"/>
      <c r="AI94" s="405"/>
      <c r="AJ94" s="405"/>
      <c r="AK94" s="405"/>
      <c r="AL94" s="405"/>
      <c r="AM94" s="405"/>
      <c r="AN94" s="405"/>
      <c r="AO94" s="405"/>
      <c r="AP94" s="405"/>
      <c r="AQ94" s="405"/>
      <c r="AR94" s="405"/>
      <c r="AS94" s="405"/>
      <c r="AT94" s="405"/>
      <c r="AU94" s="405"/>
      <c r="AV94" s="405"/>
      <c r="AW94" s="405"/>
      <c r="AX94" s="405"/>
      <c r="AY94" s="405"/>
      <c r="AZ94" s="405"/>
      <c r="BA94" s="405"/>
      <c r="BB94" s="405"/>
      <c r="BC94" s="405"/>
      <c r="BD94" s="405"/>
      <c r="BE94" s="405"/>
      <c r="BF94" s="405"/>
      <c r="BG94" s="405"/>
      <c r="BH94" s="405"/>
      <c r="BI94" s="405"/>
      <c r="BJ94" s="405"/>
      <c r="BK94" s="405"/>
      <c r="BL94" s="405"/>
      <c r="BM94" s="405"/>
      <c r="BN94" s="405"/>
      <c r="BO94" s="405"/>
      <c r="BP94" s="405"/>
      <c r="BQ94" s="405"/>
      <c r="BR94" s="405"/>
      <c r="BS94" s="405"/>
      <c r="BT94" s="405"/>
      <c r="BU94" s="405"/>
      <c r="BV94" s="405"/>
      <c r="BW94" s="405"/>
      <c r="BX94" s="405"/>
      <c r="BY94" s="405"/>
      <c r="BZ94" s="405"/>
      <c r="CA94" s="405"/>
      <c r="CB94" s="406"/>
      <c r="CC94" s="95"/>
      <c r="CD94" s="95"/>
      <c r="CE94" s="181"/>
      <c r="CF94" s="273"/>
      <c r="CG94" s="256"/>
      <c r="CH94" s="256"/>
      <c r="CI94" s="256"/>
      <c r="CJ94" s="256"/>
      <c r="CK94" s="256"/>
      <c r="CL94" s="256"/>
      <c r="CM94" s="256"/>
      <c r="CN94" s="256"/>
      <c r="CO94" s="256"/>
      <c r="CP94" s="256"/>
      <c r="CQ94" s="256"/>
      <c r="CR94" s="256"/>
      <c r="CS94" s="256"/>
      <c r="CT94" s="256"/>
      <c r="CU94" s="256"/>
      <c r="CV94" s="256"/>
      <c r="CW94" s="256"/>
      <c r="CX94" s="256"/>
      <c r="CY94" s="256"/>
      <c r="CZ94" s="256"/>
      <c r="DA94" s="256"/>
      <c r="DB94" s="256"/>
      <c r="DC94" s="256"/>
      <c r="DD94" s="256"/>
      <c r="DE94" s="256"/>
      <c r="DF94" s="256"/>
      <c r="DG94" s="256"/>
      <c r="DH94" s="256"/>
      <c r="DI94" s="256"/>
      <c r="DJ94" s="256"/>
      <c r="DK94" s="256"/>
      <c r="DL94" s="256"/>
      <c r="DM94" s="256"/>
      <c r="DN94" s="256"/>
      <c r="DO94" s="256"/>
      <c r="DP94" s="256"/>
      <c r="DQ94" s="256"/>
      <c r="DR94" s="256"/>
      <c r="DS94" s="256"/>
      <c r="DT94" s="256"/>
      <c r="DU94" s="256"/>
      <c r="DV94" s="256"/>
      <c r="DW94" s="256"/>
      <c r="DX94" s="256"/>
      <c r="DY94" s="256"/>
      <c r="DZ94" s="256"/>
      <c r="EA94" s="256"/>
      <c r="EB94" s="256"/>
      <c r="EC94" s="256"/>
      <c r="ED94" s="256"/>
      <c r="EE94" s="256"/>
      <c r="EF94" s="256"/>
      <c r="EG94" s="256"/>
      <c r="EH94" s="256"/>
      <c r="EI94" s="256"/>
      <c r="EJ94" s="256"/>
      <c r="EK94" s="256"/>
      <c r="EL94" s="256"/>
      <c r="EM94" s="256"/>
      <c r="EN94" s="256"/>
      <c r="EO94" s="256"/>
      <c r="EP94" s="256"/>
      <c r="EQ94" s="256"/>
      <c r="ER94" s="256"/>
      <c r="ES94" s="256"/>
      <c r="ET94" s="256"/>
      <c r="EU94" s="256"/>
      <c r="EV94" s="256"/>
      <c r="EW94" s="256"/>
      <c r="EX94" s="256"/>
      <c r="EY94" s="256"/>
      <c r="EZ94" s="256"/>
      <c r="FA94" s="256"/>
      <c r="FB94" s="256"/>
      <c r="FC94" s="256"/>
      <c r="FD94" s="256"/>
      <c r="FE94" s="256"/>
      <c r="FF94" s="256"/>
      <c r="FG94" s="256"/>
      <c r="FH94" s="256"/>
      <c r="FI94" s="256"/>
      <c r="FJ94" s="256"/>
      <c r="FK94" s="256"/>
      <c r="FL94" s="256"/>
      <c r="FM94" s="256"/>
      <c r="FN94" s="256"/>
      <c r="FO94" s="256"/>
    </row>
    <row r="95" spans="1:171" s="31" customFormat="1" ht="20.25" customHeight="1">
      <c r="A95" s="260"/>
      <c r="B95" s="263"/>
      <c r="C95" s="262"/>
      <c r="D95" s="98"/>
      <c r="E95" s="98"/>
      <c r="F95" s="98"/>
      <c r="G95" s="98"/>
      <c r="H95" s="306"/>
      <c r="I95" s="183"/>
      <c r="J95" s="183"/>
      <c r="K95" s="183"/>
      <c r="L95" s="183"/>
      <c r="M95" s="183"/>
      <c r="N95" s="184"/>
      <c r="O95" s="184"/>
      <c r="P95" s="184"/>
      <c r="Q95" s="184"/>
      <c r="R95" s="184"/>
      <c r="S95" s="184"/>
      <c r="T95" s="184"/>
      <c r="U95" s="184"/>
      <c r="V95" s="184"/>
      <c r="W95" s="184"/>
      <c r="X95" s="184"/>
      <c r="Y95" s="184"/>
      <c r="Z95" s="184"/>
      <c r="AA95" s="184"/>
      <c r="AB95" s="184"/>
      <c r="AC95" s="184"/>
      <c r="AD95" s="184"/>
      <c r="AE95" s="184"/>
      <c r="AF95" s="184"/>
      <c r="AG95" s="184"/>
      <c r="AH95" s="184"/>
      <c r="AI95" s="184"/>
      <c r="AJ95" s="184"/>
      <c r="AK95" s="184"/>
      <c r="AL95" s="184"/>
      <c r="AM95" s="184"/>
      <c r="AN95" s="184"/>
      <c r="AO95" s="184"/>
      <c r="AP95" s="184"/>
      <c r="AQ95" s="184"/>
      <c r="AR95" s="184"/>
      <c r="AS95" s="184"/>
      <c r="AT95" s="184"/>
      <c r="AU95" s="184"/>
      <c r="AV95" s="184"/>
      <c r="AW95" s="184"/>
      <c r="AX95" s="184"/>
      <c r="AY95" s="184"/>
      <c r="AZ95" s="184"/>
      <c r="BA95" s="184"/>
      <c r="BB95" s="184"/>
      <c r="BC95" s="184"/>
      <c r="BD95" s="184"/>
      <c r="BE95" s="184"/>
      <c r="BF95" s="184"/>
      <c r="BG95" s="184"/>
      <c r="BH95" s="184"/>
      <c r="BI95" s="184"/>
      <c r="BJ95" s="184"/>
      <c r="BK95" s="184"/>
      <c r="BL95" s="184"/>
      <c r="BM95" s="183"/>
      <c r="BN95" s="183"/>
      <c r="BO95" s="184"/>
      <c r="BP95" s="184"/>
      <c r="BQ95" s="184"/>
      <c r="BR95" s="184"/>
      <c r="BS95" s="184"/>
      <c r="BT95" s="184"/>
      <c r="BU95" s="184"/>
      <c r="BV95" s="184"/>
      <c r="BW95" s="184"/>
      <c r="BX95" s="185"/>
      <c r="BY95" s="179"/>
      <c r="BZ95" s="179"/>
      <c r="CA95" s="179"/>
      <c r="CB95" s="179"/>
      <c r="CC95" s="179"/>
      <c r="CD95" s="95"/>
      <c r="CE95" s="181"/>
      <c r="CF95" s="273"/>
      <c r="CG95" s="256"/>
      <c r="CH95" s="256"/>
      <c r="CI95" s="256"/>
      <c r="CJ95" s="256"/>
      <c r="CK95" s="256"/>
      <c r="CL95" s="256"/>
      <c r="CM95" s="256"/>
      <c r="CN95" s="256"/>
      <c r="CO95" s="256"/>
      <c r="CP95" s="256"/>
      <c r="CQ95" s="256"/>
      <c r="CR95" s="256"/>
      <c r="CS95" s="256"/>
      <c r="CT95" s="256"/>
      <c r="CU95" s="256"/>
      <c r="CV95" s="256"/>
      <c r="CW95" s="256"/>
      <c r="CX95" s="256"/>
      <c r="CY95" s="256"/>
      <c r="CZ95" s="256"/>
      <c r="DA95" s="256"/>
      <c r="DB95" s="256"/>
      <c r="DC95" s="256"/>
      <c r="DD95" s="256"/>
      <c r="DE95" s="256"/>
      <c r="DF95" s="256"/>
      <c r="DG95" s="256"/>
      <c r="DH95" s="256"/>
      <c r="DI95" s="256"/>
      <c r="DJ95" s="256"/>
      <c r="DK95" s="256"/>
      <c r="DL95" s="256"/>
      <c r="DM95" s="256"/>
      <c r="DN95" s="256"/>
      <c r="DO95" s="256"/>
      <c r="DP95" s="256"/>
      <c r="DQ95" s="256"/>
      <c r="DR95" s="256"/>
      <c r="DS95" s="256"/>
      <c r="DT95" s="256"/>
      <c r="DU95" s="256"/>
      <c r="DV95" s="256"/>
      <c r="DW95" s="256"/>
      <c r="DX95" s="256"/>
      <c r="DY95" s="256"/>
      <c r="DZ95" s="256"/>
      <c r="EA95" s="256"/>
      <c r="EB95" s="256"/>
      <c r="EC95" s="256"/>
      <c r="ED95" s="256"/>
      <c r="EE95" s="256"/>
      <c r="EF95" s="256"/>
      <c r="EG95" s="256"/>
      <c r="EH95" s="256"/>
      <c r="EI95" s="256"/>
      <c r="EJ95" s="256"/>
      <c r="EK95" s="256"/>
      <c r="EL95" s="256"/>
      <c r="EM95" s="256"/>
      <c r="EN95" s="256"/>
      <c r="EO95" s="256"/>
      <c r="EP95" s="256"/>
      <c r="EQ95" s="256"/>
      <c r="ER95" s="256"/>
      <c r="ES95" s="256"/>
      <c r="ET95" s="256"/>
      <c r="EU95" s="256"/>
      <c r="EV95" s="256"/>
      <c r="EW95" s="256"/>
      <c r="EX95" s="256"/>
      <c r="EY95" s="256"/>
      <c r="EZ95" s="256"/>
      <c r="FA95" s="256"/>
      <c r="FB95" s="256"/>
      <c r="FC95" s="256"/>
      <c r="FD95" s="256"/>
      <c r="FE95" s="256"/>
      <c r="FF95" s="256"/>
      <c r="FG95" s="256"/>
      <c r="FH95" s="256"/>
      <c r="FI95" s="256"/>
      <c r="FJ95" s="256"/>
      <c r="FK95" s="256"/>
      <c r="FL95" s="256"/>
      <c r="FM95" s="256"/>
      <c r="FN95" s="256"/>
      <c r="FO95" s="256"/>
    </row>
    <row r="96" spans="1:171" s="31" customFormat="1" ht="19.5" customHeight="1">
      <c r="A96" s="260"/>
      <c r="B96" s="263"/>
      <c r="C96" s="262"/>
      <c r="D96" s="98"/>
      <c r="E96" s="98"/>
      <c r="F96" s="98"/>
      <c r="G96" s="98"/>
      <c r="H96" s="404" t="s">
        <v>85</v>
      </c>
      <c r="I96" s="405"/>
      <c r="J96" s="405"/>
      <c r="K96" s="405"/>
      <c r="L96" s="405"/>
      <c r="M96" s="405"/>
      <c r="N96" s="405"/>
      <c r="O96" s="405"/>
      <c r="P96" s="405"/>
      <c r="Q96" s="405"/>
      <c r="R96" s="405"/>
      <c r="S96" s="405"/>
      <c r="T96" s="405"/>
      <c r="U96" s="405"/>
      <c r="V96" s="405"/>
      <c r="W96" s="405"/>
      <c r="X96" s="405"/>
      <c r="Y96" s="405"/>
      <c r="Z96" s="405"/>
      <c r="AA96" s="405"/>
      <c r="AB96" s="405"/>
      <c r="AC96" s="405"/>
      <c r="AD96" s="405"/>
      <c r="AE96" s="405"/>
      <c r="AF96" s="405"/>
      <c r="AG96" s="405"/>
      <c r="AH96" s="405"/>
      <c r="AI96" s="405"/>
      <c r="AJ96" s="405"/>
      <c r="AK96" s="405"/>
      <c r="AL96" s="405"/>
      <c r="AM96" s="405"/>
      <c r="AN96" s="405"/>
      <c r="AO96" s="405"/>
      <c r="AP96" s="405"/>
      <c r="AQ96" s="405"/>
      <c r="AR96" s="405"/>
      <c r="AS96" s="405"/>
      <c r="AT96" s="405"/>
      <c r="AU96" s="405"/>
      <c r="AV96" s="405"/>
      <c r="AW96" s="405"/>
      <c r="AX96" s="405"/>
      <c r="AY96" s="405"/>
      <c r="AZ96" s="405"/>
      <c r="BA96" s="405"/>
      <c r="BB96" s="405"/>
      <c r="BC96" s="405"/>
      <c r="BD96" s="405"/>
      <c r="BE96" s="405"/>
      <c r="BF96" s="405"/>
      <c r="BG96" s="405"/>
      <c r="BH96" s="405"/>
      <c r="BI96" s="405"/>
      <c r="BJ96" s="405"/>
      <c r="BK96" s="405"/>
      <c r="BL96" s="405"/>
      <c r="BM96" s="405"/>
      <c r="BN96" s="405"/>
      <c r="BO96" s="405"/>
      <c r="BP96" s="405"/>
      <c r="BQ96" s="405"/>
      <c r="BR96" s="405"/>
      <c r="BS96" s="405"/>
      <c r="BT96" s="405"/>
      <c r="BU96" s="405"/>
      <c r="BV96" s="405"/>
      <c r="BW96" s="405"/>
      <c r="BX96" s="405"/>
      <c r="BY96" s="405"/>
      <c r="BZ96" s="405"/>
      <c r="CA96" s="405"/>
      <c r="CB96" s="406"/>
      <c r="CC96" s="179"/>
      <c r="CD96" s="95"/>
      <c r="CE96" s="187"/>
      <c r="CF96" s="273"/>
      <c r="CG96" s="256"/>
      <c r="CH96" s="256"/>
      <c r="CI96" s="256"/>
      <c r="CJ96" s="256"/>
      <c r="CK96" s="256"/>
      <c r="CL96" s="256"/>
      <c r="CM96" s="256"/>
      <c r="CN96" s="256"/>
      <c r="CO96" s="256"/>
      <c r="CP96" s="256"/>
      <c r="CQ96" s="256"/>
      <c r="CR96" s="256"/>
      <c r="CS96" s="256"/>
      <c r="CT96" s="256"/>
      <c r="CU96" s="256"/>
      <c r="CV96" s="256"/>
      <c r="CW96" s="256"/>
      <c r="CX96" s="256"/>
      <c r="CY96" s="256"/>
      <c r="CZ96" s="256"/>
      <c r="DA96" s="256"/>
      <c r="DB96" s="256"/>
      <c r="DC96" s="256"/>
      <c r="DD96" s="256"/>
      <c r="DE96" s="256"/>
      <c r="DF96" s="256"/>
      <c r="DG96" s="256"/>
      <c r="DH96" s="256"/>
      <c r="DI96" s="256"/>
      <c r="DJ96" s="256"/>
      <c r="DK96" s="256"/>
      <c r="DL96" s="256"/>
      <c r="DM96" s="256"/>
      <c r="DN96" s="256"/>
      <c r="DO96" s="256"/>
      <c r="DP96" s="256"/>
      <c r="DQ96" s="256"/>
      <c r="DR96" s="256"/>
      <c r="DS96" s="256"/>
      <c r="DT96" s="256"/>
      <c r="DU96" s="256"/>
      <c r="DV96" s="256"/>
      <c r="DW96" s="256"/>
      <c r="DX96" s="256"/>
      <c r="DY96" s="256"/>
      <c r="DZ96" s="256"/>
      <c r="EA96" s="256"/>
      <c r="EB96" s="256"/>
      <c r="EC96" s="256"/>
      <c r="ED96" s="256"/>
      <c r="EE96" s="256"/>
      <c r="EF96" s="256"/>
      <c r="EG96" s="256"/>
      <c r="EH96" s="256"/>
      <c r="EI96" s="256"/>
      <c r="EJ96" s="256"/>
      <c r="EK96" s="256"/>
      <c r="EL96" s="256"/>
      <c r="EM96" s="256"/>
      <c r="EN96" s="256"/>
      <c r="EO96" s="256"/>
      <c r="EP96" s="256"/>
      <c r="EQ96" s="256"/>
      <c r="ER96" s="256"/>
      <c r="ES96" s="256"/>
      <c r="ET96" s="256"/>
      <c r="EU96" s="256"/>
      <c r="EV96" s="256"/>
      <c r="EW96" s="256"/>
      <c r="EX96" s="256"/>
      <c r="EY96" s="256"/>
      <c r="EZ96" s="256"/>
      <c r="FA96" s="256"/>
      <c r="FB96" s="256"/>
      <c r="FC96" s="256"/>
      <c r="FD96" s="256"/>
      <c r="FE96" s="256"/>
      <c r="FF96" s="256"/>
      <c r="FG96" s="256"/>
      <c r="FH96" s="256"/>
      <c r="FI96" s="256"/>
      <c r="FJ96" s="256"/>
      <c r="FK96" s="256"/>
      <c r="FL96" s="256"/>
      <c r="FM96" s="256"/>
      <c r="FN96" s="256"/>
      <c r="FO96" s="256"/>
    </row>
    <row r="97" spans="1:171" s="31" customFormat="1" ht="19.5" customHeight="1">
      <c r="A97" s="260"/>
      <c r="B97" s="263"/>
      <c r="C97" s="262"/>
      <c r="D97" s="98"/>
      <c r="E97" s="98"/>
      <c r="F97" s="98"/>
      <c r="G97" s="98"/>
      <c r="H97" s="168" t="s">
        <v>220</v>
      </c>
      <c r="I97" s="169"/>
      <c r="J97" s="169"/>
      <c r="K97" s="169"/>
      <c r="L97" s="169"/>
      <c r="M97" s="169"/>
      <c r="N97" s="169"/>
      <c r="O97" s="169"/>
      <c r="P97" s="169"/>
      <c r="Q97" s="169"/>
      <c r="R97" s="169"/>
      <c r="S97" s="169"/>
      <c r="T97" s="170"/>
      <c r="U97" s="171" t="s">
        <v>96</v>
      </c>
      <c r="V97" s="169"/>
      <c r="W97" s="169"/>
      <c r="X97" s="169"/>
      <c r="Y97" s="169"/>
      <c r="Z97" s="169"/>
      <c r="AA97" s="169"/>
      <c r="AB97" s="169"/>
      <c r="AC97" s="169"/>
      <c r="AD97" s="169"/>
      <c r="AE97" s="169"/>
      <c r="AF97" s="169"/>
      <c r="AG97" s="169"/>
      <c r="AH97" s="169"/>
      <c r="AI97" s="169"/>
      <c r="AJ97" s="169"/>
      <c r="AK97" s="169"/>
      <c r="AL97" s="169"/>
      <c r="AM97" s="169"/>
      <c r="AN97" s="169"/>
      <c r="AO97" s="169"/>
      <c r="AP97" s="169"/>
      <c r="AQ97" s="169"/>
      <c r="AR97" s="169"/>
      <c r="AS97" s="169"/>
      <c r="AT97" s="169"/>
      <c r="AU97" s="169"/>
      <c r="AV97" s="169"/>
      <c r="AW97" s="169"/>
      <c r="AX97" s="169"/>
      <c r="AY97" s="168" t="s">
        <v>97</v>
      </c>
      <c r="AZ97" s="172"/>
      <c r="BA97" s="172"/>
      <c r="BB97" s="172"/>
      <c r="BC97" s="172"/>
      <c r="BD97" s="172"/>
      <c r="BE97" s="172"/>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3"/>
      <c r="CC97" s="179"/>
      <c r="CD97" s="95"/>
      <c r="CE97" s="181"/>
      <c r="CF97" s="273"/>
      <c r="CG97" s="256"/>
      <c r="CH97" s="256"/>
      <c r="CI97" s="256"/>
      <c r="CJ97" s="256"/>
      <c r="CK97" s="256"/>
      <c r="CL97" s="256"/>
      <c r="CM97" s="256"/>
      <c r="CN97" s="256"/>
      <c r="CO97" s="256"/>
      <c r="CP97" s="256"/>
      <c r="CQ97" s="256"/>
      <c r="CR97" s="256"/>
      <c r="CS97" s="256"/>
      <c r="CT97" s="256"/>
      <c r="CU97" s="256"/>
      <c r="CV97" s="256"/>
      <c r="CW97" s="256"/>
      <c r="CX97" s="256"/>
      <c r="CY97" s="256"/>
      <c r="CZ97" s="256"/>
      <c r="DA97" s="256"/>
      <c r="DB97" s="256"/>
      <c r="DC97" s="256"/>
      <c r="DD97" s="256"/>
      <c r="DE97" s="256"/>
      <c r="DF97" s="256"/>
      <c r="DG97" s="256"/>
      <c r="DH97" s="256"/>
      <c r="DI97" s="256"/>
      <c r="DJ97" s="256"/>
      <c r="DK97" s="256"/>
      <c r="DL97" s="256"/>
      <c r="DM97" s="256"/>
      <c r="DN97" s="256"/>
      <c r="DO97" s="256"/>
      <c r="DP97" s="256"/>
      <c r="DQ97" s="256"/>
      <c r="DR97" s="256"/>
      <c r="DS97" s="256"/>
      <c r="DT97" s="256"/>
      <c r="DU97" s="256"/>
      <c r="DV97" s="256"/>
      <c r="DW97" s="256"/>
      <c r="DX97" s="256"/>
      <c r="DY97" s="256"/>
      <c r="DZ97" s="256"/>
      <c r="EA97" s="256"/>
      <c r="EB97" s="256"/>
      <c r="EC97" s="256"/>
      <c r="ED97" s="256"/>
      <c r="EE97" s="256"/>
      <c r="EF97" s="256"/>
      <c r="EG97" s="256"/>
      <c r="EH97" s="256"/>
      <c r="EI97" s="256"/>
      <c r="EJ97" s="256"/>
      <c r="EK97" s="256"/>
      <c r="EL97" s="256"/>
      <c r="EM97" s="256"/>
      <c r="EN97" s="256"/>
      <c r="EO97" s="256"/>
      <c r="EP97" s="256"/>
      <c r="EQ97" s="256"/>
      <c r="ER97" s="256"/>
      <c r="ES97" s="256"/>
      <c r="ET97" s="256"/>
      <c r="EU97" s="256"/>
      <c r="EV97" s="256"/>
      <c r="EW97" s="256"/>
      <c r="EX97" s="256"/>
      <c r="EY97" s="256"/>
      <c r="EZ97" s="256"/>
      <c r="FA97" s="256"/>
      <c r="FB97" s="256"/>
      <c r="FC97" s="256"/>
      <c r="FD97" s="256"/>
      <c r="FE97" s="256"/>
      <c r="FF97" s="256"/>
      <c r="FG97" s="256"/>
      <c r="FH97" s="256"/>
      <c r="FI97" s="256"/>
      <c r="FJ97" s="256"/>
      <c r="FK97" s="256"/>
      <c r="FL97" s="256"/>
      <c r="FM97" s="256"/>
      <c r="FN97" s="256"/>
      <c r="FO97" s="256"/>
    </row>
    <row r="98" spans="1:171" s="31" customFormat="1" ht="19.5" customHeight="1">
      <c r="A98" s="260"/>
      <c r="B98" s="263"/>
      <c r="C98" s="262"/>
      <c r="D98" s="98"/>
      <c r="E98" s="98"/>
      <c r="F98" s="98"/>
      <c r="G98" s="98"/>
      <c r="H98" s="168" t="s">
        <v>145</v>
      </c>
      <c r="I98" s="172"/>
      <c r="J98" s="172"/>
      <c r="K98" s="172"/>
      <c r="L98" s="172"/>
      <c r="M98" s="172"/>
      <c r="N98" s="172"/>
      <c r="O98" s="172"/>
      <c r="P98" s="172"/>
      <c r="Q98" s="172"/>
      <c r="R98" s="172"/>
      <c r="S98" s="174"/>
      <c r="T98" s="175"/>
      <c r="U98" s="176"/>
      <c r="V98" s="591"/>
      <c r="W98" s="591"/>
      <c r="X98" s="591"/>
      <c r="Y98" s="591"/>
      <c r="Z98" s="591"/>
      <c r="AA98" s="591"/>
      <c r="AB98" s="591"/>
      <c r="AC98" s="591"/>
      <c r="AD98" s="591"/>
      <c r="AE98" s="591"/>
      <c r="AF98" s="591"/>
      <c r="AG98" s="591"/>
      <c r="AH98" s="591"/>
      <c r="AI98" s="591"/>
      <c r="AJ98" s="591"/>
      <c r="AK98" s="591"/>
      <c r="AL98" s="591"/>
      <c r="AM98" s="591"/>
      <c r="AN98" s="591"/>
      <c r="AO98" s="591"/>
      <c r="AP98" s="591"/>
      <c r="AQ98" s="591"/>
      <c r="AR98" s="591"/>
      <c r="AS98" s="591"/>
      <c r="AT98" s="591"/>
      <c r="AU98" s="591"/>
      <c r="AV98" s="591"/>
      <c r="AW98" s="591"/>
      <c r="AX98" s="177"/>
      <c r="AY98" s="176"/>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175"/>
      <c r="CC98" s="179"/>
      <c r="CD98" s="95"/>
      <c r="CE98" s="181"/>
      <c r="CF98" s="273"/>
      <c r="CG98" s="256"/>
      <c r="CH98" s="256"/>
      <c r="CI98" s="256"/>
      <c r="CJ98" s="256"/>
      <c r="CK98" s="256"/>
      <c r="CL98" s="256"/>
      <c r="CM98" s="256"/>
      <c r="CN98" s="256"/>
      <c r="CO98" s="256"/>
      <c r="CP98" s="256"/>
      <c r="CQ98" s="256"/>
      <c r="CR98" s="256"/>
      <c r="CS98" s="256"/>
      <c r="CT98" s="256"/>
      <c r="CU98" s="256"/>
      <c r="CV98" s="256"/>
      <c r="CW98" s="256"/>
      <c r="CX98" s="256"/>
      <c r="CY98" s="256"/>
      <c r="CZ98" s="256"/>
      <c r="DA98" s="256"/>
      <c r="DB98" s="256"/>
      <c r="DC98" s="256"/>
      <c r="DD98" s="256"/>
      <c r="DE98" s="256"/>
      <c r="DF98" s="256"/>
      <c r="DG98" s="256"/>
      <c r="DH98" s="256"/>
      <c r="DI98" s="256"/>
      <c r="DJ98" s="256"/>
      <c r="DK98" s="256"/>
      <c r="DL98" s="256"/>
      <c r="DM98" s="256"/>
      <c r="DN98" s="256"/>
      <c r="DO98" s="256"/>
      <c r="DP98" s="256"/>
      <c r="DQ98" s="256"/>
      <c r="DR98" s="256"/>
      <c r="DS98" s="256"/>
      <c r="DT98" s="256"/>
      <c r="DU98" s="256"/>
      <c r="DV98" s="256"/>
      <c r="DW98" s="256"/>
      <c r="DX98" s="256"/>
      <c r="DY98" s="256"/>
      <c r="DZ98" s="256"/>
      <c r="EA98" s="256"/>
      <c r="EB98" s="256"/>
      <c r="EC98" s="256"/>
      <c r="ED98" s="256"/>
      <c r="EE98" s="256"/>
      <c r="EF98" s="256"/>
      <c r="EG98" s="256"/>
      <c r="EH98" s="256"/>
      <c r="EI98" s="256"/>
      <c r="EJ98" s="256"/>
      <c r="EK98" s="256"/>
      <c r="EL98" s="256"/>
      <c r="EM98" s="256"/>
      <c r="EN98" s="256"/>
      <c r="EO98" s="256"/>
      <c r="EP98" s="256"/>
      <c r="EQ98" s="256"/>
      <c r="ER98" s="256"/>
      <c r="ES98" s="256"/>
      <c r="ET98" s="256"/>
      <c r="EU98" s="256"/>
      <c r="EV98" s="256"/>
      <c r="EW98" s="256"/>
      <c r="EX98" s="256"/>
      <c r="EY98" s="256"/>
      <c r="EZ98" s="256"/>
      <c r="FA98" s="256"/>
      <c r="FB98" s="256"/>
      <c r="FC98" s="256"/>
      <c r="FD98" s="256"/>
      <c r="FE98" s="256"/>
      <c r="FF98" s="256"/>
      <c r="FG98" s="256"/>
      <c r="FH98" s="256"/>
      <c r="FI98" s="256"/>
      <c r="FJ98" s="256"/>
      <c r="FK98" s="256"/>
      <c r="FL98" s="256"/>
      <c r="FM98" s="256"/>
      <c r="FN98" s="256"/>
      <c r="FO98" s="256"/>
    </row>
    <row r="99" spans="1:171" s="31" customFormat="1" ht="19.5" customHeight="1">
      <c r="A99" s="260"/>
      <c r="B99" s="263"/>
      <c r="C99" s="262"/>
      <c r="D99" s="98"/>
      <c r="E99" s="98"/>
      <c r="F99" s="98"/>
      <c r="G99" s="98"/>
      <c r="H99" s="168" t="s">
        <v>144</v>
      </c>
      <c r="I99" s="172"/>
      <c r="J99" s="172"/>
      <c r="K99" s="172"/>
      <c r="L99" s="172"/>
      <c r="M99" s="172"/>
      <c r="N99" s="172"/>
      <c r="O99" s="172"/>
      <c r="P99" s="172"/>
      <c r="Q99" s="172"/>
      <c r="R99" s="172"/>
      <c r="S99" s="174"/>
      <c r="T99" s="175"/>
      <c r="U99" s="597"/>
      <c r="V99" s="598"/>
      <c r="W99" s="598"/>
      <c r="X99" s="598"/>
      <c r="Y99" s="598"/>
      <c r="Z99" s="598"/>
      <c r="AA99" s="598"/>
      <c r="AB99" s="598"/>
      <c r="AC99" s="598"/>
      <c r="AD99" s="598"/>
      <c r="AE99" s="598"/>
      <c r="AF99" s="598"/>
      <c r="AG99" s="598"/>
      <c r="AH99" s="598"/>
      <c r="AI99" s="598"/>
      <c r="AJ99" s="598"/>
      <c r="AK99" s="598"/>
      <c r="AL99" s="598"/>
      <c r="AM99" s="598"/>
      <c r="AN99" s="598"/>
      <c r="AO99" s="598"/>
      <c r="AP99" s="598"/>
      <c r="AQ99" s="598"/>
      <c r="AR99" s="598"/>
      <c r="AS99" s="598"/>
      <c r="AT99" s="598"/>
      <c r="AU99" s="598"/>
      <c r="AV99" s="598"/>
      <c r="AW99" s="598"/>
      <c r="AX99" s="177"/>
      <c r="AY99" s="176"/>
      <c r="AZ99" s="177"/>
      <c r="BA99" s="599"/>
      <c r="BB99" s="598"/>
      <c r="BC99" s="598"/>
      <c r="BD99" s="598"/>
      <c r="BE99" s="598"/>
      <c r="BF99" s="598"/>
      <c r="BG99" s="598"/>
      <c r="BH99" s="598"/>
      <c r="BI99" s="598"/>
      <c r="BJ99" s="598"/>
      <c r="BK99" s="598"/>
      <c r="BL99" s="598"/>
      <c r="BM99" s="598"/>
      <c r="BN99" s="598"/>
      <c r="BO99" s="598"/>
      <c r="BP99" s="598"/>
      <c r="BQ99" s="598"/>
      <c r="BR99" s="598"/>
      <c r="BS99" s="598"/>
      <c r="BT99" s="598"/>
      <c r="BU99" s="598"/>
      <c r="BV99" s="598"/>
      <c r="BW99" s="598"/>
      <c r="BX99" s="598"/>
      <c r="BY99" s="598"/>
      <c r="BZ99" s="598"/>
      <c r="CA99" s="598"/>
      <c r="CB99" s="175"/>
      <c r="CC99" s="179"/>
      <c r="CD99" s="95"/>
      <c r="CE99" s="181"/>
      <c r="CF99" s="273"/>
      <c r="CG99" s="256"/>
      <c r="CH99" s="256"/>
      <c r="CI99" s="256"/>
      <c r="CJ99" s="256"/>
      <c r="CK99" s="256"/>
      <c r="CL99" s="256"/>
      <c r="CM99" s="256"/>
      <c r="CN99" s="256"/>
      <c r="CO99" s="256"/>
      <c r="CP99" s="256"/>
      <c r="CQ99" s="256"/>
      <c r="CR99" s="256"/>
      <c r="CS99" s="256"/>
      <c r="CT99" s="256"/>
      <c r="CU99" s="256"/>
      <c r="CV99" s="256"/>
      <c r="CW99" s="256"/>
      <c r="CX99" s="256"/>
      <c r="CY99" s="256"/>
      <c r="CZ99" s="256"/>
      <c r="DA99" s="256"/>
      <c r="DB99" s="256"/>
      <c r="DC99" s="256"/>
      <c r="DD99" s="256"/>
      <c r="DE99" s="256"/>
      <c r="DF99" s="256"/>
      <c r="DG99" s="256"/>
      <c r="DH99" s="256"/>
      <c r="DI99" s="256"/>
      <c r="DJ99" s="256"/>
      <c r="DK99" s="256"/>
      <c r="DL99" s="256"/>
      <c r="DM99" s="256"/>
      <c r="DN99" s="256"/>
      <c r="DO99" s="256"/>
      <c r="DP99" s="256"/>
      <c r="DQ99" s="256"/>
      <c r="DR99" s="256"/>
      <c r="DS99" s="256"/>
      <c r="DT99" s="256"/>
      <c r="DU99" s="256"/>
      <c r="DV99" s="256"/>
      <c r="DW99" s="256"/>
      <c r="DX99" s="256"/>
      <c r="DY99" s="256"/>
      <c r="DZ99" s="256"/>
      <c r="EA99" s="256"/>
      <c r="EB99" s="256"/>
      <c r="EC99" s="256"/>
      <c r="ED99" s="256"/>
      <c r="EE99" s="256"/>
      <c r="EF99" s="256"/>
      <c r="EG99" s="256"/>
      <c r="EH99" s="256"/>
      <c r="EI99" s="256"/>
      <c r="EJ99" s="256"/>
      <c r="EK99" s="256"/>
      <c r="EL99" s="256"/>
      <c r="EM99" s="256"/>
      <c r="EN99" s="256"/>
      <c r="EO99" s="256"/>
      <c r="EP99" s="256"/>
      <c r="EQ99" s="256"/>
      <c r="ER99" s="256"/>
      <c r="ES99" s="256"/>
      <c r="ET99" s="256"/>
      <c r="EU99" s="256"/>
      <c r="EV99" s="256"/>
      <c r="EW99" s="256"/>
      <c r="EX99" s="256"/>
      <c r="EY99" s="256"/>
      <c r="EZ99" s="256"/>
      <c r="FA99" s="256"/>
      <c r="FB99" s="256"/>
      <c r="FC99" s="256"/>
      <c r="FD99" s="256"/>
      <c r="FE99" s="256"/>
      <c r="FF99" s="256"/>
      <c r="FG99" s="256"/>
      <c r="FH99" s="256"/>
      <c r="FI99" s="256"/>
      <c r="FJ99" s="256"/>
      <c r="FK99" s="256"/>
      <c r="FL99" s="256"/>
      <c r="FM99" s="256"/>
      <c r="FN99" s="256"/>
      <c r="FO99" s="256"/>
    </row>
    <row r="100" spans="1:171" s="31" customFormat="1" ht="19.5" customHeight="1">
      <c r="A100" s="260"/>
      <c r="B100" s="263"/>
      <c r="C100" s="262"/>
      <c r="D100" s="98"/>
      <c r="E100" s="98"/>
      <c r="F100" s="98"/>
      <c r="G100" s="98"/>
      <c r="H100" s="168" t="s">
        <v>143</v>
      </c>
      <c r="I100" s="172"/>
      <c r="J100" s="172"/>
      <c r="K100" s="172"/>
      <c r="L100" s="172"/>
      <c r="M100" s="172"/>
      <c r="N100" s="172"/>
      <c r="O100" s="172"/>
      <c r="P100" s="172"/>
      <c r="Q100" s="172"/>
      <c r="R100" s="172"/>
      <c r="S100" s="174"/>
      <c r="T100" s="175"/>
      <c r="U100" s="176"/>
      <c r="V100" s="591"/>
      <c r="W100" s="591"/>
      <c r="X100" s="591"/>
      <c r="Y100" s="591"/>
      <c r="Z100" s="591"/>
      <c r="AA100" s="591"/>
      <c r="AB100" s="591"/>
      <c r="AC100" s="591"/>
      <c r="AD100" s="591"/>
      <c r="AE100" s="591"/>
      <c r="AF100" s="591"/>
      <c r="AG100" s="591"/>
      <c r="AH100" s="591"/>
      <c r="AI100" s="591"/>
      <c r="AJ100" s="591"/>
      <c r="AK100" s="591"/>
      <c r="AL100" s="591"/>
      <c r="AM100" s="591"/>
      <c r="AN100" s="591"/>
      <c r="AO100" s="591"/>
      <c r="AP100" s="591"/>
      <c r="AQ100" s="591"/>
      <c r="AR100" s="591"/>
      <c r="AS100" s="591"/>
      <c r="AT100" s="591"/>
      <c r="AU100" s="591"/>
      <c r="AV100" s="591"/>
      <c r="AW100" s="591"/>
      <c r="AX100" s="177"/>
      <c r="AY100" s="176"/>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175"/>
      <c r="CC100" s="179"/>
      <c r="CD100" s="95"/>
      <c r="CE100" s="187"/>
      <c r="CF100" s="273"/>
      <c r="CG100" s="256"/>
      <c r="CH100" s="256"/>
      <c r="CI100" s="256"/>
      <c r="CJ100" s="256"/>
      <c r="CK100" s="256"/>
      <c r="CL100" s="256"/>
      <c r="CM100" s="256"/>
      <c r="CN100" s="256"/>
      <c r="CO100" s="256"/>
      <c r="CP100" s="256"/>
      <c r="CQ100" s="256"/>
      <c r="CR100" s="256"/>
      <c r="CS100" s="256"/>
      <c r="CT100" s="256"/>
      <c r="CU100" s="256"/>
      <c r="CV100" s="256"/>
      <c r="CW100" s="256"/>
      <c r="CX100" s="256"/>
      <c r="CY100" s="256"/>
      <c r="CZ100" s="256"/>
      <c r="DA100" s="256"/>
      <c r="DB100" s="256"/>
      <c r="DC100" s="256"/>
      <c r="DD100" s="256"/>
      <c r="DE100" s="256"/>
      <c r="DF100" s="256"/>
      <c r="DG100" s="256"/>
      <c r="DH100" s="256"/>
      <c r="DI100" s="256"/>
      <c r="DJ100" s="256"/>
      <c r="DK100" s="256"/>
      <c r="DL100" s="256"/>
      <c r="DM100" s="256"/>
      <c r="DN100" s="256"/>
      <c r="DO100" s="256"/>
      <c r="DP100" s="256"/>
      <c r="DQ100" s="256"/>
      <c r="DR100" s="256"/>
      <c r="DS100" s="256"/>
      <c r="DT100" s="256"/>
      <c r="DU100" s="256"/>
      <c r="DV100" s="256"/>
      <c r="DW100" s="256"/>
      <c r="DX100" s="256"/>
      <c r="DY100" s="256"/>
      <c r="DZ100" s="256"/>
      <c r="EA100" s="256"/>
      <c r="EB100" s="256"/>
      <c r="EC100" s="256"/>
      <c r="ED100" s="256"/>
      <c r="EE100" s="256"/>
      <c r="EF100" s="256"/>
      <c r="EG100" s="256"/>
      <c r="EH100" s="256"/>
      <c r="EI100" s="256"/>
      <c r="EJ100" s="256"/>
      <c r="EK100" s="256"/>
      <c r="EL100" s="256"/>
      <c r="EM100" s="256"/>
      <c r="EN100" s="256"/>
      <c r="EO100" s="256"/>
      <c r="EP100" s="256"/>
      <c r="EQ100" s="256"/>
      <c r="ER100" s="256"/>
      <c r="ES100" s="256"/>
      <c r="ET100" s="256"/>
      <c r="EU100" s="256"/>
      <c r="EV100" s="256"/>
      <c r="EW100" s="256"/>
      <c r="EX100" s="256"/>
      <c r="EY100" s="256"/>
      <c r="EZ100" s="256"/>
      <c r="FA100" s="256"/>
      <c r="FB100" s="256"/>
      <c r="FC100" s="256"/>
      <c r="FD100" s="256"/>
      <c r="FE100" s="256"/>
      <c r="FF100" s="256"/>
      <c r="FG100" s="256"/>
      <c r="FH100" s="256"/>
      <c r="FI100" s="256"/>
      <c r="FJ100" s="256"/>
      <c r="FK100" s="256"/>
      <c r="FL100" s="256"/>
      <c r="FM100" s="256"/>
      <c r="FN100" s="256"/>
      <c r="FO100" s="256"/>
    </row>
    <row r="101" spans="1:171" s="31" customFormat="1" ht="19.5" customHeight="1">
      <c r="A101" s="260"/>
      <c r="B101" s="263"/>
      <c r="C101" s="262"/>
      <c r="D101" s="98"/>
      <c r="E101" s="98"/>
      <c r="F101" s="98"/>
      <c r="G101" s="98"/>
      <c r="H101" s="183"/>
      <c r="I101" s="183"/>
      <c r="J101" s="183"/>
      <c r="K101" s="183"/>
      <c r="L101" s="183"/>
      <c r="M101" s="183"/>
      <c r="N101" s="184"/>
      <c r="O101" s="184"/>
      <c r="P101" s="184"/>
      <c r="Q101" s="184"/>
      <c r="R101" s="184"/>
      <c r="S101" s="184"/>
      <c r="T101" s="184"/>
      <c r="U101" s="184"/>
      <c r="V101" s="184"/>
      <c r="W101" s="184"/>
      <c r="X101" s="184"/>
      <c r="Y101" s="184"/>
      <c r="Z101" s="184"/>
      <c r="AA101" s="184"/>
      <c r="AB101" s="184"/>
      <c r="AC101" s="184"/>
      <c r="AD101" s="184"/>
      <c r="AE101" s="184"/>
      <c r="AF101" s="184"/>
      <c r="AG101" s="184"/>
      <c r="AH101" s="184"/>
      <c r="AI101" s="184"/>
      <c r="AJ101" s="184"/>
      <c r="AK101" s="184"/>
      <c r="AL101" s="184"/>
      <c r="AM101" s="184"/>
      <c r="AN101" s="184"/>
      <c r="AO101" s="184"/>
      <c r="AP101" s="184"/>
      <c r="AQ101" s="184"/>
      <c r="AR101" s="184"/>
      <c r="AS101" s="184"/>
      <c r="AT101" s="184"/>
      <c r="AU101" s="184"/>
      <c r="AV101" s="184"/>
      <c r="AW101" s="184"/>
      <c r="AX101" s="184"/>
      <c r="AY101" s="184"/>
      <c r="AZ101" s="184"/>
      <c r="BA101" s="184"/>
      <c r="BB101" s="184"/>
      <c r="BC101" s="184"/>
      <c r="BD101" s="184"/>
      <c r="BE101" s="184"/>
      <c r="BF101" s="184"/>
      <c r="BG101" s="184"/>
      <c r="BH101" s="184"/>
      <c r="BI101" s="184"/>
      <c r="BJ101" s="184"/>
      <c r="BK101" s="184"/>
      <c r="BL101" s="184"/>
      <c r="BM101" s="183"/>
      <c r="BN101" s="183"/>
      <c r="BO101" s="184"/>
      <c r="BP101" s="184"/>
      <c r="BQ101" s="184"/>
      <c r="BR101" s="184"/>
      <c r="BS101" s="184"/>
      <c r="BT101" s="184"/>
      <c r="BU101" s="184"/>
      <c r="BV101" s="184"/>
      <c r="BW101" s="184"/>
      <c r="BX101" s="185"/>
      <c r="BY101" s="179"/>
      <c r="BZ101" s="179"/>
      <c r="CA101" s="179"/>
      <c r="CB101" s="179"/>
      <c r="CC101" s="179"/>
      <c r="CD101" s="95"/>
      <c r="CE101" s="181"/>
      <c r="CF101" s="273"/>
      <c r="CG101" s="256"/>
      <c r="CH101" s="256"/>
      <c r="CI101" s="256"/>
      <c r="CJ101" s="256"/>
      <c r="CK101" s="256"/>
      <c r="CL101" s="256"/>
      <c r="CM101" s="256"/>
      <c r="CN101" s="256"/>
      <c r="CO101" s="256"/>
      <c r="CP101" s="256"/>
      <c r="CQ101" s="256"/>
      <c r="CR101" s="256"/>
      <c r="CS101" s="256"/>
      <c r="CT101" s="256"/>
      <c r="CU101" s="256"/>
      <c r="CV101" s="256"/>
      <c r="CW101" s="256"/>
      <c r="CX101" s="256"/>
      <c r="CY101" s="256"/>
      <c r="CZ101" s="256"/>
      <c r="DA101" s="256"/>
      <c r="DB101" s="256"/>
      <c r="DC101" s="256"/>
      <c r="DD101" s="256"/>
      <c r="DE101" s="256"/>
      <c r="DF101" s="256"/>
      <c r="DG101" s="256"/>
      <c r="DH101" s="256"/>
      <c r="DI101" s="256"/>
      <c r="DJ101" s="256"/>
      <c r="DK101" s="256"/>
      <c r="DL101" s="256"/>
      <c r="DM101" s="256"/>
      <c r="DN101" s="256"/>
      <c r="DO101" s="256"/>
      <c r="DP101" s="256"/>
      <c r="DQ101" s="256"/>
      <c r="DR101" s="256"/>
      <c r="DS101" s="256"/>
      <c r="DT101" s="256"/>
      <c r="DU101" s="256"/>
      <c r="DV101" s="256"/>
      <c r="DW101" s="256"/>
      <c r="DX101" s="256"/>
      <c r="DY101" s="256"/>
      <c r="DZ101" s="256"/>
      <c r="EA101" s="256"/>
      <c r="EB101" s="256"/>
      <c r="EC101" s="256"/>
      <c r="ED101" s="256"/>
      <c r="EE101" s="256"/>
      <c r="EF101" s="256"/>
      <c r="EG101" s="256"/>
      <c r="EH101" s="256"/>
      <c r="EI101" s="256"/>
      <c r="EJ101" s="256"/>
      <c r="EK101" s="256"/>
      <c r="EL101" s="256"/>
      <c r="EM101" s="256"/>
      <c r="EN101" s="256"/>
      <c r="EO101" s="256"/>
      <c r="EP101" s="256"/>
      <c r="EQ101" s="256"/>
      <c r="ER101" s="256"/>
      <c r="ES101" s="256"/>
      <c r="ET101" s="256"/>
      <c r="EU101" s="256"/>
      <c r="EV101" s="256"/>
      <c r="EW101" s="256"/>
      <c r="EX101" s="256"/>
      <c r="EY101" s="256"/>
      <c r="EZ101" s="256"/>
      <c r="FA101" s="256"/>
      <c r="FB101" s="256"/>
      <c r="FC101" s="256"/>
      <c r="FD101" s="256"/>
      <c r="FE101" s="256"/>
      <c r="FF101" s="256"/>
      <c r="FG101" s="256"/>
      <c r="FH101" s="256"/>
      <c r="FI101" s="256"/>
      <c r="FJ101" s="256"/>
      <c r="FK101" s="256"/>
      <c r="FL101" s="256"/>
      <c r="FM101" s="256"/>
      <c r="FN101" s="256"/>
      <c r="FO101" s="256"/>
    </row>
    <row r="102" spans="1:171" s="31" customFormat="1" ht="19.5" customHeight="1">
      <c r="A102" s="260"/>
      <c r="B102" s="263"/>
      <c r="C102" s="262"/>
      <c r="D102" s="98"/>
      <c r="E102" s="98"/>
      <c r="F102" s="98"/>
      <c r="G102" s="98"/>
      <c r="H102" s="183"/>
      <c r="I102" s="183"/>
      <c r="J102" s="183"/>
      <c r="K102" s="183"/>
      <c r="L102" s="183"/>
      <c r="M102" s="183"/>
      <c r="N102" s="184"/>
      <c r="O102" s="184"/>
      <c r="P102" s="184"/>
      <c r="Q102" s="184"/>
      <c r="R102" s="184"/>
      <c r="S102" s="184"/>
      <c r="T102" s="184"/>
      <c r="U102" s="184"/>
      <c r="V102" s="184"/>
      <c r="W102" s="184"/>
      <c r="X102" s="184"/>
      <c r="Y102" s="184"/>
      <c r="Z102" s="184"/>
      <c r="AA102" s="184"/>
      <c r="AB102" s="184"/>
      <c r="AC102" s="184"/>
      <c r="AD102" s="184"/>
      <c r="AE102" s="184"/>
      <c r="AF102" s="184"/>
      <c r="AG102" s="184"/>
      <c r="AH102" s="184"/>
      <c r="AI102" s="184"/>
      <c r="AJ102" s="184"/>
      <c r="AK102" s="184"/>
      <c r="AL102" s="184"/>
      <c r="AM102" s="184"/>
      <c r="AN102" s="184"/>
      <c r="AO102" s="184"/>
      <c r="AP102" s="184"/>
      <c r="AQ102" s="184"/>
      <c r="AR102" s="184"/>
      <c r="AS102" s="184"/>
      <c r="AT102" s="184"/>
      <c r="AU102" s="184"/>
      <c r="AV102" s="184"/>
      <c r="AW102" s="184"/>
      <c r="AX102" s="184"/>
      <c r="AY102" s="184"/>
      <c r="AZ102" s="184"/>
      <c r="BA102" s="184"/>
      <c r="BB102" s="184"/>
      <c r="BC102" s="184"/>
      <c r="BD102" s="184"/>
      <c r="BE102" s="184"/>
      <c r="BF102" s="184"/>
      <c r="BG102" s="184"/>
      <c r="BH102" s="184"/>
      <c r="BI102" s="184"/>
      <c r="BJ102" s="184"/>
      <c r="BK102" s="184"/>
      <c r="BL102" s="184"/>
      <c r="BM102" s="183"/>
      <c r="BN102" s="183"/>
      <c r="BO102" s="184"/>
      <c r="BP102" s="184"/>
      <c r="BQ102" s="184"/>
      <c r="BR102" s="184"/>
      <c r="BS102" s="184"/>
      <c r="BT102" s="184"/>
      <c r="BU102" s="184"/>
      <c r="BV102" s="184"/>
      <c r="BW102" s="184"/>
      <c r="BX102" s="185"/>
      <c r="BY102" s="179"/>
      <c r="BZ102" s="179"/>
      <c r="CA102" s="179"/>
      <c r="CB102" s="179"/>
      <c r="CC102" s="179"/>
      <c r="CD102" s="95"/>
      <c r="CE102" s="181"/>
      <c r="CF102" s="273"/>
      <c r="CG102" s="256"/>
      <c r="CH102" s="256"/>
      <c r="CI102" s="256"/>
      <c r="CJ102" s="256"/>
      <c r="CK102" s="256"/>
      <c r="CL102" s="256"/>
      <c r="CM102" s="256"/>
      <c r="CN102" s="256"/>
      <c r="CO102" s="256"/>
      <c r="CP102" s="256"/>
      <c r="CQ102" s="256"/>
      <c r="CR102" s="256"/>
      <c r="CS102" s="256"/>
      <c r="CT102" s="256"/>
      <c r="CU102" s="256"/>
      <c r="CV102" s="256"/>
      <c r="CW102" s="256"/>
      <c r="CX102" s="256"/>
      <c r="CY102" s="256"/>
      <c r="CZ102" s="256"/>
      <c r="DA102" s="256"/>
      <c r="DB102" s="256"/>
      <c r="DC102" s="256"/>
      <c r="DD102" s="256"/>
      <c r="DE102" s="256"/>
      <c r="DF102" s="256"/>
      <c r="DG102" s="256"/>
      <c r="DH102" s="256"/>
      <c r="DI102" s="256"/>
      <c r="DJ102" s="256"/>
      <c r="DK102" s="256"/>
      <c r="DL102" s="256"/>
      <c r="DM102" s="256"/>
      <c r="DN102" s="256"/>
      <c r="DO102" s="256"/>
      <c r="DP102" s="256"/>
      <c r="DQ102" s="256"/>
      <c r="DR102" s="256"/>
      <c r="DS102" s="256"/>
      <c r="DT102" s="256"/>
      <c r="DU102" s="256"/>
      <c r="DV102" s="256"/>
      <c r="DW102" s="256"/>
      <c r="DX102" s="256"/>
      <c r="DY102" s="256"/>
      <c r="DZ102" s="256"/>
      <c r="EA102" s="256"/>
      <c r="EB102" s="256"/>
      <c r="EC102" s="256"/>
      <c r="ED102" s="256"/>
      <c r="EE102" s="256"/>
      <c r="EF102" s="256"/>
      <c r="EG102" s="256"/>
      <c r="EH102" s="256"/>
      <c r="EI102" s="256"/>
      <c r="EJ102" s="256"/>
      <c r="EK102" s="256"/>
      <c r="EL102" s="256"/>
      <c r="EM102" s="256"/>
      <c r="EN102" s="256"/>
      <c r="EO102" s="256"/>
      <c r="EP102" s="256"/>
      <c r="EQ102" s="256"/>
      <c r="ER102" s="256"/>
      <c r="ES102" s="256"/>
      <c r="ET102" s="256"/>
      <c r="EU102" s="256"/>
      <c r="EV102" s="256"/>
      <c r="EW102" s="256"/>
      <c r="EX102" s="256"/>
      <c r="EY102" s="256"/>
      <c r="EZ102" s="256"/>
      <c r="FA102" s="256"/>
      <c r="FB102" s="256"/>
      <c r="FC102" s="256"/>
      <c r="FD102" s="256"/>
      <c r="FE102" s="256"/>
      <c r="FF102" s="256"/>
      <c r="FG102" s="256"/>
      <c r="FH102" s="256"/>
      <c r="FI102" s="256"/>
      <c r="FJ102" s="256"/>
      <c r="FK102" s="256"/>
      <c r="FL102" s="256"/>
      <c r="FM102" s="256"/>
      <c r="FN102" s="256"/>
      <c r="FO102" s="256"/>
    </row>
    <row r="103" spans="1:171" s="31" customFormat="1" ht="19.5" customHeight="1">
      <c r="A103" s="260"/>
      <c r="B103" s="263"/>
      <c r="C103" s="262"/>
      <c r="D103" s="98"/>
      <c r="E103" s="98"/>
      <c r="F103" s="98"/>
      <c r="G103" s="98"/>
      <c r="H103" s="404" t="s">
        <v>402</v>
      </c>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405"/>
      <c r="AF103" s="405"/>
      <c r="AG103" s="405"/>
      <c r="AH103" s="405"/>
      <c r="AI103" s="405"/>
      <c r="AJ103" s="405"/>
      <c r="AK103" s="405"/>
      <c r="AL103" s="405"/>
      <c r="AM103" s="405"/>
      <c r="AN103" s="405"/>
      <c r="AO103" s="405"/>
      <c r="AP103" s="405"/>
      <c r="AQ103" s="405"/>
      <c r="AR103" s="405"/>
      <c r="AS103" s="405"/>
      <c r="AT103" s="405"/>
      <c r="AU103" s="405"/>
      <c r="AV103" s="405"/>
      <c r="AW103" s="405"/>
      <c r="AX103" s="405"/>
      <c r="AY103" s="405"/>
      <c r="AZ103" s="405"/>
      <c r="BA103" s="405"/>
      <c r="BB103" s="405"/>
      <c r="BC103" s="405"/>
      <c r="BD103" s="405"/>
      <c r="BE103" s="405"/>
      <c r="BF103" s="405"/>
      <c r="BG103" s="405"/>
      <c r="BH103" s="405"/>
      <c r="BI103" s="405"/>
      <c r="BJ103" s="405"/>
      <c r="BK103" s="405"/>
      <c r="BL103" s="405"/>
      <c r="BM103" s="405"/>
      <c r="BN103" s="405"/>
      <c r="BO103" s="405"/>
      <c r="BP103" s="405"/>
      <c r="BQ103" s="405"/>
      <c r="BR103" s="405"/>
      <c r="BS103" s="405"/>
      <c r="BT103" s="405"/>
      <c r="BU103" s="405"/>
      <c r="BV103" s="405"/>
      <c r="BW103" s="405"/>
      <c r="BX103" s="405"/>
      <c r="BY103" s="405"/>
      <c r="BZ103" s="405"/>
      <c r="CA103" s="405"/>
      <c r="CB103" s="406"/>
      <c r="CC103" s="179"/>
      <c r="CD103" s="95"/>
      <c r="CE103" s="181"/>
      <c r="CF103" s="273"/>
      <c r="CG103" s="256"/>
      <c r="CH103" s="256"/>
      <c r="CI103" s="256"/>
      <c r="CJ103" s="256"/>
      <c r="CK103" s="256"/>
      <c r="CL103" s="256"/>
      <c r="CM103" s="256"/>
      <c r="CN103" s="256"/>
      <c r="CO103" s="256"/>
      <c r="CP103" s="256"/>
      <c r="CQ103" s="256"/>
      <c r="CR103" s="256"/>
      <c r="CS103" s="256"/>
      <c r="CT103" s="256"/>
      <c r="CU103" s="256"/>
      <c r="CV103" s="256"/>
      <c r="CW103" s="256"/>
      <c r="CX103" s="256"/>
      <c r="CY103" s="256"/>
      <c r="CZ103" s="256"/>
      <c r="DA103" s="256"/>
      <c r="DB103" s="256"/>
      <c r="DC103" s="256"/>
      <c r="DD103" s="256"/>
      <c r="DE103" s="256"/>
      <c r="DF103" s="256"/>
      <c r="DG103" s="256"/>
      <c r="DH103" s="256"/>
      <c r="DI103" s="256"/>
      <c r="DJ103" s="256"/>
      <c r="DK103" s="256"/>
      <c r="DL103" s="256"/>
      <c r="DM103" s="256"/>
      <c r="DN103" s="256"/>
      <c r="DO103" s="256"/>
      <c r="DP103" s="256"/>
      <c r="DQ103" s="256"/>
      <c r="DR103" s="256"/>
      <c r="DS103" s="256"/>
      <c r="DT103" s="256"/>
      <c r="DU103" s="256"/>
      <c r="DV103" s="256"/>
      <c r="DW103" s="256"/>
      <c r="DX103" s="256"/>
      <c r="DY103" s="256"/>
      <c r="DZ103" s="256"/>
      <c r="EA103" s="256"/>
      <c r="EB103" s="256"/>
      <c r="EC103" s="256"/>
      <c r="ED103" s="256"/>
      <c r="EE103" s="256"/>
      <c r="EF103" s="256"/>
      <c r="EG103" s="256"/>
      <c r="EH103" s="256"/>
      <c r="EI103" s="256"/>
      <c r="EJ103" s="256"/>
      <c r="EK103" s="256"/>
      <c r="EL103" s="256"/>
      <c r="EM103" s="256"/>
      <c r="EN103" s="256"/>
      <c r="EO103" s="256"/>
      <c r="EP103" s="256"/>
      <c r="EQ103" s="256"/>
      <c r="ER103" s="256"/>
      <c r="ES103" s="256"/>
      <c r="ET103" s="256"/>
      <c r="EU103" s="256"/>
      <c r="EV103" s="256"/>
      <c r="EW103" s="256"/>
      <c r="EX103" s="256"/>
      <c r="EY103" s="256"/>
      <c r="EZ103" s="256"/>
      <c r="FA103" s="256"/>
      <c r="FB103" s="256"/>
      <c r="FC103" s="256"/>
      <c r="FD103" s="256"/>
      <c r="FE103" s="256"/>
      <c r="FF103" s="256"/>
      <c r="FG103" s="256"/>
      <c r="FH103" s="256"/>
      <c r="FI103" s="256"/>
      <c r="FJ103" s="256"/>
      <c r="FK103" s="256"/>
      <c r="FL103" s="256"/>
      <c r="FM103" s="256"/>
      <c r="FN103" s="256"/>
      <c r="FO103" s="256"/>
    </row>
    <row r="104" spans="1:171" s="31" customFormat="1" ht="19.5" customHeight="1">
      <c r="A104" s="260"/>
      <c r="B104" s="263"/>
      <c r="C104" s="262"/>
      <c r="D104" s="98"/>
      <c r="E104" s="98"/>
      <c r="F104" s="98"/>
      <c r="G104" s="98"/>
      <c r="H104" s="600" t="s">
        <v>403</v>
      </c>
      <c r="I104" s="600"/>
      <c r="J104" s="600"/>
      <c r="K104" s="600"/>
      <c r="L104" s="600"/>
      <c r="M104" s="600"/>
      <c r="N104" s="600"/>
      <c r="O104" s="600"/>
      <c r="P104" s="600"/>
      <c r="Q104" s="600"/>
      <c r="R104" s="600"/>
      <c r="S104" s="600"/>
      <c r="T104" s="600"/>
      <c r="U104" s="600" t="s">
        <v>404</v>
      </c>
      <c r="V104" s="600"/>
      <c r="W104" s="600"/>
      <c r="X104" s="600"/>
      <c r="Y104" s="600"/>
      <c r="Z104" s="600"/>
      <c r="AA104" s="600"/>
      <c r="AB104" s="600"/>
      <c r="AC104" s="600"/>
      <c r="AD104" s="600"/>
      <c r="AE104" s="600"/>
      <c r="AF104" s="600"/>
      <c r="AG104" s="600"/>
      <c r="AH104" s="600" t="s">
        <v>405</v>
      </c>
      <c r="AI104" s="600"/>
      <c r="AJ104" s="600"/>
      <c r="AK104" s="600"/>
      <c r="AL104" s="600"/>
      <c r="AM104" s="600"/>
      <c r="AN104" s="600"/>
      <c r="AO104" s="600"/>
      <c r="AP104" s="600"/>
      <c r="AQ104" s="600"/>
      <c r="AR104" s="600"/>
      <c r="AS104" s="600"/>
      <c r="AT104" s="600"/>
      <c r="AU104" s="600"/>
      <c r="AV104" s="600"/>
      <c r="AW104" s="600"/>
      <c r="AX104" s="600"/>
      <c r="AY104" s="600"/>
      <c r="AZ104" s="600"/>
      <c r="BA104" s="600"/>
      <c r="BB104" s="600"/>
      <c r="BC104" s="600"/>
      <c r="BD104" s="600"/>
      <c r="BE104" s="600"/>
      <c r="BF104" s="600"/>
      <c r="BG104" s="600"/>
      <c r="BH104" s="396" t="s">
        <v>406</v>
      </c>
      <c r="BI104" s="397"/>
      <c r="BJ104" s="397"/>
      <c r="BK104" s="397"/>
      <c r="BL104" s="397"/>
      <c r="BM104" s="397"/>
      <c r="BN104" s="397"/>
      <c r="BO104" s="397"/>
      <c r="BP104" s="397"/>
      <c r="BQ104" s="397"/>
      <c r="BR104" s="397"/>
      <c r="BS104" s="397"/>
      <c r="BT104" s="397"/>
      <c r="BU104" s="397"/>
      <c r="BV104" s="397"/>
      <c r="BW104" s="397"/>
      <c r="BX104" s="397"/>
      <c r="BY104" s="397"/>
      <c r="BZ104" s="397"/>
      <c r="CA104" s="397"/>
      <c r="CB104" s="398"/>
      <c r="CC104" s="179"/>
      <c r="CD104" s="95"/>
      <c r="CE104" s="181"/>
      <c r="CF104" s="273"/>
      <c r="CG104" s="256"/>
      <c r="CH104" s="256"/>
      <c r="CI104" s="256"/>
      <c r="CJ104" s="256"/>
      <c r="CK104" s="256"/>
      <c r="CL104" s="256"/>
      <c r="CM104" s="256"/>
      <c r="CN104" s="256"/>
      <c r="CO104" s="256"/>
      <c r="CP104" s="256"/>
      <c r="CQ104" s="256"/>
      <c r="CR104" s="256"/>
      <c r="CS104" s="256"/>
      <c r="CT104" s="256"/>
      <c r="CU104" s="256"/>
      <c r="CV104" s="256"/>
      <c r="CW104" s="256"/>
      <c r="CX104" s="256"/>
      <c r="CY104" s="256"/>
      <c r="CZ104" s="256"/>
      <c r="DA104" s="256"/>
      <c r="DB104" s="256"/>
      <c r="DC104" s="256"/>
      <c r="DD104" s="256"/>
      <c r="DE104" s="256"/>
      <c r="DF104" s="256"/>
      <c r="DG104" s="256"/>
      <c r="DH104" s="256"/>
      <c r="DI104" s="256"/>
      <c r="DJ104" s="256"/>
      <c r="DK104" s="256"/>
      <c r="DL104" s="256"/>
      <c r="DM104" s="256"/>
      <c r="DN104" s="256"/>
      <c r="DO104" s="256"/>
      <c r="DP104" s="256"/>
      <c r="DQ104" s="256"/>
      <c r="DR104" s="256"/>
      <c r="DS104" s="256"/>
      <c r="DT104" s="256"/>
      <c r="DU104" s="256"/>
      <c r="DV104" s="256"/>
      <c r="DW104" s="256"/>
      <c r="DX104" s="256"/>
      <c r="DY104" s="256"/>
      <c r="DZ104" s="256"/>
      <c r="EA104" s="256"/>
      <c r="EB104" s="256"/>
      <c r="EC104" s="256"/>
      <c r="ED104" s="256"/>
      <c r="EE104" s="256"/>
      <c r="EF104" s="256"/>
      <c r="EG104" s="256"/>
      <c r="EH104" s="256"/>
      <c r="EI104" s="256"/>
      <c r="EJ104" s="256"/>
      <c r="EK104" s="256"/>
      <c r="EL104" s="256"/>
      <c r="EM104" s="256"/>
      <c r="EN104" s="256"/>
      <c r="EO104" s="256"/>
      <c r="EP104" s="256"/>
      <c r="EQ104" s="256"/>
      <c r="ER104" s="256"/>
      <c r="ES104" s="256"/>
      <c r="ET104" s="256"/>
      <c r="EU104" s="256"/>
      <c r="EV104" s="256"/>
      <c r="EW104" s="256"/>
      <c r="EX104" s="256"/>
      <c r="EY104" s="256"/>
      <c r="EZ104" s="256"/>
      <c r="FA104" s="256"/>
      <c r="FB104" s="256"/>
      <c r="FC104" s="256"/>
      <c r="FD104" s="256"/>
      <c r="FE104" s="256"/>
      <c r="FF104" s="256"/>
      <c r="FG104" s="256"/>
      <c r="FH104" s="256"/>
      <c r="FI104" s="256"/>
      <c r="FJ104" s="256"/>
      <c r="FK104" s="256"/>
      <c r="FL104" s="256"/>
      <c r="FM104" s="256"/>
      <c r="FN104" s="256"/>
      <c r="FO104" s="256"/>
    </row>
    <row r="105" spans="1:171" s="31" customFormat="1" ht="19.5" customHeight="1">
      <c r="A105" s="260"/>
      <c r="B105" s="263"/>
      <c r="C105" s="262"/>
      <c r="D105" s="98"/>
      <c r="E105" s="98"/>
      <c r="F105" s="98"/>
      <c r="G105" s="98"/>
      <c r="H105" s="183"/>
      <c r="I105" s="183"/>
      <c r="J105" s="183"/>
      <c r="K105" s="183"/>
      <c r="L105" s="183"/>
      <c r="M105" s="183"/>
      <c r="N105" s="184"/>
      <c r="O105" s="184"/>
      <c r="P105" s="184"/>
      <c r="Q105" s="184"/>
      <c r="R105" s="184"/>
      <c r="S105" s="184"/>
      <c r="T105" s="184"/>
      <c r="U105" s="184"/>
      <c r="V105" s="184"/>
      <c r="W105" s="184"/>
      <c r="X105" s="184"/>
      <c r="Y105" s="184"/>
      <c r="Z105" s="184"/>
      <c r="AA105" s="184"/>
      <c r="AB105" s="184"/>
      <c r="AC105" s="184"/>
      <c r="AD105" s="184"/>
      <c r="AE105" s="184"/>
      <c r="AF105" s="184"/>
      <c r="AG105" s="184"/>
      <c r="AH105" s="184"/>
      <c r="AI105" s="184"/>
      <c r="AJ105" s="184"/>
      <c r="AK105" s="184"/>
      <c r="AL105" s="184"/>
      <c r="AM105" s="184"/>
      <c r="AN105" s="184"/>
      <c r="AO105" s="184"/>
      <c r="AP105" s="184"/>
      <c r="AQ105" s="184"/>
      <c r="AR105" s="184"/>
      <c r="AS105" s="184"/>
      <c r="AT105" s="184"/>
      <c r="AU105" s="184"/>
      <c r="AV105" s="184"/>
      <c r="AW105" s="184"/>
      <c r="AX105" s="184"/>
      <c r="AY105" s="184"/>
      <c r="AZ105" s="184"/>
      <c r="BA105" s="184"/>
      <c r="BB105" s="184"/>
      <c r="BC105" s="184"/>
      <c r="BD105" s="184"/>
      <c r="BE105" s="184"/>
      <c r="BF105" s="184"/>
      <c r="BG105" s="184"/>
      <c r="BH105" s="184"/>
      <c r="BI105" s="184"/>
      <c r="BJ105" s="184"/>
      <c r="BK105" s="184"/>
      <c r="BL105" s="184"/>
      <c r="BM105" s="183"/>
      <c r="BN105" s="183"/>
      <c r="BO105" s="184"/>
      <c r="BP105" s="184"/>
      <c r="BQ105" s="184"/>
      <c r="BR105" s="184"/>
      <c r="BS105" s="184"/>
      <c r="BT105" s="184"/>
      <c r="BU105" s="184"/>
      <c r="BV105" s="184"/>
      <c r="BW105" s="184"/>
      <c r="BX105" s="185"/>
      <c r="BY105" s="179"/>
      <c r="BZ105" s="179"/>
      <c r="CA105" s="179"/>
      <c r="CB105" s="179"/>
      <c r="CC105" s="179"/>
      <c r="CD105" s="95"/>
      <c r="CE105" s="181"/>
      <c r="CF105" s="273"/>
      <c r="CG105" s="256"/>
      <c r="CH105" s="256"/>
      <c r="CI105" s="256"/>
      <c r="CJ105" s="256"/>
      <c r="CK105" s="256"/>
      <c r="CL105" s="256"/>
      <c r="CM105" s="256"/>
      <c r="CN105" s="256"/>
      <c r="CO105" s="256"/>
      <c r="CP105" s="256"/>
      <c r="CQ105" s="256"/>
      <c r="CR105" s="256"/>
      <c r="CS105" s="256"/>
      <c r="CT105" s="256"/>
      <c r="CU105" s="256"/>
      <c r="CV105" s="256"/>
      <c r="CW105" s="256"/>
      <c r="CX105" s="256"/>
      <c r="CY105" s="256"/>
      <c r="CZ105" s="256"/>
      <c r="DA105" s="256"/>
      <c r="DB105" s="256"/>
      <c r="DC105" s="256"/>
      <c r="DD105" s="256"/>
      <c r="DE105" s="256"/>
      <c r="DF105" s="256"/>
      <c r="DG105" s="256"/>
      <c r="DH105" s="256"/>
      <c r="DI105" s="256"/>
      <c r="DJ105" s="256"/>
      <c r="DK105" s="256"/>
      <c r="DL105" s="256"/>
      <c r="DM105" s="256"/>
      <c r="DN105" s="256"/>
      <c r="DO105" s="256"/>
      <c r="DP105" s="256"/>
      <c r="DQ105" s="256"/>
      <c r="DR105" s="256"/>
      <c r="DS105" s="256"/>
      <c r="DT105" s="256"/>
      <c r="DU105" s="256"/>
      <c r="DV105" s="256"/>
      <c r="DW105" s="256"/>
      <c r="DX105" s="256"/>
      <c r="DY105" s="256"/>
      <c r="DZ105" s="256"/>
      <c r="EA105" s="256"/>
      <c r="EB105" s="256"/>
      <c r="EC105" s="256"/>
      <c r="ED105" s="256"/>
      <c r="EE105" s="256"/>
      <c r="EF105" s="256"/>
      <c r="EG105" s="256"/>
      <c r="EH105" s="256"/>
      <c r="EI105" s="256"/>
      <c r="EJ105" s="256"/>
      <c r="EK105" s="256"/>
      <c r="EL105" s="256"/>
      <c r="EM105" s="256"/>
      <c r="EN105" s="256"/>
      <c r="EO105" s="256"/>
      <c r="EP105" s="256"/>
      <c r="EQ105" s="256"/>
      <c r="ER105" s="256"/>
      <c r="ES105" s="256"/>
      <c r="ET105" s="256"/>
      <c r="EU105" s="256"/>
      <c r="EV105" s="256"/>
      <c r="EW105" s="256"/>
      <c r="EX105" s="256"/>
      <c r="EY105" s="256"/>
      <c r="EZ105" s="256"/>
      <c r="FA105" s="256"/>
      <c r="FB105" s="256"/>
      <c r="FC105" s="256"/>
      <c r="FD105" s="256"/>
      <c r="FE105" s="256"/>
      <c r="FF105" s="256"/>
      <c r="FG105" s="256"/>
      <c r="FH105" s="256"/>
      <c r="FI105" s="256"/>
      <c r="FJ105" s="256"/>
      <c r="FK105" s="256"/>
      <c r="FL105" s="256"/>
      <c r="FM105" s="256"/>
      <c r="FN105" s="256"/>
      <c r="FO105" s="256"/>
    </row>
    <row r="106" spans="1:171" s="31" customFormat="1" ht="19.5" customHeight="1">
      <c r="A106" s="260"/>
      <c r="B106" s="263"/>
      <c r="C106" s="262"/>
      <c r="D106" s="98"/>
      <c r="E106" s="98"/>
      <c r="F106" s="98"/>
      <c r="G106" s="98"/>
      <c r="H106" s="183"/>
      <c r="I106" s="183"/>
      <c r="J106" s="183"/>
      <c r="K106" s="183"/>
      <c r="L106" s="183"/>
      <c r="M106" s="183"/>
      <c r="N106" s="184"/>
      <c r="O106" s="184"/>
      <c r="P106" s="184"/>
      <c r="Q106" s="184"/>
      <c r="R106" s="184"/>
      <c r="S106" s="184"/>
      <c r="T106" s="184"/>
      <c r="U106" s="184"/>
      <c r="V106" s="184"/>
      <c r="W106" s="184"/>
      <c r="X106" s="184"/>
      <c r="Y106" s="184"/>
      <c r="Z106" s="184"/>
      <c r="AA106" s="184"/>
      <c r="AB106" s="184"/>
      <c r="AC106" s="184"/>
      <c r="AD106" s="184"/>
      <c r="AE106" s="184"/>
      <c r="AF106" s="184"/>
      <c r="AG106" s="184"/>
      <c r="AH106" s="184"/>
      <c r="AI106" s="184"/>
      <c r="AJ106" s="184"/>
      <c r="AK106" s="184"/>
      <c r="AL106" s="184"/>
      <c r="AM106" s="184"/>
      <c r="AN106" s="184"/>
      <c r="AO106" s="184"/>
      <c r="AP106" s="184"/>
      <c r="AQ106" s="184"/>
      <c r="AR106" s="184"/>
      <c r="AS106" s="184"/>
      <c r="AT106" s="184"/>
      <c r="AU106" s="184"/>
      <c r="AV106" s="184"/>
      <c r="AW106" s="184"/>
      <c r="AX106" s="184"/>
      <c r="AY106" s="184"/>
      <c r="AZ106" s="184"/>
      <c r="BA106" s="184"/>
      <c r="BB106" s="184"/>
      <c r="BC106" s="184"/>
      <c r="BD106" s="184"/>
      <c r="BE106" s="184"/>
      <c r="BF106" s="184"/>
      <c r="BG106" s="184"/>
      <c r="BH106" s="184"/>
      <c r="BI106" s="184"/>
      <c r="BJ106" s="184"/>
      <c r="BK106" s="184"/>
      <c r="BL106" s="184"/>
      <c r="BM106" s="183"/>
      <c r="BN106" s="183"/>
      <c r="BO106" s="184"/>
      <c r="BP106" s="184"/>
      <c r="BQ106" s="184"/>
      <c r="BR106" s="184"/>
      <c r="BS106" s="184"/>
      <c r="BT106" s="184"/>
      <c r="BU106" s="184"/>
      <c r="BV106" s="184"/>
      <c r="BW106" s="184"/>
      <c r="BX106" s="185"/>
      <c r="BY106" s="179"/>
      <c r="BZ106" s="179"/>
      <c r="CA106" s="179"/>
      <c r="CB106" s="179"/>
      <c r="CC106" s="179"/>
      <c r="CD106" s="95"/>
      <c r="CE106" s="181"/>
      <c r="CF106" s="273"/>
      <c r="CG106" s="256"/>
      <c r="CH106" s="256"/>
      <c r="CI106" s="256"/>
      <c r="CJ106" s="256"/>
      <c r="CK106" s="256"/>
      <c r="CL106" s="256"/>
      <c r="CM106" s="256"/>
      <c r="CN106" s="256"/>
      <c r="CO106" s="256"/>
      <c r="CP106" s="256"/>
      <c r="CQ106" s="256"/>
      <c r="CR106" s="256"/>
      <c r="CS106" s="256"/>
      <c r="CT106" s="256"/>
      <c r="CU106" s="256"/>
      <c r="CV106" s="256"/>
      <c r="CW106" s="256"/>
      <c r="CX106" s="256"/>
      <c r="CY106" s="256"/>
      <c r="CZ106" s="256"/>
      <c r="DA106" s="256"/>
      <c r="DB106" s="256"/>
      <c r="DC106" s="256"/>
      <c r="DD106" s="256"/>
      <c r="DE106" s="256"/>
      <c r="DF106" s="256"/>
      <c r="DG106" s="256"/>
      <c r="DH106" s="256"/>
      <c r="DI106" s="256"/>
      <c r="DJ106" s="256"/>
      <c r="DK106" s="256"/>
      <c r="DL106" s="256"/>
      <c r="DM106" s="256"/>
      <c r="DN106" s="256"/>
      <c r="DO106" s="256"/>
      <c r="DP106" s="256"/>
      <c r="DQ106" s="256"/>
      <c r="DR106" s="256"/>
      <c r="DS106" s="256"/>
      <c r="DT106" s="256"/>
      <c r="DU106" s="256"/>
      <c r="DV106" s="256"/>
      <c r="DW106" s="256"/>
      <c r="DX106" s="256"/>
      <c r="DY106" s="256"/>
      <c r="DZ106" s="256"/>
      <c r="EA106" s="256"/>
      <c r="EB106" s="256"/>
      <c r="EC106" s="256"/>
      <c r="ED106" s="256"/>
      <c r="EE106" s="256"/>
      <c r="EF106" s="256"/>
      <c r="EG106" s="256"/>
      <c r="EH106" s="256"/>
      <c r="EI106" s="256"/>
      <c r="EJ106" s="256"/>
      <c r="EK106" s="256"/>
      <c r="EL106" s="256"/>
      <c r="EM106" s="256"/>
      <c r="EN106" s="256"/>
      <c r="EO106" s="256"/>
      <c r="EP106" s="256"/>
      <c r="EQ106" s="256"/>
      <c r="ER106" s="256"/>
      <c r="ES106" s="256"/>
      <c r="ET106" s="256"/>
      <c r="EU106" s="256"/>
      <c r="EV106" s="256"/>
      <c r="EW106" s="256"/>
      <c r="EX106" s="256"/>
      <c r="EY106" s="256"/>
      <c r="EZ106" s="256"/>
      <c r="FA106" s="256"/>
      <c r="FB106" s="256"/>
      <c r="FC106" s="256"/>
      <c r="FD106" s="256"/>
      <c r="FE106" s="256"/>
      <c r="FF106" s="256"/>
      <c r="FG106" s="256"/>
      <c r="FH106" s="256"/>
      <c r="FI106" s="256"/>
      <c r="FJ106" s="256"/>
      <c r="FK106" s="256"/>
      <c r="FL106" s="256"/>
      <c r="FM106" s="256"/>
      <c r="FN106" s="256"/>
      <c r="FO106" s="256"/>
    </row>
    <row r="107" spans="1:171" s="31" customFormat="1" ht="19.5" customHeight="1">
      <c r="A107" s="260"/>
      <c r="B107" s="263"/>
      <c r="C107" s="262"/>
      <c r="D107" s="98"/>
      <c r="E107" s="98"/>
      <c r="F107" s="98"/>
      <c r="G107" s="98"/>
      <c r="H107" s="179"/>
      <c r="I107" s="179"/>
      <c r="J107" s="179"/>
      <c r="K107" s="179"/>
      <c r="L107" s="179"/>
      <c r="M107" s="179"/>
      <c r="N107" s="292"/>
      <c r="O107" s="179"/>
      <c r="P107" s="179"/>
      <c r="Q107" s="179"/>
      <c r="R107" s="179"/>
      <c r="S107" s="180"/>
      <c r="T107" s="180"/>
      <c r="U107" s="180"/>
      <c r="V107" s="180"/>
      <c r="W107" s="180"/>
      <c r="X107" s="180"/>
      <c r="Y107" s="180"/>
      <c r="Z107" s="180"/>
      <c r="AA107" s="179"/>
      <c r="AB107" s="292"/>
      <c r="AC107" s="180"/>
      <c r="AD107" s="179"/>
      <c r="AE107" s="179"/>
      <c r="AF107" s="179"/>
      <c r="AG107" s="179"/>
      <c r="AH107" s="179"/>
      <c r="AI107" s="179"/>
      <c r="AJ107" s="179"/>
      <c r="AK107" s="179"/>
      <c r="AL107" s="179"/>
      <c r="AM107" s="179"/>
      <c r="AN107" s="179"/>
      <c r="AO107" s="179"/>
      <c r="AP107" s="179"/>
      <c r="AQ107" s="179"/>
      <c r="AR107" s="179"/>
      <c r="AS107" s="179"/>
      <c r="AT107" s="292"/>
      <c r="AU107" s="179"/>
      <c r="AV107" s="179"/>
      <c r="AW107" s="179"/>
      <c r="AX107" s="179"/>
      <c r="AY107" s="179"/>
      <c r="AZ107" s="179"/>
      <c r="BA107" s="179"/>
      <c r="BB107" s="179"/>
      <c r="BC107" s="179"/>
      <c r="BD107" s="179"/>
      <c r="BE107" s="179"/>
      <c r="BF107" s="179"/>
      <c r="BG107" s="179"/>
      <c r="BH107" s="179"/>
      <c r="BI107" s="179"/>
      <c r="BJ107" s="179"/>
      <c r="BK107" s="179"/>
      <c r="BL107" s="179"/>
      <c r="BM107" s="179"/>
      <c r="BN107" s="179"/>
      <c r="BO107" s="179"/>
      <c r="BP107" s="179"/>
      <c r="BQ107" s="179"/>
      <c r="BR107" s="179"/>
      <c r="BS107" s="179"/>
      <c r="BT107" s="179"/>
      <c r="BU107" s="179"/>
      <c r="BV107" s="179"/>
      <c r="BW107" s="179"/>
      <c r="BX107" s="179"/>
      <c r="BY107" s="179"/>
      <c r="BZ107" s="179"/>
      <c r="CA107" s="179"/>
      <c r="CB107" s="179"/>
      <c r="CC107" s="179"/>
      <c r="CD107" s="95"/>
      <c r="CE107" s="181"/>
      <c r="CF107" s="273"/>
      <c r="CG107" s="256"/>
      <c r="CH107" s="256"/>
      <c r="CI107" s="256"/>
      <c r="CJ107" s="256"/>
      <c r="CK107" s="256"/>
      <c r="CL107" s="256"/>
      <c r="CM107" s="256"/>
      <c r="CN107" s="256"/>
      <c r="CO107" s="261"/>
      <c r="CP107" s="261"/>
      <c r="CQ107" s="261"/>
      <c r="CR107" s="261"/>
      <c r="CS107" s="261"/>
      <c r="CT107" s="261"/>
      <c r="CU107" s="261"/>
      <c r="CV107" s="261"/>
      <c r="CW107" s="261"/>
      <c r="CX107" s="261"/>
      <c r="CY107" s="261"/>
      <c r="CZ107" s="261"/>
      <c r="DA107" s="261"/>
      <c r="DB107" s="261"/>
      <c r="DC107" s="261"/>
      <c r="DD107" s="261"/>
      <c r="DE107" s="261"/>
      <c r="DF107" s="261"/>
      <c r="DG107" s="261"/>
      <c r="DH107" s="261"/>
      <c r="DI107" s="279"/>
      <c r="DJ107" s="279"/>
      <c r="DK107" s="261"/>
      <c r="DL107" s="261"/>
      <c r="DM107" s="261"/>
      <c r="DN107" s="261"/>
      <c r="DO107" s="261"/>
      <c r="DP107" s="261"/>
      <c r="DQ107" s="261"/>
      <c r="DR107" s="261"/>
      <c r="DS107" s="261"/>
      <c r="DT107" s="261"/>
      <c r="DU107" s="261"/>
      <c r="DV107" s="261"/>
      <c r="DW107" s="261"/>
      <c r="DX107" s="261"/>
      <c r="DY107" s="279"/>
      <c r="DZ107" s="256"/>
      <c r="EA107" s="256"/>
      <c r="EB107" s="256"/>
      <c r="EC107" s="256"/>
      <c r="ED107" s="256"/>
      <c r="EE107" s="256"/>
      <c r="EF107" s="256"/>
      <c r="EG107" s="256"/>
      <c r="EH107" s="256"/>
      <c r="EI107" s="256"/>
      <c r="EJ107" s="256"/>
      <c r="EK107" s="256"/>
      <c r="EL107" s="256"/>
      <c r="EM107" s="256"/>
      <c r="EN107" s="256"/>
      <c r="EO107" s="256"/>
      <c r="EP107" s="256"/>
      <c r="EQ107" s="256"/>
      <c r="ER107" s="256"/>
      <c r="ES107" s="256"/>
      <c r="ET107" s="256"/>
      <c r="EU107" s="256"/>
      <c r="EV107" s="256"/>
      <c r="EW107" s="256"/>
      <c r="EX107" s="256"/>
      <c r="EY107" s="256"/>
      <c r="EZ107" s="256"/>
      <c r="FA107" s="256"/>
      <c r="FB107" s="256"/>
      <c r="FC107" s="256"/>
      <c r="FD107" s="256"/>
      <c r="FE107" s="256"/>
      <c r="FF107" s="256"/>
      <c r="FG107" s="256"/>
      <c r="FH107" s="256"/>
      <c r="FI107" s="256"/>
      <c r="FJ107" s="256"/>
      <c r="FK107" s="256"/>
      <c r="FL107" s="256"/>
      <c r="FM107" s="256"/>
      <c r="FN107" s="256"/>
      <c r="FO107" s="256"/>
    </row>
    <row r="108" spans="1:171" s="31" customFormat="1" ht="19.5" customHeight="1">
      <c r="A108" s="260"/>
      <c r="B108" s="263"/>
      <c r="C108" s="262"/>
      <c r="D108" s="98"/>
      <c r="E108" s="98"/>
      <c r="F108" s="98"/>
      <c r="G108" s="98"/>
      <c r="H108" s="192"/>
      <c r="I108" s="179"/>
      <c r="J108" s="179"/>
      <c r="K108" s="179"/>
      <c r="L108" s="179"/>
      <c r="M108" s="179"/>
      <c r="N108" s="179"/>
      <c r="O108" s="179"/>
      <c r="P108" s="179"/>
      <c r="Q108" s="179"/>
      <c r="R108" s="179"/>
      <c r="S108" s="179"/>
      <c r="T108" s="179"/>
      <c r="U108" s="179"/>
      <c r="V108" s="193"/>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c r="AX108" s="179"/>
      <c r="AY108" s="179"/>
      <c r="AZ108" s="179"/>
      <c r="BA108" s="179"/>
      <c r="BB108" s="179"/>
      <c r="BC108" s="179"/>
      <c r="BD108" s="179"/>
      <c r="BE108" s="179"/>
      <c r="BF108" s="179"/>
      <c r="BG108" s="179"/>
      <c r="BH108" s="179"/>
      <c r="BI108" s="179"/>
      <c r="BJ108" s="179"/>
      <c r="BK108" s="179"/>
      <c r="BL108" s="179"/>
      <c r="BM108" s="179"/>
      <c r="BN108" s="179"/>
      <c r="BO108" s="179"/>
      <c r="BP108" s="179"/>
      <c r="BQ108" s="179"/>
      <c r="BR108" s="179"/>
      <c r="BS108" s="179"/>
      <c r="BT108" s="179"/>
      <c r="BU108" s="179"/>
      <c r="BV108" s="179"/>
      <c r="BW108" s="179"/>
      <c r="BX108" s="179"/>
      <c r="BY108" s="179"/>
      <c r="BZ108" s="179"/>
      <c r="CA108" s="179"/>
      <c r="CB108" s="179"/>
      <c r="CC108" s="179"/>
      <c r="CD108" s="95"/>
      <c r="CE108" s="181"/>
      <c r="CF108" s="273"/>
      <c r="CG108" s="256"/>
      <c r="CH108" s="256"/>
      <c r="CI108" s="256"/>
      <c r="CJ108" s="256"/>
      <c r="CK108" s="256"/>
      <c r="CL108" s="256"/>
      <c r="CM108" s="256"/>
      <c r="CN108" s="256"/>
      <c r="CO108" s="256"/>
      <c r="CP108" s="256"/>
      <c r="CQ108" s="256"/>
      <c r="CR108" s="256"/>
      <c r="CS108" s="256"/>
      <c r="CT108" s="256"/>
      <c r="CU108" s="256"/>
      <c r="CV108" s="256"/>
      <c r="CW108" s="256"/>
      <c r="CX108" s="256"/>
      <c r="CY108" s="256"/>
      <c r="CZ108" s="256"/>
      <c r="DA108" s="256"/>
      <c r="DB108" s="256"/>
      <c r="DC108" s="256"/>
      <c r="DD108" s="256"/>
      <c r="DE108" s="256"/>
      <c r="DF108" s="256"/>
      <c r="DG108" s="256"/>
      <c r="DH108" s="256"/>
      <c r="DI108" s="256"/>
      <c r="DJ108" s="256"/>
      <c r="DK108" s="256"/>
      <c r="DL108" s="256"/>
      <c r="DM108" s="256"/>
      <c r="DN108" s="256"/>
      <c r="DO108" s="256"/>
      <c r="DP108" s="256"/>
      <c r="DQ108" s="256"/>
      <c r="DR108" s="256"/>
      <c r="DS108" s="256"/>
      <c r="DT108" s="256"/>
      <c r="DU108" s="256"/>
      <c r="DV108" s="256"/>
      <c r="DW108" s="256"/>
      <c r="DX108" s="256"/>
      <c r="DY108" s="256"/>
      <c r="DZ108" s="256"/>
      <c r="EA108" s="256"/>
      <c r="EB108" s="256"/>
      <c r="EC108" s="256"/>
      <c r="ED108" s="256"/>
      <c r="EE108" s="256"/>
      <c r="EF108" s="256"/>
      <c r="EG108" s="256"/>
      <c r="EH108" s="256"/>
      <c r="EI108" s="256"/>
      <c r="EJ108" s="256"/>
      <c r="EK108" s="256"/>
      <c r="EL108" s="256"/>
      <c r="EM108" s="256"/>
      <c r="EN108" s="256"/>
      <c r="EO108" s="256"/>
      <c r="EP108" s="256"/>
      <c r="EQ108" s="256"/>
      <c r="ER108" s="256"/>
      <c r="ES108" s="256"/>
      <c r="ET108" s="256"/>
      <c r="EU108" s="256"/>
      <c r="EV108" s="256"/>
      <c r="EW108" s="256"/>
      <c r="EX108" s="256"/>
      <c r="EY108" s="256"/>
      <c r="EZ108" s="256"/>
      <c r="FA108" s="256"/>
      <c r="FB108" s="256"/>
      <c r="FC108" s="256"/>
      <c r="FD108" s="256"/>
      <c r="FE108" s="256"/>
      <c r="FF108" s="256"/>
      <c r="FG108" s="256"/>
      <c r="FH108" s="256"/>
      <c r="FI108" s="256"/>
      <c r="FJ108" s="256"/>
      <c r="FK108" s="256"/>
      <c r="FL108" s="256"/>
      <c r="FM108" s="256"/>
      <c r="FN108" s="256"/>
      <c r="FO108" s="256"/>
    </row>
    <row r="109" spans="1:171" s="31" customFormat="1" ht="19.5" customHeight="1">
      <c r="A109" s="260"/>
      <c r="B109" s="263"/>
      <c r="C109" s="263"/>
      <c r="D109" s="182"/>
      <c r="E109" s="89"/>
      <c r="F109" s="89"/>
      <c r="G109" s="89"/>
      <c r="H109" s="89"/>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27"/>
      <c r="AS109" s="127"/>
      <c r="AT109" s="127"/>
      <c r="AU109" s="127"/>
      <c r="AV109" s="127"/>
      <c r="AW109" s="127"/>
      <c r="AX109" s="127"/>
      <c r="AY109" s="127"/>
      <c r="AZ109" s="127"/>
      <c r="BA109" s="127"/>
      <c r="BB109" s="127"/>
      <c r="BC109" s="127"/>
      <c r="BD109" s="127"/>
      <c r="BE109" s="127"/>
      <c r="BF109" s="127"/>
      <c r="BG109" s="127"/>
      <c r="BH109" s="127"/>
      <c r="BI109" s="127"/>
      <c r="BJ109" s="127"/>
      <c r="BK109" s="127"/>
      <c r="BL109" s="127"/>
      <c r="BM109" s="127"/>
      <c r="BN109" s="127"/>
      <c r="BO109" s="127"/>
      <c r="BP109" s="127"/>
      <c r="BQ109" s="127"/>
      <c r="BR109" s="127"/>
      <c r="BS109" s="127"/>
      <c r="BT109" s="127"/>
      <c r="BU109" s="127"/>
      <c r="BV109" s="127"/>
      <c r="BW109" s="127"/>
      <c r="BX109" s="127"/>
      <c r="BY109" s="127"/>
      <c r="BZ109" s="127"/>
      <c r="CA109" s="127"/>
      <c r="CB109" s="127"/>
      <c r="CC109" s="127"/>
      <c r="CD109" s="127"/>
      <c r="CE109" s="188"/>
      <c r="CF109" s="273"/>
      <c r="CG109" s="256"/>
      <c r="CH109" s="256"/>
      <c r="CI109" s="256"/>
      <c r="CJ109" s="256"/>
      <c r="CK109" s="256"/>
      <c r="CL109" s="256"/>
      <c r="CM109" s="256"/>
      <c r="CN109" s="256"/>
      <c r="CO109" s="256"/>
      <c r="CP109" s="256"/>
      <c r="CQ109" s="256"/>
      <c r="CR109" s="256"/>
      <c r="CS109" s="256"/>
      <c r="CT109" s="256"/>
      <c r="CU109" s="256"/>
      <c r="CV109" s="256"/>
      <c r="CW109" s="256"/>
      <c r="CX109" s="256"/>
      <c r="CY109" s="256"/>
      <c r="CZ109" s="256"/>
      <c r="DA109" s="256"/>
      <c r="DB109" s="256"/>
      <c r="DC109" s="256"/>
      <c r="DD109" s="256"/>
      <c r="DE109" s="256"/>
      <c r="DF109" s="256"/>
      <c r="DG109" s="256"/>
      <c r="DH109" s="256"/>
      <c r="DI109" s="256"/>
      <c r="DJ109" s="256"/>
      <c r="DK109" s="256"/>
      <c r="DL109" s="256"/>
      <c r="DM109" s="256"/>
      <c r="DN109" s="256"/>
      <c r="DO109" s="256"/>
      <c r="DP109" s="256"/>
      <c r="DQ109" s="256"/>
      <c r="DR109" s="256"/>
      <c r="DS109" s="256"/>
      <c r="DT109" s="256"/>
      <c r="DU109" s="256"/>
      <c r="DV109" s="256"/>
      <c r="DW109" s="256"/>
      <c r="DX109" s="256"/>
      <c r="DY109" s="256"/>
      <c r="DZ109" s="256"/>
      <c r="EA109" s="256"/>
      <c r="EB109" s="256"/>
      <c r="EC109" s="256"/>
      <c r="ED109" s="256"/>
      <c r="EE109" s="256"/>
      <c r="EF109" s="256"/>
      <c r="EG109" s="256"/>
      <c r="EH109" s="256"/>
      <c r="EI109" s="256"/>
      <c r="EJ109" s="256"/>
      <c r="EK109" s="256"/>
      <c r="EL109" s="256"/>
      <c r="EM109" s="256"/>
      <c r="EN109" s="256"/>
      <c r="EO109" s="256"/>
      <c r="EP109" s="256"/>
      <c r="EQ109" s="256"/>
      <c r="ER109" s="256"/>
      <c r="ES109" s="256"/>
      <c r="ET109" s="256"/>
      <c r="EU109" s="256"/>
      <c r="EV109" s="256"/>
      <c r="EW109" s="256"/>
      <c r="EX109" s="256"/>
      <c r="EY109" s="256"/>
      <c r="EZ109" s="256"/>
      <c r="FA109" s="256"/>
      <c r="FB109" s="256"/>
      <c r="FC109" s="256"/>
      <c r="FD109" s="256"/>
      <c r="FE109" s="256"/>
      <c r="FF109" s="256"/>
      <c r="FG109" s="256"/>
      <c r="FH109" s="256"/>
      <c r="FI109" s="256"/>
      <c r="FJ109" s="256"/>
      <c r="FK109" s="256"/>
      <c r="FL109" s="256"/>
      <c r="FM109" s="256"/>
      <c r="FN109" s="256"/>
      <c r="FO109" s="256"/>
    </row>
    <row r="110" spans="1:171" s="254" customFormat="1" ht="14.25" customHeight="1">
      <c r="A110" s="257"/>
      <c r="D110" s="307"/>
      <c r="E110" s="308"/>
      <c r="F110" s="308"/>
      <c r="G110" s="308"/>
      <c r="H110" s="308"/>
      <c r="I110" s="308"/>
      <c r="J110" s="308"/>
      <c r="K110" s="308"/>
      <c r="M110" s="307"/>
      <c r="Q110" s="307"/>
      <c r="T110" s="307"/>
      <c r="Y110" s="307"/>
      <c r="AB110" s="307"/>
      <c r="CF110" s="259"/>
    </row>
    <row r="111" spans="1:171" s="254" customFormat="1" ht="14.25" customHeight="1">
      <c r="A111" s="257"/>
      <c r="D111" s="282" t="s">
        <v>324</v>
      </c>
      <c r="E111" s="258"/>
      <c r="F111" s="258"/>
      <c r="G111" s="258"/>
      <c r="H111" s="258"/>
      <c r="I111" s="258"/>
      <c r="J111" s="258"/>
      <c r="K111" s="258"/>
      <c r="L111" s="265"/>
      <c r="M111" s="282"/>
      <c r="N111" s="265"/>
      <c r="O111" s="265"/>
      <c r="P111" s="265"/>
      <c r="Q111" s="282"/>
      <c r="R111" s="265"/>
      <c r="S111" s="265"/>
      <c r="T111" s="282"/>
      <c r="U111" s="265"/>
      <c r="V111" s="265"/>
      <c r="W111" s="265"/>
      <c r="X111" s="265"/>
      <c r="Y111" s="282"/>
      <c r="Z111" s="265"/>
      <c r="AA111" s="265"/>
      <c r="AB111" s="282" t="s">
        <v>351</v>
      </c>
      <c r="AC111" s="265"/>
      <c r="AD111" s="265"/>
      <c r="AE111" s="265"/>
      <c r="AF111" s="265"/>
      <c r="AG111" s="265"/>
      <c r="AH111" s="265"/>
      <c r="AI111" s="265"/>
      <c r="AJ111" s="265"/>
      <c r="AK111" s="265"/>
      <c r="AL111" s="265"/>
      <c r="AM111" s="265"/>
      <c r="AN111" s="265"/>
      <c r="AO111" s="265"/>
      <c r="AP111" s="265"/>
      <c r="AQ111" s="265"/>
      <c r="AR111" s="265"/>
      <c r="AS111" s="265"/>
      <c r="AT111" s="265"/>
      <c r="AU111" s="265"/>
      <c r="AV111" s="265"/>
      <c r="AW111" s="265"/>
      <c r="AX111" s="265"/>
      <c r="CF111" s="259"/>
    </row>
    <row r="112" spans="1:171" s="31" customFormat="1" ht="19.5" customHeight="1">
      <c r="A112" s="260"/>
      <c r="B112" s="261"/>
      <c r="C112" s="262"/>
      <c r="D112" s="283"/>
      <c r="E112" s="284"/>
      <c r="F112" s="284"/>
      <c r="G112" s="284"/>
      <c r="H112" s="284"/>
      <c r="I112" s="284"/>
      <c r="J112" s="284"/>
      <c r="K112" s="284"/>
      <c r="L112" s="284"/>
      <c r="M112" s="421" t="s">
        <v>300</v>
      </c>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c r="AJ112" s="421"/>
      <c r="AK112" s="421"/>
      <c r="AL112" s="421"/>
      <c r="AM112" s="421"/>
      <c r="AN112" s="421"/>
      <c r="AO112" s="421"/>
      <c r="AP112" s="421"/>
      <c r="AQ112" s="421"/>
      <c r="AR112" s="421"/>
      <c r="AS112" s="421"/>
      <c r="AT112" s="421"/>
      <c r="AU112" s="421"/>
      <c r="AV112" s="421"/>
      <c r="AW112" s="421"/>
      <c r="AX112" s="421"/>
      <c r="AY112" s="421"/>
      <c r="AZ112" s="421"/>
      <c r="BA112" s="421"/>
      <c r="BB112" s="421"/>
      <c r="BC112" s="421"/>
      <c r="BD112" s="421"/>
      <c r="BE112" s="421"/>
      <c r="BF112" s="421"/>
      <c r="BG112" s="421"/>
      <c r="BH112" s="421"/>
      <c r="BI112" s="421"/>
      <c r="BJ112" s="421"/>
      <c r="BK112" s="421"/>
      <c r="BL112" s="421"/>
      <c r="BM112" s="421"/>
      <c r="BN112" s="421"/>
      <c r="BO112" s="421"/>
      <c r="BP112" s="421"/>
      <c r="BQ112" s="284"/>
      <c r="BR112" s="284"/>
      <c r="BS112" s="284"/>
      <c r="BT112" s="284"/>
      <c r="BU112" s="417" t="s">
        <v>289</v>
      </c>
      <c r="BV112" s="417"/>
      <c r="BW112" s="417"/>
      <c r="BX112" s="417"/>
      <c r="BY112" s="417"/>
      <c r="BZ112" s="417"/>
      <c r="CA112" s="417"/>
      <c r="CB112" s="417"/>
      <c r="CC112" s="417"/>
      <c r="CD112" s="417"/>
      <c r="CE112" s="418"/>
      <c r="CF112" s="273"/>
      <c r="CG112" s="256"/>
      <c r="CH112" s="256"/>
      <c r="CI112" s="256"/>
      <c r="CJ112" s="256"/>
      <c r="CK112" s="256"/>
      <c r="CL112" s="256"/>
      <c r="CM112" s="256"/>
      <c r="CN112" s="256"/>
      <c r="CO112" s="256"/>
      <c r="CP112" s="256"/>
      <c r="CQ112" s="256"/>
      <c r="CR112" s="256"/>
      <c r="CS112" s="256"/>
      <c r="CT112" s="256"/>
      <c r="CU112" s="256"/>
      <c r="CV112" s="256"/>
      <c r="CW112" s="256"/>
      <c r="CX112" s="256"/>
      <c r="CY112" s="256"/>
      <c r="CZ112" s="256"/>
      <c r="DA112" s="256"/>
      <c r="DB112" s="256"/>
      <c r="DC112" s="256"/>
      <c r="DD112" s="256"/>
      <c r="DE112" s="256"/>
      <c r="DF112" s="256"/>
      <c r="DG112" s="256"/>
      <c r="DH112" s="256"/>
      <c r="DI112" s="256"/>
      <c r="DJ112" s="256"/>
      <c r="DK112" s="256"/>
      <c r="DL112" s="256"/>
      <c r="DM112" s="256"/>
      <c r="DN112" s="256"/>
      <c r="DO112" s="256"/>
      <c r="DP112" s="256"/>
      <c r="DQ112" s="256"/>
      <c r="DR112" s="256"/>
      <c r="DS112" s="256"/>
      <c r="DT112" s="256"/>
      <c r="DU112" s="256"/>
      <c r="DV112" s="256"/>
      <c r="DW112" s="256"/>
      <c r="DX112" s="256"/>
      <c r="DY112" s="256"/>
      <c r="DZ112" s="256"/>
      <c r="EA112" s="256"/>
      <c r="EB112" s="256"/>
      <c r="EC112" s="256"/>
      <c r="ED112" s="256"/>
      <c r="EE112" s="256"/>
      <c r="EF112" s="256"/>
      <c r="EG112" s="256"/>
      <c r="EH112" s="256"/>
      <c r="EI112" s="256"/>
      <c r="EJ112" s="256"/>
      <c r="EK112" s="256"/>
      <c r="EL112" s="256"/>
      <c r="EM112" s="256"/>
      <c r="EN112" s="256"/>
      <c r="EO112" s="256"/>
      <c r="EP112" s="256"/>
      <c r="EQ112" s="256"/>
      <c r="ER112" s="256"/>
      <c r="ES112" s="256"/>
      <c r="ET112" s="256"/>
      <c r="EU112" s="256"/>
      <c r="EV112" s="256"/>
      <c r="EW112" s="256"/>
      <c r="EX112" s="256"/>
      <c r="EY112" s="256"/>
      <c r="EZ112" s="256"/>
      <c r="FA112" s="256"/>
      <c r="FB112" s="256"/>
      <c r="FC112" s="256"/>
      <c r="FD112" s="256"/>
      <c r="FE112" s="256"/>
      <c r="FF112" s="256"/>
      <c r="FG112" s="256"/>
      <c r="FH112" s="256"/>
      <c r="FI112" s="256"/>
      <c r="FJ112" s="256"/>
      <c r="FK112" s="256"/>
      <c r="FL112" s="256"/>
      <c r="FM112" s="256"/>
      <c r="FN112" s="256"/>
      <c r="FO112" s="256"/>
    </row>
    <row r="113" spans="1:171" s="31" customFormat="1" ht="19.5" customHeight="1" thickBot="1">
      <c r="A113" s="260"/>
      <c r="B113" s="263"/>
      <c r="C113" s="262"/>
      <c r="D113" s="286"/>
      <c r="E113" s="286"/>
      <c r="F113" s="286"/>
      <c r="G113" s="286"/>
      <c r="H113" s="286"/>
      <c r="I113" s="286"/>
      <c r="J113" s="286"/>
      <c r="K113" s="286"/>
      <c r="L113" s="286"/>
      <c r="M113" s="422"/>
      <c r="N113" s="422"/>
      <c r="O113" s="422"/>
      <c r="P113" s="422"/>
      <c r="Q113" s="422"/>
      <c r="R113" s="422"/>
      <c r="S113" s="422"/>
      <c r="T113" s="422"/>
      <c r="U113" s="422"/>
      <c r="V113" s="422"/>
      <c r="W113" s="422"/>
      <c r="X113" s="422"/>
      <c r="Y113" s="422"/>
      <c r="Z113" s="422"/>
      <c r="AA113" s="422"/>
      <c r="AB113" s="422"/>
      <c r="AC113" s="422"/>
      <c r="AD113" s="422"/>
      <c r="AE113" s="422"/>
      <c r="AF113" s="422"/>
      <c r="AG113" s="422"/>
      <c r="AH113" s="422"/>
      <c r="AI113" s="422"/>
      <c r="AJ113" s="422"/>
      <c r="AK113" s="422"/>
      <c r="AL113" s="422"/>
      <c r="AM113" s="422"/>
      <c r="AN113" s="422"/>
      <c r="AO113" s="422"/>
      <c r="AP113" s="422"/>
      <c r="AQ113" s="422"/>
      <c r="AR113" s="422"/>
      <c r="AS113" s="422"/>
      <c r="AT113" s="422"/>
      <c r="AU113" s="422"/>
      <c r="AV113" s="422"/>
      <c r="AW113" s="422"/>
      <c r="AX113" s="422"/>
      <c r="AY113" s="422"/>
      <c r="AZ113" s="422"/>
      <c r="BA113" s="422"/>
      <c r="BB113" s="422"/>
      <c r="BC113" s="422"/>
      <c r="BD113" s="422"/>
      <c r="BE113" s="422"/>
      <c r="BF113" s="422"/>
      <c r="BG113" s="422"/>
      <c r="BH113" s="422"/>
      <c r="BI113" s="422"/>
      <c r="BJ113" s="422"/>
      <c r="BK113" s="422"/>
      <c r="BL113" s="422"/>
      <c r="BM113" s="422"/>
      <c r="BN113" s="422"/>
      <c r="BO113" s="422"/>
      <c r="BP113" s="422"/>
      <c r="BQ113" s="286"/>
      <c r="BR113" s="286"/>
      <c r="BS113" s="286"/>
      <c r="BT113" s="286"/>
      <c r="BU113" s="419"/>
      <c r="BV113" s="419"/>
      <c r="BW113" s="419"/>
      <c r="BX113" s="419"/>
      <c r="BY113" s="419"/>
      <c r="BZ113" s="419"/>
      <c r="CA113" s="419"/>
      <c r="CB113" s="419"/>
      <c r="CC113" s="419"/>
      <c r="CD113" s="419"/>
      <c r="CE113" s="420"/>
      <c r="CF113" s="273"/>
      <c r="CG113" s="256"/>
      <c r="CH113" s="256"/>
      <c r="CI113" s="256"/>
      <c r="CJ113" s="256"/>
      <c r="CK113" s="256"/>
      <c r="CL113" s="256"/>
      <c r="CM113" s="256"/>
      <c r="CN113" s="256"/>
      <c r="CO113" s="256"/>
      <c r="CP113" s="256"/>
      <c r="CQ113" s="256"/>
      <c r="CR113" s="256"/>
      <c r="CS113" s="256"/>
      <c r="CT113" s="256"/>
      <c r="CU113" s="256"/>
      <c r="CV113" s="256"/>
      <c r="CW113" s="256"/>
      <c r="CX113" s="256"/>
      <c r="CY113" s="256"/>
      <c r="CZ113" s="256"/>
      <c r="DA113" s="256"/>
      <c r="DB113" s="256"/>
      <c r="DC113" s="256"/>
      <c r="DD113" s="256"/>
      <c r="DE113" s="256"/>
      <c r="DF113" s="256"/>
      <c r="DG113" s="256"/>
      <c r="DH113" s="256"/>
      <c r="DI113" s="256"/>
      <c r="DJ113" s="256"/>
      <c r="DK113" s="256"/>
      <c r="DL113" s="256"/>
      <c r="DM113" s="256"/>
      <c r="DN113" s="256"/>
      <c r="DO113" s="256"/>
      <c r="DP113" s="256"/>
      <c r="DQ113" s="256"/>
      <c r="DR113" s="256"/>
      <c r="DS113" s="256"/>
      <c r="DT113" s="256"/>
      <c r="DU113" s="256"/>
      <c r="DV113" s="256"/>
      <c r="DW113" s="256"/>
      <c r="DX113" s="256"/>
      <c r="DY113" s="256"/>
      <c r="DZ113" s="256"/>
      <c r="EA113" s="256"/>
      <c r="EB113" s="256"/>
      <c r="EC113" s="256"/>
      <c r="ED113" s="256"/>
      <c r="EE113" s="256"/>
      <c r="EF113" s="256"/>
      <c r="EG113" s="256"/>
      <c r="EH113" s="256"/>
      <c r="EI113" s="256"/>
      <c r="EJ113" s="256"/>
      <c r="EK113" s="256"/>
      <c r="EL113" s="256"/>
      <c r="EM113" s="256"/>
      <c r="EN113" s="256"/>
      <c r="EO113" s="256"/>
      <c r="EP113" s="256"/>
      <c r="EQ113" s="256"/>
      <c r="ER113" s="256"/>
      <c r="ES113" s="256"/>
      <c r="ET113" s="256"/>
      <c r="EU113" s="256"/>
      <c r="EV113" s="256"/>
      <c r="EW113" s="256"/>
      <c r="EX113" s="256"/>
      <c r="EY113" s="256"/>
      <c r="EZ113" s="256"/>
      <c r="FA113" s="256"/>
      <c r="FB113" s="256"/>
      <c r="FC113" s="256"/>
      <c r="FD113" s="256"/>
      <c r="FE113" s="256"/>
      <c r="FF113" s="256"/>
      <c r="FG113" s="256"/>
      <c r="FH113" s="256"/>
      <c r="FI113" s="256"/>
      <c r="FJ113" s="256"/>
      <c r="FK113" s="256"/>
      <c r="FL113" s="256"/>
      <c r="FM113" s="256"/>
      <c r="FN113" s="256"/>
      <c r="FO113" s="256"/>
    </row>
    <row r="114" spans="1:171" s="31" customFormat="1" ht="19.5" customHeight="1" thickTop="1">
      <c r="A114" s="260"/>
      <c r="B114" s="263"/>
      <c r="C114" s="262"/>
      <c r="D114" s="86"/>
      <c r="E114" s="86"/>
      <c r="F114" s="86"/>
      <c r="G114" s="86"/>
      <c r="H114" s="179" t="s">
        <v>303</v>
      </c>
      <c r="I114" s="179"/>
      <c r="J114" s="179"/>
      <c r="K114" s="179"/>
      <c r="L114" s="179"/>
      <c r="M114" s="179" t="s">
        <v>31</v>
      </c>
      <c r="N114" s="179"/>
      <c r="O114" s="129" t="s">
        <v>313</v>
      </c>
      <c r="P114" s="129"/>
      <c r="Q114" s="129"/>
      <c r="R114" s="12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80"/>
      <c r="AX114" s="180"/>
      <c r="AY114" s="179"/>
      <c r="AZ114" s="179"/>
      <c r="BA114" s="179"/>
      <c r="BB114" s="179"/>
      <c r="BC114" s="179"/>
      <c r="BD114" s="179"/>
      <c r="BE114" s="179"/>
      <c r="BF114" s="179"/>
      <c r="BG114" s="179"/>
      <c r="BH114" s="179"/>
      <c r="BI114" s="179"/>
      <c r="BJ114" s="179"/>
      <c r="BK114" s="179"/>
      <c r="BL114" s="179"/>
      <c r="BM114" s="179"/>
      <c r="BN114" s="179"/>
      <c r="BO114" s="179"/>
      <c r="BP114" s="179"/>
      <c r="BQ114" s="179"/>
      <c r="BR114" s="179"/>
      <c r="BS114" s="179"/>
      <c r="BT114" s="179"/>
      <c r="BU114" s="179"/>
      <c r="BV114" s="179"/>
      <c r="BW114" s="179"/>
      <c r="BX114" s="179"/>
      <c r="BY114" s="179"/>
      <c r="BZ114" s="179"/>
      <c r="CA114" s="179"/>
      <c r="CB114" s="179"/>
      <c r="CC114" s="95"/>
      <c r="CD114" s="95"/>
      <c r="CE114" s="181"/>
      <c r="CF114" s="273"/>
      <c r="CG114" s="256"/>
      <c r="CH114" s="256"/>
      <c r="CI114" s="256"/>
      <c r="CJ114" s="256"/>
      <c r="CK114" s="256"/>
      <c r="CL114" s="256"/>
      <c r="CM114" s="256"/>
      <c r="CN114" s="256"/>
      <c r="CO114" s="256"/>
      <c r="CP114" s="256"/>
      <c r="CQ114" s="256"/>
      <c r="CR114" s="256"/>
      <c r="CS114" s="256"/>
      <c r="CT114" s="256"/>
      <c r="CU114" s="256"/>
      <c r="CV114" s="256"/>
      <c r="CW114" s="256"/>
      <c r="CX114" s="256"/>
      <c r="CY114" s="256"/>
      <c r="CZ114" s="256"/>
      <c r="DA114" s="256"/>
      <c r="DB114" s="256"/>
      <c r="DC114" s="256"/>
      <c r="DD114" s="256"/>
      <c r="DE114" s="256"/>
      <c r="DF114" s="256"/>
      <c r="DG114" s="256"/>
      <c r="DH114" s="256"/>
      <c r="DI114" s="256"/>
      <c r="DJ114" s="256"/>
      <c r="DK114" s="256"/>
      <c r="DL114" s="256"/>
      <c r="DM114" s="256"/>
      <c r="DN114" s="256"/>
      <c r="DO114" s="256"/>
      <c r="DP114" s="256"/>
      <c r="DQ114" s="256"/>
      <c r="DR114" s="256"/>
      <c r="DS114" s="256"/>
      <c r="DT114" s="256"/>
      <c r="DU114" s="256"/>
      <c r="DV114" s="256"/>
      <c r="DW114" s="256"/>
      <c r="DX114" s="256"/>
      <c r="DY114" s="256"/>
      <c r="DZ114" s="256"/>
      <c r="EA114" s="256"/>
      <c r="EB114" s="256"/>
      <c r="EC114" s="256"/>
      <c r="ED114" s="256"/>
      <c r="EE114" s="256"/>
      <c r="EF114" s="256"/>
      <c r="EG114" s="256"/>
      <c r="EH114" s="256"/>
      <c r="EI114" s="256"/>
      <c r="EJ114" s="256"/>
      <c r="EK114" s="256"/>
      <c r="EL114" s="256"/>
      <c r="EM114" s="256"/>
      <c r="EN114" s="256"/>
      <c r="EO114" s="256"/>
      <c r="EP114" s="256"/>
      <c r="EQ114" s="256"/>
      <c r="ER114" s="256"/>
      <c r="ES114" s="256"/>
      <c r="ET114" s="256"/>
      <c r="EU114" s="256"/>
      <c r="EV114" s="256"/>
      <c r="EW114" s="256"/>
      <c r="EX114" s="256"/>
      <c r="EY114" s="256"/>
      <c r="EZ114" s="256"/>
      <c r="FA114" s="256"/>
      <c r="FB114" s="256"/>
      <c r="FC114" s="256"/>
      <c r="FD114" s="256"/>
      <c r="FE114" s="256"/>
      <c r="FF114" s="256"/>
      <c r="FG114" s="256"/>
      <c r="FH114" s="256"/>
      <c r="FI114" s="256"/>
      <c r="FJ114" s="256"/>
      <c r="FK114" s="256"/>
      <c r="FL114" s="256"/>
      <c r="FM114" s="256"/>
      <c r="FN114" s="256"/>
      <c r="FO114" s="256"/>
    </row>
    <row r="115" spans="1:171" s="31" customFormat="1" ht="19.5" customHeight="1">
      <c r="A115" s="260"/>
      <c r="B115" s="263"/>
      <c r="C115" s="262"/>
      <c r="D115" s="98"/>
      <c r="E115" s="98"/>
      <c r="F115" s="98"/>
      <c r="G115" s="98"/>
      <c r="H115" s="411" t="s">
        <v>319</v>
      </c>
      <c r="I115" s="412"/>
      <c r="J115" s="412"/>
      <c r="K115" s="412"/>
      <c r="L115" s="412"/>
      <c r="M115" s="412"/>
      <c r="N115" s="412"/>
      <c r="O115" s="412"/>
      <c r="P115" s="412"/>
      <c r="Q115" s="412"/>
      <c r="R115" s="412"/>
      <c r="S115" s="412"/>
      <c r="T115" s="412"/>
      <c r="U115" s="412"/>
      <c r="V115" s="412"/>
      <c r="W115" s="412"/>
      <c r="X115" s="412"/>
      <c r="Y115" s="412"/>
      <c r="Z115" s="412"/>
      <c r="AA115" s="412"/>
      <c r="AB115" s="412"/>
      <c r="AC115" s="412"/>
      <c r="AD115" s="412"/>
      <c r="AE115" s="412"/>
      <c r="AF115" s="412"/>
      <c r="AG115" s="412"/>
      <c r="AH115" s="412"/>
      <c r="AI115" s="412"/>
      <c r="AJ115" s="412"/>
      <c r="AK115" s="412"/>
      <c r="AL115" s="412"/>
      <c r="AM115" s="412"/>
      <c r="AN115" s="412"/>
      <c r="AO115" s="412"/>
      <c r="AP115" s="412"/>
      <c r="AQ115" s="412"/>
      <c r="AR115" s="412"/>
      <c r="AS115" s="412"/>
      <c r="AT115" s="412"/>
      <c r="AU115" s="412"/>
      <c r="AV115" s="412"/>
      <c r="AW115" s="412"/>
      <c r="AX115" s="412"/>
      <c r="AY115" s="412"/>
      <c r="AZ115" s="412"/>
      <c r="BA115" s="412"/>
      <c r="BB115" s="412"/>
      <c r="BC115" s="412"/>
      <c r="BD115" s="412"/>
      <c r="BE115" s="412"/>
      <c r="BF115" s="412"/>
      <c r="BG115" s="412"/>
      <c r="BH115" s="412"/>
      <c r="BI115" s="412"/>
      <c r="BJ115" s="412"/>
      <c r="BK115" s="412"/>
      <c r="BL115" s="412"/>
      <c r="BM115" s="412"/>
      <c r="BN115" s="412"/>
      <c r="BO115" s="412"/>
      <c r="BP115" s="412"/>
      <c r="BQ115" s="412"/>
      <c r="BR115" s="412"/>
      <c r="BS115" s="412"/>
      <c r="BT115" s="412"/>
      <c r="BU115" s="412"/>
      <c r="BV115" s="412"/>
      <c r="BW115" s="412"/>
      <c r="BX115" s="412"/>
      <c r="BY115" s="412"/>
      <c r="BZ115" s="412"/>
      <c r="CA115" s="412"/>
      <c r="CB115" s="413"/>
      <c r="CC115" s="95"/>
      <c r="CD115" s="95"/>
      <c r="CE115" s="186"/>
      <c r="CF115" s="273"/>
      <c r="CG115" s="256"/>
      <c r="CH115" s="256"/>
      <c r="CI115" s="256"/>
      <c r="CJ115" s="256"/>
      <c r="CK115" s="256"/>
      <c r="CL115" s="256"/>
      <c r="CM115" s="256"/>
      <c r="CN115" s="256"/>
      <c r="CO115" s="256"/>
      <c r="CP115" s="256"/>
      <c r="CQ115" s="256"/>
      <c r="CR115" s="256"/>
      <c r="CS115" s="256"/>
      <c r="CT115" s="256"/>
      <c r="CU115" s="256"/>
      <c r="CV115" s="256"/>
      <c r="CW115" s="256"/>
      <c r="CX115" s="256"/>
      <c r="CY115" s="256"/>
      <c r="CZ115" s="256"/>
      <c r="DA115" s="256"/>
      <c r="DB115" s="256"/>
      <c r="DC115" s="256"/>
      <c r="DD115" s="256"/>
      <c r="DE115" s="256"/>
      <c r="DF115" s="256"/>
      <c r="DG115" s="256"/>
      <c r="DH115" s="256"/>
      <c r="DI115" s="256"/>
      <c r="DJ115" s="256"/>
      <c r="DK115" s="256"/>
      <c r="DL115" s="256"/>
      <c r="DM115" s="256"/>
      <c r="DN115" s="256"/>
      <c r="DO115" s="256"/>
      <c r="DP115" s="256"/>
      <c r="DQ115" s="256"/>
      <c r="DR115" s="256"/>
      <c r="DS115" s="256"/>
      <c r="DT115" s="256"/>
      <c r="DU115" s="256"/>
      <c r="DV115" s="256"/>
      <c r="DW115" s="256"/>
      <c r="DX115" s="256"/>
      <c r="DY115" s="256"/>
      <c r="DZ115" s="256"/>
      <c r="EA115" s="256"/>
      <c r="EB115" s="256"/>
      <c r="EC115" s="256"/>
      <c r="ED115" s="256"/>
      <c r="EE115" s="256"/>
      <c r="EF115" s="256"/>
      <c r="EG115" s="256"/>
      <c r="EH115" s="256"/>
      <c r="EI115" s="256"/>
      <c r="EJ115" s="256"/>
      <c r="EK115" s="256"/>
      <c r="EL115" s="256"/>
      <c r="EM115" s="256"/>
      <c r="EN115" s="256"/>
      <c r="EO115" s="256"/>
      <c r="EP115" s="256"/>
      <c r="EQ115" s="256"/>
      <c r="ER115" s="256"/>
      <c r="ES115" s="256"/>
      <c r="ET115" s="256"/>
      <c r="EU115" s="256"/>
      <c r="EV115" s="256"/>
      <c r="EW115" s="256"/>
      <c r="EX115" s="256"/>
      <c r="EY115" s="256"/>
      <c r="EZ115" s="256"/>
      <c r="FA115" s="256"/>
      <c r="FB115" s="256"/>
      <c r="FC115" s="256"/>
      <c r="FD115" s="256"/>
      <c r="FE115" s="256"/>
      <c r="FF115" s="256"/>
      <c r="FG115" s="256"/>
      <c r="FH115" s="256"/>
      <c r="FI115" s="256"/>
      <c r="FJ115" s="256"/>
      <c r="FK115" s="256"/>
      <c r="FL115" s="256"/>
      <c r="FM115" s="256"/>
      <c r="FN115" s="256"/>
      <c r="FO115" s="256"/>
    </row>
    <row r="116" spans="1:171" s="31" customFormat="1" ht="19.5" customHeight="1">
      <c r="A116" s="260"/>
      <c r="B116" s="263"/>
      <c r="C116" s="262"/>
      <c r="D116" s="98"/>
      <c r="E116" s="98"/>
      <c r="F116" s="98"/>
      <c r="G116" s="98"/>
      <c r="H116" s="414"/>
      <c r="I116" s="415"/>
      <c r="J116" s="415"/>
      <c r="K116" s="415"/>
      <c r="L116" s="415"/>
      <c r="M116" s="415"/>
      <c r="N116" s="415"/>
      <c r="O116" s="415"/>
      <c r="P116" s="415"/>
      <c r="Q116" s="415"/>
      <c r="R116" s="415"/>
      <c r="S116" s="415"/>
      <c r="T116" s="415"/>
      <c r="U116" s="415"/>
      <c r="V116" s="415"/>
      <c r="W116" s="415"/>
      <c r="X116" s="415"/>
      <c r="Y116" s="415"/>
      <c r="Z116" s="415"/>
      <c r="AA116" s="415"/>
      <c r="AB116" s="415"/>
      <c r="AC116" s="415"/>
      <c r="AD116" s="415"/>
      <c r="AE116" s="415"/>
      <c r="AF116" s="415"/>
      <c r="AG116" s="415"/>
      <c r="AH116" s="415"/>
      <c r="AI116" s="415"/>
      <c r="AJ116" s="415"/>
      <c r="AK116" s="415"/>
      <c r="AL116" s="415"/>
      <c r="AM116" s="415"/>
      <c r="AN116" s="415"/>
      <c r="AO116" s="415"/>
      <c r="AP116" s="415"/>
      <c r="AQ116" s="415"/>
      <c r="AR116" s="415"/>
      <c r="AS116" s="415"/>
      <c r="AT116" s="415"/>
      <c r="AU116" s="415"/>
      <c r="AV116" s="415"/>
      <c r="AW116" s="415"/>
      <c r="AX116" s="415"/>
      <c r="AY116" s="415"/>
      <c r="AZ116" s="415"/>
      <c r="BA116" s="415"/>
      <c r="BB116" s="415"/>
      <c r="BC116" s="415"/>
      <c r="BD116" s="415"/>
      <c r="BE116" s="415"/>
      <c r="BF116" s="415"/>
      <c r="BG116" s="415"/>
      <c r="BH116" s="415"/>
      <c r="BI116" s="415"/>
      <c r="BJ116" s="415"/>
      <c r="BK116" s="415"/>
      <c r="BL116" s="415"/>
      <c r="BM116" s="415"/>
      <c r="BN116" s="415"/>
      <c r="BO116" s="415"/>
      <c r="BP116" s="415"/>
      <c r="BQ116" s="415"/>
      <c r="BR116" s="415"/>
      <c r="BS116" s="415"/>
      <c r="BT116" s="415"/>
      <c r="BU116" s="415"/>
      <c r="BV116" s="415"/>
      <c r="BW116" s="415"/>
      <c r="BX116" s="415"/>
      <c r="BY116" s="415"/>
      <c r="BZ116" s="415"/>
      <c r="CA116" s="415"/>
      <c r="CB116" s="416"/>
      <c r="CC116" s="95"/>
      <c r="CD116" s="95"/>
      <c r="CE116" s="186"/>
      <c r="CF116" s="273"/>
      <c r="CG116" s="256"/>
      <c r="CH116" s="256"/>
      <c r="CI116" s="256"/>
      <c r="CJ116" s="256"/>
      <c r="CK116" s="256"/>
      <c r="CL116" s="256"/>
      <c r="CM116" s="256"/>
      <c r="CN116" s="256"/>
      <c r="CO116" s="256"/>
      <c r="CP116" s="256"/>
      <c r="CQ116" s="256"/>
      <c r="CR116" s="256"/>
      <c r="CS116" s="256"/>
      <c r="CT116" s="256"/>
      <c r="CU116" s="256"/>
      <c r="CV116" s="256"/>
      <c r="CW116" s="256"/>
      <c r="CX116" s="256"/>
      <c r="CY116" s="256"/>
      <c r="CZ116" s="256"/>
      <c r="DA116" s="256"/>
      <c r="DB116" s="256"/>
      <c r="DC116" s="256"/>
      <c r="DD116" s="256"/>
      <c r="DE116" s="256"/>
      <c r="DF116" s="256"/>
      <c r="DG116" s="256"/>
      <c r="DH116" s="256"/>
      <c r="DI116" s="256"/>
      <c r="DJ116" s="256"/>
      <c r="DK116" s="256"/>
      <c r="DL116" s="256"/>
      <c r="DM116" s="256"/>
      <c r="DN116" s="256"/>
      <c r="DO116" s="256"/>
      <c r="DP116" s="256"/>
      <c r="DQ116" s="256"/>
      <c r="DR116" s="256"/>
      <c r="DS116" s="256"/>
      <c r="DT116" s="256"/>
      <c r="DU116" s="256"/>
      <c r="DV116" s="256"/>
      <c r="DW116" s="256"/>
      <c r="DX116" s="256"/>
      <c r="DY116" s="256"/>
      <c r="DZ116" s="256"/>
      <c r="EA116" s="256"/>
      <c r="EB116" s="256"/>
      <c r="EC116" s="256"/>
      <c r="ED116" s="256"/>
      <c r="EE116" s="256"/>
      <c r="EF116" s="256"/>
      <c r="EG116" s="256"/>
      <c r="EH116" s="256"/>
      <c r="EI116" s="256"/>
      <c r="EJ116" s="256"/>
      <c r="EK116" s="256"/>
      <c r="EL116" s="256"/>
      <c r="EM116" s="256"/>
      <c r="EN116" s="256"/>
      <c r="EO116" s="256"/>
      <c r="EP116" s="256"/>
      <c r="EQ116" s="256"/>
      <c r="ER116" s="256"/>
      <c r="ES116" s="256"/>
      <c r="ET116" s="256"/>
      <c r="EU116" s="256"/>
      <c r="EV116" s="256"/>
      <c r="EW116" s="256"/>
      <c r="EX116" s="256"/>
      <c r="EY116" s="256"/>
      <c r="EZ116" s="256"/>
      <c r="FA116" s="256"/>
      <c r="FB116" s="256"/>
      <c r="FC116" s="256"/>
      <c r="FD116" s="256"/>
      <c r="FE116" s="256"/>
      <c r="FF116" s="256"/>
      <c r="FG116" s="256"/>
      <c r="FH116" s="256"/>
      <c r="FI116" s="256"/>
      <c r="FJ116" s="256"/>
      <c r="FK116" s="256"/>
      <c r="FL116" s="256"/>
      <c r="FM116" s="256"/>
      <c r="FN116" s="256"/>
      <c r="FO116" s="256"/>
    </row>
    <row r="117" spans="1:171" s="31" customFormat="1" ht="19.5" customHeight="1">
      <c r="A117" s="260"/>
      <c r="B117" s="263"/>
      <c r="C117" s="262"/>
      <c r="D117" s="98"/>
      <c r="E117" s="98"/>
      <c r="F117" s="98"/>
      <c r="G117" s="98"/>
      <c r="H117" s="183"/>
      <c r="I117" s="183"/>
      <c r="J117" s="183"/>
      <c r="K117" s="183"/>
      <c r="L117" s="183"/>
      <c r="M117" s="183"/>
      <c r="N117" s="184"/>
      <c r="O117" s="184"/>
      <c r="P117" s="184"/>
      <c r="Q117" s="184"/>
      <c r="R117" s="184"/>
      <c r="S117" s="184"/>
      <c r="T117" s="184"/>
      <c r="U117" s="184"/>
      <c r="V117" s="184"/>
      <c r="W117" s="184"/>
      <c r="X117" s="184"/>
      <c r="Y117" s="184"/>
      <c r="Z117" s="184"/>
      <c r="AA117" s="184"/>
      <c r="AB117" s="184"/>
      <c r="AC117" s="184"/>
      <c r="AD117" s="184"/>
      <c r="AE117" s="184"/>
      <c r="AF117" s="184"/>
      <c r="AG117" s="184"/>
      <c r="AH117" s="184"/>
      <c r="AI117" s="184"/>
      <c r="AJ117" s="184"/>
      <c r="AK117" s="184"/>
      <c r="AL117" s="184"/>
      <c r="AM117" s="184"/>
      <c r="AN117" s="184"/>
      <c r="AO117" s="184"/>
      <c r="AP117" s="184"/>
      <c r="AQ117" s="184"/>
      <c r="AR117" s="184"/>
      <c r="AS117" s="184"/>
      <c r="AT117" s="184"/>
      <c r="AU117" s="184"/>
      <c r="AV117" s="184"/>
      <c r="AW117" s="184"/>
      <c r="AX117" s="184"/>
      <c r="AY117" s="184"/>
      <c r="AZ117" s="184"/>
      <c r="BA117" s="184"/>
      <c r="BB117" s="184"/>
      <c r="BC117" s="184"/>
      <c r="BD117" s="184"/>
      <c r="BE117" s="184"/>
      <c r="BF117" s="184"/>
      <c r="BG117" s="184"/>
      <c r="BH117" s="184"/>
      <c r="BI117" s="184"/>
      <c r="BJ117" s="184"/>
      <c r="BK117" s="184"/>
      <c r="BL117" s="184"/>
      <c r="BM117" s="183"/>
      <c r="BN117" s="183"/>
      <c r="BO117" s="184"/>
      <c r="BP117" s="184"/>
      <c r="BQ117" s="184"/>
      <c r="BR117" s="184"/>
      <c r="BS117" s="184"/>
      <c r="BT117" s="184"/>
      <c r="BU117" s="184"/>
      <c r="BV117" s="184"/>
      <c r="BW117" s="184"/>
      <c r="BX117" s="185"/>
      <c r="BY117" s="179"/>
      <c r="BZ117" s="179"/>
      <c r="CA117" s="179"/>
      <c r="CB117" s="179"/>
      <c r="CC117" s="95"/>
      <c r="CD117" s="95"/>
      <c r="CE117" s="181"/>
      <c r="CF117" s="273"/>
      <c r="CG117" s="256"/>
      <c r="CH117" s="256"/>
      <c r="CI117" s="256"/>
      <c r="CJ117" s="256"/>
      <c r="CK117" s="256"/>
      <c r="CL117" s="256"/>
      <c r="CM117" s="256"/>
      <c r="CN117" s="256"/>
      <c r="CO117" s="256"/>
      <c r="CP117" s="256"/>
      <c r="CQ117" s="256"/>
      <c r="CR117" s="256"/>
      <c r="CS117" s="256"/>
      <c r="CT117" s="256"/>
      <c r="CU117" s="256"/>
      <c r="CV117" s="256"/>
      <c r="CW117" s="256"/>
      <c r="CX117" s="256"/>
      <c r="CY117" s="256"/>
      <c r="CZ117" s="256"/>
      <c r="DA117" s="256"/>
      <c r="DB117" s="256"/>
      <c r="DC117" s="256"/>
      <c r="DD117" s="256"/>
      <c r="DE117" s="256"/>
      <c r="DF117" s="256"/>
      <c r="DG117" s="256"/>
      <c r="DH117" s="256"/>
      <c r="DI117" s="256"/>
      <c r="DJ117" s="256"/>
      <c r="DK117" s="256"/>
      <c r="DL117" s="256"/>
      <c r="DM117" s="256"/>
      <c r="DN117" s="256"/>
      <c r="DO117" s="256"/>
      <c r="DP117" s="256"/>
      <c r="DQ117" s="256"/>
      <c r="DR117" s="256"/>
      <c r="DS117" s="256"/>
      <c r="DT117" s="256"/>
      <c r="DU117" s="256"/>
      <c r="DV117" s="256"/>
      <c r="DW117" s="256"/>
      <c r="DX117" s="256"/>
      <c r="DY117" s="256"/>
      <c r="DZ117" s="256"/>
      <c r="EA117" s="256"/>
      <c r="EB117" s="256"/>
      <c r="EC117" s="256"/>
      <c r="ED117" s="256"/>
      <c r="EE117" s="256"/>
      <c r="EF117" s="256"/>
      <c r="EG117" s="256"/>
      <c r="EH117" s="256"/>
      <c r="EI117" s="256"/>
      <c r="EJ117" s="256"/>
      <c r="EK117" s="256"/>
      <c r="EL117" s="256"/>
      <c r="EM117" s="256"/>
      <c r="EN117" s="256"/>
      <c r="EO117" s="256"/>
      <c r="EP117" s="256"/>
      <c r="EQ117" s="256"/>
      <c r="ER117" s="256"/>
      <c r="ES117" s="256"/>
      <c r="ET117" s="256"/>
      <c r="EU117" s="256"/>
      <c r="EV117" s="256"/>
      <c r="EW117" s="256"/>
      <c r="EX117" s="256"/>
      <c r="EY117" s="256"/>
      <c r="EZ117" s="256"/>
      <c r="FA117" s="256"/>
      <c r="FB117" s="256"/>
      <c r="FC117" s="256"/>
      <c r="FD117" s="256"/>
      <c r="FE117" s="256"/>
      <c r="FF117" s="256"/>
      <c r="FG117" s="256"/>
      <c r="FH117" s="256"/>
      <c r="FI117" s="256"/>
      <c r="FJ117" s="256"/>
      <c r="FK117" s="256"/>
      <c r="FL117" s="256"/>
      <c r="FM117" s="256"/>
      <c r="FN117" s="256"/>
      <c r="FO117" s="256"/>
    </row>
    <row r="118" spans="1:171" s="31" customFormat="1" ht="19.5" customHeight="1">
      <c r="A118" s="260"/>
      <c r="B118" s="263"/>
      <c r="C118" s="262"/>
      <c r="D118" s="98"/>
      <c r="E118" s="98"/>
      <c r="F118" s="98"/>
      <c r="G118" s="98"/>
      <c r="H118" s="404" t="s">
        <v>88</v>
      </c>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405"/>
      <c r="AF118" s="405"/>
      <c r="AG118" s="405"/>
      <c r="AH118" s="405"/>
      <c r="AI118" s="405"/>
      <c r="AJ118" s="405"/>
      <c r="AK118" s="405"/>
      <c r="AL118" s="405"/>
      <c r="AM118" s="405"/>
      <c r="AN118" s="405"/>
      <c r="AO118" s="405"/>
      <c r="AP118" s="405"/>
      <c r="AQ118" s="405"/>
      <c r="AR118" s="405"/>
      <c r="AS118" s="405"/>
      <c r="AT118" s="405"/>
      <c r="AU118" s="405"/>
      <c r="AV118" s="405"/>
      <c r="AW118" s="405"/>
      <c r="AX118" s="405"/>
      <c r="AY118" s="405"/>
      <c r="AZ118" s="405"/>
      <c r="BA118" s="405"/>
      <c r="BB118" s="405"/>
      <c r="BC118" s="405"/>
      <c r="BD118" s="405"/>
      <c r="BE118" s="405"/>
      <c r="BF118" s="405"/>
      <c r="BG118" s="405"/>
      <c r="BH118" s="405"/>
      <c r="BI118" s="405"/>
      <c r="BJ118" s="405"/>
      <c r="BK118" s="405"/>
      <c r="BL118" s="405"/>
      <c r="BM118" s="405"/>
      <c r="BN118" s="405"/>
      <c r="BO118" s="405"/>
      <c r="BP118" s="405"/>
      <c r="BQ118" s="405"/>
      <c r="BR118" s="405"/>
      <c r="BS118" s="405"/>
      <c r="BT118" s="405"/>
      <c r="BU118" s="405"/>
      <c r="BV118" s="405"/>
      <c r="BW118" s="405"/>
      <c r="BX118" s="405"/>
      <c r="BY118" s="405"/>
      <c r="BZ118" s="405"/>
      <c r="CA118" s="405"/>
      <c r="CB118" s="406"/>
      <c r="CC118" s="95"/>
      <c r="CD118" s="95"/>
      <c r="CE118" s="181"/>
      <c r="CF118" s="273"/>
      <c r="CG118" s="256"/>
      <c r="CH118" s="256"/>
      <c r="CI118" s="256"/>
      <c r="CJ118" s="256"/>
      <c r="CK118" s="256"/>
      <c r="CL118" s="256"/>
      <c r="CM118" s="256"/>
      <c r="CN118" s="256"/>
      <c r="CO118" s="256"/>
      <c r="CP118" s="256"/>
      <c r="CQ118" s="256"/>
      <c r="CR118" s="256"/>
      <c r="CS118" s="256"/>
      <c r="CT118" s="256"/>
      <c r="CU118" s="256"/>
      <c r="CV118" s="256"/>
      <c r="CW118" s="256"/>
      <c r="CX118" s="256"/>
      <c r="CY118" s="256"/>
      <c r="CZ118" s="256"/>
      <c r="DA118" s="256"/>
      <c r="DB118" s="256"/>
      <c r="DC118" s="256"/>
      <c r="DD118" s="256"/>
      <c r="DE118" s="256"/>
      <c r="DF118" s="256"/>
      <c r="DG118" s="256"/>
      <c r="DH118" s="256"/>
      <c r="DI118" s="256"/>
      <c r="DJ118" s="256"/>
      <c r="DK118" s="256"/>
      <c r="DL118" s="256"/>
      <c r="DM118" s="256"/>
      <c r="DN118" s="256"/>
      <c r="DO118" s="256"/>
      <c r="DP118" s="256"/>
      <c r="DQ118" s="256"/>
      <c r="DR118" s="256"/>
      <c r="DS118" s="256"/>
      <c r="DT118" s="256"/>
      <c r="DU118" s="256"/>
      <c r="DV118" s="256"/>
      <c r="DW118" s="256"/>
      <c r="DX118" s="256"/>
      <c r="DY118" s="256"/>
      <c r="DZ118" s="256"/>
      <c r="EA118" s="256"/>
      <c r="EB118" s="256"/>
      <c r="EC118" s="256"/>
      <c r="ED118" s="256"/>
      <c r="EE118" s="256"/>
      <c r="EF118" s="256"/>
      <c r="EG118" s="256"/>
      <c r="EH118" s="256"/>
      <c r="EI118" s="256"/>
      <c r="EJ118" s="256"/>
      <c r="EK118" s="256"/>
      <c r="EL118" s="256"/>
      <c r="EM118" s="256"/>
      <c r="EN118" s="256"/>
      <c r="EO118" s="256"/>
      <c r="EP118" s="256"/>
      <c r="EQ118" s="256"/>
      <c r="ER118" s="256"/>
      <c r="ES118" s="256"/>
      <c r="ET118" s="256"/>
      <c r="EU118" s="256"/>
      <c r="EV118" s="256"/>
      <c r="EW118" s="256"/>
      <c r="EX118" s="256"/>
      <c r="EY118" s="256"/>
      <c r="EZ118" s="256"/>
      <c r="FA118" s="256"/>
      <c r="FB118" s="256"/>
      <c r="FC118" s="256"/>
      <c r="FD118" s="256"/>
      <c r="FE118" s="256"/>
      <c r="FF118" s="256"/>
      <c r="FG118" s="256"/>
      <c r="FH118" s="256"/>
      <c r="FI118" s="256"/>
      <c r="FJ118" s="256"/>
      <c r="FK118" s="256"/>
      <c r="FL118" s="256"/>
      <c r="FM118" s="256"/>
      <c r="FN118" s="256"/>
      <c r="FO118" s="256"/>
    </row>
    <row r="119" spans="1:171" s="31" customFormat="1" ht="19.5" customHeight="1">
      <c r="A119" s="260"/>
      <c r="B119" s="263"/>
      <c r="C119" s="262"/>
      <c r="D119" s="98"/>
      <c r="E119" s="98"/>
      <c r="F119" s="98"/>
      <c r="G119" s="98"/>
      <c r="H119" s="296" t="s">
        <v>269</v>
      </c>
      <c r="I119" s="294"/>
      <c r="J119" s="294"/>
      <c r="K119" s="294"/>
      <c r="L119" s="294"/>
      <c r="M119" s="294"/>
      <c r="N119" s="294"/>
      <c r="O119" s="294"/>
      <c r="P119" s="121"/>
      <c r="Q119" s="124"/>
      <c r="R119" s="121"/>
      <c r="S119" s="121" t="s">
        <v>552</v>
      </c>
      <c r="T119" s="121"/>
      <c r="U119" s="121"/>
      <c r="V119" s="121"/>
      <c r="W119" s="121"/>
      <c r="X119" s="121"/>
      <c r="Y119" s="121"/>
      <c r="Z119" s="121"/>
      <c r="AA119" s="121"/>
      <c r="AB119" s="121"/>
      <c r="AC119" s="121"/>
      <c r="AD119" s="121"/>
      <c r="AE119" s="121"/>
      <c r="AF119" s="121"/>
      <c r="AG119" s="121"/>
      <c r="AH119" s="121"/>
      <c r="AI119" s="121"/>
      <c r="AJ119" s="287"/>
      <c r="AK119" s="287"/>
      <c r="AL119" s="287"/>
      <c r="AM119" s="287"/>
      <c r="AN119" s="287"/>
      <c r="AO119" s="287"/>
      <c r="AP119" s="120" t="s">
        <v>311</v>
      </c>
      <c r="AQ119" s="305"/>
      <c r="AR119" s="305"/>
      <c r="AS119" s="305"/>
      <c r="AT119" s="305"/>
      <c r="AU119" s="121"/>
      <c r="AV119" s="121"/>
      <c r="AW119" s="121"/>
      <c r="AX119" s="121"/>
      <c r="AY119" s="124"/>
      <c r="AZ119" s="294"/>
      <c r="BA119" s="294"/>
      <c r="BB119" s="294"/>
      <c r="BC119" s="294"/>
      <c r="BD119" s="294"/>
      <c r="BE119" s="121"/>
      <c r="BF119" s="305"/>
      <c r="BG119" s="121"/>
      <c r="BH119" s="121"/>
      <c r="BI119" s="121"/>
      <c r="BJ119" s="121"/>
      <c r="BK119" s="121"/>
      <c r="BL119" s="121"/>
      <c r="BM119" s="121"/>
      <c r="BN119" s="121"/>
      <c r="BO119" s="121"/>
      <c r="BP119" s="121"/>
      <c r="BQ119" s="121"/>
      <c r="BR119" s="121"/>
      <c r="BS119" s="121"/>
      <c r="BT119" s="121"/>
      <c r="BU119" s="121"/>
      <c r="BV119" s="121"/>
      <c r="BW119" s="121"/>
      <c r="BX119" s="121"/>
      <c r="BY119" s="121"/>
      <c r="BZ119" s="121"/>
      <c r="CA119" s="121"/>
      <c r="CB119" s="124"/>
      <c r="CC119" s="95"/>
      <c r="CD119" s="95"/>
      <c r="CE119" s="181"/>
      <c r="CF119" s="273"/>
      <c r="CG119" s="256"/>
      <c r="CH119" s="256"/>
      <c r="CI119" s="256"/>
      <c r="CJ119" s="256"/>
      <c r="CK119" s="256"/>
      <c r="CL119" s="256"/>
      <c r="CM119" s="256"/>
      <c r="CN119" s="256"/>
      <c r="CO119" s="256"/>
      <c r="CP119" s="256"/>
      <c r="CQ119" s="256"/>
      <c r="CR119" s="256"/>
      <c r="CS119" s="256"/>
      <c r="CT119" s="256"/>
      <c r="CU119" s="256"/>
      <c r="CV119" s="256"/>
      <c r="CW119" s="256"/>
      <c r="CX119" s="256"/>
      <c r="CY119" s="256"/>
      <c r="CZ119" s="256"/>
      <c r="DA119" s="256"/>
      <c r="DB119" s="256"/>
      <c r="DC119" s="256"/>
      <c r="DD119" s="256"/>
      <c r="DE119" s="256"/>
      <c r="DF119" s="256"/>
      <c r="DG119" s="256"/>
      <c r="DH119" s="256"/>
      <c r="DI119" s="256"/>
      <c r="DJ119" s="256"/>
      <c r="DK119" s="256"/>
      <c r="DL119" s="256"/>
      <c r="DM119" s="256"/>
      <c r="DN119" s="256"/>
      <c r="DO119" s="256"/>
      <c r="DP119" s="256"/>
      <c r="DQ119" s="256"/>
      <c r="DR119" s="256"/>
      <c r="DS119" s="256"/>
      <c r="DT119" s="256"/>
      <c r="DU119" s="256"/>
      <c r="DV119" s="256"/>
      <c r="DW119" s="256"/>
      <c r="DX119" s="256"/>
      <c r="DY119" s="256"/>
      <c r="DZ119" s="256"/>
      <c r="EA119" s="256"/>
      <c r="EB119" s="256"/>
      <c r="EC119" s="256"/>
      <c r="ED119" s="256"/>
      <c r="EE119" s="256"/>
      <c r="EF119" s="256"/>
      <c r="EG119" s="256"/>
      <c r="EH119" s="256"/>
      <c r="EI119" s="256"/>
      <c r="EJ119" s="256"/>
      <c r="EK119" s="256"/>
      <c r="EL119" s="256"/>
      <c r="EM119" s="256"/>
      <c r="EN119" s="256"/>
      <c r="EO119" s="256"/>
      <c r="EP119" s="256"/>
      <c r="EQ119" s="256"/>
      <c r="ER119" s="256"/>
      <c r="ES119" s="256"/>
      <c r="ET119" s="256"/>
      <c r="EU119" s="256"/>
      <c r="EV119" s="256"/>
      <c r="EW119" s="256"/>
      <c r="EX119" s="256"/>
      <c r="EY119" s="256"/>
      <c r="EZ119" s="256"/>
      <c r="FA119" s="256"/>
      <c r="FB119" s="256"/>
      <c r="FC119" s="256"/>
      <c r="FD119" s="256"/>
      <c r="FE119" s="256"/>
      <c r="FF119" s="256"/>
      <c r="FG119" s="256"/>
      <c r="FH119" s="256"/>
      <c r="FI119" s="256"/>
      <c r="FJ119" s="256"/>
      <c r="FK119" s="256"/>
      <c r="FL119" s="256"/>
      <c r="FM119" s="256"/>
      <c r="FN119" s="256"/>
      <c r="FO119" s="256"/>
    </row>
    <row r="120" spans="1:171" s="31" customFormat="1" ht="19.5" customHeight="1">
      <c r="A120" s="260"/>
      <c r="B120" s="263"/>
      <c r="C120" s="262"/>
      <c r="D120" s="98"/>
      <c r="E120" s="98"/>
      <c r="F120" s="98"/>
      <c r="G120" s="98"/>
      <c r="H120" s="296" t="s">
        <v>170</v>
      </c>
      <c r="I120" s="294"/>
      <c r="J120" s="294"/>
      <c r="K120" s="294"/>
      <c r="L120" s="294"/>
      <c r="M120" s="294"/>
      <c r="N120" s="294"/>
      <c r="O120" s="294"/>
      <c r="P120" s="121"/>
      <c r="Q120" s="124"/>
      <c r="R120" s="121"/>
      <c r="S120" s="121"/>
      <c r="T120" s="121"/>
      <c r="U120" s="121"/>
      <c r="V120" s="121"/>
      <c r="W120" s="121"/>
      <c r="X120" s="121"/>
      <c r="Y120" s="121"/>
      <c r="Z120" s="121"/>
      <c r="AA120" s="121"/>
      <c r="AB120" s="121"/>
      <c r="AC120" s="121"/>
      <c r="AD120" s="121"/>
      <c r="AE120" s="121"/>
      <c r="AF120" s="121"/>
      <c r="AG120" s="121"/>
      <c r="AH120" s="121"/>
      <c r="AI120" s="121"/>
      <c r="AJ120" s="287"/>
      <c r="AK120" s="287"/>
      <c r="AL120" s="287"/>
      <c r="AM120" s="287"/>
      <c r="AN120" s="287"/>
      <c r="AO120" s="287"/>
      <c r="AP120" s="132" t="s">
        <v>171</v>
      </c>
      <c r="AU120" s="133"/>
      <c r="AV120" s="133"/>
      <c r="AW120" s="133"/>
      <c r="AX120" s="133"/>
      <c r="AY120" s="142"/>
      <c r="AZ120" s="294"/>
      <c r="BA120" s="294"/>
      <c r="BB120" s="294"/>
      <c r="BC120" s="294"/>
      <c r="BD120" s="294"/>
      <c r="BE120" s="121"/>
      <c r="BF120" s="305"/>
      <c r="BG120" s="121"/>
      <c r="BH120" s="121"/>
      <c r="BI120" s="121"/>
      <c r="BJ120" s="121"/>
      <c r="BK120" s="121"/>
      <c r="BL120" s="121"/>
      <c r="BM120" s="121"/>
      <c r="BN120" s="121"/>
      <c r="BO120" s="121"/>
      <c r="BP120" s="121"/>
      <c r="BQ120" s="121"/>
      <c r="BR120" s="121"/>
      <c r="BS120" s="121"/>
      <c r="BT120" s="121"/>
      <c r="BU120" s="121"/>
      <c r="BV120" s="121"/>
      <c r="BW120" s="121"/>
      <c r="BX120" s="121"/>
      <c r="BY120" s="121"/>
      <c r="BZ120" s="121"/>
      <c r="CA120" s="121"/>
      <c r="CB120" s="124"/>
      <c r="CC120" s="95"/>
      <c r="CD120" s="95"/>
      <c r="CE120" s="181"/>
      <c r="CF120" s="273"/>
      <c r="CG120" s="256"/>
      <c r="CH120" s="256"/>
      <c r="CI120" s="256"/>
      <c r="CJ120" s="256"/>
      <c r="CK120" s="256"/>
      <c r="CL120" s="256"/>
      <c r="CM120" s="256"/>
      <c r="CN120" s="256"/>
      <c r="CO120" s="256"/>
      <c r="CP120" s="256"/>
      <c r="CQ120" s="256"/>
      <c r="CR120" s="256"/>
      <c r="CS120" s="256"/>
      <c r="CT120" s="256"/>
      <c r="CU120" s="256"/>
      <c r="CV120" s="256"/>
      <c r="CW120" s="256"/>
      <c r="CX120" s="256"/>
      <c r="CY120" s="256"/>
      <c r="CZ120" s="256"/>
      <c r="DA120" s="256"/>
      <c r="DB120" s="256"/>
      <c r="DC120" s="256"/>
      <c r="DD120" s="256"/>
      <c r="DE120" s="256"/>
      <c r="DF120" s="256"/>
      <c r="DG120" s="256"/>
      <c r="DH120" s="256"/>
      <c r="DI120" s="256"/>
      <c r="DJ120" s="256"/>
      <c r="DK120" s="256"/>
      <c r="DL120" s="256"/>
      <c r="DM120" s="256"/>
      <c r="DN120" s="256"/>
      <c r="DO120" s="256"/>
      <c r="DP120" s="256"/>
      <c r="DQ120" s="256"/>
      <c r="DR120" s="256"/>
      <c r="DS120" s="256"/>
      <c r="DT120" s="256"/>
      <c r="DU120" s="256"/>
      <c r="DV120" s="256"/>
      <c r="DW120" s="256"/>
      <c r="DX120" s="256"/>
      <c r="DY120" s="256"/>
      <c r="DZ120" s="256"/>
      <c r="EA120" s="256"/>
      <c r="EB120" s="256"/>
      <c r="EC120" s="256"/>
      <c r="ED120" s="256"/>
      <c r="EE120" s="256"/>
      <c r="EF120" s="256"/>
      <c r="EG120" s="256"/>
      <c r="EH120" s="256"/>
      <c r="EI120" s="256"/>
      <c r="EJ120" s="256"/>
      <c r="EK120" s="256"/>
      <c r="EL120" s="256"/>
      <c r="EM120" s="256"/>
      <c r="EN120" s="256"/>
      <c r="EO120" s="256"/>
      <c r="EP120" s="256"/>
      <c r="EQ120" s="256"/>
      <c r="ER120" s="256"/>
      <c r="ES120" s="256"/>
      <c r="ET120" s="256"/>
      <c r="EU120" s="256"/>
      <c r="EV120" s="256"/>
      <c r="EW120" s="256"/>
      <c r="EX120" s="256"/>
      <c r="EY120" s="256"/>
      <c r="EZ120" s="256"/>
      <c r="FA120" s="256"/>
      <c r="FB120" s="256"/>
      <c r="FC120" s="256"/>
      <c r="FD120" s="256"/>
      <c r="FE120" s="256"/>
      <c r="FF120" s="256"/>
      <c r="FG120" s="256"/>
      <c r="FH120" s="256"/>
      <c r="FI120" s="256"/>
      <c r="FJ120" s="256"/>
      <c r="FK120" s="256"/>
      <c r="FL120" s="256"/>
      <c r="FM120" s="256"/>
      <c r="FN120" s="256"/>
      <c r="FO120" s="256"/>
    </row>
    <row r="121" spans="1:171" s="31" customFormat="1" ht="19.5" customHeight="1">
      <c r="A121" s="260"/>
      <c r="B121" s="263"/>
      <c r="C121" s="262"/>
      <c r="D121" s="98"/>
      <c r="E121" s="98"/>
      <c r="F121" s="98"/>
      <c r="G121" s="98"/>
      <c r="H121" s="404" t="s">
        <v>127</v>
      </c>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405"/>
      <c r="AF121" s="405"/>
      <c r="AG121" s="405"/>
      <c r="AH121" s="405"/>
      <c r="AI121" s="405"/>
      <c r="AJ121" s="405"/>
      <c r="AK121" s="405"/>
      <c r="AL121" s="405"/>
      <c r="AM121" s="405"/>
      <c r="AN121" s="405"/>
      <c r="AO121" s="405"/>
      <c r="AP121" s="405"/>
      <c r="AQ121" s="405"/>
      <c r="AR121" s="405"/>
      <c r="AS121" s="405"/>
      <c r="AT121" s="405"/>
      <c r="AU121" s="405"/>
      <c r="AV121" s="405"/>
      <c r="AW121" s="405"/>
      <c r="AX121" s="405"/>
      <c r="AY121" s="405"/>
      <c r="AZ121" s="405"/>
      <c r="BA121" s="405"/>
      <c r="BB121" s="405"/>
      <c r="BC121" s="405"/>
      <c r="BD121" s="405"/>
      <c r="BE121" s="405"/>
      <c r="BF121" s="405"/>
      <c r="BG121" s="405"/>
      <c r="BH121" s="405"/>
      <c r="BI121" s="405"/>
      <c r="BJ121" s="405"/>
      <c r="BK121" s="405"/>
      <c r="BL121" s="405"/>
      <c r="BM121" s="405"/>
      <c r="BN121" s="405"/>
      <c r="BO121" s="405"/>
      <c r="BP121" s="405"/>
      <c r="BQ121" s="405"/>
      <c r="BR121" s="405"/>
      <c r="BS121" s="405"/>
      <c r="BT121" s="405"/>
      <c r="BU121" s="405"/>
      <c r="BV121" s="405"/>
      <c r="BW121" s="405"/>
      <c r="BX121" s="405"/>
      <c r="BY121" s="405"/>
      <c r="BZ121" s="405"/>
      <c r="CA121" s="405"/>
      <c r="CB121" s="406"/>
      <c r="CC121" s="95"/>
      <c r="CD121" s="95"/>
      <c r="CE121" s="181"/>
      <c r="CF121" s="273"/>
      <c r="CG121" s="256"/>
      <c r="CH121" s="256"/>
      <c r="CI121" s="256"/>
      <c r="CJ121" s="256"/>
      <c r="CK121" s="256"/>
      <c r="CL121" s="256"/>
      <c r="CM121" s="256"/>
      <c r="CN121" s="256"/>
      <c r="CO121" s="256"/>
      <c r="CP121" s="256"/>
      <c r="CQ121" s="256"/>
      <c r="CR121" s="256"/>
      <c r="CS121" s="256"/>
      <c r="CT121" s="256"/>
      <c r="CU121" s="256"/>
      <c r="CV121" s="256"/>
      <c r="CW121" s="256"/>
      <c r="CX121" s="256"/>
      <c r="CY121" s="256"/>
      <c r="CZ121" s="256"/>
      <c r="DA121" s="256"/>
      <c r="DB121" s="256"/>
      <c r="DC121" s="256"/>
      <c r="DD121" s="256"/>
      <c r="DE121" s="256"/>
      <c r="DF121" s="256"/>
      <c r="DG121" s="256"/>
      <c r="DH121" s="256"/>
      <c r="DI121" s="256"/>
      <c r="DJ121" s="256"/>
      <c r="DK121" s="256"/>
      <c r="DL121" s="256"/>
      <c r="DM121" s="256"/>
      <c r="DN121" s="256"/>
      <c r="DO121" s="256"/>
      <c r="DP121" s="256"/>
      <c r="DQ121" s="256"/>
      <c r="DR121" s="256"/>
      <c r="DS121" s="256"/>
      <c r="DT121" s="256"/>
      <c r="DU121" s="256"/>
      <c r="DV121" s="256"/>
      <c r="DW121" s="256"/>
      <c r="DX121" s="256"/>
      <c r="DY121" s="256"/>
      <c r="DZ121" s="256"/>
      <c r="EA121" s="256"/>
      <c r="EB121" s="256"/>
      <c r="EC121" s="256"/>
      <c r="ED121" s="256"/>
      <c r="EE121" s="256"/>
      <c r="EF121" s="256"/>
      <c r="EG121" s="256"/>
      <c r="EH121" s="256"/>
      <c r="EI121" s="256"/>
      <c r="EJ121" s="256"/>
      <c r="EK121" s="256"/>
      <c r="EL121" s="256"/>
      <c r="EM121" s="256"/>
      <c r="EN121" s="256"/>
      <c r="EO121" s="256"/>
      <c r="EP121" s="256"/>
      <c r="EQ121" s="256"/>
      <c r="ER121" s="256"/>
      <c r="ES121" s="256"/>
      <c r="ET121" s="256"/>
      <c r="EU121" s="256"/>
      <c r="EV121" s="256"/>
      <c r="EW121" s="256"/>
      <c r="EX121" s="256"/>
      <c r="EY121" s="256"/>
      <c r="EZ121" s="256"/>
      <c r="FA121" s="256"/>
      <c r="FB121" s="256"/>
      <c r="FC121" s="256"/>
      <c r="FD121" s="256"/>
      <c r="FE121" s="256"/>
      <c r="FF121" s="256"/>
      <c r="FG121" s="256"/>
      <c r="FH121" s="256"/>
      <c r="FI121" s="256"/>
      <c r="FJ121" s="256"/>
      <c r="FK121" s="256"/>
      <c r="FL121" s="256"/>
      <c r="FM121" s="256"/>
      <c r="FN121" s="256"/>
      <c r="FO121" s="256"/>
    </row>
    <row r="122" spans="1:171" s="31" customFormat="1" ht="19.5" customHeight="1">
      <c r="A122" s="260"/>
      <c r="B122" s="263"/>
      <c r="C122" s="262"/>
      <c r="D122" s="98"/>
      <c r="E122" s="98"/>
      <c r="F122" s="98"/>
      <c r="G122" s="98"/>
      <c r="H122" s="123" t="s">
        <v>306</v>
      </c>
      <c r="I122" s="121"/>
      <c r="J122" s="121"/>
      <c r="K122" s="121"/>
      <c r="L122" s="121"/>
      <c r="M122" s="121"/>
      <c r="N122" s="121"/>
      <c r="O122" s="121"/>
      <c r="P122" s="121"/>
      <c r="Q122" s="121"/>
      <c r="R122" s="120"/>
      <c r="S122" s="121"/>
      <c r="T122" s="121"/>
      <c r="U122" s="122"/>
      <c r="V122" s="121"/>
      <c r="W122" s="287"/>
      <c r="X122" s="287"/>
      <c r="Y122" s="287"/>
      <c r="Z122" s="287"/>
      <c r="AA122" s="287"/>
      <c r="AB122" s="287"/>
      <c r="AC122" s="287"/>
      <c r="AD122" s="287"/>
      <c r="AE122" s="122" t="s">
        <v>315</v>
      </c>
      <c r="AF122" s="287"/>
      <c r="AG122" s="287"/>
      <c r="AH122" s="287"/>
      <c r="AI122" s="287"/>
      <c r="AJ122" s="287"/>
      <c r="AK122" s="287"/>
      <c r="AL122" s="287"/>
      <c r="AM122" s="287"/>
      <c r="AN122" s="287"/>
      <c r="AO122" s="287"/>
      <c r="AP122" s="123" t="s">
        <v>307</v>
      </c>
      <c r="AQ122" s="121"/>
      <c r="AR122" s="121"/>
      <c r="AS122" s="121"/>
      <c r="AT122" s="121"/>
      <c r="AU122" s="121"/>
      <c r="AV122" s="121"/>
      <c r="AW122" s="121"/>
      <c r="AX122" s="121"/>
      <c r="AY122" s="121"/>
      <c r="AZ122" s="120"/>
      <c r="BA122" s="121"/>
      <c r="BB122" s="121"/>
      <c r="BC122" s="122"/>
      <c r="BD122" s="121"/>
      <c r="BE122" s="287"/>
      <c r="BF122" s="287"/>
      <c r="BG122" s="287"/>
      <c r="BH122" s="287"/>
      <c r="BI122" s="287"/>
      <c r="BJ122" s="287"/>
      <c r="BK122" s="287"/>
      <c r="BL122" s="287"/>
      <c r="BM122" s="122" t="s">
        <v>312</v>
      </c>
      <c r="BN122" s="287"/>
      <c r="BO122" s="287"/>
      <c r="BP122" s="287"/>
      <c r="BQ122" s="287"/>
      <c r="BR122" s="287"/>
      <c r="BS122" s="287"/>
      <c r="BT122" s="287"/>
      <c r="BU122" s="287"/>
      <c r="BV122" s="287"/>
      <c r="BW122" s="287"/>
      <c r="BX122" s="287"/>
      <c r="BY122" s="287"/>
      <c r="BZ122" s="130"/>
      <c r="CA122" s="130"/>
      <c r="CB122" s="131"/>
      <c r="CC122" s="95"/>
      <c r="CD122" s="95"/>
      <c r="CE122" s="181"/>
      <c r="CF122" s="273"/>
      <c r="CG122" s="256"/>
      <c r="CH122" s="256"/>
      <c r="CI122" s="256"/>
      <c r="CJ122" s="256"/>
      <c r="CK122" s="256"/>
      <c r="CL122" s="256"/>
      <c r="CM122" s="256"/>
      <c r="CN122" s="256"/>
      <c r="CO122" s="256"/>
      <c r="CP122" s="256"/>
      <c r="CQ122" s="256"/>
      <c r="CR122" s="256"/>
      <c r="CS122" s="256"/>
      <c r="CT122" s="256"/>
      <c r="CU122" s="256"/>
      <c r="CV122" s="256"/>
      <c r="CW122" s="256"/>
      <c r="CX122" s="256"/>
      <c r="CY122" s="256"/>
      <c r="CZ122" s="256"/>
      <c r="DA122" s="256"/>
      <c r="DB122" s="256"/>
      <c r="DC122" s="256"/>
      <c r="DD122" s="256"/>
      <c r="DE122" s="256"/>
      <c r="DF122" s="256"/>
      <c r="DG122" s="256"/>
      <c r="DH122" s="256"/>
      <c r="DI122" s="256"/>
      <c r="DJ122" s="256"/>
      <c r="DK122" s="256"/>
      <c r="DL122" s="256"/>
      <c r="DM122" s="256"/>
      <c r="DN122" s="256"/>
      <c r="DO122" s="256"/>
      <c r="DP122" s="256"/>
      <c r="DQ122" s="256"/>
      <c r="DR122" s="256"/>
      <c r="DS122" s="256"/>
      <c r="DT122" s="256"/>
      <c r="DU122" s="256"/>
      <c r="DV122" s="256"/>
      <c r="DW122" s="256"/>
      <c r="DX122" s="256"/>
      <c r="DY122" s="256"/>
      <c r="DZ122" s="256"/>
      <c r="EA122" s="256"/>
      <c r="EB122" s="256"/>
      <c r="EC122" s="256"/>
      <c r="ED122" s="256"/>
      <c r="EE122" s="256"/>
      <c r="EF122" s="256"/>
      <c r="EG122" s="256"/>
      <c r="EH122" s="256"/>
      <c r="EI122" s="256"/>
      <c r="EJ122" s="256"/>
      <c r="EK122" s="256"/>
      <c r="EL122" s="256"/>
      <c r="EM122" s="256"/>
      <c r="EN122" s="256"/>
      <c r="EO122" s="256"/>
      <c r="EP122" s="256"/>
      <c r="EQ122" s="256"/>
      <c r="ER122" s="256"/>
      <c r="ES122" s="256"/>
      <c r="ET122" s="256"/>
      <c r="EU122" s="256"/>
      <c r="EV122" s="256"/>
      <c r="EW122" s="256"/>
      <c r="EX122" s="256"/>
      <c r="EY122" s="256"/>
      <c r="EZ122" s="256"/>
      <c r="FA122" s="256"/>
      <c r="FB122" s="256"/>
      <c r="FC122" s="256"/>
      <c r="FD122" s="256"/>
      <c r="FE122" s="256"/>
      <c r="FF122" s="256"/>
      <c r="FG122" s="256"/>
      <c r="FH122" s="256"/>
      <c r="FI122" s="256"/>
      <c r="FJ122" s="256"/>
      <c r="FK122" s="256"/>
      <c r="FL122" s="256"/>
      <c r="FM122" s="256"/>
      <c r="FN122" s="256"/>
      <c r="FO122" s="256"/>
    </row>
    <row r="123" spans="1:171" s="31" customFormat="1" ht="19.5" customHeight="1">
      <c r="A123" s="260"/>
      <c r="B123" s="263"/>
      <c r="C123" s="262"/>
      <c r="D123" s="98"/>
      <c r="E123" s="98"/>
      <c r="F123" s="98"/>
      <c r="G123" s="98"/>
      <c r="H123" s="120" t="s">
        <v>169</v>
      </c>
      <c r="I123" s="121"/>
      <c r="J123" s="121"/>
      <c r="K123" s="121"/>
      <c r="L123" s="121"/>
      <c r="M123" s="121"/>
      <c r="N123" s="287"/>
      <c r="O123" s="287"/>
      <c r="P123" s="287"/>
      <c r="Q123" s="133"/>
      <c r="R123" s="120" t="s">
        <v>305</v>
      </c>
      <c r="S123" s="77"/>
      <c r="T123" s="101"/>
      <c r="U123" s="101"/>
      <c r="V123" s="101"/>
      <c r="W123" s="101"/>
      <c r="X123" s="101"/>
      <c r="Y123" s="101"/>
      <c r="Z123" s="106"/>
      <c r="AA123" s="106"/>
      <c r="AB123" s="106"/>
      <c r="AC123" s="106"/>
      <c r="AD123" s="100"/>
      <c r="AE123" s="100"/>
      <c r="AF123" s="101"/>
      <c r="AG123" s="100"/>
      <c r="AH123" s="100"/>
      <c r="AI123" s="100"/>
      <c r="AJ123" s="101"/>
      <c r="AK123" s="100"/>
      <c r="AL123" s="287"/>
      <c r="AM123" s="287"/>
      <c r="AN123" s="287"/>
      <c r="AO123" s="287"/>
      <c r="AP123" s="123" t="s">
        <v>308</v>
      </c>
      <c r="AQ123" s="121"/>
      <c r="AR123" s="121"/>
      <c r="AS123" s="121"/>
      <c r="AT123" s="121"/>
      <c r="AU123" s="121"/>
      <c r="AV123" s="121"/>
      <c r="AW123" s="121"/>
      <c r="AX123" s="121"/>
      <c r="AY123" s="121"/>
      <c r="AZ123" s="134"/>
      <c r="BA123" s="135"/>
      <c r="BB123" s="135"/>
      <c r="BC123" s="135"/>
      <c r="BD123" s="135"/>
      <c r="BE123" s="135"/>
      <c r="BF123" s="136"/>
      <c r="BG123" s="135"/>
      <c r="BH123" s="135"/>
      <c r="BI123" s="121"/>
      <c r="BJ123" s="121"/>
      <c r="BK123" s="121"/>
      <c r="BL123" s="121"/>
      <c r="BM123" s="121"/>
      <c r="BN123" s="121"/>
      <c r="BO123" s="121"/>
      <c r="BP123" s="121"/>
      <c r="BQ123" s="121"/>
      <c r="BR123" s="121"/>
      <c r="BS123" s="121"/>
      <c r="BT123" s="287"/>
      <c r="BU123" s="100"/>
      <c r="BV123" s="100"/>
      <c r="BW123" s="100"/>
      <c r="BX123" s="130"/>
      <c r="BY123" s="130"/>
      <c r="BZ123" s="130"/>
      <c r="CA123" s="130"/>
      <c r="CB123" s="131"/>
      <c r="CC123" s="95"/>
      <c r="CD123" s="95"/>
      <c r="CE123" s="181"/>
      <c r="CF123" s="273"/>
      <c r="CG123" s="256"/>
      <c r="CH123" s="256"/>
      <c r="CI123" s="256"/>
      <c r="CJ123" s="256"/>
      <c r="CK123" s="256"/>
      <c r="CL123" s="256"/>
      <c r="CM123" s="256"/>
      <c r="CN123" s="256"/>
      <c r="CO123" s="256"/>
      <c r="CP123" s="256"/>
      <c r="CQ123" s="256"/>
      <c r="CR123" s="256"/>
      <c r="CS123" s="256"/>
      <c r="CT123" s="256"/>
      <c r="CU123" s="256"/>
      <c r="CV123" s="256"/>
      <c r="CW123" s="256"/>
      <c r="CX123" s="256"/>
      <c r="CY123" s="256"/>
      <c r="CZ123" s="256"/>
      <c r="DA123" s="256"/>
      <c r="DB123" s="256"/>
      <c r="DC123" s="256"/>
      <c r="DD123" s="256"/>
      <c r="DE123" s="256"/>
      <c r="DF123" s="256"/>
      <c r="DG123" s="256"/>
      <c r="DH123" s="256"/>
      <c r="DI123" s="256"/>
      <c r="DJ123" s="256"/>
      <c r="DK123" s="256"/>
      <c r="DL123" s="256"/>
      <c r="DM123" s="256"/>
      <c r="DN123" s="256"/>
      <c r="DO123" s="256"/>
      <c r="DP123" s="256"/>
      <c r="DQ123" s="256"/>
      <c r="DR123" s="256"/>
      <c r="DS123" s="256"/>
      <c r="DT123" s="256"/>
      <c r="DU123" s="256"/>
      <c r="DV123" s="256"/>
      <c r="DW123" s="256"/>
      <c r="DX123" s="256"/>
      <c r="DY123" s="256"/>
      <c r="DZ123" s="256"/>
      <c r="EA123" s="256"/>
      <c r="EB123" s="256"/>
      <c r="EC123" s="256"/>
      <c r="ED123" s="256"/>
      <c r="EE123" s="256"/>
      <c r="EF123" s="256"/>
      <c r="EG123" s="256"/>
      <c r="EH123" s="256"/>
      <c r="EI123" s="256"/>
      <c r="EJ123" s="256"/>
      <c r="EK123" s="256"/>
      <c r="EL123" s="256"/>
      <c r="EM123" s="256"/>
      <c r="EN123" s="256"/>
      <c r="EO123" s="256"/>
      <c r="EP123" s="256"/>
      <c r="EQ123" s="256"/>
      <c r="ER123" s="256"/>
      <c r="ES123" s="256"/>
      <c r="ET123" s="256"/>
      <c r="EU123" s="256"/>
      <c r="EV123" s="256"/>
      <c r="EW123" s="256"/>
      <c r="EX123" s="256"/>
      <c r="EY123" s="256"/>
      <c r="EZ123" s="256"/>
      <c r="FA123" s="256"/>
      <c r="FB123" s="256"/>
      <c r="FC123" s="256"/>
      <c r="FD123" s="256"/>
      <c r="FE123" s="256"/>
      <c r="FF123" s="256"/>
      <c r="FG123" s="256"/>
      <c r="FH123" s="256"/>
      <c r="FI123" s="256"/>
      <c r="FJ123" s="256"/>
      <c r="FK123" s="256"/>
      <c r="FL123" s="256"/>
      <c r="FM123" s="256"/>
      <c r="FN123" s="256"/>
      <c r="FO123" s="256"/>
    </row>
    <row r="124" spans="1:171" s="31" customFormat="1" ht="19.5" customHeight="1">
      <c r="A124" s="260"/>
      <c r="B124" s="263"/>
      <c r="C124" s="262"/>
      <c r="D124" s="98"/>
      <c r="E124" s="98"/>
      <c r="F124" s="98"/>
      <c r="G124" s="98"/>
      <c r="H124" s="120" t="s">
        <v>371</v>
      </c>
      <c r="I124" s="133"/>
      <c r="J124" s="133"/>
      <c r="K124" s="133"/>
      <c r="L124" s="133"/>
      <c r="M124" s="133"/>
      <c r="N124" s="133"/>
      <c r="O124" s="133"/>
      <c r="P124" s="133"/>
      <c r="Q124" s="133"/>
      <c r="R124" s="120"/>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33"/>
      <c r="BQ124" s="133"/>
      <c r="BR124" s="133"/>
      <c r="BS124" s="133"/>
      <c r="BT124" s="295"/>
      <c r="BU124" s="295"/>
      <c r="BV124" s="130"/>
      <c r="BW124" s="130"/>
      <c r="BX124" s="130"/>
      <c r="BY124" s="130"/>
      <c r="BZ124" s="130"/>
      <c r="CA124" s="130"/>
      <c r="CB124" s="131"/>
      <c r="CC124" s="95"/>
      <c r="CD124" s="95"/>
      <c r="CE124" s="181"/>
      <c r="CF124" s="273"/>
      <c r="CG124" s="256"/>
      <c r="CH124" s="256"/>
      <c r="CI124" s="256"/>
      <c r="CJ124" s="256"/>
      <c r="CK124" s="256"/>
      <c r="CL124" s="256"/>
      <c r="CM124" s="256"/>
      <c r="CN124" s="256"/>
      <c r="CO124" s="256"/>
      <c r="CP124" s="256"/>
      <c r="CQ124" s="256"/>
      <c r="CR124" s="256"/>
      <c r="CS124" s="256"/>
      <c r="CT124" s="256"/>
      <c r="CU124" s="256"/>
      <c r="CV124" s="256"/>
      <c r="CW124" s="256"/>
      <c r="CX124" s="256"/>
      <c r="CY124" s="256"/>
      <c r="CZ124" s="256"/>
      <c r="DA124" s="256"/>
      <c r="DB124" s="256"/>
      <c r="DC124" s="256"/>
      <c r="DD124" s="256"/>
      <c r="DE124" s="256"/>
      <c r="DF124" s="256"/>
      <c r="DG124" s="256"/>
      <c r="DH124" s="256"/>
      <c r="DI124" s="256"/>
      <c r="DJ124" s="256"/>
      <c r="DK124" s="256"/>
      <c r="DL124" s="256"/>
      <c r="DM124" s="256"/>
      <c r="DN124" s="256"/>
      <c r="DO124" s="256"/>
      <c r="DP124" s="256"/>
      <c r="DQ124" s="256"/>
      <c r="DR124" s="256"/>
      <c r="DS124" s="256"/>
      <c r="DT124" s="256"/>
      <c r="DU124" s="256"/>
      <c r="DV124" s="256"/>
      <c r="DW124" s="256"/>
      <c r="DX124" s="256"/>
      <c r="DY124" s="256"/>
      <c r="DZ124" s="256"/>
      <c r="EA124" s="256"/>
      <c r="EB124" s="256"/>
      <c r="EC124" s="256"/>
      <c r="ED124" s="256"/>
      <c r="EE124" s="256"/>
      <c r="EF124" s="256"/>
      <c r="EG124" s="256"/>
      <c r="EH124" s="256"/>
      <c r="EI124" s="256"/>
      <c r="EJ124" s="256"/>
      <c r="EK124" s="256"/>
      <c r="EL124" s="256"/>
      <c r="EM124" s="256"/>
      <c r="EN124" s="256"/>
      <c r="EO124" s="256"/>
      <c r="EP124" s="256"/>
      <c r="EQ124" s="256"/>
      <c r="ER124" s="256"/>
      <c r="ES124" s="256"/>
      <c r="ET124" s="256"/>
      <c r="EU124" s="256"/>
      <c r="EV124" s="256"/>
      <c r="EW124" s="256"/>
      <c r="EX124" s="256"/>
      <c r="EY124" s="256"/>
      <c r="EZ124" s="256"/>
      <c r="FA124" s="256"/>
      <c r="FB124" s="256"/>
      <c r="FC124" s="256"/>
      <c r="FD124" s="256"/>
      <c r="FE124" s="256"/>
      <c r="FF124" s="256"/>
      <c r="FG124" s="256"/>
      <c r="FH124" s="256"/>
      <c r="FI124" s="256"/>
      <c r="FJ124" s="256"/>
      <c r="FK124" s="256"/>
      <c r="FL124" s="256"/>
      <c r="FM124" s="256"/>
      <c r="FN124" s="256"/>
      <c r="FO124" s="256"/>
    </row>
    <row r="125" spans="1:171" s="31" customFormat="1" ht="19.5" customHeight="1">
      <c r="A125" s="260"/>
      <c r="B125" s="263"/>
      <c r="C125" s="262"/>
      <c r="D125" s="98"/>
      <c r="E125" s="98"/>
      <c r="F125" s="98"/>
      <c r="G125" s="98"/>
      <c r="H125" s="132" t="s">
        <v>370</v>
      </c>
      <c r="I125" s="133"/>
      <c r="J125" s="133"/>
      <c r="K125" s="133"/>
      <c r="L125" s="133"/>
      <c r="M125" s="133"/>
      <c r="N125" s="133"/>
      <c r="O125" s="133"/>
      <c r="P125" s="133"/>
      <c r="Q125" s="133"/>
      <c r="R125" s="120"/>
      <c r="S125" s="133"/>
      <c r="T125" s="133"/>
      <c r="U125" s="133"/>
      <c r="V125" s="133"/>
      <c r="W125" s="133"/>
      <c r="X125" s="133"/>
      <c r="Y125" s="133"/>
      <c r="Z125" s="133"/>
      <c r="AA125" s="133"/>
      <c r="AB125" s="133"/>
      <c r="AC125" s="133"/>
      <c r="AD125" s="133" t="s">
        <v>316</v>
      </c>
      <c r="AE125" s="133"/>
      <c r="AF125" s="133"/>
      <c r="AG125" s="133"/>
      <c r="AH125" s="133"/>
      <c r="AI125" s="133"/>
      <c r="AJ125" s="133"/>
      <c r="AK125" s="133"/>
      <c r="AL125" s="133"/>
      <c r="AM125" s="133"/>
      <c r="AN125" s="133"/>
      <c r="AO125" s="133"/>
      <c r="AP125" s="120" t="s">
        <v>372</v>
      </c>
      <c r="AQ125" s="121"/>
      <c r="AR125" s="121"/>
      <c r="AS125" s="121"/>
      <c r="AT125" s="121"/>
      <c r="AU125" s="121"/>
      <c r="AV125" s="121"/>
      <c r="AW125" s="121"/>
      <c r="AX125" s="121"/>
      <c r="AY125" s="124"/>
      <c r="AZ125" s="121"/>
      <c r="BA125" s="121"/>
      <c r="BB125" s="121"/>
      <c r="BC125" s="121"/>
      <c r="BD125" s="121"/>
      <c r="BE125" s="121"/>
      <c r="BF125" s="121"/>
      <c r="BG125" s="121"/>
      <c r="BH125" s="121"/>
      <c r="BI125" s="121"/>
      <c r="BJ125" s="121"/>
      <c r="BK125" s="121"/>
      <c r="BL125" s="121"/>
      <c r="BM125" s="121"/>
      <c r="BN125" s="121"/>
      <c r="BO125" s="121"/>
      <c r="BP125" s="133"/>
      <c r="BQ125" s="133"/>
      <c r="BR125" s="133"/>
      <c r="BS125" s="133"/>
      <c r="BT125" s="295"/>
      <c r="BU125" s="295"/>
      <c r="BV125" s="130"/>
      <c r="BW125" s="130"/>
      <c r="BX125" s="130"/>
      <c r="BY125" s="130"/>
      <c r="BZ125" s="130"/>
      <c r="CA125" s="130"/>
      <c r="CB125" s="131"/>
      <c r="CC125" s="95"/>
      <c r="CD125" s="95"/>
      <c r="CE125" s="181"/>
      <c r="CF125" s="273"/>
      <c r="CG125" s="256"/>
      <c r="CH125" s="256"/>
      <c r="CI125" s="256"/>
      <c r="CJ125" s="256"/>
      <c r="CK125" s="256"/>
      <c r="CL125" s="256"/>
      <c r="CM125" s="256"/>
      <c r="CN125" s="256"/>
      <c r="CO125" s="256"/>
      <c r="CP125" s="256"/>
      <c r="CQ125" s="256"/>
      <c r="CR125" s="256"/>
      <c r="CS125" s="256"/>
      <c r="CT125" s="256"/>
      <c r="CU125" s="256"/>
      <c r="CV125" s="256"/>
      <c r="CW125" s="256"/>
      <c r="CX125" s="256"/>
      <c r="CY125" s="256"/>
      <c r="CZ125" s="256"/>
      <c r="DA125" s="256"/>
      <c r="DB125" s="256"/>
      <c r="DC125" s="256"/>
      <c r="DD125" s="256"/>
      <c r="DE125" s="256"/>
      <c r="DF125" s="256"/>
      <c r="DG125" s="256"/>
      <c r="DH125" s="256"/>
      <c r="DI125" s="256"/>
      <c r="DJ125" s="256"/>
      <c r="DK125" s="256"/>
      <c r="DL125" s="256"/>
      <c r="DM125" s="256"/>
      <c r="DN125" s="256"/>
      <c r="DO125" s="256"/>
      <c r="DP125" s="256"/>
      <c r="DQ125" s="256"/>
      <c r="DR125" s="256"/>
      <c r="DS125" s="256"/>
      <c r="DT125" s="256"/>
      <c r="DU125" s="256"/>
      <c r="DV125" s="256"/>
      <c r="DW125" s="256"/>
      <c r="DX125" s="256"/>
      <c r="DY125" s="256"/>
      <c r="DZ125" s="256"/>
      <c r="EA125" s="256"/>
      <c r="EB125" s="256"/>
      <c r="EC125" s="256"/>
      <c r="ED125" s="256"/>
      <c r="EE125" s="256"/>
      <c r="EF125" s="256"/>
      <c r="EG125" s="256"/>
      <c r="EH125" s="256"/>
      <c r="EI125" s="256"/>
      <c r="EJ125" s="256"/>
      <c r="EK125" s="256"/>
      <c r="EL125" s="256"/>
      <c r="EM125" s="256"/>
      <c r="EN125" s="256"/>
      <c r="EO125" s="256"/>
      <c r="EP125" s="256"/>
      <c r="EQ125" s="256"/>
      <c r="ER125" s="256"/>
      <c r="ES125" s="256"/>
      <c r="ET125" s="256"/>
      <c r="EU125" s="256"/>
      <c r="EV125" s="256"/>
      <c r="EW125" s="256"/>
      <c r="EX125" s="256"/>
      <c r="EY125" s="256"/>
      <c r="EZ125" s="256"/>
      <c r="FA125" s="256"/>
      <c r="FB125" s="256"/>
      <c r="FC125" s="256"/>
      <c r="FD125" s="256"/>
      <c r="FE125" s="256"/>
      <c r="FF125" s="256"/>
      <c r="FG125" s="256"/>
      <c r="FH125" s="256"/>
      <c r="FI125" s="256"/>
      <c r="FJ125" s="256"/>
      <c r="FK125" s="256"/>
      <c r="FL125" s="256"/>
      <c r="FM125" s="256"/>
      <c r="FN125" s="256"/>
      <c r="FO125" s="256"/>
    </row>
    <row r="126" spans="1:171" s="31" customFormat="1" ht="19.5" customHeight="1">
      <c r="A126" s="260"/>
      <c r="B126" s="263"/>
      <c r="C126" s="262"/>
      <c r="D126" s="98"/>
      <c r="E126" s="98"/>
      <c r="F126" s="98"/>
      <c r="G126" s="98"/>
      <c r="H126" s="132" t="s">
        <v>134</v>
      </c>
      <c r="I126" s="133"/>
      <c r="J126" s="133"/>
      <c r="K126" s="133"/>
      <c r="L126" s="133"/>
      <c r="M126" s="133"/>
      <c r="N126" s="133"/>
      <c r="O126" s="133"/>
      <c r="P126" s="133"/>
      <c r="Q126" s="133"/>
      <c r="R126" s="120"/>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20" t="s">
        <v>139</v>
      </c>
      <c r="AQ126" s="121"/>
      <c r="AR126" s="121"/>
      <c r="AS126" s="121"/>
      <c r="AT126" s="121"/>
      <c r="AU126" s="121"/>
      <c r="AV126" s="121"/>
      <c r="AW126" s="121"/>
      <c r="AX126" s="121"/>
      <c r="AY126" s="124"/>
      <c r="AZ126" s="121"/>
      <c r="BA126" s="121"/>
      <c r="BB126" s="121"/>
      <c r="BC126" s="121"/>
      <c r="BD126" s="121"/>
      <c r="BE126" s="121"/>
      <c r="BF126" s="121"/>
      <c r="BG126" s="121"/>
      <c r="BH126" s="121"/>
      <c r="BI126" s="121"/>
      <c r="BJ126" s="121"/>
      <c r="BK126" s="121"/>
      <c r="BL126" s="121"/>
      <c r="BM126" s="121"/>
      <c r="BN126" s="121"/>
      <c r="BO126" s="121"/>
      <c r="BP126" s="133"/>
      <c r="BQ126" s="133"/>
      <c r="BR126" s="133"/>
      <c r="BS126" s="133"/>
      <c r="BT126" s="295"/>
      <c r="BU126" s="295"/>
      <c r="BV126" s="130"/>
      <c r="BW126" s="130"/>
      <c r="BX126" s="130"/>
      <c r="BY126" s="130"/>
      <c r="BZ126" s="130"/>
      <c r="CA126" s="130"/>
      <c r="CB126" s="131"/>
      <c r="CC126" s="95"/>
      <c r="CD126" s="95"/>
      <c r="CE126" s="181"/>
      <c r="CF126" s="273"/>
      <c r="CG126" s="256"/>
      <c r="CH126" s="256"/>
      <c r="CI126" s="256"/>
      <c r="CJ126" s="256"/>
      <c r="CK126" s="256"/>
      <c r="CL126" s="256"/>
      <c r="CM126" s="256"/>
      <c r="CN126" s="256"/>
      <c r="CO126" s="256"/>
      <c r="CP126" s="256"/>
      <c r="CQ126" s="256"/>
      <c r="CR126" s="256"/>
      <c r="CS126" s="256"/>
      <c r="CT126" s="256"/>
      <c r="CU126" s="256"/>
      <c r="CV126" s="256"/>
      <c r="CW126" s="256"/>
      <c r="CX126" s="256"/>
      <c r="CY126" s="256"/>
      <c r="CZ126" s="256"/>
      <c r="DA126" s="256"/>
      <c r="DB126" s="256"/>
      <c r="DC126" s="256"/>
      <c r="DD126" s="256"/>
      <c r="DE126" s="256"/>
      <c r="DF126" s="256"/>
      <c r="DG126" s="256"/>
      <c r="DH126" s="256"/>
      <c r="DI126" s="256"/>
      <c r="DJ126" s="256"/>
      <c r="DK126" s="256"/>
      <c r="DL126" s="256"/>
      <c r="DM126" s="256"/>
      <c r="DN126" s="256"/>
      <c r="DO126" s="256"/>
      <c r="DP126" s="256"/>
      <c r="DQ126" s="256"/>
      <c r="DR126" s="256"/>
      <c r="DS126" s="256"/>
      <c r="DT126" s="256"/>
      <c r="DU126" s="256"/>
      <c r="DV126" s="256"/>
      <c r="DW126" s="256"/>
      <c r="DX126" s="256"/>
      <c r="DY126" s="256"/>
      <c r="DZ126" s="256"/>
      <c r="EA126" s="256"/>
      <c r="EB126" s="256"/>
      <c r="EC126" s="256"/>
      <c r="ED126" s="256"/>
      <c r="EE126" s="256"/>
      <c r="EF126" s="256"/>
      <c r="EG126" s="256"/>
      <c r="EH126" s="256"/>
      <c r="EI126" s="256"/>
      <c r="EJ126" s="256"/>
      <c r="EK126" s="256"/>
      <c r="EL126" s="256"/>
      <c r="EM126" s="256"/>
      <c r="EN126" s="256"/>
      <c r="EO126" s="256"/>
      <c r="EP126" s="256"/>
      <c r="EQ126" s="256"/>
      <c r="ER126" s="256"/>
      <c r="ES126" s="256"/>
      <c r="ET126" s="256"/>
      <c r="EU126" s="256"/>
      <c r="EV126" s="256"/>
      <c r="EW126" s="256"/>
      <c r="EX126" s="256"/>
      <c r="EY126" s="256"/>
      <c r="EZ126" s="256"/>
      <c r="FA126" s="256"/>
      <c r="FB126" s="256"/>
      <c r="FC126" s="256"/>
      <c r="FD126" s="256"/>
      <c r="FE126" s="256"/>
      <c r="FF126" s="256"/>
      <c r="FG126" s="256"/>
      <c r="FH126" s="256"/>
      <c r="FI126" s="256"/>
      <c r="FJ126" s="256"/>
      <c r="FK126" s="256"/>
      <c r="FL126" s="256"/>
      <c r="FM126" s="256"/>
      <c r="FN126" s="256"/>
      <c r="FO126" s="256"/>
    </row>
    <row r="127" spans="1:171" s="31" customFormat="1" ht="19.5" customHeight="1">
      <c r="A127" s="260"/>
      <c r="B127" s="263"/>
      <c r="C127" s="262"/>
      <c r="D127" s="98"/>
      <c r="E127" s="98"/>
      <c r="F127" s="98"/>
      <c r="G127" s="98"/>
      <c r="H127" s="132" t="s">
        <v>304</v>
      </c>
      <c r="I127" s="133"/>
      <c r="J127" s="133"/>
      <c r="K127" s="133"/>
      <c r="L127" s="133"/>
      <c r="M127" s="133"/>
      <c r="N127" s="133"/>
      <c r="O127" s="133"/>
      <c r="P127" s="133"/>
      <c r="Q127" s="133"/>
      <c r="R127" s="120"/>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20" t="s">
        <v>142</v>
      </c>
      <c r="AQ127" s="121"/>
      <c r="AR127" s="121"/>
      <c r="AS127" s="121"/>
      <c r="AT127" s="121"/>
      <c r="AU127" s="121"/>
      <c r="AV127" s="121"/>
      <c r="AW127" s="121"/>
      <c r="AX127" s="121"/>
      <c r="AY127" s="124"/>
      <c r="AZ127" s="121"/>
      <c r="BA127" s="121"/>
      <c r="BB127" s="121"/>
      <c r="BC127" s="121"/>
      <c r="BD127" s="121"/>
      <c r="BE127" s="121"/>
      <c r="BF127" s="121"/>
      <c r="BG127" s="121"/>
      <c r="BH127" s="121"/>
      <c r="BI127" s="121"/>
      <c r="BJ127" s="121"/>
      <c r="BK127" s="121"/>
      <c r="BL127" s="121"/>
      <c r="BM127" s="121"/>
      <c r="BN127" s="121"/>
      <c r="BO127" s="121"/>
      <c r="BP127" s="133"/>
      <c r="BQ127" s="133"/>
      <c r="BR127" s="133"/>
      <c r="BS127" s="133"/>
      <c r="BT127" s="295"/>
      <c r="BU127" s="295"/>
      <c r="BV127" s="130"/>
      <c r="BW127" s="130"/>
      <c r="BX127" s="130"/>
      <c r="BY127" s="130"/>
      <c r="BZ127" s="130"/>
      <c r="CA127" s="130"/>
      <c r="CB127" s="131"/>
      <c r="CC127" s="95"/>
      <c r="CD127" s="95"/>
      <c r="CE127" s="181"/>
      <c r="CF127" s="273"/>
      <c r="CG127" s="256"/>
      <c r="CH127" s="256"/>
      <c r="CI127" s="256"/>
      <c r="CJ127" s="256"/>
      <c r="CK127" s="256"/>
      <c r="CL127" s="256"/>
      <c r="CM127" s="256"/>
      <c r="CN127" s="256"/>
      <c r="CO127" s="256"/>
      <c r="CP127" s="256"/>
      <c r="CQ127" s="256"/>
      <c r="CR127" s="256"/>
      <c r="CS127" s="256"/>
      <c r="CT127" s="256"/>
      <c r="CU127" s="256"/>
      <c r="CV127" s="256"/>
      <c r="CW127" s="256"/>
      <c r="CX127" s="256"/>
      <c r="CY127" s="256"/>
      <c r="CZ127" s="256"/>
      <c r="DA127" s="256"/>
      <c r="DB127" s="256"/>
      <c r="DC127" s="256"/>
      <c r="DD127" s="256"/>
      <c r="DE127" s="256"/>
      <c r="DF127" s="256"/>
      <c r="DG127" s="256"/>
      <c r="DH127" s="256"/>
      <c r="DI127" s="256"/>
      <c r="DJ127" s="256"/>
      <c r="DK127" s="256"/>
      <c r="DL127" s="256"/>
      <c r="DM127" s="256"/>
      <c r="DN127" s="256"/>
      <c r="DO127" s="256"/>
      <c r="DP127" s="256"/>
      <c r="DQ127" s="256"/>
      <c r="DR127" s="256"/>
      <c r="DS127" s="256"/>
      <c r="DT127" s="256"/>
      <c r="DU127" s="256"/>
      <c r="DV127" s="256"/>
      <c r="DW127" s="256"/>
      <c r="DX127" s="256"/>
      <c r="DY127" s="256"/>
      <c r="DZ127" s="256"/>
      <c r="EA127" s="256"/>
      <c r="EB127" s="256"/>
      <c r="EC127" s="256"/>
      <c r="ED127" s="256"/>
      <c r="EE127" s="256"/>
      <c r="EF127" s="256"/>
      <c r="EG127" s="256"/>
      <c r="EH127" s="256"/>
      <c r="EI127" s="256"/>
      <c r="EJ127" s="256"/>
      <c r="EK127" s="256"/>
      <c r="EL127" s="256"/>
      <c r="EM127" s="256"/>
      <c r="EN127" s="256"/>
      <c r="EO127" s="256"/>
      <c r="EP127" s="256"/>
      <c r="EQ127" s="256"/>
      <c r="ER127" s="256"/>
      <c r="ES127" s="256"/>
      <c r="ET127" s="256"/>
      <c r="EU127" s="256"/>
      <c r="EV127" s="256"/>
      <c r="EW127" s="256"/>
      <c r="EX127" s="256"/>
      <c r="EY127" s="256"/>
      <c r="EZ127" s="256"/>
      <c r="FA127" s="256"/>
      <c r="FB127" s="256"/>
      <c r="FC127" s="256"/>
      <c r="FD127" s="256"/>
      <c r="FE127" s="256"/>
      <c r="FF127" s="256"/>
      <c r="FG127" s="256"/>
      <c r="FH127" s="256"/>
      <c r="FI127" s="256"/>
      <c r="FJ127" s="256"/>
      <c r="FK127" s="256"/>
      <c r="FL127" s="256"/>
      <c r="FM127" s="256"/>
      <c r="FN127" s="256"/>
      <c r="FO127" s="256"/>
    </row>
    <row r="128" spans="1:171" s="31" customFormat="1" ht="19.5" customHeight="1">
      <c r="A128" s="260"/>
      <c r="B128" s="263"/>
      <c r="C128" s="262"/>
      <c r="D128" s="98"/>
      <c r="E128" s="98"/>
      <c r="F128" s="98"/>
      <c r="G128" s="98"/>
      <c r="H128" s="404"/>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405"/>
      <c r="AF128" s="405"/>
      <c r="AG128" s="405"/>
      <c r="AH128" s="405"/>
      <c r="AI128" s="405"/>
      <c r="AJ128" s="405"/>
      <c r="AK128" s="405"/>
      <c r="AL128" s="405"/>
      <c r="AM128" s="405"/>
      <c r="AN128" s="405"/>
      <c r="AO128" s="405"/>
      <c r="AP128" s="405"/>
      <c r="AQ128" s="405"/>
      <c r="AR128" s="405"/>
      <c r="AS128" s="405"/>
      <c r="AT128" s="405"/>
      <c r="AU128" s="405"/>
      <c r="AV128" s="405"/>
      <c r="AW128" s="405"/>
      <c r="AX128" s="405"/>
      <c r="AY128" s="405"/>
      <c r="AZ128" s="405"/>
      <c r="BA128" s="405"/>
      <c r="BB128" s="405"/>
      <c r="BC128" s="405"/>
      <c r="BD128" s="405"/>
      <c r="BE128" s="405"/>
      <c r="BF128" s="405"/>
      <c r="BG128" s="405"/>
      <c r="BH128" s="405"/>
      <c r="BI128" s="405"/>
      <c r="BJ128" s="405"/>
      <c r="BK128" s="405"/>
      <c r="BL128" s="405"/>
      <c r="BM128" s="405"/>
      <c r="BN128" s="405"/>
      <c r="BO128" s="405"/>
      <c r="BP128" s="405"/>
      <c r="BQ128" s="405"/>
      <c r="BR128" s="405"/>
      <c r="BS128" s="405"/>
      <c r="BT128" s="405"/>
      <c r="BU128" s="405"/>
      <c r="BV128" s="405"/>
      <c r="BW128" s="405"/>
      <c r="BX128" s="405"/>
      <c r="BY128" s="405"/>
      <c r="BZ128" s="405"/>
      <c r="CA128" s="405"/>
      <c r="CB128" s="406"/>
      <c r="CC128" s="95"/>
      <c r="CD128" s="95"/>
      <c r="CE128" s="181"/>
      <c r="CF128" s="273"/>
      <c r="CG128" s="256"/>
      <c r="CH128" s="256"/>
      <c r="CI128" s="256"/>
      <c r="CJ128" s="256"/>
      <c r="CK128" s="256"/>
      <c r="CL128" s="256"/>
      <c r="CM128" s="256"/>
      <c r="CN128" s="256"/>
      <c r="CO128" s="256"/>
      <c r="CP128" s="256"/>
      <c r="CQ128" s="256"/>
      <c r="CR128" s="256"/>
      <c r="CS128" s="256"/>
      <c r="CT128" s="256"/>
      <c r="CU128" s="256"/>
      <c r="CV128" s="256"/>
      <c r="CW128" s="256"/>
      <c r="CX128" s="256"/>
      <c r="CY128" s="256"/>
      <c r="CZ128" s="256"/>
      <c r="DA128" s="256"/>
      <c r="DB128" s="256"/>
      <c r="DC128" s="256"/>
      <c r="DD128" s="256"/>
      <c r="DE128" s="256"/>
      <c r="DF128" s="256"/>
      <c r="DG128" s="256"/>
      <c r="DH128" s="256"/>
      <c r="DI128" s="256"/>
      <c r="DJ128" s="256"/>
      <c r="DK128" s="256"/>
      <c r="DL128" s="256"/>
      <c r="DM128" s="256"/>
      <c r="DN128" s="256"/>
      <c r="DO128" s="256"/>
      <c r="DP128" s="256"/>
      <c r="DQ128" s="256"/>
      <c r="DR128" s="256"/>
      <c r="DS128" s="256"/>
      <c r="DT128" s="256"/>
      <c r="DU128" s="256"/>
      <c r="DV128" s="256"/>
      <c r="DW128" s="256"/>
      <c r="DX128" s="256"/>
      <c r="DY128" s="256"/>
      <c r="DZ128" s="256"/>
      <c r="EA128" s="256"/>
      <c r="EB128" s="256"/>
      <c r="EC128" s="256"/>
      <c r="ED128" s="256"/>
      <c r="EE128" s="256"/>
      <c r="EF128" s="256"/>
      <c r="EG128" s="256"/>
      <c r="EH128" s="256"/>
      <c r="EI128" s="256"/>
      <c r="EJ128" s="256"/>
      <c r="EK128" s="256"/>
      <c r="EL128" s="256"/>
      <c r="EM128" s="256"/>
      <c r="EN128" s="256"/>
      <c r="EO128" s="256"/>
      <c r="EP128" s="256"/>
      <c r="EQ128" s="256"/>
      <c r="ER128" s="256"/>
      <c r="ES128" s="256"/>
      <c r="ET128" s="256"/>
      <c r="EU128" s="256"/>
      <c r="EV128" s="256"/>
      <c r="EW128" s="256"/>
      <c r="EX128" s="256"/>
      <c r="EY128" s="256"/>
      <c r="EZ128" s="256"/>
      <c r="FA128" s="256"/>
      <c r="FB128" s="256"/>
      <c r="FC128" s="256"/>
      <c r="FD128" s="256"/>
      <c r="FE128" s="256"/>
      <c r="FF128" s="256"/>
      <c r="FG128" s="256"/>
      <c r="FH128" s="256"/>
      <c r="FI128" s="256"/>
      <c r="FJ128" s="256"/>
      <c r="FK128" s="256"/>
      <c r="FL128" s="256"/>
      <c r="FM128" s="256"/>
      <c r="FN128" s="256"/>
      <c r="FO128" s="256"/>
    </row>
    <row r="129" spans="1:171" s="31" customFormat="1" ht="19.5" customHeight="1">
      <c r="A129" s="260"/>
      <c r="B129" s="263"/>
      <c r="C129" s="262"/>
      <c r="D129" s="98"/>
      <c r="E129" s="98"/>
      <c r="F129" s="98"/>
      <c r="G129" s="98"/>
      <c r="H129" s="183"/>
      <c r="I129" s="183"/>
      <c r="J129" s="183"/>
      <c r="K129" s="183"/>
      <c r="L129" s="183"/>
      <c r="M129" s="183"/>
      <c r="N129" s="184"/>
      <c r="O129" s="184"/>
      <c r="P129" s="184"/>
      <c r="Q129" s="184"/>
      <c r="R129" s="184"/>
      <c r="S129" s="184"/>
      <c r="T129" s="184"/>
      <c r="U129" s="184"/>
      <c r="V129" s="184"/>
      <c r="W129" s="184"/>
      <c r="X129" s="184"/>
      <c r="Y129" s="184"/>
      <c r="Z129" s="184"/>
      <c r="AA129" s="184"/>
      <c r="AB129" s="184"/>
      <c r="AC129" s="184"/>
      <c r="AD129" s="184"/>
      <c r="AE129" s="184"/>
      <c r="AF129" s="184"/>
      <c r="AG129" s="184"/>
      <c r="AH129" s="184"/>
      <c r="AI129" s="184"/>
      <c r="AJ129" s="184"/>
      <c r="AK129" s="184"/>
      <c r="AL129" s="184"/>
      <c r="AM129" s="184"/>
      <c r="AN129" s="184"/>
      <c r="AO129" s="184"/>
      <c r="AP129" s="184"/>
      <c r="AQ129" s="184"/>
      <c r="AR129" s="184"/>
      <c r="AS129" s="184"/>
      <c r="AT129" s="184"/>
      <c r="AU129" s="184"/>
      <c r="AV129" s="184"/>
      <c r="AW129" s="184"/>
      <c r="AX129" s="184"/>
      <c r="AY129" s="184"/>
      <c r="AZ129" s="184"/>
      <c r="BA129" s="184"/>
      <c r="BB129" s="184"/>
      <c r="BC129" s="184"/>
      <c r="BD129" s="184"/>
      <c r="BE129" s="184"/>
      <c r="BF129" s="184"/>
      <c r="BG129" s="184"/>
      <c r="BH129" s="184"/>
      <c r="BI129" s="184"/>
      <c r="BJ129" s="184"/>
      <c r="BK129" s="184"/>
      <c r="BL129" s="184"/>
      <c r="BM129" s="183"/>
      <c r="BN129" s="183"/>
      <c r="BO129" s="184"/>
      <c r="BP129" s="184"/>
      <c r="BQ129" s="184"/>
      <c r="BR129" s="184"/>
      <c r="BS129" s="184"/>
      <c r="BT129" s="184"/>
      <c r="BU129" s="184"/>
      <c r="BV129" s="184"/>
      <c r="BW129" s="184"/>
      <c r="BX129" s="179"/>
      <c r="BY129" s="179"/>
      <c r="BZ129" s="179"/>
      <c r="CA129" s="179"/>
      <c r="CB129" s="179"/>
      <c r="CC129" s="95"/>
      <c r="CD129" s="95"/>
      <c r="CE129" s="181"/>
      <c r="CF129" s="273"/>
      <c r="CG129" s="256"/>
      <c r="CH129" s="256"/>
      <c r="CI129" s="256"/>
      <c r="CJ129" s="256"/>
      <c r="CK129" s="256"/>
      <c r="CL129" s="256"/>
      <c r="CM129" s="256"/>
      <c r="CN129" s="256"/>
      <c r="CO129" s="256"/>
      <c r="CP129" s="256"/>
      <c r="CQ129" s="256"/>
      <c r="CR129" s="256"/>
      <c r="CS129" s="256"/>
      <c r="CT129" s="256"/>
      <c r="CU129" s="256"/>
      <c r="CV129" s="256"/>
      <c r="CW129" s="256"/>
      <c r="CX129" s="256"/>
      <c r="CY129" s="256"/>
      <c r="CZ129" s="256"/>
      <c r="DA129" s="256"/>
      <c r="DB129" s="256"/>
      <c r="DC129" s="256"/>
      <c r="DD129" s="256"/>
      <c r="DE129" s="256"/>
      <c r="DF129" s="256"/>
      <c r="DG129" s="256"/>
      <c r="DH129" s="256"/>
      <c r="DI129" s="256"/>
      <c r="DJ129" s="256"/>
      <c r="DK129" s="256"/>
      <c r="DL129" s="256"/>
      <c r="DM129" s="256"/>
      <c r="DN129" s="256"/>
      <c r="DO129" s="256"/>
      <c r="DP129" s="256"/>
      <c r="DQ129" s="256"/>
      <c r="DR129" s="256"/>
      <c r="DS129" s="256"/>
      <c r="DT129" s="256"/>
      <c r="DU129" s="256"/>
      <c r="DV129" s="256"/>
      <c r="DW129" s="256"/>
      <c r="DX129" s="256"/>
      <c r="DY129" s="256"/>
      <c r="DZ129" s="256"/>
      <c r="EA129" s="256"/>
      <c r="EB129" s="256"/>
      <c r="EC129" s="256"/>
      <c r="ED129" s="256"/>
      <c r="EE129" s="256"/>
      <c r="EF129" s="256"/>
      <c r="EG129" s="256"/>
      <c r="EH129" s="256"/>
      <c r="EI129" s="256"/>
      <c r="EJ129" s="256"/>
      <c r="EK129" s="256"/>
      <c r="EL129" s="256"/>
      <c r="EM129" s="256"/>
      <c r="EN129" s="256"/>
      <c r="EO129" s="256"/>
      <c r="EP129" s="256"/>
      <c r="EQ129" s="256"/>
      <c r="ER129" s="256"/>
      <c r="ES129" s="256"/>
      <c r="ET129" s="256"/>
      <c r="EU129" s="256"/>
      <c r="EV129" s="256"/>
      <c r="EW129" s="256"/>
      <c r="EX129" s="256"/>
      <c r="EY129" s="256"/>
      <c r="EZ129" s="256"/>
      <c r="FA129" s="256"/>
      <c r="FB129" s="256"/>
      <c r="FC129" s="256"/>
      <c r="FD129" s="256"/>
      <c r="FE129" s="256"/>
      <c r="FF129" s="256"/>
      <c r="FG129" s="256"/>
      <c r="FH129" s="256"/>
      <c r="FI129" s="256"/>
      <c r="FJ129" s="256"/>
      <c r="FK129" s="256"/>
      <c r="FL129" s="256"/>
      <c r="FM129" s="256"/>
      <c r="FN129" s="256"/>
      <c r="FO129" s="256"/>
    </row>
    <row r="130" spans="1:171" s="31" customFormat="1" ht="19.5" customHeight="1">
      <c r="A130" s="260"/>
      <c r="B130" s="263"/>
      <c r="C130" s="262"/>
      <c r="D130" s="98"/>
      <c r="E130" s="98"/>
      <c r="F130" s="98"/>
      <c r="G130" s="98"/>
      <c r="H130" s="183"/>
      <c r="I130" s="183"/>
      <c r="J130" s="183"/>
      <c r="K130" s="183"/>
      <c r="L130" s="183"/>
      <c r="M130" s="183"/>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3"/>
      <c r="BN130" s="183"/>
      <c r="BO130" s="184"/>
      <c r="BP130" s="184"/>
      <c r="BQ130" s="184"/>
      <c r="BR130" s="184"/>
      <c r="BS130" s="184"/>
      <c r="BT130" s="184"/>
      <c r="BU130" s="184"/>
      <c r="BV130" s="184"/>
      <c r="BW130" s="184"/>
      <c r="BX130" s="179"/>
      <c r="BY130" s="179"/>
      <c r="BZ130" s="179"/>
      <c r="CA130" s="179"/>
      <c r="CB130" s="179"/>
      <c r="CC130" s="95"/>
      <c r="CD130" s="95"/>
      <c r="CE130" s="181"/>
      <c r="CF130" s="273"/>
      <c r="CG130" s="256"/>
      <c r="CH130" s="256"/>
      <c r="CI130" s="256"/>
      <c r="CJ130" s="256"/>
      <c r="CK130" s="256"/>
      <c r="CL130" s="256"/>
      <c r="CM130" s="256"/>
      <c r="CN130" s="256"/>
      <c r="CO130" s="256"/>
      <c r="CP130" s="256"/>
      <c r="CQ130" s="256"/>
      <c r="CR130" s="256"/>
      <c r="CS130" s="256"/>
      <c r="CT130" s="256"/>
      <c r="CU130" s="256"/>
      <c r="CV130" s="256"/>
      <c r="CW130" s="256"/>
      <c r="CX130" s="256"/>
      <c r="CY130" s="256"/>
      <c r="CZ130" s="256"/>
      <c r="DA130" s="256"/>
      <c r="DB130" s="256"/>
      <c r="DC130" s="256"/>
      <c r="DD130" s="256"/>
      <c r="DE130" s="256"/>
      <c r="DF130" s="256"/>
      <c r="DG130" s="256"/>
      <c r="DH130" s="256"/>
      <c r="DI130" s="256"/>
      <c r="DJ130" s="256"/>
      <c r="DK130" s="256"/>
      <c r="DL130" s="256"/>
      <c r="DM130" s="256"/>
      <c r="DN130" s="256"/>
      <c r="DO130" s="256"/>
      <c r="DP130" s="256"/>
      <c r="DQ130" s="256"/>
      <c r="DR130" s="256"/>
      <c r="DS130" s="256"/>
      <c r="DT130" s="256"/>
      <c r="DU130" s="256"/>
      <c r="DV130" s="256"/>
      <c r="DW130" s="256"/>
      <c r="DX130" s="256"/>
      <c r="DY130" s="256"/>
      <c r="DZ130" s="256"/>
      <c r="EA130" s="256"/>
      <c r="EB130" s="256"/>
      <c r="EC130" s="256"/>
      <c r="ED130" s="256"/>
      <c r="EE130" s="256"/>
      <c r="EF130" s="256"/>
      <c r="EG130" s="256"/>
      <c r="EH130" s="256"/>
      <c r="EI130" s="256"/>
      <c r="EJ130" s="256"/>
      <c r="EK130" s="256"/>
      <c r="EL130" s="256"/>
      <c r="EM130" s="256"/>
      <c r="EN130" s="256"/>
      <c r="EO130" s="256"/>
      <c r="EP130" s="256"/>
      <c r="EQ130" s="256"/>
      <c r="ER130" s="256"/>
      <c r="ES130" s="256"/>
      <c r="ET130" s="256"/>
      <c r="EU130" s="256"/>
      <c r="EV130" s="256"/>
      <c r="EW130" s="256"/>
      <c r="EX130" s="256"/>
      <c r="EY130" s="256"/>
      <c r="EZ130" s="256"/>
      <c r="FA130" s="256"/>
      <c r="FB130" s="256"/>
      <c r="FC130" s="256"/>
      <c r="FD130" s="256"/>
      <c r="FE130" s="256"/>
      <c r="FF130" s="256"/>
      <c r="FG130" s="256"/>
      <c r="FH130" s="256"/>
      <c r="FI130" s="256"/>
      <c r="FJ130" s="256"/>
      <c r="FK130" s="256"/>
      <c r="FL130" s="256"/>
      <c r="FM130" s="256"/>
      <c r="FN130" s="256"/>
      <c r="FO130" s="256"/>
    </row>
    <row r="131" spans="1:171" s="31" customFormat="1" ht="19.5" customHeight="1">
      <c r="A131" s="260"/>
      <c r="B131" s="263"/>
      <c r="C131" s="262"/>
      <c r="D131" s="98"/>
      <c r="E131" s="98"/>
      <c r="F131" s="98"/>
      <c r="G131" s="98"/>
      <c r="H131" s="404" t="s">
        <v>85</v>
      </c>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405"/>
      <c r="AF131" s="405"/>
      <c r="AG131" s="405"/>
      <c r="AH131" s="405"/>
      <c r="AI131" s="405"/>
      <c r="AJ131" s="405"/>
      <c r="AK131" s="405"/>
      <c r="AL131" s="405"/>
      <c r="AM131" s="405"/>
      <c r="AN131" s="405"/>
      <c r="AO131" s="405"/>
      <c r="AP131" s="405"/>
      <c r="AQ131" s="405"/>
      <c r="AR131" s="405"/>
      <c r="AS131" s="405"/>
      <c r="AT131" s="405"/>
      <c r="AU131" s="405"/>
      <c r="AV131" s="405"/>
      <c r="AW131" s="405"/>
      <c r="AX131" s="405"/>
      <c r="AY131" s="405"/>
      <c r="AZ131" s="405"/>
      <c r="BA131" s="405"/>
      <c r="BB131" s="405"/>
      <c r="BC131" s="405"/>
      <c r="BD131" s="405"/>
      <c r="BE131" s="405"/>
      <c r="BF131" s="405"/>
      <c r="BG131" s="405"/>
      <c r="BH131" s="405"/>
      <c r="BI131" s="405"/>
      <c r="BJ131" s="405"/>
      <c r="BK131" s="405"/>
      <c r="BL131" s="405"/>
      <c r="BM131" s="405"/>
      <c r="BN131" s="405"/>
      <c r="BO131" s="405"/>
      <c r="BP131" s="405"/>
      <c r="BQ131" s="405"/>
      <c r="BR131" s="405"/>
      <c r="BS131" s="405"/>
      <c r="BT131" s="405"/>
      <c r="BU131" s="405"/>
      <c r="BV131" s="405"/>
      <c r="BW131" s="405"/>
      <c r="BX131" s="405"/>
      <c r="BY131" s="405"/>
      <c r="BZ131" s="405"/>
      <c r="CA131" s="405"/>
      <c r="CB131" s="406"/>
      <c r="CC131" s="95"/>
      <c r="CD131" s="95"/>
      <c r="CE131" s="181"/>
      <c r="CF131" s="273"/>
      <c r="CG131" s="256"/>
      <c r="CH131" s="256"/>
      <c r="CI131" s="256"/>
      <c r="CJ131" s="256"/>
      <c r="CK131" s="256"/>
      <c r="CL131" s="256"/>
      <c r="CM131" s="256"/>
      <c r="CN131" s="256"/>
      <c r="CO131" s="256"/>
      <c r="CP131" s="256"/>
      <c r="CQ131" s="256"/>
      <c r="CR131" s="256"/>
      <c r="CS131" s="256"/>
      <c r="CT131" s="256"/>
      <c r="CU131" s="256"/>
      <c r="CV131" s="256"/>
      <c r="CW131" s="256"/>
      <c r="CX131" s="256"/>
      <c r="CY131" s="256"/>
      <c r="CZ131" s="256"/>
      <c r="DA131" s="256"/>
      <c r="DB131" s="256"/>
      <c r="DC131" s="256"/>
      <c r="DD131" s="256"/>
      <c r="DE131" s="256"/>
      <c r="DF131" s="256"/>
      <c r="DG131" s="256"/>
      <c r="DH131" s="256"/>
      <c r="DI131" s="256"/>
      <c r="DJ131" s="256"/>
      <c r="DK131" s="256"/>
      <c r="DL131" s="256"/>
      <c r="DM131" s="256"/>
      <c r="DN131" s="256"/>
      <c r="DO131" s="256"/>
      <c r="DP131" s="256"/>
      <c r="DQ131" s="256"/>
      <c r="DR131" s="256"/>
      <c r="DS131" s="256"/>
      <c r="DT131" s="256"/>
      <c r="DU131" s="256"/>
      <c r="DV131" s="256"/>
      <c r="DW131" s="256"/>
      <c r="DX131" s="256"/>
      <c r="DY131" s="256"/>
      <c r="DZ131" s="256"/>
      <c r="EA131" s="256"/>
      <c r="EB131" s="256"/>
      <c r="EC131" s="256"/>
      <c r="ED131" s="256"/>
      <c r="EE131" s="256"/>
      <c r="EF131" s="256"/>
      <c r="EG131" s="256"/>
      <c r="EH131" s="256"/>
      <c r="EI131" s="256"/>
      <c r="EJ131" s="256"/>
      <c r="EK131" s="256"/>
      <c r="EL131" s="256"/>
      <c r="EM131" s="256"/>
      <c r="EN131" s="256"/>
      <c r="EO131" s="256"/>
      <c r="EP131" s="256"/>
      <c r="EQ131" s="256"/>
      <c r="ER131" s="256"/>
      <c r="ES131" s="256"/>
      <c r="ET131" s="256"/>
      <c r="EU131" s="256"/>
      <c r="EV131" s="256"/>
      <c r="EW131" s="256"/>
      <c r="EX131" s="256"/>
      <c r="EY131" s="256"/>
      <c r="EZ131" s="256"/>
      <c r="FA131" s="256"/>
      <c r="FB131" s="256"/>
      <c r="FC131" s="256"/>
      <c r="FD131" s="256"/>
      <c r="FE131" s="256"/>
      <c r="FF131" s="256"/>
      <c r="FG131" s="256"/>
      <c r="FH131" s="256"/>
      <c r="FI131" s="256"/>
      <c r="FJ131" s="256"/>
      <c r="FK131" s="256"/>
      <c r="FL131" s="256"/>
      <c r="FM131" s="256"/>
      <c r="FN131" s="256"/>
      <c r="FO131" s="256"/>
    </row>
    <row r="132" spans="1:171" s="31" customFormat="1" ht="19.5" customHeight="1">
      <c r="A132" s="260"/>
      <c r="B132" s="263"/>
      <c r="C132" s="262"/>
      <c r="D132" s="98"/>
      <c r="E132" s="98"/>
      <c r="F132" s="98"/>
      <c r="G132" s="98"/>
      <c r="H132" s="168" t="s">
        <v>220</v>
      </c>
      <c r="I132" s="169"/>
      <c r="J132" s="169"/>
      <c r="K132" s="169"/>
      <c r="L132" s="169"/>
      <c r="M132" s="169"/>
      <c r="N132" s="169"/>
      <c r="O132" s="169"/>
      <c r="P132" s="169"/>
      <c r="Q132" s="169"/>
      <c r="R132" s="169"/>
      <c r="S132" s="169"/>
      <c r="T132" s="170"/>
      <c r="U132" s="171" t="s">
        <v>96</v>
      </c>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8" t="s">
        <v>97</v>
      </c>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3"/>
      <c r="CC132" s="179"/>
      <c r="CD132" s="95"/>
      <c r="CE132" s="181"/>
      <c r="CF132" s="273"/>
      <c r="CG132" s="256"/>
      <c r="CH132" s="256"/>
      <c r="CI132" s="256"/>
      <c r="CJ132" s="256"/>
      <c r="CK132" s="256"/>
      <c r="CL132" s="256"/>
      <c r="CM132" s="256"/>
      <c r="CN132" s="256"/>
      <c r="CO132" s="256"/>
      <c r="CP132" s="256"/>
      <c r="CQ132" s="256"/>
      <c r="CR132" s="256"/>
      <c r="CS132" s="256"/>
      <c r="CT132" s="256"/>
      <c r="CU132" s="256"/>
      <c r="CV132" s="256"/>
      <c r="CW132" s="256"/>
      <c r="CX132" s="256"/>
      <c r="CY132" s="256"/>
      <c r="CZ132" s="256"/>
      <c r="DA132" s="256"/>
      <c r="DB132" s="256"/>
      <c r="DC132" s="256"/>
      <c r="DD132" s="256"/>
      <c r="DE132" s="256"/>
      <c r="DF132" s="256"/>
      <c r="DG132" s="256"/>
      <c r="DH132" s="256"/>
      <c r="DI132" s="256"/>
      <c r="DJ132" s="256"/>
      <c r="DK132" s="256"/>
      <c r="DL132" s="256"/>
      <c r="DM132" s="256"/>
      <c r="DN132" s="256"/>
      <c r="DO132" s="256"/>
      <c r="DP132" s="256"/>
      <c r="DQ132" s="256"/>
      <c r="DR132" s="256"/>
      <c r="DS132" s="256"/>
      <c r="DT132" s="256"/>
      <c r="DU132" s="256"/>
      <c r="DV132" s="256"/>
      <c r="DW132" s="256"/>
      <c r="DX132" s="256"/>
      <c r="DY132" s="256"/>
      <c r="DZ132" s="256"/>
      <c r="EA132" s="256"/>
      <c r="EB132" s="256"/>
      <c r="EC132" s="256"/>
      <c r="ED132" s="256"/>
      <c r="EE132" s="256"/>
      <c r="EF132" s="256"/>
      <c r="EG132" s="256"/>
      <c r="EH132" s="256"/>
      <c r="EI132" s="256"/>
      <c r="EJ132" s="256"/>
      <c r="EK132" s="256"/>
      <c r="EL132" s="256"/>
      <c r="EM132" s="256"/>
      <c r="EN132" s="256"/>
      <c r="EO132" s="256"/>
      <c r="EP132" s="256"/>
      <c r="EQ132" s="256"/>
      <c r="ER132" s="256"/>
      <c r="ES132" s="256"/>
      <c r="ET132" s="256"/>
      <c r="EU132" s="256"/>
      <c r="EV132" s="256"/>
      <c r="EW132" s="256"/>
      <c r="EX132" s="256"/>
      <c r="EY132" s="256"/>
      <c r="EZ132" s="256"/>
      <c r="FA132" s="256"/>
      <c r="FB132" s="256"/>
      <c r="FC132" s="256"/>
      <c r="FD132" s="256"/>
      <c r="FE132" s="256"/>
      <c r="FF132" s="256"/>
      <c r="FG132" s="256"/>
      <c r="FH132" s="256"/>
      <c r="FI132" s="256"/>
      <c r="FJ132" s="256"/>
      <c r="FK132" s="256"/>
      <c r="FL132" s="256"/>
      <c r="FM132" s="256"/>
      <c r="FN132" s="256"/>
      <c r="FO132" s="256"/>
    </row>
    <row r="133" spans="1:171" s="31" customFormat="1" ht="20.25" customHeight="1">
      <c r="A133" s="260"/>
      <c r="B133" s="263"/>
      <c r="C133" s="262"/>
      <c r="D133" s="98"/>
      <c r="E133" s="98"/>
      <c r="F133" s="98"/>
      <c r="G133" s="98"/>
      <c r="H133" s="134"/>
      <c r="I133" s="135" t="s">
        <v>89</v>
      </c>
      <c r="J133" s="135"/>
      <c r="K133" s="135"/>
      <c r="L133" s="135"/>
      <c r="M133" s="135"/>
      <c r="N133" s="136"/>
      <c r="O133" s="135"/>
      <c r="P133" s="135"/>
      <c r="Q133" s="135"/>
      <c r="R133" s="135"/>
      <c r="S133" s="137"/>
      <c r="T133" s="137"/>
      <c r="U133" s="138"/>
      <c r="V133" s="631">
        <v>1000</v>
      </c>
      <c r="W133" s="631"/>
      <c r="X133" s="631"/>
      <c r="Y133" s="631"/>
      <c r="Z133" s="631"/>
      <c r="AA133" s="631"/>
      <c r="AB133" s="631"/>
      <c r="AC133" s="631"/>
      <c r="AD133" s="631"/>
      <c r="AE133" s="631"/>
      <c r="AF133" s="631"/>
      <c r="AG133" s="631"/>
      <c r="AH133" s="631"/>
      <c r="AI133" s="631"/>
      <c r="AJ133" s="631"/>
      <c r="AK133" s="631"/>
      <c r="AL133" s="631"/>
      <c r="AM133" s="631"/>
      <c r="AN133" s="631"/>
      <c r="AO133" s="631"/>
      <c r="AP133" s="631"/>
      <c r="AQ133" s="631"/>
      <c r="AR133" s="631"/>
      <c r="AS133" s="631"/>
      <c r="AT133" s="631"/>
      <c r="AU133" s="631"/>
      <c r="AV133" s="631"/>
      <c r="AW133" s="631"/>
      <c r="AX133" s="139"/>
      <c r="AY133" s="135"/>
      <c r="AZ133" s="594"/>
      <c r="BA133" s="595"/>
      <c r="BB133" s="595"/>
      <c r="BC133" s="595"/>
      <c r="BD133" s="595"/>
      <c r="BE133" s="595"/>
      <c r="BF133" s="595"/>
      <c r="BG133" s="595"/>
      <c r="BH133" s="595"/>
      <c r="BI133" s="595"/>
      <c r="BJ133" s="595"/>
      <c r="BK133" s="595"/>
      <c r="BL133" s="595"/>
      <c r="BM133" s="595"/>
      <c r="BN133" s="595"/>
      <c r="BO133" s="595"/>
      <c r="BP133" s="595"/>
      <c r="BQ133" s="595"/>
      <c r="BR133" s="595"/>
      <c r="BS133" s="595"/>
      <c r="BT133" s="595"/>
      <c r="BU133" s="595"/>
      <c r="BV133" s="595"/>
      <c r="BW133" s="595"/>
      <c r="BX133" s="595"/>
      <c r="BY133" s="595"/>
      <c r="BZ133" s="595"/>
      <c r="CA133" s="595"/>
      <c r="CB133" s="139"/>
      <c r="CC133" s="179"/>
      <c r="CD133" s="95"/>
      <c r="CE133" s="181"/>
      <c r="CF133" s="273"/>
      <c r="CG133" s="256"/>
      <c r="CH133" s="256"/>
      <c r="CI133" s="256"/>
      <c r="CJ133" s="256"/>
      <c r="CK133" s="256"/>
      <c r="CL133" s="256"/>
      <c r="CM133" s="256"/>
      <c r="CN133" s="256"/>
      <c r="CO133" s="256"/>
      <c r="CP133" s="256"/>
      <c r="CQ133" s="256"/>
      <c r="CR133" s="256"/>
      <c r="CS133" s="256"/>
      <c r="CT133" s="256"/>
      <c r="CU133" s="256"/>
      <c r="CV133" s="256"/>
      <c r="CW133" s="256"/>
      <c r="CX133" s="256"/>
      <c r="CY133" s="256"/>
      <c r="CZ133" s="256"/>
      <c r="DA133" s="256"/>
      <c r="DB133" s="256"/>
      <c r="DC133" s="256"/>
      <c r="DD133" s="256"/>
      <c r="DE133" s="256"/>
      <c r="DF133" s="256"/>
      <c r="DG133" s="256"/>
      <c r="DH133" s="256"/>
      <c r="DI133" s="256"/>
      <c r="DJ133" s="256"/>
      <c r="DK133" s="256"/>
      <c r="DL133" s="256"/>
      <c r="DM133" s="256"/>
      <c r="DN133" s="256"/>
      <c r="DO133" s="256"/>
      <c r="DP133" s="256"/>
      <c r="DQ133" s="256"/>
      <c r="DR133" s="256"/>
      <c r="DS133" s="256"/>
      <c r="DT133" s="256"/>
      <c r="DU133" s="256"/>
      <c r="DV133" s="256"/>
      <c r="DW133" s="256"/>
      <c r="DX133" s="256"/>
      <c r="DY133" s="256"/>
      <c r="DZ133" s="256"/>
      <c r="EA133" s="256"/>
      <c r="EB133" s="256"/>
      <c r="EC133" s="256"/>
      <c r="ED133" s="256"/>
      <c r="EE133" s="256"/>
      <c r="EF133" s="256"/>
      <c r="EG133" s="256"/>
      <c r="EH133" s="256"/>
      <c r="EI133" s="256"/>
      <c r="EJ133" s="256"/>
      <c r="EK133" s="256"/>
      <c r="EL133" s="256"/>
      <c r="EM133" s="256"/>
      <c r="EN133" s="256"/>
      <c r="EO133" s="256"/>
      <c r="EP133" s="256"/>
      <c r="EQ133" s="256"/>
      <c r="ER133" s="256"/>
      <c r="ES133" s="256"/>
      <c r="ET133" s="256"/>
      <c r="EU133" s="256"/>
      <c r="EV133" s="256"/>
      <c r="EW133" s="256"/>
      <c r="EX133" s="256"/>
      <c r="EY133" s="256"/>
      <c r="EZ133" s="256"/>
      <c r="FA133" s="256"/>
      <c r="FB133" s="256"/>
      <c r="FC133" s="256"/>
      <c r="FD133" s="256"/>
      <c r="FE133" s="256"/>
      <c r="FF133" s="256"/>
      <c r="FG133" s="256"/>
      <c r="FH133" s="256"/>
      <c r="FI133" s="256"/>
      <c r="FJ133" s="256"/>
      <c r="FK133" s="256"/>
      <c r="FL133" s="256"/>
      <c r="FM133" s="256"/>
      <c r="FN133" s="256"/>
      <c r="FO133" s="256"/>
    </row>
    <row r="134" spans="1:171" s="31" customFormat="1" ht="19.5" customHeight="1">
      <c r="A134" s="260"/>
      <c r="B134" s="263"/>
      <c r="C134" s="262"/>
      <c r="D134" s="98"/>
      <c r="E134" s="98"/>
      <c r="F134" s="98"/>
      <c r="G134" s="98"/>
      <c r="H134" s="73"/>
      <c r="I134" s="121" t="s">
        <v>90</v>
      </c>
      <c r="J134" s="121"/>
      <c r="K134" s="121"/>
      <c r="L134" s="121"/>
      <c r="M134" s="121"/>
      <c r="N134" s="121"/>
      <c r="O134" s="121"/>
      <c r="P134" s="121"/>
      <c r="Q134" s="121"/>
      <c r="R134" s="121"/>
      <c r="S134" s="121"/>
      <c r="T134" s="121"/>
      <c r="U134" s="120"/>
      <c r="V134" s="631">
        <v>2000</v>
      </c>
      <c r="W134" s="631"/>
      <c r="X134" s="631"/>
      <c r="Y134" s="631"/>
      <c r="Z134" s="631"/>
      <c r="AA134" s="631"/>
      <c r="AB134" s="631"/>
      <c r="AC134" s="631"/>
      <c r="AD134" s="631"/>
      <c r="AE134" s="631"/>
      <c r="AF134" s="631"/>
      <c r="AG134" s="631"/>
      <c r="AH134" s="631"/>
      <c r="AI134" s="631"/>
      <c r="AJ134" s="631"/>
      <c r="AK134" s="631"/>
      <c r="AL134" s="631"/>
      <c r="AM134" s="631"/>
      <c r="AN134" s="631"/>
      <c r="AO134" s="631"/>
      <c r="AP134" s="631"/>
      <c r="AQ134" s="631"/>
      <c r="AR134" s="631"/>
      <c r="AS134" s="631"/>
      <c r="AT134" s="631"/>
      <c r="AU134" s="631"/>
      <c r="AV134" s="631"/>
      <c r="AW134" s="631"/>
      <c r="AX134" s="124"/>
      <c r="AY134" s="121"/>
      <c r="AZ134" s="594"/>
      <c r="BA134" s="594"/>
      <c r="BB134" s="594"/>
      <c r="BC134" s="594"/>
      <c r="BD134" s="594"/>
      <c r="BE134" s="594"/>
      <c r="BF134" s="594"/>
      <c r="BG134" s="594"/>
      <c r="BH134" s="594"/>
      <c r="BI134" s="594"/>
      <c r="BJ134" s="594"/>
      <c r="BK134" s="594"/>
      <c r="BL134" s="594"/>
      <c r="BM134" s="594"/>
      <c r="BN134" s="594"/>
      <c r="BO134" s="594"/>
      <c r="BP134" s="594"/>
      <c r="BQ134" s="594"/>
      <c r="BR134" s="594"/>
      <c r="BS134" s="594"/>
      <c r="BT134" s="594"/>
      <c r="BU134" s="594"/>
      <c r="BV134" s="594"/>
      <c r="BW134" s="594"/>
      <c r="BX134" s="594"/>
      <c r="BY134" s="594"/>
      <c r="BZ134" s="594"/>
      <c r="CA134" s="594"/>
      <c r="CB134" s="124"/>
      <c r="CC134" s="179"/>
      <c r="CD134" s="95"/>
      <c r="CE134" s="187"/>
      <c r="CF134" s="273"/>
      <c r="CG134" s="256"/>
      <c r="CH134" s="256"/>
      <c r="CI134" s="256"/>
      <c r="CJ134" s="256"/>
      <c r="CK134" s="256"/>
      <c r="CL134" s="256"/>
      <c r="CM134" s="256"/>
      <c r="CN134" s="256"/>
      <c r="CO134" s="256"/>
      <c r="CP134" s="256"/>
      <c r="CQ134" s="256"/>
      <c r="CR134" s="256"/>
      <c r="CS134" s="256"/>
      <c r="CT134" s="256"/>
      <c r="CU134" s="256"/>
      <c r="CV134" s="256"/>
      <c r="CW134" s="256"/>
      <c r="CX134" s="256"/>
      <c r="CY134" s="256"/>
      <c r="CZ134" s="256"/>
      <c r="DA134" s="256"/>
      <c r="DB134" s="256"/>
      <c r="DC134" s="256"/>
      <c r="DD134" s="256"/>
      <c r="DE134" s="256"/>
      <c r="DF134" s="256"/>
      <c r="DG134" s="256"/>
      <c r="DH134" s="256"/>
      <c r="DI134" s="256"/>
      <c r="DJ134" s="256"/>
      <c r="DK134" s="256"/>
      <c r="DL134" s="256"/>
      <c r="DM134" s="256"/>
      <c r="DN134" s="256"/>
      <c r="DO134" s="256"/>
      <c r="DP134" s="256"/>
      <c r="DQ134" s="256"/>
      <c r="DR134" s="256"/>
      <c r="DS134" s="256"/>
      <c r="DT134" s="256"/>
      <c r="DU134" s="256"/>
      <c r="DV134" s="256"/>
      <c r="DW134" s="256"/>
      <c r="DX134" s="256"/>
      <c r="DY134" s="256"/>
      <c r="DZ134" s="256"/>
      <c r="EA134" s="256"/>
      <c r="EB134" s="256"/>
      <c r="EC134" s="256"/>
      <c r="ED134" s="256"/>
      <c r="EE134" s="256"/>
      <c r="EF134" s="256"/>
      <c r="EG134" s="256"/>
      <c r="EH134" s="256"/>
      <c r="EI134" s="256"/>
      <c r="EJ134" s="256"/>
      <c r="EK134" s="256"/>
      <c r="EL134" s="256"/>
      <c r="EM134" s="256"/>
      <c r="EN134" s="256"/>
      <c r="EO134" s="256"/>
      <c r="EP134" s="256"/>
      <c r="EQ134" s="256"/>
      <c r="ER134" s="256"/>
      <c r="ES134" s="256"/>
      <c r="ET134" s="256"/>
      <c r="EU134" s="256"/>
      <c r="EV134" s="256"/>
      <c r="EW134" s="256"/>
      <c r="EX134" s="256"/>
      <c r="EY134" s="256"/>
      <c r="EZ134" s="256"/>
      <c r="FA134" s="256"/>
      <c r="FB134" s="256"/>
      <c r="FC134" s="256"/>
      <c r="FD134" s="256"/>
      <c r="FE134" s="256"/>
      <c r="FF134" s="256"/>
      <c r="FG134" s="256"/>
      <c r="FH134" s="256"/>
      <c r="FI134" s="256"/>
      <c r="FJ134" s="256"/>
      <c r="FK134" s="256"/>
      <c r="FL134" s="256"/>
      <c r="FM134" s="256"/>
      <c r="FN134" s="256"/>
      <c r="FO134" s="256"/>
    </row>
    <row r="135" spans="1:171" s="31" customFormat="1" ht="19.5" customHeight="1">
      <c r="A135" s="260"/>
      <c r="B135" s="263"/>
      <c r="C135" s="262"/>
      <c r="D135" s="98"/>
      <c r="E135" s="98"/>
      <c r="F135" s="98"/>
      <c r="G135" s="98"/>
      <c r="H135" s="73"/>
      <c r="I135" s="121" t="s">
        <v>91</v>
      </c>
      <c r="J135" s="121"/>
      <c r="K135" s="121"/>
      <c r="L135" s="121"/>
      <c r="M135" s="121"/>
      <c r="N135" s="121"/>
      <c r="O135" s="121"/>
      <c r="P135" s="121"/>
      <c r="Q135" s="121"/>
      <c r="R135" s="121"/>
      <c r="S135" s="121"/>
      <c r="T135" s="121"/>
      <c r="U135" s="120"/>
      <c r="V135" s="631">
        <v>1500</v>
      </c>
      <c r="W135" s="631"/>
      <c r="X135" s="631"/>
      <c r="Y135" s="631"/>
      <c r="Z135" s="631"/>
      <c r="AA135" s="631"/>
      <c r="AB135" s="631"/>
      <c r="AC135" s="631"/>
      <c r="AD135" s="631"/>
      <c r="AE135" s="631"/>
      <c r="AF135" s="631"/>
      <c r="AG135" s="631"/>
      <c r="AH135" s="631"/>
      <c r="AI135" s="631"/>
      <c r="AJ135" s="631"/>
      <c r="AK135" s="631"/>
      <c r="AL135" s="631"/>
      <c r="AM135" s="631"/>
      <c r="AN135" s="631"/>
      <c r="AO135" s="631"/>
      <c r="AP135" s="631"/>
      <c r="AQ135" s="631"/>
      <c r="AR135" s="631"/>
      <c r="AS135" s="631"/>
      <c r="AT135" s="631"/>
      <c r="AU135" s="631"/>
      <c r="AV135" s="631"/>
      <c r="AW135" s="631"/>
      <c r="AX135" s="124"/>
      <c r="AY135" s="121"/>
      <c r="AZ135" s="594"/>
      <c r="BA135" s="595"/>
      <c r="BB135" s="595"/>
      <c r="BC135" s="595"/>
      <c r="BD135" s="595"/>
      <c r="BE135" s="595"/>
      <c r="BF135" s="595"/>
      <c r="BG135" s="595"/>
      <c r="BH135" s="595"/>
      <c r="BI135" s="595"/>
      <c r="BJ135" s="595"/>
      <c r="BK135" s="595"/>
      <c r="BL135" s="595"/>
      <c r="BM135" s="595"/>
      <c r="BN135" s="595"/>
      <c r="BO135" s="595"/>
      <c r="BP135" s="595"/>
      <c r="BQ135" s="595"/>
      <c r="BR135" s="595"/>
      <c r="BS135" s="595"/>
      <c r="BT135" s="595"/>
      <c r="BU135" s="595"/>
      <c r="BV135" s="595"/>
      <c r="BW135" s="595"/>
      <c r="BX135" s="595"/>
      <c r="BY135" s="595"/>
      <c r="BZ135" s="595"/>
      <c r="CA135" s="595"/>
      <c r="CB135" s="124"/>
      <c r="CC135" s="179"/>
      <c r="CD135" s="95"/>
      <c r="CE135" s="181"/>
      <c r="CF135" s="273"/>
      <c r="CG135" s="256"/>
      <c r="CH135" s="256"/>
      <c r="CI135" s="256"/>
      <c r="CJ135" s="256"/>
      <c r="CK135" s="256"/>
      <c r="CL135" s="256"/>
      <c r="CM135" s="256"/>
      <c r="CN135" s="256"/>
      <c r="CO135" s="256"/>
      <c r="CP135" s="256"/>
      <c r="CQ135" s="256"/>
      <c r="CR135" s="256"/>
      <c r="CS135" s="256"/>
      <c r="CT135" s="256"/>
      <c r="CU135" s="256"/>
      <c r="CV135" s="256"/>
      <c r="CW135" s="256"/>
      <c r="CX135" s="256"/>
      <c r="CY135" s="256"/>
      <c r="CZ135" s="256"/>
      <c r="DA135" s="256"/>
      <c r="DB135" s="256"/>
      <c r="DC135" s="256"/>
      <c r="DD135" s="256"/>
      <c r="DE135" s="256"/>
      <c r="DF135" s="256"/>
      <c r="DG135" s="256"/>
      <c r="DH135" s="256"/>
      <c r="DI135" s="256"/>
      <c r="DJ135" s="256"/>
      <c r="DK135" s="256"/>
      <c r="DL135" s="256"/>
      <c r="DM135" s="256"/>
      <c r="DN135" s="256"/>
      <c r="DO135" s="256"/>
      <c r="DP135" s="256"/>
      <c r="DQ135" s="256"/>
      <c r="DR135" s="256"/>
      <c r="DS135" s="256"/>
      <c r="DT135" s="256"/>
      <c r="DU135" s="256"/>
      <c r="DV135" s="256"/>
      <c r="DW135" s="256"/>
      <c r="DX135" s="256"/>
      <c r="DY135" s="256"/>
      <c r="DZ135" s="256"/>
      <c r="EA135" s="256"/>
      <c r="EB135" s="256"/>
      <c r="EC135" s="256"/>
      <c r="ED135" s="256"/>
      <c r="EE135" s="256"/>
      <c r="EF135" s="256"/>
      <c r="EG135" s="256"/>
      <c r="EH135" s="256"/>
      <c r="EI135" s="256"/>
      <c r="EJ135" s="256"/>
      <c r="EK135" s="256"/>
      <c r="EL135" s="256"/>
      <c r="EM135" s="256"/>
      <c r="EN135" s="256"/>
      <c r="EO135" s="256"/>
      <c r="EP135" s="256"/>
      <c r="EQ135" s="256"/>
      <c r="ER135" s="256"/>
      <c r="ES135" s="256"/>
      <c r="ET135" s="256"/>
      <c r="EU135" s="256"/>
      <c r="EV135" s="256"/>
      <c r="EW135" s="256"/>
      <c r="EX135" s="256"/>
      <c r="EY135" s="256"/>
      <c r="EZ135" s="256"/>
      <c r="FA135" s="256"/>
      <c r="FB135" s="256"/>
      <c r="FC135" s="256"/>
      <c r="FD135" s="256"/>
      <c r="FE135" s="256"/>
      <c r="FF135" s="256"/>
      <c r="FG135" s="256"/>
      <c r="FH135" s="256"/>
      <c r="FI135" s="256"/>
      <c r="FJ135" s="256"/>
      <c r="FK135" s="256"/>
      <c r="FL135" s="256"/>
      <c r="FM135" s="256"/>
      <c r="FN135" s="256"/>
      <c r="FO135" s="256"/>
    </row>
    <row r="136" spans="1:171" s="31" customFormat="1" ht="19.5" customHeight="1">
      <c r="A136" s="260"/>
      <c r="B136" s="263"/>
      <c r="C136" s="262"/>
      <c r="D136" s="98"/>
      <c r="E136" s="98"/>
      <c r="F136" s="98"/>
      <c r="G136" s="98"/>
      <c r="H136" s="73"/>
      <c r="I136" s="121" t="s">
        <v>95</v>
      </c>
      <c r="J136" s="121"/>
      <c r="K136" s="121"/>
      <c r="L136" s="121"/>
      <c r="M136" s="121"/>
      <c r="N136" s="121"/>
      <c r="O136" s="121"/>
      <c r="P136" s="121"/>
      <c r="Q136" s="121"/>
      <c r="R136" s="121"/>
      <c r="S136" s="121"/>
      <c r="T136" s="121"/>
      <c r="U136" s="120"/>
      <c r="V136" s="631">
        <v>1200</v>
      </c>
      <c r="W136" s="631"/>
      <c r="X136" s="631"/>
      <c r="Y136" s="631"/>
      <c r="Z136" s="631"/>
      <c r="AA136" s="631"/>
      <c r="AB136" s="631"/>
      <c r="AC136" s="631"/>
      <c r="AD136" s="631"/>
      <c r="AE136" s="631"/>
      <c r="AF136" s="631"/>
      <c r="AG136" s="631"/>
      <c r="AH136" s="631"/>
      <c r="AI136" s="631"/>
      <c r="AJ136" s="631"/>
      <c r="AK136" s="631"/>
      <c r="AL136" s="631"/>
      <c r="AM136" s="631"/>
      <c r="AN136" s="631"/>
      <c r="AO136" s="631"/>
      <c r="AP136" s="631"/>
      <c r="AQ136" s="631"/>
      <c r="AR136" s="631"/>
      <c r="AS136" s="631"/>
      <c r="AT136" s="631"/>
      <c r="AU136" s="631"/>
      <c r="AV136" s="631"/>
      <c r="AW136" s="631"/>
      <c r="AX136" s="124"/>
      <c r="AY136" s="121"/>
      <c r="AZ136" s="140"/>
      <c r="BA136" s="141"/>
      <c r="BB136" s="141"/>
      <c r="BC136" s="141"/>
      <c r="BD136" s="141"/>
      <c r="BE136" s="141"/>
      <c r="BF136" s="141"/>
      <c r="BG136" s="141"/>
      <c r="BH136" s="141"/>
      <c r="BI136" s="141"/>
      <c r="BJ136" s="141"/>
      <c r="BK136" s="141"/>
      <c r="BL136" s="141"/>
      <c r="BM136" s="141"/>
      <c r="BN136" s="141"/>
      <c r="BO136" s="141"/>
      <c r="BP136" s="141"/>
      <c r="BQ136" s="141"/>
      <c r="BR136" s="141"/>
      <c r="BS136" s="141"/>
      <c r="BT136" s="141"/>
      <c r="BU136" s="141"/>
      <c r="BV136" s="141"/>
      <c r="BW136" s="141"/>
      <c r="BX136" s="141"/>
      <c r="BY136" s="141"/>
      <c r="BZ136" s="141"/>
      <c r="CA136" s="141"/>
      <c r="CB136" s="124"/>
      <c r="CC136" s="179"/>
      <c r="CD136" s="95"/>
      <c r="CE136" s="181"/>
      <c r="CF136" s="273"/>
      <c r="CG136" s="256"/>
      <c r="CH136" s="256"/>
      <c r="CI136" s="256"/>
      <c r="CJ136" s="256"/>
      <c r="CK136" s="256"/>
      <c r="CL136" s="256"/>
      <c r="CM136" s="256"/>
      <c r="CN136" s="256"/>
      <c r="CO136" s="256"/>
      <c r="CP136" s="256"/>
      <c r="CQ136" s="256"/>
      <c r="CR136" s="256"/>
      <c r="CS136" s="256"/>
      <c r="CT136" s="256"/>
      <c r="CU136" s="256"/>
      <c r="CV136" s="256"/>
      <c r="CW136" s="256"/>
      <c r="CX136" s="256"/>
      <c r="CY136" s="256"/>
      <c r="CZ136" s="256"/>
      <c r="DA136" s="256"/>
      <c r="DB136" s="256"/>
      <c r="DC136" s="256"/>
      <c r="DD136" s="256"/>
      <c r="DE136" s="256"/>
      <c r="DF136" s="256"/>
      <c r="DG136" s="256"/>
      <c r="DH136" s="256"/>
      <c r="DI136" s="256"/>
      <c r="DJ136" s="256"/>
      <c r="DK136" s="256"/>
      <c r="DL136" s="256"/>
      <c r="DM136" s="256"/>
      <c r="DN136" s="256"/>
      <c r="DO136" s="256"/>
      <c r="DP136" s="256"/>
      <c r="DQ136" s="256"/>
      <c r="DR136" s="256"/>
      <c r="DS136" s="256"/>
      <c r="DT136" s="256"/>
      <c r="DU136" s="256"/>
      <c r="DV136" s="256"/>
      <c r="DW136" s="256"/>
      <c r="DX136" s="256"/>
      <c r="DY136" s="256"/>
      <c r="DZ136" s="256"/>
      <c r="EA136" s="256"/>
      <c r="EB136" s="256"/>
      <c r="EC136" s="256"/>
      <c r="ED136" s="256"/>
      <c r="EE136" s="256"/>
      <c r="EF136" s="256"/>
      <c r="EG136" s="256"/>
      <c r="EH136" s="256"/>
      <c r="EI136" s="256"/>
      <c r="EJ136" s="256"/>
      <c r="EK136" s="256"/>
      <c r="EL136" s="256"/>
      <c r="EM136" s="256"/>
      <c r="EN136" s="256"/>
      <c r="EO136" s="256"/>
      <c r="EP136" s="256"/>
      <c r="EQ136" s="256"/>
      <c r="ER136" s="256"/>
      <c r="ES136" s="256"/>
      <c r="ET136" s="256"/>
      <c r="EU136" s="256"/>
      <c r="EV136" s="256"/>
      <c r="EW136" s="256"/>
      <c r="EX136" s="256"/>
      <c r="EY136" s="256"/>
      <c r="EZ136" s="256"/>
      <c r="FA136" s="256"/>
      <c r="FB136" s="256"/>
      <c r="FC136" s="256"/>
      <c r="FD136" s="256"/>
      <c r="FE136" s="256"/>
      <c r="FF136" s="256"/>
      <c r="FG136" s="256"/>
      <c r="FH136" s="256"/>
      <c r="FI136" s="256"/>
      <c r="FJ136" s="256"/>
      <c r="FK136" s="256"/>
      <c r="FL136" s="256"/>
      <c r="FM136" s="256"/>
      <c r="FN136" s="256"/>
      <c r="FO136" s="256"/>
    </row>
    <row r="137" spans="1:171" s="31" customFormat="1" ht="19.5" customHeight="1">
      <c r="A137" s="260"/>
      <c r="B137" s="263"/>
      <c r="C137" s="262"/>
      <c r="D137" s="98"/>
      <c r="E137" s="98"/>
      <c r="F137" s="98"/>
      <c r="G137" s="98"/>
      <c r="H137" s="73"/>
      <c r="I137" s="121" t="s">
        <v>92</v>
      </c>
      <c r="J137" s="121"/>
      <c r="K137" s="121"/>
      <c r="L137" s="121"/>
      <c r="M137" s="121"/>
      <c r="N137" s="121"/>
      <c r="O137" s="121"/>
      <c r="P137" s="121"/>
      <c r="Q137" s="121"/>
      <c r="R137" s="121"/>
      <c r="S137" s="121"/>
      <c r="T137" s="121"/>
      <c r="U137" s="120"/>
      <c r="V137" s="631">
        <v>1000</v>
      </c>
      <c r="W137" s="631"/>
      <c r="X137" s="631"/>
      <c r="Y137" s="631"/>
      <c r="Z137" s="631"/>
      <c r="AA137" s="631"/>
      <c r="AB137" s="631"/>
      <c r="AC137" s="631"/>
      <c r="AD137" s="631"/>
      <c r="AE137" s="631"/>
      <c r="AF137" s="631"/>
      <c r="AG137" s="631"/>
      <c r="AH137" s="631"/>
      <c r="AI137" s="631"/>
      <c r="AJ137" s="631"/>
      <c r="AK137" s="631"/>
      <c r="AL137" s="631"/>
      <c r="AM137" s="631"/>
      <c r="AN137" s="631"/>
      <c r="AO137" s="631"/>
      <c r="AP137" s="631"/>
      <c r="AQ137" s="631"/>
      <c r="AR137" s="631"/>
      <c r="AS137" s="631"/>
      <c r="AT137" s="631"/>
      <c r="AU137" s="631"/>
      <c r="AV137" s="631"/>
      <c r="AW137" s="631"/>
      <c r="AX137" s="124"/>
      <c r="AY137" s="121"/>
      <c r="AZ137" s="594">
        <v>390</v>
      </c>
      <c r="BA137" s="596"/>
      <c r="BB137" s="596"/>
      <c r="BC137" s="596"/>
      <c r="BD137" s="596"/>
      <c r="BE137" s="596"/>
      <c r="BF137" s="596"/>
      <c r="BG137" s="596"/>
      <c r="BH137" s="596"/>
      <c r="BI137" s="596"/>
      <c r="BJ137" s="596"/>
      <c r="BK137" s="596"/>
      <c r="BL137" s="596"/>
      <c r="BM137" s="596"/>
      <c r="BN137" s="596"/>
      <c r="BO137" s="596"/>
      <c r="BP137" s="596"/>
      <c r="BQ137" s="596"/>
      <c r="BR137" s="596"/>
      <c r="BS137" s="596"/>
      <c r="BT137" s="596"/>
      <c r="BU137" s="596"/>
      <c r="BV137" s="596"/>
      <c r="BW137" s="596"/>
      <c r="BX137" s="596"/>
      <c r="BY137" s="596"/>
      <c r="BZ137" s="596"/>
      <c r="CA137" s="596"/>
      <c r="CB137" s="124"/>
      <c r="CC137" s="179"/>
      <c r="CD137" s="95"/>
      <c r="CE137" s="181"/>
      <c r="CF137" s="273"/>
      <c r="CG137" s="256"/>
      <c r="CH137" s="256"/>
      <c r="CI137" s="256"/>
      <c r="CJ137" s="256"/>
      <c r="CK137" s="256"/>
      <c r="CL137" s="256"/>
      <c r="CM137" s="256"/>
      <c r="CN137" s="256"/>
      <c r="CO137" s="256"/>
      <c r="CP137" s="256"/>
      <c r="CQ137" s="256"/>
      <c r="CR137" s="256"/>
      <c r="CS137" s="256"/>
      <c r="CT137" s="256"/>
      <c r="CU137" s="256"/>
      <c r="CV137" s="256"/>
      <c r="CW137" s="256"/>
      <c r="CX137" s="256"/>
      <c r="CY137" s="256"/>
      <c r="CZ137" s="256"/>
      <c r="DA137" s="256"/>
      <c r="DB137" s="256"/>
      <c r="DC137" s="256"/>
      <c r="DD137" s="256"/>
      <c r="DE137" s="256"/>
      <c r="DF137" s="256"/>
      <c r="DG137" s="256"/>
      <c r="DH137" s="256"/>
      <c r="DI137" s="256"/>
      <c r="DJ137" s="256"/>
      <c r="DK137" s="256"/>
      <c r="DL137" s="256"/>
      <c r="DM137" s="256"/>
      <c r="DN137" s="256"/>
      <c r="DO137" s="256"/>
      <c r="DP137" s="256"/>
      <c r="DQ137" s="256"/>
      <c r="DR137" s="256"/>
      <c r="DS137" s="256"/>
      <c r="DT137" s="256"/>
      <c r="DU137" s="256"/>
      <c r="DV137" s="256"/>
      <c r="DW137" s="256"/>
      <c r="DX137" s="256"/>
      <c r="DY137" s="256"/>
      <c r="DZ137" s="256"/>
      <c r="EA137" s="256"/>
      <c r="EB137" s="256"/>
      <c r="EC137" s="256"/>
      <c r="ED137" s="256"/>
      <c r="EE137" s="256"/>
      <c r="EF137" s="256"/>
      <c r="EG137" s="256"/>
      <c r="EH137" s="256"/>
      <c r="EI137" s="256"/>
      <c r="EJ137" s="256"/>
      <c r="EK137" s="256"/>
      <c r="EL137" s="256"/>
      <c r="EM137" s="256"/>
      <c r="EN137" s="256"/>
      <c r="EO137" s="256"/>
      <c r="EP137" s="256"/>
      <c r="EQ137" s="256"/>
      <c r="ER137" s="256"/>
      <c r="ES137" s="256"/>
      <c r="ET137" s="256"/>
      <c r="EU137" s="256"/>
      <c r="EV137" s="256"/>
      <c r="EW137" s="256"/>
      <c r="EX137" s="256"/>
      <c r="EY137" s="256"/>
      <c r="EZ137" s="256"/>
      <c r="FA137" s="256"/>
      <c r="FB137" s="256"/>
      <c r="FC137" s="256"/>
      <c r="FD137" s="256"/>
      <c r="FE137" s="256"/>
      <c r="FF137" s="256"/>
      <c r="FG137" s="256"/>
      <c r="FH137" s="256"/>
      <c r="FI137" s="256"/>
      <c r="FJ137" s="256"/>
      <c r="FK137" s="256"/>
      <c r="FL137" s="256"/>
      <c r="FM137" s="256"/>
      <c r="FN137" s="256"/>
      <c r="FO137" s="256"/>
    </row>
    <row r="138" spans="1:171" s="31" customFormat="1" ht="19.5" customHeight="1">
      <c r="A138" s="260"/>
      <c r="B138" s="263"/>
      <c r="C138" s="262"/>
      <c r="D138" s="98"/>
      <c r="E138" s="98"/>
      <c r="F138" s="98"/>
      <c r="G138" s="98"/>
      <c r="H138" s="73"/>
      <c r="I138" s="121" t="s">
        <v>93</v>
      </c>
      <c r="J138" s="75"/>
      <c r="K138" s="75"/>
      <c r="L138" s="75"/>
      <c r="M138" s="75"/>
      <c r="N138" s="75"/>
      <c r="O138" s="75"/>
      <c r="P138" s="121"/>
      <c r="Q138" s="121"/>
      <c r="R138" s="75"/>
      <c r="S138" s="75"/>
      <c r="T138" s="75"/>
      <c r="U138" s="76"/>
      <c r="V138" s="592">
        <v>270</v>
      </c>
      <c r="W138" s="593"/>
      <c r="X138" s="593"/>
      <c r="Y138" s="593"/>
      <c r="Z138" s="593"/>
      <c r="AA138" s="593"/>
      <c r="AB138" s="593"/>
      <c r="AC138" s="593"/>
      <c r="AD138" s="593"/>
      <c r="AE138" s="593"/>
      <c r="AF138" s="593"/>
      <c r="AG138" s="593"/>
      <c r="AH138" s="593"/>
      <c r="AI138" s="593"/>
      <c r="AJ138" s="593"/>
      <c r="AK138" s="593"/>
      <c r="AL138" s="593"/>
      <c r="AM138" s="593"/>
      <c r="AN138" s="593"/>
      <c r="AO138" s="593"/>
      <c r="AP138" s="593"/>
      <c r="AQ138" s="593"/>
      <c r="AR138" s="593"/>
      <c r="AS138" s="593"/>
      <c r="AT138" s="593"/>
      <c r="AU138" s="593"/>
      <c r="AV138" s="593"/>
      <c r="AW138" s="593"/>
      <c r="AX138" s="124"/>
      <c r="AY138" s="121"/>
      <c r="AZ138" s="594"/>
      <c r="BA138" s="595"/>
      <c r="BB138" s="595"/>
      <c r="BC138" s="595"/>
      <c r="BD138" s="595"/>
      <c r="BE138" s="595"/>
      <c r="BF138" s="595"/>
      <c r="BG138" s="595"/>
      <c r="BH138" s="595"/>
      <c r="BI138" s="595"/>
      <c r="BJ138" s="595"/>
      <c r="BK138" s="595"/>
      <c r="BL138" s="595"/>
      <c r="BM138" s="595"/>
      <c r="BN138" s="595"/>
      <c r="BO138" s="595"/>
      <c r="BP138" s="595"/>
      <c r="BQ138" s="595"/>
      <c r="BR138" s="595"/>
      <c r="BS138" s="595"/>
      <c r="BT138" s="595"/>
      <c r="BU138" s="595"/>
      <c r="BV138" s="595"/>
      <c r="BW138" s="595"/>
      <c r="BX138" s="595"/>
      <c r="BY138" s="595"/>
      <c r="BZ138" s="595"/>
      <c r="CA138" s="595"/>
      <c r="CB138" s="124"/>
      <c r="CC138" s="179"/>
      <c r="CD138" s="95"/>
      <c r="CE138" s="187"/>
      <c r="CF138" s="273"/>
      <c r="CG138" s="256"/>
      <c r="CH138" s="256"/>
      <c r="CI138" s="256"/>
      <c r="CJ138" s="256"/>
      <c r="CK138" s="256"/>
      <c r="CL138" s="256"/>
      <c r="CM138" s="256"/>
      <c r="CN138" s="256"/>
      <c r="CO138" s="256"/>
      <c r="CP138" s="256"/>
      <c r="CQ138" s="256"/>
      <c r="CR138" s="256"/>
      <c r="CS138" s="256"/>
      <c r="CT138" s="256"/>
      <c r="CU138" s="256"/>
      <c r="CV138" s="256"/>
      <c r="CW138" s="256"/>
      <c r="CX138" s="256"/>
      <c r="CY138" s="256"/>
      <c r="CZ138" s="256"/>
      <c r="DA138" s="256"/>
      <c r="DB138" s="256"/>
      <c r="DC138" s="256"/>
      <c r="DD138" s="256"/>
      <c r="DE138" s="256"/>
      <c r="DF138" s="256"/>
      <c r="DG138" s="256"/>
      <c r="DH138" s="256"/>
      <c r="DI138" s="256"/>
      <c r="DJ138" s="256"/>
      <c r="DK138" s="256"/>
      <c r="DL138" s="256"/>
      <c r="DM138" s="256"/>
      <c r="DN138" s="256"/>
      <c r="DO138" s="256"/>
      <c r="DP138" s="256"/>
      <c r="DQ138" s="256"/>
      <c r="DR138" s="256"/>
      <c r="DS138" s="256"/>
      <c r="DT138" s="256"/>
      <c r="DU138" s="256"/>
      <c r="DV138" s="256"/>
      <c r="DW138" s="256"/>
      <c r="DX138" s="256"/>
      <c r="DY138" s="256"/>
      <c r="DZ138" s="256"/>
      <c r="EA138" s="256"/>
      <c r="EB138" s="256"/>
      <c r="EC138" s="256"/>
      <c r="ED138" s="256"/>
      <c r="EE138" s="256"/>
      <c r="EF138" s="256"/>
      <c r="EG138" s="256"/>
      <c r="EH138" s="256"/>
      <c r="EI138" s="256"/>
      <c r="EJ138" s="256"/>
      <c r="EK138" s="256"/>
      <c r="EL138" s="256"/>
      <c r="EM138" s="256"/>
      <c r="EN138" s="256"/>
      <c r="EO138" s="256"/>
      <c r="EP138" s="256"/>
      <c r="EQ138" s="256"/>
      <c r="ER138" s="256"/>
      <c r="ES138" s="256"/>
      <c r="ET138" s="256"/>
      <c r="EU138" s="256"/>
      <c r="EV138" s="256"/>
      <c r="EW138" s="256"/>
      <c r="EX138" s="256"/>
      <c r="EY138" s="256"/>
      <c r="EZ138" s="256"/>
      <c r="FA138" s="256"/>
      <c r="FB138" s="256"/>
      <c r="FC138" s="256"/>
      <c r="FD138" s="256"/>
      <c r="FE138" s="256"/>
      <c r="FF138" s="256"/>
      <c r="FG138" s="256"/>
      <c r="FH138" s="256"/>
      <c r="FI138" s="256"/>
      <c r="FJ138" s="256"/>
      <c r="FK138" s="256"/>
      <c r="FL138" s="256"/>
      <c r="FM138" s="256"/>
      <c r="FN138" s="256"/>
      <c r="FO138" s="256"/>
    </row>
    <row r="139" spans="1:171" s="31" customFormat="1" ht="19.5" customHeight="1">
      <c r="A139" s="260"/>
      <c r="B139" s="263"/>
      <c r="C139" s="262"/>
      <c r="D139" s="98"/>
      <c r="E139" s="98"/>
      <c r="F139" s="98"/>
      <c r="G139" s="98"/>
      <c r="H139" s="74"/>
      <c r="I139" s="133" t="s">
        <v>94</v>
      </c>
      <c r="J139" s="133"/>
      <c r="K139" s="133"/>
      <c r="L139" s="133"/>
      <c r="M139" s="133"/>
      <c r="N139" s="133"/>
      <c r="O139" s="133"/>
      <c r="P139" s="133"/>
      <c r="Q139" s="133"/>
      <c r="R139" s="133"/>
      <c r="S139" s="133"/>
      <c r="T139" s="133"/>
      <c r="U139" s="132"/>
      <c r="V139" s="594">
        <v>2300</v>
      </c>
      <c r="W139" s="596"/>
      <c r="X139" s="596"/>
      <c r="Y139" s="596"/>
      <c r="Z139" s="596"/>
      <c r="AA139" s="596"/>
      <c r="AB139" s="596"/>
      <c r="AC139" s="596"/>
      <c r="AD139" s="596"/>
      <c r="AE139" s="596"/>
      <c r="AF139" s="596"/>
      <c r="AG139" s="596"/>
      <c r="AH139" s="596"/>
      <c r="AI139" s="596"/>
      <c r="AJ139" s="596"/>
      <c r="AK139" s="596"/>
      <c r="AL139" s="596"/>
      <c r="AM139" s="596"/>
      <c r="AN139" s="596"/>
      <c r="AO139" s="596"/>
      <c r="AP139" s="596"/>
      <c r="AQ139" s="596"/>
      <c r="AR139" s="596"/>
      <c r="AS139" s="596"/>
      <c r="AT139" s="596"/>
      <c r="AU139" s="596"/>
      <c r="AV139" s="596"/>
      <c r="AW139" s="596"/>
      <c r="AX139" s="142"/>
      <c r="AY139" s="133"/>
      <c r="AZ139" s="594"/>
      <c r="BA139" s="595"/>
      <c r="BB139" s="595"/>
      <c r="BC139" s="595"/>
      <c r="BD139" s="595"/>
      <c r="BE139" s="595"/>
      <c r="BF139" s="595"/>
      <c r="BG139" s="595"/>
      <c r="BH139" s="595"/>
      <c r="BI139" s="595"/>
      <c r="BJ139" s="595"/>
      <c r="BK139" s="595"/>
      <c r="BL139" s="595"/>
      <c r="BM139" s="595"/>
      <c r="BN139" s="595"/>
      <c r="BO139" s="595"/>
      <c r="BP139" s="595"/>
      <c r="BQ139" s="595"/>
      <c r="BR139" s="595"/>
      <c r="BS139" s="595"/>
      <c r="BT139" s="595"/>
      <c r="BU139" s="595"/>
      <c r="BV139" s="595"/>
      <c r="BW139" s="595"/>
      <c r="BX139" s="595"/>
      <c r="BY139" s="595"/>
      <c r="BZ139" s="595"/>
      <c r="CA139" s="595"/>
      <c r="CB139" s="142"/>
      <c r="CC139" s="179"/>
      <c r="CD139" s="95"/>
      <c r="CE139" s="181"/>
      <c r="CF139" s="273"/>
      <c r="CG139" s="256"/>
      <c r="CH139" s="256"/>
      <c r="CI139" s="256"/>
      <c r="CJ139" s="256"/>
      <c r="CK139" s="256"/>
      <c r="CL139" s="256"/>
      <c r="CM139" s="256"/>
      <c r="CN139" s="256"/>
      <c r="CO139" s="256"/>
      <c r="CP139" s="256"/>
      <c r="CQ139" s="256"/>
      <c r="CR139" s="256"/>
      <c r="CS139" s="256"/>
      <c r="CT139" s="256"/>
      <c r="CU139" s="256"/>
      <c r="CV139" s="256"/>
      <c r="CW139" s="256"/>
      <c r="CX139" s="256"/>
      <c r="CY139" s="256"/>
      <c r="CZ139" s="256"/>
      <c r="DA139" s="256"/>
      <c r="DB139" s="256"/>
      <c r="DC139" s="256"/>
      <c r="DD139" s="256"/>
      <c r="DE139" s="256"/>
      <c r="DF139" s="256"/>
      <c r="DG139" s="256"/>
      <c r="DH139" s="256"/>
      <c r="DI139" s="256"/>
      <c r="DJ139" s="256"/>
      <c r="DK139" s="256"/>
      <c r="DL139" s="256"/>
      <c r="DM139" s="256"/>
      <c r="DN139" s="256"/>
      <c r="DO139" s="256"/>
      <c r="DP139" s="256"/>
      <c r="DQ139" s="256"/>
      <c r="DR139" s="256"/>
      <c r="DS139" s="256"/>
      <c r="DT139" s="256"/>
      <c r="DU139" s="256"/>
      <c r="DV139" s="256"/>
      <c r="DW139" s="256"/>
      <c r="DX139" s="256"/>
      <c r="DY139" s="256"/>
      <c r="DZ139" s="256"/>
      <c r="EA139" s="256"/>
      <c r="EB139" s="256"/>
      <c r="EC139" s="256"/>
      <c r="ED139" s="256"/>
      <c r="EE139" s="256"/>
      <c r="EF139" s="256"/>
      <c r="EG139" s="256"/>
      <c r="EH139" s="256"/>
      <c r="EI139" s="256"/>
      <c r="EJ139" s="256"/>
      <c r="EK139" s="256"/>
      <c r="EL139" s="256"/>
      <c r="EM139" s="256"/>
      <c r="EN139" s="256"/>
      <c r="EO139" s="256"/>
      <c r="EP139" s="256"/>
      <c r="EQ139" s="256"/>
      <c r="ER139" s="256"/>
      <c r="ES139" s="256"/>
      <c r="ET139" s="256"/>
      <c r="EU139" s="256"/>
      <c r="EV139" s="256"/>
      <c r="EW139" s="256"/>
      <c r="EX139" s="256"/>
      <c r="EY139" s="256"/>
      <c r="EZ139" s="256"/>
      <c r="FA139" s="256"/>
      <c r="FB139" s="256"/>
      <c r="FC139" s="256"/>
      <c r="FD139" s="256"/>
      <c r="FE139" s="256"/>
      <c r="FF139" s="256"/>
      <c r="FG139" s="256"/>
      <c r="FH139" s="256"/>
      <c r="FI139" s="256"/>
      <c r="FJ139" s="256"/>
      <c r="FK139" s="256"/>
      <c r="FL139" s="256"/>
      <c r="FM139" s="256"/>
      <c r="FN139" s="256"/>
      <c r="FO139" s="256"/>
    </row>
    <row r="140" spans="1:171" s="31" customFormat="1" ht="19.5" customHeight="1">
      <c r="A140" s="260"/>
      <c r="B140" s="263"/>
      <c r="C140" s="262"/>
      <c r="D140" s="98"/>
      <c r="E140" s="98"/>
      <c r="F140" s="98"/>
      <c r="G140" s="98"/>
      <c r="H140" s="168" t="s">
        <v>145</v>
      </c>
      <c r="I140" s="172"/>
      <c r="J140" s="172"/>
      <c r="K140" s="172"/>
      <c r="L140" s="172"/>
      <c r="M140" s="172"/>
      <c r="N140" s="172"/>
      <c r="O140" s="172"/>
      <c r="P140" s="172"/>
      <c r="Q140" s="172"/>
      <c r="R140" s="172"/>
      <c r="S140" s="174"/>
      <c r="T140" s="175"/>
      <c r="U140" s="176"/>
      <c r="V140" s="591">
        <f>U141+V142</f>
        <v>9270</v>
      </c>
      <c r="W140" s="591"/>
      <c r="X140" s="591"/>
      <c r="Y140" s="591"/>
      <c r="Z140" s="591"/>
      <c r="AA140" s="591"/>
      <c r="AB140" s="591"/>
      <c r="AC140" s="591"/>
      <c r="AD140" s="591"/>
      <c r="AE140" s="591"/>
      <c r="AF140" s="591"/>
      <c r="AG140" s="591"/>
      <c r="AH140" s="591"/>
      <c r="AI140" s="591"/>
      <c r="AJ140" s="591"/>
      <c r="AK140" s="591"/>
      <c r="AL140" s="591"/>
      <c r="AM140" s="591"/>
      <c r="AN140" s="591"/>
      <c r="AO140" s="591"/>
      <c r="AP140" s="591"/>
      <c r="AQ140" s="591"/>
      <c r="AR140" s="591"/>
      <c r="AS140" s="591"/>
      <c r="AT140" s="591"/>
      <c r="AU140" s="591"/>
      <c r="AV140" s="591"/>
      <c r="AW140" s="591"/>
      <c r="AX140" s="177"/>
      <c r="AY140" s="176"/>
      <c r="AZ140" s="591">
        <f>BA141+AZ142</f>
        <v>390</v>
      </c>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175"/>
      <c r="CC140" s="179"/>
      <c r="CD140" s="95"/>
      <c r="CE140" s="181"/>
      <c r="CF140" s="273"/>
      <c r="CG140" s="256"/>
      <c r="CH140" s="256"/>
      <c r="CI140" s="256"/>
      <c r="CJ140" s="256"/>
      <c r="CK140" s="256"/>
      <c r="CL140" s="256"/>
      <c r="CM140" s="256"/>
      <c r="CN140" s="256"/>
      <c r="CO140" s="256"/>
      <c r="CP140" s="256"/>
      <c r="CQ140" s="256"/>
      <c r="CR140" s="256"/>
      <c r="CS140" s="256"/>
      <c r="CT140" s="256"/>
      <c r="CU140" s="256"/>
      <c r="CV140" s="256"/>
      <c r="CW140" s="256"/>
      <c r="CX140" s="256"/>
      <c r="CY140" s="256"/>
      <c r="CZ140" s="256"/>
      <c r="DA140" s="256"/>
      <c r="DB140" s="256"/>
      <c r="DC140" s="256"/>
      <c r="DD140" s="256"/>
      <c r="DE140" s="256"/>
      <c r="DF140" s="256"/>
      <c r="DG140" s="256"/>
      <c r="DH140" s="256"/>
      <c r="DI140" s="256"/>
      <c r="DJ140" s="256"/>
      <c r="DK140" s="256"/>
      <c r="DL140" s="256"/>
      <c r="DM140" s="256"/>
      <c r="DN140" s="256"/>
      <c r="DO140" s="256"/>
      <c r="DP140" s="256"/>
      <c r="DQ140" s="256"/>
      <c r="DR140" s="256"/>
      <c r="DS140" s="256"/>
      <c r="DT140" s="256"/>
      <c r="DU140" s="256"/>
      <c r="DV140" s="256"/>
      <c r="DW140" s="256"/>
      <c r="DX140" s="256"/>
      <c r="DY140" s="256"/>
      <c r="DZ140" s="256"/>
      <c r="EA140" s="256"/>
      <c r="EB140" s="256"/>
      <c r="EC140" s="256"/>
      <c r="ED140" s="256"/>
      <c r="EE140" s="256"/>
      <c r="EF140" s="256"/>
      <c r="EG140" s="256"/>
      <c r="EH140" s="256"/>
      <c r="EI140" s="256"/>
      <c r="EJ140" s="256"/>
      <c r="EK140" s="256"/>
      <c r="EL140" s="256"/>
      <c r="EM140" s="256"/>
      <c r="EN140" s="256"/>
      <c r="EO140" s="256"/>
      <c r="EP140" s="256"/>
      <c r="EQ140" s="256"/>
      <c r="ER140" s="256"/>
      <c r="ES140" s="256"/>
      <c r="ET140" s="256"/>
      <c r="EU140" s="256"/>
      <c r="EV140" s="256"/>
      <c r="EW140" s="256"/>
      <c r="EX140" s="256"/>
      <c r="EY140" s="256"/>
      <c r="EZ140" s="256"/>
      <c r="FA140" s="256"/>
      <c r="FB140" s="256"/>
      <c r="FC140" s="256"/>
      <c r="FD140" s="256"/>
      <c r="FE140" s="256"/>
      <c r="FF140" s="256"/>
      <c r="FG140" s="256"/>
      <c r="FH140" s="256"/>
      <c r="FI140" s="256"/>
      <c r="FJ140" s="256"/>
      <c r="FK140" s="256"/>
      <c r="FL140" s="256"/>
      <c r="FM140" s="256"/>
      <c r="FN140" s="256"/>
      <c r="FO140" s="256"/>
    </row>
    <row r="141" spans="1:171" s="31" customFormat="1" ht="19.5" customHeight="1">
      <c r="A141" s="260"/>
      <c r="B141" s="263"/>
      <c r="C141" s="262"/>
      <c r="D141" s="98"/>
      <c r="E141" s="98"/>
      <c r="F141" s="98"/>
      <c r="G141" s="98"/>
      <c r="H141" s="168" t="s">
        <v>144</v>
      </c>
      <c r="I141" s="172"/>
      <c r="J141" s="172"/>
      <c r="K141" s="172"/>
      <c r="L141" s="172"/>
      <c r="M141" s="172"/>
      <c r="N141" s="172"/>
      <c r="O141" s="172"/>
      <c r="P141" s="172"/>
      <c r="Q141" s="172"/>
      <c r="R141" s="172"/>
      <c r="S141" s="174"/>
      <c r="T141" s="175"/>
      <c r="U141" s="597">
        <v>0</v>
      </c>
      <c r="V141" s="598"/>
      <c r="W141" s="598"/>
      <c r="X141" s="598"/>
      <c r="Y141" s="598"/>
      <c r="Z141" s="598"/>
      <c r="AA141" s="598"/>
      <c r="AB141" s="598"/>
      <c r="AC141" s="598"/>
      <c r="AD141" s="598"/>
      <c r="AE141" s="598"/>
      <c r="AF141" s="598"/>
      <c r="AG141" s="598"/>
      <c r="AH141" s="598"/>
      <c r="AI141" s="598"/>
      <c r="AJ141" s="598"/>
      <c r="AK141" s="598"/>
      <c r="AL141" s="598"/>
      <c r="AM141" s="598"/>
      <c r="AN141" s="598"/>
      <c r="AO141" s="598"/>
      <c r="AP141" s="598"/>
      <c r="AQ141" s="598"/>
      <c r="AR141" s="598"/>
      <c r="AS141" s="598"/>
      <c r="AT141" s="598"/>
      <c r="AU141" s="598"/>
      <c r="AV141" s="598"/>
      <c r="AW141" s="598"/>
      <c r="AX141" s="177"/>
      <c r="AY141" s="176"/>
      <c r="AZ141" s="177"/>
      <c r="BA141" s="599">
        <v>0</v>
      </c>
      <c r="BB141" s="598"/>
      <c r="BC141" s="598"/>
      <c r="BD141" s="598"/>
      <c r="BE141" s="598"/>
      <c r="BF141" s="598"/>
      <c r="BG141" s="598"/>
      <c r="BH141" s="598"/>
      <c r="BI141" s="598"/>
      <c r="BJ141" s="598"/>
      <c r="BK141" s="598"/>
      <c r="BL141" s="598"/>
      <c r="BM141" s="598"/>
      <c r="BN141" s="598"/>
      <c r="BO141" s="598"/>
      <c r="BP141" s="598"/>
      <c r="BQ141" s="598"/>
      <c r="BR141" s="598"/>
      <c r="BS141" s="598"/>
      <c r="BT141" s="598"/>
      <c r="BU141" s="598"/>
      <c r="BV141" s="598"/>
      <c r="BW141" s="598"/>
      <c r="BX141" s="598"/>
      <c r="BY141" s="598"/>
      <c r="BZ141" s="598"/>
      <c r="CA141" s="598"/>
      <c r="CB141" s="175"/>
      <c r="CC141" s="179"/>
      <c r="CD141" s="95"/>
      <c r="CE141" s="181"/>
      <c r="CF141" s="273"/>
      <c r="CG141" s="256"/>
      <c r="CH141" s="256"/>
      <c r="CI141" s="256"/>
      <c r="CJ141" s="256"/>
      <c r="CK141" s="256"/>
      <c r="CL141" s="256"/>
      <c r="CM141" s="256"/>
      <c r="CN141" s="256"/>
      <c r="CO141" s="256"/>
      <c r="CP141" s="256"/>
      <c r="CQ141" s="256"/>
      <c r="CR141" s="256"/>
      <c r="CS141" s="256"/>
      <c r="CT141" s="256"/>
      <c r="CU141" s="256"/>
      <c r="CV141" s="256"/>
      <c r="CW141" s="256"/>
      <c r="CX141" s="256"/>
      <c r="CY141" s="256"/>
      <c r="CZ141" s="256"/>
      <c r="DA141" s="256"/>
      <c r="DB141" s="256"/>
      <c r="DC141" s="256"/>
      <c r="DD141" s="256"/>
      <c r="DE141" s="256"/>
      <c r="DF141" s="256"/>
      <c r="DG141" s="256"/>
      <c r="DH141" s="256"/>
      <c r="DI141" s="256"/>
      <c r="DJ141" s="256"/>
      <c r="DK141" s="256"/>
      <c r="DL141" s="256"/>
      <c r="DM141" s="256"/>
      <c r="DN141" s="256"/>
      <c r="DO141" s="256"/>
      <c r="DP141" s="256"/>
      <c r="DQ141" s="256"/>
      <c r="DR141" s="256"/>
      <c r="DS141" s="256"/>
      <c r="DT141" s="256"/>
      <c r="DU141" s="256"/>
      <c r="DV141" s="256"/>
      <c r="DW141" s="256"/>
      <c r="DX141" s="256"/>
      <c r="DY141" s="256"/>
      <c r="DZ141" s="256"/>
      <c r="EA141" s="256"/>
      <c r="EB141" s="256"/>
      <c r="EC141" s="256"/>
      <c r="ED141" s="256"/>
      <c r="EE141" s="256"/>
      <c r="EF141" s="256"/>
      <c r="EG141" s="256"/>
      <c r="EH141" s="256"/>
      <c r="EI141" s="256"/>
      <c r="EJ141" s="256"/>
      <c r="EK141" s="256"/>
      <c r="EL141" s="256"/>
      <c r="EM141" s="256"/>
      <c r="EN141" s="256"/>
      <c r="EO141" s="256"/>
      <c r="EP141" s="256"/>
      <c r="EQ141" s="256"/>
      <c r="ER141" s="256"/>
      <c r="ES141" s="256"/>
      <c r="ET141" s="256"/>
      <c r="EU141" s="256"/>
      <c r="EV141" s="256"/>
      <c r="EW141" s="256"/>
      <c r="EX141" s="256"/>
      <c r="EY141" s="256"/>
      <c r="EZ141" s="256"/>
      <c r="FA141" s="256"/>
      <c r="FB141" s="256"/>
      <c r="FC141" s="256"/>
      <c r="FD141" s="256"/>
      <c r="FE141" s="256"/>
      <c r="FF141" s="256"/>
      <c r="FG141" s="256"/>
      <c r="FH141" s="256"/>
      <c r="FI141" s="256"/>
      <c r="FJ141" s="256"/>
      <c r="FK141" s="256"/>
      <c r="FL141" s="256"/>
      <c r="FM141" s="256"/>
      <c r="FN141" s="256"/>
      <c r="FO141" s="256"/>
    </row>
    <row r="142" spans="1:171" s="31" customFormat="1" ht="19.5" customHeight="1">
      <c r="A142" s="260"/>
      <c r="B142" s="263"/>
      <c r="C142" s="262"/>
      <c r="D142" s="98"/>
      <c r="E142" s="98"/>
      <c r="F142" s="98"/>
      <c r="G142" s="98"/>
      <c r="H142" s="168" t="s">
        <v>143</v>
      </c>
      <c r="I142" s="172"/>
      <c r="J142" s="172"/>
      <c r="K142" s="172"/>
      <c r="L142" s="172"/>
      <c r="M142" s="172"/>
      <c r="N142" s="172"/>
      <c r="O142" s="172"/>
      <c r="P142" s="172"/>
      <c r="Q142" s="172"/>
      <c r="R142" s="172"/>
      <c r="S142" s="174"/>
      <c r="T142" s="175"/>
      <c r="U142" s="176"/>
      <c r="V142" s="591">
        <f>SUM(V133:V139)</f>
        <v>9270</v>
      </c>
      <c r="W142" s="591"/>
      <c r="X142" s="591"/>
      <c r="Y142" s="591"/>
      <c r="Z142" s="591"/>
      <c r="AA142" s="591"/>
      <c r="AB142" s="591"/>
      <c r="AC142" s="591"/>
      <c r="AD142" s="591"/>
      <c r="AE142" s="591"/>
      <c r="AF142" s="591"/>
      <c r="AG142" s="591"/>
      <c r="AH142" s="591"/>
      <c r="AI142" s="591"/>
      <c r="AJ142" s="591"/>
      <c r="AK142" s="591"/>
      <c r="AL142" s="591"/>
      <c r="AM142" s="591"/>
      <c r="AN142" s="591"/>
      <c r="AO142" s="591"/>
      <c r="AP142" s="591"/>
      <c r="AQ142" s="591"/>
      <c r="AR142" s="591"/>
      <c r="AS142" s="591"/>
      <c r="AT142" s="591"/>
      <c r="AU142" s="591"/>
      <c r="AV142" s="591"/>
      <c r="AW142" s="591"/>
      <c r="AX142" s="177"/>
      <c r="AY142" s="176"/>
      <c r="AZ142" s="591">
        <f>SUM(AZ133:AZ139)</f>
        <v>390</v>
      </c>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175"/>
      <c r="CC142" s="179"/>
      <c r="CD142" s="95"/>
      <c r="CE142" s="181"/>
      <c r="CF142" s="273"/>
      <c r="CG142" s="256"/>
      <c r="CH142" s="256"/>
      <c r="CI142" s="256"/>
      <c r="CJ142" s="256"/>
      <c r="CK142" s="256"/>
      <c r="CL142" s="256"/>
      <c r="CM142" s="256"/>
      <c r="CN142" s="256"/>
      <c r="CO142" s="256"/>
      <c r="CP142" s="256"/>
      <c r="CQ142" s="256"/>
      <c r="CR142" s="256"/>
      <c r="CS142" s="256"/>
      <c r="CT142" s="256"/>
      <c r="CU142" s="256"/>
      <c r="CV142" s="256"/>
      <c r="CW142" s="256"/>
      <c r="CX142" s="256"/>
      <c r="CY142" s="256"/>
      <c r="CZ142" s="256"/>
      <c r="DA142" s="256"/>
      <c r="DB142" s="256"/>
      <c r="DC142" s="256"/>
      <c r="DD142" s="256"/>
      <c r="DE142" s="256"/>
      <c r="DF142" s="256"/>
      <c r="DG142" s="256"/>
      <c r="DH142" s="256"/>
      <c r="DI142" s="256"/>
      <c r="DJ142" s="256"/>
      <c r="DK142" s="256"/>
      <c r="DL142" s="256"/>
      <c r="DM142" s="256"/>
      <c r="DN142" s="256"/>
      <c r="DO142" s="256"/>
      <c r="DP142" s="256"/>
      <c r="DQ142" s="256"/>
      <c r="DR142" s="256"/>
      <c r="DS142" s="256"/>
      <c r="DT142" s="256"/>
      <c r="DU142" s="256"/>
      <c r="DV142" s="256"/>
      <c r="DW142" s="256"/>
      <c r="DX142" s="256"/>
      <c r="DY142" s="256"/>
      <c r="DZ142" s="256"/>
      <c r="EA142" s="256"/>
      <c r="EB142" s="256"/>
      <c r="EC142" s="256"/>
      <c r="ED142" s="256"/>
      <c r="EE142" s="256"/>
      <c r="EF142" s="256"/>
      <c r="EG142" s="256"/>
      <c r="EH142" s="256"/>
      <c r="EI142" s="256"/>
      <c r="EJ142" s="256"/>
      <c r="EK142" s="256"/>
      <c r="EL142" s="256"/>
      <c r="EM142" s="256"/>
      <c r="EN142" s="256"/>
      <c r="EO142" s="256"/>
      <c r="EP142" s="256"/>
      <c r="EQ142" s="256"/>
      <c r="ER142" s="256"/>
      <c r="ES142" s="256"/>
      <c r="ET142" s="256"/>
      <c r="EU142" s="256"/>
      <c r="EV142" s="256"/>
      <c r="EW142" s="256"/>
      <c r="EX142" s="256"/>
      <c r="EY142" s="256"/>
      <c r="EZ142" s="256"/>
      <c r="FA142" s="256"/>
      <c r="FB142" s="256"/>
      <c r="FC142" s="256"/>
      <c r="FD142" s="256"/>
      <c r="FE142" s="256"/>
      <c r="FF142" s="256"/>
      <c r="FG142" s="256"/>
      <c r="FH142" s="256"/>
      <c r="FI142" s="256"/>
      <c r="FJ142" s="256"/>
      <c r="FK142" s="256"/>
      <c r="FL142" s="256"/>
      <c r="FM142" s="256"/>
      <c r="FN142" s="256"/>
      <c r="FO142" s="256"/>
    </row>
    <row r="143" spans="1:171" s="31" customFormat="1" ht="19.5" customHeight="1">
      <c r="A143" s="260"/>
      <c r="B143" s="263"/>
      <c r="C143" s="262"/>
      <c r="D143" s="98"/>
      <c r="E143" s="98"/>
      <c r="F143" s="98"/>
      <c r="G143" s="98"/>
      <c r="H143" s="183"/>
      <c r="I143" s="183"/>
      <c r="J143" s="183"/>
      <c r="K143" s="183"/>
      <c r="L143" s="183"/>
      <c r="M143" s="183"/>
      <c r="N143" s="184"/>
      <c r="O143" s="184"/>
      <c r="P143" s="184"/>
      <c r="Q143" s="184"/>
      <c r="R143" s="184"/>
      <c r="S143" s="184"/>
      <c r="T143" s="184"/>
      <c r="U143" s="184"/>
      <c r="V143" s="184"/>
      <c r="W143" s="184"/>
      <c r="X143" s="184"/>
      <c r="Y143" s="184"/>
      <c r="Z143" s="184"/>
      <c r="AA143" s="184"/>
      <c r="AB143" s="184"/>
      <c r="AC143" s="184"/>
      <c r="AD143" s="184"/>
      <c r="AE143" s="184"/>
      <c r="AF143" s="184"/>
      <c r="AG143" s="184"/>
      <c r="AH143" s="184"/>
      <c r="AI143" s="184"/>
      <c r="AJ143" s="184"/>
      <c r="AK143" s="184"/>
      <c r="AL143" s="184"/>
      <c r="AM143" s="184"/>
      <c r="AN143" s="184"/>
      <c r="AO143" s="184"/>
      <c r="AP143" s="184"/>
      <c r="AQ143" s="184"/>
      <c r="AR143" s="184"/>
      <c r="AS143" s="184"/>
      <c r="AT143" s="184"/>
      <c r="AU143" s="184"/>
      <c r="AV143" s="184"/>
      <c r="AW143" s="184"/>
      <c r="AX143" s="184"/>
      <c r="AY143" s="184"/>
      <c r="AZ143" s="184"/>
      <c r="BA143" s="184"/>
      <c r="BB143" s="184"/>
      <c r="BC143" s="184"/>
      <c r="BD143" s="184"/>
      <c r="BE143" s="184"/>
      <c r="BF143" s="184"/>
      <c r="BG143" s="184"/>
      <c r="BH143" s="184"/>
      <c r="BI143" s="184"/>
      <c r="BJ143" s="184"/>
      <c r="BK143" s="184"/>
      <c r="BL143" s="184"/>
      <c r="BM143" s="183"/>
      <c r="BN143" s="183"/>
      <c r="BO143" s="184"/>
      <c r="BP143" s="184"/>
      <c r="BQ143" s="184"/>
      <c r="BR143" s="184"/>
      <c r="BS143" s="184"/>
      <c r="BT143" s="184"/>
      <c r="BU143" s="184"/>
      <c r="BV143" s="184"/>
      <c r="BW143" s="184"/>
      <c r="BX143" s="185"/>
      <c r="BY143" s="179"/>
      <c r="BZ143" s="179"/>
      <c r="CA143" s="179"/>
      <c r="CB143" s="179"/>
      <c r="CC143" s="179"/>
      <c r="CD143" s="95"/>
      <c r="CE143" s="181"/>
      <c r="CF143" s="273"/>
      <c r="CG143" s="256"/>
      <c r="CH143" s="256"/>
      <c r="CI143" s="256"/>
      <c r="CJ143" s="256"/>
      <c r="CK143" s="256"/>
      <c r="CL143" s="256"/>
      <c r="CM143" s="256"/>
      <c r="CN143" s="256"/>
      <c r="CO143" s="256"/>
      <c r="CP143" s="256"/>
      <c r="CQ143" s="256"/>
      <c r="CR143" s="256"/>
      <c r="CS143" s="256"/>
      <c r="CT143" s="256"/>
      <c r="CU143" s="256"/>
      <c r="CV143" s="256"/>
      <c r="CW143" s="256"/>
      <c r="CX143" s="256"/>
      <c r="CY143" s="256"/>
      <c r="CZ143" s="256"/>
      <c r="DA143" s="256"/>
      <c r="DB143" s="256"/>
      <c r="DC143" s="256"/>
      <c r="DD143" s="256"/>
      <c r="DE143" s="256"/>
      <c r="DF143" s="256"/>
      <c r="DG143" s="256"/>
      <c r="DH143" s="256"/>
      <c r="DI143" s="256"/>
      <c r="DJ143" s="256"/>
      <c r="DK143" s="256"/>
      <c r="DL143" s="256"/>
      <c r="DM143" s="256"/>
      <c r="DN143" s="256"/>
      <c r="DO143" s="256"/>
      <c r="DP143" s="256"/>
      <c r="DQ143" s="256"/>
      <c r="DR143" s="256"/>
      <c r="DS143" s="256"/>
      <c r="DT143" s="256"/>
      <c r="DU143" s="256"/>
      <c r="DV143" s="256"/>
      <c r="DW143" s="256"/>
      <c r="DX143" s="256"/>
      <c r="DY143" s="256"/>
      <c r="DZ143" s="256"/>
      <c r="EA143" s="256"/>
      <c r="EB143" s="256"/>
      <c r="EC143" s="256"/>
      <c r="ED143" s="256"/>
      <c r="EE143" s="256"/>
      <c r="EF143" s="256"/>
      <c r="EG143" s="256"/>
      <c r="EH143" s="256"/>
      <c r="EI143" s="256"/>
      <c r="EJ143" s="256"/>
      <c r="EK143" s="256"/>
      <c r="EL143" s="256"/>
      <c r="EM143" s="256"/>
      <c r="EN143" s="256"/>
      <c r="EO143" s="256"/>
      <c r="EP143" s="256"/>
      <c r="EQ143" s="256"/>
      <c r="ER143" s="256"/>
      <c r="ES143" s="256"/>
      <c r="ET143" s="256"/>
      <c r="EU143" s="256"/>
      <c r="EV143" s="256"/>
      <c r="EW143" s="256"/>
      <c r="EX143" s="256"/>
      <c r="EY143" s="256"/>
      <c r="EZ143" s="256"/>
      <c r="FA143" s="256"/>
      <c r="FB143" s="256"/>
      <c r="FC143" s="256"/>
      <c r="FD143" s="256"/>
      <c r="FE143" s="256"/>
      <c r="FF143" s="256"/>
      <c r="FG143" s="256"/>
      <c r="FH143" s="256"/>
      <c r="FI143" s="256"/>
      <c r="FJ143" s="256"/>
      <c r="FK143" s="256"/>
      <c r="FL143" s="256"/>
      <c r="FM143" s="256"/>
      <c r="FN143" s="256"/>
      <c r="FO143" s="256"/>
    </row>
    <row r="144" spans="1:171" s="31" customFormat="1" ht="19.5" customHeight="1">
      <c r="A144" s="260"/>
      <c r="B144" s="263"/>
      <c r="C144" s="262"/>
      <c r="D144" s="98"/>
      <c r="E144" s="98"/>
      <c r="F144" s="98"/>
      <c r="G144" s="98"/>
      <c r="H144" s="404" t="s">
        <v>402</v>
      </c>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405"/>
      <c r="AF144" s="405"/>
      <c r="AG144" s="405"/>
      <c r="AH144" s="405"/>
      <c r="AI144" s="405"/>
      <c r="AJ144" s="405"/>
      <c r="AK144" s="405"/>
      <c r="AL144" s="405"/>
      <c r="AM144" s="405"/>
      <c r="AN144" s="405"/>
      <c r="AO144" s="405"/>
      <c r="AP144" s="405"/>
      <c r="AQ144" s="405"/>
      <c r="AR144" s="405"/>
      <c r="AS144" s="405"/>
      <c r="AT144" s="405"/>
      <c r="AU144" s="405"/>
      <c r="AV144" s="405"/>
      <c r="AW144" s="405"/>
      <c r="AX144" s="405"/>
      <c r="AY144" s="405"/>
      <c r="AZ144" s="405"/>
      <c r="BA144" s="405"/>
      <c r="BB144" s="405"/>
      <c r="BC144" s="405"/>
      <c r="BD144" s="405"/>
      <c r="BE144" s="405"/>
      <c r="BF144" s="405"/>
      <c r="BG144" s="405"/>
      <c r="BH144" s="405"/>
      <c r="BI144" s="405"/>
      <c r="BJ144" s="405"/>
      <c r="BK144" s="405"/>
      <c r="BL144" s="405"/>
      <c r="BM144" s="405"/>
      <c r="BN144" s="405"/>
      <c r="BO144" s="405"/>
      <c r="BP144" s="405"/>
      <c r="BQ144" s="405"/>
      <c r="BR144" s="405"/>
      <c r="BS144" s="405"/>
      <c r="BT144" s="405"/>
      <c r="BU144" s="405"/>
      <c r="BV144" s="405"/>
      <c r="BW144" s="405"/>
      <c r="BX144" s="405"/>
      <c r="BY144" s="405"/>
      <c r="BZ144" s="405"/>
      <c r="CA144" s="405"/>
      <c r="CB144" s="406"/>
      <c r="CC144" s="179"/>
      <c r="CD144" s="95"/>
      <c r="CE144" s="181"/>
      <c r="CF144" s="273"/>
      <c r="CG144" s="256"/>
      <c r="CH144" s="256"/>
      <c r="CI144" s="256"/>
      <c r="CJ144" s="256"/>
      <c r="CK144" s="256"/>
      <c r="CL144" s="256"/>
      <c r="CM144" s="256"/>
      <c r="CN144" s="256"/>
      <c r="CO144" s="256"/>
      <c r="CP144" s="256"/>
      <c r="CQ144" s="256"/>
      <c r="CR144" s="256"/>
      <c r="CS144" s="256"/>
      <c r="CT144" s="256"/>
      <c r="CU144" s="256"/>
      <c r="CV144" s="256"/>
      <c r="CW144" s="256"/>
      <c r="CX144" s="256"/>
      <c r="CY144" s="256"/>
      <c r="CZ144" s="256"/>
      <c r="DA144" s="256"/>
      <c r="DB144" s="256"/>
      <c r="DC144" s="256"/>
      <c r="DD144" s="256"/>
      <c r="DE144" s="256"/>
      <c r="DF144" s="256"/>
      <c r="DG144" s="256"/>
      <c r="DH144" s="256"/>
      <c r="DI144" s="256"/>
      <c r="DJ144" s="256"/>
      <c r="DK144" s="256"/>
      <c r="DL144" s="256"/>
      <c r="DM144" s="256"/>
      <c r="DN144" s="256"/>
      <c r="DO144" s="256"/>
      <c r="DP144" s="256"/>
      <c r="DQ144" s="256"/>
      <c r="DR144" s="256"/>
      <c r="DS144" s="256"/>
      <c r="DT144" s="256"/>
      <c r="DU144" s="256"/>
      <c r="DV144" s="256"/>
      <c r="DW144" s="256"/>
      <c r="DX144" s="256"/>
      <c r="DY144" s="256"/>
      <c r="DZ144" s="256"/>
      <c r="EA144" s="256"/>
      <c r="EB144" s="256"/>
      <c r="EC144" s="256"/>
      <c r="ED144" s="256"/>
      <c r="EE144" s="256"/>
      <c r="EF144" s="256"/>
      <c r="EG144" s="256"/>
      <c r="EH144" s="256"/>
      <c r="EI144" s="256"/>
      <c r="EJ144" s="256"/>
      <c r="EK144" s="256"/>
      <c r="EL144" s="256"/>
      <c r="EM144" s="256"/>
      <c r="EN144" s="256"/>
      <c r="EO144" s="256"/>
      <c r="EP144" s="256"/>
      <c r="EQ144" s="256"/>
      <c r="ER144" s="256"/>
      <c r="ES144" s="256"/>
      <c r="ET144" s="256"/>
      <c r="EU144" s="256"/>
      <c r="EV144" s="256"/>
      <c r="EW144" s="256"/>
      <c r="EX144" s="256"/>
      <c r="EY144" s="256"/>
      <c r="EZ144" s="256"/>
      <c r="FA144" s="256"/>
      <c r="FB144" s="256"/>
      <c r="FC144" s="256"/>
      <c r="FD144" s="256"/>
      <c r="FE144" s="256"/>
      <c r="FF144" s="256"/>
      <c r="FG144" s="256"/>
      <c r="FH144" s="256"/>
      <c r="FI144" s="256"/>
      <c r="FJ144" s="256"/>
      <c r="FK144" s="256"/>
      <c r="FL144" s="256"/>
      <c r="FM144" s="256"/>
      <c r="FN144" s="256"/>
      <c r="FO144" s="256"/>
    </row>
    <row r="145" spans="1:171" s="31" customFormat="1" ht="19.5" customHeight="1">
      <c r="A145" s="260"/>
      <c r="B145" s="263"/>
      <c r="C145" s="262"/>
      <c r="D145" s="98"/>
      <c r="E145" s="98"/>
      <c r="F145" s="98"/>
      <c r="G145" s="98"/>
      <c r="H145" s="600" t="s">
        <v>403</v>
      </c>
      <c r="I145" s="600"/>
      <c r="J145" s="600"/>
      <c r="K145" s="600"/>
      <c r="L145" s="600"/>
      <c r="M145" s="600"/>
      <c r="N145" s="600"/>
      <c r="O145" s="600"/>
      <c r="P145" s="600"/>
      <c r="Q145" s="600"/>
      <c r="R145" s="600"/>
      <c r="S145" s="600"/>
      <c r="T145" s="600"/>
      <c r="U145" s="600" t="s">
        <v>404</v>
      </c>
      <c r="V145" s="600"/>
      <c r="W145" s="600"/>
      <c r="X145" s="600"/>
      <c r="Y145" s="600"/>
      <c r="Z145" s="600"/>
      <c r="AA145" s="600"/>
      <c r="AB145" s="600"/>
      <c r="AC145" s="600"/>
      <c r="AD145" s="600"/>
      <c r="AE145" s="600"/>
      <c r="AF145" s="600"/>
      <c r="AG145" s="600"/>
      <c r="AH145" s="600" t="s">
        <v>405</v>
      </c>
      <c r="AI145" s="600"/>
      <c r="AJ145" s="600"/>
      <c r="AK145" s="600"/>
      <c r="AL145" s="600"/>
      <c r="AM145" s="600"/>
      <c r="AN145" s="600"/>
      <c r="AO145" s="600"/>
      <c r="AP145" s="600"/>
      <c r="AQ145" s="600"/>
      <c r="AR145" s="600"/>
      <c r="AS145" s="600"/>
      <c r="AT145" s="600"/>
      <c r="AU145" s="600"/>
      <c r="AV145" s="600"/>
      <c r="AW145" s="600"/>
      <c r="AX145" s="600"/>
      <c r="AY145" s="600"/>
      <c r="AZ145" s="600"/>
      <c r="BA145" s="600"/>
      <c r="BB145" s="600"/>
      <c r="BC145" s="600"/>
      <c r="BD145" s="600"/>
      <c r="BE145" s="600"/>
      <c r="BF145" s="600"/>
      <c r="BG145" s="600"/>
      <c r="BH145" s="396" t="s">
        <v>406</v>
      </c>
      <c r="BI145" s="397"/>
      <c r="BJ145" s="397"/>
      <c r="BK145" s="397"/>
      <c r="BL145" s="397"/>
      <c r="BM145" s="397"/>
      <c r="BN145" s="397"/>
      <c r="BO145" s="397"/>
      <c r="BP145" s="397"/>
      <c r="BQ145" s="397"/>
      <c r="BR145" s="397"/>
      <c r="BS145" s="397"/>
      <c r="BT145" s="397"/>
      <c r="BU145" s="397"/>
      <c r="BV145" s="397"/>
      <c r="BW145" s="397"/>
      <c r="BX145" s="397"/>
      <c r="BY145" s="397"/>
      <c r="BZ145" s="397"/>
      <c r="CA145" s="397"/>
      <c r="CB145" s="398"/>
      <c r="CC145" s="179"/>
      <c r="CD145" s="95"/>
      <c r="CE145" s="181"/>
      <c r="CF145" s="273"/>
      <c r="CG145" s="256"/>
      <c r="CH145" s="256"/>
      <c r="CI145" s="256"/>
      <c r="CJ145" s="256"/>
      <c r="CK145" s="256"/>
      <c r="CL145" s="256"/>
      <c r="CM145" s="256"/>
      <c r="CN145" s="256"/>
      <c r="CO145" s="256"/>
      <c r="CP145" s="256"/>
      <c r="CQ145" s="256"/>
      <c r="CR145" s="256"/>
      <c r="CS145" s="256"/>
      <c r="CT145" s="256"/>
      <c r="CU145" s="256"/>
      <c r="CV145" s="256"/>
      <c r="CW145" s="256"/>
      <c r="CX145" s="256"/>
      <c r="CY145" s="256"/>
      <c r="CZ145" s="256"/>
      <c r="DA145" s="256"/>
      <c r="DB145" s="256"/>
      <c r="DC145" s="256"/>
      <c r="DD145" s="256"/>
      <c r="DE145" s="256"/>
      <c r="DF145" s="256"/>
      <c r="DG145" s="256"/>
      <c r="DH145" s="256"/>
      <c r="DI145" s="256"/>
      <c r="DJ145" s="256"/>
      <c r="DK145" s="256"/>
      <c r="DL145" s="256"/>
      <c r="DM145" s="256"/>
      <c r="DN145" s="256"/>
      <c r="DO145" s="256"/>
      <c r="DP145" s="256"/>
      <c r="DQ145" s="256"/>
      <c r="DR145" s="256"/>
      <c r="DS145" s="256"/>
      <c r="DT145" s="256"/>
      <c r="DU145" s="256"/>
      <c r="DV145" s="256"/>
      <c r="DW145" s="256"/>
      <c r="DX145" s="256"/>
      <c r="DY145" s="256"/>
      <c r="DZ145" s="256"/>
      <c r="EA145" s="256"/>
      <c r="EB145" s="256"/>
      <c r="EC145" s="256"/>
      <c r="ED145" s="256"/>
      <c r="EE145" s="256"/>
      <c r="EF145" s="256"/>
      <c r="EG145" s="256"/>
      <c r="EH145" s="256"/>
      <c r="EI145" s="256"/>
      <c r="EJ145" s="256"/>
      <c r="EK145" s="256"/>
      <c r="EL145" s="256"/>
      <c r="EM145" s="256"/>
      <c r="EN145" s="256"/>
      <c r="EO145" s="256"/>
      <c r="EP145" s="256"/>
      <c r="EQ145" s="256"/>
      <c r="ER145" s="256"/>
      <c r="ES145" s="256"/>
      <c r="ET145" s="256"/>
      <c r="EU145" s="256"/>
      <c r="EV145" s="256"/>
      <c r="EW145" s="256"/>
      <c r="EX145" s="256"/>
      <c r="EY145" s="256"/>
      <c r="EZ145" s="256"/>
      <c r="FA145" s="256"/>
      <c r="FB145" s="256"/>
      <c r="FC145" s="256"/>
      <c r="FD145" s="256"/>
      <c r="FE145" s="256"/>
      <c r="FF145" s="256"/>
      <c r="FG145" s="256"/>
      <c r="FH145" s="256"/>
      <c r="FI145" s="256"/>
      <c r="FJ145" s="256"/>
      <c r="FK145" s="256"/>
      <c r="FL145" s="256"/>
      <c r="FM145" s="256"/>
      <c r="FN145" s="256"/>
      <c r="FO145" s="256"/>
    </row>
    <row r="146" spans="1:171" s="31" customFormat="1" ht="19.5" customHeight="1">
      <c r="A146" s="260"/>
      <c r="B146" s="263"/>
      <c r="C146" s="262"/>
      <c r="D146" s="98"/>
      <c r="E146" s="98"/>
      <c r="F146" s="98"/>
      <c r="G146" s="98"/>
      <c r="H146" s="604" t="s">
        <v>185</v>
      </c>
      <c r="I146" s="605"/>
      <c r="J146" s="605"/>
      <c r="K146" s="605"/>
      <c r="L146" s="605"/>
      <c r="M146" s="605"/>
      <c r="N146" s="605"/>
      <c r="O146" s="605"/>
      <c r="P146" s="605"/>
      <c r="Q146" s="605"/>
      <c r="R146" s="605"/>
      <c r="S146" s="605"/>
      <c r="T146" s="606"/>
      <c r="U146" s="607" t="s">
        <v>407</v>
      </c>
      <c r="V146" s="608"/>
      <c r="W146" s="608"/>
      <c r="X146" s="608"/>
      <c r="Y146" s="608"/>
      <c r="Z146" s="608"/>
      <c r="AA146" s="608"/>
      <c r="AB146" s="608"/>
      <c r="AC146" s="608"/>
      <c r="AD146" s="608"/>
      <c r="AE146" s="608"/>
      <c r="AF146" s="608"/>
      <c r="AG146" s="609"/>
      <c r="AH146" s="604" t="s">
        <v>408</v>
      </c>
      <c r="AI146" s="605"/>
      <c r="AJ146" s="605"/>
      <c r="AK146" s="605"/>
      <c r="AL146" s="605"/>
      <c r="AM146" s="605"/>
      <c r="AN146" s="605"/>
      <c r="AO146" s="605"/>
      <c r="AP146" s="605"/>
      <c r="AQ146" s="605"/>
      <c r="AR146" s="605"/>
      <c r="AS146" s="605"/>
      <c r="AT146" s="605"/>
      <c r="AU146" s="605"/>
      <c r="AV146" s="605"/>
      <c r="AW146" s="605"/>
      <c r="AX146" s="605"/>
      <c r="AY146" s="605"/>
      <c r="AZ146" s="605"/>
      <c r="BA146" s="605"/>
      <c r="BB146" s="605"/>
      <c r="BC146" s="605"/>
      <c r="BD146" s="605"/>
      <c r="BE146" s="605"/>
      <c r="BF146" s="605"/>
      <c r="BG146" s="606"/>
      <c r="BH146" s="604" t="s">
        <v>409</v>
      </c>
      <c r="BI146" s="605"/>
      <c r="BJ146" s="605"/>
      <c r="BK146" s="605"/>
      <c r="BL146" s="605"/>
      <c r="BM146" s="605"/>
      <c r="BN146" s="605"/>
      <c r="BO146" s="605"/>
      <c r="BP146" s="605"/>
      <c r="BQ146" s="605"/>
      <c r="BR146" s="605"/>
      <c r="BS146" s="605"/>
      <c r="BT146" s="605"/>
      <c r="BU146" s="605"/>
      <c r="BV146" s="605"/>
      <c r="BW146" s="605"/>
      <c r="BX146" s="605"/>
      <c r="BY146" s="605"/>
      <c r="BZ146" s="605"/>
      <c r="CA146" s="605"/>
      <c r="CB146" s="606"/>
      <c r="CC146" s="179"/>
      <c r="CD146" s="95"/>
      <c r="CE146" s="181"/>
      <c r="CF146" s="273"/>
      <c r="CG146" s="256"/>
      <c r="CH146" s="256"/>
      <c r="CI146" s="256"/>
      <c r="CJ146" s="256"/>
      <c r="CK146" s="256"/>
      <c r="CL146" s="256"/>
      <c r="CM146" s="256"/>
      <c r="CN146" s="256"/>
      <c r="CO146" s="256"/>
      <c r="CP146" s="256"/>
      <c r="CQ146" s="256"/>
      <c r="CR146" s="256"/>
      <c r="CS146" s="256"/>
      <c r="CT146" s="256"/>
      <c r="CU146" s="256"/>
      <c r="CV146" s="256"/>
      <c r="CW146" s="256"/>
      <c r="CX146" s="256"/>
      <c r="CY146" s="256"/>
      <c r="CZ146" s="256"/>
      <c r="DA146" s="256"/>
      <c r="DB146" s="256"/>
      <c r="DC146" s="256"/>
      <c r="DD146" s="256"/>
      <c r="DE146" s="256"/>
      <c r="DF146" s="256"/>
      <c r="DG146" s="256"/>
      <c r="DH146" s="256"/>
      <c r="DI146" s="256"/>
      <c r="DJ146" s="256"/>
      <c r="DK146" s="256"/>
      <c r="DL146" s="256"/>
      <c r="DM146" s="256"/>
      <c r="DN146" s="256"/>
      <c r="DO146" s="256"/>
      <c r="DP146" s="256"/>
      <c r="DQ146" s="256"/>
      <c r="DR146" s="256"/>
      <c r="DS146" s="256"/>
      <c r="DT146" s="256"/>
      <c r="DU146" s="256"/>
      <c r="DV146" s="256"/>
      <c r="DW146" s="256"/>
      <c r="DX146" s="256"/>
      <c r="DY146" s="256"/>
      <c r="DZ146" s="256"/>
      <c r="EA146" s="256"/>
      <c r="EB146" s="256"/>
      <c r="EC146" s="256"/>
      <c r="ED146" s="256"/>
      <c r="EE146" s="256"/>
      <c r="EF146" s="256"/>
      <c r="EG146" s="256"/>
      <c r="EH146" s="256"/>
      <c r="EI146" s="256"/>
      <c r="EJ146" s="256"/>
      <c r="EK146" s="256"/>
      <c r="EL146" s="256"/>
      <c r="EM146" s="256"/>
      <c r="EN146" s="256"/>
      <c r="EO146" s="256"/>
      <c r="EP146" s="256"/>
      <c r="EQ146" s="256"/>
      <c r="ER146" s="256"/>
      <c r="ES146" s="256"/>
      <c r="ET146" s="256"/>
      <c r="EU146" s="256"/>
      <c r="EV146" s="256"/>
      <c r="EW146" s="256"/>
      <c r="EX146" s="256"/>
      <c r="EY146" s="256"/>
      <c r="EZ146" s="256"/>
      <c r="FA146" s="256"/>
      <c r="FB146" s="256"/>
      <c r="FC146" s="256"/>
      <c r="FD146" s="256"/>
      <c r="FE146" s="256"/>
      <c r="FF146" s="256"/>
      <c r="FG146" s="256"/>
      <c r="FH146" s="256"/>
      <c r="FI146" s="256"/>
      <c r="FJ146" s="256"/>
      <c r="FK146" s="256"/>
      <c r="FL146" s="256"/>
      <c r="FM146" s="256"/>
      <c r="FN146" s="256"/>
      <c r="FO146" s="256"/>
    </row>
    <row r="147" spans="1:171" s="31" customFormat="1" ht="19.5" customHeight="1">
      <c r="A147" s="260"/>
      <c r="B147" s="263"/>
      <c r="C147" s="262"/>
      <c r="D147" s="98"/>
      <c r="E147" s="98"/>
      <c r="F147" s="98"/>
      <c r="G147" s="98"/>
      <c r="H147" s="604" t="s">
        <v>410</v>
      </c>
      <c r="I147" s="605"/>
      <c r="J147" s="605"/>
      <c r="K147" s="605"/>
      <c r="L147" s="605"/>
      <c r="M147" s="605"/>
      <c r="N147" s="605"/>
      <c r="O147" s="605"/>
      <c r="P147" s="605"/>
      <c r="Q147" s="605"/>
      <c r="R147" s="605"/>
      <c r="S147" s="605"/>
      <c r="T147" s="606"/>
      <c r="U147" s="607" t="s">
        <v>407</v>
      </c>
      <c r="V147" s="608"/>
      <c r="W147" s="608"/>
      <c r="X147" s="608"/>
      <c r="Y147" s="608"/>
      <c r="Z147" s="608"/>
      <c r="AA147" s="608"/>
      <c r="AB147" s="608"/>
      <c r="AC147" s="608"/>
      <c r="AD147" s="608"/>
      <c r="AE147" s="608"/>
      <c r="AF147" s="608"/>
      <c r="AG147" s="609"/>
      <c r="AH147" s="604" t="s">
        <v>408</v>
      </c>
      <c r="AI147" s="605"/>
      <c r="AJ147" s="605"/>
      <c r="AK147" s="605"/>
      <c r="AL147" s="605"/>
      <c r="AM147" s="605"/>
      <c r="AN147" s="605"/>
      <c r="AO147" s="605"/>
      <c r="AP147" s="605"/>
      <c r="AQ147" s="605"/>
      <c r="AR147" s="605"/>
      <c r="AS147" s="605"/>
      <c r="AT147" s="605"/>
      <c r="AU147" s="605"/>
      <c r="AV147" s="605"/>
      <c r="AW147" s="605"/>
      <c r="AX147" s="605"/>
      <c r="AY147" s="605"/>
      <c r="AZ147" s="605"/>
      <c r="BA147" s="605"/>
      <c r="BB147" s="605"/>
      <c r="BC147" s="605"/>
      <c r="BD147" s="605"/>
      <c r="BE147" s="605"/>
      <c r="BF147" s="605"/>
      <c r="BG147" s="606"/>
      <c r="BH147" s="604" t="s">
        <v>411</v>
      </c>
      <c r="BI147" s="605"/>
      <c r="BJ147" s="605"/>
      <c r="BK147" s="605"/>
      <c r="BL147" s="605"/>
      <c r="BM147" s="605"/>
      <c r="BN147" s="605"/>
      <c r="BO147" s="605"/>
      <c r="BP147" s="605"/>
      <c r="BQ147" s="605"/>
      <c r="BR147" s="605"/>
      <c r="BS147" s="605"/>
      <c r="BT147" s="605"/>
      <c r="BU147" s="605"/>
      <c r="BV147" s="605"/>
      <c r="BW147" s="605"/>
      <c r="BX147" s="605"/>
      <c r="BY147" s="605"/>
      <c r="BZ147" s="605"/>
      <c r="CA147" s="605"/>
      <c r="CB147" s="606"/>
      <c r="CC147" s="179"/>
      <c r="CD147" s="95"/>
      <c r="CE147" s="181"/>
      <c r="CF147" s="273"/>
      <c r="CG147" s="256"/>
      <c r="CH147" s="256"/>
      <c r="CI147" s="256"/>
      <c r="CJ147" s="256"/>
      <c r="CK147" s="256"/>
      <c r="CL147" s="256"/>
      <c r="CM147" s="256"/>
      <c r="CN147" s="256"/>
      <c r="CO147" s="256"/>
      <c r="CP147" s="256"/>
      <c r="CQ147" s="256"/>
      <c r="CR147" s="256"/>
      <c r="CS147" s="256"/>
      <c r="CT147" s="256"/>
      <c r="CU147" s="256"/>
      <c r="CV147" s="256"/>
      <c r="CW147" s="256"/>
      <c r="CX147" s="256"/>
      <c r="CY147" s="256"/>
      <c r="CZ147" s="256"/>
      <c r="DA147" s="256"/>
      <c r="DB147" s="256"/>
      <c r="DC147" s="256"/>
      <c r="DD147" s="256"/>
      <c r="DE147" s="256"/>
      <c r="DF147" s="256"/>
      <c r="DG147" s="256"/>
      <c r="DH147" s="256"/>
      <c r="DI147" s="256"/>
      <c r="DJ147" s="256"/>
      <c r="DK147" s="256"/>
      <c r="DL147" s="256"/>
      <c r="DM147" s="256"/>
      <c r="DN147" s="256"/>
      <c r="DO147" s="256"/>
      <c r="DP147" s="256"/>
      <c r="DQ147" s="256"/>
      <c r="DR147" s="256"/>
      <c r="DS147" s="256"/>
      <c r="DT147" s="256"/>
      <c r="DU147" s="256"/>
      <c r="DV147" s="256"/>
      <c r="DW147" s="256"/>
      <c r="DX147" s="256"/>
      <c r="DY147" s="256"/>
      <c r="DZ147" s="256"/>
      <c r="EA147" s="256"/>
      <c r="EB147" s="256"/>
      <c r="EC147" s="256"/>
      <c r="ED147" s="256"/>
      <c r="EE147" s="256"/>
      <c r="EF147" s="256"/>
      <c r="EG147" s="256"/>
      <c r="EH147" s="256"/>
      <c r="EI147" s="256"/>
      <c r="EJ147" s="256"/>
      <c r="EK147" s="256"/>
      <c r="EL147" s="256"/>
      <c r="EM147" s="256"/>
      <c r="EN147" s="256"/>
      <c r="EO147" s="256"/>
      <c r="EP147" s="256"/>
      <c r="EQ147" s="256"/>
      <c r="ER147" s="256"/>
      <c r="ES147" s="256"/>
      <c r="ET147" s="256"/>
      <c r="EU147" s="256"/>
      <c r="EV147" s="256"/>
      <c r="EW147" s="256"/>
      <c r="EX147" s="256"/>
      <c r="EY147" s="256"/>
      <c r="EZ147" s="256"/>
      <c r="FA147" s="256"/>
      <c r="FB147" s="256"/>
      <c r="FC147" s="256"/>
      <c r="FD147" s="256"/>
      <c r="FE147" s="256"/>
      <c r="FF147" s="256"/>
      <c r="FG147" s="256"/>
      <c r="FH147" s="256"/>
      <c r="FI147" s="256"/>
      <c r="FJ147" s="256"/>
      <c r="FK147" s="256"/>
      <c r="FL147" s="256"/>
      <c r="FM147" s="256"/>
      <c r="FN147" s="256"/>
      <c r="FO147" s="256"/>
    </row>
    <row r="148" spans="1:171" s="31" customFormat="1" ht="19.5" customHeight="1">
      <c r="A148" s="260"/>
      <c r="B148" s="263"/>
      <c r="C148" s="262"/>
      <c r="D148" s="98"/>
      <c r="E148" s="98"/>
      <c r="F148" s="98"/>
      <c r="G148" s="98"/>
      <c r="H148" s="604" t="s">
        <v>412</v>
      </c>
      <c r="I148" s="605"/>
      <c r="J148" s="605"/>
      <c r="K148" s="605"/>
      <c r="L148" s="605"/>
      <c r="M148" s="605"/>
      <c r="N148" s="605"/>
      <c r="O148" s="605"/>
      <c r="P148" s="605"/>
      <c r="Q148" s="605"/>
      <c r="R148" s="605"/>
      <c r="S148" s="605"/>
      <c r="T148" s="606"/>
      <c r="U148" s="607" t="s">
        <v>413</v>
      </c>
      <c r="V148" s="608"/>
      <c r="W148" s="608"/>
      <c r="X148" s="608"/>
      <c r="Y148" s="608"/>
      <c r="Z148" s="608"/>
      <c r="AA148" s="608"/>
      <c r="AB148" s="608"/>
      <c r="AC148" s="608"/>
      <c r="AD148" s="608"/>
      <c r="AE148" s="608"/>
      <c r="AF148" s="608"/>
      <c r="AG148" s="608"/>
      <c r="AH148" s="608"/>
      <c r="AI148" s="608"/>
      <c r="AJ148" s="608"/>
      <c r="AK148" s="608"/>
      <c r="AL148" s="608"/>
      <c r="AM148" s="608"/>
      <c r="AN148" s="608"/>
      <c r="AO148" s="608"/>
      <c r="AP148" s="608"/>
      <c r="AQ148" s="608"/>
      <c r="AR148" s="608"/>
      <c r="AS148" s="608"/>
      <c r="AT148" s="608"/>
      <c r="AU148" s="608"/>
      <c r="AV148" s="608"/>
      <c r="AW148" s="608"/>
      <c r="AX148" s="608"/>
      <c r="AY148" s="608"/>
      <c r="AZ148" s="608"/>
      <c r="BA148" s="608"/>
      <c r="BB148" s="608"/>
      <c r="BC148" s="608"/>
      <c r="BD148" s="608"/>
      <c r="BE148" s="608"/>
      <c r="BF148" s="608"/>
      <c r="BG148" s="609"/>
      <c r="BH148" s="604"/>
      <c r="BI148" s="605"/>
      <c r="BJ148" s="605"/>
      <c r="BK148" s="605"/>
      <c r="BL148" s="605"/>
      <c r="BM148" s="605"/>
      <c r="BN148" s="605"/>
      <c r="BO148" s="605"/>
      <c r="BP148" s="605"/>
      <c r="BQ148" s="605"/>
      <c r="BR148" s="605"/>
      <c r="BS148" s="605"/>
      <c r="BT148" s="605"/>
      <c r="BU148" s="605"/>
      <c r="BV148" s="605"/>
      <c r="BW148" s="605"/>
      <c r="BX148" s="605"/>
      <c r="BY148" s="605"/>
      <c r="BZ148" s="605"/>
      <c r="CA148" s="605"/>
      <c r="CB148" s="606"/>
      <c r="CC148" s="179"/>
      <c r="CD148" s="95"/>
      <c r="CE148" s="181"/>
      <c r="CF148" s="273"/>
      <c r="CG148" s="256"/>
      <c r="CH148" s="256"/>
      <c r="CI148" s="256"/>
      <c r="CJ148" s="256"/>
      <c r="CK148" s="256"/>
      <c r="CL148" s="256"/>
      <c r="CM148" s="256"/>
      <c r="CN148" s="256"/>
      <c r="CO148" s="256"/>
      <c r="CP148" s="256"/>
      <c r="CQ148" s="256"/>
      <c r="CR148" s="256"/>
      <c r="CS148" s="256"/>
      <c r="CT148" s="256"/>
      <c r="CU148" s="256"/>
      <c r="CV148" s="256"/>
      <c r="CW148" s="256"/>
      <c r="CX148" s="256"/>
      <c r="CY148" s="256"/>
      <c r="CZ148" s="256"/>
      <c r="DA148" s="256"/>
      <c r="DB148" s="256"/>
      <c r="DC148" s="256"/>
      <c r="DD148" s="256"/>
      <c r="DE148" s="256"/>
      <c r="DF148" s="256"/>
      <c r="DG148" s="256"/>
      <c r="DH148" s="256"/>
      <c r="DI148" s="256"/>
      <c r="DJ148" s="256"/>
      <c r="DK148" s="256"/>
      <c r="DL148" s="256"/>
      <c r="DM148" s="256"/>
      <c r="DN148" s="256"/>
      <c r="DO148" s="256"/>
      <c r="DP148" s="256"/>
      <c r="DQ148" s="256"/>
      <c r="DR148" s="256"/>
      <c r="DS148" s="256"/>
      <c r="DT148" s="256"/>
      <c r="DU148" s="256"/>
      <c r="DV148" s="256"/>
      <c r="DW148" s="256"/>
      <c r="DX148" s="256"/>
      <c r="DY148" s="256"/>
      <c r="DZ148" s="256"/>
      <c r="EA148" s="256"/>
      <c r="EB148" s="256"/>
      <c r="EC148" s="256"/>
      <c r="ED148" s="256"/>
      <c r="EE148" s="256"/>
      <c r="EF148" s="256"/>
      <c r="EG148" s="256"/>
      <c r="EH148" s="256"/>
      <c r="EI148" s="256"/>
      <c r="EJ148" s="256"/>
      <c r="EK148" s="256"/>
      <c r="EL148" s="256"/>
      <c r="EM148" s="256"/>
      <c r="EN148" s="256"/>
      <c r="EO148" s="256"/>
      <c r="EP148" s="256"/>
      <c r="EQ148" s="256"/>
      <c r="ER148" s="256"/>
      <c r="ES148" s="256"/>
      <c r="ET148" s="256"/>
      <c r="EU148" s="256"/>
      <c r="EV148" s="256"/>
      <c r="EW148" s="256"/>
      <c r="EX148" s="256"/>
      <c r="EY148" s="256"/>
      <c r="EZ148" s="256"/>
      <c r="FA148" s="256"/>
      <c r="FB148" s="256"/>
      <c r="FC148" s="256"/>
      <c r="FD148" s="256"/>
      <c r="FE148" s="256"/>
      <c r="FF148" s="256"/>
      <c r="FG148" s="256"/>
      <c r="FH148" s="256"/>
      <c r="FI148" s="256"/>
      <c r="FJ148" s="256"/>
      <c r="FK148" s="256"/>
      <c r="FL148" s="256"/>
      <c r="FM148" s="256"/>
      <c r="FN148" s="256"/>
      <c r="FO148" s="256"/>
    </row>
    <row r="149" spans="1:171" s="31" customFormat="1" ht="19.5" customHeight="1">
      <c r="A149" s="260"/>
      <c r="B149" s="263"/>
      <c r="C149" s="262"/>
      <c r="D149" s="98"/>
      <c r="E149" s="98"/>
      <c r="F149" s="98"/>
      <c r="G149" s="98"/>
      <c r="H149" s="332"/>
      <c r="I149" s="189"/>
      <c r="J149" s="189"/>
      <c r="K149" s="189"/>
      <c r="L149" s="189"/>
      <c r="M149" s="189"/>
      <c r="N149" s="189"/>
      <c r="O149" s="189"/>
      <c r="P149" s="189"/>
      <c r="Q149" s="189"/>
      <c r="R149" s="189"/>
      <c r="S149" s="189"/>
      <c r="T149" s="189"/>
      <c r="U149" s="189"/>
      <c r="V149" s="333"/>
      <c r="W149" s="189"/>
      <c r="X149" s="189"/>
      <c r="Y149" s="189"/>
      <c r="Z149" s="189"/>
      <c r="AA149" s="189"/>
      <c r="AB149" s="189"/>
      <c r="AC149" s="189"/>
      <c r="AD149" s="189"/>
      <c r="AE149" s="189"/>
      <c r="AF149" s="189"/>
      <c r="AG149" s="189"/>
      <c r="AH149" s="189"/>
      <c r="AI149" s="189"/>
      <c r="AJ149" s="189"/>
      <c r="AK149" s="189"/>
      <c r="AL149" s="189"/>
      <c r="AM149" s="189"/>
      <c r="AN149" s="189"/>
      <c r="AO149" s="189"/>
      <c r="AP149" s="189"/>
      <c r="AQ149" s="189"/>
      <c r="AR149" s="189"/>
      <c r="AS149" s="189"/>
      <c r="AT149" s="189"/>
      <c r="AU149" s="189"/>
      <c r="AV149" s="189"/>
      <c r="AW149" s="189"/>
      <c r="AX149" s="189"/>
      <c r="AY149" s="189"/>
      <c r="AZ149" s="189"/>
      <c r="BA149" s="189"/>
      <c r="BB149" s="189"/>
      <c r="BC149" s="189"/>
      <c r="BD149" s="189"/>
      <c r="BE149" s="189"/>
      <c r="BF149" s="189"/>
      <c r="BG149" s="189"/>
      <c r="BH149" s="189"/>
      <c r="BI149" s="189"/>
      <c r="BJ149" s="189"/>
      <c r="BK149" s="189"/>
      <c r="BL149" s="189"/>
      <c r="BM149" s="189"/>
      <c r="BN149" s="189"/>
      <c r="BO149" s="189"/>
      <c r="BP149" s="189"/>
      <c r="BQ149" s="189"/>
      <c r="BR149" s="189"/>
      <c r="BS149" s="189"/>
      <c r="BT149" s="189"/>
      <c r="BU149" s="189"/>
      <c r="BV149" s="189"/>
      <c r="BW149" s="189"/>
      <c r="BX149" s="189"/>
      <c r="BY149" s="179"/>
      <c r="BZ149" s="179"/>
      <c r="CA149" s="179"/>
      <c r="CB149" s="179"/>
      <c r="CC149" s="179"/>
      <c r="CD149" s="95"/>
      <c r="CE149" s="181"/>
      <c r="CF149" s="273"/>
      <c r="CG149" s="256"/>
      <c r="CH149" s="256"/>
      <c r="CI149" s="256"/>
      <c r="CJ149" s="256"/>
      <c r="CK149" s="256"/>
      <c r="CL149" s="256"/>
      <c r="CM149" s="256"/>
      <c r="CN149" s="256"/>
      <c r="CO149" s="256"/>
      <c r="CP149" s="256"/>
      <c r="CQ149" s="256"/>
      <c r="CR149" s="256"/>
      <c r="CS149" s="256"/>
      <c r="CT149" s="256"/>
      <c r="CU149" s="256"/>
      <c r="CV149" s="256"/>
      <c r="CW149" s="256"/>
      <c r="CX149" s="256"/>
      <c r="CY149" s="256"/>
      <c r="CZ149" s="256"/>
      <c r="DA149" s="256"/>
      <c r="DB149" s="256"/>
      <c r="DC149" s="256"/>
      <c r="DD149" s="256"/>
      <c r="DE149" s="256"/>
      <c r="DF149" s="256"/>
      <c r="DG149" s="256"/>
      <c r="DH149" s="256"/>
      <c r="DI149" s="256"/>
      <c r="DJ149" s="256"/>
      <c r="DK149" s="256"/>
      <c r="DL149" s="256"/>
      <c r="DM149" s="256"/>
      <c r="DN149" s="256"/>
      <c r="DO149" s="256"/>
      <c r="DP149" s="256"/>
      <c r="DQ149" s="256"/>
      <c r="DR149" s="256"/>
      <c r="DS149" s="256"/>
      <c r="DT149" s="256"/>
      <c r="DU149" s="256"/>
      <c r="DV149" s="256"/>
      <c r="DW149" s="256"/>
      <c r="DX149" s="256"/>
      <c r="DY149" s="256"/>
      <c r="DZ149" s="256"/>
      <c r="EA149" s="256"/>
      <c r="EB149" s="256"/>
      <c r="EC149" s="256"/>
      <c r="ED149" s="256"/>
      <c r="EE149" s="256"/>
      <c r="EF149" s="256"/>
      <c r="EG149" s="256"/>
      <c r="EH149" s="256"/>
      <c r="EI149" s="256"/>
      <c r="EJ149" s="256"/>
      <c r="EK149" s="256"/>
      <c r="EL149" s="256"/>
      <c r="EM149" s="256"/>
      <c r="EN149" s="256"/>
      <c r="EO149" s="256"/>
      <c r="EP149" s="256"/>
      <c r="EQ149" s="256"/>
      <c r="ER149" s="256"/>
      <c r="ES149" s="256"/>
      <c r="ET149" s="256"/>
      <c r="EU149" s="256"/>
      <c r="EV149" s="256"/>
      <c r="EW149" s="256"/>
      <c r="EX149" s="256"/>
      <c r="EY149" s="256"/>
      <c r="EZ149" s="256"/>
      <c r="FA149" s="256"/>
      <c r="FB149" s="256"/>
      <c r="FC149" s="256"/>
      <c r="FD149" s="256"/>
      <c r="FE149" s="256"/>
      <c r="FF149" s="256"/>
      <c r="FG149" s="256"/>
      <c r="FH149" s="256"/>
      <c r="FI149" s="256"/>
      <c r="FJ149" s="256"/>
      <c r="FK149" s="256"/>
      <c r="FL149" s="256"/>
      <c r="FM149" s="256"/>
      <c r="FN149" s="256"/>
      <c r="FO149" s="256"/>
    </row>
    <row r="150" spans="1:171" s="31" customFormat="1" ht="19.5" customHeight="1">
      <c r="A150" s="260"/>
      <c r="B150" s="263"/>
      <c r="C150" s="262"/>
      <c r="D150" s="98"/>
      <c r="E150" s="98"/>
      <c r="F150" s="98"/>
      <c r="G150" s="98"/>
      <c r="H150" s="179"/>
      <c r="I150" s="179"/>
      <c r="J150" s="179"/>
      <c r="K150" s="179"/>
      <c r="L150" s="179"/>
      <c r="M150" s="179"/>
      <c r="N150" s="292"/>
      <c r="O150" s="179"/>
      <c r="P150" s="179"/>
      <c r="Q150" s="179"/>
      <c r="R150" s="179"/>
      <c r="S150" s="180"/>
      <c r="T150" s="180"/>
      <c r="U150" s="180"/>
      <c r="V150" s="180"/>
      <c r="W150" s="180"/>
      <c r="X150" s="180"/>
      <c r="Y150" s="180"/>
      <c r="Z150" s="180"/>
      <c r="AA150" s="179"/>
      <c r="AB150" s="292"/>
      <c r="AC150" s="180"/>
      <c r="AD150" s="179"/>
      <c r="AE150" s="179"/>
      <c r="AF150" s="179"/>
      <c r="AG150" s="179"/>
      <c r="AH150" s="179"/>
      <c r="AI150" s="179"/>
      <c r="AJ150" s="179"/>
      <c r="AK150" s="179"/>
      <c r="AL150" s="179"/>
      <c r="AM150" s="179"/>
      <c r="AN150" s="179"/>
      <c r="AO150" s="179"/>
      <c r="AP150" s="179"/>
      <c r="AQ150" s="179"/>
      <c r="AR150" s="179"/>
      <c r="AS150" s="179"/>
      <c r="AT150" s="292"/>
      <c r="AU150" s="179"/>
      <c r="AV150" s="179"/>
      <c r="AW150" s="179"/>
      <c r="AX150" s="179"/>
      <c r="AY150" s="179"/>
      <c r="AZ150" s="179"/>
      <c r="BA150" s="179"/>
      <c r="BB150" s="179"/>
      <c r="BC150" s="179"/>
      <c r="BD150" s="179"/>
      <c r="BE150" s="179"/>
      <c r="BF150" s="179"/>
      <c r="BG150" s="179"/>
      <c r="BH150" s="179"/>
      <c r="BI150" s="179"/>
      <c r="BJ150" s="179"/>
      <c r="BK150" s="179"/>
      <c r="BL150" s="179"/>
      <c r="BM150" s="179"/>
      <c r="BN150" s="179"/>
      <c r="BO150" s="179"/>
      <c r="BP150" s="179"/>
      <c r="BQ150" s="179"/>
      <c r="BR150" s="179"/>
      <c r="BS150" s="179"/>
      <c r="BT150" s="179"/>
      <c r="BU150" s="179"/>
      <c r="BV150" s="179"/>
      <c r="BW150" s="179"/>
      <c r="BX150" s="179"/>
      <c r="BY150" s="179"/>
      <c r="BZ150" s="179"/>
      <c r="CA150" s="179"/>
      <c r="CB150" s="179"/>
      <c r="CC150" s="179"/>
      <c r="CD150" s="95"/>
      <c r="CE150" s="181"/>
      <c r="CF150" s="273"/>
      <c r="CG150" s="256"/>
      <c r="CH150" s="256"/>
      <c r="CI150" s="256"/>
      <c r="CJ150" s="256"/>
      <c r="CK150" s="256"/>
      <c r="CL150" s="256"/>
      <c r="CM150" s="256"/>
      <c r="CN150" s="256"/>
      <c r="CO150" s="261"/>
      <c r="CP150" s="261"/>
      <c r="CQ150" s="261"/>
      <c r="CR150" s="261"/>
      <c r="CS150" s="261"/>
      <c r="CT150" s="261"/>
      <c r="CU150" s="261"/>
      <c r="CV150" s="261"/>
      <c r="CW150" s="261"/>
      <c r="CX150" s="261"/>
      <c r="CY150" s="261"/>
      <c r="CZ150" s="261"/>
      <c r="DA150" s="261"/>
      <c r="DB150" s="261"/>
      <c r="DC150" s="261"/>
      <c r="DD150" s="261"/>
      <c r="DE150" s="261"/>
      <c r="DF150" s="261"/>
      <c r="DG150" s="261"/>
      <c r="DH150" s="261"/>
      <c r="DI150" s="279"/>
      <c r="DJ150" s="279"/>
      <c r="DK150" s="261"/>
      <c r="DL150" s="261"/>
      <c r="DM150" s="261"/>
      <c r="DN150" s="261"/>
      <c r="DO150" s="261"/>
      <c r="DP150" s="261"/>
      <c r="DQ150" s="261"/>
      <c r="DR150" s="261"/>
      <c r="DS150" s="261"/>
      <c r="DT150" s="261"/>
      <c r="DU150" s="261"/>
      <c r="DV150" s="261"/>
      <c r="DW150" s="261"/>
      <c r="DX150" s="261"/>
      <c r="DY150" s="279"/>
      <c r="DZ150" s="256"/>
      <c r="EA150" s="256"/>
      <c r="EB150" s="256"/>
      <c r="EC150" s="256"/>
      <c r="ED150" s="256"/>
      <c r="EE150" s="256"/>
      <c r="EF150" s="256"/>
      <c r="EG150" s="256"/>
      <c r="EH150" s="256"/>
      <c r="EI150" s="256"/>
      <c r="EJ150" s="256"/>
      <c r="EK150" s="256"/>
      <c r="EL150" s="256"/>
      <c r="EM150" s="256"/>
      <c r="EN150" s="256"/>
      <c r="EO150" s="256"/>
      <c r="EP150" s="256"/>
      <c r="EQ150" s="256"/>
      <c r="ER150" s="256"/>
      <c r="ES150" s="256"/>
      <c r="ET150" s="256"/>
      <c r="EU150" s="256"/>
      <c r="EV150" s="256"/>
      <c r="EW150" s="256"/>
      <c r="EX150" s="256"/>
      <c r="EY150" s="256"/>
      <c r="EZ150" s="256"/>
      <c r="FA150" s="256"/>
      <c r="FB150" s="256"/>
      <c r="FC150" s="256"/>
      <c r="FD150" s="256"/>
      <c r="FE150" s="256"/>
      <c r="FF150" s="256"/>
      <c r="FG150" s="256"/>
      <c r="FH150" s="256"/>
      <c r="FI150" s="256"/>
      <c r="FJ150" s="256"/>
      <c r="FK150" s="256"/>
      <c r="FL150" s="256"/>
      <c r="FM150" s="256"/>
      <c r="FN150" s="256"/>
      <c r="FO150" s="256"/>
    </row>
    <row r="151" spans="1:171" s="31" customFormat="1" ht="19.5" customHeight="1">
      <c r="A151" s="260"/>
      <c r="B151" s="263"/>
      <c r="C151" s="262"/>
      <c r="D151" s="98"/>
      <c r="E151" s="98"/>
      <c r="F151" s="98"/>
      <c r="G151" s="98"/>
      <c r="H151" s="192"/>
      <c r="I151" s="179"/>
      <c r="J151" s="179"/>
      <c r="K151" s="179"/>
      <c r="L151" s="179"/>
      <c r="M151" s="179"/>
      <c r="N151" s="179"/>
      <c r="O151" s="179"/>
      <c r="P151" s="179"/>
      <c r="Q151" s="179"/>
      <c r="R151" s="179"/>
      <c r="S151" s="179"/>
      <c r="T151" s="179"/>
      <c r="U151" s="179"/>
      <c r="V151" s="193"/>
      <c r="W151" s="179"/>
      <c r="X151" s="179"/>
      <c r="Y151" s="179"/>
      <c r="Z151" s="179"/>
      <c r="AA151" s="179"/>
      <c r="AB151" s="179"/>
      <c r="AC151" s="179"/>
      <c r="AD151" s="179"/>
      <c r="AE151" s="179"/>
      <c r="AF151" s="179"/>
      <c r="AG151" s="179"/>
      <c r="AH151" s="179"/>
      <c r="AI151" s="179"/>
      <c r="AJ151" s="179"/>
      <c r="AK151" s="179"/>
      <c r="AL151" s="179"/>
      <c r="AM151" s="179"/>
      <c r="AN151" s="179"/>
      <c r="AO151" s="179"/>
      <c r="AP151" s="179"/>
      <c r="AQ151" s="179"/>
      <c r="AR151" s="179"/>
      <c r="AS151" s="179"/>
      <c r="AT151" s="179"/>
      <c r="AU151" s="179"/>
      <c r="AV151" s="179"/>
      <c r="AW151" s="179"/>
      <c r="AX151" s="179"/>
      <c r="AY151" s="179"/>
      <c r="AZ151" s="179"/>
      <c r="BA151" s="179"/>
      <c r="BB151" s="179"/>
      <c r="BC151" s="179"/>
      <c r="BD151" s="179"/>
      <c r="BE151" s="179"/>
      <c r="BF151" s="179"/>
      <c r="BG151" s="179"/>
      <c r="BH151" s="179"/>
      <c r="BI151" s="179"/>
      <c r="BJ151" s="179"/>
      <c r="BK151" s="179"/>
      <c r="BL151" s="179"/>
      <c r="BM151" s="179"/>
      <c r="BN151" s="179"/>
      <c r="BO151" s="179"/>
      <c r="BP151" s="179"/>
      <c r="BQ151" s="179"/>
      <c r="BR151" s="179"/>
      <c r="BS151" s="179"/>
      <c r="BT151" s="179"/>
      <c r="BU151" s="179"/>
      <c r="BV151" s="179"/>
      <c r="BW151" s="179"/>
      <c r="BX151" s="179"/>
      <c r="BY151" s="179"/>
      <c r="BZ151" s="179"/>
      <c r="CA151" s="179"/>
      <c r="CB151" s="179"/>
      <c r="CC151" s="179"/>
      <c r="CD151" s="95"/>
      <c r="CE151" s="181"/>
      <c r="CF151" s="273"/>
      <c r="CG151" s="256"/>
      <c r="CH151" s="256"/>
      <c r="CI151" s="256"/>
      <c r="CJ151" s="256"/>
      <c r="CK151" s="256"/>
      <c r="CL151" s="256"/>
      <c r="CM151" s="256"/>
      <c r="CN151" s="256"/>
      <c r="CO151" s="256"/>
      <c r="CP151" s="256"/>
      <c r="CQ151" s="256"/>
      <c r="CR151" s="256"/>
      <c r="CS151" s="256"/>
      <c r="CT151" s="256"/>
      <c r="CU151" s="256"/>
      <c r="CV151" s="256"/>
      <c r="CW151" s="256"/>
      <c r="CX151" s="256"/>
      <c r="CY151" s="256"/>
      <c r="CZ151" s="256"/>
      <c r="DA151" s="256"/>
      <c r="DB151" s="256"/>
      <c r="DC151" s="256"/>
      <c r="DD151" s="256"/>
      <c r="DE151" s="256"/>
      <c r="DF151" s="256"/>
      <c r="DG151" s="256"/>
      <c r="DH151" s="256"/>
      <c r="DI151" s="256"/>
      <c r="DJ151" s="256"/>
      <c r="DK151" s="256"/>
      <c r="DL151" s="256"/>
      <c r="DM151" s="256"/>
      <c r="DN151" s="256"/>
      <c r="DO151" s="256"/>
      <c r="DP151" s="256"/>
      <c r="DQ151" s="256"/>
      <c r="DR151" s="256"/>
      <c r="DS151" s="256"/>
      <c r="DT151" s="256"/>
      <c r="DU151" s="256"/>
      <c r="DV151" s="256"/>
      <c r="DW151" s="256"/>
      <c r="DX151" s="256"/>
      <c r="DY151" s="256"/>
      <c r="DZ151" s="256"/>
      <c r="EA151" s="256"/>
      <c r="EB151" s="256"/>
      <c r="EC151" s="256"/>
      <c r="ED151" s="256"/>
      <c r="EE151" s="256"/>
      <c r="EF151" s="256"/>
      <c r="EG151" s="256"/>
      <c r="EH151" s="256"/>
      <c r="EI151" s="256"/>
      <c r="EJ151" s="256"/>
      <c r="EK151" s="256"/>
      <c r="EL151" s="256"/>
      <c r="EM151" s="256"/>
      <c r="EN151" s="256"/>
      <c r="EO151" s="256"/>
      <c r="EP151" s="256"/>
      <c r="EQ151" s="256"/>
      <c r="ER151" s="256"/>
      <c r="ES151" s="256"/>
      <c r="ET151" s="256"/>
      <c r="EU151" s="256"/>
      <c r="EV151" s="256"/>
      <c r="EW151" s="256"/>
      <c r="EX151" s="256"/>
      <c r="EY151" s="256"/>
      <c r="EZ151" s="256"/>
      <c r="FA151" s="256"/>
      <c r="FB151" s="256"/>
      <c r="FC151" s="256"/>
      <c r="FD151" s="256"/>
      <c r="FE151" s="256"/>
      <c r="FF151" s="256"/>
      <c r="FG151" s="256"/>
      <c r="FH151" s="256"/>
      <c r="FI151" s="256"/>
      <c r="FJ151" s="256"/>
      <c r="FK151" s="256"/>
      <c r="FL151" s="256"/>
      <c r="FM151" s="256"/>
      <c r="FN151" s="256"/>
      <c r="FO151" s="256"/>
    </row>
    <row r="152" spans="1:171" s="31" customFormat="1" ht="19.5" customHeight="1">
      <c r="A152" s="260"/>
      <c r="B152" s="263"/>
      <c r="C152" s="263"/>
      <c r="D152" s="182"/>
      <c r="E152" s="89"/>
      <c r="F152" s="89"/>
      <c r="G152" s="89"/>
      <c r="H152" s="89"/>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127"/>
      <c r="AQ152" s="127"/>
      <c r="AR152" s="127"/>
      <c r="AS152" s="127"/>
      <c r="AT152" s="127"/>
      <c r="AU152" s="127"/>
      <c r="AV152" s="127"/>
      <c r="AW152" s="127"/>
      <c r="AX152" s="127"/>
      <c r="AY152" s="127"/>
      <c r="AZ152" s="127"/>
      <c r="BA152" s="127"/>
      <c r="BB152" s="127"/>
      <c r="BC152" s="127"/>
      <c r="BD152" s="127"/>
      <c r="BE152" s="127"/>
      <c r="BF152" s="127"/>
      <c r="BG152" s="127"/>
      <c r="BH152" s="127"/>
      <c r="BI152" s="127"/>
      <c r="BJ152" s="127"/>
      <c r="BK152" s="127"/>
      <c r="BL152" s="127"/>
      <c r="BM152" s="127"/>
      <c r="BN152" s="127"/>
      <c r="BO152" s="127"/>
      <c r="BP152" s="127"/>
      <c r="BQ152" s="127"/>
      <c r="BR152" s="127"/>
      <c r="BS152" s="127"/>
      <c r="BT152" s="127"/>
      <c r="BU152" s="127"/>
      <c r="BV152" s="127"/>
      <c r="BW152" s="127"/>
      <c r="BX152" s="127"/>
      <c r="BY152" s="127"/>
      <c r="BZ152" s="127"/>
      <c r="CA152" s="127"/>
      <c r="CB152" s="127"/>
      <c r="CC152" s="127"/>
      <c r="CD152" s="127"/>
      <c r="CE152" s="188"/>
      <c r="CF152" s="273"/>
      <c r="CG152" s="256"/>
      <c r="CH152" s="256"/>
      <c r="CI152" s="256"/>
      <c r="CJ152" s="256"/>
      <c r="CK152" s="256"/>
      <c r="CL152" s="256"/>
      <c r="CM152" s="256"/>
      <c r="CN152" s="256"/>
      <c r="CO152" s="256"/>
      <c r="CP152" s="256"/>
      <c r="CQ152" s="256"/>
      <c r="CR152" s="256"/>
      <c r="CS152" s="256"/>
      <c r="CT152" s="256"/>
      <c r="CU152" s="256"/>
      <c r="CV152" s="256"/>
      <c r="CW152" s="256"/>
      <c r="CX152" s="256"/>
      <c r="CY152" s="256"/>
      <c r="CZ152" s="256"/>
      <c r="DA152" s="256"/>
      <c r="DB152" s="256"/>
      <c r="DC152" s="256"/>
      <c r="DD152" s="256"/>
      <c r="DE152" s="256"/>
      <c r="DF152" s="256"/>
      <c r="DG152" s="256"/>
      <c r="DH152" s="256"/>
      <c r="DI152" s="256"/>
      <c r="DJ152" s="256"/>
      <c r="DK152" s="256"/>
      <c r="DL152" s="256"/>
      <c r="DM152" s="256"/>
      <c r="DN152" s="256"/>
      <c r="DO152" s="256"/>
      <c r="DP152" s="256"/>
      <c r="DQ152" s="256"/>
      <c r="DR152" s="256"/>
      <c r="DS152" s="256"/>
      <c r="DT152" s="256"/>
      <c r="DU152" s="256"/>
      <c r="DV152" s="256"/>
      <c r="DW152" s="256"/>
      <c r="DX152" s="256"/>
      <c r="DY152" s="256"/>
      <c r="DZ152" s="256"/>
      <c r="EA152" s="256"/>
      <c r="EB152" s="256"/>
      <c r="EC152" s="256"/>
      <c r="ED152" s="256"/>
      <c r="EE152" s="256"/>
      <c r="EF152" s="256"/>
      <c r="EG152" s="256"/>
      <c r="EH152" s="256"/>
      <c r="EI152" s="256"/>
      <c r="EJ152" s="256"/>
      <c r="EK152" s="256"/>
      <c r="EL152" s="256"/>
      <c r="EM152" s="256"/>
      <c r="EN152" s="256"/>
      <c r="EO152" s="256"/>
      <c r="EP152" s="256"/>
      <c r="EQ152" s="256"/>
      <c r="ER152" s="256"/>
      <c r="ES152" s="256"/>
      <c r="ET152" s="256"/>
      <c r="EU152" s="256"/>
      <c r="EV152" s="256"/>
      <c r="EW152" s="256"/>
      <c r="EX152" s="256"/>
      <c r="EY152" s="256"/>
      <c r="EZ152" s="256"/>
      <c r="FA152" s="256"/>
      <c r="FB152" s="256"/>
      <c r="FC152" s="256"/>
      <c r="FD152" s="256"/>
      <c r="FE152" s="256"/>
      <c r="FF152" s="256"/>
      <c r="FG152" s="256"/>
      <c r="FH152" s="256"/>
      <c r="FI152" s="256"/>
      <c r="FJ152" s="256"/>
      <c r="FK152" s="256"/>
      <c r="FL152" s="256"/>
      <c r="FM152" s="256"/>
      <c r="FN152" s="256"/>
      <c r="FO152" s="256"/>
    </row>
    <row r="153" spans="1:171" s="254" customFormat="1" ht="8.25" customHeight="1">
      <c r="A153" s="264"/>
      <c r="B153" s="265"/>
      <c r="C153" s="265"/>
      <c r="D153" s="258"/>
      <c r="E153" s="258"/>
      <c r="F153" s="258"/>
      <c r="G153" s="258"/>
      <c r="H153" s="258"/>
      <c r="I153" s="258"/>
      <c r="J153" s="258"/>
      <c r="K153" s="258"/>
      <c r="L153" s="258"/>
      <c r="M153" s="258"/>
      <c r="N153" s="265"/>
      <c r="O153" s="265"/>
      <c r="P153" s="265"/>
      <c r="Q153" s="265"/>
      <c r="R153" s="265"/>
      <c r="S153" s="265"/>
      <c r="T153" s="265"/>
      <c r="U153" s="265"/>
      <c r="V153" s="265"/>
      <c r="W153" s="265"/>
      <c r="X153" s="265"/>
      <c r="Y153" s="265"/>
      <c r="Z153" s="265"/>
      <c r="AA153" s="265"/>
      <c r="AB153" s="265"/>
      <c r="AC153" s="265"/>
      <c r="AD153" s="265"/>
      <c r="AE153" s="265"/>
      <c r="AF153" s="265"/>
      <c r="AG153" s="265"/>
      <c r="AH153" s="265"/>
      <c r="AI153" s="265"/>
      <c r="AJ153" s="265"/>
      <c r="AK153" s="265"/>
      <c r="AL153" s="265"/>
      <c r="AM153" s="265"/>
      <c r="AN153" s="265"/>
      <c r="AO153" s="265"/>
      <c r="AP153" s="265"/>
      <c r="AQ153" s="265"/>
      <c r="AR153" s="265"/>
      <c r="AS153" s="265"/>
      <c r="AT153" s="265"/>
      <c r="AU153" s="265"/>
      <c r="AV153" s="265"/>
      <c r="AW153" s="265"/>
      <c r="AX153" s="265"/>
      <c r="AY153" s="265"/>
      <c r="AZ153" s="265"/>
      <c r="BA153" s="265"/>
      <c r="BB153" s="265"/>
      <c r="BC153" s="265"/>
      <c r="BD153" s="265"/>
      <c r="BE153" s="265"/>
      <c r="BF153" s="265"/>
      <c r="BG153" s="265"/>
      <c r="BH153" s="265"/>
      <c r="BI153" s="265"/>
      <c r="BJ153" s="265"/>
      <c r="BK153" s="265"/>
      <c r="BL153" s="265"/>
      <c r="BM153" s="265"/>
      <c r="BN153" s="265"/>
      <c r="BO153" s="265"/>
      <c r="BP153" s="265"/>
      <c r="BQ153" s="265"/>
      <c r="BR153" s="265"/>
      <c r="BS153" s="265"/>
      <c r="BT153" s="265"/>
      <c r="BU153" s="265"/>
      <c r="BV153" s="265"/>
      <c r="BW153" s="265"/>
      <c r="BX153" s="265"/>
      <c r="BY153" s="265"/>
      <c r="BZ153" s="265"/>
      <c r="CA153" s="265"/>
      <c r="CB153" s="265"/>
      <c r="CC153" s="265"/>
      <c r="CD153" s="265"/>
      <c r="CE153" s="265"/>
      <c r="CF153" s="274"/>
    </row>
    <row r="154" spans="1:171" s="254" customFormat="1" ht="21.75" customHeight="1">
      <c r="A154" s="257"/>
      <c r="D154" s="282" t="s">
        <v>324</v>
      </c>
      <c r="E154" s="258"/>
      <c r="F154" s="258"/>
      <c r="G154" s="258"/>
      <c r="H154" s="258"/>
      <c r="I154" s="258"/>
      <c r="J154" s="258"/>
      <c r="K154" s="258"/>
      <c r="M154" s="282"/>
      <c r="Q154" s="282"/>
      <c r="AC154" s="282" t="s">
        <v>352</v>
      </c>
      <c r="CF154" s="259"/>
    </row>
    <row r="155" spans="1:171" s="31" customFormat="1" ht="19.5" customHeight="1">
      <c r="A155" s="260"/>
      <c r="B155" s="261"/>
      <c r="C155" s="262"/>
      <c r="D155" s="283"/>
      <c r="E155" s="284"/>
      <c r="F155" s="284"/>
      <c r="G155" s="284"/>
      <c r="H155" s="284"/>
      <c r="I155" s="284"/>
      <c r="J155" s="284"/>
      <c r="K155" s="284"/>
      <c r="L155" s="284"/>
      <c r="M155" s="421" t="s">
        <v>300</v>
      </c>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c r="AJ155" s="421"/>
      <c r="AK155" s="421"/>
      <c r="AL155" s="421"/>
      <c r="AM155" s="421"/>
      <c r="AN155" s="421"/>
      <c r="AO155" s="421"/>
      <c r="AP155" s="421"/>
      <c r="AQ155" s="421"/>
      <c r="AR155" s="421"/>
      <c r="AS155" s="421"/>
      <c r="AT155" s="421"/>
      <c r="AU155" s="421"/>
      <c r="AV155" s="421"/>
      <c r="AW155" s="421"/>
      <c r="AX155" s="421"/>
      <c r="AY155" s="421"/>
      <c r="AZ155" s="421"/>
      <c r="BA155" s="421"/>
      <c r="BB155" s="421"/>
      <c r="BC155" s="421"/>
      <c r="BD155" s="421"/>
      <c r="BE155" s="421"/>
      <c r="BF155" s="421"/>
      <c r="BG155" s="421"/>
      <c r="BH155" s="421"/>
      <c r="BI155" s="421"/>
      <c r="BJ155" s="421"/>
      <c r="BK155" s="421"/>
      <c r="BL155" s="421"/>
      <c r="BM155" s="421"/>
      <c r="BN155" s="421"/>
      <c r="BO155" s="421"/>
      <c r="BP155" s="421"/>
      <c r="BQ155" s="284"/>
      <c r="BR155" s="284"/>
      <c r="BS155" s="284"/>
      <c r="BT155" s="284"/>
      <c r="BU155" s="417" t="s">
        <v>289</v>
      </c>
      <c r="BV155" s="417"/>
      <c r="BW155" s="417"/>
      <c r="BX155" s="417"/>
      <c r="BY155" s="417"/>
      <c r="BZ155" s="417"/>
      <c r="CA155" s="417"/>
      <c r="CB155" s="417"/>
      <c r="CC155" s="417"/>
      <c r="CD155" s="417"/>
      <c r="CE155" s="418"/>
      <c r="CF155" s="273"/>
      <c r="CG155" s="256"/>
      <c r="CH155" s="256"/>
      <c r="CI155" s="256"/>
      <c r="CJ155" s="256"/>
      <c r="CK155" s="256"/>
      <c r="CL155" s="256"/>
      <c r="CM155" s="256"/>
      <c r="CN155" s="256"/>
      <c r="CO155" s="256"/>
      <c r="CP155" s="256"/>
      <c r="CQ155" s="256"/>
      <c r="CR155" s="256"/>
      <c r="CS155" s="256"/>
      <c r="CT155" s="256"/>
      <c r="CU155" s="256"/>
      <c r="CV155" s="256"/>
      <c r="CW155" s="256"/>
      <c r="CX155" s="256"/>
      <c r="CY155" s="256"/>
      <c r="CZ155" s="256"/>
      <c r="DA155" s="256"/>
      <c r="DB155" s="256"/>
      <c r="DC155" s="256"/>
      <c r="DD155" s="256"/>
      <c r="DE155" s="256"/>
      <c r="DF155" s="256"/>
      <c r="DG155" s="256"/>
      <c r="DH155" s="256"/>
      <c r="DI155" s="256"/>
      <c r="DJ155" s="256"/>
      <c r="DK155" s="256"/>
      <c r="DL155" s="256"/>
      <c r="DM155" s="256"/>
      <c r="DN155" s="256"/>
      <c r="DO155" s="256"/>
      <c r="DP155" s="256"/>
      <c r="DQ155" s="256"/>
      <c r="DR155" s="256"/>
      <c r="DS155" s="256"/>
      <c r="DT155" s="256"/>
      <c r="DU155" s="256"/>
      <c r="DV155" s="256"/>
      <c r="DW155" s="256"/>
      <c r="DX155" s="256"/>
      <c r="DY155" s="256"/>
      <c r="DZ155" s="256"/>
      <c r="EA155" s="256"/>
      <c r="EB155" s="256"/>
      <c r="EC155" s="256"/>
      <c r="ED155" s="256"/>
      <c r="EE155" s="256"/>
      <c r="EF155" s="256"/>
      <c r="EG155" s="256"/>
      <c r="EH155" s="256"/>
      <c r="EI155" s="256"/>
      <c r="EJ155" s="256"/>
      <c r="EK155" s="256"/>
      <c r="EL155" s="256"/>
      <c r="EM155" s="256"/>
      <c r="EN155" s="256"/>
      <c r="EO155" s="256"/>
      <c r="EP155" s="256"/>
      <c r="EQ155" s="256"/>
      <c r="ER155" s="256"/>
      <c r="ES155" s="256"/>
      <c r="ET155" s="256"/>
      <c r="EU155" s="256"/>
      <c r="EV155" s="256"/>
      <c r="EW155" s="256"/>
      <c r="EX155" s="256"/>
      <c r="EY155" s="256"/>
      <c r="EZ155" s="256"/>
      <c r="FA155" s="256"/>
      <c r="FB155" s="256"/>
      <c r="FC155" s="256"/>
      <c r="FD155" s="256"/>
      <c r="FE155" s="256"/>
      <c r="FF155" s="256"/>
      <c r="FG155" s="256"/>
      <c r="FH155" s="256"/>
      <c r="FI155" s="256"/>
      <c r="FJ155" s="256"/>
      <c r="FK155" s="256"/>
      <c r="FL155" s="256"/>
      <c r="FM155" s="256"/>
      <c r="FN155" s="256"/>
      <c r="FO155" s="256"/>
    </row>
    <row r="156" spans="1:171" s="31" customFormat="1" ht="19.5" customHeight="1" thickBot="1">
      <c r="A156" s="260"/>
      <c r="B156" s="263"/>
      <c r="C156" s="262"/>
      <c r="D156" s="286"/>
      <c r="E156" s="286"/>
      <c r="F156" s="286"/>
      <c r="G156" s="286"/>
      <c r="H156" s="286"/>
      <c r="I156" s="286"/>
      <c r="J156" s="286"/>
      <c r="K156" s="286"/>
      <c r="L156" s="286"/>
      <c r="M156" s="422"/>
      <c r="N156" s="422"/>
      <c r="O156" s="422"/>
      <c r="P156" s="422"/>
      <c r="Q156" s="422"/>
      <c r="R156" s="422"/>
      <c r="S156" s="422"/>
      <c r="T156" s="422"/>
      <c r="U156" s="422"/>
      <c r="V156" s="422"/>
      <c r="W156" s="422"/>
      <c r="X156" s="422"/>
      <c r="Y156" s="422"/>
      <c r="Z156" s="422"/>
      <c r="AA156" s="422"/>
      <c r="AB156" s="422"/>
      <c r="AC156" s="422"/>
      <c r="AD156" s="422"/>
      <c r="AE156" s="422"/>
      <c r="AF156" s="422"/>
      <c r="AG156" s="422"/>
      <c r="AH156" s="422"/>
      <c r="AI156" s="422"/>
      <c r="AJ156" s="422"/>
      <c r="AK156" s="422"/>
      <c r="AL156" s="422"/>
      <c r="AM156" s="422"/>
      <c r="AN156" s="422"/>
      <c r="AO156" s="422"/>
      <c r="AP156" s="422"/>
      <c r="AQ156" s="422"/>
      <c r="AR156" s="422"/>
      <c r="AS156" s="422"/>
      <c r="AT156" s="422"/>
      <c r="AU156" s="422"/>
      <c r="AV156" s="422"/>
      <c r="AW156" s="422"/>
      <c r="AX156" s="422"/>
      <c r="AY156" s="422"/>
      <c r="AZ156" s="422"/>
      <c r="BA156" s="422"/>
      <c r="BB156" s="422"/>
      <c r="BC156" s="422"/>
      <c r="BD156" s="422"/>
      <c r="BE156" s="422"/>
      <c r="BF156" s="422"/>
      <c r="BG156" s="422"/>
      <c r="BH156" s="422"/>
      <c r="BI156" s="422"/>
      <c r="BJ156" s="422"/>
      <c r="BK156" s="422"/>
      <c r="BL156" s="422"/>
      <c r="BM156" s="422"/>
      <c r="BN156" s="422"/>
      <c r="BO156" s="422"/>
      <c r="BP156" s="422"/>
      <c r="BQ156" s="286"/>
      <c r="BR156" s="286"/>
      <c r="BS156" s="286"/>
      <c r="BT156" s="286"/>
      <c r="BU156" s="419"/>
      <c r="BV156" s="419"/>
      <c r="BW156" s="419"/>
      <c r="BX156" s="419"/>
      <c r="BY156" s="419"/>
      <c r="BZ156" s="419"/>
      <c r="CA156" s="419"/>
      <c r="CB156" s="419"/>
      <c r="CC156" s="419"/>
      <c r="CD156" s="419"/>
      <c r="CE156" s="420"/>
      <c r="CF156" s="273"/>
      <c r="CG156" s="256"/>
      <c r="CH156" s="256"/>
      <c r="CI156" s="256"/>
      <c r="CJ156" s="256"/>
      <c r="CK156" s="256"/>
      <c r="CL156" s="256"/>
      <c r="CM156" s="256"/>
      <c r="CN156" s="256"/>
      <c r="CO156" s="256"/>
      <c r="CP156" s="256"/>
      <c r="CQ156" s="256"/>
      <c r="CR156" s="256"/>
      <c r="CS156" s="256"/>
      <c r="CT156" s="256"/>
      <c r="CU156" s="256"/>
      <c r="CV156" s="256"/>
      <c r="CW156" s="256"/>
      <c r="CX156" s="256"/>
      <c r="CY156" s="256"/>
      <c r="CZ156" s="256"/>
      <c r="DA156" s="256"/>
      <c r="DB156" s="256"/>
      <c r="DC156" s="256"/>
      <c r="DD156" s="256"/>
      <c r="DE156" s="256"/>
      <c r="DF156" s="256"/>
      <c r="DG156" s="256"/>
      <c r="DH156" s="256"/>
      <c r="DI156" s="256"/>
      <c r="DJ156" s="256"/>
      <c r="DK156" s="256"/>
      <c r="DL156" s="256"/>
      <c r="DM156" s="256"/>
      <c r="DN156" s="256"/>
      <c r="DO156" s="256"/>
      <c r="DP156" s="256"/>
      <c r="DQ156" s="256"/>
      <c r="DR156" s="256"/>
      <c r="DS156" s="256"/>
      <c r="DT156" s="256"/>
      <c r="DU156" s="256"/>
      <c r="DV156" s="256"/>
      <c r="DW156" s="256"/>
      <c r="DX156" s="256"/>
      <c r="DY156" s="256"/>
      <c r="DZ156" s="256"/>
      <c r="EA156" s="256"/>
      <c r="EB156" s="256"/>
      <c r="EC156" s="256"/>
      <c r="ED156" s="256"/>
      <c r="EE156" s="256"/>
      <c r="EF156" s="256"/>
      <c r="EG156" s="256"/>
      <c r="EH156" s="256"/>
      <c r="EI156" s="256"/>
      <c r="EJ156" s="256"/>
      <c r="EK156" s="256"/>
      <c r="EL156" s="256"/>
      <c r="EM156" s="256"/>
      <c r="EN156" s="256"/>
      <c r="EO156" s="256"/>
      <c r="EP156" s="256"/>
      <c r="EQ156" s="256"/>
      <c r="ER156" s="256"/>
      <c r="ES156" s="256"/>
      <c r="ET156" s="256"/>
      <c r="EU156" s="256"/>
      <c r="EV156" s="256"/>
      <c r="EW156" s="256"/>
      <c r="EX156" s="256"/>
      <c r="EY156" s="256"/>
      <c r="EZ156" s="256"/>
      <c r="FA156" s="256"/>
      <c r="FB156" s="256"/>
      <c r="FC156" s="256"/>
      <c r="FD156" s="256"/>
      <c r="FE156" s="256"/>
      <c r="FF156" s="256"/>
      <c r="FG156" s="256"/>
      <c r="FH156" s="256"/>
      <c r="FI156" s="256"/>
      <c r="FJ156" s="256"/>
      <c r="FK156" s="256"/>
      <c r="FL156" s="256"/>
      <c r="FM156" s="256"/>
      <c r="FN156" s="256"/>
      <c r="FO156" s="256"/>
    </row>
    <row r="157" spans="1:171" s="31" customFormat="1" ht="19.5" customHeight="1" thickTop="1">
      <c r="A157" s="260"/>
      <c r="B157" s="263"/>
      <c r="C157" s="262"/>
      <c r="D157" s="86"/>
      <c r="E157" s="86"/>
      <c r="F157" s="86"/>
      <c r="G157" s="86"/>
      <c r="H157" s="179" t="s">
        <v>303</v>
      </c>
      <c r="I157" s="179"/>
      <c r="J157" s="179"/>
      <c r="K157" s="179"/>
      <c r="L157" s="179"/>
      <c r="M157" s="179" t="s">
        <v>31</v>
      </c>
      <c r="N157" s="179"/>
      <c r="O157" s="129" t="s">
        <v>313</v>
      </c>
      <c r="P157" s="129"/>
      <c r="Q157" s="129"/>
      <c r="R157" s="129"/>
      <c r="S157" s="179"/>
      <c r="T157" s="179"/>
      <c r="U157" s="179"/>
      <c r="V157" s="179"/>
      <c r="W157" s="179"/>
      <c r="X157" s="179"/>
      <c r="Y157" s="179"/>
      <c r="Z157" s="179"/>
      <c r="AA157" s="179"/>
      <c r="AB157" s="179"/>
      <c r="AC157" s="179"/>
      <c r="AD157" s="179"/>
      <c r="AE157" s="179"/>
      <c r="AF157" s="179"/>
      <c r="AG157" s="179"/>
      <c r="AH157" s="179"/>
      <c r="AI157" s="179"/>
      <c r="AJ157" s="179"/>
      <c r="AK157" s="179"/>
      <c r="AL157" s="179"/>
      <c r="AM157" s="179"/>
      <c r="AN157" s="179"/>
      <c r="AO157" s="179"/>
      <c r="AP157" s="179"/>
      <c r="AQ157" s="179"/>
      <c r="AR157" s="179"/>
      <c r="AS157" s="179"/>
      <c r="AT157" s="179"/>
      <c r="AU157" s="179"/>
      <c r="AV157" s="179"/>
      <c r="AW157" s="180"/>
      <c r="AX157" s="180"/>
      <c r="AY157" s="179"/>
      <c r="AZ157" s="179"/>
      <c r="BA157" s="179"/>
      <c r="BB157" s="179"/>
      <c r="BC157" s="179"/>
      <c r="BD157" s="179"/>
      <c r="BE157" s="179"/>
      <c r="BF157" s="179"/>
      <c r="BG157" s="179"/>
      <c r="BH157" s="179"/>
      <c r="BI157" s="179"/>
      <c r="BJ157" s="179"/>
      <c r="BK157" s="179"/>
      <c r="BL157" s="179"/>
      <c r="BM157" s="179"/>
      <c r="BN157" s="179"/>
      <c r="BO157" s="179"/>
      <c r="BP157" s="179"/>
      <c r="BQ157" s="179"/>
      <c r="BR157" s="179"/>
      <c r="BS157" s="179"/>
      <c r="BT157" s="179"/>
      <c r="BU157" s="179"/>
      <c r="BV157" s="179"/>
      <c r="BW157" s="179"/>
      <c r="BX157" s="179"/>
      <c r="BY157" s="179"/>
      <c r="BZ157" s="179"/>
      <c r="CA157" s="179"/>
      <c r="CB157" s="179"/>
      <c r="CC157" s="95"/>
      <c r="CD157" s="95"/>
      <c r="CE157" s="181"/>
      <c r="CF157" s="273"/>
      <c r="CG157" s="256"/>
      <c r="CH157" s="256"/>
      <c r="CI157" s="256"/>
      <c r="CJ157" s="256"/>
      <c r="CK157" s="256"/>
      <c r="CL157" s="256"/>
      <c r="CM157" s="256"/>
      <c r="CN157" s="256"/>
      <c r="CO157" s="256"/>
      <c r="CP157" s="256"/>
      <c r="CQ157" s="256"/>
      <c r="CR157" s="256"/>
      <c r="CS157" s="256"/>
      <c r="CT157" s="256"/>
      <c r="CU157" s="256"/>
      <c r="CV157" s="256"/>
      <c r="CW157" s="256"/>
      <c r="CX157" s="256"/>
      <c r="CY157" s="256"/>
      <c r="CZ157" s="256"/>
      <c r="DA157" s="256"/>
      <c r="DB157" s="256"/>
      <c r="DC157" s="256"/>
      <c r="DD157" s="256"/>
      <c r="DE157" s="256"/>
      <c r="DF157" s="256"/>
      <c r="DG157" s="256"/>
      <c r="DH157" s="256"/>
      <c r="DI157" s="256"/>
      <c r="DJ157" s="256"/>
      <c r="DK157" s="256"/>
      <c r="DL157" s="256"/>
      <c r="DM157" s="256"/>
      <c r="DN157" s="256"/>
      <c r="DO157" s="256"/>
      <c r="DP157" s="256"/>
      <c r="DQ157" s="256"/>
      <c r="DR157" s="256"/>
      <c r="DS157" s="256"/>
      <c r="DT157" s="256"/>
      <c r="DU157" s="256"/>
      <c r="DV157" s="256"/>
      <c r="DW157" s="256"/>
      <c r="DX157" s="256"/>
      <c r="DY157" s="256"/>
      <c r="DZ157" s="256"/>
      <c r="EA157" s="256"/>
      <c r="EB157" s="256"/>
      <c r="EC157" s="256"/>
      <c r="ED157" s="256"/>
      <c r="EE157" s="256"/>
      <c r="EF157" s="256"/>
      <c r="EG157" s="256"/>
      <c r="EH157" s="256"/>
      <c r="EI157" s="256"/>
      <c r="EJ157" s="256"/>
      <c r="EK157" s="256"/>
      <c r="EL157" s="256"/>
      <c r="EM157" s="256"/>
      <c r="EN157" s="256"/>
      <c r="EO157" s="256"/>
      <c r="EP157" s="256"/>
      <c r="EQ157" s="256"/>
      <c r="ER157" s="256"/>
      <c r="ES157" s="256"/>
      <c r="ET157" s="256"/>
      <c r="EU157" s="256"/>
      <c r="EV157" s="256"/>
      <c r="EW157" s="256"/>
      <c r="EX157" s="256"/>
      <c r="EY157" s="256"/>
      <c r="EZ157" s="256"/>
      <c r="FA157" s="256"/>
      <c r="FB157" s="256"/>
      <c r="FC157" s="256"/>
      <c r="FD157" s="256"/>
      <c r="FE157" s="256"/>
      <c r="FF157" s="256"/>
      <c r="FG157" s="256"/>
      <c r="FH157" s="256"/>
      <c r="FI157" s="256"/>
      <c r="FJ157" s="256"/>
      <c r="FK157" s="256"/>
      <c r="FL157" s="256"/>
      <c r="FM157" s="256"/>
      <c r="FN157" s="256"/>
      <c r="FO157" s="256"/>
    </row>
    <row r="158" spans="1:171" s="31" customFormat="1" ht="19.5" customHeight="1">
      <c r="A158" s="260"/>
      <c r="B158" s="263"/>
      <c r="C158" s="262"/>
      <c r="D158" s="98"/>
      <c r="E158" s="98"/>
      <c r="F158" s="98"/>
      <c r="G158" s="98"/>
      <c r="H158" s="411" t="s">
        <v>319</v>
      </c>
      <c r="I158" s="412"/>
      <c r="J158" s="412"/>
      <c r="K158" s="412"/>
      <c r="L158" s="412"/>
      <c r="M158" s="412"/>
      <c r="N158" s="412"/>
      <c r="O158" s="412"/>
      <c r="P158" s="412"/>
      <c r="Q158" s="412"/>
      <c r="R158" s="412"/>
      <c r="S158" s="412"/>
      <c r="T158" s="412"/>
      <c r="U158" s="412"/>
      <c r="V158" s="412"/>
      <c r="W158" s="412"/>
      <c r="X158" s="412"/>
      <c r="Y158" s="412"/>
      <c r="Z158" s="412"/>
      <c r="AA158" s="412"/>
      <c r="AB158" s="412"/>
      <c r="AC158" s="412"/>
      <c r="AD158" s="412"/>
      <c r="AE158" s="412"/>
      <c r="AF158" s="412"/>
      <c r="AG158" s="412"/>
      <c r="AH158" s="412"/>
      <c r="AI158" s="412"/>
      <c r="AJ158" s="412"/>
      <c r="AK158" s="412"/>
      <c r="AL158" s="412"/>
      <c r="AM158" s="412"/>
      <c r="AN158" s="412"/>
      <c r="AO158" s="412"/>
      <c r="AP158" s="412"/>
      <c r="AQ158" s="412"/>
      <c r="AR158" s="412"/>
      <c r="AS158" s="412"/>
      <c r="AT158" s="412"/>
      <c r="AU158" s="412"/>
      <c r="AV158" s="412"/>
      <c r="AW158" s="412"/>
      <c r="AX158" s="412"/>
      <c r="AY158" s="412"/>
      <c r="AZ158" s="412"/>
      <c r="BA158" s="412"/>
      <c r="BB158" s="412"/>
      <c r="BC158" s="412"/>
      <c r="BD158" s="412"/>
      <c r="BE158" s="412"/>
      <c r="BF158" s="412"/>
      <c r="BG158" s="412"/>
      <c r="BH158" s="412"/>
      <c r="BI158" s="412"/>
      <c r="BJ158" s="412"/>
      <c r="BK158" s="412"/>
      <c r="BL158" s="412"/>
      <c r="BM158" s="412"/>
      <c r="BN158" s="412"/>
      <c r="BO158" s="412"/>
      <c r="BP158" s="412"/>
      <c r="BQ158" s="412"/>
      <c r="BR158" s="412"/>
      <c r="BS158" s="412"/>
      <c r="BT158" s="412"/>
      <c r="BU158" s="412"/>
      <c r="BV158" s="412"/>
      <c r="BW158" s="412"/>
      <c r="BX158" s="412"/>
      <c r="BY158" s="412"/>
      <c r="BZ158" s="412"/>
      <c r="CA158" s="412"/>
      <c r="CB158" s="413"/>
      <c r="CC158" s="95"/>
      <c r="CD158" s="95"/>
      <c r="CE158" s="186"/>
      <c r="CF158" s="273"/>
      <c r="CG158" s="256"/>
      <c r="CH158" s="256"/>
      <c r="CI158" s="256"/>
      <c r="CJ158" s="256"/>
      <c r="CK158" s="256"/>
      <c r="CL158" s="256"/>
      <c r="CM158" s="256"/>
      <c r="CN158" s="256"/>
      <c r="CO158" s="256"/>
      <c r="CP158" s="256"/>
      <c r="CQ158" s="256"/>
      <c r="CR158" s="256"/>
      <c r="CS158" s="256"/>
      <c r="CT158" s="256"/>
      <c r="CU158" s="256"/>
      <c r="CV158" s="256"/>
      <c r="CW158" s="256"/>
      <c r="CX158" s="256"/>
      <c r="CY158" s="256"/>
      <c r="CZ158" s="256"/>
      <c r="DA158" s="256"/>
      <c r="DB158" s="256"/>
      <c r="DC158" s="256"/>
      <c r="DD158" s="256"/>
      <c r="DE158" s="256"/>
      <c r="DF158" s="256"/>
      <c r="DG158" s="256"/>
      <c r="DH158" s="256"/>
      <c r="DI158" s="256"/>
      <c r="DJ158" s="256"/>
      <c r="DK158" s="256"/>
      <c r="DL158" s="256"/>
      <c r="DM158" s="256"/>
      <c r="DN158" s="256"/>
      <c r="DO158" s="256"/>
      <c r="DP158" s="256"/>
      <c r="DQ158" s="256"/>
      <c r="DR158" s="256"/>
      <c r="DS158" s="256"/>
      <c r="DT158" s="256"/>
      <c r="DU158" s="256"/>
      <c r="DV158" s="256"/>
      <c r="DW158" s="256"/>
      <c r="DX158" s="256"/>
      <c r="DY158" s="256"/>
      <c r="DZ158" s="256"/>
      <c r="EA158" s="256"/>
      <c r="EB158" s="256"/>
      <c r="EC158" s="256"/>
      <c r="ED158" s="256"/>
      <c r="EE158" s="256"/>
      <c r="EF158" s="256"/>
      <c r="EG158" s="256"/>
      <c r="EH158" s="256"/>
      <c r="EI158" s="256"/>
      <c r="EJ158" s="256"/>
      <c r="EK158" s="256"/>
      <c r="EL158" s="256"/>
      <c r="EM158" s="256"/>
      <c r="EN158" s="256"/>
      <c r="EO158" s="256"/>
      <c r="EP158" s="256"/>
      <c r="EQ158" s="256"/>
      <c r="ER158" s="256"/>
      <c r="ES158" s="256"/>
      <c r="ET158" s="256"/>
      <c r="EU158" s="256"/>
      <c r="EV158" s="256"/>
      <c r="EW158" s="256"/>
      <c r="EX158" s="256"/>
      <c r="EY158" s="256"/>
      <c r="EZ158" s="256"/>
      <c r="FA158" s="256"/>
      <c r="FB158" s="256"/>
      <c r="FC158" s="256"/>
      <c r="FD158" s="256"/>
      <c r="FE158" s="256"/>
      <c r="FF158" s="256"/>
      <c r="FG158" s="256"/>
      <c r="FH158" s="256"/>
      <c r="FI158" s="256"/>
      <c r="FJ158" s="256"/>
      <c r="FK158" s="256"/>
      <c r="FL158" s="256"/>
      <c r="FM158" s="256"/>
      <c r="FN158" s="256"/>
      <c r="FO158" s="256"/>
    </row>
    <row r="159" spans="1:171" s="31" customFormat="1" ht="19.5" customHeight="1">
      <c r="A159" s="260"/>
      <c r="B159" s="263"/>
      <c r="C159" s="262"/>
      <c r="D159" s="98"/>
      <c r="E159" s="98"/>
      <c r="F159" s="98"/>
      <c r="G159" s="98"/>
      <c r="H159" s="414"/>
      <c r="I159" s="415"/>
      <c r="J159" s="415"/>
      <c r="K159" s="415"/>
      <c r="L159" s="415"/>
      <c r="M159" s="415"/>
      <c r="N159" s="415"/>
      <c r="O159" s="415"/>
      <c r="P159" s="415"/>
      <c r="Q159" s="415"/>
      <c r="R159" s="415"/>
      <c r="S159" s="415"/>
      <c r="T159" s="415"/>
      <c r="U159" s="415"/>
      <c r="V159" s="415"/>
      <c r="W159" s="415"/>
      <c r="X159" s="415"/>
      <c r="Y159" s="415"/>
      <c r="Z159" s="415"/>
      <c r="AA159" s="415"/>
      <c r="AB159" s="415"/>
      <c r="AC159" s="415"/>
      <c r="AD159" s="415"/>
      <c r="AE159" s="415"/>
      <c r="AF159" s="415"/>
      <c r="AG159" s="415"/>
      <c r="AH159" s="415"/>
      <c r="AI159" s="415"/>
      <c r="AJ159" s="415"/>
      <c r="AK159" s="415"/>
      <c r="AL159" s="415"/>
      <c r="AM159" s="415"/>
      <c r="AN159" s="415"/>
      <c r="AO159" s="415"/>
      <c r="AP159" s="415"/>
      <c r="AQ159" s="415"/>
      <c r="AR159" s="415"/>
      <c r="AS159" s="415"/>
      <c r="AT159" s="415"/>
      <c r="AU159" s="415"/>
      <c r="AV159" s="415"/>
      <c r="AW159" s="415"/>
      <c r="AX159" s="415"/>
      <c r="AY159" s="415"/>
      <c r="AZ159" s="415"/>
      <c r="BA159" s="415"/>
      <c r="BB159" s="415"/>
      <c r="BC159" s="415"/>
      <c r="BD159" s="415"/>
      <c r="BE159" s="415"/>
      <c r="BF159" s="415"/>
      <c r="BG159" s="415"/>
      <c r="BH159" s="415"/>
      <c r="BI159" s="415"/>
      <c r="BJ159" s="415"/>
      <c r="BK159" s="415"/>
      <c r="BL159" s="415"/>
      <c r="BM159" s="415"/>
      <c r="BN159" s="415"/>
      <c r="BO159" s="415"/>
      <c r="BP159" s="415"/>
      <c r="BQ159" s="415"/>
      <c r="BR159" s="415"/>
      <c r="BS159" s="415"/>
      <c r="BT159" s="415"/>
      <c r="BU159" s="415"/>
      <c r="BV159" s="415"/>
      <c r="BW159" s="415"/>
      <c r="BX159" s="415"/>
      <c r="BY159" s="415"/>
      <c r="BZ159" s="415"/>
      <c r="CA159" s="415"/>
      <c r="CB159" s="416"/>
      <c r="CC159" s="95"/>
      <c r="CD159" s="95"/>
      <c r="CE159" s="186"/>
      <c r="CF159" s="273"/>
      <c r="CG159" s="256"/>
      <c r="CH159" s="256"/>
      <c r="CI159" s="256"/>
      <c r="CJ159" s="256"/>
      <c r="CK159" s="256"/>
      <c r="CL159" s="256"/>
      <c r="CM159" s="256"/>
      <c r="CN159" s="256"/>
      <c r="CO159" s="256"/>
      <c r="CP159" s="256"/>
      <c r="CQ159" s="256"/>
      <c r="CR159" s="256"/>
      <c r="CS159" s="256"/>
      <c r="CT159" s="256"/>
      <c r="CU159" s="256"/>
      <c r="CV159" s="256"/>
      <c r="CW159" s="256"/>
      <c r="CX159" s="256"/>
      <c r="CY159" s="256"/>
      <c r="CZ159" s="256"/>
      <c r="DA159" s="256"/>
      <c r="DB159" s="256"/>
      <c r="DC159" s="256"/>
      <c r="DD159" s="256"/>
      <c r="DE159" s="256"/>
      <c r="DF159" s="256"/>
      <c r="DG159" s="256"/>
      <c r="DH159" s="256"/>
      <c r="DI159" s="256"/>
      <c r="DJ159" s="256"/>
      <c r="DK159" s="256"/>
      <c r="DL159" s="256"/>
      <c r="DM159" s="256"/>
      <c r="DN159" s="256"/>
      <c r="DO159" s="256"/>
      <c r="DP159" s="256"/>
      <c r="DQ159" s="256"/>
      <c r="DR159" s="256"/>
      <c r="DS159" s="256"/>
      <c r="DT159" s="256"/>
      <c r="DU159" s="256"/>
      <c r="DV159" s="256"/>
      <c r="DW159" s="256"/>
      <c r="DX159" s="256"/>
      <c r="DY159" s="256"/>
      <c r="DZ159" s="256"/>
      <c r="EA159" s="256"/>
      <c r="EB159" s="256"/>
      <c r="EC159" s="256"/>
      <c r="ED159" s="256"/>
      <c r="EE159" s="256"/>
      <c r="EF159" s="256"/>
      <c r="EG159" s="256"/>
      <c r="EH159" s="256"/>
      <c r="EI159" s="256"/>
      <c r="EJ159" s="256"/>
      <c r="EK159" s="256"/>
      <c r="EL159" s="256"/>
      <c r="EM159" s="256"/>
      <c r="EN159" s="256"/>
      <c r="EO159" s="256"/>
      <c r="EP159" s="256"/>
      <c r="EQ159" s="256"/>
      <c r="ER159" s="256"/>
      <c r="ES159" s="256"/>
      <c r="ET159" s="256"/>
      <c r="EU159" s="256"/>
      <c r="EV159" s="256"/>
      <c r="EW159" s="256"/>
      <c r="EX159" s="256"/>
      <c r="EY159" s="256"/>
      <c r="EZ159" s="256"/>
      <c r="FA159" s="256"/>
      <c r="FB159" s="256"/>
      <c r="FC159" s="256"/>
      <c r="FD159" s="256"/>
      <c r="FE159" s="256"/>
      <c r="FF159" s="256"/>
      <c r="FG159" s="256"/>
      <c r="FH159" s="256"/>
      <c r="FI159" s="256"/>
      <c r="FJ159" s="256"/>
      <c r="FK159" s="256"/>
      <c r="FL159" s="256"/>
      <c r="FM159" s="256"/>
      <c r="FN159" s="256"/>
      <c r="FO159" s="256"/>
    </row>
    <row r="160" spans="1:171" s="31" customFormat="1" ht="19.5" customHeight="1">
      <c r="A160" s="260"/>
      <c r="B160" s="263"/>
      <c r="C160" s="262"/>
      <c r="D160" s="98"/>
      <c r="E160" s="98"/>
      <c r="F160" s="98"/>
      <c r="G160" s="98"/>
      <c r="H160" s="183"/>
      <c r="I160" s="183"/>
      <c r="J160" s="183"/>
      <c r="K160" s="183"/>
      <c r="L160" s="183"/>
      <c r="M160" s="183"/>
      <c r="N160" s="184"/>
      <c r="O160" s="184"/>
      <c r="P160" s="184"/>
      <c r="Q160" s="184"/>
      <c r="R160" s="184"/>
      <c r="S160" s="184"/>
      <c r="T160" s="184"/>
      <c r="U160" s="184"/>
      <c r="V160" s="184"/>
      <c r="W160" s="184"/>
      <c r="X160" s="184"/>
      <c r="Y160" s="184"/>
      <c r="Z160" s="184"/>
      <c r="AA160" s="184"/>
      <c r="AB160" s="184"/>
      <c r="AC160" s="184"/>
      <c r="AD160" s="184"/>
      <c r="AE160" s="184"/>
      <c r="AF160" s="184"/>
      <c r="AG160" s="184"/>
      <c r="AH160" s="184"/>
      <c r="AI160" s="184"/>
      <c r="AJ160" s="184"/>
      <c r="AK160" s="184"/>
      <c r="AL160" s="184"/>
      <c r="AM160" s="184"/>
      <c r="AN160" s="184"/>
      <c r="AO160" s="184"/>
      <c r="AP160" s="184"/>
      <c r="AQ160" s="184"/>
      <c r="AR160" s="184"/>
      <c r="AS160" s="184"/>
      <c r="AT160" s="184"/>
      <c r="AU160" s="184"/>
      <c r="AV160" s="184"/>
      <c r="AW160" s="184"/>
      <c r="AX160" s="184"/>
      <c r="AY160" s="184"/>
      <c r="AZ160" s="184"/>
      <c r="BA160" s="184"/>
      <c r="BB160" s="184"/>
      <c r="BC160" s="184"/>
      <c r="BD160" s="184"/>
      <c r="BE160" s="184"/>
      <c r="BF160" s="184"/>
      <c r="BG160" s="184"/>
      <c r="BH160" s="184"/>
      <c r="BI160" s="184"/>
      <c r="BJ160" s="184"/>
      <c r="BK160" s="184"/>
      <c r="BL160" s="184"/>
      <c r="BM160" s="183"/>
      <c r="BN160" s="183"/>
      <c r="BO160" s="184"/>
      <c r="BP160" s="184"/>
      <c r="BQ160" s="184"/>
      <c r="BR160" s="184"/>
      <c r="BS160" s="184"/>
      <c r="BT160" s="184"/>
      <c r="BU160" s="184"/>
      <c r="BV160" s="184"/>
      <c r="BW160" s="184"/>
      <c r="BX160" s="179"/>
      <c r="BY160" s="179"/>
      <c r="BZ160" s="179"/>
      <c r="CA160" s="179"/>
      <c r="CB160" s="179"/>
      <c r="CC160" s="95"/>
      <c r="CD160" s="95"/>
      <c r="CE160" s="181"/>
      <c r="CF160" s="273"/>
      <c r="CG160" s="256"/>
      <c r="CH160" s="256"/>
      <c r="CI160" s="256"/>
      <c r="CJ160" s="256"/>
      <c r="CK160" s="256"/>
      <c r="CL160" s="256"/>
      <c r="CM160" s="256"/>
      <c r="CN160" s="256"/>
      <c r="CO160" s="256"/>
      <c r="CP160" s="256"/>
      <c r="CQ160" s="256"/>
      <c r="CR160" s="256"/>
      <c r="CS160" s="256"/>
      <c r="CT160" s="256"/>
      <c r="CU160" s="256"/>
      <c r="CV160" s="256"/>
      <c r="CW160" s="256"/>
      <c r="CX160" s="256"/>
      <c r="CY160" s="256"/>
      <c r="CZ160" s="256"/>
      <c r="DA160" s="256"/>
      <c r="DB160" s="256"/>
      <c r="DC160" s="256"/>
      <c r="DD160" s="256"/>
      <c r="DE160" s="256"/>
      <c r="DF160" s="256"/>
      <c r="DG160" s="256"/>
      <c r="DH160" s="256"/>
      <c r="DI160" s="256"/>
      <c r="DJ160" s="256"/>
      <c r="DK160" s="256"/>
      <c r="DL160" s="256"/>
      <c r="DM160" s="256"/>
      <c r="DN160" s="256"/>
      <c r="DO160" s="256"/>
      <c r="DP160" s="256"/>
      <c r="DQ160" s="256"/>
      <c r="DR160" s="256"/>
      <c r="DS160" s="256"/>
      <c r="DT160" s="256"/>
      <c r="DU160" s="256"/>
      <c r="DV160" s="256"/>
      <c r="DW160" s="256"/>
      <c r="DX160" s="256"/>
      <c r="DY160" s="256"/>
      <c r="DZ160" s="256"/>
      <c r="EA160" s="256"/>
      <c r="EB160" s="256"/>
      <c r="EC160" s="256"/>
      <c r="ED160" s="256"/>
      <c r="EE160" s="256"/>
      <c r="EF160" s="256"/>
      <c r="EG160" s="256"/>
      <c r="EH160" s="256"/>
      <c r="EI160" s="256"/>
      <c r="EJ160" s="256"/>
      <c r="EK160" s="256"/>
      <c r="EL160" s="256"/>
      <c r="EM160" s="256"/>
      <c r="EN160" s="256"/>
      <c r="EO160" s="256"/>
      <c r="EP160" s="256"/>
      <c r="EQ160" s="256"/>
      <c r="ER160" s="256"/>
      <c r="ES160" s="256"/>
      <c r="ET160" s="256"/>
      <c r="EU160" s="256"/>
      <c r="EV160" s="256"/>
      <c r="EW160" s="256"/>
      <c r="EX160" s="256"/>
      <c r="EY160" s="256"/>
      <c r="EZ160" s="256"/>
      <c r="FA160" s="256"/>
      <c r="FB160" s="256"/>
      <c r="FC160" s="256"/>
      <c r="FD160" s="256"/>
      <c r="FE160" s="256"/>
      <c r="FF160" s="256"/>
      <c r="FG160" s="256"/>
      <c r="FH160" s="256"/>
      <c r="FI160" s="256"/>
      <c r="FJ160" s="256"/>
      <c r="FK160" s="256"/>
      <c r="FL160" s="256"/>
      <c r="FM160" s="256"/>
      <c r="FN160" s="256"/>
      <c r="FO160" s="256"/>
    </row>
    <row r="161" spans="1:171" s="31" customFormat="1" ht="19.5" customHeight="1">
      <c r="A161" s="260"/>
      <c r="B161" s="263"/>
      <c r="C161" s="262"/>
      <c r="D161" s="98"/>
      <c r="E161" s="98"/>
      <c r="F161" s="98"/>
      <c r="G161" s="98"/>
      <c r="H161" s="404" t="s">
        <v>88</v>
      </c>
      <c r="I161" s="405"/>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405"/>
      <c r="AF161" s="405"/>
      <c r="AG161" s="405"/>
      <c r="AH161" s="405"/>
      <c r="AI161" s="405"/>
      <c r="AJ161" s="405"/>
      <c r="AK161" s="405"/>
      <c r="AL161" s="405"/>
      <c r="AM161" s="405"/>
      <c r="AN161" s="405"/>
      <c r="AO161" s="405"/>
      <c r="AP161" s="405"/>
      <c r="AQ161" s="405"/>
      <c r="AR161" s="405"/>
      <c r="AS161" s="405"/>
      <c r="AT161" s="405"/>
      <c r="AU161" s="405"/>
      <c r="AV161" s="405"/>
      <c r="AW161" s="405"/>
      <c r="AX161" s="405"/>
      <c r="AY161" s="405"/>
      <c r="AZ161" s="405"/>
      <c r="BA161" s="405"/>
      <c r="BB161" s="405"/>
      <c r="BC161" s="405"/>
      <c r="BD161" s="405"/>
      <c r="BE161" s="405"/>
      <c r="BF161" s="405"/>
      <c r="BG161" s="405"/>
      <c r="BH161" s="405"/>
      <c r="BI161" s="405"/>
      <c r="BJ161" s="405"/>
      <c r="BK161" s="405"/>
      <c r="BL161" s="405"/>
      <c r="BM161" s="405"/>
      <c r="BN161" s="405"/>
      <c r="BO161" s="405"/>
      <c r="BP161" s="405"/>
      <c r="BQ161" s="405"/>
      <c r="BR161" s="405"/>
      <c r="BS161" s="405"/>
      <c r="BT161" s="405"/>
      <c r="BU161" s="405"/>
      <c r="BV161" s="405"/>
      <c r="BW161" s="405"/>
      <c r="BX161" s="405"/>
      <c r="BY161" s="405"/>
      <c r="BZ161" s="405"/>
      <c r="CA161" s="405"/>
      <c r="CB161" s="406"/>
      <c r="CC161" s="95"/>
      <c r="CD161" s="95"/>
      <c r="CE161" s="181"/>
      <c r="CF161" s="273"/>
      <c r="CG161" s="256"/>
      <c r="CH161" s="256"/>
      <c r="CI161" s="256"/>
      <c r="CJ161" s="256"/>
      <c r="CK161" s="256"/>
      <c r="CL161" s="256"/>
      <c r="CM161" s="256"/>
      <c r="CN161" s="256"/>
      <c r="CO161" s="256"/>
      <c r="CP161" s="256"/>
      <c r="CQ161" s="256"/>
      <c r="CR161" s="256"/>
      <c r="CS161" s="256"/>
      <c r="CT161" s="256"/>
      <c r="CU161" s="256"/>
      <c r="CV161" s="256"/>
      <c r="CW161" s="256"/>
      <c r="CX161" s="256"/>
      <c r="CY161" s="256"/>
      <c r="CZ161" s="256"/>
      <c r="DA161" s="256"/>
      <c r="DB161" s="256"/>
      <c r="DC161" s="256"/>
      <c r="DD161" s="256"/>
      <c r="DE161" s="256"/>
      <c r="DF161" s="256"/>
      <c r="DG161" s="256"/>
      <c r="DH161" s="256"/>
      <c r="DI161" s="256"/>
      <c r="DJ161" s="256"/>
      <c r="DK161" s="256"/>
      <c r="DL161" s="256"/>
      <c r="DM161" s="256"/>
      <c r="DN161" s="256"/>
      <c r="DO161" s="256"/>
      <c r="DP161" s="256"/>
      <c r="DQ161" s="256"/>
      <c r="DR161" s="256"/>
      <c r="DS161" s="256"/>
      <c r="DT161" s="256"/>
      <c r="DU161" s="256"/>
      <c r="DV161" s="256"/>
      <c r="DW161" s="256"/>
      <c r="DX161" s="256"/>
      <c r="DY161" s="256"/>
      <c r="DZ161" s="256"/>
      <c r="EA161" s="256"/>
      <c r="EB161" s="256"/>
      <c r="EC161" s="256"/>
      <c r="ED161" s="256"/>
      <c r="EE161" s="256"/>
      <c r="EF161" s="256"/>
      <c r="EG161" s="256"/>
      <c r="EH161" s="256"/>
      <c r="EI161" s="256"/>
      <c r="EJ161" s="256"/>
      <c r="EK161" s="256"/>
      <c r="EL161" s="256"/>
      <c r="EM161" s="256"/>
      <c r="EN161" s="256"/>
      <c r="EO161" s="256"/>
      <c r="EP161" s="256"/>
      <c r="EQ161" s="256"/>
      <c r="ER161" s="256"/>
      <c r="ES161" s="256"/>
      <c r="ET161" s="256"/>
      <c r="EU161" s="256"/>
      <c r="EV161" s="256"/>
      <c r="EW161" s="256"/>
      <c r="EX161" s="256"/>
      <c r="EY161" s="256"/>
      <c r="EZ161" s="256"/>
      <c r="FA161" s="256"/>
      <c r="FB161" s="256"/>
      <c r="FC161" s="256"/>
      <c r="FD161" s="256"/>
      <c r="FE161" s="256"/>
      <c r="FF161" s="256"/>
      <c r="FG161" s="256"/>
      <c r="FH161" s="256"/>
      <c r="FI161" s="256"/>
      <c r="FJ161" s="256"/>
      <c r="FK161" s="256"/>
      <c r="FL161" s="256"/>
      <c r="FM161" s="256"/>
      <c r="FN161" s="256"/>
      <c r="FO161" s="256"/>
    </row>
    <row r="162" spans="1:171" s="31" customFormat="1" ht="19.5" customHeight="1">
      <c r="A162" s="260"/>
      <c r="B162" s="263"/>
      <c r="C162" s="262"/>
      <c r="D162" s="98"/>
      <c r="E162" s="98"/>
      <c r="F162" s="98"/>
      <c r="G162" s="98"/>
      <c r="H162" s="296" t="s">
        <v>269</v>
      </c>
      <c r="I162" s="294"/>
      <c r="J162" s="294"/>
      <c r="K162" s="294"/>
      <c r="L162" s="294"/>
      <c r="M162" s="294"/>
      <c r="N162" s="294"/>
      <c r="O162" s="294"/>
      <c r="P162" s="121"/>
      <c r="Q162" s="124"/>
      <c r="R162" s="121"/>
      <c r="S162" s="121" t="s">
        <v>552</v>
      </c>
      <c r="T162" s="121"/>
      <c r="U162" s="121"/>
      <c r="V162" s="121"/>
      <c r="W162" s="121"/>
      <c r="X162" s="121"/>
      <c r="Y162" s="121"/>
      <c r="Z162" s="121"/>
      <c r="AA162" s="121"/>
      <c r="AB162" s="121"/>
      <c r="AC162" s="121"/>
      <c r="AD162" s="121"/>
      <c r="AE162" s="121"/>
      <c r="AF162" s="121"/>
      <c r="AG162" s="121"/>
      <c r="AH162" s="121"/>
      <c r="AI162" s="121"/>
      <c r="AJ162" s="287"/>
      <c r="AK162" s="287"/>
      <c r="AL162" s="287"/>
      <c r="AM162" s="287"/>
      <c r="AN162" s="287"/>
      <c r="AO162" s="287"/>
      <c r="AP162" s="120" t="s">
        <v>311</v>
      </c>
      <c r="AQ162" s="305"/>
      <c r="AR162" s="305"/>
      <c r="AS162" s="305"/>
      <c r="AT162" s="305"/>
      <c r="AU162" s="121"/>
      <c r="AV162" s="121"/>
      <c r="AW162" s="121"/>
      <c r="AX162" s="121"/>
      <c r="AY162" s="124"/>
      <c r="AZ162" s="294"/>
      <c r="BA162" s="294"/>
      <c r="BB162" s="294"/>
      <c r="BC162" s="294"/>
      <c r="BD162" s="294"/>
      <c r="BE162" s="121"/>
      <c r="BF162" s="305"/>
      <c r="BG162" s="121"/>
      <c r="BH162" s="121"/>
      <c r="BI162" s="121"/>
      <c r="BJ162" s="121"/>
      <c r="BK162" s="121"/>
      <c r="BL162" s="121"/>
      <c r="BM162" s="121"/>
      <c r="BN162" s="121"/>
      <c r="BO162" s="121"/>
      <c r="BP162" s="121"/>
      <c r="BQ162" s="121"/>
      <c r="BR162" s="121"/>
      <c r="BS162" s="121"/>
      <c r="BT162" s="121"/>
      <c r="BU162" s="121"/>
      <c r="BV162" s="121"/>
      <c r="BW162" s="121"/>
      <c r="BX162" s="121"/>
      <c r="BY162" s="121"/>
      <c r="BZ162" s="121"/>
      <c r="CA162" s="121"/>
      <c r="CB162" s="124"/>
      <c r="CC162" s="95"/>
      <c r="CD162" s="95"/>
      <c r="CE162" s="181"/>
      <c r="CF162" s="273"/>
      <c r="CG162" s="256"/>
      <c r="CH162" s="256"/>
      <c r="CI162" s="256"/>
      <c r="CJ162" s="256"/>
      <c r="CK162" s="256"/>
      <c r="CL162" s="256"/>
      <c r="CM162" s="256"/>
      <c r="CN162" s="256"/>
      <c r="CO162" s="256"/>
      <c r="CP162" s="256"/>
      <c r="CQ162" s="256"/>
      <c r="CR162" s="256"/>
      <c r="CS162" s="256"/>
      <c r="CT162" s="256"/>
      <c r="CU162" s="256"/>
      <c r="CV162" s="256"/>
      <c r="CW162" s="256"/>
      <c r="CX162" s="256"/>
      <c r="CY162" s="256"/>
      <c r="CZ162" s="256"/>
      <c r="DA162" s="256"/>
      <c r="DB162" s="256"/>
      <c r="DC162" s="256"/>
      <c r="DD162" s="256"/>
      <c r="DE162" s="256"/>
      <c r="DF162" s="256"/>
      <c r="DG162" s="256"/>
      <c r="DH162" s="256"/>
      <c r="DI162" s="256"/>
      <c r="DJ162" s="256"/>
      <c r="DK162" s="256"/>
      <c r="DL162" s="256"/>
      <c r="DM162" s="256"/>
      <c r="DN162" s="256"/>
      <c r="DO162" s="256"/>
      <c r="DP162" s="256"/>
      <c r="DQ162" s="256"/>
      <c r="DR162" s="256"/>
      <c r="DS162" s="256"/>
      <c r="DT162" s="256"/>
      <c r="DU162" s="256"/>
      <c r="DV162" s="256"/>
      <c r="DW162" s="256"/>
      <c r="DX162" s="256"/>
      <c r="DY162" s="256"/>
      <c r="DZ162" s="256"/>
      <c r="EA162" s="256"/>
      <c r="EB162" s="256"/>
      <c r="EC162" s="256"/>
      <c r="ED162" s="256"/>
      <c r="EE162" s="256"/>
      <c r="EF162" s="256"/>
      <c r="EG162" s="256"/>
      <c r="EH162" s="256"/>
      <c r="EI162" s="256"/>
      <c r="EJ162" s="256"/>
      <c r="EK162" s="256"/>
      <c r="EL162" s="256"/>
      <c r="EM162" s="256"/>
      <c r="EN162" s="256"/>
      <c r="EO162" s="256"/>
      <c r="EP162" s="256"/>
      <c r="EQ162" s="256"/>
      <c r="ER162" s="256"/>
      <c r="ES162" s="256"/>
      <c r="ET162" s="256"/>
      <c r="EU162" s="256"/>
      <c r="EV162" s="256"/>
      <c r="EW162" s="256"/>
      <c r="EX162" s="256"/>
      <c r="EY162" s="256"/>
      <c r="EZ162" s="256"/>
      <c r="FA162" s="256"/>
      <c r="FB162" s="256"/>
      <c r="FC162" s="256"/>
      <c r="FD162" s="256"/>
      <c r="FE162" s="256"/>
      <c r="FF162" s="256"/>
      <c r="FG162" s="256"/>
      <c r="FH162" s="256"/>
      <c r="FI162" s="256"/>
      <c r="FJ162" s="256"/>
      <c r="FK162" s="256"/>
      <c r="FL162" s="256"/>
      <c r="FM162" s="256"/>
      <c r="FN162" s="256"/>
      <c r="FO162" s="256"/>
    </row>
    <row r="163" spans="1:171" s="31" customFormat="1" ht="19.5" customHeight="1">
      <c r="A163" s="260"/>
      <c r="B163" s="263"/>
      <c r="C163" s="262"/>
      <c r="D163" s="98"/>
      <c r="E163" s="98"/>
      <c r="F163" s="98"/>
      <c r="G163" s="98"/>
      <c r="H163" s="296" t="s">
        <v>170</v>
      </c>
      <c r="I163" s="294"/>
      <c r="J163" s="294"/>
      <c r="K163" s="294"/>
      <c r="L163" s="294"/>
      <c r="M163" s="294"/>
      <c r="N163" s="294"/>
      <c r="O163" s="294"/>
      <c r="P163" s="121"/>
      <c r="Q163" s="124"/>
      <c r="R163" s="121"/>
      <c r="S163" s="121"/>
      <c r="T163" s="121"/>
      <c r="U163" s="121"/>
      <c r="V163" s="121"/>
      <c r="W163" s="121"/>
      <c r="X163" s="121"/>
      <c r="Y163" s="121"/>
      <c r="Z163" s="121"/>
      <c r="AA163" s="121"/>
      <c r="AB163" s="121"/>
      <c r="AC163" s="121"/>
      <c r="AD163" s="121"/>
      <c r="AE163" s="121"/>
      <c r="AF163" s="121"/>
      <c r="AG163" s="121"/>
      <c r="AH163" s="121"/>
      <c r="AI163" s="121"/>
      <c r="AJ163" s="287"/>
      <c r="AK163" s="287"/>
      <c r="AL163" s="287"/>
      <c r="AM163" s="287"/>
      <c r="AN163" s="287"/>
      <c r="AO163" s="287"/>
      <c r="AP163" s="132" t="s">
        <v>171</v>
      </c>
      <c r="AU163" s="133"/>
      <c r="AV163" s="133"/>
      <c r="AW163" s="133"/>
      <c r="AX163" s="133"/>
      <c r="AY163" s="142"/>
      <c r="AZ163" s="294"/>
      <c r="BA163" s="294"/>
      <c r="BB163" s="294"/>
      <c r="BC163" s="294"/>
      <c r="BD163" s="294"/>
      <c r="BE163" s="121"/>
      <c r="BF163" s="305"/>
      <c r="BG163" s="121"/>
      <c r="BH163" s="121"/>
      <c r="BI163" s="121"/>
      <c r="BJ163" s="121"/>
      <c r="BK163" s="121"/>
      <c r="BL163" s="121"/>
      <c r="BM163" s="121"/>
      <c r="BN163" s="121"/>
      <c r="BO163" s="121"/>
      <c r="BP163" s="121"/>
      <c r="BQ163" s="121"/>
      <c r="BR163" s="121"/>
      <c r="BS163" s="121"/>
      <c r="BT163" s="121"/>
      <c r="BU163" s="121"/>
      <c r="BV163" s="121"/>
      <c r="BW163" s="121"/>
      <c r="BX163" s="121"/>
      <c r="BY163" s="121"/>
      <c r="BZ163" s="121"/>
      <c r="CA163" s="121"/>
      <c r="CB163" s="124"/>
      <c r="CC163" s="95"/>
      <c r="CD163" s="95"/>
      <c r="CE163" s="181"/>
      <c r="CF163" s="273"/>
      <c r="CG163" s="256"/>
      <c r="CH163" s="256"/>
      <c r="CI163" s="256"/>
      <c r="CJ163" s="256"/>
      <c r="CK163" s="256"/>
      <c r="CL163" s="256"/>
      <c r="CM163" s="256"/>
      <c r="CN163" s="256"/>
      <c r="CO163" s="256"/>
      <c r="CP163" s="256"/>
      <c r="CQ163" s="256"/>
      <c r="CR163" s="256"/>
      <c r="CS163" s="256"/>
      <c r="CT163" s="256"/>
      <c r="CU163" s="256"/>
      <c r="CV163" s="256"/>
      <c r="CW163" s="256"/>
      <c r="CX163" s="256"/>
      <c r="CY163" s="256"/>
      <c r="CZ163" s="256"/>
      <c r="DA163" s="256"/>
      <c r="DB163" s="256"/>
      <c r="DC163" s="256"/>
      <c r="DD163" s="256"/>
      <c r="DE163" s="256"/>
      <c r="DF163" s="256"/>
      <c r="DG163" s="256"/>
      <c r="DH163" s="256"/>
      <c r="DI163" s="256"/>
      <c r="DJ163" s="256"/>
      <c r="DK163" s="256"/>
      <c r="DL163" s="256"/>
      <c r="DM163" s="256"/>
      <c r="DN163" s="256"/>
      <c r="DO163" s="256"/>
      <c r="DP163" s="256"/>
      <c r="DQ163" s="256"/>
      <c r="DR163" s="256"/>
      <c r="DS163" s="256"/>
      <c r="DT163" s="256"/>
      <c r="DU163" s="256"/>
      <c r="DV163" s="256"/>
      <c r="DW163" s="256"/>
      <c r="DX163" s="256"/>
      <c r="DY163" s="256"/>
      <c r="DZ163" s="256"/>
      <c r="EA163" s="256"/>
      <c r="EB163" s="256"/>
      <c r="EC163" s="256"/>
      <c r="ED163" s="256"/>
      <c r="EE163" s="256"/>
      <c r="EF163" s="256"/>
      <c r="EG163" s="256"/>
      <c r="EH163" s="256"/>
      <c r="EI163" s="256"/>
      <c r="EJ163" s="256"/>
      <c r="EK163" s="256"/>
      <c r="EL163" s="256"/>
      <c r="EM163" s="256"/>
      <c r="EN163" s="256"/>
      <c r="EO163" s="256"/>
      <c r="EP163" s="256"/>
      <c r="EQ163" s="256"/>
      <c r="ER163" s="256"/>
      <c r="ES163" s="256"/>
      <c r="ET163" s="256"/>
      <c r="EU163" s="256"/>
      <c r="EV163" s="256"/>
      <c r="EW163" s="256"/>
      <c r="EX163" s="256"/>
      <c r="EY163" s="256"/>
      <c r="EZ163" s="256"/>
      <c r="FA163" s="256"/>
      <c r="FB163" s="256"/>
      <c r="FC163" s="256"/>
      <c r="FD163" s="256"/>
      <c r="FE163" s="256"/>
      <c r="FF163" s="256"/>
      <c r="FG163" s="256"/>
      <c r="FH163" s="256"/>
      <c r="FI163" s="256"/>
      <c r="FJ163" s="256"/>
      <c r="FK163" s="256"/>
      <c r="FL163" s="256"/>
      <c r="FM163" s="256"/>
      <c r="FN163" s="256"/>
      <c r="FO163" s="256"/>
    </row>
    <row r="164" spans="1:171" s="31" customFormat="1" ht="19.5" customHeight="1">
      <c r="A164" s="260"/>
      <c r="B164" s="263"/>
      <c r="C164" s="262"/>
      <c r="D164" s="98"/>
      <c r="E164" s="98"/>
      <c r="F164" s="98"/>
      <c r="G164" s="98"/>
      <c r="H164" s="404" t="s">
        <v>127</v>
      </c>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405"/>
      <c r="AF164" s="405"/>
      <c r="AG164" s="405"/>
      <c r="AH164" s="405"/>
      <c r="AI164" s="405"/>
      <c r="AJ164" s="405"/>
      <c r="AK164" s="405"/>
      <c r="AL164" s="405"/>
      <c r="AM164" s="405"/>
      <c r="AN164" s="405"/>
      <c r="AO164" s="405"/>
      <c r="AP164" s="405"/>
      <c r="AQ164" s="405"/>
      <c r="AR164" s="405"/>
      <c r="AS164" s="405"/>
      <c r="AT164" s="405"/>
      <c r="AU164" s="405"/>
      <c r="AV164" s="405"/>
      <c r="AW164" s="405"/>
      <c r="AX164" s="405"/>
      <c r="AY164" s="405"/>
      <c r="AZ164" s="405"/>
      <c r="BA164" s="405"/>
      <c r="BB164" s="405"/>
      <c r="BC164" s="405"/>
      <c r="BD164" s="405"/>
      <c r="BE164" s="405"/>
      <c r="BF164" s="405"/>
      <c r="BG164" s="405"/>
      <c r="BH164" s="405"/>
      <c r="BI164" s="405"/>
      <c r="BJ164" s="405"/>
      <c r="BK164" s="405"/>
      <c r="BL164" s="405"/>
      <c r="BM164" s="405"/>
      <c r="BN164" s="405"/>
      <c r="BO164" s="405"/>
      <c r="BP164" s="405"/>
      <c r="BQ164" s="405"/>
      <c r="BR164" s="405"/>
      <c r="BS164" s="405"/>
      <c r="BT164" s="405"/>
      <c r="BU164" s="405"/>
      <c r="BV164" s="405"/>
      <c r="BW164" s="405"/>
      <c r="BX164" s="405"/>
      <c r="BY164" s="405"/>
      <c r="BZ164" s="405"/>
      <c r="CA164" s="405"/>
      <c r="CB164" s="406"/>
      <c r="CC164" s="95"/>
      <c r="CD164" s="95"/>
      <c r="CE164" s="181"/>
      <c r="CF164" s="273"/>
      <c r="CG164" s="256"/>
      <c r="CH164" s="256"/>
      <c r="CI164" s="256"/>
      <c r="CJ164" s="256"/>
      <c r="CK164" s="256"/>
      <c r="CL164" s="256"/>
      <c r="CM164" s="256"/>
      <c r="CN164" s="256"/>
      <c r="CO164" s="256"/>
      <c r="CP164" s="256"/>
      <c r="CQ164" s="256"/>
      <c r="CR164" s="256"/>
      <c r="CS164" s="256"/>
      <c r="CT164" s="256"/>
      <c r="CU164" s="256"/>
      <c r="CV164" s="256"/>
      <c r="CW164" s="256"/>
      <c r="CX164" s="256"/>
      <c r="CY164" s="256"/>
      <c r="CZ164" s="256"/>
      <c r="DA164" s="256"/>
      <c r="DB164" s="256"/>
      <c r="DC164" s="256"/>
      <c r="DD164" s="256"/>
      <c r="DE164" s="256"/>
      <c r="DF164" s="256"/>
      <c r="DG164" s="256"/>
      <c r="DH164" s="256"/>
      <c r="DI164" s="256"/>
      <c r="DJ164" s="256"/>
      <c r="DK164" s="256"/>
      <c r="DL164" s="256"/>
      <c r="DM164" s="256"/>
      <c r="DN164" s="256"/>
      <c r="DO164" s="256"/>
      <c r="DP164" s="256"/>
      <c r="DQ164" s="256"/>
      <c r="DR164" s="256"/>
      <c r="DS164" s="256"/>
      <c r="DT164" s="256"/>
      <c r="DU164" s="256"/>
      <c r="DV164" s="256"/>
      <c r="DW164" s="256"/>
      <c r="DX164" s="256"/>
      <c r="DY164" s="256"/>
      <c r="DZ164" s="256"/>
      <c r="EA164" s="256"/>
      <c r="EB164" s="256"/>
      <c r="EC164" s="256"/>
      <c r="ED164" s="256"/>
      <c r="EE164" s="256"/>
      <c r="EF164" s="256"/>
      <c r="EG164" s="256"/>
      <c r="EH164" s="256"/>
      <c r="EI164" s="256"/>
      <c r="EJ164" s="256"/>
      <c r="EK164" s="256"/>
      <c r="EL164" s="256"/>
      <c r="EM164" s="256"/>
      <c r="EN164" s="256"/>
      <c r="EO164" s="256"/>
      <c r="EP164" s="256"/>
      <c r="EQ164" s="256"/>
      <c r="ER164" s="256"/>
      <c r="ES164" s="256"/>
      <c r="ET164" s="256"/>
      <c r="EU164" s="256"/>
      <c r="EV164" s="256"/>
      <c r="EW164" s="256"/>
      <c r="EX164" s="256"/>
      <c r="EY164" s="256"/>
      <c r="EZ164" s="256"/>
      <c r="FA164" s="256"/>
      <c r="FB164" s="256"/>
      <c r="FC164" s="256"/>
      <c r="FD164" s="256"/>
      <c r="FE164" s="256"/>
      <c r="FF164" s="256"/>
      <c r="FG164" s="256"/>
      <c r="FH164" s="256"/>
      <c r="FI164" s="256"/>
      <c r="FJ164" s="256"/>
      <c r="FK164" s="256"/>
      <c r="FL164" s="256"/>
      <c r="FM164" s="256"/>
      <c r="FN164" s="256"/>
      <c r="FO164" s="256"/>
    </row>
    <row r="165" spans="1:171" s="31" customFormat="1" ht="19.5" customHeight="1">
      <c r="A165" s="260"/>
      <c r="B165" s="263"/>
      <c r="C165" s="262"/>
      <c r="D165" s="98"/>
      <c r="E165" s="98"/>
      <c r="F165" s="98"/>
      <c r="G165" s="98"/>
      <c r="H165" s="123" t="s">
        <v>306</v>
      </c>
      <c r="I165" s="121"/>
      <c r="J165" s="121"/>
      <c r="K165" s="121"/>
      <c r="L165" s="121"/>
      <c r="M165" s="121"/>
      <c r="N165" s="121"/>
      <c r="O165" s="121"/>
      <c r="P165" s="121"/>
      <c r="Q165" s="121"/>
      <c r="R165" s="120"/>
      <c r="S165" s="121"/>
      <c r="T165" s="121"/>
      <c r="U165" s="122"/>
      <c r="V165" s="121"/>
      <c r="W165" s="287"/>
      <c r="X165" s="287"/>
      <c r="Y165" s="287"/>
      <c r="Z165" s="287"/>
      <c r="AA165" s="287"/>
      <c r="AB165" s="287"/>
      <c r="AC165" s="287"/>
      <c r="AD165" s="287"/>
      <c r="AE165" s="122" t="s">
        <v>315</v>
      </c>
      <c r="AF165" s="287"/>
      <c r="AG165" s="287"/>
      <c r="AH165" s="287"/>
      <c r="AI165" s="287"/>
      <c r="AJ165" s="287"/>
      <c r="AK165" s="287"/>
      <c r="AL165" s="287"/>
      <c r="AM165" s="287"/>
      <c r="AN165" s="287"/>
      <c r="AO165" s="287"/>
      <c r="AP165" s="123" t="s">
        <v>307</v>
      </c>
      <c r="AQ165" s="121"/>
      <c r="AR165" s="121"/>
      <c r="AS165" s="121"/>
      <c r="AT165" s="121"/>
      <c r="AU165" s="121"/>
      <c r="AV165" s="121"/>
      <c r="AW165" s="121"/>
      <c r="AX165" s="121"/>
      <c r="AY165" s="121"/>
      <c r="AZ165" s="120"/>
      <c r="BA165" s="121"/>
      <c r="BB165" s="121"/>
      <c r="BC165" s="122"/>
      <c r="BD165" s="121"/>
      <c r="BE165" s="287"/>
      <c r="BF165" s="287"/>
      <c r="BG165" s="287"/>
      <c r="BH165" s="287"/>
      <c r="BI165" s="287"/>
      <c r="BJ165" s="287"/>
      <c r="BK165" s="287"/>
      <c r="BL165" s="287"/>
      <c r="BM165" s="122" t="s">
        <v>312</v>
      </c>
      <c r="BN165" s="287"/>
      <c r="BO165" s="287"/>
      <c r="BP165" s="287"/>
      <c r="BQ165" s="287"/>
      <c r="BR165" s="287"/>
      <c r="BS165" s="287"/>
      <c r="BT165" s="287"/>
      <c r="BU165" s="287"/>
      <c r="BV165" s="287"/>
      <c r="BW165" s="287"/>
      <c r="BX165" s="287"/>
      <c r="BY165" s="287"/>
      <c r="BZ165" s="130"/>
      <c r="CA165" s="130"/>
      <c r="CB165" s="131"/>
      <c r="CC165" s="95"/>
      <c r="CD165" s="95"/>
      <c r="CE165" s="181"/>
      <c r="CF165" s="273"/>
      <c r="CG165" s="256"/>
      <c r="CH165" s="256"/>
      <c r="CI165" s="256"/>
      <c r="CJ165" s="256"/>
      <c r="CK165" s="256"/>
      <c r="CL165" s="256"/>
      <c r="CM165" s="256"/>
      <c r="CN165" s="256"/>
      <c r="CO165" s="256"/>
      <c r="CP165" s="256"/>
      <c r="CQ165" s="256"/>
      <c r="CR165" s="256"/>
      <c r="CS165" s="256"/>
      <c r="CT165" s="256"/>
      <c r="CU165" s="256"/>
      <c r="CV165" s="256"/>
      <c r="CW165" s="256"/>
      <c r="CX165" s="256"/>
      <c r="CY165" s="256"/>
      <c r="CZ165" s="256"/>
      <c r="DA165" s="256"/>
      <c r="DB165" s="256"/>
      <c r="DC165" s="256"/>
      <c r="DD165" s="256"/>
      <c r="DE165" s="256"/>
      <c r="DF165" s="256"/>
      <c r="DG165" s="256"/>
      <c r="DH165" s="256"/>
      <c r="DI165" s="256"/>
      <c r="DJ165" s="256"/>
      <c r="DK165" s="256"/>
      <c r="DL165" s="256"/>
      <c r="DM165" s="256"/>
      <c r="DN165" s="256"/>
      <c r="DO165" s="256"/>
      <c r="DP165" s="256"/>
      <c r="DQ165" s="256"/>
      <c r="DR165" s="256"/>
      <c r="DS165" s="256"/>
      <c r="DT165" s="256"/>
      <c r="DU165" s="256"/>
      <c r="DV165" s="256"/>
      <c r="DW165" s="256"/>
      <c r="DX165" s="256"/>
      <c r="DY165" s="256"/>
      <c r="DZ165" s="256"/>
      <c r="EA165" s="256"/>
      <c r="EB165" s="256"/>
      <c r="EC165" s="256"/>
      <c r="ED165" s="256"/>
      <c r="EE165" s="256"/>
      <c r="EF165" s="256"/>
      <c r="EG165" s="256"/>
      <c r="EH165" s="256"/>
      <c r="EI165" s="256"/>
      <c r="EJ165" s="256"/>
      <c r="EK165" s="256"/>
      <c r="EL165" s="256"/>
      <c r="EM165" s="256"/>
      <c r="EN165" s="256"/>
      <c r="EO165" s="256"/>
      <c r="EP165" s="256"/>
      <c r="EQ165" s="256"/>
      <c r="ER165" s="256"/>
      <c r="ES165" s="256"/>
      <c r="ET165" s="256"/>
      <c r="EU165" s="256"/>
      <c r="EV165" s="256"/>
      <c r="EW165" s="256"/>
      <c r="EX165" s="256"/>
      <c r="EY165" s="256"/>
      <c r="EZ165" s="256"/>
      <c r="FA165" s="256"/>
      <c r="FB165" s="256"/>
      <c r="FC165" s="256"/>
      <c r="FD165" s="256"/>
      <c r="FE165" s="256"/>
      <c r="FF165" s="256"/>
      <c r="FG165" s="256"/>
      <c r="FH165" s="256"/>
      <c r="FI165" s="256"/>
      <c r="FJ165" s="256"/>
      <c r="FK165" s="256"/>
      <c r="FL165" s="256"/>
      <c r="FM165" s="256"/>
      <c r="FN165" s="256"/>
      <c r="FO165" s="256"/>
    </row>
    <row r="166" spans="1:171" s="31" customFormat="1" ht="19.5" customHeight="1">
      <c r="A166" s="260"/>
      <c r="B166" s="263"/>
      <c r="C166" s="262"/>
      <c r="D166" s="98"/>
      <c r="E166" s="98"/>
      <c r="F166" s="98"/>
      <c r="G166" s="98"/>
      <c r="H166" s="120" t="s">
        <v>169</v>
      </c>
      <c r="I166" s="121"/>
      <c r="J166" s="121"/>
      <c r="K166" s="121"/>
      <c r="L166" s="121"/>
      <c r="M166" s="121"/>
      <c r="N166" s="287"/>
      <c r="O166" s="287"/>
      <c r="P166" s="287"/>
      <c r="Q166" s="133"/>
      <c r="R166" s="120" t="s">
        <v>305</v>
      </c>
      <c r="S166" s="77"/>
      <c r="T166" s="101"/>
      <c r="U166" s="101"/>
      <c r="V166" s="101"/>
      <c r="W166" s="101"/>
      <c r="X166" s="101"/>
      <c r="Y166" s="101"/>
      <c r="Z166" s="106"/>
      <c r="AA166" s="106"/>
      <c r="AB166" s="106"/>
      <c r="AC166" s="106"/>
      <c r="AD166" s="100"/>
      <c r="AE166" s="100"/>
      <c r="AF166" s="101"/>
      <c r="AG166" s="100"/>
      <c r="AH166" s="100"/>
      <c r="AI166" s="100"/>
      <c r="AJ166" s="101"/>
      <c r="AK166" s="100"/>
      <c r="AL166" s="287"/>
      <c r="AM166" s="287"/>
      <c r="AN166" s="287"/>
      <c r="AO166" s="287"/>
      <c r="AP166" s="123" t="s">
        <v>308</v>
      </c>
      <c r="AQ166" s="121"/>
      <c r="AR166" s="121"/>
      <c r="AS166" s="121"/>
      <c r="AT166" s="121"/>
      <c r="AU166" s="121"/>
      <c r="AV166" s="121"/>
      <c r="AW166" s="121"/>
      <c r="AX166" s="121"/>
      <c r="AY166" s="121"/>
      <c r="AZ166" s="134"/>
      <c r="BA166" s="135"/>
      <c r="BB166" s="135"/>
      <c r="BC166" s="135"/>
      <c r="BD166" s="135"/>
      <c r="BE166" s="135"/>
      <c r="BF166" s="136"/>
      <c r="BG166" s="135"/>
      <c r="BH166" s="135"/>
      <c r="BI166" s="121"/>
      <c r="BJ166" s="121"/>
      <c r="BK166" s="121"/>
      <c r="BL166" s="121"/>
      <c r="BM166" s="121"/>
      <c r="BN166" s="121"/>
      <c r="BO166" s="121"/>
      <c r="BP166" s="121"/>
      <c r="BQ166" s="121"/>
      <c r="BR166" s="121"/>
      <c r="BS166" s="121"/>
      <c r="BT166" s="287"/>
      <c r="BU166" s="100"/>
      <c r="BV166" s="100"/>
      <c r="BW166" s="100"/>
      <c r="BX166" s="130"/>
      <c r="BY166" s="130"/>
      <c r="BZ166" s="130"/>
      <c r="CA166" s="130"/>
      <c r="CB166" s="131"/>
      <c r="CC166" s="95"/>
      <c r="CD166" s="95"/>
      <c r="CE166" s="181"/>
      <c r="CF166" s="273"/>
      <c r="CG166" s="256"/>
      <c r="CH166" s="256"/>
      <c r="CI166" s="256"/>
      <c r="CJ166" s="256"/>
      <c r="CK166" s="256"/>
      <c r="CL166" s="256"/>
      <c r="CM166" s="256"/>
      <c r="CN166" s="256"/>
      <c r="CO166" s="256"/>
      <c r="CP166" s="256"/>
      <c r="CQ166" s="256"/>
      <c r="CR166" s="256"/>
      <c r="CS166" s="256"/>
      <c r="CT166" s="256"/>
      <c r="CU166" s="256"/>
      <c r="CV166" s="256"/>
      <c r="CW166" s="256"/>
      <c r="CX166" s="256"/>
      <c r="CY166" s="256"/>
      <c r="CZ166" s="256"/>
      <c r="DA166" s="256"/>
      <c r="DB166" s="256"/>
      <c r="DC166" s="256"/>
      <c r="DD166" s="256"/>
      <c r="DE166" s="256"/>
      <c r="DF166" s="256"/>
      <c r="DG166" s="256"/>
      <c r="DH166" s="256"/>
      <c r="DI166" s="256"/>
      <c r="DJ166" s="256"/>
      <c r="DK166" s="256"/>
      <c r="DL166" s="256"/>
      <c r="DM166" s="256"/>
      <c r="DN166" s="256"/>
      <c r="DO166" s="256"/>
      <c r="DP166" s="256"/>
      <c r="DQ166" s="256"/>
      <c r="DR166" s="256"/>
      <c r="DS166" s="256"/>
      <c r="DT166" s="256"/>
      <c r="DU166" s="256"/>
      <c r="DV166" s="256"/>
      <c r="DW166" s="256"/>
      <c r="DX166" s="256"/>
      <c r="DY166" s="256"/>
      <c r="DZ166" s="256"/>
      <c r="EA166" s="256"/>
      <c r="EB166" s="256"/>
      <c r="EC166" s="256"/>
      <c r="ED166" s="256"/>
      <c r="EE166" s="256"/>
      <c r="EF166" s="256"/>
      <c r="EG166" s="256"/>
      <c r="EH166" s="256"/>
      <c r="EI166" s="256"/>
      <c r="EJ166" s="256"/>
      <c r="EK166" s="256"/>
      <c r="EL166" s="256"/>
      <c r="EM166" s="256"/>
      <c r="EN166" s="256"/>
      <c r="EO166" s="256"/>
      <c r="EP166" s="256"/>
      <c r="EQ166" s="256"/>
      <c r="ER166" s="256"/>
      <c r="ES166" s="256"/>
      <c r="ET166" s="256"/>
      <c r="EU166" s="256"/>
      <c r="EV166" s="256"/>
      <c r="EW166" s="256"/>
      <c r="EX166" s="256"/>
      <c r="EY166" s="256"/>
      <c r="EZ166" s="256"/>
      <c r="FA166" s="256"/>
      <c r="FB166" s="256"/>
      <c r="FC166" s="256"/>
      <c r="FD166" s="256"/>
      <c r="FE166" s="256"/>
      <c r="FF166" s="256"/>
      <c r="FG166" s="256"/>
      <c r="FH166" s="256"/>
      <c r="FI166" s="256"/>
      <c r="FJ166" s="256"/>
      <c r="FK166" s="256"/>
      <c r="FL166" s="256"/>
      <c r="FM166" s="256"/>
      <c r="FN166" s="256"/>
      <c r="FO166" s="256"/>
    </row>
    <row r="167" spans="1:171" s="31" customFormat="1" ht="19.5" customHeight="1">
      <c r="A167" s="260"/>
      <c r="B167" s="263"/>
      <c r="C167" s="262"/>
      <c r="D167" s="98"/>
      <c r="E167" s="98"/>
      <c r="F167" s="98"/>
      <c r="G167" s="98"/>
      <c r="H167" s="120" t="s">
        <v>371</v>
      </c>
      <c r="I167" s="133"/>
      <c r="J167" s="133"/>
      <c r="K167" s="133"/>
      <c r="L167" s="133"/>
      <c r="M167" s="133"/>
      <c r="N167" s="133"/>
      <c r="O167" s="133"/>
      <c r="P167" s="133"/>
      <c r="Q167" s="133"/>
      <c r="R167" s="120"/>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33"/>
      <c r="BQ167" s="133"/>
      <c r="BR167" s="133"/>
      <c r="BS167" s="133"/>
      <c r="BT167" s="295"/>
      <c r="BU167" s="295"/>
      <c r="BV167" s="130"/>
      <c r="BW167" s="130"/>
      <c r="BX167" s="130"/>
      <c r="BY167" s="130"/>
      <c r="BZ167" s="130"/>
      <c r="CA167" s="130"/>
      <c r="CB167" s="131"/>
      <c r="CC167" s="95"/>
      <c r="CD167" s="95"/>
      <c r="CE167" s="181"/>
      <c r="CF167" s="273"/>
      <c r="CG167" s="256"/>
      <c r="CH167" s="256"/>
      <c r="CI167" s="256"/>
      <c r="CJ167" s="256"/>
      <c r="CK167" s="256"/>
      <c r="CL167" s="256"/>
      <c r="CM167" s="256"/>
      <c r="CN167" s="256"/>
      <c r="CO167" s="256"/>
      <c r="CP167" s="256"/>
      <c r="CQ167" s="256"/>
      <c r="CR167" s="256"/>
      <c r="CS167" s="256"/>
      <c r="CT167" s="256"/>
      <c r="CU167" s="256"/>
      <c r="CV167" s="256"/>
      <c r="CW167" s="256"/>
      <c r="CX167" s="256"/>
      <c r="CY167" s="256"/>
      <c r="CZ167" s="256"/>
      <c r="DA167" s="256"/>
      <c r="DB167" s="256"/>
      <c r="DC167" s="256"/>
      <c r="DD167" s="256"/>
      <c r="DE167" s="256"/>
      <c r="DF167" s="256"/>
      <c r="DG167" s="256"/>
      <c r="DH167" s="256"/>
      <c r="DI167" s="256"/>
      <c r="DJ167" s="256"/>
      <c r="DK167" s="256"/>
      <c r="DL167" s="256"/>
      <c r="DM167" s="256"/>
      <c r="DN167" s="256"/>
      <c r="DO167" s="256"/>
      <c r="DP167" s="256"/>
      <c r="DQ167" s="256"/>
      <c r="DR167" s="256"/>
      <c r="DS167" s="256"/>
      <c r="DT167" s="256"/>
      <c r="DU167" s="256"/>
      <c r="DV167" s="256"/>
      <c r="DW167" s="256"/>
      <c r="DX167" s="256"/>
      <c r="DY167" s="256"/>
      <c r="DZ167" s="256"/>
      <c r="EA167" s="256"/>
      <c r="EB167" s="256"/>
      <c r="EC167" s="256"/>
      <c r="ED167" s="256"/>
      <c r="EE167" s="256"/>
      <c r="EF167" s="256"/>
      <c r="EG167" s="256"/>
      <c r="EH167" s="256"/>
      <c r="EI167" s="256"/>
      <c r="EJ167" s="256"/>
      <c r="EK167" s="256"/>
      <c r="EL167" s="256"/>
      <c r="EM167" s="256"/>
      <c r="EN167" s="256"/>
      <c r="EO167" s="256"/>
      <c r="EP167" s="256"/>
      <c r="EQ167" s="256"/>
      <c r="ER167" s="256"/>
      <c r="ES167" s="256"/>
      <c r="ET167" s="256"/>
      <c r="EU167" s="256"/>
      <c r="EV167" s="256"/>
      <c r="EW167" s="256"/>
      <c r="EX167" s="256"/>
      <c r="EY167" s="256"/>
      <c r="EZ167" s="256"/>
      <c r="FA167" s="256"/>
      <c r="FB167" s="256"/>
      <c r="FC167" s="256"/>
      <c r="FD167" s="256"/>
      <c r="FE167" s="256"/>
      <c r="FF167" s="256"/>
      <c r="FG167" s="256"/>
      <c r="FH167" s="256"/>
      <c r="FI167" s="256"/>
      <c r="FJ167" s="256"/>
      <c r="FK167" s="256"/>
      <c r="FL167" s="256"/>
      <c r="FM167" s="256"/>
      <c r="FN167" s="256"/>
      <c r="FO167" s="256"/>
    </row>
    <row r="168" spans="1:171" s="31" customFormat="1" ht="19.5" customHeight="1">
      <c r="A168" s="260"/>
      <c r="B168" s="263"/>
      <c r="C168" s="262"/>
      <c r="D168" s="98"/>
      <c r="E168" s="98"/>
      <c r="F168" s="98"/>
      <c r="G168" s="98"/>
      <c r="H168" s="132" t="s">
        <v>370</v>
      </c>
      <c r="I168" s="133"/>
      <c r="J168" s="133"/>
      <c r="K168" s="133"/>
      <c r="L168" s="133"/>
      <c r="M168" s="133"/>
      <c r="N168" s="133"/>
      <c r="O168" s="133"/>
      <c r="P168" s="133"/>
      <c r="Q168" s="133"/>
      <c r="R168" s="120"/>
      <c r="S168" s="133"/>
      <c r="T168" s="133"/>
      <c r="U168" s="133"/>
      <c r="V168" s="133"/>
      <c r="W168" s="133"/>
      <c r="X168" s="133"/>
      <c r="Y168" s="133"/>
      <c r="Z168" s="133"/>
      <c r="AA168" s="133"/>
      <c r="AB168" s="133"/>
      <c r="AC168" s="133"/>
      <c r="AD168" s="133" t="s">
        <v>316</v>
      </c>
      <c r="AE168" s="133"/>
      <c r="AF168" s="133"/>
      <c r="AG168" s="133"/>
      <c r="AH168" s="133"/>
      <c r="AI168" s="133"/>
      <c r="AJ168" s="133"/>
      <c r="AK168" s="133"/>
      <c r="AL168" s="133"/>
      <c r="AM168" s="133"/>
      <c r="AN168" s="133"/>
      <c r="AO168" s="133"/>
      <c r="AP168" s="120" t="s">
        <v>372</v>
      </c>
      <c r="AQ168" s="121"/>
      <c r="AR168" s="121"/>
      <c r="AS168" s="121"/>
      <c r="AT168" s="121"/>
      <c r="AU168" s="121"/>
      <c r="AV168" s="121"/>
      <c r="AW168" s="121"/>
      <c r="AX168" s="121"/>
      <c r="AY168" s="124"/>
      <c r="AZ168" s="121"/>
      <c r="BA168" s="121"/>
      <c r="BB168" s="121"/>
      <c r="BC168" s="121"/>
      <c r="BD168" s="121"/>
      <c r="BE168" s="121"/>
      <c r="BF168" s="121"/>
      <c r="BG168" s="121"/>
      <c r="BH168" s="121"/>
      <c r="BI168" s="121"/>
      <c r="BJ168" s="121"/>
      <c r="BK168" s="121"/>
      <c r="BL168" s="121"/>
      <c r="BM168" s="121"/>
      <c r="BN168" s="121"/>
      <c r="BO168" s="121"/>
      <c r="BP168" s="133"/>
      <c r="BQ168" s="133"/>
      <c r="BR168" s="133"/>
      <c r="BS168" s="133"/>
      <c r="BT168" s="295"/>
      <c r="BU168" s="295"/>
      <c r="BV168" s="130"/>
      <c r="BW168" s="130"/>
      <c r="BX168" s="130"/>
      <c r="BY168" s="130"/>
      <c r="BZ168" s="130"/>
      <c r="CA168" s="130"/>
      <c r="CB168" s="131"/>
      <c r="CC168" s="95"/>
      <c r="CD168" s="95"/>
      <c r="CE168" s="181"/>
      <c r="CF168" s="273"/>
      <c r="CG168" s="256"/>
      <c r="CH168" s="256"/>
      <c r="CI168" s="256"/>
      <c r="CJ168" s="256"/>
      <c r="CK168" s="256"/>
      <c r="CL168" s="256"/>
      <c r="CM168" s="256"/>
      <c r="CN168" s="256"/>
      <c r="CO168" s="256"/>
      <c r="CP168" s="256"/>
      <c r="CQ168" s="256"/>
      <c r="CR168" s="256"/>
      <c r="CS168" s="256"/>
      <c r="CT168" s="256"/>
      <c r="CU168" s="256"/>
      <c r="CV168" s="256"/>
      <c r="CW168" s="256"/>
      <c r="CX168" s="256"/>
      <c r="CY168" s="256"/>
      <c r="CZ168" s="256"/>
      <c r="DA168" s="256"/>
      <c r="DB168" s="256"/>
      <c r="DC168" s="256"/>
      <c r="DD168" s="256"/>
      <c r="DE168" s="256"/>
      <c r="DF168" s="256"/>
      <c r="DG168" s="256"/>
      <c r="DH168" s="256"/>
      <c r="DI168" s="256"/>
      <c r="DJ168" s="256"/>
      <c r="DK168" s="256"/>
      <c r="DL168" s="256"/>
      <c r="DM168" s="256"/>
      <c r="DN168" s="256"/>
      <c r="DO168" s="256"/>
      <c r="DP168" s="256"/>
      <c r="DQ168" s="256"/>
      <c r="DR168" s="256"/>
      <c r="DS168" s="256"/>
      <c r="DT168" s="256"/>
      <c r="DU168" s="256"/>
      <c r="DV168" s="256"/>
      <c r="DW168" s="256"/>
      <c r="DX168" s="256"/>
      <c r="DY168" s="256"/>
      <c r="DZ168" s="256"/>
      <c r="EA168" s="256"/>
      <c r="EB168" s="256"/>
      <c r="EC168" s="256"/>
      <c r="ED168" s="256"/>
      <c r="EE168" s="256"/>
      <c r="EF168" s="256"/>
      <c r="EG168" s="256"/>
      <c r="EH168" s="256"/>
      <c r="EI168" s="256"/>
      <c r="EJ168" s="256"/>
      <c r="EK168" s="256"/>
      <c r="EL168" s="256"/>
      <c r="EM168" s="256"/>
      <c r="EN168" s="256"/>
      <c r="EO168" s="256"/>
      <c r="EP168" s="256"/>
      <c r="EQ168" s="256"/>
      <c r="ER168" s="256"/>
      <c r="ES168" s="256"/>
      <c r="ET168" s="256"/>
      <c r="EU168" s="256"/>
      <c r="EV168" s="256"/>
      <c r="EW168" s="256"/>
      <c r="EX168" s="256"/>
      <c r="EY168" s="256"/>
      <c r="EZ168" s="256"/>
      <c r="FA168" s="256"/>
      <c r="FB168" s="256"/>
      <c r="FC168" s="256"/>
      <c r="FD168" s="256"/>
      <c r="FE168" s="256"/>
      <c r="FF168" s="256"/>
      <c r="FG168" s="256"/>
      <c r="FH168" s="256"/>
      <c r="FI168" s="256"/>
      <c r="FJ168" s="256"/>
      <c r="FK168" s="256"/>
      <c r="FL168" s="256"/>
      <c r="FM168" s="256"/>
      <c r="FN168" s="256"/>
      <c r="FO168" s="256"/>
    </row>
    <row r="169" spans="1:171" s="31" customFormat="1" ht="19.5" customHeight="1">
      <c r="A169" s="260"/>
      <c r="B169" s="263"/>
      <c r="C169" s="262"/>
      <c r="D169" s="98"/>
      <c r="E169" s="98"/>
      <c r="F169" s="98"/>
      <c r="G169" s="98"/>
      <c r="H169" s="132" t="s">
        <v>134</v>
      </c>
      <c r="I169" s="133"/>
      <c r="J169" s="133"/>
      <c r="K169" s="133"/>
      <c r="L169" s="133"/>
      <c r="M169" s="133"/>
      <c r="N169" s="133"/>
      <c r="O169" s="133"/>
      <c r="P169" s="133"/>
      <c r="Q169" s="133"/>
      <c r="R169" s="120"/>
      <c r="S169" s="133"/>
      <c r="T169" s="133"/>
      <c r="U169" s="133"/>
      <c r="V169" s="133"/>
      <c r="W169" s="133"/>
      <c r="X169" s="133"/>
      <c r="Y169" s="133"/>
      <c r="Z169" s="133"/>
      <c r="AA169" s="133"/>
      <c r="AB169" s="133"/>
      <c r="AC169" s="133"/>
      <c r="AD169" s="133" t="s">
        <v>317</v>
      </c>
      <c r="AE169" s="133"/>
      <c r="AF169" s="133"/>
      <c r="AG169" s="133"/>
      <c r="AH169" s="133"/>
      <c r="AI169" s="133"/>
      <c r="AJ169" s="133"/>
      <c r="AK169" s="133"/>
      <c r="AL169" s="133"/>
      <c r="AM169" s="133"/>
      <c r="AN169" s="133"/>
      <c r="AO169" s="133"/>
      <c r="AP169" s="120" t="s">
        <v>139</v>
      </c>
      <c r="AQ169" s="121"/>
      <c r="AR169" s="121"/>
      <c r="AS169" s="121"/>
      <c r="AT169" s="121"/>
      <c r="AU169" s="121"/>
      <c r="AV169" s="121"/>
      <c r="AW169" s="121"/>
      <c r="AX169" s="121"/>
      <c r="AY169" s="124"/>
      <c r="AZ169" s="121"/>
      <c r="BA169" s="121"/>
      <c r="BB169" s="121"/>
      <c r="BC169" s="121"/>
      <c r="BD169" s="121"/>
      <c r="BE169" s="121"/>
      <c r="BF169" s="121"/>
      <c r="BG169" s="121"/>
      <c r="BH169" s="121"/>
      <c r="BI169" s="121"/>
      <c r="BJ169" s="121"/>
      <c r="BK169" s="121"/>
      <c r="BL169" s="121"/>
      <c r="BM169" s="121"/>
      <c r="BN169" s="121"/>
      <c r="BO169" s="121"/>
      <c r="BP169" s="133"/>
      <c r="BQ169" s="133"/>
      <c r="BR169" s="133"/>
      <c r="BS169" s="133"/>
      <c r="BT169" s="295"/>
      <c r="BU169" s="295"/>
      <c r="BV169" s="130"/>
      <c r="BW169" s="130"/>
      <c r="BX169" s="130"/>
      <c r="BY169" s="130"/>
      <c r="BZ169" s="130"/>
      <c r="CA169" s="130"/>
      <c r="CB169" s="131"/>
      <c r="CC169" s="95"/>
      <c r="CD169" s="95"/>
      <c r="CE169" s="181"/>
      <c r="CF169" s="273"/>
      <c r="CG169" s="256"/>
      <c r="CH169" s="256"/>
      <c r="CI169" s="256"/>
      <c r="CJ169" s="256"/>
      <c r="CK169" s="256"/>
      <c r="CL169" s="256"/>
      <c r="CM169" s="256"/>
      <c r="CN169" s="256"/>
      <c r="CO169" s="256"/>
      <c r="CP169" s="256"/>
      <c r="CQ169" s="256"/>
      <c r="CR169" s="256"/>
      <c r="CS169" s="256"/>
      <c r="CT169" s="256"/>
      <c r="CU169" s="256"/>
      <c r="CV169" s="256"/>
      <c r="CW169" s="256"/>
      <c r="CX169" s="256"/>
      <c r="CY169" s="256"/>
      <c r="CZ169" s="256"/>
      <c r="DA169" s="256"/>
      <c r="DB169" s="256"/>
      <c r="DC169" s="256"/>
      <c r="DD169" s="256"/>
      <c r="DE169" s="256"/>
      <c r="DF169" s="256"/>
      <c r="DG169" s="256"/>
      <c r="DH169" s="256"/>
      <c r="DI169" s="256"/>
      <c r="DJ169" s="256"/>
      <c r="DK169" s="256"/>
      <c r="DL169" s="256"/>
      <c r="DM169" s="256"/>
      <c r="DN169" s="256"/>
      <c r="DO169" s="256"/>
      <c r="DP169" s="256"/>
      <c r="DQ169" s="256"/>
      <c r="DR169" s="256"/>
      <c r="DS169" s="256"/>
      <c r="DT169" s="256"/>
      <c r="DU169" s="256"/>
      <c r="DV169" s="256"/>
      <c r="DW169" s="256"/>
      <c r="DX169" s="256"/>
      <c r="DY169" s="256"/>
      <c r="DZ169" s="256"/>
      <c r="EA169" s="256"/>
      <c r="EB169" s="256"/>
      <c r="EC169" s="256"/>
      <c r="ED169" s="256"/>
      <c r="EE169" s="256"/>
      <c r="EF169" s="256"/>
      <c r="EG169" s="256"/>
      <c r="EH169" s="256"/>
      <c r="EI169" s="256"/>
      <c r="EJ169" s="256"/>
      <c r="EK169" s="256"/>
      <c r="EL169" s="256"/>
      <c r="EM169" s="256"/>
      <c r="EN169" s="256"/>
      <c r="EO169" s="256"/>
      <c r="EP169" s="256"/>
      <c r="EQ169" s="256"/>
      <c r="ER169" s="256"/>
      <c r="ES169" s="256"/>
      <c r="ET169" s="256"/>
      <c r="EU169" s="256"/>
      <c r="EV169" s="256"/>
      <c r="EW169" s="256"/>
      <c r="EX169" s="256"/>
      <c r="EY169" s="256"/>
      <c r="EZ169" s="256"/>
      <c r="FA169" s="256"/>
      <c r="FB169" s="256"/>
      <c r="FC169" s="256"/>
      <c r="FD169" s="256"/>
      <c r="FE169" s="256"/>
      <c r="FF169" s="256"/>
      <c r="FG169" s="256"/>
      <c r="FH169" s="256"/>
      <c r="FI169" s="256"/>
      <c r="FJ169" s="256"/>
      <c r="FK169" s="256"/>
      <c r="FL169" s="256"/>
      <c r="FM169" s="256"/>
      <c r="FN169" s="256"/>
      <c r="FO169" s="256"/>
    </row>
    <row r="170" spans="1:171" s="31" customFormat="1" ht="19.5" customHeight="1">
      <c r="A170" s="260"/>
      <c r="B170" s="263"/>
      <c r="C170" s="262"/>
      <c r="D170" s="98"/>
      <c r="E170" s="98"/>
      <c r="F170" s="98"/>
      <c r="G170" s="98"/>
      <c r="H170" s="132" t="s">
        <v>304</v>
      </c>
      <c r="I170" s="133"/>
      <c r="J170" s="133"/>
      <c r="K170" s="133"/>
      <c r="L170" s="133"/>
      <c r="M170" s="133"/>
      <c r="N170" s="133"/>
      <c r="O170" s="133"/>
      <c r="P170" s="133"/>
      <c r="Q170" s="133"/>
      <c r="R170" s="120"/>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20" t="s">
        <v>142</v>
      </c>
      <c r="AQ170" s="121"/>
      <c r="AR170" s="121"/>
      <c r="AS170" s="121"/>
      <c r="AT170" s="121"/>
      <c r="AU170" s="121"/>
      <c r="AV170" s="121"/>
      <c r="AW170" s="121"/>
      <c r="AX170" s="121"/>
      <c r="AY170" s="124"/>
      <c r="AZ170" s="121"/>
      <c r="BA170" s="121"/>
      <c r="BB170" s="121"/>
      <c r="BC170" s="121"/>
      <c r="BD170" s="121"/>
      <c r="BE170" s="121"/>
      <c r="BF170" s="121"/>
      <c r="BG170" s="121"/>
      <c r="BH170" s="121"/>
      <c r="BI170" s="121"/>
      <c r="BJ170" s="121"/>
      <c r="BK170" s="121"/>
      <c r="BL170" s="121"/>
      <c r="BM170" s="121"/>
      <c r="BN170" s="121"/>
      <c r="BO170" s="121"/>
      <c r="BP170" s="133"/>
      <c r="BQ170" s="133"/>
      <c r="BR170" s="133"/>
      <c r="BS170" s="133"/>
      <c r="BT170" s="295"/>
      <c r="BU170" s="295"/>
      <c r="BV170" s="130"/>
      <c r="BW170" s="130"/>
      <c r="BX170" s="130"/>
      <c r="BY170" s="130"/>
      <c r="BZ170" s="130"/>
      <c r="CA170" s="130"/>
      <c r="CB170" s="131"/>
      <c r="CC170" s="95"/>
      <c r="CD170" s="95"/>
      <c r="CE170" s="181"/>
      <c r="CF170" s="273"/>
      <c r="CG170" s="256"/>
      <c r="CH170" s="256"/>
      <c r="CI170" s="256"/>
      <c r="CJ170" s="256"/>
      <c r="CK170" s="256"/>
      <c r="CL170" s="256"/>
      <c r="CM170" s="256"/>
      <c r="CN170" s="256"/>
      <c r="CO170" s="256"/>
      <c r="CP170" s="256"/>
      <c r="CQ170" s="256"/>
      <c r="CR170" s="256"/>
      <c r="CS170" s="256"/>
      <c r="CT170" s="256"/>
      <c r="CU170" s="256"/>
      <c r="CV170" s="256"/>
      <c r="CW170" s="256"/>
      <c r="CX170" s="256"/>
      <c r="CY170" s="256"/>
      <c r="CZ170" s="256"/>
      <c r="DA170" s="256"/>
      <c r="DB170" s="256"/>
      <c r="DC170" s="256"/>
      <c r="DD170" s="256"/>
      <c r="DE170" s="256"/>
      <c r="DF170" s="256"/>
      <c r="DG170" s="256"/>
      <c r="DH170" s="256"/>
      <c r="DI170" s="256"/>
      <c r="DJ170" s="256"/>
      <c r="DK170" s="256"/>
      <c r="DL170" s="256"/>
      <c r="DM170" s="256"/>
      <c r="DN170" s="256"/>
      <c r="DO170" s="256"/>
      <c r="DP170" s="256"/>
      <c r="DQ170" s="256"/>
      <c r="DR170" s="256"/>
      <c r="DS170" s="256"/>
      <c r="DT170" s="256"/>
      <c r="DU170" s="256"/>
      <c r="DV170" s="256"/>
      <c r="DW170" s="256"/>
      <c r="DX170" s="256"/>
      <c r="DY170" s="256"/>
      <c r="DZ170" s="256"/>
      <c r="EA170" s="256"/>
      <c r="EB170" s="256"/>
      <c r="EC170" s="256"/>
      <c r="ED170" s="256"/>
      <c r="EE170" s="256"/>
      <c r="EF170" s="256"/>
      <c r="EG170" s="256"/>
      <c r="EH170" s="256"/>
      <c r="EI170" s="256"/>
      <c r="EJ170" s="256"/>
      <c r="EK170" s="256"/>
      <c r="EL170" s="256"/>
      <c r="EM170" s="256"/>
      <c r="EN170" s="256"/>
      <c r="EO170" s="256"/>
      <c r="EP170" s="256"/>
      <c r="EQ170" s="256"/>
      <c r="ER170" s="256"/>
      <c r="ES170" s="256"/>
      <c r="ET170" s="256"/>
      <c r="EU170" s="256"/>
      <c r="EV170" s="256"/>
      <c r="EW170" s="256"/>
      <c r="EX170" s="256"/>
      <c r="EY170" s="256"/>
      <c r="EZ170" s="256"/>
      <c r="FA170" s="256"/>
      <c r="FB170" s="256"/>
      <c r="FC170" s="256"/>
      <c r="FD170" s="256"/>
      <c r="FE170" s="256"/>
      <c r="FF170" s="256"/>
      <c r="FG170" s="256"/>
      <c r="FH170" s="256"/>
      <c r="FI170" s="256"/>
      <c r="FJ170" s="256"/>
      <c r="FK170" s="256"/>
      <c r="FL170" s="256"/>
      <c r="FM170" s="256"/>
      <c r="FN170" s="256"/>
      <c r="FO170" s="256"/>
    </row>
    <row r="171" spans="1:171" s="31" customFormat="1" ht="19.5" customHeight="1">
      <c r="A171" s="260"/>
      <c r="B171" s="263"/>
      <c r="C171" s="262"/>
      <c r="D171" s="98"/>
      <c r="E171" s="98"/>
      <c r="F171" s="98"/>
      <c r="G171" s="98"/>
      <c r="H171" s="404"/>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405"/>
      <c r="AF171" s="405"/>
      <c r="AG171" s="405"/>
      <c r="AH171" s="405"/>
      <c r="AI171" s="405"/>
      <c r="AJ171" s="405"/>
      <c r="AK171" s="405"/>
      <c r="AL171" s="405"/>
      <c r="AM171" s="405"/>
      <c r="AN171" s="405"/>
      <c r="AO171" s="405"/>
      <c r="AP171" s="405"/>
      <c r="AQ171" s="405"/>
      <c r="AR171" s="405"/>
      <c r="AS171" s="405"/>
      <c r="AT171" s="405"/>
      <c r="AU171" s="405"/>
      <c r="AV171" s="405"/>
      <c r="AW171" s="405"/>
      <c r="AX171" s="405"/>
      <c r="AY171" s="405"/>
      <c r="AZ171" s="405"/>
      <c r="BA171" s="405"/>
      <c r="BB171" s="405"/>
      <c r="BC171" s="405"/>
      <c r="BD171" s="405"/>
      <c r="BE171" s="405"/>
      <c r="BF171" s="405"/>
      <c r="BG171" s="405"/>
      <c r="BH171" s="405"/>
      <c r="BI171" s="405"/>
      <c r="BJ171" s="405"/>
      <c r="BK171" s="405"/>
      <c r="BL171" s="405"/>
      <c r="BM171" s="405"/>
      <c r="BN171" s="405"/>
      <c r="BO171" s="405"/>
      <c r="BP171" s="405"/>
      <c r="BQ171" s="405"/>
      <c r="BR171" s="405"/>
      <c r="BS171" s="405"/>
      <c r="BT171" s="405"/>
      <c r="BU171" s="405"/>
      <c r="BV171" s="405"/>
      <c r="BW171" s="405"/>
      <c r="BX171" s="405"/>
      <c r="BY171" s="405"/>
      <c r="BZ171" s="405"/>
      <c r="CA171" s="405"/>
      <c r="CB171" s="406"/>
      <c r="CC171" s="95"/>
      <c r="CD171" s="95"/>
      <c r="CE171" s="181"/>
      <c r="CF171" s="273"/>
      <c r="CG171" s="256"/>
      <c r="CH171" s="256"/>
      <c r="CI171" s="256"/>
      <c r="CJ171" s="256"/>
      <c r="CK171" s="256"/>
      <c r="CL171" s="256"/>
      <c r="CM171" s="256"/>
      <c r="CN171" s="256"/>
      <c r="CO171" s="256"/>
      <c r="CP171" s="256"/>
      <c r="CQ171" s="256"/>
      <c r="CR171" s="256"/>
      <c r="CS171" s="256"/>
      <c r="CT171" s="256"/>
      <c r="CU171" s="256"/>
      <c r="CV171" s="256"/>
      <c r="CW171" s="256"/>
      <c r="CX171" s="256"/>
      <c r="CY171" s="256"/>
      <c r="CZ171" s="256"/>
      <c r="DA171" s="256"/>
      <c r="DB171" s="256"/>
      <c r="DC171" s="256"/>
      <c r="DD171" s="256"/>
      <c r="DE171" s="256"/>
      <c r="DF171" s="256"/>
      <c r="DG171" s="256"/>
      <c r="DH171" s="256"/>
      <c r="DI171" s="256"/>
      <c r="DJ171" s="256"/>
      <c r="DK171" s="256"/>
      <c r="DL171" s="256"/>
      <c r="DM171" s="256"/>
      <c r="DN171" s="256"/>
      <c r="DO171" s="256"/>
      <c r="DP171" s="256"/>
      <c r="DQ171" s="256"/>
      <c r="DR171" s="256"/>
      <c r="DS171" s="256"/>
      <c r="DT171" s="256"/>
      <c r="DU171" s="256"/>
      <c r="DV171" s="256"/>
      <c r="DW171" s="256"/>
      <c r="DX171" s="256"/>
      <c r="DY171" s="256"/>
      <c r="DZ171" s="256"/>
      <c r="EA171" s="256"/>
      <c r="EB171" s="256"/>
      <c r="EC171" s="256"/>
      <c r="ED171" s="256"/>
      <c r="EE171" s="256"/>
      <c r="EF171" s="256"/>
      <c r="EG171" s="256"/>
      <c r="EH171" s="256"/>
      <c r="EI171" s="256"/>
      <c r="EJ171" s="256"/>
      <c r="EK171" s="256"/>
      <c r="EL171" s="256"/>
      <c r="EM171" s="256"/>
      <c r="EN171" s="256"/>
      <c r="EO171" s="256"/>
      <c r="EP171" s="256"/>
      <c r="EQ171" s="256"/>
      <c r="ER171" s="256"/>
      <c r="ES171" s="256"/>
      <c r="ET171" s="256"/>
      <c r="EU171" s="256"/>
      <c r="EV171" s="256"/>
      <c r="EW171" s="256"/>
      <c r="EX171" s="256"/>
      <c r="EY171" s="256"/>
      <c r="EZ171" s="256"/>
      <c r="FA171" s="256"/>
      <c r="FB171" s="256"/>
      <c r="FC171" s="256"/>
      <c r="FD171" s="256"/>
      <c r="FE171" s="256"/>
      <c r="FF171" s="256"/>
      <c r="FG171" s="256"/>
      <c r="FH171" s="256"/>
      <c r="FI171" s="256"/>
      <c r="FJ171" s="256"/>
      <c r="FK171" s="256"/>
      <c r="FL171" s="256"/>
      <c r="FM171" s="256"/>
      <c r="FN171" s="256"/>
      <c r="FO171" s="256"/>
    </row>
    <row r="172" spans="1:171" s="31" customFormat="1" ht="19.5" customHeight="1">
      <c r="A172" s="260"/>
      <c r="B172" s="263"/>
      <c r="C172" s="262"/>
      <c r="D172" s="98"/>
      <c r="E172" s="98"/>
      <c r="F172" s="98"/>
      <c r="G172" s="98"/>
      <c r="H172" s="183"/>
      <c r="I172" s="183"/>
      <c r="J172" s="183"/>
      <c r="K172" s="183"/>
      <c r="L172" s="183"/>
      <c r="M172" s="183"/>
      <c r="N172" s="184"/>
      <c r="O172" s="184"/>
      <c r="P172" s="184"/>
      <c r="Q172" s="184"/>
      <c r="R172" s="184"/>
      <c r="S172" s="184"/>
      <c r="T172" s="184"/>
      <c r="U172" s="184"/>
      <c r="V172" s="184"/>
      <c r="W172" s="184"/>
      <c r="X172" s="184"/>
      <c r="Y172" s="184"/>
      <c r="Z172" s="184"/>
      <c r="AA172" s="184"/>
      <c r="AB172" s="184"/>
      <c r="AC172" s="184"/>
      <c r="AD172" s="184"/>
      <c r="AE172" s="184"/>
      <c r="AF172" s="184"/>
      <c r="AG172" s="184"/>
      <c r="AH172" s="184"/>
      <c r="AI172" s="184"/>
      <c r="AJ172" s="184"/>
      <c r="AK172" s="184"/>
      <c r="AL172" s="184"/>
      <c r="AM172" s="184"/>
      <c r="AN172" s="184"/>
      <c r="AO172" s="184"/>
      <c r="AP172" s="184"/>
      <c r="AQ172" s="184"/>
      <c r="AR172" s="184"/>
      <c r="AS172" s="184"/>
      <c r="AT172" s="184"/>
      <c r="AU172" s="184"/>
      <c r="AV172" s="184"/>
      <c r="AW172" s="184"/>
      <c r="AX172" s="184"/>
      <c r="AY172" s="184"/>
      <c r="AZ172" s="184"/>
      <c r="BA172" s="184"/>
      <c r="BB172" s="184"/>
      <c r="BC172" s="184"/>
      <c r="BD172" s="184"/>
      <c r="BE172" s="184"/>
      <c r="BF172" s="184"/>
      <c r="BG172" s="184"/>
      <c r="BH172" s="184"/>
      <c r="BI172" s="184"/>
      <c r="BJ172" s="184"/>
      <c r="BK172" s="184"/>
      <c r="BL172" s="184"/>
      <c r="BM172" s="183"/>
      <c r="BN172" s="183"/>
      <c r="BO172" s="184"/>
      <c r="BP172" s="184"/>
      <c r="BQ172" s="184"/>
      <c r="BR172" s="184"/>
      <c r="BS172" s="184"/>
      <c r="BT172" s="184"/>
      <c r="BU172" s="184"/>
      <c r="BV172" s="184"/>
      <c r="BW172" s="184"/>
      <c r="BX172" s="179"/>
      <c r="BY172" s="179"/>
      <c r="BZ172" s="179"/>
      <c r="CA172" s="179"/>
      <c r="CB172" s="179"/>
      <c r="CC172" s="95"/>
      <c r="CD172" s="95"/>
      <c r="CE172" s="181"/>
      <c r="CF172" s="273"/>
      <c r="CG172" s="256"/>
      <c r="CH172" s="256"/>
      <c r="CI172" s="256"/>
      <c r="CJ172" s="256"/>
      <c r="CK172" s="256"/>
      <c r="CL172" s="256"/>
      <c r="CM172" s="256"/>
      <c r="CN172" s="256"/>
      <c r="CO172" s="256"/>
      <c r="CP172" s="256"/>
      <c r="CQ172" s="256"/>
      <c r="CR172" s="256"/>
      <c r="CS172" s="256"/>
      <c r="CT172" s="256"/>
      <c r="CU172" s="256"/>
      <c r="CV172" s="256"/>
      <c r="CW172" s="256"/>
      <c r="CX172" s="256"/>
      <c r="CY172" s="256"/>
      <c r="CZ172" s="256"/>
      <c r="DA172" s="256"/>
      <c r="DB172" s="256"/>
      <c r="DC172" s="256"/>
      <c r="DD172" s="256"/>
      <c r="DE172" s="256"/>
      <c r="DF172" s="256"/>
      <c r="DG172" s="256"/>
      <c r="DH172" s="256"/>
      <c r="DI172" s="256"/>
      <c r="DJ172" s="256"/>
      <c r="DK172" s="256"/>
      <c r="DL172" s="256"/>
      <c r="DM172" s="256"/>
      <c r="DN172" s="256"/>
      <c r="DO172" s="256"/>
      <c r="DP172" s="256"/>
      <c r="DQ172" s="256"/>
      <c r="DR172" s="256"/>
      <c r="DS172" s="256"/>
      <c r="DT172" s="256"/>
      <c r="DU172" s="256"/>
      <c r="DV172" s="256"/>
      <c r="DW172" s="256"/>
      <c r="DX172" s="256"/>
      <c r="DY172" s="256"/>
      <c r="DZ172" s="256"/>
      <c r="EA172" s="256"/>
      <c r="EB172" s="256"/>
      <c r="EC172" s="256"/>
      <c r="ED172" s="256"/>
      <c r="EE172" s="256"/>
      <c r="EF172" s="256"/>
      <c r="EG172" s="256"/>
      <c r="EH172" s="256"/>
      <c r="EI172" s="256"/>
      <c r="EJ172" s="256"/>
      <c r="EK172" s="256"/>
      <c r="EL172" s="256"/>
      <c r="EM172" s="256"/>
      <c r="EN172" s="256"/>
      <c r="EO172" s="256"/>
      <c r="EP172" s="256"/>
      <c r="EQ172" s="256"/>
      <c r="ER172" s="256"/>
      <c r="ES172" s="256"/>
      <c r="ET172" s="256"/>
      <c r="EU172" s="256"/>
      <c r="EV172" s="256"/>
      <c r="EW172" s="256"/>
      <c r="EX172" s="256"/>
      <c r="EY172" s="256"/>
      <c r="EZ172" s="256"/>
      <c r="FA172" s="256"/>
      <c r="FB172" s="256"/>
      <c r="FC172" s="256"/>
      <c r="FD172" s="256"/>
      <c r="FE172" s="256"/>
      <c r="FF172" s="256"/>
      <c r="FG172" s="256"/>
      <c r="FH172" s="256"/>
      <c r="FI172" s="256"/>
      <c r="FJ172" s="256"/>
      <c r="FK172" s="256"/>
      <c r="FL172" s="256"/>
      <c r="FM172" s="256"/>
      <c r="FN172" s="256"/>
      <c r="FO172" s="256"/>
    </row>
    <row r="173" spans="1:171" s="31" customFormat="1" ht="19.5" customHeight="1">
      <c r="A173" s="260"/>
      <c r="B173" s="263"/>
      <c r="C173" s="262"/>
      <c r="D173" s="98"/>
      <c r="E173" s="98"/>
      <c r="F173" s="98"/>
      <c r="G173" s="98"/>
      <c r="H173" s="183"/>
      <c r="I173" s="183"/>
      <c r="J173" s="183"/>
      <c r="K173" s="183"/>
      <c r="L173" s="183"/>
      <c r="M173" s="183"/>
      <c r="N173" s="184"/>
      <c r="O173" s="184"/>
      <c r="P173" s="184"/>
      <c r="Q173" s="184"/>
      <c r="R173" s="184"/>
      <c r="S173" s="184"/>
      <c r="T173" s="184"/>
      <c r="U173" s="184"/>
      <c r="V173" s="184"/>
      <c r="W173" s="184"/>
      <c r="X173" s="184"/>
      <c r="Y173" s="184"/>
      <c r="Z173" s="184"/>
      <c r="AA173" s="184"/>
      <c r="AB173" s="184"/>
      <c r="AC173" s="184"/>
      <c r="AD173" s="184"/>
      <c r="AE173" s="184"/>
      <c r="AF173" s="184"/>
      <c r="AG173" s="184"/>
      <c r="AH173" s="184"/>
      <c r="AI173" s="184"/>
      <c r="AJ173" s="184"/>
      <c r="AK173" s="184"/>
      <c r="AL173" s="184"/>
      <c r="AM173" s="184"/>
      <c r="AN173" s="184"/>
      <c r="AO173" s="184"/>
      <c r="AP173" s="184"/>
      <c r="AQ173" s="184"/>
      <c r="AR173" s="184"/>
      <c r="AS173" s="184"/>
      <c r="AT173" s="184"/>
      <c r="AU173" s="184"/>
      <c r="AV173" s="184"/>
      <c r="AW173" s="184"/>
      <c r="AX173" s="184"/>
      <c r="AY173" s="184"/>
      <c r="AZ173" s="184"/>
      <c r="BA173" s="184"/>
      <c r="BB173" s="184"/>
      <c r="BC173" s="184"/>
      <c r="BD173" s="184"/>
      <c r="BE173" s="184"/>
      <c r="BF173" s="184"/>
      <c r="BG173" s="184"/>
      <c r="BH173" s="184"/>
      <c r="BI173" s="184"/>
      <c r="BJ173" s="184"/>
      <c r="BK173" s="184"/>
      <c r="BL173" s="184"/>
      <c r="BM173" s="183"/>
      <c r="BN173" s="183"/>
      <c r="BO173" s="184"/>
      <c r="BP173" s="184"/>
      <c r="BQ173" s="184"/>
      <c r="BR173" s="184"/>
      <c r="BS173" s="184"/>
      <c r="BT173" s="184"/>
      <c r="BU173" s="184"/>
      <c r="BV173" s="184"/>
      <c r="BW173" s="184"/>
      <c r="BX173" s="179"/>
      <c r="BY173" s="179"/>
      <c r="BZ173" s="179"/>
      <c r="CA173" s="179"/>
      <c r="CB173" s="179"/>
      <c r="CC173" s="95"/>
      <c r="CD173" s="95"/>
      <c r="CE173" s="181"/>
      <c r="CF173" s="273"/>
      <c r="CG173" s="256"/>
      <c r="CH173" s="256"/>
      <c r="CI173" s="256"/>
      <c r="CJ173" s="256"/>
      <c r="CK173" s="256"/>
      <c r="CL173" s="256"/>
      <c r="CM173" s="256"/>
      <c r="CN173" s="256"/>
      <c r="CO173" s="256"/>
      <c r="CP173" s="256"/>
      <c r="CQ173" s="256"/>
      <c r="CR173" s="256"/>
      <c r="CS173" s="256"/>
      <c r="CT173" s="256"/>
      <c r="CU173" s="256"/>
      <c r="CV173" s="256"/>
      <c r="CW173" s="256"/>
      <c r="CX173" s="256"/>
      <c r="CY173" s="256"/>
      <c r="CZ173" s="256"/>
      <c r="DA173" s="256"/>
      <c r="DB173" s="256"/>
      <c r="DC173" s="256"/>
      <c r="DD173" s="256"/>
      <c r="DE173" s="256"/>
      <c r="DF173" s="256"/>
      <c r="DG173" s="256"/>
      <c r="DH173" s="256"/>
      <c r="DI173" s="256"/>
      <c r="DJ173" s="256"/>
      <c r="DK173" s="256"/>
      <c r="DL173" s="256"/>
      <c r="DM173" s="256"/>
      <c r="DN173" s="256"/>
      <c r="DO173" s="256"/>
      <c r="DP173" s="256"/>
      <c r="DQ173" s="256"/>
      <c r="DR173" s="256"/>
      <c r="DS173" s="256"/>
      <c r="DT173" s="256"/>
      <c r="DU173" s="256"/>
      <c r="DV173" s="256"/>
      <c r="DW173" s="256"/>
      <c r="DX173" s="256"/>
      <c r="DY173" s="256"/>
      <c r="DZ173" s="256"/>
      <c r="EA173" s="256"/>
      <c r="EB173" s="256"/>
      <c r="EC173" s="256"/>
      <c r="ED173" s="256"/>
      <c r="EE173" s="256"/>
      <c r="EF173" s="256"/>
      <c r="EG173" s="256"/>
      <c r="EH173" s="256"/>
      <c r="EI173" s="256"/>
      <c r="EJ173" s="256"/>
      <c r="EK173" s="256"/>
      <c r="EL173" s="256"/>
      <c r="EM173" s="256"/>
      <c r="EN173" s="256"/>
      <c r="EO173" s="256"/>
      <c r="EP173" s="256"/>
      <c r="EQ173" s="256"/>
      <c r="ER173" s="256"/>
      <c r="ES173" s="256"/>
      <c r="ET173" s="256"/>
      <c r="EU173" s="256"/>
      <c r="EV173" s="256"/>
      <c r="EW173" s="256"/>
      <c r="EX173" s="256"/>
      <c r="EY173" s="256"/>
      <c r="EZ173" s="256"/>
      <c r="FA173" s="256"/>
      <c r="FB173" s="256"/>
      <c r="FC173" s="256"/>
      <c r="FD173" s="256"/>
      <c r="FE173" s="256"/>
      <c r="FF173" s="256"/>
      <c r="FG173" s="256"/>
      <c r="FH173" s="256"/>
      <c r="FI173" s="256"/>
      <c r="FJ173" s="256"/>
      <c r="FK173" s="256"/>
      <c r="FL173" s="256"/>
      <c r="FM173" s="256"/>
      <c r="FN173" s="256"/>
      <c r="FO173" s="256"/>
    </row>
    <row r="174" spans="1:171" s="31" customFormat="1" ht="19.5" customHeight="1">
      <c r="A174" s="260"/>
      <c r="B174" s="263"/>
      <c r="C174" s="262"/>
      <c r="D174" s="98"/>
      <c r="E174" s="98"/>
      <c r="F174" s="98"/>
      <c r="G174" s="98"/>
      <c r="H174" s="404" t="s">
        <v>85</v>
      </c>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405"/>
      <c r="AF174" s="405"/>
      <c r="AG174" s="405"/>
      <c r="AH174" s="405"/>
      <c r="AI174" s="405"/>
      <c r="AJ174" s="405"/>
      <c r="AK174" s="405"/>
      <c r="AL174" s="405"/>
      <c r="AM174" s="405"/>
      <c r="AN174" s="405"/>
      <c r="AO174" s="405"/>
      <c r="AP174" s="405"/>
      <c r="AQ174" s="405"/>
      <c r="AR174" s="405"/>
      <c r="AS174" s="405"/>
      <c r="AT174" s="405"/>
      <c r="AU174" s="405"/>
      <c r="AV174" s="405"/>
      <c r="AW174" s="405"/>
      <c r="AX174" s="405"/>
      <c r="AY174" s="405"/>
      <c r="AZ174" s="405"/>
      <c r="BA174" s="405"/>
      <c r="BB174" s="405"/>
      <c r="BC174" s="405"/>
      <c r="BD174" s="405"/>
      <c r="BE174" s="405"/>
      <c r="BF174" s="405"/>
      <c r="BG174" s="405"/>
      <c r="BH174" s="405"/>
      <c r="BI174" s="405"/>
      <c r="BJ174" s="405"/>
      <c r="BK174" s="405"/>
      <c r="BL174" s="405"/>
      <c r="BM174" s="405"/>
      <c r="BN174" s="405"/>
      <c r="BO174" s="405"/>
      <c r="BP174" s="405"/>
      <c r="BQ174" s="405"/>
      <c r="BR174" s="405"/>
      <c r="BS174" s="405"/>
      <c r="BT174" s="405"/>
      <c r="BU174" s="405"/>
      <c r="BV174" s="405"/>
      <c r="BW174" s="405"/>
      <c r="BX174" s="405"/>
      <c r="BY174" s="405"/>
      <c r="BZ174" s="405"/>
      <c r="CA174" s="405"/>
      <c r="CB174" s="406"/>
      <c r="CC174" s="95"/>
      <c r="CD174" s="95"/>
      <c r="CE174" s="181"/>
      <c r="CF174" s="273"/>
      <c r="CG174" s="256"/>
      <c r="CH174" s="256"/>
      <c r="CI174" s="256"/>
      <c r="CJ174" s="256"/>
      <c r="CK174" s="256"/>
      <c r="CL174" s="256"/>
      <c r="CM174" s="256"/>
      <c r="CN174" s="256"/>
      <c r="CO174" s="256"/>
      <c r="CP174" s="256"/>
      <c r="CQ174" s="256"/>
      <c r="CR174" s="256"/>
      <c r="CS174" s="256"/>
      <c r="CT174" s="256"/>
      <c r="CU174" s="256"/>
      <c r="CV174" s="256"/>
      <c r="CW174" s="256"/>
      <c r="CX174" s="256"/>
      <c r="CY174" s="256"/>
      <c r="CZ174" s="256"/>
      <c r="DA174" s="256"/>
      <c r="DB174" s="256"/>
      <c r="DC174" s="256"/>
      <c r="DD174" s="256"/>
      <c r="DE174" s="256"/>
      <c r="DF174" s="256"/>
      <c r="DG174" s="256"/>
      <c r="DH174" s="256"/>
      <c r="DI174" s="256"/>
      <c r="DJ174" s="256"/>
      <c r="DK174" s="256"/>
      <c r="DL174" s="256"/>
      <c r="DM174" s="256"/>
      <c r="DN174" s="256"/>
      <c r="DO174" s="256"/>
      <c r="DP174" s="256"/>
      <c r="DQ174" s="256"/>
      <c r="DR174" s="256"/>
      <c r="DS174" s="256"/>
      <c r="DT174" s="256"/>
      <c r="DU174" s="256"/>
      <c r="DV174" s="256"/>
      <c r="DW174" s="256"/>
      <c r="DX174" s="256"/>
      <c r="DY174" s="256"/>
      <c r="DZ174" s="256"/>
      <c r="EA174" s="256"/>
      <c r="EB174" s="256"/>
      <c r="EC174" s="256"/>
      <c r="ED174" s="256"/>
      <c r="EE174" s="256"/>
      <c r="EF174" s="256"/>
      <c r="EG174" s="256"/>
      <c r="EH174" s="256"/>
      <c r="EI174" s="256"/>
      <c r="EJ174" s="256"/>
      <c r="EK174" s="256"/>
      <c r="EL174" s="256"/>
      <c r="EM174" s="256"/>
      <c r="EN174" s="256"/>
      <c r="EO174" s="256"/>
      <c r="EP174" s="256"/>
      <c r="EQ174" s="256"/>
      <c r="ER174" s="256"/>
      <c r="ES174" s="256"/>
      <c r="ET174" s="256"/>
      <c r="EU174" s="256"/>
      <c r="EV174" s="256"/>
      <c r="EW174" s="256"/>
      <c r="EX174" s="256"/>
      <c r="EY174" s="256"/>
      <c r="EZ174" s="256"/>
      <c r="FA174" s="256"/>
      <c r="FB174" s="256"/>
      <c r="FC174" s="256"/>
      <c r="FD174" s="256"/>
      <c r="FE174" s="256"/>
      <c r="FF174" s="256"/>
      <c r="FG174" s="256"/>
      <c r="FH174" s="256"/>
      <c r="FI174" s="256"/>
      <c r="FJ174" s="256"/>
      <c r="FK174" s="256"/>
      <c r="FL174" s="256"/>
      <c r="FM174" s="256"/>
      <c r="FN174" s="256"/>
      <c r="FO174" s="256"/>
    </row>
    <row r="175" spans="1:171" s="31" customFormat="1" ht="19.5" customHeight="1">
      <c r="A175" s="260"/>
      <c r="B175" s="263"/>
      <c r="C175" s="262"/>
      <c r="D175" s="98"/>
      <c r="E175" s="98"/>
      <c r="F175" s="98"/>
      <c r="G175" s="98"/>
      <c r="H175" s="168" t="s">
        <v>220</v>
      </c>
      <c r="I175" s="169"/>
      <c r="J175" s="169"/>
      <c r="K175" s="169"/>
      <c r="L175" s="169"/>
      <c r="M175" s="169"/>
      <c r="N175" s="169"/>
      <c r="O175" s="169"/>
      <c r="P175" s="169"/>
      <c r="Q175" s="169"/>
      <c r="R175" s="169"/>
      <c r="S175" s="169"/>
      <c r="T175" s="170"/>
      <c r="U175" s="171" t="s">
        <v>96</v>
      </c>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8" t="s">
        <v>97</v>
      </c>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3"/>
      <c r="CC175" s="179"/>
      <c r="CD175" s="95"/>
      <c r="CE175" s="181"/>
      <c r="CF175" s="273"/>
      <c r="CG175" s="256"/>
      <c r="CH175" s="256"/>
      <c r="CI175" s="256"/>
      <c r="CJ175" s="256"/>
      <c r="CK175" s="256"/>
      <c r="CL175" s="256"/>
      <c r="CM175" s="256"/>
      <c r="CN175" s="256"/>
      <c r="CO175" s="256"/>
      <c r="CP175" s="256"/>
      <c r="CQ175" s="256"/>
      <c r="CR175" s="256"/>
      <c r="CS175" s="256"/>
      <c r="CT175" s="256"/>
      <c r="CU175" s="256"/>
      <c r="CV175" s="256"/>
      <c r="CW175" s="256"/>
      <c r="CX175" s="256"/>
      <c r="CY175" s="256"/>
      <c r="CZ175" s="256"/>
      <c r="DA175" s="256"/>
      <c r="DB175" s="256"/>
      <c r="DC175" s="256"/>
      <c r="DD175" s="256"/>
      <c r="DE175" s="256"/>
      <c r="DF175" s="256"/>
      <c r="DG175" s="256"/>
      <c r="DH175" s="256"/>
      <c r="DI175" s="256"/>
      <c r="DJ175" s="256"/>
      <c r="DK175" s="256"/>
      <c r="DL175" s="256"/>
      <c r="DM175" s="256"/>
      <c r="DN175" s="256"/>
      <c r="DO175" s="256"/>
      <c r="DP175" s="256"/>
      <c r="DQ175" s="256"/>
      <c r="DR175" s="256"/>
      <c r="DS175" s="256"/>
      <c r="DT175" s="256"/>
      <c r="DU175" s="256"/>
      <c r="DV175" s="256"/>
      <c r="DW175" s="256"/>
      <c r="DX175" s="256"/>
      <c r="DY175" s="256"/>
      <c r="DZ175" s="256"/>
      <c r="EA175" s="256"/>
      <c r="EB175" s="256"/>
      <c r="EC175" s="256"/>
      <c r="ED175" s="256"/>
      <c r="EE175" s="256"/>
      <c r="EF175" s="256"/>
      <c r="EG175" s="256"/>
      <c r="EH175" s="256"/>
      <c r="EI175" s="256"/>
      <c r="EJ175" s="256"/>
      <c r="EK175" s="256"/>
      <c r="EL175" s="256"/>
      <c r="EM175" s="256"/>
      <c r="EN175" s="256"/>
      <c r="EO175" s="256"/>
      <c r="EP175" s="256"/>
      <c r="EQ175" s="256"/>
      <c r="ER175" s="256"/>
      <c r="ES175" s="256"/>
      <c r="ET175" s="256"/>
      <c r="EU175" s="256"/>
      <c r="EV175" s="256"/>
      <c r="EW175" s="256"/>
      <c r="EX175" s="256"/>
      <c r="EY175" s="256"/>
      <c r="EZ175" s="256"/>
      <c r="FA175" s="256"/>
      <c r="FB175" s="256"/>
      <c r="FC175" s="256"/>
      <c r="FD175" s="256"/>
      <c r="FE175" s="256"/>
      <c r="FF175" s="256"/>
      <c r="FG175" s="256"/>
      <c r="FH175" s="256"/>
      <c r="FI175" s="256"/>
      <c r="FJ175" s="256"/>
      <c r="FK175" s="256"/>
      <c r="FL175" s="256"/>
      <c r="FM175" s="256"/>
      <c r="FN175" s="256"/>
      <c r="FO175" s="256"/>
    </row>
    <row r="176" spans="1:171" s="31" customFormat="1" ht="19.5" customHeight="1">
      <c r="A176" s="260"/>
      <c r="B176" s="263"/>
      <c r="C176" s="262"/>
      <c r="D176" s="98"/>
      <c r="E176" s="98"/>
      <c r="F176" s="98"/>
      <c r="G176" s="98"/>
      <c r="H176" s="134"/>
      <c r="I176" s="135" t="s">
        <v>89</v>
      </c>
      <c r="J176" s="135"/>
      <c r="K176" s="135"/>
      <c r="L176" s="135"/>
      <c r="M176" s="135"/>
      <c r="N176" s="136"/>
      <c r="O176" s="135"/>
      <c r="P176" s="135"/>
      <c r="Q176" s="135"/>
      <c r="R176" s="135"/>
      <c r="S176" s="137"/>
      <c r="T176" s="137"/>
      <c r="U176" s="138"/>
      <c r="V176" s="602">
        <v>1000</v>
      </c>
      <c r="W176" s="602"/>
      <c r="X176" s="602"/>
      <c r="Y176" s="602"/>
      <c r="Z176" s="602"/>
      <c r="AA176" s="602"/>
      <c r="AB176" s="602"/>
      <c r="AC176" s="602"/>
      <c r="AD176" s="602"/>
      <c r="AE176" s="602"/>
      <c r="AF176" s="602"/>
      <c r="AG176" s="602"/>
      <c r="AH176" s="602"/>
      <c r="AI176" s="602"/>
      <c r="AJ176" s="602"/>
      <c r="AK176" s="602"/>
      <c r="AL176" s="602"/>
      <c r="AM176" s="602"/>
      <c r="AN176" s="602"/>
      <c r="AO176" s="602"/>
      <c r="AP176" s="602"/>
      <c r="AQ176" s="602"/>
      <c r="AR176" s="602"/>
      <c r="AS176" s="602"/>
      <c r="AT176" s="602"/>
      <c r="AU176" s="602"/>
      <c r="AV176" s="602"/>
      <c r="AW176" s="602"/>
      <c r="AX176" s="139"/>
      <c r="AY176" s="135"/>
      <c r="AZ176" s="594"/>
      <c r="BA176" s="595"/>
      <c r="BB176" s="595"/>
      <c r="BC176" s="595"/>
      <c r="BD176" s="595"/>
      <c r="BE176" s="595"/>
      <c r="BF176" s="595"/>
      <c r="BG176" s="595"/>
      <c r="BH176" s="595"/>
      <c r="BI176" s="595"/>
      <c r="BJ176" s="595"/>
      <c r="BK176" s="595"/>
      <c r="BL176" s="595"/>
      <c r="BM176" s="595"/>
      <c r="BN176" s="595"/>
      <c r="BO176" s="595"/>
      <c r="BP176" s="595"/>
      <c r="BQ176" s="595"/>
      <c r="BR176" s="595"/>
      <c r="BS176" s="595"/>
      <c r="BT176" s="595"/>
      <c r="BU176" s="595"/>
      <c r="BV176" s="595"/>
      <c r="BW176" s="595"/>
      <c r="BX176" s="595"/>
      <c r="BY176" s="595"/>
      <c r="BZ176" s="595"/>
      <c r="CA176" s="595"/>
      <c r="CB176" s="139"/>
      <c r="CC176" s="179"/>
      <c r="CD176" s="95"/>
      <c r="CE176" s="181"/>
      <c r="CF176" s="273"/>
      <c r="CG176" s="256"/>
      <c r="CH176" s="256"/>
      <c r="CI176" s="256"/>
      <c r="CJ176" s="256"/>
      <c r="CK176" s="256"/>
      <c r="CL176" s="256"/>
      <c r="CM176" s="256"/>
      <c r="CN176" s="256"/>
      <c r="CO176" s="256"/>
      <c r="CP176" s="256"/>
      <c r="CQ176" s="256"/>
      <c r="CR176" s="256"/>
      <c r="CS176" s="256"/>
      <c r="CT176" s="256"/>
      <c r="CU176" s="256"/>
      <c r="CV176" s="256"/>
      <c r="CW176" s="256"/>
      <c r="CX176" s="256"/>
      <c r="CY176" s="256"/>
      <c r="CZ176" s="256"/>
      <c r="DA176" s="256"/>
      <c r="DB176" s="256"/>
      <c r="DC176" s="256"/>
      <c r="DD176" s="256"/>
      <c r="DE176" s="256"/>
      <c r="DF176" s="256"/>
      <c r="DG176" s="256"/>
      <c r="DH176" s="256"/>
      <c r="DI176" s="256"/>
      <c r="DJ176" s="256"/>
      <c r="DK176" s="256"/>
      <c r="DL176" s="256"/>
      <c r="DM176" s="256"/>
      <c r="DN176" s="256"/>
      <c r="DO176" s="256"/>
      <c r="DP176" s="256"/>
      <c r="DQ176" s="256"/>
      <c r="DR176" s="256"/>
      <c r="DS176" s="256"/>
      <c r="DT176" s="256"/>
      <c r="DU176" s="256"/>
      <c r="DV176" s="256"/>
      <c r="DW176" s="256"/>
      <c r="DX176" s="256"/>
      <c r="DY176" s="256"/>
      <c r="DZ176" s="256"/>
      <c r="EA176" s="256"/>
      <c r="EB176" s="256"/>
      <c r="EC176" s="256"/>
      <c r="ED176" s="256"/>
      <c r="EE176" s="256"/>
      <c r="EF176" s="256"/>
      <c r="EG176" s="256"/>
      <c r="EH176" s="256"/>
      <c r="EI176" s="256"/>
      <c r="EJ176" s="256"/>
      <c r="EK176" s="256"/>
      <c r="EL176" s="256"/>
      <c r="EM176" s="256"/>
      <c r="EN176" s="256"/>
      <c r="EO176" s="256"/>
      <c r="EP176" s="256"/>
      <c r="EQ176" s="256"/>
      <c r="ER176" s="256"/>
      <c r="ES176" s="256"/>
      <c r="ET176" s="256"/>
      <c r="EU176" s="256"/>
      <c r="EV176" s="256"/>
      <c r="EW176" s="256"/>
      <c r="EX176" s="256"/>
      <c r="EY176" s="256"/>
      <c r="EZ176" s="256"/>
      <c r="FA176" s="256"/>
      <c r="FB176" s="256"/>
      <c r="FC176" s="256"/>
      <c r="FD176" s="256"/>
      <c r="FE176" s="256"/>
      <c r="FF176" s="256"/>
      <c r="FG176" s="256"/>
      <c r="FH176" s="256"/>
      <c r="FI176" s="256"/>
      <c r="FJ176" s="256"/>
      <c r="FK176" s="256"/>
      <c r="FL176" s="256"/>
      <c r="FM176" s="256"/>
      <c r="FN176" s="256"/>
      <c r="FO176" s="256"/>
    </row>
    <row r="177" spans="1:171" s="31" customFormat="1" ht="19.5" customHeight="1">
      <c r="A177" s="260"/>
      <c r="B177" s="263"/>
      <c r="C177" s="262"/>
      <c r="D177" s="98"/>
      <c r="E177" s="98"/>
      <c r="F177" s="98"/>
      <c r="G177" s="98"/>
      <c r="H177" s="73"/>
      <c r="I177" s="121" t="s">
        <v>90</v>
      </c>
      <c r="J177" s="121"/>
      <c r="K177" s="121"/>
      <c r="L177" s="121"/>
      <c r="M177" s="121"/>
      <c r="N177" s="121"/>
      <c r="O177" s="121"/>
      <c r="P177" s="121"/>
      <c r="Q177" s="121"/>
      <c r="R177" s="121"/>
      <c r="S177" s="121"/>
      <c r="T177" s="121"/>
      <c r="U177" s="120"/>
      <c r="V177" s="601">
        <v>2000</v>
      </c>
      <c r="W177" s="601"/>
      <c r="X177" s="601"/>
      <c r="Y177" s="601"/>
      <c r="Z177" s="601"/>
      <c r="AA177" s="601"/>
      <c r="AB177" s="601"/>
      <c r="AC177" s="601"/>
      <c r="AD177" s="601"/>
      <c r="AE177" s="601"/>
      <c r="AF177" s="601"/>
      <c r="AG177" s="601"/>
      <c r="AH177" s="601"/>
      <c r="AI177" s="601"/>
      <c r="AJ177" s="601"/>
      <c r="AK177" s="601"/>
      <c r="AL177" s="601"/>
      <c r="AM177" s="601"/>
      <c r="AN177" s="601"/>
      <c r="AO177" s="601"/>
      <c r="AP177" s="601"/>
      <c r="AQ177" s="601"/>
      <c r="AR177" s="601"/>
      <c r="AS177" s="601"/>
      <c r="AT177" s="601"/>
      <c r="AU177" s="601"/>
      <c r="AV177" s="601"/>
      <c r="AW177" s="601"/>
      <c r="AX177" s="124"/>
      <c r="AY177" s="121"/>
      <c r="AZ177" s="594"/>
      <c r="BA177" s="595"/>
      <c r="BB177" s="595"/>
      <c r="BC177" s="595"/>
      <c r="BD177" s="595"/>
      <c r="BE177" s="595"/>
      <c r="BF177" s="595"/>
      <c r="BG177" s="595"/>
      <c r="BH177" s="595"/>
      <c r="BI177" s="595"/>
      <c r="BJ177" s="595"/>
      <c r="BK177" s="595"/>
      <c r="BL177" s="595"/>
      <c r="BM177" s="595"/>
      <c r="BN177" s="595"/>
      <c r="BO177" s="595"/>
      <c r="BP177" s="595"/>
      <c r="BQ177" s="595"/>
      <c r="BR177" s="595"/>
      <c r="BS177" s="595"/>
      <c r="BT177" s="595"/>
      <c r="BU177" s="595"/>
      <c r="BV177" s="595"/>
      <c r="BW177" s="595"/>
      <c r="BX177" s="595"/>
      <c r="BY177" s="595"/>
      <c r="BZ177" s="595"/>
      <c r="CA177" s="595"/>
      <c r="CB177" s="124"/>
      <c r="CC177" s="179"/>
      <c r="CD177" s="95"/>
      <c r="CE177" s="187"/>
      <c r="CF177" s="273"/>
      <c r="CG177" s="256"/>
      <c r="CH177" s="256"/>
      <c r="CI177" s="256"/>
      <c r="CJ177" s="256"/>
      <c r="CK177" s="256"/>
      <c r="CL177" s="256"/>
      <c r="CM177" s="256"/>
      <c r="CN177" s="256"/>
      <c r="CO177" s="256"/>
      <c r="CP177" s="256"/>
      <c r="CQ177" s="256"/>
      <c r="CR177" s="256"/>
      <c r="CS177" s="256"/>
      <c r="CT177" s="256"/>
      <c r="CU177" s="256"/>
      <c r="CV177" s="256"/>
      <c r="CW177" s="256"/>
      <c r="CX177" s="256"/>
      <c r="CY177" s="256"/>
      <c r="CZ177" s="256"/>
      <c r="DA177" s="256"/>
      <c r="DB177" s="256"/>
      <c r="DC177" s="256"/>
      <c r="DD177" s="256"/>
      <c r="DE177" s="256"/>
      <c r="DF177" s="256"/>
      <c r="DG177" s="256"/>
      <c r="DH177" s="256"/>
      <c r="DI177" s="256"/>
      <c r="DJ177" s="256"/>
      <c r="DK177" s="256"/>
      <c r="DL177" s="256"/>
      <c r="DM177" s="256"/>
      <c r="DN177" s="256"/>
      <c r="DO177" s="256"/>
      <c r="DP177" s="256"/>
      <c r="DQ177" s="256"/>
      <c r="DR177" s="256"/>
      <c r="DS177" s="256"/>
      <c r="DT177" s="256"/>
      <c r="DU177" s="256"/>
      <c r="DV177" s="256"/>
      <c r="DW177" s="256"/>
      <c r="DX177" s="256"/>
      <c r="DY177" s="256"/>
      <c r="DZ177" s="256"/>
      <c r="EA177" s="256"/>
      <c r="EB177" s="256"/>
      <c r="EC177" s="256"/>
      <c r="ED177" s="256"/>
      <c r="EE177" s="256"/>
      <c r="EF177" s="256"/>
      <c r="EG177" s="256"/>
      <c r="EH177" s="256"/>
      <c r="EI177" s="256"/>
      <c r="EJ177" s="256"/>
      <c r="EK177" s="256"/>
      <c r="EL177" s="256"/>
      <c r="EM177" s="256"/>
      <c r="EN177" s="256"/>
      <c r="EO177" s="256"/>
      <c r="EP177" s="256"/>
      <c r="EQ177" s="256"/>
      <c r="ER177" s="256"/>
      <c r="ES177" s="256"/>
      <c r="ET177" s="256"/>
      <c r="EU177" s="256"/>
      <c r="EV177" s="256"/>
      <c r="EW177" s="256"/>
      <c r="EX177" s="256"/>
      <c r="EY177" s="256"/>
      <c r="EZ177" s="256"/>
      <c r="FA177" s="256"/>
      <c r="FB177" s="256"/>
      <c r="FC177" s="256"/>
      <c r="FD177" s="256"/>
      <c r="FE177" s="256"/>
      <c r="FF177" s="256"/>
      <c r="FG177" s="256"/>
      <c r="FH177" s="256"/>
      <c r="FI177" s="256"/>
      <c r="FJ177" s="256"/>
      <c r="FK177" s="256"/>
      <c r="FL177" s="256"/>
      <c r="FM177" s="256"/>
      <c r="FN177" s="256"/>
      <c r="FO177" s="256"/>
    </row>
    <row r="178" spans="1:171" s="31" customFormat="1" ht="19.5" customHeight="1">
      <c r="A178" s="260"/>
      <c r="B178" s="263"/>
      <c r="C178" s="262"/>
      <c r="D178" s="98"/>
      <c r="E178" s="98"/>
      <c r="F178" s="98"/>
      <c r="G178" s="98"/>
      <c r="H178" s="73"/>
      <c r="I178" s="121" t="s">
        <v>91</v>
      </c>
      <c r="J178" s="121"/>
      <c r="K178" s="121"/>
      <c r="L178" s="121"/>
      <c r="M178" s="121"/>
      <c r="N178" s="121"/>
      <c r="O178" s="121"/>
      <c r="P178" s="121"/>
      <c r="Q178" s="121"/>
      <c r="R178" s="121"/>
      <c r="S178" s="121"/>
      <c r="T178" s="121"/>
      <c r="U178" s="120"/>
      <c r="V178" s="602">
        <f>1500+510</f>
        <v>2010</v>
      </c>
      <c r="W178" s="602"/>
      <c r="X178" s="602"/>
      <c r="Y178" s="602"/>
      <c r="Z178" s="602"/>
      <c r="AA178" s="602"/>
      <c r="AB178" s="602"/>
      <c r="AC178" s="602"/>
      <c r="AD178" s="602"/>
      <c r="AE178" s="602"/>
      <c r="AF178" s="602"/>
      <c r="AG178" s="602"/>
      <c r="AH178" s="602"/>
      <c r="AI178" s="602"/>
      <c r="AJ178" s="602"/>
      <c r="AK178" s="602"/>
      <c r="AL178" s="602"/>
      <c r="AM178" s="602"/>
      <c r="AN178" s="602"/>
      <c r="AO178" s="602"/>
      <c r="AP178" s="602"/>
      <c r="AQ178" s="602"/>
      <c r="AR178" s="602"/>
      <c r="AS178" s="602"/>
      <c r="AT178" s="602"/>
      <c r="AU178" s="602"/>
      <c r="AV178" s="602"/>
      <c r="AW178" s="602"/>
      <c r="AX178" s="124"/>
      <c r="AY178" s="121"/>
      <c r="AZ178" s="594"/>
      <c r="BA178" s="595"/>
      <c r="BB178" s="595"/>
      <c r="BC178" s="595"/>
      <c r="BD178" s="595"/>
      <c r="BE178" s="595"/>
      <c r="BF178" s="595"/>
      <c r="BG178" s="595"/>
      <c r="BH178" s="595"/>
      <c r="BI178" s="595"/>
      <c r="BJ178" s="595"/>
      <c r="BK178" s="595"/>
      <c r="BL178" s="595"/>
      <c r="BM178" s="595"/>
      <c r="BN178" s="595"/>
      <c r="BO178" s="595"/>
      <c r="BP178" s="595"/>
      <c r="BQ178" s="595"/>
      <c r="BR178" s="595"/>
      <c r="BS178" s="595"/>
      <c r="BT178" s="595"/>
      <c r="BU178" s="595"/>
      <c r="BV178" s="595"/>
      <c r="BW178" s="595"/>
      <c r="BX178" s="595"/>
      <c r="BY178" s="595"/>
      <c r="BZ178" s="595"/>
      <c r="CA178" s="595"/>
      <c r="CB178" s="124"/>
      <c r="CC178" s="179"/>
      <c r="CD178" s="95"/>
      <c r="CE178" s="181"/>
      <c r="CF178" s="273"/>
      <c r="CG178" s="256"/>
      <c r="CH178" s="256"/>
      <c r="CI178" s="256"/>
      <c r="CJ178" s="256"/>
      <c r="CK178" s="256"/>
      <c r="CL178" s="256"/>
      <c r="CM178" s="256"/>
      <c r="CN178" s="256"/>
      <c r="CO178" s="256"/>
      <c r="CP178" s="256"/>
      <c r="CQ178" s="256"/>
      <c r="CR178" s="256"/>
      <c r="CS178" s="256"/>
      <c r="CT178" s="256"/>
      <c r="CU178" s="256"/>
      <c r="CV178" s="256"/>
      <c r="CW178" s="256"/>
      <c r="CX178" s="256"/>
      <c r="CY178" s="256"/>
      <c r="CZ178" s="256"/>
      <c r="DA178" s="256"/>
      <c r="DB178" s="256"/>
      <c r="DC178" s="256"/>
      <c r="DD178" s="256"/>
      <c r="DE178" s="256"/>
      <c r="DF178" s="256"/>
      <c r="DG178" s="256"/>
      <c r="DH178" s="256"/>
      <c r="DI178" s="256"/>
      <c r="DJ178" s="256"/>
      <c r="DK178" s="256"/>
      <c r="DL178" s="256"/>
      <c r="DM178" s="256"/>
      <c r="DN178" s="256"/>
      <c r="DO178" s="256"/>
      <c r="DP178" s="256"/>
      <c r="DQ178" s="256"/>
      <c r="DR178" s="256"/>
      <c r="DS178" s="256"/>
      <c r="DT178" s="256"/>
      <c r="DU178" s="256"/>
      <c r="DV178" s="256"/>
      <c r="DW178" s="256"/>
      <c r="DX178" s="256"/>
      <c r="DY178" s="256"/>
      <c r="DZ178" s="256"/>
      <c r="EA178" s="256"/>
      <c r="EB178" s="256"/>
      <c r="EC178" s="256"/>
      <c r="ED178" s="256"/>
      <c r="EE178" s="256"/>
      <c r="EF178" s="256"/>
      <c r="EG178" s="256"/>
      <c r="EH178" s="256"/>
      <c r="EI178" s="256"/>
      <c r="EJ178" s="256"/>
      <c r="EK178" s="256"/>
      <c r="EL178" s="256"/>
      <c r="EM178" s="256"/>
      <c r="EN178" s="256"/>
      <c r="EO178" s="256"/>
      <c r="EP178" s="256"/>
      <c r="EQ178" s="256"/>
      <c r="ER178" s="256"/>
      <c r="ES178" s="256"/>
      <c r="ET178" s="256"/>
      <c r="EU178" s="256"/>
      <c r="EV178" s="256"/>
      <c r="EW178" s="256"/>
      <c r="EX178" s="256"/>
      <c r="EY178" s="256"/>
      <c r="EZ178" s="256"/>
      <c r="FA178" s="256"/>
      <c r="FB178" s="256"/>
      <c r="FC178" s="256"/>
      <c r="FD178" s="256"/>
      <c r="FE178" s="256"/>
      <c r="FF178" s="256"/>
      <c r="FG178" s="256"/>
      <c r="FH178" s="256"/>
      <c r="FI178" s="256"/>
      <c r="FJ178" s="256"/>
      <c r="FK178" s="256"/>
      <c r="FL178" s="256"/>
      <c r="FM178" s="256"/>
      <c r="FN178" s="256"/>
      <c r="FO178" s="256"/>
    </row>
    <row r="179" spans="1:171" s="31" customFormat="1" ht="19.5" customHeight="1">
      <c r="A179" s="260"/>
      <c r="B179" s="263"/>
      <c r="C179" s="262"/>
      <c r="D179" s="98"/>
      <c r="E179" s="98"/>
      <c r="F179" s="98"/>
      <c r="G179" s="98"/>
      <c r="H179" s="73"/>
      <c r="I179" s="121" t="s">
        <v>95</v>
      </c>
      <c r="J179" s="121"/>
      <c r="K179" s="121"/>
      <c r="L179" s="121"/>
      <c r="M179" s="121"/>
      <c r="N179" s="121"/>
      <c r="O179" s="121"/>
      <c r="P179" s="121"/>
      <c r="Q179" s="121"/>
      <c r="R179" s="121"/>
      <c r="S179" s="121"/>
      <c r="T179" s="121"/>
      <c r="U179" s="120"/>
      <c r="V179" s="602">
        <v>1200</v>
      </c>
      <c r="W179" s="602"/>
      <c r="X179" s="602"/>
      <c r="Y179" s="602"/>
      <c r="Z179" s="602"/>
      <c r="AA179" s="602"/>
      <c r="AB179" s="602"/>
      <c r="AC179" s="602"/>
      <c r="AD179" s="602"/>
      <c r="AE179" s="602"/>
      <c r="AF179" s="602"/>
      <c r="AG179" s="602"/>
      <c r="AH179" s="602"/>
      <c r="AI179" s="602"/>
      <c r="AJ179" s="602"/>
      <c r="AK179" s="602"/>
      <c r="AL179" s="602"/>
      <c r="AM179" s="602"/>
      <c r="AN179" s="602"/>
      <c r="AO179" s="602"/>
      <c r="AP179" s="602"/>
      <c r="AQ179" s="602"/>
      <c r="AR179" s="602"/>
      <c r="AS179" s="602"/>
      <c r="AT179" s="602"/>
      <c r="AU179" s="602"/>
      <c r="AV179" s="602"/>
      <c r="AW179" s="602"/>
      <c r="AX179" s="124"/>
      <c r="AY179" s="121"/>
      <c r="AZ179" s="140"/>
      <c r="BA179" s="141"/>
      <c r="BB179" s="141"/>
      <c r="BC179" s="141"/>
      <c r="BD179" s="141"/>
      <c r="BE179" s="141"/>
      <c r="BF179" s="141"/>
      <c r="BG179" s="141"/>
      <c r="BH179" s="141"/>
      <c r="BI179" s="141"/>
      <c r="BJ179" s="141"/>
      <c r="BK179" s="141"/>
      <c r="BL179" s="141"/>
      <c r="BM179" s="141"/>
      <c r="BN179" s="141"/>
      <c r="BO179" s="141"/>
      <c r="BP179" s="141"/>
      <c r="BQ179" s="141"/>
      <c r="BR179" s="141"/>
      <c r="BS179" s="141"/>
      <c r="BT179" s="141"/>
      <c r="BU179" s="141"/>
      <c r="BV179" s="141"/>
      <c r="BW179" s="141"/>
      <c r="BX179" s="141"/>
      <c r="BY179" s="141"/>
      <c r="BZ179" s="141"/>
      <c r="CA179" s="141"/>
      <c r="CB179" s="124"/>
      <c r="CC179" s="179"/>
      <c r="CD179" s="95"/>
      <c r="CE179" s="181"/>
      <c r="CF179" s="273"/>
      <c r="CG179" s="256"/>
      <c r="CH179" s="256"/>
      <c r="CI179" s="256"/>
      <c r="CJ179" s="256"/>
      <c r="CK179" s="256"/>
      <c r="CL179" s="256"/>
      <c r="CM179" s="256"/>
      <c r="CN179" s="256"/>
      <c r="CO179" s="256"/>
      <c r="CP179" s="256"/>
      <c r="CQ179" s="256"/>
      <c r="CR179" s="256"/>
      <c r="CS179" s="256"/>
      <c r="CT179" s="256"/>
      <c r="CU179" s="256"/>
      <c r="CV179" s="256"/>
      <c r="CW179" s="256"/>
      <c r="CX179" s="256"/>
      <c r="CY179" s="256"/>
      <c r="CZ179" s="256"/>
      <c r="DA179" s="256"/>
      <c r="DB179" s="256"/>
      <c r="DC179" s="256"/>
      <c r="DD179" s="256"/>
      <c r="DE179" s="256"/>
      <c r="DF179" s="256"/>
      <c r="DG179" s="256"/>
      <c r="DH179" s="256"/>
      <c r="DI179" s="256"/>
      <c r="DJ179" s="256"/>
      <c r="DK179" s="256"/>
      <c r="DL179" s="256"/>
      <c r="DM179" s="256"/>
      <c r="DN179" s="256"/>
      <c r="DO179" s="256"/>
      <c r="DP179" s="256"/>
      <c r="DQ179" s="256"/>
      <c r="DR179" s="256"/>
      <c r="DS179" s="256"/>
      <c r="DT179" s="256"/>
      <c r="DU179" s="256"/>
      <c r="DV179" s="256"/>
      <c r="DW179" s="256"/>
      <c r="DX179" s="256"/>
      <c r="DY179" s="256"/>
      <c r="DZ179" s="256"/>
      <c r="EA179" s="256"/>
      <c r="EB179" s="256"/>
      <c r="EC179" s="256"/>
      <c r="ED179" s="256"/>
      <c r="EE179" s="256"/>
      <c r="EF179" s="256"/>
      <c r="EG179" s="256"/>
      <c r="EH179" s="256"/>
      <c r="EI179" s="256"/>
      <c r="EJ179" s="256"/>
      <c r="EK179" s="256"/>
      <c r="EL179" s="256"/>
      <c r="EM179" s="256"/>
      <c r="EN179" s="256"/>
      <c r="EO179" s="256"/>
      <c r="EP179" s="256"/>
      <c r="EQ179" s="256"/>
      <c r="ER179" s="256"/>
      <c r="ES179" s="256"/>
      <c r="ET179" s="256"/>
      <c r="EU179" s="256"/>
      <c r="EV179" s="256"/>
      <c r="EW179" s="256"/>
      <c r="EX179" s="256"/>
      <c r="EY179" s="256"/>
      <c r="EZ179" s="256"/>
      <c r="FA179" s="256"/>
      <c r="FB179" s="256"/>
      <c r="FC179" s="256"/>
      <c r="FD179" s="256"/>
      <c r="FE179" s="256"/>
      <c r="FF179" s="256"/>
      <c r="FG179" s="256"/>
      <c r="FH179" s="256"/>
      <c r="FI179" s="256"/>
      <c r="FJ179" s="256"/>
      <c r="FK179" s="256"/>
      <c r="FL179" s="256"/>
      <c r="FM179" s="256"/>
      <c r="FN179" s="256"/>
      <c r="FO179" s="256"/>
    </row>
    <row r="180" spans="1:171" s="31" customFormat="1" ht="19.5" customHeight="1">
      <c r="A180" s="260"/>
      <c r="B180" s="263"/>
      <c r="C180" s="262"/>
      <c r="D180" s="98"/>
      <c r="E180" s="98"/>
      <c r="F180" s="98"/>
      <c r="G180" s="98"/>
      <c r="H180" s="73"/>
      <c r="I180" s="121" t="s">
        <v>92</v>
      </c>
      <c r="J180" s="121"/>
      <c r="K180" s="121"/>
      <c r="L180" s="121"/>
      <c r="M180" s="121"/>
      <c r="N180" s="121"/>
      <c r="O180" s="121"/>
      <c r="P180" s="121"/>
      <c r="Q180" s="121"/>
      <c r="R180" s="121"/>
      <c r="S180" s="121"/>
      <c r="T180" s="121"/>
      <c r="U180" s="120"/>
      <c r="V180" s="602">
        <v>1000</v>
      </c>
      <c r="W180" s="602"/>
      <c r="X180" s="602"/>
      <c r="Y180" s="602"/>
      <c r="Z180" s="602"/>
      <c r="AA180" s="602"/>
      <c r="AB180" s="602"/>
      <c r="AC180" s="602"/>
      <c r="AD180" s="602"/>
      <c r="AE180" s="602"/>
      <c r="AF180" s="602"/>
      <c r="AG180" s="602"/>
      <c r="AH180" s="602"/>
      <c r="AI180" s="602"/>
      <c r="AJ180" s="602"/>
      <c r="AK180" s="602"/>
      <c r="AL180" s="602"/>
      <c r="AM180" s="602"/>
      <c r="AN180" s="602"/>
      <c r="AO180" s="602"/>
      <c r="AP180" s="602"/>
      <c r="AQ180" s="602"/>
      <c r="AR180" s="602"/>
      <c r="AS180" s="602"/>
      <c r="AT180" s="602"/>
      <c r="AU180" s="602"/>
      <c r="AV180" s="602"/>
      <c r="AW180" s="602"/>
      <c r="AX180" s="124"/>
      <c r="AY180" s="121"/>
      <c r="AZ180" s="594">
        <v>390</v>
      </c>
      <c r="BA180" s="596"/>
      <c r="BB180" s="596"/>
      <c r="BC180" s="596"/>
      <c r="BD180" s="596"/>
      <c r="BE180" s="596"/>
      <c r="BF180" s="596"/>
      <c r="BG180" s="596"/>
      <c r="BH180" s="596"/>
      <c r="BI180" s="596"/>
      <c r="BJ180" s="596"/>
      <c r="BK180" s="596"/>
      <c r="BL180" s="596"/>
      <c r="BM180" s="596"/>
      <c r="BN180" s="596"/>
      <c r="BO180" s="596"/>
      <c r="BP180" s="596"/>
      <c r="BQ180" s="596"/>
      <c r="BR180" s="596"/>
      <c r="BS180" s="596"/>
      <c r="BT180" s="596"/>
      <c r="BU180" s="596"/>
      <c r="BV180" s="596"/>
      <c r="BW180" s="596"/>
      <c r="BX180" s="596"/>
      <c r="BY180" s="596"/>
      <c r="BZ180" s="596"/>
      <c r="CA180" s="596"/>
      <c r="CB180" s="124"/>
      <c r="CC180" s="179"/>
      <c r="CD180" s="95"/>
      <c r="CE180" s="181"/>
      <c r="CF180" s="273"/>
      <c r="CG180" s="256"/>
      <c r="CH180" s="256"/>
      <c r="CI180" s="256"/>
      <c r="CJ180" s="256"/>
      <c r="CK180" s="256"/>
      <c r="CL180" s="256"/>
      <c r="CM180" s="256"/>
      <c r="CN180" s="256"/>
      <c r="CO180" s="256"/>
      <c r="CP180" s="256"/>
      <c r="CQ180" s="256"/>
      <c r="CR180" s="256"/>
      <c r="CS180" s="256"/>
      <c r="CT180" s="256"/>
      <c r="CU180" s="256"/>
      <c r="CV180" s="256"/>
      <c r="CW180" s="256"/>
      <c r="CX180" s="256"/>
      <c r="CY180" s="256"/>
      <c r="CZ180" s="256"/>
      <c r="DA180" s="256"/>
      <c r="DB180" s="256"/>
      <c r="DC180" s="256"/>
      <c r="DD180" s="256"/>
      <c r="DE180" s="256"/>
      <c r="DF180" s="256"/>
      <c r="DG180" s="256"/>
      <c r="DH180" s="256"/>
      <c r="DI180" s="256"/>
      <c r="DJ180" s="256"/>
      <c r="DK180" s="256"/>
      <c r="DL180" s="256"/>
      <c r="DM180" s="256"/>
      <c r="DN180" s="256"/>
      <c r="DO180" s="256"/>
      <c r="DP180" s="256"/>
      <c r="DQ180" s="256"/>
      <c r="DR180" s="256"/>
      <c r="DS180" s="256"/>
      <c r="DT180" s="256"/>
      <c r="DU180" s="256"/>
      <c r="DV180" s="256"/>
      <c r="DW180" s="256"/>
      <c r="DX180" s="256"/>
      <c r="DY180" s="256"/>
      <c r="DZ180" s="256"/>
      <c r="EA180" s="256"/>
      <c r="EB180" s="256"/>
      <c r="EC180" s="256"/>
      <c r="ED180" s="256"/>
      <c r="EE180" s="256"/>
      <c r="EF180" s="256"/>
      <c r="EG180" s="256"/>
      <c r="EH180" s="256"/>
      <c r="EI180" s="256"/>
      <c r="EJ180" s="256"/>
      <c r="EK180" s="256"/>
      <c r="EL180" s="256"/>
      <c r="EM180" s="256"/>
      <c r="EN180" s="256"/>
      <c r="EO180" s="256"/>
      <c r="EP180" s="256"/>
      <c r="EQ180" s="256"/>
      <c r="ER180" s="256"/>
      <c r="ES180" s="256"/>
      <c r="ET180" s="256"/>
      <c r="EU180" s="256"/>
      <c r="EV180" s="256"/>
      <c r="EW180" s="256"/>
      <c r="EX180" s="256"/>
      <c r="EY180" s="256"/>
      <c r="EZ180" s="256"/>
      <c r="FA180" s="256"/>
      <c r="FB180" s="256"/>
      <c r="FC180" s="256"/>
      <c r="FD180" s="256"/>
      <c r="FE180" s="256"/>
      <c r="FF180" s="256"/>
      <c r="FG180" s="256"/>
      <c r="FH180" s="256"/>
      <c r="FI180" s="256"/>
      <c r="FJ180" s="256"/>
      <c r="FK180" s="256"/>
      <c r="FL180" s="256"/>
      <c r="FM180" s="256"/>
      <c r="FN180" s="256"/>
      <c r="FO180" s="256"/>
    </row>
    <row r="181" spans="1:171" s="31" customFormat="1" ht="19.5" customHeight="1">
      <c r="A181" s="260"/>
      <c r="B181" s="263"/>
      <c r="C181" s="262"/>
      <c r="D181" s="98"/>
      <c r="E181" s="98"/>
      <c r="F181" s="98"/>
      <c r="G181" s="98"/>
      <c r="H181" s="73"/>
      <c r="I181" s="121" t="s">
        <v>93</v>
      </c>
      <c r="J181" s="75"/>
      <c r="K181" s="75"/>
      <c r="L181" s="75"/>
      <c r="M181" s="75"/>
      <c r="N181" s="75"/>
      <c r="O181" s="75"/>
      <c r="P181" s="121"/>
      <c r="Q181" s="121"/>
      <c r="R181" s="75"/>
      <c r="S181" s="75"/>
      <c r="T181" s="75"/>
      <c r="U181" s="76"/>
      <c r="V181" s="603">
        <f>270+270</f>
        <v>540</v>
      </c>
      <c r="W181" s="603"/>
      <c r="X181" s="603"/>
      <c r="Y181" s="603"/>
      <c r="Z181" s="603"/>
      <c r="AA181" s="603"/>
      <c r="AB181" s="603"/>
      <c r="AC181" s="603"/>
      <c r="AD181" s="603"/>
      <c r="AE181" s="603"/>
      <c r="AF181" s="603"/>
      <c r="AG181" s="603"/>
      <c r="AH181" s="603"/>
      <c r="AI181" s="603"/>
      <c r="AJ181" s="603"/>
      <c r="AK181" s="603"/>
      <c r="AL181" s="603"/>
      <c r="AM181" s="603"/>
      <c r="AN181" s="603"/>
      <c r="AO181" s="603"/>
      <c r="AP181" s="603"/>
      <c r="AQ181" s="603"/>
      <c r="AR181" s="603"/>
      <c r="AS181" s="603"/>
      <c r="AT181" s="603"/>
      <c r="AU181" s="603"/>
      <c r="AV181" s="603"/>
      <c r="AW181" s="603"/>
      <c r="AX181" s="124"/>
      <c r="AY181" s="121"/>
      <c r="AZ181" s="594"/>
      <c r="BA181" s="595"/>
      <c r="BB181" s="595"/>
      <c r="BC181" s="595"/>
      <c r="BD181" s="595"/>
      <c r="BE181" s="595"/>
      <c r="BF181" s="595"/>
      <c r="BG181" s="595"/>
      <c r="BH181" s="595"/>
      <c r="BI181" s="595"/>
      <c r="BJ181" s="595"/>
      <c r="BK181" s="595"/>
      <c r="BL181" s="595"/>
      <c r="BM181" s="595"/>
      <c r="BN181" s="595"/>
      <c r="BO181" s="595"/>
      <c r="BP181" s="595"/>
      <c r="BQ181" s="595"/>
      <c r="BR181" s="595"/>
      <c r="BS181" s="595"/>
      <c r="BT181" s="595"/>
      <c r="BU181" s="595"/>
      <c r="BV181" s="595"/>
      <c r="BW181" s="595"/>
      <c r="BX181" s="595"/>
      <c r="BY181" s="595"/>
      <c r="BZ181" s="595"/>
      <c r="CA181" s="595"/>
      <c r="CB181" s="124"/>
      <c r="CC181" s="179"/>
      <c r="CD181" s="95"/>
      <c r="CE181" s="187"/>
      <c r="CF181" s="273"/>
      <c r="CG181" s="256"/>
      <c r="CH181" s="256"/>
      <c r="CI181" s="256"/>
      <c r="CJ181" s="256"/>
      <c r="CK181" s="256"/>
      <c r="CL181" s="256"/>
      <c r="CM181" s="256"/>
      <c r="CN181" s="256"/>
      <c r="CO181" s="256"/>
      <c r="CP181" s="256"/>
      <c r="CQ181" s="256"/>
      <c r="CR181" s="256"/>
      <c r="CS181" s="256"/>
      <c r="CT181" s="256"/>
      <c r="CU181" s="256"/>
      <c r="CV181" s="256"/>
      <c r="CW181" s="256"/>
      <c r="CX181" s="256"/>
      <c r="CY181" s="256"/>
      <c r="CZ181" s="256"/>
      <c r="DA181" s="256"/>
      <c r="DB181" s="256"/>
      <c r="DC181" s="256"/>
      <c r="DD181" s="256"/>
      <c r="DE181" s="256"/>
      <c r="DF181" s="256"/>
      <c r="DG181" s="256"/>
      <c r="DH181" s="256"/>
      <c r="DI181" s="256"/>
      <c r="DJ181" s="256"/>
      <c r="DK181" s="256"/>
      <c r="DL181" s="256"/>
      <c r="DM181" s="256"/>
      <c r="DN181" s="256"/>
      <c r="DO181" s="256"/>
      <c r="DP181" s="256"/>
      <c r="DQ181" s="256"/>
      <c r="DR181" s="256"/>
      <c r="DS181" s="256"/>
      <c r="DT181" s="256"/>
      <c r="DU181" s="256"/>
      <c r="DV181" s="256"/>
      <c r="DW181" s="256"/>
      <c r="DX181" s="256"/>
      <c r="DY181" s="256"/>
      <c r="DZ181" s="256"/>
      <c r="EA181" s="256"/>
      <c r="EB181" s="256"/>
      <c r="EC181" s="256"/>
      <c r="ED181" s="256"/>
      <c r="EE181" s="256"/>
      <c r="EF181" s="256"/>
      <c r="EG181" s="256"/>
      <c r="EH181" s="256"/>
      <c r="EI181" s="256"/>
      <c r="EJ181" s="256"/>
      <c r="EK181" s="256"/>
      <c r="EL181" s="256"/>
      <c r="EM181" s="256"/>
      <c r="EN181" s="256"/>
      <c r="EO181" s="256"/>
      <c r="EP181" s="256"/>
      <c r="EQ181" s="256"/>
      <c r="ER181" s="256"/>
      <c r="ES181" s="256"/>
      <c r="ET181" s="256"/>
      <c r="EU181" s="256"/>
      <c r="EV181" s="256"/>
      <c r="EW181" s="256"/>
      <c r="EX181" s="256"/>
      <c r="EY181" s="256"/>
      <c r="EZ181" s="256"/>
      <c r="FA181" s="256"/>
      <c r="FB181" s="256"/>
      <c r="FC181" s="256"/>
      <c r="FD181" s="256"/>
      <c r="FE181" s="256"/>
      <c r="FF181" s="256"/>
      <c r="FG181" s="256"/>
      <c r="FH181" s="256"/>
      <c r="FI181" s="256"/>
      <c r="FJ181" s="256"/>
      <c r="FK181" s="256"/>
      <c r="FL181" s="256"/>
      <c r="FM181" s="256"/>
      <c r="FN181" s="256"/>
      <c r="FO181" s="256"/>
    </row>
    <row r="182" spans="1:171" s="31" customFormat="1" ht="19.5" customHeight="1">
      <c r="A182" s="260"/>
      <c r="B182" s="263"/>
      <c r="C182" s="262"/>
      <c r="D182" s="98"/>
      <c r="E182" s="98"/>
      <c r="F182" s="98"/>
      <c r="G182" s="98"/>
      <c r="H182" s="74"/>
      <c r="I182" s="133" t="s">
        <v>94</v>
      </c>
      <c r="J182" s="133"/>
      <c r="K182" s="133"/>
      <c r="L182" s="133"/>
      <c r="M182" s="133"/>
      <c r="N182" s="133"/>
      <c r="O182" s="133"/>
      <c r="P182" s="133"/>
      <c r="Q182" s="133"/>
      <c r="R182" s="133"/>
      <c r="S182" s="133"/>
      <c r="T182" s="133"/>
      <c r="U182" s="132"/>
      <c r="V182" s="602">
        <v>2300</v>
      </c>
      <c r="W182" s="602"/>
      <c r="X182" s="602"/>
      <c r="Y182" s="602"/>
      <c r="Z182" s="602"/>
      <c r="AA182" s="602"/>
      <c r="AB182" s="602"/>
      <c r="AC182" s="602"/>
      <c r="AD182" s="602"/>
      <c r="AE182" s="602"/>
      <c r="AF182" s="602"/>
      <c r="AG182" s="602"/>
      <c r="AH182" s="602"/>
      <c r="AI182" s="602"/>
      <c r="AJ182" s="602"/>
      <c r="AK182" s="602"/>
      <c r="AL182" s="602"/>
      <c r="AM182" s="602"/>
      <c r="AN182" s="602"/>
      <c r="AO182" s="602"/>
      <c r="AP182" s="602"/>
      <c r="AQ182" s="602"/>
      <c r="AR182" s="602"/>
      <c r="AS182" s="602"/>
      <c r="AT182" s="602"/>
      <c r="AU182" s="602"/>
      <c r="AV182" s="602"/>
      <c r="AW182" s="602"/>
      <c r="AX182" s="142"/>
      <c r="AY182" s="133"/>
      <c r="AZ182" s="594">
        <f>0+210</f>
        <v>210</v>
      </c>
      <c r="BA182" s="595"/>
      <c r="BB182" s="595"/>
      <c r="BC182" s="595"/>
      <c r="BD182" s="595"/>
      <c r="BE182" s="595"/>
      <c r="BF182" s="595"/>
      <c r="BG182" s="595"/>
      <c r="BH182" s="595"/>
      <c r="BI182" s="595"/>
      <c r="BJ182" s="595"/>
      <c r="BK182" s="595"/>
      <c r="BL182" s="595"/>
      <c r="BM182" s="595"/>
      <c r="BN182" s="595"/>
      <c r="BO182" s="595"/>
      <c r="BP182" s="595"/>
      <c r="BQ182" s="595"/>
      <c r="BR182" s="595"/>
      <c r="BS182" s="595"/>
      <c r="BT182" s="595"/>
      <c r="BU182" s="595"/>
      <c r="BV182" s="595"/>
      <c r="BW182" s="595"/>
      <c r="BX182" s="595"/>
      <c r="BY182" s="595"/>
      <c r="BZ182" s="595"/>
      <c r="CA182" s="595"/>
      <c r="CB182" s="142"/>
      <c r="CC182" s="179"/>
      <c r="CD182" s="95"/>
      <c r="CE182" s="181"/>
      <c r="CF182" s="273"/>
      <c r="CG182" s="256"/>
      <c r="CH182" s="256"/>
      <c r="CI182" s="256"/>
      <c r="CJ182" s="256"/>
      <c r="CK182" s="256"/>
      <c r="CL182" s="256"/>
      <c r="CM182" s="256"/>
      <c r="CN182" s="256"/>
      <c r="CO182" s="256"/>
      <c r="CP182" s="256"/>
      <c r="CQ182" s="256"/>
      <c r="CR182" s="256"/>
      <c r="CS182" s="256"/>
      <c r="CT182" s="256"/>
      <c r="CU182" s="256"/>
      <c r="CV182" s="256"/>
      <c r="CW182" s="256"/>
      <c r="CX182" s="256"/>
      <c r="CY182" s="256"/>
      <c r="CZ182" s="256"/>
      <c r="DA182" s="256"/>
      <c r="DB182" s="256"/>
      <c r="DC182" s="256"/>
      <c r="DD182" s="256"/>
      <c r="DE182" s="256"/>
      <c r="DF182" s="256"/>
      <c r="DG182" s="256"/>
      <c r="DH182" s="256"/>
      <c r="DI182" s="256"/>
      <c r="DJ182" s="256"/>
      <c r="DK182" s="256"/>
      <c r="DL182" s="256"/>
      <c r="DM182" s="256"/>
      <c r="DN182" s="256"/>
      <c r="DO182" s="256"/>
      <c r="DP182" s="256"/>
      <c r="DQ182" s="256"/>
      <c r="DR182" s="256"/>
      <c r="DS182" s="256"/>
      <c r="DT182" s="256"/>
      <c r="DU182" s="256"/>
      <c r="DV182" s="256"/>
      <c r="DW182" s="256"/>
      <c r="DX182" s="256"/>
      <c r="DY182" s="256"/>
      <c r="DZ182" s="256"/>
      <c r="EA182" s="256"/>
      <c r="EB182" s="256"/>
      <c r="EC182" s="256"/>
      <c r="ED182" s="256"/>
      <c r="EE182" s="256"/>
      <c r="EF182" s="256"/>
      <c r="EG182" s="256"/>
      <c r="EH182" s="256"/>
      <c r="EI182" s="256"/>
      <c r="EJ182" s="256"/>
      <c r="EK182" s="256"/>
      <c r="EL182" s="256"/>
      <c r="EM182" s="256"/>
      <c r="EN182" s="256"/>
      <c r="EO182" s="256"/>
      <c r="EP182" s="256"/>
      <c r="EQ182" s="256"/>
      <c r="ER182" s="256"/>
      <c r="ES182" s="256"/>
      <c r="ET182" s="256"/>
      <c r="EU182" s="256"/>
      <c r="EV182" s="256"/>
      <c r="EW182" s="256"/>
      <c r="EX182" s="256"/>
      <c r="EY182" s="256"/>
      <c r="EZ182" s="256"/>
      <c r="FA182" s="256"/>
      <c r="FB182" s="256"/>
      <c r="FC182" s="256"/>
      <c r="FD182" s="256"/>
      <c r="FE182" s="256"/>
      <c r="FF182" s="256"/>
      <c r="FG182" s="256"/>
      <c r="FH182" s="256"/>
      <c r="FI182" s="256"/>
      <c r="FJ182" s="256"/>
      <c r="FK182" s="256"/>
      <c r="FL182" s="256"/>
      <c r="FM182" s="256"/>
      <c r="FN182" s="256"/>
      <c r="FO182" s="256"/>
    </row>
    <row r="183" spans="1:171" s="31" customFormat="1" ht="19.5" customHeight="1">
      <c r="A183" s="260"/>
      <c r="B183" s="263"/>
      <c r="C183" s="262"/>
      <c r="D183" s="98"/>
      <c r="E183" s="98"/>
      <c r="F183" s="98"/>
      <c r="G183" s="98"/>
      <c r="H183" s="126"/>
      <c r="I183" s="122" t="s">
        <v>101</v>
      </c>
      <c r="J183" s="122"/>
      <c r="K183" s="122"/>
      <c r="L183" s="122"/>
      <c r="M183" s="122"/>
      <c r="N183" s="122"/>
      <c r="O183" s="122"/>
      <c r="P183" s="122"/>
      <c r="Q183" s="122"/>
      <c r="R183" s="122"/>
      <c r="S183" s="143"/>
      <c r="T183" s="124"/>
      <c r="U183" s="120"/>
      <c r="V183" s="601">
        <v>1000</v>
      </c>
      <c r="W183" s="601"/>
      <c r="X183" s="601"/>
      <c r="Y183" s="601"/>
      <c r="Z183" s="601"/>
      <c r="AA183" s="601"/>
      <c r="AB183" s="601"/>
      <c r="AC183" s="601"/>
      <c r="AD183" s="601"/>
      <c r="AE183" s="601"/>
      <c r="AF183" s="601"/>
      <c r="AG183" s="601"/>
      <c r="AH183" s="601"/>
      <c r="AI183" s="601"/>
      <c r="AJ183" s="601"/>
      <c r="AK183" s="601"/>
      <c r="AL183" s="601"/>
      <c r="AM183" s="601"/>
      <c r="AN183" s="601"/>
      <c r="AO183" s="601"/>
      <c r="AP183" s="601"/>
      <c r="AQ183" s="601"/>
      <c r="AR183" s="601"/>
      <c r="AS183" s="601"/>
      <c r="AT183" s="601"/>
      <c r="AU183" s="601"/>
      <c r="AV183" s="601"/>
      <c r="AW183" s="601"/>
      <c r="AX183" s="121"/>
      <c r="AY183" s="120"/>
      <c r="AZ183" s="140"/>
      <c r="BA183" s="141"/>
      <c r="BB183" s="141"/>
      <c r="BC183" s="141"/>
      <c r="BD183" s="141"/>
      <c r="BE183" s="141"/>
      <c r="BF183" s="141"/>
      <c r="BG183" s="141"/>
      <c r="BH183" s="141"/>
      <c r="BI183" s="141"/>
      <c r="BJ183" s="141"/>
      <c r="BK183" s="141"/>
      <c r="BL183" s="141"/>
      <c r="BM183" s="141"/>
      <c r="BN183" s="141"/>
      <c r="BO183" s="141"/>
      <c r="BP183" s="141"/>
      <c r="BQ183" s="141"/>
      <c r="BR183" s="141"/>
      <c r="BS183" s="141"/>
      <c r="BT183" s="141"/>
      <c r="BU183" s="141"/>
      <c r="BV183" s="141"/>
      <c r="BW183" s="141"/>
      <c r="BX183" s="141"/>
      <c r="BY183" s="141"/>
      <c r="BZ183" s="141"/>
      <c r="CA183" s="141"/>
      <c r="CB183" s="124"/>
      <c r="CC183" s="179"/>
      <c r="CD183" s="95"/>
      <c r="CE183" s="181"/>
      <c r="CF183" s="273"/>
      <c r="CG183" s="256"/>
      <c r="CH183" s="256"/>
      <c r="CI183" s="256"/>
      <c r="CJ183" s="256"/>
      <c r="CK183" s="256"/>
      <c r="CL183" s="256"/>
      <c r="CM183" s="256"/>
      <c r="CN183" s="256"/>
      <c r="CO183" s="256"/>
      <c r="CP183" s="256"/>
      <c r="CQ183" s="256"/>
      <c r="CR183" s="256"/>
      <c r="CS183" s="256"/>
      <c r="CT183" s="256"/>
      <c r="CU183" s="256"/>
      <c r="CV183" s="256"/>
      <c r="CW183" s="256"/>
      <c r="CX183" s="256"/>
      <c r="CY183" s="256"/>
      <c r="CZ183" s="256"/>
      <c r="DA183" s="256"/>
      <c r="DB183" s="256"/>
      <c r="DC183" s="256"/>
      <c r="DD183" s="256"/>
      <c r="DE183" s="256"/>
      <c r="DF183" s="256"/>
      <c r="DG183" s="256"/>
      <c r="DH183" s="256"/>
      <c r="DI183" s="256"/>
      <c r="DJ183" s="256"/>
      <c r="DK183" s="256"/>
      <c r="DL183" s="256"/>
      <c r="DM183" s="256"/>
      <c r="DN183" s="256"/>
      <c r="DO183" s="256"/>
      <c r="DP183" s="256"/>
      <c r="DQ183" s="256"/>
      <c r="DR183" s="256"/>
      <c r="DS183" s="256"/>
      <c r="DT183" s="256"/>
      <c r="DU183" s="256"/>
      <c r="DV183" s="256"/>
      <c r="DW183" s="256"/>
      <c r="DX183" s="256"/>
      <c r="DY183" s="256"/>
      <c r="DZ183" s="256"/>
      <c r="EA183" s="256"/>
      <c r="EB183" s="256"/>
      <c r="EC183" s="256"/>
      <c r="ED183" s="256"/>
      <c r="EE183" s="256"/>
      <c r="EF183" s="256"/>
      <c r="EG183" s="256"/>
      <c r="EH183" s="256"/>
      <c r="EI183" s="256"/>
      <c r="EJ183" s="256"/>
      <c r="EK183" s="256"/>
      <c r="EL183" s="256"/>
      <c r="EM183" s="256"/>
      <c r="EN183" s="256"/>
      <c r="EO183" s="256"/>
      <c r="EP183" s="256"/>
      <c r="EQ183" s="256"/>
      <c r="ER183" s="256"/>
      <c r="ES183" s="256"/>
      <c r="ET183" s="256"/>
      <c r="EU183" s="256"/>
      <c r="EV183" s="256"/>
      <c r="EW183" s="256"/>
      <c r="EX183" s="256"/>
      <c r="EY183" s="256"/>
      <c r="EZ183" s="256"/>
      <c r="FA183" s="256"/>
      <c r="FB183" s="256"/>
      <c r="FC183" s="256"/>
      <c r="FD183" s="256"/>
      <c r="FE183" s="256"/>
      <c r="FF183" s="256"/>
      <c r="FG183" s="256"/>
      <c r="FH183" s="256"/>
      <c r="FI183" s="256"/>
      <c r="FJ183" s="256"/>
      <c r="FK183" s="256"/>
      <c r="FL183" s="256"/>
      <c r="FM183" s="256"/>
      <c r="FN183" s="256"/>
      <c r="FO183" s="256"/>
    </row>
    <row r="184" spans="1:171" s="31" customFormat="1" ht="19.5" customHeight="1">
      <c r="A184" s="260"/>
      <c r="B184" s="263"/>
      <c r="C184" s="262"/>
      <c r="D184" s="98"/>
      <c r="E184" s="98"/>
      <c r="F184" s="98"/>
      <c r="G184" s="98"/>
      <c r="H184" s="126"/>
      <c r="I184" s="121" t="s">
        <v>99</v>
      </c>
      <c r="J184" s="121"/>
      <c r="K184" s="121"/>
      <c r="L184" s="121"/>
      <c r="M184" s="121"/>
      <c r="N184" s="121"/>
      <c r="O184" s="121"/>
      <c r="P184" s="121"/>
      <c r="Q184" s="121"/>
      <c r="R184" s="121"/>
      <c r="S184" s="144"/>
      <c r="T184" s="124"/>
      <c r="U184" s="120"/>
      <c r="V184" s="601">
        <v>2000</v>
      </c>
      <c r="W184" s="601"/>
      <c r="X184" s="601"/>
      <c r="Y184" s="601"/>
      <c r="Z184" s="601"/>
      <c r="AA184" s="601"/>
      <c r="AB184" s="601"/>
      <c r="AC184" s="601"/>
      <c r="AD184" s="601"/>
      <c r="AE184" s="601"/>
      <c r="AF184" s="601"/>
      <c r="AG184" s="601"/>
      <c r="AH184" s="601"/>
      <c r="AI184" s="601"/>
      <c r="AJ184" s="601"/>
      <c r="AK184" s="601"/>
      <c r="AL184" s="601"/>
      <c r="AM184" s="601"/>
      <c r="AN184" s="601"/>
      <c r="AO184" s="601"/>
      <c r="AP184" s="601"/>
      <c r="AQ184" s="601"/>
      <c r="AR184" s="601"/>
      <c r="AS184" s="601"/>
      <c r="AT184" s="601"/>
      <c r="AU184" s="601"/>
      <c r="AV184" s="601"/>
      <c r="AW184" s="601"/>
      <c r="AX184" s="121"/>
      <c r="AY184" s="120"/>
      <c r="AZ184" s="140"/>
      <c r="BA184" s="141"/>
      <c r="BB184" s="141"/>
      <c r="BC184" s="141"/>
      <c r="BD184" s="141"/>
      <c r="BE184" s="141"/>
      <c r="BF184" s="141"/>
      <c r="BG184" s="141"/>
      <c r="BH184" s="141"/>
      <c r="BI184" s="141"/>
      <c r="BJ184" s="141"/>
      <c r="BK184" s="141"/>
      <c r="BL184" s="141"/>
      <c r="BM184" s="141"/>
      <c r="BN184" s="141"/>
      <c r="BO184" s="141"/>
      <c r="BP184" s="141"/>
      <c r="BQ184" s="141"/>
      <c r="BR184" s="141"/>
      <c r="BS184" s="141"/>
      <c r="BT184" s="141"/>
      <c r="BU184" s="141"/>
      <c r="BV184" s="141"/>
      <c r="BW184" s="141"/>
      <c r="BX184" s="141"/>
      <c r="BY184" s="141"/>
      <c r="BZ184" s="141"/>
      <c r="CA184" s="141"/>
      <c r="CB184" s="124"/>
      <c r="CC184" s="179"/>
      <c r="CD184" s="95"/>
      <c r="CE184" s="181"/>
      <c r="CF184" s="273"/>
      <c r="CG184" s="256"/>
      <c r="CH184" s="256"/>
      <c r="CI184" s="256"/>
      <c r="CJ184" s="256"/>
      <c r="CK184" s="256"/>
      <c r="CL184" s="256"/>
      <c r="CM184" s="256"/>
      <c r="CN184" s="256"/>
      <c r="CO184" s="256"/>
      <c r="CP184" s="256"/>
      <c r="CQ184" s="256"/>
      <c r="CR184" s="256"/>
      <c r="CS184" s="256"/>
      <c r="CT184" s="256"/>
      <c r="CU184" s="256"/>
      <c r="CV184" s="256"/>
      <c r="CW184" s="256"/>
      <c r="CX184" s="256"/>
      <c r="CY184" s="256"/>
      <c r="CZ184" s="256"/>
      <c r="DA184" s="256"/>
      <c r="DB184" s="256"/>
      <c r="DC184" s="256"/>
      <c r="DD184" s="256"/>
      <c r="DE184" s="256"/>
      <c r="DF184" s="256"/>
      <c r="DG184" s="256"/>
      <c r="DH184" s="256"/>
      <c r="DI184" s="256"/>
      <c r="DJ184" s="256"/>
      <c r="DK184" s="256"/>
      <c r="DL184" s="256"/>
      <c r="DM184" s="256"/>
      <c r="DN184" s="256"/>
      <c r="DO184" s="256"/>
      <c r="DP184" s="256"/>
      <c r="DQ184" s="256"/>
      <c r="DR184" s="256"/>
      <c r="DS184" s="256"/>
      <c r="DT184" s="256"/>
      <c r="DU184" s="256"/>
      <c r="DV184" s="256"/>
      <c r="DW184" s="256"/>
      <c r="DX184" s="256"/>
      <c r="DY184" s="256"/>
      <c r="DZ184" s="256"/>
      <c r="EA184" s="256"/>
      <c r="EB184" s="256"/>
      <c r="EC184" s="256"/>
      <c r="ED184" s="256"/>
      <c r="EE184" s="256"/>
      <c r="EF184" s="256"/>
      <c r="EG184" s="256"/>
      <c r="EH184" s="256"/>
      <c r="EI184" s="256"/>
      <c r="EJ184" s="256"/>
      <c r="EK184" s="256"/>
      <c r="EL184" s="256"/>
      <c r="EM184" s="256"/>
      <c r="EN184" s="256"/>
      <c r="EO184" s="256"/>
      <c r="EP184" s="256"/>
      <c r="EQ184" s="256"/>
      <c r="ER184" s="256"/>
      <c r="ES184" s="256"/>
      <c r="ET184" s="256"/>
      <c r="EU184" s="256"/>
      <c r="EV184" s="256"/>
      <c r="EW184" s="256"/>
      <c r="EX184" s="256"/>
      <c r="EY184" s="256"/>
      <c r="EZ184" s="256"/>
      <c r="FA184" s="256"/>
      <c r="FB184" s="256"/>
      <c r="FC184" s="256"/>
      <c r="FD184" s="256"/>
      <c r="FE184" s="256"/>
      <c r="FF184" s="256"/>
      <c r="FG184" s="256"/>
      <c r="FH184" s="256"/>
      <c r="FI184" s="256"/>
      <c r="FJ184" s="256"/>
      <c r="FK184" s="256"/>
      <c r="FL184" s="256"/>
      <c r="FM184" s="256"/>
      <c r="FN184" s="256"/>
      <c r="FO184" s="256"/>
    </row>
    <row r="185" spans="1:171" s="31" customFormat="1" ht="19.5" customHeight="1">
      <c r="A185" s="260"/>
      <c r="B185" s="263"/>
      <c r="C185" s="262"/>
      <c r="D185" s="98"/>
      <c r="E185" s="98"/>
      <c r="F185" s="98"/>
      <c r="G185" s="98"/>
      <c r="H185" s="126"/>
      <c r="I185" s="121" t="s">
        <v>109</v>
      </c>
      <c r="J185" s="121"/>
      <c r="K185" s="121"/>
      <c r="L185" s="121"/>
      <c r="M185" s="121"/>
      <c r="N185" s="121"/>
      <c r="O185" s="121"/>
      <c r="P185" s="121"/>
      <c r="Q185" s="121"/>
      <c r="R185" s="121"/>
      <c r="S185" s="144"/>
      <c r="T185" s="124"/>
      <c r="U185" s="120"/>
      <c r="V185" s="601">
        <v>1500</v>
      </c>
      <c r="W185" s="601"/>
      <c r="X185" s="601"/>
      <c r="Y185" s="601"/>
      <c r="Z185" s="601"/>
      <c r="AA185" s="601"/>
      <c r="AB185" s="601"/>
      <c r="AC185" s="601"/>
      <c r="AD185" s="601"/>
      <c r="AE185" s="601"/>
      <c r="AF185" s="601"/>
      <c r="AG185" s="601"/>
      <c r="AH185" s="601"/>
      <c r="AI185" s="601"/>
      <c r="AJ185" s="601"/>
      <c r="AK185" s="601"/>
      <c r="AL185" s="601"/>
      <c r="AM185" s="601"/>
      <c r="AN185" s="601"/>
      <c r="AO185" s="601"/>
      <c r="AP185" s="601"/>
      <c r="AQ185" s="601"/>
      <c r="AR185" s="601"/>
      <c r="AS185" s="601"/>
      <c r="AT185" s="601"/>
      <c r="AU185" s="601"/>
      <c r="AV185" s="601"/>
      <c r="AW185" s="601"/>
      <c r="AX185" s="121"/>
      <c r="AY185" s="120"/>
      <c r="AZ185" s="140"/>
      <c r="BA185" s="141"/>
      <c r="BB185" s="141"/>
      <c r="BC185" s="141"/>
      <c r="BD185" s="141"/>
      <c r="BE185" s="141"/>
      <c r="BF185" s="141"/>
      <c r="BG185" s="141"/>
      <c r="BH185" s="141"/>
      <c r="BI185" s="141"/>
      <c r="BJ185" s="141"/>
      <c r="BK185" s="141"/>
      <c r="BL185" s="141"/>
      <c r="BM185" s="141"/>
      <c r="BN185" s="141"/>
      <c r="BO185" s="141"/>
      <c r="BP185" s="141"/>
      <c r="BQ185" s="141"/>
      <c r="BR185" s="141"/>
      <c r="BS185" s="141"/>
      <c r="BT185" s="141"/>
      <c r="BU185" s="141"/>
      <c r="BV185" s="141"/>
      <c r="BW185" s="141"/>
      <c r="BX185" s="141"/>
      <c r="BY185" s="141"/>
      <c r="BZ185" s="141"/>
      <c r="CA185" s="141"/>
      <c r="CB185" s="124"/>
      <c r="CC185" s="179"/>
      <c r="CD185" s="95"/>
      <c r="CE185" s="181"/>
      <c r="CF185" s="273"/>
      <c r="CG185" s="256"/>
      <c r="CH185" s="256"/>
      <c r="CI185" s="256"/>
      <c r="CJ185" s="256"/>
      <c r="CK185" s="256"/>
      <c r="CL185" s="256"/>
      <c r="CM185" s="256"/>
      <c r="CN185" s="256"/>
      <c r="CO185" s="256"/>
      <c r="CP185" s="256"/>
      <c r="CQ185" s="256"/>
      <c r="CR185" s="256"/>
      <c r="CS185" s="256"/>
      <c r="CT185" s="256"/>
      <c r="CU185" s="256"/>
      <c r="CV185" s="256"/>
      <c r="CW185" s="256"/>
      <c r="CX185" s="256"/>
      <c r="CY185" s="256"/>
      <c r="CZ185" s="256"/>
      <c r="DA185" s="256"/>
      <c r="DB185" s="256"/>
      <c r="DC185" s="256"/>
      <c r="DD185" s="256"/>
      <c r="DE185" s="256"/>
      <c r="DF185" s="256"/>
      <c r="DG185" s="256"/>
      <c r="DH185" s="256"/>
      <c r="DI185" s="256"/>
      <c r="DJ185" s="256"/>
      <c r="DK185" s="256"/>
      <c r="DL185" s="256"/>
      <c r="DM185" s="256"/>
      <c r="DN185" s="256"/>
      <c r="DO185" s="256"/>
      <c r="DP185" s="256"/>
      <c r="DQ185" s="256"/>
      <c r="DR185" s="256"/>
      <c r="DS185" s="256"/>
      <c r="DT185" s="256"/>
      <c r="DU185" s="256"/>
      <c r="DV185" s="256"/>
      <c r="DW185" s="256"/>
      <c r="DX185" s="256"/>
      <c r="DY185" s="256"/>
      <c r="DZ185" s="256"/>
      <c r="EA185" s="256"/>
      <c r="EB185" s="256"/>
      <c r="EC185" s="256"/>
      <c r="ED185" s="256"/>
      <c r="EE185" s="256"/>
      <c r="EF185" s="256"/>
      <c r="EG185" s="256"/>
      <c r="EH185" s="256"/>
      <c r="EI185" s="256"/>
      <c r="EJ185" s="256"/>
      <c r="EK185" s="256"/>
      <c r="EL185" s="256"/>
      <c r="EM185" s="256"/>
      <c r="EN185" s="256"/>
      <c r="EO185" s="256"/>
      <c r="EP185" s="256"/>
      <c r="EQ185" s="256"/>
      <c r="ER185" s="256"/>
      <c r="ES185" s="256"/>
      <c r="ET185" s="256"/>
      <c r="EU185" s="256"/>
      <c r="EV185" s="256"/>
      <c r="EW185" s="256"/>
      <c r="EX185" s="256"/>
      <c r="EY185" s="256"/>
      <c r="EZ185" s="256"/>
      <c r="FA185" s="256"/>
      <c r="FB185" s="256"/>
      <c r="FC185" s="256"/>
      <c r="FD185" s="256"/>
      <c r="FE185" s="256"/>
      <c r="FF185" s="256"/>
      <c r="FG185" s="256"/>
      <c r="FH185" s="256"/>
      <c r="FI185" s="256"/>
      <c r="FJ185" s="256"/>
      <c r="FK185" s="256"/>
      <c r="FL185" s="256"/>
      <c r="FM185" s="256"/>
      <c r="FN185" s="256"/>
      <c r="FO185" s="256"/>
    </row>
    <row r="186" spans="1:171" s="31" customFormat="1" ht="19.5" customHeight="1">
      <c r="A186" s="260"/>
      <c r="B186" s="263"/>
      <c r="C186" s="262"/>
      <c r="D186" s="98"/>
      <c r="E186" s="98"/>
      <c r="F186" s="98"/>
      <c r="G186" s="98"/>
      <c r="H186" s="126"/>
      <c r="I186" s="121" t="s">
        <v>100</v>
      </c>
      <c r="J186" s="121"/>
      <c r="K186" s="121"/>
      <c r="L186" s="121"/>
      <c r="M186" s="121"/>
      <c r="N186" s="121"/>
      <c r="O186" s="121"/>
      <c r="P186" s="121"/>
      <c r="Q186" s="121"/>
      <c r="R186" s="121"/>
      <c r="S186" s="144"/>
      <c r="T186" s="124"/>
      <c r="U186" s="120"/>
      <c r="V186" s="601">
        <v>7200</v>
      </c>
      <c r="W186" s="601"/>
      <c r="X186" s="601"/>
      <c r="Y186" s="601"/>
      <c r="Z186" s="601"/>
      <c r="AA186" s="601"/>
      <c r="AB186" s="601"/>
      <c r="AC186" s="601"/>
      <c r="AD186" s="601"/>
      <c r="AE186" s="601"/>
      <c r="AF186" s="601"/>
      <c r="AG186" s="601"/>
      <c r="AH186" s="601"/>
      <c r="AI186" s="601"/>
      <c r="AJ186" s="601"/>
      <c r="AK186" s="601"/>
      <c r="AL186" s="601"/>
      <c r="AM186" s="601"/>
      <c r="AN186" s="601"/>
      <c r="AO186" s="601"/>
      <c r="AP186" s="601"/>
      <c r="AQ186" s="601"/>
      <c r="AR186" s="601"/>
      <c r="AS186" s="601"/>
      <c r="AT186" s="601"/>
      <c r="AU186" s="601"/>
      <c r="AV186" s="601"/>
      <c r="AW186" s="601"/>
      <c r="AX186" s="121"/>
      <c r="AY186" s="120"/>
      <c r="AZ186" s="140"/>
      <c r="BA186" s="141"/>
      <c r="BB186" s="141"/>
      <c r="BC186" s="141"/>
      <c r="BD186" s="141"/>
      <c r="BE186" s="141"/>
      <c r="BF186" s="141"/>
      <c r="BG186" s="141"/>
      <c r="BH186" s="141"/>
      <c r="BI186" s="141"/>
      <c r="BJ186" s="141"/>
      <c r="BK186" s="141"/>
      <c r="BL186" s="141"/>
      <c r="BM186" s="141"/>
      <c r="BN186" s="141"/>
      <c r="BO186" s="141"/>
      <c r="BP186" s="141"/>
      <c r="BQ186" s="141"/>
      <c r="BR186" s="141"/>
      <c r="BS186" s="141"/>
      <c r="BT186" s="141"/>
      <c r="BU186" s="141"/>
      <c r="BV186" s="141"/>
      <c r="BW186" s="141"/>
      <c r="BX186" s="141"/>
      <c r="BY186" s="141"/>
      <c r="BZ186" s="141"/>
      <c r="CA186" s="141"/>
      <c r="CB186" s="124"/>
      <c r="CC186" s="179"/>
      <c r="CD186" s="95"/>
      <c r="CE186" s="181"/>
      <c r="CF186" s="273"/>
      <c r="CG186" s="256"/>
      <c r="CH186" s="256"/>
      <c r="CI186" s="256"/>
      <c r="CJ186" s="256"/>
      <c r="CK186" s="256"/>
      <c r="CL186" s="256"/>
      <c r="CM186" s="256"/>
      <c r="CN186" s="256"/>
      <c r="CO186" s="256"/>
      <c r="CP186" s="256"/>
      <c r="CQ186" s="256"/>
      <c r="CR186" s="256"/>
      <c r="CS186" s="256"/>
      <c r="CT186" s="256"/>
      <c r="CU186" s="256"/>
      <c r="CV186" s="256"/>
      <c r="CW186" s="256"/>
      <c r="CX186" s="256"/>
      <c r="CY186" s="256"/>
      <c r="CZ186" s="256"/>
      <c r="DA186" s="256"/>
      <c r="DB186" s="256"/>
      <c r="DC186" s="256"/>
      <c r="DD186" s="256"/>
      <c r="DE186" s="256"/>
      <c r="DF186" s="256"/>
      <c r="DG186" s="256"/>
      <c r="DH186" s="256"/>
      <c r="DI186" s="256"/>
      <c r="DJ186" s="256"/>
      <c r="DK186" s="256"/>
      <c r="DL186" s="256"/>
      <c r="DM186" s="256"/>
      <c r="DN186" s="256"/>
      <c r="DO186" s="256"/>
      <c r="DP186" s="256"/>
      <c r="DQ186" s="256"/>
      <c r="DR186" s="256"/>
      <c r="DS186" s="256"/>
      <c r="DT186" s="256"/>
      <c r="DU186" s="256"/>
      <c r="DV186" s="256"/>
      <c r="DW186" s="256"/>
      <c r="DX186" s="256"/>
      <c r="DY186" s="256"/>
      <c r="DZ186" s="256"/>
      <c r="EA186" s="256"/>
      <c r="EB186" s="256"/>
      <c r="EC186" s="256"/>
      <c r="ED186" s="256"/>
      <c r="EE186" s="256"/>
      <c r="EF186" s="256"/>
      <c r="EG186" s="256"/>
      <c r="EH186" s="256"/>
      <c r="EI186" s="256"/>
      <c r="EJ186" s="256"/>
      <c r="EK186" s="256"/>
      <c r="EL186" s="256"/>
      <c r="EM186" s="256"/>
      <c r="EN186" s="256"/>
      <c r="EO186" s="256"/>
      <c r="EP186" s="256"/>
      <c r="EQ186" s="256"/>
      <c r="ER186" s="256"/>
      <c r="ES186" s="256"/>
      <c r="ET186" s="256"/>
      <c r="EU186" s="256"/>
      <c r="EV186" s="256"/>
      <c r="EW186" s="256"/>
      <c r="EX186" s="256"/>
      <c r="EY186" s="256"/>
      <c r="EZ186" s="256"/>
      <c r="FA186" s="256"/>
      <c r="FB186" s="256"/>
      <c r="FC186" s="256"/>
      <c r="FD186" s="256"/>
      <c r="FE186" s="256"/>
      <c r="FF186" s="256"/>
      <c r="FG186" s="256"/>
      <c r="FH186" s="256"/>
      <c r="FI186" s="256"/>
      <c r="FJ186" s="256"/>
      <c r="FK186" s="256"/>
      <c r="FL186" s="256"/>
      <c r="FM186" s="256"/>
      <c r="FN186" s="256"/>
      <c r="FO186" s="256"/>
    </row>
    <row r="187" spans="1:171" s="31" customFormat="1" ht="19.5" customHeight="1">
      <c r="A187" s="260"/>
      <c r="B187" s="263"/>
      <c r="C187" s="262"/>
      <c r="D187" s="98"/>
      <c r="E187" s="98"/>
      <c r="F187" s="98"/>
      <c r="G187" s="98"/>
      <c r="H187" s="126"/>
      <c r="I187" s="121" t="s">
        <v>102</v>
      </c>
      <c r="J187" s="121"/>
      <c r="K187" s="121"/>
      <c r="L187" s="121"/>
      <c r="M187" s="121"/>
      <c r="N187" s="121"/>
      <c r="O187" s="121"/>
      <c r="P187" s="121"/>
      <c r="Q187" s="121"/>
      <c r="R187" s="121"/>
      <c r="S187" s="144"/>
      <c r="T187" s="124"/>
      <c r="U187" s="120"/>
      <c r="V187" s="601">
        <v>1000</v>
      </c>
      <c r="W187" s="601"/>
      <c r="X187" s="601"/>
      <c r="Y187" s="601"/>
      <c r="Z187" s="601"/>
      <c r="AA187" s="601"/>
      <c r="AB187" s="601"/>
      <c r="AC187" s="601"/>
      <c r="AD187" s="601"/>
      <c r="AE187" s="601"/>
      <c r="AF187" s="601"/>
      <c r="AG187" s="601"/>
      <c r="AH187" s="601"/>
      <c r="AI187" s="601"/>
      <c r="AJ187" s="601"/>
      <c r="AK187" s="601"/>
      <c r="AL187" s="601"/>
      <c r="AM187" s="601"/>
      <c r="AN187" s="601"/>
      <c r="AO187" s="601"/>
      <c r="AP187" s="601"/>
      <c r="AQ187" s="601"/>
      <c r="AR187" s="601"/>
      <c r="AS187" s="601"/>
      <c r="AT187" s="601"/>
      <c r="AU187" s="601"/>
      <c r="AV187" s="601"/>
      <c r="AW187" s="601"/>
      <c r="AX187" s="121"/>
      <c r="AY187" s="120"/>
      <c r="AZ187" s="631">
        <v>1500</v>
      </c>
      <c r="BA187" s="631"/>
      <c r="BB187" s="631"/>
      <c r="BC187" s="631"/>
      <c r="BD187" s="631"/>
      <c r="BE187" s="631"/>
      <c r="BF187" s="631"/>
      <c r="BG187" s="631"/>
      <c r="BH187" s="631"/>
      <c r="BI187" s="631"/>
      <c r="BJ187" s="631"/>
      <c r="BK187" s="631"/>
      <c r="BL187" s="631"/>
      <c r="BM187" s="631"/>
      <c r="BN187" s="631"/>
      <c r="BO187" s="631"/>
      <c r="BP187" s="631"/>
      <c r="BQ187" s="631"/>
      <c r="BR187" s="631"/>
      <c r="BS187" s="631"/>
      <c r="BT187" s="631"/>
      <c r="BU187" s="631"/>
      <c r="BV187" s="631"/>
      <c r="BW187" s="631"/>
      <c r="BX187" s="631"/>
      <c r="BY187" s="631"/>
      <c r="BZ187" s="631"/>
      <c r="CA187" s="631"/>
      <c r="CB187" s="124"/>
      <c r="CC187" s="179"/>
      <c r="CD187" s="95"/>
      <c r="CE187" s="181"/>
      <c r="CF187" s="273"/>
      <c r="CG187" s="256"/>
      <c r="CH187" s="256"/>
      <c r="CI187" s="256"/>
      <c r="CJ187" s="256"/>
      <c r="CK187" s="256"/>
      <c r="CL187" s="256"/>
      <c r="CM187" s="256"/>
      <c r="CN187" s="256"/>
      <c r="CO187" s="256"/>
      <c r="CP187" s="256"/>
      <c r="CQ187" s="256"/>
      <c r="CR187" s="256"/>
      <c r="CS187" s="256"/>
      <c r="CT187" s="256"/>
      <c r="CU187" s="256"/>
      <c r="CV187" s="256"/>
      <c r="CW187" s="256"/>
      <c r="CX187" s="256"/>
      <c r="CY187" s="256"/>
      <c r="CZ187" s="256"/>
      <c r="DA187" s="256"/>
      <c r="DB187" s="256"/>
      <c r="DC187" s="256"/>
      <c r="DD187" s="256"/>
      <c r="DE187" s="256"/>
      <c r="DF187" s="256"/>
      <c r="DG187" s="256"/>
      <c r="DH187" s="256"/>
      <c r="DI187" s="256"/>
      <c r="DJ187" s="256"/>
      <c r="DK187" s="256"/>
      <c r="DL187" s="256"/>
      <c r="DM187" s="256"/>
      <c r="DN187" s="256"/>
      <c r="DO187" s="256"/>
      <c r="DP187" s="256"/>
      <c r="DQ187" s="256"/>
      <c r="DR187" s="256"/>
      <c r="DS187" s="256"/>
      <c r="DT187" s="256"/>
      <c r="DU187" s="256"/>
      <c r="DV187" s="256"/>
      <c r="DW187" s="256"/>
      <c r="DX187" s="256"/>
      <c r="DY187" s="256"/>
      <c r="DZ187" s="256"/>
      <c r="EA187" s="256"/>
      <c r="EB187" s="256"/>
      <c r="EC187" s="256"/>
      <c r="ED187" s="256"/>
      <c r="EE187" s="256"/>
      <c r="EF187" s="256"/>
      <c r="EG187" s="256"/>
      <c r="EH187" s="256"/>
      <c r="EI187" s="256"/>
      <c r="EJ187" s="256"/>
      <c r="EK187" s="256"/>
      <c r="EL187" s="256"/>
      <c r="EM187" s="256"/>
      <c r="EN187" s="256"/>
      <c r="EO187" s="256"/>
      <c r="EP187" s="256"/>
      <c r="EQ187" s="256"/>
      <c r="ER187" s="256"/>
      <c r="ES187" s="256"/>
      <c r="ET187" s="256"/>
      <c r="EU187" s="256"/>
      <c r="EV187" s="256"/>
      <c r="EW187" s="256"/>
      <c r="EX187" s="256"/>
      <c r="EY187" s="256"/>
      <c r="EZ187" s="256"/>
      <c r="FA187" s="256"/>
      <c r="FB187" s="256"/>
      <c r="FC187" s="256"/>
      <c r="FD187" s="256"/>
      <c r="FE187" s="256"/>
      <c r="FF187" s="256"/>
      <c r="FG187" s="256"/>
      <c r="FH187" s="256"/>
      <c r="FI187" s="256"/>
      <c r="FJ187" s="256"/>
      <c r="FK187" s="256"/>
      <c r="FL187" s="256"/>
      <c r="FM187" s="256"/>
      <c r="FN187" s="256"/>
      <c r="FO187" s="256"/>
    </row>
    <row r="188" spans="1:171" s="31" customFormat="1" ht="19.5" customHeight="1">
      <c r="A188" s="260"/>
      <c r="B188" s="263"/>
      <c r="C188" s="262"/>
      <c r="D188" s="98"/>
      <c r="E188" s="98"/>
      <c r="F188" s="98"/>
      <c r="G188" s="98"/>
      <c r="H188" s="126"/>
      <c r="I188" s="121" t="s">
        <v>103</v>
      </c>
      <c r="J188" s="121"/>
      <c r="K188" s="121"/>
      <c r="L188" s="121"/>
      <c r="M188" s="121"/>
      <c r="N188" s="121"/>
      <c r="O188" s="121"/>
      <c r="P188" s="121"/>
      <c r="Q188" s="121"/>
      <c r="R188" s="121"/>
      <c r="S188" s="144"/>
      <c r="T188" s="124"/>
      <c r="U188" s="120"/>
      <c r="V188" s="601">
        <v>2000</v>
      </c>
      <c r="W188" s="601"/>
      <c r="X188" s="601"/>
      <c r="Y188" s="601"/>
      <c r="Z188" s="601"/>
      <c r="AA188" s="601"/>
      <c r="AB188" s="601"/>
      <c r="AC188" s="601"/>
      <c r="AD188" s="601"/>
      <c r="AE188" s="601"/>
      <c r="AF188" s="601"/>
      <c r="AG188" s="601"/>
      <c r="AH188" s="601"/>
      <c r="AI188" s="601"/>
      <c r="AJ188" s="601"/>
      <c r="AK188" s="601"/>
      <c r="AL188" s="601"/>
      <c r="AM188" s="601"/>
      <c r="AN188" s="601"/>
      <c r="AO188" s="601"/>
      <c r="AP188" s="601"/>
      <c r="AQ188" s="601"/>
      <c r="AR188" s="601"/>
      <c r="AS188" s="601"/>
      <c r="AT188" s="601"/>
      <c r="AU188" s="601"/>
      <c r="AV188" s="601"/>
      <c r="AW188" s="601"/>
      <c r="AX188" s="121"/>
      <c r="AY188" s="120"/>
      <c r="AZ188" s="140"/>
      <c r="BA188" s="141"/>
      <c r="BB188" s="141"/>
      <c r="BC188" s="141"/>
      <c r="BD188" s="141"/>
      <c r="BE188" s="141"/>
      <c r="BF188" s="141"/>
      <c r="BG188" s="141"/>
      <c r="BH188" s="141"/>
      <c r="BI188" s="141"/>
      <c r="BJ188" s="141"/>
      <c r="BK188" s="141"/>
      <c r="BL188" s="141"/>
      <c r="BM188" s="141"/>
      <c r="BN188" s="141"/>
      <c r="BO188" s="141"/>
      <c r="BP188" s="141"/>
      <c r="BQ188" s="141"/>
      <c r="BR188" s="141"/>
      <c r="BS188" s="141"/>
      <c r="BT188" s="141"/>
      <c r="BU188" s="141"/>
      <c r="BV188" s="141"/>
      <c r="BW188" s="141"/>
      <c r="BX188" s="141"/>
      <c r="BY188" s="141"/>
      <c r="BZ188" s="141"/>
      <c r="CA188" s="141"/>
      <c r="CB188" s="124"/>
      <c r="CC188" s="179"/>
      <c r="CD188" s="95"/>
      <c r="CE188" s="181"/>
      <c r="CF188" s="273"/>
      <c r="CG188" s="256"/>
      <c r="CH188" s="256"/>
      <c r="CI188" s="256"/>
      <c r="CJ188" s="256"/>
      <c r="CK188" s="256"/>
      <c r="CL188" s="256"/>
      <c r="CM188" s="256"/>
      <c r="CN188" s="256"/>
      <c r="CO188" s="256"/>
      <c r="CP188" s="256"/>
      <c r="CQ188" s="256"/>
      <c r="CR188" s="256"/>
      <c r="CS188" s="256"/>
      <c r="CT188" s="256"/>
      <c r="CU188" s="256"/>
      <c r="CV188" s="256"/>
      <c r="CW188" s="256"/>
      <c r="CX188" s="256"/>
      <c r="CY188" s="256"/>
      <c r="CZ188" s="256"/>
      <c r="DA188" s="256"/>
      <c r="DB188" s="256"/>
      <c r="DC188" s="256"/>
      <c r="DD188" s="256"/>
      <c r="DE188" s="256"/>
      <c r="DF188" s="256"/>
      <c r="DG188" s="256"/>
      <c r="DH188" s="256"/>
      <c r="DI188" s="256"/>
      <c r="DJ188" s="256"/>
      <c r="DK188" s="256"/>
      <c r="DL188" s="256"/>
      <c r="DM188" s="256"/>
      <c r="DN188" s="256"/>
      <c r="DO188" s="256"/>
      <c r="DP188" s="256"/>
      <c r="DQ188" s="256"/>
      <c r="DR188" s="256"/>
      <c r="DS188" s="256"/>
      <c r="DT188" s="256"/>
      <c r="DU188" s="256"/>
      <c r="DV188" s="256"/>
      <c r="DW188" s="256"/>
      <c r="DX188" s="256"/>
      <c r="DY188" s="256"/>
      <c r="DZ188" s="256"/>
      <c r="EA188" s="256"/>
      <c r="EB188" s="256"/>
      <c r="EC188" s="256"/>
      <c r="ED188" s="256"/>
      <c r="EE188" s="256"/>
      <c r="EF188" s="256"/>
      <c r="EG188" s="256"/>
      <c r="EH188" s="256"/>
      <c r="EI188" s="256"/>
      <c r="EJ188" s="256"/>
      <c r="EK188" s="256"/>
      <c r="EL188" s="256"/>
      <c r="EM188" s="256"/>
      <c r="EN188" s="256"/>
      <c r="EO188" s="256"/>
      <c r="EP188" s="256"/>
      <c r="EQ188" s="256"/>
      <c r="ER188" s="256"/>
      <c r="ES188" s="256"/>
      <c r="ET188" s="256"/>
      <c r="EU188" s="256"/>
      <c r="EV188" s="256"/>
      <c r="EW188" s="256"/>
      <c r="EX188" s="256"/>
      <c r="EY188" s="256"/>
      <c r="EZ188" s="256"/>
      <c r="FA188" s="256"/>
      <c r="FB188" s="256"/>
      <c r="FC188" s="256"/>
      <c r="FD188" s="256"/>
      <c r="FE188" s="256"/>
      <c r="FF188" s="256"/>
      <c r="FG188" s="256"/>
      <c r="FH188" s="256"/>
      <c r="FI188" s="256"/>
      <c r="FJ188" s="256"/>
      <c r="FK188" s="256"/>
      <c r="FL188" s="256"/>
      <c r="FM188" s="256"/>
      <c r="FN188" s="256"/>
      <c r="FO188" s="256"/>
    </row>
    <row r="189" spans="1:171" s="31" customFormat="1" ht="19.5" customHeight="1">
      <c r="A189" s="260"/>
      <c r="B189" s="263"/>
      <c r="C189" s="262"/>
      <c r="D189" s="98"/>
      <c r="E189" s="98"/>
      <c r="F189" s="98"/>
      <c r="G189" s="98"/>
      <c r="H189" s="126"/>
      <c r="I189" s="121" t="s">
        <v>104</v>
      </c>
      <c r="J189" s="121"/>
      <c r="K189" s="121"/>
      <c r="L189" s="121"/>
      <c r="M189" s="121"/>
      <c r="N189" s="121"/>
      <c r="O189" s="121"/>
      <c r="P189" s="121"/>
      <c r="Q189" s="121"/>
      <c r="R189" s="121"/>
      <c r="S189" s="144"/>
      <c r="T189" s="124"/>
      <c r="U189" s="120"/>
      <c r="V189" s="601">
        <v>1200</v>
      </c>
      <c r="W189" s="601"/>
      <c r="X189" s="601"/>
      <c r="Y189" s="601"/>
      <c r="Z189" s="601"/>
      <c r="AA189" s="601"/>
      <c r="AB189" s="601"/>
      <c r="AC189" s="601"/>
      <c r="AD189" s="601"/>
      <c r="AE189" s="601"/>
      <c r="AF189" s="601"/>
      <c r="AG189" s="601"/>
      <c r="AH189" s="601"/>
      <c r="AI189" s="601"/>
      <c r="AJ189" s="601"/>
      <c r="AK189" s="601"/>
      <c r="AL189" s="601"/>
      <c r="AM189" s="601"/>
      <c r="AN189" s="601"/>
      <c r="AO189" s="601"/>
      <c r="AP189" s="601"/>
      <c r="AQ189" s="601"/>
      <c r="AR189" s="601"/>
      <c r="AS189" s="601"/>
      <c r="AT189" s="601"/>
      <c r="AU189" s="601"/>
      <c r="AV189" s="601"/>
      <c r="AW189" s="601"/>
      <c r="AX189" s="121"/>
      <c r="AY189" s="120"/>
      <c r="AZ189" s="140"/>
      <c r="BA189" s="141"/>
      <c r="BB189" s="141"/>
      <c r="BC189" s="141"/>
      <c r="BD189" s="141"/>
      <c r="BE189" s="141"/>
      <c r="BF189" s="141"/>
      <c r="BG189" s="141"/>
      <c r="BH189" s="141"/>
      <c r="BI189" s="141"/>
      <c r="BJ189" s="141"/>
      <c r="BK189" s="141"/>
      <c r="BL189" s="141"/>
      <c r="BM189" s="141"/>
      <c r="BN189" s="141"/>
      <c r="BO189" s="141"/>
      <c r="BP189" s="141"/>
      <c r="BQ189" s="141"/>
      <c r="BR189" s="141"/>
      <c r="BS189" s="141"/>
      <c r="BT189" s="141"/>
      <c r="BU189" s="141"/>
      <c r="BV189" s="141"/>
      <c r="BW189" s="141"/>
      <c r="BX189" s="141"/>
      <c r="BY189" s="141"/>
      <c r="BZ189" s="141"/>
      <c r="CA189" s="141"/>
      <c r="CB189" s="124"/>
      <c r="CC189" s="179"/>
      <c r="CD189" s="95"/>
      <c r="CE189" s="181"/>
      <c r="CF189" s="273"/>
      <c r="CG189" s="256"/>
      <c r="CH189" s="256"/>
      <c r="CI189" s="256"/>
      <c r="CJ189" s="256"/>
      <c r="CK189" s="256"/>
      <c r="CL189" s="256"/>
      <c r="CM189" s="256"/>
      <c r="CN189" s="256"/>
      <c r="CO189" s="256"/>
      <c r="CP189" s="256"/>
      <c r="CQ189" s="256"/>
      <c r="CR189" s="256"/>
      <c r="CS189" s="256"/>
      <c r="CT189" s="256"/>
      <c r="CU189" s="256"/>
      <c r="CV189" s="256"/>
      <c r="CW189" s="256"/>
      <c r="CX189" s="256"/>
      <c r="CY189" s="256"/>
      <c r="CZ189" s="256"/>
      <c r="DA189" s="256"/>
      <c r="DB189" s="256"/>
      <c r="DC189" s="256"/>
      <c r="DD189" s="256"/>
      <c r="DE189" s="256"/>
      <c r="DF189" s="256"/>
      <c r="DG189" s="256"/>
      <c r="DH189" s="256"/>
      <c r="DI189" s="256"/>
      <c r="DJ189" s="256"/>
      <c r="DK189" s="256"/>
      <c r="DL189" s="256"/>
      <c r="DM189" s="256"/>
      <c r="DN189" s="256"/>
      <c r="DO189" s="256"/>
      <c r="DP189" s="256"/>
      <c r="DQ189" s="256"/>
      <c r="DR189" s="256"/>
      <c r="DS189" s="256"/>
      <c r="DT189" s="256"/>
      <c r="DU189" s="256"/>
      <c r="DV189" s="256"/>
      <c r="DW189" s="256"/>
      <c r="DX189" s="256"/>
      <c r="DY189" s="256"/>
      <c r="DZ189" s="256"/>
      <c r="EA189" s="256"/>
      <c r="EB189" s="256"/>
      <c r="EC189" s="256"/>
      <c r="ED189" s="256"/>
      <c r="EE189" s="256"/>
      <c r="EF189" s="256"/>
      <c r="EG189" s="256"/>
      <c r="EH189" s="256"/>
      <c r="EI189" s="256"/>
      <c r="EJ189" s="256"/>
      <c r="EK189" s="256"/>
      <c r="EL189" s="256"/>
      <c r="EM189" s="256"/>
      <c r="EN189" s="256"/>
      <c r="EO189" s="256"/>
      <c r="EP189" s="256"/>
      <c r="EQ189" s="256"/>
      <c r="ER189" s="256"/>
      <c r="ES189" s="256"/>
      <c r="ET189" s="256"/>
      <c r="EU189" s="256"/>
      <c r="EV189" s="256"/>
      <c r="EW189" s="256"/>
      <c r="EX189" s="256"/>
      <c r="EY189" s="256"/>
      <c r="EZ189" s="256"/>
      <c r="FA189" s="256"/>
      <c r="FB189" s="256"/>
      <c r="FC189" s="256"/>
      <c r="FD189" s="256"/>
      <c r="FE189" s="256"/>
      <c r="FF189" s="256"/>
      <c r="FG189" s="256"/>
      <c r="FH189" s="256"/>
      <c r="FI189" s="256"/>
      <c r="FJ189" s="256"/>
      <c r="FK189" s="256"/>
      <c r="FL189" s="256"/>
      <c r="FM189" s="256"/>
      <c r="FN189" s="256"/>
      <c r="FO189" s="256"/>
    </row>
    <row r="190" spans="1:171" s="31" customFormat="1" ht="19.5" customHeight="1">
      <c r="A190" s="260"/>
      <c r="B190" s="263"/>
      <c r="C190" s="262"/>
      <c r="D190" s="98"/>
      <c r="E190" s="98"/>
      <c r="F190" s="98"/>
      <c r="G190" s="98"/>
      <c r="H190" s="126"/>
      <c r="I190" s="121" t="s">
        <v>105</v>
      </c>
      <c r="J190" s="121"/>
      <c r="K190" s="121"/>
      <c r="L190" s="121"/>
      <c r="M190" s="121"/>
      <c r="N190" s="121"/>
      <c r="O190" s="121"/>
      <c r="P190" s="121"/>
      <c r="Q190" s="121"/>
      <c r="R190" s="121"/>
      <c r="S190" s="144"/>
      <c r="T190" s="124"/>
      <c r="U190" s="120"/>
      <c r="V190" s="601">
        <v>1000</v>
      </c>
      <c r="W190" s="601"/>
      <c r="X190" s="601"/>
      <c r="Y190" s="601"/>
      <c r="Z190" s="601"/>
      <c r="AA190" s="601"/>
      <c r="AB190" s="601"/>
      <c r="AC190" s="601"/>
      <c r="AD190" s="601"/>
      <c r="AE190" s="601"/>
      <c r="AF190" s="601"/>
      <c r="AG190" s="601"/>
      <c r="AH190" s="601"/>
      <c r="AI190" s="601"/>
      <c r="AJ190" s="601"/>
      <c r="AK190" s="601"/>
      <c r="AL190" s="601"/>
      <c r="AM190" s="601"/>
      <c r="AN190" s="601"/>
      <c r="AO190" s="601"/>
      <c r="AP190" s="601"/>
      <c r="AQ190" s="601"/>
      <c r="AR190" s="601"/>
      <c r="AS190" s="601"/>
      <c r="AT190" s="601"/>
      <c r="AU190" s="601"/>
      <c r="AV190" s="601"/>
      <c r="AW190" s="601"/>
      <c r="AX190" s="121"/>
      <c r="AY190" s="120"/>
      <c r="AZ190" s="140"/>
      <c r="BA190" s="141"/>
      <c r="BB190" s="141"/>
      <c r="BC190" s="141"/>
      <c r="BD190" s="141"/>
      <c r="BE190" s="141"/>
      <c r="BF190" s="141"/>
      <c r="BG190" s="141"/>
      <c r="BH190" s="141"/>
      <c r="BI190" s="141"/>
      <c r="BJ190" s="141"/>
      <c r="BK190" s="141"/>
      <c r="BL190" s="141"/>
      <c r="BM190" s="141"/>
      <c r="BN190" s="141"/>
      <c r="BO190" s="141"/>
      <c r="BP190" s="141"/>
      <c r="BQ190" s="141"/>
      <c r="BR190" s="141"/>
      <c r="BS190" s="141"/>
      <c r="BT190" s="141"/>
      <c r="BU190" s="141"/>
      <c r="BV190" s="141"/>
      <c r="BW190" s="141"/>
      <c r="BX190" s="141"/>
      <c r="BY190" s="141"/>
      <c r="BZ190" s="141"/>
      <c r="CA190" s="141"/>
      <c r="CB190" s="124"/>
      <c r="CC190" s="179"/>
      <c r="CD190" s="95"/>
      <c r="CE190" s="181"/>
      <c r="CF190" s="273"/>
      <c r="CG190" s="256"/>
      <c r="CH190" s="256"/>
      <c r="CI190" s="256"/>
      <c r="CJ190" s="256"/>
      <c r="CK190" s="256"/>
      <c r="CL190" s="256"/>
      <c r="CM190" s="256"/>
      <c r="CN190" s="256"/>
      <c r="CO190" s="256"/>
      <c r="CP190" s="256"/>
      <c r="CQ190" s="256"/>
      <c r="CR190" s="256"/>
      <c r="CS190" s="256"/>
      <c r="CT190" s="256"/>
      <c r="CU190" s="256"/>
      <c r="CV190" s="256"/>
      <c r="CW190" s="256"/>
      <c r="CX190" s="256"/>
      <c r="CY190" s="256"/>
      <c r="CZ190" s="256"/>
      <c r="DA190" s="256"/>
      <c r="DB190" s="256"/>
      <c r="DC190" s="256"/>
      <c r="DD190" s="256"/>
      <c r="DE190" s="256"/>
      <c r="DF190" s="256"/>
      <c r="DG190" s="256"/>
      <c r="DH190" s="256"/>
      <c r="DI190" s="256"/>
      <c r="DJ190" s="256"/>
      <c r="DK190" s="256"/>
      <c r="DL190" s="256"/>
      <c r="DM190" s="256"/>
      <c r="DN190" s="256"/>
      <c r="DO190" s="256"/>
      <c r="DP190" s="256"/>
      <c r="DQ190" s="256"/>
      <c r="DR190" s="256"/>
      <c r="DS190" s="256"/>
      <c r="DT190" s="256"/>
      <c r="DU190" s="256"/>
      <c r="DV190" s="256"/>
      <c r="DW190" s="256"/>
      <c r="DX190" s="256"/>
      <c r="DY190" s="256"/>
      <c r="DZ190" s="256"/>
      <c r="EA190" s="256"/>
      <c r="EB190" s="256"/>
      <c r="EC190" s="256"/>
      <c r="ED190" s="256"/>
      <c r="EE190" s="256"/>
      <c r="EF190" s="256"/>
      <c r="EG190" s="256"/>
      <c r="EH190" s="256"/>
      <c r="EI190" s="256"/>
      <c r="EJ190" s="256"/>
      <c r="EK190" s="256"/>
      <c r="EL190" s="256"/>
      <c r="EM190" s="256"/>
      <c r="EN190" s="256"/>
      <c r="EO190" s="256"/>
      <c r="EP190" s="256"/>
      <c r="EQ190" s="256"/>
      <c r="ER190" s="256"/>
      <c r="ES190" s="256"/>
      <c r="ET190" s="256"/>
      <c r="EU190" s="256"/>
      <c r="EV190" s="256"/>
      <c r="EW190" s="256"/>
      <c r="EX190" s="256"/>
      <c r="EY190" s="256"/>
      <c r="EZ190" s="256"/>
      <c r="FA190" s="256"/>
      <c r="FB190" s="256"/>
      <c r="FC190" s="256"/>
      <c r="FD190" s="256"/>
      <c r="FE190" s="256"/>
      <c r="FF190" s="256"/>
      <c r="FG190" s="256"/>
      <c r="FH190" s="256"/>
      <c r="FI190" s="256"/>
      <c r="FJ190" s="256"/>
      <c r="FK190" s="256"/>
      <c r="FL190" s="256"/>
      <c r="FM190" s="256"/>
      <c r="FN190" s="256"/>
      <c r="FO190" s="256"/>
    </row>
    <row r="191" spans="1:171" s="31" customFormat="1" ht="19.5" customHeight="1">
      <c r="A191" s="260"/>
      <c r="B191" s="263"/>
      <c r="C191" s="262"/>
      <c r="D191" s="98"/>
      <c r="E191" s="98"/>
      <c r="F191" s="98"/>
      <c r="G191" s="98"/>
      <c r="H191" s="126"/>
      <c r="I191" s="121" t="s">
        <v>106</v>
      </c>
      <c r="J191" s="121"/>
      <c r="K191" s="121"/>
      <c r="L191" s="121"/>
      <c r="M191" s="121"/>
      <c r="N191" s="121"/>
      <c r="O191" s="121"/>
      <c r="P191" s="121"/>
      <c r="Q191" s="121"/>
      <c r="R191" s="121"/>
      <c r="S191" s="144"/>
      <c r="T191" s="124"/>
      <c r="U191" s="120"/>
      <c r="V191" s="601">
        <v>700</v>
      </c>
      <c r="W191" s="601"/>
      <c r="X191" s="601"/>
      <c r="Y191" s="601"/>
      <c r="Z191" s="601"/>
      <c r="AA191" s="601"/>
      <c r="AB191" s="601"/>
      <c r="AC191" s="601"/>
      <c r="AD191" s="601"/>
      <c r="AE191" s="601"/>
      <c r="AF191" s="601"/>
      <c r="AG191" s="601"/>
      <c r="AH191" s="601"/>
      <c r="AI191" s="601"/>
      <c r="AJ191" s="601"/>
      <c r="AK191" s="601"/>
      <c r="AL191" s="601"/>
      <c r="AM191" s="601"/>
      <c r="AN191" s="601"/>
      <c r="AO191" s="601"/>
      <c r="AP191" s="601"/>
      <c r="AQ191" s="601"/>
      <c r="AR191" s="601"/>
      <c r="AS191" s="601"/>
      <c r="AT191" s="601"/>
      <c r="AU191" s="601"/>
      <c r="AV191" s="601"/>
      <c r="AW191" s="601"/>
      <c r="AX191" s="121"/>
      <c r="AY191" s="120"/>
      <c r="AZ191" s="140"/>
      <c r="BA191" s="141"/>
      <c r="BB191" s="141"/>
      <c r="BC191" s="141"/>
      <c r="BD191" s="141"/>
      <c r="BE191" s="141"/>
      <c r="BF191" s="141"/>
      <c r="BG191" s="141"/>
      <c r="BH191" s="141"/>
      <c r="BI191" s="141"/>
      <c r="BJ191" s="141"/>
      <c r="BK191" s="141"/>
      <c r="BL191" s="141"/>
      <c r="BM191" s="141"/>
      <c r="BN191" s="141"/>
      <c r="BO191" s="141"/>
      <c r="BP191" s="141"/>
      <c r="BQ191" s="141"/>
      <c r="BR191" s="141"/>
      <c r="BS191" s="141"/>
      <c r="BT191" s="141"/>
      <c r="BU191" s="141"/>
      <c r="BV191" s="141"/>
      <c r="BW191" s="141"/>
      <c r="BX191" s="141"/>
      <c r="BY191" s="141"/>
      <c r="BZ191" s="141"/>
      <c r="CA191" s="141"/>
      <c r="CB191" s="124"/>
      <c r="CC191" s="179"/>
      <c r="CD191" s="95"/>
      <c r="CE191" s="181"/>
      <c r="CF191" s="273"/>
      <c r="CG191" s="256"/>
      <c r="CH191" s="256"/>
      <c r="CI191" s="256"/>
      <c r="CJ191" s="256"/>
      <c r="CK191" s="256"/>
      <c r="CL191" s="256"/>
      <c r="CM191" s="256"/>
      <c r="CN191" s="256"/>
      <c r="CO191" s="256"/>
      <c r="CP191" s="256"/>
      <c r="CQ191" s="256"/>
      <c r="CR191" s="256"/>
      <c r="CS191" s="256"/>
      <c r="CT191" s="256"/>
      <c r="CU191" s="256"/>
      <c r="CV191" s="256"/>
      <c r="CW191" s="256"/>
      <c r="CX191" s="256"/>
      <c r="CY191" s="256"/>
      <c r="CZ191" s="256"/>
      <c r="DA191" s="256"/>
      <c r="DB191" s="256"/>
      <c r="DC191" s="256"/>
      <c r="DD191" s="256"/>
      <c r="DE191" s="256"/>
      <c r="DF191" s="256"/>
      <c r="DG191" s="256"/>
      <c r="DH191" s="256"/>
      <c r="DI191" s="256"/>
      <c r="DJ191" s="256"/>
      <c r="DK191" s="256"/>
      <c r="DL191" s="256"/>
      <c r="DM191" s="256"/>
      <c r="DN191" s="256"/>
      <c r="DO191" s="256"/>
      <c r="DP191" s="256"/>
      <c r="DQ191" s="256"/>
      <c r="DR191" s="256"/>
      <c r="DS191" s="256"/>
      <c r="DT191" s="256"/>
      <c r="DU191" s="256"/>
      <c r="DV191" s="256"/>
      <c r="DW191" s="256"/>
      <c r="DX191" s="256"/>
      <c r="DY191" s="256"/>
      <c r="DZ191" s="256"/>
      <c r="EA191" s="256"/>
      <c r="EB191" s="256"/>
      <c r="EC191" s="256"/>
      <c r="ED191" s="256"/>
      <c r="EE191" s="256"/>
      <c r="EF191" s="256"/>
      <c r="EG191" s="256"/>
      <c r="EH191" s="256"/>
      <c r="EI191" s="256"/>
      <c r="EJ191" s="256"/>
      <c r="EK191" s="256"/>
      <c r="EL191" s="256"/>
      <c r="EM191" s="256"/>
      <c r="EN191" s="256"/>
      <c r="EO191" s="256"/>
      <c r="EP191" s="256"/>
      <c r="EQ191" s="256"/>
      <c r="ER191" s="256"/>
      <c r="ES191" s="256"/>
      <c r="ET191" s="256"/>
      <c r="EU191" s="256"/>
      <c r="EV191" s="256"/>
      <c r="EW191" s="256"/>
      <c r="EX191" s="256"/>
      <c r="EY191" s="256"/>
      <c r="EZ191" s="256"/>
      <c r="FA191" s="256"/>
      <c r="FB191" s="256"/>
      <c r="FC191" s="256"/>
      <c r="FD191" s="256"/>
      <c r="FE191" s="256"/>
      <c r="FF191" s="256"/>
      <c r="FG191" s="256"/>
      <c r="FH191" s="256"/>
      <c r="FI191" s="256"/>
      <c r="FJ191" s="256"/>
      <c r="FK191" s="256"/>
      <c r="FL191" s="256"/>
      <c r="FM191" s="256"/>
      <c r="FN191" s="256"/>
      <c r="FO191" s="256"/>
    </row>
    <row r="192" spans="1:171" s="31" customFormat="1" ht="19.5" customHeight="1">
      <c r="A192" s="260"/>
      <c r="B192" s="263"/>
      <c r="C192" s="262"/>
      <c r="D192" s="98"/>
      <c r="E192" s="98"/>
      <c r="F192" s="98"/>
      <c r="G192" s="98"/>
      <c r="H192" s="126"/>
      <c r="I192" s="121" t="s">
        <v>124</v>
      </c>
      <c r="J192" s="121"/>
      <c r="K192" s="121"/>
      <c r="L192" s="121"/>
      <c r="M192" s="121"/>
      <c r="N192" s="121"/>
      <c r="O192" s="121"/>
      <c r="P192" s="121"/>
      <c r="Q192" s="121"/>
      <c r="R192" s="121"/>
      <c r="S192" s="144"/>
      <c r="T192" s="124"/>
      <c r="U192" s="120"/>
      <c r="V192" s="601">
        <v>2800</v>
      </c>
      <c r="W192" s="601"/>
      <c r="X192" s="601"/>
      <c r="Y192" s="601"/>
      <c r="Z192" s="601"/>
      <c r="AA192" s="601"/>
      <c r="AB192" s="601"/>
      <c r="AC192" s="601"/>
      <c r="AD192" s="601"/>
      <c r="AE192" s="601"/>
      <c r="AF192" s="601"/>
      <c r="AG192" s="601"/>
      <c r="AH192" s="601"/>
      <c r="AI192" s="601"/>
      <c r="AJ192" s="601"/>
      <c r="AK192" s="601"/>
      <c r="AL192" s="601"/>
      <c r="AM192" s="601"/>
      <c r="AN192" s="601"/>
      <c r="AO192" s="601"/>
      <c r="AP192" s="601"/>
      <c r="AQ192" s="601"/>
      <c r="AR192" s="601"/>
      <c r="AS192" s="601"/>
      <c r="AT192" s="601"/>
      <c r="AU192" s="601"/>
      <c r="AV192" s="601"/>
      <c r="AW192" s="601"/>
      <c r="AX192" s="121"/>
      <c r="AY192" s="120"/>
      <c r="AZ192" s="140"/>
      <c r="BA192" s="141"/>
      <c r="BB192" s="141"/>
      <c r="BC192" s="141"/>
      <c r="BD192" s="141"/>
      <c r="BE192" s="141"/>
      <c r="BF192" s="141"/>
      <c r="BG192" s="141"/>
      <c r="BH192" s="141"/>
      <c r="BI192" s="141"/>
      <c r="BJ192" s="141"/>
      <c r="BK192" s="141"/>
      <c r="BL192" s="141"/>
      <c r="BM192" s="141"/>
      <c r="BN192" s="141"/>
      <c r="BO192" s="141"/>
      <c r="BP192" s="141"/>
      <c r="BQ192" s="141"/>
      <c r="BR192" s="141"/>
      <c r="BS192" s="141"/>
      <c r="BT192" s="141"/>
      <c r="BU192" s="141"/>
      <c r="BV192" s="141"/>
      <c r="BW192" s="141"/>
      <c r="BX192" s="141"/>
      <c r="BY192" s="141"/>
      <c r="BZ192" s="141"/>
      <c r="CA192" s="141"/>
      <c r="CB192" s="124"/>
      <c r="CC192" s="179"/>
      <c r="CD192" s="95"/>
      <c r="CE192" s="181"/>
      <c r="CF192" s="273"/>
      <c r="CG192" s="256"/>
      <c r="CH192" s="256"/>
      <c r="CI192" s="256"/>
      <c r="CJ192" s="256"/>
      <c r="CK192" s="256"/>
      <c r="CL192" s="256"/>
      <c r="CM192" s="256"/>
      <c r="CN192" s="256"/>
      <c r="CO192" s="256"/>
      <c r="CP192" s="256"/>
      <c r="CQ192" s="256"/>
      <c r="CR192" s="256"/>
      <c r="CS192" s="256"/>
      <c r="CT192" s="256"/>
      <c r="CU192" s="256"/>
      <c r="CV192" s="256"/>
      <c r="CW192" s="256"/>
      <c r="CX192" s="256"/>
      <c r="CY192" s="256"/>
      <c r="CZ192" s="256"/>
      <c r="DA192" s="256"/>
      <c r="DB192" s="256"/>
      <c r="DC192" s="256"/>
      <c r="DD192" s="256"/>
      <c r="DE192" s="256"/>
      <c r="DF192" s="256"/>
      <c r="DG192" s="256"/>
      <c r="DH192" s="256"/>
      <c r="DI192" s="256"/>
      <c r="DJ192" s="256"/>
      <c r="DK192" s="256"/>
      <c r="DL192" s="256"/>
      <c r="DM192" s="256"/>
      <c r="DN192" s="256"/>
      <c r="DO192" s="256"/>
      <c r="DP192" s="256"/>
      <c r="DQ192" s="256"/>
      <c r="DR192" s="256"/>
      <c r="DS192" s="256"/>
      <c r="DT192" s="256"/>
      <c r="DU192" s="256"/>
      <c r="DV192" s="256"/>
      <c r="DW192" s="256"/>
      <c r="DX192" s="256"/>
      <c r="DY192" s="256"/>
      <c r="DZ192" s="256"/>
      <c r="EA192" s="256"/>
      <c r="EB192" s="256"/>
      <c r="EC192" s="256"/>
      <c r="ED192" s="256"/>
      <c r="EE192" s="256"/>
      <c r="EF192" s="256"/>
      <c r="EG192" s="256"/>
      <c r="EH192" s="256"/>
      <c r="EI192" s="256"/>
      <c r="EJ192" s="256"/>
      <c r="EK192" s="256"/>
      <c r="EL192" s="256"/>
      <c r="EM192" s="256"/>
      <c r="EN192" s="256"/>
      <c r="EO192" s="256"/>
      <c r="EP192" s="256"/>
      <c r="EQ192" s="256"/>
      <c r="ER192" s="256"/>
      <c r="ES192" s="256"/>
      <c r="ET192" s="256"/>
      <c r="EU192" s="256"/>
      <c r="EV192" s="256"/>
      <c r="EW192" s="256"/>
      <c r="EX192" s="256"/>
      <c r="EY192" s="256"/>
      <c r="EZ192" s="256"/>
      <c r="FA192" s="256"/>
      <c r="FB192" s="256"/>
      <c r="FC192" s="256"/>
      <c r="FD192" s="256"/>
      <c r="FE192" s="256"/>
      <c r="FF192" s="256"/>
      <c r="FG192" s="256"/>
      <c r="FH192" s="256"/>
      <c r="FI192" s="256"/>
      <c r="FJ192" s="256"/>
      <c r="FK192" s="256"/>
      <c r="FL192" s="256"/>
      <c r="FM192" s="256"/>
      <c r="FN192" s="256"/>
      <c r="FO192" s="256"/>
    </row>
    <row r="193" spans="1:171" s="31" customFormat="1" ht="19.5" customHeight="1">
      <c r="A193" s="260"/>
      <c r="B193" s="263"/>
      <c r="C193" s="262"/>
      <c r="D193" s="98"/>
      <c r="E193" s="98"/>
      <c r="F193" s="98"/>
      <c r="G193" s="98"/>
      <c r="H193" s="126"/>
      <c r="I193" s="121" t="s">
        <v>107</v>
      </c>
      <c r="J193" s="121"/>
      <c r="K193" s="121"/>
      <c r="L193" s="121"/>
      <c r="M193" s="121"/>
      <c r="N193" s="121"/>
      <c r="O193" s="121"/>
      <c r="P193" s="121"/>
      <c r="Q193" s="121"/>
      <c r="R193" s="121"/>
      <c r="S193" s="144"/>
      <c r="T193" s="124"/>
      <c r="U193" s="120"/>
      <c r="V193" s="601">
        <v>900</v>
      </c>
      <c r="W193" s="601"/>
      <c r="X193" s="601"/>
      <c r="Y193" s="601"/>
      <c r="Z193" s="601"/>
      <c r="AA193" s="601"/>
      <c r="AB193" s="601"/>
      <c r="AC193" s="601"/>
      <c r="AD193" s="601"/>
      <c r="AE193" s="601"/>
      <c r="AF193" s="601"/>
      <c r="AG193" s="601"/>
      <c r="AH193" s="601"/>
      <c r="AI193" s="601"/>
      <c r="AJ193" s="601"/>
      <c r="AK193" s="601"/>
      <c r="AL193" s="601"/>
      <c r="AM193" s="601"/>
      <c r="AN193" s="601"/>
      <c r="AO193" s="601"/>
      <c r="AP193" s="601"/>
      <c r="AQ193" s="601"/>
      <c r="AR193" s="601"/>
      <c r="AS193" s="601"/>
      <c r="AT193" s="601"/>
      <c r="AU193" s="601"/>
      <c r="AV193" s="601"/>
      <c r="AW193" s="601"/>
      <c r="AX193" s="121"/>
      <c r="AY193" s="120"/>
      <c r="AZ193" s="140"/>
      <c r="BA193" s="141"/>
      <c r="BB193" s="141"/>
      <c r="BC193" s="141"/>
      <c r="BD193" s="141"/>
      <c r="BE193" s="141"/>
      <c r="BF193" s="141"/>
      <c r="BG193" s="141"/>
      <c r="BH193" s="141"/>
      <c r="BI193" s="141"/>
      <c r="BJ193" s="141"/>
      <c r="BK193" s="141"/>
      <c r="BL193" s="141"/>
      <c r="BM193" s="141"/>
      <c r="BN193" s="141"/>
      <c r="BO193" s="141"/>
      <c r="BP193" s="141"/>
      <c r="BQ193" s="141"/>
      <c r="BR193" s="141"/>
      <c r="BS193" s="141"/>
      <c r="BT193" s="141"/>
      <c r="BU193" s="141"/>
      <c r="BV193" s="141"/>
      <c r="BW193" s="141"/>
      <c r="BX193" s="141"/>
      <c r="BY193" s="141"/>
      <c r="BZ193" s="141"/>
      <c r="CA193" s="141"/>
      <c r="CB193" s="124"/>
      <c r="CC193" s="179"/>
      <c r="CD193" s="95"/>
      <c r="CE193" s="181"/>
      <c r="CF193" s="273"/>
      <c r="CG193" s="256"/>
      <c r="CH193" s="256"/>
      <c r="CI193" s="256"/>
      <c r="CJ193" s="256"/>
      <c r="CK193" s="256"/>
      <c r="CL193" s="256"/>
      <c r="CM193" s="256"/>
      <c r="CN193" s="256"/>
      <c r="CO193" s="256"/>
      <c r="CP193" s="256"/>
      <c r="CQ193" s="256"/>
      <c r="CR193" s="256"/>
      <c r="CS193" s="256"/>
      <c r="CT193" s="256"/>
      <c r="CU193" s="256"/>
      <c r="CV193" s="256"/>
      <c r="CW193" s="256"/>
      <c r="CX193" s="256"/>
      <c r="CY193" s="256"/>
      <c r="CZ193" s="256"/>
      <c r="DA193" s="256"/>
      <c r="DB193" s="256"/>
      <c r="DC193" s="256"/>
      <c r="DD193" s="256"/>
      <c r="DE193" s="256"/>
      <c r="DF193" s="256"/>
      <c r="DG193" s="256"/>
      <c r="DH193" s="256"/>
      <c r="DI193" s="256"/>
      <c r="DJ193" s="256"/>
      <c r="DK193" s="256"/>
      <c r="DL193" s="256"/>
      <c r="DM193" s="256"/>
      <c r="DN193" s="256"/>
      <c r="DO193" s="256"/>
      <c r="DP193" s="256"/>
      <c r="DQ193" s="256"/>
      <c r="DR193" s="256"/>
      <c r="DS193" s="256"/>
      <c r="DT193" s="256"/>
      <c r="DU193" s="256"/>
      <c r="DV193" s="256"/>
      <c r="DW193" s="256"/>
      <c r="DX193" s="256"/>
      <c r="DY193" s="256"/>
      <c r="DZ193" s="256"/>
      <c r="EA193" s="256"/>
      <c r="EB193" s="256"/>
      <c r="EC193" s="256"/>
      <c r="ED193" s="256"/>
      <c r="EE193" s="256"/>
      <c r="EF193" s="256"/>
      <c r="EG193" s="256"/>
      <c r="EH193" s="256"/>
      <c r="EI193" s="256"/>
      <c r="EJ193" s="256"/>
      <c r="EK193" s="256"/>
      <c r="EL193" s="256"/>
      <c r="EM193" s="256"/>
      <c r="EN193" s="256"/>
      <c r="EO193" s="256"/>
      <c r="EP193" s="256"/>
      <c r="EQ193" s="256"/>
      <c r="ER193" s="256"/>
      <c r="ES193" s="256"/>
      <c r="ET193" s="256"/>
      <c r="EU193" s="256"/>
      <c r="EV193" s="256"/>
      <c r="EW193" s="256"/>
      <c r="EX193" s="256"/>
      <c r="EY193" s="256"/>
      <c r="EZ193" s="256"/>
      <c r="FA193" s="256"/>
      <c r="FB193" s="256"/>
      <c r="FC193" s="256"/>
      <c r="FD193" s="256"/>
      <c r="FE193" s="256"/>
      <c r="FF193" s="256"/>
      <c r="FG193" s="256"/>
      <c r="FH193" s="256"/>
      <c r="FI193" s="256"/>
      <c r="FJ193" s="256"/>
      <c r="FK193" s="256"/>
      <c r="FL193" s="256"/>
      <c r="FM193" s="256"/>
      <c r="FN193" s="256"/>
      <c r="FO193" s="256"/>
    </row>
    <row r="194" spans="1:171" s="31" customFormat="1" ht="19.5" customHeight="1">
      <c r="A194" s="260"/>
      <c r="B194" s="263"/>
      <c r="C194" s="262"/>
      <c r="D194" s="98"/>
      <c r="E194" s="98"/>
      <c r="F194" s="98"/>
      <c r="G194" s="98"/>
      <c r="H194" s="126"/>
      <c r="I194" s="121" t="s">
        <v>108</v>
      </c>
      <c r="J194" s="121"/>
      <c r="K194" s="121"/>
      <c r="L194" s="121"/>
      <c r="M194" s="121"/>
      <c r="N194" s="121"/>
      <c r="O194" s="121"/>
      <c r="P194" s="121"/>
      <c r="Q194" s="144"/>
      <c r="R194" s="121"/>
      <c r="S194" s="144"/>
      <c r="T194" s="124"/>
      <c r="U194" s="120"/>
      <c r="V194" s="601">
        <v>1500</v>
      </c>
      <c r="W194" s="601"/>
      <c r="X194" s="601"/>
      <c r="Y194" s="601"/>
      <c r="Z194" s="601"/>
      <c r="AA194" s="601"/>
      <c r="AB194" s="601"/>
      <c r="AC194" s="601"/>
      <c r="AD194" s="601"/>
      <c r="AE194" s="601"/>
      <c r="AF194" s="601"/>
      <c r="AG194" s="601"/>
      <c r="AH194" s="601"/>
      <c r="AI194" s="601"/>
      <c r="AJ194" s="601"/>
      <c r="AK194" s="601"/>
      <c r="AL194" s="601"/>
      <c r="AM194" s="601"/>
      <c r="AN194" s="601"/>
      <c r="AO194" s="601"/>
      <c r="AP194" s="601"/>
      <c r="AQ194" s="601"/>
      <c r="AR194" s="601"/>
      <c r="AS194" s="601"/>
      <c r="AT194" s="601"/>
      <c r="AU194" s="601"/>
      <c r="AV194" s="601"/>
      <c r="AW194" s="601"/>
      <c r="AX194" s="121"/>
      <c r="AY194" s="120"/>
      <c r="AZ194" s="140"/>
      <c r="BA194" s="141"/>
      <c r="BB194" s="141"/>
      <c r="BC194" s="141"/>
      <c r="BD194" s="141"/>
      <c r="BE194" s="141"/>
      <c r="BF194" s="141"/>
      <c r="BG194" s="141"/>
      <c r="BH194" s="141"/>
      <c r="BI194" s="141"/>
      <c r="BJ194" s="141"/>
      <c r="BK194" s="141"/>
      <c r="BL194" s="141"/>
      <c r="BM194" s="141"/>
      <c r="BN194" s="141"/>
      <c r="BO194" s="141"/>
      <c r="BP194" s="141"/>
      <c r="BQ194" s="141"/>
      <c r="BR194" s="141"/>
      <c r="BS194" s="141"/>
      <c r="BT194" s="141"/>
      <c r="BU194" s="141"/>
      <c r="BV194" s="141"/>
      <c r="BW194" s="141"/>
      <c r="BX194" s="141"/>
      <c r="BY194" s="141"/>
      <c r="BZ194" s="141"/>
      <c r="CA194" s="141"/>
      <c r="CB194" s="124"/>
      <c r="CC194" s="179"/>
      <c r="CD194" s="95"/>
      <c r="CE194" s="181"/>
      <c r="CF194" s="273"/>
      <c r="CG194" s="256"/>
      <c r="CH194" s="256"/>
      <c r="CI194" s="256"/>
      <c r="CJ194" s="256"/>
      <c r="CK194" s="256"/>
      <c r="CL194" s="256"/>
      <c r="CM194" s="256"/>
      <c r="CN194" s="256"/>
      <c r="CO194" s="256"/>
      <c r="CP194" s="256"/>
      <c r="CQ194" s="256"/>
      <c r="CR194" s="256"/>
      <c r="CS194" s="256"/>
      <c r="CT194" s="256"/>
      <c r="CU194" s="256"/>
      <c r="CV194" s="256"/>
      <c r="CW194" s="256"/>
      <c r="CX194" s="256"/>
      <c r="CY194" s="256"/>
      <c r="CZ194" s="256"/>
      <c r="DA194" s="256"/>
      <c r="DB194" s="256"/>
      <c r="DC194" s="256"/>
      <c r="DD194" s="256"/>
      <c r="DE194" s="256"/>
      <c r="DF194" s="256"/>
      <c r="DG194" s="256"/>
      <c r="DH194" s="256"/>
      <c r="DI194" s="256"/>
      <c r="DJ194" s="256"/>
      <c r="DK194" s="256"/>
      <c r="DL194" s="256"/>
      <c r="DM194" s="256"/>
      <c r="DN194" s="256"/>
      <c r="DO194" s="256"/>
      <c r="DP194" s="256"/>
      <c r="DQ194" s="256"/>
      <c r="DR194" s="256"/>
      <c r="DS194" s="256"/>
      <c r="DT194" s="256"/>
      <c r="DU194" s="256"/>
      <c r="DV194" s="256"/>
      <c r="DW194" s="256"/>
      <c r="DX194" s="256"/>
      <c r="DY194" s="256"/>
      <c r="DZ194" s="256"/>
      <c r="EA194" s="256"/>
      <c r="EB194" s="256"/>
      <c r="EC194" s="256"/>
      <c r="ED194" s="256"/>
      <c r="EE194" s="256"/>
      <c r="EF194" s="256"/>
      <c r="EG194" s="256"/>
      <c r="EH194" s="256"/>
      <c r="EI194" s="256"/>
      <c r="EJ194" s="256"/>
      <c r="EK194" s="256"/>
      <c r="EL194" s="256"/>
      <c r="EM194" s="256"/>
      <c r="EN194" s="256"/>
      <c r="EO194" s="256"/>
      <c r="EP194" s="256"/>
      <c r="EQ194" s="256"/>
      <c r="ER194" s="256"/>
      <c r="ES194" s="256"/>
      <c r="ET194" s="256"/>
      <c r="EU194" s="256"/>
      <c r="EV194" s="256"/>
      <c r="EW194" s="256"/>
      <c r="EX194" s="256"/>
      <c r="EY194" s="256"/>
      <c r="EZ194" s="256"/>
      <c r="FA194" s="256"/>
      <c r="FB194" s="256"/>
      <c r="FC194" s="256"/>
      <c r="FD194" s="256"/>
      <c r="FE194" s="256"/>
      <c r="FF194" s="256"/>
      <c r="FG194" s="256"/>
      <c r="FH194" s="256"/>
      <c r="FI194" s="256"/>
      <c r="FJ194" s="256"/>
      <c r="FK194" s="256"/>
      <c r="FL194" s="256"/>
      <c r="FM194" s="256"/>
      <c r="FN194" s="256"/>
      <c r="FO194" s="256"/>
    </row>
    <row r="195" spans="1:171" s="31" customFormat="1" ht="19.5" customHeight="1">
      <c r="A195" s="260"/>
      <c r="B195" s="263"/>
      <c r="C195" s="262"/>
      <c r="D195" s="98"/>
      <c r="E195" s="98"/>
      <c r="F195" s="98"/>
      <c r="G195" s="98"/>
      <c r="H195" s="126"/>
      <c r="I195" s="121" t="s">
        <v>98</v>
      </c>
      <c r="J195" s="121"/>
      <c r="K195" s="121"/>
      <c r="L195" s="121"/>
      <c r="M195" s="121"/>
      <c r="N195" s="121"/>
      <c r="O195" s="121"/>
      <c r="P195" s="121"/>
      <c r="Q195" s="121"/>
      <c r="R195" s="121"/>
      <c r="S195" s="144"/>
      <c r="T195" s="124"/>
      <c r="U195" s="120"/>
      <c r="V195" s="601">
        <v>1200</v>
      </c>
      <c r="W195" s="601"/>
      <c r="X195" s="601"/>
      <c r="Y195" s="601"/>
      <c r="Z195" s="601"/>
      <c r="AA195" s="601"/>
      <c r="AB195" s="601"/>
      <c r="AC195" s="601"/>
      <c r="AD195" s="601"/>
      <c r="AE195" s="601"/>
      <c r="AF195" s="601"/>
      <c r="AG195" s="601"/>
      <c r="AH195" s="601"/>
      <c r="AI195" s="601"/>
      <c r="AJ195" s="601"/>
      <c r="AK195" s="601"/>
      <c r="AL195" s="601"/>
      <c r="AM195" s="601"/>
      <c r="AN195" s="601"/>
      <c r="AO195" s="601"/>
      <c r="AP195" s="601"/>
      <c r="AQ195" s="601"/>
      <c r="AR195" s="601"/>
      <c r="AS195" s="601"/>
      <c r="AT195" s="601"/>
      <c r="AU195" s="601"/>
      <c r="AV195" s="601"/>
      <c r="AW195" s="601"/>
      <c r="AX195" s="121"/>
      <c r="AY195" s="120"/>
      <c r="AZ195" s="140"/>
      <c r="BA195" s="141"/>
      <c r="BB195" s="141"/>
      <c r="BC195" s="141"/>
      <c r="BD195" s="141"/>
      <c r="BE195" s="141"/>
      <c r="BF195" s="141"/>
      <c r="BG195" s="141"/>
      <c r="BH195" s="141"/>
      <c r="BI195" s="141"/>
      <c r="BJ195" s="141"/>
      <c r="BK195" s="141"/>
      <c r="BL195" s="141"/>
      <c r="BM195" s="141"/>
      <c r="BN195" s="141"/>
      <c r="BO195" s="141"/>
      <c r="BP195" s="141"/>
      <c r="BQ195" s="141"/>
      <c r="BR195" s="141"/>
      <c r="BS195" s="141"/>
      <c r="BT195" s="141"/>
      <c r="BU195" s="141"/>
      <c r="BV195" s="141"/>
      <c r="BW195" s="141"/>
      <c r="BX195" s="141"/>
      <c r="BY195" s="141"/>
      <c r="BZ195" s="141"/>
      <c r="CA195" s="141"/>
      <c r="CB195" s="124"/>
      <c r="CC195" s="179"/>
      <c r="CD195" s="95"/>
      <c r="CE195" s="181"/>
      <c r="CF195" s="273"/>
      <c r="CG195" s="256"/>
      <c r="CH195" s="256"/>
      <c r="CI195" s="256"/>
      <c r="CJ195" s="256"/>
      <c r="CK195" s="256"/>
      <c r="CL195" s="256"/>
      <c r="CM195" s="256"/>
      <c r="CN195" s="256"/>
      <c r="CO195" s="256"/>
      <c r="CP195" s="256"/>
      <c r="CQ195" s="256"/>
      <c r="CR195" s="256"/>
      <c r="CS195" s="256"/>
      <c r="CT195" s="256"/>
      <c r="CU195" s="256"/>
      <c r="CV195" s="256"/>
      <c r="CW195" s="256"/>
      <c r="CX195" s="256"/>
      <c r="CY195" s="256"/>
      <c r="CZ195" s="256"/>
      <c r="DA195" s="256"/>
      <c r="DB195" s="256"/>
      <c r="DC195" s="256"/>
      <c r="DD195" s="256"/>
      <c r="DE195" s="256"/>
      <c r="DF195" s="256"/>
      <c r="DG195" s="256"/>
      <c r="DH195" s="256"/>
      <c r="DI195" s="256"/>
      <c r="DJ195" s="256"/>
      <c r="DK195" s="256"/>
      <c r="DL195" s="256"/>
      <c r="DM195" s="256"/>
      <c r="DN195" s="256"/>
      <c r="DO195" s="256"/>
      <c r="DP195" s="256"/>
      <c r="DQ195" s="256"/>
      <c r="DR195" s="256"/>
      <c r="DS195" s="256"/>
      <c r="DT195" s="256"/>
      <c r="DU195" s="256"/>
      <c r="DV195" s="256"/>
      <c r="DW195" s="256"/>
      <c r="DX195" s="256"/>
      <c r="DY195" s="256"/>
      <c r="DZ195" s="256"/>
      <c r="EA195" s="256"/>
      <c r="EB195" s="256"/>
      <c r="EC195" s="256"/>
      <c r="ED195" s="256"/>
      <c r="EE195" s="256"/>
      <c r="EF195" s="256"/>
      <c r="EG195" s="256"/>
      <c r="EH195" s="256"/>
      <c r="EI195" s="256"/>
      <c r="EJ195" s="256"/>
      <c r="EK195" s="256"/>
      <c r="EL195" s="256"/>
      <c r="EM195" s="256"/>
      <c r="EN195" s="256"/>
      <c r="EO195" s="256"/>
      <c r="EP195" s="256"/>
      <c r="EQ195" s="256"/>
      <c r="ER195" s="256"/>
      <c r="ES195" s="256"/>
      <c r="ET195" s="256"/>
      <c r="EU195" s="256"/>
      <c r="EV195" s="256"/>
      <c r="EW195" s="256"/>
      <c r="EX195" s="256"/>
      <c r="EY195" s="256"/>
      <c r="EZ195" s="256"/>
      <c r="FA195" s="256"/>
      <c r="FB195" s="256"/>
      <c r="FC195" s="256"/>
      <c r="FD195" s="256"/>
      <c r="FE195" s="256"/>
      <c r="FF195" s="256"/>
      <c r="FG195" s="256"/>
      <c r="FH195" s="256"/>
      <c r="FI195" s="256"/>
      <c r="FJ195" s="256"/>
      <c r="FK195" s="256"/>
      <c r="FL195" s="256"/>
      <c r="FM195" s="256"/>
      <c r="FN195" s="256"/>
      <c r="FO195" s="256"/>
    </row>
    <row r="196" spans="1:171" s="31" customFormat="1" ht="19.5" customHeight="1">
      <c r="A196" s="260"/>
      <c r="B196" s="263"/>
      <c r="C196" s="262"/>
      <c r="D196" s="98"/>
      <c r="E196" s="98"/>
      <c r="F196" s="98"/>
      <c r="G196" s="98"/>
      <c r="H196" s="168" t="s">
        <v>145</v>
      </c>
      <c r="I196" s="172"/>
      <c r="J196" s="172"/>
      <c r="K196" s="172"/>
      <c r="L196" s="172"/>
      <c r="M196" s="172"/>
      <c r="N196" s="172"/>
      <c r="O196" s="172"/>
      <c r="P196" s="172"/>
      <c r="Q196" s="172"/>
      <c r="R196" s="172"/>
      <c r="S196" s="174"/>
      <c r="T196" s="175"/>
      <c r="U196" s="176"/>
      <c r="V196" s="591">
        <f>SUM(V176:AW195)</f>
        <v>34050</v>
      </c>
      <c r="W196" s="591"/>
      <c r="X196" s="591"/>
      <c r="Y196" s="591"/>
      <c r="Z196" s="591"/>
      <c r="AA196" s="591"/>
      <c r="AB196" s="591"/>
      <c r="AC196" s="591"/>
      <c r="AD196" s="591"/>
      <c r="AE196" s="591"/>
      <c r="AF196" s="591"/>
      <c r="AG196" s="591"/>
      <c r="AH196" s="591"/>
      <c r="AI196" s="591"/>
      <c r="AJ196" s="591"/>
      <c r="AK196" s="591"/>
      <c r="AL196" s="591"/>
      <c r="AM196" s="591"/>
      <c r="AN196" s="591"/>
      <c r="AO196" s="591"/>
      <c r="AP196" s="591"/>
      <c r="AQ196" s="591"/>
      <c r="AR196" s="591"/>
      <c r="AS196" s="591"/>
      <c r="AT196" s="591"/>
      <c r="AU196" s="591"/>
      <c r="AV196" s="591"/>
      <c r="AW196" s="591"/>
      <c r="AX196" s="177"/>
      <c r="AY196" s="176"/>
      <c r="AZ196" s="591">
        <f>SUM(AZ176:CA195)</f>
        <v>2100</v>
      </c>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175"/>
      <c r="CC196" s="179"/>
      <c r="CD196" s="95"/>
      <c r="CE196" s="181"/>
      <c r="CF196" s="273"/>
      <c r="CG196" s="256"/>
      <c r="CH196" s="256"/>
      <c r="CI196" s="256"/>
      <c r="CJ196" s="256"/>
      <c r="CK196" s="256"/>
      <c r="CL196" s="256"/>
      <c r="CM196" s="256"/>
      <c r="CN196" s="256"/>
      <c r="CO196" s="256"/>
      <c r="CP196" s="256"/>
      <c r="CQ196" s="256"/>
      <c r="CR196" s="256"/>
      <c r="CS196" s="256"/>
      <c r="CT196" s="256"/>
      <c r="CU196" s="256"/>
      <c r="CV196" s="256"/>
      <c r="CW196" s="256"/>
      <c r="CX196" s="256"/>
      <c r="CY196" s="256"/>
      <c r="CZ196" s="256"/>
      <c r="DA196" s="256"/>
      <c r="DB196" s="256"/>
      <c r="DC196" s="256"/>
      <c r="DD196" s="256"/>
      <c r="DE196" s="256"/>
      <c r="DF196" s="256"/>
      <c r="DG196" s="256"/>
      <c r="DH196" s="256"/>
      <c r="DI196" s="256"/>
      <c r="DJ196" s="256"/>
      <c r="DK196" s="256"/>
      <c r="DL196" s="256"/>
      <c r="DM196" s="256"/>
      <c r="DN196" s="256"/>
      <c r="DO196" s="256"/>
      <c r="DP196" s="256"/>
      <c r="DQ196" s="256"/>
      <c r="DR196" s="256"/>
      <c r="DS196" s="256"/>
      <c r="DT196" s="256"/>
      <c r="DU196" s="256"/>
      <c r="DV196" s="256"/>
      <c r="DW196" s="256"/>
      <c r="DX196" s="256"/>
      <c r="DY196" s="256"/>
      <c r="DZ196" s="256"/>
      <c r="EA196" s="256"/>
      <c r="EB196" s="256"/>
      <c r="EC196" s="256"/>
      <c r="ED196" s="256"/>
      <c r="EE196" s="256"/>
      <c r="EF196" s="256"/>
      <c r="EG196" s="256"/>
      <c r="EH196" s="256"/>
      <c r="EI196" s="256"/>
      <c r="EJ196" s="256"/>
      <c r="EK196" s="256"/>
      <c r="EL196" s="256"/>
      <c r="EM196" s="256"/>
      <c r="EN196" s="256"/>
      <c r="EO196" s="256"/>
      <c r="EP196" s="256"/>
      <c r="EQ196" s="256"/>
      <c r="ER196" s="256"/>
      <c r="ES196" s="256"/>
      <c r="ET196" s="256"/>
      <c r="EU196" s="256"/>
      <c r="EV196" s="256"/>
      <c r="EW196" s="256"/>
      <c r="EX196" s="256"/>
      <c r="EY196" s="256"/>
      <c r="EZ196" s="256"/>
      <c r="FA196" s="256"/>
      <c r="FB196" s="256"/>
      <c r="FC196" s="256"/>
      <c r="FD196" s="256"/>
      <c r="FE196" s="256"/>
      <c r="FF196" s="256"/>
      <c r="FG196" s="256"/>
      <c r="FH196" s="256"/>
      <c r="FI196" s="256"/>
      <c r="FJ196" s="256"/>
      <c r="FK196" s="256"/>
      <c r="FL196" s="256"/>
      <c r="FM196" s="256"/>
      <c r="FN196" s="256"/>
      <c r="FO196" s="256"/>
    </row>
    <row r="197" spans="1:171" s="31" customFormat="1" ht="19.5" customHeight="1">
      <c r="A197" s="260"/>
      <c r="B197" s="263"/>
      <c r="C197" s="262"/>
      <c r="D197" s="98"/>
      <c r="E197" s="98"/>
      <c r="F197" s="98"/>
      <c r="G197" s="98"/>
      <c r="H197" s="168" t="s">
        <v>144</v>
      </c>
      <c r="I197" s="172"/>
      <c r="J197" s="172"/>
      <c r="K197" s="172"/>
      <c r="L197" s="172"/>
      <c r="M197" s="172"/>
      <c r="N197" s="172"/>
      <c r="O197" s="172"/>
      <c r="P197" s="172"/>
      <c r="Q197" s="172"/>
      <c r="R197" s="172"/>
      <c r="S197" s="174"/>
      <c r="T197" s="175"/>
      <c r="U197" s="597">
        <v>9270</v>
      </c>
      <c r="V197" s="598"/>
      <c r="W197" s="598"/>
      <c r="X197" s="598"/>
      <c r="Y197" s="598"/>
      <c r="Z197" s="598"/>
      <c r="AA197" s="598"/>
      <c r="AB197" s="598"/>
      <c r="AC197" s="598"/>
      <c r="AD197" s="598"/>
      <c r="AE197" s="598"/>
      <c r="AF197" s="598"/>
      <c r="AG197" s="598"/>
      <c r="AH197" s="598"/>
      <c r="AI197" s="598"/>
      <c r="AJ197" s="598"/>
      <c r="AK197" s="598"/>
      <c r="AL197" s="598"/>
      <c r="AM197" s="598"/>
      <c r="AN197" s="598"/>
      <c r="AO197" s="598"/>
      <c r="AP197" s="598"/>
      <c r="AQ197" s="598"/>
      <c r="AR197" s="598"/>
      <c r="AS197" s="598"/>
      <c r="AT197" s="598"/>
      <c r="AU197" s="598"/>
      <c r="AV197" s="598"/>
      <c r="AW197" s="598"/>
      <c r="AX197" s="177"/>
      <c r="AY197" s="176"/>
      <c r="AZ197" s="177"/>
      <c r="BA197" s="599">
        <v>390</v>
      </c>
      <c r="BB197" s="598"/>
      <c r="BC197" s="598"/>
      <c r="BD197" s="598"/>
      <c r="BE197" s="598"/>
      <c r="BF197" s="598"/>
      <c r="BG197" s="598"/>
      <c r="BH197" s="598"/>
      <c r="BI197" s="598"/>
      <c r="BJ197" s="598"/>
      <c r="BK197" s="598"/>
      <c r="BL197" s="598"/>
      <c r="BM197" s="598"/>
      <c r="BN197" s="598"/>
      <c r="BO197" s="598"/>
      <c r="BP197" s="598"/>
      <c r="BQ197" s="598"/>
      <c r="BR197" s="598"/>
      <c r="BS197" s="598"/>
      <c r="BT197" s="598"/>
      <c r="BU197" s="598"/>
      <c r="BV197" s="598"/>
      <c r="BW197" s="598"/>
      <c r="BX197" s="598"/>
      <c r="BY197" s="598"/>
      <c r="BZ197" s="598"/>
      <c r="CA197" s="598"/>
      <c r="CB197" s="175"/>
      <c r="CC197" s="179"/>
      <c r="CD197" s="95"/>
      <c r="CE197" s="181"/>
      <c r="CF197" s="273"/>
      <c r="CG197" s="256"/>
      <c r="CH197" s="256"/>
      <c r="CI197" s="256"/>
      <c r="CJ197" s="256"/>
      <c r="CK197" s="256"/>
      <c r="CL197" s="256"/>
      <c r="CM197" s="256"/>
      <c r="CN197" s="256"/>
      <c r="CO197" s="256"/>
      <c r="CP197" s="256"/>
      <c r="CQ197" s="256"/>
      <c r="CR197" s="256"/>
      <c r="CS197" s="256"/>
      <c r="CT197" s="256"/>
      <c r="CU197" s="256"/>
      <c r="CV197" s="256"/>
      <c r="CW197" s="256"/>
      <c r="CX197" s="256"/>
      <c r="CY197" s="256"/>
      <c r="CZ197" s="256"/>
      <c r="DA197" s="256"/>
      <c r="DB197" s="256"/>
      <c r="DC197" s="256"/>
      <c r="DD197" s="256"/>
      <c r="DE197" s="256"/>
      <c r="DF197" s="256"/>
      <c r="DG197" s="256"/>
      <c r="DH197" s="256"/>
      <c r="DI197" s="256"/>
      <c r="DJ197" s="256"/>
      <c r="DK197" s="256"/>
      <c r="DL197" s="256"/>
      <c r="DM197" s="256"/>
      <c r="DN197" s="256"/>
      <c r="DO197" s="256"/>
      <c r="DP197" s="256"/>
      <c r="DQ197" s="256"/>
      <c r="DR197" s="256"/>
      <c r="DS197" s="256"/>
      <c r="DT197" s="256"/>
      <c r="DU197" s="256"/>
      <c r="DV197" s="256"/>
      <c r="DW197" s="256"/>
      <c r="DX197" s="256"/>
      <c r="DY197" s="256"/>
      <c r="DZ197" s="256"/>
      <c r="EA197" s="256"/>
      <c r="EB197" s="256"/>
      <c r="EC197" s="256"/>
      <c r="ED197" s="256"/>
      <c r="EE197" s="256"/>
      <c r="EF197" s="256"/>
      <c r="EG197" s="256"/>
      <c r="EH197" s="256"/>
      <c r="EI197" s="256"/>
      <c r="EJ197" s="256"/>
      <c r="EK197" s="256"/>
      <c r="EL197" s="256"/>
      <c r="EM197" s="256"/>
      <c r="EN197" s="256"/>
      <c r="EO197" s="256"/>
      <c r="EP197" s="256"/>
      <c r="EQ197" s="256"/>
      <c r="ER197" s="256"/>
      <c r="ES197" s="256"/>
      <c r="ET197" s="256"/>
      <c r="EU197" s="256"/>
      <c r="EV197" s="256"/>
      <c r="EW197" s="256"/>
      <c r="EX197" s="256"/>
      <c r="EY197" s="256"/>
      <c r="EZ197" s="256"/>
      <c r="FA197" s="256"/>
      <c r="FB197" s="256"/>
      <c r="FC197" s="256"/>
      <c r="FD197" s="256"/>
      <c r="FE197" s="256"/>
      <c r="FF197" s="256"/>
      <c r="FG197" s="256"/>
      <c r="FH197" s="256"/>
      <c r="FI197" s="256"/>
      <c r="FJ197" s="256"/>
      <c r="FK197" s="256"/>
      <c r="FL197" s="256"/>
      <c r="FM197" s="256"/>
      <c r="FN197" s="256"/>
      <c r="FO197" s="256"/>
    </row>
    <row r="198" spans="1:171" s="31" customFormat="1" ht="19.5" customHeight="1">
      <c r="A198" s="260"/>
      <c r="B198" s="263"/>
      <c r="C198" s="262"/>
      <c r="D198" s="98"/>
      <c r="E198" s="98"/>
      <c r="F198" s="98"/>
      <c r="G198" s="98"/>
      <c r="H198" s="168" t="s">
        <v>143</v>
      </c>
      <c r="I198" s="172"/>
      <c r="J198" s="172"/>
      <c r="K198" s="172"/>
      <c r="L198" s="172"/>
      <c r="M198" s="172"/>
      <c r="N198" s="172"/>
      <c r="O198" s="172"/>
      <c r="P198" s="172"/>
      <c r="Q198" s="172"/>
      <c r="R198" s="172"/>
      <c r="S198" s="174"/>
      <c r="T198" s="175"/>
      <c r="U198" s="176"/>
      <c r="V198" s="591">
        <f>V196-U197</f>
        <v>24780</v>
      </c>
      <c r="W198" s="591"/>
      <c r="X198" s="591"/>
      <c r="Y198" s="591"/>
      <c r="Z198" s="591"/>
      <c r="AA198" s="591"/>
      <c r="AB198" s="591"/>
      <c r="AC198" s="591"/>
      <c r="AD198" s="591"/>
      <c r="AE198" s="591"/>
      <c r="AF198" s="591"/>
      <c r="AG198" s="591"/>
      <c r="AH198" s="591"/>
      <c r="AI198" s="591"/>
      <c r="AJ198" s="591"/>
      <c r="AK198" s="591"/>
      <c r="AL198" s="591"/>
      <c r="AM198" s="591"/>
      <c r="AN198" s="591"/>
      <c r="AO198" s="591"/>
      <c r="AP198" s="591"/>
      <c r="AQ198" s="591"/>
      <c r="AR198" s="591"/>
      <c r="AS198" s="591"/>
      <c r="AT198" s="591"/>
      <c r="AU198" s="591"/>
      <c r="AV198" s="591"/>
      <c r="AW198" s="591"/>
      <c r="AX198" s="177"/>
      <c r="AY198" s="176"/>
      <c r="AZ198" s="591">
        <f>AZ196-BA197</f>
        <v>1710</v>
      </c>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175"/>
      <c r="CC198" s="179"/>
      <c r="CD198" s="95"/>
      <c r="CE198" s="181"/>
      <c r="CF198" s="273"/>
      <c r="CG198" s="256"/>
      <c r="CH198" s="256"/>
      <c r="CI198" s="256"/>
      <c r="CJ198" s="256"/>
      <c r="CK198" s="256"/>
      <c r="CL198" s="256"/>
      <c r="CM198" s="256"/>
      <c r="CN198" s="256"/>
      <c r="CO198" s="256"/>
      <c r="CP198" s="256"/>
      <c r="CQ198" s="256"/>
      <c r="CR198" s="256"/>
      <c r="CS198" s="256"/>
      <c r="CT198" s="256"/>
      <c r="CU198" s="256"/>
      <c r="CV198" s="256"/>
      <c r="CW198" s="256"/>
      <c r="CX198" s="256"/>
      <c r="CY198" s="256"/>
      <c r="CZ198" s="256"/>
      <c r="DA198" s="256"/>
      <c r="DB198" s="256"/>
      <c r="DC198" s="256"/>
      <c r="DD198" s="256"/>
      <c r="DE198" s="256"/>
      <c r="DF198" s="256"/>
      <c r="DG198" s="256"/>
      <c r="DH198" s="256"/>
      <c r="DI198" s="256"/>
      <c r="DJ198" s="256"/>
      <c r="DK198" s="256"/>
      <c r="DL198" s="256"/>
      <c r="DM198" s="256"/>
      <c r="DN198" s="256"/>
      <c r="DO198" s="256"/>
      <c r="DP198" s="256"/>
      <c r="DQ198" s="256"/>
      <c r="DR198" s="256"/>
      <c r="DS198" s="256"/>
      <c r="DT198" s="256"/>
      <c r="DU198" s="256"/>
      <c r="DV198" s="256"/>
      <c r="DW198" s="256"/>
      <c r="DX198" s="256"/>
      <c r="DY198" s="256"/>
      <c r="DZ198" s="256"/>
      <c r="EA198" s="256"/>
      <c r="EB198" s="256"/>
      <c r="EC198" s="256"/>
      <c r="ED198" s="256"/>
      <c r="EE198" s="256"/>
      <c r="EF198" s="256"/>
      <c r="EG198" s="256"/>
      <c r="EH198" s="256"/>
      <c r="EI198" s="256"/>
      <c r="EJ198" s="256"/>
      <c r="EK198" s="256"/>
      <c r="EL198" s="256"/>
      <c r="EM198" s="256"/>
      <c r="EN198" s="256"/>
      <c r="EO198" s="256"/>
      <c r="EP198" s="256"/>
      <c r="EQ198" s="256"/>
      <c r="ER198" s="256"/>
      <c r="ES198" s="256"/>
      <c r="ET198" s="256"/>
      <c r="EU198" s="256"/>
      <c r="EV198" s="256"/>
      <c r="EW198" s="256"/>
      <c r="EX198" s="256"/>
      <c r="EY198" s="256"/>
      <c r="EZ198" s="256"/>
      <c r="FA198" s="256"/>
      <c r="FB198" s="256"/>
      <c r="FC198" s="256"/>
      <c r="FD198" s="256"/>
      <c r="FE198" s="256"/>
      <c r="FF198" s="256"/>
      <c r="FG198" s="256"/>
      <c r="FH198" s="256"/>
      <c r="FI198" s="256"/>
      <c r="FJ198" s="256"/>
      <c r="FK198" s="256"/>
      <c r="FL198" s="256"/>
      <c r="FM198" s="256"/>
      <c r="FN198" s="256"/>
      <c r="FO198" s="256"/>
    </row>
    <row r="199" spans="1:171" s="31" customFormat="1" ht="19.5" customHeight="1">
      <c r="A199" s="260"/>
      <c r="B199" s="263"/>
      <c r="C199" s="262"/>
      <c r="D199" s="98"/>
      <c r="E199" s="98"/>
      <c r="F199" s="98"/>
      <c r="G199" s="98"/>
      <c r="H199" s="168" t="s">
        <v>172</v>
      </c>
      <c r="I199" s="172"/>
      <c r="J199" s="172"/>
      <c r="K199" s="172"/>
      <c r="L199" s="172"/>
      <c r="M199" s="172"/>
      <c r="N199" s="172"/>
      <c r="O199" s="172"/>
      <c r="P199" s="172"/>
      <c r="Q199" s="172"/>
      <c r="R199" s="172"/>
      <c r="S199" s="174"/>
      <c r="T199" s="175"/>
      <c r="U199" s="176"/>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7"/>
      <c r="AY199" s="177"/>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175"/>
      <c r="CC199" s="179"/>
      <c r="CD199" s="95"/>
      <c r="CE199" s="181"/>
      <c r="CF199" s="273"/>
      <c r="CG199" s="256"/>
      <c r="CH199" s="256"/>
      <c r="CI199" s="256"/>
      <c r="CJ199" s="256"/>
      <c r="CK199" s="256"/>
      <c r="CL199" s="256"/>
      <c r="CM199" s="256"/>
      <c r="CN199" s="256"/>
      <c r="CO199" s="256"/>
      <c r="CP199" s="256"/>
      <c r="CQ199" s="256"/>
      <c r="CR199" s="256"/>
      <c r="CS199" s="256"/>
      <c r="CT199" s="256"/>
      <c r="CU199" s="256"/>
      <c r="CV199" s="256"/>
      <c r="CW199" s="256"/>
      <c r="CX199" s="256"/>
      <c r="CY199" s="256"/>
      <c r="CZ199" s="256"/>
      <c r="DA199" s="256"/>
      <c r="DB199" s="256"/>
      <c r="DC199" s="256"/>
      <c r="DD199" s="256"/>
      <c r="DE199" s="256"/>
      <c r="DF199" s="256"/>
      <c r="DG199" s="256"/>
      <c r="DH199" s="256"/>
      <c r="DI199" s="256"/>
      <c r="DJ199" s="256"/>
      <c r="DK199" s="256"/>
      <c r="DL199" s="256"/>
      <c r="DM199" s="256"/>
      <c r="DN199" s="256"/>
      <c r="DO199" s="256"/>
      <c r="DP199" s="256"/>
      <c r="DQ199" s="256"/>
      <c r="DR199" s="256"/>
      <c r="DS199" s="256"/>
      <c r="DT199" s="256"/>
      <c r="DU199" s="256"/>
      <c r="DV199" s="256"/>
      <c r="DW199" s="256"/>
      <c r="DX199" s="256"/>
      <c r="DY199" s="256"/>
      <c r="DZ199" s="256"/>
      <c r="EA199" s="256"/>
      <c r="EB199" s="256"/>
      <c r="EC199" s="256"/>
      <c r="ED199" s="256"/>
      <c r="EE199" s="256"/>
      <c r="EF199" s="256"/>
      <c r="EG199" s="256"/>
      <c r="EH199" s="256"/>
      <c r="EI199" s="256"/>
      <c r="EJ199" s="256"/>
      <c r="EK199" s="256"/>
      <c r="EL199" s="256"/>
      <c r="EM199" s="256"/>
      <c r="EN199" s="256"/>
      <c r="EO199" s="256"/>
      <c r="EP199" s="256"/>
      <c r="EQ199" s="256"/>
      <c r="ER199" s="256"/>
      <c r="ES199" s="256"/>
      <c r="ET199" s="256"/>
      <c r="EU199" s="256"/>
      <c r="EV199" s="256"/>
      <c r="EW199" s="256"/>
      <c r="EX199" s="256"/>
      <c r="EY199" s="256"/>
      <c r="EZ199" s="256"/>
      <c r="FA199" s="256"/>
      <c r="FB199" s="256"/>
      <c r="FC199" s="256"/>
      <c r="FD199" s="256"/>
      <c r="FE199" s="256"/>
      <c r="FF199" s="256"/>
      <c r="FG199" s="256"/>
      <c r="FH199" s="256"/>
      <c r="FI199" s="256"/>
      <c r="FJ199" s="256"/>
      <c r="FK199" s="256"/>
      <c r="FL199" s="256"/>
      <c r="FM199" s="256"/>
      <c r="FN199" s="256"/>
      <c r="FO199" s="256"/>
    </row>
    <row r="200" spans="1:171" s="31" customFormat="1" ht="19.5" customHeight="1">
      <c r="A200" s="260"/>
      <c r="B200" s="263"/>
      <c r="C200" s="262"/>
      <c r="D200" s="98"/>
      <c r="E200" s="98"/>
      <c r="F200" s="98"/>
      <c r="G200" s="98"/>
      <c r="H200" s="183"/>
      <c r="I200" s="183"/>
      <c r="J200" s="183"/>
      <c r="K200" s="183"/>
      <c r="L200" s="183"/>
      <c r="M200" s="183"/>
      <c r="N200" s="184"/>
      <c r="O200" s="184"/>
      <c r="P200" s="184"/>
      <c r="Q200" s="184"/>
      <c r="R200" s="184"/>
      <c r="S200" s="184"/>
      <c r="T200" s="184"/>
      <c r="U200" s="184"/>
      <c r="V200" s="184"/>
      <c r="W200" s="184"/>
      <c r="X200" s="184"/>
      <c r="Y200" s="184"/>
      <c r="Z200" s="184"/>
      <c r="AA200" s="184"/>
      <c r="AB200" s="184"/>
      <c r="AC200" s="184"/>
      <c r="AD200" s="184"/>
      <c r="AE200" s="184"/>
      <c r="AF200" s="184"/>
      <c r="AG200" s="184"/>
      <c r="AH200" s="184"/>
      <c r="AI200" s="184"/>
      <c r="AJ200" s="184"/>
      <c r="AK200" s="184"/>
      <c r="AL200" s="184"/>
      <c r="AM200" s="184"/>
      <c r="AN200" s="184"/>
      <c r="AO200" s="184"/>
      <c r="AP200" s="184"/>
      <c r="AQ200" s="184"/>
      <c r="AR200" s="184"/>
      <c r="AS200" s="184"/>
      <c r="AT200" s="184"/>
      <c r="AU200" s="184"/>
      <c r="AV200" s="184"/>
      <c r="AW200" s="184"/>
      <c r="AX200" s="184"/>
      <c r="AY200" s="184"/>
      <c r="AZ200" s="184"/>
      <c r="BA200" s="184"/>
      <c r="BB200" s="184"/>
      <c r="BC200" s="184"/>
      <c r="BD200" s="184"/>
      <c r="BE200" s="184"/>
      <c r="BF200" s="184"/>
      <c r="BG200" s="184"/>
      <c r="BH200" s="184"/>
      <c r="BI200" s="184"/>
      <c r="BJ200" s="184"/>
      <c r="BK200" s="184"/>
      <c r="BL200" s="184"/>
      <c r="BM200" s="183"/>
      <c r="BN200" s="183"/>
      <c r="BO200" s="184"/>
      <c r="BP200" s="184"/>
      <c r="BQ200" s="184"/>
      <c r="BR200" s="184"/>
      <c r="BS200" s="184"/>
      <c r="BT200" s="184"/>
      <c r="BU200" s="184"/>
      <c r="BV200" s="184"/>
      <c r="BW200" s="184"/>
      <c r="BX200" s="185"/>
      <c r="BY200" s="179"/>
      <c r="BZ200" s="179"/>
      <c r="CA200" s="179"/>
      <c r="CB200" s="179"/>
      <c r="CC200" s="179"/>
      <c r="CD200" s="95"/>
      <c r="CE200" s="181"/>
      <c r="CF200" s="273"/>
      <c r="CG200" s="256"/>
      <c r="CH200" s="256"/>
      <c r="CI200" s="256"/>
      <c r="CJ200" s="256"/>
      <c r="CK200" s="256"/>
      <c r="CL200" s="256"/>
      <c r="CM200" s="256"/>
      <c r="CN200" s="256"/>
      <c r="CO200" s="256"/>
      <c r="CP200" s="256"/>
      <c r="CQ200" s="256"/>
      <c r="CR200" s="256"/>
      <c r="CS200" s="256"/>
      <c r="CT200" s="256"/>
      <c r="CU200" s="256"/>
      <c r="CV200" s="256"/>
      <c r="CW200" s="256"/>
      <c r="CX200" s="256"/>
      <c r="CY200" s="256"/>
      <c r="CZ200" s="256"/>
      <c r="DA200" s="256"/>
      <c r="DB200" s="256"/>
      <c r="DC200" s="256"/>
      <c r="DD200" s="256"/>
      <c r="DE200" s="256"/>
      <c r="DF200" s="256"/>
      <c r="DG200" s="256"/>
      <c r="DH200" s="256"/>
      <c r="DI200" s="256"/>
      <c r="DJ200" s="256"/>
      <c r="DK200" s="256"/>
      <c r="DL200" s="256"/>
      <c r="DM200" s="256"/>
      <c r="DN200" s="256"/>
      <c r="DO200" s="256"/>
      <c r="DP200" s="256"/>
      <c r="DQ200" s="256"/>
      <c r="DR200" s="256"/>
      <c r="DS200" s="256"/>
      <c r="DT200" s="256"/>
      <c r="DU200" s="256"/>
      <c r="DV200" s="256"/>
      <c r="DW200" s="256"/>
      <c r="DX200" s="256"/>
      <c r="DY200" s="256"/>
      <c r="DZ200" s="256"/>
      <c r="EA200" s="256"/>
      <c r="EB200" s="256"/>
      <c r="EC200" s="256"/>
      <c r="ED200" s="256"/>
      <c r="EE200" s="256"/>
      <c r="EF200" s="256"/>
      <c r="EG200" s="256"/>
      <c r="EH200" s="256"/>
      <c r="EI200" s="256"/>
      <c r="EJ200" s="256"/>
      <c r="EK200" s="256"/>
      <c r="EL200" s="256"/>
      <c r="EM200" s="256"/>
      <c r="EN200" s="256"/>
      <c r="EO200" s="256"/>
      <c r="EP200" s="256"/>
      <c r="EQ200" s="256"/>
      <c r="ER200" s="256"/>
      <c r="ES200" s="256"/>
      <c r="ET200" s="256"/>
      <c r="EU200" s="256"/>
      <c r="EV200" s="256"/>
      <c r="EW200" s="256"/>
      <c r="EX200" s="256"/>
      <c r="EY200" s="256"/>
      <c r="EZ200" s="256"/>
      <c r="FA200" s="256"/>
      <c r="FB200" s="256"/>
      <c r="FC200" s="256"/>
      <c r="FD200" s="256"/>
      <c r="FE200" s="256"/>
      <c r="FF200" s="256"/>
      <c r="FG200" s="256"/>
      <c r="FH200" s="256"/>
      <c r="FI200" s="256"/>
      <c r="FJ200" s="256"/>
      <c r="FK200" s="256"/>
      <c r="FL200" s="256"/>
      <c r="FM200" s="256"/>
      <c r="FN200" s="256"/>
      <c r="FO200" s="256"/>
    </row>
    <row r="201" spans="1:171" s="31" customFormat="1" ht="19.5" customHeight="1">
      <c r="A201" s="260"/>
      <c r="B201" s="263"/>
      <c r="C201" s="262"/>
      <c r="D201" s="98"/>
      <c r="E201" s="98"/>
      <c r="F201" s="98"/>
      <c r="G201" s="98"/>
      <c r="H201" s="183"/>
      <c r="I201" s="183"/>
      <c r="J201" s="183"/>
      <c r="K201" s="183"/>
      <c r="L201" s="183"/>
      <c r="M201" s="183"/>
      <c r="N201" s="184"/>
      <c r="O201" s="184"/>
      <c r="P201" s="184"/>
      <c r="Q201" s="184"/>
      <c r="R201" s="184"/>
      <c r="S201" s="184"/>
      <c r="T201" s="184"/>
      <c r="U201" s="184"/>
      <c r="V201" s="184"/>
      <c r="W201" s="184"/>
      <c r="X201" s="184"/>
      <c r="Y201" s="184"/>
      <c r="Z201" s="184"/>
      <c r="AA201" s="184"/>
      <c r="AB201" s="184"/>
      <c r="AC201" s="184"/>
      <c r="AD201" s="184"/>
      <c r="AE201" s="184"/>
      <c r="AF201" s="184"/>
      <c r="AG201" s="184"/>
      <c r="AH201" s="184"/>
      <c r="AI201" s="184"/>
      <c r="AJ201" s="184"/>
      <c r="AK201" s="184"/>
      <c r="AL201" s="184"/>
      <c r="AM201" s="184"/>
      <c r="AN201" s="184"/>
      <c r="AO201" s="184"/>
      <c r="AP201" s="184"/>
      <c r="AQ201" s="184"/>
      <c r="AR201" s="184"/>
      <c r="AS201" s="184"/>
      <c r="AT201" s="184"/>
      <c r="AU201" s="184"/>
      <c r="AV201" s="184"/>
      <c r="AW201" s="184"/>
      <c r="AX201" s="184"/>
      <c r="AY201" s="184"/>
      <c r="AZ201" s="184"/>
      <c r="BA201" s="184"/>
      <c r="BB201" s="184"/>
      <c r="BC201" s="184"/>
      <c r="BD201" s="184"/>
      <c r="BE201" s="184"/>
      <c r="BF201" s="184"/>
      <c r="BG201" s="184"/>
      <c r="BH201" s="184"/>
      <c r="BI201" s="184"/>
      <c r="BJ201" s="184"/>
      <c r="BK201" s="184"/>
      <c r="BL201" s="184"/>
      <c r="BM201" s="183"/>
      <c r="BN201" s="183"/>
      <c r="BO201" s="184"/>
      <c r="BP201" s="184"/>
      <c r="BQ201" s="184"/>
      <c r="BR201" s="184"/>
      <c r="BS201" s="184"/>
      <c r="BT201" s="184"/>
      <c r="BU201" s="184"/>
      <c r="BV201" s="184"/>
      <c r="BW201" s="184"/>
      <c r="BX201" s="185"/>
      <c r="BY201" s="179"/>
      <c r="BZ201" s="179"/>
      <c r="CA201" s="179"/>
      <c r="CB201" s="179"/>
      <c r="CC201" s="179"/>
      <c r="CD201" s="95"/>
      <c r="CE201" s="181"/>
      <c r="CF201" s="273"/>
      <c r="CG201" s="256"/>
      <c r="CH201" s="256"/>
      <c r="CI201" s="256"/>
      <c r="CJ201" s="256"/>
      <c r="CK201" s="256"/>
      <c r="CL201" s="256"/>
      <c r="CM201" s="256"/>
      <c r="CN201" s="256"/>
      <c r="CO201" s="256"/>
      <c r="CP201" s="256"/>
      <c r="CQ201" s="256"/>
      <c r="CR201" s="256"/>
      <c r="CS201" s="256"/>
      <c r="CT201" s="256"/>
      <c r="CU201" s="256"/>
      <c r="CV201" s="256"/>
      <c r="CW201" s="256"/>
      <c r="CX201" s="256"/>
      <c r="CY201" s="256"/>
      <c r="CZ201" s="256"/>
      <c r="DA201" s="256"/>
      <c r="DB201" s="256"/>
      <c r="DC201" s="256"/>
      <c r="DD201" s="256"/>
      <c r="DE201" s="256"/>
      <c r="DF201" s="256"/>
      <c r="DG201" s="256"/>
      <c r="DH201" s="256"/>
      <c r="DI201" s="256"/>
      <c r="DJ201" s="256"/>
      <c r="DK201" s="256"/>
      <c r="DL201" s="256"/>
      <c r="DM201" s="256"/>
      <c r="DN201" s="256"/>
      <c r="DO201" s="256"/>
      <c r="DP201" s="256"/>
      <c r="DQ201" s="256"/>
      <c r="DR201" s="256"/>
      <c r="DS201" s="256"/>
      <c r="DT201" s="256"/>
      <c r="DU201" s="256"/>
      <c r="DV201" s="256"/>
      <c r="DW201" s="256"/>
      <c r="DX201" s="256"/>
      <c r="DY201" s="256"/>
      <c r="DZ201" s="256"/>
      <c r="EA201" s="256"/>
      <c r="EB201" s="256"/>
      <c r="EC201" s="256"/>
      <c r="ED201" s="256"/>
      <c r="EE201" s="256"/>
      <c r="EF201" s="256"/>
      <c r="EG201" s="256"/>
      <c r="EH201" s="256"/>
      <c r="EI201" s="256"/>
      <c r="EJ201" s="256"/>
      <c r="EK201" s="256"/>
      <c r="EL201" s="256"/>
      <c r="EM201" s="256"/>
      <c r="EN201" s="256"/>
      <c r="EO201" s="256"/>
      <c r="EP201" s="256"/>
      <c r="EQ201" s="256"/>
      <c r="ER201" s="256"/>
      <c r="ES201" s="256"/>
      <c r="ET201" s="256"/>
      <c r="EU201" s="256"/>
      <c r="EV201" s="256"/>
      <c r="EW201" s="256"/>
      <c r="EX201" s="256"/>
      <c r="EY201" s="256"/>
      <c r="EZ201" s="256"/>
      <c r="FA201" s="256"/>
      <c r="FB201" s="256"/>
      <c r="FC201" s="256"/>
      <c r="FD201" s="256"/>
      <c r="FE201" s="256"/>
      <c r="FF201" s="256"/>
      <c r="FG201" s="256"/>
      <c r="FH201" s="256"/>
      <c r="FI201" s="256"/>
      <c r="FJ201" s="256"/>
      <c r="FK201" s="256"/>
      <c r="FL201" s="256"/>
      <c r="FM201" s="256"/>
      <c r="FN201" s="256"/>
      <c r="FO201" s="256"/>
    </row>
    <row r="202" spans="1:171" s="31" customFormat="1" ht="19.5" customHeight="1">
      <c r="A202" s="260"/>
      <c r="B202" s="263"/>
      <c r="C202" s="262"/>
      <c r="D202" s="98"/>
      <c r="E202" s="98"/>
      <c r="F202" s="98"/>
      <c r="G202" s="98"/>
      <c r="H202" s="404" t="s">
        <v>402</v>
      </c>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405"/>
      <c r="AF202" s="405"/>
      <c r="AG202" s="405"/>
      <c r="AH202" s="405"/>
      <c r="AI202" s="405"/>
      <c r="AJ202" s="405"/>
      <c r="AK202" s="405"/>
      <c r="AL202" s="405"/>
      <c r="AM202" s="405"/>
      <c r="AN202" s="405"/>
      <c r="AO202" s="405"/>
      <c r="AP202" s="405"/>
      <c r="AQ202" s="405"/>
      <c r="AR202" s="405"/>
      <c r="AS202" s="405"/>
      <c r="AT202" s="405"/>
      <c r="AU202" s="405"/>
      <c r="AV202" s="405"/>
      <c r="AW202" s="405"/>
      <c r="AX202" s="405"/>
      <c r="AY202" s="405"/>
      <c r="AZ202" s="405"/>
      <c r="BA202" s="405"/>
      <c r="BB202" s="405"/>
      <c r="BC202" s="405"/>
      <c r="BD202" s="405"/>
      <c r="BE202" s="405"/>
      <c r="BF202" s="405"/>
      <c r="BG202" s="405"/>
      <c r="BH202" s="405"/>
      <c r="BI202" s="405"/>
      <c r="BJ202" s="405"/>
      <c r="BK202" s="405"/>
      <c r="BL202" s="405"/>
      <c r="BM202" s="405"/>
      <c r="BN202" s="405"/>
      <c r="BO202" s="405"/>
      <c r="BP202" s="405"/>
      <c r="BQ202" s="405"/>
      <c r="BR202" s="405"/>
      <c r="BS202" s="405"/>
      <c r="BT202" s="405"/>
      <c r="BU202" s="405"/>
      <c r="BV202" s="405"/>
      <c r="BW202" s="405"/>
      <c r="BX202" s="405"/>
      <c r="BY202" s="405"/>
      <c r="BZ202" s="405"/>
      <c r="CA202" s="405"/>
      <c r="CB202" s="406"/>
      <c r="CC202" s="179"/>
      <c r="CD202" s="95"/>
      <c r="CE202" s="181"/>
      <c r="CF202" s="273"/>
      <c r="CG202" s="256"/>
      <c r="CH202" s="256"/>
      <c r="CI202" s="256"/>
      <c r="CJ202" s="256"/>
      <c r="CK202" s="256"/>
      <c r="CL202" s="256"/>
      <c r="CM202" s="256"/>
      <c r="CN202" s="256"/>
      <c r="CO202" s="256"/>
      <c r="CP202" s="256"/>
      <c r="CQ202" s="256"/>
      <c r="CR202" s="256"/>
      <c r="CS202" s="256"/>
      <c r="CT202" s="256"/>
      <c r="CU202" s="256"/>
      <c r="CV202" s="256"/>
      <c r="CW202" s="256"/>
      <c r="CX202" s="256"/>
      <c r="CY202" s="256"/>
      <c r="CZ202" s="256"/>
      <c r="DA202" s="256"/>
      <c r="DB202" s="256"/>
      <c r="DC202" s="256"/>
      <c r="DD202" s="256"/>
      <c r="DE202" s="256"/>
      <c r="DF202" s="256"/>
      <c r="DG202" s="256"/>
      <c r="DH202" s="256"/>
      <c r="DI202" s="256"/>
      <c r="DJ202" s="256"/>
      <c r="DK202" s="256"/>
      <c r="DL202" s="256"/>
      <c r="DM202" s="256"/>
      <c r="DN202" s="256"/>
      <c r="DO202" s="256"/>
      <c r="DP202" s="256"/>
      <c r="DQ202" s="256"/>
      <c r="DR202" s="256"/>
      <c r="DS202" s="256"/>
      <c r="DT202" s="256"/>
      <c r="DU202" s="256"/>
      <c r="DV202" s="256"/>
      <c r="DW202" s="256"/>
      <c r="DX202" s="256"/>
      <c r="DY202" s="256"/>
      <c r="DZ202" s="256"/>
      <c r="EA202" s="256"/>
      <c r="EB202" s="256"/>
      <c r="EC202" s="256"/>
      <c r="ED202" s="256"/>
      <c r="EE202" s="256"/>
      <c r="EF202" s="256"/>
      <c r="EG202" s="256"/>
      <c r="EH202" s="256"/>
      <c r="EI202" s="256"/>
      <c r="EJ202" s="256"/>
      <c r="EK202" s="256"/>
      <c r="EL202" s="256"/>
      <c r="EM202" s="256"/>
      <c r="EN202" s="256"/>
      <c r="EO202" s="256"/>
      <c r="EP202" s="256"/>
      <c r="EQ202" s="256"/>
      <c r="ER202" s="256"/>
      <c r="ES202" s="256"/>
      <c r="ET202" s="256"/>
      <c r="EU202" s="256"/>
      <c r="EV202" s="256"/>
      <c r="EW202" s="256"/>
      <c r="EX202" s="256"/>
      <c r="EY202" s="256"/>
      <c r="EZ202" s="256"/>
      <c r="FA202" s="256"/>
      <c r="FB202" s="256"/>
      <c r="FC202" s="256"/>
      <c r="FD202" s="256"/>
      <c r="FE202" s="256"/>
      <c r="FF202" s="256"/>
      <c r="FG202" s="256"/>
      <c r="FH202" s="256"/>
      <c r="FI202" s="256"/>
      <c r="FJ202" s="256"/>
      <c r="FK202" s="256"/>
      <c r="FL202" s="256"/>
      <c r="FM202" s="256"/>
      <c r="FN202" s="256"/>
      <c r="FO202" s="256"/>
    </row>
    <row r="203" spans="1:171" s="31" customFormat="1" ht="19.5" customHeight="1">
      <c r="A203" s="260"/>
      <c r="B203" s="263"/>
      <c r="C203" s="262"/>
      <c r="D203" s="98"/>
      <c r="E203" s="98"/>
      <c r="F203" s="98"/>
      <c r="G203" s="98"/>
      <c r="H203" s="600" t="s">
        <v>403</v>
      </c>
      <c r="I203" s="600"/>
      <c r="J203" s="600"/>
      <c r="K203" s="600"/>
      <c r="L203" s="600"/>
      <c r="M203" s="600"/>
      <c r="N203" s="600"/>
      <c r="O203" s="600"/>
      <c r="P203" s="600"/>
      <c r="Q203" s="600"/>
      <c r="R203" s="600"/>
      <c r="S203" s="600"/>
      <c r="T203" s="600"/>
      <c r="U203" s="600" t="s">
        <v>404</v>
      </c>
      <c r="V203" s="600"/>
      <c r="W203" s="600"/>
      <c r="X203" s="600"/>
      <c r="Y203" s="600"/>
      <c r="Z203" s="600"/>
      <c r="AA203" s="600"/>
      <c r="AB203" s="600"/>
      <c r="AC203" s="600"/>
      <c r="AD203" s="600"/>
      <c r="AE203" s="600"/>
      <c r="AF203" s="600"/>
      <c r="AG203" s="600"/>
      <c r="AH203" s="600" t="s">
        <v>405</v>
      </c>
      <c r="AI203" s="600"/>
      <c r="AJ203" s="600"/>
      <c r="AK203" s="600"/>
      <c r="AL203" s="600"/>
      <c r="AM203" s="600"/>
      <c r="AN203" s="600"/>
      <c r="AO203" s="600"/>
      <c r="AP203" s="600"/>
      <c r="AQ203" s="600"/>
      <c r="AR203" s="600"/>
      <c r="AS203" s="600"/>
      <c r="AT203" s="600"/>
      <c r="AU203" s="600"/>
      <c r="AV203" s="600"/>
      <c r="AW203" s="600"/>
      <c r="AX203" s="600"/>
      <c r="AY203" s="600"/>
      <c r="AZ203" s="600"/>
      <c r="BA203" s="600"/>
      <c r="BB203" s="600"/>
      <c r="BC203" s="600"/>
      <c r="BD203" s="600"/>
      <c r="BE203" s="600"/>
      <c r="BF203" s="600"/>
      <c r="BG203" s="600"/>
      <c r="BH203" s="396" t="s">
        <v>406</v>
      </c>
      <c r="BI203" s="397"/>
      <c r="BJ203" s="397"/>
      <c r="BK203" s="397"/>
      <c r="BL203" s="397"/>
      <c r="BM203" s="397"/>
      <c r="BN203" s="397"/>
      <c r="BO203" s="397"/>
      <c r="BP203" s="397"/>
      <c r="BQ203" s="397"/>
      <c r="BR203" s="397"/>
      <c r="BS203" s="397"/>
      <c r="BT203" s="397"/>
      <c r="BU203" s="397"/>
      <c r="BV203" s="397"/>
      <c r="BW203" s="397"/>
      <c r="BX203" s="397"/>
      <c r="BY203" s="397"/>
      <c r="BZ203" s="397"/>
      <c r="CA203" s="397"/>
      <c r="CB203" s="398"/>
      <c r="CC203" s="179"/>
      <c r="CD203" s="95"/>
      <c r="CE203" s="181"/>
      <c r="CF203" s="273"/>
      <c r="CG203" s="256"/>
      <c r="CH203" s="256"/>
      <c r="CI203" s="256"/>
      <c r="CJ203" s="256"/>
      <c r="CK203" s="256"/>
      <c r="CL203" s="256"/>
      <c r="CM203" s="256"/>
      <c r="CN203" s="256"/>
      <c r="CO203" s="256"/>
      <c r="CP203" s="256"/>
      <c r="CQ203" s="256"/>
      <c r="CR203" s="256"/>
      <c r="CS203" s="256"/>
      <c r="CT203" s="256"/>
      <c r="CU203" s="256"/>
      <c r="CV203" s="256"/>
      <c r="CW203" s="256"/>
      <c r="CX203" s="256"/>
      <c r="CY203" s="256"/>
      <c r="CZ203" s="256"/>
      <c r="DA203" s="256"/>
      <c r="DB203" s="256"/>
      <c r="DC203" s="256"/>
      <c r="DD203" s="256"/>
      <c r="DE203" s="256"/>
      <c r="DF203" s="256"/>
      <c r="DG203" s="256"/>
      <c r="DH203" s="256"/>
      <c r="DI203" s="256"/>
      <c r="DJ203" s="256"/>
      <c r="DK203" s="256"/>
      <c r="DL203" s="256"/>
      <c r="DM203" s="256"/>
      <c r="DN203" s="256"/>
      <c r="DO203" s="256"/>
      <c r="DP203" s="256"/>
      <c r="DQ203" s="256"/>
      <c r="DR203" s="256"/>
      <c r="DS203" s="256"/>
      <c r="DT203" s="256"/>
      <c r="DU203" s="256"/>
      <c r="DV203" s="256"/>
      <c r="DW203" s="256"/>
      <c r="DX203" s="256"/>
      <c r="DY203" s="256"/>
      <c r="DZ203" s="256"/>
      <c r="EA203" s="256"/>
      <c r="EB203" s="256"/>
      <c r="EC203" s="256"/>
      <c r="ED203" s="256"/>
      <c r="EE203" s="256"/>
      <c r="EF203" s="256"/>
      <c r="EG203" s="256"/>
      <c r="EH203" s="256"/>
      <c r="EI203" s="256"/>
      <c r="EJ203" s="256"/>
      <c r="EK203" s="256"/>
      <c r="EL203" s="256"/>
      <c r="EM203" s="256"/>
      <c r="EN203" s="256"/>
      <c r="EO203" s="256"/>
      <c r="EP203" s="256"/>
      <c r="EQ203" s="256"/>
      <c r="ER203" s="256"/>
      <c r="ES203" s="256"/>
      <c r="ET203" s="256"/>
      <c r="EU203" s="256"/>
      <c r="EV203" s="256"/>
      <c r="EW203" s="256"/>
      <c r="EX203" s="256"/>
      <c r="EY203" s="256"/>
      <c r="EZ203" s="256"/>
      <c r="FA203" s="256"/>
      <c r="FB203" s="256"/>
      <c r="FC203" s="256"/>
      <c r="FD203" s="256"/>
      <c r="FE203" s="256"/>
      <c r="FF203" s="256"/>
      <c r="FG203" s="256"/>
      <c r="FH203" s="256"/>
      <c r="FI203" s="256"/>
      <c r="FJ203" s="256"/>
      <c r="FK203" s="256"/>
      <c r="FL203" s="256"/>
      <c r="FM203" s="256"/>
      <c r="FN203" s="256"/>
      <c r="FO203" s="256"/>
    </row>
    <row r="204" spans="1:171" s="31" customFormat="1" ht="19.5" customHeight="1">
      <c r="A204" s="260"/>
      <c r="B204" s="263"/>
      <c r="C204" s="262"/>
      <c r="D204" s="98"/>
      <c r="E204" s="98"/>
      <c r="F204" s="98"/>
      <c r="G204" s="98"/>
      <c r="H204" s="604" t="s">
        <v>185</v>
      </c>
      <c r="I204" s="605"/>
      <c r="J204" s="605"/>
      <c r="K204" s="605"/>
      <c r="L204" s="605"/>
      <c r="M204" s="605"/>
      <c r="N204" s="605"/>
      <c r="O204" s="605"/>
      <c r="P204" s="605"/>
      <c r="Q204" s="605"/>
      <c r="R204" s="605"/>
      <c r="S204" s="605"/>
      <c r="T204" s="606"/>
      <c r="U204" s="607" t="s">
        <v>407</v>
      </c>
      <c r="V204" s="608"/>
      <c r="W204" s="608"/>
      <c r="X204" s="608"/>
      <c r="Y204" s="608"/>
      <c r="Z204" s="608"/>
      <c r="AA204" s="608"/>
      <c r="AB204" s="608"/>
      <c r="AC204" s="608"/>
      <c r="AD204" s="608"/>
      <c r="AE204" s="608"/>
      <c r="AF204" s="608"/>
      <c r="AG204" s="609"/>
      <c r="AH204" s="604" t="s">
        <v>408</v>
      </c>
      <c r="AI204" s="605"/>
      <c r="AJ204" s="605"/>
      <c r="AK204" s="605"/>
      <c r="AL204" s="605"/>
      <c r="AM204" s="605"/>
      <c r="AN204" s="605"/>
      <c r="AO204" s="605"/>
      <c r="AP204" s="605"/>
      <c r="AQ204" s="605"/>
      <c r="AR204" s="605"/>
      <c r="AS204" s="605"/>
      <c r="AT204" s="605"/>
      <c r="AU204" s="605"/>
      <c r="AV204" s="605"/>
      <c r="AW204" s="605"/>
      <c r="AX204" s="605"/>
      <c r="AY204" s="605"/>
      <c r="AZ204" s="605"/>
      <c r="BA204" s="605"/>
      <c r="BB204" s="605"/>
      <c r="BC204" s="605"/>
      <c r="BD204" s="605"/>
      <c r="BE204" s="605"/>
      <c r="BF204" s="605"/>
      <c r="BG204" s="606"/>
      <c r="BH204" s="604" t="s">
        <v>409</v>
      </c>
      <c r="BI204" s="605"/>
      <c r="BJ204" s="605"/>
      <c r="BK204" s="605"/>
      <c r="BL204" s="605"/>
      <c r="BM204" s="605"/>
      <c r="BN204" s="605"/>
      <c r="BO204" s="605"/>
      <c r="BP204" s="605"/>
      <c r="BQ204" s="605"/>
      <c r="BR204" s="605"/>
      <c r="BS204" s="605"/>
      <c r="BT204" s="605"/>
      <c r="BU204" s="605"/>
      <c r="BV204" s="605"/>
      <c r="BW204" s="605"/>
      <c r="BX204" s="605"/>
      <c r="BY204" s="605"/>
      <c r="BZ204" s="605"/>
      <c r="CA204" s="605"/>
      <c r="CB204" s="606"/>
      <c r="CC204" s="179"/>
      <c r="CD204" s="95"/>
      <c r="CE204" s="181"/>
      <c r="CF204" s="273"/>
      <c r="CG204" s="256"/>
      <c r="CH204" s="256"/>
      <c r="CI204" s="256"/>
      <c r="CJ204" s="256"/>
      <c r="CK204" s="256"/>
      <c r="CL204" s="256"/>
      <c r="CM204" s="256"/>
      <c r="CN204" s="256"/>
      <c r="CO204" s="256"/>
      <c r="CP204" s="256"/>
      <c r="CQ204" s="256"/>
      <c r="CR204" s="256"/>
      <c r="CS204" s="256"/>
      <c r="CT204" s="256"/>
      <c r="CU204" s="256"/>
      <c r="CV204" s="256"/>
      <c r="CW204" s="256"/>
      <c r="CX204" s="256"/>
      <c r="CY204" s="256"/>
      <c r="CZ204" s="256"/>
      <c r="DA204" s="256"/>
      <c r="DB204" s="256"/>
      <c r="DC204" s="256"/>
      <c r="DD204" s="256"/>
      <c r="DE204" s="256"/>
      <c r="DF204" s="256"/>
      <c r="DG204" s="256"/>
      <c r="DH204" s="256"/>
      <c r="DI204" s="256"/>
      <c r="DJ204" s="256"/>
      <c r="DK204" s="256"/>
      <c r="DL204" s="256"/>
      <c r="DM204" s="256"/>
      <c r="DN204" s="256"/>
      <c r="DO204" s="256"/>
      <c r="DP204" s="256"/>
      <c r="DQ204" s="256"/>
      <c r="DR204" s="256"/>
      <c r="DS204" s="256"/>
      <c r="DT204" s="256"/>
      <c r="DU204" s="256"/>
      <c r="DV204" s="256"/>
      <c r="DW204" s="256"/>
      <c r="DX204" s="256"/>
      <c r="DY204" s="256"/>
      <c r="DZ204" s="256"/>
      <c r="EA204" s="256"/>
      <c r="EB204" s="256"/>
      <c r="EC204" s="256"/>
      <c r="ED204" s="256"/>
      <c r="EE204" s="256"/>
      <c r="EF204" s="256"/>
      <c r="EG204" s="256"/>
      <c r="EH204" s="256"/>
      <c r="EI204" s="256"/>
      <c r="EJ204" s="256"/>
      <c r="EK204" s="256"/>
      <c r="EL204" s="256"/>
      <c r="EM204" s="256"/>
      <c r="EN204" s="256"/>
      <c r="EO204" s="256"/>
      <c r="EP204" s="256"/>
      <c r="EQ204" s="256"/>
      <c r="ER204" s="256"/>
      <c r="ES204" s="256"/>
      <c r="ET204" s="256"/>
      <c r="EU204" s="256"/>
      <c r="EV204" s="256"/>
      <c r="EW204" s="256"/>
      <c r="EX204" s="256"/>
      <c r="EY204" s="256"/>
      <c r="EZ204" s="256"/>
      <c r="FA204" s="256"/>
      <c r="FB204" s="256"/>
      <c r="FC204" s="256"/>
      <c r="FD204" s="256"/>
      <c r="FE204" s="256"/>
      <c r="FF204" s="256"/>
      <c r="FG204" s="256"/>
      <c r="FH204" s="256"/>
      <c r="FI204" s="256"/>
      <c r="FJ204" s="256"/>
      <c r="FK204" s="256"/>
      <c r="FL204" s="256"/>
      <c r="FM204" s="256"/>
      <c r="FN204" s="256"/>
      <c r="FO204" s="256"/>
    </row>
    <row r="205" spans="1:171" s="31" customFormat="1" ht="19.5" customHeight="1">
      <c r="A205" s="260"/>
      <c r="B205" s="263"/>
      <c r="C205" s="262"/>
      <c r="D205" s="98"/>
      <c r="E205" s="98"/>
      <c r="F205" s="98"/>
      <c r="G205" s="98"/>
      <c r="H205" s="604" t="s">
        <v>410</v>
      </c>
      <c r="I205" s="605"/>
      <c r="J205" s="605"/>
      <c r="K205" s="605"/>
      <c r="L205" s="605"/>
      <c r="M205" s="605"/>
      <c r="N205" s="605"/>
      <c r="O205" s="605"/>
      <c r="P205" s="605"/>
      <c r="Q205" s="605"/>
      <c r="R205" s="605"/>
      <c r="S205" s="605"/>
      <c r="T205" s="606"/>
      <c r="U205" s="607" t="s">
        <v>407</v>
      </c>
      <c r="V205" s="608"/>
      <c r="W205" s="608"/>
      <c r="X205" s="608"/>
      <c r="Y205" s="608"/>
      <c r="Z205" s="608"/>
      <c r="AA205" s="608"/>
      <c r="AB205" s="608"/>
      <c r="AC205" s="608"/>
      <c r="AD205" s="608"/>
      <c r="AE205" s="608"/>
      <c r="AF205" s="608"/>
      <c r="AG205" s="609"/>
      <c r="AH205" s="604" t="s">
        <v>408</v>
      </c>
      <c r="AI205" s="605"/>
      <c r="AJ205" s="605"/>
      <c r="AK205" s="605"/>
      <c r="AL205" s="605"/>
      <c r="AM205" s="605"/>
      <c r="AN205" s="605"/>
      <c r="AO205" s="605"/>
      <c r="AP205" s="605"/>
      <c r="AQ205" s="605"/>
      <c r="AR205" s="605"/>
      <c r="AS205" s="605"/>
      <c r="AT205" s="605"/>
      <c r="AU205" s="605"/>
      <c r="AV205" s="605"/>
      <c r="AW205" s="605"/>
      <c r="AX205" s="605"/>
      <c r="AY205" s="605"/>
      <c r="AZ205" s="605"/>
      <c r="BA205" s="605"/>
      <c r="BB205" s="605"/>
      <c r="BC205" s="605"/>
      <c r="BD205" s="605"/>
      <c r="BE205" s="605"/>
      <c r="BF205" s="605"/>
      <c r="BG205" s="606"/>
      <c r="BH205" s="604" t="s">
        <v>411</v>
      </c>
      <c r="BI205" s="605"/>
      <c r="BJ205" s="605"/>
      <c r="BK205" s="605"/>
      <c r="BL205" s="605"/>
      <c r="BM205" s="605"/>
      <c r="BN205" s="605"/>
      <c r="BO205" s="605"/>
      <c r="BP205" s="605"/>
      <c r="BQ205" s="605"/>
      <c r="BR205" s="605"/>
      <c r="BS205" s="605"/>
      <c r="BT205" s="605"/>
      <c r="BU205" s="605"/>
      <c r="BV205" s="605"/>
      <c r="BW205" s="605"/>
      <c r="BX205" s="605"/>
      <c r="BY205" s="605"/>
      <c r="BZ205" s="605"/>
      <c r="CA205" s="605"/>
      <c r="CB205" s="606"/>
      <c r="CC205" s="179"/>
      <c r="CD205" s="95"/>
      <c r="CE205" s="181"/>
      <c r="CF205" s="273"/>
      <c r="CG205" s="256"/>
      <c r="CH205" s="256"/>
      <c r="CI205" s="256"/>
      <c r="CJ205" s="256"/>
      <c r="CK205" s="256"/>
      <c r="CL205" s="256"/>
      <c r="CM205" s="256"/>
      <c r="CN205" s="256"/>
      <c r="CO205" s="256"/>
      <c r="CP205" s="256"/>
      <c r="CQ205" s="256"/>
      <c r="CR205" s="256"/>
      <c r="CS205" s="256"/>
      <c r="CT205" s="256"/>
      <c r="CU205" s="256"/>
      <c r="CV205" s="256"/>
      <c r="CW205" s="256"/>
      <c r="CX205" s="256"/>
      <c r="CY205" s="256"/>
      <c r="CZ205" s="256"/>
      <c r="DA205" s="256"/>
      <c r="DB205" s="256"/>
      <c r="DC205" s="256"/>
      <c r="DD205" s="256"/>
      <c r="DE205" s="256"/>
      <c r="DF205" s="256"/>
      <c r="DG205" s="256"/>
      <c r="DH205" s="256"/>
      <c r="DI205" s="256"/>
      <c r="DJ205" s="256"/>
      <c r="DK205" s="256"/>
      <c r="DL205" s="256"/>
      <c r="DM205" s="256"/>
      <c r="DN205" s="256"/>
      <c r="DO205" s="256"/>
      <c r="DP205" s="256"/>
      <c r="DQ205" s="256"/>
      <c r="DR205" s="256"/>
      <c r="DS205" s="256"/>
      <c r="DT205" s="256"/>
      <c r="DU205" s="256"/>
      <c r="DV205" s="256"/>
      <c r="DW205" s="256"/>
      <c r="DX205" s="256"/>
      <c r="DY205" s="256"/>
      <c r="DZ205" s="256"/>
      <c r="EA205" s="256"/>
      <c r="EB205" s="256"/>
      <c r="EC205" s="256"/>
      <c r="ED205" s="256"/>
      <c r="EE205" s="256"/>
      <c r="EF205" s="256"/>
      <c r="EG205" s="256"/>
      <c r="EH205" s="256"/>
      <c r="EI205" s="256"/>
      <c r="EJ205" s="256"/>
      <c r="EK205" s="256"/>
      <c r="EL205" s="256"/>
      <c r="EM205" s="256"/>
      <c r="EN205" s="256"/>
      <c r="EO205" s="256"/>
      <c r="EP205" s="256"/>
      <c r="EQ205" s="256"/>
      <c r="ER205" s="256"/>
      <c r="ES205" s="256"/>
      <c r="ET205" s="256"/>
      <c r="EU205" s="256"/>
      <c r="EV205" s="256"/>
      <c r="EW205" s="256"/>
      <c r="EX205" s="256"/>
      <c r="EY205" s="256"/>
      <c r="EZ205" s="256"/>
      <c r="FA205" s="256"/>
      <c r="FB205" s="256"/>
      <c r="FC205" s="256"/>
      <c r="FD205" s="256"/>
      <c r="FE205" s="256"/>
      <c r="FF205" s="256"/>
      <c r="FG205" s="256"/>
      <c r="FH205" s="256"/>
      <c r="FI205" s="256"/>
      <c r="FJ205" s="256"/>
      <c r="FK205" s="256"/>
      <c r="FL205" s="256"/>
      <c r="FM205" s="256"/>
      <c r="FN205" s="256"/>
      <c r="FO205" s="256"/>
    </row>
    <row r="206" spans="1:171" s="31" customFormat="1" ht="19.5" customHeight="1">
      <c r="A206" s="260"/>
      <c r="B206" s="263"/>
      <c r="C206" s="262"/>
      <c r="D206" s="98"/>
      <c r="E206" s="98"/>
      <c r="F206" s="98"/>
      <c r="G206" s="98"/>
      <c r="H206" s="604" t="s">
        <v>412</v>
      </c>
      <c r="I206" s="605"/>
      <c r="J206" s="605"/>
      <c r="K206" s="605"/>
      <c r="L206" s="605"/>
      <c r="M206" s="605"/>
      <c r="N206" s="605"/>
      <c r="O206" s="605"/>
      <c r="P206" s="605"/>
      <c r="Q206" s="605"/>
      <c r="R206" s="605"/>
      <c r="S206" s="605"/>
      <c r="T206" s="606"/>
      <c r="U206" s="607" t="s">
        <v>413</v>
      </c>
      <c r="V206" s="608"/>
      <c r="W206" s="608"/>
      <c r="X206" s="608"/>
      <c r="Y206" s="608"/>
      <c r="Z206" s="608"/>
      <c r="AA206" s="608"/>
      <c r="AB206" s="608"/>
      <c r="AC206" s="608"/>
      <c r="AD206" s="608"/>
      <c r="AE206" s="608"/>
      <c r="AF206" s="608"/>
      <c r="AG206" s="608"/>
      <c r="AH206" s="608"/>
      <c r="AI206" s="608"/>
      <c r="AJ206" s="608"/>
      <c r="AK206" s="608"/>
      <c r="AL206" s="608"/>
      <c r="AM206" s="608"/>
      <c r="AN206" s="608"/>
      <c r="AO206" s="608"/>
      <c r="AP206" s="608"/>
      <c r="AQ206" s="608"/>
      <c r="AR206" s="608"/>
      <c r="AS206" s="608"/>
      <c r="AT206" s="608"/>
      <c r="AU206" s="608"/>
      <c r="AV206" s="608"/>
      <c r="AW206" s="608"/>
      <c r="AX206" s="608"/>
      <c r="AY206" s="608"/>
      <c r="AZ206" s="608"/>
      <c r="BA206" s="608"/>
      <c r="BB206" s="608"/>
      <c r="BC206" s="608"/>
      <c r="BD206" s="608"/>
      <c r="BE206" s="608"/>
      <c r="BF206" s="608"/>
      <c r="BG206" s="609"/>
      <c r="BH206" s="604"/>
      <c r="BI206" s="605"/>
      <c r="BJ206" s="605"/>
      <c r="BK206" s="605"/>
      <c r="BL206" s="605"/>
      <c r="BM206" s="605"/>
      <c r="BN206" s="605"/>
      <c r="BO206" s="605"/>
      <c r="BP206" s="605"/>
      <c r="BQ206" s="605"/>
      <c r="BR206" s="605"/>
      <c r="BS206" s="605"/>
      <c r="BT206" s="605"/>
      <c r="BU206" s="605"/>
      <c r="BV206" s="605"/>
      <c r="BW206" s="605"/>
      <c r="BX206" s="605"/>
      <c r="BY206" s="605"/>
      <c r="BZ206" s="605"/>
      <c r="CA206" s="605"/>
      <c r="CB206" s="606"/>
      <c r="CC206" s="179"/>
      <c r="CD206" s="95"/>
      <c r="CE206" s="181"/>
      <c r="CF206" s="273"/>
      <c r="CG206" s="256"/>
      <c r="CH206" s="256"/>
      <c r="CI206" s="256"/>
      <c r="CJ206" s="256"/>
      <c r="CK206" s="256"/>
      <c r="CL206" s="256"/>
      <c r="CM206" s="256"/>
      <c r="CN206" s="256"/>
      <c r="CO206" s="256"/>
      <c r="CP206" s="256"/>
      <c r="CQ206" s="256"/>
      <c r="CR206" s="256"/>
      <c r="CS206" s="256"/>
      <c r="CT206" s="256"/>
      <c r="CU206" s="256"/>
      <c r="CV206" s="256"/>
      <c r="CW206" s="256"/>
      <c r="CX206" s="256"/>
      <c r="CY206" s="256"/>
      <c r="CZ206" s="256"/>
      <c r="DA206" s="256"/>
      <c r="DB206" s="256"/>
      <c r="DC206" s="256"/>
      <c r="DD206" s="256"/>
      <c r="DE206" s="256"/>
      <c r="DF206" s="256"/>
      <c r="DG206" s="256"/>
      <c r="DH206" s="256"/>
      <c r="DI206" s="256"/>
      <c r="DJ206" s="256"/>
      <c r="DK206" s="256"/>
      <c r="DL206" s="256"/>
      <c r="DM206" s="256"/>
      <c r="DN206" s="256"/>
      <c r="DO206" s="256"/>
      <c r="DP206" s="256"/>
      <c r="DQ206" s="256"/>
      <c r="DR206" s="256"/>
      <c r="DS206" s="256"/>
      <c r="DT206" s="256"/>
      <c r="DU206" s="256"/>
      <c r="DV206" s="256"/>
      <c r="DW206" s="256"/>
      <c r="DX206" s="256"/>
      <c r="DY206" s="256"/>
      <c r="DZ206" s="256"/>
      <c r="EA206" s="256"/>
      <c r="EB206" s="256"/>
      <c r="EC206" s="256"/>
      <c r="ED206" s="256"/>
      <c r="EE206" s="256"/>
      <c r="EF206" s="256"/>
      <c r="EG206" s="256"/>
      <c r="EH206" s="256"/>
      <c r="EI206" s="256"/>
      <c r="EJ206" s="256"/>
      <c r="EK206" s="256"/>
      <c r="EL206" s="256"/>
      <c r="EM206" s="256"/>
      <c r="EN206" s="256"/>
      <c r="EO206" s="256"/>
      <c r="EP206" s="256"/>
      <c r="EQ206" s="256"/>
      <c r="ER206" s="256"/>
      <c r="ES206" s="256"/>
      <c r="ET206" s="256"/>
      <c r="EU206" s="256"/>
      <c r="EV206" s="256"/>
      <c r="EW206" s="256"/>
      <c r="EX206" s="256"/>
      <c r="EY206" s="256"/>
      <c r="EZ206" s="256"/>
      <c r="FA206" s="256"/>
      <c r="FB206" s="256"/>
      <c r="FC206" s="256"/>
      <c r="FD206" s="256"/>
      <c r="FE206" s="256"/>
      <c r="FF206" s="256"/>
      <c r="FG206" s="256"/>
      <c r="FH206" s="256"/>
      <c r="FI206" s="256"/>
      <c r="FJ206" s="256"/>
      <c r="FK206" s="256"/>
      <c r="FL206" s="256"/>
      <c r="FM206" s="256"/>
      <c r="FN206" s="256"/>
      <c r="FO206" s="256"/>
    </row>
    <row r="207" spans="1:171" s="31" customFormat="1" ht="19.5" customHeight="1">
      <c r="A207" s="260"/>
      <c r="B207" s="263"/>
      <c r="C207" s="262"/>
      <c r="D207" s="98"/>
      <c r="E207" s="98"/>
      <c r="F207" s="98"/>
      <c r="G207" s="98"/>
      <c r="H207" s="332"/>
      <c r="I207" s="189"/>
      <c r="J207" s="189"/>
      <c r="K207" s="189"/>
      <c r="L207" s="189"/>
      <c r="M207" s="189"/>
      <c r="N207" s="189"/>
      <c r="O207" s="189"/>
      <c r="P207" s="189"/>
      <c r="Q207" s="189"/>
      <c r="R207" s="189"/>
      <c r="S207" s="189"/>
      <c r="T207" s="189"/>
      <c r="U207" s="189"/>
      <c r="V207" s="333"/>
      <c r="W207" s="189"/>
      <c r="X207" s="189"/>
      <c r="Y207" s="189"/>
      <c r="Z207" s="189"/>
      <c r="AA207" s="189"/>
      <c r="AB207" s="189"/>
      <c r="AC207" s="189"/>
      <c r="AD207" s="189"/>
      <c r="AE207" s="189"/>
      <c r="AF207" s="189"/>
      <c r="AG207" s="189"/>
      <c r="AH207" s="189"/>
      <c r="AI207" s="189"/>
      <c r="AJ207" s="189"/>
      <c r="AK207" s="189"/>
      <c r="AL207" s="189"/>
      <c r="AM207" s="189"/>
      <c r="AN207" s="189"/>
      <c r="AO207" s="189"/>
      <c r="AP207" s="189"/>
      <c r="AQ207" s="189"/>
      <c r="AR207" s="189"/>
      <c r="AS207" s="189"/>
      <c r="AT207" s="189"/>
      <c r="AU207" s="189"/>
      <c r="AV207" s="189"/>
      <c r="AW207" s="189"/>
      <c r="AX207" s="189"/>
      <c r="AY207" s="189"/>
      <c r="AZ207" s="189"/>
      <c r="BA207" s="189"/>
      <c r="BB207" s="189"/>
      <c r="BC207" s="189"/>
      <c r="BD207" s="189"/>
      <c r="BE207" s="189"/>
      <c r="BF207" s="189"/>
      <c r="BG207" s="189"/>
      <c r="BH207" s="189"/>
      <c r="BI207" s="189"/>
      <c r="BJ207" s="189"/>
      <c r="BK207" s="189"/>
      <c r="BL207" s="189"/>
      <c r="BM207" s="189"/>
      <c r="BN207" s="189"/>
      <c r="BO207" s="189"/>
      <c r="BP207" s="189"/>
      <c r="BQ207" s="189"/>
      <c r="BR207" s="189"/>
      <c r="BS207" s="189"/>
      <c r="BT207" s="189"/>
      <c r="BU207" s="189"/>
      <c r="BV207" s="189"/>
      <c r="BW207" s="189"/>
      <c r="BX207" s="189"/>
      <c r="BY207" s="189"/>
      <c r="BZ207" s="179"/>
      <c r="CA207" s="179"/>
      <c r="CB207" s="179"/>
      <c r="CC207" s="179"/>
      <c r="CD207" s="95"/>
      <c r="CE207" s="181"/>
      <c r="CF207" s="273"/>
      <c r="CG207" s="256"/>
      <c r="CH207" s="256"/>
      <c r="CI207" s="256"/>
      <c r="CJ207" s="256"/>
      <c r="CK207" s="256"/>
      <c r="CL207" s="256"/>
      <c r="CM207" s="256"/>
      <c r="CN207" s="256"/>
      <c r="CO207" s="256"/>
      <c r="CP207" s="256"/>
      <c r="CQ207" s="256"/>
      <c r="CR207" s="256"/>
      <c r="CS207" s="256"/>
      <c r="CT207" s="256"/>
      <c r="CU207" s="256"/>
      <c r="CV207" s="256"/>
      <c r="CW207" s="256"/>
      <c r="CX207" s="256"/>
      <c r="CY207" s="256"/>
      <c r="CZ207" s="256"/>
      <c r="DA207" s="256"/>
      <c r="DB207" s="256"/>
      <c r="DC207" s="256"/>
      <c r="DD207" s="256"/>
      <c r="DE207" s="256"/>
      <c r="DF207" s="256"/>
      <c r="DG207" s="256"/>
      <c r="DH207" s="256"/>
      <c r="DI207" s="256"/>
      <c r="DJ207" s="256"/>
      <c r="DK207" s="256"/>
      <c r="DL207" s="256"/>
      <c r="DM207" s="256"/>
      <c r="DN207" s="256"/>
      <c r="DO207" s="256"/>
      <c r="DP207" s="256"/>
      <c r="DQ207" s="256"/>
      <c r="DR207" s="256"/>
      <c r="DS207" s="256"/>
      <c r="DT207" s="256"/>
      <c r="DU207" s="256"/>
      <c r="DV207" s="256"/>
      <c r="DW207" s="256"/>
      <c r="DX207" s="256"/>
      <c r="DY207" s="256"/>
      <c r="DZ207" s="256"/>
      <c r="EA207" s="256"/>
      <c r="EB207" s="256"/>
      <c r="EC207" s="256"/>
      <c r="ED207" s="256"/>
      <c r="EE207" s="256"/>
      <c r="EF207" s="256"/>
      <c r="EG207" s="256"/>
      <c r="EH207" s="256"/>
      <c r="EI207" s="256"/>
      <c r="EJ207" s="256"/>
      <c r="EK207" s="256"/>
      <c r="EL207" s="256"/>
      <c r="EM207" s="256"/>
      <c r="EN207" s="256"/>
      <c r="EO207" s="256"/>
      <c r="EP207" s="256"/>
      <c r="EQ207" s="256"/>
      <c r="ER207" s="256"/>
      <c r="ES207" s="256"/>
      <c r="ET207" s="256"/>
      <c r="EU207" s="256"/>
      <c r="EV207" s="256"/>
      <c r="EW207" s="256"/>
      <c r="EX207" s="256"/>
      <c r="EY207" s="256"/>
      <c r="EZ207" s="256"/>
      <c r="FA207" s="256"/>
      <c r="FB207" s="256"/>
      <c r="FC207" s="256"/>
      <c r="FD207" s="256"/>
      <c r="FE207" s="256"/>
      <c r="FF207" s="256"/>
      <c r="FG207" s="256"/>
      <c r="FH207" s="256"/>
      <c r="FI207" s="256"/>
      <c r="FJ207" s="256"/>
      <c r="FK207" s="256"/>
      <c r="FL207" s="256"/>
      <c r="FM207" s="256"/>
      <c r="FN207" s="256"/>
      <c r="FO207" s="256"/>
    </row>
    <row r="208" spans="1:171" s="31" customFormat="1" ht="19.5" customHeight="1">
      <c r="A208" s="260"/>
      <c r="B208" s="263"/>
      <c r="C208" s="262"/>
      <c r="D208" s="98"/>
      <c r="E208" s="98"/>
      <c r="F208" s="98"/>
      <c r="G208" s="98"/>
      <c r="H208" s="179"/>
      <c r="I208" s="179"/>
      <c r="J208" s="179"/>
      <c r="K208" s="179"/>
      <c r="L208" s="179"/>
      <c r="M208" s="179"/>
      <c r="N208" s="292"/>
      <c r="O208" s="179"/>
      <c r="P208" s="179"/>
      <c r="Q208" s="179"/>
      <c r="R208" s="179"/>
      <c r="S208" s="180"/>
      <c r="T208" s="180"/>
      <c r="U208" s="180"/>
      <c r="V208" s="180"/>
      <c r="W208" s="180"/>
      <c r="X208" s="180"/>
      <c r="Y208" s="180"/>
      <c r="Z208" s="180"/>
      <c r="AA208" s="179"/>
      <c r="AB208" s="292"/>
      <c r="AC208" s="180"/>
      <c r="AD208" s="179"/>
      <c r="AE208" s="179"/>
      <c r="AF208" s="179"/>
      <c r="AG208" s="179"/>
      <c r="AH208" s="179"/>
      <c r="AI208" s="179"/>
      <c r="AJ208" s="179"/>
      <c r="AK208" s="179"/>
      <c r="AL208" s="179"/>
      <c r="AM208" s="179"/>
      <c r="AN208" s="179"/>
      <c r="AO208" s="179"/>
      <c r="AP208" s="179"/>
      <c r="AQ208" s="179"/>
      <c r="AR208" s="179"/>
      <c r="AS208" s="179"/>
      <c r="AT208" s="292"/>
      <c r="AU208" s="179"/>
      <c r="AV208" s="179"/>
      <c r="AW208" s="179"/>
      <c r="AX208" s="179"/>
      <c r="AY208" s="179"/>
      <c r="AZ208" s="179"/>
      <c r="BA208" s="179"/>
      <c r="BB208" s="179"/>
      <c r="BC208" s="179"/>
      <c r="BD208" s="179"/>
      <c r="BE208" s="179"/>
      <c r="BF208" s="179"/>
      <c r="BG208" s="179"/>
      <c r="BH208" s="179"/>
      <c r="BI208" s="179"/>
      <c r="BJ208" s="179"/>
      <c r="BK208" s="179"/>
      <c r="BL208" s="179"/>
      <c r="BM208" s="179"/>
      <c r="BN208" s="179"/>
      <c r="BO208" s="179"/>
      <c r="BP208" s="179"/>
      <c r="BQ208" s="179"/>
      <c r="BR208" s="179"/>
      <c r="BS208" s="179"/>
      <c r="BT208" s="179"/>
      <c r="BU208" s="179"/>
      <c r="BV208" s="179"/>
      <c r="BW208" s="179"/>
      <c r="BX208" s="179"/>
      <c r="BY208" s="179"/>
      <c r="BZ208" s="179"/>
      <c r="CA208" s="179"/>
      <c r="CB208" s="179"/>
      <c r="CC208" s="179"/>
      <c r="CD208" s="95"/>
      <c r="CE208" s="181"/>
      <c r="CF208" s="273"/>
      <c r="CG208" s="256"/>
      <c r="CH208" s="256"/>
      <c r="CI208" s="256"/>
      <c r="CJ208" s="256"/>
      <c r="CK208" s="256"/>
      <c r="CL208" s="256"/>
      <c r="CM208" s="256"/>
      <c r="CN208" s="256"/>
      <c r="CO208" s="261"/>
      <c r="CP208" s="261"/>
      <c r="CQ208" s="261"/>
      <c r="CR208" s="261"/>
      <c r="CS208" s="261"/>
      <c r="CT208" s="261"/>
      <c r="CU208" s="261"/>
      <c r="CV208" s="261"/>
      <c r="CW208" s="261"/>
      <c r="CX208" s="261"/>
      <c r="CY208" s="261"/>
      <c r="CZ208" s="261"/>
      <c r="DA208" s="261"/>
      <c r="DB208" s="261"/>
      <c r="DC208" s="261"/>
      <c r="DD208" s="261"/>
      <c r="DE208" s="261"/>
      <c r="DF208" s="261"/>
      <c r="DG208" s="261"/>
      <c r="DH208" s="261"/>
      <c r="DI208" s="279"/>
      <c r="DJ208" s="279"/>
      <c r="DK208" s="261"/>
      <c r="DL208" s="261"/>
      <c r="DM208" s="261"/>
      <c r="DN208" s="261"/>
      <c r="DO208" s="261"/>
      <c r="DP208" s="261"/>
      <c r="DQ208" s="261"/>
      <c r="DR208" s="261"/>
      <c r="DS208" s="261"/>
      <c r="DT208" s="261"/>
      <c r="DU208" s="261"/>
      <c r="DV208" s="261"/>
      <c r="DW208" s="261"/>
      <c r="DX208" s="261"/>
      <c r="DY208" s="279"/>
      <c r="DZ208" s="256"/>
      <c r="EA208" s="256"/>
      <c r="EB208" s="256"/>
      <c r="EC208" s="256"/>
      <c r="ED208" s="256"/>
      <c r="EE208" s="256"/>
      <c r="EF208" s="256"/>
      <c r="EG208" s="256"/>
      <c r="EH208" s="256"/>
      <c r="EI208" s="256"/>
      <c r="EJ208" s="256"/>
      <c r="EK208" s="256"/>
      <c r="EL208" s="256"/>
      <c r="EM208" s="256"/>
      <c r="EN208" s="256"/>
      <c r="EO208" s="256"/>
      <c r="EP208" s="256"/>
      <c r="EQ208" s="256"/>
      <c r="ER208" s="256"/>
      <c r="ES208" s="256"/>
      <c r="ET208" s="256"/>
      <c r="EU208" s="256"/>
      <c r="EV208" s="256"/>
      <c r="EW208" s="256"/>
      <c r="EX208" s="256"/>
      <c r="EY208" s="256"/>
      <c r="EZ208" s="256"/>
      <c r="FA208" s="256"/>
      <c r="FB208" s="256"/>
      <c r="FC208" s="256"/>
      <c r="FD208" s="256"/>
      <c r="FE208" s="256"/>
      <c r="FF208" s="256"/>
      <c r="FG208" s="256"/>
      <c r="FH208" s="256"/>
      <c r="FI208" s="256"/>
      <c r="FJ208" s="256"/>
      <c r="FK208" s="256"/>
      <c r="FL208" s="256"/>
      <c r="FM208" s="256"/>
      <c r="FN208" s="256"/>
      <c r="FO208" s="256"/>
    </row>
    <row r="209" spans="1:171" s="31" customFormat="1" ht="19.5" customHeight="1">
      <c r="A209" s="260"/>
      <c r="B209" s="263"/>
      <c r="C209" s="262"/>
      <c r="D209" s="98"/>
      <c r="E209" s="98"/>
      <c r="F209" s="98"/>
      <c r="G209" s="98"/>
      <c r="H209" s="192"/>
      <c r="I209" s="179"/>
      <c r="J209" s="179"/>
      <c r="K209" s="179"/>
      <c r="L209" s="179"/>
      <c r="M209" s="179"/>
      <c r="N209" s="179"/>
      <c r="O209" s="179"/>
      <c r="P209" s="179"/>
      <c r="Q209" s="179"/>
      <c r="R209" s="179"/>
      <c r="S209" s="179"/>
      <c r="T209" s="179"/>
      <c r="U209" s="179"/>
      <c r="V209" s="193"/>
      <c r="W209" s="179"/>
      <c r="X209" s="179"/>
      <c r="Y209" s="179"/>
      <c r="Z209" s="179"/>
      <c r="AA209" s="179"/>
      <c r="AB209" s="179"/>
      <c r="AC209" s="179"/>
      <c r="AD209" s="179"/>
      <c r="AE209" s="179"/>
      <c r="AF209" s="179"/>
      <c r="AG209" s="179"/>
      <c r="AH209" s="179"/>
      <c r="AI209" s="179"/>
      <c r="AJ209" s="179"/>
      <c r="AK209" s="179"/>
      <c r="AL209" s="179"/>
      <c r="AM209" s="179"/>
      <c r="AN209" s="179"/>
      <c r="AO209" s="179"/>
      <c r="AP209" s="179"/>
      <c r="AQ209" s="179"/>
      <c r="AR209" s="179"/>
      <c r="AS209" s="179"/>
      <c r="AT209" s="179"/>
      <c r="AU209" s="179"/>
      <c r="AV209" s="179"/>
      <c r="AW209" s="179"/>
      <c r="AX209" s="179"/>
      <c r="AY209" s="179"/>
      <c r="AZ209" s="179"/>
      <c r="BA209" s="179"/>
      <c r="BB209" s="179"/>
      <c r="BC209" s="179"/>
      <c r="BD209" s="179"/>
      <c r="BE209" s="179"/>
      <c r="BF209" s="179"/>
      <c r="BG209" s="179"/>
      <c r="BH209" s="179"/>
      <c r="BI209" s="179"/>
      <c r="BJ209" s="179"/>
      <c r="BK209" s="179"/>
      <c r="BL209" s="179"/>
      <c r="BM209" s="179"/>
      <c r="BN209" s="179"/>
      <c r="BO209" s="179"/>
      <c r="BP209" s="179"/>
      <c r="BQ209" s="179"/>
      <c r="BR209" s="179"/>
      <c r="BS209" s="179"/>
      <c r="BT209" s="179"/>
      <c r="BU209" s="179"/>
      <c r="BV209" s="179"/>
      <c r="BW209" s="179"/>
      <c r="BX209" s="179"/>
      <c r="BY209" s="179"/>
      <c r="BZ209" s="179"/>
      <c r="CA209" s="179"/>
      <c r="CB209" s="179"/>
      <c r="CC209" s="179"/>
      <c r="CD209" s="95"/>
      <c r="CE209" s="181"/>
      <c r="CF209" s="273"/>
      <c r="CG209" s="256"/>
      <c r="CH209" s="256"/>
      <c r="CI209" s="256"/>
      <c r="CJ209" s="256"/>
      <c r="CK209" s="256"/>
      <c r="CL209" s="256"/>
      <c r="CM209" s="256"/>
      <c r="CN209" s="256"/>
      <c r="CO209" s="256"/>
      <c r="CP209" s="256"/>
      <c r="CQ209" s="256"/>
      <c r="CR209" s="256"/>
      <c r="CS209" s="256"/>
      <c r="CT209" s="256"/>
      <c r="CU209" s="256"/>
      <c r="CV209" s="256"/>
      <c r="CW209" s="256"/>
      <c r="CX209" s="256"/>
      <c r="CY209" s="256"/>
      <c r="CZ209" s="256"/>
      <c r="DA209" s="256"/>
      <c r="DB209" s="256"/>
      <c r="DC209" s="256"/>
      <c r="DD209" s="256"/>
      <c r="DE209" s="256"/>
      <c r="DF209" s="256"/>
      <c r="DG209" s="256"/>
      <c r="DH209" s="256"/>
      <c r="DI209" s="256"/>
      <c r="DJ209" s="256"/>
      <c r="DK209" s="256"/>
      <c r="DL209" s="256"/>
      <c r="DM209" s="256"/>
      <c r="DN209" s="256"/>
      <c r="DO209" s="256"/>
      <c r="DP209" s="256"/>
      <c r="DQ209" s="256"/>
      <c r="DR209" s="256"/>
      <c r="DS209" s="256"/>
      <c r="DT209" s="256"/>
      <c r="DU209" s="256"/>
      <c r="DV209" s="256"/>
      <c r="DW209" s="256"/>
      <c r="DX209" s="256"/>
      <c r="DY209" s="256"/>
      <c r="DZ209" s="256"/>
      <c r="EA209" s="256"/>
      <c r="EB209" s="256"/>
      <c r="EC209" s="256"/>
      <c r="ED209" s="256"/>
      <c r="EE209" s="256"/>
      <c r="EF209" s="256"/>
      <c r="EG209" s="256"/>
      <c r="EH209" s="256"/>
      <c r="EI209" s="256"/>
      <c r="EJ209" s="256"/>
      <c r="EK209" s="256"/>
      <c r="EL209" s="256"/>
      <c r="EM209" s="256"/>
      <c r="EN209" s="256"/>
      <c r="EO209" s="256"/>
      <c r="EP209" s="256"/>
      <c r="EQ209" s="256"/>
      <c r="ER209" s="256"/>
      <c r="ES209" s="256"/>
      <c r="ET209" s="256"/>
      <c r="EU209" s="256"/>
      <c r="EV209" s="256"/>
      <c r="EW209" s="256"/>
      <c r="EX209" s="256"/>
      <c r="EY209" s="256"/>
      <c r="EZ209" s="256"/>
      <c r="FA209" s="256"/>
      <c r="FB209" s="256"/>
      <c r="FC209" s="256"/>
      <c r="FD209" s="256"/>
      <c r="FE209" s="256"/>
      <c r="FF209" s="256"/>
      <c r="FG209" s="256"/>
      <c r="FH209" s="256"/>
      <c r="FI209" s="256"/>
      <c r="FJ209" s="256"/>
      <c r="FK209" s="256"/>
      <c r="FL209" s="256"/>
      <c r="FM209" s="256"/>
      <c r="FN209" s="256"/>
      <c r="FO209" s="256"/>
    </row>
    <row r="210" spans="1:171" s="31" customFormat="1" ht="19.5" customHeight="1">
      <c r="A210" s="260"/>
      <c r="B210" s="263"/>
      <c r="C210" s="263"/>
      <c r="D210" s="182"/>
      <c r="E210" s="89"/>
      <c r="F210" s="89"/>
      <c r="G210" s="89"/>
      <c r="H210" s="89"/>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7"/>
      <c r="AM210" s="127"/>
      <c r="AN210" s="127"/>
      <c r="AO210" s="127"/>
      <c r="AP210" s="127"/>
      <c r="AQ210" s="127"/>
      <c r="AR210" s="127"/>
      <c r="AS210" s="127"/>
      <c r="AT210" s="127"/>
      <c r="AU210" s="127"/>
      <c r="AV210" s="127"/>
      <c r="AW210" s="127"/>
      <c r="AX210" s="127"/>
      <c r="AY210" s="127"/>
      <c r="AZ210" s="127"/>
      <c r="BA210" s="127"/>
      <c r="BB210" s="127"/>
      <c r="BC210" s="127"/>
      <c r="BD210" s="127"/>
      <c r="BE210" s="127"/>
      <c r="BF210" s="127"/>
      <c r="BG210" s="127"/>
      <c r="BH210" s="127"/>
      <c r="BI210" s="127"/>
      <c r="BJ210" s="127"/>
      <c r="BK210" s="127"/>
      <c r="BL210" s="127"/>
      <c r="BM210" s="127"/>
      <c r="BN210" s="127"/>
      <c r="BO210" s="127"/>
      <c r="BP210" s="127"/>
      <c r="BQ210" s="127"/>
      <c r="BR210" s="127"/>
      <c r="BS210" s="127"/>
      <c r="BT210" s="127"/>
      <c r="BU210" s="127"/>
      <c r="BV210" s="127"/>
      <c r="BW210" s="127"/>
      <c r="BX210" s="127"/>
      <c r="BY210" s="127"/>
      <c r="BZ210" s="127"/>
      <c r="CA210" s="127"/>
      <c r="CB210" s="127"/>
      <c r="CC210" s="127"/>
      <c r="CD210" s="127"/>
      <c r="CE210" s="188"/>
      <c r="CF210" s="273"/>
      <c r="CG210" s="256"/>
      <c r="CH210" s="256"/>
      <c r="CI210" s="256"/>
      <c r="CJ210" s="256"/>
      <c r="CK210" s="256"/>
      <c r="CL210" s="256"/>
      <c r="CM210" s="256"/>
      <c r="CN210" s="256"/>
      <c r="CO210" s="256"/>
      <c r="CP210" s="256"/>
      <c r="CQ210" s="256"/>
      <c r="CR210" s="256"/>
      <c r="CS210" s="256"/>
      <c r="CT210" s="256"/>
      <c r="CU210" s="256"/>
      <c r="CV210" s="256"/>
      <c r="CW210" s="256"/>
      <c r="CX210" s="256"/>
      <c r="CY210" s="256"/>
      <c r="CZ210" s="256"/>
      <c r="DA210" s="256"/>
      <c r="DB210" s="256"/>
      <c r="DC210" s="256"/>
      <c r="DD210" s="256"/>
      <c r="DE210" s="256"/>
      <c r="DF210" s="256"/>
      <c r="DG210" s="256"/>
      <c r="DH210" s="256"/>
      <c r="DI210" s="256"/>
      <c r="DJ210" s="256"/>
      <c r="DK210" s="256"/>
      <c r="DL210" s="256"/>
      <c r="DM210" s="256"/>
      <c r="DN210" s="256"/>
      <c r="DO210" s="256"/>
      <c r="DP210" s="256"/>
      <c r="DQ210" s="256"/>
      <c r="DR210" s="256"/>
      <c r="DS210" s="256"/>
      <c r="DT210" s="256"/>
      <c r="DU210" s="256"/>
      <c r="DV210" s="256"/>
      <c r="DW210" s="256"/>
      <c r="DX210" s="256"/>
      <c r="DY210" s="256"/>
      <c r="DZ210" s="256"/>
      <c r="EA210" s="256"/>
      <c r="EB210" s="256"/>
      <c r="EC210" s="256"/>
      <c r="ED210" s="256"/>
      <c r="EE210" s="256"/>
      <c r="EF210" s="256"/>
      <c r="EG210" s="256"/>
      <c r="EH210" s="256"/>
      <c r="EI210" s="256"/>
      <c r="EJ210" s="256"/>
      <c r="EK210" s="256"/>
      <c r="EL210" s="256"/>
      <c r="EM210" s="256"/>
      <c r="EN210" s="256"/>
      <c r="EO210" s="256"/>
      <c r="EP210" s="256"/>
      <c r="EQ210" s="256"/>
      <c r="ER210" s="256"/>
      <c r="ES210" s="256"/>
      <c r="ET210" s="256"/>
      <c r="EU210" s="256"/>
      <c r="EV210" s="256"/>
      <c r="EW210" s="256"/>
      <c r="EX210" s="256"/>
      <c r="EY210" s="256"/>
      <c r="EZ210" s="256"/>
      <c r="FA210" s="256"/>
      <c r="FB210" s="256"/>
      <c r="FC210" s="256"/>
      <c r="FD210" s="256"/>
      <c r="FE210" s="256"/>
      <c r="FF210" s="256"/>
      <c r="FG210" s="256"/>
      <c r="FH210" s="256"/>
      <c r="FI210" s="256"/>
      <c r="FJ210" s="256"/>
      <c r="FK210" s="256"/>
      <c r="FL210" s="256"/>
      <c r="FM210" s="256"/>
      <c r="FN210" s="256"/>
      <c r="FO210" s="256"/>
    </row>
    <row r="211" spans="1:171" s="254" customFormat="1" ht="8.25" customHeight="1">
      <c r="A211" s="264"/>
      <c r="B211" s="265"/>
      <c r="C211" s="265"/>
      <c r="D211" s="258"/>
      <c r="E211" s="258"/>
      <c r="F211" s="258"/>
      <c r="G211" s="258"/>
      <c r="H211" s="258"/>
      <c r="I211" s="258"/>
      <c r="J211" s="258"/>
      <c r="K211" s="258"/>
      <c r="L211" s="258"/>
      <c r="M211" s="258"/>
      <c r="N211" s="265"/>
      <c r="O211" s="265"/>
      <c r="P211" s="265"/>
      <c r="Q211" s="265"/>
      <c r="R211" s="265"/>
      <c r="S211" s="265"/>
      <c r="T211" s="265"/>
      <c r="U211" s="265"/>
      <c r="V211" s="265"/>
      <c r="W211" s="265"/>
      <c r="X211" s="265"/>
      <c r="Y211" s="265"/>
      <c r="Z211" s="265"/>
      <c r="AA211" s="265"/>
      <c r="AB211" s="265"/>
      <c r="AC211" s="265"/>
      <c r="AD211" s="265"/>
      <c r="AE211" s="265"/>
      <c r="AF211" s="265"/>
      <c r="AG211" s="265"/>
      <c r="AH211" s="265"/>
      <c r="AI211" s="265"/>
      <c r="AJ211" s="265"/>
      <c r="AK211" s="265"/>
      <c r="AL211" s="265"/>
      <c r="AM211" s="265"/>
      <c r="AN211" s="265"/>
      <c r="AO211" s="265"/>
      <c r="AP211" s="265"/>
      <c r="AQ211" s="265"/>
      <c r="AR211" s="265"/>
      <c r="AS211" s="265"/>
      <c r="AT211" s="265"/>
      <c r="AU211" s="265"/>
      <c r="AV211" s="265"/>
      <c r="AW211" s="265"/>
      <c r="AX211" s="265"/>
      <c r="AY211" s="265"/>
      <c r="AZ211" s="265"/>
      <c r="BA211" s="265"/>
      <c r="BB211" s="265"/>
      <c r="BC211" s="265"/>
      <c r="BD211" s="265"/>
      <c r="BE211" s="265"/>
      <c r="BF211" s="265"/>
      <c r="BG211" s="265"/>
      <c r="BH211" s="265"/>
      <c r="BI211" s="265"/>
      <c r="BJ211" s="265"/>
      <c r="BK211" s="265"/>
      <c r="BL211" s="265"/>
      <c r="BM211" s="265"/>
      <c r="BN211" s="265"/>
      <c r="BO211" s="265"/>
      <c r="BP211" s="265"/>
      <c r="BQ211" s="265"/>
      <c r="BR211" s="265"/>
      <c r="BS211" s="265"/>
      <c r="BT211" s="265"/>
      <c r="BU211" s="265"/>
      <c r="BV211" s="265"/>
      <c r="BW211" s="265"/>
      <c r="BX211" s="265"/>
      <c r="BY211" s="265"/>
      <c r="BZ211" s="265"/>
      <c r="CA211" s="265"/>
      <c r="CB211" s="265"/>
      <c r="CC211" s="265"/>
      <c r="CD211" s="265"/>
      <c r="CE211" s="265"/>
      <c r="CF211" s="274"/>
    </row>
    <row r="212" spans="1:171" s="269" customFormat="1" ht="19.5" customHeight="1">
      <c r="A212" s="266"/>
      <c r="B212" s="267" t="s">
        <v>158</v>
      </c>
      <c r="C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267"/>
      <c r="BE212" s="267"/>
      <c r="BF212" s="267"/>
      <c r="BG212" s="267"/>
      <c r="BH212" s="267"/>
      <c r="BI212" s="267"/>
      <c r="BJ212" s="267"/>
      <c r="BK212" s="267"/>
      <c r="BL212" s="267"/>
      <c r="BM212" s="267"/>
      <c r="BN212" s="267"/>
      <c r="BO212" s="267"/>
      <c r="BP212" s="267"/>
      <c r="BQ212" s="267"/>
      <c r="BR212" s="267"/>
      <c r="BS212" s="267"/>
      <c r="BT212" s="267"/>
      <c r="BU212" s="267"/>
      <c r="BV212" s="267"/>
      <c r="BW212" s="267"/>
      <c r="BX212" s="267"/>
      <c r="BY212" s="267"/>
      <c r="BZ212" s="267"/>
      <c r="CA212" s="267"/>
      <c r="CB212" s="267"/>
      <c r="CC212" s="267"/>
      <c r="CD212" s="267"/>
      <c r="CE212" s="267"/>
      <c r="CF212" s="275"/>
    </row>
    <row r="213" spans="1:171" s="256" customFormat="1" ht="19.5" customHeight="1">
      <c r="A213" s="260"/>
      <c r="B213" s="384" t="s">
        <v>159</v>
      </c>
      <c r="C213" s="385"/>
      <c r="D213" s="385"/>
      <c r="E213" s="385"/>
      <c r="F213" s="385"/>
      <c r="G213" s="385"/>
      <c r="H213" s="385"/>
      <c r="I213" s="385"/>
      <c r="J213" s="385"/>
      <c r="K213" s="385"/>
      <c r="L213" s="385"/>
      <c r="M213" s="385"/>
      <c r="N213" s="385"/>
      <c r="O213" s="385"/>
      <c r="P213" s="386"/>
      <c r="Q213" s="384" t="s">
        <v>160</v>
      </c>
      <c r="R213" s="385"/>
      <c r="S213" s="385"/>
      <c r="T213" s="385"/>
      <c r="U213" s="385"/>
      <c r="V213" s="385"/>
      <c r="W213" s="385"/>
      <c r="X213" s="385"/>
      <c r="Y213" s="385"/>
      <c r="Z213" s="385"/>
      <c r="AA213" s="385"/>
      <c r="AB213" s="385"/>
      <c r="AC213" s="385"/>
      <c r="AD213" s="385"/>
      <c r="AE213" s="385"/>
      <c r="AF213" s="385"/>
      <c r="AG213" s="385"/>
      <c r="AH213" s="385"/>
      <c r="AI213" s="385"/>
      <c r="AJ213" s="385"/>
      <c r="AK213" s="385"/>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c r="BK213" s="385"/>
      <c r="BL213" s="386"/>
      <c r="BM213" s="384" t="s">
        <v>161</v>
      </c>
      <c r="BN213" s="385"/>
      <c r="BO213" s="385"/>
      <c r="BP213" s="385"/>
      <c r="BQ213" s="385"/>
      <c r="BR213" s="385"/>
      <c r="BS213" s="385"/>
      <c r="BT213" s="385"/>
      <c r="BU213" s="385"/>
      <c r="BV213" s="385"/>
      <c r="BW213" s="385"/>
      <c r="BX213" s="385"/>
      <c r="BY213" s="385"/>
      <c r="BZ213" s="385"/>
      <c r="CA213" s="385"/>
      <c r="CB213" s="385"/>
      <c r="CC213" s="385"/>
      <c r="CD213" s="385"/>
      <c r="CE213" s="386"/>
      <c r="CF213" s="273"/>
    </row>
    <row r="214" spans="1:171" s="269" customFormat="1" ht="30.75" customHeight="1">
      <c r="A214" s="268"/>
      <c r="B214" s="378" t="s">
        <v>203</v>
      </c>
      <c r="C214" s="379"/>
      <c r="D214" s="379"/>
      <c r="E214" s="379"/>
      <c r="F214" s="379"/>
      <c r="G214" s="379"/>
      <c r="H214" s="379"/>
      <c r="I214" s="379"/>
      <c r="J214" s="379"/>
      <c r="K214" s="379"/>
      <c r="L214" s="379"/>
      <c r="M214" s="379"/>
      <c r="N214" s="379"/>
      <c r="O214" s="379"/>
      <c r="P214" s="380"/>
      <c r="Q214" s="610" t="s">
        <v>537</v>
      </c>
      <c r="R214" s="611"/>
      <c r="S214" s="611"/>
      <c r="T214" s="611"/>
      <c r="U214" s="611"/>
      <c r="V214" s="611"/>
      <c r="W214" s="611"/>
      <c r="X214" s="611"/>
      <c r="Y214" s="611"/>
      <c r="Z214" s="611"/>
      <c r="AA214" s="611"/>
      <c r="AB214" s="611"/>
      <c r="AC214" s="611"/>
      <c r="AD214" s="611"/>
      <c r="AE214" s="611"/>
      <c r="AF214" s="611"/>
      <c r="AG214" s="611"/>
      <c r="AH214" s="611"/>
      <c r="AI214" s="611"/>
      <c r="AJ214" s="611"/>
      <c r="AK214" s="611"/>
      <c r="AL214" s="611"/>
      <c r="AM214" s="611"/>
      <c r="AN214" s="611"/>
      <c r="AO214" s="611"/>
      <c r="AP214" s="611"/>
      <c r="AQ214" s="611"/>
      <c r="AR214" s="611"/>
      <c r="AS214" s="611"/>
      <c r="AT214" s="611"/>
      <c r="AU214" s="611"/>
      <c r="AV214" s="611"/>
      <c r="AW214" s="611"/>
      <c r="AX214" s="611"/>
      <c r="AY214" s="611"/>
      <c r="AZ214" s="611"/>
      <c r="BA214" s="611"/>
      <c r="BB214" s="611"/>
      <c r="BC214" s="611"/>
      <c r="BD214" s="611"/>
      <c r="BE214" s="611"/>
      <c r="BF214" s="611"/>
      <c r="BG214" s="611"/>
      <c r="BH214" s="611"/>
      <c r="BI214" s="611"/>
      <c r="BJ214" s="611"/>
      <c r="BK214" s="611"/>
      <c r="BL214" s="612"/>
      <c r="BM214" s="387"/>
      <c r="BN214" s="388"/>
      <c r="BO214" s="388"/>
      <c r="BP214" s="388"/>
      <c r="BQ214" s="388"/>
      <c r="BR214" s="388"/>
      <c r="BS214" s="388"/>
      <c r="BT214" s="388"/>
      <c r="BU214" s="388"/>
      <c r="BV214" s="388"/>
      <c r="BW214" s="388"/>
      <c r="BX214" s="388"/>
      <c r="BY214" s="388"/>
      <c r="BZ214" s="388"/>
      <c r="CA214" s="388"/>
      <c r="CB214" s="388"/>
      <c r="CC214" s="388"/>
      <c r="CD214" s="388"/>
      <c r="CE214" s="389"/>
      <c r="CF214" s="276"/>
    </row>
    <row r="215" spans="1:171" s="269" customFormat="1" ht="30.75" customHeight="1">
      <c r="A215" s="268"/>
      <c r="B215" s="378" t="s">
        <v>162</v>
      </c>
      <c r="C215" s="379"/>
      <c r="D215" s="379"/>
      <c r="E215" s="379"/>
      <c r="F215" s="379"/>
      <c r="G215" s="379"/>
      <c r="H215" s="379"/>
      <c r="I215" s="379"/>
      <c r="J215" s="379"/>
      <c r="K215" s="379"/>
      <c r="L215" s="379"/>
      <c r="M215" s="379"/>
      <c r="N215" s="379"/>
      <c r="O215" s="379"/>
      <c r="P215" s="380"/>
      <c r="Q215" s="610" t="s">
        <v>538</v>
      </c>
      <c r="R215" s="611"/>
      <c r="S215" s="611"/>
      <c r="T215" s="611"/>
      <c r="U215" s="611"/>
      <c r="V215" s="611"/>
      <c r="W215" s="611"/>
      <c r="X215" s="611"/>
      <c r="Y215" s="611"/>
      <c r="Z215" s="611"/>
      <c r="AA215" s="611"/>
      <c r="AB215" s="611"/>
      <c r="AC215" s="611"/>
      <c r="AD215" s="611"/>
      <c r="AE215" s="611"/>
      <c r="AF215" s="611"/>
      <c r="AG215" s="611"/>
      <c r="AH215" s="611"/>
      <c r="AI215" s="611"/>
      <c r="AJ215" s="611"/>
      <c r="AK215" s="611"/>
      <c r="AL215" s="611"/>
      <c r="AM215" s="611"/>
      <c r="AN215" s="611"/>
      <c r="AO215" s="611"/>
      <c r="AP215" s="611"/>
      <c r="AQ215" s="611"/>
      <c r="AR215" s="611"/>
      <c r="AS215" s="611"/>
      <c r="AT215" s="611"/>
      <c r="AU215" s="611"/>
      <c r="AV215" s="611"/>
      <c r="AW215" s="611"/>
      <c r="AX215" s="611"/>
      <c r="AY215" s="611"/>
      <c r="AZ215" s="611"/>
      <c r="BA215" s="611"/>
      <c r="BB215" s="611"/>
      <c r="BC215" s="611"/>
      <c r="BD215" s="611"/>
      <c r="BE215" s="611"/>
      <c r="BF215" s="611"/>
      <c r="BG215" s="611"/>
      <c r="BH215" s="611"/>
      <c r="BI215" s="611"/>
      <c r="BJ215" s="611"/>
      <c r="BK215" s="611"/>
      <c r="BL215" s="612"/>
      <c r="BM215" s="387"/>
      <c r="BN215" s="388"/>
      <c r="BO215" s="388"/>
      <c r="BP215" s="388"/>
      <c r="BQ215" s="388"/>
      <c r="BR215" s="388"/>
      <c r="BS215" s="388"/>
      <c r="BT215" s="388"/>
      <c r="BU215" s="388"/>
      <c r="BV215" s="388"/>
      <c r="BW215" s="388"/>
      <c r="BX215" s="388"/>
      <c r="BY215" s="388"/>
      <c r="BZ215" s="388"/>
      <c r="CA215" s="388"/>
      <c r="CB215" s="388"/>
      <c r="CC215" s="388"/>
      <c r="CD215" s="388"/>
      <c r="CE215" s="389"/>
      <c r="CF215" s="276"/>
    </row>
    <row r="216" spans="1:171" s="269" customFormat="1" ht="30.75" customHeight="1">
      <c r="A216" s="268"/>
      <c r="B216" s="378" t="s">
        <v>381</v>
      </c>
      <c r="C216" s="379"/>
      <c r="D216" s="379"/>
      <c r="E216" s="379"/>
      <c r="F216" s="379"/>
      <c r="G216" s="379"/>
      <c r="H216" s="379"/>
      <c r="I216" s="379"/>
      <c r="J216" s="379"/>
      <c r="K216" s="379"/>
      <c r="L216" s="379"/>
      <c r="M216" s="379"/>
      <c r="N216" s="379"/>
      <c r="O216" s="379"/>
      <c r="P216" s="380"/>
      <c r="Q216" s="610" t="s">
        <v>539</v>
      </c>
      <c r="R216" s="611"/>
      <c r="S216" s="611"/>
      <c r="T216" s="611"/>
      <c r="U216" s="611"/>
      <c r="V216" s="611"/>
      <c r="W216" s="611"/>
      <c r="X216" s="611"/>
      <c r="Y216" s="611"/>
      <c r="Z216" s="611"/>
      <c r="AA216" s="611"/>
      <c r="AB216" s="611"/>
      <c r="AC216" s="611"/>
      <c r="AD216" s="611"/>
      <c r="AE216" s="611"/>
      <c r="AF216" s="611"/>
      <c r="AG216" s="611"/>
      <c r="AH216" s="611"/>
      <c r="AI216" s="611"/>
      <c r="AJ216" s="611"/>
      <c r="AK216" s="611"/>
      <c r="AL216" s="611"/>
      <c r="AM216" s="611"/>
      <c r="AN216" s="611"/>
      <c r="AO216" s="611"/>
      <c r="AP216" s="611"/>
      <c r="AQ216" s="611"/>
      <c r="AR216" s="611"/>
      <c r="AS216" s="611"/>
      <c r="AT216" s="611"/>
      <c r="AU216" s="611"/>
      <c r="AV216" s="611"/>
      <c r="AW216" s="611"/>
      <c r="AX216" s="611"/>
      <c r="AY216" s="611"/>
      <c r="AZ216" s="611"/>
      <c r="BA216" s="611"/>
      <c r="BB216" s="611"/>
      <c r="BC216" s="611"/>
      <c r="BD216" s="611"/>
      <c r="BE216" s="611"/>
      <c r="BF216" s="611"/>
      <c r="BG216" s="611"/>
      <c r="BH216" s="611"/>
      <c r="BI216" s="611"/>
      <c r="BJ216" s="611"/>
      <c r="BK216" s="611"/>
      <c r="BL216" s="612"/>
      <c r="BM216" s="387"/>
      <c r="BN216" s="388"/>
      <c r="BO216" s="388"/>
      <c r="BP216" s="388"/>
      <c r="BQ216" s="388"/>
      <c r="BR216" s="388"/>
      <c r="BS216" s="388"/>
      <c r="BT216" s="388"/>
      <c r="BU216" s="388"/>
      <c r="BV216" s="388"/>
      <c r="BW216" s="388"/>
      <c r="BX216" s="388"/>
      <c r="BY216" s="388"/>
      <c r="BZ216" s="388"/>
      <c r="CA216" s="388"/>
      <c r="CB216" s="388"/>
      <c r="CC216" s="388"/>
      <c r="CD216" s="388"/>
      <c r="CE216" s="389"/>
      <c r="CF216" s="276"/>
    </row>
    <row r="217" spans="1:171" s="269" customFormat="1" ht="30.75" customHeight="1">
      <c r="A217" s="268"/>
      <c r="B217" s="378" t="s">
        <v>384</v>
      </c>
      <c r="C217" s="379"/>
      <c r="D217" s="379"/>
      <c r="E217" s="379"/>
      <c r="F217" s="379"/>
      <c r="G217" s="379"/>
      <c r="H217" s="379"/>
      <c r="I217" s="379"/>
      <c r="J217" s="379"/>
      <c r="K217" s="379"/>
      <c r="L217" s="379"/>
      <c r="M217" s="379"/>
      <c r="N217" s="379"/>
      <c r="O217" s="379"/>
      <c r="P217" s="380"/>
      <c r="Q217" s="610" t="s">
        <v>385</v>
      </c>
      <c r="R217" s="611"/>
      <c r="S217" s="611"/>
      <c r="T217" s="611"/>
      <c r="U217" s="611"/>
      <c r="V217" s="611"/>
      <c r="W217" s="611"/>
      <c r="X217" s="611"/>
      <c r="Y217" s="611"/>
      <c r="Z217" s="611"/>
      <c r="AA217" s="611"/>
      <c r="AB217" s="611"/>
      <c r="AC217" s="611"/>
      <c r="AD217" s="611"/>
      <c r="AE217" s="611"/>
      <c r="AF217" s="611"/>
      <c r="AG217" s="611"/>
      <c r="AH217" s="611"/>
      <c r="AI217" s="611"/>
      <c r="AJ217" s="611"/>
      <c r="AK217" s="611"/>
      <c r="AL217" s="611"/>
      <c r="AM217" s="611"/>
      <c r="AN217" s="611"/>
      <c r="AO217" s="611"/>
      <c r="AP217" s="611"/>
      <c r="AQ217" s="611"/>
      <c r="AR217" s="611"/>
      <c r="AS217" s="611"/>
      <c r="AT217" s="611"/>
      <c r="AU217" s="611"/>
      <c r="AV217" s="611"/>
      <c r="AW217" s="611"/>
      <c r="AX217" s="611"/>
      <c r="AY217" s="611"/>
      <c r="AZ217" s="611"/>
      <c r="BA217" s="611"/>
      <c r="BB217" s="611"/>
      <c r="BC217" s="611"/>
      <c r="BD217" s="611"/>
      <c r="BE217" s="611"/>
      <c r="BF217" s="611"/>
      <c r="BG217" s="611"/>
      <c r="BH217" s="611"/>
      <c r="BI217" s="611"/>
      <c r="BJ217" s="611"/>
      <c r="BK217" s="611"/>
      <c r="BL217" s="612"/>
      <c r="BM217" s="387"/>
      <c r="BN217" s="388"/>
      <c r="BO217" s="388"/>
      <c r="BP217" s="388"/>
      <c r="BQ217" s="388"/>
      <c r="BR217" s="388"/>
      <c r="BS217" s="388"/>
      <c r="BT217" s="388"/>
      <c r="BU217" s="388"/>
      <c r="BV217" s="388"/>
      <c r="BW217" s="388"/>
      <c r="BX217" s="388"/>
      <c r="BY217" s="388"/>
      <c r="BZ217" s="388"/>
      <c r="CA217" s="388"/>
      <c r="CB217" s="388"/>
      <c r="CC217" s="388"/>
      <c r="CD217" s="388"/>
      <c r="CE217" s="389"/>
      <c r="CF217" s="276"/>
    </row>
    <row r="218" spans="1:171" s="269" customFormat="1" ht="30.75" customHeight="1">
      <c r="A218" s="268"/>
      <c r="B218" s="378" t="s">
        <v>110</v>
      </c>
      <c r="C218" s="379"/>
      <c r="D218" s="379"/>
      <c r="E218" s="379"/>
      <c r="F218" s="379"/>
      <c r="G218" s="379"/>
      <c r="H218" s="379"/>
      <c r="I218" s="379"/>
      <c r="J218" s="379"/>
      <c r="K218" s="379"/>
      <c r="L218" s="379"/>
      <c r="M218" s="379"/>
      <c r="N218" s="379"/>
      <c r="O218" s="379"/>
      <c r="P218" s="380"/>
      <c r="Q218" s="610" t="s">
        <v>343</v>
      </c>
      <c r="R218" s="611"/>
      <c r="S218" s="611"/>
      <c r="T218" s="611"/>
      <c r="U218" s="611"/>
      <c r="V218" s="611"/>
      <c r="W218" s="611"/>
      <c r="X218" s="611"/>
      <c r="Y218" s="611"/>
      <c r="Z218" s="611"/>
      <c r="AA218" s="611"/>
      <c r="AB218" s="611"/>
      <c r="AC218" s="611"/>
      <c r="AD218" s="611"/>
      <c r="AE218" s="611"/>
      <c r="AF218" s="611"/>
      <c r="AG218" s="611"/>
      <c r="AH218" s="611"/>
      <c r="AI218" s="611"/>
      <c r="AJ218" s="611"/>
      <c r="AK218" s="611"/>
      <c r="AL218" s="611"/>
      <c r="AM218" s="611"/>
      <c r="AN218" s="611"/>
      <c r="AO218" s="611"/>
      <c r="AP218" s="611"/>
      <c r="AQ218" s="611"/>
      <c r="AR218" s="611"/>
      <c r="AS218" s="611"/>
      <c r="AT218" s="611"/>
      <c r="AU218" s="611"/>
      <c r="AV218" s="611"/>
      <c r="AW218" s="611"/>
      <c r="AX218" s="611"/>
      <c r="AY218" s="611"/>
      <c r="AZ218" s="611"/>
      <c r="BA218" s="611"/>
      <c r="BB218" s="611"/>
      <c r="BC218" s="611"/>
      <c r="BD218" s="611"/>
      <c r="BE218" s="611"/>
      <c r="BF218" s="611"/>
      <c r="BG218" s="611"/>
      <c r="BH218" s="611"/>
      <c r="BI218" s="611"/>
      <c r="BJ218" s="611"/>
      <c r="BK218" s="611"/>
      <c r="BL218" s="612"/>
      <c r="BM218" s="387"/>
      <c r="BN218" s="388"/>
      <c r="BO218" s="388"/>
      <c r="BP218" s="388"/>
      <c r="BQ218" s="388"/>
      <c r="BR218" s="388"/>
      <c r="BS218" s="388"/>
      <c r="BT218" s="388"/>
      <c r="BU218" s="388"/>
      <c r="BV218" s="388"/>
      <c r="BW218" s="388"/>
      <c r="BX218" s="388"/>
      <c r="BY218" s="388"/>
      <c r="BZ218" s="388"/>
      <c r="CA218" s="388"/>
      <c r="CB218" s="388"/>
      <c r="CC218" s="388"/>
      <c r="CD218" s="388"/>
      <c r="CE218" s="389"/>
      <c r="CF218" s="276"/>
    </row>
    <row r="219" spans="1:171" s="269" customFormat="1" ht="30.75" customHeight="1">
      <c r="A219" s="268"/>
      <c r="B219" s="378" t="s">
        <v>132</v>
      </c>
      <c r="C219" s="379"/>
      <c r="D219" s="379"/>
      <c r="E219" s="379"/>
      <c r="F219" s="379"/>
      <c r="G219" s="379"/>
      <c r="H219" s="379"/>
      <c r="I219" s="379"/>
      <c r="J219" s="379"/>
      <c r="K219" s="379"/>
      <c r="L219" s="379"/>
      <c r="M219" s="379"/>
      <c r="N219" s="379"/>
      <c r="O219" s="379"/>
      <c r="P219" s="380"/>
      <c r="Q219" s="610" t="s">
        <v>163</v>
      </c>
      <c r="R219" s="611"/>
      <c r="S219" s="611"/>
      <c r="T219" s="611"/>
      <c r="U219" s="611"/>
      <c r="V219" s="611"/>
      <c r="W219" s="611"/>
      <c r="X219" s="611"/>
      <c r="Y219" s="611"/>
      <c r="Z219" s="611"/>
      <c r="AA219" s="611"/>
      <c r="AB219" s="611"/>
      <c r="AC219" s="611"/>
      <c r="AD219" s="611"/>
      <c r="AE219" s="611"/>
      <c r="AF219" s="611"/>
      <c r="AG219" s="611"/>
      <c r="AH219" s="611"/>
      <c r="AI219" s="611"/>
      <c r="AJ219" s="611"/>
      <c r="AK219" s="611"/>
      <c r="AL219" s="611"/>
      <c r="AM219" s="611"/>
      <c r="AN219" s="611"/>
      <c r="AO219" s="611"/>
      <c r="AP219" s="611"/>
      <c r="AQ219" s="611"/>
      <c r="AR219" s="611"/>
      <c r="AS219" s="611"/>
      <c r="AT219" s="611"/>
      <c r="AU219" s="611"/>
      <c r="AV219" s="611"/>
      <c r="AW219" s="611"/>
      <c r="AX219" s="611"/>
      <c r="AY219" s="611"/>
      <c r="AZ219" s="611"/>
      <c r="BA219" s="611"/>
      <c r="BB219" s="611"/>
      <c r="BC219" s="611"/>
      <c r="BD219" s="611"/>
      <c r="BE219" s="611"/>
      <c r="BF219" s="611"/>
      <c r="BG219" s="611"/>
      <c r="BH219" s="611"/>
      <c r="BI219" s="611"/>
      <c r="BJ219" s="611"/>
      <c r="BK219" s="611"/>
      <c r="BL219" s="612"/>
      <c r="BM219" s="387"/>
      <c r="BN219" s="388"/>
      <c r="BO219" s="388"/>
      <c r="BP219" s="388"/>
      <c r="BQ219" s="388"/>
      <c r="BR219" s="388"/>
      <c r="BS219" s="388"/>
      <c r="BT219" s="388"/>
      <c r="BU219" s="388"/>
      <c r="BV219" s="388"/>
      <c r="BW219" s="388"/>
      <c r="BX219" s="388"/>
      <c r="BY219" s="388"/>
      <c r="BZ219" s="388"/>
      <c r="CA219" s="388"/>
      <c r="CB219" s="388"/>
      <c r="CC219" s="388"/>
      <c r="CD219" s="388"/>
      <c r="CE219" s="389"/>
      <c r="CF219" s="276"/>
    </row>
    <row r="220" spans="1:171" s="269" customFormat="1" ht="47.25" customHeight="1">
      <c r="A220" s="268"/>
      <c r="B220" s="378" t="s">
        <v>48</v>
      </c>
      <c r="C220" s="379"/>
      <c r="D220" s="379"/>
      <c r="E220" s="379"/>
      <c r="F220" s="379"/>
      <c r="G220" s="379"/>
      <c r="H220" s="379"/>
      <c r="I220" s="379"/>
      <c r="J220" s="379"/>
      <c r="K220" s="379"/>
      <c r="L220" s="379"/>
      <c r="M220" s="379"/>
      <c r="N220" s="379"/>
      <c r="O220" s="379"/>
      <c r="P220" s="380"/>
      <c r="Q220" s="610" t="s">
        <v>529</v>
      </c>
      <c r="R220" s="611"/>
      <c r="S220" s="611"/>
      <c r="T220" s="611"/>
      <c r="U220" s="611"/>
      <c r="V220" s="611"/>
      <c r="W220" s="611"/>
      <c r="X220" s="611"/>
      <c r="Y220" s="611"/>
      <c r="Z220" s="611"/>
      <c r="AA220" s="611"/>
      <c r="AB220" s="611"/>
      <c r="AC220" s="611"/>
      <c r="AD220" s="611"/>
      <c r="AE220" s="611"/>
      <c r="AF220" s="611"/>
      <c r="AG220" s="611"/>
      <c r="AH220" s="611"/>
      <c r="AI220" s="611"/>
      <c r="AJ220" s="611"/>
      <c r="AK220" s="611"/>
      <c r="AL220" s="611"/>
      <c r="AM220" s="611"/>
      <c r="AN220" s="611"/>
      <c r="AO220" s="611"/>
      <c r="AP220" s="611"/>
      <c r="AQ220" s="611"/>
      <c r="AR220" s="611"/>
      <c r="AS220" s="611"/>
      <c r="AT220" s="611"/>
      <c r="AU220" s="611"/>
      <c r="AV220" s="611"/>
      <c r="AW220" s="611"/>
      <c r="AX220" s="611"/>
      <c r="AY220" s="611"/>
      <c r="AZ220" s="611"/>
      <c r="BA220" s="611"/>
      <c r="BB220" s="611"/>
      <c r="BC220" s="611"/>
      <c r="BD220" s="611"/>
      <c r="BE220" s="611"/>
      <c r="BF220" s="611"/>
      <c r="BG220" s="611"/>
      <c r="BH220" s="611"/>
      <c r="BI220" s="611"/>
      <c r="BJ220" s="611"/>
      <c r="BK220" s="611"/>
      <c r="BL220" s="612"/>
      <c r="BM220" s="387"/>
      <c r="BN220" s="388"/>
      <c r="BO220" s="388"/>
      <c r="BP220" s="388"/>
      <c r="BQ220" s="388"/>
      <c r="BR220" s="388"/>
      <c r="BS220" s="388"/>
      <c r="BT220" s="388"/>
      <c r="BU220" s="388"/>
      <c r="BV220" s="388"/>
      <c r="BW220" s="388"/>
      <c r="BX220" s="388"/>
      <c r="BY220" s="388"/>
      <c r="BZ220" s="388"/>
      <c r="CA220" s="388"/>
      <c r="CB220" s="388"/>
      <c r="CC220" s="388"/>
      <c r="CD220" s="388"/>
      <c r="CE220" s="389"/>
      <c r="CF220" s="276"/>
    </row>
    <row r="221" spans="1:171" s="269" customFormat="1" ht="30.75" customHeight="1">
      <c r="A221" s="268"/>
      <c r="B221" s="378" t="s">
        <v>259</v>
      </c>
      <c r="C221" s="379"/>
      <c r="D221" s="379"/>
      <c r="E221" s="379"/>
      <c r="F221" s="379"/>
      <c r="G221" s="379"/>
      <c r="H221" s="379"/>
      <c r="I221" s="379"/>
      <c r="J221" s="379"/>
      <c r="K221" s="379"/>
      <c r="L221" s="379"/>
      <c r="M221" s="379"/>
      <c r="N221" s="379"/>
      <c r="O221" s="379"/>
      <c r="P221" s="380"/>
      <c r="Q221" s="610" t="s">
        <v>258</v>
      </c>
      <c r="R221" s="611"/>
      <c r="S221" s="611"/>
      <c r="T221" s="611"/>
      <c r="U221" s="611"/>
      <c r="V221" s="611"/>
      <c r="W221" s="611"/>
      <c r="X221" s="611"/>
      <c r="Y221" s="611"/>
      <c r="Z221" s="611"/>
      <c r="AA221" s="611"/>
      <c r="AB221" s="611"/>
      <c r="AC221" s="611"/>
      <c r="AD221" s="611"/>
      <c r="AE221" s="611"/>
      <c r="AF221" s="611"/>
      <c r="AG221" s="611"/>
      <c r="AH221" s="611"/>
      <c r="AI221" s="611"/>
      <c r="AJ221" s="611"/>
      <c r="AK221" s="611"/>
      <c r="AL221" s="611"/>
      <c r="AM221" s="611"/>
      <c r="AN221" s="611"/>
      <c r="AO221" s="611"/>
      <c r="AP221" s="611"/>
      <c r="AQ221" s="611"/>
      <c r="AR221" s="611"/>
      <c r="AS221" s="611"/>
      <c r="AT221" s="611"/>
      <c r="AU221" s="611"/>
      <c r="AV221" s="611"/>
      <c r="AW221" s="611"/>
      <c r="AX221" s="611"/>
      <c r="AY221" s="611"/>
      <c r="AZ221" s="611"/>
      <c r="BA221" s="611"/>
      <c r="BB221" s="611"/>
      <c r="BC221" s="611"/>
      <c r="BD221" s="611"/>
      <c r="BE221" s="611"/>
      <c r="BF221" s="611"/>
      <c r="BG221" s="611"/>
      <c r="BH221" s="611"/>
      <c r="BI221" s="611"/>
      <c r="BJ221" s="611"/>
      <c r="BK221" s="611"/>
      <c r="BL221" s="612"/>
      <c r="BM221" s="387"/>
      <c r="BN221" s="388"/>
      <c r="BO221" s="388"/>
      <c r="BP221" s="388"/>
      <c r="BQ221" s="388"/>
      <c r="BR221" s="388"/>
      <c r="BS221" s="388"/>
      <c r="BT221" s="388"/>
      <c r="BU221" s="388"/>
      <c r="BV221" s="388"/>
      <c r="BW221" s="388"/>
      <c r="BX221" s="388"/>
      <c r="BY221" s="388"/>
      <c r="BZ221" s="388"/>
      <c r="CA221" s="388"/>
      <c r="CB221" s="388"/>
      <c r="CC221" s="388"/>
      <c r="CD221" s="388"/>
      <c r="CE221" s="389"/>
      <c r="CF221" s="276"/>
    </row>
    <row r="222" spans="1:171" s="269" customFormat="1" ht="30.75" customHeight="1">
      <c r="A222" s="268"/>
      <c r="B222" s="430" t="s">
        <v>260</v>
      </c>
      <c r="C222" s="431"/>
      <c r="D222" s="431"/>
      <c r="E222" s="431"/>
      <c r="F222" s="431"/>
      <c r="G222" s="431"/>
      <c r="H222" s="431"/>
      <c r="I222" s="431"/>
      <c r="J222" s="431"/>
      <c r="K222" s="431"/>
      <c r="L222" s="431"/>
      <c r="M222" s="431"/>
      <c r="N222" s="431"/>
      <c r="O222" s="431"/>
      <c r="P222" s="432"/>
      <c r="Q222" s="613" t="s">
        <v>478</v>
      </c>
      <c r="R222" s="614"/>
      <c r="S222" s="614"/>
      <c r="T222" s="614"/>
      <c r="U222" s="614"/>
      <c r="V222" s="614"/>
      <c r="W222" s="614"/>
      <c r="X222" s="614"/>
      <c r="Y222" s="614"/>
      <c r="Z222" s="614"/>
      <c r="AA222" s="614"/>
      <c r="AB222" s="614"/>
      <c r="AC222" s="614"/>
      <c r="AD222" s="614"/>
      <c r="AE222" s="614"/>
      <c r="AF222" s="614"/>
      <c r="AG222" s="614"/>
      <c r="AH222" s="614"/>
      <c r="AI222" s="614"/>
      <c r="AJ222" s="614"/>
      <c r="AK222" s="614"/>
      <c r="AL222" s="614"/>
      <c r="AM222" s="614"/>
      <c r="AN222" s="614"/>
      <c r="AO222" s="614"/>
      <c r="AP222" s="614"/>
      <c r="AQ222" s="614"/>
      <c r="AR222" s="614"/>
      <c r="AS222" s="614"/>
      <c r="AT222" s="614"/>
      <c r="AU222" s="614"/>
      <c r="AV222" s="614"/>
      <c r="AW222" s="614"/>
      <c r="AX222" s="614"/>
      <c r="AY222" s="614"/>
      <c r="AZ222" s="614"/>
      <c r="BA222" s="614"/>
      <c r="BB222" s="614"/>
      <c r="BC222" s="614"/>
      <c r="BD222" s="614"/>
      <c r="BE222" s="614"/>
      <c r="BF222" s="614"/>
      <c r="BG222" s="614"/>
      <c r="BH222" s="614"/>
      <c r="BI222" s="614"/>
      <c r="BJ222" s="614"/>
      <c r="BK222" s="614"/>
      <c r="BL222" s="615"/>
      <c r="BM222" s="367"/>
      <c r="BN222" s="368"/>
      <c r="BO222" s="368"/>
      <c r="BP222" s="368"/>
      <c r="BQ222" s="368"/>
      <c r="BR222" s="368"/>
      <c r="BS222" s="368"/>
      <c r="BT222" s="368"/>
      <c r="BU222" s="368"/>
      <c r="BV222" s="368"/>
      <c r="BW222" s="368"/>
      <c r="BX222" s="368"/>
      <c r="BY222" s="368"/>
      <c r="BZ222" s="368"/>
      <c r="CA222" s="368"/>
      <c r="CB222" s="368"/>
      <c r="CC222" s="368"/>
      <c r="CD222" s="368"/>
      <c r="CE222" s="369"/>
      <c r="CF222" s="276"/>
    </row>
    <row r="223" spans="1:171" s="269" customFormat="1" ht="30.75" customHeight="1">
      <c r="A223" s="268"/>
      <c r="B223" s="378" t="s">
        <v>342</v>
      </c>
      <c r="C223" s="379"/>
      <c r="D223" s="379"/>
      <c r="E223" s="379"/>
      <c r="F223" s="379"/>
      <c r="G223" s="379"/>
      <c r="H223" s="379"/>
      <c r="I223" s="379"/>
      <c r="J223" s="379"/>
      <c r="K223" s="379"/>
      <c r="L223" s="379"/>
      <c r="M223" s="379"/>
      <c r="N223" s="379"/>
      <c r="O223" s="379"/>
      <c r="P223" s="380"/>
      <c r="Q223" s="610" t="s">
        <v>399</v>
      </c>
      <c r="R223" s="611"/>
      <c r="S223" s="611"/>
      <c r="T223" s="611"/>
      <c r="U223" s="611"/>
      <c r="V223" s="611"/>
      <c r="W223" s="611"/>
      <c r="X223" s="611"/>
      <c r="Y223" s="611"/>
      <c r="Z223" s="611"/>
      <c r="AA223" s="611"/>
      <c r="AB223" s="611"/>
      <c r="AC223" s="611"/>
      <c r="AD223" s="611"/>
      <c r="AE223" s="611"/>
      <c r="AF223" s="611"/>
      <c r="AG223" s="611"/>
      <c r="AH223" s="611"/>
      <c r="AI223" s="611"/>
      <c r="AJ223" s="611"/>
      <c r="AK223" s="611"/>
      <c r="AL223" s="611"/>
      <c r="AM223" s="611"/>
      <c r="AN223" s="611"/>
      <c r="AO223" s="611"/>
      <c r="AP223" s="611"/>
      <c r="AQ223" s="611"/>
      <c r="AR223" s="611"/>
      <c r="AS223" s="611"/>
      <c r="AT223" s="611"/>
      <c r="AU223" s="611"/>
      <c r="AV223" s="611"/>
      <c r="AW223" s="611"/>
      <c r="AX223" s="611"/>
      <c r="AY223" s="611"/>
      <c r="AZ223" s="611"/>
      <c r="BA223" s="611"/>
      <c r="BB223" s="611"/>
      <c r="BC223" s="611"/>
      <c r="BD223" s="611"/>
      <c r="BE223" s="611"/>
      <c r="BF223" s="611"/>
      <c r="BG223" s="611"/>
      <c r="BH223" s="611"/>
      <c r="BI223" s="611"/>
      <c r="BJ223" s="611"/>
      <c r="BK223" s="611"/>
      <c r="BL223" s="612"/>
      <c r="BM223" s="387"/>
      <c r="BN223" s="388"/>
      <c r="BO223" s="388"/>
      <c r="BP223" s="388"/>
      <c r="BQ223" s="388"/>
      <c r="BR223" s="388"/>
      <c r="BS223" s="388"/>
      <c r="BT223" s="388"/>
      <c r="BU223" s="388"/>
      <c r="BV223" s="388"/>
      <c r="BW223" s="388"/>
      <c r="BX223" s="388"/>
      <c r="BY223" s="388"/>
      <c r="BZ223" s="388"/>
      <c r="CA223" s="388"/>
      <c r="CB223" s="388"/>
      <c r="CC223" s="388"/>
      <c r="CD223" s="388"/>
      <c r="CE223" s="389"/>
      <c r="CF223" s="276"/>
    </row>
    <row r="224" spans="1:171" s="269" customFormat="1" ht="30.75" customHeight="1">
      <c r="A224" s="268"/>
      <c r="B224" s="616"/>
      <c r="C224" s="617"/>
      <c r="D224" s="617"/>
      <c r="E224" s="617"/>
      <c r="F224" s="617"/>
      <c r="G224" s="617"/>
      <c r="H224" s="617"/>
      <c r="I224" s="617"/>
      <c r="J224" s="617"/>
      <c r="K224" s="617"/>
      <c r="L224" s="617"/>
      <c r="M224" s="617"/>
      <c r="N224" s="617"/>
      <c r="O224" s="617"/>
      <c r="P224" s="618"/>
      <c r="Q224" s="619"/>
      <c r="R224" s="620"/>
      <c r="S224" s="620"/>
      <c r="T224" s="620"/>
      <c r="U224" s="620"/>
      <c r="V224" s="620"/>
      <c r="W224" s="620"/>
      <c r="X224" s="620"/>
      <c r="Y224" s="620"/>
      <c r="Z224" s="620"/>
      <c r="AA224" s="620"/>
      <c r="AB224" s="620"/>
      <c r="AC224" s="620"/>
      <c r="AD224" s="620"/>
      <c r="AE224" s="620"/>
      <c r="AF224" s="620"/>
      <c r="AG224" s="620"/>
      <c r="AH224" s="620"/>
      <c r="AI224" s="620"/>
      <c r="AJ224" s="620"/>
      <c r="AK224" s="620"/>
      <c r="AL224" s="620"/>
      <c r="AM224" s="620"/>
      <c r="AN224" s="620"/>
      <c r="AO224" s="620"/>
      <c r="AP224" s="620"/>
      <c r="AQ224" s="620"/>
      <c r="AR224" s="620"/>
      <c r="AS224" s="620"/>
      <c r="AT224" s="620"/>
      <c r="AU224" s="620"/>
      <c r="AV224" s="620"/>
      <c r="AW224" s="620"/>
      <c r="AX224" s="620"/>
      <c r="AY224" s="620"/>
      <c r="AZ224" s="620"/>
      <c r="BA224" s="620"/>
      <c r="BB224" s="620"/>
      <c r="BC224" s="620"/>
      <c r="BD224" s="620"/>
      <c r="BE224" s="620"/>
      <c r="BF224" s="620"/>
      <c r="BG224" s="620"/>
      <c r="BH224" s="620"/>
      <c r="BI224" s="620"/>
      <c r="BJ224" s="620"/>
      <c r="BK224" s="620"/>
      <c r="BL224" s="621"/>
      <c r="BM224" s="622"/>
      <c r="BN224" s="623"/>
      <c r="BO224" s="623"/>
      <c r="BP224" s="623"/>
      <c r="BQ224" s="623"/>
      <c r="BR224" s="623"/>
      <c r="BS224" s="623"/>
      <c r="BT224" s="623"/>
      <c r="BU224" s="623"/>
      <c r="BV224" s="623"/>
      <c r="BW224" s="623"/>
      <c r="BX224" s="623"/>
      <c r="BY224" s="623"/>
      <c r="BZ224" s="623"/>
      <c r="CA224" s="623"/>
      <c r="CB224" s="623"/>
      <c r="CC224" s="623"/>
      <c r="CD224" s="623"/>
      <c r="CE224" s="624"/>
      <c r="CF224" s="276"/>
    </row>
    <row r="225" spans="1:84" s="269" customFormat="1" ht="23.25" customHeight="1">
      <c r="A225" s="268"/>
      <c r="B225" s="256" t="s">
        <v>164</v>
      </c>
      <c r="C225" s="256"/>
      <c r="D225" s="256"/>
      <c r="E225" s="256"/>
      <c r="F225" s="256"/>
      <c r="G225" s="256"/>
      <c r="H225" s="256"/>
      <c r="I225" s="256"/>
      <c r="J225" s="256"/>
      <c r="K225" s="256"/>
      <c r="L225" s="256"/>
      <c r="M225" s="256"/>
      <c r="N225" s="256"/>
      <c r="O225" s="256"/>
      <c r="P225" s="256"/>
      <c r="Q225" s="256"/>
      <c r="R225" s="256" t="s">
        <v>165</v>
      </c>
      <c r="S225" s="256"/>
      <c r="T225" s="256"/>
      <c r="U225" s="256"/>
      <c r="V225" s="256"/>
      <c r="W225" s="256"/>
      <c r="X225" s="256"/>
      <c r="Y225" s="256"/>
      <c r="Z225" s="256"/>
      <c r="AA225" s="256"/>
      <c r="AB225" s="256"/>
      <c r="AC225" s="256"/>
      <c r="AD225" s="256"/>
      <c r="AE225" s="256"/>
      <c r="AF225" s="256"/>
      <c r="AG225" s="256"/>
      <c r="AH225" s="256"/>
      <c r="AI225" s="256"/>
      <c r="AJ225" s="256"/>
      <c r="AK225" s="256"/>
      <c r="AL225" s="256"/>
      <c r="AM225" s="256"/>
      <c r="AN225" s="256"/>
      <c r="AO225" s="256"/>
      <c r="AP225" s="256"/>
      <c r="AQ225" s="256"/>
      <c r="AR225" s="256"/>
      <c r="AS225" s="256"/>
      <c r="AT225" s="256"/>
      <c r="AU225" s="256"/>
      <c r="AV225" s="256"/>
      <c r="AW225" s="256"/>
      <c r="AX225" s="256"/>
      <c r="AY225" s="256"/>
      <c r="AZ225" s="256"/>
      <c r="BA225" s="256"/>
      <c r="BB225" s="256"/>
      <c r="BC225" s="256"/>
      <c r="BD225" s="256"/>
      <c r="BE225" s="256"/>
      <c r="BF225" s="256"/>
      <c r="BG225" s="256"/>
      <c r="BH225" s="256"/>
      <c r="BI225" s="256"/>
      <c r="BJ225" s="256"/>
      <c r="BK225" s="256"/>
      <c r="BL225" s="256"/>
      <c r="CF225" s="276"/>
    </row>
    <row r="226" spans="1:84" s="256" customFormat="1" ht="19.5" customHeight="1">
      <c r="A226" s="260"/>
      <c r="B226" s="384" t="s">
        <v>166</v>
      </c>
      <c r="C226" s="385"/>
      <c r="D226" s="385"/>
      <c r="E226" s="385"/>
      <c r="F226" s="385"/>
      <c r="G226" s="385"/>
      <c r="H226" s="385"/>
      <c r="I226" s="385"/>
      <c r="J226" s="385"/>
      <c r="K226" s="385"/>
      <c r="L226" s="385"/>
      <c r="M226" s="385"/>
      <c r="N226" s="385"/>
      <c r="O226" s="385"/>
      <c r="P226" s="386"/>
      <c r="Q226" s="384" t="s">
        <v>167</v>
      </c>
      <c r="R226" s="385"/>
      <c r="S226" s="385"/>
      <c r="T226" s="385"/>
      <c r="U226" s="385"/>
      <c r="V226" s="385"/>
      <c r="W226" s="385"/>
      <c r="X226" s="385"/>
      <c r="Y226" s="385"/>
      <c r="Z226" s="385"/>
      <c r="AA226" s="385"/>
      <c r="AB226" s="385"/>
      <c r="AC226" s="385"/>
      <c r="AD226" s="385"/>
      <c r="AE226" s="385"/>
      <c r="AF226" s="385"/>
      <c r="AG226" s="385"/>
      <c r="AH226" s="385"/>
      <c r="AI226" s="385"/>
      <c r="AJ226" s="385"/>
      <c r="AK226" s="385"/>
      <c r="AL226" s="385"/>
      <c r="AM226" s="385"/>
      <c r="AN226" s="385"/>
      <c r="AO226" s="385"/>
      <c r="AP226" s="385"/>
      <c r="AQ226" s="385"/>
      <c r="AR226" s="385"/>
      <c r="AS226" s="385"/>
      <c r="AT226" s="385"/>
      <c r="AU226" s="385"/>
      <c r="AV226" s="385"/>
      <c r="AW226" s="385"/>
      <c r="AX226" s="385"/>
      <c r="AY226" s="385"/>
      <c r="AZ226" s="385"/>
      <c r="BA226" s="385"/>
      <c r="BB226" s="385"/>
      <c r="BC226" s="385"/>
      <c r="BD226" s="385"/>
      <c r="BE226" s="385"/>
      <c r="BF226" s="385"/>
      <c r="BG226" s="385"/>
      <c r="BH226" s="385"/>
      <c r="BI226" s="385"/>
      <c r="BJ226" s="385"/>
      <c r="BK226" s="385"/>
      <c r="BL226" s="386"/>
      <c r="BM226" s="384" t="s">
        <v>161</v>
      </c>
      <c r="BN226" s="385"/>
      <c r="BO226" s="385"/>
      <c r="BP226" s="385"/>
      <c r="BQ226" s="385"/>
      <c r="BR226" s="385"/>
      <c r="BS226" s="385"/>
      <c r="BT226" s="385"/>
      <c r="BU226" s="385"/>
      <c r="BV226" s="385"/>
      <c r="BW226" s="385"/>
      <c r="BX226" s="385"/>
      <c r="BY226" s="385"/>
      <c r="BZ226" s="385"/>
      <c r="CA226" s="385"/>
      <c r="CB226" s="385"/>
      <c r="CC226" s="385"/>
      <c r="CD226" s="385"/>
      <c r="CE226" s="386"/>
      <c r="CF226" s="273"/>
    </row>
    <row r="227" spans="1:84" s="269" customFormat="1" ht="30.75" customHeight="1">
      <c r="A227" s="268"/>
      <c r="B227" s="625" t="s">
        <v>168</v>
      </c>
      <c r="C227" s="626"/>
      <c r="D227" s="626"/>
      <c r="E227" s="626"/>
      <c r="F227" s="626"/>
      <c r="G227" s="626"/>
      <c r="H227" s="626"/>
      <c r="I227" s="626"/>
      <c r="J227" s="626"/>
      <c r="K227" s="626"/>
      <c r="L227" s="626"/>
      <c r="M227" s="626"/>
      <c r="N227" s="626"/>
      <c r="O227" s="626"/>
      <c r="P227" s="627"/>
      <c r="Q227" s="375" t="s">
        <v>388</v>
      </c>
      <c r="R227" s="376"/>
      <c r="S227" s="376"/>
      <c r="T227" s="376"/>
      <c r="U227" s="376"/>
      <c r="V227" s="376"/>
      <c r="W227" s="376"/>
      <c r="X227" s="376"/>
      <c r="Y227" s="376"/>
      <c r="Z227" s="376"/>
      <c r="AA227" s="376"/>
      <c r="AB227" s="376"/>
      <c r="AC227" s="376"/>
      <c r="AD227" s="376"/>
      <c r="AE227" s="376"/>
      <c r="AF227" s="376"/>
      <c r="AG227" s="376"/>
      <c r="AH227" s="376"/>
      <c r="AI227" s="376"/>
      <c r="AJ227" s="376"/>
      <c r="AK227" s="376"/>
      <c r="AL227" s="376"/>
      <c r="AM227" s="376"/>
      <c r="AN227" s="376"/>
      <c r="AO227" s="376"/>
      <c r="AP227" s="376"/>
      <c r="AQ227" s="376"/>
      <c r="AR227" s="376"/>
      <c r="AS227" s="376"/>
      <c r="AT227" s="376"/>
      <c r="AU227" s="376"/>
      <c r="AV227" s="376"/>
      <c r="AW227" s="376"/>
      <c r="AX227" s="376"/>
      <c r="AY227" s="376"/>
      <c r="AZ227" s="376"/>
      <c r="BA227" s="376"/>
      <c r="BB227" s="376"/>
      <c r="BC227" s="376"/>
      <c r="BD227" s="376"/>
      <c r="BE227" s="376"/>
      <c r="BF227" s="376"/>
      <c r="BG227" s="376"/>
      <c r="BH227" s="376"/>
      <c r="BI227" s="376"/>
      <c r="BJ227" s="376"/>
      <c r="BK227" s="376"/>
      <c r="BL227" s="377"/>
      <c r="BM227" s="628"/>
      <c r="BN227" s="629"/>
      <c r="BO227" s="629"/>
      <c r="BP227" s="629"/>
      <c r="BQ227" s="629"/>
      <c r="BR227" s="629"/>
      <c r="BS227" s="629"/>
      <c r="BT227" s="629"/>
      <c r="BU227" s="629"/>
      <c r="BV227" s="629"/>
      <c r="BW227" s="629"/>
      <c r="BX227" s="629"/>
      <c r="BY227" s="629"/>
      <c r="BZ227" s="629"/>
      <c r="CA227" s="629"/>
      <c r="CB227" s="629"/>
      <c r="CC227" s="629"/>
      <c r="CD227" s="629"/>
      <c r="CE227" s="630"/>
      <c r="CF227" s="276"/>
    </row>
    <row r="228" spans="1:84" s="269" customFormat="1" ht="30.75" customHeight="1">
      <c r="A228" s="268"/>
      <c r="B228" s="378"/>
      <c r="C228" s="379"/>
      <c r="D228" s="379"/>
      <c r="E228" s="379"/>
      <c r="F228" s="379"/>
      <c r="G228" s="379"/>
      <c r="H228" s="379"/>
      <c r="I228" s="379"/>
      <c r="J228" s="379"/>
      <c r="K228" s="379"/>
      <c r="L228" s="379"/>
      <c r="M228" s="379"/>
      <c r="N228" s="379"/>
      <c r="O228" s="379"/>
      <c r="P228" s="380"/>
      <c r="Q228" s="378"/>
      <c r="R228" s="379"/>
      <c r="S228" s="379"/>
      <c r="T228" s="379"/>
      <c r="U228" s="379"/>
      <c r="V228" s="379"/>
      <c r="W228" s="379"/>
      <c r="X228" s="379"/>
      <c r="Y228" s="379"/>
      <c r="Z228" s="379"/>
      <c r="AA228" s="379"/>
      <c r="AB228" s="379"/>
      <c r="AC228" s="379"/>
      <c r="AD228" s="379"/>
      <c r="AE228" s="379"/>
      <c r="AF228" s="379"/>
      <c r="AG228" s="379"/>
      <c r="AH228" s="379"/>
      <c r="AI228" s="379"/>
      <c r="AJ228" s="379"/>
      <c r="AK228" s="379"/>
      <c r="AL228" s="379"/>
      <c r="AM228" s="379"/>
      <c r="AN228" s="379"/>
      <c r="AO228" s="379"/>
      <c r="AP228" s="379"/>
      <c r="AQ228" s="379"/>
      <c r="AR228" s="379"/>
      <c r="AS228" s="379"/>
      <c r="AT228" s="379"/>
      <c r="AU228" s="379"/>
      <c r="AV228" s="379"/>
      <c r="AW228" s="379"/>
      <c r="AX228" s="379"/>
      <c r="AY228" s="379"/>
      <c r="AZ228" s="379"/>
      <c r="BA228" s="379"/>
      <c r="BB228" s="379"/>
      <c r="BC228" s="379"/>
      <c r="BD228" s="379"/>
      <c r="BE228" s="379"/>
      <c r="BF228" s="379"/>
      <c r="BG228" s="379"/>
      <c r="BH228" s="379"/>
      <c r="BI228" s="379"/>
      <c r="BJ228" s="379"/>
      <c r="BK228" s="379"/>
      <c r="BL228" s="380"/>
      <c r="BM228" s="387"/>
      <c r="BN228" s="388"/>
      <c r="BO228" s="388"/>
      <c r="BP228" s="388"/>
      <c r="BQ228" s="388"/>
      <c r="BR228" s="388"/>
      <c r="BS228" s="388"/>
      <c r="BT228" s="388"/>
      <c r="BU228" s="388"/>
      <c r="BV228" s="388"/>
      <c r="BW228" s="388"/>
      <c r="BX228" s="388"/>
      <c r="BY228" s="388"/>
      <c r="BZ228" s="388"/>
      <c r="CA228" s="388"/>
      <c r="CB228" s="388"/>
      <c r="CC228" s="388"/>
      <c r="CD228" s="388"/>
      <c r="CE228" s="389"/>
      <c r="CF228" s="276"/>
    </row>
    <row r="229" spans="1:84" s="278" customFormat="1" ht="4.5" customHeight="1">
      <c r="A229" s="270"/>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c r="AB229" s="271"/>
      <c r="AC229" s="271"/>
      <c r="AD229" s="271"/>
      <c r="AE229" s="271"/>
      <c r="AF229" s="271"/>
      <c r="AG229" s="271"/>
      <c r="AH229" s="271"/>
      <c r="AI229" s="271"/>
      <c r="AJ229" s="271"/>
      <c r="AK229" s="271"/>
      <c r="AL229" s="271"/>
      <c r="AM229" s="271"/>
      <c r="AN229" s="271"/>
      <c r="AO229" s="271"/>
      <c r="AP229" s="271"/>
      <c r="AQ229" s="271"/>
      <c r="AR229" s="271"/>
      <c r="AS229" s="271"/>
      <c r="AT229" s="271"/>
      <c r="AU229" s="271"/>
      <c r="AV229" s="271"/>
      <c r="AW229" s="271"/>
      <c r="AX229" s="271"/>
      <c r="AY229" s="271"/>
      <c r="AZ229" s="271"/>
      <c r="BA229" s="271"/>
      <c r="BB229" s="271"/>
      <c r="BC229" s="271"/>
      <c r="BD229" s="271"/>
      <c r="BE229" s="271"/>
      <c r="BF229" s="271"/>
      <c r="BG229" s="271"/>
      <c r="BH229" s="271"/>
      <c r="BI229" s="271"/>
      <c r="BJ229" s="271"/>
      <c r="BK229" s="271"/>
      <c r="BL229" s="271"/>
      <c r="BM229" s="271"/>
      <c r="BN229" s="271"/>
      <c r="BO229" s="271"/>
      <c r="BP229" s="271"/>
      <c r="BQ229" s="271"/>
      <c r="BR229" s="271"/>
      <c r="BS229" s="271"/>
      <c r="BT229" s="271"/>
      <c r="BU229" s="271"/>
      <c r="BV229" s="271"/>
      <c r="BW229" s="271"/>
      <c r="BX229" s="271"/>
      <c r="BY229" s="271"/>
      <c r="BZ229" s="271"/>
      <c r="CA229" s="271"/>
      <c r="CB229" s="271"/>
      <c r="CC229" s="271"/>
      <c r="CD229" s="271"/>
      <c r="CE229" s="271"/>
      <c r="CF229" s="277"/>
    </row>
    <row r="230" spans="1:84" s="272" customFormat="1" ht="3" customHeight="1"/>
    <row r="231" spans="1:84" s="272" customFormat="1" ht="19.5" customHeight="1"/>
    <row r="232" spans="1:84" s="272" customFormat="1" ht="19.5" customHeight="1"/>
    <row r="233" spans="1:84" s="272" customFormat="1" ht="19.5" customHeight="1"/>
    <row r="234" spans="1:84" s="254" customFormat="1" ht="19.5" customHeight="1"/>
    <row r="235" spans="1:84" s="254" customFormat="1" ht="19.5" customHeight="1"/>
    <row r="236" spans="1:84" s="254" customFormat="1" ht="19.5" customHeight="1"/>
    <row r="237" spans="1:84" s="254" customFormat="1" ht="19.5" customHeight="1"/>
    <row r="238" spans="1:84" s="254" customFormat="1" ht="19.5" customHeight="1"/>
    <row r="239" spans="1:84" s="254" customFormat="1" ht="19.5" customHeight="1"/>
    <row r="240" spans="1:84" s="254" customFormat="1" ht="19.5" customHeight="1"/>
    <row r="241" s="254" customFormat="1" ht="19.5" customHeight="1"/>
    <row r="242" s="254" customFormat="1" ht="19.5" customHeight="1"/>
    <row r="243" s="254" customFormat="1" ht="19.5" customHeight="1"/>
    <row r="244" s="254" customFormat="1" ht="19.5" customHeight="1"/>
    <row r="245" s="254" customFormat="1" ht="19.5" customHeight="1"/>
    <row r="246" s="254" customFormat="1" ht="19.5" customHeight="1"/>
    <row r="247" s="254" customFormat="1" ht="19.5" customHeight="1"/>
    <row r="248" s="254" customFormat="1" ht="19.5" customHeight="1"/>
    <row r="249" s="254" customFormat="1" ht="19.5" customHeight="1"/>
    <row r="250" s="254" customFormat="1" ht="19.5" customHeight="1"/>
    <row r="251" s="254" customFormat="1" ht="19.5" customHeight="1"/>
    <row r="252" s="254" customFormat="1" ht="19.5" customHeight="1"/>
    <row r="253" s="254" customFormat="1" ht="19.5" customHeight="1"/>
    <row r="254" s="254" customFormat="1" ht="19.5" customHeight="1"/>
    <row r="255" s="254" customFormat="1" ht="19.5" customHeight="1"/>
    <row r="256" s="254" customFormat="1" ht="19.5" customHeight="1"/>
    <row r="257" s="254" customFormat="1" ht="19.5" customHeight="1"/>
    <row r="258" s="254" customFormat="1" ht="19.5" customHeight="1"/>
    <row r="259" s="254" customFormat="1" ht="19.5" customHeight="1"/>
    <row r="260" s="254" customFormat="1" ht="19.5" customHeight="1"/>
    <row r="261" s="254" customFormat="1" ht="19.5" customHeight="1"/>
    <row r="262" s="254" customFormat="1" ht="19.5" customHeight="1"/>
    <row r="263" s="254" customFormat="1" ht="19.5" customHeight="1"/>
    <row r="264" s="254" customFormat="1" ht="19.5" customHeight="1"/>
    <row r="265" s="254" customFormat="1" ht="19.5" customHeight="1"/>
    <row r="266" s="254" customFormat="1" ht="19.5" customHeight="1"/>
    <row r="267" s="254" customFormat="1" ht="19.5" customHeight="1"/>
    <row r="268" s="254" customFormat="1"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sheetData>
  <mergeCells count="215">
    <mergeCell ref="H147:T147"/>
    <mergeCell ref="U147:AG147"/>
    <mergeCell ref="AH147:BG147"/>
    <mergeCell ref="BH147:CB147"/>
    <mergeCell ref="H148:T148"/>
    <mergeCell ref="U148:BG148"/>
    <mergeCell ref="BH148:CB148"/>
    <mergeCell ref="H205:T205"/>
    <mergeCell ref="U205:AG205"/>
    <mergeCell ref="AH205:BG205"/>
    <mergeCell ref="BH205:CB205"/>
    <mergeCell ref="V190:AW190"/>
    <mergeCell ref="AZ182:CA182"/>
    <mergeCell ref="V183:AW183"/>
    <mergeCell ref="V184:AW184"/>
    <mergeCell ref="V185:AW185"/>
    <mergeCell ref="V186:AW186"/>
    <mergeCell ref="V187:AW187"/>
    <mergeCell ref="AZ187:CA187"/>
    <mergeCell ref="V188:AW188"/>
    <mergeCell ref="V189:AW189"/>
    <mergeCell ref="H164:CB164"/>
    <mergeCell ref="H171:CB171"/>
    <mergeCell ref="AZ180:CA180"/>
    <mergeCell ref="H144:CB144"/>
    <mergeCell ref="H145:T145"/>
    <mergeCell ref="U145:AG145"/>
    <mergeCell ref="AH145:BG145"/>
    <mergeCell ref="BH145:CB145"/>
    <mergeCell ref="H115:CB116"/>
    <mergeCell ref="BU112:CE113"/>
    <mergeCell ref="M112:BP113"/>
    <mergeCell ref="H146:T146"/>
    <mergeCell ref="U146:AG146"/>
    <mergeCell ref="AH146:BG146"/>
    <mergeCell ref="BH146:CB146"/>
    <mergeCell ref="V137:AW137"/>
    <mergeCell ref="AZ137:CA137"/>
    <mergeCell ref="H118:CB118"/>
    <mergeCell ref="H131:CB131"/>
    <mergeCell ref="V133:AW133"/>
    <mergeCell ref="AZ133:CA133"/>
    <mergeCell ref="V134:AW134"/>
    <mergeCell ref="AZ134:CA134"/>
    <mergeCell ref="V135:AW135"/>
    <mergeCell ref="AZ135:CA135"/>
    <mergeCell ref="V136:AW136"/>
    <mergeCell ref="H35:T35"/>
    <mergeCell ref="U35:AG35"/>
    <mergeCell ref="AH35:BG35"/>
    <mergeCell ref="BH35:CB35"/>
    <mergeCell ref="U65:AW65"/>
    <mergeCell ref="BA65:CA65"/>
    <mergeCell ref="V66:AW66"/>
    <mergeCell ref="AZ66:CA66"/>
    <mergeCell ref="BU44:CE45"/>
    <mergeCell ref="H47:CB48"/>
    <mergeCell ref="H50:CB50"/>
    <mergeCell ref="H53:CB53"/>
    <mergeCell ref="H59:CB59"/>
    <mergeCell ref="H60:CB60"/>
    <mergeCell ref="H62:CB62"/>
    <mergeCell ref="V64:AW64"/>
    <mergeCell ref="AZ64:CA64"/>
    <mergeCell ref="M44:BP45"/>
    <mergeCell ref="B217:P217"/>
    <mergeCell ref="Q217:BL217"/>
    <mergeCell ref="BM217:CE217"/>
    <mergeCell ref="M78:BP79"/>
    <mergeCell ref="BU78:CE79"/>
    <mergeCell ref="H81:CB82"/>
    <mergeCell ref="AZ98:CA98"/>
    <mergeCell ref="U99:AW99"/>
    <mergeCell ref="BA99:CA99"/>
    <mergeCell ref="V100:AW100"/>
    <mergeCell ref="AZ100:CA100"/>
    <mergeCell ref="B214:P214"/>
    <mergeCell ref="Q214:BL214"/>
    <mergeCell ref="BM214:CE214"/>
    <mergeCell ref="B215:P215"/>
    <mergeCell ref="AZ198:CA198"/>
    <mergeCell ref="AZ199:CA199"/>
    <mergeCell ref="Q215:BL215"/>
    <mergeCell ref="BM215:CE215"/>
    <mergeCell ref="H158:CB159"/>
    <mergeCell ref="B216:P216"/>
    <mergeCell ref="Q216:BL216"/>
    <mergeCell ref="BM216:CE216"/>
    <mergeCell ref="H161:CB161"/>
    <mergeCell ref="B224:P224"/>
    <mergeCell ref="Q224:BL224"/>
    <mergeCell ref="BM224:CE224"/>
    <mergeCell ref="B228:P228"/>
    <mergeCell ref="Q228:BL228"/>
    <mergeCell ref="BM228:CE228"/>
    <mergeCell ref="B226:P226"/>
    <mergeCell ref="Q226:BL226"/>
    <mergeCell ref="BM226:CE226"/>
    <mergeCell ref="B227:P227"/>
    <mergeCell ref="Q227:BL227"/>
    <mergeCell ref="BM227:CE227"/>
    <mergeCell ref="B223:P223"/>
    <mergeCell ref="Q223:BL223"/>
    <mergeCell ref="BM223:CE223"/>
    <mergeCell ref="B222:P222"/>
    <mergeCell ref="B218:P218"/>
    <mergeCell ref="Q218:BL218"/>
    <mergeCell ref="BM218:CE218"/>
    <mergeCell ref="B219:P219"/>
    <mergeCell ref="Q219:BL219"/>
    <mergeCell ref="BM219:CE219"/>
    <mergeCell ref="B220:P220"/>
    <mergeCell ref="Q220:BL220"/>
    <mergeCell ref="BM220:CE220"/>
    <mergeCell ref="BM222:CE222"/>
    <mergeCell ref="Q222:BL222"/>
    <mergeCell ref="B221:P221"/>
    <mergeCell ref="Q221:BL221"/>
    <mergeCell ref="BM221:CE221"/>
    <mergeCell ref="B213:P213"/>
    <mergeCell ref="Q213:BL213"/>
    <mergeCell ref="BM213:CE213"/>
    <mergeCell ref="V192:AW192"/>
    <mergeCell ref="V193:AW193"/>
    <mergeCell ref="V194:AW194"/>
    <mergeCell ref="V195:AW195"/>
    <mergeCell ref="V196:AW196"/>
    <mergeCell ref="AZ196:CA196"/>
    <mergeCell ref="U197:AW197"/>
    <mergeCell ref="BA197:CA197"/>
    <mergeCell ref="V198:AW198"/>
    <mergeCell ref="H206:T206"/>
    <mergeCell ref="U206:BG206"/>
    <mergeCell ref="BH206:CB206"/>
    <mergeCell ref="H202:CB202"/>
    <mergeCell ref="H203:T203"/>
    <mergeCell ref="U203:AG203"/>
    <mergeCell ref="AH203:BG203"/>
    <mergeCell ref="BH203:CB203"/>
    <mergeCell ref="H204:T204"/>
    <mergeCell ref="U204:AG204"/>
    <mergeCell ref="AH204:BG204"/>
    <mergeCell ref="BH204:CB204"/>
    <mergeCell ref="H13:CB14"/>
    <mergeCell ref="V29:AW29"/>
    <mergeCell ref="AZ29:CA29"/>
    <mergeCell ref="V31:AW31"/>
    <mergeCell ref="AZ31:CA31"/>
    <mergeCell ref="V191:AW191"/>
    <mergeCell ref="V182:AW182"/>
    <mergeCell ref="V181:AW181"/>
    <mergeCell ref="AZ181:CA181"/>
    <mergeCell ref="H174:CB174"/>
    <mergeCell ref="V176:AW176"/>
    <mergeCell ref="AZ176:CA176"/>
    <mergeCell ref="V177:AW177"/>
    <mergeCell ref="AZ177:CA177"/>
    <mergeCell ref="V178:AW178"/>
    <mergeCell ref="AZ178:CA178"/>
    <mergeCell ref="V179:AW179"/>
    <mergeCell ref="V180:AW180"/>
    <mergeCell ref="H69:CB69"/>
    <mergeCell ref="H70:T70"/>
    <mergeCell ref="U70:AG70"/>
    <mergeCell ref="AH70:BG70"/>
    <mergeCell ref="BH70:CB70"/>
    <mergeCell ref="H34:CB34"/>
    <mergeCell ref="AH104:BG104"/>
    <mergeCell ref="A4:K4"/>
    <mergeCell ref="A7:K7"/>
    <mergeCell ref="L7:CF7"/>
    <mergeCell ref="A3:K3"/>
    <mergeCell ref="AT1:BF1"/>
    <mergeCell ref="A2:BO2"/>
    <mergeCell ref="BP2:BU2"/>
    <mergeCell ref="CA2:CC2"/>
    <mergeCell ref="CD2:CG2"/>
    <mergeCell ref="L3:BO3"/>
    <mergeCell ref="BP3:BU3"/>
    <mergeCell ref="BV3:CG3"/>
    <mergeCell ref="L4:BO4"/>
    <mergeCell ref="BP4:BU4"/>
    <mergeCell ref="BV4:CG4"/>
    <mergeCell ref="M10:BP11"/>
    <mergeCell ref="BU10:CE11"/>
    <mergeCell ref="H16:CB16"/>
    <mergeCell ref="H27:CB27"/>
    <mergeCell ref="U30:AW30"/>
    <mergeCell ref="BA30:CA30"/>
    <mergeCell ref="H19:CB19"/>
    <mergeCell ref="H25:CB25"/>
    <mergeCell ref="BH104:CB104"/>
    <mergeCell ref="H24:CB24"/>
    <mergeCell ref="H84:CB84"/>
    <mergeCell ref="H87:CB87"/>
    <mergeCell ref="H94:CB94"/>
    <mergeCell ref="H96:CB96"/>
    <mergeCell ref="V98:AW98"/>
    <mergeCell ref="M155:BP156"/>
    <mergeCell ref="H121:CB121"/>
    <mergeCell ref="H128:CB128"/>
    <mergeCell ref="BU155:CE156"/>
    <mergeCell ref="V138:AW138"/>
    <mergeCell ref="AZ138:CA138"/>
    <mergeCell ref="V139:AW139"/>
    <mergeCell ref="AZ139:CA139"/>
    <mergeCell ref="V140:AW140"/>
    <mergeCell ref="AZ140:CA140"/>
    <mergeCell ref="U141:AW141"/>
    <mergeCell ref="BA141:CA141"/>
    <mergeCell ref="V142:AW142"/>
    <mergeCell ref="AZ142:CA142"/>
    <mergeCell ref="H103:CB103"/>
    <mergeCell ref="H104:T104"/>
    <mergeCell ref="U104:AG104"/>
  </mergeCells>
  <phoneticPr fontId="3"/>
  <pageMargins left="0.45" right="0.23" top="0.51" bottom="0.19685039370078741" header="0.7" footer="0.27559055118110237"/>
  <pageSetup paperSize="9" scale="59" orientation="portrait" horizontalDpi="360" verticalDpi="360" r:id="rId1"/>
  <headerFooter>
    <oddHeader xml:space="preserve">&amp;R&amp;P    </oddHeader>
  </headerFooter>
  <rowBreaks count="3" manualBreakCount="3">
    <brk id="76" max="84" man="1"/>
    <brk id="153" max="84" man="1"/>
    <brk id="211"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BE6A-7440-4B2C-8973-9C87FB032FE6}">
  <sheetPr codeName="Sheet6"/>
  <dimension ref="A1:BU80"/>
  <sheetViews>
    <sheetView view="pageBreakPreview" zoomScaleNormal="100" zoomScaleSheetLayoutView="100" workbookViewId="0"/>
  </sheetViews>
  <sheetFormatPr defaultColWidth="1.90625" defaultRowHeight="14"/>
  <cols>
    <col min="1" max="62" width="2.08984375" style="18" customWidth="1"/>
    <col min="63"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38</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397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8</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3" t="s">
        <v>39</v>
      </c>
      <c r="B9" s="353"/>
      <c r="C9" s="353"/>
      <c r="D9" s="507" t="s">
        <v>178</v>
      </c>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336" t="s">
        <v>179</v>
      </c>
      <c r="AU9" s="337"/>
      <c r="AV9" s="337"/>
      <c r="AW9" s="337"/>
      <c r="AX9" s="337"/>
      <c r="AY9" s="337"/>
      <c r="AZ9" s="337"/>
      <c r="BA9" s="337"/>
      <c r="BB9" s="337"/>
      <c r="BC9" s="337"/>
      <c r="BD9" s="337"/>
      <c r="BE9" s="337"/>
      <c r="BF9" s="337"/>
      <c r="BG9" s="337"/>
      <c r="BH9" s="337"/>
      <c r="BI9" s="337"/>
      <c r="BJ9" s="338"/>
      <c r="BK9" s="151"/>
    </row>
    <row r="10" spans="1:63" ht="25.5" customHeight="1">
      <c r="A10" s="353" t="s">
        <v>49</v>
      </c>
      <c r="B10" s="353"/>
      <c r="C10" s="353"/>
      <c r="D10" s="507" t="s">
        <v>220</v>
      </c>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336"/>
      <c r="AU10" s="337"/>
      <c r="AV10" s="337"/>
      <c r="AW10" s="337"/>
      <c r="AX10" s="337"/>
      <c r="AY10" s="337"/>
      <c r="AZ10" s="337"/>
      <c r="BA10" s="337"/>
      <c r="BB10" s="337"/>
      <c r="BC10" s="337"/>
      <c r="BD10" s="337"/>
      <c r="BE10" s="337"/>
      <c r="BF10" s="337"/>
      <c r="BG10" s="337"/>
      <c r="BH10" s="337"/>
      <c r="BI10" s="337"/>
      <c r="BJ10" s="338"/>
      <c r="BK10" s="3"/>
    </row>
    <row r="11" spans="1:63" ht="11.15" customHeight="1">
      <c r="A11" s="156"/>
      <c r="B11" s="156"/>
      <c r="C11" s="156"/>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156"/>
      <c r="AU11" s="156"/>
      <c r="AV11" s="156"/>
      <c r="AW11" s="156"/>
      <c r="AX11" s="156"/>
      <c r="AY11" s="156"/>
      <c r="AZ11" s="156"/>
      <c r="BA11" s="156"/>
      <c r="BB11" s="156"/>
      <c r="BC11" s="156"/>
      <c r="BD11" s="156"/>
      <c r="BE11" s="156"/>
      <c r="BF11" s="156"/>
      <c r="BG11" s="156"/>
      <c r="BH11" s="156"/>
      <c r="BI11" s="156"/>
      <c r="BJ11" s="156"/>
      <c r="BK11" s="15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534" t="s">
        <v>39</v>
      </c>
      <c r="B13" s="535"/>
      <c r="C13" s="536"/>
      <c r="D13" s="534" t="s">
        <v>40</v>
      </c>
      <c r="E13" s="535"/>
      <c r="F13" s="535"/>
      <c r="G13" s="535"/>
      <c r="H13" s="535"/>
      <c r="I13" s="535"/>
      <c r="J13" s="535"/>
      <c r="K13" s="535"/>
      <c r="L13" s="535"/>
      <c r="M13" s="535"/>
      <c r="N13" s="535"/>
      <c r="O13" s="535"/>
      <c r="P13" s="535"/>
      <c r="Q13" s="535"/>
      <c r="R13" s="536"/>
      <c r="S13" s="534" t="s">
        <v>41</v>
      </c>
      <c r="T13" s="535"/>
      <c r="U13" s="536"/>
      <c r="V13" s="542" t="s">
        <v>42</v>
      </c>
      <c r="W13" s="543"/>
      <c r="X13" s="543"/>
      <c r="Y13" s="544"/>
      <c r="Z13" s="534" t="s">
        <v>43</v>
      </c>
      <c r="AA13" s="535"/>
      <c r="AB13" s="535"/>
      <c r="AC13" s="536"/>
      <c r="AD13" s="513" t="s">
        <v>44</v>
      </c>
      <c r="AE13" s="514"/>
      <c r="AF13" s="515"/>
      <c r="AG13" s="513" t="s">
        <v>45</v>
      </c>
      <c r="AH13" s="514"/>
      <c r="AI13" s="515"/>
      <c r="AJ13" s="513" t="s">
        <v>46</v>
      </c>
      <c r="AK13" s="514"/>
      <c r="AL13" s="515"/>
      <c r="AM13" s="534" t="s">
        <v>47</v>
      </c>
      <c r="AN13" s="535"/>
      <c r="AO13" s="535"/>
      <c r="AP13" s="535"/>
      <c r="AQ13" s="535"/>
      <c r="AR13" s="535"/>
      <c r="AS13" s="535"/>
      <c r="AT13" s="535"/>
      <c r="AU13" s="535"/>
      <c r="AV13" s="535"/>
      <c r="AW13" s="535"/>
      <c r="AX13" s="535"/>
      <c r="AY13" s="535"/>
      <c r="AZ13" s="535"/>
      <c r="BA13" s="535"/>
      <c r="BB13" s="535"/>
      <c r="BC13" s="535"/>
      <c r="BD13" s="535"/>
      <c r="BE13" s="535"/>
      <c r="BF13" s="535"/>
      <c r="BG13" s="535"/>
      <c r="BH13" s="535"/>
      <c r="BI13" s="535"/>
      <c r="BJ13" s="536"/>
    </row>
    <row r="14" spans="1:63" s="19" customFormat="1" ht="20.25" customHeight="1">
      <c r="A14" s="537"/>
      <c r="B14" s="538"/>
      <c r="C14" s="539"/>
      <c r="D14" s="537"/>
      <c r="E14" s="538"/>
      <c r="F14" s="538"/>
      <c r="G14" s="538"/>
      <c r="H14" s="538"/>
      <c r="I14" s="538"/>
      <c r="J14" s="538"/>
      <c r="K14" s="538"/>
      <c r="L14" s="538"/>
      <c r="M14" s="538"/>
      <c r="N14" s="538"/>
      <c r="O14" s="538"/>
      <c r="P14" s="538"/>
      <c r="Q14" s="538"/>
      <c r="R14" s="539"/>
      <c r="S14" s="537"/>
      <c r="T14" s="538"/>
      <c r="U14" s="539"/>
      <c r="V14" s="531" t="s">
        <v>29</v>
      </c>
      <c r="W14" s="532"/>
      <c r="X14" s="532" t="s">
        <v>48</v>
      </c>
      <c r="Y14" s="533"/>
      <c r="Z14" s="537"/>
      <c r="AA14" s="538"/>
      <c r="AB14" s="538"/>
      <c r="AC14" s="539"/>
      <c r="AD14" s="516"/>
      <c r="AE14" s="517"/>
      <c r="AF14" s="518"/>
      <c r="AG14" s="516"/>
      <c r="AH14" s="517"/>
      <c r="AI14" s="518"/>
      <c r="AJ14" s="516"/>
      <c r="AK14" s="517"/>
      <c r="AL14" s="518"/>
      <c r="AM14" s="537"/>
      <c r="AN14" s="538"/>
      <c r="AO14" s="538"/>
      <c r="AP14" s="538"/>
      <c r="AQ14" s="538"/>
      <c r="AR14" s="538"/>
      <c r="AS14" s="538"/>
      <c r="AT14" s="538"/>
      <c r="AU14" s="538"/>
      <c r="AV14" s="538"/>
      <c r="AW14" s="538"/>
      <c r="AX14" s="538"/>
      <c r="AY14" s="538"/>
      <c r="AZ14" s="538"/>
      <c r="BA14" s="538"/>
      <c r="BB14" s="538"/>
      <c r="BC14" s="538"/>
      <c r="BD14" s="538"/>
      <c r="BE14" s="538"/>
      <c r="BF14" s="538"/>
      <c r="BG14" s="538"/>
      <c r="BH14" s="538"/>
      <c r="BI14" s="538"/>
      <c r="BJ14" s="539"/>
    </row>
    <row r="15" spans="1:63" ht="30.75" customHeight="1">
      <c r="A15" s="633">
        <f>ROW()-14</f>
        <v>1</v>
      </c>
      <c r="B15" s="634"/>
      <c r="C15" s="635"/>
      <c r="D15" s="636" t="s">
        <v>325</v>
      </c>
      <c r="E15" s="637"/>
      <c r="F15" s="637"/>
      <c r="G15" s="637"/>
      <c r="H15" s="637"/>
      <c r="I15" s="637"/>
      <c r="J15" s="637"/>
      <c r="K15" s="637"/>
      <c r="L15" s="637"/>
      <c r="M15" s="637"/>
      <c r="N15" s="637"/>
      <c r="O15" s="637"/>
      <c r="P15" s="637"/>
      <c r="Q15" s="637"/>
      <c r="R15" s="638"/>
      <c r="S15" s="639"/>
      <c r="T15" s="640"/>
      <c r="U15" s="541"/>
      <c r="V15" s="639" t="s">
        <v>276</v>
      </c>
      <c r="W15" s="641"/>
      <c r="X15" s="540" t="s">
        <v>276</v>
      </c>
      <c r="Y15" s="541"/>
      <c r="Z15" s="639"/>
      <c r="AA15" s="640"/>
      <c r="AB15" s="640"/>
      <c r="AC15" s="541"/>
      <c r="AD15" s="642"/>
      <c r="AE15" s="643"/>
      <c r="AF15" s="644"/>
      <c r="AG15" s="642"/>
      <c r="AH15" s="643"/>
      <c r="AI15" s="644"/>
      <c r="AJ15" s="642"/>
      <c r="AK15" s="643"/>
      <c r="AL15" s="644"/>
      <c r="AM15" s="645"/>
      <c r="AN15" s="646"/>
      <c r="AO15" s="646"/>
      <c r="AP15" s="646"/>
      <c r="AQ15" s="646"/>
      <c r="AR15" s="646"/>
      <c r="AS15" s="646"/>
      <c r="AT15" s="646"/>
      <c r="AU15" s="646"/>
      <c r="AV15" s="646"/>
      <c r="AW15" s="646"/>
      <c r="AX15" s="646"/>
      <c r="AY15" s="646"/>
      <c r="AZ15" s="646"/>
      <c r="BA15" s="646"/>
      <c r="BB15" s="646"/>
      <c r="BC15" s="646"/>
      <c r="BD15" s="646"/>
      <c r="BE15" s="646"/>
      <c r="BF15" s="646"/>
      <c r="BG15" s="646"/>
      <c r="BH15" s="646"/>
      <c r="BI15" s="646"/>
      <c r="BJ15" s="647"/>
    </row>
    <row r="16" spans="1:63" ht="30.75" customHeight="1">
      <c r="A16" s="464">
        <f t="shared" ref="A16:A19" si="0">ROW()-14</f>
        <v>2</v>
      </c>
      <c r="B16" s="465"/>
      <c r="C16" s="466"/>
      <c r="D16" s="495" t="s">
        <v>176</v>
      </c>
      <c r="E16" s="496"/>
      <c r="F16" s="496"/>
      <c r="G16" s="496"/>
      <c r="H16" s="496"/>
      <c r="I16" s="496"/>
      <c r="J16" s="496"/>
      <c r="K16" s="496"/>
      <c r="L16" s="496"/>
      <c r="M16" s="496"/>
      <c r="N16" s="496"/>
      <c r="O16" s="496"/>
      <c r="P16" s="496"/>
      <c r="Q16" s="496"/>
      <c r="R16" s="497"/>
      <c r="S16" s="152" t="s">
        <v>51</v>
      </c>
      <c r="T16" s="154"/>
      <c r="U16" s="153"/>
      <c r="V16" s="449" t="s">
        <v>175</v>
      </c>
      <c r="W16" s="632"/>
      <c r="X16" s="468" t="s">
        <v>284</v>
      </c>
      <c r="Y16" s="451"/>
      <c r="Z16" s="449" t="s">
        <v>549</v>
      </c>
      <c r="AA16" s="450"/>
      <c r="AB16" s="450"/>
      <c r="AC16" s="451"/>
      <c r="AD16" s="449"/>
      <c r="AE16" s="450"/>
      <c r="AF16" s="451"/>
      <c r="AG16" s="449"/>
      <c r="AH16" s="450"/>
      <c r="AI16" s="451"/>
      <c r="AJ16" s="449"/>
      <c r="AK16" s="450"/>
      <c r="AL16" s="451"/>
      <c r="AM16" s="446"/>
      <c r="AN16" s="447"/>
      <c r="AO16" s="447"/>
      <c r="AP16" s="447"/>
      <c r="AQ16" s="447"/>
      <c r="AR16" s="447"/>
      <c r="AS16" s="447"/>
      <c r="AT16" s="447"/>
      <c r="AU16" s="447"/>
      <c r="AV16" s="447"/>
      <c r="AW16" s="447"/>
      <c r="AX16" s="447"/>
      <c r="AY16" s="447"/>
      <c r="AZ16" s="447"/>
      <c r="BA16" s="447"/>
      <c r="BB16" s="447"/>
      <c r="BC16" s="447"/>
      <c r="BD16" s="447"/>
      <c r="BE16" s="447"/>
      <c r="BF16" s="447"/>
      <c r="BG16" s="447"/>
      <c r="BH16" s="447"/>
      <c r="BI16" s="447"/>
      <c r="BJ16" s="448"/>
    </row>
    <row r="17" spans="1:62" ht="42.65" customHeight="1">
      <c r="A17" s="464">
        <f t="shared" si="0"/>
        <v>3</v>
      </c>
      <c r="B17" s="465"/>
      <c r="C17" s="466"/>
      <c r="D17" s="484" t="s">
        <v>309</v>
      </c>
      <c r="E17" s="485"/>
      <c r="F17" s="485"/>
      <c r="G17" s="485"/>
      <c r="H17" s="485"/>
      <c r="I17" s="485"/>
      <c r="J17" s="485"/>
      <c r="K17" s="485"/>
      <c r="L17" s="485"/>
      <c r="M17" s="485"/>
      <c r="N17" s="485"/>
      <c r="O17" s="485"/>
      <c r="P17" s="485"/>
      <c r="Q17" s="485"/>
      <c r="R17" s="486"/>
      <c r="S17" s="449" t="s">
        <v>41</v>
      </c>
      <c r="T17" s="450"/>
      <c r="U17" s="451"/>
      <c r="V17" s="449" t="s">
        <v>60</v>
      </c>
      <c r="W17" s="632"/>
      <c r="X17" s="468" t="s">
        <v>61</v>
      </c>
      <c r="Y17" s="451"/>
      <c r="Z17" s="449" t="s">
        <v>59</v>
      </c>
      <c r="AA17" s="450"/>
      <c r="AB17" s="450"/>
      <c r="AC17" s="451"/>
      <c r="AD17" s="449"/>
      <c r="AE17" s="450"/>
      <c r="AF17" s="451"/>
      <c r="AG17" s="449" t="s">
        <v>37</v>
      </c>
      <c r="AH17" s="450"/>
      <c r="AI17" s="451"/>
      <c r="AJ17" s="449"/>
      <c r="AK17" s="450"/>
      <c r="AL17" s="451"/>
      <c r="AM17" s="452" t="s">
        <v>348</v>
      </c>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5"/>
    </row>
    <row r="18" spans="1:62" ht="30.75" customHeight="1">
      <c r="A18" s="464">
        <f t="shared" si="0"/>
        <v>4</v>
      </c>
      <c r="B18" s="465"/>
      <c r="C18" s="466"/>
      <c r="D18" s="484" t="s">
        <v>189</v>
      </c>
      <c r="E18" s="485"/>
      <c r="F18" s="485"/>
      <c r="G18" s="485"/>
      <c r="H18" s="485"/>
      <c r="I18" s="485"/>
      <c r="J18" s="485"/>
      <c r="K18" s="485"/>
      <c r="L18" s="485"/>
      <c r="M18" s="485"/>
      <c r="N18" s="485"/>
      <c r="O18" s="485"/>
      <c r="P18" s="485"/>
      <c r="Q18" s="485"/>
      <c r="R18" s="486"/>
      <c r="S18" s="449" t="s">
        <v>51</v>
      </c>
      <c r="T18" s="450"/>
      <c r="U18" s="451"/>
      <c r="V18" s="449" t="s">
        <v>175</v>
      </c>
      <c r="W18" s="632"/>
      <c r="X18" s="450" t="s">
        <v>50</v>
      </c>
      <c r="Y18" s="632"/>
      <c r="Z18" s="449" t="s">
        <v>59</v>
      </c>
      <c r="AA18" s="450"/>
      <c r="AB18" s="450"/>
      <c r="AC18" s="451"/>
      <c r="AD18" s="449"/>
      <c r="AE18" s="450"/>
      <c r="AF18" s="451"/>
      <c r="AG18" s="449"/>
      <c r="AH18" s="450"/>
      <c r="AI18" s="451"/>
      <c r="AJ18" s="449"/>
      <c r="AK18" s="450"/>
      <c r="AL18" s="451"/>
      <c r="AM18" s="452"/>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5"/>
    </row>
    <row r="19" spans="1:62" ht="30.75" customHeight="1">
      <c r="A19" s="464">
        <f t="shared" si="0"/>
        <v>5</v>
      </c>
      <c r="B19" s="465"/>
      <c r="C19" s="466"/>
      <c r="D19" s="484" t="s">
        <v>171</v>
      </c>
      <c r="E19" s="485"/>
      <c r="F19" s="485"/>
      <c r="G19" s="485"/>
      <c r="H19" s="485"/>
      <c r="I19" s="485"/>
      <c r="J19" s="485"/>
      <c r="K19" s="485"/>
      <c r="L19" s="485"/>
      <c r="M19" s="485"/>
      <c r="N19" s="485"/>
      <c r="O19" s="485"/>
      <c r="P19" s="485"/>
      <c r="Q19" s="485"/>
      <c r="R19" s="486"/>
      <c r="S19" s="449" t="s">
        <v>41</v>
      </c>
      <c r="T19" s="450"/>
      <c r="U19" s="451"/>
      <c r="V19" s="449" t="s">
        <v>210</v>
      </c>
      <c r="W19" s="632"/>
      <c r="X19" s="450" t="s">
        <v>210</v>
      </c>
      <c r="Y19" s="632"/>
      <c r="Z19" s="449" t="s">
        <v>549</v>
      </c>
      <c r="AA19" s="450"/>
      <c r="AB19" s="450"/>
      <c r="AC19" s="451"/>
      <c r="AD19" s="449"/>
      <c r="AE19" s="450"/>
      <c r="AF19" s="451"/>
      <c r="AG19" s="449"/>
      <c r="AH19" s="450"/>
      <c r="AI19" s="451"/>
      <c r="AJ19" s="449"/>
      <c r="AK19" s="450"/>
      <c r="AL19" s="451"/>
      <c r="AM19" s="452"/>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5"/>
    </row>
    <row r="20" spans="1:62" ht="30.75" customHeight="1">
      <c r="A20" s="464">
        <f>ROW()-14</f>
        <v>6</v>
      </c>
      <c r="B20" s="465"/>
      <c r="C20" s="466"/>
      <c r="D20" s="484" t="s">
        <v>181</v>
      </c>
      <c r="E20" s="485"/>
      <c r="F20" s="485"/>
      <c r="G20" s="485"/>
      <c r="H20" s="485"/>
      <c r="I20" s="485"/>
      <c r="J20" s="485"/>
      <c r="K20" s="485"/>
      <c r="L20" s="485"/>
      <c r="M20" s="485"/>
      <c r="N20" s="485"/>
      <c r="O20" s="485"/>
      <c r="P20" s="485"/>
      <c r="Q20" s="485"/>
      <c r="R20" s="486"/>
      <c r="S20" s="449"/>
      <c r="T20" s="450"/>
      <c r="U20" s="451"/>
      <c r="V20" s="453" t="s">
        <v>276</v>
      </c>
      <c r="W20" s="482"/>
      <c r="X20" s="467" t="s">
        <v>276</v>
      </c>
      <c r="Y20" s="455"/>
      <c r="Z20" s="453"/>
      <c r="AA20" s="454"/>
      <c r="AB20" s="454"/>
      <c r="AC20" s="455"/>
      <c r="AD20" s="453"/>
      <c r="AE20" s="454"/>
      <c r="AF20" s="455"/>
      <c r="AG20" s="453"/>
      <c r="AH20" s="454"/>
      <c r="AI20" s="455"/>
      <c r="AJ20" s="453"/>
      <c r="AK20" s="454"/>
      <c r="AL20" s="455"/>
      <c r="AM20" s="498"/>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64">
        <f>ROW()-14</f>
        <v>7</v>
      </c>
      <c r="B21" s="465"/>
      <c r="C21" s="466"/>
      <c r="D21" s="484" t="s">
        <v>36</v>
      </c>
      <c r="E21" s="485"/>
      <c r="F21" s="485"/>
      <c r="G21" s="485"/>
      <c r="H21" s="485"/>
      <c r="I21" s="485"/>
      <c r="J21" s="485"/>
      <c r="K21" s="485"/>
      <c r="L21" s="485"/>
      <c r="M21" s="485"/>
      <c r="N21" s="485"/>
      <c r="O21" s="485"/>
      <c r="P21" s="485"/>
      <c r="Q21" s="485"/>
      <c r="R21" s="486"/>
      <c r="S21" s="449" t="s">
        <v>41</v>
      </c>
      <c r="T21" s="450"/>
      <c r="U21" s="451"/>
      <c r="V21" s="453" t="s">
        <v>50</v>
      </c>
      <c r="W21" s="482"/>
      <c r="X21" s="467" t="s">
        <v>50</v>
      </c>
      <c r="Y21" s="455"/>
      <c r="Z21" s="469" t="s">
        <v>547</v>
      </c>
      <c r="AA21" s="450"/>
      <c r="AB21" s="450"/>
      <c r="AC21" s="451"/>
      <c r="AD21" s="453"/>
      <c r="AE21" s="454"/>
      <c r="AF21" s="455"/>
      <c r="AG21" s="453"/>
      <c r="AH21" s="454"/>
      <c r="AI21" s="455"/>
      <c r="AJ21" s="453"/>
      <c r="AK21" s="454"/>
      <c r="AL21" s="455"/>
      <c r="AM21" s="498" t="s">
        <v>328</v>
      </c>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6"/>
    </row>
    <row r="22" spans="1:62" ht="30.75" customHeight="1">
      <c r="A22" s="464">
        <f t="shared" ref="A22:A51" si="1">ROW()-14</f>
        <v>8</v>
      </c>
      <c r="B22" s="465"/>
      <c r="C22" s="466"/>
      <c r="D22" s="446" t="s">
        <v>208</v>
      </c>
      <c r="E22" s="447"/>
      <c r="F22" s="447"/>
      <c r="G22" s="447"/>
      <c r="H22" s="447"/>
      <c r="I22" s="447"/>
      <c r="J22" s="447"/>
      <c r="K22" s="447"/>
      <c r="L22" s="447"/>
      <c r="M22" s="447"/>
      <c r="N22" s="447"/>
      <c r="O22" s="447"/>
      <c r="P22" s="447"/>
      <c r="Q22" s="447"/>
      <c r="R22" s="448"/>
      <c r="S22" s="449" t="s">
        <v>120</v>
      </c>
      <c r="T22" s="450"/>
      <c r="U22" s="451"/>
      <c r="V22" s="449" t="s">
        <v>175</v>
      </c>
      <c r="W22" s="632"/>
      <c r="X22" s="468" t="s">
        <v>61</v>
      </c>
      <c r="Y22" s="451"/>
      <c r="Z22" s="227" t="s">
        <v>277</v>
      </c>
      <c r="AA22" s="225"/>
      <c r="AB22" s="225"/>
      <c r="AC22" s="226"/>
      <c r="AD22" s="449"/>
      <c r="AE22" s="450"/>
      <c r="AF22" s="451"/>
      <c r="AG22" s="449"/>
      <c r="AH22" s="450"/>
      <c r="AI22" s="451"/>
      <c r="AJ22" s="487"/>
      <c r="AK22" s="488"/>
      <c r="AL22" s="457"/>
      <c r="AM22" s="452" t="s">
        <v>212</v>
      </c>
      <c r="AN22" s="447"/>
      <c r="AO22" s="447"/>
      <c r="AP22" s="447"/>
      <c r="AQ22" s="447"/>
      <c r="AR22" s="447"/>
      <c r="AS22" s="447"/>
      <c r="AT22" s="447"/>
      <c r="AU22" s="447"/>
      <c r="AV22" s="447"/>
      <c r="AW22" s="447"/>
      <c r="AX22" s="447"/>
      <c r="AY22" s="447"/>
      <c r="AZ22" s="447"/>
      <c r="BA22" s="447"/>
      <c r="BB22" s="447"/>
      <c r="BC22" s="447"/>
      <c r="BD22" s="447"/>
      <c r="BE22" s="447"/>
      <c r="BF22" s="447"/>
      <c r="BG22" s="447"/>
      <c r="BH22" s="447"/>
      <c r="BI22" s="447"/>
      <c r="BJ22" s="448"/>
    </row>
    <row r="23" spans="1:62" ht="30.75" customHeight="1">
      <c r="A23" s="464">
        <f t="shared" si="1"/>
        <v>9</v>
      </c>
      <c r="B23" s="465"/>
      <c r="C23" s="466"/>
      <c r="D23" s="446" t="s">
        <v>113</v>
      </c>
      <c r="E23" s="447"/>
      <c r="F23" s="447"/>
      <c r="G23" s="447"/>
      <c r="H23" s="447"/>
      <c r="I23" s="447"/>
      <c r="J23" s="447"/>
      <c r="K23" s="447"/>
      <c r="L23" s="447"/>
      <c r="M23" s="447"/>
      <c r="N23" s="447"/>
      <c r="O23" s="447"/>
      <c r="P23" s="447"/>
      <c r="Q23" s="447"/>
      <c r="R23" s="448"/>
      <c r="S23" s="449" t="s">
        <v>41</v>
      </c>
      <c r="T23" s="450"/>
      <c r="U23" s="451"/>
      <c r="V23" s="449" t="s">
        <v>53</v>
      </c>
      <c r="W23" s="632"/>
      <c r="X23" s="468" t="s">
        <v>53</v>
      </c>
      <c r="Y23" s="451"/>
      <c r="Z23" s="152" t="s">
        <v>549</v>
      </c>
      <c r="AA23" s="154"/>
      <c r="AB23" s="154"/>
      <c r="AC23" s="153"/>
      <c r="AD23" s="487"/>
      <c r="AE23" s="488"/>
      <c r="AF23" s="457"/>
      <c r="AG23" s="487"/>
      <c r="AH23" s="488"/>
      <c r="AI23" s="457"/>
      <c r="AJ23" s="487"/>
      <c r="AK23" s="488"/>
      <c r="AL23" s="457"/>
      <c r="AM23" s="501" t="s">
        <v>329</v>
      </c>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ht="30.75" customHeight="1">
      <c r="A24" s="464">
        <f t="shared" si="1"/>
        <v>10</v>
      </c>
      <c r="B24" s="465"/>
      <c r="C24" s="466"/>
      <c r="D24" s="446" t="s">
        <v>115</v>
      </c>
      <c r="E24" s="447"/>
      <c r="F24" s="447"/>
      <c r="G24" s="447"/>
      <c r="H24" s="447"/>
      <c r="I24" s="447"/>
      <c r="J24" s="447"/>
      <c r="K24" s="447"/>
      <c r="L24" s="447"/>
      <c r="M24" s="447"/>
      <c r="N24" s="447"/>
      <c r="O24" s="447"/>
      <c r="P24" s="447"/>
      <c r="Q24" s="447"/>
      <c r="R24" s="448"/>
      <c r="S24" s="449" t="s">
        <v>120</v>
      </c>
      <c r="T24" s="450"/>
      <c r="U24" s="451"/>
      <c r="V24" s="449" t="s">
        <v>175</v>
      </c>
      <c r="W24" s="632"/>
      <c r="X24" s="468" t="s">
        <v>62</v>
      </c>
      <c r="Y24" s="451"/>
      <c r="Z24" s="227" t="s">
        <v>277</v>
      </c>
      <c r="AA24" s="225"/>
      <c r="AB24" s="225"/>
      <c r="AC24" s="226"/>
      <c r="AD24" s="449"/>
      <c r="AE24" s="450"/>
      <c r="AF24" s="451"/>
      <c r="AG24" s="449"/>
      <c r="AH24" s="450"/>
      <c r="AI24" s="451"/>
      <c r="AJ24" s="487"/>
      <c r="AK24" s="488"/>
      <c r="AL24" s="457"/>
      <c r="AM24" s="452" t="s">
        <v>214</v>
      </c>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8"/>
    </row>
    <row r="25" spans="1:62" ht="30.75" customHeight="1">
      <c r="A25" s="464">
        <f t="shared" si="1"/>
        <v>11</v>
      </c>
      <c r="B25" s="465"/>
      <c r="C25" s="466"/>
      <c r="D25" s="446" t="s">
        <v>114</v>
      </c>
      <c r="E25" s="447"/>
      <c r="F25" s="447"/>
      <c r="G25" s="447"/>
      <c r="H25" s="447"/>
      <c r="I25" s="447"/>
      <c r="J25" s="447"/>
      <c r="K25" s="447"/>
      <c r="L25" s="447"/>
      <c r="M25" s="447"/>
      <c r="N25" s="447"/>
      <c r="O25" s="447"/>
      <c r="P25" s="447"/>
      <c r="Q25" s="447"/>
      <c r="R25" s="448"/>
      <c r="S25" s="449" t="s">
        <v>41</v>
      </c>
      <c r="T25" s="450"/>
      <c r="U25" s="451"/>
      <c r="V25" s="445" t="s">
        <v>175</v>
      </c>
      <c r="W25" s="450"/>
      <c r="X25" s="483" t="s">
        <v>175</v>
      </c>
      <c r="Y25" s="451"/>
      <c r="Z25" s="469" t="s">
        <v>365</v>
      </c>
      <c r="AA25" s="470"/>
      <c r="AB25" s="470"/>
      <c r="AC25" s="471"/>
      <c r="AD25" s="449"/>
      <c r="AE25" s="450"/>
      <c r="AF25" s="451"/>
      <c r="AG25" s="449" t="s">
        <v>37</v>
      </c>
      <c r="AH25" s="450"/>
      <c r="AI25" s="451"/>
      <c r="AJ25" s="487"/>
      <c r="AK25" s="488"/>
      <c r="AL25" s="457"/>
      <c r="AM25" s="452" t="s">
        <v>364</v>
      </c>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62" ht="30.75" customHeight="1">
      <c r="A26" s="464">
        <f t="shared" si="1"/>
        <v>12</v>
      </c>
      <c r="B26" s="465"/>
      <c r="C26" s="466"/>
      <c r="D26" s="446" t="s">
        <v>294</v>
      </c>
      <c r="E26" s="447"/>
      <c r="F26" s="447"/>
      <c r="G26" s="447"/>
      <c r="H26" s="447"/>
      <c r="I26" s="447"/>
      <c r="J26" s="447"/>
      <c r="K26" s="447"/>
      <c r="L26" s="447"/>
      <c r="M26" s="447"/>
      <c r="N26" s="447"/>
      <c r="O26" s="447"/>
      <c r="P26" s="447"/>
      <c r="Q26" s="447"/>
      <c r="R26" s="448"/>
      <c r="S26" s="449" t="s">
        <v>41</v>
      </c>
      <c r="T26" s="450"/>
      <c r="U26" s="451"/>
      <c r="V26" s="449" t="s">
        <v>60</v>
      </c>
      <c r="W26" s="632"/>
      <c r="X26" s="468" t="s">
        <v>61</v>
      </c>
      <c r="Y26" s="451"/>
      <c r="Z26" s="449" t="s">
        <v>59</v>
      </c>
      <c r="AA26" s="450"/>
      <c r="AB26" s="450"/>
      <c r="AC26" s="451"/>
      <c r="AD26" s="449"/>
      <c r="AE26" s="450"/>
      <c r="AF26" s="451"/>
      <c r="AG26" s="449"/>
      <c r="AH26" s="450"/>
      <c r="AI26" s="451"/>
      <c r="AJ26" s="487"/>
      <c r="AK26" s="488"/>
      <c r="AL26" s="457"/>
      <c r="AM26" s="452" t="s">
        <v>297</v>
      </c>
      <c r="AN26" s="504"/>
      <c r="AO26" s="504"/>
      <c r="AP26" s="504"/>
      <c r="AQ26" s="504"/>
      <c r="AR26" s="504"/>
      <c r="AS26" s="504"/>
      <c r="AT26" s="504"/>
      <c r="AU26" s="504"/>
      <c r="AV26" s="504"/>
      <c r="AW26" s="504"/>
      <c r="AX26" s="504"/>
      <c r="AY26" s="504"/>
      <c r="AZ26" s="504"/>
      <c r="BA26" s="504"/>
      <c r="BB26" s="504"/>
      <c r="BC26" s="504"/>
      <c r="BD26" s="504"/>
      <c r="BE26" s="504"/>
      <c r="BF26" s="504"/>
      <c r="BG26" s="504"/>
      <c r="BH26" s="504"/>
      <c r="BI26" s="504"/>
      <c r="BJ26" s="505"/>
    </row>
    <row r="27" spans="1:62" ht="30.75" customHeight="1">
      <c r="A27" s="464">
        <f t="shared" si="1"/>
        <v>13</v>
      </c>
      <c r="B27" s="465"/>
      <c r="C27" s="466"/>
      <c r="D27" s="495" t="s">
        <v>375</v>
      </c>
      <c r="E27" s="496"/>
      <c r="F27" s="496"/>
      <c r="G27" s="496"/>
      <c r="H27" s="496"/>
      <c r="I27" s="496"/>
      <c r="J27" s="496"/>
      <c r="K27" s="496"/>
      <c r="L27" s="496"/>
      <c r="M27" s="496"/>
      <c r="N27" s="496"/>
      <c r="O27" s="496"/>
      <c r="P27" s="496"/>
      <c r="Q27" s="496"/>
      <c r="R27" s="497"/>
      <c r="S27" s="449" t="s">
        <v>41</v>
      </c>
      <c r="T27" s="450"/>
      <c r="U27" s="451"/>
      <c r="V27" s="449" t="s">
        <v>54</v>
      </c>
      <c r="W27" s="632"/>
      <c r="X27" s="468" t="s">
        <v>54</v>
      </c>
      <c r="Y27" s="451"/>
      <c r="Z27" s="449" t="s">
        <v>549</v>
      </c>
      <c r="AA27" s="450"/>
      <c r="AB27" s="450"/>
      <c r="AC27" s="451"/>
      <c r="AD27" s="449"/>
      <c r="AE27" s="450"/>
      <c r="AF27" s="451"/>
      <c r="AG27" s="449"/>
      <c r="AH27" s="450"/>
      <c r="AI27" s="451"/>
      <c r="AJ27" s="487"/>
      <c r="AK27" s="488"/>
      <c r="AL27" s="457"/>
      <c r="AM27" s="446" t="s">
        <v>241</v>
      </c>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8"/>
    </row>
    <row r="28" spans="1:62" ht="30.75" customHeight="1">
      <c r="A28" s="464">
        <f t="shared" si="1"/>
        <v>14</v>
      </c>
      <c r="B28" s="465"/>
      <c r="C28" s="466"/>
      <c r="D28" s="495" t="s">
        <v>376</v>
      </c>
      <c r="E28" s="496"/>
      <c r="F28" s="496"/>
      <c r="G28" s="496"/>
      <c r="H28" s="496"/>
      <c r="I28" s="496"/>
      <c r="J28" s="496"/>
      <c r="K28" s="496"/>
      <c r="L28" s="496"/>
      <c r="M28" s="496"/>
      <c r="N28" s="496"/>
      <c r="O28" s="496"/>
      <c r="P28" s="496"/>
      <c r="Q28" s="496"/>
      <c r="R28" s="497"/>
      <c r="S28" s="449" t="s">
        <v>120</v>
      </c>
      <c r="T28" s="450"/>
      <c r="U28" s="451"/>
      <c r="V28" s="445" t="s">
        <v>175</v>
      </c>
      <c r="W28" s="450"/>
      <c r="X28" s="468" t="s">
        <v>52</v>
      </c>
      <c r="Y28" s="451"/>
      <c r="Z28" s="227" t="s">
        <v>277</v>
      </c>
      <c r="AA28" s="225"/>
      <c r="AB28" s="225"/>
      <c r="AC28" s="226"/>
      <c r="AD28" s="449"/>
      <c r="AE28" s="450"/>
      <c r="AF28" s="451"/>
      <c r="AG28" s="449"/>
      <c r="AH28" s="450"/>
      <c r="AI28" s="451"/>
      <c r="AJ28" s="487"/>
      <c r="AK28" s="488"/>
      <c r="AL28" s="457"/>
      <c r="AM28" s="446" t="s">
        <v>217</v>
      </c>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8"/>
    </row>
    <row r="29" spans="1:62" ht="30.75" customHeight="1">
      <c r="A29" s="464">
        <f t="shared" si="1"/>
        <v>15</v>
      </c>
      <c r="B29" s="465"/>
      <c r="C29" s="466"/>
      <c r="D29" s="446" t="s">
        <v>57</v>
      </c>
      <c r="E29" s="447"/>
      <c r="F29" s="447"/>
      <c r="G29" s="447"/>
      <c r="H29" s="447"/>
      <c r="I29" s="447"/>
      <c r="J29" s="447"/>
      <c r="K29" s="447"/>
      <c r="L29" s="447"/>
      <c r="M29" s="447"/>
      <c r="N29" s="447"/>
      <c r="O29" s="447"/>
      <c r="P29" s="447"/>
      <c r="Q29" s="447"/>
      <c r="R29" s="448"/>
      <c r="S29" s="449" t="s">
        <v>41</v>
      </c>
      <c r="T29" s="450"/>
      <c r="U29" s="451"/>
      <c r="V29" s="449" t="s">
        <v>53</v>
      </c>
      <c r="W29" s="632"/>
      <c r="X29" s="468" t="s">
        <v>53</v>
      </c>
      <c r="Y29" s="451"/>
      <c r="Z29" s="449" t="s">
        <v>59</v>
      </c>
      <c r="AA29" s="450"/>
      <c r="AB29" s="450"/>
      <c r="AC29" s="451"/>
      <c r="AD29" s="449"/>
      <c r="AE29" s="450"/>
      <c r="AF29" s="451"/>
      <c r="AG29" s="449"/>
      <c r="AH29" s="450"/>
      <c r="AI29" s="451"/>
      <c r="AJ29" s="487"/>
      <c r="AK29" s="488"/>
      <c r="AL29" s="457"/>
      <c r="AM29" s="452" t="s">
        <v>242</v>
      </c>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2" ht="30.75" customHeight="1">
      <c r="A30" s="464">
        <f t="shared" si="1"/>
        <v>16</v>
      </c>
      <c r="B30" s="465"/>
      <c r="C30" s="466"/>
      <c r="D30" s="446" t="s">
        <v>377</v>
      </c>
      <c r="E30" s="447"/>
      <c r="F30" s="447"/>
      <c r="G30" s="447"/>
      <c r="H30" s="447"/>
      <c r="I30" s="447"/>
      <c r="J30" s="447"/>
      <c r="K30" s="447"/>
      <c r="L30" s="447"/>
      <c r="M30" s="447"/>
      <c r="N30" s="447"/>
      <c r="O30" s="447"/>
      <c r="P30" s="447"/>
      <c r="Q30" s="447"/>
      <c r="R30" s="448"/>
      <c r="S30" s="449" t="s">
        <v>41</v>
      </c>
      <c r="T30" s="450"/>
      <c r="U30" s="451"/>
      <c r="V30" s="449" t="s">
        <v>50</v>
      </c>
      <c r="W30" s="632"/>
      <c r="X30" s="468" t="s">
        <v>50</v>
      </c>
      <c r="Y30" s="451"/>
      <c r="Z30" s="449" t="s">
        <v>59</v>
      </c>
      <c r="AA30" s="450"/>
      <c r="AB30" s="450"/>
      <c r="AC30" s="451"/>
      <c r="AD30" s="449"/>
      <c r="AE30" s="450"/>
      <c r="AF30" s="451"/>
      <c r="AG30" s="449"/>
      <c r="AH30" s="450"/>
      <c r="AI30" s="451"/>
      <c r="AJ30" s="487"/>
      <c r="AK30" s="488"/>
      <c r="AL30" s="457"/>
      <c r="AM30" s="452" t="s">
        <v>243</v>
      </c>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8"/>
    </row>
    <row r="31" spans="1:62" ht="30.75" customHeight="1">
      <c r="A31" s="464">
        <f t="shared" si="1"/>
        <v>17</v>
      </c>
      <c r="B31" s="465"/>
      <c r="C31" s="466"/>
      <c r="D31" s="495" t="s">
        <v>137</v>
      </c>
      <c r="E31" s="496"/>
      <c r="F31" s="496"/>
      <c r="G31" s="496"/>
      <c r="H31" s="496"/>
      <c r="I31" s="496"/>
      <c r="J31" s="496"/>
      <c r="K31" s="496"/>
      <c r="L31" s="496"/>
      <c r="M31" s="496"/>
      <c r="N31" s="496"/>
      <c r="O31" s="496"/>
      <c r="P31" s="496"/>
      <c r="Q31" s="496"/>
      <c r="R31" s="497"/>
      <c r="S31" s="449" t="s">
        <v>41</v>
      </c>
      <c r="T31" s="450"/>
      <c r="U31" s="451"/>
      <c r="V31" s="449" t="s">
        <v>54</v>
      </c>
      <c r="W31" s="632"/>
      <c r="X31" s="468" t="s">
        <v>54</v>
      </c>
      <c r="Y31" s="451"/>
      <c r="Z31" s="449" t="s">
        <v>549</v>
      </c>
      <c r="AA31" s="450"/>
      <c r="AB31" s="450"/>
      <c r="AC31" s="451"/>
      <c r="AD31" s="449"/>
      <c r="AE31" s="450"/>
      <c r="AF31" s="451"/>
      <c r="AG31" s="449"/>
      <c r="AH31" s="450"/>
      <c r="AI31" s="451"/>
      <c r="AJ31" s="487"/>
      <c r="AK31" s="488"/>
      <c r="AL31" s="457"/>
      <c r="AM31" s="446" t="s">
        <v>241</v>
      </c>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8"/>
    </row>
    <row r="32" spans="1:62" ht="30.75" customHeight="1">
      <c r="A32" s="464">
        <f t="shared" si="1"/>
        <v>18</v>
      </c>
      <c r="B32" s="465"/>
      <c r="C32" s="466"/>
      <c r="D32" s="495" t="s">
        <v>138</v>
      </c>
      <c r="E32" s="496"/>
      <c r="F32" s="496"/>
      <c r="G32" s="496"/>
      <c r="H32" s="496"/>
      <c r="I32" s="496"/>
      <c r="J32" s="496"/>
      <c r="K32" s="496"/>
      <c r="L32" s="496"/>
      <c r="M32" s="496"/>
      <c r="N32" s="496"/>
      <c r="O32" s="496"/>
      <c r="P32" s="496"/>
      <c r="Q32" s="496"/>
      <c r="R32" s="497"/>
      <c r="S32" s="449" t="s">
        <v>120</v>
      </c>
      <c r="T32" s="450"/>
      <c r="U32" s="451"/>
      <c r="V32" s="445" t="s">
        <v>175</v>
      </c>
      <c r="W32" s="450"/>
      <c r="X32" s="468" t="s">
        <v>52</v>
      </c>
      <c r="Y32" s="451"/>
      <c r="Z32" s="227" t="s">
        <v>277</v>
      </c>
      <c r="AA32" s="225"/>
      <c r="AB32" s="225"/>
      <c r="AC32" s="226"/>
      <c r="AD32" s="449"/>
      <c r="AE32" s="450"/>
      <c r="AF32" s="451"/>
      <c r="AG32" s="449"/>
      <c r="AH32" s="450"/>
      <c r="AI32" s="451"/>
      <c r="AJ32" s="487"/>
      <c r="AK32" s="488"/>
      <c r="AL32" s="457"/>
      <c r="AM32" s="446" t="s">
        <v>244</v>
      </c>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8"/>
    </row>
    <row r="33" spans="1:62" ht="30.75" customHeight="1">
      <c r="A33" s="464">
        <f t="shared" si="1"/>
        <v>19</v>
      </c>
      <c r="B33" s="465"/>
      <c r="C33" s="466"/>
      <c r="D33" s="446" t="s">
        <v>139</v>
      </c>
      <c r="E33" s="447"/>
      <c r="F33" s="447"/>
      <c r="G33" s="447"/>
      <c r="H33" s="447"/>
      <c r="I33" s="447"/>
      <c r="J33" s="447"/>
      <c r="K33" s="447"/>
      <c r="L33" s="447"/>
      <c r="M33" s="447"/>
      <c r="N33" s="447"/>
      <c r="O33" s="447"/>
      <c r="P33" s="447"/>
      <c r="Q33" s="447"/>
      <c r="R33" s="448"/>
      <c r="S33" s="449" t="s">
        <v>41</v>
      </c>
      <c r="T33" s="450"/>
      <c r="U33" s="451"/>
      <c r="V33" s="449" t="s">
        <v>50</v>
      </c>
      <c r="W33" s="632"/>
      <c r="X33" s="468" t="s">
        <v>50</v>
      </c>
      <c r="Y33" s="451"/>
      <c r="Z33" s="449" t="s">
        <v>59</v>
      </c>
      <c r="AA33" s="450"/>
      <c r="AB33" s="450"/>
      <c r="AC33" s="451"/>
      <c r="AD33" s="449"/>
      <c r="AE33" s="450"/>
      <c r="AF33" s="451"/>
      <c r="AG33" s="449"/>
      <c r="AH33" s="450"/>
      <c r="AI33" s="451"/>
      <c r="AJ33" s="487"/>
      <c r="AK33" s="488"/>
      <c r="AL33" s="457"/>
      <c r="AM33" s="452" t="s">
        <v>243</v>
      </c>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8"/>
    </row>
    <row r="34" spans="1:62" ht="30.75" customHeight="1">
      <c r="A34" s="464">
        <f t="shared" si="1"/>
        <v>20</v>
      </c>
      <c r="B34" s="465"/>
      <c r="C34" s="466"/>
      <c r="D34" s="495" t="s">
        <v>140</v>
      </c>
      <c r="E34" s="496"/>
      <c r="F34" s="496"/>
      <c r="G34" s="496"/>
      <c r="H34" s="496"/>
      <c r="I34" s="496"/>
      <c r="J34" s="496"/>
      <c r="K34" s="496"/>
      <c r="L34" s="496"/>
      <c r="M34" s="496"/>
      <c r="N34" s="496"/>
      <c r="O34" s="496"/>
      <c r="P34" s="496"/>
      <c r="Q34" s="496"/>
      <c r="R34" s="497"/>
      <c r="S34" s="449" t="s">
        <v>41</v>
      </c>
      <c r="T34" s="450"/>
      <c r="U34" s="451"/>
      <c r="V34" s="449" t="s">
        <v>54</v>
      </c>
      <c r="W34" s="632"/>
      <c r="X34" s="468" t="s">
        <v>54</v>
      </c>
      <c r="Y34" s="451"/>
      <c r="Z34" s="449" t="s">
        <v>549</v>
      </c>
      <c r="AA34" s="450"/>
      <c r="AB34" s="450"/>
      <c r="AC34" s="451"/>
      <c r="AD34" s="449"/>
      <c r="AE34" s="450"/>
      <c r="AF34" s="451"/>
      <c r="AG34" s="449"/>
      <c r="AH34" s="450"/>
      <c r="AI34" s="451"/>
      <c r="AJ34" s="487"/>
      <c r="AK34" s="488"/>
      <c r="AL34" s="457"/>
      <c r="AM34" s="446" t="s">
        <v>241</v>
      </c>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8"/>
    </row>
    <row r="35" spans="1:62" ht="30.75" customHeight="1">
      <c r="A35" s="464">
        <f t="shared" si="1"/>
        <v>21</v>
      </c>
      <c r="B35" s="465"/>
      <c r="C35" s="466"/>
      <c r="D35" s="495" t="s">
        <v>141</v>
      </c>
      <c r="E35" s="496"/>
      <c r="F35" s="496"/>
      <c r="G35" s="496"/>
      <c r="H35" s="496"/>
      <c r="I35" s="496"/>
      <c r="J35" s="496"/>
      <c r="K35" s="496"/>
      <c r="L35" s="496"/>
      <c r="M35" s="496"/>
      <c r="N35" s="496"/>
      <c r="O35" s="496"/>
      <c r="P35" s="496"/>
      <c r="Q35" s="496"/>
      <c r="R35" s="497"/>
      <c r="S35" s="449" t="s">
        <v>120</v>
      </c>
      <c r="T35" s="450"/>
      <c r="U35" s="451"/>
      <c r="V35" s="445" t="s">
        <v>175</v>
      </c>
      <c r="W35" s="450"/>
      <c r="X35" s="468" t="s">
        <v>52</v>
      </c>
      <c r="Y35" s="451"/>
      <c r="Z35" s="227" t="s">
        <v>277</v>
      </c>
      <c r="AA35" s="225"/>
      <c r="AB35" s="225"/>
      <c r="AC35" s="226"/>
      <c r="AD35" s="449"/>
      <c r="AE35" s="450"/>
      <c r="AF35" s="451"/>
      <c r="AG35" s="449"/>
      <c r="AH35" s="450"/>
      <c r="AI35" s="451"/>
      <c r="AJ35" s="487"/>
      <c r="AK35" s="488"/>
      <c r="AL35" s="457"/>
      <c r="AM35" s="446" t="s">
        <v>245</v>
      </c>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8"/>
    </row>
    <row r="36" spans="1:62" ht="30.75" customHeight="1">
      <c r="A36" s="464">
        <f t="shared" si="1"/>
        <v>22</v>
      </c>
      <c r="B36" s="465"/>
      <c r="C36" s="466"/>
      <c r="D36" s="446" t="s">
        <v>142</v>
      </c>
      <c r="E36" s="447"/>
      <c r="F36" s="447"/>
      <c r="G36" s="447"/>
      <c r="H36" s="447"/>
      <c r="I36" s="447"/>
      <c r="J36" s="447"/>
      <c r="K36" s="447"/>
      <c r="L36" s="447"/>
      <c r="M36" s="447"/>
      <c r="N36" s="447"/>
      <c r="O36" s="447"/>
      <c r="P36" s="447"/>
      <c r="Q36" s="447"/>
      <c r="R36" s="448"/>
      <c r="S36" s="449" t="s">
        <v>41</v>
      </c>
      <c r="T36" s="450"/>
      <c r="U36" s="451"/>
      <c r="V36" s="449" t="s">
        <v>50</v>
      </c>
      <c r="W36" s="632"/>
      <c r="X36" s="468" t="s">
        <v>50</v>
      </c>
      <c r="Y36" s="451"/>
      <c r="Z36" s="449" t="s">
        <v>59</v>
      </c>
      <c r="AA36" s="450"/>
      <c r="AB36" s="450"/>
      <c r="AC36" s="451"/>
      <c r="AD36" s="449"/>
      <c r="AE36" s="450"/>
      <c r="AF36" s="451"/>
      <c r="AG36" s="449"/>
      <c r="AH36" s="450"/>
      <c r="AI36" s="451"/>
      <c r="AJ36" s="487"/>
      <c r="AK36" s="488"/>
      <c r="AL36" s="457"/>
      <c r="AM36" s="452" t="s">
        <v>243</v>
      </c>
      <c r="AN36" s="447"/>
      <c r="AO36" s="447"/>
      <c r="AP36" s="447"/>
      <c r="AQ36" s="447"/>
      <c r="AR36" s="447"/>
      <c r="AS36" s="447"/>
      <c r="AT36" s="447"/>
      <c r="AU36" s="447"/>
      <c r="AV36" s="447"/>
      <c r="AW36" s="447"/>
      <c r="AX36" s="447"/>
      <c r="AY36" s="447"/>
      <c r="AZ36" s="447"/>
      <c r="BA36" s="447"/>
      <c r="BB36" s="447"/>
      <c r="BC36" s="447"/>
      <c r="BD36" s="447"/>
      <c r="BE36" s="447"/>
      <c r="BF36" s="447"/>
      <c r="BG36" s="447"/>
      <c r="BH36" s="447"/>
      <c r="BI36" s="447"/>
      <c r="BJ36" s="448"/>
    </row>
    <row r="37" spans="1:62" ht="30.75" customHeight="1">
      <c r="A37" s="464">
        <f t="shared" si="1"/>
        <v>23</v>
      </c>
      <c r="B37" s="465"/>
      <c r="C37" s="466"/>
      <c r="D37" s="476" t="s">
        <v>190</v>
      </c>
      <c r="E37" s="477"/>
      <c r="F37" s="477"/>
      <c r="G37" s="477"/>
      <c r="H37" s="477"/>
      <c r="I37" s="477"/>
      <c r="J37" s="477"/>
      <c r="K37" s="477"/>
      <c r="L37" s="477"/>
      <c r="M37" s="477"/>
      <c r="N37" s="477"/>
      <c r="O37" s="477"/>
      <c r="P37" s="477"/>
      <c r="Q37" s="477"/>
      <c r="R37" s="478"/>
      <c r="S37" s="453"/>
      <c r="T37" s="454"/>
      <c r="U37" s="455"/>
      <c r="V37" s="453" t="s">
        <v>276</v>
      </c>
      <c r="W37" s="482"/>
      <c r="X37" s="467" t="s">
        <v>276</v>
      </c>
      <c r="Y37" s="455"/>
      <c r="Z37" s="453"/>
      <c r="AA37" s="454"/>
      <c r="AB37" s="454"/>
      <c r="AC37" s="455"/>
      <c r="AD37" s="453"/>
      <c r="AE37" s="454"/>
      <c r="AF37" s="455"/>
      <c r="AG37" s="453"/>
      <c r="AH37" s="454"/>
      <c r="AI37" s="455"/>
      <c r="AJ37" s="453"/>
      <c r="AK37" s="454"/>
      <c r="AL37" s="455"/>
      <c r="AM37" s="484"/>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30.75" customHeight="1">
      <c r="A38" s="464">
        <f t="shared" si="1"/>
        <v>24</v>
      </c>
      <c r="B38" s="465"/>
      <c r="C38" s="466"/>
      <c r="D38" s="567" t="s">
        <v>191</v>
      </c>
      <c r="E38" s="568"/>
      <c r="F38" s="568"/>
      <c r="G38" s="568"/>
      <c r="H38" s="568"/>
      <c r="I38" s="568"/>
      <c r="J38" s="568"/>
      <c r="K38" s="568"/>
      <c r="L38" s="568"/>
      <c r="M38" s="568"/>
      <c r="N38" s="568"/>
      <c r="O38" s="568"/>
      <c r="P38" s="568"/>
      <c r="Q38" s="568"/>
      <c r="R38" s="569"/>
      <c r="S38" s="449" t="s">
        <v>120</v>
      </c>
      <c r="T38" s="450"/>
      <c r="U38" s="451"/>
      <c r="V38" s="445" t="s">
        <v>175</v>
      </c>
      <c r="W38" s="450"/>
      <c r="X38" s="468" t="s">
        <v>61</v>
      </c>
      <c r="Y38" s="451"/>
      <c r="Z38" s="449" t="s">
        <v>59</v>
      </c>
      <c r="AA38" s="450"/>
      <c r="AB38" s="450"/>
      <c r="AC38" s="451"/>
      <c r="AD38" s="449"/>
      <c r="AE38" s="450"/>
      <c r="AF38" s="451"/>
      <c r="AG38" s="449"/>
      <c r="AH38" s="450"/>
      <c r="AI38" s="451"/>
      <c r="AJ38" s="449"/>
      <c r="AK38" s="450"/>
      <c r="AL38" s="451"/>
      <c r="AM38" s="452" t="s">
        <v>221</v>
      </c>
      <c r="AN38" s="504"/>
      <c r="AO38" s="504"/>
      <c r="AP38" s="504"/>
      <c r="AQ38" s="504"/>
      <c r="AR38" s="504"/>
      <c r="AS38" s="504"/>
      <c r="AT38" s="504"/>
      <c r="AU38" s="504"/>
      <c r="AV38" s="504"/>
      <c r="AW38" s="504"/>
      <c r="AX38" s="504"/>
      <c r="AY38" s="504"/>
      <c r="AZ38" s="504"/>
      <c r="BA38" s="504"/>
      <c r="BB38" s="504"/>
      <c r="BC38" s="504"/>
      <c r="BD38" s="504"/>
      <c r="BE38" s="504"/>
      <c r="BF38" s="504"/>
      <c r="BG38" s="504"/>
      <c r="BH38" s="504"/>
      <c r="BI38" s="504"/>
      <c r="BJ38" s="505"/>
    </row>
    <row r="39" spans="1:62" ht="30.75" customHeight="1">
      <c r="A39" s="464">
        <f t="shared" si="1"/>
        <v>25</v>
      </c>
      <c r="B39" s="465"/>
      <c r="C39" s="466"/>
      <c r="D39" s="567" t="s">
        <v>192</v>
      </c>
      <c r="E39" s="568"/>
      <c r="F39" s="568"/>
      <c r="G39" s="568"/>
      <c r="H39" s="568"/>
      <c r="I39" s="568"/>
      <c r="J39" s="568"/>
      <c r="K39" s="568"/>
      <c r="L39" s="568"/>
      <c r="M39" s="568"/>
      <c r="N39" s="568"/>
      <c r="O39" s="568"/>
      <c r="P39" s="568"/>
      <c r="Q39" s="568"/>
      <c r="R39" s="569"/>
      <c r="S39" s="449" t="s">
        <v>51</v>
      </c>
      <c r="T39" s="450"/>
      <c r="U39" s="451"/>
      <c r="V39" s="445" t="s">
        <v>175</v>
      </c>
      <c r="W39" s="450"/>
      <c r="X39" s="468" t="s">
        <v>401</v>
      </c>
      <c r="Y39" s="451"/>
      <c r="Z39" s="449" t="s">
        <v>59</v>
      </c>
      <c r="AA39" s="450"/>
      <c r="AB39" s="450"/>
      <c r="AC39" s="451"/>
      <c r="AD39" s="449" t="s">
        <v>368</v>
      </c>
      <c r="AE39" s="450"/>
      <c r="AF39" s="451"/>
      <c r="AG39" s="449"/>
      <c r="AH39" s="450"/>
      <c r="AI39" s="451"/>
      <c r="AJ39" s="449"/>
      <c r="AK39" s="450"/>
      <c r="AL39" s="451"/>
      <c r="AM39" s="452" t="s">
        <v>222</v>
      </c>
      <c r="AN39" s="504"/>
      <c r="AO39" s="504"/>
      <c r="AP39" s="504"/>
      <c r="AQ39" s="504"/>
      <c r="AR39" s="504"/>
      <c r="AS39" s="504"/>
      <c r="AT39" s="504"/>
      <c r="AU39" s="504"/>
      <c r="AV39" s="504"/>
      <c r="AW39" s="504"/>
      <c r="AX39" s="504"/>
      <c r="AY39" s="504"/>
      <c r="AZ39" s="504"/>
      <c r="BA39" s="504"/>
      <c r="BB39" s="504"/>
      <c r="BC39" s="504"/>
      <c r="BD39" s="504"/>
      <c r="BE39" s="504"/>
      <c r="BF39" s="504"/>
      <c r="BG39" s="504"/>
      <c r="BH39" s="504"/>
      <c r="BI39" s="504"/>
      <c r="BJ39" s="505"/>
    </row>
    <row r="40" spans="1:62" ht="30.75" customHeight="1">
      <c r="A40" s="464">
        <f t="shared" si="1"/>
        <v>26</v>
      </c>
      <c r="B40" s="465"/>
      <c r="C40" s="466"/>
      <c r="D40" s="567" t="s">
        <v>193</v>
      </c>
      <c r="E40" s="568"/>
      <c r="F40" s="568"/>
      <c r="G40" s="568"/>
      <c r="H40" s="568"/>
      <c r="I40" s="568"/>
      <c r="J40" s="568"/>
      <c r="K40" s="568"/>
      <c r="L40" s="568"/>
      <c r="M40" s="568"/>
      <c r="N40" s="568"/>
      <c r="O40" s="568"/>
      <c r="P40" s="568"/>
      <c r="Q40" s="568"/>
      <c r="R40" s="569"/>
      <c r="S40" s="449" t="s">
        <v>51</v>
      </c>
      <c r="T40" s="450"/>
      <c r="U40" s="451"/>
      <c r="V40" s="445" t="s">
        <v>175</v>
      </c>
      <c r="W40" s="450"/>
      <c r="X40" s="468" t="s">
        <v>401</v>
      </c>
      <c r="Y40" s="451"/>
      <c r="Z40" s="449" t="s">
        <v>59</v>
      </c>
      <c r="AA40" s="450"/>
      <c r="AB40" s="450"/>
      <c r="AC40" s="451"/>
      <c r="AD40" s="449" t="s">
        <v>368</v>
      </c>
      <c r="AE40" s="450"/>
      <c r="AF40" s="451"/>
      <c r="AG40" s="449"/>
      <c r="AH40" s="450"/>
      <c r="AI40" s="451"/>
      <c r="AJ40" s="449"/>
      <c r="AK40" s="450"/>
      <c r="AL40" s="451"/>
      <c r="AM40" s="452" t="s">
        <v>223</v>
      </c>
      <c r="AN40" s="504"/>
      <c r="AO40" s="504"/>
      <c r="AP40" s="504"/>
      <c r="AQ40" s="504"/>
      <c r="AR40" s="504"/>
      <c r="AS40" s="504"/>
      <c r="AT40" s="504"/>
      <c r="AU40" s="504"/>
      <c r="AV40" s="504"/>
      <c r="AW40" s="504"/>
      <c r="AX40" s="504"/>
      <c r="AY40" s="504"/>
      <c r="AZ40" s="504"/>
      <c r="BA40" s="504"/>
      <c r="BB40" s="504"/>
      <c r="BC40" s="504"/>
      <c r="BD40" s="504"/>
      <c r="BE40" s="504"/>
      <c r="BF40" s="504"/>
      <c r="BG40" s="504"/>
      <c r="BH40" s="504"/>
      <c r="BI40" s="504"/>
      <c r="BJ40" s="505"/>
    </row>
    <row r="41" spans="1:62" ht="30.75" customHeight="1">
      <c r="A41" s="464">
        <f t="shared" si="1"/>
        <v>27</v>
      </c>
      <c r="B41" s="465"/>
      <c r="C41" s="466"/>
      <c r="D41" s="567" t="s">
        <v>194</v>
      </c>
      <c r="E41" s="568"/>
      <c r="F41" s="568"/>
      <c r="G41" s="568"/>
      <c r="H41" s="568"/>
      <c r="I41" s="568"/>
      <c r="J41" s="568"/>
      <c r="K41" s="568"/>
      <c r="L41" s="568"/>
      <c r="M41" s="568"/>
      <c r="N41" s="568"/>
      <c r="O41" s="568"/>
      <c r="P41" s="568"/>
      <c r="Q41" s="568"/>
      <c r="R41" s="569"/>
      <c r="S41" s="449" t="s">
        <v>51</v>
      </c>
      <c r="T41" s="450"/>
      <c r="U41" s="451"/>
      <c r="V41" s="445" t="s">
        <v>175</v>
      </c>
      <c r="W41" s="450"/>
      <c r="X41" s="468" t="s">
        <v>401</v>
      </c>
      <c r="Y41" s="451"/>
      <c r="Z41" s="449" t="s">
        <v>59</v>
      </c>
      <c r="AA41" s="450"/>
      <c r="AB41" s="450"/>
      <c r="AC41" s="451"/>
      <c r="AD41" s="449" t="s">
        <v>368</v>
      </c>
      <c r="AE41" s="450"/>
      <c r="AF41" s="451"/>
      <c r="AG41" s="449"/>
      <c r="AH41" s="450"/>
      <c r="AI41" s="451"/>
      <c r="AJ41" s="449"/>
      <c r="AK41" s="450"/>
      <c r="AL41" s="451"/>
      <c r="AM41" s="452" t="s">
        <v>224</v>
      </c>
      <c r="AN41" s="504"/>
      <c r="AO41" s="504"/>
      <c r="AP41" s="504"/>
      <c r="AQ41" s="504"/>
      <c r="AR41" s="504"/>
      <c r="AS41" s="504"/>
      <c r="AT41" s="504"/>
      <c r="AU41" s="504"/>
      <c r="AV41" s="504"/>
      <c r="AW41" s="504"/>
      <c r="AX41" s="504"/>
      <c r="AY41" s="504"/>
      <c r="AZ41" s="504"/>
      <c r="BA41" s="504"/>
      <c r="BB41" s="504"/>
      <c r="BC41" s="504"/>
      <c r="BD41" s="504"/>
      <c r="BE41" s="504"/>
      <c r="BF41" s="504"/>
      <c r="BG41" s="504"/>
      <c r="BH41" s="504"/>
      <c r="BI41" s="504"/>
      <c r="BJ41" s="505"/>
    </row>
    <row r="42" spans="1:62" ht="30.75" customHeight="1">
      <c r="A42" s="464">
        <f t="shared" si="1"/>
        <v>28</v>
      </c>
      <c r="B42" s="465"/>
      <c r="C42" s="466"/>
      <c r="D42" s="567" t="s">
        <v>195</v>
      </c>
      <c r="E42" s="568"/>
      <c r="F42" s="568"/>
      <c r="G42" s="568"/>
      <c r="H42" s="568"/>
      <c r="I42" s="568"/>
      <c r="J42" s="568"/>
      <c r="K42" s="568"/>
      <c r="L42" s="568"/>
      <c r="M42" s="568"/>
      <c r="N42" s="568"/>
      <c r="O42" s="568"/>
      <c r="P42" s="568"/>
      <c r="Q42" s="568"/>
      <c r="R42" s="569"/>
      <c r="S42" s="449" t="s">
        <v>51</v>
      </c>
      <c r="T42" s="450"/>
      <c r="U42" s="451"/>
      <c r="V42" s="445" t="s">
        <v>175</v>
      </c>
      <c r="W42" s="450"/>
      <c r="X42" s="468" t="s">
        <v>401</v>
      </c>
      <c r="Y42" s="451"/>
      <c r="Z42" s="449" t="s">
        <v>59</v>
      </c>
      <c r="AA42" s="450"/>
      <c r="AB42" s="450"/>
      <c r="AC42" s="451"/>
      <c r="AD42" s="449" t="s">
        <v>368</v>
      </c>
      <c r="AE42" s="450"/>
      <c r="AF42" s="451"/>
      <c r="AG42" s="449"/>
      <c r="AH42" s="450"/>
      <c r="AI42" s="451"/>
      <c r="AJ42" s="449"/>
      <c r="AK42" s="450"/>
      <c r="AL42" s="451"/>
      <c r="AM42" s="452" t="s">
        <v>225</v>
      </c>
      <c r="AN42" s="504"/>
      <c r="AO42" s="504"/>
      <c r="AP42" s="504"/>
      <c r="AQ42" s="504"/>
      <c r="AR42" s="504"/>
      <c r="AS42" s="504"/>
      <c r="AT42" s="504"/>
      <c r="AU42" s="504"/>
      <c r="AV42" s="504"/>
      <c r="AW42" s="504"/>
      <c r="AX42" s="504"/>
      <c r="AY42" s="504"/>
      <c r="AZ42" s="504"/>
      <c r="BA42" s="504"/>
      <c r="BB42" s="504"/>
      <c r="BC42" s="504"/>
      <c r="BD42" s="504"/>
      <c r="BE42" s="504"/>
      <c r="BF42" s="504"/>
      <c r="BG42" s="504"/>
      <c r="BH42" s="504"/>
      <c r="BI42" s="504"/>
      <c r="BJ42" s="505"/>
    </row>
    <row r="43" spans="1:62" ht="30.75" customHeight="1">
      <c r="A43" s="464">
        <f t="shared" si="1"/>
        <v>29</v>
      </c>
      <c r="B43" s="465"/>
      <c r="C43" s="466"/>
      <c r="D43" s="567" t="s">
        <v>196</v>
      </c>
      <c r="E43" s="568"/>
      <c r="F43" s="568"/>
      <c r="G43" s="568"/>
      <c r="H43" s="568"/>
      <c r="I43" s="568"/>
      <c r="J43" s="568"/>
      <c r="K43" s="568"/>
      <c r="L43" s="568"/>
      <c r="M43" s="568"/>
      <c r="N43" s="568"/>
      <c r="O43" s="568"/>
      <c r="P43" s="568"/>
      <c r="Q43" s="568"/>
      <c r="R43" s="569"/>
      <c r="S43" s="449" t="s">
        <v>51</v>
      </c>
      <c r="T43" s="450"/>
      <c r="U43" s="451"/>
      <c r="V43" s="445" t="s">
        <v>175</v>
      </c>
      <c r="W43" s="450"/>
      <c r="X43" s="468" t="s">
        <v>401</v>
      </c>
      <c r="Y43" s="451"/>
      <c r="Z43" s="449" t="s">
        <v>59</v>
      </c>
      <c r="AA43" s="450"/>
      <c r="AB43" s="450"/>
      <c r="AC43" s="451"/>
      <c r="AD43" s="449" t="s">
        <v>368</v>
      </c>
      <c r="AE43" s="450"/>
      <c r="AF43" s="451"/>
      <c r="AG43" s="449"/>
      <c r="AH43" s="450"/>
      <c r="AI43" s="451"/>
      <c r="AJ43" s="449"/>
      <c r="AK43" s="450"/>
      <c r="AL43" s="451"/>
      <c r="AM43" s="452" t="s">
        <v>227</v>
      </c>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5"/>
    </row>
    <row r="44" spans="1:62" ht="30.75" customHeight="1">
      <c r="A44" s="464">
        <f t="shared" si="1"/>
        <v>30</v>
      </c>
      <c r="B44" s="465"/>
      <c r="C44" s="466"/>
      <c r="D44" s="567" t="s">
        <v>197</v>
      </c>
      <c r="E44" s="568"/>
      <c r="F44" s="568"/>
      <c r="G44" s="568"/>
      <c r="H44" s="568"/>
      <c r="I44" s="568"/>
      <c r="J44" s="568"/>
      <c r="K44" s="568"/>
      <c r="L44" s="568"/>
      <c r="M44" s="568"/>
      <c r="N44" s="568"/>
      <c r="O44" s="568"/>
      <c r="P44" s="568"/>
      <c r="Q44" s="568"/>
      <c r="R44" s="569"/>
      <c r="S44" s="449" t="s">
        <v>51</v>
      </c>
      <c r="T44" s="450"/>
      <c r="U44" s="451"/>
      <c r="V44" s="445" t="s">
        <v>175</v>
      </c>
      <c r="W44" s="450"/>
      <c r="X44" s="468" t="s">
        <v>401</v>
      </c>
      <c r="Y44" s="451"/>
      <c r="Z44" s="449" t="s">
        <v>59</v>
      </c>
      <c r="AA44" s="450"/>
      <c r="AB44" s="450"/>
      <c r="AC44" s="451"/>
      <c r="AD44" s="449" t="s">
        <v>368</v>
      </c>
      <c r="AE44" s="450"/>
      <c r="AF44" s="451"/>
      <c r="AG44" s="449"/>
      <c r="AH44" s="450"/>
      <c r="AI44" s="451"/>
      <c r="AJ44" s="449"/>
      <c r="AK44" s="450"/>
      <c r="AL44" s="451"/>
      <c r="AM44" s="452" t="s">
        <v>226</v>
      </c>
      <c r="AN44" s="504"/>
      <c r="AO44" s="504"/>
      <c r="AP44" s="504"/>
      <c r="AQ44" s="504"/>
      <c r="AR44" s="504"/>
      <c r="AS44" s="504"/>
      <c r="AT44" s="504"/>
      <c r="AU44" s="504"/>
      <c r="AV44" s="504"/>
      <c r="AW44" s="504"/>
      <c r="AX44" s="504"/>
      <c r="AY44" s="504"/>
      <c r="AZ44" s="504"/>
      <c r="BA44" s="504"/>
      <c r="BB44" s="504"/>
      <c r="BC44" s="504"/>
      <c r="BD44" s="504"/>
      <c r="BE44" s="504"/>
      <c r="BF44" s="504"/>
      <c r="BG44" s="504"/>
      <c r="BH44" s="504"/>
      <c r="BI44" s="504"/>
      <c r="BJ44" s="505"/>
    </row>
    <row r="45" spans="1:62" ht="30.75" customHeight="1">
      <c r="A45" s="464">
        <f t="shared" si="1"/>
        <v>31</v>
      </c>
      <c r="B45" s="465"/>
      <c r="C45" s="466"/>
      <c r="D45" s="567" t="s">
        <v>198</v>
      </c>
      <c r="E45" s="568"/>
      <c r="F45" s="568"/>
      <c r="G45" s="568"/>
      <c r="H45" s="568"/>
      <c r="I45" s="568"/>
      <c r="J45" s="568"/>
      <c r="K45" s="568"/>
      <c r="L45" s="568"/>
      <c r="M45" s="568"/>
      <c r="N45" s="568"/>
      <c r="O45" s="568"/>
      <c r="P45" s="568"/>
      <c r="Q45" s="568"/>
      <c r="R45" s="569"/>
      <c r="S45" s="449" t="s">
        <v>51</v>
      </c>
      <c r="T45" s="450"/>
      <c r="U45" s="451"/>
      <c r="V45" s="445" t="s">
        <v>175</v>
      </c>
      <c r="W45" s="450"/>
      <c r="X45" s="468" t="s">
        <v>401</v>
      </c>
      <c r="Y45" s="451"/>
      <c r="Z45" s="449" t="s">
        <v>59</v>
      </c>
      <c r="AA45" s="450"/>
      <c r="AB45" s="450"/>
      <c r="AC45" s="451"/>
      <c r="AD45" s="449" t="s">
        <v>368</v>
      </c>
      <c r="AE45" s="450"/>
      <c r="AF45" s="451"/>
      <c r="AG45" s="449"/>
      <c r="AH45" s="450"/>
      <c r="AI45" s="451"/>
      <c r="AJ45" s="449"/>
      <c r="AK45" s="450"/>
      <c r="AL45" s="451"/>
      <c r="AM45" s="452" t="s">
        <v>228</v>
      </c>
      <c r="AN45" s="504"/>
      <c r="AO45" s="504"/>
      <c r="AP45" s="504"/>
      <c r="AQ45" s="504"/>
      <c r="AR45" s="504"/>
      <c r="AS45" s="504"/>
      <c r="AT45" s="504"/>
      <c r="AU45" s="504"/>
      <c r="AV45" s="504"/>
      <c r="AW45" s="504"/>
      <c r="AX45" s="504"/>
      <c r="AY45" s="504"/>
      <c r="AZ45" s="504"/>
      <c r="BA45" s="504"/>
      <c r="BB45" s="504"/>
      <c r="BC45" s="504"/>
      <c r="BD45" s="504"/>
      <c r="BE45" s="504"/>
      <c r="BF45" s="504"/>
      <c r="BG45" s="504"/>
      <c r="BH45" s="504"/>
      <c r="BI45" s="504"/>
      <c r="BJ45" s="505"/>
    </row>
    <row r="46" spans="1:62" ht="30.75" customHeight="1">
      <c r="A46" s="464">
        <f t="shared" si="1"/>
        <v>32</v>
      </c>
      <c r="B46" s="465"/>
      <c r="C46" s="466"/>
      <c r="D46" s="567" t="s">
        <v>199</v>
      </c>
      <c r="E46" s="568"/>
      <c r="F46" s="568"/>
      <c r="G46" s="568"/>
      <c r="H46" s="568"/>
      <c r="I46" s="568"/>
      <c r="J46" s="568"/>
      <c r="K46" s="568"/>
      <c r="L46" s="568"/>
      <c r="M46" s="568"/>
      <c r="N46" s="568"/>
      <c r="O46" s="568"/>
      <c r="P46" s="568"/>
      <c r="Q46" s="568"/>
      <c r="R46" s="569"/>
      <c r="S46" s="449" t="s">
        <v>51</v>
      </c>
      <c r="T46" s="450"/>
      <c r="U46" s="451"/>
      <c r="V46" s="445" t="s">
        <v>175</v>
      </c>
      <c r="W46" s="450"/>
      <c r="X46" s="468" t="s">
        <v>401</v>
      </c>
      <c r="Y46" s="451"/>
      <c r="Z46" s="449" t="s">
        <v>59</v>
      </c>
      <c r="AA46" s="450"/>
      <c r="AB46" s="450"/>
      <c r="AC46" s="451"/>
      <c r="AD46" s="449" t="s">
        <v>368</v>
      </c>
      <c r="AE46" s="450"/>
      <c r="AF46" s="451"/>
      <c r="AG46" s="449"/>
      <c r="AH46" s="450"/>
      <c r="AI46" s="451"/>
      <c r="AJ46" s="449"/>
      <c r="AK46" s="450"/>
      <c r="AL46" s="451"/>
      <c r="AM46" s="452" t="s">
        <v>229</v>
      </c>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5"/>
    </row>
    <row r="47" spans="1:62" ht="30.75" customHeight="1">
      <c r="A47" s="464">
        <f t="shared" si="1"/>
        <v>33</v>
      </c>
      <c r="B47" s="465"/>
      <c r="C47" s="466"/>
      <c r="D47" s="567" t="s">
        <v>234</v>
      </c>
      <c r="E47" s="568"/>
      <c r="F47" s="568"/>
      <c r="G47" s="568"/>
      <c r="H47" s="568"/>
      <c r="I47" s="568"/>
      <c r="J47" s="568"/>
      <c r="K47" s="568"/>
      <c r="L47" s="568"/>
      <c r="M47" s="568"/>
      <c r="N47" s="568"/>
      <c r="O47" s="568"/>
      <c r="P47" s="568"/>
      <c r="Q47" s="568"/>
      <c r="R47" s="569"/>
      <c r="S47" s="449"/>
      <c r="T47" s="450"/>
      <c r="U47" s="451"/>
      <c r="V47" s="449" t="s">
        <v>276</v>
      </c>
      <c r="W47" s="450"/>
      <c r="X47" s="468" t="s">
        <v>276</v>
      </c>
      <c r="Y47" s="451"/>
      <c r="Z47" s="449"/>
      <c r="AA47" s="450"/>
      <c r="AB47" s="450"/>
      <c r="AC47" s="451"/>
      <c r="AD47" s="449"/>
      <c r="AE47" s="450"/>
      <c r="AF47" s="451"/>
      <c r="AG47" s="449"/>
      <c r="AH47" s="450"/>
      <c r="AI47" s="451"/>
      <c r="AJ47" s="449"/>
      <c r="AK47" s="450"/>
      <c r="AL47" s="451"/>
      <c r="AM47" s="452"/>
      <c r="AN47" s="504"/>
      <c r="AO47" s="504"/>
      <c r="AP47" s="504"/>
      <c r="AQ47" s="504"/>
      <c r="AR47" s="504"/>
      <c r="AS47" s="504"/>
      <c r="AT47" s="504"/>
      <c r="AU47" s="504"/>
      <c r="AV47" s="504"/>
      <c r="AW47" s="504"/>
      <c r="AX47" s="504"/>
      <c r="AY47" s="504"/>
      <c r="AZ47" s="504"/>
      <c r="BA47" s="504"/>
      <c r="BB47" s="504"/>
      <c r="BC47" s="504"/>
      <c r="BD47" s="504"/>
      <c r="BE47" s="504"/>
      <c r="BF47" s="504"/>
      <c r="BG47" s="504"/>
      <c r="BH47" s="504"/>
      <c r="BI47" s="504"/>
      <c r="BJ47" s="505"/>
    </row>
    <row r="48" spans="1:62" ht="30.75" customHeight="1">
      <c r="A48" s="464">
        <f t="shared" si="1"/>
        <v>34</v>
      </c>
      <c r="B48" s="465"/>
      <c r="C48" s="466"/>
      <c r="D48" s="446" t="s">
        <v>235</v>
      </c>
      <c r="E48" s="447"/>
      <c r="F48" s="447"/>
      <c r="G48" s="447"/>
      <c r="H48" s="447"/>
      <c r="I48" s="447"/>
      <c r="J48" s="447"/>
      <c r="K48" s="447"/>
      <c r="L48" s="447"/>
      <c r="M48" s="447"/>
      <c r="N48" s="447"/>
      <c r="O48" s="447"/>
      <c r="P48" s="447"/>
      <c r="Q48" s="447"/>
      <c r="R48" s="448"/>
      <c r="S48" s="449" t="s">
        <v>51</v>
      </c>
      <c r="T48" s="450"/>
      <c r="U48" s="451"/>
      <c r="V48" s="445" t="s">
        <v>175</v>
      </c>
      <c r="W48" s="450"/>
      <c r="X48" s="468" t="s">
        <v>54</v>
      </c>
      <c r="Y48" s="451"/>
      <c r="Z48" s="152" t="s">
        <v>549</v>
      </c>
      <c r="AA48" s="154"/>
      <c r="AB48" s="154"/>
      <c r="AC48" s="153"/>
      <c r="AD48" s="449"/>
      <c r="AE48" s="450"/>
      <c r="AF48" s="451"/>
      <c r="AG48" s="449"/>
      <c r="AH48" s="450"/>
      <c r="AI48" s="451"/>
      <c r="AJ48" s="487"/>
      <c r="AK48" s="488"/>
      <c r="AL48" s="457"/>
      <c r="AM48" s="452" t="s">
        <v>230</v>
      </c>
      <c r="AN48" s="447"/>
      <c r="AO48" s="447"/>
      <c r="AP48" s="447"/>
      <c r="AQ48" s="447"/>
      <c r="AR48" s="447"/>
      <c r="AS48" s="447"/>
      <c r="AT48" s="447"/>
      <c r="AU48" s="447"/>
      <c r="AV48" s="447"/>
      <c r="AW48" s="447"/>
      <c r="AX48" s="447"/>
      <c r="AY48" s="447"/>
      <c r="AZ48" s="447"/>
      <c r="BA48" s="447"/>
      <c r="BB48" s="447"/>
      <c r="BC48" s="447"/>
      <c r="BD48" s="447"/>
      <c r="BE48" s="447"/>
      <c r="BF48" s="447"/>
      <c r="BG48" s="447"/>
      <c r="BH48" s="447"/>
      <c r="BI48" s="447"/>
      <c r="BJ48" s="448"/>
    </row>
    <row r="49" spans="1:73" ht="30.75" customHeight="1">
      <c r="A49" s="464">
        <f t="shared" si="1"/>
        <v>35</v>
      </c>
      <c r="B49" s="465"/>
      <c r="C49" s="466"/>
      <c r="D49" s="446" t="s">
        <v>236</v>
      </c>
      <c r="E49" s="447"/>
      <c r="F49" s="447"/>
      <c r="G49" s="447"/>
      <c r="H49" s="447"/>
      <c r="I49" s="447"/>
      <c r="J49" s="447"/>
      <c r="K49" s="447"/>
      <c r="L49" s="447"/>
      <c r="M49" s="447"/>
      <c r="N49" s="447"/>
      <c r="O49" s="447"/>
      <c r="P49" s="447"/>
      <c r="Q49" s="447"/>
      <c r="R49" s="448"/>
      <c r="S49" s="152" t="s">
        <v>51</v>
      </c>
      <c r="T49" s="154"/>
      <c r="U49" s="153"/>
      <c r="V49" s="445" t="s">
        <v>175</v>
      </c>
      <c r="W49" s="450"/>
      <c r="X49" s="468" t="s">
        <v>56</v>
      </c>
      <c r="Y49" s="451"/>
      <c r="Z49" s="227" t="s">
        <v>277</v>
      </c>
      <c r="AA49" s="225"/>
      <c r="AB49" s="225"/>
      <c r="AC49" s="226"/>
      <c r="AD49" s="449"/>
      <c r="AE49" s="450"/>
      <c r="AF49" s="451"/>
      <c r="AG49" s="449"/>
      <c r="AH49" s="450"/>
      <c r="AI49" s="451"/>
      <c r="AJ49" s="487"/>
      <c r="AK49" s="488"/>
      <c r="AL49" s="457"/>
      <c r="AM49" s="452" t="s">
        <v>231</v>
      </c>
      <c r="AN49" s="447"/>
      <c r="AO49" s="447"/>
      <c r="AP49" s="447"/>
      <c r="AQ49" s="447"/>
      <c r="AR49" s="447"/>
      <c r="AS49" s="447"/>
      <c r="AT49" s="447"/>
      <c r="AU49" s="447"/>
      <c r="AV49" s="447"/>
      <c r="AW49" s="447"/>
      <c r="AX49" s="447"/>
      <c r="AY49" s="447"/>
      <c r="AZ49" s="447"/>
      <c r="BA49" s="447"/>
      <c r="BB49" s="447"/>
      <c r="BC49" s="447"/>
      <c r="BD49" s="447"/>
      <c r="BE49" s="447"/>
      <c r="BF49" s="447"/>
      <c r="BG49" s="447"/>
      <c r="BH49" s="447"/>
      <c r="BI49" s="447"/>
      <c r="BJ49" s="448"/>
    </row>
    <row r="50" spans="1:73" ht="30.75" customHeight="1">
      <c r="A50" s="464">
        <f t="shared" si="1"/>
        <v>36</v>
      </c>
      <c r="B50" s="465"/>
      <c r="C50" s="466"/>
      <c r="D50" s="446" t="s">
        <v>237</v>
      </c>
      <c r="E50" s="447"/>
      <c r="F50" s="447"/>
      <c r="G50" s="447"/>
      <c r="H50" s="447"/>
      <c r="I50" s="447"/>
      <c r="J50" s="447"/>
      <c r="K50" s="447"/>
      <c r="L50" s="447"/>
      <c r="M50" s="447"/>
      <c r="N50" s="447"/>
      <c r="O50" s="447"/>
      <c r="P50" s="447"/>
      <c r="Q50" s="447"/>
      <c r="R50" s="448"/>
      <c r="S50" s="449" t="s">
        <v>51</v>
      </c>
      <c r="T50" s="450"/>
      <c r="U50" s="451"/>
      <c r="V50" s="445" t="s">
        <v>175</v>
      </c>
      <c r="W50" s="450"/>
      <c r="X50" s="468" t="s">
        <v>53</v>
      </c>
      <c r="Y50" s="451"/>
      <c r="Z50" s="449" t="s">
        <v>59</v>
      </c>
      <c r="AA50" s="450"/>
      <c r="AB50" s="450"/>
      <c r="AC50" s="451"/>
      <c r="AD50" s="449"/>
      <c r="AE50" s="450"/>
      <c r="AF50" s="451"/>
      <c r="AG50" s="449"/>
      <c r="AH50" s="450"/>
      <c r="AI50" s="451"/>
      <c r="AJ50" s="487"/>
      <c r="AK50" s="488"/>
      <c r="AL50" s="457"/>
      <c r="AM50" s="452" t="s">
        <v>232</v>
      </c>
      <c r="AN50" s="447"/>
      <c r="AO50" s="447"/>
      <c r="AP50" s="447"/>
      <c r="AQ50" s="447"/>
      <c r="AR50" s="447"/>
      <c r="AS50" s="447"/>
      <c r="AT50" s="447"/>
      <c r="AU50" s="447"/>
      <c r="AV50" s="447"/>
      <c r="AW50" s="447"/>
      <c r="AX50" s="447"/>
      <c r="AY50" s="447"/>
      <c r="AZ50" s="447"/>
      <c r="BA50" s="447"/>
      <c r="BB50" s="447"/>
      <c r="BC50" s="447"/>
      <c r="BD50" s="447"/>
      <c r="BE50" s="447"/>
      <c r="BF50" s="447"/>
      <c r="BG50" s="447"/>
      <c r="BH50" s="447"/>
      <c r="BI50" s="447"/>
      <c r="BJ50" s="448"/>
    </row>
    <row r="51" spans="1:73" ht="30.75" customHeight="1">
      <c r="A51" s="464">
        <f t="shared" si="1"/>
        <v>37</v>
      </c>
      <c r="B51" s="465"/>
      <c r="C51" s="466"/>
      <c r="D51" s="446" t="s">
        <v>238</v>
      </c>
      <c r="E51" s="447"/>
      <c r="F51" s="447"/>
      <c r="G51" s="447"/>
      <c r="H51" s="447"/>
      <c r="I51" s="447"/>
      <c r="J51" s="447"/>
      <c r="K51" s="447"/>
      <c r="L51" s="447"/>
      <c r="M51" s="447"/>
      <c r="N51" s="447"/>
      <c r="O51" s="447"/>
      <c r="P51" s="447"/>
      <c r="Q51" s="447"/>
      <c r="R51" s="448"/>
      <c r="S51" s="449" t="s">
        <v>51</v>
      </c>
      <c r="T51" s="450"/>
      <c r="U51" s="451"/>
      <c r="V51" s="445" t="s">
        <v>175</v>
      </c>
      <c r="W51" s="450"/>
      <c r="X51" s="468" t="s">
        <v>50</v>
      </c>
      <c r="Y51" s="451"/>
      <c r="Z51" s="449" t="s">
        <v>59</v>
      </c>
      <c r="AA51" s="450"/>
      <c r="AB51" s="450"/>
      <c r="AC51" s="451"/>
      <c r="AD51" s="449"/>
      <c r="AE51" s="450"/>
      <c r="AF51" s="451"/>
      <c r="AG51" s="449"/>
      <c r="AH51" s="450"/>
      <c r="AI51" s="451"/>
      <c r="AJ51" s="487"/>
      <c r="AK51" s="488"/>
      <c r="AL51" s="457"/>
      <c r="AM51" s="452" t="s">
        <v>233</v>
      </c>
      <c r="AN51" s="447"/>
      <c r="AO51" s="447"/>
      <c r="AP51" s="447"/>
      <c r="AQ51" s="447"/>
      <c r="AR51" s="447"/>
      <c r="AS51" s="447"/>
      <c r="AT51" s="447"/>
      <c r="AU51" s="447"/>
      <c r="AV51" s="447"/>
      <c r="AW51" s="447"/>
      <c r="AX51" s="447"/>
      <c r="AY51" s="447"/>
      <c r="AZ51" s="447"/>
      <c r="BA51" s="447"/>
      <c r="BB51" s="447"/>
      <c r="BC51" s="447"/>
      <c r="BD51" s="447"/>
      <c r="BE51" s="447"/>
      <c r="BF51" s="447"/>
      <c r="BG51" s="447"/>
      <c r="BH51" s="447"/>
      <c r="BI51" s="447"/>
      <c r="BJ51" s="448"/>
    </row>
    <row r="52" spans="1:73" ht="30.75" customHeight="1">
      <c r="A52" s="546">
        <f t="shared" ref="A52:A59" si="2">ROW()-13</f>
        <v>39</v>
      </c>
      <c r="B52" s="547"/>
      <c r="C52" s="548"/>
      <c r="D52" s="476" t="s">
        <v>414</v>
      </c>
      <c r="E52" s="477"/>
      <c r="F52" s="477"/>
      <c r="G52" s="477"/>
      <c r="H52" s="477"/>
      <c r="I52" s="477"/>
      <c r="J52" s="477"/>
      <c r="K52" s="477"/>
      <c r="L52" s="477"/>
      <c r="M52" s="477"/>
      <c r="N52" s="477"/>
      <c r="O52" s="477"/>
      <c r="P52" s="477"/>
      <c r="Q52" s="477"/>
      <c r="R52" s="478"/>
      <c r="S52" s="453"/>
      <c r="T52" s="454"/>
      <c r="U52" s="455"/>
      <c r="V52" s="453" t="s">
        <v>276</v>
      </c>
      <c r="W52" s="482"/>
      <c r="X52" s="467" t="s">
        <v>276</v>
      </c>
      <c r="Y52" s="455"/>
      <c r="Z52" s="453"/>
      <c r="AA52" s="454"/>
      <c r="AB52" s="454"/>
      <c r="AC52" s="455"/>
      <c r="AD52" s="453"/>
      <c r="AE52" s="454"/>
      <c r="AF52" s="455"/>
      <c r="AG52" s="453"/>
      <c r="AH52" s="454"/>
      <c r="AI52" s="455"/>
      <c r="AJ52" s="453"/>
      <c r="AK52" s="454"/>
      <c r="AL52" s="455"/>
      <c r="AM52" s="484"/>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6"/>
    </row>
    <row r="53" spans="1:73" ht="30" customHeight="1">
      <c r="A53" s="546">
        <f t="shared" si="2"/>
        <v>40</v>
      </c>
      <c r="B53" s="547"/>
      <c r="C53" s="548"/>
      <c r="D53" s="446" t="s">
        <v>415</v>
      </c>
      <c r="E53" s="447"/>
      <c r="F53" s="447"/>
      <c r="G53" s="447"/>
      <c r="H53" s="447"/>
      <c r="I53" s="447"/>
      <c r="J53" s="447"/>
      <c r="K53" s="447"/>
      <c r="L53" s="447"/>
      <c r="M53" s="447"/>
      <c r="N53" s="447"/>
      <c r="O53" s="447"/>
      <c r="P53" s="447"/>
      <c r="Q53" s="447"/>
      <c r="R53" s="448"/>
      <c r="S53" s="152" t="s">
        <v>120</v>
      </c>
      <c r="T53" s="154"/>
      <c r="U53" s="153"/>
      <c r="V53" s="449" t="s">
        <v>175</v>
      </c>
      <c r="W53" s="632"/>
      <c r="X53" s="468" t="s">
        <v>550</v>
      </c>
      <c r="Y53" s="451"/>
      <c r="Z53" s="152" t="s">
        <v>59</v>
      </c>
      <c r="AA53" s="154"/>
      <c r="AB53" s="154"/>
      <c r="AC53" s="153"/>
      <c r="AD53" s="449"/>
      <c r="AE53" s="450"/>
      <c r="AF53" s="451"/>
      <c r="AG53" s="449"/>
      <c r="AH53" s="450"/>
      <c r="AI53" s="451"/>
      <c r="AJ53" s="449"/>
      <c r="AK53" s="450"/>
      <c r="AL53" s="451"/>
      <c r="AM53" s="452" t="s">
        <v>416</v>
      </c>
      <c r="AN53" s="652"/>
      <c r="AO53" s="652"/>
      <c r="AP53" s="652"/>
      <c r="AQ53" s="652"/>
      <c r="AR53" s="652"/>
      <c r="AS53" s="652"/>
      <c r="AT53" s="652"/>
      <c r="AU53" s="652"/>
      <c r="AV53" s="652"/>
      <c r="AW53" s="652"/>
      <c r="AX53" s="652"/>
      <c r="AY53" s="652"/>
      <c r="AZ53" s="652"/>
      <c r="BA53" s="652"/>
      <c r="BB53" s="652"/>
      <c r="BC53" s="652"/>
      <c r="BD53" s="652"/>
      <c r="BE53" s="652"/>
      <c r="BF53" s="652"/>
      <c r="BG53" s="652"/>
      <c r="BH53" s="652"/>
      <c r="BI53" s="652"/>
      <c r="BJ53" s="653"/>
      <c r="BR53" s="654"/>
      <c r="BS53" s="654"/>
      <c r="BT53" s="654"/>
      <c r="BU53" s="334"/>
    </row>
    <row r="54" spans="1:73" ht="30" customHeight="1">
      <c r="A54" s="546">
        <f t="shared" si="2"/>
        <v>41</v>
      </c>
      <c r="B54" s="547"/>
      <c r="C54" s="548"/>
      <c r="D54" s="446" t="s">
        <v>417</v>
      </c>
      <c r="E54" s="447"/>
      <c r="F54" s="447"/>
      <c r="G54" s="447"/>
      <c r="H54" s="447"/>
      <c r="I54" s="447"/>
      <c r="J54" s="447"/>
      <c r="K54" s="447"/>
      <c r="L54" s="447"/>
      <c r="M54" s="447"/>
      <c r="N54" s="447"/>
      <c r="O54" s="447"/>
      <c r="P54" s="447"/>
      <c r="Q54" s="447"/>
      <c r="R54" s="448"/>
      <c r="S54" s="152" t="s">
        <v>120</v>
      </c>
      <c r="T54" s="154"/>
      <c r="U54" s="153"/>
      <c r="V54" s="449" t="s">
        <v>175</v>
      </c>
      <c r="W54" s="632"/>
      <c r="X54" s="468" t="s">
        <v>62</v>
      </c>
      <c r="Y54" s="451"/>
      <c r="Z54" s="655" t="s">
        <v>418</v>
      </c>
      <c r="AA54" s="656"/>
      <c r="AB54" s="656"/>
      <c r="AC54" s="657"/>
      <c r="AD54" s="449"/>
      <c r="AE54" s="450"/>
      <c r="AF54" s="451"/>
      <c r="AG54" s="449"/>
      <c r="AH54" s="450"/>
      <c r="AI54" s="451"/>
      <c r="AJ54" s="449"/>
      <c r="AK54" s="450"/>
      <c r="AL54" s="451"/>
      <c r="AM54" s="452" t="s">
        <v>419</v>
      </c>
      <c r="AN54" s="652"/>
      <c r="AO54" s="652"/>
      <c r="AP54" s="652"/>
      <c r="AQ54" s="652"/>
      <c r="AR54" s="652"/>
      <c r="AS54" s="652"/>
      <c r="AT54" s="652"/>
      <c r="AU54" s="652"/>
      <c r="AV54" s="652"/>
      <c r="AW54" s="652"/>
      <c r="AX54" s="652"/>
      <c r="AY54" s="652"/>
      <c r="AZ54" s="652"/>
      <c r="BA54" s="652"/>
      <c r="BB54" s="652"/>
      <c r="BC54" s="652"/>
      <c r="BD54" s="652"/>
      <c r="BE54" s="652"/>
      <c r="BF54" s="652"/>
      <c r="BG54" s="652"/>
      <c r="BH54" s="652"/>
      <c r="BI54" s="652"/>
      <c r="BJ54" s="653"/>
      <c r="BR54" s="654"/>
      <c r="BS54" s="654"/>
      <c r="BT54" s="654"/>
      <c r="BU54" s="334"/>
    </row>
    <row r="55" spans="1:73" ht="30" customHeight="1">
      <c r="A55" s="546">
        <f t="shared" si="2"/>
        <v>42</v>
      </c>
      <c r="B55" s="547"/>
      <c r="C55" s="548"/>
      <c r="D55" s="446" t="s">
        <v>420</v>
      </c>
      <c r="E55" s="447"/>
      <c r="F55" s="447"/>
      <c r="G55" s="447"/>
      <c r="H55" s="447"/>
      <c r="I55" s="447"/>
      <c r="J55" s="447"/>
      <c r="K55" s="447"/>
      <c r="L55" s="447"/>
      <c r="M55" s="447"/>
      <c r="N55" s="447"/>
      <c r="O55" s="447"/>
      <c r="P55" s="447"/>
      <c r="Q55" s="447"/>
      <c r="R55" s="448"/>
      <c r="S55" s="152" t="s">
        <v>120</v>
      </c>
      <c r="T55" s="154"/>
      <c r="U55" s="153"/>
      <c r="V55" s="449" t="s">
        <v>175</v>
      </c>
      <c r="W55" s="632"/>
      <c r="X55" s="468" t="s">
        <v>52</v>
      </c>
      <c r="Y55" s="451"/>
      <c r="Z55" s="655" t="s">
        <v>418</v>
      </c>
      <c r="AA55" s="656"/>
      <c r="AB55" s="656"/>
      <c r="AC55" s="657"/>
      <c r="AD55" s="449"/>
      <c r="AE55" s="450"/>
      <c r="AF55" s="451"/>
      <c r="AG55" s="449"/>
      <c r="AH55" s="450"/>
      <c r="AI55" s="451"/>
      <c r="AJ55" s="449"/>
      <c r="AK55" s="450"/>
      <c r="AL55" s="451"/>
      <c r="AM55" s="452" t="s">
        <v>421</v>
      </c>
      <c r="AN55" s="652"/>
      <c r="AO55" s="652"/>
      <c r="AP55" s="652"/>
      <c r="AQ55" s="652"/>
      <c r="AR55" s="652"/>
      <c r="AS55" s="652"/>
      <c r="AT55" s="652"/>
      <c r="AU55" s="652"/>
      <c r="AV55" s="652"/>
      <c r="AW55" s="652"/>
      <c r="AX55" s="652"/>
      <c r="AY55" s="652"/>
      <c r="AZ55" s="652"/>
      <c r="BA55" s="652"/>
      <c r="BB55" s="652"/>
      <c r="BC55" s="652"/>
      <c r="BD55" s="652"/>
      <c r="BE55" s="652"/>
      <c r="BF55" s="652"/>
      <c r="BG55" s="652"/>
      <c r="BH55" s="652"/>
      <c r="BI55" s="652"/>
      <c r="BJ55" s="653"/>
      <c r="BR55" s="654"/>
      <c r="BS55" s="654"/>
      <c r="BT55" s="654"/>
      <c r="BU55" s="334"/>
    </row>
    <row r="56" spans="1:73" ht="30" customHeight="1">
      <c r="A56" s="546">
        <f t="shared" si="2"/>
        <v>43</v>
      </c>
      <c r="B56" s="547"/>
      <c r="C56" s="548"/>
      <c r="D56" s="446" t="s">
        <v>422</v>
      </c>
      <c r="E56" s="447"/>
      <c r="F56" s="447"/>
      <c r="G56" s="447"/>
      <c r="H56" s="447"/>
      <c r="I56" s="447"/>
      <c r="J56" s="447"/>
      <c r="K56" s="447"/>
      <c r="L56" s="447"/>
      <c r="M56" s="447"/>
      <c r="N56" s="447"/>
      <c r="O56" s="447"/>
      <c r="P56" s="447"/>
      <c r="Q56" s="447"/>
      <c r="R56" s="448"/>
      <c r="S56" s="152" t="s">
        <v>120</v>
      </c>
      <c r="T56" s="154"/>
      <c r="U56" s="153"/>
      <c r="V56" s="449" t="s">
        <v>175</v>
      </c>
      <c r="W56" s="632"/>
      <c r="X56" s="468" t="s">
        <v>550</v>
      </c>
      <c r="Y56" s="451"/>
      <c r="Z56" s="152" t="s">
        <v>59</v>
      </c>
      <c r="AA56" s="154"/>
      <c r="AB56" s="154"/>
      <c r="AC56" s="153"/>
      <c r="AD56" s="449"/>
      <c r="AE56" s="450"/>
      <c r="AF56" s="451"/>
      <c r="AG56" s="449"/>
      <c r="AH56" s="450"/>
      <c r="AI56" s="451"/>
      <c r="AJ56" s="449"/>
      <c r="AK56" s="450"/>
      <c r="AL56" s="451"/>
      <c r="AM56" s="452" t="s">
        <v>423</v>
      </c>
      <c r="AN56" s="652"/>
      <c r="AO56" s="652"/>
      <c r="AP56" s="652"/>
      <c r="AQ56" s="652"/>
      <c r="AR56" s="652"/>
      <c r="AS56" s="652"/>
      <c r="AT56" s="652"/>
      <c r="AU56" s="652"/>
      <c r="AV56" s="652"/>
      <c r="AW56" s="652"/>
      <c r="AX56" s="652"/>
      <c r="AY56" s="652"/>
      <c r="AZ56" s="652"/>
      <c r="BA56" s="652"/>
      <c r="BB56" s="652"/>
      <c r="BC56" s="652"/>
      <c r="BD56" s="652"/>
      <c r="BE56" s="652"/>
      <c r="BF56" s="652"/>
      <c r="BG56" s="652"/>
      <c r="BH56" s="652"/>
      <c r="BI56" s="652"/>
      <c r="BJ56" s="653"/>
      <c r="BR56" s="654"/>
      <c r="BS56" s="654"/>
      <c r="BT56" s="654"/>
      <c r="BU56" s="334"/>
    </row>
    <row r="57" spans="1:73" ht="30" customHeight="1">
      <c r="A57" s="546">
        <f t="shared" si="2"/>
        <v>44</v>
      </c>
      <c r="B57" s="547"/>
      <c r="C57" s="548"/>
      <c r="D57" s="446" t="s">
        <v>424</v>
      </c>
      <c r="E57" s="447"/>
      <c r="F57" s="447"/>
      <c r="G57" s="447"/>
      <c r="H57" s="447"/>
      <c r="I57" s="447"/>
      <c r="J57" s="447"/>
      <c r="K57" s="447"/>
      <c r="L57" s="447"/>
      <c r="M57" s="447"/>
      <c r="N57" s="447"/>
      <c r="O57" s="447"/>
      <c r="P57" s="447"/>
      <c r="Q57" s="447"/>
      <c r="R57" s="448"/>
      <c r="S57" s="152" t="s">
        <v>120</v>
      </c>
      <c r="T57" s="154"/>
      <c r="U57" s="153"/>
      <c r="V57" s="449" t="s">
        <v>175</v>
      </c>
      <c r="W57" s="632"/>
      <c r="X57" s="468" t="s">
        <v>62</v>
      </c>
      <c r="Y57" s="451"/>
      <c r="Z57" s="655" t="s">
        <v>418</v>
      </c>
      <c r="AA57" s="656"/>
      <c r="AB57" s="656"/>
      <c r="AC57" s="657"/>
      <c r="AD57" s="449"/>
      <c r="AE57" s="450"/>
      <c r="AF57" s="451"/>
      <c r="AG57" s="449"/>
      <c r="AH57" s="450"/>
      <c r="AI57" s="451"/>
      <c r="AJ57" s="449"/>
      <c r="AK57" s="450"/>
      <c r="AL57" s="451"/>
      <c r="AM57" s="452" t="s">
        <v>425</v>
      </c>
      <c r="AN57" s="652"/>
      <c r="AO57" s="652"/>
      <c r="AP57" s="652"/>
      <c r="AQ57" s="652"/>
      <c r="AR57" s="652"/>
      <c r="AS57" s="652"/>
      <c r="AT57" s="652"/>
      <c r="AU57" s="652"/>
      <c r="AV57" s="652"/>
      <c r="AW57" s="652"/>
      <c r="AX57" s="652"/>
      <c r="AY57" s="652"/>
      <c r="AZ57" s="652"/>
      <c r="BA57" s="652"/>
      <c r="BB57" s="652"/>
      <c r="BC57" s="652"/>
      <c r="BD57" s="652"/>
      <c r="BE57" s="652"/>
      <c r="BF57" s="652"/>
      <c r="BG57" s="652"/>
      <c r="BH57" s="652"/>
      <c r="BI57" s="652"/>
      <c r="BJ57" s="653"/>
      <c r="BR57" s="654"/>
      <c r="BS57" s="654"/>
      <c r="BT57" s="654"/>
      <c r="BU57" s="334"/>
    </row>
    <row r="58" spans="1:73" ht="30" customHeight="1">
      <c r="A58" s="546">
        <f t="shared" si="2"/>
        <v>45</v>
      </c>
      <c r="B58" s="547"/>
      <c r="C58" s="548"/>
      <c r="D58" s="446" t="s">
        <v>426</v>
      </c>
      <c r="E58" s="447"/>
      <c r="F58" s="447"/>
      <c r="G58" s="447"/>
      <c r="H58" s="447"/>
      <c r="I58" s="447"/>
      <c r="J58" s="447"/>
      <c r="K58" s="447"/>
      <c r="L58" s="447"/>
      <c r="M58" s="447"/>
      <c r="N58" s="447"/>
      <c r="O58" s="447"/>
      <c r="P58" s="447"/>
      <c r="Q58" s="447"/>
      <c r="R58" s="448"/>
      <c r="S58" s="152" t="s">
        <v>120</v>
      </c>
      <c r="T58" s="154"/>
      <c r="U58" s="153"/>
      <c r="V58" s="449" t="s">
        <v>175</v>
      </c>
      <c r="W58" s="632"/>
      <c r="X58" s="468" t="s">
        <v>52</v>
      </c>
      <c r="Y58" s="451"/>
      <c r="Z58" s="655" t="s">
        <v>418</v>
      </c>
      <c r="AA58" s="656"/>
      <c r="AB58" s="656"/>
      <c r="AC58" s="657"/>
      <c r="AD58" s="449"/>
      <c r="AE58" s="450"/>
      <c r="AF58" s="451"/>
      <c r="AG58" s="449"/>
      <c r="AH58" s="450"/>
      <c r="AI58" s="451"/>
      <c r="AJ58" s="449"/>
      <c r="AK58" s="450"/>
      <c r="AL58" s="451"/>
      <c r="AM58" s="452" t="s">
        <v>427</v>
      </c>
      <c r="AN58" s="652"/>
      <c r="AO58" s="652"/>
      <c r="AP58" s="652"/>
      <c r="AQ58" s="652"/>
      <c r="AR58" s="652"/>
      <c r="AS58" s="652"/>
      <c r="AT58" s="652"/>
      <c r="AU58" s="652"/>
      <c r="AV58" s="652"/>
      <c r="AW58" s="652"/>
      <c r="AX58" s="652"/>
      <c r="AY58" s="652"/>
      <c r="AZ58" s="652"/>
      <c r="BA58" s="652"/>
      <c r="BB58" s="652"/>
      <c r="BC58" s="652"/>
      <c r="BD58" s="652"/>
      <c r="BE58" s="652"/>
      <c r="BF58" s="652"/>
      <c r="BG58" s="652"/>
      <c r="BH58" s="652"/>
      <c r="BI58" s="652"/>
      <c r="BJ58" s="653"/>
      <c r="BR58" s="654"/>
      <c r="BS58" s="654"/>
      <c r="BT58" s="654"/>
      <c r="BU58" s="334"/>
    </row>
    <row r="59" spans="1:73" ht="30" customHeight="1">
      <c r="A59" s="546">
        <f t="shared" si="2"/>
        <v>46</v>
      </c>
      <c r="B59" s="547"/>
      <c r="C59" s="548"/>
      <c r="D59" s="446" t="s">
        <v>412</v>
      </c>
      <c r="E59" s="447"/>
      <c r="F59" s="447"/>
      <c r="G59" s="447"/>
      <c r="H59" s="447"/>
      <c r="I59" s="447"/>
      <c r="J59" s="447"/>
      <c r="K59" s="447"/>
      <c r="L59" s="447"/>
      <c r="M59" s="447"/>
      <c r="N59" s="447"/>
      <c r="O59" s="447"/>
      <c r="P59" s="447"/>
      <c r="Q59" s="447"/>
      <c r="R59" s="448"/>
      <c r="S59" s="152" t="s">
        <v>120</v>
      </c>
      <c r="T59" s="154"/>
      <c r="U59" s="153"/>
      <c r="V59" s="449" t="s">
        <v>175</v>
      </c>
      <c r="W59" s="632"/>
      <c r="X59" s="468" t="s">
        <v>428</v>
      </c>
      <c r="Y59" s="451"/>
      <c r="Z59" s="655" t="s">
        <v>418</v>
      </c>
      <c r="AA59" s="656"/>
      <c r="AB59" s="656"/>
      <c r="AC59" s="657"/>
      <c r="AD59" s="449"/>
      <c r="AE59" s="450"/>
      <c r="AF59" s="451"/>
      <c r="AG59" s="449"/>
      <c r="AH59" s="450"/>
      <c r="AI59" s="451"/>
      <c r="AJ59" s="449"/>
      <c r="AK59" s="450"/>
      <c r="AL59" s="451"/>
      <c r="AM59" s="452" t="s">
        <v>429</v>
      </c>
      <c r="AN59" s="652"/>
      <c r="AO59" s="652"/>
      <c r="AP59" s="652"/>
      <c r="AQ59" s="652"/>
      <c r="AR59" s="652"/>
      <c r="AS59" s="652"/>
      <c r="AT59" s="652"/>
      <c r="AU59" s="652"/>
      <c r="AV59" s="652"/>
      <c r="AW59" s="652"/>
      <c r="AX59" s="652"/>
      <c r="AY59" s="652"/>
      <c r="AZ59" s="652"/>
      <c r="BA59" s="652"/>
      <c r="BB59" s="652"/>
      <c r="BC59" s="652"/>
      <c r="BD59" s="652"/>
      <c r="BE59" s="652"/>
      <c r="BF59" s="652"/>
      <c r="BG59" s="652"/>
      <c r="BH59" s="652"/>
      <c r="BI59" s="652"/>
      <c r="BJ59" s="653"/>
      <c r="BR59" s="654"/>
      <c r="BS59" s="654"/>
      <c r="BT59" s="654"/>
      <c r="BU59" s="334"/>
    </row>
    <row r="60" spans="1:73" ht="30.75" customHeight="1">
      <c r="A60" s="449"/>
      <c r="B60" s="450"/>
      <c r="C60" s="451"/>
      <c r="D60" s="567"/>
      <c r="E60" s="568"/>
      <c r="F60" s="568"/>
      <c r="G60" s="568"/>
      <c r="H60" s="568"/>
      <c r="I60" s="568"/>
      <c r="J60" s="568"/>
      <c r="K60" s="568"/>
      <c r="L60" s="568"/>
      <c r="M60" s="568"/>
      <c r="N60" s="568"/>
      <c r="O60" s="568"/>
      <c r="P60" s="568"/>
      <c r="Q60" s="568"/>
      <c r="R60" s="569"/>
      <c r="S60" s="449"/>
      <c r="T60" s="450"/>
      <c r="U60" s="451"/>
      <c r="V60" s="449"/>
      <c r="W60" s="450"/>
      <c r="X60" s="468"/>
      <c r="Y60" s="451"/>
      <c r="Z60" s="449"/>
      <c r="AA60" s="450"/>
      <c r="AB60" s="450"/>
      <c r="AC60" s="451"/>
      <c r="AD60" s="449"/>
      <c r="AE60" s="450"/>
      <c r="AF60" s="451"/>
      <c r="AG60" s="449"/>
      <c r="AH60" s="450"/>
      <c r="AI60" s="451"/>
      <c r="AJ60" s="449"/>
      <c r="AK60" s="450"/>
      <c r="AL60" s="451"/>
      <c r="AM60" s="452"/>
      <c r="AN60" s="504"/>
      <c r="AO60" s="504"/>
      <c r="AP60" s="504"/>
      <c r="AQ60" s="504"/>
      <c r="AR60" s="504"/>
      <c r="AS60" s="504"/>
      <c r="AT60" s="504"/>
      <c r="AU60" s="504"/>
      <c r="AV60" s="504"/>
      <c r="AW60" s="504"/>
      <c r="AX60" s="504"/>
      <c r="AY60" s="504"/>
      <c r="AZ60" s="504"/>
      <c r="BA60" s="504"/>
      <c r="BB60" s="504"/>
      <c r="BC60" s="504"/>
      <c r="BD60" s="504"/>
      <c r="BE60" s="504"/>
      <c r="BF60" s="504"/>
      <c r="BG60" s="504"/>
      <c r="BH60" s="504"/>
      <c r="BI60" s="504"/>
      <c r="BJ60" s="505"/>
    </row>
    <row r="61" spans="1:73" ht="30.75" customHeight="1">
      <c r="A61" s="461"/>
      <c r="B61" s="462"/>
      <c r="C61" s="463"/>
      <c r="D61" s="525"/>
      <c r="E61" s="526"/>
      <c r="F61" s="526"/>
      <c r="G61" s="526"/>
      <c r="H61" s="526"/>
      <c r="I61" s="526"/>
      <c r="J61" s="526"/>
      <c r="K61" s="526"/>
      <c r="L61" s="526"/>
      <c r="M61" s="526"/>
      <c r="N61" s="526"/>
      <c r="O61" s="526"/>
      <c r="P61" s="526"/>
      <c r="Q61" s="526"/>
      <c r="R61" s="527"/>
      <c r="S61" s="461"/>
      <c r="T61" s="462"/>
      <c r="U61" s="463"/>
      <c r="V61" s="461"/>
      <c r="W61" s="648"/>
      <c r="X61" s="462"/>
      <c r="Y61" s="463"/>
      <c r="Z61" s="461"/>
      <c r="AA61" s="462"/>
      <c r="AB61" s="462"/>
      <c r="AC61" s="463"/>
      <c r="AD61" s="461"/>
      <c r="AE61" s="462"/>
      <c r="AF61" s="463"/>
      <c r="AG61" s="461"/>
      <c r="AH61" s="462"/>
      <c r="AI61" s="463"/>
      <c r="AJ61" s="461"/>
      <c r="AK61" s="462"/>
      <c r="AL61" s="463"/>
      <c r="AM61" s="649"/>
      <c r="AN61" s="650"/>
      <c r="AO61" s="650"/>
      <c r="AP61" s="650"/>
      <c r="AQ61" s="650"/>
      <c r="AR61" s="650"/>
      <c r="AS61" s="650"/>
      <c r="AT61" s="650"/>
      <c r="AU61" s="650"/>
      <c r="AV61" s="650"/>
      <c r="AW61" s="650"/>
      <c r="AX61" s="650"/>
      <c r="AY61" s="650"/>
      <c r="AZ61" s="650"/>
      <c r="BA61" s="650"/>
      <c r="BB61" s="650"/>
      <c r="BC61" s="650"/>
      <c r="BD61" s="650"/>
      <c r="BE61" s="650"/>
      <c r="BF61" s="650"/>
      <c r="BG61" s="650"/>
      <c r="BH61" s="650"/>
      <c r="BI61" s="650"/>
      <c r="BJ61" s="651"/>
    </row>
    <row r="62" spans="1:73" ht="8.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90">
    <mergeCell ref="BR59:BT59"/>
    <mergeCell ref="A59:C59"/>
    <mergeCell ref="D59:R59"/>
    <mergeCell ref="V59:W59"/>
    <mergeCell ref="X59:Y59"/>
    <mergeCell ref="Z59:AC59"/>
    <mergeCell ref="AD59:AF59"/>
    <mergeCell ref="AG59:AI59"/>
    <mergeCell ref="AJ59:AL59"/>
    <mergeCell ref="AM59:BJ59"/>
    <mergeCell ref="BR57:BT57"/>
    <mergeCell ref="A58:C58"/>
    <mergeCell ref="D58:R58"/>
    <mergeCell ref="V58:W58"/>
    <mergeCell ref="X58:Y58"/>
    <mergeCell ref="Z58:AC58"/>
    <mergeCell ref="AD58:AF58"/>
    <mergeCell ref="AG58:AI58"/>
    <mergeCell ref="AJ58:AL58"/>
    <mergeCell ref="AM58:BJ58"/>
    <mergeCell ref="BR58:BT58"/>
    <mergeCell ref="A57:C57"/>
    <mergeCell ref="D57:R57"/>
    <mergeCell ref="V57:W57"/>
    <mergeCell ref="X57:Y57"/>
    <mergeCell ref="Z57:AC57"/>
    <mergeCell ref="AD57:AF57"/>
    <mergeCell ref="AG57:AI57"/>
    <mergeCell ref="AJ57:AL57"/>
    <mergeCell ref="AM57:BJ57"/>
    <mergeCell ref="BR55:BT55"/>
    <mergeCell ref="A56:C56"/>
    <mergeCell ref="D56:R56"/>
    <mergeCell ref="V56:W56"/>
    <mergeCell ref="X56:Y56"/>
    <mergeCell ref="AD56:AF56"/>
    <mergeCell ref="AG56:AI56"/>
    <mergeCell ref="AJ56:AL56"/>
    <mergeCell ref="AM56:BJ56"/>
    <mergeCell ref="BR56:BT56"/>
    <mergeCell ref="A55:C55"/>
    <mergeCell ref="D55:R55"/>
    <mergeCell ref="V55:W55"/>
    <mergeCell ref="X55:Y55"/>
    <mergeCell ref="Z55:AC55"/>
    <mergeCell ref="AD55:AF55"/>
    <mergeCell ref="AG55:AI55"/>
    <mergeCell ref="AJ55:AL55"/>
    <mergeCell ref="AM55:BJ55"/>
    <mergeCell ref="BR53:BT53"/>
    <mergeCell ref="A54:C54"/>
    <mergeCell ref="D54:R54"/>
    <mergeCell ref="V54:W54"/>
    <mergeCell ref="X54:Y54"/>
    <mergeCell ref="Z54:AC54"/>
    <mergeCell ref="AD54:AF54"/>
    <mergeCell ref="AG54:AI54"/>
    <mergeCell ref="AJ54:AL54"/>
    <mergeCell ref="AM54:BJ54"/>
    <mergeCell ref="BR54:BT54"/>
    <mergeCell ref="AM52:BJ52"/>
    <mergeCell ref="A53:C53"/>
    <mergeCell ref="D53:R53"/>
    <mergeCell ref="V53:W53"/>
    <mergeCell ref="X53:Y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26:C26"/>
    <mergeCell ref="D26:R26"/>
    <mergeCell ref="S26:U26"/>
    <mergeCell ref="V26:W26"/>
    <mergeCell ref="X26:Y26"/>
    <mergeCell ref="AD26:AF26"/>
    <mergeCell ref="AG26:AI26"/>
    <mergeCell ref="AJ26:AL26"/>
    <mergeCell ref="AM26:BJ26"/>
    <mergeCell ref="Z26:AC26"/>
    <mergeCell ref="AM25:BJ25"/>
    <mergeCell ref="D25:R25"/>
    <mergeCell ref="S23:U23"/>
    <mergeCell ref="X23:Y23"/>
    <mergeCell ref="AD23:AF23"/>
    <mergeCell ref="AG23:AI23"/>
    <mergeCell ref="A25:C25"/>
    <mergeCell ref="V25:W25"/>
    <mergeCell ref="X25:Y25"/>
    <mergeCell ref="AD25:AF25"/>
    <mergeCell ref="AG25:AI25"/>
    <mergeCell ref="AJ25:AL25"/>
    <mergeCell ref="A24:C24"/>
    <mergeCell ref="D24:R24"/>
    <mergeCell ref="S24:U24"/>
    <mergeCell ref="V24:W24"/>
    <mergeCell ref="X24:Y24"/>
    <mergeCell ref="AD24:AF24"/>
    <mergeCell ref="AG24:AI24"/>
    <mergeCell ref="AJ24:AL24"/>
    <mergeCell ref="AM24:BJ24"/>
    <mergeCell ref="AJ23:AL23"/>
    <mergeCell ref="AM23:BJ23"/>
    <mergeCell ref="Z25:AC25"/>
    <mergeCell ref="A10:C10"/>
    <mergeCell ref="D10:AS10"/>
    <mergeCell ref="AT10:BJ10"/>
    <mergeCell ref="A2:AU2"/>
    <mergeCell ref="AV2:AY2"/>
    <mergeCell ref="AZ2:BC2"/>
    <mergeCell ref="BD2:BF2"/>
    <mergeCell ref="BG2:BJ2"/>
    <mergeCell ref="A3:G3"/>
    <mergeCell ref="H3:AU3"/>
    <mergeCell ref="AV3:AY3"/>
    <mergeCell ref="AZ3:BJ3"/>
    <mergeCell ref="AM37:BJ37"/>
    <mergeCell ref="AJ37:AL37"/>
    <mergeCell ref="AG37:AI37"/>
    <mergeCell ref="D37:R37"/>
    <mergeCell ref="A4:G4"/>
    <mergeCell ref="H4:AU4"/>
    <mergeCell ref="AV4:AY4"/>
    <mergeCell ref="AZ4:BJ4"/>
    <mergeCell ref="A6:G6"/>
    <mergeCell ref="H6:BJ6"/>
    <mergeCell ref="AG13:AI14"/>
    <mergeCell ref="AJ13:AL14"/>
    <mergeCell ref="AM13:BJ14"/>
    <mergeCell ref="V14:W14"/>
    <mergeCell ref="X14:Y14"/>
    <mergeCell ref="A13:C14"/>
    <mergeCell ref="D13:R14"/>
    <mergeCell ref="S13:U14"/>
    <mergeCell ref="V13:Y13"/>
    <mergeCell ref="Z13:AC14"/>
    <mergeCell ref="AD13:AF14"/>
    <mergeCell ref="A9:C9"/>
    <mergeCell ref="D9:AS9"/>
    <mergeCell ref="AT9:BJ9"/>
    <mergeCell ref="AG49:AI49"/>
    <mergeCell ref="AM46:BJ46"/>
    <mergeCell ref="A43:C43"/>
    <mergeCell ref="V43:W43"/>
    <mergeCell ref="X43:Y43"/>
    <mergeCell ref="AM43:BJ43"/>
    <mergeCell ref="D38:R38"/>
    <mergeCell ref="D43:R43"/>
    <mergeCell ref="A40:C40"/>
    <mergeCell ref="V40:W40"/>
    <mergeCell ref="A45:C45"/>
    <mergeCell ref="X45:Y45"/>
    <mergeCell ref="AG43:AI43"/>
    <mergeCell ref="AG44:AI44"/>
    <mergeCell ref="Z43:AC43"/>
    <mergeCell ref="X44:Y44"/>
    <mergeCell ref="A46:C46"/>
    <mergeCell ref="V46:W46"/>
    <mergeCell ref="X46:Y46"/>
    <mergeCell ref="AG39:AI39"/>
    <mergeCell ref="AG40:AI40"/>
    <mergeCell ref="Z39:AC39"/>
    <mergeCell ref="Z40:AC40"/>
    <mergeCell ref="AD42:AF42"/>
    <mergeCell ref="AM51:BJ51"/>
    <mergeCell ref="D51:R51"/>
    <mergeCell ref="D47:R47"/>
    <mergeCell ref="X47:Y47"/>
    <mergeCell ref="S47:U47"/>
    <mergeCell ref="AD47:AF47"/>
    <mergeCell ref="AG47:AI47"/>
    <mergeCell ref="AJ47:AL47"/>
    <mergeCell ref="A49:C49"/>
    <mergeCell ref="V49:W49"/>
    <mergeCell ref="X49:Y49"/>
    <mergeCell ref="AM49:BJ49"/>
    <mergeCell ref="A50:C50"/>
    <mergeCell ref="D49:R49"/>
    <mergeCell ref="D50:R50"/>
    <mergeCell ref="AD49:AF49"/>
    <mergeCell ref="S48:U48"/>
    <mergeCell ref="S50:U50"/>
    <mergeCell ref="AM50:BJ50"/>
    <mergeCell ref="A48:C48"/>
    <mergeCell ref="D48:R48"/>
    <mergeCell ref="V48:W48"/>
    <mergeCell ref="X48:Y48"/>
    <mergeCell ref="A51:C51"/>
    <mergeCell ref="AM31:BJ31"/>
    <mergeCell ref="D31:R31"/>
    <mergeCell ref="AG31:AI31"/>
    <mergeCell ref="AJ31:AL31"/>
    <mergeCell ref="Z31:AC31"/>
    <mergeCell ref="A61:C61"/>
    <mergeCell ref="V61:W61"/>
    <mergeCell ref="X61:Y61"/>
    <mergeCell ref="AD61:AF61"/>
    <mergeCell ref="AG61:AI61"/>
    <mergeCell ref="AJ61:AL61"/>
    <mergeCell ref="AM61:BJ61"/>
    <mergeCell ref="AM60:BJ60"/>
    <mergeCell ref="A60:C60"/>
    <mergeCell ref="V60:W60"/>
    <mergeCell ref="X60:Y60"/>
    <mergeCell ref="AD60:AF60"/>
    <mergeCell ref="AG60:AI60"/>
    <mergeCell ref="AJ60:AL60"/>
    <mergeCell ref="S61:U61"/>
    <mergeCell ref="Z61:AC61"/>
    <mergeCell ref="Z60:AC60"/>
    <mergeCell ref="A47:C47"/>
    <mergeCell ref="V47:W47"/>
    <mergeCell ref="Z46:AC46"/>
    <mergeCell ref="D33:R33"/>
    <mergeCell ref="V33:W33"/>
    <mergeCell ref="X33:Y33"/>
    <mergeCell ref="Z33:AC33"/>
    <mergeCell ref="AG42:AI42"/>
    <mergeCell ref="D41:R41"/>
    <mergeCell ref="A39:C39"/>
    <mergeCell ref="V39:W39"/>
    <mergeCell ref="X39:Y39"/>
    <mergeCell ref="D39:R39"/>
    <mergeCell ref="D40:R40"/>
    <mergeCell ref="AD40:AF40"/>
    <mergeCell ref="A41:C41"/>
    <mergeCell ref="A42:C42"/>
    <mergeCell ref="X40:Y40"/>
    <mergeCell ref="AD41:AF41"/>
    <mergeCell ref="AG41:AI41"/>
    <mergeCell ref="AD33:AF33"/>
    <mergeCell ref="AG33:AI33"/>
    <mergeCell ref="AD36:AF36"/>
    <mergeCell ref="AG36:AI36"/>
    <mergeCell ref="AD35:AF35"/>
    <mergeCell ref="AG35:AI35"/>
    <mergeCell ref="V31:W31"/>
    <mergeCell ref="X31:Y31"/>
    <mergeCell ref="A37:C37"/>
    <mergeCell ref="V37:W37"/>
    <mergeCell ref="X37:Y37"/>
    <mergeCell ref="D42:R42"/>
    <mergeCell ref="Z37:AC37"/>
    <mergeCell ref="A33:C33"/>
    <mergeCell ref="A44:C44"/>
    <mergeCell ref="V44:W44"/>
    <mergeCell ref="A38:C38"/>
    <mergeCell ref="V38:W38"/>
    <mergeCell ref="X38:Y38"/>
    <mergeCell ref="V41:W41"/>
    <mergeCell ref="A36:C36"/>
    <mergeCell ref="D36:R36"/>
    <mergeCell ref="V36:W36"/>
    <mergeCell ref="X36:Y36"/>
    <mergeCell ref="Z36:AC36"/>
    <mergeCell ref="V35:W35"/>
    <mergeCell ref="X35:Y35"/>
    <mergeCell ref="S35:U35"/>
    <mergeCell ref="S31:U31"/>
    <mergeCell ref="S36:U36"/>
    <mergeCell ref="D60:R60"/>
    <mergeCell ref="D61:R61"/>
    <mergeCell ref="Z50:AC50"/>
    <mergeCell ref="AD37:AF37"/>
    <mergeCell ref="AD38:AF38"/>
    <mergeCell ref="AD43:AF43"/>
    <mergeCell ref="AD44:AF44"/>
    <mergeCell ref="AD45:AF45"/>
    <mergeCell ref="AD46:AF46"/>
    <mergeCell ref="AD39:AF39"/>
    <mergeCell ref="AD51:AF51"/>
    <mergeCell ref="V50:W50"/>
    <mergeCell ref="X50:Y50"/>
    <mergeCell ref="S46:U46"/>
    <mergeCell ref="S39:U39"/>
    <mergeCell ref="S40:U40"/>
    <mergeCell ref="D45:R45"/>
    <mergeCell ref="D46:R46"/>
    <mergeCell ref="S60:U60"/>
    <mergeCell ref="Z51:AC51"/>
    <mergeCell ref="Z38:AC38"/>
    <mergeCell ref="Z47:AC47"/>
    <mergeCell ref="D44:R44"/>
    <mergeCell ref="V51:W51"/>
    <mergeCell ref="AM48:BJ48"/>
    <mergeCell ref="AM45:BJ45"/>
    <mergeCell ref="AJ46:AL46"/>
    <mergeCell ref="AJ39:AL39"/>
    <mergeCell ref="AJ41:AL41"/>
    <mergeCell ref="AM41:BJ41"/>
    <mergeCell ref="AJ40:AL40"/>
    <mergeCell ref="AJ42:AL42"/>
    <mergeCell ref="AM47:BJ47"/>
    <mergeCell ref="AM39:BJ39"/>
    <mergeCell ref="AM44:BJ44"/>
    <mergeCell ref="AM40:BJ40"/>
    <mergeCell ref="AJ43:AL43"/>
    <mergeCell ref="AJ44:AL44"/>
    <mergeCell ref="AJ45:AL45"/>
    <mergeCell ref="AJ48:AL48"/>
    <mergeCell ref="AJ20:AL20"/>
    <mergeCell ref="S51:U51"/>
    <mergeCell ref="AG51:AI51"/>
    <mergeCell ref="AJ50:AL50"/>
    <mergeCell ref="AJ51:AL51"/>
    <mergeCell ref="AG45:AI45"/>
    <mergeCell ref="AD50:AF50"/>
    <mergeCell ref="AG50:AI50"/>
    <mergeCell ref="AG46:AI46"/>
    <mergeCell ref="AD48:AF48"/>
    <mergeCell ref="AG48:AI48"/>
    <mergeCell ref="AD31:AF31"/>
    <mergeCell ref="Z44:AC44"/>
    <mergeCell ref="Z45:AC45"/>
    <mergeCell ref="S43:U43"/>
    <mergeCell ref="S44:U44"/>
    <mergeCell ref="S45:U45"/>
    <mergeCell ref="V45:W45"/>
    <mergeCell ref="S38:U38"/>
    <mergeCell ref="AJ49:AL49"/>
    <mergeCell ref="AJ21:AL21"/>
    <mergeCell ref="X51:Y51"/>
    <mergeCell ref="AJ38:AL38"/>
    <mergeCell ref="S41:U41"/>
    <mergeCell ref="A20:C20"/>
    <mergeCell ref="D20:R20"/>
    <mergeCell ref="S20:U20"/>
    <mergeCell ref="D23:R23"/>
    <mergeCell ref="A23:C23"/>
    <mergeCell ref="V23:W23"/>
    <mergeCell ref="AM20:BJ20"/>
    <mergeCell ref="AM42:BJ42"/>
    <mergeCell ref="S37:U37"/>
    <mergeCell ref="AG38:AI38"/>
    <mergeCell ref="V20:W20"/>
    <mergeCell ref="X20:Y20"/>
    <mergeCell ref="Z20:AC20"/>
    <mergeCell ref="AD20:AF20"/>
    <mergeCell ref="AG20:AI20"/>
    <mergeCell ref="X41:Y41"/>
    <mergeCell ref="Z41:AC41"/>
    <mergeCell ref="AG21:AI21"/>
    <mergeCell ref="AM38:BJ38"/>
    <mergeCell ref="S42:U42"/>
    <mergeCell ref="V42:W42"/>
    <mergeCell ref="X42:Y42"/>
    <mergeCell ref="Z42:AC42"/>
    <mergeCell ref="A31:C31"/>
    <mergeCell ref="AM21:BJ21"/>
    <mergeCell ref="A22:C22"/>
    <mergeCell ref="D22:R22"/>
    <mergeCell ref="S22:U22"/>
    <mergeCell ref="V22:W22"/>
    <mergeCell ref="X22:Y22"/>
    <mergeCell ref="AD22:AF22"/>
    <mergeCell ref="AG22:AI22"/>
    <mergeCell ref="AJ22:AL22"/>
    <mergeCell ref="AM22:BJ22"/>
    <mergeCell ref="A21:C21"/>
    <mergeCell ref="D21:R21"/>
    <mergeCell ref="S21:U21"/>
    <mergeCell ref="V21:W21"/>
    <mergeCell ref="X21:Y21"/>
    <mergeCell ref="Z21:AC21"/>
    <mergeCell ref="AD21:AF21"/>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15:C15"/>
    <mergeCell ref="D15:R15"/>
    <mergeCell ref="S15:U15"/>
    <mergeCell ref="V15:W15"/>
    <mergeCell ref="X15:Y15"/>
    <mergeCell ref="Z15:AC15"/>
    <mergeCell ref="AD15:AF15"/>
    <mergeCell ref="AG15:AI15"/>
    <mergeCell ref="AJ15:AL15"/>
    <mergeCell ref="AM15:BJ15"/>
    <mergeCell ref="A19:C19"/>
    <mergeCell ref="D19:R19"/>
    <mergeCell ref="S19:U19"/>
    <mergeCell ref="V19:W19"/>
    <mergeCell ref="X19:Y19"/>
    <mergeCell ref="Z19:AC19"/>
    <mergeCell ref="AD19:AF19"/>
    <mergeCell ref="AG19:AI19"/>
    <mergeCell ref="AJ19:AL19"/>
    <mergeCell ref="AM17:BJ17"/>
    <mergeCell ref="A18:C18"/>
    <mergeCell ref="D18:R18"/>
    <mergeCell ref="S18:U18"/>
    <mergeCell ref="A27:C27"/>
    <mergeCell ref="D27:R27"/>
    <mergeCell ref="V27:W27"/>
    <mergeCell ref="X27:Y27"/>
    <mergeCell ref="Z27:AC27"/>
    <mergeCell ref="AD27:AF27"/>
    <mergeCell ref="AG27:AI27"/>
    <mergeCell ref="AJ27:AL27"/>
    <mergeCell ref="AM27:BJ27"/>
    <mergeCell ref="S27:U27"/>
    <mergeCell ref="AM28:BJ28"/>
    <mergeCell ref="A29:C29"/>
    <mergeCell ref="D29:R29"/>
    <mergeCell ref="V29:W29"/>
    <mergeCell ref="X29:Y29"/>
    <mergeCell ref="Z29:AC29"/>
    <mergeCell ref="AD29:AF29"/>
    <mergeCell ref="AG29:AI29"/>
    <mergeCell ref="AJ29:AL29"/>
    <mergeCell ref="AM29:BJ29"/>
    <mergeCell ref="A28:C28"/>
    <mergeCell ref="D28:R28"/>
    <mergeCell ref="S28:U28"/>
    <mergeCell ref="V28:W28"/>
    <mergeCell ref="X28:Y28"/>
    <mergeCell ref="AD28:AF28"/>
    <mergeCell ref="AG28:AI28"/>
    <mergeCell ref="AJ28:AL28"/>
    <mergeCell ref="S29:U29"/>
    <mergeCell ref="A30:C30"/>
    <mergeCell ref="D30:R30"/>
    <mergeCell ref="V30:W30"/>
    <mergeCell ref="X30:Y30"/>
    <mergeCell ref="Z30:AC30"/>
    <mergeCell ref="AD30:AF30"/>
    <mergeCell ref="AG30:AI30"/>
    <mergeCell ref="AJ30:AL30"/>
    <mergeCell ref="AM30:BJ30"/>
    <mergeCell ref="S30:U30"/>
    <mergeCell ref="AG34:AI34"/>
    <mergeCell ref="AJ34:AL34"/>
    <mergeCell ref="AM34:BJ34"/>
    <mergeCell ref="S33:U33"/>
    <mergeCell ref="S34:U34"/>
    <mergeCell ref="AM32:BJ32"/>
    <mergeCell ref="A32:C32"/>
    <mergeCell ref="D32:R32"/>
    <mergeCell ref="S32:U32"/>
    <mergeCell ref="V32:W32"/>
    <mergeCell ref="X32:Y32"/>
    <mergeCell ref="AD32:AF32"/>
    <mergeCell ref="AG32:AI32"/>
    <mergeCell ref="AJ32:AL32"/>
    <mergeCell ref="S25:U25"/>
    <mergeCell ref="AJ36:AL36"/>
    <mergeCell ref="AM36:BJ36"/>
    <mergeCell ref="A16:C16"/>
    <mergeCell ref="D16:R16"/>
    <mergeCell ref="V16:W16"/>
    <mergeCell ref="X16:Y16"/>
    <mergeCell ref="Z16:AC16"/>
    <mergeCell ref="AD16:AF16"/>
    <mergeCell ref="AG16:AI16"/>
    <mergeCell ref="AJ16:AL16"/>
    <mergeCell ref="AM16:BJ16"/>
    <mergeCell ref="AM35:BJ35"/>
    <mergeCell ref="A35:C35"/>
    <mergeCell ref="D35:R35"/>
    <mergeCell ref="AJ35:AL35"/>
    <mergeCell ref="AJ33:AL33"/>
    <mergeCell ref="AM33:BJ33"/>
    <mergeCell ref="A34:C34"/>
    <mergeCell ref="D34:R34"/>
    <mergeCell ref="V34:W34"/>
    <mergeCell ref="X34:Y34"/>
    <mergeCell ref="Z34:AC34"/>
    <mergeCell ref="AD34:AF34"/>
  </mergeCells>
  <phoneticPr fontId="3"/>
  <pageMargins left="0.74803149606299213" right="0.39370078740157483" top="0.51181102362204722" bottom="0.86614173228346458" header="0.74803149606299213" footer="0.35433070866141736"/>
  <pageSetup paperSize="9" scale="68"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4F6C-BFAD-4E18-968A-5FD01AF17CE9}">
  <sheetPr codeName="Sheet12"/>
  <dimension ref="A1:BK42"/>
  <sheetViews>
    <sheetView view="pageBreakPreview" zoomScaleNormal="100" zoomScaleSheetLayoutView="100" workbookViewId="0"/>
  </sheetViews>
  <sheetFormatPr defaultColWidth="1.90625" defaultRowHeight="14"/>
  <cols>
    <col min="1" max="89" width="2.08984375" style="18" customWidth="1"/>
    <col min="90"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65</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66</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36" t="s">
        <v>39</v>
      </c>
      <c r="B8" s="337"/>
      <c r="C8" s="338"/>
      <c r="D8" s="336" t="s">
        <v>40</v>
      </c>
      <c r="E8" s="337"/>
      <c r="F8" s="337"/>
      <c r="G8" s="337"/>
      <c r="H8" s="337"/>
      <c r="I8" s="337"/>
      <c r="J8" s="337"/>
      <c r="K8" s="337"/>
      <c r="L8" s="337"/>
      <c r="M8" s="337"/>
      <c r="N8" s="337"/>
      <c r="O8" s="337"/>
      <c r="P8" s="337"/>
      <c r="Q8" s="338"/>
      <c r="R8" s="561" t="s">
        <v>68</v>
      </c>
      <c r="S8" s="562"/>
      <c r="T8" s="563"/>
      <c r="U8" s="561" t="s">
        <v>69</v>
      </c>
      <c r="V8" s="562"/>
      <c r="W8" s="563"/>
      <c r="X8" s="561" t="s">
        <v>70</v>
      </c>
      <c r="Y8" s="562"/>
      <c r="Z8" s="563"/>
      <c r="AA8" s="561" t="s">
        <v>71</v>
      </c>
      <c r="AB8" s="562"/>
      <c r="AC8" s="563"/>
      <c r="AD8" s="561" t="s">
        <v>72</v>
      </c>
      <c r="AE8" s="562"/>
      <c r="AF8" s="563"/>
      <c r="AG8" s="336" t="s">
        <v>73</v>
      </c>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c r="BK8" s="18" t="s">
        <v>484</v>
      </c>
    </row>
    <row r="9" spans="1:63" ht="30" customHeight="1">
      <c r="A9" s="558">
        <f t="shared" ref="A9:A11" si="0">ROW()-8</f>
        <v>1</v>
      </c>
      <c r="B9" s="559"/>
      <c r="C9" s="560"/>
      <c r="D9" s="446" t="s">
        <v>309</v>
      </c>
      <c r="E9" s="447"/>
      <c r="F9" s="447"/>
      <c r="G9" s="447"/>
      <c r="H9" s="447"/>
      <c r="I9" s="447"/>
      <c r="J9" s="447"/>
      <c r="K9" s="447"/>
      <c r="L9" s="447"/>
      <c r="M9" s="447"/>
      <c r="N9" s="447"/>
      <c r="O9" s="447"/>
      <c r="P9" s="447"/>
      <c r="Q9" s="448"/>
      <c r="R9" s="449" t="s">
        <v>250</v>
      </c>
      <c r="S9" s="450"/>
      <c r="T9" s="451"/>
      <c r="U9" s="449"/>
      <c r="V9" s="450"/>
      <c r="W9" s="451"/>
      <c r="X9" s="449"/>
      <c r="Y9" s="450"/>
      <c r="Z9" s="451"/>
      <c r="AA9" s="449"/>
      <c r="AB9" s="450"/>
      <c r="AC9" s="451"/>
      <c r="AD9" s="449"/>
      <c r="AE9" s="450"/>
      <c r="AF9" s="451"/>
      <c r="AG9" s="553" t="s">
        <v>488</v>
      </c>
      <c r="AH9" s="554"/>
      <c r="AI9" s="554"/>
      <c r="AJ9" s="554"/>
      <c r="AK9" s="554"/>
      <c r="AL9" s="554"/>
      <c r="AM9" s="554"/>
      <c r="AN9" s="554"/>
      <c r="AO9" s="554"/>
      <c r="AP9" s="554"/>
      <c r="AQ9" s="554"/>
      <c r="AR9" s="554"/>
      <c r="AS9" s="554"/>
      <c r="AT9" s="554"/>
      <c r="AU9" s="554"/>
      <c r="AV9" s="554"/>
      <c r="AW9" s="554"/>
      <c r="AX9" s="554"/>
      <c r="AY9" s="554"/>
      <c r="AZ9" s="554"/>
      <c r="BA9" s="554"/>
      <c r="BB9" s="554"/>
      <c r="BC9" s="555"/>
      <c r="BD9" s="449"/>
      <c r="BE9" s="450"/>
      <c r="BF9" s="450"/>
      <c r="BG9" s="450"/>
      <c r="BH9" s="450"/>
      <c r="BI9" s="450"/>
      <c r="BJ9" s="451"/>
      <c r="BK9" s="18" t="s">
        <v>486</v>
      </c>
    </row>
    <row r="10" spans="1:63" ht="45" customHeight="1">
      <c r="A10" s="558">
        <f t="shared" si="0"/>
        <v>2</v>
      </c>
      <c r="B10" s="559"/>
      <c r="C10" s="560"/>
      <c r="D10" s="446"/>
      <c r="E10" s="447"/>
      <c r="F10" s="447"/>
      <c r="G10" s="447"/>
      <c r="H10" s="447"/>
      <c r="I10" s="447"/>
      <c r="J10" s="447"/>
      <c r="K10" s="447"/>
      <c r="L10" s="447"/>
      <c r="M10" s="447"/>
      <c r="N10" s="447"/>
      <c r="O10" s="447"/>
      <c r="P10" s="447"/>
      <c r="Q10" s="448"/>
      <c r="R10" s="449"/>
      <c r="S10" s="450"/>
      <c r="T10" s="451"/>
      <c r="U10" s="449" t="s">
        <v>368</v>
      </c>
      <c r="V10" s="450"/>
      <c r="W10" s="451"/>
      <c r="X10" s="449"/>
      <c r="Y10" s="450"/>
      <c r="Z10" s="451"/>
      <c r="AA10" s="449"/>
      <c r="AB10" s="450"/>
      <c r="AC10" s="451"/>
      <c r="AD10" s="449"/>
      <c r="AE10" s="450"/>
      <c r="AF10" s="451"/>
      <c r="AG10" s="553" t="s">
        <v>489</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49"/>
      <c r="BE10" s="450"/>
      <c r="BF10" s="450"/>
      <c r="BG10" s="450"/>
      <c r="BH10" s="450"/>
      <c r="BI10" s="450"/>
      <c r="BJ10" s="451"/>
      <c r="BK10" s="18" t="s">
        <v>483</v>
      </c>
    </row>
    <row r="11" spans="1:63" ht="30" customHeight="1">
      <c r="A11" s="558">
        <f t="shared" si="0"/>
        <v>3</v>
      </c>
      <c r="B11" s="559"/>
      <c r="C11" s="560"/>
      <c r="D11" s="446"/>
      <c r="E11" s="447"/>
      <c r="F11" s="447"/>
      <c r="G11" s="447"/>
      <c r="H11" s="447"/>
      <c r="I11" s="447"/>
      <c r="J11" s="447"/>
      <c r="K11" s="447"/>
      <c r="L11" s="447"/>
      <c r="M11" s="447"/>
      <c r="N11" s="447"/>
      <c r="O11" s="447"/>
      <c r="P11" s="447"/>
      <c r="Q11" s="448"/>
      <c r="R11" s="449"/>
      <c r="S11" s="450"/>
      <c r="T11" s="451"/>
      <c r="U11" s="449"/>
      <c r="V11" s="450"/>
      <c r="W11" s="451"/>
      <c r="X11" s="449"/>
      <c r="Y11" s="450"/>
      <c r="Z11" s="451"/>
      <c r="AA11" s="449"/>
      <c r="AB11" s="450"/>
      <c r="AC11" s="451"/>
      <c r="AD11" s="449" t="s">
        <v>250</v>
      </c>
      <c r="AE11" s="450"/>
      <c r="AF11" s="451"/>
      <c r="AG11" s="553" t="s">
        <v>490</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49"/>
      <c r="BE11" s="450"/>
      <c r="BF11" s="450"/>
      <c r="BG11" s="450"/>
      <c r="BH11" s="450"/>
      <c r="BI11" s="450"/>
      <c r="BJ11" s="451"/>
      <c r="BK11" s="18" t="s">
        <v>487</v>
      </c>
    </row>
    <row r="12" spans="1:63" s="19" customFormat="1" ht="30" customHeight="1">
      <c r="A12" s="558">
        <f>ROW()-8</f>
        <v>4</v>
      </c>
      <c r="B12" s="559"/>
      <c r="C12" s="560"/>
      <c r="D12" s="446" t="s">
        <v>36</v>
      </c>
      <c r="E12" s="447"/>
      <c r="F12" s="447"/>
      <c r="G12" s="447"/>
      <c r="H12" s="447"/>
      <c r="I12" s="447"/>
      <c r="J12" s="447"/>
      <c r="K12" s="447"/>
      <c r="L12" s="447"/>
      <c r="M12" s="447"/>
      <c r="N12" s="447"/>
      <c r="O12" s="447"/>
      <c r="P12" s="447"/>
      <c r="Q12" s="448"/>
      <c r="R12" s="449" t="s">
        <v>250</v>
      </c>
      <c r="S12" s="450"/>
      <c r="T12" s="451"/>
      <c r="U12" s="449"/>
      <c r="V12" s="450"/>
      <c r="W12" s="451"/>
      <c r="X12" s="449"/>
      <c r="Y12" s="450"/>
      <c r="Z12" s="451"/>
      <c r="AA12" s="449"/>
      <c r="AB12" s="450"/>
      <c r="AC12" s="451"/>
      <c r="AD12" s="449"/>
      <c r="AE12" s="450"/>
      <c r="AF12" s="451"/>
      <c r="AG12" s="553" t="s">
        <v>491</v>
      </c>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449"/>
      <c r="BE12" s="450"/>
      <c r="BF12" s="450"/>
      <c r="BG12" s="450"/>
      <c r="BH12" s="450"/>
      <c r="BI12" s="450"/>
      <c r="BJ12" s="451"/>
      <c r="BK12" s="19" t="s">
        <v>486</v>
      </c>
    </row>
    <row r="13" spans="1:63" ht="30" customHeight="1">
      <c r="A13" s="658">
        <f t="shared" ref="A13" si="1">ROW()-8</f>
        <v>5</v>
      </c>
      <c r="B13" s="559"/>
      <c r="C13" s="560"/>
      <c r="D13" s="446"/>
      <c r="E13" s="447"/>
      <c r="F13" s="447"/>
      <c r="G13" s="447"/>
      <c r="H13" s="447"/>
      <c r="I13" s="447"/>
      <c r="J13" s="447"/>
      <c r="K13" s="447"/>
      <c r="L13" s="447"/>
      <c r="M13" s="447"/>
      <c r="N13" s="447"/>
      <c r="O13" s="447"/>
      <c r="P13" s="447"/>
      <c r="Q13" s="448"/>
      <c r="R13" s="659"/>
      <c r="S13" s="660"/>
      <c r="T13" s="661"/>
      <c r="U13" s="449"/>
      <c r="V13" s="450"/>
      <c r="W13" s="451"/>
      <c r="X13" s="449"/>
      <c r="Y13" s="450"/>
      <c r="Z13" s="451"/>
      <c r="AA13" s="449" t="s">
        <v>250</v>
      </c>
      <c r="AB13" s="450"/>
      <c r="AC13" s="451"/>
      <c r="AD13" s="449"/>
      <c r="AE13" s="450"/>
      <c r="AF13" s="451"/>
      <c r="AG13" s="553" t="s">
        <v>209</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49"/>
      <c r="BE13" s="450"/>
      <c r="BF13" s="450"/>
      <c r="BG13" s="450"/>
      <c r="BH13" s="450"/>
      <c r="BI13" s="450"/>
      <c r="BJ13" s="451"/>
      <c r="BK13" s="18" t="s">
        <v>481</v>
      </c>
    </row>
    <row r="14" spans="1:63" ht="24" customHeight="1">
      <c r="A14" s="658">
        <f>ROW()-8</f>
        <v>6</v>
      </c>
      <c r="B14" s="559"/>
      <c r="C14" s="560"/>
      <c r="D14" s="446" t="s">
        <v>32</v>
      </c>
      <c r="E14" s="447"/>
      <c r="F14" s="447"/>
      <c r="G14" s="447"/>
      <c r="H14" s="447"/>
      <c r="I14" s="447"/>
      <c r="J14" s="447"/>
      <c r="K14" s="447"/>
      <c r="L14" s="447"/>
      <c r="M14" s="447"/>
      <c r="N14" s="447"/>
      <c r="O14" s="447"/>
      <c r="P14" s="447"/>
      <c r="Q14" s="448"/>
      <c r="R14" s="449" t="s">
        <v>250</v>
      </c>
      <c r="S14" s="450"/>
      <c r="T14" s="451"/>
      <c r="U14" s="449"/>
      <c r="V14" s="450"/>
      <c r="W14" s="451"/>
      <c r="X14" s="449"/>
      <c r="Y14" s="450"/>
      <c r="Z14" s="451"/>
      <c r="AA14" s="449"/>
      <c r="AB14" s="450"/>
      <c r="AC14" s="451"/>
      <c r="AD14" s="449"/>
      <c r="AE14" s="450"/>
      <c r="AF14" s="451"/>
      <c r="AG14" s="553" t="s">
        <v>492</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49"/>
      <c r="BE14" s="450"/>
      <c r="BF14" s="450"/>
      <c r="BG14" s="450"/>
      <c r="BH14" s="450"/>
      <c r="BI14" s="450"/>
      <c r="BJ14" s="451"/>
      <c r="BK14" s="18" t="s">
        <v>486</v>
      </c>
    </row>
    <row r="15" spans="1:63" ht="30" customHeight="1">
      <c r="A15" s="558">
        <f t="shared" ref="A15" si="2">ROW()-8</f>
        <v>7</v>
      </c>
      <c r="B15" s="559"/>
      <c r="C15" s="560"/>
      <c r="D15" s="446"/>
      <c r="E15" s="447"/>
      <c r="F15" s="447"/>
      <c r="G15" s="447"/>
      <c r="H15" s="447"/>
      <c r="I15" s="447"/>
      <c r="J15" s="447"/>
      <c r="K15" s="447"/>
      <c r="L15" s="447"/>
      <c r="M15" s="447"/>
      <c r="N15" s="447"/>
      <c r="O15" s="447"/>
      <c r="P15" s="447"/>
      <c r="Q15" s="448"/>
      <c r="R15" s="449"/>
      <c r="S15" s="450"/>
      <c r="T15" s="451"/>
      <c r="U15" s="449"/>
      <c r="V15" s="450"/>
      <c r="W15" s="451"/>
      <c r="X15" s="449"/>
      <c r="Y15" s="450"/>
      <c r="Z15" s="451"/>
      <c r="AA15" s="449" t="s">
        <v>250</v>
      </c>
      <c r="AB15" s="450"/>
      <c r="AC15" s="451"/>
      <c r="AD15" s="449"/>
      <c r="AE15" s="450"/>
      <c r="AF15" s="451"/>
      <c r="AG15" s="553" t="s">
        <v>121</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49"/>
      <c r="BE15" s="450"/>
      <c r="BF15" s="450"/>
      <c r="BG15" s="450"/>
      <c r="BH15" s="450"/>
      <c r="BI15" s="450"/>
      <c r="BJ15" s="451"/>
      <c r="BK15" s="18" t="s">
        <v>481</v>
      </c>
    </row>
    <row r="16" spans="1:63" ht="30" customHeight="1">
      <c r="A16" s="658">
        <f>ROW()-8</f>
        <v>8</v>
      </c>
      <c r="B16" s="559"/>
      <c r="C16" s="560"/>
      <c r="D16" s="446" t="s">
        <v>294</v>
      </c>
      <c r="E16" s="447"/>
      <c r="F16" s="447"/>
      <c r="G16" s="447"/>
      <c r="H16" s="447"/>
      <c r="I16" s="447"/>
      <c r="J16" s="447"/>
      <c r="K16" s="447"/>
      <c r="L16" s="447"/>
      <c r="M16" s="447"/>
      <c r="N16" s="447"/>
      <c r="O16" s="447"/>
      <c r="P16" s="447"/>
      <c r="Q16" s="448"/>
      <c r="R16" s="449" t="s">
        <v>250</v>
      </c>
      <c r="S16" s="450"/>
      <c r="T16" s="451"/>
      <c r="U16" s="449"/>
      <c r="V16" s="450"/>
      <c r="W16" s="451"/>
      <c r="X16" s="449"/>
      <c r="Y16" s="450"/>
      <c r="Z16" s="451"/>
      <c r="AA16" s="449"/>
      <c r="AB16" s="450"/>
      <c r="AC16" s="451"/>
      <c r="AD16" s="449"/>
      <c r="AE16" s="450"/>
      <c r="AF16" s="451"/>
      <c r="AG16" s="553" t="s">
        <v>493</v>
      </c>
      <c r="AH16" s="554"/>
      <c r="AI16" s="554"/>
      <c r="AJ16" s="554"/>
      <c r="AK16" s="554"/>
      <c r="AL16" s="554"/>
      <c r="AM16" s="554"/>
      <c r="AN16" s="554"/>
      <c r="AO16" s="554"/>
      <c r="AP16" s="554"/>
      <c r="AQ16" s="554"/>
      <c r="AR16" s="554"/>
      <c r="AS16" s="554"/>
      <c r="AT16" s="554"/>
      <c r="AU16" s="554"/>
      <c r="AV16" s="554"/>
      <c r="AW16" s="554"/>
      <c r="AX16" s="554"/>
      <c r="AY16" s="554"/>
      <c r="AZ16" s="554"/>
      <c r="BA16" s="554"/>
      <c r="BB16" s="554"/>
      <c r="BC16" s="555"/>
      <c r="BD16" s="449"/>
      <c r="BE16" s="450"/>
      <c r="BF16" s="450"/>
      <c r="BG16" s="450"/>
      <c r="BH16" s="450"/>
      <c r="BI16" s="450"/>
      <c r="BJ16" s="451"/>
      <c r="BK16" s="18" t="s">
        <v>486</v>
      </c>
    </row>
    <row r="17" spans="1:63" ht="44.9" customHeight="1">
      <c r="A17" s="658">
        <f t="shared" ref="A17:A27" si="3">ROW()-8</f>
        <v>9</v>
      </c>
      <c r="B17" s="559"/>
      <c r="C17" s="560"/>
      <c r="D17" s="446"/>
      <c r="E17" s="447"/>
      <c r="F17" s="447"/>
      <c r="G17" s="447"/>
      <c r="H17" s="447"/>
      <c r="I17" s="447"/>
      <c r="J17" s="447"/>
      <c r="K17" s="447"/>
      <c r="L17" s="447"/>
      <c r="M17" s="447"/>
      <c r="N17" s="447"/>
      <c r="O17" s="447"/>
      <c r="P17" s="447"/>
      <c r="Q17" s="448"/>
      <c r="R17" s="449"/>
      <c r="S17" s="450"/>
      <c r="T17" s="451"/>
      <c r="U17" s="449" t="s">
        <v>368</v>
      </c>
      <c r="V17" s="450"/>
      <c r="W17" s="451"/>
      <c r="X17" s="449"/>
      <c r="Y17" s="450"/>
      <c r="Z17" s="451"/>
      <c r="AA17" s="449"/>
      <c r="AB17" s="450"/>
      <c r="AC17" s="451"/>
      <c r="AD17" s="449"/>
      <c r="AE17" s="450"/>
      <c r="AF17" s="451"/>
      <c r="AG17" s="553" t="s">
        <v>494</v>
      </c>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49"/>
      <c r="BE17" s="450"/>
      <c r="BF17" s="450"/>
      <c r="BG17" s="450"/>
      <c r="BH17" s="450"/>
      <c r="BI17" s="450"/>
      <c r="BJ17" s="451"/>
      <c r="BK17" s="18" t="s">
        <v>483</v>
      </c>
    </row>
    <row r="18" spans="1:63" ht="30" customHeight="1">
      <c r="A18" s="658">
        <f t="shared" si="3"/>
        <v>10</v>
      </c>
      <c r="B18" s="559"/>
      <c r="C18" s="560"/>
      <c r="D18" s="446" t="s">
        <v>378</v>
      </c>
      <c r="E18" s="447"/>
      <c r="F18" s="447"/>
      <c r="G18" s="447"/>
      <c r="H18" s="447"/>
      <c r="I18" s="447"/>
      <c r="J18" s="447"/>
      <c r="K18" s="447"/>
      <c r="L18" s="447"/>
      <c r="M18" s="447"/>
      <c r="N18" s="447"/>
      <c r="O18" s="447"/>
      <c r="P18" s="447"/>
      <c r="Q18" s="448"/>
      <c r="R18" s="449" t="s">
        <v>250</v>
      </c>
      <c r="S18" s="450"/>
      <c r="T18" s="451"/>
      <c r="U18" s="449"/>
      <c r="V18" s="450"/>
      <c r="W18" s="451"/>
      <c r="X18" s="449"/>
      <c r="Y18" s="450"/>
      <c r="Z18" s="451"/>
      <c r="AA18" s="449"/>
      <c r="AB18" s="450"/>
      <c r="AC18" s="451"/>
      <c r="AD18" s="449"/>
      <c r="AE18" s="450"/>
      <c r="AF18" s="451"/>
      <c r="AG18" s="553" t="s">
        <v>495</v>
      </c>
      <c r="AH18" s="554"/>
      <c r="AI18" s="554"/>
      <c r="AJ18" s="554"/>
      <c r="AK18" s="554"/>
      <c r="AL18" s="554"/>
      <c r="AM18" s="554"/>
      <c r="AN18" s="554"/>
      <c r="AO18" s="554"/>
      <c r="AP18" s="554"/>
      <c r="AQ18" s="554"/>
      <c r="AR18" s="554"/>
      <c r="AS18" s="554"/>
      <c r="AT18" s="554"/>
      <c r="AU18" s="554"/>
      <c r="AV18" s="554"/>
      <c r="AW18" s="554"/>
      <c r="AX18" s="554"/>
      <c r="AY18" s="554"/>
      <c r="AZ18" s="554"/>
      <c r="BA18" s="554"/>
      <c r="BB18" s="554"/>
      <c r="BC18" s="555"/>
      <c r="BD18" s="449"/>
      <c r="BE18" s="450"/>
      <c r="BF18" s="450"/>
      <c r="BG18" s="450"/>
      <c r="BH18" s="450"/>
      <c r="BI18" s="450"/>
      <c r="BJ18" s="451"/>
      <c r="BK18" s="18" t="s">
        <v>486</v>
      </c>
    </row>
    <row r="19" spans="1:63" ht="30" customHeight="1">
      <c r="A19" s="546">
        <f t="shared" si="3"/>
        <v>11</v>
      </c>
      <c r="B19" s="547"/>
      <c r="C19" s="548"/>
      <c r="D19" s="446"/>
      <c r="E19" s="447"/>
      <c r="F19" s="447"/>
      <c r="G19" s="447"/>
      <c r="H19" s="447"/>
      <c r="I19" s="447"/>
      <c r="J19" s="447"/>
      <c r="K19" s="447"/>
      <c r="L19" s="447"/>
      <c r="M19" s="447"/>
      <c r="N19" s="447"/>
      <c r="O19" s="447"/>
      <c r="P19" s="447"/>
      <c r="Q19" s="448"/>
      <c r="R19" s="449"/>
      <c r="S19" s="450"/>
      <c r="T19" s="451"/>
      <c r="U19" s="449"/>
      <c r="V19" s="450"/>
      <c r="W19" s="451"/>
      <c r="X19" s="449"/>
      <c r="Y19" s="450"/>
      <c r="Z19" s="451"/>
      <c r="AA19" s="449" t="s">
        <v>250</v>
      </c>
      <c r="AB19" s="450"/>
      <c r="AC19" s="451"/>
      <c r="AD19" s="449"/>
      <c r="AE19" s="450"/>
      <c r="AF19" s="451"/>
      <c r="AG19" s="553" t="s">
        <v>122</v>
      </c>
      <c r="AH19" s="554"/>
      <c r="AI19" s="554"/>
      <c r="AJ19" s="554"/>
      <c r="AK19" s="554"/>
      <c r="AL19" s="554"/>
      <c r="AM19" s="554"/>
      <c r="AN19" s="554"/>
      <c r="AO19" s="554"/>
      <c r="AP19" s="554"/>
      <c r="AQ19" s="554"/>
      <c r="AR19" s="554"/>
      <c r="AS19" s="554"/>
      <c r="AT19" s="554"/>
      <c r="AU19" s="554"/>
      <c r="AV19" s="554"/>
      <c r="AW19" s="554"/>
      <c r="AX19" s="554"/>
      <c r="AY19" s="554"/>
      <c r="AZ19" s="554"/>
      <c r="BA19" s="554"/>
      <c r="BB19" s="554"/>
      <c r="BC19" s="555"/>
      <c r="BD19" s="449"/>
      <c r="BE19" s="450"/>
      <c r="BF19" s="450"/>
      <c r="BG19" s="450"/>
      <c r="BH19" s="450"/>
      <c r="BI19" s="450"/>
      <c r="BJ19" s="451"/>
      <c r="BK19" s="18" t="s">
        <v>481</v>
      </c>
    </row>
    <row r="20" spans="1:63" ht="30" customHeight="1">
      <c r="A20" s="658">
        <f t="shared" si="3"/>
        <v>12</v>
      </c>
      <c r="B20" s="559"/>
      <c r="C20" s="560"/>
      <c r="D20" s="567" t="s">
        <v>57</v>
      </c>
      <c r="E20" s="568"/>
      <c r="F20" s="568"/>
      <c r="G20" s="568"/>
      <c r="H20" s="568"/>
      <c r="I20" s="568"/>
      <c r="J20" s="568"/>
      <c r="K20" s="568"/>
      <c r="L20" s="568"/>
      <c r="M20" s="568"/>
      <c r="N20" s="568"/>
      <c r="O20" s="568"/>
      <c r="P20" s="568"/>
      <c r="Q20" s="569"/>
      <c r="R20" s="449" t="s">
        <v>37</v>
      </c>
      <c r="S20" s="450"/>
      <c r="T20" s="451"/>
      <c r="U20" s="449"/>
      <c r="V20" s="450"/>
      <c r="W20" s="451"/>
      <c r="X20" s="449"/>
      <c r="Y20" s="450"/>
      <c r="Z20" s="451"/>
      <c r="AA20" s="449"/>
      <c r="AB20" s="450"/>
      <c r="AC20" s="451"/>
      <c r="AD20" s="449"/>
      <c r="AE20" s="450"/>
      <c r="AF20" s="451"/>
      <c r="AG20" s="553" t="s">
        <v>496</v>
      </c>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49"/>
      <c r="BE20" s="450"/>
      <c r="BF20" s="450"/>
      <c r="BG20" s="450"/>
      <c r="BH20" s="450"/>
      <c r="BI20" s="450"/>
      <c r="BJ20" s="451"/>
      <c r="BK20" s="18" t="s">
        <v>486</v>
      </c>
    </row>
    <row r="21" spans="1:63" ht="30" customHeight="1">
      <c r="A21" s="658">
        <f t="shared" si="3"/>
        <v>13</v>
      </c>
      <c r="B21" s="559"/>
      <c r="C21" s="560"/>
      <c r="D21" s="446"/>
      <c r="E21" s="447"/>
      <c r="F21" s="447"/>
      <c r="G21" s="447"/>
      <c r="H21" s="447"/>
      <c r="I21" s="447"/>
      <c r="J21" s="447"/>
      <c r="K21" s="447"/>
      <c r="L21" s="447"/>
      <c r="M21" s="447"/>
      <c r="N21" s="447"/>
      <c r="O21" s="447"/>
      <c r="P21" s="447"/>
      <c r="Q21" s="448"/>
      <c r="R21" s="449"/>
      <c r="S21" s="450"/>
      <c r="T21" s="451"/>
      <c r="U21" s="449"/>
      <c r="V21" s="450"/>
      <c r="W21" s="451"/>
      <c r="X21" s="453" t="s">
        <v>250</v>
      </c>
      <c r="Y21" s="454"/>
      <c r="Z21" s="455"/>
      <c r="AA21" s="453"/>
      <c r="AB21" s="454"/>
      <c r="AC21" s="455"/>
      <c r="AD21" s="453"/>
      <c r="AE21" s="454"/>
      <c r="AF21" s="455"/>
      <c r="AG21" s="553" t="s">
        <v>430</v>
      </c>
      <c r="AH21" s="554"/>
      <c r="AI21" s="554"/>
      <c r="AJ21" s="554"/>
      <c r="AK21" s="554"/>
      <c r="AL21" s="554"/>
      <c r="AM21" s="554"/>
      <c r="AN21" s="554"/>
      <c r="AO21" s="554"/>
      <c r="AP21" s="554"/>
      <c r="AQ21" s="554"/>
      <c r="AR21" s="554"/>
      <c r="AS21" s="554"/>
      <c r="AT21" s="554"/>
      <c r="AU21" s="554"/>
      <c r="AV21" s="554"/>
      <c r="AW21" s="554"/>
      <c r="AX21" s="554"/>
      <c r="AY21" s="554"/>
      <c r="AZ21" s="554"/>
      <c r="BA21" s="554"/>
      <c r="BB21" s="554"/>
      <c r="BC21" s="555"/>
      <c r="BD21" s="449"/>
      <c r="BE21" s="450"/>
      <c r="BF21" s="450"/>
      <c r="BG21" s="450"/>
      <c r="BH21" s="450"/>
      <c r="BI21" s="450"/>
      <c r="BJ21" s="451"/>
      <c r="BK21" s="18" t="s">
        <v>482</v>
      </c>
    </row>
    <row r="22" spans="1:63" ht="30" customHeight="1">
      <c r="A22" s="546">
        <f t="shared" si="3"/>
        <v>14</v>
      </c>
      <c r="B22" s="547"/>
      <c r="C22" s="548"/>
      <c r="D22" s="567" t="s">
        <v>377</v>
      </c>
      <c r="E22" s="568"/>
      <c r="F22" s="568"/>
      <c r="G22" s="568"/>
      <c r="H22" s="568"/>
      <c r="I22" s="568"/>
      <c r="J22" s="568"/>
      <c r="K22" s="568"/>
      <c r="L22" s="568"/>
      <c r="M22" s="568"/>
      <c r="N22" s="568"/>
      <c r="O22" s="568"/>
      <c r="P22" s="568"/>
      <c r="Q22" s="569"/>
      <c r="R22" s="449" t="s">
        <v>37</v>
      </c>
      <c r="S22" s="450"/>
      <c r="T22" s="451"/>
      <c r="U22" s="449"/>
      <c r="V22" s="450"/>
      <c r="W22" s="451"/>
      <c r="X22" s="449"/>
      <c r="Y22" s="450"/>
      <c r="Z22" s="451"/>
      <c r="AA22" s="449"/>
      <c r="AB22" s="450"/>
      <c r="AC22" s="451"/>
      <c r="AD22" s="449"/>
      <c r="AE22" s="450"/>
      <c r="AF22" s="451"/>
      <c r="AG22" s="553" t="s">
        <v>347</v>
      </c>
      <c r="AH22" s="554"/>
      <c r="AI22" s="554"/>
      <c r="AJ22" s="554"/>
      <c r="AK22" s="554"/>
      <c r="AL22" s="554"/>
      <c r="AM22" s="554"/>
      <c r="AN22" s="554"/>
      <c r="AO22" s="554"/>
      <c r="AP22" s="554"/>
      <c r="AQ22" s="554"/>
      <c r="AR22" s="554"/>
      <c r="AS22" s="554"/>
      <c r="AT22" s="554"/>
      <c r="AU22" s="554"/>
      <c r="AV22" s="554"/>
      <c r="AW22" s="554"/>
      <c r="AX22" s="554"/>
      <c r="AY22" s="554"/>
      <c r="AZ22" s="554"/>
      <c r="BA22" s="554"/>
      <c r="BB22" s="554"/>
      <c r="BC22" s="555"/>
      <c r="BD22" s="449"/>
      <c r="BE22" s="450"/>
      <c r="BF22" s="450"/>
      <c r="BG22" s="450"/>
      <c r="BH22" s="450"/>
      <c r="BI22" s="450"/>
      <c r="BJ22" s="451"/>
      <c r="BK22" s="18" t="s">
        <v>486</v>
      </c>
    </row>
    <row r="23" spans="1:63" ht="30" customHeight="1">
      <c r="A23" s="658">
        <f t="shared" si="3"/>
        <v>15</v>
      </c>
      <c r="B23" s="559"/>
      <c r="C23" s="560"/>
      <c r="D23" s="567"/>
      <c r="E23" s="568"/>
      <c r="F23" s="568"/>
      <c r="G23" s="568"/>
      <c r="H23" s="568"/>
      <c r="I23" s="568"/>
      <c r="J23" s="568"/>
      <c r="K23" s="568"/>
      <c r="L23" s="568"/>
      <c r="M23" s="568"/>
      <c r="N23" s="568"/>
      <c r="O23" s="568"/>
      <c r="P23" s="568"/>
      <c r="Q23" s="569"/>
      <c r="R23" s="449"/>
      <c r="S23" s="450"/>
      <c r="T23" s="451"/>
      <c r="U23" s="449"/>
      <c r="V23" s="450"/>
      <c r="W23" s="451"/>
      <c r="X23" s="449" t="s">
        <v>368</v>
      </c>
      <c r="Y23" s="450"/>
      <c r="Z23" s="451"/>
      <c r="AA23" s="449"/>
      <c r="AB23" s="450"/>
      <c r="AC23" s="451"/>
      <c r="AD23" s="449"/>
      <c r="AE23" s="450"/>
      <c r="AF23" s="451"/>
      <c r="AG23" s="553" t="s">
        <v>431</v>
      </c>
      <c r="AH23" s="554"/>
      <c r="AI23" s="554"/>
      <c r="AJ23" s="554"/>
      <c r="AK23" s="554"/>
      <c r="AL23" s="554"/>
      <c r="AM23" s="554"/>
      <c r="AN23" s="554"/>
      <c r="AO23" s="554"/>
      <c r="AP23" s="554"/>
      <c r="AQ23" s="554"/>
      <c r="AR23" s="554"/>
      <c r="AS23" s="554"/>
      <c r="AT23" s="554"/>
      <c r="AU23" s="554"/>
      <c r="AV23" s="554"/>
      <c r="AW23" s="554"/>
      <c r="AX23" s="554"/>
      <c r="AY23" s="554"/>
      <c r="AZ23" s="554"/>
      <c r="BA23" s="554"/>
      <c r="BB23" s="554"/>
      <c r="BC23" s="555"/>
      <c r="BD23" s="449"/>
      <c r="BE23" s="450"/>
      <c r="BF23" s="450"/>
      <c r="BG23" s="450"/>
      <c r="BH23" s="450"/>
      <c r="BI23" s="450"/>
      <c r="BJ23" s="451"/>
      <c r="BK23" s="18" t="s">
        <v>482</v>
      </c>
    </row>
    <row r="24" spans="1:63" ht="30" customHeight="1">
      <c r="A24" s="658">
        <f t="shared" si="3"/>
        <v>16</v>
      </c>
      <c r="B24" s="559"/>
      <c r="C24" s="560"/>
      <c r="D24" s="567" t="s">
        <v>345</v>
      </c>
      <c r="E24" s="568"/>
      <c r="F24" s="568"/>
      <c r="G24" s="568"/>
      <c r="H24" s="568"/>
      <c r="I24" s="568"/>
      <c r="J24" s="568"/>
      <c r="K24" s="568"/>
      <c r="L24" s="568"/>
      <c r="M24" s="568"/>
      <c r="N24" s="568"/>
      <c r="O24" s="568"/>
      <c r="P24" s="568"/>
      <c r="Q24" s="569"/>
      <c r="R24" s="449"/>
      <c r="S24" s="450"/>
      <c r="T24" s="451"/>
      <c r="U24" s="449"/>
      <c r="V24" s="450"/>
      <c r="W24" s="451"/>
      <c r="X24" s="449"/>
      <c r="Y24" s="450"/>
      <c r="Z24" s="451"/>
      <c r="AA24" s="449" t="s">
        <v>250</v>
      </c>
      <c r="AB24" s="450"/>
      <c r="AC24" s="451"/>
      <c r="AD24" s="449"/>
      <c r="AE24" s="450"/>
      <c r="AF24" s="451"/>
      <c r="AG24" s="553" t="s">
        <v>122</v>
      </c>
      <c r="AH24" s="554"/>
      <c r="AI24" s="554"/>
      <c r="AJ24" s="554"/>
      <c r="AK24" s="554"/>
      <c r="AL24" s="554"/>
      <c r="AM24" s="554"/>
      <c r="AN24" s="554"/>
      <c r="AO24" s="554"/>
      <c r="AP24" s="554"/>
      <c r="AQ24" s="554"/>
      <c r="AR24" s="554"/>
      <c r="AS24" s="554"/>
      <c r="AT24" s="554"/>
      <c r="AU24" s="554"/>
      <c r="AV24" s="554"/>
      <c r="AW24" s="554"/>
      <c r="AX24" s="554"/>
      <c r="AY24" s="554"/>
      <c r="AZ24" s="554"/>
      <c r="BA24" s="554"/>
      <c r="BB24" s="554"/>
      <c r="BC24" s="555"/>
      <c r="BD24" s="449"/>
      <c r="BE24" s="450"/>
      <c r="BF24" s="450"/>
      <c r="BG24" s="450"/>
      <c r="BH24" s="450"/>
      <c r="BI24" s="450"/>
      <c r="BJ24" s="451"/>
      <c r="BK24" s="18" t="s">
        <v>481</v>
      </c>
    </row>
    <row r="25" spans="1:63" ht="30" customHeight="1">
      <c r="A25" s="658">
        <f t="shared" si="3"/>
        <v>17</v>
      </c>
      <c r="B25" s="559"/>
      <c r="C25" s="560"/>
      <c r="D25" s="567" t="s">
        <v>139</v>
      </c>
      <c r="E25" s="568"/>
      <c r="F25" s="568"/>
      <c r="G25" s="568"/>
      <c r="H25" s="568"/>
      <c r="I25" s="568"/>
      <c r="J25" s="568"/>
      <c r="K25" s="568"/>
      <c r="L25" s="568"/>
      <c r="M25" s="568"/>
      <c r="N25" s="568"/>
      <c r="O25" s="568"/>
      <c r="P25" s="568"/>
      <c r="Q25" s="569"/>
      <c r="R25" s="449"/>
      <c r="S25" s="450"/>
      <c r="T25" s="451"/>
      <c r="U25" s="449"/>
      <c r="V25" s="450"/>
      <c r="W25" s="451"/>
      <c r="X25" s="449" t="s">
        <v>368</v>
      </c>
      <c r="Y25" s="450"/>
      <c r="Z25" s="451"/>
      <c r="AA25" s="449"/>
      <c r="AB25" s="450"/>
      <c r="AC25" s="451"/>
      <c r="AD25" s="449"/>
      <c r="AE25" s="450"/>
      <c r="AF25" s="451"/>
      <c r="AG25" s="553" t="s">
        <v>431</v>
      </c>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49"/>
      <c r="BE25" s="450"/>
      <c r="BF25" s="450"/>
      <c r="BG25" s="450"/>
      <c r="BH25" s="450"/>
      <c r="BI25" s="450"/>
      <c r="BJ25" s="451"/>
      <c r="BK25" s="18" t="s">
        <v>482</v>
      </c>
    </row>
    <row r="26" spans="1:63" ht="30" customHeight="1">
      <c r="A26" s="658">
        <f t="shared" si="3"/>
        <v>18</v>
      </c>
      <c r="B26" s="559"/>
      <c r="C26" s="560"/>
      <c r="D26" s="567" t="s">
        <v>346</v>
      </c>
      <c r="E26" s="568"/>
      <c r="F26" s="568"/>
      <c r="G26" s="568"/>
      <c r="H26" s="568"/>
      <c r="I26" s="568"/>
      <c r="J26" s="568"/>
      <c r="K26" s="568"/>
      <c r="L26" s="568"/>
      <c r="M26" s="568"/>
      <c r="N26" s="568"/>
      <c r="O26" s="568"/>
      <c r="P26" s="568"/>
      <c r="Q26" s="569"/>
      <c r="R26" s="449"/>
      <c r="S26" s="450"/>
      <c r="T26" s="451"/>
      <c r="U26" s="449"/>
      <c r="V26" s="450"/>
      <c r="W26" s="451"/>
      <c r="X26" s="449"/>
      <c r="Y26" s="450"/>
      <c r="Z26" s="451"/>
      <c r="AA26" s="449" t="s">
        <v>250</v>
      </c>
      <c r="AB26" s="450"/>
      <c r="AC26" s="451"/>
      <c r="AD26" s="449"/>
      <c r="AE26" s="450"/>
      <c r="AF26" s="451"/>
      <c r="AG26" s="553" t="s">
        <v>122</v>
      </c>
      <c r="AH26" s="554"/>
      <c r="AI26" s="554"/>
      <c r="AJ26" s="554"/>
      <c r="AK26" s="554"/>
      <c r="AL26" s="554"/>
      <c r="AM26" s="554"/>
      <c r="AN26" s="554"/>
      <c r="AO26" s="554"/>
      <c r="AP26" s="554"/>
      <c r="AQ26" s="554"/>
      <c r="AR26" s="554"/>
      <c r="AS26" s="554"/>
      <c r="AT26" s="554"/>
      <c r="AU26" s="554"/>
      <c r="AV26" s="554"/>
      <c r="AW26" s="554"/>
      <c r="AX26" s="554"/>
      <c r="AY26" s="554"/>
      <c r="AZ26" s="554"/>
      <c r="BA26" s="554"/>
      <c r="BB26" s="554"/>
      <c r="BC26" s="555"/>
      <c r="BD26" s="449"/>
      <c r="BE26" s="450"/>
      <c r="BF26" s="450"/>
      <c r="BG26" s="450"/>
      <c r="BH26" s="450"/>
      <c r="BI26" s="450"/>
      <c r="BJ26" s="451"/>
      <c r="BK26" s="18" t="s">
        <v>481</v>
      </c>
    </row>
    <row r="27" spans="1:63" ht="30" customHeight="1">
      <c r="A27" s="658">
        <f t="shared" si="3"/>
        <v>19</v>
      </c>
      <c r="B27" s="559"/>
      <c r="C27" s="560"/>
      <c r="D27" s="446" t="s">
        <v>142</v>
      </c>
      <c r="E27" s="447"/>
      <c r="F27" s="447"/>
      <c r="G27" s="447"/>
      <c r="H27" s="447"/>
      <c r="I27" s="447"/>
      <c r="J27" s="447"/>
      <c r="K27" s="447"/>
      <c r="L27" s="447"/>
      <c r="M27" s="447"/>
      <c r="N27" s="447"/>
      <c r="O27" s="447"/>
      <c r="P27" s="447"/>
      <c r="Q27" s="448"/>
      <c r="R27" s="449"/>
      <c r="S27" s="450"/>
      <c r="T27" s="451"/>
      <c r="U27" s="449"/>
      <c r="V27" s="450"/>
      <c r="W27" s="451"/>
      <c r="X27" s="449" t="s">
        <v>368</v>
      </c>
      <c r="Y27" s="450"/>
      <c r="Z27" s="451"/>
      <c r="AA27" s="449"/>
      <c r="AB27" s="450"/>
      <c r="AC27" s="451"/>
      <c r="AD27" s="449"/>
      <c r="AE27" s="450"/>
      <c r="AF27" s="451"/>
      <c r="AG27" s="553" t="s">
        <v>431</v>
      </c>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5"/>
      <c r="BD27" s="449"/>
      <c r="BE27" s="450"/>
      <c r="BF27" s="450"/>
      <c r="BG27" s="450"/>
      <c r="BH27" s="450"/>
      <c r="BI27" s="450"/>
      <c r="BJ27" s="451"/>
      <c r="BK27" s="18" t="s">
        <v>482</v>
      </c>
    </row>
    <row r="28" spans="1:63" ht="30" customHeight="1">
      <c r="A28" s="449"/>
      <c r="B28" s="450"/>
      <c r="C28" s="451"/>
      <c r="D28" s="446"/>
      <c r="E28" s="447"/>
      <c r="F28" s="447"/>
      <c r="G28" s="447"/>
      <c r="H28" s="447"/>
      <c r="I28" s="447"/>
      <c r="J28" s="447"/>
      <c r="K28" s="447"/>
      <c r="L28" s="447"/>
      <c r="M28" s="447"/>
      <c r="N28" s="447"/>
      <c r="O28" s="447"/>
      <c r="P28" s="447"/>
      <c r="Q28" s="448"/>
      <c r="R28" s="449"/>
      <c r="S28" s="450"/>
      <c r="T28" s="451"/>
      <c r="U28" s="449"/>
      <c r="V28" s="450"/>
      <c r="W28" s="451"/>
      <c r="X28" s="449"/>
      <c r="Y28" s="450"/>
      <c r="Z28" s="451"/>
      <c r="AA28" s="449"/>
      <c r="AB28" s="450"/>
      <c r="AC28" s="451"/>
      <c r="AD28" s="449"/>
      <c r="AE28" s="450"/>
      <c r="AF28" s="451"/>
      <c r="AG28" s="553"/>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5"/>
      <c r="BD28" s="449"/>
      <c r="BE28" s="450"/>
      <c r="BF28" s="450"/>
      <c r="BG28" s="450"/>
      <c r="BH28" s="450"/>
      <c r="BI28" s="450"/>
      <c r="BJ28" s="451"/>
    </row>
    <row r="29" spans="1:63" ht="30" customHeight="1">
      <c r="A29" s="449"/>
      <c r="B29" s="450"/>
      <c r="C29" s="451"/>
      <c r="D29" s="446"/>
      <c r="E29" s="447"/>
      <c r="F29" s="447"/>
      <c r="G29" s="447"/>
      <c r="H29" s="447"/>
      <c r="I29" s="447"/>
      <c r="J29" s="447"/>
      <c r="K29" s="447"/>
      <c r="L29" s="447"/>
      <c r="M29" s="447"/>
      <c r="N29" s="447"/>
      <c r="O29" s="447"/>
      <c r="P29" s="447"/>
      <c r="Q29" s="448"/>
      <c r="R29" s="449"/>
      <c r="S29" s="450"/>
      <c r="T29" s="451"/>
      <c r="U29" s="449"/>
      <c r="V29" s="450"/>
      <c r="W29" s="451"/>
      <c r="X29" s="449"/>
      <c r="Y29" s="450"/>
      <c r="Z29" s="451"/>
      <c r="AA29" s="449"/>
      <c r="AB29" s="450"/>
      <c r="AC29" s="451"/>
      <c r="AD29" s="449"/>
      <c r="AE29" s="450"/>
      <c r="AF29" s="451"/>
      <c r="AG29" s="553"/>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5"/>
      <c r="BD29" s="449"/>
      <c r="BE29" s="450"/>
      <c r="BF29" s="450"/>
      <c r="BG29" s="450"/>
      <c r="BH29" s="450"/>
      <c r="BI29" s="450"/>
      <c r="BJ29" s="451"/>
    </row>
    <row r="30" spans="1:63" ht="30" customHeight="1">
      <c r="A30" s="449"/>
      <c r="B30" s="450"/>
      <c r="C30" s="451"/>
      <c r="D30" s="446"/>
      <c r="E30" s="447"/>
      <c r="F30" s="447"/>
      <c r="G30" s="447"/>
      <c r="H30" s="447"/>
      <c r="I30" s="447"/>
      <c r="J30" s="447"/>
      <c r="K30" s="447"/>
      <c r="L30" s="447"/>
      <c r="M30" s="447"/>
      <c r="N30" s="447"/>
      <c r="O30" s="447"/>
      <c r="P30" s="447"/>
      <c r="Q30" s="448"/>
      <c r="R30" s="449"/>
      <c r="S30" s="450"/>
      <c r="T30" s="451"/>
      <c r="U30" s="449"/>
      <c r="V30" s="450"/>
      <c r="W30" s="451"/>
      <c r="X30" s="449"/>
      <c r="Y30" s="450"/>
      <c r="Z30" s="451"/>
      <c r="AA30" s="449"/>
      <c r="AB30" s="450"/>
      <c r="AC30" s="451"/>
      <c r="AD30" s="449"/>
      <c r="AE30" s="450"/>
      <c r="AF30" s="451"/>
      <c r="AG30" s="553"/>
      <c r="AH30" s="554"/>
      <c r="AI30" s="554"/>
      <c r="AJ30" s="554"/>
      <c r="AK30" s="554"/>
      <c r="AL30" s="554"/>
      <c r="AM30" s="554"/>
      <c r="AN30" s="554"/>
      <c r="AO30" s="554"/>
      <c r="AP30" s="554"/>
      <c r="AQ30" s="554"/>
      <c r="AR30" s="554"/>
      <c r="AS30" s="554"/>
      <c r="AT30" s="554"/>
      <c r="AU30" s="554"/>
      <c r="AV30" s="554"/>
      <c r="AW30" s="554"/>
      <c r="AX30" s="554"/>
      <c r="AY30" s="554"/>
      <c r="AZ30" s="554"/>
      <c r="BA30" s="554"/>
      <c r="BB30" s="554"/>
      <c r="BC30" s="555"/>
      <c r="BD30" s="449"/>
      <c r="BE30" s="450"/>
      <c r="BF30" s="450"/>
      <c r="BG30" s="450"/>
      <c r="BH30" s="450"/>
      <c r="BI30" s="450"/>
      <c r="BJ30" s="451"/>
    </row>
    <row r="31" spans="1:63" ht="30" customHeight="1">
      <c r="A31" s="449"/>
      <c r="B31" s="450"/>
      <c r="C31" s="451"/>
      <c r="D31" s="446"/>
      <c r="E31" s="447"/>
      <c r="F31" s="447"/>
      <c r="G31" s="447"/>
      <c r="H31" s="447"/>
      <c r="I31" s="447"/>
      <c r="J31" s="447"/>
      <c r="K31" s="447"/>
      <c r="L31" s="447"/>
      <c r="M31" s="447"/>
      <c r="N31" s="447"/>
      <c r="O31" s="447"/>
      <c r="P31" s="447"/>
      <c r="Q31" s="448"/>
      <c r="R31" s="449"/>
      <c r="S31" s="450"/>
      <c r="T31" s="451"/>
      <c r="U31" s="449"/>
      <c r="V31" s="450"/>
      <c r="W31" s="451"/>
      <c r="X31" s="449"/>
      <c r="Y31" s="450"/>
      <c r="Z31" s="451"/>
      <c r="AA31" s="449"/>
      <c r="AB31" s="450"/>
      <c r="AC31" s="451"/>
      <c r="AD31" s="449"/>
      <c r="AE31" s="450"/>
      <c r="AF31" s="451"/>
      <c r="AG31" s="553"/>
      <c r="AH31" s="554"/>
      <c r="AI31" s="554"/>
      <c r="AJ31" s="554"/>
      <c r="AK31" s="554"/>
      <c r="AL31" s="554"/>
      <c r="AM31" s="554"/>
      <c r="AN31" s="554"/>
      <c r="AO31" s="554"/>
      <c r="AP31" s="554"/>
      <c r="AQ31" s="554"/>
      <c r="AR31" s="554"/>
      <c r="AS31" s="554"/>
      <c r="AT31" s="554"/>
      <c r="AU31" s="554"/>
      <c r="AV31" s="554"/>
      <c r="AW31" s="554"/>
      <c r="AX31" s="554"/>
      <c r="AY31" s="554"/>
      <c r="AZ31" s="554"/>
      <c r="BA31" s="554"/>
      <c r="BB31" s="554"/>
      <c r="BC31" s="555"/>
      <c r="BD31" s="449"/>
      <c r="BE31" s="450"/>
      <c r="BF31" s="450"/>
      <c r="BG31" s="450"/>
      <c r="BH31" s="450"/>
      <c r="BI31" s="450"/>
      <c r="BJ31" s="451"/>
    </row>
    <row r="32" spans="1:63" ht="30" customHeight="1">
      <c r="A32" s="461"/>
      <c r="B32" s="462"/>
      <c r="C32" s="463"/>
      <c r="D32" s="458"/>
      <c r="E32" s="459"/>
      <c r="F32" s="459"/>
      <c r="G32" s="459"/>
      <c r="H32" s="459"/>
      <c r="I32" s="459"/>
      <c r="J32" s="459"/>
      <c r="K32" s="459"/>
      <c r="L32" s="459"/>
      <c r="M32" s="459"/>
      <c r="N32" s="459"/>
      <c r="O32" s="459"/>
      <c r="P32" s="459"/>
      <c r="Q32" s="460"/>
      <c r="R32" s="461"/>
      <c r="S32" s="462"/>
      <c r="T32" s="463"/>
      <c r="U32" s="461"/>
      <c r="V32" s="462"/>
      <c r="W32" s="463"/>
      <c r="X32" s="461"/>
      <c r="Y32" s="462"/>
      <c r="Z32" s="463"/>
      <c r="AA32" s="461"/>
      <c r="AB32" s="462"/>
      <c r="AC32" s="463"/>
      <c r="AD32" s="461"/>
      <c r="AE32" s="462"/>
      <c r="AF32" s="463"/>
      <c r="AG32" s="458"/>
      <c r="AH32" s="459"/>
      <c r="AI32" s="459"/>
      <c r="AJ32" s="459"/>
      <c r="AK32" s="459"/>
      <c r="AL32" s="459"/>
      <c r="AM32" s="459"/>
      <c r="AN32" s="459"/>
      <c r="AO32" s="459"/>
      <c r="AP32" s="459"/>
      <c r="AQ32" s="459"/>
      <c r="AR32" s="459"/>
      <c r="AS32" s="459"/>
      <c r="AT32" s="459"/>
      <c r="AU32" s="459"/>
      <c r="AV32" s="459"/>
      <c r="AW32" s="459"/>
      <c r="AX32" s="459"/>
      <c r="AY32" s="459"/>
      <c r="AZ32" s="459"/>
      <c r="BA32" s="459"/>
      <c r="BB32" s="459"/>
      <c r="BC32" s="460"/>
      <c r="BD32" s="461"/>
      <c r="BE32" s="462"/>
      <c r="BF32" s="462"/>
      <c r="BG32" s="462"/>
      <c r="BH32" s="462"/>
      <c r="BI32" s="462"/>
      <c r="BJ32" s="463"/>
    </row>
    <row r="33" spans="2:19" s="20" customFormat="1" ht="5.25" customHeight="1">
      <c r="B33" s="21"/>
      <c r="C33" s="21"/>
      <c r="D33" s="21"/>
      <c r="E33" s="21"/>
      <c r="F33" s="21"/>
      <c r="G33" s="21"/>
      <c r="H33" s="21"/>
      <c r="I33" s="21"/>
      <c r="J33" s="21"/>
      <c r="K33" s="21"/>
      <c r="L33" s="21"/>
      <c r="M33" s="21"/>
      <c r="N33" s="21"/>
      <c r="O33" s="21"/>
      <c r="P33" s="21"/>
      <c r="Q33" s="21"/>
      <c r="R33" s="21"/>
      <c r="S33" s="21"/>
    </row>
    <row r="34" spans="2:19" ht="24" customHeight="1"/>
    <row r="35" spans="2:19" ht="24" customHeight="1"/>
    <row r="36" spans="2:19" ht="24" customHeight="1"/>
    <row r="37" spans="2:19" ht="24" customHeight="1"/>
    <row r="38" spans="2:19" ht="24" customHeight="1"/>
    <row r="39" spans="2:19" ht="17.149999999999999" customHeight="1"/>
    <row r="40" spans="2:19" ht="17.149999999999999" customHeight="1"/>
    <row r="41" spans="2:19" ht="17.149999999999999" customHeight="1"/>
    <row r="42" spans="2:19" ht="17.149999999999999" customHeight="1"/>
  </sheetData>
  <mergeCells count="240">
    <mergeCell ref="A12:C12"/>
    <mergeCell ref="R12:T12"/>
    <mergeCell ref="U12:W12"/>
    <mergeCell ref="X12:Z12"/>
    <mergeCell ref="AA12:AC12"/>
    <mergeCell ref="AD12:AF12"/>
    <mergeCell ref="A25:C25"/>
    <mergeCell ref="D25:Q25"/>
    <mergeCell ref="R25:T25"/>
    <mergeCell ref="X18:Z18"/>
    <mergeCell ref="AA18:AC18"/>
    <mergeCell ref="AD17:AF17"/>
    <mergeCell ref="A22:C22"/>
    <mergeCell ref="D22:Q22"/>
    <mergeCell ref="A20:C20"/>
    <mergeCell ref="D20:Q20"/>
    <mergeCell ref="D21:Q21"/>
    <mergeCell ref="A21:C21"/>
    <mergeCell ref="R21:T21"/>
    <mergeCell ref="X21:Z21"/>
    <mergeCell ref="AA21:AC21"/>
    <mergeCell ref="AD21:AF21"/>
    <mergeCell ref="A18:C18"/>
    <mergeCell ref="D18:Q18"/>
    <mergeCell ref="A26:C26"/>
    <mergeCell ref="D26:Q26"/>
    <mergeCell ref="R26:T26"/>
    <mergeCell ref="U26:W26"/>
    <mergeCell ref="X26:Z26"/>
    <mergeCell ref="AA26:AC26"/>
    <mergeCell ref="U25:W25"/>
    <mergeCell ref="X25:Z25"/>
    <mergeCell ref="AA25:AC25"/>
    <mergeCell ref="AG17:BC17"/>
    <mergeCell ref="BD17:BJ17"/>
    <mergeCell ref="R17:T17"/>
    <mergeCell ref="U17:W17"/>
    <mergeCell ref="D17:Q17"/>
    <mergeCell ref="BD9:BJ9"/>
    <mergeCell ref="D10:Q10"/>
    <mergeCell ref="R10:T10"/>
    <mergeCell ref="U10:W10"/>
    <mergeCell ref="X10:Z10"/>
    <mergeCell ref="AA10:AC10"/>
    <mergeCell ref="AD10:AF10"/>
    <mergeCell ref="AG10:BC10"/>
    <mergeCell ref="BD10:BJ10"/>
    <mergeCell ref="BD12:BJ12"/>
    <mergeCell ref="D12:Q12"/>
    <mergeCell ref="AG12:BC12"/>
    <mergeCell ref="BD13:BJ13"/>
    <mergeCell ref="BD14:BJ14"/>
    <mergeCell ref="BD16:BJ16"/>
    <mergeCell ref="BD15:BJ15"/>
    <mergeCell ref="AA16:AC16"/>
    <mergeCell ref="AD16:AF16"/>
    <mergeCell ref="AA17:AC17"/>
    <mergeCell ref="A4:G4"/>
    <mergeCell ref="H4:AU4"/>
    <mergeCell ref="AV4:AY4"/>
    <mergeCell ref="AZ4:BJ4"/>
    <mergeCell ref="A6:G6"/>
    <mergeCell ref="H6:BJ6"/>
    <mergeCell ref="AD8:AF8"/>
    <mergeCell ref="AG8:BC8"/>
    <mergeCell ref="BD8:BJ8"/>
    <mergeCell ref="AA8:AC8"/>
    <mergeCell ref="A8:C8"/>
    <mergeCell ref="D8:Q8"/>
    <mergeCell ref="R8:T8"/>
    <mergeCell ref="U8:W8"/>
    <mergeCell ref="X8:Z8"/>
    <mergeCell ref="A2:AU2"/>
    <mergeCell ref="AV2:AY2"/>
    <mergeCell ref="AZ2:BC2"/>
    <mergeCell ref="BD2:BF2"/>
    <mergeCell ref="BG2:BJ2"/>
    <mergeCell ref="A3:G3"/>
    <mergeCell ref="H3:AU3"/>
    <mergeCell ref="AV3:AY3"/>
    <mergeCell ref="AZ3:BJ3"/>
    <mergeCell ref="A9:C9"/>
    <mergeCell ref="D9:Q9"/>
    <mergeCell ref="R9:T9"/>
    <mergeCell ref="U9:W9"/>
    <mergeCell ref="X9:Z9"/>
    <mergeCell ref="AA9:AC9"/>
    <mergeCell ref="AG11:BC11"/>
    <mergeCell ref="BD11:BJ11"/>
    <mergeCell ref="A11:C11"/>
    <mergeCell ref="D11:Q11"/>
    <mergeCell ref="R11:T11"/>
    <mergeCell ref="U11:W11"/>
    <mergeCell ref="X11:Z11"/>
    <mergeCell ref="AA11:AC11"/>
    <mergeCell ref="AD11:AF11"/>
    <mergeCell ref="AD9:AF9"/>
    <mergeCell ref="AG9:BC9"/>
    <mergeCell ref="A10:C10"/>
    <mergeCell ref="BD24:BJ24"/>
    <mergeCell ref="A24:C24"/>
    <mergeCell ref="R24:T24"/>
    <mergeCell ref="U24:W24"/>
    <mergeCell ref="X24:Z24"/>
    <mergeCell ref="AA24:AC24"/>
    <mergeCell ref="AD24:AF24"/>
    <mergeCell ref="D24:Q24"/>
    <mergeCell ref="A23:C23"/>
    <mergeCell ref="D23:Q23"/>
    <mergeCell ref="R23:T23"/>
    <mergeCell ref="U23:W23"/>
    <mergeCell ref="X23:Z23"/>
    <mergeCell ref="AA23:AC23"/>
    <mergeCell ref="AD23:AF23"/>
    <mergeCell ref="BD23:BJ23"/>
    <mergeCell ref="AG24:BC24"/>
    <mergeCell ref="BD22:BJ22"/>
    <mergeCell ref="R20:T20"/>
    <mergeCell ref="U20:W20"/>
    <mergeCell ref="X20:Z20"/>
    <mergeCell ref="AA20:AC20"/>
    <mergeCell ref="BD25:BJ25"/>
    <mergeCell ref="AD25:AF25"/>
    <mergeCell ref="AG25:BC25"/>
    <mergeCell ref="AD26:AF26"/>
    <mergeCell ref="AG26:BC26"/>
    <mergeCell ref="BD26:BJ26"/>
    <mergeCell ref="AG23:BC23"/>
    <mergeCell ref="R22:T22"/>
    <mergeCell ref="U22:W22"/>
    <mergeCell ref="X22:Z22"/>
    <mergeCell ref="AA22:AC22"/>
    <mergeCell ref="AD22:AF22"/>
    <mergeCell ref="AG22:BC22"/>
    <mergeCell ref="U21:W21"/>
    <mergeCell ref="AD20:AF20"/>
    <mergeCell ref="AG20:BC20"/>
    <mergeCell ref="BD20:BJ20"/>
    <mergeCell ref="AG21:BC21"/>
    <mergeCell ref="BD21:BJ21"/>
    <mergeCell ref="BD28:BJ28"/>
    <mergeCell ref="BD29:BJ29"/>
    <mergeCell ref="D29:Q29"/>
    <mergeCell ref="BD30:BJ30"/>
    <mergeCell ref="R30:T30"/>
    <mergeCell ref="U27:W27"/>
    <mergeCell ref="X27:Z27"/>
    <mergeCell ref="AA27:AC27"/>
    <mergeCell ref="D27:Q27"/>
    <mergeCell ref="R27:T27"/>
    <mergeCell ref="BD27:BJ27"/>
    <mergeCell ref="D28:Q28"/>
    <mergeCell ref="A30:C30"/>
    <mergeCell ref="A27:C27"/>
    <mergeCell ref="A28:C28"/>
    <mergeCell ref="R28:T28"/>
    <mergeCell ref="U28:W28"/>
    <mergeCell ref="X28:Z28"/>
    <mergeCell ref="AA28:AC28"/>
    <mergeCell ref="AD28:AF28"/>
    <mergeCell ref="AG28:BC28"/>
    <mergeCell ref="U30:W30"/>
    <mergeCell ref="X30:Z30"/>
    <mergeCell ref="AA30:AC30"/>
    <mergeCell ref="AD30:AF30"/>
    <mergeCell ref="D30:Q30"/>
    <mergeCell ref="AG30:BC30"/>
    <mergeCell ref="A29:C29"/>
    <mergeCell ref="R29:T29"/>
    <mergeCell ref="U29:W29"/>
    <mergeCell ref="X29:Z29"/>
    <mergeCell ref="AA29:AC29"/>
    <mergeCell ref="AD29:AF29"/>
    <mergeCell ref="AG29:BC29"/>
    <mergeCell ref="AD27:AF27"/>
    <mergeCell ref="AG27:BC27"/>
    <mergeCell ref="D31:Q31"/>
    <mergeCell ref="D32:Q32"/>
    <mergeCell ref="AG32:BC32"/>
    <mergeCell ref="BD32:BJ32"/>
    <mergeCell ref="A32:C32"/>
    <mergeCell ref="R32:T32"/>
    <mergeCell ref="U32:W32"/>
    <mergeCell ref="X32:Z32"/>
    <mergeCell ref="AA32:AC32"/>
    <mergeCell ref="AD32:AF32"/>
    <mergeCell ref="A31:C31"/>
    <mergeCell ref="R31:T31"/>
    <mergeCell ref="U31:W31"/>
    <mergeCell ref="X31:Z31"/>
    <mergeCell ref="AA31:AC31"/>
    <mergeCell ref="AD31:AF31"/>
    <mergeCell ref="AG31:BC31"/>
    <mergeCell ref="BD31:BJ31"/>
    <mergeCell ref="BD19:BJ19"/>
    <mergeCell ref="AG15:BC15"/>
    <mergeCell ref="A16:C16"/>
    <mergeCell ref="R16:T16"/>
    <mergeCell ref="U16:W16"/>
    <mergeCell ref="A19:C19"/>
    <mergeCell ref="AG19:BC19"/>
    <mergeCell ref="AG18:BC18"/>
    <mergeCell ref="A14:C14"/>
    <mergeCell ref="D14:Q14"/>
    <mergeCell ref="AD18:AF18"/>
    <mergeCell ref="X15:Z15"/>
    <mergeCell ref="AA15:AC15"/>
    <mergeCell ref="AD15:AF15"/>
    <mergeCell ref="X16:Z16"/>
    <mergeCell ref="R19:T19"/>
    <mergeCell ref="U19:W19"/>
    <mergeCell ref="X19:Z19"/>
    <mergeCell ref="AA19:AC19"/>
    <mergeCell ref="AD19:AF19"/>
    <mergeCell ref="BD18:BJ18"/>
    <mergeCell ref="A17:C17"/>
    <mergeCell ref="X17:Z17"/>
    <mergeCell ref="D19:Q19"/>
    <mergeCell ref="R18:T18"/>
    <mergeCell ref="U18:W18"/>
    <mergeCell ref="A13:C13"/>
    <mergeCell ref="D13:Q13"/>
    <mergeCell ref="R13:T13"/>
    <mergeCell ref="U13:W13"/>
    <mergeCell ref="X13:Z13"/>
    <mergeCell ref="AA13:AC13"/>
    <mergeCell ref="AD13:AF13"/>
    <mergeCell ref="A15:C15"/>
    <mergeCell ref="AG13:BC13"/>
    <mergeCell ref="D16:Q16"/>
    <mergeCell ref="R14:T14"/>
    <mergeCell ref="U14:W14"/>
    <mergeCell ref="X14:Z14"/>
    <mergeCell ref="AA14:AC14"/>
    <mergeCell ref="AD14:AF14"/>
    <mergeCell ref="AG14:BC14"/>
    <mergeCell ref="AG16:BC16"/>
    <mergeCell ref="D15:Q15"/>
    <mergeCell ref="R15:T15"/>
    <mergeCell ref="U15:W15"/>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2753-1D0B-482A-89FF-613396C2C73E}">
  <sheetPr codeName="Sheet14"/>
  <dimension ref="A1:BK52"/>
  <sheetViews>
    <sheetView view="pageBreakPreview" zoomScaleNormal="100" zoomScaleSheetLayoutView="100" workbookViewId="0"/>
  </sheetViews>
  <sheetFormatPr defaultColWidth="1.90625" defaultRowHeight="14"/>
  <cols>
    <col min="1" max="74" width="2.08984375" style="18" customWidth="1"/>
    <col min="75" max="16384" width="1.9062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76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77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36" t="s">
        <v>39</v>
      </c>
      <c r="B8" s="337"/>
      <c r="C8" s="338"/>
      <c r="D8" s="336" t="s">
        <v>78</v>
      </c>
      <c r="E8" s="337"/>
      <c r="F8" s="337"/>
      <c r="G8" s="337"/>
      <c r="H8" s="337"/>
      <c r="I8" s="337"/>
      <c r="J8" s="337"/>
      <c r="K8" s="337"/>
      <c r="L8" s="337"/>
      <c r="M8" s="337"/>
      <c r="N8" s="337"/>
      <c r="O8" s="337"/>
      <c r="P8" s="338"/>
      <c r="Q8" s="336" t="s">
        <v>79</v>
      </c>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46.4" customHeight="1">
      <c r="A9" s="558">
        <v>1</v>
      </c>
      <c r="B9" s="559"/>
      <c r="C9" s="560"/>
      <c r="D9" s="579" t="s">
        <v>470</v>
      </c>
      <c r="E9" s="580"/>
      <c r="F9" s="580"/>
      <c r="G9" s="580"/>
      <c r="H9" s="580"/>
      <c r="I9" s="580"/>
      <c r="J9" s="580"/>
      <c r="K9" s="580"/>
      <c r="L9" s="580"/>
      <c r="M9" s="580"/>
      <c r="N9" s="580"/>
      <c r="O9" s="580"/>
      <c r="P9" s="581"/>
      <c r="Q9" s="579" t="s">
        <v>471</v>
      </c>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0"/>
      <c r="BB9" s="580"/>
      <c r="BC9" s="581"/>
      <c r="BD9" s="582"/>
      <c r="BE9" s="583"/>
      <c r="BF9" s="583"/>
      <c r="BG9" s="583"/>
      <c r="BH9" s="583"/>
      <c r="BI9" s="583"/>
      <c r="BJ9" s="584"/>
    </row>
    <row r="10" spans="1:63" ht="49.4" customHeight="1">
      <c r="A10" s="558">
        <v>2</v>
      </c>
      <c r="B10" s="559"/>
      <c r="C10" s="560"/>
      <c r="D10" s="579" t="s">
        <v>469</v>
      </c>
      <c r="E10" s="580"/>
      <c r="F10" s="580"/>
      <c r="G10" s="580"/>
      <c r="H10" s="580"/>
      <c r="I10" s="580"/>
      <c r="J10" s="580"/>
      <c r="K10" s="580"/>
      <c r="L10" s="580"/>
      <c r="M10" s="580"/>
      <c r="N10" s="580"/>
      <c r="O10" s="580"/>
      <c r="P10" s="581"/>
      <c r="Q10" s="579" t="s">
        <v>472</v>
      </c>
      <c r="R10" s="580"/>
      <c r="S10" s="580"/>
      <c r="T10" s="580"/>
      <c r="U10" s="580"/>
      <c r="V10" s="580"/>
      <c r="W10" s="580"/>
      <c r="X10" s="580"/>
      <c r="Y10" s="580"/>
      <c r="Z10" s="580"/>
      <c r="AA10" s="580"/>
      <c r="AB10" s="580"/>
      <c r="AC10" s="580"/>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c r="AZ10" s="580"/>
      <c r="BA10" s="580"/>
      <c r="BB10" s="580"/>
      <c r="BC10" s="581"/>
      <c r="BD10" s="582"/>
      <c r="BE10" s="583"/>
      <c r="BF10" s="583"/>
      <c r="BG10" s="583"/>
      <c r="BH10" s="583"/>
      <c r="BI10" s="583"/>
      <c r="BJ10" s="584"/>
    </row>
    <row r="11" spans="1:63" ht="60" customHeight="1">
      <c r="A11" s="558">
        <v>3</v>
      </c>
      <c r="B11" s="559"/>
      <c r="C11" s="560"/>
      <c r="D11" s="579" t="s">
        <v>349</v>
      </c>
      <c r="E11" s="580"/>
      <c r="F11" s="580"/>
      <c r="G11" s="580"/>
      <c r="H11" s="580"/>
      <c r="I11" s="580"/>
      <c r="J11" s="580"/>
      <c r="K11" s="580"/>
      <c r="L11" s="580"/>
      <c r="M11" s="580"/>
      <c r="N11" s="580"/>
      <c r="O11" s="580"/>
      <c r="P11" s="581"/>
      <c r="Q11" s="579" t="s">
        <v>350</v>
      </c>
      <c r="R11" s="580"/>
      <c r="S11" s="580"/>
      <c r="T11" s="580"/>
      <c r="U11" s="580"/>
      <c r="V11" s="580"/>
      <c r="W11" s="580"/>
      <c r="X11" s="580"/>
      <c r="Y11" s="580"/>
      <c r="Z11" s="580"/>
      <c r="AA11" s="580"/>
      <c r="AB11" s="580"/>
      <c r="AC11" s="580"/>
      <c r="AD11" s="580"/>
      <c r="AE11" s="580"/>
      <c r="AF11" s="580"/>
      <c r="AG11" s="580"/>
      <c r="AH11" s="580"/>
      <c r="AI11" s="580"/>
      <c r="AJ11" s="580"/>
      <c r="AK11" s="580"/>
      <c r="AL11" s="580"/>
      <c r="AM11" s="580"/>
      <c r="AN11" s="580"/>
      <c r="AO11" s="580"/>
      <c r="AP11" s="580"/>
      <c r="AQ11" s="580"/>
      <c r="AR11" s="580"/>
      <c r="AS11" s="580"/>
      <c r="AT11" s="580"/>
      <c r="AU11" s="580"/>
      <c r="AV11" s="580"/>
      <c r="AW11" s="580"/>
      <c r="AX11" s="580"/>
      <c r="AY11" s="580"/>
      <c r="AZ11" s="580"/>
      <c r="BA11" s="580"/>
      <c r="BB11" s="580"/>
      <c r="BC11" s="581"/>
      <c r="BD11" s="582"/>
      <c r="BE11" s="583"/>
      <c r="BF11" s="583"/>
      <c r="BG11" s="583"/>
      <c r="BH11" s="583"/>
      <c r="BI11" s="583"/>
      <c r="BJ11" s="584"/>
    </row>
    <row r="12" spans="1:63" ht="47.9" customHeight="1">
      <c r="A12" s="558">
        <v>4</v>
      </c>
      <c r="B12" s="559"/>
      <c r="C12" s="560"/>
      <c r="D12" s="585" t="s">
        <v>366</v>
      </c>
      <c r="E12" s="586"/>
      <c r="F12" s="586"/>
      <c r="G12" s="586"/>
      <c r="H12" s="586"/>
      <c r="I12" s="586"/>
      <c r="J12" s="586"/>
      <c r="K12" s="586"/>
      <c r="L12" s="586"/>
      <c r="M12" s="586"/>
      <c r="N12" s="586"/>
      <c r="O12" s="586"/>
      <c r="P12" s="587"/>
      <c r="Q12" s="579" t="s">
        <v>367</v>
      </c>
      <c r="R12" s="580"/>
      <c r="S12" s="580"/>
      <c r="T12" s="580"/>
      <c r="U12" s="580"/>
      <c r="V12" s="580"/>
      <c r="W12" s="580"/>
      <c r="X12" s="580"/>
      <c r="Y12" s="580"/>
      <c r="Z12" s="580"/>
      <c r="AA12" s="580"/>
      <c r="AB12" s="580"/>
      <c r="AC12" s="580"/>
      <c r="AD12" s="580"/>
      <c r="AE12" s="580"/>
      <c r="AF12" s="580"/>
      <c r="AG12" s="580"/>
      <c r="AH12" s="580"/>
      <c r="AI12" s="580"/>
      <c r="AJ12" s="580"/>
      <c r="AK12" s="580"/>
      <c r="AL12" s="580"/>
      <c r="AM12" s="580"/>
      <c r="AN12" s="580"/>
      <c r="AO12" s="580"/>
      <c r="AP12" s="580"/>
      <c r="AQ12" s="580"/>
      <c r="AR12" s="580"/>
      <c r="AS12" s="580"/>
      <c r="AT12" s="580"/>
      <c r="AU12" s="580"/>
      <c r="AV12" s="580"/>
      <c r="AW12" s="580"/>
      <c r="AX12" s="580"/>
      <c r="AY12" s="580"/>
      <c r="AZ12" s="580"/>
      <c r="BA12" s="580"/>
      <c r="BB12" s="580"/>
      <c r="BC12" s="581"/>
      <c r="BD12" s="582"/>
      <c r="BE12" s="583"/>
      <c r="BF12" s="583"/>
      <c r="BG12" s="583"/>
      <c r="BH12" s="583"/>
      <c r="BI12" s="583"/>
      <c r="BJ12" s="584"/>
    </row>
    <row r="13" spans="1:63" ht="53.9" customHeight="1">
      <c r="A13" s="558">
        <v>5</v>
      </c>
      <c r="B13" s="559"/>
      <c r="C13" s="560"/>
      <c r="D13" s="585" t="s">
        <v>391</v>
      </c>
      <c r="E13" s="586"/>
      <c r="F13" s="586"/>
      <c r="G13" s="586"/>
      <c r="H13" s="586"/>
      <c r="I13" s="586"/>
      <c r="J13" s="586"/>
      <c r="K13" s="586"/>
      <c r="L13" s="586"/>
      <c r="M13" s="586"/>
      <c r="N13" s="586"/>
      <c r="O13" s="586"/>
      <c r="P13" s="587"/>
      <c r="Q13" s="579" t="s">
        <v>535</v>
      </c>
      <c r="R13" s="580"/>
      <c r="S13" s="580"/>
      <c r="T13" s="580"/>
      <c r="U13" s="580"/>
      <c r="V13" s="580"/>
      <c r="W13" s="580"/>
      <c r="X13" s="580"/>
      <c r="Y13" s="580"/>
      <c r="Z13" s="580"/>
      <c r="AA13" s="580"/>
      <c r="AB13" s="580"/>
      <c r="AC13" s="580"/>
      <c r="AD13" s="580"/>
      <c r="AE13" s="580"/>
      <c r="AF13" s="580"/>
      <c r="AG13" s="580"/>
      <c r="AH13" s="580"/>
      <c r="AI13" s="580"/>
      <c r="AJ13" s="580"/>
      <c r="AK13" s="580"/>
      <c r="AL13" s="580"/>
      <c r="AM13" s="580"/>
      <c r="AN13" s="580"/>
      <c r="AO13" s="580"/>
      <c r="AP13" s="580"/>
      <c r="AQ13" s="580"/>
      <c r="AR13" s="580"/>
      <c r="AS13" s="580"/>
      <c r="AT13" s="580"/>
      <c r="AU13" s="580"/>
      <c r="AV13" s="580"/>
      <c r="AW13" s="580"/>
      <c r="AX13" s="580"/>
      <c r="AY13" s="580"/>
      <c r="AZ13" s="580"/>
      <c r="BA13" s="580"/>
      <c r="BB13" s="580"/>
      <c r="BC13" s="581"/>
      <c r="BD13" s="449"/>
      <c r="BE13" s="450"/>
      <c r="BF13" s="450"/>
      <c r="BG13" s="450"/>
      <c r="BH13" s="450"/>
      <c r="BI13" s="450"/>
      <c r="BJ13" s="451"/>
    </row>
    <row r="14" spans="1:63" ht="53.9" customHeight="1">
      <c r="A14" s="558">
        <v>6</v>
      </c>
      <c r="B14" s="559"/>
      <c r="C14" s="560"/>
      <c r="D14" s="585" t="s">
        <v>392</v>
      </c>
      <c r="E14" s="586"/>
      <c r="F14" s="586"/>
      <c r="G14" s="586"/>
      <c r="H14" s="586"/>
      <c r="I14" s="586"/>
      <c r="J14" s="586"/>
      <c r="K14" s="586"/>
      <c r="L14" s="586"/>
      <c r="M14" s="586"/>
      <c r="N14" s="586"/>
      <c r="O14" s="586"/>
      <c r="P14" s="587"/>
      <c r="Q14" s="579" t="s">
        <v>534</v>
      </c>
      <c r="R14" s="580"/>
      <c r="S14" s="580"/>
      <c r="T14" s="580"/>
      <c r="U14" s="580"/>
      <c r="V14" s="580"/>
      <c r="W14" s="580"/>
      <c r="X14" s="580"/>
      <c r="Y14" s="580"/>
      <c r="Z14" s="580"/>
      <c r="AA14" s="580"/>
      <c r="AB14" s="580"/>
      <c r="AC14" s="580"/>
      <c r="AD14" s="580"/>
      <c r="AE14" s="580"/>
      <c r="AF14" s="580"/>
      <c r="AG14" s="580"/>
      <c r="AH14" s="580"/>
      <c r="AI14" s="580"/>
      <c r="AJ14" s="580"/>
      <c r="AK14" s="580"/>
      <c r="AL14" s="580"/>
      <c r="AM14" s="580"/>
      <c r="AN14" s="580"/>
      <c r="AO14" s="580"/>
      <c r="AP14" s="580"/>
      <c r="AQ14" s="580"/>
      <c r="AR14" s="580"/>
      <c r="AS14" s="580"/>
      <c r="AT14" s="580"/>
      <c r="AU14" s="580"/>
      <c r="AV14" s="580"/>
      <c r="AW14" s="580"/>
      <c r="AX14" s="580"/>
      <c r="AY14" s="580"/>
      <c r="AZ14" s="580"/>
      <c r="BA14" s="580"/>
      <c r="BB14" s="580"/>
      <c r="BC14" s="581"/>
      <c r="BD14" s="449"/>
      <c r="BE14" s="450"/>
      <c r="BF14" s="450"/>
      <c r="BG14" s="450"/>
      <c r="BH14" s="450"/>
      <c r="BI14" s="450"/>
      <c r="BJ14" s="451"/>
    </row>
    <row r="15" spans="1:63" ht="30" customHeight="1">
      <c r="A15" s="558">
        <v>7</v>
      </c>
      <c r="B15" s="559"/>
      <c r="C15" s="560"/>
      <c r="D15" s="585" t="s">
        <v>395</v>
      </c>
      <c r="E15" s="586"/>
      <c r="F15" s="586"/>
      <c r="G15" s="586"/>
      <c r="H15" s="586"/>
      <c r="I15" s="586"/>
      <c r="J15" s="586"/>
      <c r="K15" s="586"/>
      <c r="L15" s="586"/>
      <c r="M15" s="586"/>
      <c r="N15" s="586"/>
      <c r="O15" s="586"/>
      <c r="P15" s="587"/>
      <c r="Q15" s="579" t="s">
        <v>393</v>
      </c>
      <c r="R15" s="580"/>
      <c r="S15" s="580"/>
      <c r="T15" s="580"/>
      <c r="U15" s="580"/>
      <c r="V15" s="580"/>
      <c r="W15" s="580"/>
      <c r="X15" s="580"/>
      <c r="Y15" s="580"/>
      <c r="Z15" s="580"/>
      <c r="AA15" s="580"/>
      <c r="AB15" s="580"/>
      <c r="AC15" s="580"/>
      <c r="AD15" s="580"/>
      <c r="AE15" s="580"/>
      <c r="AF15" s="580"/>
      <c r="AG15" s="580"/>
      <c r="AH15" s="580"/>
      <c r="AI15" s="580"/>
      <c r="AJ15" s="580"/>
      <c r="AK15" s="580"/>
      <c r="AL15" s="580"/>
      <c r="AM15" s="580"/>
      <c r="AN15" s="580"/>
      <c r="AO15" s="580"/>
      <c r="AP15" s="580"/>
      <c r="AQ15" s="580"/>
      <c r="AR15" s="580"/>
      <c r="AS15" s="580"/>
      <c r="AT15" s="580"/>
      <c r="AU15" s="580"/>
      <c r="AV15" s="580"/>
      <c r="AW15" s="580"/>
      <c r="AX15" s="580"/>
      <c r="AY15" s="580"/>
      <c r="AZ15" s="580"/>
      <c r="BA15" s="580"/>
      <c r="BB15" s="580"/>
      <c r="BC15" s="581"/>
      <c r="BD15" s="582"/>
      <c r="BE15" s="583"/>
      <c r="BF15" s="583"/>
      <c r="BG15" s="583"/>
      <c r="BH15" s="583"/>
      <c r="BI15" s="583"/>
      <c r="BJ15" s="584"/>
    </row>
    <row r="16" spans="1:63" ht="30" customHeight="1">
      <c r="A16" s="558">
        <v>8</v>
      </c>
      <c r="B16" s="559"/>
      <c r="C16" s="560"/>
      <c r="D16" s="585" t="s">
        <v>395</v>
      </c>
      <c r="E16" s="586"/>
      <c r="F16" s="586"/>
      <c r="G16" s="586"/>
      <c r="H16" s="586"/>
      <c r="I16" s="586"/>
      <c r="J16" s="586"/>
      <c r="K16" s="586"/>
      <c r="L16" s="586"/>
      <c r="M16" s="586"/>
      <c r="N16" s="586"/>
      <c r="O16" s="586"/>
      <c r="P16" s="587"/>
      <c r="Q16" s="579" t="s">
        <v>394</v>
      </c>
      <c r="R16" s="580"/>
      <c r="S16" s="580"/>
      <c r="T16" s="580"/>
      <c r="U16" s="580"/>
      <c r="V16" s="580"/>
      <c r="W16" s="580"/>
      <c r="X16" s="580"/>
      <c r="Y16" s="580"/>
      <c r="Z16" s="580"/>
      <c r="AA16" s="580"/>
      <c r="AB16" s="580"/>
      <c r="AC16" s="580"/>
      <c r="AD16" s="580"/>
      <c r="AE16" s="580"/>
      <c r="AF16" s="580"/>
      <c r="AG16" s="580"/>
      <c r="AH16" s="580"/>
      <c r="AI16" s="580"/>
      <c r="AJ16" s="580"/>
      <c r="AK16" s="580"/>
      <c r="AL16" s="580"/>
      <c r="AM16" s="580"/>
      <c r="AN16" s="580"/>
      <c r="AO16" s="580"/>
      <c r="AP16" s="580"/>
      <c r="AQ16" s="580"/>
      <c r="AR16" s="580"/>
      <c r="AS16" s="580"/>
      <c r="AT16" s="580"/>
      <c r="AU16" s="580"/>
      <c r="AV16" s="580"/>
      <c r="AW16" s="580"/>
      <c r="AX16" s="580"/>
      <c r="AY16" s="580"/>
      <c r="AZ16" s="580"/>
      <c r="BA16" s="580"/>
      <c r="BB16" s="580"/>
      <c r="BC16" s="581"/>
      <c r="BD16" s="582"/>
      <c r="BE16" s="583"/>
      <c r="BF16" s="583"/>
      <c r="BG16" s="583"/>
      <c r="BH16" s="583"/>
      <c r="BI16" s="583"/>
      <c r="BJ16" s="584"/>
    </row>
    <row r="17" spans="1:62" ht="52.4" customHeight="1">
      <c r="A17" s="558">
        <v>9</v>
      </c>
      <c r="B17" s="559"/>
      <c r="C17" s="560"/>
      <c r="D17" s="585" t="s">
        <v>464</v>
      </c>
      <c r="E17" s="586"/>
      <c r="F17" s="586"/>
      <c r="G17" s="586"/>
      <c r="H17" s="586"/>
      <c r="I17" s="586"/>
      <c r="J17" s="586"/>
      <c r="K17" s="586"/>
      <c r="L17" s="586"/>
      <c r="M17" s="586"/>
      <c r="N17" s="586"/>
      <c r="O17" s="586"/>
      <c r="P17" s="587"/>
      <c r="Q17" s="579" t="s">
        <v>503</v>
      </c>
      <c r="R17" s="580"/>
      <c r="S17" s="580"/>
      <c r="T17" s="580"/>
      <c r="U17" s="580"/>
      <c r="V17" s="580"/>
      <c r="W17" s="580"/>
      <c r="X17" s="580"/>
      <c r="Y17" s="580"/>
      <c r="Z17" s="580"/>
      <c r="AA17" s="580"/>
      <c r="AB17" s="580"/>
      <c r="AC17" s="580"/>
      <c r="AD17" s="580"/>
      <c r="AE17" s="580"/>
      <c r="AF17" s="580"/>
      <c r="AG17" s="580"/>
      <c r="AH17" s="580"/>
      <c r="AI17" s="580"/>
      <c r="AJ17" s="580"/>
      <c r="AK17" s="580"/>
      <c r="AL17" s="580"/>
      <c r="AM17" s="580"/>
      <c r="AN17" s="580"/>
      <c r="AO17" s="580"/>
      <c r="AP17" s="580"/>
      <c r="AQ17" s="580"/>
      <c r="AR17" s="580"/>
      <c r="AS17" s="580"/>
      <c r="AT17" s="580"/>
      <c r="AU17" s="580"/>
      <c r="AV17" s="580"/>
      <c r="AW17" s="580"/>
      <c r="AX17" s="580"/>
      <c r="AY17" s="580"/>
      <c r="AZ17" s="580"/>
      <c r="BA17" s="580"/>
      <c r="BB17" s="580"/>
      <c r="BC17" s="581"/>
      <c r="BD17" s="582"/>
      <c r="BE17" s="583"/>
      <c r="BF17" s="583"/>
      <c r="BG17" s="583"/>
      <c r="BH17" s="583"/>
      <c r="BI17" s="583"/>
      <c r="BJ17" s="584"/>
    </row>
    <row r="18" spans="1:62" ht="30" customHeight="1">
      <c r="A18" s="449"/>
      <c r="B18" s="450"/>
      <c r="C18" s="451"/>
      <c r="D18" s="495"/>
      <c r="E18" s="496"/>
      <c r="F18" s="496"/>
      <c r="G18" s="496"/>
      <c r="H18" s="496"/>
      <c r="I18" s="496"/>
      <c r="J18" s="496"/>
      <c r="K18" s="496"/>
      <c r="L18" s="496"/>
      <c r="M18" s="496"/>
      <c r="N18" s="496"/>
      <c r="O18" s="496"/>
      <c r="P18" s="497"/>
      <c r="Q18" s="452"/>
      <c r="R18" s="504"/>
      <c r="S18" s="504"/>
      <c r="T18" s="504"/>
      <c r="U18" s="504"/>
      <c r="V18" s="504"/>
      <c r="W18" s="504"/>
      <c r="X18" s="504"/>
      <c r="Y18" s="504"/>
      <c r="Z18" s="504"/>
      <c r="AA18" s="504"/>
      <c r="AB18" s="504"/>
      <c r="AC18" s="504"/>
      <c r="AD18" s="504"/>
      <c r="AE18" s="504"/>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5"/>
      <c r="BD18" s="449"/>
      <c r="BE18" s="450"/>
      <c r="BF18" s="450"/>
      <c r="BG18" s="450"/>
      <c r="BH18" s="450"/>
      <c r="BI18" s="450"/>
      <c r="BJ18" s="451"/>
    </row>
    <row r="19" spans="1:62" ht="30" customHeight="1">
      <c r="A19" s="449"/>
      <c r="B19" s="450"/>
      <c r="C19" s="451"/>
      <c r="D19" s="495"/>
      <c r="E19" s="496"/>
      <c r="F19" s="496"/>
      <c r="G19" s="496"/>
      <c r="H19" s="496"/>
      <c r="I19" s="496"/>
      <c r="J19" s="496"/>
      <c r="K19" s="496"/>
      <c r="L19" s="496"/>
      <c r="M19" s="496"/>
      <c r="N19" s="496"/>
      <c r="O19" s="496"/>
      <c r="P19" s="497"/>
      <c r="Q19" s="452"/>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5"/>
      <c r="BD19" s="449"/>
      <c r="BE19" s="450"/>
      <c r="BF19" s="450"/>
      <c r="BG19" s="450"/>
      <c r="BH19" s="450"/>
      <c r="BI19" s="450"/>
      <c r="BJ19" s="451"/>
    </row>
    <row r="20" spans="1:62" ht="30" customHeight="1">
      <c r="A20" s="449"/>
      <c r="B20" s="450"/>
      <c r="C20" s="451"/>
      <c r="D20" s="495"/>
      <c r="E20" s="496"/>
      <c r="F20" s="496"/>
      <c r="G20" s="496"/>
      <c r="H20" s="496"/>
      <c r="I20" s="496"/>
      <c r="J20" s="496"/>
      <c r="K20" s="496"/>
      <c r="L20" s="496"/>
      <c r="M20" s="496"/>
      <c r="N20" s="496"/>
      <c r="O20" s="496"/>
      <c r="P20" s="497"/>
      <c r="Q20" s="452"/>
      <c r="R20" s="504"/>
      <c r="S20" s="504"/>
      <c r="T20" s="504"/>
      <c r="U20" s="504"/>
      <c r="V20" s="504"/>
      <c r="W20" s="504"/>
      <c r="X20" s="504"/>
      <c r="Y20" s="504"/>
      <c r="Z20" s="504"/>
      <c r="AA20" s="504"/>
      <c r="AB20" s="504"/>
      <c r="AC20" s="504"/>
      <c r="AD20" s="504"/>
      <c r="AE20" s="504"/>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5"/>
      <c r="BD20" s="449"/>
      <c r="BE20" s="450"/>
      <c r="BF20" s="450"/>
      <c r="BG20" s="450"/>
      <c r="BH20" s="450"/>
      <c r="BI20" s="450"/>
      <c r="BJ20" s="451"/>
    </row>
    <row r="21" spans="1:62" ht="30" customHeight="1">
      <c r="A21" s="449"/>
      <c r="B21" s="450"/>
      <c r="C21" s="451"/>
      <c r="D21" s="495"/>
      <c r="E21" s="496"/>
      <c r="F21" s="496"/>
      <c r="G21" s="496"/>
      <c r="H21" s="496"/>
      <c r="I21" s="496"/>
      <c r="J21" s="496"/>
      <c r="K21" s="496"/>
      <c r="L21" s="496"/>
      <c r="M21" s="496"/>
      <c r="N21" s="496"/>
      <c r="O21" s="496"/>
      <c r="P21" s="497"/>
      <c r="Q21" s="452"/>
      <c r="R21" s="504"/>
      <c r="S21" s="504"/>
      <c r="T21" s="504"/>
      <c r="U21" s="504"/>
      <c r="V21" s="504"/>
      <c r="W21" s="504"/>
      <c r="X21" s="504"/>
      <c r="Y21" s="504"/>
      <c r="Z21" s="504"/>
      <c r="AA21" s="504"/>
      <c r="AB21" s="504"/>
      <c r="AC21" s="504"/>
      <c r="AD21" s="504"/>
      <c r="AE21" s="504"/>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5"/>
      <c r="BD21" s="449"/>
      <c r="BE21" s="450"/>
      <c r="BF21" s="450"/>
      <c r="BG21" s="450"/>
      <c r="BH21" s="450"/>
      <c r="BI21" s="450"/>
      <c r="BJ21" s="451"/>
    </row>
    <row r="22" spans="1:62" ht="30" customHeight="1">
      <c r="A22" s="449"/>
      <c r="B22" s="450"/>
      <c r="C22" s="451"/>
      <c r="D22" s="495"/>
      <c r="E22" s="496"/>
      <c r="F22" s="496"/>
      <c r="G22" s="496"/>
      <c r="H22" s="496"/>
      <c r="I22" s="496"/>
      <c r="J22" s="496"/>
      <c r="K22" s="496"/>
      <c r="L22" s="496"/>
      <c r="M22" s="496"/>
      <c r="N22" s="496"/>
      <c r="O22" s="496"/>
      <c r="P22" s="497"/>
      <c r="Q22" s="452"/>
      <c r="R22" s="504"/>
      <c r="S22" s="504"/>
      <c r="T22" s="504"/>
      <c r="U22" s="504"/>
      <c r="V22" s="504"/>
      <c r="W22" s="504"/>
      <c r="X22" s="504"/>
      <c r="Y22" s="504"/>
      <c r="Z22" s="504"/>
      <c r="AA22" s="504"/>
      <c r="AB22" s="504"/>
      <c r="AC22" s="504"/>
      <c r="AD22" s="504"/>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5"/>
      <c r="BD22" s="449"/>
      <c r="BE22" s="450"/>
      <c r="BF22" s="450"/>
      <c r="BG22" s="450"/>
      <c r="BH22" s="450"/>
      <c r="BI22" s="450"/>
      <c r="BJ22" s="451"/>
    </row>
    <row r="23" spans="1:62" ht="30" customHeight="1">
      <c r="A23" s="449"/>
      <c r="B23" s="450"/>
      <c r="C23" s="451"/>
      <c r="D23" s="495"/>
      <c r="E23" s="496"/>
      <c r="F23" s="496"/>
      <c r="G23" s="496"/>
      <c r="H23" s="496"/>
      <c r="I23" s="496"/>
      <c r="J23" s="496"/>
      <c r="K23" s="496"/>
      <c r="L23" s="496"/>
      <c r="M23" s="496"/>
      <c r="N23" s="496"/>
      <c r="O23" s="496"/>
      <c r="P23" s="497"/>
      <c r="Q23" s="452"/>
      <c r="R23" s="504"/>
      <c r="S23" s="504"/>
      <c r="T23" s="504"/>
      <c r="U23" s="504"/>
      <c r="V23" s="504"/>
      <c r="W23" s="504"/>
      <c r="X23" s="504"/>
      <c r="Y23" s="504"/>
      <c r="Z23" s="504"/>
      <c r="AA23" s="504"/>
      <c r="AB23" s="504"/>
      <c r="AC23" s="504"/>
      <c r="AD23" s="504"/>
      <c r="AE23" s="504"/>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5"/>
      <c r="BD23" s="449"/>
      <c r="BE23" s="450"/>
      <c r="BF23" s="450"/>
      <c r="BG23" s="450"/>
      <c r="BH23" s="450"/>
      <c r="BI23" s="450"/>
      <c r="BJ23" s="451"/>
    </row>
    <row r="24" spans="1:62" ht="30" customHeight="1">
      <c r="A24" s="449"/>
      <c r="B24" s="450"/>
      <c r="C24" s="451"/>
      <c r="D24" s="495"/>
      <c r="E24" s="496"/>
      <c r="F24" s="496"/>
      <c r="G24" s="496"/>
      <c r="H24" s="496"/>
      <c r="I24" s="496"/>
      <c r="J24" s="496"/>
      <c r="K24" s="496"/>
      <c r="L24" s="496"/>
      <c r="M24" s="496"/>
      <c r="N24" s="496"/>
      <c r="O24" s="496"/>
      <c r="P24" s="497"/>
      <c r="Q24" s="452"/>
      <c r="R24" s="504"/>
      <c r="S24" s="504"/>
      <c r="T24" s="504"/>
      <c r="U24" s="504"/>
      <c r="V24" s="504"/>
      <c r="W24" s="504"/>
      <c r="X24" s="504"/>
      <c r="Y24" s="504"/>
      <c r="Z24" s="504"/>
      <c r="AA24" s="504"/>
      <c r="AB24" s="504"/>
      <c r="AC24" s="504"/>
      <c r="AD24" s="504"/>
      <c r="AE24" s="504"/>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5"/>
      <c r="BD24" s="449"/>
      <c r="BE24" s="450"/>
      <c r="BF24" s="450"/>
      <c r="BG24" s="450"/>
      <c r="BH24" s="450"/>
      <c r="BI24" s="450"/>
      <c r="BJ24" s="451"/>
    </row>
    <row r="25" spans="1:62" ht="30" customHeight="1">
      <c r="A25" s="449"/>
      <c r="B25" s="450"/>
      <c r="C25" s="451"/>
      <c r="D25" s="495"/>
      <c r="E25" s="496"/>
      <c r="F25" s="496"/>
      <c r="G25" s="496"/>
      <c r="H25" s="496"/>
      <c r="I25" s="496"/>
      <c r="J25" s="496"/>
      <c r="K25" s="496"/>
      <c r="L25" s="496"/>
      <c r="M25" s="496"/>
      <c r="N25" s="496"/>
      <c r="O25" s="496"/>
      <c r="P25" s="497"/>
      <c r="Q25" s="452"/>
      <c r="R25" s="504"/>
      <c r="S25" s="504"/>
      <c r="T25" s="504"/>
      <c r="U25" s="504"/>
      <c r="V25" s="504"/>
      <c r="W25" s="504"/>
      <c r="X25" s="504"/>
      <c r="Y25" s="504"/>
      <c r="Z25" s="504"/>
      <c r="AA25" s="504"/>
      <c r="AB25" s="504"/>
      <c r="AC25" s="504"/>
      <c r="AD25" s="504"/>
      <c r="AE25" s="504"/>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5"/>
      <c r="BD25" s="449"/>
      <c r="BE25" s="450"/>
      <c r="BF25" s="450"/>
      <c r="BG25" s="450"/>
      <c r="BH25" s="450"/>
      <c r="BI25" s="450"/>
      <c r="BJ25" s="451"/>
    </row>
    <row r="26" spans="1:62" ht="30" customHeight="1">
      <c r="A26" s="449"/>
      <c r="B26" s="450"/>
      <c r="C26" s="451"/>
      <c r="D26" s="495"/>
      <c r="E26" s="496"/>
      <c r="F26" s="496"/>
      <c r="G26" s="496"/>
      <c r="H26" s="496"/>
      <c r="I26" s="496"/>
      <c r="J26" s="496"/>
      <c r="K26" s="496"/>
      <c r="L26" s="496"/>
      <c r="M26" s="496"/>
      <c r="N26" s="496"/>
      <c r="O26" s="496"/>
      <c r="P26" s="497"/>
      <c r="Q26" s="452"/>
      <c r="R26" s="504"/>
      <c r="S26" s="504"/>
      <c r="T26" s="504"/>
      <c r="U26" s="504"/>
      <c r="V26" s="504"/>
      <c r="W26" s="504"/>
      <c r="X26" s="504"/>
      <c r="Y26" s="504"/>
      <c r="Z26" s="504"/>
      <c r="AA26" s="504"/>
      <c r="AB26" s="504"/>
      <c r="AC26" s="504"/>
      <c r="AD26" s="504"/>
      <c r="AE26" s="504"/>
      <c r="AF26" s="504"/>
      <c r="AG26" s="504"/>
      <c r="AH26" s="504"/>
      <c r="AI26" s="504"/>
      <c r="AJ26" s="504"/>
      <c r="AK26" s="504"/>
      <c r="AL26" s="504"/>
      <c r="AM26" s="504"/>
      <c r="AN26" s="504"/>
      <c r="AO26" s="504"/>
      <c r="AP26" s="504"/>
      <c r="AQ26" s="504"/>
      <c r="AR26" s="504"/>
      <c r="AS26" s="504"/>
      <c r="AT26" s="504"/>
      <c r="AU26" s="504"/>
      <c r="AV26" s="504"/>
      <c r="AW26" s="504"/>
      <c r="AX26" s="504"/>
      <c r="AY26" s="504"/>
      <c r="AZ26" s="504"/>
      <c r="BA26" s="504"/>
      <c r="BB26" s="504"/>
      <c r="BC26" s="505"/>
      <c r="BD26" s="449"/>
      <c r="BE26" s="450"/>
      <c r="BF26" s="450"/>
      <c r="BG26" s="450"/>
      <c r="BH26" s="450"/>
      <c r="BI26" s="450"/>
      <c r="BJ26" s="451"/>
    </row>
    <row r="27" spans="1:62" ht="30" customHeight="1">
      <c r="A27" s="449"/>
      <c r="B27" s="450"/>
      <c r="C27" s="451"/>
      <c r="D27" s="495"/>
      <c r="E27" s="496"/>
      <c r="F27" s="496"/>
      <c r="G27" s="496"/>
      <c r="H27" s="496"/>
      <c r="I27" s="496"/>
      <c r="J27" s="496"/>
      <c r="K27" s="496"/>
      <c r="L27" s="496"/>
      <c r="M27" s="496"/>
      <c r="N27" s="496"/>
      <c r="O27" s="496"/>
      <c r="P27" s="497"/>
      <c r="Q27" s="452"/>
      <c r="R27" s="504"/>
      <c r="S27" s="504"/>
      <c r="T27" s="504"/>
      <c r="U27" s="504"/>
      <c r="V27" s="504"/>
      <c r="W27" s="504"/>
      <c r="X27" s="504"/>
      <c r="Y27" s="504"/>
      <c r="Z27" s="504"/>
      <c r="AA27" s="504"/>
      <c r="AB27" s="504"/>
      <c r="AC27" s="504"/>
      <c r="AD27" s="504"/>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5"/>
      <c r="BD27" s="449"/>
      <c r="BE27" s="450"/>
      <c r="BF27" s="450"/>
      <c r="BG27" s="450"/>
      <c r="BH27" s="450"/>
      <c r="BI27" s="450"/>
      <c r="BJ27" s="451"/>
    </row>
    <row r="28" spans="1:62" ht="30" customHeight="1">
      <c r="A28" s="449"/>
      <c r="B28" s="450"/>
      <c r="C28" s="451"/>
      <c r="D28" s="495"/>
      <c r="E28" s="496"/>
      <c r="F28" s="496"/>
      <c r="G28" s="496"/>
      <c r="H28" s="496"/>
      <c r="I28" s="496"/>
      <c r="J28" s="496"/>
      <c r="K28" s="496"/>
      <c r="L28" s="496"/>
      <c r="M28" s="496"/>
      <c r="N28" s="496"/>
      <c r="O28" s="496"/>
      <c r="P28" s="497"/>
      <c r="Q28" s="452"/>
      <c r="R28" s="504"/>
      <c r="S28" s="504"/>
      <c r="T28" s="504"/>
      <c r="U28" s="504"/>
      <c r="V28" s="504"/>
      <c r="W28" s="504"/>
      <c r="X28" s="504"/>
      <c r="Y28" s="504"/>
      <c r="Z28" s="504"/>
      <c r="AA28" s="504"/>
      <c r="AB28" s="504"/>
      <c r="AC28" s="504"/>
      <c r="AD28" s="504"/>
      <c r="AE28" s="504"/>
      <c r="AF28" s="504"/>
      <c r="AG28" s="504"/>
      <c r="AH28" s="504"/>
      <c r="AI28" s="504"/>
      <c r="AJ28" s="504"/>
      <c r="AK28" s="504"/>
      <c r="AL28" s="504"/>
      <c r="AM28" s="504"/>
      <c r="AN28" s="504"/>
      <c r="AO28" s="504"/>
      <c r="AP28" s="504"/>
      <c r="AQ28" s="504"/>
      <c r="AR28" s="504"/>
      <c r="AS28" s="504"/>
      <c r="AT28" s="504"/>
      <c r="AU28" s="504"/>
      <c r="AV28" s="504"/>
      <c r="AW28" s="504"/>
      <c r="AX28" s="504"/>
      <c r="AY28" s="504"/>
      <c r="AZ28" s="504"/>
      <c r="BA28" s="504"/>
      <c r="BB28" s="504"/>
      <c r="BC28" s="505"/>
      <c r="BD28" s="449"/>
      <c r="BE28" s="450"/>
      <c r="BF28" s="450"/>
      <c r="BG28" s="450"/>
      <c r="BH28" s="450"/>
      <c r="BI28" s="450"/>
      <c r="BJ28" s="451"/>
    </row>
    <row r="29" spans="1:62" ht="30" customHeight="1">
      <c r="A29" s="449"/>
      <c r="B29" s="450"/>
      <c r="C29" s="451"/>
      <c r="D29" s="495"/>
      <c r="E29" s="496"/>
      <c r="F29" s="496"/>
      <c r="G29" s="496"/>
      <c r="H29" s="496"/>
      <c r="I29" s="496"/>
      <c r="J29" s="496"/>
      <c r="K29" s="496"/>
      <c r="L29" s="496"/>
      <c r="M29" s="496"/>
      <c r="N29" s="496"/>
      <c r="O29" s="496"/>
      <c r="P29" s="497"/>
      <c r="Q29" s="452"/>
      <c r="R29" s="504"/>
      <c r="S29" s="504"/>
      <c r="T29" s="504"/>
      <c r="U29" s="504"/>
      <c r="V29" s="504"/>
      <c r="W29" s="504"/>
      <c r="X29" s="504"/>
      <c r="Y29" s="504"/>
      <c r="Z29" s="504"/>
      <c r="AA29" s="504"/>
      <c r="AB29" s="504"/>
      <c r="AC29" s="504"/>
      <c r="AD29" s="504"/>
      <c r="AE29" s="504"/>
      <c r="AF29" s="504"/>
      <c r="AG29" s="504"/>
      <c r="AH29" s="504"/>
      <c r="AI29" s="504"/>
      <c r="AJ29" s="504"/>
      <c r="AK29" s="504"/>
      <c r="AL29" s="504"/>
      <c r="AM29" s="504"/>
      <c r="AN29" s="504"/>
      <c r="AO29" s="504"/>
      <c r="AP29" s="504"/>
      <c r="AQ29" s="504"/>
      <c r="AR29" s="504"/>
      <c r="AS29" s="504"/>
      <c r="AT29" s="504"/>
      <c r="AU29" s="504"/>
      <c r="AV29" s="504"/>
      <c r="AW29" s="504"/>
      <c r="AX29" s="504"/>
      <c r="AY29" s="504"/>
      <c r="AZ29" s="504"/>
      <c r="BA29" s="504"/>
      <c r="BB29" s="504"/>
      <c r="BC29" s="505"/>
      <c r="BD29" s="449"/>
      <c r="BE29" s="450"/>
      <c r="BF29" s="450"/>
      <c r="BG29" s="450"/>
      <c r="BH29" s="450"/>
      <c r="BI29" s="450"/>
      <c r="BJ29" s="451"/>
    </row>
    <row r="30" spans="1:62" ht="30" customHeight="1">
      <c r="A30" s="449"/>
      <c r="B30" s="450"/>
      <c r="C30" s="451"/>
      <c r="D30" s="495"/>
      <c r="E30" s="496"/>
      <c r="F30" s="496"/>
      <c r="G30" s="496"/>
      <c r="H30" s="496"/>
      <c r="I30" s="496"/>
      <c r="J30" s="496"/>
      <c r="K30" s="496"/>
      <c r="L30" s="496"/>
      <c r="M30" s="496"/>
      <c r="N30" s="496"/>
      <c r="O30" s="496"/>
      <c r="P30" s="497"/>
      <c r="Q30" s="452"/>
      <c r="R30" s="504"/>
      <c r="S30" s="504"/>
      <c r="T30" s="504"/>
      <c r="U30" s="504"/>
      <c r="V30" s="504"/>
      <c r="W30" s="504"/>
      <c r="X30" s="504"/>
      <c r="Y30" s="504"/>
      <c r="Z30" s="504"/>
      <c r="AA30" s="504"/>
      <c r="AB30" s="504"/>
      <c r="AC30" s="504"/>
      <c r="AD30" s="504"/>
      <c r="AE30" s="504"/>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5"/>
      <c r="BD30" s="449"/>
      <c r="BE30" s="450"/>
      <c r="BF30" s="450"/>
      <c r="BG30" s="450"/>
      <c r="BH30" s="450"/>
      <c r="BI30" s="450"/>
      <c r="BJ30" s="451"/>
    </row>
    <row r="31" spans="1:62" ht="30" customHeight="1">
      <c r="A31" s="449"/>
      <c r="B31" s="450"/>
      <c r="C31" s="451"/>
      <c r="D31" s="495"/>
      <c r="E31" s="496"/>
      <c r="F31" s="496"/>
      <c r="G31" s="496"/>
      <c r="H31" s="496"/>
      <c r="I31" s="496"/>
      <c r="J31" s="496"/>
      <c r="K31" s="496"/>
      <c r="L31" s="496"/>
      <c r="M31" s="496"/>
      <c r="N31" s="496"/>
      <c r="O31" s="496"/>
      <c r="P31" s="497"/>
      <c r="Q31" s="452"/>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5"/>
      <c r="BD31" s="449"/>
      <c r="BE31" s="450"/>
      <c r="BF31" s="450"/>
      <c r="BG31" s="450"/>
      <c r="BH31" s="450"/>
      <c r="BI31" s="450"/>
      <c r="BJ31" s="451"/>
    </row>
    <row r="32" spans="1:62" ht="30" customHeight="1">
      <c r="A32" s="449"/>
      <c r="B32" s="450"/>
      <c r="C32" s="451"/>
      <c r="D32" s="495"/>
      <c r="E32" s="496"/>
      <c r="F32" s="496"/>
      <c r="G32" s="496"/>
      <c r="H32" s="496"/>
      <c r="I32" s="496"/>
      <c r="J32" s="496"/>
      <c r="K32" s="496"/>
      <c r="L32" s="496"/>
      <c r="M32" s="496"/>
      <c r="N32" s="496"/>
      <c r="O32" s="496"/>
      <c r="P32" s="497"/>
      <c r="Q32" s="452"/>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5"/>
      <c r="BD32" s="449"/>
      <c r="BE32" s="450"/>
      <c r="BF32" s="450"/>
      <c r="BG32" s="450"/>
      <c r="BH32" s="450"/>
      <c r="BI32" s="450"/>
      <c r="BJ32" s="451"/>
    </row>
    <row r="33" spans="1:62" ht="30" customHeight="1">
      <c r="A33" s="449"/>
      <c r="B33" s="450"/>
      <c r="C33" s="451"/>
      <c r="D33" s="495"/>
      <c r="E33" s="496"/>
      <c r="F33" s="496"/>
      <c r="G33" s="496"/>
      <c r="H33" s="496"/>
      <c r="I33" s="496"/>
      <c r="J33" s="496"/>
      <c r="K33" s="496"/>
      <c r="L33" s="496"/>
      <c r="M33" s="496"/>
      <c r="N33" s="496"/>
      <c r="O33" s="496"/>
      <c r="P33" s="497"/>
      <c r="Q33" s="452"/>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5"/>
      <c r="BD33" s="449"/>
      <c r="BE33" s="450"/>
      <c r="BF33" s="450"/>
      <c r="BG33" s="450"/>
      <c r="BH33" s="450"/>
      <c r="BI33" s="450"/>
      <c r="BJ33" s="451"/>
    </row>
    <row r="34" spans="1:62" ht="30" customHeight="1">
      <c r="A34" s="449"/>
      <c r="B34" s="450"/>
      <c r="C34" s="451"/>
      <c r="D34" s="495"/>
      <c r="E34" s="496"/>
      <c r="F34" s="496"/>
      <c r="G34" s="496"/>
      <c r="H34" s="496"/>
      <c r="I34" s="496"/>
      <c r="J34" s="496"/>
      <c r="K34" s="496"/>
      <c r="L34" s="496"/>
      <c r="M34" s="496"/>
      <c r="N34" s="496"/>
      <c r="O34" s="496"/>
      <c r="P34" s="497"/>
      <c r="Q34" s="452"/>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5"/>
      <c r="BD34" s="449"/>
      <c r="BE34" s="450"/>
      <c r="BF34" s="450"/>
      <c r="BG34" s="450"/>
      <c r="BH34" s="450"/>
      <c r="BI34" s="450"/>
      <c r="BJ34" s="451"/>
    </row>
    <row r="35" spans="1:62" ht="30" customHeight="1">
      <c r="A35" s="449"/>
      <c r="B35" s="450"/>
      <c r="C35" s="451"/>
      <c r="D35" s="495"/>
      <c r="E35" s="496"/>
      <c r="F35" s="496"/>
      <c r="G35" s="496"/>
      <c r="H35" s="496"/>
      <c r="I35" s="496"/>
      <c r="J35" s="496"/>
      <c r="K35" s="496"/>
      <c r="L35" s="496"/>
      <c r="M35" s="496"/>
      <c r="N35" s="496"/>
      <c r="O35" s="496"/>
      <c r="P35" s="497"/>
      <c r="Q35" s="452"/>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504"/>
      <c r="AO35" s="504"/>
      <c r="AP35" s="504"/>
      <c r="AQ35" s="504"/>
      <c r="AR35" s="504"/>
      <c r="AS35" s="504"/>
      <c r="AT35" s="504"/>
      <c r="AU35" s="504"/>
      <c r="AV35" s="504"/>
      <c r="AW35" s="504"/>
      <c r="AX35" s="504"/>
      <c r="AY35" s="504"/>
      <c r="AZ35" s="504"/>
      <c r="BA35" s="504"/>
      <c r="BB35" s="504"/>
      <c r="BC35" s="505"/>
      <c r="BD35" s="449"/>
      <c r="BE35" s="450"/>
      <c r="BF35" s="450"/>
      <c r="BG35" s="450"/>
      <c r="BH35" s="450"/>
      <c r="BI35" s="450"/>
      <c r="BJ35" s="451"/>
    </row>
    <row r="36" spans="1:62" ht="30" customHeight="1">
      <c r="A36" s="449"/>
      <c r="B36" s="450"/>
      <c r="C36" s="451"/>
      <c r="D36" s="495"/>
      <c r="E36" s="496"/>
      <c r="F36" s="496"/>
      <c r="G36" s="496"/>
      <c r="H36" s="496"/>
      <c r="I36" s="496"/>
      <c r="J36" s="496"/>
      <c r="K36" s="496"/>
      <c r="L36" s="496"/>
      <c r="M36" s="496"/>
      <c r="N36" s="496"/>
      <c r="O36" s="496"/>
      <c r="P36" s="497"/>
      <c r="Q36" s="452"/>
      <c r="R36" s="504"/>
      <c r="S36" s="504"/>
      <c r="T36" s="504"/>
      <c r="U36" s="504"/>
      <c r="V36" s="504"/>
      <c r="W36" s="504"/>
      <c r="X36" s="504"/>
      <c r="Y36" s="504"/>
      <c r="Z36" s="504"/>
      <c r="AA36" s="504"/>
      <c r="AB36" s="504"/>
      <c r="AC36" s="504"/>
      <c r="AD36" s="504"/>
      <c r="AE36" s="504"/>
      <c r="AF36" s="504"/>
      <c r="AG36" s="504"/>
      <c r="AH36" s="504"/>
      <c r="AI36" s="504"/>
      <c r="AJ36" s="504"/>
      <c r="AK36" s="504"/>
      <c r="AL36" s="504"/>
      <c r="AM36" s="504"/>
      <c r="AN36" s="504"/>
      <c r="AO36" s="504"/>
      <c r="AP36" s="504"/>
      <c r="AQ36" s="504"/>
      <c r="AR36" s="504"/>
      <c r="AS36" s="504"/>
      <c r="AT36" s="504"/>
      <c r="AU36" s="504"/>
      <c r="AV36" s="504"/>
      <c r="AW36" s="504"/>
      <c r="AX36" s="504"/>
      <c r="AY36" s="504"/>
      <c r="AZ36" s="504"/>
      <c r="BA36" s="504"/>
      <c r="BB36" s="504"/>
      <c r="BC36" s="505"/>
      <c r="BD36" s="449"/>
      <c r="BE36" s="450"/>
      <c r="BF36" s="450"/>
      <c r="BG36" s="450"/>
      <c r="BH36" s="450"/>
      <c r="BI36" s="450"/>
      <c r="BJ36" s="451"/>
    </row>
    <row r="37" spans="1:62" ht="30" customHeight="1">
      <c r="A37" s="449"/>
      <c r="B37" s="450"/>
      <c r="C37" s="451"/>
      <c r="D37" s="495"/>
      <c r="E37" s="496"/>
      <c r="F37" s="496"/>
      <c r="G37" s="496"/>
      <c r="H37" s="496"/>
      <c r="I37" s="496"/>
      <c r="J37" s="496"/>
      <c r="K37" s="496"/>
      <c r="L37" s="496"/>
      <c r="M37" s="496"/>
      <c r="N37" s="496"/>
      <c r="O37" s="496"/>
      <c r="P37" s="497"/>
      <c r="Q37" s="452"/>
      <c r="R37" s="504"/>
      <c r="S37" s="504"/>
      <c r="T37" s="504"/>
      <c r="U37" s="504"/>
      <c r="V37" s="504"/>
      <c r="W37" s="504"/>
      <c r="X37" s="504"/>
      <c r="Y37" s="504"/>
      <c r="Z37" s="504"/>
      <c r="AA37" s="504"/>
      <c r="AB37" s="504"/>
      <c r="AC37" s="504"/>
      <c r="AD37" s="504"/>
      <c r="AE37" s="504"/>
      <c r="AF37" s="504"/>
      <c r="AG37" s="504"/>
      <c r="AH37" s="504"/>
      <c r="AI37" s="504"/>
      <c r="AJ37" s="504"/>
      <c r="AK37" s="504"/>
      <c r="AL37" s="504"/>
      <c r="AM37" s="504"/>
      <c r="AN37" s="504"/>
      <c r="AO37" s="504"/>
      <c r="AP37" s="504"/>
      <c r="AQ37" s="504"/>
      <c r="AR37" s="504"/>
      <c r="AS37" s="504"/>
      <c r="AT37" s="504"/>
      <c r="AU37" s="504"/>
      <c r="AV37" s="504"/>
      <c r="AW37" s="504"/>
      <c r="AX37" s="504"/>
      <c r="AY37" s="504"/>
      <c r="AZ37" s="504"/>
      <c r="BA37" s="504"/>
      <c r="BB37" s="504"/>
      <c r="BC37" s="505"/>
      <c r="BD37" s="449"/>
      <c r="BE37" s="450"/>
      <c r="BF37" s="450"/>
      <c r="BG37" s="450"/>
      <c r="BH37" s="450"/>
      <c r="BI37" s="450"/>
      <c r="BJ37" s="451"/>
    </row>
    <row r="38" spans="1:62" ht="30" customHeight="1">
      <c r="A38" s="461"/>
      <c r="B38" s="462"/>
      <c r="C38" s="463"/>
      <c r="D38" s="525"/>
      <c r="E38" s="526"/>
      <c r="F38" s="526"/>
      <c r="G38" s="526"/>
      <c r="H38" s="526"/>
      <c r="I38" s="526"/>
      <c r="J38" s="526"/>
      <c r="K38" s="526"/>
      <c r="L38" s="526"/>
      <c r="M38" s="526"/>
      <c r="N38" s="526"/>
      <c r="O38" s="526"/>
      <c r="P38" s="527"/>
      <c r="Q38" s="576"/>
      <c r="R38" s="577"/>
      <c r="S38" s="577"/>
      <c r="T38" s="577"/>
      <c r="U38" s="577"/>
      <c r="V38" s="577"/>
      <c r="W38" s="577"/>
      <c r="X38" s="577"/>
      <c r="Y38" s="577"/>
      <c r="Z38" s="577"/>
      <c r="AA38" s="577"/>
      <c r="AB38" s="577"/>
      <c r="AC38" s="577"/>
      <c r="AD38" s="577"/>
      <c r="AE38" s="577"/>
      <c r="AF38" s="577"/>
      <c r="AG38" s="577"/>
      <c r="AH38" s="577"/>
      <c r="AI38" s="577"/>
      <c r="AJ38" s="577"/>
      <c r="AK38" s="577"/>
      <c r="AL38" s="577"/>
      <c r="AM38" s="577"/>
      <c r="AN38" s="577"/>
      <c r="AO38" s="577"/>
      <c r="AP38" s="577"/>
      <c r="AQ38" s="577"/>
      <c r="AR38" s="577"/>
      <c r="AS38" s="577"/>
      <c r="AT38" s="577"/>
      <c r="AU38" s="577"/>
      <c r="AV38" s="577"/>
      <c r="AW38" s="577"/>
      <c r="AX38" s="577"/>
      <c r="AY38" s="577"/>
      <c r="AZ38" s="577"/>
      <c r="BA38" s="577"/>
      <c r="BB38" s="577"/>
      <c r="BC38" s="578"/>
      <c r="BD38" s="461"/>
      <c r="BE38" s="462"/>
      <c r="BF38" s="462"/>
      <c r="BG38" s="462"/>
      <c r="BH38" s="462"/>
      <c r="BI38" s="462"/>
      <c r="BJ38" s="463"/>
    </row>
    <row r="39" spans="1:62" s="20" customFormat="1" ht="3" customHeight="1">
      <c r="B39" s="21"/>
      <c r="C39" s="21"/>
      <c r="D39" s="21"/>
      <c r="E39" s="21"/>
      <c r="F39" s="21"/>
      <c r="G39" s="21"/>
      <c r="H39" s="21"/>
      <c r="I39" s="21"/>
      <c r="J39" s="21"/>
      <c r="K39" s="21"/>
      <c r="L39" s="21"/>
      <c r="M39" s="21"/>
      <c r="N39" s="21"/>
      <c r="O39" s="21"/>
      <c r="P39" s="21"/>
      <c r="Q39" s="21"/>
    </row>
    <row r="40" spans="1:62" ht="21" customHeight="1">
      <c r="B40" s="19"/>
      <c r="C40" s="19"/>
      <c r="D40" s="19"/>
      <c r="E40" s="19"/>
      <c r="F40" s="19"/>
      <c r="G40" s="19"/>
      <c r="H40" s="19"/>
      <c r="I40" s="19"/>
      <c r="J40" s="19"/>
      <c r="K40" s="19"/>
      <c r="L40" s="19"/>
      <c r="M40" s="19"/>
      <c r="N40" s="19"/>
      <c r="O40" s="19"/>
      <c r="P40" s="19"/>
      <c r="Q40" s="19"/>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139">
    <mergeCell ref="A4:G4"/>
    <mergeCell ref="H4:AU4"/>
    <mergeCell ref="AV4:AY4"/>
    <mergeCell ref="AZ4:BJ4"/>
    <mergeCell ref="A6:G6"/>
    <mergeCell ref="H6:BJ6"/>
    <mergeCell ref="BD8:BJ8"/>
    <mergeCell ref="A9:C9"/>
    <mergeCell ref="D9:P9"/>
    <mergeCell ref="Q9:BC9"/>
    <mergeCell ref="BD9:BJ9"/>
    <mergeCell ref="A8:C8"/>
    <mergeCell ref="D8:P8"/>
    <mergeCell ref="Q8:BC8"/>
    <mergeCell ref="A3:G3"/>
    <mergeCell ref="H3:AU3"/>
    <mergeCell ref="AV3:AY3"/>
    <mergeCell ref="AZ3:BJ3"/>
    <mergeCell ref="A2:AU2"/>
    <mergeCell ref="AV2:AY2"/>
    <mergeCell ref="AZ2:BC2"/>
    <mergeCell ref="BD2:BF2"/>
    <mergeCell ref="BG2:BJ2"/>
    <mergeCell ref="A16:C16"/>
    <mergeCell ref="A17:C17"/>
    <mergeCell ref="A18:C18"/>
    <mergeCell ref="BD10:BJ10"/>
    <mergeCell ref="A12:C12"/>
    <mergeCell ref="A13:C13"/>
    <mergeCell ref="A14:C14"/>
    <mergeCell ref="A15:C15"/>
    <mergeCell ref="D10:P10"/>
    <mergeCell ref="A10:C10"/>
    <mergeCell ref="Q10:BC10"/>
    <mergeCell ref="A11:C11"/>
    <mergeCell ref="Q11:BC11"/>
    <mergeCell ref="Q12:BC12"/>
    <mergeCell ref="Q13:BC13"/>
    <mergeCell ref="Q14:BC14"/>
    <mergeCell ref="Q15:BC15"/>
    <mergeCell ref="Q16:BC16"/>
    <mergeCell ref="Q17:BC17"/>
    <mergeCell ref="Q18:BC18"/>
    <mergeCell ref="A24:C24"/>
    <mergeCell ref="A25:C25"/>
    <mergeCell ref="A26:C26"/>
    <mergeCell ref="A27:C27"/>
    <mergeCell ref="A28:C28"/>
    <mergeCell ref="A19:C19"/>
    <mergeCell ref="A20:C20"/>
    <mergeCell ref="A21:C21"/>
    <mergeCell ref="A22:C22"/>
    <mergeCell ref="A23:C23"/>
    <mergeCell ref="A38:C38"/>
    <mergeCell ref="D11:P11"/>
    <mergeCell ref="D12:P12"/>
    <mergeCell ref="D13:P13"/>
    <mergeCell ref="D14:P14"/>
    <mergeCell ref="D15:P15"/>
    <mergeCell ref="D16:P16"/>
    <mergeCell ref="D17:P17"/>
    <mergeCell ref="D18:P18"/>
    <mergeCell ref="D19:P19"/>
    <mergeCell ref="D20:P20"/>
    <mergeCell ref="D21:P21"/>
    <mergeCell ref="D22:P22"/>
    <mergeCell ref="D23:P23"/>
    <mergeCell ref="A34:C34"/>
    <mergeCell ref="A35:C35"/>
    <mergeCell ref="A36:C36"/>
    <mergeCell ref="A37:C37"/>
    <mergeCell ref="D38:P38"/>
    <mergeCell ref="A29:C29"/>
    <mergeCell ref="A30:C30"/>
    <mergeCell ref="A31:C31"/>
    <mergeCell ref="A32:C32"/>
    <mergeCell ref="A33:C33"/>
    <mergeCell ref="Q19:BC19"/>
    <mergeCell ref="Q20:BC20"/>
    <mergeCell ref="Q21:BC21"/>
    <mergeCell ref="Q22:BC22"/>
    <mergeCell ref="Q23:BC23"/>
    <mergeCell ref="D34:P34"/>
    <mergeCell ref="D35:P35"/>
    <mergeCell ref="D36:P36"/>
    <mergeCell ref="Q24:BC24"/>
    <mergeCell ref="Q25:BC25"/>
    <mergeCell ref="Q26:BC26"/>
    <mergeCell ref="Q27:BC27"/>
    <mergeCell ref="Q28:BC28"/>
    <mergeCell ref="D24:P24"/>
    <mergeCell ref="D25:P25"/>
    <mergeCell ref="D26:P26"/>
    <mergeCell ref="D27:P27"/>
    <mergeCell ref="D28:P28"/>
    <mergeCell ref="D37:P37"/>
    <mergeCell ref="D29:P29"/>
    <mergeCell ref="D30:P30"/>
    <mergeCell ref="D31:P31"/>
    <mergeCell ref="D32:P32"/>
    <mergeCell ref="D33:P33"/>
    <mergeCell ref="Q29:BC29"/>
    <mergeCell ref="Q30:BC30"/>
    <mergeCell ref="Q31:BC31"/>
    <mergeCell ref="Q32:BC32"/>
    <mergeCell ref="Q33:BC33"/>
    <mergeCell ref="BD24:BJ24"/>
    <mergeCell ref="BD25:BJ25"/>
    <mergeCell ref="BD26:BJ26"/>
    <mergeCell ref="BD27:BJ27"/>
    <mergeCell ref="BD28:BJ28"/>
    <mergeCell ref="Q38:BC38"/>
    <mergeCell ref="BD11:BJ11"/>
    <mergeCell ref="BD12:BJ12"/>
    <mergeCell ref="BD13:BJ13"/>
    <mergeCell ref="BD14:BJ14"/>
    <mergeCell ref="BD15:BJ15"/>
    <mergeCell ref="BD16:BJ16"/>
    <mergeCell ref="BD17:BJ17"/>
    <mergeCell ref="BD18:BJ18"/>
    <mergeCell ref="BD19:BJ19"/>
    <mergeCell ref="BD20:BJ20"/>
    <mergeCell ref="BD21:BJ21"/>
    <mergeCell ref="BD22:BJ22"/>
    <mergeCell ref="BD23:BJ23"/>
    <mergeCell ref="Q34:BC34"/>
    <mergeCell ref="Q35:BC35"/>
    <mergeCell ref="Q36:BC36"/>
    <mergeCell ref="Q37:BC37"/>
    <mergeCell ref="BD38:BJ38"/>
    <mergeCell ref="BD34:BJ34"/>
    <mergeCell ref="BD35:BJ35"/>
    <mergeCell ref="BD36:BJ36"/>
    <mergeCell ref="BD37:BJ37"/>
    <mergeCell ref="BD29:BJ29"/>
    <mergeCell ref="BD30:BJ30"/>
    <mergeCell ref="BD31:BJ31"/>
    <mergeCell ref="BD32:BJ32"/>
    <mergeCell ref="BD33:BJ33"/>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FB00-6F14-46FE-B0D6-2CB6896D93D7}">
  <sheetPr codeName="Sheet5"/>
  <dimension ref="A1:FO362"/>
  <sheetViews>
    <sheetView view="pageBreakPreview" zoomScaleNormal="100" zoomScaleSheetLayoutView="100" workbookViewId="0"/>
  </sheetViews>
  <sheetFormatPr defaultColWidth="1.90625" defaultRowHeight="11"/>
  <cols>
    <col min="1" max="3" width="1.90625" style="254" customWidth="1"/>
    <col min="4" max="83" width="1.90625" style="57" customWidth="1"/>
    <col min="84" max="84" width="1.90625" style="254" customWidth="1"/>
    <col min="85" max="171" width="1.90625" style="254"/>
    <col min="172" max="16384" width="1.90625" style="57"/>
  </cols>
  <sheetData>
    <row r="1" spans="1:171" s="249" customFormat="1" ht="19.5" customHeight="1">
      <c r="A1" s="247" t="s">
        <v>15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423"/>
      <c r="AU1" s="423"/>
      <c r="AV1" s="423"/>
      <c r="AW1" s="423"/>
      <c r="AX1" s="423"/>
      <c r="AY1" s="423"/>
      <c r="AZ1" s="423"/>
      <c r="BA1" s="423"/>
      <c r="BB1" s="423"/>
      <c r="BC1" s="423"/>
      <c r="BD1" s="423"/>
      <c r="BE1" s="423"/>
      <c r="BF1" s="423"/>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8" t="s">
        <v>1</v>
      </c>
      <c r="CH1" s="247"/>
      <c r="CI1" s="247"/>
      <c r="CJ1" s="247"/>
      <c r="CK1" s="247"/>
      <c r="CL1" s="247"/>
    </row>
    <row r="2" spans="1:171" s="252" customFormat="1" ht="19.5" customHeight="1">
      <c r="A2" s="424" t="s">
        <v>26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6"/>
      <c r="BP2" s="427" t="s">
        <v>3</v>
      </c>
      <c r="BQ2" s="428"/>
      <c r="BR2" s="428"/>
      <c r="BS2" s="428"/>
      <c r="BT2" s="428"/>
      <c r="BU2" s="429"/>
      <c r="BV2" s="250" t="s">
        <v>27</v>
      </c>
      <c r="BW2" s="146"/>
      <c r="BX2" s="147"/>
      <c r="BY2" s="250"/>
      <c r="BZ2" s="147"/>
      <c r="CA2" s="427" t="s">
        <v>5</v>
      </c>
      <c r="CB2" s="428"/>
      <c r="CC2" s="429"/>
      <c r="CD2" s="427"/>
      <c r="CE2" s="428"/>
      <c r="CF2" s="428"/>
      <c r="CG2" s="429"/>
      <c r="CH2" s="251"/>
      <c r="CI2" s="251"/>
      <c r="CJ2" s="251"/>
      <c r="CK2" s="251"/>
      <c r="CL2" s="251"/>
    </row>
    <row r="3" spans="1:171" s="249" customFormat="1" ht="19.5" customHeight="1">
      <c r="A3" s="427" t="s">
        <v>6</v>
      </c>
      <c r="B3" s="428"/>
      <c r="C3" s="428"/>
      <c r="D3" s="428"/>
      <c r="E3" s="428"/>
      <c r="F3" s="428"/>
      <c r="G3" s="428"/>
      <c r="H3" s="428"/>
      <c r="I3" s="428"/>
      <c r="J3" s="428"/>
      <c r="K3" s="429"/>
      <c r="L3" s="430" t="s">
        <v>291</v>
      </c>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2"/>
      <c r="BP3" s="427" t="s">
        <v>7</v>
      </c>
      <c r="BQ3" s="428"/>
      <c r="BR3" s="428"/>
      <c r="BS3" s="428"/>
      <c r="BT3" s="428"/>
      <c r="BU3" s="429"/>
      <c r="BV3" s="427" t="s">
        <v>287</v>
      </c>
      <c r="BW3" s="428"/>
      <c r="BX3" s="428"/>
      <c r="BY3" s="428"/>
      <c r="BZ3" s="428"/>
      <c r="CA3" s="428"/>
      <c r="CB3" s="428"/>
      <c r="CC3" s="428"/>
      <c r="CD3" s="428"/>
      <c r="CE3" s="428"/>
      <c r="CF3" s="428"/>
      <c r="CG3" s="429"/>
      <c r="CH3" s="247"/>
      <c r="CI3" s="247"/>
      <c r="CJ3" s="247"/>
      <c r="CK3" s="247"/>
      <c r="CL3" s="247"/>
    </row>
    <row r="4" spans="1:171" s="249" customFormat="1" ht="19.5" customHeight="1">
      <c r="A4" s="427" t="s">
        <v>8</v>
      </c>
      <c r="B4" s="428"/>
      <c r="C4" s="428"/>
      <c r="D4" s="428"/>
      <c r="E4" s="428"/>
      <c r="F4" s="428"/>
      <c r="G4" s="428"/>
      <c r="H4" s="428"/>
      <c r="I4" s="428"/>
      <c r="J4" s="428"/>
      <c r="K4" s="429"/>
      <c r="L4" s="430" t="s">
        <v>75</v>
      </c>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3"/>
      <c r="BL4" s="433"/>
      <c r="BM4" s="433"/>
      <c r="BN4" s="433"/>
      <c r="BO4" s="434"/>
      <c r="BP4" s="427" t="s">
        <v>10</v>
      </c>
      <c r="BQ4" s="428"/>
      <c r="BR4" s="428"/>
      <c r="BS4" s="428"/>
      <c r="BT4" s="428"/>
      <c r="BU4" s="429"/>
      <c r="BV4" s="427"/>
      <c r="BW4" s="428"/>
      <c r="BX4" s="428"/>
      <c r="BY4" s="428"/>
      <c r="BZ4" s="428"/>
      <c r="CA4" s="428"/>
      <c r="CB4" s="428"/>
      <c r="CC4" s="428"/>
      <c r="CD4" s="428"/>
      <c r="CE4" s="428"/>
      <c r="CF4" s="428"/>
      <c r="CG4" s="429"/>
      <c r="CH4" s="247"/>
      <c r="CI4" s="247"/>
      <c r="CJ4" s="247"/>
      <c r="CK4" s="247"/>
      <c r="CL4" s="247"/>
    </row>
    <row r="5" spans="1:171" s="254" customFormat="1" ht="6.75" customHeight="1">
      <c r="A5" s="253"/>
      <c r="B5" s="253"/>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row>
    <row r="6" spans="1:171" s="254" customFormat="1" ht="6.75" customHeight="1"/>
    <row r="7" spans="1:171" s="256" customFormat="1" ht="19.5" customHeight="1">
      <c r="A7" s="384" t="s">
        <v>28</v>
      </c>
      <c r="B7" s="385"/>
      <c r="C7" s="385"/>
      <c r="D7" s="385"/>
      <c r="E7" s="385"/>
      <c r="F7" s="385"/>
      <c r="G7" s="385"/>
      <c r="H7" s="385"/>
      <c r="I7" s="385"/>
      <c r="J7" s="385"/>
      <c r="K7" s="386"/>
      <c r="L7" s="361" t="s">
        <v>300</v>
      </c>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400"/>
      <c r="CG7" s="255"/>
    </row>
    <row r="8" spans="1:171" s="254" customFormat="1" ht="9" customHeight="1">
      <c r="CF8" s="259"/>
    </row>
    <row r="9" spans="1:171" s="254" customFormat="1" ht="14.25" customHeight="1">
      <c r="A9" s="257"/>
      <c r="D9" s="282" t="s">
        <v>332</v>
      </c>
      <c r="E9" s="258"/>
      <c r="F9" s="258"/>
      <c r="G9" s="258"/>
      <c r="H9" s="258"/>
      <c r="I9" s="258"/>
      <c r="J9" s="258"/>
      <c r="K9" s="258"/>
      <c r="M9" s="282"/>
      <c r="Q9" s="282"/>
      <c r="T9" s="282"/>
      <c r="CF9" s="259"/>
    </row>
    <row r="10" spans="1:171" s="31" customFormat="1" ht="19.5" customHeight="1">
      <c r="A10" s="260"/>
      <c r="B10" s="261"/>
      <c r="C10" s="262"/>
      <c r="D10" s="283"/>
      <c r="E10" s="284"/>
      <c r="F10" s="284"/>
      <c r="G10" s="284"/>
      <c r="H10" s="284"/>
      <c r="I10" s="284"/>
      <c r="J10" s="284"/>
      <c r="K10" s="284"/>
      <c r="L10" s="284"/>
      <c r="M10" s="421" t="s">
        <v>300</v>
      </c>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284"/>
      <c r="BR10" s="284"/>
      <c r="BS10" s="284"/>
      <c r="BT10" s="284"/>
      <c r="BU10" s="417" t="s">
        <v>289</v>
      </c>
      <c r="BV10" s="417"/>
      <c r="BW10" s="417"/>
      <c r="BX10" s="417"/>
      <c r="BY10" s="417"/>
      <c r="BZ10" s="417"/>
      <c r="CA10" s="417"/>
      <c r="CB10" s="417"/>
      <c r="CC10" s="417"/>
      <c r="CD10" s="417"/>
      <c r="CE10" s="418"/>
      <c r="CF10" s="273"/>
      <c r="CG10" s="256"/>
      <c r="CH10" s="256"/>
      <c r="CI10" s="256"/>
      <c r="CJ10" s="256"/>
      <c r="CK10" s="256"/>
      <c r="CL10" s="256"/>
      <c r="CM10" s="256"/>
      <c r="CN10" s="256"/>
      <c r="CO10" s="256"/>
      <c r="CP10" s="256"/>
      <c r="CQ10" s="256"/>
      <c r="CR10" s="256"/>
      <c r="CS10" s="256"/>
      <c r="CT10" s="256"/>
      <c r="CU10" s="256"/>
      <c r="CV10" s="256"/>
      <c r="CW10" s="256"/>
      <c r="CX10" s="256"/>
      <c r="CY10" s="256"/>
      <c r="CZ10" s="256"/>
      <c r="DA10" s="256"/>
      <c r="DB10" s="256"/>
      <c r="DC10" s="256"/>
      <c r="DD10" s="256"/>
      <c r="DE10" s="256"/>
      <c r="DF10" s="256"/>
      <c r="DG10" s="256"/>
      <c r="DH10" s="256"/>
      <c r="DI10" s="256"/>
      <c r="DJ10" s="256"/>
      <c r="DK10" s="256"/>
      <c r="DL10" s="256"/>
      <c r="DM10" s="256"/>
      <c r="DN10" s="256"/>
      <c r="DO10" s="256"/>
      <c r="DP10" s="256"/>
      <c r="DQ10" s="256"/>
      <c r="DR10" s="256"/>
      <c r="DS10" s="256"/>
      <c r="DT10" s="256"/>
      <c r="DU10" s="256"/>
      <c r="DV10" s="256"/>
      <c r="DW10" s="256"/>
      <c r="DX10" s="256"/>
      <c r="DY10" s="256"/>
      <c r="DZ10" s="256"/>
      <c r="EA10" s="256"/>
      <c r="EB10" s="256"/>
      <c r="EC10" s="256"/>
      <c r="ED10" s="256"/>
      <c r="EE10" s="256"/>
      <c r="EF10" s="256"/>
      <c r="EG10" s="256"/>
      <c r="EH10" s="256"/>
      <c r="EI10" s="256"/>
      <c r="EJ10" s="256"/>
      <c r="EK10" s="256"/>
      <c r="EL10" s="256"/>
      <c r="EM10" s="256"/>
      <c r="EN10" s="256"/>
      <c r="EO10" s="256"/>
      <c r="EP10" s="256"/>
      <c r="EQ10" s="256"/>
      <c r="ER10" s="256"/>
      <c r="ES10" s="256"/>
      <c r="ET10" s="256"/>
      <c r="EU10" s="256"/>
      <c r="EV10" s="256"/>
      <c r="EW10" s="256"/>
      <c r="EX10" s="256"/>
      <c r="EY10" s="256"/>
      <c r="EZ10" s="256"/>
      <c r="FA10" s="256"/>
      <c r="FB10" s="256"/>
      <c r="FC10" s="256"/>
      <c r="FD10" s="256"/>
      <c r="FE10" s="256"/>
      <c r="FF10" s="256"/>
      <c r="FG10" s="256"/>
      <c r="FH10" s="256"/>
      <c r="FI10" s="256"/>
      <c r="FJ10" s="256"/>
      <c r="FK10" s="256"/>
      <c r="FL10" s="256"/>
      <c r="FM10" s="256"/>
      <c r="FN10" s="256"/>
      <c r="FO10" s="256"/>
    </row>
    <row r="11" spans="1:171" s="31" customFormat="1" ht="19.5" customHeight="1" thickBot="1">
      <c r="A11" s="260"/>
      <c r="B11" s="263"/>
      <c r="C11" s="262"/>
      <c r="D11" s="286"/>
      <c r="E11" s="286"/>
      <c r="F11" s="286"/>
      <c r="G11" s="286"/>
      <c r="H11" s="286"/>
      <c r="I11" s="286"/>
      <c r="J11" s="286"/>
      <c r="K11" s="286"/>
      <c r="L11" s="286"/>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286"/>
      <c r="BR11" s="286"/>
      <c r="BS11" s="286"/>
      <c r="BT11" s="286"/>
      <c r="BU11" s="419"/>
      <c r="BV11" s="419"/>
      <c r="BW11" s="419"/>
      <c r="BX11" s="419"/>
      <c r="BY11" s="419"/>
      <c r="BZ11" s="419"/>
      <c r="CA11" s="419"/>
      <c r="CB11" s="419"/>
      <c r="CC11" s="419"/>
      <c r="CD11" s="419"/>
      <c r="CE11" s="420"/>
      <c r="CF11" s="273"/>
      <c r="CG11" s="256"/>
      <c r="CH11" s="256"/>
      <c r="CI11" s="256"/>
      <c r="CJ11" s="256"/>
      <c r="CK11" s="256"/>
      <c r="CL11" s="256"/>
      <c r="CM11" s="256"/>
      <c r="CN11" s="256"/>
      <c r="CO11" s="256"/>
      <c r="CP11" s="256"/>
      <c r="CQ11" s="256"/>
      <c r="CR11" s="256"/>
      <c r="CS11" s="256"/>
      <c r="CT11" s="256"/>
      <c r="CU11" s="256"/>
      <c r="CV11" s="256"/>
      <c r="CW11" s="256"/>
      <c r="CX11" s="256"/>
      <c r="CY11" s="256"/>
      <c r="CZ11" s="256"/>
      <c r="DA11" s="256"/>
      <c r="DB11" s="256"/>
      <c r="DC11" s="256"/>
      <c r="DD11" s="256"/>
      <c r="DE11" s="256"/>
      <c r="DF11" s="256"/>
      <c r="DG11" s="256"/>
      <c r="DH11" s="256"/>
      <c r="DI11" s="256"/>
      <c r="DJ11" s="256"/>
      <c r="DK11" s="256"/>
      <c r="DL11" s="256"/>
      <c r="DM11" s="256"/>
      <c r="DN11" s="256"/>
      <c r="DO11" s="256"/>
      <c r="DP11" s="256"/>
      <c r="DQ11" s="256"/>
      <c r="DR11" s="256"/>
      <c r="DS11" s="256"/>
      <c r="DT11" s="256"/>
      <c r="DU11" s="256"/>
      <c r="DV11" s="256"/>
      <c r="DW11" s="256"/>
      <c r="DX11" s="256"/>
      <c r="DY11" s="256"/>
      <c r="DZ11" s="256"/>
      <c r="EA11" s="256"/>
      <c r="EB11" s="256"/>
      <c r="EC11" s="256"/>
      <c r="ED11" s="256"/>
      <c r="EE11" s="256"/>
      <c r="EF11" s="256"/>
      <c r="EG11" s="256"/>
      <c r="EH11" s="256"/>
      <c r="EI11" s="256"/>
      <c r="EJ11" s="256"/>
      <c r="EK11" s="256"/>
      <c r="EL11" s="256"/>
      <c r="EM11" s="256"/>
      <c r="EN11" s="256"/>
      <c r="EO11" s="256"/>
      <c r="EP11" s="256"/>
      <c r="EQ11" s="256"/>
      <c r="ER11" s="256"/>
      <c r="ES11" s="256"/>
      <c r="ET11" s="256"/>
      <c r="EU11" s="256"/>
      <c r="EV11" s="256"/>
      <c r="EW11" s="256"/>
      <c r="EX11" s="256"/>
      <c r="EY11" s="256"/>
      <c r="EZ11" s="256"/>
      <c r="FA11" s="256"/>
      <c r="FB11" s="256"/>
      <c r="FC11" s="256"/>
      <c r="FD11" s="256"/>
      <c r="FE11" s="256"/>
      <c r="FF11" s="256"/>
      <c r="FG11" s="256"/>
      <c r="FH11" s="256"/>
      <c r="FI11" s="256"/>
      <c r="FJ11" s="256"/>
      <c r="FK11" s="256"/>
      <c r="FL11" s="256"/>
      <c r="FM11" s="256"/>
      <c r="FN11" s="256"/>
      <c r="FO11" s="256"/>
    </row>
    <row r="12" spans="1:171" s="31" customFormat="1" ht="19.5" customHeight="1" thickTop="1">
      <c r="A12" s="260"/>
      <c r="B12" s="263"/>
      <c r="C12" s="262"/>
      <c r="D12" s="86"/>
      <c r="E12" s="86"/>
      <c r="F12" s="86"/>
      <c r="G12" s="86"/>
      <c r="H12" s="179" t="s">
        <v>303</v>
      </c>
      <c r="I12" s="179"/>
      <c r="J12" s="179"/>
      <c r="K12" s="179"/>
      <c r="L12" s="179"/>
      <c r="M12" s="179" t="s">
        <v>31</v>
      </c>
      <c r="N12" s="179"/>
      <c r="O12" s="293" t="s">
        <v>313</v>
      </c>
      <c r="P12" s="293"/>
      <c r="Q12" s="293"/>
      <c r="R12" s="293"/>
      <c r="S12" s="179" t="s">
        <v>31</v>
      </c>
      <c r="T12" s="179"/>
      <c r="U12" s="129" t="s">
        <v>318</v>
      </c>
      <c r="V12" s="129"/>
      <c r="W12" s="12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80"/>
      <c r="AX12" s="180"/>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95"/>
      <c r="CD12" s="95"/>
      <c r="CE12" s="181"/>
      <c r="CF12" s="273"/>
      <c r="CG12" s="256"/>
      <c r="CH12" s="256"/>
      <c r="CI12" s="256"/>
      <c r="CJ12" s="256"/>
      <c r="CK12" s="256"/>
      <c r="CL12" s="256"/>
      <c r="CM12" s="256"/>
      <c r="CN12" s="256"/>
      <c r="CO12" s="256"/>
      <c r="CP12" s="256"/>
      <c r="CQ12" s="256"/>
      <c r="CR12" s="256"/>
      <c r="CS12" s="256"/>
      <c r="CT12" s="256"/>
      <c r="CU12" s="256"/>
      <c r="CV12" s="256"/>
      <c r="CW12" s="256"/>
      <c r="CX12" s="256"/>
      <c r="CY12" s="256"/>
      <c r="CZ12" s="256"/>
      <c r="DA12" s="256"/>
      <c r="DB12" s="256"/>
      <c r="DC12" s="256"/>
      <c r="DD12" s="256"/>
      <c r="DE12" s="256"/>
      <c r="DF12" s="256"/>
      <c r="DG12" s="256"/>
      <c r="DH12" s="256"/>
      <c r="DI12" s="256"/>
      <c r="DJ12" s="256"/>
      <c r="DK12" s="256"/>
      <c r="DL12" s="256"/>
      <c r="DM12" s="256"/>
      <c r="DN12" s="256"/>
      <c r="DO12" s="256"/>
      <c r="DP12" s="256"/>
      <c r="DQ12" s="256"/>
      <c r="DR12" s="256"/>
      <c r="DS12" s="256"/>
      <c r="DT12" s="256"/>
      <c r="DU12" s="256"/>
      <c r="DV12" s="256"/>
      <c r="DW12" s="256"/>
      <c r="DX12" s="256"/>
      <c r="DY12" s="256"/>
      <c r="DZ12" s="256"/>
      <c r="EA12" s="256"/>
      <c r="EB12" s="256"/>
      <c r="EC12" s="256"/>
      <c r="ED12" s="256"/>
      <c r="EE12" s="256"/>
      <c r="EF12" s="256"/>
      <c r="EG12" s="256"/>
      <c r="EH12" s="256"/>
      <c r="EI12" s="256"/>
      <c r="EJ12" s="256"/>
      <c r="EK12" s="256"/>
      <c r="EL12" s="256"/>
      <c r="EM12" s="256"/>
      <c r="EN12" s="256"/>
      <c r="EO12" s="256"/>
      <c r="EP12" s="256"/>
      <c r="EQ12" s="256"/>
      <c r="ER12" s="256"/>
      <c r="ES12" s="256"/>
      <c r="ET12" s="256"/>
      <c r="EU12" s="256"/>
      <c r="EV12" s="256"/>
      <c r="EW12" s="256"/>
      <c r="EX12" s="256"/>
      <c r="EY12" s="256"/>
      <c r="EZ12" s="256"/>
      <c r="FA12" s="256"/>
      <c r="FB12" s="256"/>
      <c r="FC12" s="256"/>
      <c r="FD12" s="256"/>
      <c r="FE12" s="256"/>
      <c r="FF12" s="256"/>
      <c r="FG12" s="256"/>
      <c r="FH12" s="256"/>
      <c r="FI12" s="256"/>
      <c r="FJ12" s="256"/>
      <c r="FK12" s="256"/>
      <c r="FL12" s="256"/>
      <c r="FM12" s="256"/>
      <c r="FN12" s="256"/>
      <c r="FO12" s="256"/>
    </row>
    <row r="13" spans="1:171" s="31" customFormat="1" ht="19.5" customHeight="1">
      <c r="A13" s="260"/>
      <c r="B13" s="263"/>
      <c r="C13" s="262"/>
      <c r="D13" s="98"/>
      <c r="E13" s="98"/>
      <c r="F13" s="98"/>
      <c r="G13" s="98"/>
      <c r="H13" s="672" t="s">
        <v>333</v>
      </c>
      <c r="I13" s="673"/>
      <c r="J13" s="673"/>
      <c r="K13" s="673"/>
      <c r="L13" s="673"/>
      <c r="M13" s="673"/>
      <c r="N13" s="673"/>
      <c r="O13" s="673"/>
      <c r="P13" s="673"/>
      <c r="Q13" s="673"/>
      <c r="R13" s="673"/>
      <c r="S13" s="673"/>
      <c r="T13" s="673"/>
      <c r="U13" s="673"/>
      <c r="V13" s="673"/>
      <c r="W13" s="673"/>
      <c r="X13" s="673"/>
      <c r="Y13" s="673"/>
      <c r="Z13" s="673"/>
      <c r="AA13" s="673"/>
      <c r="AB13" s="673"/>
      <c r="AC13" s="673"/>
      <c r="AD13" s="673"/>
      <c r="AE13" s="673"/>
      <c r="AF13" s="673"/>
      <c r="AG13" s="673"/>
      <c r="AH13" s="673"/>
      <c r="AI13" s="673"/>
      <c r="AJ13" s="673"/>
      <c r="AK13" s="673"/>
      <c r="AL13" s="673"/>
      <c r="AM13" s="673"/>
      <c r="AN13" s="673"/>
      <c r="AO13" s="673"/>
      <c r="AP13" s="673"/>
      <c r="AQ13" s="673"/>
      <c r="AR13" s="673"/>
      <c r="AS13" s="673"/>
      <c r="AT13" s="673"/>
      <c r="AU13" s="673"/>
      <c r="AV13" s="673"/>
      <c r="AW13" s="673"/>
      <c r="AX13" s="673"/>
      <c r="AY13" s="673"/>
      <c r="AZ13" s="673"/>
      <c r="BA13" s="673"/>
      <c r="BB13" s="673"/>
      <c r="BC13" s="673"/>
      <c r="BD13" s="673"/>
      <c r="BE13" s="673"/>
      <c r="BF13" s="673"/>
      <c r="BG13" s="673"/>
      <c r="BH13" s="673"/>
      <c r="BI13" s="673"/>
      <c r="BJ13" s="673"/>
      <c r="BK13" s="673"/>
      <c r="BL13" s="673"/>
      <c r="BM13" s="673"/>
      <c r="BN13" s="673"/>
      <c r="BO13" s="673"/>
      <c r="BP13" s="673"/>
      <c r="BQ13" s="673"/>
      <c r="BR13" s="673"/>
      <c r="BS13" s="673"/>
      <c r="BT13" s="673"/>
      <c r="BU13" s="673"/>
      <c r="BV13" s="673"/>
      <c r="BW13" s="673"/>
      <c r="BX13" s="673"/>
      <c r="BY13" s="673"/>
      <c r="BZ13" s="673"/>
      <c r="CA13" s="673"/>
      <c r="CB13" s="674"/>
      <c r="CC13" s="95"/>
      <c r="CD13" s="95"/>
      <c r="CE13" s="186"/>
      <c r="CF13" s="273"/>
      <c r="CG13" s="256"/>
      <c r="CH13" s="256"/>
      <c r="CI13" s="256"/>
      <c r="CJ13" s="256"/>
      <c r="CK13" s="256"/>
      <c r="CL13" s="256"/>
      <c r="CM13" s="256"/>
      <c r="CN13" s="256"/>
      <c r="CO13" s="256"/>
      <c r="CP13" s="256"/>
      <c r="CQ13" s="256"/>
      <c r="CR13" s="256"/>
      <c r="CS13" s="256"/>
      <c r="CT13" s="256"/>
      <c r="CU13" s="256"/>
      <c r="CV13" s="256"/>
      <c r="CW13" s="256"/>
      <c r="CX13" s="256"/>
      <c r="CY13" s="256"/>
      <c r="CZ13" s="256"/>
      <c r="DA13" s="256"/>
      <c r="DB13" s="256"/>
      <c r="DC13" s="256"/>
      <c r="DD13" s="256"/>
      <c r="DE13" s="256"/>
      <c r="DF13" s="256"/>
      <c r="DG13" s="256"/>
      <c r="DH13" s="256"/>
      <c r="DI13" s="256"/>
      <c r="DJ13" s="256"/>
      <c r="DK13" s="256"/>
      <c r="DL13" s="256"/>
      <c r="DM13" s="256"/>
      <c r="DN13" s="256"/>
      <c r="DO13" s="256"/>
      <c r="DP13" s="256"/>
      <c r="DQ13" s="256"/>
      <c r="DR13" s="256"/>
      <c r="DS13" s="256"/>
      <c r="DT13" s="256"/>
      <c r="DU13" s="256"/>
      <c r="DV13" s="256"/>
      <c r="DW13" s="256"/>
      <c r="DX13" s="256"/>
      <c r="DY13" s="256"/>
      <c r="DZ13" s="256"/>
      <c r="EA13" s="256"/>
      <c r="EB13" s="256"/>
      <c r="EC13" s="256"/>
      <c r="ED13" s="256"/>
      <c r="EE13" s="256"/>
      <c r="EF13" s="256"/>
      <c r="EG13" s="256"/>
      <c r="EH13" s="256"/>
      <c r="EI13" s="256"/>
      <c r="EJ13" s="256"/>
      <c r="EK13" s="256"/>
      <c r="EL13" s="256"/>
      <c r="EM13" s="256"/>
      <c r="EN13" s="256"/>
      <c r="EO13" s="256"/>
      <c r="EP13" s="256"/>
      <c r="EQ13" s="256"/>
      <c r="ER13" s="256"/>
      <c r="ES13" s="256"/>
      <c r="ET13" s="256"/>
      <c r="EU13" s="256"/>
      <c r="EV13" s="256"/>
      <c r="EW13" s="256"/>
      <c r="EX13" s="256"/>
      <c r="EY13" s="256"/>
      <c r="EZ13" s="256"/>
      <c r="FA13" s="256"/>
      <c r="FB13" s="256"/>
      <c r="FC13" s="256"/>
      <c r="FD13" s="256"/>
      <c r="FE13" s="256"/>
      <c r="FF13" s="256"/>
      <c r="FG13" s="256"/>
      <c r="FH13" s="256"/>
      <c r="FI13" s="256"/>
      <c r="FJ13" s="256"/>
      <c r="FK13" s="256"/>
      <c r="FL13" s="256"/>
      <c r="FM13" s="256"/>
      <c r="FN13" s="256"/>
      <c r="FO13" s="256"/>
    </row>
    <row r="14" spans="1:171" s="31" customFormat="1" ht="19.5" customHeight="1">
      <c r="A14" s="260"/>
      <c r="B14" s="263"/>
      <c r="C14" s="262"/>
      <c r="D14" s="98"/>
      <c r="E14" s="98"/>
      <c r="F14" s="98"/>
      <c r="G14" s="98"/>
      <c r="H14" s="183"/>
      <c r="I14" s="183"/>
      <c r="J14" s="183"/>
      <c r="K14" s="183"/>
      <c r="L14" s="183"/>
      <c r="M14" s="183"/>
      <c r="N14" s="184"/>
      <c r="O14" s="184"/>
      <c r="P14" s="184"/>
      <c r="Q14" s="184"/>
      <c r="R14" s="184"/>
      <c r="S14" s="184"/>
      <c r="T14" s="184"/>
      <c r="U14" s="184"/>
      <c r="V14" s="184"/>
      <c r="W14" s="184"/>
      <c r="X14" s="184"/>
      <c r="Y14" s="184"/>
      <c r="Z14" s="184"/>
      <c r="AA14" s="184"/>
      <c r="AB14" s="184"/>
      <c r="AC14" s="184"/>
      <c r="AD14" s="184"/>
      <c r="AE14" s="184"/>
      <c r="AF14" s="184"/>
      <c r="AG14" s="184"/>
      <c r="AH14" s="184"/>
      <c r="AI14" s="184"/>
      <c r="AJ14" s="184"/>
      <c r="AK14" s="184"/>
      <c r="AL14" s="184"/>
      <c r="AM14" s="184"/>
      <c r="AN14" s="184"/>
      <c r="AO14" s="184"/>
      <c r="AP14" s="184"/>
      <c r="AQ14" s="184"/>
      <c r="AR14" s="184"/>
      <c r="AS14" s="184"/>
      <c r="AT14" s="184"/>
      <c r="AU14" s="184"/>
      <c r="AV14" s="184"/>
      <c r="AW14" s="184"/>
      <c r="AX14" s="184"/>
      <c r="AY14" s="184"/>
      <c r="AZ14" s="184"/>
      <c r="BA14" s="184"/>
      <c r="BB14" s="184"/>
      <c r="BC14" s="184"/>
      <c r="BD14" s="184"/>
      <c r="BE14" s="184"/>
      <c r="BF14" s="184"/>
      <c r="BG14" s="184"/>
      <c r="BH14" s="184"/>
      <c r="BI14" s="184"/>
      <c r="BJ14" s="184"/>
      <c r="BK14" s="184"/>
      <c r="BL14" s="184"/>
      <c r="BM14" s="183"/>
      <c r="BN14" s="183"/>
      <c r="BO14" s="184"/>
      <c r="BP14" s="184"/>
      <c r="BQ14" s="184"/>
      <c r="BR14" s="184"/>
      <c r="BS14" s="184"/>
      <c r="BT14" s="184"/>
      <c r="BU14" s="184"/>
      <c r="BV14" s="184"/>
      <c r="BW14" s="184"/>
      <c r="BX14" s="185"/>
      <c r="BY14" s="179"/>
      <c r="BZ14" s="179"/>
      <c r="CA14" s="179"/>
      <c r="CB14" s="179"/>
      <c r="CC14" s="95"/>
      <c r="CD14" s="95"/>
      <c r="CE14" s="181"/>
      <c r="CF14" s="273"/>
      <c r="CG14" s="256"/>
      <c r="CH14" s="256"/>
      <c r="CI14" s="256"/>
      <c r="CJ14" s="256"/>
      <c r="CK14" s="256"/>
      <c r="CL14" s="256"/>
      <c r="CM14" s="256"/>
      <c r="CN14" s="256"/>
      <c r="CO14" s="256"/>
      <c r="CP14" s="256"/>
      <c r="CQ14" s="256"/>
      <c r="CR14" s="256"/>
      <c r="CS14" s="256"/>
      <c r="CT14" s="256"/>
      <c r="CU14" s="256"/>
      <c r="CV14" s="256"/>
      <c r="CW14" s="256"/>
      <c r="CX14" s="256"/>
      <c r="CY14" s="256"/>
      <c r="CZ14" s="256"/>
      <c r="DA14" s="256"/>
      <c r="DB14" s="256"/>
      <c r="DC14" s="256"/>
      <c r="DD14" s="256"/>
      <c r="DE14" s="256"/>
      <c r="DF14" s="256"/>
      <c r="DG14" s="256"/>
      <c r="DH14" s="256"/>
      <c r="DI14" s="256"/>
      <c r="DJ14" s="256"/>
      <c r="DK14" s="256"/>
      <c r="DL14" s="256"/>
      <c r="DM14" s="256"/>
      <c r="DN14" s="256"/>
      <c r="DO14" s="256"/>
      <c r="DP14" s="256"/>
      <c r="DQ14" s="256"/>
      <c r="DR14" s="256"/>
      <c r="DS14" s="256"/>
      <c r="DT14" s="256"/>
      <c r="DU14" s="256"/>
      <c r="DV14" s="256"/>
      <c r="DW14" s="256"/>
      <c r="DX14" s="256"/>
      <c r="DY14" s="256"/>
      <c r="DZ14" s="256"/>
      <c r="EA14" s="256"/>
      <c r="EB14" s="256"/>
      <c r="EC14" s="256"/>
      <c r="ED14" s="256"/>
      <c r="EE14" s="256"/>
      <c r="EF14" s="256"/>
      <c r="EG14" s="256"/>
      <c r="EH14" s="256"/>
      <c r="EI14" s="256"/>
      <c r="EJ14" s="256"/>
      <c r="EK14" s="256"/>
      <c r="EL14" s="256"/>
      <c r="EM14" s="256"/>
      <c r="EN14" s="256"/>
      <c r="EO14" s="256"/>
      <c r="EP14" s="256"/>
      <c r="EQ14" s="256"/>
      <c r="ER14" s="256"/>
      <c r="ES14" s="256"/>
      <c r="ET14" s="256"/>
      <c r="EU14" s="256"/>
      <c r="EV14" s="256"/>
      <c r="EW14" s="256"/>
      <c r="EX14" s="256"/>
      <c r="EY14" s="256"/>
      <c r="EZ14" s="256"/>
      <c r="FA14" s="256"/>
      <c r="FB14" s="256"/>
      <c r="FC14" s="256"/>
      <c r="FD14" s="256"/>
      <c r="FE14" s="256"/>
      <c r="FF14" s="256"/>
      <c r="FG14" s="256"/>
      <c r="FH14" s="256"/>
      <c r="FI14" s="256"/>
      <c r="FJ14" s="256"/>
      <c r="FK14" s="256"/>
      <c r="FL14" s="256"/>
      <c r="FM14" s="256"/>
      <c r="FN14" s="256"/>
      <c r="FO14" s="256"/>
    </row>
    <row r="15" spans="1:171" s="31" customFormat="1" ht="19.5" customHeight="1">
      <c r="A15" s="260"/>
      <c r="B15" s="263"/>
      <c r="C15" s="262"/>
      <c r="D15" s="98"/>
      <c r="E15" s="98"/>
      <c r="F15" s="98"/>
      <c r="G15" s="98"/>
      <c r="H15" s="404" t="s">
        <v>88</v>
      </c>
      <c r="I15" s="405"/>
      <c r="J15" s="405"/>
      <c r="K15" s="405"/>
      <c r="L15" s="405"/>
      <c r="M15" s="405"/>
      <c r="N15" s="405"/>
      <c r="O15" s="405"/>
      <c r="P15" s="405"/>
      <c r="Q15" s="405"/>
      <c r="R15" s="405"/>
      <c r="S15" s="405"/>
      <c r="T15" s="405"/>
      <c r="U15" s="405"/>
      <c r="V15" s="405"/>
      <c r="W15" s="405"/>
      <c r="X15" s="405"/>
      <c r="Y15" s="405"/>
      <c r="Z15" s="405"/>
      <c r="AA15" s="405"/>
      <c r="AB15" s="405"/>
      <c r="AC15" s="405"/>
      <c r="AD15" s="405"/>
      <c r="AE15" s="405"/>
      <c r="AF15" s="405"/>
      <c r="AG15" s="405"/>
      <c r="AH15" s="405"/>
      <c r="AI15" s="405"/>
      <c r="AJ15" s="405"/>
      <c r="AK15" s="405"/>
      <c r="AL15" s="405"/>
      <c r="AM15" s="405"/>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5"/>
      <c r="BK15" s="405"/>
      <c r="BL15" s="405"/>
      <c r="BM15" s="405"/>
      <c r="BN15" s="405"/>
      <c r="BO15" s="405"/>
      <c r="BP15" s="405"/>
      <c r="BQ15" s="405"/>
      <c r="BR15" s="405"/>
      <c r="BS15" s="405"/>
      <c r="BT15" s="405"/>
      <c r="BU15" s="405"/>
      <c r="BV15" s="405"/>
      <c r="BW15" s="405"/>
      <c r="BX15" s="405"/>
      <c r="BY15" s="405"/>
      <c r="BZ15" s="405"/>
      <c r="CA15" s="405"/>
      <c r="CB15" s="406"/>
      <c r="CC15" s="95"/>
      <c r="CD15" s="95"/>
      <c r="CE15" s="181"/>
      <c r="CF15" s="273"/>
      <c r="CG15" s="256"/>
      <c r="CH15" s="256"/>
      <c r="CI15" s="256"/>
      <c r="CJ15" s="256"/>
      <c r="CK15" s="256"/>
      <c r="CL15" s="256"/>
      <c r="CM15" s="256"/>
      <c r="CN15" s="256"/>
      <c r="CO15" s="256"/>
      <c r="CP15" s="256"/>
      <c r="CQ15" s="256"/>
      <c r="CR15" s="256"/>
      <c r="CS15" s="256"/>
      <c r="CT15" s="256"/>
      <c r="CU15" s="256"/>
      <c r="CV15" s="256"/>
      <c r="CW15" s="256"/>
      <c r="CX15" s="256"/>
      <c r="CY15" s="256"/>
      <c r="CZ15" s="256"/>
      <c r="DA15" s="256"/>
      <c r="DB15" s="256"/>
      <c r="DC15" s="256"/>
      <c r="DD15" s="256"/>
      <c r="DE15" s="256"/>
      <c r="DF15" s="256"/>
      <c r="DG15" s="256"/>
      <c r="DH15" s="256"/>
      <c r="DI15" s="256"/>
      <c r="DJ15" s="256"/>
      <c r="DK15" s="256"/>
      <c r="DL15" s="256"/>
      <c r="DM15" s="256"/>
      <c r="DN15" s="256"/>
      <c r="DO15" s="256"/>
      <c r="DP15" s="256"/>
      <c r="DQ15" s="256"/>
      <c r="DR15" s="256"/>
      <c r="DS15" s="256"/>
      <c r="DT15" s="256"/>
      <c r="DU15" s="256"/>
      <c r="DV15" s="256"/>
      <c r="DW15" s="256"/>
      <c r="DX15" s="256"/>
      <c r="DY15" s="256"/>
      <c r="DZ15" s="256"/>
      <c r="EA15" s="256"/>
      <c r="EB15" s="256"/>
      <c r="EC15" s="256"/>
      <c r="ED15" s="256"/>
      <c r="EE15" s="256"/>
      <c r="EF15" s="256"/>
      <c r="EG15" s="256"/>
      <c r="EH15" s="256"/>
      <c r="EI15" s="256"/>
      <c r="EJ15" s="256"/>
      <c r="EK15" s="256"/>
      <c r="EL15" s="256"/>
      <c r="EM15" s="256"/>
      <c r="EN15" s="256"/>
      <c r="EO15" s="256"/>
      <c r="EP15" s="256"/>
      <c r="EQ15" s="256"/>
      <c r="ER15" s="256"/>
      <c r="ES15" s="256"/>
      <c r="ET15" s="256"/>
      <c r="EU15" s="256"/>
      <c r="EV15" s="256"/>
      <c r="EW15" s="256"/>
      <c r="EX15" s="256"/>
      <c r="EY15" s="256"/>
      <c r="EZ15" s="256"/>
      <c r="FA15" s="256"/>
      <c r="FB15" s="256"/>
      <c r="FC15" s="256"/>
      <c r="FD15" s="256"/>
      <c r="FE15" s="256"/>
      <c r="FF15" s="256"/>
      <c r="FG15" s="256"/>
      <c r="FH15" s="256"/>
      <c r="FI15" s="256"/>
      <c r="FJ15" s="256"/>
      <c r="FK15" s="256"/>
      <c r="FL15" s="256"/>
      <c r="FM15" s="256"/>
      <c r="FN15" s="256"/>
      <c r="FO15" s="256"/>
    </row>
    <row r="16" spans="1:171" s="31" customFormat="1" ht="19.5" customHeight="1">
      <c r="A16" s="260"/>
      <c r="B16" s="263"/>
      <c r="C16" s="262"/>
      <c r="D16" s="98"/>
      <c r="E16" s="98"/>
      <c r="F16" s="98"/>
      <c r="G16" s="98"/>
      <c r="H16" s="296" t="s">
        <v>269</v>
      </c>
      <c r="I16" s="294"/>
      <c r="J16" s="294"/>
      <c r="K16" s="294"/>
      <c r="L16" s="294"/>
      <c r="M16" s="294"/>
      <c r="N16" s="294"/>
      <c r="O16" s="294"/>
      <c r="P16" s="121"/>
      <c r="Q16" s="124"/>
      <c r="R16" s="121"/>
      <c r="S16" s="121" t="s">
        <v>552</v>
      </c>
      <c r="T16" s="121"/>
      <c r="U16" s="121"/>
      <c r="V16" s="121"/>
      <c r="W16" s="121"/>
      <c r="X16" s="121"/>
      <c r="Y16" s="121"/>
      <c r="Z16" s="121"/>
      <c r="AA16" s="121"/>
      <c r="AB16" s="121"/>
      <c r="AC16" s="121"/>
      <c r="AD16" s="121"/>
      <c r="AE16" s="121"/>
      <c r="AF16" s="121"/>
      <c r="AG16" s="121"/>
      <c r="AH16" s="121"/>
      <c r="AI16" s="121"/>
      <c r="AJ16" s="287"/>
      <c r="AK16" s="287"/>
      <c r="AL16" s="287"/>
      <c r="AM16" s="287"/>
      <c r="AN16" s="287"/>
      <c r="AO16" s="287"/>
      <c r="AP16" s="120" t="s">
        <v>310</v>
      </c>
      <c r="AQ16" s="305"/>
      <c r="AR16" s="121"/>
      <c r="AS16" s="121"/>
      <c r="AT16" s="121"/>
      <c r="AU16" s="121"/>
      <c r="AV16" s="121"/>
      <c r="AW16" s="121"/>
      <c r="AX16" s="121"/>
      <c r="AY16" s="124"/>
      <c r="AZ16" s="294"/>
      <c r="BA16" s="121" t="s">
        <v>322</v>
      </c>
      <c r="BB16" s="294"/>
      <c r="BC16" s="294"/>
      <c r="BD16" s="294"/>
      <c r="BE16" s="121"/>
      <c r="BF16" s="305"/>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4"/>
      <c r="CC16" s="95"/>
      <c r="CD16" s="95"/>
      <c r="CE16" s="181"/>
      <c r="CF16" s="273"/>
      <c r="CG16" s="256"/>
      <c r="CH16" s="256"/>
      <c r="CI16" s="256"/>
      <c r="CJ16" s="256"/>
      <c r="CK16" s="256"/>
      <c r="CL16" s="256"/>
      <c r="CM16" s="256"/>
      <c r="CN16" s="256"/>
      <c r="CO16" s="256"/>
      <c r="CP16" s="256"/>
      <c r="CQ16" s="256"/>
      <c r="CR16" s="256"/>
      <c r="CS16" s="256"/>
      <c r="CT16" s="256"/>
      <c r="CU16" s="256"/>
      <c r="CV16" s="256"/>
      <c r="CW16" s="256"/>
      <c r="CX16" s="256"/>
      <c r="CY16" s="256"/>
      <c r="CZ16" s="256"/>
      <c r="DA16" s="256"/>
      <c r="DB16" s="256"/>
      <c r="DC16" s="256"/>
      <c r="DD16" s="256"/>
      <c r="DE16" s="256"/>
      <c r="DF16" s="256"/>
      <c r="DG16" s="256"/>
      <c r="DH16" s="256"/>
      <c r="DI16" s="256"/>
      <c r="DJ16" s="256"/>
      <c r="DK16" s="256"/>
      <c r="DL16" s="256"/>
      <c r="DM16" s="256"/>
      <c r="DN16" s="256"/>
      <c r="DO16" s="256"/>
      <c r="DP16" s="256"/>
      <c r="DQ16" s="256"/>
      <c r="DR16" s="256"/>
      <c r="DS16" s="256"/>
      <c r="DT16" s="256"/>
      <c r="DU16" s="256"/>
      <c r="DV16" s="256"/>
      <c r="DW16" s="256"/>
      <c r="DX16" s="256"/>
      <c r="DY16" s="256"/>
      <c r="DZ16" s="256"/>
      <c r="EA16" s="256"/>
      <c r="EB16" s="256"/>
      <c r="EC16" s="256"/>
      <c r="ED16" s="256"/>
      <c r="EE16" s="256"/>
      <c r="EF16" s="256"/>
      <c r="EG16" s="256"/>
      <c r="EH16" s="256"/>
      <c r="EI16" s="256"/>
      <c r="EJ16" s="256"/>
      <c r="EK16" s="256"/>
      <c r="EL16" s="256"/>
      <c r="EM16" s="256"/>
      <c r="EN16" s="256"/>
      <c r="EO16" s="256"/>
      <c r="EP16" s="256"/>
      <c r="EQ16" s="256"/>
      <c r="ER16" s="256"/>
      <c r="ES16" s="256"/>
      <c r="ET16" s="256"/>
      <c r="EU16" s="256"/>
      <c r="EV16" s="256"/>
      <c r="EW16" s="256"/>
      <c r="EX16" s="256"/>
      <c r="EY16" s="256"/>
      <c r="EZ16" s="256"/>
      <c r="FA16" s="256"/>
      <c r="FB16" s="256"/>
      <c r="FC16" s="256"/>
      <c r="FD16" s="256"/>
      <c r="FE16" s="256"/>
      <c r="FF16" s="256"/>
      <c r="FG16" s="256"/>
      <c r="FH16" s="256"/>
      <c r="FI16" s="256"/>
      <c r="FJ16" s="256"/>
      <c r="FK16" s="256"/>
      <c r="FL16" s="256"/>
      <c r="FM16" s="256"/>
      <c r="FN16" s="256"/>
      <c r="FO16" s="256"/>
    </row>
    <row r="17" spans="1:171" s="31" customFormat="1" ht="19.5" customHeight="1">
      <c r="A17" s="260"/>
      <c r="B17" s="263"/>
      <c r="C17" s="262"/>
      <c r="D17" s="98"/>
      <c r="E17" s="98"/>
      <c r="F17" s="98"/>
      <c r="G17" s="98"/>
      <c r="H17" s="296" t="s">
        <v>170</v>
      </c>
      <c r="I17" s="294"/>
      <c r="J17" s="294"/>
      <c r="K17" s="294"/>
      <c r="L17" s="294"/>
      <c r="M17" s="294"/>
      <c r="N17" s="294"/>
      <c r="O17" s="294"/>
      <c r="P17" s="121"/>
      <c r="Q17" s="124"/>
      <c r="R17" s="121"/>
      <c r="S17" s="121" t="s">
        <v>33</v>
      </c>
      <c r="T17" s="121"/>
      <c r="U17" s="121"/>
      <c r="V17" s="121"/>
      <c r="W17" s="121"/>
      <c r="X17" s="121"/>
      <c r="Y17" s="121"/>
      <c r="Z17" s="121"/>
      <c r="AA17" s="121"/>
      <c r="AB17" s="121"/>
      <c r="AC17" s="121"/>
      <c r="AD17" s="121"/>
      <c r="AE17" s="121"/>
      <c r="AF17" s="121"/>
      <c r="AG17" s="121"/>
      <c r="AH17" s="121"/>
      <c r="AI17" s="121"/>
      <c r="AJ17" s="287"/>
      <c r="AK17" s="287"/>
      <c r="AL17" s="287"/>
      <c r="AM17" s="287"/>
      <c r="AN17" s="287"/>
      <c r="AO17" s="287"/>
      <c r="AP17" s="132" t="s">
        <v>171</v>
      </c>
      <c r="AV17" s="133"/>
      <c r="AW17" s="133"/>
      <c r="AX17" s="133"/>
      <c r="AY17" s="142"/>
      <c r="AZ17" s="294"/>
      <c r="BA17" s="121" t="s">
        <v>323</v>
      </c>
      <c r="BB17" s="294"/>
      <c r="BC17" s="294"/>
      <c r="BD17" s="294"/>
      <c r="BE17" s="121"/>
      <c r="BF17" s="305"/>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4"/>
      <c r="CC17" s="95"/>
      <c r="CD17" s="95"/>
      <c r="CE17" s="181"/>
      <c r="CF17" s="273"/>
      <c r="CG17" s="256"/>
      <c r="CH17" s="256"/>
      <c r="CI17" s="256"/>
      <c r="CJ17" s="256"/>
      <c r="CK17" s="256"/>
      <c r="CL17" s="256"/>
      <c r="CM17" s="256"/>
      <c r="CN17" s="256"/>
      <c r="CO17" s="256"/>
      <c r="CP17" s="256"/>
      <c r="CQ17" s="256"/>
      <c r="CR17" s="256"/>
      <c r="CS17" s="256"/>
      <c r="CT17" s="256"/>
      <c r="CU17" s="256"/>
      <c r="CV17" s="256"/>
      <c r="CW17" s="256"/>
      <c r="CX17" s="256"/>
      <c r="CY17" s="256"/>
      <c r="CZ17" s="256"/>
      <c r="DA17" s="256"/>
      <c r="DB17" s="256"/>
      <c r="DC17" s="256"/>
      <c r="DD17" s="256"/>
      <c r="DE17" s="256"/>
      <c r="DF17" s="256"/>
      <c r="DG17" s="256"/>
      <c r="DH17" s="256"/>
      <c r="DI17" s="256"/>
      <c r="DJ17" s="256"/>
      <c r="DK17" s="256"/>
      <c r="DL17" s="256"/>
      <c r="DM17" s="256"/>
      <c r="DN17" s="256"/>
      <c r="DO17" s="256"/>
      <c r="DP17" s="256"/>
      <c r="DQ17" s="256"/>
      <c r="DR17" s="256"/>
      <c r="DS17" s="256"/>
      <c r="DT17" s="256"/>
      <c r="DU17" s="256"/>
      <c r="DV17" s="256"/>
      <c r="DW17" s="256"/>
      <c r="DX17" s="256"/>
      <c r="DY17" s="256"/>
      <c r="DZ17" s="256"/>
      <c r="EA17" s="256"/>
      <c r="EB17" s="256"/>
      <c r="EC17" s="256"/>
      <c r="ED17" s="256"/>
      <c r="EE17" s="256"/>
      <c r="EF17" s="256"/>
      <c r="EG17" s="256"/>
      <c r="EH17" s="256"/>
      <c r="EI17" s="256"/>
      <c r="EJ17" s="256"/>
      <c r="EK17" s="256"/>
      <c r="EL17" s="256"/>
      <c r="EM17" s="256"/>
      <c r="EN17" s="256"/>
      <c r="EO17" s="256"/>
      <c r="EP17" s="256"/>
      <c r="EQ17" s="256"/>
      <c r="ER17" s="256"/>
      <c r="ES17" s="256"/>
      <c r="ET17" s="256"/>
      <c r="EU17" s="256"/>
      <c r="EV17" s="256"/>
      <c r="EW17" s="256"/>
      <c r="EX17" s="256"/>
      <c r="EY17" s="256"/>
      <c r="EZ17" s="256"/>
      <c r="FA17" s="256"/>
      <c r="FB17" s="256"/>
      <c r="FC17" s="256"/>
      <c r="FD17" s="256"/>
      <c r="FE17" s="256"/>
      <c r="FF17" s="256"/>
      <c r="FG17" s="256"/>
      <c r="FH17" s="256"/>
      <c r="FI17" s="256"/>
      <c r="FJ17" s="256"/>
      <c r="FK17" s="256"/>
      <c r="FL17" s="256"/>
      <c r="FM17" s="256"/>
      <c r="FN17" s="256"/>
      <c r="FO17" s="256"/>
    </row>
    <row r="18" spans="1:171" s="31" customFormat="1" ht="19.5" customHeight="1">
      <c r="A18" s="260"/>
      <c r="B18" s="263"/>
      <c r="C18" s="262"/>
      <c r="D18" s="98"/>
      <c r="E18" s="98"/>
      <c r="F18" s="98"/>
      <c r="G18" s="98"/>
      <c r="H18" s="123" t="s">
        <v>36</v>
      </c>
      <c r="I18" s="121"/>
      <c r="J18" s="121"/>
      <c r="K18" s="121"/>
      <c r="L18" s="121"/>
      <c r="M18" s="121"/>
      <c r="N18" s="121"/>
      <c r="O18" s="121"/>
      <c r="P18" s="121"/>
      <c r="Q18" s="121"/>
      <c r="R18" s="120"/>
      <c r="S18" s="121" t="s">
        <v>205</v>
      </c>
      <c r="T18" s="121"/>
      <c r="U18" s="122"/>
      <c r="V18" s="121"/>
      <c r="W18" s="287"/>
      <c r="X18" s="287"/>
      <c r="Y18" s="287"/>
      <c r="Z18" s="287"/>
      <c r="AA18" s="287"/>
      <c r="AB18" s="287"/>
      <c r="AC18" s="122"/>
      <c r="AD18" s="287"/>
      <c r="AE18" s="287"/>
      <c r="AF18" s="287"/>
      <c r="AG18" s="287"/>
      <c r="AH18" s="287"/>
      <c r="AI18" s="287"/>
      <c r="AJ18" s="287"/>
      <c r="AK18" s="287"/>
      <c r="AL18" s="287"/>
      <c r="AM18" s="287"/>
      <c r="AN18" s="287"/>
      <c r="AO18" s="287"/>
      <c r="AP18" s="123" t="s">
        <v>32</v>
      </c>
      <c r="AQ18" s="121"/>
      <c r="AR18" s="121"/>
      <c r="AS18" s="121"/>
      <c r="AT18" s="121"/>
      <c r="AU18" s="121"/>
      <c r="AV18" s="121"/>
      <c r="AW18" s="121"/>
      <c r="AX18" s="121"/>
      <c r="AY18" s="124"/>
      <c r="AZ18" s="121"/>
      <c r="BA18" s="121" t="s">
        <v>86</v>
      </c>
      <c r="BB18" s="121"/>
      <c r="BC18" s="122"/>
      <c r="BD18" s="121"/>
      <c r="BE18" s="121"/>
      <c r="BF18" s="121"/>
      <c r="BG18" s="287"/>
      <c r="BH18" s="287"/>
      <c r="BI18" s="287"/>
      <c r="BJ18" s="287"/>
      <c r="BK18" s="287"/>
      <c r="BL18" s="122"/>
      <c r="BM18" s="287"/>
      <c r="BN18" s="287"/>
      <c r="BO18" s="287"/>
      <c r="BP18" s="287"/>
      <c r="BQ18" s="287"/>
      <c r="BR18" s="287"/>
      <c r="BS18" s="287"/>
      <c r="BT18" s="287"/>
      <c r="BU18" s="287"/>
      <c r="BV18" s="287"/>
      <c r="BW18" s="287"/>
      <c r="BX18" s="287"/>
      <c r="BY18" s="287"/>
      <c r="BZ18" s="130"/>
      <c r="CA18" s="130"/>
      <c r="CB18" s="131"/>
      <c r="CC18" s="95"/>
      <c r="CD18" s="95"/>
      <c r="CE18" s="181"/>
      <c r="CF18" s="273"/>
      <c r="CG18" s="256"/>
      <c r="CH18" s="256"/>
      <c r="CI18" s="256"/>
      <c r="CJ18" s="256"/>
      <c r="CK18" s="256"/>
      <c r="CL18" s="256"/>
      <c r="CM18" s="256"/>
      <c r="CN18" s="256"/>
      <c r="CO18" s="256"/>
      <c r="CP18" s="256"/>
      <c r="CQ18" s="256"/>
      <c r="CR18" s="256"/>
      <c r="CS18" s="256"/>
      <c r="CT18" s="256"/>
      <c r="CU18" s="256"/>
      <c r="CV18" s="256"/>
      <c r="CW18" s="256"/>
      <c r="CX18" s="256"/>
      <c r="CY18" s="256"/>
      <c r="CZ18" s="256"/>
      <c r="DA18" s="256"/>
      <c r="DB18" s="256"/>
      <c r="DC18" s="256"/>
      <c r="DD18" s="256"/>
      <c r="DE18" s="256"/>
      <c r="DF18" s="256"/>
      <c r="DG18" s="256"/>
      <c r="DH18" s="256"/>
      <c r="DI18" s="256"/>
      <c r="DJ18" s="256"/>
      <c r="DK18" s="256"/>
      <c r="DL18" s="256"/>
      <c r="DM18" s="256"/>
      <c r="DN18" s="256"/>
      <c r="DO18" s="256"/>
      <c r="DP18" s="256"/>
      <c r="DQ18" s="256"/>
      <c r="DR18" s="256"/>
      <c r="DS18" s="256"/>
      <c r="DT18" s="256"/>
      <c r="DU18" s="256"/>
      <c r="DV18" s="256"/>
      <c r="DW18" s="256"/>
      <c r="DX18" s="256"/>
      <c r="DY18" s="256"/>
      <c r="DZ18" s="256"/>
      <c r="EA18" s="256"/>
      <c r="EB18" s="256"/>
      <c r="EC18" s="256"/>
      <c r="ED18" s="256"/>
      <c r="EE18" s="256"/>
      <c r="EF18" s="256"/>
      <c r="EG18" s="256"/>
      <c r="EH18" s="256"/>
      <c r="EI18" s="256"/>
      <c r="EJ18" s="256"/>
      <c r="EK18" s="256"/>
      <c r="EL18" s="256"/>
      <c r="EM18" s="256"/>
      <c r="EN18" s="256"/>
      <c r="EO18" s="256"/>
      <c r="EP18" s="256"/>
      <c r="EQ18" s="256"/>
      <c r="ER18" s="256"/>
      <c r="ES18" s="256"/>
      <c r="ET18" s="256"/>
      <c r="EU18" s="256"/>
      <c r="EV18" s="256"/>
      <c r="EW18" s="256"/>
      <c r="EX18" s="256"/>
      <c r="EY18" s="256"/>
      <c r="EZ18" s="256"/>
      <c r="FA18" s="256"/>
      <c r="FB18" s="256"/>
      <c r="FC18" s="256"/>
      <c r="FD18" s="256"/>
      <c r="FE18" s="256"/>
      <c r="FF18" s="256"/>
      <c r="FG18" s="256"/>
      <c r="FH18" s="256"/>
      <c r="FI18" s="256"/>
      <c r="FJ18" s="256"/>
      <c r="FK18" s="256"/>
      <c r="FL18" s="256"/>
      <c r="FM18" s="256"/>
      <c r="FN18" s="256"/>
      <c r="FO18" s="256"/>
    </row>
    <row r="19" spans="1:171" s="31" customFormat="1" ht="19.5" customHeight="1">
      <c r="A19" s="260"/>
      <c r="B19" s="263"/>
      <c r="C19" s="262"/>
      <c r="D19" s="98"/>
      <c r="E19" s="98"/>
      <c r="F19" s="98"/>
      <c r="G19" s="98"/>
      <c r="H19" s="120" t="s">
        <v>169</v>
      </c>
      <c r="I19" s="121"/>
      <c r="J19" s="121"/>
      <c r="K19" s="121"/>
      <c r="L19" s="121"/>
      <c r="M19" s="121"/>
      <c r="N19" s="287"/>
      <c r="O19" s="287"/>
      <c r="P19" s="287"/>
      <c r="Q19" s="287"/>
      <c r="R19" s="120"/>
      <c r="S19" s="121" t="s">
        <v>87</v>
      </c>
      <c r="T19" s="121"/>
      <c r="U19" s="121"/>
      <c r="V19" s="121"/>
      <c r="W19" s="121"/>
      <c r="X19" s="121"/>
      <c r="Y19" s="121"/>
      <c r="Z19" s="121"/>
      <c r="AA19" s="121"/>
      <c r="AB19" s="287"/>
      <c r="AC19" s="122"/>
      <c r="AD19" s="287"/>
      <c r="AE19" s="287"/>
      <c r="AF19" s="287"/>
      <c r="AG19" s="287"/>
      <c r="AH19" s="287"/>
      <c r="AI19" s="287"/>
      <c r="AJ19" s="287"/>
      <c r="AK19" s="287"/>
      <c r="AL19" s="287"/>
      <c r="AM19" s="287"/>
      <c r="AN19" s="287"/>
      <c r="AO19" s="287"/>
      <c r="AP19" s="120" t="s">
        <v>296</v>
      </c>
      <c r="AQ19" s="121"/>
      <c r="AR19" s="121"/>
      <c r="AS19" s="121"/>
      <c r="AT19" s="121"/>
      <c r="AU19" s="121"/>
      <c r="AV19" s="121"/>
      <c r="AW19" s="121"/>
      <c r="AX19" s="121"/>
      <c r="AY19" s="124"/>
      <c r="AZ19" s="121"/>
      <c r="BA19" s="121" t="s">
        <v>322</v>
      </c>
      <c r="BB19" s="121"/>
      <c r="BC19" s="121"/>
      <c r="BD19" s="121"/>
      <c r="BE19" s="121"/>
      <c r="BF19" s="121"/>
      <c r="BG19" s="121"/>
      <c r="BH19" s="121"/>
      <c r="BI19" s="121"/>
      <c r="BJ19" s="121"/>
      <c r="BK19" s="121"/>
      <c r="BL19" s="121"/>
      <c r="BM19" s="121"/>
      <c r="BN19" s="121"/>
      <c r="BO19" s="122"/>
      <c r="BP19" s="287"/>
      <c r="BQ19" s="287"/>
      <c r="BR19" s="287"/>
      <c r="BS19" s="287"/>
      <c r="BT19" s="287"/>
      <c r="BU19" s="100"/>
      <c r="BV19" s="100"/>
      <c r="BW19" s="100"/>
      <c r="BX19" s="130"/>
      <c r="BY19" s="130"/>
      <c r="BZ19" s="130"/>
      <c r="CA19" s="130"/>
      <c r="CB19" s="131"/>
      <c r="CC19" s="95"/>
      <c r="CD19" s="95"/>
      <c r="CE19" s="181"/>
      <c r="CF19" s="273"/>
      <c r="CG19" s="256"/>
      <c r="CH19" s="256"/>
      <c r="CI19" s="256"/>
      <c r="CJ19" s="256"/>
      <c r="CK19" s="256"/>
      <c r="CL19" s="256"/>
      <c r="CM19" s="256"/>
      <c r="CN19" s="256"/>
      <c r="CO19" s="256"/>
      <c r="CP19" s="256"/>
      <c r="CQ19" s="256"/>
      <c r="CR19" s="256"/>
      <c r="CS19" s="256"/>
      <c r="CT19" s="256"/>
      <c r="CU19" s="256"/>
      <c r="CV19" s="256"/>
      <c r="CW19" s="256"/>
      <c r="CX19" s="256"/>
      <c r="CY19" s="256"/>
      <c r="CZ19" s="256"/>
      <c r="DA19" s="256"/>
      <c r="DB19" s="256"/>
      <c r="DC19" s="256"/>
      <c r="DD19" s="256"/>
      <c r="DE19" s="256"/>
      <c r="DF19" s="256"/>
      <c r="DG19" s="256"/>
      <c r="DH19" s="256"/>
      <c r="DI19" s="256"/>
      <c r="DJ19" s="256"/>
      <c r="DK19" s="256"/>
      <c r="DL19" s="256"/>
      <c r="DM19" s="256"/>
      <c r="DN19" s="256"/>
      <c r="DO19" s="256"/>
      <c r="DP19" s="256"/>
      <c r="DQ19" s="256"/>
      <c r="DR19" s="256"/>
      <c r="DS19" s="256"/>
      <c r="DT19" s="256"/>
      <c r="DU19" s="256"/>
      <c r="DV19" s="256"/>
      <c r="DW19" s="256"/>
      <c r="DX19" s="256"/>
      <c r="DY19" s="256"/>
      <c r="DZ19" s="256"/>
      <c r="EA19" s="256"/>
      <c r="EB19" s="256"/>
      <c r="EC19" s="256"/>
      <c r="ED19" s="256"/>
      <c r="EE19" s="256"/>
      <c r="EF19" s="256"/>
      <c r="EG19" s="256"/>
      <c r="EH19" s="256"/>
      <c r="EI19" s="256"/>
      <c r="EJ19" s="256"/>
      <c r="EK19" s="256"/>
      <c r="EL19" s="256"/>
      <c r="EM19" s="256"/>
      <c r="EN19" s="256"/>
      <c r="EO19" s="256"/>
      <c r="EP19" s="256"/>
      <c r="EQ19" s="256"/>
      <c r="ER19" s="256"/>
      <c r="ES19" s="256"/>
      <c r="ET19" s="256"/>
      <c r="EU19" s="256"/>
      <c r="EV19" s="256"/>
      <c r="EW19" s="256"/>
      <c r="EX19" s="256"/>
      <c r="EY19" s="256"/>
      <c r="EZ19" s="256"/>
      <c r="FA19" s="256"/>
      <c r="FB19" s="256"/>
      <c r="FC19" s="256"/>
      <c r="FD19" s="256"/>
      <c r="FE19" s="256"/>
      <c r="FF19" s="256"/>
      <c r="FG19" s="256"/>
      <c r="FH19" s="256"/>
      <c r="FI19" s="256"/>
      <c r="FJ19" s="256"/>
      <c r="FK19" s="256"/>
      <c r="FL19" s="256"/>
      <c r="FM19" s="256"/>
      <c r="FN19" s="256"/>
      <c r="FO19" s="256"/>
    </row>
    <row r="20" spans="1:171" s="31" customFormat="1" ht="19.5" customHeight="1">
      <c r="A20" s="260"/>
      <c r="B20" s="263"/>
      <c r="C20" s="262"/>
      <c r="D20" s="98"/>
      <c r="E20" s="98"/>
      <c r="F20" s="98"/>
      <c r="G20" s="98"/>
      <c r="H20" s="132" t="s">
        <v>57</v>
      </c>
      <c r="I20" s="133"/>
      <c r="J20" s="133"/>
      <c r="K20" s="133"/>
      <c r="L20" s="133"/>
      <c r="M20" s="133"/>
      <c r="N20" s="133"/>
      <c r="O20" s="133"/>
      <c r="P20" s="133"/>
      <c r="Q20" s="133"/>
      <c r="R20" s="120"/>
      <c r="S20" s="121" t="s">
        <v>320</v>
      </c>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0"/>
      <c r="CA20" s="130"/>
      <c r="CB20" s="131"/>
      <c r="CC20" s="95"/>
      <c r="CD20" s="95"/>
      <c r="CE20" s="181"/>
      <c r="CF20" s="273"/>
      <c r="CG20" s="256"/>
      <c r="CH20" s="256"/>
      <c r="CI20" s="256"/>
      <c r="CJ20" s="256"/>
      <c r="CK20" s="256"/>
      <c r="CL20" s="256"/>
      <c r="CM20" s="256"/>
      <c r="CN20" s="256"/>
      <c r="CO20" s="256"/>
      <c r="CP20" s="256"/>
      <c r="CQ20" s="256"/>
      <c r="CR20" s="256"/>
      <c r="CS20" s="256"/>
      <c r="CT20" s="256"/>
      <c r="CU20" s="256"/>
      <c r="CV20" s="256"/>
      <c r="CW20" s="256"/>
      <c r="CX20" s="256"/>
      <c r="CY20" s="256"/>
      <c r="CZ20" s="256"/>
      <c r="DA20" s="256"/>
      <c r="DB20" s="256"/>
      <c r="DC20" s="256"/>
      <c r="DD20" s="256"/>
      <c r="DE20" s="256"/>
      <c r="DF20" s="256"/>
      <c r="DG20" s="256"/>
      <c r="DH20" s="256"/>
      <c r="DI20" s="256"/>
      <c r="DJ20" s="256"/>
      <c r="DK20" s="256"/>
      <c r="DL20" s="256"/>
      <c r="DM20" s="256"/>
      <c r="DN20" s="256"/>
      <c r="DO20" s="256"/>
      <c r="DP20" s="256"/>
      <c r="DQ20" s="256"/>
      <c r="DR20" s="256"/>
      <c r="DS20" s="256"/>
      <c r="DT20" s="256"/>
      <c r="DU20" s="256"/>
      <c r="DV20" s="256"/>
      <c r="DW20" s="256"/>
      <c r="DX20" s="256"/>
      <c r="DY20" s="256"/>
      <c r="DZ20" s="256"/>
      <c r="EA20" s="256"/>
      <c r="EB20" s="256"/>
      <c r="EC20" s="256"/>
      <c r="ED20" s="256"/>
      <c r="EE20" s="256"/>
      <c r="EF20" s="256"/>
      <c r="EG20" s="256"/>
      <c r="EH20" s="256"/>
      <c r="EI20" s="256"/>
      <c r="EJ20" s="256"/>
      <c r="EK20" s="256"/>
      <c r="EL20" s="256"/>
      <c r="EM20" s="256"/>
      <c r="EN20" s="256"/>
      <c r="EO20" s="256"/>
      <c r="EP20" s="256"/>
      <c r="EQ20" s="256"/>
      <c r="ER20" s="256"/>
      <c r="ES20" s="256"/>
      <c r="ET20" s="256"/>
      <c r="EU20" s="256"/>
      <c r="EV20" s="256"/>
      <c r="EW20" s="256"/>
      <c r="EX20" s="256"/>
      <c r="EY20" s="256"/>
      <c r="EZ20" s="256"/>
      <c r="FA20" s="256"/>
      <c r="FB20" s="256"/>
      <c r="FC20" s="256"/>
      <c r="FD20" s="256"/>
      <c r="FE20" s="256"/>
      <c r="FF20" s="256"/>
      <c r="FG20" s="256"/>
      <c r="FH20" s="256"/>
      <c r="FI20" s="256"/>
      <c r="FJ20" s="256"/>
      <c r="FK20" s="256"/>
      <c r="FL20" s="256"/>
      <c r="FM20" s="256"/>
      <c r="FN20" s="256"/>
      <c r="FO20" s="256"/>
    </row>
    <row r="21" spans="1:171" s="31" customFormat="1" ht="19.5" customHeight="1">
      <c r="A21" s="260"/>
      <c r="B21" s="263"/>
      <c r="C21" s="262"/>
      <c r="D21" s="98"/>
      <c r="E21" s="98"/>
      <c r="F21" s="98"/>
      <c r="G21" s="98"/>
      <c r="H21" s="132" t="s">
        <v>382</v>
      </c>
      <c r="I21" s="133"/>
      <c r="J21" s="133"/>
      <c r="K21" s="133"/>
      <c r="L21" s="133"/>
      <c r="M21" s="133"/>
      <c r="N21" s="133"/>
      <c r="O21" s="133"/>
      <c r="P21" s="133"/>
      <c r="Q21" s="133"/>
      <c r="R21" s="120"/>
      <c r="S21" s="133" t="s">
        <v>135</v>
      </c>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20" t="s">
        <v>377</v>
      </c>
      <c r="AQ21" s="121"/>
      <c r="AR21" s="121"/>
      <c r="AS21" s="121"/>
      <c r="AT21" s="121"/>
      <c r="AU21" s="121"/>
      <c r="AV21" s="121"/>
      <c r="AW21" s="121"/>
      <c r="AX21" s="121"/>
      <c r="AY21" s="124"/>
      <c r="AZ21" s="121"/>
      <c r="BA21" s="133" t="s">
        <v>321</v>
      </c>
      <c r="BB21" s="121"/>
      <c r="BC21" s="121"/>
      <c r="BD21" s="121"/>
      <c r="BE21" s="121"/>
      <c r="BF21" s="121"/>
      <c r="BG21" s="133"/>
      <c r="BH21" s="133"/>
      <c r="BI21" s="133"/>
      <c r="BJ21" s="133"/>
      <c r="BK21" s="133"/>
      <c r="BL21" s="133"/>
      <c r="BM21" s="133"/>
      <c r="BN21" s="133"/>
      <c r="BO21" s="133"/>
      <c r="BP21" s="133"/>
      <c r="BQ21" s="133"/>
      <c r="BR21" s="133"/>
      <c r="BS21" s="133"/>
      <c r="BT21" s="133"/>
      <c r="BU21" s="295"/>
      <c r="BV21" s="295"/>
      <c r="BW21" s="295"/>
      <c r="BX21" s="130"/>
      <c r="BY21" s="130"/>
      <c r="BZ21" s="130"/>
      <c r="CA21" s="130"/>
      <c r="CB21" s="131"/>
      <c r="CC21" s="95"/>
      <c r="CD21" s="95"/>
      <c r="CE21" s="181"/>
      <c r="CF21" s="273"/>
      <c r="CG21" s="256"/>
      <c r="CH21" s="256"/>
      <c r="CI21" s="256"/>
      <c r="CJ21" s="256"/>
      <c r="CK21" s="256"/>
      <c r="CL21" s="256"/>
      <c r="CM21" s="256"/>
      <c r="CN21" s="256"/>
      <c r="CO21" s="256"/>
      <c r="CP21" s="256"/>
      <c r="CQ21" s="256"/>
      <c r="CR21" s="256"/>
      <c r="CS21" s="256"/>
      <c r="CT21" s="256"/>
      <c r="CU21" s="256"/>
      <c r="CV21" s="256"/>
      <c r="CW21" s="256"/>
      <c r="CX21" s="256"/>
      <c r="CY21" s="256"/>
      <c r="CZ21" s="256"/>
      <c r="DA21" s="256"/>
      <c r="DB21" s="256"/>
      <c r="DC21" s="256"/>
      <c r="DD21" s="256"/>
      <c r="DE21" s="256"/>
      <c r="DF21" s="256"/>
      <c r="DG21" s="256"/>
      <c r="DH21" s="256"/>
      <c r="DI21" s="256"/>
      <c r="DJ21" s="256"/>
      <c r="DK21" s="256"/>
      <c r="DL21" s="256"/>
      <c r="DM21" s="256"/>
      <c r="DN21" s="256"/>
      <c r="DO21" s="256"/>
      <c r="DP21" s="256"/>
      <c r="DQ21" s="256"/>
      <c r="DR21" s="256"/>
      <c r="DS21" s="256"/>
      <c r="DT21" s="256"/>
      <c r="DU21" s="256"/>
      <c r="DV21" s="256"/>
      <c r="DW21" s="256"/>
      <c r="DX21" s="256"/>
      <c r="DY21" s="256"/>
      <c r="DZ21" s="256"/>
      <c r="EA21" s="256"/>
      <c r="EB21" s="256"/>
      <c r="EC21" s="256"/>
      <c r="ED21" s="256"/>
      <c r="EE21" s="256"/>
      <c r="EF21" s="256"/>
      <c r="EG21" s="256"/>
      <c r="EH21" s="256"/>
      <c r="EI21" s="256"/>
      <c r="EJ21" s="256"/>
      <c r="EK21" s="256"/>
      <c r="EL21" s="256"/>
      <c r="EM21" s="256"/>
      <c r="EN21" s="256"/>
      <c r="EO21" s="256"/>
      <c r="EP21" s="256"/>
      <c r="EQ21" s="256"/>
      <c r="ER21" s="256"/>
      <c r="ES21" s="256"/>
      <c r="ET21" s="256"/>
      <c r="EU21" s="256"/>
      <c r="EV21" s="256"/>
      <c r="EW21" s="256"/>
      <c r="EX21" s="256"/>
      <c r="EY21" s="256"/>
      <c r="EZ21" s="256"/>
      <c r="FA21" s="256"/>
      <c r="FB21" s="256"/>
      <c r="FC21" s="256"/>
      <c r="FD21" s="256"/>
      <c r="FE21" s="256"/>
      <c r="FF21" s="256"/>
      <c r="FG21" s="256"/>
      <c r="FH21" s="256"/>
      <c r="FI21" s="256"/>
      <c r="FJ21" s="256"/>
      <c r="FK21" s="256"/>
      <c r="FL21" s="256"/>
      <c r="FM21" s="256"/>
      <c r="FN21" s="256"/>
      <c r="FO21" s="256"/>
    </row>
    <row r="22" spans="1:171" s="31" customFormat="1" ht="19.5" customHeight="1">
      <c r="A22" s="260"/>
      <c r="B22" s="263"/>
      <c r="C22" s="262"/>
      <c r="D22" s="98"/>
      <c r="E22" s="98"/>
      <c r="F22" s="98"/>
      <c r="G22" s="98"/>
      <c r="H22" s="132" t="s">
        <v>134</v>
      </c>
      <c r="I22" s="133"/>
      <c r="J22" s="133"/>
      <c r="K22" s="133"/>
      <c r="L22" s="133"/>
      <c r="M22" s="133"/>
      <c r="N22" s="133"/>
      <c r="O22" s="133"/>
      <c r="P22" s="133"/>
      <c r="Q22" s="133"/>
      <c r="R22" s="120"/>
      <c r="S22" s="133" t="s">
        <v>136</v>
      </c>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20" t="s">
        <v>139</v>
      </c>
      <c r="AQ22" s="121"/>
      <c r="AR22" s="121"/>
      <c r="AS22" s="121"/>
      <c r="AT22" s="121"/>
      <c r="AU22" s="121"/>
      <c r="AV22" s="121"/>
      <c r="AW22" s="121"/>
      <c r="AX22" s="121"/>
      <c r="AY22" s="124"/>
      <c r="AZ22" s="121"/>
      <c r="BA22" s="133" t="s">
        <v>321</v>
      </c>
      <c r="BB22" s="121"/>
      <c r="BC22" s="121"/>
      <c r="BD22" s="121"/>
      <c r="BE22" s="121"/>
      <c r="BF22" s="121"/>
      <c r="BG22" s="133"/>
      <c r="BH22" s="133"/>
      <c r="BI22" s="133"/>
      <c r="BJ22" s="133"/>
      <c r="BK22" s="133"/>
      <c r="BL22" s="133"/>
      <c r="BM22" s="133"/>
      <c r="BN22" s="133"/>
      <c r="BO22" s="133"/>
      <c r="BP22" s="133"/>
      <c r="BQ22" s="133"/>
      <c r="BR22" s="133"/>
      <c r="BS22" s="133"/>
      <c r="BT22" s="133"/>
      <c r="BU22" s="295"/>
      <c r="BV22" s="295"/>
      <c r="BW22" s="295"/>
      <c r="BX22" s="130"/>
      <c r="BY22" s="130"/>
      <c r="BZ22" s="130"/>
      <c r="CA22" s="130"/>
      <c r="CB22" s="131"/>
      <c r="CC22" s="95"/>
      <c r="CD22" s="95"/>
      <c r="CE22" s="181"/>
      <c r="CF22" s="273"/>
      <c r="CG22" s="256"/>
      <c r="CH22" s="256"/>
      <c r="CI22" s="256"/>
      <c r="CJ22" s="256"/>
      <c r="CK22" s="256"/>
      <c r="CL22" s="256"/>
      <c r="CM22" s="256"/>
      <c r="CN22" s="256"/>
      <c r="CO22" s="256"/>
      <c r="CP22" s="256"/>
      <c r="CQ22" s="256"/>
      <c r="CR22" s="256"/>
      <c r="CS22" s="256"/>
      <c r="CT22" s="256"/>
      <c r="CU22" s="256"/>
      <c r="CV22" s="256"/>
      <c r="CW22" s="256"/>
      <c r="CX22" s="256"/>
      <c r="CY22" s="256"/>
      <c r="CZ22" s="256"/>
      <c r="DA22" s="256"/>
      <c r="DB22" s="256"/>
      <c r="DC22" s="256"/>
      <c r="DD22" s="256"/>
      <c r="DE22" s="256"/>
      <c r="DF22" s="256"/>
      <c r="DG22" s="256"/>
      <c r="DH22" s="256"/>
      <c r="DI22" s="256"/>
      <c r="DJ22" s="256"/>
      <c r="DK22" s="256"/>
      <c r="DL22" s="256"/>
      <c r="DM22" s="256"/>
      <c r="DN22" s="256"/>
      <c r="DO22" s="256"/>
      <c r="DP22" s="256"/>
      <c r="DQ22" s="256"/>
      <c r="DR22" s="256"/>
      <c r="DS22" s="256"/>
      <c r="DT22" s="256"/>
      <c r="DU22" s="256"/>
      <c r="DV22" s="256"/>
      <c r="DW22" s="256"/>
      <c r="DX22" s="256"/>
      <c r="DY22" s="256"/>
      <c r="DZ22" s="256"/>
      <c r="EA22" s="256"/>
      <c r="EB22" s="256"/>
      <c r="EC22" s="256"/>
      <c r="ED22" s="256"/>
      <c r="EE22" s="256"/>
      <c r="EF22" s="256"/>
      <c r="EG22" s="256"/>
      <c r="EH22" s="256"/>
      <c r="EI22" s="256"/>
      <c r="EJ22" s="256"/>
      <c r="EK22" s="256"/>
      <c r="EL22" s="256"/>
      <c r="EM22" s="256"/>
      <c r="EN22" s="256"/>
      <c r="EO22" s="256"/>
      <c r="EP22" s="256"/>
      <c r="EQ22" s="256"/>
      <c r="ER22" s="256"/>
      <c r="ES22" s="256"/>
      <c r="ET22" s="256"/>
      <c r="EU22" s="256"/>
      <c r="EV22" s="256"/>
      <c r="EW22" s="256"/>
      <c r="EX22" s="256"/>
      <c r="EY22" s="256"/>
      <c r="EZ22" s="256"/>
      <c r="FA22" s="256"/>
      <c r="FB22" s="256"/>
      <c r="FC22" s="256"/>
      <c r="FD22" s="256"/>
      <c r="FE22" s="256"/>
      <c r="FF22" s="256"/>
      <c r="FG22" s="256"/>
      <c r="FH22" s="256"/>
      <c r="FI22" s="256"/>
      <c r="FJ22" s="256"/>
      <c r="FK22" s="256"/>
      <c r="FL22" s="256"/>
      <c r="FM22" s="256"/>
      <c r="FN22" s="256"/>
      <c r="FO22" s="256"/>
    </row>
    <row r="23" spans="1:171" s="31" customFormat="1" ht="19.5" customHeight="1">
      <c r="A23" s="260"/>
      <c r="B23" s="263"/>
      <c r="C23" s="262"/>
      <c r="D23" s="98"/>
      <c r="E23" s="98"/>
      <c r="F23" s="98"/>
      <c r="G23" s="98"/>
      <c r="H23" s="132" t="s">
        <v>304</v>
      </c>
      <c r="I23" s="133"/>
      <c r="J23" s="133"/>
      <c r="K23" s="133"/>
      <c r="L23" s="133"/>
      <c r="M23" s="133"/>
      <c r="N23" s="133"/>
      <c r="O23" s="133"/>
      <c r="P23" s="133"/>
      <c r="Q23" s="133"/>
      <c r="R23" s="120"/>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20" t="s">
        <v>142</v>
      </c>
      <c r="AQ23" s="121"/>
      <c r="AR23" s="121"/>
      <c r="AS23" s="121"/>
      <c r="AT23" s="121"/>
      <c r="AU23" s="121"/>
      <c r="AV23" s="121"/>
      <c r="AW23" s="121"/>
      <c r="AX23" s="121"/>
      <c r="AY23" s="124"/>
      <c r="AZ23" s="121"/>
      <c r="BA23" s="121"/>
      <c r="BB23" s="121"/>
      <c r="BC23" s="121"/>
      <c r="BD23" s="121"/>
      <c r="BE23" s="121"/>
      <c r="BF23" s="121"/>
      <c r="BG23" s="133"/>
      <c r="BH23" s="133"/>
      <c r="BI23" s="133"/>
      <c r="BJ23" s="133"/>
      <c r="BK23" s="133"/>
      <c r="BL23" s="133"/>
      <c r="BM23" s="133"/>
      <c r="BN23" s="133"/>
      <c r="BO23" s="133"/>
      <c r="BP23" s="133"/>
      <c r="BQ23" s="133"/>
      <c r="BR23" s="133"/>
      <c r="BS23" s="133"/>
      <c r="BT23" s="133"/>
      <c r="BU23" s="295"/>
      <c r="BV23" s="295"/>
      <c r="BW23" s="295"/>
      <c r="BX23" s="130"/>
      <c r="BY23" s="130"/>
      <c r="BZ23" s="130"/>
      <c r="CA23" s="130"/>
      <c r="CB23" s="131"/>
      <c r="CC23" s="95"/>
      <c r="CD23" s="95"/>
      <c r="CE23" s="181"/>
      <c r="CF23" s="273"/>
      <c r="CG23" s="256"/>
      <c r="CH23" s="256"/>
      <c r="CI23" s="256"/>
      <c r="CJ23" s="256"/>
      <c r="CK23" s="256"/>
      <c r="CL23" s="256"/>
      <c r="CM23" s="256"/>
      <c r="CN23" s="256"/>
      <c r="CO23" s="256"/>
      <c r="CP23" s="256"/>
      <c r="CQ23" s="256"/>
      <c r="CR23" s="256"/>
      <c r="CS23" s="256"/>
      <c r="CT23" s="256"/>
      <c r="CU23" s="256"/>
      <c r="CV23" s="256"/>
      <c r="CW23" s="256"/>
      <c r="CX23" s="256"/>
      <c r="CY23" s="256"/>
      <c r="CZ23" s="256"/>
      <c r="DA23" s="256"/>
      <c r="DB23" s="256"/>
      <c r="DC23" s="256"/>
      <c r="DD23" s="256"/>
      <c r="DE23" s="256"/>
      <c r="DF23" s="256"/>
      <c r="DG23" s="256"/>
      <c r="DH23" s="256"/>
      <c r="DI23" s="256"/>
      <c r="DJ23" s="256"/>
      <c r="DK23" s="256"/>
      <c r="DL23" s="256"/>
      <c r="DM23" s="256"/>
      <c r="DN23" s="256"/>
      <c r="DO23" s="256"/>
      <c r="DP23" s="256"/>
      <c r="DQ23" s="256"/>
      <c r="DR23" s="256"/>
      <c r="DS23" s="256"/>
      <c r="DT23" s="256"/>
      <c r="DU23" s="256"/>
      <c r="DV23" s="256"/>
      <c r="DW23" s="256"/>
      <c r="DX23" s="256"/>
      <c r="DY23" s="256"/>
      <c r="DZ23" s="256"/>
      <c r="EA23" s="256"/>
      <c r="EB23" s="256"/>
      <c r="EC23" s="256"/>
      <c r="ED23" s="256"/>
      <c r="EE23" s="256"/>
      <c r="EF23" s="256"/>
      <c r="EG23" s="256"/>
      <c r="EH23" s="256"/>
      <c r="EI23" s="256"/>
      <c r="EJ23" s="256"/>
      <c r="EK23" s="256"/>
      <c r="EL23" s="256"/>
      <c r="EM23" s="256"/>
      <c r="EN23" s="256"/>
      <c r="EO23" s="256"/>
      <c r="EP23" s="256"/>
      <c r="EQ23" s="256"/>
      <c r="ER23" s="256"/>
      <c r="ES23" s="256"/>
      <c r="ET23" s="256"/>
      <c r="EU23" s="256"/>
      <c r="EV23" s="256"/>
      <c r="EW23" s="256"/>
      <c r="EX23" s="256"/>
      <c r="EY23" s="256"/>
      <c r="EZ23" s="256"/>
      <c r="FA23" s="256"/>
      <c r="FB23" s="256"/>
      <c r="FC23" s="256"/>
      <c r="FD23" s="256"/>
      <c r="FE23" s="256"/>
      <c r="FF23" s="256"/>
      <c r="FG23" s="256"/>
      <c r="FH23" s="256"/>
      <c r="FI23" s="256"/>
      <c r="FJ23" s="256"/>
      <c r="FK23" s="256"/>
      <c r="FL23" s="256"/>
      <c r="FM23" s="256"/>
      <c r="FN23" s="256"/>
      <c r="FO23" s="256"/>
    </row>
    <row r="24" spans="1:171" s="31" customFormat="1" ht="19.5" customHeight="1">
      <c r="A24" s="260"/>
      <c r="B24" s="263"/>
      <c r="C24" s="262"/>
      <c r="D24" s="98"/>
      <c r="E24" s="98"/>
      <c r="F24" s="98"/>
      <c r="G24" s="98"/>
      <c r="H24" s="183"/>
      <c r="I24" s="183"/>
      <c r="J24" s="183"/>
      <c r="K24" s="183"/>
      <c r="L24" s="183"/>
      <c r="M24" s="183"/>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3"/>
      <c r="BN24" s="183"/>
      <c r="BO24" s="184"/>
      <c r="BP24" s="184"/>
      <c r="BQ24" s="184"/>
      <c r="BR24" s="184"/>
      <c r="BS24" s="184"/>
      <c r="BT24" s="184"/>
      <c r="BU24" s="184"/>
      <c r="BV24" s="184"/>
      <c r="BW24" s="184"/>
      <c r="BX24" s="179"/>
      <c r="BY24" s="179"/>
      <c r="BZ24" s="179"/>
      <c r="CA24" s="179"/>
      <c r="CB24" s="179"/>
      <c r="CC24" s="95"/>
      <c r="CD24" s="95"/>
      <c r="CE24" s="181"/>
      <c r="CF24" s="273"/>
      <c r="CG24" s="256"/>
      <c r="CH24" s="256"/>
      <c r="CI24" s="256"/>
      <c r="CJ24" s="256"/>
      <c r="CK24" s="256"/>
      <c r="CL24" s="256"/>
      <c r="CM24" s="256"/>
      <c r="CN24" s="256"/>
      <c r="CO24" s="256"/>
      <c r="CP24" s="256"/>
      <c r="CQ24" s="256"/>
      <c r="CR24" s="256"/>
      <c r="CS24" s="256"/>
      <c r="CT24" s="256"/>
      <c r="CU24" s="256"/>
      <c r="CV24" s="256"/>
      <c r="CW24" s="256"/>
      <c r="CX24" s="256"/>
      <c r="CY24" s="256"/>
      <c r="CZ24" s="256"/>
      <c r="DA24" s="256"/>
      <c r="DB24" s="256"/>
      <c r="DC24" s="256"/>
      <c r="DD24" s="256"/>
      <c r="DE24" s="256"/>
      <c r="DF24" s="256"/>
      <c r="DG24" s="256"/>
      <c r="DH24" s="256"/>
      <c r="DI24" s="256"/>
      <c r="DJ24" s="256"/>
      <c r="DK24" s="256"/>
      <c r="DL24" s="256"/>
      <c r="DM24" s="256"/>
      <c r="DN24" s="256"/>
      <c r="DO24" s="256"/>
      <c r="DP24" s="256"/>
      <c r="DQ24" s="256"/>
      <c r="DR24" s="256"/>
      <c r="DS24" s="256"/>
      <c r="DT24" s="256"/>
      <c r="DU24" s="256"/>
      <c r="DV24" s="256"/>
      <c r="DW24" s="256"/>
      <c r="DX24" s="256"/>
      <c r="DY24" s="256"/>
      <c r="DZ24" s="256"/>
      <c r="EA24" s="256"/>
      <c r="EB24" s="256"/>
      <c r="EC24" s="256"/>
      <c r="ED24" s="256"/>
      <c r="EE24" s="256"/>
      <c r="EF24" s="256"/>
      <c r="EG24" s="256"/>
      <c r="EH24" s="256"/>
      <c r="EI24" s="256"/>
      <c r="EJ24" s="256"/>
      <c r="EK24" s="256"/>
      <c r="EL24" s="256"/>
      <c r="EM24" s="256"/>
      <c r="EN24" s="256"/>
      <c r="EO24" s="256"/>
      <c r="EP24" s="256"/>
      <c r="EQ24" s="256"/>
      <c r="ER24" s="256"/>
      <c r="ES24" s="256"/>
      <c r="ET24" s="256"/>
      <c r="EU24" s="256"/>
      <c r="EV24" s="256"/>
      <c r="EW24" s="256"/>
      <c r="EX24" s="256"/>
      <c r="EY24" s="256"/>
      <c r="EZ24" s="256"/>
      <c r="FA24" s="256"/>
      <c r="FB24" s="256"/>
      <c r="FC24" s="256"/>
      <c r="FD24" s="256"/>
      <c r="FE24" s="256"/>
      <c r="FF24" s="256"/>
      <c r="FG24" s="256"/>
      <c r="FH24" s="256"/>
      <c r="FI24" s="256"/>
      <c r="FJ24" s="256"/>
      <c r="FK24" s="256"/>
      <c r="FL24" s="256"/>
      <c r="FM24" s="256"/>
      <c r="FN24" s="256"/>
      <c r="FO24" s="256"/>
    </row>
    <row r="25" spans="1:171" s="31" customFormat="1" ht="19.5" customHeight="1">
      <c r="A25" s="260"/>
      <c r="B25" s="263"/>
      <c r="C25" s="262"/>
      <c r="D25" s="98"/>
      <c r="E25" s="98"/>
      <c r="F25" s="98"/>
      <c r="G25" s="98"/>
      <c r="H25" s="183"/>
      <c r="I25" s="183"/>
      <c r="J25" s="183"/>
      <c r="K25" s="183"/>
      <c r="L25" s="183"/>
      <c r="M25" s="183"/>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3"/>
      <c r="BN25" s="183"/>
      <c r="BO25" s="184"/>
      <c r="BP25" s="184"/>
      <c r="BQ25" s="184"/>
      <c r="BR25" s="184"/>
      <c r="BS25" s="184"/>
      <c r="BT25" s="184"/>
      <c r="BU25" s="184"/>
      <c r="BV25" s="184"/>
      <c r="BW25" s="184"/>
      <c r="BX25" s="179"/>
      <c r="BY25" s="179"/>
      <c r="BZ25" s="179"/>
      <c r="CA25" s="179"/>
      <c r="CB25" s="179"/>
      <c r="CC25" s="95"/>
      <c r="CD25" s="95"/>
      <c r="CE25" s="181"/>
      <c r="CF25" s="273"/>
      <c r="CG25" s="256"/>
      <c r="CH25" s="256"/>
      <c r="CI25" s="256"/>
      <c r="CJ25" s="256"/>
      <c r="CK25" s="256"/>
      <c r="CL25" s="256"/>
      <c r="CM25" s="256"/>
      <c r="CN25" s="256"/>
      <c r="CO25" s="256"/>
      <c r="CP25" s="256"/>
      <c r="CQ25" s="256"/>
      <c r="CR25" s="256"/>
      <c r="CS25" s="256"/>
      <c r="CT25" s="256"/>
      <c r="CU25" s="256"/>
      <c r="CV25" s="256"/>
      <c r="CW25" s="256"/>
      <c r="CX25" s="256"/>
      <c r="CY25" s="256"/>
      <c r="CZ25" s="256"/>
      <c r="DA25" s="256"/>
      <c r="DB25" s="256"/>
      <c r="DC25" s="256"/>
      <c r="DD25" s="256"/>
      <c r="DE25" s="256"/>
      <c r="DF25" s="256"/>
      <c r="DG25" s="256"/>
      <c r="DH25" s="256"/>
      <c r="DI25" s="256"/>
      <c r="DJ25" s="256"/>
      <c r="DK25" s="256"/>
      <c r="DL25" s="256"/>
      <c r="DM25" s="256"/>
      <c r="DN25" s="256"/>
      <c r="DO25" s="256"/>
      <c r="DP25" s="256"/>
      <c r="DQ25" s="256"/>
      <c r="DR25" s="256"/>
      <c r="DS25" s="256"/>
      <c r="DT25" s="256"/>
      <c r="DU25" s="256"/>
      <c r="DV25" s="256"/>
      <c r="DW25" s="256"/>
      <c r="DX25" s="256"/>
      <c r="DY25" s="256"/>
      <c r="DZ25" s="256"/>
      <c r="EA25" s="256"/>
      <c r="EB25" s="256"/>
      <c r="EC25" s="256"/>
      <c r="ED25" s="256"/>
      <c r="EE25" s="256"/>
      <c r="EF25" s="256"/>
      <c r="EG25" s="256"/>
      <c r="EH25" s="256"/>
      <c r="EI25" s="256"/>
      <c r="EJ25" s="256"/>
      <c r="EK25" s="256"/>
      <c r="EL25" s="256"/>
      <c r="EM25" s="256"/>
      <c r="EN25" s="256"/>
      <c r="EO25" s="256"/>
      <c r="EP25" s="256"/>
      <c r="EQ25" s="256"/>
      <c r="ER25" s="256"/>
      <c r="ES25" s="256"/>
      <c r="ET25" s="256"/>
      <c r="EU25" s="256"/>
      <c r="EV25" s="256"/>
      <c r="EW25" s="256"/>
      <c r="EX25" s="256"/>
      <c r="EY25" s="256"/>
      <c r="EZ25" s="256"/>
      <c r="FA25" s="256"/>
      <c r="FB25" s="256"/>
      <c r="FC25" s="256"/>
      <c r="FD25" s="256"/>
      <c r="FE25" s="256"/>
      <c r="FF25" s="256"/>
      <c r="FG25" s="256"/>
      <c r="FH25" s="256"/>
      <c r="FI25" s="256"/>
      <c r="FJ25" s="256"/>
      <c r="FK25" s="256"/>
      <c r="FL25" s="256"/>
      <c r="FM25" s="256"/>
      <c r="FN25" s="256"/>
      <c r="FO25" s="256"/>
    </row>
    <row r="26" spans="1:171" s="31" customFormat="1" ht="19.5" customHeight="1">
      <c r="A26" s="260"/>
      <c r="B26" s="263"/>
      <c r="C26" s="262"/>
      <c r="D26" s="98"/>
      <c r="E26" s="98"/>
      <c r="F26" s="98"/>
      <c r="G26" s="98"/>
      <c r="H26" s="404" t="s">
        <v>85</v>
      </c>
      <c r="I26" s="405"/>
      <c r="J26" s="405"/>
      <c r="K26" s="405"/>
      <c r="L26" s="405"/>
      <c r="M26" s="405"/>
      <c r="N26" s="405"/>
      <c r="O26" s="405"/>
      <c r="P26" s="405"/>
      <c r="Q26" s="405"/>
      <c r="R26" s="405"/>
      <c r="S26" s="405"/>
      <c r="T26" s="405"/>
      <c r="U26" s="405"/>
      <c r="V26" s="405"/>
      <c r="W26" s="405"/>
      <c r="X26" s="405"/>
      <c r="Y26" s="405"/>
      <c r="Z26" s="405"/>
      <c r="AA26" s="405"/>
      <c r="AB26" s="405"/>
      <c r="AC26" s="405"/>
      <c r="AD26" s="405"/>
      <c r="AE26" s="405"/>
      <c r="AF26" s="405"/>
      <c r="AG26" s="405"/>
      <c r="AH26" s="405"/>
      <c r="AI26" s="405"/>
      <c r="AJ26" s="405"/>
      <c r="AK26" s="405"/>
      <c r="AL26" s="405"/>
      <c r="AM26" s="405"/>
      <c r="AN26" s="405"/>
      <c r="AO26" s="405"/>
      <c r="AP26" s="405"/>
      <c r="AQ26" s="405"/>
      <c r="AR26" s="405"/>
      <c r="AS26" s="405"/>
      <c r="AT26" s="405"/>
      <c r="AU26" s="405"/>
      <c r="AV26" s="405"/>
      <c r="AW26" s="405"/>
      <c r="AX26" s="405"/>
      <c r="AY26" s="405"/>
      <c r="AZ26" s="405"/>
      <c r="BA26" s="405"/>
      <c r="BB26" s="405"/>
      <c r="BC26" s="405"/>
      <c r="BD26" s="405"/>
      <c r="BE26" s="405"/>
      <c r="BF26" s="405"/>
      <c r="BG26" s="405"/>
      <c r="BH26" s="405"/>
      <c r="BI26" s="405"/>
      <c r="BJ26" s="405"/>
      <c r="BK26" s="405"/>
      <c r="BL26" s="405"/>
      <c r="BM26" s="405"/>
      <c r="BN26" s="405"/>
      <c r="BO26" s="405"/>
      <c r="BP26" s="405"/>
      <c r="BQ26" s="405"/>
      <c r="BR26" s="405"/>
      <c r="BS26" s="405"/>
      <c r="BT26" s="405"/>
      <c r="BU26" s="405"/>
      <c r="BV26" s="405"/>
      <c r="BW26" s="405"/>
      <c r="BX26" s="405"/>
      <c r="BY26" s="405"/>
      <c r="BZ26" s="405"/>
      <c r="CA26" s="405"/>
      <c r="CB26" s="406"/>
      <c r="CC26" s="95"/>
      <c r="CD26" s="95"/>
      <c r="CE26" s="181"/>
      <c r="CF26" s="273"/>
      <c r="CG26" s="256"/>
      <c r="CH26" s="256"/>
      <c r="CI26" s="256"/>
      <c r="CJ26" s="256"/>
      <c r="CK26" s="256"/>
      <c r="CL26" s="256"/>
      <c r="CM26" s="256"/>
      <c r="CN26" s="256"/>
      <c r="CO26" s="256"/>
      <c r="CP26" s="256"/>
      <c r="CQ26" s="256"/>
      <c r="CR26" s="256"/>
      <c r="CS26" s="256"/>
      <c r="CT26" s="256"/>
      <c r="CU26" s="256"/>
      <c r="CV26" s="256"/>
      <c r="CW26" s="256"/>
      <c r="CX26" s="256"/>
      <c r="CY26" s="256"/>
      <c r="CZ26" s="256"/>
      <c r="DA26" s="256"/>
      <c r="DB26" s="256"/>
      <c r="DC26" s="256"/>
      <c r="DD26" s="256"/>
      <c r="DE26" s="256"/>
      <c r="DF26" s="256"/>
      <c r="DG26" s="256"/>
      <c r="DH26" s="256"/>
      <c r="DI26" s="256"/>
      <c r="DJ26" s="256"/>
      <c r="DK26" s="256"/>
      <c r="DL26" s="256"/>
      <c r="DM26" s="256"/>
      <c r="DN26" s="256"/>
      <c r="DO26" s="256"/>
      <c r="DP26" s="256"/>
      <c r="DQ26" s="256"/>
      <c r="DR26" s="256"/>
      <c r="DS26" s="256"/>
      <c r="DT26" s="256"/>
      <c r="DU26" s="256"/>
      <c r="DV26" s="256"/>
      <c r="DW26" s="256"/>
      <c r="DX26" s="256"/>
      <c r="DY26" s="256"/>
      <c r="DZ26" s="256"/>
      <c r="EA26" s="256"/>
      <c r="EB26" s="256"/>
      <c r="EC26" s="256"/>
      <c r="ED26" s="256"/>
      <c r="EE26" s="256"/>
      <c r="EF26" s="256"/>
      <c r="EG26" s="256"/>
      <c r="EH26" s="256"/>
      <c r="EI26" s="256"/>
      <c r="EJ26" s="256"/>
      <c r="EK26" s="256"/>
      <c r="EL26" s="256"/>
      <c r="EM26" s="256"/>
      <c r="EN26" s="256"/>
      <c r="EO26" s="256"/>
      <c r="EP26" s="256"/>
      <c r="EQ26" s="256"/>
      <c r="ER26" s="256"/>
      <c r="ES26" s="256"/>
      <c r="ET26" s="256"/>
      <c r="EU26" s="256"/>
      <c r="EV26" s="256"/>
      <c r="EW26" s="256"/>
      <c r="EX26" s="256"/>
      <c r="EY26" s="256"/>
      <c r="EZ26" s="256"/>
      <c r="FA26" s="256"/>
      <c r="FB26" s="256"/>
      <c r="FC26" s="256"/>
      <c r="FD26" s="256"/>
      <c r="FE26" s="256"/>
      <c r="FF26" s="256"/>
      <c r="FG26" s="256"/>
      <c r="FH26" s="256"/>
      <c r="FI26" s="256"/>
      <c r="FJ26" s="256"/>
      <c r="FK26" s="256"/>
      <c r="FL26" s="256"/>
      <c r="FM26" s="256"/>
      <c r="FN26" s="256"/>
      <c r="FO26" s="256"/>
    </row>
    <row r="27" spans="1:171" s="31" customFormat="1" ht="19.5" customHeight="1">
      <c r="A27" s="260"/>
      <c r="B27" s="263"/>
      <c r="C27" s="262"/>
      <c r="D27" s="98"/>
      <c r="E27" s="98"/>
      <c r="F27" s="98"/>
      <c r="G27" s="98"/>
      <c r="H27" s="168" t="s">
        <v>220</v>
      </c>
      <c r="I27" s="169"/>
      <c r="J27" s="169"/>
      <c r="K27" s="169"/>
      <c r="L27" s="169"/>
      <c r="M27" s="169"/>
      <c r="N27" s="169"/>
      <c r="O27" s="169"/>
      <c r="P27" s="169"/>
      <c r="Q27" s="169"/>
      <c r="R27" s="169"/>
      <c r="S27" s="169"/>
      <c r="T27" s="170"/>
      <c r="U27" s="171" t="s">
        <v>96</v>
      </c>
      <c r="V27" s="169"/>
      <c r="W27" s="169"/>
      <c r="X27" s="169"/>
      <c r="Y27" s="169"/>
      <c r="Z27" s="169"/>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c r="AY27" s="168" t="s">
        <v>97</v>
      </c>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3"/>
      <c r="CC27" s="179"/>
      <c r="CD27" s="95"/>
      <c r="CE27" s="181"/>
      <c r="CF27" s="273"/>
      <c r="CG27" s="256"/>
      <c r="CH27" s="256"/>
      <c r="CI27" s="256"/>
      <c r="CJ27" s="256"/>
      <c r="CK27" s="256"/>
      <c r="CL27" s="256"/>
      <c r="CM27" s="256"/>
      <c r="CN27" s="256"/>
      <c r="CO27" s="256"/>
      <c r="CP27" s="256"/>
      <c r="CQ27" s="256"/>
      <c r="CR27" s="256"/>
      <c r="CS27" s="256"/>
      <c r="CT27" s="256"/>
      <c r="CU27" s="256"/>
      <c r="CV27" s="256"/>
      <c r="CW27" s="256"/>
      <c r="CX27" s="256"/>
      <c r="CY27" s="256"/>
      <c r="CZ27" s="256"/>
      <c r="DA27" s="256"/>
      <c r="DB27" s="256"/>
      <c r="DC27" s="256"/>
      <c r="DD27" s="256"/>
      <c r="DE27" s="256"/>
      <c r="DF27" s="256"/>
      <c r="DG27" s="256"/>
      <c r="DH27" s="256"/>
      <c r="DI27" s="256"/>
      <c r="DJ27" s="256"/>
      <c r="DK27" s="256"/>
      <c r="DL27" s="256"/>
      <c r="DM27" s="256"/>
      <c r="DN27" s="256"/>
      <c r="DO27" s="256"/>
      <c r="DP27" s="256"/>
      <c r="DQ27" s="256"/>
      <c r="DR27" s="256"/>
      <c r="DS27" s="256"/>
      <c r="DT27" s="256"/>
      <c r="DU27" s="256"/>
      <c r="DV27" s="256"/>
      <c r="DW27" s="256"/>
      <c r="DX27" s="256"/>
      <c r="DY27" s="256"/>
      <c r="DZ27" s="256"/>
      <c r="EA27" s="256"/>
      <c r="EB27" s="256"/>
      <c r="EC27" s="256"/>
      <c r="ED27" s="256"/>
      <c r="EE27" s="256"/>
      <c r="EF27" s="256"/>
      <c r="EG27" s="256"/>
      <c r="EH27" s="256"/>
      <c r="EI27" s="256"/>
      <c r="EJ27" s="256"/>
      <c r="EK27" s="256"/>
      <c r="EL27" s="256"/>
      <c r="EM27" s="256"/>
      <c r="EN27" s="256"/>
      <c r="EO27" s="256"/>
      <c r="EP27" s="256"/>
      <c r="EQ27" s="256"/>
      <c r="ER27" s="256"/>
      <c r="ES27" s="256"/>
      <c r="ET27" s="256"/>
      <c r="EU27" s="256"/>
      <c r="EV27" s="256"/>
      <c r="EW27" s="256"/>
      <c r="EX27" s="256"/>
      <c r="EY27" s="256"/>
      <c r="EZ27" s="256"/>
      <c r="FA27" s="256"/>
      <c r="FB27" s="256"/>
      <c r="FC27" s="256"/>
      <c r="FD27" s="256"/>
      <c r="FE27" s="256"/>
      <c r="FF27" s="256"/>
      <c r="FG27" s="256"/>
      <c r="FH27" s="256"/>
      <c r="FI27" s="256"/>
      <c r="FJ27" s="256"/>
      <c r="FK27" s="256"/>
      <c r="FL27" s="256"/>
      <c r="FM27" s="256"/>
      <c r="FN27" s="256"/>
      <c r="FO27" s="256"/>
    </row>
    <row r="28" spans="1:171" s="31" customFormat="1" ht="20.25" customHeight="1">
      <c r="A28" s="260"/>
      <c r="B28" s="263"/>
      <c r="C28" s="262"/>
      <c r="D28" s="98"/>
      <c r="E28" s="98"/>
      <c r="F28" s="98"/>
      <c r="G28" s="98"/>
      <c r="H28" s="134"/>
      <c r="I28" s="135" t="s">
        <v>89</v>
      </c>
      <c r="J28" s="135"/>
      <c r="K28" s="135"/>
      <c r="L28" s="135"/>
      <c r="M28" s="135"/>
      <c r="N28" s="136"/>
      <c r="O28" s="135"/>
      <c r="P28" s="135"/>
      <c r="Q28" s="135"/>
      <c r="R28" s="135"/>
      <c r="S28" s="137"/>
      <c r="T28" s="137"/>
      <c r="U28" s="138"/>
      <c r="V28" s="631">
        <v>1000</v>
      </c>
      <c r="W28" s="631"/>
      <c r="X28" s="631"/>
      <c r="Y28" s="631"/>
      <c r="Z28" s="631"/>
      <c r="AA28" s="631"/>
      <c r="AB28" s="631"/>
      <c r="AC28" s="631"/>
      <c r="AD28" s="631"/>
      <c r="AE28" s="631"/>
      <c r="AF28" s="631"/>
      <c r="AG28" s="631"/>
      <c r="AH28" s="631"/>
      <c r="AI28" s="631"/>
      <c r="AJ28" s="631"/>
      <c r="AK28" s="631"/>
      <c r="AL28" s="631"/>
      <c r="AM28" s="631"/>
      <c r="AN28" s="631"/>
      <c r="AO28" s="631"/>
      <c r="AP28" s="631"/>
      <c r="AQ28" s="631"/>
      <c r="AR28" s="631"/>
      <c r="AS28" s="631"/>
      <c r="AT28" s="631"/>
      <c r="AU28" s="631"/>
      <c r="AV28" s="631"/>
      <c r="AW28" s="631"/>
      <c r="AX28" s="139"/>
      <c r="AY28" s="135"/>
      <c r="AZ28" s="594"/>
      <c r="BA28" s="595"/>
      <c r="BB28" s="595"/>
      <c r="BC28" s="595"/>
      <c r="BD28" s="595"/>
      <c r="BE28" s="595"/>
      <c r="BF28" s="595"/>
      <c r="BG28" s="595"/>
      <c r="BH28" s="595"/>
      <c r="BI28" s="595"/>
      <c r="BJ28" s="595"/>
      <c r="BK28" s="595"/>
      <c r="BL28" s="595"/>
      <c r="BM28" s="595"/>
      <c r="BN28" s="595"/>
      <c r="BO28" s="595"/>
      <c r="BP28" s="595"/>
      <c r="BQ28" s="595"/>
      <c r="BR28" s="595"/>
      <c r="BS28" s="595"/>
      <c r="BT28" s="595"/>
      <c r="BU28" s="595"/>
      <c r="BV28" s="595"/>
      <c r="BW28" s="595"/>
      <c r="BX28" s="595"/>
      <c r="BY28" s="595"/>
      <c r="BZ28" s="595"/>
      <c r="CA28" s="595"/>
      <c r="CB28" s="139"/>
      <c r="CC28" s="179"/>
      <c r="CD28" s="95"/>
      <c r="CE28" s="181"/>
      <c r="CF28" s="273"/>
      <c r="CG28" s="256"/>
      <c r="CH28" s="256"/>
      <c r="CI28" s="256"/>
      <c r="CJ28" s="256"/>
      <c r="CK28" s="256"/>
      <c r="CL28" s="256"/>
      <c r="CM28" s="256"/>
      <c r="CN28" s="256"/>
      <c r="CO28" s="256"/>
      <c r="CP28" s="256"/>
      <c r="CQ28" s="256"/>
      <c r="CR28" s="256"/>
      <c r="CS28" s="256"/>
      <c r="CT28" s="256"/>
      <c r="CU28" s="256"/>
      <c r="CV28" s="256"/>
      <c r="CW28" s="256"/>
      <c r="CX28" s="256"/>
      <c r="CY28" s="256"/>
      <c r="CZ28" s="256"/>
      <c r="DA28" s="256"/>
      <c r="DB28" s="256"/>
      <c r="DC28" s="256"/>
      <c r="DD28" s="256"/>
      <c r="DE28" s="256"/>
      <c r="DF28" s="256"/>
      <c r="DG28" s="256"/>
      <c r="DH28" s="256"/>
      <c r="DI28" s="256"/>
      <c r="DJ28" s="256"/>
      <c r="DK28" s="256"/>
      <c r="DL28" s="256"/>
      <c r="DM28" s="256"/>
      <c r="DN28" s="256"/>
      <c r="DO28" s="256"/>
      <c r="DP28" s="256"/>
      <c r="DQ28" s="256"/>
      <c r="DR28" s="256"/>
      <c r="DS28" s="256"/>
      <c r="DT28" s="256"/>
      <c r="DU28" s="256"/>
      <c r="DV28" s="256"/>
      <c r="DW28" s="256"/>
      <c r="DX28" s="256"/>
      <c r="DY28" s="256"/>
      <c r="DZ28" s="256"/>
      <c r="EA28" s="256"/>
      <c r="EB28" s="256"/>
      <c r="EC28" s="256"/>
      <c r="ED28" s="256"/>
      <c r="EE28" s="256"/>
      <c r="EF28" s="256"/>
      <c r="EG28" s="256"/>
      <c r="EH28" s="256"/>
      <c r="EI28" s="256"/>
      <c r="EJ28" s="256"/>
      <c r="EK28" s="256"/>
      <c r="EL28" s="256"/>
      <c r="EM28" s="256"/>
      <c r="EN28" s="256"/>
      <c r="EO28" s="256"/>
      <c r="EP28" s="256"/>
      <c r="EQ28" s="256"/>
      <c r="ER28" s="256"/>
      <c r="ES28" s="256"/>
      <c r="ET28" s="256"/>
      <c r="EU28" s="256"/>
      <c r="EV28" s="256"/>
      <c r="EW28" s="256"/>
      <c r="EX28" s="256"/>
      <c r="EY28" s="256"/>
      <c r="EZ28" s="256"/>
      <c r="FA28" s="256"/>
      <c r="FB28" s="256"/>
      <c r="FC28" s="256"/>
      <c r="FD28" s="256"/>
      <c r="FE28" s="256"/>
      <c r="FF28" s="256"/>
      <c r="FG28" s="256"/>
      <c r="FH28" s="256"/>
      <c r="FI28" s="256"/>
      <c r="FJ28" s="256"/>
      <c r="FK28" s="256"/>
      <c r="FL28" s="256"/>
      <c r="FM28" s="256"/>
      <c r="FN28" s="256"/>
      <c r="FO28" s="256"/>
    </row>
    <row r="29" spans="1:171" s="31" customFormat="1" ht="19.5" customHeight="1">
      <c r="A29" s="260"/>
      <c r="B29" s="263"/>
      <c r="C29" s="262"/>
      <c r="D29" s="98"/>
      <c r="E29" s="98"/>
      <c r="F29" s="98"/>
      <c r="G29" s="98"/>
      <c r="H29" s="73"/>
      <c r="I29" s="121" t="s">
        <v>90</v>
      </c>
      <c r="J29" s="121"/>
      <c r="K29" s="121"/>
      <c r="L29" s="121"/>
      <c r="M29" s="121"/>
      <c r="N29" s="121"/>
      <c r="O29" s="121"/>
      <c r="P29" s="121"/>
      <c r="Q29" s="121"/>
      <c r="R29" s="121"/>
      <c r="S29" s="121"/>
      <c r="T29" s="121"/>
      <c r="U29" s="120"/>
      <c r="V29" s="631">
        <v>2000</v>
      </c>
      <c r="W29" s="631"/>
      <c r="X29" s="631"/>
      <c r="Y29" s="631"/>
      <c r="Z29" s="631"/>
      <c r="AA29" s="631"/>
      <c r="AB29" s="631"/>
      <c r="AC29" s="631"/>
      <c r="AD29" s="631"/>
      <c r="AE29" s="631"/>
      <c r="AF29" s="631"/>
      <c r="AG29" s="631"/>
      <c r="AH29" s="631"/>
      <c r="AI29" s="631"/>
      <c r="AJ29" s="631"/>
      <c r="AK29" s="631"/>
      <c r="AL29" s="631"/>
      <c r="AM29" s="631"/>
      <c r="AN29" s="631"/>
      <c r="AO29" s="631"/>
      <c r="AP29" s="631"/>
      <c r="AQ29" s="631"/>
      <c r="AR29" s="631"/>
      <c r="AS29" s="631"/>
      <c r="AT29" s="631"/>
      <c r="AU29" s="631"/>
      <c r="AV29" s="631"/>
      <c r="AW29" s="631"/>
      <c r="AX29" s="124"/>
      <c r="AY29" s="121"/>
      <c r="AZ29" s="594"/>
      <c r="BA29" s="594"/>
      <c r="BB29" s="594"/>
      <c r="BC29" s="594"/>
      <c r="BD29" s="594"/>
      <c r="BE29" s="594"/>
      <c r="BF29" s="594"/>
      <c r="BG29" s="594"/>
      <c r="BH29" s="594"/>
      <c r="BI29" s="594"/>
      <c r="BJ29" s="594"/>
      <c r="BK29" s="594"/>
      <c r="BL29" s="594"/>
      <c r="BM29" s="594"/>
      <c r="BN29" s="594"/>
      <c r="BO29" s="594"/>
      <c r="BP29" s="594"/>
      <c r="BQ29" s="594"/>
      <c r="BR29" s="594"/>
      <c r="BS29" s="594"/>
      <c r="BT29" s="594"/>
      <c r="BU29" s="594"/>
      <c r="BV29" s="594"/>
      <c r="BW29" s="594"/>
      <c r="BX29" s="594"/>
      <c r="BY29" s="594"/>
      <c r="BZ29" s="594"/>
      <c r="CA29" s="594"/>
      <c r="CB29" s="124"/>
      <c r="CC29" s="179"/>
      <c r="CD29" s="95"/>
      <c r="CE29" s="187"/>
      <c r="CF29" s="273"/>
      <c r="CG29" s="256"/>
      <c r="CH29" s="256"/>
      <c r="CI29" s="256"/>
      <c r="CJ29" s="256"/>
      <c r="CK29" s="256"/>
      <c r="CL29" s="256"/>
      <c r="CM29" s="256"/>
      <c r="CN29" s="256"/>
      <c r="CO29" s="256"/>
      <c r="CP29" s="256"/>
      <c r="CQ29" s="256"/>
      <c r="CR29" s="256"/>
      <c r="CS29" s="256"/>
      <c r="CT29" s="256"/>
      <c r="CU29" s="256"/>
      <c r="CV29" s="256"/>
      <c r="CW29" s="256"/>
      <c r="CX29" s="256"/>
      <c r="CY29" s="256"/>
      <c r="CZ29" s="256"/>
      <c r="DA29" s="256"/>
      <c r="DB29" s="256"/>
      <c r="DC29" s="256"/>
      <c r="DD29" s="256"/>
      <c r="DE29" s="256"/>
      <c r="DF29" s="256"/>
      <c r="DG29" s="256"/>
      <c r="DH29" s="256"/>
      <c r="DI29" s="256"/>
      <c r="DJ29" s="256"/>
      <c r="DK29" s="256"/>
      <c r="DL29" s="256"/>
      <c r="DM29" s="256"/>
      <c r="DN29" s="256"/>
      <c r="DO29" s="256"/>
      <c r="DP29" s="256"/>
      <c r="DQ29" s="256"/>
      <c r="DR29" s="256"/>
      <c r="DS29" s="256"/>
      <c r="DT29" s="256"/>
      <c r="DU29" s="256"/>
      <c r="DV29" s="256"/>
      <c r="DW29" s="256"/>
      <c r="DX29" s="256"/>
      <c r="DY29" s="256"/>
      <c r="DZ29" s="256"/>
      <c r="EA29" s="256"/>
      <c r="EB29" s="256"/>
      <c r="EC29" s="256"/>
      <c r="ED29" s="256"/>
      <c r="EE29" s="256"/>
      <c r="EF29" s="256"/>
      <c r="EG29" s="256"/>
      <c r="EH29" s="256"/>
      <c r="EI29" s="256"/>
      <c r="EJ29" s="256"/>
      <c r="EK29" s="256"/>
      <c r="EL29" s="256"/>
      <c r="EM29" s="256"/>
      <c r="EN29" s="256"/>
      <c r="EO29" s="256"/>
      <c r="EP29" s="256"/>
      <c r="EQ29" s="256"/>
      <c r="ER29" s="256"/>
      <c r="ES29" s="256"/>
      <c r="ET29" s="256"/>
      <c r="EU29" s="256"/>
      <c r="EV29" s="256"/>
      <c r="EW29" s="256"/>
      <c r="EX29" s="256"/>
      <c r="EY29" s="256"/>
      <c r="EZ29" s="256"/>
      <c r="FA29" s="256"/>
      <c r="FB29" s="256"/>
      <c r="FC29" s="256"/>
      <c r="FD29" s="256"/>
      <c r="FE29" s="256"/>
      <c r="FF29" s="256"/>
      <c r="FG29" s="256"/>
      <c r="FH29" s="256"/>
      <c r="FI29" s="256"/>
      <c r="FJ29" s="256"/>
      <c r="FK29" s="256"/>
      <c r="FL29" s="256"/>
      <c r="FM29" s="256"/>
      <c r="FN29" s="256"/>
      <c r="FO29" s="256"/>
    </row>
    <row r="30" spans="1:171" s="31" customFormat="1" ht="19.5" customHeight="1">
      <c r="A30" s="260"/>
      <c r="B30" s="263"/>
      <c r="C30" s="262"/>
      <c r="D30" s="98"/>
      <c r="E30" s="98"/>
      <c r="F30" s="98"/>
      <c r="G30" s="98"/>
      <c r="H30" s="73"/>
      <c r="I30" s="121" t="s">
        <v>91</v>
      </c>
      <c r="J30" s="121"/>
      <c r="K30" s="121"/>
      <c r="L30" s="121"/>
      <c r="M30" s="121"/>
      <c r="N30" s="121"/>
      <c r="O30" s="121"/>
      <c r="P30" s="121"/>
      <c r="Q30" s="121"/>
      <c r="R30" s="121"/>
      <c r="S30" s="121"/>
      <c r="T30" s="121"/>
      <c r="U30" s="120"/>
      <c r="V30" s="631">
        <v>1500</v>
      </c>
      <c r="W30" s="631"/>
      <c r="X30" s="631"/>
      <c r="Y30" s="631"/>
      <c r="Z30" s="631"/>
      <c r="AA30" s="631"/>
      <c r="AB30" s="631"/>
      <c r="AC30" s="631"/>
      <c r="AD30" s="631"/>
      <c r="AE30" s="631"/>
      <c r="AF30" s="631"/>
      <c r="AG30" s="631"/>
      <c r="AH30" s="631"/>
      <c r="AI30" s="631"/>
      <c r="AJ30" s="631"/>
      <c r="AK30" s="631"/>
      <c r="AL30" s="631"/>
      <c r="AM30" s="631"/>
      <c r="AN30" s="631"/>
      <c r="AO30" s="631"/>
      <c r="AP30" s="631"/>
      <c r="AQ30" s="631"/>
      <c r="AR30" s="631"/>
      <c r="AS30" s="631"/>
      <c r="AT30" s="631"/>
      <c r="AU30" s="631"/>
      <c r="AV30" s="631"/>
      <c r="AW30" s="631"/>
      <c r="AX30" s="124"/>
      <c r="AY30" s="121"/>
      <c r="AZ30" s="594"/>
      <c r="BA30" s="595"/>
      <c r="BB30" s="595"/>
      <c r="BC30" s="595"/>
      <c r="BD30" s="595"/>
      <c r="BE30" s="595"/>
      <c r="BF30" s="595"/>
      <c r="BG30" s="595"/>
      <c r="BH30" s="595"/>
      <c r="BI30" s="595"/>
      <c r="BJ30" s="595"/>
      <c r="BK30" s="595"/>
      <c r="BL30" s="595"/>
      <c r="BM30" s="595"/>
      <c r="BN30" s="595"/>
      <c r="BO30" s="595"/>
      <c r="BP30" s="595"/>
      <c r="BQ30" s="595"/>
      <c r="BR30" s="595"/>
      <c r="BS30" s="595"/>
      <c r="BT30" s="595"/>
      <c r="BU30" s="595"/>
      <c r="BV30" s="595"/>
      <c r="BW30" s="595"/>
      <c r="BX30" s="595"/>
      <c r="BY30" s="595"/>
      <c r="BZ30" s="595"/>
      <c r="CA30" s="595"/>
      <c r="CB30" s="124"/>
      <c r="CC30" s="179"/>
      <c r="CD30" s="95"/>
      <c r="CE30" s="181"/>
      <c r="CF30" s="273"/>
      <c r="CG30" s="256"/>
      <c r="CH30" s="256"/>
      <c r="CI30" s="256"/>
      <c r="CJ30" s="256"/>
      <c r="CK30" s="256"/>
      <c r="CL30" s="256"/>
      <c r="CM30" s="256"/>
      <c r="CN30" s="256"/>
      <c r="CO30" s="256"/>
      <c r="CP30" s="256"/>
      <c r="CQ30" s="256"/>
      <c r="CR30" s="256"/>
      <c r="CS30" s="256"/>
      <c r="CT30" s="256"/>
      <c r="CU30" s="256"/>
      <c r="CV30" s="256"/>
      <c r="CW30" s="256"/>
      <c r="CX30" s="256"/>
      <c r="CY30" s="256"/>
      <c r="CZ30" s="256"/>
      <c r="DA30" s="256"/>
      <c r="DB30" s="256"/>
      <c r="DC30" s="256"/>
      <c r="DD30" s="256"/>
      <c r="DE30" s="256"/>
      <c r="DF30" s="256"/>
      <c r="DG30" s="256"/>
      <c r="DH30" s="256"/>
      <c r="DI30" s="256"/>
      <c r="DJ30" s="256"/>
      <c r="DK30" s="256"/>
      <c r="DL30" s="256"/>
      <c r="DM30" s="256"/>
      <c r="DN30" s="256"/>
      <c r="DO30" s="256"/>
      <c r="DP30" s="256"/>
      <c r="DQ30" s="256"/>
      <c r="DR30" s="256"/>
      <c r="DS30" s="256"/>
      <c r="DT30" s="256"/>
      <c r="DU30" s="256"/>
      <c r="DV30" s="256"/>
      <c r="DW30" s="256"/>
      <c r="DX30" s="256"/>
      <c r="DY30" s="256"/>
      <c r="DZ30" s="256"/>
      <c r="EA30" s="256"/>
      <c r="EB30" s="256"/>
      <c r="EC30" s="256"/>
      <c r="ED30" s="256"/>
      <c r="EE30" s="256"/>
      <c r="EF30" s="256"/>
      <c r="EG30" s="256"/>
      <c r="EH30" s="256"/>
      <c r="EI30" s="256"/>
      <c r="EJ30" s="256"/>
      <c r="EK30" s="256"/>
      <c r="EL30" s="256"/>
      <c r="EM30" s="256"/>
      <c r="EN30" s="256"/>
      <c r="EO30" s="256"/>
      <c r="EP30" s="256"/>
      <c r="EQ30" s="256"/>
      <c r="ER30" s="256"/>
      <c r="ES30" s="256"/>
      <c r="ET30" s="256"/>
      <c r="EU30" s="256"/>
      <c r="EV30" s="256"/>
      <c r="EW30" s="256"/>
      <c r="EX30" s="256"/>
      <c r="EY30" s="256"/>
      <c r="EZ30" s="256"/>
      <c r="FA30" s="256"/>
      <c r="FB30" s="256"/>
      <c r="FC30" s="256"/>
      <c r="FD30" s="256"/>
      <c r="FE30" s="256"/>
      <c r="FF30" s="256"/>
      <c r="FG30" s="256"/>
      <c r="FH30" s="256"/>
      <c r="FI30" s="256"/>
      <c r="FJ30" s="256"/>
      <c r="FK30" s="256"/>
      <c r="FL30" s="256"/>
      <c r="FM30" s="256"/>
      <c r="FN30" s="256"/>
      <c r="FO30" s="256"/>
    </row>
    <row r="31" spans="1:171" s="31" customFormat="1" ht="19.5" customHeight="1">
      <c r="A31" s="260"/>
      <c r="B31" s="263"/>
      <c r="C31" s="262"/>
      <c r="D31" s="98"/>
      <c r="E31" s="98"/>
      <c r="F31" s="98"/>
      <c r="G31" s="98"/>
      <c r="H31" s="73"/>
      <c r="I31" s="121" t="s">
        <v>95</v>
      </c>
      <c r="J31" s="121"/>
      <c r="K31" s="121"/>
      <c r="L31" s="121"/>
      <c r="M31" s="121"/>
      <c r="N31" s="121"/>
      <c r="O31" s="121"/>
      <c r="P31" s="121"/>
      <c r="Q31" s="121"/>
      <c r="R31" s="121"/>
      <c r="S31" s="121"/>
      <c r="T31" s="121"/>
      <c r="U31" s="120"/>
      <c r="V31" s="631">
        <v>1200</v>
      </c>
      <c r="W31" s="631"/>
      <c r="X31" s="631"/>
      <c r="Y31" s="631"/>
      <c r="Z31" s="631"/>
      <c r="AA31" s="631"/>
      <c r="AB31" s="631"/>
      <c r="AC31" s="631"/>
      <c r="AD31" s="631"/>
      <c r="AE31" s="631"/>
      <c r="AF31" s="631"/>
      <c r="AG31" s="631"/>
      <c r="AH31" s="631"/>
      <c r="AI31" s="631"/>
      <c r="AJ31" s="631"/>
      <c r="AK31" s="631"/>
      <c r="AL31" s="631"/>
      <c r="AM31" s="631"/>
      <c r="AN31" s="631"/>
      <c r="AO31" s="631"/>
      <c r="AP31" s="631"/>
      <c r="AQ31" s="631"/>
      <c r="AR31" s="631"/>
      <c r="AS31" s="631"/>
      <c r="AT31" s="631"/>
      <c r="AU31" s="631"/>
      <c r="AV31" s="631"/>
      <c r="AW31" s="631"/>
      <c r="AX31" s="124"/>
      <c r="AY31" s="121"/>
      <c r="AZ31" s="140"/>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24"/>
      <c r="CC31" s="179"/>
      <c r="CD31" s="95"/>
      <c r="CE31" s="181"/>
      <c r="CF31" s="273"/>
      <c r="CG31" s="256"/>
      <c r="CH31" s="256"/>
      <c r="CI31" s="256"/>
      <c r="CJ31" s="256"/>
      <c r="CK31" s="256"/>
      <c r="CL31" s="256"/>
      <c r="CM31" s="256"/>
      <c r="CN31" s="256"/>
      <c r="CO31" s="256"/>
      <c r="CP31" s="256"/>
      <c r="CQ31" s="256"/>
      <c r="CR31" s="256"/>
      <c r="CS31" s="256"/>
      <c r="CT31" s="256"/>
      <c r="CU31" s="256"/>
      <c r="CV31" s="256"/>
      <c r="CW31" s="256"/>
      <c r="CX31" s="256"/>
      <c r="CY31" s="256"/>
      <c r="CZ31" s="256"/>
      <c r="DA31" s="256"/>
      <c r="DB31" s="256"/>
      <c r="DC31" s="256"/>
      <c r="DD31" s="256"/>
      <c r="DE31" s="256"/>
      <c r="DF31" s="256"/>
      <c r="DG31" s="256"/>
      <c r="DH31" s="256"/>
      <c r="DI31" s="256"/>
      <c r="DJ31" s="256"/>
      <c r="DK31" s="256"/>
      <c r="DL31" s="256"/>
      <c r="DM31" s="256"/>
      <c r="DN31" s="256"/>
      <c r="DO31" s="256"/>
      <c r="DP31" s="256"/>
      <c r="DQ31" s="256"/>
      <c r="DR31" s="256"/>
      <c r="DS31" s="256"/>
      <c r="DT31" s="256"/>
      <c r="DU31" s="256"/>
      <c r="DV31" s="256"/>
      <c r="DW31" s="256"/>
      <c r="DX31" s="256"/>
      <c r="DY31" s="256"/>
      <c r="DZ31" s="256"/>
      <c r="EA31" s="256"/>
      <c r="EB31" s="256"/>
      <c r="EC31" s="256"/>
      <c r="ED31" s="256"/>
      <c r="EE31" s="256"/>
      <c r="EF31" s="256"/>
      <c r="EG31" s="256"/>
      <c r="EH31" s="256"/>
      <c r="EI31" s="256"/>
      <c r="EJ31" s="256"/>
      <c r="EK31" s="256"/>
      <c r="EL31" s="256"/>
      <c r="EM31" s="256"/>
      <c r="EN31" s="256"/>
      <c r="EO31" s="256"/>
      <c r="EP31" s="256"/>
      <c r="EQ31" s="256"/>
      <c r="ER31" s="256"/>
      <c r="ES31" s="256"/>
      <c r="ET31" s="256"/>
      <c r="EU31" s="256"/>
      <c r="EV31" s="256"/>
      <c r="EW31" s="256"/>
      <c r="EX31" s="256"/>
      <c r="EY31" s="256"/>
      <c r="EZ31" s="256"/>
      <c r="FA31" s="256"/>
      <c r="FB31" s="256"/>
      <c r="FC31" s="256"/>
      <c r="FD31" s="256"/>
      <c r="FE31" s="256"/>
      <c r="FF31" s="256"/>
      <c r="FG31" s="256"/>
      <c r="FH31" s="256"/>
      <c r="FI31" s="256"/>
      <c r="FJ31" s="256"/>
      <c r="FK31" s="256"/>
      <c r="FL31" s="256"/>
      <c r="FM31" s="256"/>
      <c r="FN31" s="256"/>
      <c r="FO31" s="256"/>
    </row>
    <row r="32" spans="1:171" s="31" customFormat="1" ht="19.5" customHeight="1">
      <c r="A32" s="260"/>
      <c r="B32" s="263"/>
      <c r="C32" s="262"/>
      <c r="D32" s="98"/>
      <c r="E32" s="98"/>
      <c r="F32" s="98"/>
      <c r="G32" s="98"/>
      <c r="H32" s="73"/>
      <c r="I32" s="121" t="s">
        <v>92</v>
      </c>
      <c r="J32" s="121"/>
      <c r="K32" s="121"/>
      <c r="L32" s="121"/>
      <c r="M32" s="121"/>
      <c r="N32" s="121"/>
      <c r="O32" s="121"/>
      <c r="P32" s="121"/>
      <c r="Q32" s="121"/>
      <c r="R32" s="121"/>
      <c r="S32" s="121"/>
      <c r="T32" s="121"/>
      <c r="U32" s="120"/>
      <c r="V32" s="631">
        <v>1000</v>
      </c>
      <c r="W32" s="631"/>
      <c r="X32" s="631"/>
      <c r="Y32" s="631"/>
      <c r="Z32" s="631"/>
      <c r="AA32" s="631"/>
      <c r="AB32" s="631"/>
      <c r="AC32" s="631"/>
      <c r="AD32" s="631"/>
      <c r="AE32" s="631"/>
      <c r="AF32" s="631"/>
      <c r="AG32" s="631"/>
      <c r="AH32" s="631"/>
      <c r="AI32" s="631"/>
      <c r="AJ32" s="631"/>
      <c r="AK32" s="631"/>
      <c r="AL32" s="631"/>
      <c r="AM32" s="631"/>
      <c r="AN32" s="631"/>
      <c r="AO32" s="631"/>
      <c r="AP32" s="631"/>
      <c r="AQ32" s="631"/>
      <c r="AR32" s="631"/>
      <c r="AS32" s="631"/>
      <c r="AT32" s="631"/>
      <c r="AU32" s="631"/>
      <c r="AV32" s="631"/>
      <c r="AW32" s="631"/>
      <c r="AX32" s="124"/>
      <c r="AY32" s="121"/>
      <c r="AZ32" s="594">
        <v>390</v>
      </c>
      <c r="BA32" s="596"/>
      <c r="BB32" s="596"/>
      <c r="BC32" s="596"/>
      <c r="BD32" s="596"/>
      <c r="BE32" s="596"/>
      <c r="BF32" s="596"/>
      <c r="BG32" s="596"/>
      <c r="BH32" s="596"/>
      <c r="BI32" s="596"/>
      <c r="BJ32" s="596"/>
      <c r="BK32" s="596"/>
      <c r="BL32" s="596"/>
      <c r="BM32" s="596"/>
      <c r="BN32" s="596"/>
      <c r="BO32" s="596"/>
      <c r="BP32" s="596"/>
      <c r="BQ32" s="596"/>
      <c r="BR32" s="596"/>
      <c r="BS32" s="596"/>
      <c r="BT32" s="596"/>
      <c r="BU32" s="596"/>
      <c r="BV32" s="596"/>
      <c r="BW32" s="596"/>
      <c r="BX32" s="596"/>
      <c r="BY32" s="596"/>
      <c r="BZ32" s="596"/>
      <c r="CA32" s="596"/>
      <c r="CB32" s="124"/>
      <c r="CC32" s="179"/>
      <c r="CD32" s="95"/>
      <c r="CE32" s="181"/>
      <c r="CF32" s="273"/>
      <c r="CG32" s="256"/>
      <c r="CH32" s="256"/>
      <c r="CI32" s="256"/>
      <c r="CJ32" s="256"/>
      <c r="CK32" s="256"/>
      <c r="CL32" s="256"/>
      <c r="CM32" s="256"/>
      <c r="CN32" s="256"/>
      <c r="CO32" s="256"/>
      <c r="CP32" s="256"/>
      <c r="CQ32" s="256"/>
      <c r="CR32" s="256"/>
      <c r="CS32" s="256"/>
      <c r="CT32" s="256"/>
      <c r="CU32" s="256"/>
      <c r="CV32" s="256"/>
      <c r="CW32" s="256"/>
      <c r="CX32" s="256"/>
      <c r="CY32" s="256"/>
      <c r="CZ32" s="256"/>
      <c r="DA32" s="256"/>
      <c r="DB32" s="256"/>
      <c r="DC32" s="256"/>
      <c r="DD32" s="256"/>
      <c r="DE32" s="256"/>
      <c r="DF32" s="256"/>
      <c r="DG32" s="256"/>
      <c r="DH32" s="256"/>
      <c r="DI32" s="256"/>
      <c r="DJ32" s="256"/>
      <c r="DK32" s="256"/>
      <c r="DL32" s="256"/>
      <c r="DM32" s="256"/>
      <c r="DN32" s="256"/>
      <c r="DO32" s="256"/>
      <c r="DP32" s="256"/>
      <c r="DQ32" s="256"/>
      <c r="DR32" s="256"/>
      <c r="DS32" s="256"/>
      <c r="DT32" s="256"/>
      <c r="DU32" s="256"/>
      <c r="DV32" s="256"/>
      <c r="DW32" s="256"/>
      <c r="DX32" s="256"/>
      <c r="DY32" s="256"/>
      <c r="DZ32" s="256"/>
      <c r="EA32" s="256"/>
      <c r="EB32" s="256"/>
      <c r="EC32" s="256"/>
      <c r="ED32" s="256"/>
      <c r="EE32" s="256"/>
      <c r="EF32" s="256"/>
      <c r="EG32" s="256"/>
      <c r="EH32" s="256"/>
      <c r="EI32" s="256"/>
      <c r="EJ32" s="256"/>
      <c r="EK32" s="256"/>
      <c r="EL32" s="256"/>
      <c r="EM32" s="256"/>
      <c r="EN32" s="256"/>
      <c r="EO32" s="256"/>
      <c r="EP32" s="256"/>
      <c r="EQ32" s="256"/>
      <c r="ER32" s="256"/>
      <c r="ES32" s="256"/>
      <c r="ET32" s="256"/>
      <c r="EU32" s="256"/>
      <c r="EV32" s="256"/>
      <c r="EW32" s="256"/>
      <c r="EX32" s="256"/>
      <c r="EY32" s="256"/>
      <c r="EZ32" s="256"/>
      <c r="FA32" s="256"/>
      <c r="FB32" s="256"/>
      <c r="FC32" s="256"/>
      <c r="FD32" s="256"/>
      <c r="FE32" s="256"/>
      <c r="FF32" s="256"/>
      <c r="FG32" s="256"/>
      <c r="FH32" s="256"/>
      <c r="FI32" s="256"/>
      <c r="FJ32" s="256"/>
      <c r="FK32" s="256"/>
      <c r="FL32" s="256"/>
      <c r="FM32" s="256"/>
      <c r="FN32" s="256"/>
      <c r="FO32" s="256"/>
    </row>
    <row r="33" spans="1:171" s="31" customFormat="1" ht="19.5" customHeight="1">
      <c r="A33" s="260"/>
      <c r="B33" s="263"/>
      <c r="C33" s="262"/>
      <c r="D33" s="98"/>
      <c r="E33" s="98"/>
      <c r="F33" s="98"/>
      <c r="G33" s="98"/>
      <c r="H33" s="73"/>
      <c r="I33" s="121" t="s">
        <v>93</v>
      </c>
      <c r="J33" s="75"/>
      <c r="K33" s="75"/>
      <c r="L33" s="75"/>
      <c r="M33" s="75"/>
      <c r="N33" s="75"/>
      <c r="O33" s="75"/>
      <c r="P33" s="121"/>
      <c r="Q33" s="121"/>
      <c r="R33" s="75"/>
      <c r="S33" s="75"/>
      <c r="T33" s="75"/>
      <c r="U33" s="76"/>
      <c r="V33" s="592">
        <v>270</v>
      </c>
      <c r="W33" s="593"/>
      <c r="X33" s="593"/>
      <c r="Y33" s="593"/>
      <c r="Z33" s="593"/>
      <c r="AA33" s="593"/>
      <c r="AB33" s="593"/>
      <c r="AC33" s="593"/>
      <c r="AD33" s="593"/>
      <c r="AE33" s="593"/>
      <c r="AF33" s="593"/>
      <c r="AG33" s="593"/>
      <c r="AH33" s="593"/>
      <c r="AI33" s="593"/>
      <c r="AJ33" s="593"/>
      <c r="AK33" s="593"/>
      <c r="AL33" s="593"/>
      <c r="AM33" s="593"/>
      <c r="AN33" s="593"/>
      <c r="AO33" s="593"/>
      <c r="AP33" s="593"/>
      <c r="AQ33" s="593"/>
      <c r="AR33" s="593"/>
      <c r="AS33" s="593"/>
      <c r="AT33" s="593"/>
      <c r="AU33" s="593"/>
      <c r="AV33" s="593"/>
      <c r="AW33" s="593"/>
      <c r="AX33" s="124"/>
      <c r="AY33" s="121"/>
      <c r="AZ33" s="594"/>
      <c r="BA33" s="595"/>
      <c r="BB33" s="595"/>
      <c r="BC33" s="595"/>
      <c r="BD33" s="595"/>
      <c r="BE33" s="595"/>
      <c r="BF33" s="595"/>
      <c r="BG33" s="595"/>
      <c r="BH33" s="595"/>
      <c r="BI33" s="595"/>
      <c r="BJ33" s="595"/>
      <c r="BK33" s="595"/>
      <c r="BL33" s="595"/>
      <c r="BM33" s="595"/>
      <c r="BN33" s="595"/>
      <c r="BO33" s="595"/>
      <c r="BP33" s="595"/>
      <c r="BQ33" s="595"/>
      <c r="BR33" s="595"/>
      <c r="BS33" s="595"/>
      <c r="BT33" s="595"/>
      <c r="BU33" s="595"/>
      <c r="BV33" s="595"/>
      <c r="BW33" s="595"/>
      <c r="BX33" s="595"/>
      <c r="BY33" s="595"/>
      <c r="BZ33" s="595"/>
      <c r="CA33" s="595"/>
      <c r="CB33" s="124"/>
      <c r="CC33" s="179"/>
      <c r="CD33" s="95"/>
      <c r="CE33" s="187"/>
      <c r="CF33" s="273"/>
      <c r="CG33" s="256"/>
      <c r="CH33" s="256"/>
      <c r="CI33" s="256"/>
      <c r="CJ33" s="256"/>
      <c r="CK33" s="256"/>
      <c r="CL33" s="256"/>
      <c r="CM33" s="256"/>
      <c r="CN33" s="256"/>
      <c r="CO33" s="256"/>
      <c r="CP33" s="256"/>
      <c r="CQ33" s="256"/>
      <c r="CR33" s="256"/>
      <c r="CS33" s="256"/>
      <c r="CT33" s="256"/>
      <c r="CU33" s="256"/>
      <c r="CV33" s="256"/>
      <c r="CW33" s="256"/>
      <c r="CX33" s="256"/>
      <c r="CY33" s="256"/>
      <c r="CZ33" s="256"/>
      <c r="DA33" s="256"/>
      <c r="DB33" s="256"/>
      <c r="DC33" s="256"/>
      <c r="DD33" s="256"/>
      <c r="DE33" s="256"/>
      <c r="DF33" s="256"/>
      <c r="DG33" s="256"/>
      <c r="DH33" s="256"/>
      <c r="DI33" s="256"/>
      <c r="DJ33" s="256"/>
      <c r="DK33" s="256"/>
      <c r="DL33" s="256"/>
      <c r="DM33" s="256"/>
      <c r="DN33" s="256"/>
      <c r="DO33" s="256"/>
      <c r="DP33" s="256"/>
      <c r="DQ33" s="256"/>
      <c r="DR33" s="256"/>
      <c r="DS33" s="256"/>
      <c r="DT33" s="256"/>
      <c r="DU33" s="256"/>
      <c r="DV33" s="256"/>
      <c r="DW33" s="256"/>
      <c r="DX33" s="256"/>
      <c r="DY33" s="256"/>
      <c r="DZ33" s="256"/>
      <c r="EA33" s="256"/>
      <c r="EB33" s="256"/>
      <c r="EC33" s="256"/>
      <c r="ED33" s="256"/>
      <c r="EE33" s="256"/>
      <c r="EF33" s="256"/>
      <c r="EG33" s="256"/>
      <c r="EH33" s="256"/>
      <c r="EI33" s="256"/>
      <c r="EJ33" s="256"/>
      <c r="EK33" s="256"/>
      <c r="EL33" s="256"/>
      <c r="EM33" s="256"/>
      <c r="EN33" s="256"/>
      <c r="EO33" s="256"/>
      <c r="EP33" s="256"/>
      <c r="EQ33" s="256"/>
      <c r="ER33" s="256"/>
      <c r="ES33" s="256"/>
      <c r="ET33" s="256"/>
      <c r="EU33" s="256"/>
      <c r="EV33" s="256"/>
      <c r="EW33" s="256"/>
      <c r="EX33" s="256"/>
      <c r="EY33" s="256"/>
      <c r="EZ33" s="256"/>
      <c r="FA33" s="256"/>
      <c r="FB33" s="256"/>
      <c r="FC33" s="256"/>
      <c r="FD33" s="256"/>
      <c r="FE33" s="256"/>
      <c r="FF33" s="256"/>
      <c r="FG33" s="256"/>
      <c r="FH33" s="256"/>
      <c r="FI33" s="256"/>
      <c r="FJ33" s="256"/>
      <c r="FK33" s="256"/>
      <c r="FL33" s="256"/>
      <c r="FM33" s="256"/>
      <c r="FN33" s="256"/>
      <c r="FO33" s="256"/>
    </row>
    <row r="34" spans="1:171" s="31" customFormat="1" ht="19.5" customHeight="1">
      <c r="A34" s="260"/>
      <c r="B34" s="263"/>
      <c r="C34" s="262"/>
      <c r="D34" s="98"/>
      <c r="E34" s="98"/>
      <c r="F34" s="98"/>
      <c r="G34" s="98"/>
      <c r="H34" s="74"/>
      <c r="I34" s="133" t="s">
        <v>94</v>
      </c>
      <c r="J34" s="133"/>
      <c r="K34" s="133"/>
      <c r="L34" s="133"/>
      <c r="M34" s="133"/>
      <c r="N34" s="133"/>
      <c r="O34" s="133"/>
      <c r="P34" s="133"/>
      <c r="Q34" s="133"/>
      <c r="R34" s="133"/>
      <c r="S34" s="133"/>
      <c r="T34" s="133"/>
      <c r="U34" s="132"/>
      <c r="V34" s="594">
        <v>2300</v>
      </c>
      <c r="W34" s="596"/>
      <c r="X34" s="596"/>
      <c r="Y34" s="596"/>
      <c r="Z34" s="596"/>
      <c r="AA34" s="596"/>
      <c r="AB34" s="596"/>
      <c r="AC34" s="596"/>
      <c r="AD34" s="596"/>
      <c r="AE34" s="596"/>
      <c r="AF34" s="596"/>
      <c r="AG34" s="596"/>
      <c r="AH34" s="596"/>
      <c r="AI34" s="596"/>
      <c r="AJ34" s="596"/>
      <c r="AK34" s="596"/>
      <c r="AL34" s="596"/>
      <c r="AM34" s="596"/>
      <c r="AN34" s="596"/>
      <c r="AO34" s="596"/>
      <c r="AP34" s="596"/>
      <c r="AQ34" s="596"/>
      <c r="AR34" s="596"/>
      <c r="AS34" s="596"/>
      <c r="AT34" s="596"/>
      <c r="AU34" s="596"/>
      <c r="AV34" s="596"/>
      <c r="AW34" s="596"/>
      <c r="AX34" s="142"/>
      <c r="AY34" s="133"/>
      <c r="AZ34" s="594"/>
      <c r="BA34" s="595"/>
      <c r="BB34" s="595"/>
      <c r="BC34" s="595"/>
      <c r="BD34" s="595"/>
      <c r="BE34" s="595"/>
      <c r="BF34" s="595"/>
      <c r="BG34" s="595"/>
      <c r="BH34" s="595"/>
      <c r="BI34" s="595"/>
      <c r="BJ34" s="595"/>
      <c r="BK34" s="595"/>
      <c r="BL34" s="595"/>
      <c r="BM34" s="595"/>
      <c r="BN34" s="595"/>
      <c r="BO34" s="595"/>
      <c r="BP34" s="595"/>
      <c r="BQ34" s="595"/>
      <c r="BR34" s="595"/>
      <c r="BS34" s="595"/>
      <c r="BT34" s="595"/>
      <c r="BU34" s="595"/>
      <c r="BV34" s="595"/>
      <c r="BW34" s="595"/>
      <c r="BX34" s="595"/>
      <c r="BY34" s="595"/>
      <c r="BZ34" s="595"/>
      <c r="CA34" s="595"/>
      <c r="CB34" s="142"/>
      <c r="CC34" s="179"/>
      <c r="CD34" s="95"/>
      <c r="CE34" s="181"/>
      <c r="CF34" s="273"/>
      <c r="CG34" s="256"/>
      <c r="CH34" s="256"/>
      <c r="CI34" s="256"/>
      <c r="CJ34" s="256"/>
      <c r="CK34" s="256"/>
      <c r="CL34" s="256"/>
      <c r="CM34" s="256"/>
      <c r="CN34" s="256"/>
      <c r="CO34" s="256"/>
      <c r="CP34" s="256"/>
      <c r="CQ34" s="256"/>
      <c r="CR34" s="256"/>
      <c r="CS34" s="256"/>
      <c r="CT34" s="256"/>
      <c r="CU34" s="256"/>
      <c r="CV34" s="256"/>
      <c r="CW34" s="256"/>
      <c r="CX34" s="256"/>
      <c r="CY34" s="256"/>
      <c r="CZ34" s="256"/>
      <c r="DA34" s="256"/>
      <c r="DB34" s="256"/>
      <c r="DC34" s="256"/>
      <c r="DD34" s="256"/>
      <c r="DE34" s="256"/>
      <c r="DF34" s="256"/>
      <c r="DG34" s="256"/>
      <c r="DH34" s="256"/>
      <c r="DI34" s="256"/>
      <c r="DJ34" s="256"/>
      <c r="DK34" s="256"/>
      <c r="DL34" s="256"/>
      <c r="DM34" s="256"/>
      <c r="DN34" s="256"/>
      <c r="DO34" s="256"/>
      <c r="DP34" s="256"/>
      <c r="DQ34" s="256"/>
      <c r="DR34" s="256"/>
      <c r="DS34" s="256"/>
      <c r="DT34" s="256"/>
      <c r="DU34" s="256"/>
      <c r="DV34" s="256"/>
      <c r="DW34" s="256"/>
      <c r="DX34" s="256"/>
      <c r="DY34" s="256"/>
      <c r="DZ34" s="256"/>
      <c r="EA34" s="256"/>
      <c r="EB34" s="256"/>
      <c r="EC34" s="256"/>
      <c r="ED34" s="256"/>
      <c r="EE34" s="256"/>
      <c r="EF34" s="256"/>
      <c r="EG34" s="256"/>
      <c r="EH34" s="256"/>
      <c r="EI34" s="256"/>
      <c r="EJ34" s="256"/>
      <c r="EK34" s="256"/>
      <c r="EL34" s="256"/>
      <c r="EM34" s="256"/>
      <c r="EN34" s="256"/>
      <c r="EO34" s="256"/>
      <c r="EP34" s="256"/>
      <c r="EQ34" s="256"/>
      <c r="ER34" s="256"/>
      <c r="ES34" s="256"/>
      <c r="ET34" s="256"/>
      <c r="EU34" s="256"/>
      <c r="EV34" s="256"/>
      <c r="EW34" s="256"/>
      <c r="EX34" s="256"/>
      <c r="EY34" s="256"/>
      <c r="EZ34" s="256"/>
      <c r="FA34" s="256"/>
      <c r="FB34" s="256"/>
      <c r="FC34" s="256"/>
      <c r="FD34" s="256"/>
      <c r="FE34" s="256"/>
      <c r="FF34" s="256"/>
      <c r="FG34" s="256"/>
      <c r="FH34" s="256"/>
      <c r="FI34" s="256"/>
      <c r="FJ34" s="256"/>
      <c r="FK34" s="256"/>
      <c r="FL34" s="256"/>
      <c r="FM34" s="256"/>
      <c r="FN34" s="256"/>
      <c r="FO34" s="256"/>
    </row>
    <row r="35" spans="1:171" s="31" customFormat="1" ht="19.5" customHeight="1">
      <c r="A35" s="260"/>
      <c r="B35" s="263"/>
      <c r="C35" s="262"/>
      <c r="D35" s="98"/>
      <c r="E35" s="98"/>
      <c r="F35" s="98"/>
      <c r="G35" s="98"/>
      <c r="H35" s="168" t="s">
        <v>145</v>
      </c>
      <c r="I35" s="172"/>
      <c r="J35" s="172"/>
      <c r="K35" s="172"/>
      <c r="L35" s="172"/>
      <c r="M35" s="172"/>
      <c r="N35" s="172"/>
      <c r="O35" s="172"/>
      <c r="P35" s="172"/>
      <c r="Q35" s="172"/>
      <c r="R35" s="172"/>
      <c r="S35" s="174"/>
      <c r="T35" s="175"/>
      <c r="U35" s="176"/>
      <c r="V35" s="591">
        <f>U36+V37</f>
        <v>9270</v>
      </c>
      <c r="W35" s="591"/>
      <c r="X35" s="591"/>
      <c r="Y35" s="591"/>
      <c r="Z35" s="591"/>
      <c r="AA35" s="591"/>
      <c r="AB35" s="591"/>
      <c r="AC35" s="591"/>
      <c r="AD35" s="591"/>
      <c r="AE35" s="591"/>
      <c r="AF35" s="591"/>
      <c r="AG35" s="591"/>
      <c r="AH35" s="591"/>
      <c r="AI35" s="591"/>
      <c r="AJ35" s="591"/>
      <c r="AK35" s="591"/>
      <c r="AL35" s="591"/>
      <c r="AM35" s="591"/>
      <c r="AN35" s="591"/>
      <c r="AO35" s="591"/>
      <c r="AP35" s="591"/>
      <c r="AQ35" s="591"/>
      <c r="AR35" s="591"/>
      <c r="AS35" s="591"/>
      <c r="AT35" s="591"/>
      <c r="AU35" s="591"/>
      <c r="AV35" s="591"/>
      <c r="AW35" s="591"/>
      <c r="AX35" s="177"/>
      <c r="AY35" s="176"/>
      <c r="AZ35" s="591">
        <f>BA36+AZ37</f>
        <v>390</v>
      </c>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175"/>
      <c r="CC35" s="179"/>
      <c r="CD35" s="95"/>
      <c r="CE35" s="181"/>
      <c r="CF35" s="273"/>
      <c r="CG35" s="256"/>
      <c r="CH35" s="256"/>
      <c r="CI35" s="256"/>
      <c r="CJ35" s="256"/>
      <c r="CK35" s="256"/>
      <c r="CL35" s="256"/>
      <c r="CM35" s="256"/>
      <c r="CN35" s="256"/>
      <c r="CO35" s="256"/>
      <c r="CP35" s="256"/>
      <c r="CQ35" s="256"/>
      <c r="CR35" s="256"/>
      <c r="CS35" s="256"/>
      <c r="CT35" s="256"/>
      <c r="CU35" s="256"/>
      <c r="CV35" s="256"/>
      <c r="CW35" s="256"/>
      <c r="CX35" s="256"/>
      <c r="CY35" s="256"/>
      <c r="CZ35" s="256"/>
      <c r="DA35" s="256"/>
      <c r="DB35" s="256"/>
      <c r="DC35" s="256"/>
      <c r="DD35" s="256"/>
      <c r="DE35" s="256"/>
      <c r="DF35" s="256"/>
      <c r="DG35" s="256"/>
      <c r="DH35" s="256"/>
      <c r="DI35" s="256"/>
      <c r="DJ35" s="256"/>
      <c r="DK35" s="256"/>
      <c r="DL35" s="256"/>
      <c r="DM35" s="256"/>
      <c r="DN35" s="256"/>
      <c r="DO35" s="256"/>
      <c r="DP35" s="256"/>
      <c r="DQ35" s="256"/>
      <c r="DR35" s="256"/>
      <c r="DS35" s="256"/>
      <c r="DT35" s="256"/>
      <c r="DU35" s="256"/>
      <c r="DV35" s="256"/>
      <c r="DW35" s="256"/>
      <c r="DX35" s="256"/>
      <c r="DY35" s="256"/>
      <c r="DZ35" s="256"/>
      <c r="EA35" s="256"/>
      <c r="EB35" s="256"/>
      <c r="EC35" s="256"/>
      <c r="ED35" s="256"/>
      <c r="EE35" s="256"/>
      <c r="EF35" s="256"/>
      <c r="EG35" s="256"/>
      <c r="EH35" s="256"/>
      <c r="EI35" s="256"/>
      <c r="EJ35" s="256"/>
      <c r="EK35" s="256"/>
      <c r="EL35" s="256"/>
      <c r="EM35" s="256"/>
      <c r="EN35" s="256"/>
      <c r="EO35" s="256"/>
      <c r="EP35" s="256"/>
      <c r="EQ35" s="256"/>
      <c r="ER35" s="256"/>
      <c r="ES35" s="256"/>
      <c r="ET35" s="256"/>
      <c r="EU35" s="256"/>
      <c r="EV35" s="256"/>
      <c r="EW35" s="256"/>
      <c r="EX35" s="256"/>
      <c r="EY35" s="256"/>
      <c r="EZ35" s="256"/>
      <c r="FA35" s="256"/>
      <c r="FB35" s="256"/>
      <c r="FC35" s="256"/>
      <c r="FD35" s="256"/>
      <c r="FE35" s="256"/>
      <c r="FF35" s="256"/>
      <c r="FG35" s="256"/>
      <c r="FH35" s="256"/>
      <c r="FI35" s="256"/>
      <c r="FJ35" s="256"/>
      <c r="FK35" s="256"/>
      <c r="FL35" s="256"/>
      <c r="FM35" s="256"/>
      <c r="FN35" s="256"/>
      <c r="FO35" s="256"/>
    </row>
    <row r="36" spans="1:171" s="31" customFormat="1" ht="19.5" customHeight="1">
      <c r="A36" s="260"/>
      <c r="B36" s="263"/>
      <c r="C36" s="262"/>
      <c r="D36" s="98"/>
      <c r="E36" s="98"/>
      <c r="F36" s="98"/>
      <c r="G36" s="98"/>
      <c r="H36" s="168" t="s">
        <v>144</v>
      </c>
      <c r="I36" s="172"/>
      <c r="J36" s="172"/>
      <c r="K36" s="172"/>
      <c r="L36" s="172"/>
      <c r="M36" s="172"/>
      <c r="N36" s="172"/>
      <c r="O36" s="172"/>
      <c r="P36" s="172"/>
      <c r="Q36" s="172"/>
      <c r="R36" s="172"/>
      <c r="S36" s="174"/>
      <c r="T36" s="175"/>
      <c r="U36" s="597">
        <v>0</v>
      </c>
      <c r="V36" s="598"/>
      <c r="W36" s="598"/>
      <c r="X36" s="598"/>
      <c r="Y36" s="598"/>
      <c r="Z36" s="598"/>
      <c r="AA36" s="598"/>
      <c r="AB36" s="598"/>
      <c r="AC36" s="598"/>
      <c r="AD36" s="598"/>
      <c r="AE36" s="598"/>
      <c r="AF36" s="598"/>
      <c r="AG36" s="598"/>
      <c r="AH36" s="598"/>
      <c r="AI36" s="598"/>
      <c r="AJ36" s="598"/>
      <c r="AK36" s="598"/>
      <c r="AL36" s="598"/>
      <c r="AM36" s="598"/>
      <c r="AN36" s="598"/>
      <c r="AO36" s="598"/>
      <c r="AP36" s="598"/>
      <c r="AQ36" s="598"/>
      <c r="AR36" s="598"/>
      <c r="AS36" s="598"/>
      <c r="AT36" s="598"/>
      <c r="AU36" s="598"/>
      <c r="AV36" s="598"/>
      <c r="AW36" s="598"/>
      <c r="AX36" s="177"/>
      <c r="AY36" s="176"/>
      <c r="AZ36" s="177"/>
      <c r="BA36" s="599">
        <v>0</v>
      </c>
      <c r="BB36" s="598"/>
      <c r="BC36" s="598"/>
      <c r="BD36" s="598"/>
      <c r="BE36" s="598"/>
      <c r="BF36" s="598"/>
      <c r="BG36" s="598"/>
      <c r="BH36" s="598"/>
      <c r="BI36" s="598"/>
      <c r="BJ36" s="598"/>
      <c r="BK36" s="598"/>
      <c r="BL36" s="598"/>
      <c r="BM36" s="598"/>
      <c r="BN36" s="598"/>
      <c r="BO36" s="598"/>
      <c r="BP36" s="598"/>
      <c r="BQ36" s="598"/>
      <c r="BR36" s="598"/>
      <c r="BS36" s="598"/>
      <c r="BT36" s="598"/>
      <c r="BU36" s="598"/>
      <c r="BV36" s="598"/>
      <c r="BW36" s="598"/>
      <c r="BX36" s="598"/>
      <c r="BY36" s="598"/>
      <c r="BZ36" s="598"/>
      <c r="CA36" s="598"/>
      <c r="CB36" s="175"/>
      <c r="CC36" s="179"/>
      <c r="CD36" s="95"/>
      <c r="CE36" s="181"/>
      <c r="CF36" s="273"/>
      <c r="CG36" s="256"/>
      <c r="CH36" s="256"/>
      <c r="CI36" s="256"/>
      <c r="CJ36" s="256"/>
      <c r="CK36" s="256"/>
      <c r="CL36" s="256"/>
      <c r="CM36" s="256"/>
      <c r="CN36" s="256"/>
      <c r="CO36" s="256"/>
      <c r="CP36" s="256"/>
      <c r="CQ36" s="256"/>
      <c r="CR36" s="256"/>
      <c r="CS36" s="256"/>
      <c r="CT36" s="256"/>
      <c r="CU36" s="256"/>
      <c r="CV36" s="256"/>
      <c r="CW36" s="256"/>
      <c r="CX36" s="256"/>
      <c r="CY36" s="256"/>
      <c r="CZ36" s="256"/>
      <c r="DA36" s="256"/>
      <c r="DB36" s="256"/>
      <c r="DC36" s="256"/>
      <c r="DD36" s="256"/>
      <c r="DE36" s="256"/>
      <c r="DF36" s="256"/>
      <c r="DG36" s="256"/>
      <c r="DH36" s="256"/>
      <c r="DI36" s="256"/>
      <c r="DJ36" s="256"/>
      <c r="DK36" s="256"/>
      <c r="DL36" s="256"/>
      <c r="DM36" s="256"/>
      <c r="DN36" s="256"/>
      <c r="DO36" s="256"/>
      <c r="DP36" s="256"/>
      <c r="DQ36" s="256"/>
      <c r="DR36" s="256"/>
      <c r="DS36" s="256"/>
      <c r="DT36" s="256"/>
      <c r="DU36" s="256"/>
      <c r="DV36" s="256"/>
      <c r="DW36" s="256"/>
      <c r="DX36" s="256"/>
      <c r="DY36" s="256"/>
      <c r="DZ36" s="256"/>
      <c r="EA36" s="256"/>
      <c r="EB36" s="256"/>
      <c r="EC36" s="256"/>
      <c r="ED36" s="256"/>
      <c r="EE36" s="256"/>
      <c r="EF36" s="256"/>
      <c r="EG36" s="256"/>
      <c r="EH36" s="256"/>
      <c r="EI36" s="256"/>
      <c r="EJ36" s="256"/>
      <c r="EK36" s="256"/>
      <c r="EL36" s="256"/>
      <c r="EM36" s="256"/>
      <c r="EN36" s="256"/>
      <c r="EO36" s="256"/>
      <c r="EP36" s="256"/>
      <c r="EQ36" s="256"/>
      <c r="ER36" s="256"/>
      <c r="ES36" s="256"/>
      <c r="ET36" s="256"/>
      <c r="EU36" s="256"/>
      <c r="EV36" s="256"/>
      <c r="EW36" s="256"/>
      <c r="EX36" s="256"/>
      <c r="EY36" s="256"/>
      <c r="EZ36" s="256"/>
      <c r="FA36" s="256"/>
      <c r="FB36" s="256"/>
      <c r="FC36" s="256"/>
      <c r="FD36" s="256"/>
      <c r="FE36" s="256"/>
      <c r="FF36" s="256"/>
      <c r="FG36" s="256"/>
      <c r="FH36" s="256"/>
      <c r="FI36" s="256"/>
      <c r="FJ36" s="256"/>
      <c r="FK36" s="256"/>
      <c r="FL36" s="256"/>
      <c r="FM36" s="256"/>
      <c r="FN36" s="256"/>
      <c r="FO36" s="256"/>
    </row>
    <row r="37" spans="1:171" s="31" customFormat="1" ht="19.5" customHeight="1">
      <c r="A37" s="260"/>
      <c r="B37" s="263"/>
      <c r="C37" s="262"/>
      <c r="D37" s="98"/>
      <c r="E37" s="98"/>
      <c r="F37" s="98"/>
      <c r="G37" s="98"/>
      <c r="H37" s="168" t="s">
        <v>143</v>
      </c>
      <c r="I37" s="172"/>
      <c r="J37" s="172"/>
      <c r="K37" s="172"/>
      <c r="L37" s="172"/>
      <c r="M37" s="172"/>
      <c r="N37" s="172"/>
      <c r="O37" s="172"/>
      <c r="P37" s="172"/>
      <c r="Q37" s="172"/>
      <c r="R37" s="172"/>
      <c r="S37" s="174"/>
      <c r="T37" s="175"/>
      <c r="U37" s="176"/>
      <c r="V37" s="591">
        <f>SUM(V28:V34)</f>
        <v>9270</v>
      </c>
      <c r="W37" s="591"/>
      <c r="X37" s="591"/>
      <c r="Y37" s="591"/>
      <c r="Z37" s="591"/>
      <c r="AA37" s="591"/>
      <c r="AB37" s="591"/>
      <c r="AC37" s="591"/>
      <c r="AD37" s="591"/>
      <c r="AE37" s="591"/>
      <c r="AF37" s="591"/>
      <c r="AG37" s="591"/>
      <c r="AH37" s="591"/>
      <c r="AI37" s="591"/>
      <c r="AJ37" s="591"/>
      <c r="AK37" s="591"/>
      <c r="AL37" s="591"/>
      <c r="AM37" s="591"/>
      <c r="AN37" s="591"/>
      <c r="AO37" s="591"/>
      <c r="AP37" s="591"/>
      <c r="AQ37" s="591"/>
      <c r="AR37" s="591"/>
      <c r="AS37" s="591"/>
      <c r="AT37" s="591"/>
      <c r="AU37" s="591"/>
      <c r="AV37" s="591"/>
      <c r="AW37" s="591"/>
      <c r="AX37" s="177"/>
      <c r="AY37" s="176"/>
      <c r="AZ37" s="591">
        <f>SUM(AZ28:AZ34)</f>
        <v>390</v>
      </c>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175"/>
      <c r="CC37" s="179"/>
      <c r="CD37" s="95"/>
      <c r="CE37" s="181"/>
      <c r="CF37" s="273"/>
      <c r="CG37" s="256"/>
      <c r="CH37" s="256"/>
      <c r="CI37" s="256"/>
      <c r="CJ37" s="256"/>
      <c r="CK37" s="256"/>
      <c r="CL37" s="256"/>
      <c r="CM37" s="256"/>
      <c r="CN37" s="256"/>
      <c r="CO37" s="256"/>
      <c r="CP37" s="256"/>
      <c r="CQ37" s="256"/>
      <c r="CR37" s="256"/>
      <c r="CS37" s="256"/>
      <c r="CT37" s="256"/>
      <c r="CU37" s="256"/>
      <c r="CV37" s="256"/>
      <c r="CW37" s="256"/>
      <c r="CX37" s="256"/>
      <c r="CY37" s="256"/>
      <c r="CZ37" s="256"/>
      <c r="DA37" s="256"/>
      <c r="DB37" s="256"/>
      <c r="DC37" s="256"/>
      <c r="DD37" s="256"/>
      <c r="DE37" s="256"/>
      <c r="DF37" s="256"/>
      <c r="DG37" s="256"/>
      <c r="DH37" s="256"/>
      <c r="DI37" s="256"/>
      <c r="DJ37" s="256"/>
      <c r="DK37" s="256"/>
      <c r="DL37" s="256"/>
      <c r="DM37" s="256"/>
      <c r="DN37" s="256"/>
      <c r="DO37" s="256"/>
      <c r="DP37" s="256"/>
      <c r="DQ37" s="256"/>
      <c r="DR37" s="256"/>
      <c r="DS37" s="256"/>
      <c r="DT37" s="256"/>
      <c r="DU37" s="256"/>
      <c r="DV37" s="256"/>
      <c r="DW37" s="256"/>
      <c r="DX37" s="256"/>
      <c r="DY37" s="256"/>
      <c r="DZ37" s="256"/>
      <c r="EA37" s="256"/>
      <c r="EB37" s="256"/>
      <c r="EC37" s="256"/>
      <c r="ED37" s="256"/>
      <c r="EE37" s="256"/>
      <c r="EF37" s="256"/>
      <c r="EG37" s="256"/>
      <c r="EH37" s="256"/>
      <c r="EI37" s="256"/>
      <c r="EJ37" s="256"/>
      <c r="EK37" s="256"/>
      <c r="EL37" s="256"/>
      <c r="EM37" s="256"/>
      <c r="EN37" s="256"/>
      <c r="EO37" s="256"/>
      <c r="EP37" s="256"/>
      <c r="EQ37" s="256"/>
      <c r="ER37" s="256"/>
      <c r="ES37" s="256"/>
      <c r="ET37" s="256"/>
      <c r="EU37" s="256"/>
      <c r="EV37" s="256"/>
      <c r="EW37" s="256"/>
      <c r="EX37" s="256"/>
      <c r="EY37" s="256"/>
      <c r="EZ37" s="256"/>
      <c r="FA37" s="256"/>
      <c r="FB37" s="256"/>
      <c r="FC37" s="256"/>
      <c r="FD37" s="256"/>
      <c r="FE37" s="256"/>
      <c r="FF37" s="256"/>
      <c r="FG37" s="256"/>
      <c r="FH37" s="256"/>
      <c r="FI37" s="256"/>
      <c r="FJ37" s="256"/>
      <c r="FK37" s="256"/>
      <c r="FL37" s="256"/>
      <c r="FM37" s="256"/>
      <c r="FN37" s="256"/>
      <c r="FO37" s="256"/>
    </row>
    <row r="38" spans="1:171" s="31" customFormat="1" ht="19.5" customHeight="1">
      <c r="A38" s="260"/>
      <c r="B38" s="263"/>
      <c r="C38" s="262"/>
      <c r="D38" s="98"/>
      <c r="E38" s="98"/>
      <c r="F38" s="98"/>
      <c r="G38" s="98"/>
      <c r="H38" s="168" t="s">
        <v>172</v>
      </c>
      <c r="I38" s="172"/>
      <c r="J38" s="172"/>
      <c r="K38" s="172"/>
      <c r="L38" s="172"/>
      <c r="M38" s="172"/>
      <c r="N38" s="172"/>
      <c r="O38" s="172"/>
      <c r="P38" s="172"/>
      <c r="Q38" s="172"/>
      <c r="R38" s="172"/>
      <c r="S38" s="174"/>
      <c r="T38" s="175"/>
      <c r="U38" s="176"/>
      <c r="V38" s="178"/>
      <c r="W38" s="178" t="s">
        <v>314</v>
      </c>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7"/>
      <c r="AY38" s="177"/>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175"/>
      <c r="CC38" s="179"/>
      <c r="CD38" s="95"/>
      <c r="CE38" s="181"/>
      <c r="CF38" s="273"/>
      <c r="CG38" s="256"/>
      <c r="CH38" s="256"/>
      <c r="CI38" s="256"/>
      <c r="CJ38" s="256"/>
      <c r="CK38" s="256"/>
      <c r="CL38" s="256"/>
      <c r="CM38" s="256"/>
      <c r="CN38" s="256"/>
      <c r="CO38" s="256"/>
      <c r="CP38" s="256"/>
      <c r="CQ38" s="256"/>
      <c r="CR38" s="256"/>
      <c r="CS38" s="256"/>
      <c r="CT38" s="256"/>
      <c r="CU38" s="256"/>
      <c r="CV38" s="256"/>
      <c r="CW38" s="256"/>
      <c r="CX38" s="256"/>
      <c r="CY38" s="256"/>
      <c r="CZ38" s="256"/>
      <c r="DA38" s="256"/>
      <c r="DB38" s="256"/>
      <c r="DC38" s="256"/>
      <c r="DD38" s="256"/>
      <c r="DE38" s="256"/>
      <c r="DF38" s="256"/>
      <c r="DG38" s="256"/>
      <c r="DH38" s="256"/>
      <c r="DI38" s="256"/>
      <c r="DJ38" s="256"/>
      <c r="DK38" s="256"/>
      <c r="DL38" s="256"/>
      <c r="DM38" s="256"/>
      <c r="DN38" s="256"/>
      <c r="DO38" s="256"/>
      <c r="DP38" s="256"/>
      <c r="DQ38" s="256"/>
      <c r="DR38" s="256"/>
      <c r="DS38" s="256"/>
      <c r="DT38" s="256"/>
      <c r="DU38" s="256"/>
      <c r="DV38" s="256"/>
      <c r="DW38" s="256"/>
      <c r="DX38" s="256"/>
      <c r="DY38" s="256"/>
      <c r="DZ38" s="256"/>
      <c r="EA38" s="256"/>
      <c r="EB38" s="256"/>
      <c r="EC38" s="256"/>
      <c r="ED38" s="256"/>
      <c r="EE38" s="256"/>
      <c r="EF38" s="256"/>
      <c r="EG38" s="256"/>
      <c r="EH38" s="256"/>
      <c r="EI38" s="256"/>
      <c r="EJ38" s="256"/>
      <c r="EK38" s="256"/>
      <c r="EL38" s="256"/>
      <c r="EM38" s="256"/>
      <c r="EN38" s="256"/>
      <c r="EO38" s="256"/>
      <c r="EP38" s="256"/>
      <c r="EQ38" s="256"/>
      <c r="ER38" s="256"/>
      <c r="ES38" s="256"/>
      <c r="ET38" s="256"/>
      <c r="EU38" s="256"/>
      <c r="EV38" s="256"/>
      <c r="EW38" s="256"/>
      <c r="EX38" s="256"/>
      <c r="EY38" s="256"/>
      <c r="EZ38" s="256"/>
      <c r="FA38" s="256"/>
      <c r="FB38" s="256"/>
      <c r="FC38" s="256"/>
      <c r="FD38" s="256"/>
      <c r="FE38" s="256"/>
      <c r="FF38" s="256"/>
      <c r="FG38" s="256"/>
      <c r="FH38" s="256"/>
      <c r="FI38" s="256"/>
      <c r="FJ38" s="256"/>
      <c r="FK38" s="256"/>
      <c r="FL38" s="256"/>
      <c r="FM38" s="256"/>
      <c r="FN38" s="256"/>
      <c r="FO38" s="256"/>
    </row>
    <row r="39" spans="1:171" s="31" customFormat="1" ht="19.5" customHeight="1">
      <c r="A39" s="260"/>
      <c r="B39" s="263"/>
      <c r="C39" s="262"/>
      <c r="D39" s="98"/>
      <c r="E39" s="98"/>
      <c r="F39" s="98"/>
      <c r="G39" s="98"/>
      <c r="H39" s="183"/>
      <c r="I39" s="183"/>
      <c r="J39" s="183"/>
      <c r="K39" s="183"/>
      <c r="L39" s="183"/>
      <c r="M39" s="183"/>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3"/>
      <c r="BN39" s="183"/>
      <c r="BO39" s="184"/>
      <c r="BP39" s="184"/>
      <c r="BQ39" s="184"/>
      <c r="BR39" s="184"/>
      <c r="BS39" s="184"/>
      <c r="BT39" s="184"/>
      <c r="BU39" s="184"/>
      <c r="BV39" s="184"/>
      <c r="BW39" s="184"/>
      <c r="BX39" s="185"/>
      <c r="BY39" s="179"/>
      <c r="BZ39" s="179"/>
      <c r="CA39" s="179"/>
      <c r="CB39" s="179"/>
      <c r="CC39" s="179"/>
      <c r="CD39" s="95"/>
      <c r="CE39" s="181"/>
      <c r="CF39" s="273"/>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row>
    <row r="40" spans="1:171" s="31" customFormat="1" ht="19.5" customHeight="1">
      <c r="A40" s="260"/>
      <c r="B40" s="263"/>
      <c r="C40" s="262"/>
      <c r="D40" s="98"/>
      <c r="E40" s="98"/>
      <c r="F40" s="98"/>
      <c r="G40" s="98"/>
      <c r="H40" s="404" t="s">
        <v>402</v>
      </c>
      <c r="I40" s="405"/>
      <c r="J40" s="405"/>
      <c r="K40" s="405"/>
      <c r="L40" s="405"/>
      <c r="M40" s="405"/>
      <c r="N40" s="405"/>
      <c r="O40" s="405"/>
      <c r="P40" s="405"/>
      <c r="Q40" s="405"/>
      <c r="R40" s="405"/>
      <c r="S40" s="405"/>
      <c r="T40" s="405"/>
      <c r="U40" s="405"/>
      <c r="V40" s="405"/>
      <c r="W40" s="405"/>
      <c r="X40" s="405"/>
      <c r="Y40" s="405"/>
      <c r="Z40" s="405"/>
      <c r="AA40" s="405"/>
      <c r="AB40" s="405"/>
      <c r="AC40" s="405"/>
      <c r="AD40" s="405"/>
      <c r="AE40" s="405"/>
      <c r="AF40" s="405"/>
      <c r="AG40" s="405"/>
      <c r="AH40" s="405"/>
      <c r="AI40" s="405"/>
      <c r="AJ40" s="405"/>
      <c r="AK40" s="405"/>
      <c r="AL40" s="405"/>
      <c r="AM40" s="405"/>
      <c r="AN40" s="405"/>
      <c r="AO40" s="405"/>
      <c r="AP40" s="405"/>
      <c r="AQ40" s="405"/>
      <c r="AR40" s="405"/>
      <c r="AS40" s="405"/>
      <c r="AT40" s="405"/>
      <c r="AU40" s="405"/>
      <c r="AV40" s="405"/>
      <c r="AW40" s="405"/>
      <c r="AX40" s="405"/>
      <c r="AY40" s="405"/>
      <c r="AZ40" s="405"/>
      <c r="BA40" s="405"/>
      <c r="BB40" s="405"/>
      <c r="BC40" s="405"/>
      <c r="BD40" s="405"/>
      <c r="BE40" s="405"/>
      <c r="BF40" s="405"/>
      <c r="BG40" s="405"/>
      <c r="BH40" s="405"/>
      <c r="BI40" s="405"/>
      <c r="BJ40" s="405"/>
      <c r="BK40" s="405"/>
      <c r="BL40" s="405"/>
      <c r="BM40" s="405"/>
      <c r="BN40" s="405"/>
      <c r="BO40" s="405"/>
      <c r="BP40" s="405"/>
      <c r="BQ40" s="405"/>
      <c r="BR40" s="405"/>
      <c r="BS40" s="405"/>
      <c r="BT40" s="405"/>
      <c r="BU40" s="405"/>
      <c r="BV40" s="405"/>
      <c r="BW40" s="405"/>
      <c r="BX40" s="405"/>
      <c r="BY40" s="405"/>
      <c r="BZ40" s="405"/>
      <c r="CA40" s="405"/>
      <c r="CB40" s="406"/>
      <c r="CC40" s="179"/>
      <c r="CD40" s="95"/>
      <c r="CE40" s="181"/>
      <c r="CF40" s="273"/>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row>
    <row r="41" spans="1:171" s="31" customFormat="1" ht="19.5" customHeight="1">
      <c r="A41" s="260"/>
      <c r="B41" s="263"/>
      <c r="C41" s="262"/>
      <c r="D41" s="98"/>
      <c r="E41" s="98"/>
      <c r="F41" s="98"/>
      <c r="G41" s="98"/>
      <c r="H41" s="600" t="s">
        <v>403</v>
      </c>
      <c r="I41" s="600"/>
      <c r="J41" s="600"/>
      <c r="K41" s="600"/>
      <c r="L41" s="600"/>
      <c r="M41" s="600"/>
      <c r="N41" s="600"/>
      <c r="O41" s="600"/>
      <c r="P41" s="600"/>
      <c r="Q41" s="600"/>
      <c r="R41" s="600"/>
      <c r="S41" s="600"/>
      <c r="T41" s="600"/>
      <c r="U41" s="600" t="s">
        <v>404</v>
      </c>
      <c r="V41" s="600"/>
      <c r="W41" s="600"/>
      <c r="X41" s="600"/>
      <c r="Y41" s="600"/>
      <c r="Z41" s="600"/>
      <c r="AA41" s="600"/>
      <c r="AB41" s="600"/>
      <c r="AC41" s="600"/>
      <c r="AD41" s="600"/>
      <c r="AE41" s="600"/>
      <c r="AF41" s="600"/>
      <c r="AG41" s="600"/>
      <c r="AH41" s="600" t="s">
        <v>405</v>
      </c>
      <c r="AI41" s="600"/>
      <c r="AJ41" s="600"/>
      <c r="AK41" s="600"/>
      <c r="AL41" s="600"/>
      <c r="AM41" s="600"/>
      <c r="AN41" s="600"/>
      <c r="AO41" s="600"/>
      <c r="AP41" s="600"/>
      <c r="AQ41" s="600"/>
      <c r="AR41" s="600"/>
      <c r="AS41" s="600"/>
      <c r="AT41" s="600"/>
      <c r="AU41" s="600"/>
      <c r="AV41" s="600"/>
      <c r="AW41" s="600"/>
      <c r="AX41" s="600"/>
      <c r="AY41" s="600"/>
      <c r="AZ41" s="600"/>
      <c r="BA41" s="600"/>
      <c r="BB41" s="600"/>
      <c r="BC41" s="600"/>
      <c r="BD41" s="600"/>
      <c r="BE41" s="600"/>
      <c r="BF41" s="600"/>
      <c r="BG41" s="600"/>
      <c r="BH41" s="396" t="s">
        <v>406</v>
      </c>
      <c r="BI41" s="397"/>
      <c r="BJ41" s="397"/>
      <c r="BK41" s="397"/>
      <c r="BL41" s="397"/>
      <c r="BM41" s="397"/>
      <c r="BN41" s="397"/>
      <c r="BO41" s="397"/>
      <c r="BP41" s="397"/>
      <c r="BQ41" s="397"/>
      <c r="BR41" s="397"/>
      <c r="BS41" s="397"/>
      <c r="BT41" s="397"/>
      <c r="BU41" s="397"/>
      <c r="BV41" s="397"/>
      <c r="BW41" s="397"/>
      <c r="BX41" s="397"/>
      <c r="BY41" s="397"/>
      <c r="BZ41" s="397"/>
      <c r="CA41" s="397"/>
      <c r="CB41" s="398"/>
      <c r="CC41" s="179"/>
      <c r="CD41" s="95"/>
      <c r="CE41" s="181"/>
      <c r="CF41" s="273"/>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row>
    <row r="42" spans="1:171" s="31" customFormat="1" ht="19.5" customHeight="1">
      <c r="A42" s="260"/>
      <c r="B42" s="263"/>
      <c r="C42" s="262"/>
      <c r="D42" s="98"/>
      <c r="E42" s="98"/>
      <c r="F42" s="98"/>
      <c r="G42" s="98"/>
      <c r="H42" s="604" t="s">
        <v>185</v>
      </c>
      <c r="I42" s="605"/>
      <c r="J42" s="605"/>
      <c r="K42" s="605"/>
      <c r="L42" s="605"/>
      <c r="M42" s="605"/>
      <c r="N42" s="605"/>
      <c r="O42" s="605"/>
      <c r="P42" s="605"/>
      <c r="Q42" s="605"/>
      <c r="R42" s="605"/>
      <c r="S42" s="605"/>
      <c r="T42" s="606"/>
      <c r="U42" s="607" t="s">
        <v>407</v>
      </c>
      <c r="V42" s="608"/>
      <c r="W42" s="608"/>
      <c r="X42" s="608"/>
      <c r="Y42" s="608"/>
      <c r="Z42" s="608"/>
      <c r="AA42" s="608"/>
      <c r="AB42" s="608"/>
      <c r="AC42" s="608"/>
      <c r="AD42" s="608"/>
      <c r="AE42" s="608"/>
      <c r="AF42" s="608"/>
      <c r="AG42" s="609"/>
      <c r="AH42" s="604" t="s">
        <v>408</v>
      </c>
      <c r="AI42" s="605"/>
      <c r="AJ42" s="605"/>
      <c r="AK42" s="605"/>
      <c r="AL42" s="605"/>
      <c r="AM42" s="605"/>
      <c r="AN42" s="605"/>
      <c r="AO42" s="605"/>
      <c r="AP42" s="605"/>
      <c r="AQ42" s="605"/>
      <c r="AR42" s="605"/>
      <c r="AS42" s="605"/>
      <c r="AT42" s="605"/>
      <c r="AU42" s="605"/>
      <c r="AV42" s="605"/>
      <c r="AW42" s="605"/>
      <c r="AX42" s="605"/>
      <c r="AY42" s="605"/>
      <c r="AZ42" s="605"/>
      <c r="BA42" s="605"/>
      <c r="BB42" s="605"/>
      <c r="BC42" s="605"/>
      <c r="BD42" s="605"/>
      <c r="BE42" s="605"/>
      <c r="BF42" s="605"/>
      <c r="BG42" s="606"/>
      <c r="BH42" s="604" t="s">
        <v>409</v>
      </c>
      <c r="BI42" s="605"/>
      <c r="BJ42" s="605"/>
      <c r="BK42" s="605"/>
      <c r="BL42" s="605"/>
      <c r="BM42" s="605"/>
      <c r="BN42" s="605"/>
      <c r="BO42" s="605"/>
      <c r="BP42" s="605"/>
      <c r="BQ42" s="605"/>
      <c r="BR42" s="605"/>
      <c r="BS42" s="605"/>
      <c r="BT42" s="605"/>
      <c r="BU42" s="605"/>
      <c r="BV42" s="605"/>
      <c r="BW42" s="605"/>
      <c r="BX42" s="605"/>
      <c r="BY42" s="605"/>
      <c r="BZ42" s="605"/>
      <c r="CA42" s="605"/>
      <c r="CB42" s="606"/>
      <c r="CC42" s="179"/>
      <c r="CD42" s="95"/>
      <c r="CE42" s="181"/>
      <c r="CF42" s="273"/>
      <c r="CG42" s="256"/>
      <c r="CH42" s="256"/>
      <c r="CI42" s="256"/>
      <c r="CJ42" s="256"/>
      <c r="CK42" s="256"/>
      <c r="CL42" s="256"/>
      <c r="CM42" s="256"/>
      <c r="CN42" s="256"/>
      <c r="CO42" s="256"/>
      <c r="CP42" s="256"/>
      <c r="CQ42" s="256"/>
      <c r="CR42" s="256"/>
      <c r="CS42" s="256"/>
      <c r="CT42" s="256"/>
      <c r="CU42" s="256"/>
      <c r="CV42" s="256"/>
      <c r="CW42" s="256"/>
      <c r="CX42" s="256"/>
      <c r="CY42" s="256"/>
      <c r="CZ42" s="256"/>
      <c r="DA42" s="256"/>
      <c r="DB42" s="256"/>
      <c r="DC42" s="256"/>
      <c r="DD42" s="256"/>
      <c r="DE42" s="256"/>
      <c r="DF42" s="256"/>
      <c r="DG42" s="256"/>
      <c r="DH42" s="256"/>
      <c r="DI42" s="256"/>
      <c r="DJ42" s="256"/>
      <c r="DK42" s="256"/>
      <c r="DL42" s="256"/>
      <c r="DM42" s="256"/>
      <c r="DN42" s="256"/>
      <c r="DO42" s="256"/>
      <c r="DP42" s="256"/>
      <c r="DQ42" s="256"/>
      <c r="DR42" s="256"/>
      <c r="DS42" s="256"/>
      <c r="DT42" s="256"/>
      <c r="DU42" s="256"/>
      <c r="DV42" s="256"/>
      <c r="DW42" s="256"/>
      <c r="DX42" s="256"/>
      <c r="DY42" s="256"/>
      <c r="DZ42" s="256"/>
      <c r="EA42" s="256"/>
      <c r="EB42" s="256"/>
      <c r="EC42" s="256"/>
      <c r="ED42" s="256"/>
      <c r="EE42" s="256"/>
      <c r="EF42" s="256"/>
      <c r="EG42" s="256"/>
      <c r="EH42" s="256"/>
      <c r="EI42" s="256"/>
      <c r="EJ42" s="256"/>
      <c r="EK42" s="256"/>
      <c r="EL42" s="256"/>
      <c r="EM42" s="256"/>
      <c r="EN42" s="256"/>
      <c r="EO42" s="256"/>
      <c r="EP42" s="256"/>
      <c r="EQ42" s="256"/>
      <c r="ER42" s="256"/>
      <c r="ES42" s="256"/>
      <c r="ET42" s="256"/>
      <c r="EU42" s="256"/>
      <c r="EV42" s="256"/>
      <c r="EW42" s="256"/>
      <c r="EX42" s="256"/>
      <c r="EY42" s="256"/>
      <c r="EZ42" s="256"/>
      <c r="FA42" s="256"/>
      <c r="FB42" s="256"/>
      <c r="FC42" s="256"/>
      <c r="FD42" s="256"/>
      <c r="FE42" s="256"/>
      <c r="FF42" s="256"/>
      <c r="FG42" s="256"/>
      <c r="FH42" s="256"/>
      <c r="FI42" s="256"/>
      <c r="FJ42" s="256"/>
      <c r="FK42" s="256"/>
      <c r="FL42" s="256"/>
      <c r="FM42" s="256"/>
      <c r="FN42" s="256"/>
      <c r="FO42" s="256"/>
    </row>
    <row r="43" spans="1:171" s="31" customFormat="1" ht="19.5" customHeight="1">
      <c r="A43" s="260"/>
      <c r="B43" s="263"/>
      <c r="C43" s="262"/>
      <c r="D43" s="98"/>
      <c r="E43" s="98"/>
      <c r="F43" s="98"/>
      <c r="G43" s="98"/>
      <c r="H43" s="604" t="s">
        <v>410</v>
      </c>
      <c r="I43" s="605"/>
      <c r="J43" s="605"/>
      <c r="K43" s="605"/>
      <c r="L43" s="605"/>
      <c r="M43" s="605"/>
      <c r="N43" s="605"/>
      <c r="O43" s="605"/>
      <c r="P43" s="605"/>
      <c r="Q43" s="605"/>
      <c r="R43" s="605"/>
      <c r="S43" s="605"/>
      <c r="T43" s="606"/>
      <c r="U43" s="607" t="s">
        <v>407</v>
      </c>
      <c r="V43" s="608"/>
      <c r="W43" s="608"/>
      <c r="X43" s="608"/>
      <c r="Y43" s="608"/>
      <c r="Z43" s="608"/>
      <c r="AA43" s="608"/>
      <c r="AB43" s="608"/>
      <c r="AC43" s="608"/>
      <c r="AD43" s="608"/>
      <c r="AE43" s="608"/>
      <c r="AF43" s="608"/>
      <c r="AG43" s="609"/>
      <c r="AH43" s="604" t="s">
        <v>408</v>
      </c>
      <c r="AI43" s="605"/>
      <c r="AJ43" s="605"/>
      <c r="AK43" s="605"/>
      <c r="AL43" s="605"/>
      <c r="AM43" s="605"/>
      <c r="AN43" s="605"/>
      <c r="AO43" s="605"/>
      <c r="AP43" s="605"/>
      <c r="AQ43" s="605"/>
      <c r="AR43" s="605"/>
      <c r="AS43" s="605"/>
      <c r="AT43" s="605"/>
      <c r="AU43" s="605"/>
      <c r="AV43" s="605"/>
      <c r="AW43" s="605"/>
      <c r="AX43" s="605"/>
      <c r="AY43" s="605"/>
      <c r="AZ43" s="605"/>
      <c r="BA43" s="605"/>
      <c r="BB43" s="605"/>
      <c r="BC43" s="605"/>
      <c r="BD43" s="605"/>
      <c r="BE43" s="605"/>
      <c r="BF43" s="605"/>
      <c r="BG43" s="606"/>
      <c r="BH43" s="604" t="s">
        <v>411</v>
      </c>
      <c r="BI43" s="605"/>
      <c r="BJ43" s="605"/>
      <c r="BK43" s="605"/>
      <c r="BL43" s="605"/>
      <c r="BM43" s="605"/>
      <c r="BN43" s="605"/>
      <c r="BO43" s="605"/>
      <c r="BP43" s="605"/>
      <c r="BQ43" s="605"/>
      <c r="BR43" s="605"/>
      <c r="BS43" s="605"/>
      <c r="BT43" s="605"/>
      <c r="BU43" s="605"/>
      <c r="BV43" s="605"/>
      <c r="BW43" s="605"/>
      <c r="BX43" s="605"/>
      <c r="BY43" s="605"/>
      <c r="BZ43" s="605"/>
      <c r="CA43" s="605"/>
      <c r="CB43" s="606"/>
      <c r="CC43" s="179"/>
      <c r="CD43" s="95"/>
      <c r="CE43" s="181"/>
      <c r="CF43" s="273"/>
      <c r="CG43" s="256"/>
      <c r="CH43" s="256"/>
      <c r="CI43" s="256"/>
      <c r="CJ43" s="256"/>
      <c r="CK43" s="256"/>
      <c r="CL43" s="256"/>
      <c r="CM43" s="256"/>
      <c r="CN43" s="256"/>
      <c r="CO43" s="256"/>
      <c r="CP43" s="256"/>
      <c r="CQ43" s="256"/>
      <c r="CR43" s="256"/>
      <c r="CS43" s="256"/>
      <c r="CT43" s="256"/>
      <c r="CU43" s="256"/>
      <c r="CV43" s="256"/>
      <c r="CW43" s="256"/>
      <c r="CX43" s="256"/>
      <c r="CY43" s="256"/>
      <c r="CZ43" s="256"/>
      <c r="DA43" s="256"/>
      <c r="DB43" s="256"/>
      <c r="DC43" s="256"/>
      <c r="DD43" s="256"/>
      <c r="DE43" s="256"/>
      <c r="DF43" s="256"/>
      <c r="DG43" s="256"/>
      <c r="DH43" s="256"/>
      <c r="DI43" s="256"/>
      <c r="DJ43" s="256"/>
      <c r="DK43" s="256"/>
      <c r="DL43" s="256"/>
      <c r="DM43" s="256"/>
      <c r="DN43" s="256"/>
      <c r="DO43" s="256"/>
      <c r="DP43" s="256"/>
      <c r="DQ43" s="256"/>
      <c r="DR43" s="256"/>
      <c r="DS43" s="256"/>
      <c r="DT43" s="256"/>
      <c r="DU43" s="256"/>
      <c r="DV43" s="256"/>
      <c r="DW43" s="256"/>
      <c r="DX43" s="256"/>
      <c r="DY43" s="256"/>
      <c r="DZ43" s="256"/>
      <c r="EA43" s="256"/>
      <c r="EB43" s="256"/>
      <c r="EC43" s="256"/>
      <c r="ED43" s="256"/>
      <c r="EE43" s="256"/>
      <c r="EF43" s="256"/>
      <c r="EG43" s="256"/>
      <c r="EH43" s="256"/>
      <c r="EI43" s="256"/>
      <c r="EJ43" s="256"/>
      <c r="EK43" s="256"/>
      <c r="EL43" s="256"/>
      <c r="EM43" s="256"/>
      <c r="EN43" s="256"/>
      <c r="EO43" s="256"/>
      <c r="EP43" s="256"/>
      <c r="EQ43" s="256"/>
      <c r="ER43" s="256"/>
      <c r="ES43" s="256"/>
      <c r="ET43" s="256"/>
      <c r="EU43" s="256"/>
      <c r="EV43" s="256"/>
      <c r="EW43" s="256"/>
      <c r="EX43" s="256"/>
      <c r="EY43" s="256"/>
      <c r="EZ43" s="256"/>
      <c r="FA43" s="256"/>
      <c r="FB43" s="256"/>
      <c r="FC43" s="256"/>
      <c r="FD43" s="256"/>
      <c r="FE43" s="256"/>
      <c r="FF43" s="256"/>
      <c r="FG43" s="256"/>
      <c r="FH43" s="256"/>
      <c r="FI43" s="256"/>
      <c r="FJ43" s="256"/>
      <c r="FK43" s="256"/>
      <c r="FL43" s="256"/>
      <c r="FM43" s="256"/>
      <c r="FN43" s="256"/>
      <c r="FO43" s="256"/>
    </row>
    <row r="44" spans="1:171" s="31" customFormat="1" ht="19.5" customHeight="1">
      <c r="A44" s="260"/>
      <c r="B44" s="263"/>
      <c r="C44" s="262"/>
      <c r="D44" s="98"/>
      <c r="E44" s="98"/>
      <c r="F44" s="98"/>
      <c r="G44" s="98"/>
      <c r="H44" s="604" t="s">
        <v>412</v>
      </c>
      <c r="I44" s="605"/>
      <c r="J44" s="605"/>
      <c r="K44" s="605"/>
      <c r="L44" s="605"/>
      <c r="M44" s="605"/>
      <c r="N44" s="605"/>
      <c r="O44" s="605"/>
      <c r="P44" s="605"/>
      <c r="Q44" s="605"/>
      <c r="R44" s="605"/>
      <c r="S44" s="605"/>
      <c r="T44" s="606"/>
      <c r="U44" s="607" t="s">
        <v>413</v>
      </c>
      <c r="V44" s="608"/>
      <c r="W44" s="608"/>
      <c r="X44" s="608"/>
      <c r="Y44" s="608"/>
      <c r="Z44" s="608"/>
      <c r="AA44" s="608"/>
      <c r="AB44" s="608"/>
      <c r="AC44" s="608"/>
      <c r="AD44" s="608"/>
      <c r="AE44" s="608"/>
      <c r="AF44" s="608"/>
      <c r="AG44" s="608"/>
      <c r="AH44" s="608"/>
      <c r="AI44" s="608"/>
      <c r="AJ44" s="608"/>
      <c r="AK44" s="608"/>
      <c r="AL44" s="608"/>
      <c r="AM44" s="608"/>
      <c r="AN44" s="608"/>
      <c r="AO44" s="608"/>
      <c r="AP44" s="608"/>
      <c r="AQ44" s="608"/>
      <c r="AR44" s="608"/>
      <c r="AS44" s="608"/>
      <c r="AT44" s="608"/>
      <c r="AU44" s="608"/>
      <c r="AV44" s="608"/>
      <c r="AW44" s="608"/>
      <c r="AX44" s="608"/>
      <c r="AY44" s="608"/>
      <c r="AZ44" s="608"/>
      <c r="BA44" s="608"/>
      <c r="BB44" s="608"/>
      <c r="BC44" s="608"/>
      <c r="BD44" s="608"/>
      <c r="BE44" s="608"/>
      <c r="BF44" s="608"/>
      <c r="BG44" s="609"/>
      <c r="BH44" s="604"/>
      <c r="BI44" s="605"/>
      <c r="BJ44" s="605"/>
      <c r="BK44" s="605"/>
      <c r="BL44" s="605"/>
      <c r="BM44" s="605"/>
      <c r="BN44" s="605"/>
      <c r="BO44" s="605"/>
      <c r="BP44" s="605"/>
      <c r="BQ44" s="605"/>
      <c r="BR44" s="605"/>
      <c r="BS44" s="605"/>
      <c r="BT44" s="605"/>
      <c r="BU44" s="605"/>
      <c r="BV44" s="605"/>
      <c r="BW44" s="605"/>
      <c r="BX44" s="605"/>
      <c r="BY44" s="605"/>
      <c r="BZ44" s="605"/>
      <c r="CA44" s="605"/>
      <c r="CB44" s="606"/>
      <c r="CC44" s="179"/>
      <c r="CD44" s="95"/>
      <c r="CE44" s="181"/>
      <c r="CF44" s="273"/>
      <c r="CG44" s="256"/>
      <c r="CH44" s="256"/>
      <c r="CI44" s="256"/>
      <c r="CJ44" s="256"/>
      <c r="CK44" s="256"/>
      <c r="CL44" s="256"/>
      <c r="CM44" s="256"/>
      <c r="CN44" s="256"/>
      <c r="CO44" s="256"/>
      <c r="CP44" s="256"/>
      <c r="CQ44" s="256"/>
      <c r="CR44" s="256"/>
      <c r="CS44" s="256"/>
      <c r="CT44" s="256"/>
      <c r="CU44" s="256"/>
      <c r="CV44" s="256"/>
      <c r="CW44" s="256"/>
      <c r="CX44" s="256"/>
      <c r="CY44" s="256"/>
      <c r="CZ44" s="256"/>
      <c r="DA44" s="256"/>
      <c r="DB44" s="256"/>
      <c r="DC44" s="256"/>
      <c r="DD44" s="256"/>
      <c r="DE44" s="256"/>
      <c r="DF44" s="256"/>
      <c r="DG44" s="256"/>
      <c r="DH44" s="256"/>
      <c r="DI44" s="256"/>
      <c r="DJ44" s="256"/>
      <c r="DK44" s="256"/>
      <c r="DL44" s="256"/>
      <c r="DM44" s="256"/>
      <c r="DN44" s="256"/>
      <c r="DO44" s="256"/>
      <c r="DP44" s="256"/>
      <c r="DQ44" s="256"/>
      <c r="DR44" s="256"/>
      <c r="DS44" s="256"/>
      <c r="DT44" s="256"/>
      <c r="DU44" s="256"/>
      <c r="DV44" s="256"/>
      <c r="DW44" s="256"/>
      <c r="DX44" s="256"/>
      <c r="DY44" s="256"/>
      <c r="DZ44" s="256"/>
      <c r="EA44" s="256"/>
      <c r="EB44" s="256"/>
      <c r="EC44" s="256"/>
      <c r="ED44" s="256"/>
      <c r="EE44" s="256"/>
      <c r="EF44" s="256"/>
      <c r="EG44" s="256"/>
      <c r="EH44" s="256"/>
      <c r="EI44" s="256"/>
      <c r="EJ44" s="256"/>
      <c r="EK44" s="256"/>
      <c r="EL44" s="256"/>
      <c r="EM44" s="256"/>
      <c r="EN44" s="256"/>
      <c r="EO44" s="256"/>
      <c r="EP44" s="256"/>
      <c r="EQ44" s="256"/>
      <c r="ER44" s="256"/>
      <c r="ES44" s="256"/>
      <c r="ET44" s="256"/>
      <c r="EU44" s="256"/>
      <c r="EV44" s="256"/>
      <c r="EW44" s="256"/>
      <c r="EX44" s="256"/>
      <c r="EY44" s="256"/>
      <c r="EZ44" s="256"/>
      <c r="FA44" s="256"/>
      <c r="FB44" s="256"/>
      <c r="FC44" s="256"/>
      <c r="FD44" s="256"/>
      <c r="FE44" s="256"/>
      <c r="FF44" s="256"/>
      <c r="FG44" s="256"/>
      <c r="FH44" s="256"/>
      <c r="FI44" s="256"/>
      <c r="FJ44" s="256"/>
      <c r="FK44" s="256"/>
      <c r="FL44" s="256"/>
      <c r="FM44" s="256"/>
      <c r="FN44" s="256"/>
      <c r="FO44" s="256"/>
    </row>
    <row r="45" spans="1:171" s="31" customFormat="1" ht="19.5" customHeight="1">
      <c r="A45" s="260"/>
      <c r="B45" s="263"/>
      <c r="C45" s="262"/>
      <c r="D45" s="98"/>
      <c r="E45" s="98"/>
      <c r="F45" s="98"/>
      <c r="G45" s="98"/>
      <c r="H45" s="189"/>
      <c r="I45" s="189"/>
      <c r="J45" s="189"/>
      <c r="K45" s="189"/>
      <c r="L45" s="189"/>
      <c r="M45" s="189"/>
      <c r="N45" s="190"/>
      <c r="O45" s="189"/>
      <c r="P45" s="189"/>
      <c r="Q45" s="189"/>
      <c r="R45" s="189"/>
      <c r="S45" s="191"/>
      <c r="T45" s="191"/>
      <c r="U45" s="191"/>
      <c r="V45" s="191"/>
      <c r="W45" s="191"/>
      <c r="X45" s="191"/>
      <c r="Y45" s="191"/>
      <c r="Z45" s="191"/>
      <c r="AA45" s="189"/>
      <c r="AB45" s="190"/>
      <c r="AC45" s="191"/>
      <c r="AD45" s="189"/>
      <c r="AE45" s="189"/>
      <c r="AF45" s="189"/>
      <c r="AG45" s="189"/>
      <c r="AH45" s="189"/>
      <c r="AI45" s="189"/>
      <c r="AJ45" s="189"/>
      <c r="AK45" s="189"/>
      <c r="AL45" s="189"/>
      <c r="AM45" s="189"/>
      <c r="AN45" s="189"/>
      <c r="AO45" s="189"/>
      <c r="AP45" s="189"/>
      <c r="AQ45" s="189"/>
      <c r="AR45" s="189"/>
      <c r="AS45" s="189"/>
      <c r="AT45" s="190"/>
      <c r="AU45" s="189"/>
      <c r="AV45" s="189"/>
      <c r="AW45" s="189"/>
      <c r="AX45" s="189"/>
      <c r="AY45" s="189"/>
      <c r="AZ45" s="189"/>
      <c r="BA45" s="189"/>
      <c r="BB45" s="189"/>
      <c r="BC45" s="189"/>
      <c r="BD45" s="189"/>
      <c r="BE45" s="189"/>
      <c r="BF45" s="189"/>
      <c r="BG45" s="189"/>
      <c r="BH45" s="189"/>
      <c r="BI45" s="189"/>
      <c r="BJ45" s="189"/>
      <c r="BK45" s="189"/>
      <c r="BL45" s="189"/>
      <c r="BM45" s="189"/>
      <c r="BN45" s="189"/>
      <c r="BO45" s="189"/>
      <c r="BP45" s="189"/>
      <c r="BQ45" s="189"/>
      <c r="BR45" s="189"/>
      <c r="BS45" s="189"/>
      <c r="BT45" s="189"/>
      <c r="BU45" s="189"/>
      <c r="BV45" s="189"/>
      <c r="BW45" s="189"/>
      <c r="BX45" s="189"/>
      <c r="BY45" s="179"/>
      <c r="BZ45" s="179"/>
      <c r="CA45" s="179"/>
      <c r="CB45" s="179"/>
      <c r="CC45" s="179"/>
      <c r="CD45" s="95"/>
      <c r="CE45" s="181"/>
      <c r="CF45" s="273"/>
      <c r="CG45" s="256"/>
      <c r="CH45" s="256"/>
      <c r="CI45" s="256"/>
      <c r="CJ45" s="256"/>
      <c r="CK45" s="256"/>
      <c r="CL45" s="256"/>
      <c r="CM45" s="256"/>
      <c r="CN45" s="256"/>
      <c r="CO45" s="261"/>
      <c r="CP45" s="261"/>
      <c r="CQ45" s="261"/>
      <c r="CR45" s="261"/>
      <c r="CS45" s="261"/>
      <c r="CT45" s="261"/>
      <c r="CU45" s="261"/>
      <c r="CV45" s="261"/>
      <c r="CW45" s="261"/>
      <c r="CX45" s="261"/>
      <c r="CY45" s="261"/>
      <c r="CZ45" s="261"/>
      <c r="DA45" s="261"/>
      <c r="DB45" s="261"/>
      <c r="DC45" s="261"/>
      <c r="DD45" s="261"/>
      <c r="DE45" s="261"/>
      <c r="DF45" s="261"/>
      <c r="DG45" s="261"/>
      <c r="DH45" s="261"/>
      <c r="DI45" s="279"/>
      <c r="DJ45" s="279"/>
      <c r="DK45" s="261"/>
      <c r="DL45" s="261"/>
      <c r="DM45" s="261"/>
      <c r="DN45" s="261"/>
      <c r="DO45" s="261"/>
      <c r="DP45" s="261"/>
      <c r="DQ45" s="261"/>
      <c r="DR45" s="261"/>
      <c r="DS45" s="261"/>
      <c r="DT45" s="261"/>
      <c r="DU45" s="261"/>
      <c r="DV45" s="261"/>
      <c r="DW45" s="261"/>
      <c r="DX45" s="261"/>
      <c r="DY45" s="279"/>
      <c r="DZ45" s="256"/>
      <c r="EA45" s="256"/>
      <c r="EB45" s="256"/>
      <c r="EC45" s="256"/>
      <c r="ED45" s="256"/>
      <c r="EE45" s="256"/>
      <c r="EF45" s="256"/>
      <c r="EG45" s="256"/>
      <c r="EH45" s="256"/>
      <c r="EI45" s="256"/>
      <c r="EJ45" s="256"/>
      <c r="EK45" s="256"/>
      <c r="EL45" s="256"/>
      <c r="EM45" s="256"/>
      <c r="EN45" s="256"/>
      <c r="EO45" s="256"/>
      <c r="EP45" s="256"/>
      <c r="EQ45" s="256"/>
      <c r="ER45" s="256"/>
      <c r="ES45" s="256"/>
      <c r="ET45" s="256"/>
      <c r="EU45" s="256"/>
      <c r="EV45" s="256"/>
      <c r="EW45" s="256"/>
      <c r="EX45" s="256"/>
      <c r="EY45" s="256"/>
      <c r="EZ45" s="256"/>
      <c r="FA45" s="256"/>
      <c r="FB45" s="256"/>
      <c r="FC45" s="256"/>
      <c r="FD45" s="256"/>
      <c r="FE45" s="256"/>
      <c r="FF45" s="256"/>
      <c r="FG45" s="256"/>
      <c r="FH45" s="256"/>
      <c r="FI45" s="256"/>
      <c r="FJ45" s="256"/>
      <c r="FK45" s="256"/>
      <c r="FL45" s="256"/>
      <c r="FM45" s="256"/>
      <c r="FN45" s="256"/>
      <c r="FO45" s="256"/>
    </row>
    <row r="46" spans="1:171" s="31" customFormat="1" ht="19.5" customHeight="1">
      <c r="A46" s="260"/>
      <c r="B46" s="263"/>
      <c r="C46" s="262"/>
      <c r="D46" s="98"/>
      <c r="E46" s="98"/>
      <c r="F46" s="98"/>
      <c r="G46" s="98"/>
      <c r="H46" s="179"/>
      <c r="I46" s="179"/>
      <c r="J46" s="179"/>
      <c r="K46" s="179"/>
      <c r="L46" s="179"/>
      <c r="M46" s="179"/>
      <c r="N46" s="292"/>
      <c r="O46" s="179"/>
      <c r="P46" s="179"/>
      <c r="Q46" s="179"/>
      <c r="R46" s="179"/>
      <c r="S46" s="180"/>
      <c r="T46" s="180"/>
      <c r="U46" s="180"/>
      <c r="V46" s="180"/>
      <c r="W46" s="180"/>
      <c r="X46" s="180"/>
      <c r="Y46" s="180"/>
      <c r="Z46" s="180"/>
      <c r="AA46" s="179"/>
      <c r="AB46" s="292"/>
      <c r="AC46" s="180"/>
      <c r="AD46" s="179"/>
      <c r="AE46" s="179"/>
      <c r="AF46" s="179"/>
      <c r="AG46" s="179"/>
      <c r="AH46" s="179"/>
      <c r="AI46" s="179"/>
      <c r="AJ46" s="179"/>
      <c r="AK46" s="179"/>
      <c r="AL46" s="179"/>
      <c r="AM46" s="179"/>
      <c r="AN46" s="179"/>
      <c r="AO46" s="179"/>
      <c r="AP46" s="179"/>
      <c r="AQ46" s="179"/>
      <c r="AR46" s="179"/>
      <c r="AS46" s="179"/>
      <c r="AT46" s="292"/>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95"/>
      <c r="CE46" s="181"/>
      <c r="CF46" s="273"/>
      <c r="CG46" s="256"/>
      <c r="CH46" s="256"/>
      <c r="CI46" s="256"/>
      <c r="CJ46" s="256"/>
      <c r="CK46" s="256"/>
      <c r="CL46" s="256"/>
      <c r="CM46" s="256"/>
      <c r="CN46" s="256"/>
      <c r="CO46" s="261"/>
      <c r="CP46" s="261"/>
      <c r="CQ46" s="261"/>
      <c r="CR46" s="261"/>
      <c r="CS46" s="261"/>
      <c r="CT46" s="261"/>
      <c r="CU46" s="261"/>
      <c r="CV46" s="261"/>
      <c r="CW46" s="261"/>
      <c r="CX46" s="261"/>
      <c r="CY46" s="261"/>
      <c r="CZ46" s="261"/>
      <c r="DA46" s="261"/>
      <c r="DB46" s="261"/>
      <c r="DC46" s="261"/>
      <c r="DD46" s="261"/>
      <c r="DE46" s="261"/>
      <c r="DF46" s="261"/>
      <c r="DG46" s="261"/>
      <c r="DH46" s="261"/>
      <c r="DI46" s="279"/>
      <c r="DJ46" s="279"/>
      <c r="DK46" s="261"/>
      <c r="DL46" s="261"/>
      <c r="DM46" s="261"/>
      <c r="DN46" s="261"/>
      <c r="DO46" s="261"/>
      <c r="DP46" s="261"/>
      <c r="DQ46" s="261"/>
      <c r="DR46" s="261"/>
      <c r="DS46" s="261"/>
      <c r="DT46" s="261"/>
      <c r="DU46" s="261"/>
      <c r="DV46" s="261"/>
      <c r="DW46" s="261"/>
      <c r="DX46" s="261"/>
      <c r="DY46" s="279"/>
      <c r="DZ46" s="256"/>
      <c r="EA46" s="256"/>
      <c r="EB46" s="256"/>
      <c r="EC46" s="256"/>
      <c r="ED46" s="256"/>
      <c r="EE46" s="256"/>
      <c r="EF46" s="256"/>
      <c r="EG46" s="256"/>
      <c r="EH46" s="256"/>
      <c r="EI46" s="256"/>
      <c r="EJ46" s="256"/>
      <c r="EK46" s="256"/>
      <c r="EL46" s="256"/>
      <c r="EM46" s="256"/>
      <c r="EN46" s="256"/>
      <c r="EO46" s="256"/>
      <c r="EP46" s="256"/>
      <c r="EQ46" s="256"/>
      <c r="ER46" s="256"/>
      <c r="ES46" s="256"/>
      <c r="ET46" s="256"/>
      <c r="EU46" s="256"/>
      <c r="EV46" s="256"/>
      <c r="EW46" s="256"/>
      <c r="EX46" s="256"/>
      <c r="EY46" s="256"/>
      <c r="EZ46" s="256"/>
      <c r="FA46" s="256"/>
      <c r="FB46" s="256"/>
      <c r="FC46" s="256"/>
      <c r="FD46" s="256"/>
      <c r="FE46" s="256"/>
      <c r="FF46" s="256"/>
      <c r="FG46" s="256"/>
      <c r="FH46" s="256"/>
      <c r="FI46" s="256"/>
      <c r="FJ46" s="256"/>
      <c r="FK46" s="256"/>
      <c r="FL46" s="256"/>
      <c r="FM46" s="256"/>
      <c r="FN46" s="256"/>
      <c r="FO46" s="256"/>
    </row>
    <row r="47" spans="1:171" s="31" customFormat="1" ht="19.5" customHeight="1">
      <c r="A47" s="260"/>
      <c r="B47" s="263"/>
      <c r="C47" s="262"/>
      <c r="D47" s="98"/>
      <c r="E47" s="98"/>
      <c r="F47" s="98"/>
      <c r="G47" s="98"/>
      <c r="H47" s="192"/>
      <c r="I47" s="179"/>
      <c r="J47" s="179"/>
      <c r="K47" s="179"/>
      <c r="L47" s="179"/>
      <c r="M47" s="179"/>
      <c r="N47" s="179"/>
      <c r="O47" s="179"/>
      <c r="P47" s="179"/>
      <c r="Q47" s="179"/>
      <c r="R47" s="179"/>
      <c r="S47" s="179"/>
      <c r="T47" s="179"/>
      <c r="U47" s="179"/>
      <c r="V47" s="193"/>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95"/>
      <c r="CE47" s="181"/>
      <c r="CF47" s="273"/>
      <c r="CG47" s="256"/>
      <c r="CH47" s="256"/>
      <c r="CI47" s="256"/>
      <c r="CJ47" s="256"/>
      <c r="CK47" s="256"/>
      <c r="CL47" s="256"/>
      <c r="CM47" s="256"/>
      <c r="CN47" s="256"/>
      <c r="CO47" s="256"/>
      <c r="CP47" s="256"/>
      <c r="CQ47" s="256"/>
      <c r="CR47" s="256"/>
      <c r="CS47" s="256"/>
      <c r="CT47" s="256"/>
      <c r="CU47" s="256"/>
      <c r="CV47" s="256"/>
      <c r="CW47" s="256"/>
      <c r="CX47" s="256"/>
      <c r="CY47" s="256"/>
      <c r="CZ47" s="256"/>
      <c r="DA47" s="256"/>
      <c r="DB47" s="256"/>
      <c r="DC47" s="256"/>
      <c r="DD47" s="256"/>
      <c r="DE47" s="256"/>
      <c r="DF47" s="256"/>
      <c r="DG47" s="256"/>
      <c r="DH47" s="256"/>
      <c r="DI47" s="256"/>
      <c r="DJ47" s="256"/>
      <c r="DK47" s="256"/>
      <c r="DL47" s="256"/>
      <c r="DM47" s="256"/>
      <c r="DN47" s="256"/>
      <c r="DO47" s="256"/>
      <c r="DP47" s="256"/>
      <c r="DQ47" s="256"/>
      <c r="DR47" s="256"/>
      <c r="DS47" s="256"/>
      <c r="DT47" s="256"/>
      <c r="DU47" s="256"/>
      <c r="DV47" s="256"/>
      <c r="DW47" s="256"/>
      <c r="DX47" s="256"/>
      <c r="DY47" s="256"/>
      <c r="DZ47" s="256"/>
      <c r="EA47" s="256"/>
      <c r="EB47" s="256"/>
      <c r="EC47" s="256"/>
      <c r="ED47" s="256"/>
      <c r="EE47" s="256"/>
      <c r="EF47" s="256"/>
      <c r="EG47" s="256"/>
      <c r="EH47" s="256"/>
      <c r="EI47" s="256"/>
      <c r="EJ47" s="256"/>
      <c r="EK47" s="256"/>
      <c r="EL47" s="256"/>
      <c r="EM47" s="256"/>
      <c r="EN47" s="256"/>
      <c r="EO47" s="256"/>
      <c r="EP47" s="256"/>
      <c r="EQ47" s="256"/>
      <c r="ER47" s="256"/>
      <c r="ES47" s="256"/>
      <c r="ET47" s="256"/>
      <c r="EU47" s="256"/>
      <c r="EV47" s="256"/>
      <c r="EW47" s="256"/>
      <c r="EX47" s="256"/>
      <c r="EY47" s="256"/>
      <c r="EZ47" s="256"/>
      <c r="FA47" s="256"/>
      <c r="FB47" s="256"/>
      <c r="FC47" s="256"/>
      <c r="FD47" s="256"/>
      <c r="FE47" s="256"/>
      <c r="FF47" s="256"/>
      <c r="FG47" s="256"/>
      <c r="FH47" s="256"/>
      <c r="FI47" s="256"/>
      <c r="FJ47" s="256"/>
      <c r="FK47" s="256"/>
      <c r="FL47" s="256"/>
      <c r="FM47" s="256"/>
      <c r="FN47" s="256"/>
      <c r="FO47" s="256"/>
    </row>
    <row r="48" spans="1:171" s="31" customFormat="1" ht="19.5" customHeight="1">
      <c r="A48" s="260"/>
      <c r="B48" s="263"/>
      <c r="C48" s="263"/>
      <c r="D48" s="182"/>
      <c r="E48" s="89"/>
      <c r="F48" s="89"/>
      <c r="G48" s="89"/>
      <c r="H48" s="89"/>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127"/>
      <c r="CE48" s="188"/>
      <c r="CF48" s="273"/>
      <c r="CG48" s="256"/>
      <c r="CH48" s="256"/>
      <c r="CI48" s="256"/>
      <c r="CJ48" s="256"/>
      <c r="CK48" s="256"/>
      <c r="CL48" s="256"/>
      <c r="CM48" s="256"/>
      <c r="CN48" s="256"/>
      <c r="CO48" s="256"/>
      <c r="CP48" s="256"/>
      <c r="CQ48" s="256"/>
      <c r="CR48" s="256"/>
      <c r="CS48" s="256"/>
      <c r="CT48" s="256"/>
      <c r="CU48" s="256"/>
      <c r="CV48" s="256"/>
      <c r="CW48" s="256"/>
      <c r="CX48" s="256"/>
      <c r="CY48" s="256"/>
      <c r="CZ48" s="256"/>
      <c r="DA48" s="256"/>
      <c r="DB48" s="256"/>
      <c r="DC48" s="256"/>
      <c r="DD48" s="256"/>
      <c r="DE48" s="256"/>
      <c r="DF48" s="256"/>
      <c r="DG48" s="256"/>
      <c r="DH48" s="256"/>
      <c r="DI48" s="256"/>
      <c r="DJ48" s="256"/>
      <c r="DK48" s="256"/>
      <c r="DL48" s="256"/>
      <c r="DM48" s="256"/>
      <c r="DN48" s="256"/>
      <c r="DO48" s="256"/>
      <c r="DP48" s="256"/>
      <c r="DQ48" s="256"/>
      <c r="DR48" s="256"/>
      <c r="DS48" s="256"/>
      <c r="DT48" s="256"/>
      <c r="DU48" s="256"/>
      <c r="DV48" s="256"/>
      <c r="DW48" s="256"/>
      <c r="DX48" s="256"/>
      <c r="DY48" s="256"/>
      <c r="DZ48" s="256"/>
      <c r="EA48" s="256"/>
      <c r="EB48" s="256"/>
      <c r="EC48" s="256"/>
      <c r="ED48" s="256"/>
      <c r="EE48" s="256"/>
      <c r="EF48" s="256"/>
      <c r="EG48" s="256"/>
      <c r="EH48" s="256"/>
      <c r="EI48" s="256"/>
      <c r="EJ48" s="256"/>
      <c r="EK48" s="256"/>
      <c r="EL48" s="256"/>
      <c r="EM48" s="256"/>
      <c r="EN48" s="256"/>
      <c r="EO48" s="256"/>
      <c r="EP48" s="256"/>
      <c r="EQ48" s="256"/>
      <c r="ER48" s="256"/>
      <c r="ES48" s="256"/>
      <c r="ET48" s="256"/>
      <c r="EU48" s="256"/>
      <c r="EV48" s="256"/>
      <c r="EW48" s="256"/>
      <c r="EX48" s="256"/>
      <c r="EY48" s="256"/>
      <c r="EZ48" s="256"/>
      <c r="FA48" s="256"/>
      <c r="FB48" s="256"/>
      <c r="FC48" s="256"/>
      <c r="FD48" s="256"/>
      <c r="FE48" s="256"/>
      <c r="FF48" s="256"/>
      <c r="FG48" s="256"/>
      <c r="FH48" s="256"/>
      <c r="FI48" s="256"/>
      <c r="FJ48" s="256"/>
      <c r="FK48" s="256"/>
      <c r="FL48" s="256"/>
      <c r="FM48" s="256"/>
      <c r="FN48" s="256"/>
      <c r="FO48" s="256"/>
    </row>
    <row r="49" spans="1:171" s="254" customFormat="1" ht="8.25" customHeight="1">
      <c r="A49" s="264"/>
      <c r="B49" s="265"/>
      <c r="C49" s="265"/>
      <c r="D49" s="258"/>
      <c r="E49" s="258"/>
      <c r="F49" s="258"/>
      <c r="G49" s="258"/>
      <c r="H49" s="258"/>
      <c r="I49" s="258"/>
      <c r="J49" s="258"/>
      <c r="K49" s="258"/>
      <c r="L49" s="258"/>
      <c r="M49" s="258"/>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5"/>
      <c r="AX49" s="265"/>
      <c r="AY49" s="265"/>
      <c r="AZ49" s="265"/>
      <c r="BA49" s="265"/>
      <c r="BB49" s="265"/>
      <c r="BC49" s="265"/>
      <c r="BD49" s="265"/>
      <c r="BE49" s="265"/>
      <c r="BF49" s="265"/>
      <c r="BG49" s="265"/>
      <c r="BH49" s="265"/>
      <c r="BI49" s="265"/>
      <c r="BJ49" s="265"/>
      <c r="BK49" s="265"/>
      <c r="BL49" s="265"/>
      <c r="BM49" s="265"/>
      <c r="BN49" s="265"/>
      <c r="BO49" s="265"/>
      <c r="BP49" s="265"/>
      <c r="BQ49" s="265"/>
      <c r="BR49" s="265"/>
      <c r="BS49" s="265"/>
      <c r="BT49" s="265"/>
      <c r="BU49" s="265"/>
      <c r="BV49" s="265"/>
      <c r="BW49" s="265"/>
      <c r="BX49" s="265"/>
      <c r="BY49" s="265"/>
      <c r="BZ49" s="265"/>
      <c r="CA49" s="265"/>
      <c r="CB49" s="265"/>
      <c r="CC49" s="265"/>
      <c r="CD49" s="265"/>
      <c r="CE49" s="265"/>
      <c r="CF49" s="274"/>
    </row>
    <row r="50" spans="1:171" s="254" customFormat="1" ht="21.75" customHeight="1">
      <c r="A50" s="257"/>
      <c r="D50" s="282" t="s">
        <v>336</v>
      </c>
      <c r="E50" s="258"/>
      <c r="F50" s="258"/>
      <c r="G50" s="258"/>
      <c r="H50" s="258"/>
      <c r="I50" s="258"/>
      <c r="J50" s="258"/>
      <c r="K50" s="258"/>
      <c r="M50" s="282"/>
      <c r="Q50" s="282"/>
      <c r="T50" s="282"/>
      <c r="CF50" s="259"/>
    </row>
    <row r="51" spans="1:171" s="31" customFormat="1" ht="19.5" customHeight="1">
      <c r="A51" s="260"/>
      <c r="B51" s="261"/>
      <c r="C51" s="262"/>
      <c r="D51" s="283"/>
      <c r="E51" s="284"/>
      <c r="F51" s="284"/>
      <c r="G51" s="284"/>
      <c r="H51" s="284"/>
      <c r="I51" s="284"/>
      <c r="J51" s="284"/>
      <c r="K51" s="284"/>
      <c r="L51" s="284"/>
      <c r="M51" s="421" t="s">
        <v>300</v>
      </c>
      <c r="N51" s="421"/>
      <c r="O51" s="421"/>
      <c r="P51" s="421"/>
      <c r="Q51" s="421"/>
      <c r="R51" s="421"/>
      <c r="S51" s="421"/>
      <c r="T51" s="421"/>
      <c r="U51" s="421"/>
      <c r="V51" s="421"/>
      <c r="W51" s="421"/>
      <c r="X51" s="421"/>
      <c r="Y51" s="421"/>
      <c r="Z51" s="421"/>
      <c r="AA51" s="421"/>
      <c r="AB51" s="421"/>
      <c r="AC51" s="421"/>
      <c r="AD51" s="421"/>
      <c r="AE51" s="421"/>
      <c r="AF51" s="421"/>
      <c r="AG51" s="421"/>
      <c r="AH51" s="421"/>
      <c r="AI51" s="421"/>
      <c r="AJ51" s="421"/>
      <c r="AK51" s="421"/>
      <c r="AL51" s="421"/>
      <c r="AM51" s="421"/>
      <c r="AN51" s="421"/>
      <c r="AO51" s="421"/>
      <c r="AP51" s="421"/>
      <c r="AQ51" s="421"/>
      <c r="AR51" s="421"/>
      <c r="AS51" s="421"/>
      <c r="AT51" s="421"/>
      <c r="AU51" s="421"/>
      <c r="AV51" s="421"/>
      <c r="AW51" s="421"/>
      <c r="AX51" s="421"/>
      <c r="AY51" s="421"/>
      <c r="AZ51" s="421"/>
      <c r="BA51" s="421"/>
      <c r="BB51" s="421"/>
      <c r="BC51" s="421"/>
      <c r="BD51" s="421"/>
      <c r="BE51" s="421"/>
      <c r="BF51" s="421"/>
      <c r="BG51" s="421"/>
      <c r="BH51" s="421"/>
      <c r="BI51" s="421"/>
      <c r="BJ51" s="421"/>
      <c r="BK51" s="421"/>
      <c r="BL51" s="421"/>
      <c r="BM51" s="421"/>
      <c r="BN51" s="421"/>
      <c r="BO51" s="421"/>
      <c r="BP51" s="421"/>
      <c r="BQ51" s="284"/>
      <c r="BR51" s="284"/>
      <c r="BS51" s="284"/>
      <c r="BT51" s="284"/>
      <c r="BU51" s="417" t="s">
        <v>289</v>
      </c>
      <c r="BV51" s="417"/>
      <c r="BW51" s="417"/>
      <c r="BX51" s="417"/>
      <c r="BY51" s="417"/>
      <c r="BZ51" s="417"/>
      <c r="CA51" s="417"/>
      <c r="CB51" s="417"/>
      <c r="CC51" s="417"/>
      <c r="CD51" s="417"/>
      <c r="CE51" s="418"/>
      <c r="CF51" s="273"/>
      <c r="CG51" s="256"/>
      <c r="CH51" s="256"/>
      <c r="CI51" s="256"/>
      <c r="CJ51" s="256"/>
      <c r="CK51" s="256"/>
      <c r="CL51" s="256"/>
      <c r="CM51" s="256"/>
      <c r="CN51" s="256"/>
      <c r="CO51" s="256"/>
      <c r="CP51" s="256"/>
      <c r="CQ51" s="256"/>
      <c r="CR51" s="256"/>
      <c r="CS51" s="256"/>
      <c r="CT51" s="256"/>
      <c r="CU51" s="256"/>
      <c r="CV51" s="256"/>
      <c r="CW51" s="256"/>
      <c r="CX51" s="256"/>
      <c r="CY51" s="256"/>
      <c r="CZ51" s="256"/>
      <c r="DA51" s="256"/>
      <c r="DB51" s="256"/>
      <c r="DC51" s="256"/>
      <c r="DD51" s="256"/>
      <c r="DE51" s="256"/>
      <c r="DF51" s="256"/>
      <c r="DG51" s="256"/>
      <c r="DH51" s="256"/>
      <c r="DI51" s="256"/>
      <c r="DJ51" s="256"/>
      <c r="DK51" s="256"/>
      <c r="DL51" s="256"/>
      <c r="DM51" s="256"/>
      <c r="DN51" s="256"/>
      <c r="DO51" s="256"/>
      <c r="DP51" s="256"/>
      <c r="DQ51" s="256"/>
      <c r="DR51" s="256"/>
      <c r="DS51" s="256"/>
      <c r="DT51" s="256"/>
      <c r="DU51" s="256"/>
      <c r="DV51" s="256"/>
      <c r="DW51" s="256"/>
      <c r="DX51" s="256"/>
      <c r="DY51" s="256"/>
      <c r="DZ51" s="256"/>
      <c r="EA51" s="256"/>
      <c r="EB51" s="256"/>
      <c r="EC51" s="256"/>
      <c r="ED51" s="256"/>
      <c r="EE51" s="256"/>
      <c r="EF51" s="256"/>
      <c r="EG51" s="256"/>
      <c r="EH51" s="256"/>
      <c r="EI51" s="256"/>
      <c r="EJ51" s="256"/>
      <c r="EK51" s="256"/>
      <c r="EL51" s="256"/>
      <c r="EM51" s="256"/>
      <c r="EN51" s="256"/>
      <c r="EO51" s="256"/>
      <c r="EP51" s="256"/>
      <c r="EQ51" s="256"/>
      <c r="ER51" s="256"/>
      <c r="ES51" s="256"/>
      <c r="ET51" s="256"/>
      <c r="EU51" s="256"/>
      <c r="EV51" s="256"/>
      <c r="EW51" s="256"/>
      <c r="EX51" s="256"/>
      <c r="EY51" s="256"/>
      <c r="EZ51" s="256"/>
      <c r="FA51" s="256"/>
      <c r="FB51" s="256"/>
      <c r="FC51" s="256"/>
      <c r="FD51" s="256"/>
      <c r="FE51" s="256"/>
      <c r="FF51" s="256"/>
      <c r="FG51" s="256"/>
      <c r="FH51" s="256"/>
      <c r="FI51" s="256"/>
      <c r="FJ51" s="256"/>
      <c r="FK51" s="256"/>
      <c r="FL51" s="256"/>
      <c r="FM51" s="256"/>
      <c r="FN51" s="256"/>
      <c r="FO51" s="256"/>
    </row>
    <row r="52" spans="1:171" s="31" customFormat="1" ht="19.5" customHeight="1" thickBot="1">
      <c r="A52" s="260"/>
      <c r="B52" s="263"/>
      <c r="C52" s="262"/>
      <c r="D52" s="286"/>
      <c r="E52" s="286"/>
      <c r="F52" s="286"/>
      <c r="G52" s="286"/>
      <c r="H52" s="286"/>
      <c r="I52" s="286"/>
      <c r="J52" s="286"/>
      <c r="K52" s="286"/>
      <c r="L52" s="286"/>
      <c r="M52" s="422"/>
      <c r="N52" s="422"/>
      <c r="O52" s="422"/>
      <c r="P52" s="422"/>
      <c r="Q52" s="422"/>
      <c r="R52" s="422"/>
      <c r="S52" s="422"/>
      <c r="T52" s="422"/>
      <c r="U52" s="422"/>
      <c r="V52" s="422"/>
      <c r="W52" s="422"/>
      <c r="X52" s="422"/>
      <c r="Y52" s="422"/>
      <c r="Z52" s="422"/>
      <c r="AA52" s="422"/>
      <c r="AB52" s="422"/>
      <c r="AC52" s="422"/>
      <c r="AD52" s="422"/>
      <c r="AE52" s="422"/>
      <c r="AF52" s="422"/>
      <c r="AG52" s="422"/>
      <c r="AH52" s="422"/>
      <c r="AI52" s="422"/>
      <c r="AJ52" s="422"/>
      <c r="AK52" s="422"/>
      <c r="AL52" s="422"/>
      <c r="AM52" s="422"/>
      <c r="AN52" s="422"/>
      <c r="AO52" s="422"/>
      <c r="AP52" s="422"/>
      <c r="AQ52" s="422"/>
      <c r="AR52" s="422"/>
      <c r="AS52" s="422"/>
      <c r="AT52" s="422"/>
      <c r="AU52" s="422"/>
      <c r="AV52" s="422"/>
      <c r="AW52" s="422"/>
      <c r="AX52" s="422"/>
      <c r="AY52" s="422"/>
      <c r="AZ52" s="422"/>
      <c r="BA52" s="422"/>
      <c r="BB52" s="422"/>
      <c r="BC52" s="422"/>
      <c r="BD52" s="422"/>
      <c r="BE52" s="422"/>
      <c r="BF52" s="422"/>
      <c r="BG52" s="422"/>
      <c r="BH52" s="422"/>
      <c r="BI52" s="422"/>
      <c r="BJ52" s="422"/>
      <c r="BK52" s="422"/>
      <c r="BL52" s="422"/>
      <c r="BM52" s="422"/>
      <c r="BN52" s="422"/>
      <c r="BO52" s="422"/>
      <c r="BP52" s="422"/>
      <c r="BQ52" s="286"/>
      <c r="BR52" s="286"/>
      <c r="BS52" s="286"/>
      <c r="BT52" s="286"/>
      <c r="BU52" s="419"/>
      <c r="BV52" s="419"/>
      <c r="BW52" s="419"/>
      <c r="BX52" s="419"/>
      <c r="BY52" s="419"/>
      <c r="BZ52" s="419"/>
      <c r="CA52" s="419"/>
      <c r="CB52" s="419"/>
      <c r="CC52" s="419"/>
      <c r="CD52" s="419"/>
      <c r="CE52" s="420"/>
      <c r="CF52" s="273"/>
      <c r="CG52" s="256"/>
      <c r="CH52" s="256"/>
      <c r="CI52" s="256"/>
      <c r="CJ52" s="256"/>
      <c r="CK52" s="256"/>
      <c r="CL52" s="256"/>
      <c r="CM52" s="256"/>
      <c r="CN52" s="256"/>
      <c r="CO52" s="256"/>
      <c r="CP52" s="256"/>
      <c r="CQ52" s="256"/>
      <c r="CR52" s="256"/>
      <c r="CS52" s="256"/>
      <c r="CT52" s="256"/>
      <c r="CU52" s="256"/>
      <c r="CV52" s="256"/>
      <c r="CW52" s="256"/>
      <c r="CX52" s="256"/>
      <c r="CY52" s="256"/>
      <c r="CZ52" s="256"/>
      <c r="DA52" s="256"/>
      <c r="DB52" s="256"/>
      <c r="DC52" s="256"/>
      <c r="DD52" s="256"/>
      <c r="DE52" s="256"/>
      <c r="DF52" s="256"/>
      <c r="DG52" s="256"/>
      <c r="DH52" s="256"/>
      <c r="DI52" s="256"/>
      <c r="DJ52" s="256"/>
      <c r="DK52" s="256"/>
      <c r="DL52" s="256"/>
      <c r="DM52" s="256"/>
      <c r="DN52" s="256"/>
      <c r="DO52" s="256"/>
      <c r="DP52" s="256"/>
      <c r="DQ52" s="256"/>
      <c r="DR52" s="256"/>
      <c r="DS52" s="256"/>
      <c r="DT52" s="256"/>
      <c r="DU52" s="256"/>
      <c r="DV52" s="256"/>
      <c r="DW52" s="256"/>
      <c r="DX52" s="256"/>
      <c r="DY52" s="256"/>
      <c r="DZ52" s="256"/>
      <c r="EA52" s="256"/>
      <c r="EB52" s="256"/>
      <c r="EC52" s="256"/>
      <c r="ED52" s="256"/>
      <c r="EE52" s="256"/>
      <c r="EF52" s="256"/>
      <c r="EG52" s="256"/>
      <c r="EH52" s="256"/>
      <c r="EI52" s="256"/>
      <c r="EJ52" s="256"/>
      <c r="EK52" s="256"/>
      <c r="EL52" s="256"/>
      <c r="EM52" s="256"/>
      <c r="EN52" s="256"/>
      <c r="EO52" s="256"/>
      <c r="EP52" s="256"/>
      <c r="EQ52" s="256"/>
      <c r="ER52" s="256"/>
      <c r="ES52" s="256"/>
      <c r="ET52" s="256"/>
      <c r="EU52" s="256"/>
      <c r="EV52" s="256"/>
      <c r="EW52" s="256"/>
      <c r="EX52" s="256"/>
      <c r="EY52" s="256"/>
      <c r="EZ52" s="256"/>
      <c r="FA52" s="256"/>
      <c r="FB52" s="256"/>
      <c r="FC52" s="256"/>
      <c r="FD52" s="256"/>
      <c r="FE52" s="256"/>
      <c r="FF52" s="256"/>
      <c r="FG52" s="256"/>
      <c r="FH52" s="256"/>
      <c r="FI52" s="256"/>
      <c r="FJ52" s="256"/>
      <c r="FK52" s="256"/>
      <c r="FL52" s="256"/>
      <c r="FM52" s="256"/>
      <c r="FN52" s="256"/>
      <c r="FO52" s="256"/>
    </row>
    <row r="53" spans="1:171" s="31" customFormat="1" ht="19.5" customHeight="1" thickTop="1">
      <c r="A53" s="260"/>
      <c r="B53" s="263"/>
      <c r="C53" s="262"/>
      <c r="D53" s="86"/>
      <c r="E53" s="86"/>
      <c r="F53" s="86"/>
      <c r="G53" s="86"/>
      <c r="H53" s="179" t="s">
        <v>303</v>
      </c>
      <c r="I53" s="179"/>
      <c r="J53" s="179"/>
      <c r="K53" s="179"/>
      <c r="L53" s="179"/>
      <c r="M53" s="179" t="s">
        <v>31</v>
      </c>
      <c r="N53" s="179"/>
      <c r="O53" s="129" t="s">
        <v>318</v>
      </c>
      <c r="P53" s="129"/>
      <c r="Q53" s="129"/>
      <c r="R53" s="129"/>
      <c r="S53" s="12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80"/>
      <c r="AX53" s="180"/>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95"/>
      <c r="CD53" s="95"/>
      <c r="CE53" s="181"/>
      <c r="CF53" s="273"/>
      <c r="CG53" s="256"/>
      <c r="CH53" s="256"/>
      <c r="CI53" s="256"/>
      <c r="CJ53" s="256"/>
      <c r="CK53" s="256"/>
      <c r="CL53" s="256"/>
      <c r="CM53" s="256"/>
      <c r="CN53" s="256"/>
      <c r="CO53" s="256"/>
      <c r="CP53" s="256"/>
      <c r="CQ53" s="256"/>
      <c r="CR53" s="256"/>
      <c r="CS53" s="256"/>
      <c r="CT53" s="256"/>
      <c r="CU53" s="256"/>
      <c r="CV53" s="256"/>
      <c r="CW53" s="256"/>
      <c r="CX53" s="256"/>
      <c r="CY53" s="256"/>
      <c r="CZ53" s="256"/>
      <c r="DA53" s="256"/>
      <c r="DB53" s="256"/>
      <c r="DC53" s="256"/>
      <c r="DD53" s="256"/>
      <c r="DE53" s="256"/>
      <c r="DF53" s="256"/>
      <c r="DG53" s="256"/>
      <c r="DH53" s="256"/>
      <c r="DI53" s="256"/>
      <c r="DJ53" s="256"/>
      <c r="DK53" s="256"/>
      <c r="DL53" s="256"/>
      <c r="DM53" s="256"/>
      <c r="DN53" s="256"/>
      <c r="DO53" s="256"/>
      <c r="DP53" s="256"/>
      <c r="DQ53" s="256"/>
      <c r="DR53" s="256"/>
      <c r="DS53" s="256"/>
      <c r="DT53" s="256"/>
      <c r="DU53" s="256"/>
      <c r="DV53" s="256"/>
      <c r="DW53" s="256"/>
      <c r="DX53" s="256"/>
      <c r="DY53" s="256"/>
      <c r="DZ53" s="256"/>
      <c r="EA53" s="256"/>
      <c r="EB53" s="256"/>
      <c r="EC53" s="256"/>
      <c r="ED53" s="256"/>
      <c r="EE53" s="256"/>
      <c r="EF53" s="256"/>
      <c r="EG53" s="256"/>
      <c r="EH53" s="256"/>
      <c r="EI53" s="256"/>
      <c r="EJ53" s="256"/>
      <c r="EK53" s="256"/>
      <c r="EL53" s="256"/>
      <c r="EM53" s="256"/>
      <c r="EN53" s="256"/>
      <c r="EO53" s="256"/>
      <c r="EP53" s="256"/>
      <c r="EQ53" s="256"/>
      <c r="ER53" s="256"/>
      <c r="ES53" s="256"/>
      <c r="ET53" s="256"/>
      <c r="EU53" s="256"/>
      <c r="EV53" s="256"/>
      <c r="EW53" s="256"/>
      <c r="EX53" s="256"/>
      <c r="EY53" s="256"/>
      <c r="EZ53" s="256"/>
      <c r="FA53" s="256"/>
      <c r="FB53" s="256"/>
      <c r="FC53" s="256"/>
      <c r="FD53" s="256"/>
      <c r="FE53" s="256"/>
      <c r="FF53" s="256"/>
      <c r="FG53" s="256"/>
      <c r="FH53" s="256"/>
      <c r="FI53" s="256"/>
      <c r="FJ53" s="256"/>
      <c r="FK53" s="256"/>
      <c r="FL53" s="256"/>
      <c r="FM53" s="256"/>
      <c r="FN53" s="256"/>
      <c r="FO53" s="256"/>
    </row>
    <row r="54" spans="1:171" s="31" customFormat="1" ht="19.5" customHeight="1">
      <c r="A54" s="260"/>
      <c r="B54" s="263"/>
      <c r="C54" s="262"/>
      <c r="D54" s="98"/>
      <c r="E54" s="98"/>
      <c r="F54" s="98"/>
      <c r="G54" s="98"/>
      <c r="H54" s="672" t="s">
        <v>333</v>
      </c>
      <c r="I54" s="673"/>
      <c r="J54" s="673"/>
      <c r="K54" s="673"/>
      <c r="L54" s="673"/>
      <c r="M54" s="673"/>
      <c r="N54" s="673"/>
      <c r="O54" s="673"/>
      <c r="P54" s="673"/>
      <c r="Q54" s="673"/>
      <c r="R54" s="673"/>
      <c r="S54" s="673"/>
      <c r="T54" s="673"/>
      <c r="U54" s="673"/>
      <c r="V54" s="673"/>
      <c r="W54" s="673"/>
      <c r="X54" s="673"/>
      <c r="Y54" s="673"/>
      <c r="Z54" s="673"/>
      <c r="AA54" s="673"/>
      <c r="AB54" s="673"/>
      <c r="AC54" s="673"/>
      <c r="AD54" s="673"/>
      <c r="AE54" s="673"/>
      <c r="AF54" s="673"/>
      <c r="AG54" s="673"/>
      <c r="AH54" s="673"/>
      <c r="AI54" s="673"/>
      <c r="AJ54" s="673"/>
      <c r="AK54" s="673"/>
      <c r="AL54" s="673"/>
      <c r="AM54" s="673"/>
      <c r="AN54" s="673"/>
      <c r="AO54" s="673"/>
      <c r="AP54" s="673"/>
      <c r="AQ54" s="673"/>
      <c r="AR54" s="673"/>
      <c r="AS54" s="673"/>
      <c r="AT54" s="673"/>
      <c r="AU54" s="673"/>
      <c r="AV54" s="673"/>
      <c r="AW54" s="673"/>
      <c r="AX54" s="673"/>
      <c r="AY54" s="673"/>
      <c r="AZ54" s="673"/>
      <c r="BA54" s="673"/>
      <c r="BB54" s="673"/>
      <c r="BC54" s="673"/>
      <c r="BD54" s="673"/>
      <c r="BE54" s="673"/>
      <c r="BF54" s="673"/>
      <c r="BG54" s="673"/>
      <c r="BH54" s="673"/>
      <c r="BI54" s="673"/>
      <c r="BJ54" s="673"/>
      <c r="BK54" s="673"/>
      <c r="BL54" s="673"/>
      <c r="BM54" s="673"/>
      <c r="BN54" s="673"/>
      <c r="BO54" s="673"/>
      <c r="BP54" s="673"/>
      <c r="BQ54" s="673"/>
      <c r="BR54" s="673"/>
      <c r="BS54" s="673"/>
      <c r="BT54" s="673"/>
      <c r="BU54" s="673"/>
      <c r="BV54" s="673"/>
      <c r="BW54" s="673"/>
      <c r="BX54" s="673"/>
      <c r="BY54" s="673"/>
      <c r="BZ54" s="673"/>
      <c r="CA54" s="673"/>
      <c r="CB54" s="674"/>
      <c r="CC54" s="95"/>
      <c r="CD54" s="96"/>
      <c r="CE54" s="186"/>
      <c r="CF54" s="273"/>
      <c r="CG54" s="256"/>
      <c r="CH54" s="256"/>
      <c r="CI54" s="256"/>
      <c r="CJ54" s="256"/>
      <c r="CK54" s="256"/>
      <c r="CL54" s="256"/>
      <c r="CM54" s="256"/>
      <c r="CN54" s="256"/>
      <c r="CO54" s="256"/>
      <c r="CP54" s="256"/>
      <c r="CQ54" s="256"/>
      <c r="CR54" s="256"/>
      <c r="CS54" s="256"/>
      <c r="CT54" s="256"/>
      <c r="CU54" s="256"/>
      <c r="CV54" s="256"/>
      <c r="CW54" s="256"/>
      <c r="CX54" s="256"/>
      <c r="CY54" s="256"/>
      <c r="CZ54" s="256"/>
      <c r="DA54" s="256"/>
      <c r="DB54" s="256"/>
      <c r="DC54" s="256"/>
      <c r="DD54" s="256"/>
      <c r="DE54" s="256"/>
      <c r="DF54" s="256"/>
      <c r="DG54" s="256"/>
      <c r="DH54" s="256"/>
      <c r="DI54" s="256"/>
      <c r="DJ54" s="256"/>
      <c r="DK54" s="256"/>
      <c r="DL54" s="256"/>
      <c r="DM54" s="256"/>
      <c r="DN54" s="256"/>
      <c r="DO54" s="256"/>
      <c r="DP54" s="256"/>
      <c r="DQ54" s="256"/>
      <c r="DR54" s="256"/>
      <c r="DS54" s="256"/>
      <c r="DT54" s="256"/>
      <c r="DU54" s="256"/>
      <c r="DV54" s="256"/>
      <c r="DW54" s="256"/>
      <c r="DX54" s="256"/>
      <c r="DY54" s="256"/>
      <c r="DZ54" s="256"/>
      <c r="EA54" s="256"/>
      <c r="EB54" s="256"/>
      <c r="EC54" s="256"/>
      <c r="ED54" s="256"/>
      <c r="EE54" s="256"/>
      <c r="EF54" s="256"/>
      <c r="EG54" s="256"/>
      <c r="EH54" s="256"/>
      <c r="EI54" s="256"/>
      <c r="EJ54" s="256"/>
      <c r="EK54" s="256"/>
      <c r="EL54" s="256"/>
      <c r="EM54" s="256"/>
      <c r="EN54" s="256"/>
      <c r="EO54" s="256"/>
      <c r="EP54" s="256"/>
      <c r="EQ54" s="256"/>
      <c r="ER54" s="256"/>
      <c r="ES54" s="256"/>
      <c r="ET54" s="256"/>
      <c r="EU54" s="256"/>
      <c r="EV54" s="256"/>
      <c r="EW54" s="256"/>
      <c r="EX54" s="256"/>
      <c r="EY54" s="256"/>
      <c r="EZ54" s="256"/>
      <c r="FA54" s="256"/>
      <c r="FB54" s="256"/>
      <c r="FC54" s="256"/>
      <c r="FD54" s="256"/>
      <c r="FE54" s="256"/>
      <c r="FF54" s="256"/>
      <c r="FG54" s="256"/>
      <c r="FH54" s="256"/>
      <c r="FI54" s="256"/>
      <c r="FJ54" s="256"/>
      <c r="FK54" s="256"/>
      <c r="FL54" s="256"/>
      <c r="FM54" s="256"/>
      <c r="FN54" s="256"/>
      <c r="FO54" s="256"/>
    </row>
    <row r="55" spans="1:171" s="31" customFormat="1" ht="19.5" customHeight="1">
      <c r="A55" s="260"/>
      <c r="B55" s="263"/>
      <c r="C55" s="262"/>
      <c r="D55" s="98"/>
      <c r="E55" s="98"/>
      <c r="F55" s="98"/>
      <c r="G55" s="98"/>
      <c r="H55" s="183"/>
      <c r="I55" s="183"/>
      <c r="J55" s="183"/>
      <c r="K55" s="183"/>
      <c r="L55" s="183"/>
      <c r="M55" s="183"/>
      <c r="N55" s="184"/>
      <c r="O55" s="184"/>
      <c r="P55" s="184"/>
      <c r="Q55" s="184"/>
      <c r="R55" s="184"/>
      <c r="S55" s="184"/>
      <c r="T55" s="184"/>
      <c r="U55" s="184"/>
      <c r="V55" s="184"/>
      <c r="W55" s="184"/>
      <c r="X55" s="184"/>
      <c r="Y55" s="184"/>
      <c r="Z55" s="184"/>
      <c r="AA55" s="184"/>
      <c r="AB55" s="184"/>
      <c r="AC55" s="184"/>
      <c r="AD55" s="184"/>
      <c r="AE55" s="184"/>
      <c r="AF55" s="184"/>
      <c r="AG55" s="184"/>
      <c r="AH55" s="184"/>
      <c r="AI55" s="184"/>
      <c r="AJ55" s="184"/>
      <c r="AK55" s="184"/>
      <c r="AL55" s="184"/>
      <c r="AM55" s="184"/>
      <c r="AN55" s="184"/>
      <c r="AO55" s="184"/>
      <c r="AP55" s="184"/>
      <c r="AQ55" s="184"/>
      <c r="AR55" s="184"/>
      <c r="AS55" s="184"/>
      <c r="AT55" s="184"/>
      <c r="AU55" s="184"/>
      <c r="AV55" s="184"/>
      <c r="AW55" s="184"/>
      <c r="AX55" s="184"/>
      <c r="AY55" s="184"/>
      <c r="AZ55" s="184"/>
      <c r="BA55" s="184"/>
      <c r="BB55" s="184"/>
      <c r="BC55" s="184"/>
      <c r="BD55" s="184"/>
      <c r="BE55" s="184"/>
      <c r="BF55" s="184"/>
      <c r="BG55" s="184"/>
      <c r="BH55" s="184"/>
      <c r="BI55" s="184"/>
      <c r="BJ55" s="184"/>
      <c r="BK55" s="184"/>
      <c r="BL55" s="184"/>
      <c r="BM55" s="183"/>
      <c r="BN55" s="183"/>
      <c r="BO55" s="184"/>
      <c r="BP55" s="184"/>
      <c r="BQ55" s="184"/>
      <c r="BR55" s="184"/>
      <c r="BS55" s="184"/>
      <c r="BT55" s="184"/>
      <c r="BU55" s="184"/>
      <c r="BV55" s="184"/>
      <c r="BW55" s="184"/>
      <c r="BX55" s="179"/>
      <c r="BY55" s="179"/>
      <c r="BZ55" s="179"/>
      <c r="CA55" s="179"/>
      <c r="CB55" s="179"/>
      <c r="CC55" s="95"/>
      <c r="CD55" s="95"/>
      <c r="CE55" s="181"/>
      <c r="CF55" s="273"/>
      <c r="CG55" s="256"/>
      <c r="CH55" s="256"/>
      <c r="CI55" s="256"/>
      <c r="CJ55" s="256"/>
      <c r="CK55" s="256"/>
      <c r="CL55" s="256"/>
      <c r="CM55" s="256"/>
      <c r="CN55" s="256"/>
      <c r="CO55" s="256"/>
      <c r="CP55" s="256"/>
      <c r="CQ55" s="256"/>
      <c r="CR55" s="256"/>
      <c r="CS55" s="256"/>
      <c r="CT55" s="256"/>
      <c r="CU55" s="256"/>
      <c r="CV55" s="256"/>
      <c r="CW55" s="256"/>
      <c r="CX55" s="256"/>
      <c r="CY55" s="256"/>
      <c r="CZ55" s="256"/>
      <c r="DA55" s="256"/>
      <c r="DB55" s="256"/>
      <c r="DC55" s="256"/>
      <c r="DD55" s="256"/>
      <c r="DE55" s="256"/>
      <c r="DF55" s="256"/>
      <c r="DG55" s="256"/>
      <c r="DH55" s="256"/>
      <c r="DI55" s="256"/>
      <c r="DJ55" s="256"/>
      <c r="DK55" s="256"/>
      <c r="DL55" s="256"/>
      <c r="DM55" s="256"/>
      <c r="DN55" s="256"/>
      <c r="DO55" s="256"/>
      <c r="DP55" s="256"/>
      <c r="DQ55" s="256"/>
      <c r="DR55" s="256"/>
      <c r="DS55" s="256"/>
      <c r="DT55" s="256"/>
      <c r="DU55" s="256"/>
      <c r="DV55" s="256"/>
      <c r="DW55" s="256"/>
      <c r="DX55" s="256"/>
      <c r="DY55" s="256"/>
      <c r="DZ55" s="256"/>
      <c r="EA55" s="256"/>
      <c r="EB55" s="256"/>
      <c r="EC55" s="256"/>
      <c r="ED55" s="256"/>
      <c r="EE55" s="256"/>
      <c r="EF55" s="256"/>
      <c r="EG55" s="256"/>
      <c r="EH55" s="256"/>
      <c r="EI55" s="256"/>
      <c r="EJ55" s="256"/>
      <c r="EK55" s="256"/>
      <c r="EL55" s="256"/>
      <c r="EM55" s="256"/>
      <c r="EN55" s="256"/>
      <c r="EO55" s="256"/>
      <c r="EP55" s="256"/>
      <c r="EQ55" s="256"/>
      <c r="ER55" s="256"/>
      <c r="ES55" s="256"/>
      <c r="ET55" s="256"/>
      <c r="EU55" s="256"/>
      <c r="EV55" s="256"/>
      <c r="EW55" s="256"/>
      <c r="EX55" s="256"/>
      <c r="EY55" s="256"/>
      <c r="EZ55" s="256"/>
      <c r="FA55" s="256"/>
      <c r="FB55" s="256"/>
      <c r="FC55" s="256"/>
      <c r="FD55" s="256"/>
      <c r="FE55" s="256"/>
      <c r="FF55" s="256"/>
      <c r="FG55" s="256"/>
      <c r="FH55" s="256"/>
      <c r="FI55" s="256"/>
      <c r="FJ55" s="256"/>
      <c r="FK55" s="256"/>
      <c r="FL55" s="256"/>
      <c r="FM55" s="256"/>
      <c r="FN55" s="256"/>
      <c r="FO55" s="256"/>
    </row>
    <row r="56" spans="1:171" s="31" customFormat="1" ht="19.5" customHeight="1">
      <c r="A56" s="260"/>
      <c r="B56" s="263"/>
      <c r="C56" s="262"/>
      <c r="D56" s="98"/>
      <c r="E56" s="98"/>
      <c r="F56" s="98"/>
      <c r="G56" s="98"/>
      <c r="H56" s="666" t="s">
        <v>335</v>
      </c>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7"/>
      <c r="AF56" s="667"/>
      <c r="AG56" s="667"/>
      <c r="AH56" s="667"/>
      <c r="AI56" s="667"/>
      <c r="AJ56" s="667"/>
      <c r="AK56" s="667"/>
      <c r="AL56" s="667"/>
      <c r="AM56" s="667"/>
      <c r="AN56" s="667"/>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7"/>
      <c r="BS56" s="667"/>
      <c r="BT56" s="667"/>
      <c r="BU56" s="667"/>
      <c r="BV56" s="667"/>
      <c r="BW56" s="667"/>
      <c r="BX56" s="667"/>
      <c r="BY56" s="667"/>
      <c r="BZ56" s="667"/>
      <c r="CA56" s="667"/>
      <c r="CB56" s="668"/>
      <c r="CC56" s="95"/>
      <c r="CD56" s="95"/>
      <c r="CE56" s="181"/>
      <c r="CF56" s="273"/>
      <c r="CG56" s="256"/>
      <c r="CH56" s="256"/>
      <c r="CI56" s="256"/>
      <c r="CJ56" s="256"/>
      <c r="CK56" s="256"/>
      <c r="CL56" s="256"/>
      <c r="CM56" s="256"/>
      <c r="CN56" s="256"/>
      <c r="CO56" s="256"/>
      <c r="CP56" s="256"/>
      <c r="CQ56" s="256"/>
      <c r="CR56" s="256"/>
      <c r="CS56" s="256"/>
      <c r="CT56" s="256"/>
      <c r="CU56" s="256"/>
      <c r="CV56" s="256"/>
      <c r="CW56" s="256"/>
      <c r="CX56" s="256"/>
      <c r="CY56" s="256"/>
      <c r="CZ56" s="256"/>
      <c r="DA56" s="256"/>
      <c r="DB56" s="256"/>
      <c r="DC56" s="256"/>
      <c r="DD56" s="256"/>
      <c r="DE56" s="256"/>
      <c r="DF56" s="256"/>
      <c r="DG56" s="256"/>
      <c r="DH56" s="256"/>
      <c r="DI56" s="256"/>
      <c r="DJ56" s="256"/>
      <c r="DK56" s="256"/>
      <c r="DL56" s="256"/>
      <c r="DM56" s="256"/>
      <c r="DN56" s="256"/>
      <c r="DO56" s="256"/>
      <c r="DP56" s="256"/>
      <c r="DQ56" s="256"/>
      <c r="DR56" s="256"/>
      <c r="DS56" s="256"/>
      <c r="DT56" s="256"/>
      <c r="DU56" s="256"/>
      <c r="DV56" s="256"/>
      <c r="DW56" s="256"/>
      <c r="DX56" s="256"/>
      <c r="DY56" s="256"/>
      <c r="DZ56" s="256"/>
      <c r="EA56" s="256"/>
      <c r="EB56" s="256"/>
      <c r="EC56" s="256"/>
      <c r="ED56" s="256"/>
      <c r="EE56" s="256"/>
      <c r="EF56" s="256"/>
      <c r="EG56" s="256"/>
      <c r="EH56" s="256"/>
      <c r="EI56" s="256"/>
      <c r="EJ56" s="256"/>
      <c r="EK56" s="256"/>
      <c r="EL56" s="256"/>
      <c r="EM56" s="256"/>
      <c r="EN56" s="256"/>
      <c r="EO56" s="256"/>
      <c r="EP56" s="256"/>
      <c r="EQ56" s="256"/>
      <c r="ER56" s="256"/>
      <c r="ES56" s="256"/>
      <c r="ET56" s="256"/>
      <c r="EU56" s="256"/>
      <c r="EV56" s="256"/>
      <c r="EW56" s="256"/>
      <c r="EX56" s="256"/>
      <c r="EY56" s="256"/>
      <c r="EZ56" s="256"/>
      <c r="FA56" s="256"/>
      <c r="FB56" s="256"/>
      <c r="FC56" s="256"/>
      <c r="FD56" s="256"/>
      <c r="FE56" s="256"/>
      <c r="FF56" s="256"/>
      <c r="FG56" s="256"/>
      <c r="FH56" s="256"/>
      <c r="FI56" s="256"/>
      <c r="FJ56" s="256"/>
      <c r="FK56" s="256"/>
      <c r="FL56" s="256"/>
      <c r="FM56" s="256"/>
      <c r="FN56" s="256"/>
      <c r="FO56" s="256"/>
    </row>
    <row r="57" spans="1:171" s="31" customFormat="1" ht="19.5" customHeight="1">
      <c r="A57" s="260"/>
      <c r="B57" s="263"/>
      <c r="C57" s="262"/>
      <c r="D57" s="98"/>
      <c r="E57" s="98"/>
      <c r="F57" s="98"/>
      <c r="G57" s="98"/>
      <c r="H57" s="669"/>
      <c r="I57" s="670"/>
      <c r="J57" s="670"/>
      <c r="K57" s="670"/>
      <c r="L57" s="670"/>
      <c r="M57" s="670"/>
      <c r="N57" s="670"/>
      <c r="O57" s="670"/>
      <c r="P57" s="670"/>
      <c r="Q57" s="670"/>
      <c r="R57" s="670"/>
      <c r="S57" s="670"/>
      <c r="T57" s="670"/>
      <c r="U57" s="670"/>
      <c r="V57" s="670"/>
      <c r="W57" s="670"/>
      <c r="X57" s="670"/>
      <c r="Y57" s="670"/>
      <c r="Z57" s="670"/>
      <c r="AA57" s="670"/>
      <c r="AB57" s="670"/>
      <c r="AC57" s="670"/>
      <c r="AD57" s="670"/>
      <c r="AE57" s="670"/>
      <c r="AF57" s="670"/>
      <c r="AG57" s="670"/>
      <c r="AH57" s="670"/>
      <c r="AI57" s="670"/>
      <c r="AJ57" s="670"/>
      <c r="AK57" s="670"/>
      <c r="AL57" s="670"/>
      <c r="AM57" s="670"/>
      <c r="AN57" s="670"/>
      <c r="AO57" s="670"/>
      <c r="AP57" s="670"/>
      <c r="AQ57" s="670"/>
      <c r="AR57" s="670"/>
      <c r="AS57" s="670"/>
      <c r="AT57" s="670"/>
      <c r="AU57" s="670"/>
      <c r="AV57" s="670"/>
      <c r="AW57" s="670"/>
      <c r="AX57" s="670"/>
      <c r="AY57" s="670"/>
      <c r="AZ57" s="670"/>
      <c r="BA57" s="670"/>
      <c r="BB57" s="670"/>
      <c r="BC57" s="670"/>
      <c r="BD57" s="670"/>
      <c r="BE57" s="670"/>
      <c r="BF57" s="670"/>
      <c r="BG57" s="670"/>
      <c r="BH57" s="670"/>
      <c r="BI57" s="670"/>
      <c r="BJ57" s="670"/>
      <c r="BK57" s="670"/>
      <c r="BL57" s="670"/>
      <c r="BM57" s="670"/>
      <c r="BN57" s="670"/>
      <c r="BO57" s="670"/>
      <c r="BP57" s="670"/>
      <c r="BQ57" s="670"/>
      <c r="BR57" s="670"/>
      <c r="BS57" s="670"/>
      <c r="BT57" s="670"/>
      <c r="BU57" s="670"/>
      <c r="BV57" s="670"/>
      <c r="BW57" s="670"/>
      <c r="BX57" s="670"/>
      <c r="BY57" s="670"/>
      <c r="BZ57" s="670"/>
      <c r="CA57" s="670"/>
      <c r="CB57" s="671"/>
      <c r="CC57" s="95"/>
      <c r="CD57" s="95"/>
      <c r="CE57" s="181"/>
      <c r="CF57" s="273"/>
      <c r="CG57" s="256"/>
      <c r="CH57" s="256"/>
      <c r="CI57" s="256"/>
      <c r="CJ57" s="256"/>
      <c r="CK57" s="256"/>
      <c r="CL57" s="256"/>
      <c r="CM57" s="256"/>
      <c r="CN57" s="256"/>
      <c r="CO57" s="256"/>
      <c r="CP57" s="256"/>
      <c r="CQ57" s="256"/>
      <c r="CR57" s="256"/>
      <c r="CS57" s="256"/>
      <c r="CT57" s="256"/>
      <c r="CU57" s="256"/>
      <c r="CV57" s="256"/>
      <c r="CW57" s="256"/>
      <c r="CX57" s="256"/>
      <c r="CY57" s="256"/>
      <c r="CZ57" s="256"/>
      <c r="DA57" s="256"/>
      <c r="DB57" s="256"/>
      <c r="DC57" s="256"/>
      <c r="DD57" s="256"/>
      <c r="DE57" s="256"/>
      <c r="DF57" s="256"/>
      <c r="DG57" s="256"/>
      <c r="DH57" s="256"/>
      <c r="DI57" s="256"/>
      <c r="DJ57" s="256"/>
      <c r="DK57" s="256"/>
      <c r="DL57" s="256"/>
      <c r="DM57" s="256"/>
      <c r="DN57" s="256"/>
      <c r="DO57" s="256"/>
      <c r="DP57" s="256"/>
      <c r="DQ57" s="256"/>
      <c r="DR57" s="256"/>
      <c r="DS57" s="256"/>
      <c r="DT57" s="256"/>
      <c r="DU57" s="256"/>
      <c r="DV57" s="256"/>
      <c r="DW57" s="256"/>
      <c r="DX57" s="256"/>
      <c r="DY57" s="256"/>
      <c r="DZ57" s="256"/>
      <c r="EA57" s="256"/>
      <c r="EB57" s="256"/>
      <c r="EC57" s="256"/>
      <c r="ED57" s="256"/>
      <c r="EE57" s="256"/>
      <c r="EF57" s="256"/>
      <c r="EG57" s="256"/>
      <c r="EH57" s="256"/>
      <c r="EI57" s="256"/>
      <c r="EJ57" s="256"/>
      <c r="EK57" s="256"/>
      <c r="EL57" s="256"/>
      <c r="EM57" s="256"/>
      <c r="EN57" s="256"/>
      <c r="EO57" s="256"/>
      <c r="EP57" s="256"/>
      <c r="EQ57" s="256"/>
      <c r="ER57" s="256"/>
      <c r="ES57" s="256"/>
      <c r="ET57" s="256"/>
      <c r="EU57" s="256"/>
      <c r="EV57" s="256"/>
      <c r="EW57" s="256"/>
      <c r="EX57" s="256"/>
      <c r="EY57" s="256"/>
      <c r="EZ57" s="256"/>
      <c r="FA57" s="256"/>
      <c r="FB57" s="256"/>
      <c r="FC57" s="256"/>
      <c r="FD57" s="256"/>
      <c r="FE57" s="256"/>
      <c r="FF57" s="256"/>
      <c r="FG57" s="256"/>
      <c r="FH57" s="256"/>
      <c r="FI57" s="256"/>
      <c r="FJ57" s="256"/>
      <c r="FK57" s="256"/>
      <c r="FL57" s="256"/>
      <c r="FM57" s="256"/>
      <c r="FN57" s="256"/>
      <c r="FO57" s="256"/>
    </row>
    <row r="58" spans="1:171" s="31" customFormat="1" ht="19.5" customHeight="1">
      <c r="A58" s="260"/>
      <c r="B58" s="263"/>
      <c r="C58" s="262"/>
      <c r="D58" s="98"/>
      <c r="E58" s="98"/>
      <c r="F58" s="98"/>
      <c r="G58" s="98"/>
      <c r="H58" s="183"/>
      <c r="I58" s="183"/>
      <c r="J58" s="183"/>
      <c r="K58" s="183"/>
      <c r="L58" s="183"/>
      <c r="M58" s="183"/>
      <c r="N58" s="184"/>
      <c r="O58" s="184"/>
      <c r="P58" s="184"/>
      <c r="Q58" s="184"/>
      <c r="R58" s="184"/>
      <c r="S58" s="184"/>
      <c r="T58" s="184"/>
      <c r="U58" s="184"/>
      <c r="V58" s="184"/>
      <c r="W58" s="184"/>
      <c r="X58" s="184"/>
      <c r="Y58" s="184"/>
      <c r="Z58" s="184"/>
      <c r="AA58" s="184"/>
      <c r="AB58" s="184"/>
      <c r="AC58" s="184"/>
      <c r="AD58" s="184"/>
      <c r="AE58" s="184"/>
      <c r="AF58" s="184"/>
      <c r="AG58" s="184"/>
      <c r="AH58" s="184"/>
      <c r="AI58" s="184"/>
      <c r="AJ58" s="184"/>
      <c r="AK58" s="184"/>
      <c r="AL58" s="184"/>
      <c r="AM58" s="184"/>
      <c r="AN58" s="184"/>
      <c r="AO58" s="184"/>
      <c r="AP58" s="184"/>
      <c r="AQ58" s="184"/>
      <c r="AR58" s="184"/>
      <c r="AS58" s="184"/>
      <c r="AT58" s="184"/>
      <c r="AU58" s="184"/>
      <c r="AV58" s="184"/>
      <c r="AW58" s="184"/>
      <c r="AX58" s="184"/>
      <c r="AY58" s="184"/>
      <c r="AZ58" s="184"/>
      <c r="BA58" s="184"/>
      <c r="BB58" s="184"/>
      <c r="BC58" s="184"/>
      <c r="BD58" s="184"/>
      <c r="BE58" s="184"/>
      <c r="BF58" s="184"/>
      <c r="BG58" s="184"/>
      <c r="BH58" s="184"/>
      <c r="BI58" s="184"/>
      <c r="BJ58" s="184"/>
      <c r="BK58" s="184"/>
      <c r="BL58" s="184"/>
      <c r="BM58" s="183"/>
      <c r="BN58" s="183"/>
      <c r="BO58" s="184"/>
      <c r="BP58" s="184"/>
      <c r="BQ58" s="184"/>
      <c r="BR58" s="184"/>
      <c r="BS58" s="184"/>
      <c r="BT58" s="184"/>
      <c r="BU58" s="184"/>
      <c r="BV58" s="184"/>
      <c r="BW58" s="184"/>
      <c r="BX58" s="179"/>
      <c r="BY58" s="179"/>
      <c r="BZ58" s="179"/>
      <c r="CA58" s="179"/>
      <c r="CB58" s="179"/>
      <c r="CC58" s="95"/>
      <c r="CD58" s="95"/>
      <c r="CE58" s="181"/>
      <c r="CF58" s="273"/>
      <c r="CG58" s="256"/>
      <c r="CH58" s="256"/>
      <c r="CI58" s="256"/>
      <c r="CJ58" s="256"/>
      <c r="CK58" s="256"/>
      <c r="CL58" s="256"/>
      <c r="CM58" s="256"/>
      <c r="CN58" s="256"/>
      <c r="CO58" s="256"/>
      <c r="CP58" s="256"/>
      <c r="CQ58" s="256"/>
      <c r="CR58" s="256"/>
      <c r="CS58" s="256"/>
      <c r="CT58" s="256"/>
      <c r="CU58" s="256"/>
      <c r="CV58" s="256"/>
      <c r="CW58" s="256"/>
      <c r="CX58" s="256"/>
      <c r="CY58" s="256"/>
      <c r="CZ58" s="256"/>
      <c r="DA58" s="256"/>
      <c r="DB58" s="256"/>
      <c r="DC58" s="256"/>
      <c r="DD58" s="256"/>
      <c r="DE58" s="256"/>
      <c r="DF58" s="256"/>
      <c r="DG58" s="256"/>
      <c r="DH58" s="256"/>
      <c r="DI58" s="256"/>
      <c r="DJ58" s="256"/>
      <c r="DK58" s="256"/>
      <c r="DL58" s="256"/>
      <c r="DM58" s="256"/>
      <c r="DN58" s="256"/>
      <c r="DO58" s="256"/>
      <c r="DP58" s="256"/>
      <c r="DQ58" s="256"/>
      <c r="DR58" s="256"/>
      <c r="DS58" s="256"/>
      <c r="DT58" s="256"/>
      <c r="DU58" s="256"/>
      <c r="DV58" s="256"/>
      <c r="DW58" s="256"/>
      <c r="DX58" s="256"/>
      <c r="DY58" s="256"/>
      <c r="DZ58" s="256"/>
      <c r="EA58" s="256"/>
      <c r="EB58" s="256"/>
      <c r="EC58" s="256"/>
      <c r="ED58" s="256"/>
      <c r="EE58" s="256"/>
      <c r="EF58" s="256"/>
      <c r="EG58" s="256"/>
      <c r="EH58" s="256"/>
      <c r="EI58" s="256"/>
      <c r="EJ58" s="256"/>
      <c r="EK58" s="256"/>
      <c r="EL58" s="256"/>
      <c r="EM58" s="256"/>
      <c r="EN58" s="256"/>
      <c r="EO58" s="256"/>
      <c r="EP58" s="256"/>
      <c r="EQ58" s="256"/>
      <c r="ER58" s="256"/>
      <c r="ES58" s="256"/>
      <c r="ET58" s="256"/>
      <c r="EU58" s="256"/>
      <c r="EV58" s="256"/>
      <c r="EW58" s="256"/>
      <c r="EX58" s="256"/>
      <c r="EY58" s="256"/>
      <c r="EZ58" s="256"/>
      <c r="FA58" s="256"/>
      <c r="FB58" s="256"/>
      <c r="FC58" s="256"/>
      <c r="FD58" s="256"/>
      <c r="FE58" s="256"/>
      <c r="FF58" s="256"/>
      <c r="FG58" s="256"/>
      <c r="FH58" s="256"/>
      <c r="FI58" s="256"/>
      <c r="FJ58" s="256"/>
      <c r="FK58" s="256"/>
      <c r="FL58" s="256"/>
      <c r="FM58" s="256"/>
      <c r="FN58" s="256"/>
      <c r="FO58" s="256"/>
    </row>
    <row r="59" spans="1:171" s="31" customFormat="1" ht="19.5" customHeight="1">
      <c r="A59" s="260"/>
      <c r="B59" s="263"/>
      <c r="C59" s="262"/>
      <c r="D59" s="98"/>
      <c r="E59" s="98"/>
      <c r="F59" s="98"/>
      <c r="G59" s="98"/>
      <c r="H59" s="183"/>
      <c r="I59" s="183"/>
      <c r="J59" s="183"/>
      <c r="K59" s="183"/>
      <c r="L59" s="183"/>
      <c r="M59" s="183"/>
      <c r="N59" s="184"/>
      <c r="O59" s="184"/>
      <c r="P59" s="184"/>
      <c r="Q59" s="184"/>
      <c r="R59" s="184"/>
      <c r="S59" s="184"/>
      <c r="T59" s="184"/>
      <c r="U59" s="184"/>
      <c r="V59" s="184"/>
      <c r="W59" s="184"/>
      <c r="X59" s="184"/>
      <c r="Y59" s="184"/>
      <c r="Z59" s="184"/>
      <c r="AA59" s="184"/>
      <c r="AB59" s="184"/>
      <c r="AC59" s="184"/>
      <c r="AD59" s="184"/>
      <c r="AE59" s="184"/>
      <c r="AF59" s="184"/>
      <c r="AG59" s="184"/>
      <c r="AH59" s="184"/>
      <c r="AI59" s="184"/>
      <c r="AJ59" s="184"/>
      <c r="AK59" s="184"/>
      <c r="AL59" s="184"/>
      <c r="AM59" s="184"/>
      <c r="AN59" s="184"/>
      <c r="AO59" s="184"/>
      <c r="AP59" s="184"/>
      <c r="AQ59" s="184"/>
      <c r="AR59" s="184"/>
      <c r="AS59" s="184"/>
      <c r="AT59" s="184"/>
      <c r="AU59" s="184"/>
      <c r="AV59" s="184"/>
      <c r="AW59" s="184"/>
      <c r="AX59" s="184"/>
      <c r="AY59" s="184"/>
      <c r="AZ59" s="184"/>
      <c r="BA59" s="184"/>
      <c r="BB59" s="184"/>
      <c r="BC59" s="184"/>
      <c r="BD59" s="184"/>
      <c r="BE59" s="184"/>
      <c r="BF59" s="184"/>
      <c r="BG59" s="184"/>
      <c r="BH59" s="184"/>
      <c r="BI59" s="184"/>
      <c r="BJ59" s="184"/>
      <c r="BK59" s="184"/>
      <c r="BL59" s="184"/>
      <c r="BM59" s="183"/>
      <c r="BN59" s="183"/>
      <c r="BO59" s="184"/>
      <c r="BP59" s="184"/>
      <c r="BQ59" s="184"/>
      <c r="BR59" s="184"/>
      <c r="BS59" s="184"/>
      <c r="BT59" s="184"/>
      <c r="BU59" s="184"/>
      <c r="BV59" s="184"/>
      <c r="BW59" s="184"/>
      <c r="BX59" s="179"/>
      <c r="BY59" s="179"/>
      <c r="BZ59" s="179"/>
      <c r="CA59" s="179"/>
      <c r="CB59" s="179"/>
      <c r="CC59" s="95"/>
      <c r="CD59" s="95"/>
      <c r="CE59" s="181"/>
      <c r="CF59" s="273"/>
      <c r="CG59" s="256"/>
      <c r="CH59" s="256"/>
      <c r="CI59" s="256"/>
      <c r="CJ59" s="256"/>
      <c r="CK59" s="256"/>
      <c r="CL59" s="256"/>
      <c r="CM59" s="256"/>
      <c r="CN59" s="256"/>
      <c r="CO59" s="256"/>
      <c r="CP59" s="256"/>
      <c r="CQ59" s="256"/>
      <c r="CR59" s="256"/>
      <c r="CS59" s="256"/>
      <c r="CT59" s="256"/>
      <c r="CU59" s="256"/>
      <c r="CV59" s="256"/>
      <c r="CW59" s="256"/>
      <c r="CX59" s="256"/>
      <c r="CY59" s="256"/>
      <c r="CZ59" s="256"/>
      <c r="DA59" s="256"/>
      <c r="DB59" s="256"/>
      <c r="DC59" s="256"/>
      <c r="DD59" s="256"/>
      <c r="DE59" s="256"/>
      <c r="DF59" s="256"/>
      <c r="DG59" s="256"/>
      <c r="DH59" s="256"/>
      <c r="DI59" s="256"/>
      <c r="DJ59" s="256"/>
      <c r="DK59" s="256"/>
      <c r="DL59" s="256"/>
      <c r="DM59" s="256"/>
      <c r="DN59" s="256"/>
      <c r="DO59" s="256"/>
      <c r="DP59" s="256"/>
      <c r="DQ59" s="256"/>
      <c r="DR59" s="256"/>
      <c r="DS59" s="256"/>
      <c r="DT59" s="256"/>
      <c r="DU59" s="256"/>
      <c r="DV59" s="256"/>
      <c r="DW59" s="256"/>
      <c r="DX59" s="256"/>
      <c r="DY59" s="256"/>
      <c r="DZ59" s="256"/>
      <c r="EA59" s="256"/>
      <c r="EB59" s="256"/>
      <c r="EC59" s="256"/>
      <c r="ED59" s="256"/>
      <c r="EE59" s="256"/>
      <c r="EF59" s="256"/>
      <c r="EG59" s="256"/>
      <c r="EH59" s="256"/>
      <c r="EI59" s="256"/>
      <c r="EJ59" s="256"/>
      <c r="EK59" s="256"/>
      <c r="EL59" s="256"/>
      <c r="EM59" s="256"/>
      <c r="EN59" s="256"/>
      <c r="EO59" s="256"/>
      <c r="EP59" s="256"/>
      <c r="EQ59" s="256"/>
      <c r="ER59" s="256"/>
      <c r="ES59" s="256"/>
      <c r="ET59" s="256"/>
      <c r="EU59" s="256"/>
      <c r="EV59" s="256"/>
      <c r="EW59" s="256"/>
      <c r="EX59" s="256"/>
      <c r="EY59" s="256"/>
      <c r="EZ59" s="256"/>
      <c r="FA59" s="256"/>
      <c r="FB59" s="256"/>
      <c r="FC59" s="256"/>
      <c r="FD59" s="256"/>
      <c r="FE59" s="256"/>
      <c r="FF59" s="256"/>
      <c r="FG59" s="256"/>
      <c r="FH59" s="256"/>
      <c r="FI59" s="256"/>
      <c r="FJ59" s="256"/>
      <c r="FK59" s="256"/>
      <c r="FL59" s="256"/>
      <c r="FM59" s="256"/>
      <c r="FN59" s="256"/>
      <c r="FO59" s="256"/>
    </row>
    <row r="60" spans="1:171" s="31" customFormat="1" ht="19.5" customHeight="1">
      <c r="A60" s="260"/>
      <c r="B60" s="263"/>
      <c r="C60" s="262"/>
      <c r="D60" s="98"/>
      <c r="E60" s="98"/>
      <c r="F60" s="98"/>
      <c r="G60" s="98"/>
      <c r="H60" s="179"/>
      <c r="I60" s="179"/>
      <c r="J60" s="179"/>
      <c r="K60" s="179"/>
      <c r="L60" s="179"/>
      <c r="M60" s="179"/>
      <c r="N60" s="292"/>
      <c r="O60" s="179"/>
      <c r="P60" s="179"/>
      <c r="Q60" s="179"/>
      <c r="R60" s="179"/>
      <c r="S60" s="180"/>
      <c r="T60" s="180"/>
      <c r="U60" s="180"/>
      <c r="V60" s="180"/>
      <c r="W60" s="180"/>
      <c r="X60" s="180"/>
      <c r="Y60" s="180"/>
      <c r="Z60" s="180"/>
      <c r="AA60" s="179"/>
      <c r="AB60" s="292"/>
      <c r="AC60" s="180"/>
      <c r="AD60" s="179"/>
      <c r="AE60" s="179"/>
      <c r="AF60" s="179"/>
      <c r="AG60" s="179"/>
      <c r="AH60" s="179"/>
      <c r="AI60" s="179"/>
      <c r="AJ60" s="179"/>
      <c r="AK60" s="179"/>
      <c r="AL60" s="179"/>
      <c r="AM60" s="179"/>
      <c r="AN60" s="179"/>
      <c r="AO60" s="179"/>
      <c r="AP60" s="179"/>
      <c r="AQ60" s="179"/>
      <c r="AR60" s="179"/>
      <c r="AS60" s="179"/>
      <c r="AT60" s="292"/>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95"/>
      <c r="CE60" s="181"/>
      <c r="CF60" s="273"/>
      <c r="CG60" s="256"/>
      <c r="CH60" s="256"/>
      <c r="CI60" s="256"/>
      <c r="CJ60" s="256"/>
      <c r="CK60" s="256"/>
      <c r="CL60" s="256"/>
      <c r="CM60" s="256"/>
      <c r="CN60" s="256"/>
      <c r="CO60" s="261"/>
      <c r="CP60" s="261"/>
      <c r="CQ60" s="261"/>
      <c r="CR60" s="261"/>
      <c r="CS60" s="261"/>
      <c r="CT60" s="261"/>
      <c r="CU60" s="261"/>
      <c r="CV60" s="261"/>
      <c r="CW60" s="261"/>
      <c r="CX60" s="261"/>
      <c r="CY60" s="261"/>
      <c r="CZ60" s="261"/>
      <c r="DA60" s="261"/>
      <c r="DB60" s="261"/>
      <c r="DC60" s="261"/>
      <c r="DD60" s="261"/>
      <c r="DE60" s="261"/>
      <c r="DF60" s="261"/>
      <c r="DG60" s="261"/>
      <c r="DH60" s="261"/>
      <c r="DI60" s="279"/>
      <c r="DJ60" s="279"/>
      <c r="DK60" s="261"/>
      <c r="DL60" s="261"/>
      <c r="DM60" s="261"/>
      <c r="DN60" s="261"/>
      <c r="DO60" s="261"/>
      <c r="DP60" s="261"/>
      <c r="DQ60" s="261"/>
      <c r="DR60" s="261"/>
      <c r="DS60" s="261"/>
      <c r="DT60" s="261"/>
      <c r="DU60" s="261"/>
      <c r="DV60" s="261"/>
      <c r="DW60" s="261"/>
      <c r="DX60" s="261"/>
      <c r="DY60" s="279"/>
      <c r="DZ60" s="256"/>
      <c r="EA60" s="256"/>
      <c r="EB60" s="256"/>
      <c r="EC60" s="256"/>
      <c r="ED60" s="256"/>
      <c r="EE60" s="256"/>
      <c r="EF60" s="256"/>
      <c r="EG60" s="256"/>
      <c r="EH60" s="256"/>
      <c r="EI60" s="256"/>
      <c r="EJ60" s="256"/>
      <c r="EK60" s="256"/>
      <c r="EL60" s="256"/>
      <c r="EM60" s="256"/>
      <c r="EN60" s="256"/>
      <c r="EO60" s="256"/>
      <c r="EP60" s="256"/>
      <c r="EQ60" s="256"/>
      <c r="ER60" s="256"/>
      <c r="ES60" s="256"/>
      <c r="ET60" s="256"/>
      <c r="EU60" s="256"/>
      <c r="EV60" s="256"/>
      <c r="EW60" s="256"/>
      <c r="EX60" s="256"/>
      <c r="EY60" s="256"/>
      <c r="EZ60" s="256"/>
      <c r="FA60" s="256"/>
      <c r="FB60" s="256"/>
      <c r="FC60" s="256"/>
      <c r="FD60" s="256"/>
      <c r="FE60" s="256"/>
      <c r="FF60" s="256"/>
      <c r="FG60" s="256"/>
      <c r="FH60" s="256"/>
      <c r="FI60" s="256"/>
      <c r="FJ60" s="256"/>
      <c r="FK60" s="256"/>
      <c r="FL60" s="256"/>
      <c r="FM60" s="256"/>
      <c r="FN60" s="256"/>
      <c r="FO60" s="256"/>
    </row>
    <row r="61" spans="1:171" s="31" customFormat="1" ht="19.5" customHeight="1">
      <c r="A61" s="260"/>
      <c r="B61" s="263"/>
      <c r="C61" s="262"/>
      <c r="D61" s="98"/>
      <c r="E61" s="98"/>
      <c r="F61" s="98"/>
      <c r="G61" s="98"/>
      <c r="H61" s="192"/>
      <c r="I61" s="179"/>
      <c r="J61" s="179"/>
      <c r="K61" s="179"/>
      <c r="L61" s="179"/>
      <c r="M61" s="179"/>
      <c r="N61" s="179"/>
      <c r="O61" s="179"/>
      <c r="P61" s="179"/>
      <c r="Q61" s="179"/>
      <c r="R61" s="179"/>
      <c r="S61" s="179"/>
      <c r="T61" s="179"/>
      <c r="U61" s="179"/>
      <c r="V61" s="193"/>
      <c r="W61" s="179"/>
      <c r="X61" s="179"/>
      <c r="Y61" s="179"/>
      <c r="Z61" s="179"/>
      <c r="AA61" s="179"/>
      <c r="AB61" s="179"/>
      <c r="AC61" s="179"/>
      <c r="AD61" s="179"/>
      <c r="AE61" s="179"/>
      <c r="AF61" s="179"/>
      <c r="AG61" s="179"/>
      <c r="AH61" s="179"/>
      <c r="AI61" s="179"/>
      <c r="AJ61" s="179"/>
      <c r="AK61" s="179"/>
      <c r="AL61" s="179"/>
      <c r="AM61" s="179"/>
      <c r="AN61" s="179"/>
      <c r="AO61" s="179"/>
      <c r="AP61" s="179"/>
      <c r="AQ61" s="179"/>
      <c r="AR61" s="179"/>
      <c r="AS61" s="179"/>
      <c r="AT61" s="179"/>
      <c r="AU61" s="179"/>
      <c r="AV61" s="179"/>
      <c r="AW61" s="179"/>
      <c r="AX61" s="179"/>
      <c r="AY61" s="179"/>
      <c r="AZ61" s="179"/>
      <c r="BA61" s="179"/>
      <c r="BB61" s="179"/>
      <c r="BC61" s="179"/>
      <c r="BD61" s="179"/>
      <c r="BE61" s="179"/>
      <c r="BF61" s="179"/>
      <c r="BG61" s="179"/>
      <c r="BH61" s="179"/>
      <c r="BI61" s="179"/>
      <c r="BJ61" s="179"/>
      <c r="BK61" s="179"/>
      <c r="BL61" s="179"/>
      <c r="BM61" s="179"/>
      <c r="BN61" s="179"/>
      <c r="BO61" s="179"/>
      <c r="BP61" s="179"/>
      <c r="BQ61" s="179"/>
      <c r="BR61" s="179"/>
      <c r="BS61" s="179"/>
      <c r="BT61" s="179"/>
      <c r="BU61" s="179"/>
      <c r="BV61" s="179"/>
      <c r="BW61" s="179"/>
      <c r="BX61" s="179"/>
      <c r="BY61" s="179"/>
      <c r="BZ61" s="179"/>
      <c r="CA61" s="179"/>
      <c r="CB61" s="179"/>
      <c r="CC61" s="179"/>
      <c r="CD61" s="95"/>
      <c r="CE61" s="181"/>
      <c r="CF61" s="273"/>
      <c r="CG61" s="256"/>
      <c r="CH61" s="256"/>
      <c r="CI61" s="256"/>
      <c r="CJ61" s="256"/>
      <c r="CK61" s="256"/>
      <c r="CL61" s="256"/>
      <c r="CM61" s="256"/>
      <c r="CN61" s="256"/>
      <c r="CO61" s="256"/>
      <c r="CP61" s="256"/>
      <c r="CQ61" s="256"/>
      <c r="CR61" s="256"/>
      <c r="CS61" s="256"/>
      <c r="CT61" s="256"/>
      <c r="CU61" s="256"/>
      <c r="CV61" s="256"/>
      <c r="CW61" s="256"/>
      <c r="CX61" s="256"/>
      <c r="CY61" s="256"/>
      <c r="CZ61" s="256"/>
      <c r="DA61" s="256"/>
      <c r="DB61" s="256"/>
      <c r="DC61" s="256"/>
      <c r="DD61" s="256"/>
      <c r="DE61" s="256"/>
      <c r="DF61" s="256"/>
      <c r="DG61" s="256"/>
      <c r="DH61" s="256"/>
      <c r="DI61" s="256"/>
      <c r="DJ61" s="256"/>
      <c r="DK61" s="256"/>
      <c r="DL61" s="256"/>
      <c r="DM61" s="256"/>
      <c r="DN61" s="256"/>
      <c r="DO61" s="256"/>
      <c r="DP61" s="256"/>
      <c r="DQ61" s="256"/>
      <c r="DR61" s="256"/>
      <c r="DS61" s="256"/>
      <c r="DT61" s="256"/>
      <c r="DU61" s="256"/>
      <c r="DV61" s="256"/>
      <c r="DW61" s="256"/>
      <c r="DX61" s="256"/>
      <c r="DY61" s="256"/>
      <c r="DZ61" s="256"/>
      <c r="EA61" s="256"/>
      <c r="EB61" s="256"/>
      <c r="EC61" s="256"/>
      <c r="ED61" s="256"/>
      <c r="EE61" s="256"/>
      <c r="EF61" s="256"/>
      <c r="EG61" s="256"/>
      <c r="EH61" s="256"/>
      <c r="EI61" s="256"/>
      <c r="EJ61" s="256"/>
      <c r="EK61" s="256"/>
      <c r="EL61" s="256"/>
      <c r="EM61" s="256"/>
      <c r="EN61" s="256"/>
      <c r="EO61" s="256"/>
      <c r="EP61" s="256"/>
      <c r="EQ61" s="256"/>
      <c r="ER61" s="256"/>
      <c r="ES61" s="256"/>
      <c r="ET61" s="256"/>
      <c r="EU61" s="256"/>
      <c r="EV61" s="256"/>
      <c r="EW61" s="256"/>
      <c r="EX61" s="256"/>
      <c r="EY61" s="256"/>
      <c r="EZ61" s="256"/>
      <c r="FA61" s="256"/>
      <c r="FB61" s="256"/>
      <c r="FC61" s="256"/>
      <c r="FD61" s="256"/>
      <c r="FE61" s="256"/>
      <c r="FF61" s="256"/>
      <c r="FG61" s="256"/>
      <c r="FH61" s="256"/>
      <c r="FI61" s="256"/>
      <c r="FJ61" s="256"/>
      <c r="FK61" s="256"/>
      <c r="FL61" s="256"/>
      <c r="FM61" s="256"/>
      <c r="FN61" s="256"/>
      <c r="FO61" s="256"/>
    </row>
    <row r="62" spans="1:171" s="31" customFormat="1" ht="19.5" customHeight="1">
      <c r="A62" s="260"/>
      <c r="B62" s="263"/>
      <c r="C62" s="263"/>
      <c r="D62" s="182"/>
      <c r="E62" s="89"/>
      <c r="F62" s="89"/>
      <c r="G62" s="89"/>
      <c r="H62" s="89"/>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7"/>
      <c r="BZ62" s="127"/>
      <c r="CA62" s="127"/>
      <c r="CB62" s="127"/>
      <c r="CC62" s="127"/>
      <c r="CD62" s="127"/>
      <c r="CE62" s="188"/>
      <c r="CF62" s="273"/>
      <c r="CG62" s="256"/>
      <c r="CH62" s="256"/>
      <c r="CI62" s="256"/>
      <c r="CJ62" s="256"/>
      <c r="CK62" s="256"/>
      <c r="CL62" s="256"/>
      <c r="CM62" s="256"/>
      <c r="CN62" s="256"/>
      <c r="CO62" s="256"/>
      <c r="CP62" s="256"/>
      <c r="CQ62" s="256"/>
      <c r="CR62" s="256"/>
      <c r="CS62" s="256"/>
      <c r="CT62" s="256"/>
      <c r="CU62" s="256"/>
      <c r="CV62" s="256"/>
      <c r="CW62" s="256"/>
      <c r="CX62" s="256"/>
      <c r="CY62" s="256"/>
      <c r="CZ62" s="256"/>
      <c r="DA62" s="256"/>
      <c r="DB62" s="256"/>
      <c r="DC62" s="256"/>
      <c r="DD62" s="256"/>
      <c r="DE62" s="256"/>
      <c r="DF62" s="256"/>
      <c r="DG62" s="256"/>
      <c r="DH62" s="256"/>
      <c r="DI62" s="256"/>
      <c r="DJ62" s="256"/>
      <c r="DK62" s="256"/>
      <c r="DL62" s="256"/>
      <c r="DM62" s="256"/>
      <c r="DN62" s="256"/>
      <c r="DO62" s="256"/>
      <c r="DP62" s="256"/>
      <c r="DQ62" s="256"/>
      <c r="DR62" s="256"/>
      <c r="DS62" s="256"/>
      <c r="DT62" s="256"/>
      <c r="DU62" s="256"/>
      <c r="DV62" s="256"/>
      <c r="DW62" s="256"/>
      <c r="DX62" s="256"/>
      <c r="DY62" s="256"/>
      <c r="DZ62" s="256"/>
      <c r="EA62" s="256"/>
      <c r="EB62" s="256"/>
      <c r="EC62" s="256"/>
      <c r="ED62" s="256"/>
      <c r="EE62" s="256"/>
      <c r="EF62" s="256"/>
      <c r="EG62" s="256"/>
      <c r="EH62" s="256"/>
      <c r="EI62" s="256"/>
      <c r="EJ62" s="256"/>
      <c r="EK62" s="256"/>
      <c r="EL62" s="256"/>
      <c r="EM62" s="256"/>
      <c r="EN62" s="256"/>
      <c r="EO62" s="256"/>
      <c r="EP62" s="256"/>
      <c r="EQ62" s="256"/>
      <c r="ER62" s="256"/>
      <c r="ES62" s="256"/>
      <c r="ET62" s="256"/>
      <c r="EU62" s="256"/>
      <c r="EV62" s="256"/>
      <c r="EW62" s="256"/>
      <c r="EX62" s="256"/>
      <c r="EY62" s="256"/>
      <c r="EZ62" s="256"/>
      <c r="FA62" s="256"/>
      <c r="FB62" s="256"/>
      <c r="FC62" s="256"/>
      <c r="FD62" s="256"/>
      <c r="FE62" s="256"/>
      <c r="FF62" s="256"/>
      <c r="FG62" s="256"/>
      <c r="FH62" s="256"/>
      <c r="FI62" s="256"/>
      <c r="FJ62" s="256"/>
      <c r="FK62" s="256"/>
      <c r="FL62" s="256"/>
      <c r="FM62" s="256"/>
      <c r="FN62" s="256"/>
      <c r="FO62" s="256"/>
    </row>
    <row r="63" spans="1:171" s="256" customFormat="1" ht="19.5" customHeight="1">
      <c r="A63" s="260"/>
      <c r="B63" s="263"/>
      <c r="C63" s="263"/>
      <c r="D63" s="302"/>
      <c r="E63" s="302"/>
      <c r="F63" s="302"/>
      <c r="G63" s="302"/>
      <c r="H63" s="302"/>
      <c r="I63" s="303"/>
      <c r="J63" s="303"/>
      <c r="K63" s="303"/>
      <c r="L63" s="303"/>
      <c r="M63" s="303"/>
      <c r="N63" s="303"/>
      <c r="O63" s="303"/>
      <c r="P63" s="303"/>
      <c r="Q63" s="303"/>
      <c r="R63" s="303"/>
      <c r="S63" s="303"/>
      <c r="T63" s="303"/>
      <c r="U63" s="303"/>
      <c r="V63" s="303"/>
      <c r="W63" s="303"/>
      <c r="X63" s="303"/>
      <c r="Y63" s="303"/>
      <c r="Z63" s="303"/>
      <c r="AA63" s="303"/>
      <c r="AB63" s="303"/>
      <c r="AC63" s="303"/>
      <c r="AD63" s="303"/>
      <c r="AE63" s="303"/>
      <c r="AF63" s="303"/>
      <c r="AG63" s="303"/>
      <c r="AH63" s="303"/>
      <c r="AI63" s="303"/>
      <c r="AJ63" s="303"/>
      <c r="AK63" s="303"/>
      <c r="AL63" s="303"/>
      <c r="AM63" s="303"/>
      <c r="AN63" s="303"/>
      <c r="AO63" s="303"/>
      <c r="AP63" s="303"/>
      <c r="AQ63" s="303"/>
      <c r="AR63" s="303"/>
      <c r="AS63" s="303"/>
      <c r="AT63" s="303"/>
      <c r="AU63" s="303"/>
      <c r="AV63" s="303"/>
      <c r="AW63" s="303"/>
      <c r="AX63" s="303"/>
      <c r="AY63" s="303"/>
      <c r="AZ63" s="303"/>
      <c r="BA63" s="303"/>
      <c r="BB63" s="303"/>
      <c r="BC63" s="303"/>
      <c r="BD63" s="303"/>
      <c r="BE63" s="303"/>
      <c r="BF63" s="303"/>
      <c r="BG63" s="303"/>
      <c r="BH63" s="303"/>
      <c r="BI63" s="303"/>
      <c r="BJ63" s="303"/>
      <c r="BK63" s="303"/>
      <c r="BL63" s="303"/>
      <c r="BM63" s="303"/>
      <c r="BN63" s="303"/>
      <c r="BO63" s="303"/>
      <c r="BP63" s="303"/>
      <c r="BQ63" s="303"/>
      <c r="BR63" s="303"/>
      <c r="BS63" s="303"/>
      <c r="BT63" s="303"/>
      <c r="BU63" s="303"/>
      <c r="BV63" s="303"/>
      <c r="BW63" s="303"/>
      <c r="BX63" s="303"/>
      <c r="BY63" s="303"/>
      <c r="BZ63" s="303"/>
      <c r="CA63" s="303"/>
      <c r="CB63" s="303"/>
      <c r="CC63" s="303"/>
      <c r="CD63" s="303"/>
      <c r="CE63" s="304"/>
      <c r="CF63" s="273"/>
    </row>
    <row r="64" spans="1:171" s="254" customFormat="1" ht="21.75" customHeight="1">
      <c r="A64" s="297"/>
      <c r="B64" s="298"/>
      <c r="C64" s="298"/>
      <c r="D64" s="299" t="s">
        <v>353</v>
      </c>
      <c r="E64" s="300"/>
      <c r="F64" s="300"/>
      <c r="G64" s="300"/>
      <c r="H64" s="300"/>
      <c r="I64" s="300"/>
      <c r="J64" s="300"/>
      <c r="K64" s="300"/>
      <c r="L64" s="298"/>
      <c r="M64" s="299"/>
      <c r="N64" s="298"/>
      <c r="O64" s="298"/>
      <c r="P64" s="298"/>
      <c r="Q64" s="299"/>
      <c r="R64" s="298"/>
      <c r="S64" s="298"/>
      <c r="T64" s="299"/>
      <c r="U64" s="298"/>
      <c r="V64" s="298"/>
      <c r="W64" s="298"/>
      <c r="X64" s="298"/>
      <c r="Y64" s="298"/>
      <c r="Z64" s="298"/>
      <c r="AA64" s="298"/>
      <c r="AB64" s="298"/>
      <c r="AC64" s="298"/>
      <c r="AD64" s="298"/>
      <c r="AE64" s="298"/>
      <c r="AF64" s="298"/>
      <c r="AG64" s="298"/>
      <c r="AH64" s="298"/>
      <c r="AI64" s="298"/>
      <c r="AJ64" s="298"/>
      <c r="AK64" s="298"/>
      <c r="AL64" s="298"/>
      <c r="AM64" s="298"/>
      <c r="AN64" s="298"/>
      <c r="AO64" s="298"/>
      <c r="AP64" s="298"/>
      <c r="AQ64" s="298"/>
      <c r="AR64" s="298"/>
      <c r="AS64" s="298"/>
      <c r="AT64" s="298"/>
      <c r="AU64" s="298"/>
      <c r="AV64" s="298"/>
      <c r="AW64" s="298"/>
      <c r="AX64" s="298"/>
      <c r="AY64" s="298"/>
      <c r="AZ64" s="298"/>
      <c r="BA64" s="298"/>
      <c r="BB64" s="298"/>
      <c r="BC64" s="298"/>
      <c r="BD64" s="298"/>
      <c r="BE64" s="298"/>
      <c r="BF64" s="298"/>
      <c r="BG64" s="298"/>
      <c r="BH64" s="298"/>
      <c r="BI64" s="298"/>
      <c r="BJ64" s="298"/>
      <c r="BK64" s="298"/>
      <c r="BL64" s="298"/>
      <c r="BM64" s="298"/>
      <c r="BN64" s="298"/>
      <c r="BO64" s="298"/>
      <c r="BP64" s="298"/>
      <c r="BQ64" s="298"/>
      <c r="BR64" s="298"/>
      <c r="BS64" s="298"/>
      <c r="BT64" s="298"/>
      <c r="BU64" s="298"/>
      <c r="BV64" s="298"/>
      <c r="BW64" s="298"/>
      <c r="BX64" s="298"/>
      <c r="BY64" s="298"/>
      <c r="BZ64" s="298"/>
      <c r="CA64" s="298"/>
      <c r="CB64" s="298"/>
      <c r="CC64" s="298"/>
      <c r="CD64" s="298"/>
      <c r="CE64" s="298"/>
      <c r="CF64" s="301"/>
    </row>
    <row r="65" spans="1:171" s="31" customFormat="1" ht="19.5" customHeight="1">
      <c r="A65" s="260"/>
      <c r="B65" s="261"/>
      <c r="C65" s="262"/>
      <c r="D65" s="283"/>
      <c r="E65" s="284"/>
      <c r="F65" s="284"/>
      <c r="G65" s="284"/>
      <c r="H65" s="284"/>
      <c r="I65" s="284"/>
      <c r="J65" s="284"/>
      <c r="K65" s="284"/>
      <c r="L65" s="284"/>
      <c r="M65" s="421" t="s">
        <v>300</v>
      </c>
      <c r="N65" s="421"/>
      <c r="O65" s="421"/>
      <c r="P65" s="421"/>
      <c r="Q65" s="421"/>
      <c r="R65" s="421"/>
      <c r="S65" s="421"/>
      <c r="T65" s="421"/>
      <c r="U65" s="421"/>
      <c r="V65" s="421"/>
      <c r="W65" s="421"/>
      <c r="X65" s="421"/>
      <c r="Y65" s="421"/>
      <c r="Z65" s="421"/>
      <c r="AA65" s="421"/>
      <c r="AB65" s="421"/>
      <c r="AC65" s="421"/>
      <c r="AD65" s="421"/>
      <c r="AE65" s="421"/>
      <c r="AF65" s="421"/>
      <c r="AG65" s="421"/>
      <c r="AH65" s="421"/>
      <c r="AI65" s="421"/>
      <c r="AJ65" s="421"/>
      <c r="AK65" s="421"/>
      <c r="AL65" s="421"/>
      <c r="AM65" s="421"/>
      <c r="AN65" s="421"/>
      <c r="AO65" s="421"/>
      <c r="AP65" s="421"/>
      <c r="AQ65" s="421"/>
      <c r="AR65" s="421"/>
      <c r="AS65" s="421"/>
      <c r="AT65" s="421"/>
      <c r="AU65" s="421"/>
      <c r="AV65" s="421"/>
      <c r="AW65" s="421"/>
      <c r="AX65" s="421"/>
      <c r="AY65" s="421"/>
      <c r="AZ65" s="421"/>
      <c r="BA65" s="421"/>
      <c r="BB65" s="421"/>
      <c r="BC65" s="421"/>
      <c r="BD65" s="421"/>
      <c r="BE65" s="421"/>
      <c r="BF65" s="421"/>
      <c r="BG65" s="421"/>
      <c r="BH65" s="421"/>
      <c r="BI65" s="421"/>
      <c r="BJ65" s="421"/>
      <c r="BK65" s="421"/>
      <c r="BL65" s="421"/>
      <c r="BM65" s="421"/>
      <c r="BN65" s="421"/>
      <c r="BO65" s="421"/>
      <c r="BP65" s="421"/>
      <c r="BQ65" s="284"/>
      <c r="BR65" s="284"/>
      <c r="BS65" s="284"/>
      <c r="BT65" s="284"/>
      <c r="BU65" s="417" t="s">
        <v>289</v>
      </c>
      <c r="BV65" s="417"/>
      <c r="BW65" s="417"/>
      <c r="BX65" s="417"/>
      <c r="BY65" s="417"/>
      <c r="BZ65" s="417"/>
      <c r="CA65" s="417"/>
      <c r="CB65" s="417"/>
      <c r="CC65" s="417"/>
      <c r="CD65" s="417"/>
      <c r="CE65" s="418"/>
      <c r="CF65" s="273"/>
      <c r="CG65" s="256"/>
      <c r="CH65" s="256"/>
      <c r="CI65" s="256"/>
      <c r="CJ65" s="256"/>
      <c r="CK65" s="256"/>
      <c r="CL65" s="256"/>
      <c r="CM65" s="256"/>
      <c r="CN65" s="256"/>
      <c r="CO65" s="256"/>
      <c r="CP65" s="256"/>
      <c r="CQ65" s="256"/>
      <c r="CR65" s="256"/>
      <c r="CS65" s="256"/>
      <c r="CT65" s="256"/>
      <c r="CU65" s="256"/>
      <c r="CV65" s="256"/>
      <c r="CW65" s="256"/>
      <c r="CX65" s="256"/>
      <c r="CY65" s="256"/>
      <c r="CZ65" s="256"/>
      <c r="DA65" s="256"/>
      <c r="DB65" s="256"/>
      <c r="DC65" s="256"/>
      <c r="DD65" s="256"/>
      <c r="DE65" s="256"/>
      <c r="DF65" s="256"/>
      <c r="DG65" s="256"/>
      <c r="DH65" s="256"/>
      <c r="DI65" s="256"/>
      <c r="DJ65" s="256"/>
      <c r="DK65" s="256"/>
      <c r="DL65" s="256"/>
      <c r="DM65" s="256"/>
      <c r="DN65" s="256"/>
      <c r="DO65" s="256"/>
      <c r="DP65" s="256"/>
      <c r="DQ65" s="256"/>
      <c r="DR65" s="256"/>
      <c r="DS65" s="256"/>
      <c r="DT65" s="256"/>
      <c r="DU65" s="256"/>
      <c r="DV65" s="256"/>
      <c r="DW65" s="256"/>
      <c r="DX65" s="256"/>
      <c r="DY65" s="256"/>
      <c r="DZ65" s="256"/>
      <c r="EA65" s="256"/>
      <c r="EB65" s="256"/>
      <c r="EC65" s="256"/>
      <c r="ED65" s="256"/>
      <c r="EE65" s="256"/>
      <c r="EF65" s="256"/>
      <c r="EG65" s="256"/>
      <c r="EH65" s="256"/>
      <c r="EI65" s="256"/>
      <c r="EJ65" s="256"/>
      <c r="EK65" s="256"/>
      <c r="EL65" s="256"/>
      <c r="EM65" s="256"/>
      <c r="EN65" s="256"/>
      <c r="EO65" s="256"/>
      <c r="EP65" s="256"/>
      <c r="EQ65" s="256"/>
      <c r="ER65" s="256"/>
      <c r="ES65" s="256"/>
      <c r="ET65" s="256"/>
      <c r="EU65" s="256"/>
      <c r="EV65" s="256"/>
      <c r="EW65" s="256"/>
      <c r="EX65" s="256"/>
      <c r="EY65" s="256"/>
      <c r="EZ65" s="256"/>
      <c r="FA65" s="256"/>
      <c r="FB65" s="256"/>
      <c r="FC65" s="256"/>
      <c r="FD65" s="256"/>
      <c r="FE65" s="256"/>
      <c r="FF65" s="256"/>
      <c r="FG65" s="256"/>
      <c r="FH65" s="256"/>
      <c r="FI65" s="256"/>
      <c r="FJ65" s="256"/>
      <c r="FK65" s="256"/>
      <c r="FL65" s="256"/>
      <c r="FM65" s="256"/>
      <c r="FN65" s="256"/>
      <c r="FO65" s="256"/>
    </row>
    <row r="66" spans="1:171" s="31" customFormat="1" ht="19.5" customHeight="1" thickBot="1">
      <c r="A66" s="260"/>
      <c r="B66" s="263"/>
      <c r="C66" s="262"/>
      <c r="D66" s="286"/>
      <c r="E66" s="286"/>
      <c r="F66" s="286"/>
      <c r="G66" s="286"/>
      <c r="H66" s="286"/>
      <c r="I66" s="286"/>
      <c r="J66" s="286"/>
      <c r="K66" s="286"/>
      <c r="L66" s="286"/>
      <c r="M66" s="422"/>
      <c r="N66" s="422"/>
      <c r="O66" s="422"/>
      <c r="P66" s="422"/>
      <c r="Q66" s="422"/>
      <c r="R66" s="422"/>
      <c r="S66" s="422"/>
      <c r="T66" s="422"/>
      <c r="U66" s="422"/>
      <c r="V66" s="422"/>
      <c r="W66" s="422"/>
      <c r="X66" s="422"/>
      <c r="Y66" s="422"/>
      <c r="Z66" s="422"/>
      <c r="AA66" s="422"/>
      <c r="AB66" s="422"/>
      <c r="AC66" s="422"/>
      <c r="AD66" s="422"/>
      <c r="AE66" s="422"/>
      <c r="AF66" s="422"/>
      <c r="AG66" s="422"/>
      <c r="AH66" s="422"/>
      <c r="AI66" s="422"/>
      <c r="AJ66" s="422"/>
      <c r="AK66" s="422"/>
      <c r="AL66" s="422"/>
      <c r="AM66" s="422"/>
      <c r="AN66" s="422"/>
      <c r="AO66" s="422"/>
      <c r="AP66" s="422"/>
      <c r="AQ66" s="422"/>
      <c r="AR66" s="422"/>
      <c r="AS66" s="422"/>
      <c r="AT66" s="422"/>
      <c r="AU66" s="422"/>
      <c r="AV66" s="422"/>
      <c r="AW66" s="422"/>
      <c r="AX66" s="422"/>
      <c r="AY66" s="422"/>
      <c r="AZ66" s="422"/>
      <c r="BA66" s="422"/>
      <c r="BB66" s="422"/>
      <c r="BC66" s="422"/>
      <c r="BD66" s="422"/>
      <c r="BE66" s="422"/>
      <c r="BF66" s="422"/>
      <c r="BG66" s="422"/>
      <c r="BH66" s="422"/>
      <c r="BI66" s="422"/>
      <c r="BJ66" s="422"/>
      <c r="BK66" s="422"/>
      <c r="BL66" s="422"/>
      <c r="BM66" s="422"/>
      <c r="BN66" s="422"/>
      <c r="BO66" s="422"/>
      <c r="BP66" s="422"/>
      <c r="BQ66" s="286"/>
      <c r="BR66" s="286"/>
      <c r="BS66" s="286"/>
      <c r="BT66" s="286"/>
      <c r="BU66" s="419"/>
      <c r="BV66" s="419"/>
      <c r="BW66" s="419"/>
      <c r="BX66" s="419"/>
      <c r="BY66" s="419"/>
      <c r="BZ66" s="419"/>
      <c r="CA66" s="419"/>
      <c r="CB66" s="419"/>
      <c r="CC66" s="419"/>
      <c r="CD66" s="419"/>
      <c r="CE66" s="420"/>
      <c r="CF66" s="273"/>
      <c r="CG66" s="256"/>
      <c r="CH66" s="256"/>
      <c r="CI66" s="256"/>
      <c r="CJ66" s="256"/>
      <c r="CK66" s="256"/>
      <c r="CL66" s="256"/>
      <c r="CM66" s="256"/>
      <c r="CN66" s="256"/>
      <c r="CO66" s="256"/>
      <c r="CP66" s="256"/>
      <c r="CQ66" s="256"/>
      <c r="CR66" s="256"/>
      <c r="CS66" s="256"/>
      <c r="CT66" s="256"/>
      <c r="CU66" s="256"/>
      <c r="CV66" s="256"/>
      <c r="CW66" s="256"/>
      <c r="CX66" s="256"/>
      <c r="CY66" s="256"/>
      <c r="CZ66" s="256"/>
      <c r="DA66" s="256"/>
      <c r="DB66" s="256"/>
      <c r="DC66" s="256"/>
      <c r="DD66" s="256"/>
      <c r="DE66" s="256"/>
      <c r="DF66" s="256"/>
      <c r="DG66" s="256"/>
      <c r="DH66" s="256"/>
      <c r="DI66" s="256"/>
      <c r="DJ66" s="256"/>
      <c r="DK66" s="256"/>
      <c r="DL66" s="256"/>
      <c r="DM66" s="256"/>
      <c r="DN66" s="256"/>
      <c r="DO66" s="256"/>
      <c r="DP66" s="256"/>
      <c r="DQ66" s="256"/>
      <c r="DR66" s="256"/>
      <c r="DS66" s="256"/>
      <c r="DT66" s="256"/>
      <c r="DU66" s="256"/>
      <c r="DV66" s="256"/>
      <c r="DW66" s="256"/>
      <c r="DX66" s="256"/>
      <c r="DY66" s="256"/>
      <c r="DZ66" s="256"/>
      <c r="EA66" s="256"/>
      <c r="EB66" s="256"/>
      <c r="EC66" s="256"/>
      <c r="ED66" s="256"/>
      <c r="EE66" s="256"/>
      <c r="EF66" s="256"/>
      <c r="EG66" s="256"/>
      <c r="EH66" s="256"/>
      <c r="EI66" s="256"/>
      <c r="EJ66" s="256"/>
      <c r="EK66" s="256"/>
      <c r="EL66" s="256"/>
      <c r="EM66" s="256"/>
      <c r="EN66" s="256"/>
      <c r="EO66" s="256"/>
      <c r="EP66" s="256"/>
      <c r="EQ66" s="256"/>
      <c r="ER66" s="256"/>
      <c r="ES66" s="256"/>
      <c r="ET66" s="256"/>
      <c r="EU66" s="256"/>
      <c r="EV66" s="256"/>
      <c r="EW66" s="256"/>
      <c r="EX66" s="256"/>
      <c r="EY66" s="256"/>
      <c r="EZ66" s="256"/>
      <c r="FA66" s="256"/>
      <c r="FB66" s="256"/>
      <c r="FC66" s="256"/>
      <c r="FD66" s="256"/>
      <c r="FE66" s="256"/>
      <c r="FF66" s="256"/>
      <c r="FG66" s="256"/>
      <c r="FH66" s="256"/>
      <c r="FI66" s="256"/>
      <c r="FJ66" s="256"/>
      <c r="FK66" s="256"/>
      <c r="FL66" s="256"/>
      <c r="FM66" s="256"/>
      <c r="FN66" s="256"/>
      <c r="FO66" s="256"/>
    </row>
    <row r="67" spans="1:171" s="31" customFormat="1" ht="19.5" customHeight="1" thickTop="1">
      <c r="A67" s="260"/>
      <c r="B67" s="263"/>
      <c r="C67" s="262"/>
      <c r="D67" s="86"/>
      <c r="E67" s="86"/>
      <c r="F67" s="86"/>
      <c r="G67" s="86"/>
      <c r="H67" s="179" t="s">
        <v>303</v>
      </c>
      <c r="I67" s="179"/>
      <c r="J67" s="179"/>
      <c r="K67" s="179"/>
      <c r="L67" s="179"/>
      <c r="M67" s="179" t="s">
        <v>31</v>
      </c>
      <c r="N67" s="179"/>
      <c r="O67" s="129" t="s">
        <v>318</v>
      </c>
      <c r="P67" s="129"/>
      <c r="Q67" s="129"/>
      <c r="R67" s="129"/>
      <c r="S67" s="129"/>
      <c r="T67" s="179"/>
      <c r="U67" s="179"/>
      <c r="V67" s="179"/>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80"/>
      <c r="AX67" s="180"/>
      <c r="AY67" s="179"/>
      <c r="AZ67" s="179"/>
      <c r="BA67" s="179"/>
      <c r="BB67" s="179"/>
      <c r="BC67" s="179"/>
      <c r="BD67" s="179"/>
      <c r="BE67" s="179"/>
      <c r="BF67" s="179"/>
      <c r="BG67" s="179"/>
      <c r="BH67" s="179"/>
      <c r="BI67" s="179"/>
      <c r="BJ67" s="179"/>
      <c r="BK67" s="179"/>
      <c r="BL67" s="179"/>
      <c r="BM67" s="179"/>
      <c r="BN67" s="179"/>
      <c r="BO67" s="179"/>
      <c r="BP67" s="179"/>
      <c r="BQ67" s="179"/>
      <c r="BR67" s="179"/>
      <c r="BS67" s="179"/>
      <c r="BT67" s="179"/>
      <c r="BU67" s="179"/>
      <c r="BV67" s="179"/>
      <c r="BW67" s="179"/>
      <c r="BX67" s="179"/>
      <c r="BY67" s="179"/>
      <c r="BZ67" s="179"/>
      <c r="CA67" s="179"/>
      <c r="CB67" s="179"/>
      <c r="CC67" s="95"/>
      <c r="CD67" s="95"/>
      <c r="CE67" s="181"/>
      <c r="CF67" s="273"/>
      <c r="CG67" s="256"/>
      <c r="CH67" s="256"/>
      <c r="CI67" s="256"/>
      <c r="CJ67" s="256"/>
      <c r="CK67" s="256"/>
      <c r="CL67" s="256"/>
      <c r="CM67" s="256"/>
      <c r="CN67" s="256"/>
      <c r="CO67" s="256"/>
      <c r="CP67" s="256"/>
      <c r="CQ67" s="256"/>
      <c r="CR67" s="256"/>
      <c r="CS67" s="256"/>
      <c r="CT67" s="256"/>
      <c r="CU67" s="256"/>
      <c r="CV67" s="256"/>
      <c r="CW67" s="256"/>
      <c r="CX67" s="256"/>
      <c r="CY67" s="256"/>
      <c r="CZ67" s="256"/>
      <c r="DA67" s="256"/>
      <c r="DB67" s="256"/>
      <c r="DC67" s="256"/>
      <c r="DD67" s="256"/>
      <c r="DE67" s="256"/>
      <c r="DF67" s="256"/>
      <c r="DG67" s="256"/>
      <c r="DH67" s="256"/>
      <c r="DI67" s="256"/>
      <c r="DJ67" s="256"/>
      <c r="DK67" s="256"/>
      <c r="DL67" s="256"/>
      <c r="DM67" s="256"/>
      <c r="DN67" s="256"/>
      <c r="DO67" s="256"/>
      <c r="DP67" s="256"/>
      <c r="DQ67" s="256"/>
      <c r="DR67" s="256"/>
      <c r="DS67" s="256"/>
      <c r="DT67" s="256"/>
      <c r="DU67" s="256"/>
      <c r="DV67" s="256"/>
      <c r="DW67" s="256"/>
      <c r="DX67" s="256"/>
      <c r="DY67" s="256"/>
      <c r="DZ67" s="256"/>
      <c r="EA67" s="256"/>
      <c r="EB67" s="256"/>
      <c r="EC67" s="256"/>
      <c r="ED67" s="256"/>
      <c r="EE67" s="256"/>
      <c r="EF67" s="256"/>
      <c r="EG67" s="256"/>
      <c r="EH67" s="256"/>
      <c r="EI67" s="256"/>
      <c r="EJ67" s="256"/>
      <c r="EK67" s="256"/>
      <c r="EL67" s="256"/>
      <c r="EM67" s="256"/>
      <c r="EN67" s="256"/>
      <c r="EO67" s="256"/>
      <c r="EP67" s="256"/>
      <c r="EQ67" s="256"/>
      <c r="ER67" s="256"/>
      <c r="ES67" s="256"/>
      <c r="ET67" s="256"/>
      <c r="EU67" s="256"/>
      <c r="EV67" s="256"/>
      <c r="EW67" s="256"/>
      <c r="EX67" s="256"/>
      <c r="EY67" s="256"/>
      <c r="EZ67" s="256"/>
      <c r="FA67" s="256"/>
      <c r="FB67" s="256"/>
      <c r="FC67" s="256"/>
      <c r="FD67" s="256"/>
      <c r="FE67" s="256"/>
      <c r="FF67" s="256"/>
      <c r="FG67" s="256"/>
      <c r="FH67" s="256"/>
      <c r="FI67" s="256"/>
      <c r="FJ67" s="256"/>
      <c r="FK67" s="256"/>
      <c r="FL67" s="256"/>
      <c r="FM67" s="256"/>
      <c r="FN67" s="256"/>
      <c r="FO67" s="256"/>
    </row>
    <row r="68" spans="1:171" s="31" customFormat="1" ht="19.5" customHeight="1">
      <c r="A68" s="260"/>
      <c r="B68" s="263"/>
      <c r="C68" s="262"/>
      <c r="D68" s="98"/>
      <c r="E68" s="98"/>
      <c r="F68" s="98"/>
      <c r="G68" s="98"/>
      <c r="H68" s="672" t="s">
        <v>354</v>
      </c>
      <c r="I68" s="673"/>
      <c r="J68" s="673"/>
      <c r="K68" s="673"/>
      <c r="L68" s="673"/>
      <c r="M68" s="673"/>
      <c r="N68" s="673"/>
      <c r="O68" s="673"/>
      <c r="P68" s="673"/>
      <c r="Q68" s="673"/>
      <c r="R68" s="673"/>
      <c r="S68" s="673"/>
      <c r="T68" s="673"/>
      <c r="U68" s="673"/>
      <c r="V68" s="673"/>
      <c r="W68" s="673"/>
      <c r="X68" s="673"/>
      <c r="Y68" s="673"/>
      <c r="Z68" s="673"/>
      <c r="AA68" s="673"/>
      <c r="AB68" s="673"/>
      <c r="AC68" s="673"/>
      <c r="AD68" s="673"/>
      <c r="AE68" s="673"/>
      <c r="AF68" s="673"/>
      <c r="AG68" s="673"/>
      <c r="AH68" s="673"/>
      <c r="AI68" s="673"/>
      <c r="AJ68" s="673"/>
      <c r="AK68" s="673"/>
      <c r="AL68" s="673"/>
      <c r="AM68" s="673"/>
      <c r="AN68" s="673"/>
      <c r="AO68" s="673"/>
      <c r="AP68" s="673"/>
      <c r="AQ68" s="673"/>
      <c r="AR68" s="673"/>
      <c r="AS68" s="673"/>
      <c r="AT68" s="673"/>
      <c r="AU68" s="673"/>
      <c r="AV68" s="673"/>
      <c r="AW68" s="673"/>
      <c r="AX68" s="673"/>
      <c r="AY68" s="673"/>
      <c r="AZ68" s="673"/>
      <c r="BA68" s="673"/>
      <c r="BB68" s="673"/>
      <c r="BC68" s="673"/>
      <c r="BD68" s="673"/>
      <c r="BE68" s="673"/>
      <c r="BF68" s="673"/>
      <c r="BG68" s="673"/>
      <c r="BH68" s="673"/>
      <c r="BI68" s="673"/>
      <c r="BJ68" s="673"/>
      <c r="BK68" s="673"/>
      <c r="BL68" s="673"/>
      <c r="BM68" s="673"/>
      <c r="BN68" s="673"/>
      <c r="BO68" s="673"/>
      <c r="BP68" s="673"/>
      <c r="BQ68" s="673"/>
      <c r="BR68" s="673"/>
      <c r="BS68" s="673"/>
      <c r="BT68" s="673"/>
      <c r="BU68" s="673"/>
      <c r="BV68" s="673"/>
      <c r="BW68" s="673"/>
      <c r="BX68" s="673"/>
      <c r="BY68" s="673"/>
      <c r="BZ68" s="673"/>
      <c r="CA68" s="673"/>
      <c r="CB68" s="674"/>
      <c r="CC68" s="95"/>
      <c r="CD68" s="96"/>
      <c r="CE68" s="186"/>
      <c r="CF68" s="273"/>
      <c r="CG68" s="256"/>
      <c r="CH68" s="256"/>
      <c r="CI68" s="256"/>
      <c r="CJ68" s="256"/>
      <c r="CK68" s="256"/>
      <c r="CL68" s="256"/>
      <c r="CM68" s="256"/>
      <c r="CN68" s="256"/>
      <c r="CO68" s="256"/>
      <c r="CP68" s="256"/>
      <c r="CQ68" s="256"/>
      <c r="CR68" s="256"/>
      <c r="CS68" s="256"/>
      <c r="CT68" s="256"/>
      <c r="CU68" s="256"/>
      <c r="CV68" s="256"/>
      <c r="CW68" s="256"/>
      <c r="CX68" s="256"/>
      <c r="CY68" s="256"/>
      <c r="CZ68" s="256"/>
      <c r="DA68" s="256"/>
      <c r="DB68" s="256"/>
      <c r="DC68" s="256"/>
      <c r="DD68" s="256"/>
      <c r="DE68" s="256"/>
      <c r="DF68" s="256"/>
      <c r="DG68" s="256"/>
      <c r="DH68" s="256"/>
      <c r="DI68" s="256"/>
      <c r="DJ68" s="256"/>
      <c r="DK68" s="256"/>
      <c r="DL68" s="256"/>
      <c r="DM68" s="256"/>
      <c r="DN68" s="256"/>
      <c r="DO68" s="256"/>
      <c r="DP68" s="256"/>
      <c r="DQ68" s="256"/>
      <c r="DR68" s="256"/>
      <c r="DS68" s="256"/>
      <c r="DT68" s="256"/>
      <c r="DU68" s="256"/>
      <c r="DV68" s="256"/>
      <c r="DW68" s="256"/>
      <c r="DX68" s="256"/>
      <c r="DY68" s="256"/>
      <c r="DZ68" s="256"/>
      <c r="EA68" s="256"/>
      <c r="EB68" s="256"/>
      <c r="EC68" s="256"/>
      <c r="ED68" s="256"/>
      <c r="EE68" s="256"/>
      <c r="EF68" s="256"/>
      <c r="EG68" s="256"/>
      <c r="EH68" s="256"/>
      <c r="EI68" s="256"/>
      <c r="EJ68" s="256"/>
      <c r="EK68" s="256"/>
      <c r="EL68" s="256"/>
      <c r="EM68" s="256"/>
      <c r="EN68" s="256"/>
      <c r="EO68" s="256"/>
      <c r="EP68" s="256"/>
      <c r="EQ68" s="256"/>
      <c r="ER68" s="256"/>
      <c r="ES68" s="256"/>
      <c r="ET68" s="256"/>
      <c r="EU68" s="256"/>
      <c r="EV68" s="256"/>
      <c r="EW68" s="256"/>
      <c r="EX68" s="256"/>
      <c r="EY68" s="256"/>
      <c r="EZ68" s="256"/>
      <c r="FA68" s="256"/>
      <c r="FB68" s="256"/>
      <c r="FC68" s="256"/>
      <c r="FD68" s="256"/>
      <c r="FE68" s="256"/>
      <c r="FF68" s="256"/>
      <c r="FG68" s="256"/>
      <c r="FH68" s="256"/>
      <c r="FI68" s="256"/>
      <c r="FJ68" s="256"/>
      <c r="FK68" s="256"/>
      <c r="FL68" s="256"/>
      <c r="FM68" s="256"/>
      <c r="FN68" s="256"/>
      <c r="FO68" s="256"/>
    </row>
    <row r="69" spans="1:171" s="31" customFormat="1" ht="19.5" customHeight="1">
      <c r="A69" s="260"/>
      <c r="B69" s="263"/>
      <c r="C69" s="262"/>
      <c r="D69" s="98"/>
      <c r="E69" s="98"/>
      <c r="F69" s="98"/>
      <c r="G69" s="98"/>
      <c r="H69" s="183"/>
      <c r="I69" s="183"/>
      <c r="J69" s="183"/>
      <c r="K69" s="183"/>
      <c r="L69" s="183"/>
      <c r="M69" s="183"/>
      <c r="N69" s="184"/>
      <c r="O69" s="184"/>
      <c r="P69" s="184"/>
      <c r="Q69" s="184"/>
      <c r="R69" s="184"/>
      <c r="S69" s="184"/>
      <c r="T69" s="184"/>
      <c r="U69" s="184"/>
      <c r="V69" s="184"/>
      <c r="W69" s="184"/>
      <c r="X69" s="184"/>
      <c r="Y69" s="184"/>
      <c r="Z69" s="184"/>
      <c r="AA69" s="184"/>
      <c r="AB69" s="184"/>
      <c r="AC69" s="184"/>
      <c r="AD69" s="184"/>
      <c r="AE69" s="184"/>
      <c r="AF69" s="184"/>
      <c r="AG69" s="184"/>
      <c r="AH69" s="184"/>
      <c r="AI69" s="184"/>
      <c r="AJ69" s="184"/>
      <c r="AK69" s="184"/>
      <c r="AL69" s="184"/>
      <c r="AM69" s="184"/>
      <c r="AN69" s="184"/>
      <c r="AO69" s="184"/>
      <c r="AP69" s="184"/>
      <c r="AQ69" s="184"/>
      <c r="AR69" s="184"/>
      <c r="AS69" s="184"/>
      <c r="AT69" s="184"/>
      <c r="AU69" s="184"/>
      <c r="AV69" s="184"/>
      <c r="AW69" s="184"/>
      <c r="AX69" s="184"/>
      <c r="AY69" s="184"/>
      <c r="AZ69" s="184"/>
      <c r="BA69" s="184"/>
      <c r="BB69" s="184"/>
      <c r="BC69" s="184"/>
      <c r="BD69" s="184"/>
      <c r="BE69" s="184"/>
      <c r="BF69" s="184"/>
      <c r="BG69" s="184"/>
      <c r="BH69" s="184"/>
      <c r="BI69" s="184"/>
      <c r="BJ69" s="184"/>
      <c r="BK69" s="184"/>
      <c r="BL69" s="184"/>
      <c r="BM69" s="183"/>
      <c r="BN69" s="183"/>
      <c r="BO69" s="184"/>
      <c r="BP69" s="184"/>
      <c r="BQ69" s="184"/>
      <c r="BR69" s="184"/>
      <c r="BS69" s="184"/>
      <c r="BT69" s="184"/>
      <c r="BU69" s="184"/>
      <c r="BV69" s="184"/>
      <c r="BW69" s="184"/>
      <c r="BX69" s="179"/>
      <c r="BY69" s="179"/>
      <c r="BZ69" s="179"/>
      <c r="CA69" s="179"/>
      <c r="CB69" s="179"/>
      <c r="CC69" s="95"/>
      <c r="CD69" s="95"/>
      <c r="CE69" s="181"/>
      <c r="CF69" s="273"/>
      <c r="CG69" s="256"/>
      <c r="CH69" s="256"/>
      <c r="CI69" s="256"/>
      <c r="CJ69" s="256"/>
      <c r="CK69" s="256"/>
      <c r="CL69" s="256"/>
      <c r="CM69" s="256"/>
      <c r="CN69" s="256"/>
      <c r="CO69" s="256"/>
      <c r="CP69" s="256"/>
      <c r="CQ69" s="256"/>
      <c r="CR69" s="256"/>
      <c r="CS69" s="256"/>
      <c r="CT69" s="256"/>
      <c r="CU69" s="256"/>
      <c r="CV69" s="256"/>
      <c r="CW69" s="256"/>
      <c r="CX69" s="256"/>
      <c r="CY69" s="256"/>
      <c r="CZ69" s="256"/>
      <c r="DA69" s="256"/>
      <c r="DB69" s="256"/>
      <c r="DC69" s="256"/>
      <c r="DD69" s="256"/>
      <c r="DE69" s="256"/>
      <c r="DF69" s="256"/>
      <c r="DG69" s="256"/>
      <c r="DH69" s="256"/>
      <c r="DI69" s="256"/>
      <c r="DJ69" s="256"/>
      <c r="DK69" s="256"/>
      <c r="DL69" s="256"/>
      <c r="DM69" s="256"/>
      <c r="DN69" s="256"/>
      <c r="DO69" s="256"/>
      <c r="DP69" s="256"/>
      <c r="DQ69" s="256"/>
      <c r="DR69" s="256"/>
      <c r="DS69" s="256"/>
      <c r="DT69" s="256"/>
      <c r="DU69" s="256"/>
      <c r="DV69" s="256"/>
      <c r="DW69" s="256"/>
      <c r="DX69" s="256"/>
      <c r="DY69" s="256"/>
      <c r="DZ69" s="256"/>
      <c r="EA69" s="256"/>
      <c r="EB69" s="256"/>
      <c r="EC69" s="256"/>
      <c r="ED69" s="256"/>
      <c r="EE69" s="256"/>
      <c r="EF69" s="256"/>
      <c r="EG69" s="256"/>
      <c r="EH69" s="256"/>
      <c r="EI69" s="256"/>
      <c r="EJ69" s="256"/>
      <c r="EK69" s="256"/>
      <c r="EL69" s="256"/>
      <c r="EM69" s="256"/>
      <c r="EN69" s="256"/>
      <c r="EO69" s="256"/>
      <c r="EP69" s="256"/>
      <c r="EQ69" s="256"/>
      <c r="ER69" s="256"/>
      <c r="ES69" s="256"/>
      <c r="ET69" s="256"/>
      <c r="EU69" s="256"/>
      <c r="EV69" s="256"/>
      <c r="EW69" s="256"/>
      <c r="EX69" s="256"/>
      <c r="EY69" s="256"/>
      <c r="EZ69" s="256"/>
      <c r="FA69" s="256"/>
      <c r="FB69" s="256"/>
      <c r="FC69" s="256"/>
      <c r="FD69" s="256"/>
      <c r="FE69" s="256"/>
      <c r="FF69" s="256"/>
      <c r="FG69" s="256"/>
      <c r="FH69" s="256"/>
      <c r="FI69" s="256"/>
      <c r="FJ69" s="256"/>
      <c r="FK69" s="256"/>
      <c r="FL69" s="256"/>
      <c r="FM69" s="256"/>
      <c r="FN69" s="256"/>
      <c r="FO69" s="256"/>
    </row>
    <row r="70" spans="1:171" s="31" customFormat="1" ht="19.5" customHeight="1">
      <c r="A70" s="260"/>
      <c r="B70" s="263"/>
      <c r="C70" s="262"/>
      <c r="D70" s="98"/>
      <c r="E70" s="98"/>
      <c r="F70" s="98"/>
      <c r="G70" s="98"/>
      <c r="H70" s="666" t="s">
        <v>335</v>
      </c>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667"/>
      <c r="AI70" s="667"/>
      <c r="AJ70" s="667"/>
      <c r="AK70" s="667"/>
      <c r="AL70" s="667"/>
      <c r="AM70" s="667"/>
      <c r="AN70" s="667"/>
      <c r="AO70" s="667"/>
      <c r="AP70" s="667"/>
      <c r="AQ70" s="667"/>
      <c r="AR70" s="667"/>
      <c r="AS70" s="667"/>
      <c r="AT70" s="667"/>
      <c r="AU70" s="667"/>
      <c r="AV70" s="667"/>
      <c r="AW70" s="667"/>
      <c r="AX70" s="667"/>
      <c r="AY70" s="667"/>
      <c r="AZ70" s="667"/>
      <c r="BA70" s="667"/>
      <c r="BB70" s="667"/>
      <c r="BC70" s="667"/>
      <c r="BD70" s="667"/>
      <c r="BE70" s="667"/>
      <c r="BF70" s="667"/>
      <c r="BG70" s="667"/>
      <c r="BH70" s="667"/>
      <c r="BI70" s="667"/>
      <c r="BJ70" s="667"/>
      <c r="BK70" s="667"/>
      <c r="BL70" s="667"/>
      <c r="BM70" s="667"/>
      <c r="BN70" s="667"/>
      <c r="BO70" s="667"/>
      <c r="BP70" s="667"/>
      <c r="BQ70" s="667"/>
      <c r="BR70" s="667"/>
      <c r="BS70" s="667"/>
      <c r="BT70" s="667"/>
      <c r="BU70" s="667"/>
      <c r="BV70" s="667"/>
      <c r="BW70" s="667"/>
      <c r="BX70" s="667"/>
      <c r="BY70" s="667"/>
      <c r="BZ70" s="667"/>
      <c r="CA70" s="667"/>
      <c r="CB70" s="668"/>
      <c r="CC70" s="95"/>
      <c r="CD70" s="95"/>
      <c r="CE70" s="181"/>
      <c r="CF70" s="273"/>
      <c r="CG70" s="256"/>
      <c r="CH70" s="256"/>
      <c r="CI70" s="256"/>
      <c r="CJ70" s="256"/>
      <c r="CK70" s="256"/>
      <c r="CL70" s="256"/>
      <c r="CM70" s="256"/>
      <c r="CN70" s="256"/>
      <c r="CO70" s="256"/>
      <c r="CP70" s="256"/>
      <c r="CQ70" s="256"/>
      <c r="CR70" s="256"/>
      <c r="CS70" s="256"/>
      <c r="CT70" s="256"/>
      <c r="CU70" s="256"/>
      <c r="CV70" s="256"/>
      <c r="CW70" s="256"/>
      <c r="CX70" s="256"/>
      <c r="CY70" s="256"/>
      <c r="CZ70" s="256"/>
      <c r="DA70" s="256"/>
      <c r="DB70" s="256"/>
      <c r="DC70" s="256"/>
      <c r="DD70" s="256"/>
      <c r="DE70" s="256"/>
      <c r="DF70" s="256"/>
      <c r="DG70" s="256"/>
      <c r="DH70" s="256"/>
      <c r="DI70" s="256"/>
      <c r="DJ70" s="256"/>
      <c r="DK70" s="256"/>
      <c r="DL70" s="256"/>
      <c r="DM70" s="256"/>
      <c r="DN70" s="256"/>
      <c r="DO70" s="256"/>
      <c r="DP70" s="256"/>
      <c r="DQ70" s="256"/>
      <c r="DR70" s="256"/>
      <c r="DS70" s="256"/>
      <c r="DT70" s="256"/>
      <c r="DU70" s="256"/>
      <c r="DV70" s="256"/>
      <c r="DW70" s="256"/>
      <c r="DX70" s="256"/>
      <c r="DY70" s="256"/>
      <c r="DZ70" s="256"/>
      <c r="EA70" s="256"/>
      <c r="EB70" s="256"/>
      <c r="EC70" s="256"/>
      <c r="ED70" s="256"/>
      <c r="EE70" s="256"/>
      <c r="EF70" s="256"/>
      <c r="EG70" s="256"/>
      <c r="EH70" s="256"/>
      <c r="EI70" s="256"/>
      <c r="EJ70" s="256"/>
      <c r="EK70" s="256"/>
      <c r="EL70" s="256"/>
      <c r="EM70" s="256"/>
      <c r="EN70" s="256"/>
      <c r="EO70" s="256"/>
      <c r="EP70" s="256"/>
      <c r="EQ70" s="256"/>
      <c r="ER70" s="256"/>
      <c r="ES70" s="256"/>
      <c r="ET70" s="256"/>
      <c r="EU70" s="256"/>
      <c r="EV70" s="256"/>
      <c r="EW70" s="256"/>
      <c r="EX70" s="256"/>
      <c r="EY70" s="256"/>
      <c r="EZ70" s="256"/>
      <c r="FA70" s="256"/>
      <c r="FB70" s="256"/>
      <c r="FC70" s="256"/>
      <c r="FD70" s="256"/>
      <c r="FE70" s="256"/>
      <c r="FF70" s="256"/>
      <c r="FG70" s="256"/>
      <c r="FH70" s="256"/>
      <c r="FI70" s="256"/>
      <c r="FJ70" s="256"/>
      <c r="FK70" s="256"/>
      <c r="FL70" s="256"/>
      <c r="FM70" s="256"/>
      <c r="FN70" s="256"/>
      <c r="FO70" s="256"/>
    </row>
    <row r="71" spans="1:171" s="31" customFormat="1" ht="19.5" customHeight="1">
      <c r="A71" s="260"/>
      <c r="B71" s="263"/>
      <c r="C71" s="262"/>
      <c r="D71" s="98"/>
      <c r="E71" s="98"/>
      <c r="F71" s="98"/>
      <c r="G71" s="98"/>
      <c r="H71" s="669"/>
      <c r="I71" s="670"/>
      <c r="J71" s="670"/>
      <c r="K71" s="670"/>
      <c r="L71" s="670"/>
      <c r="M71" s="670"/>
      <c r="N71" s="670"/>
      <c r="O71" s="670"/>
      <c r="P71" s="670"/>
      <c r="Q71" s="670"/>
      <c r="R71" s="670"/>
      <c r="S71" s="670"/>
      <c r="T71" s="670"/>
      <c r="U71" s="670"/>
      <c r="V71" s="670"/>
      <c r="W71" s="670"/>
      <c r="X71" s="670"/>
      <c r="Y71" s="670"/>
      <c r="Z71" s="670"/>
      <c r="AA71" s="670"/>
      <c r="AB71" s="670"/>
      <c r="AC71" s="670"/>
      <c r="AD71" s="670"/>
      <c r="AE71" s="670"/>
      <c r="AF71" s="670"/>
      <c r="AG71" s="670"/>
      <c r="AH71" s="670"/>
      <c r="AI71" s="670"/>
      <c r="AJ71" s="670"/>
      <c r="AK71" s="670"/>
      <c r="AL71" s="670"/>
      <c r="AM71" s="670"/>
      <c r="AN71" s="670"/>
      <c r="AO71" s="670"/>
      <c r="AP71" s="670"/>
      <c r="AQ71" s="670"/>
      <c r="AR71" s="670"/>
      <c r="AS71" s="670"/>
      <c r="AT71" s="670"/>
      <c r="AU71" s="670"/>
      <c r="AV71" s="670"/>
      <c r="AW71" s="670"/>
      <c r="AX71" s="670"/>
      <c r="AY71" s="670"/>
      <c r="AZ71" s="670"/>
      <c r="BA71" s="670"/>
      <c r="BB71" s="670"/>
      <c r="BC71" s="670"/>
      <c r="BD71" s="670"/>
      <c r="BE71" s="670"/>
      <c r="BF71" s="670"/>
      <c r="BG71" s="670"/>
      <c r="BH71" s="670"/>
      <c r="BI71" s="670"/>
      <c r="BJ71" s="670"/>
      <c r="BK71" s="670"/>
      <c r="BL71" s="670"/>
      <c r="BM71" s="670"/>
      <c r="BN71" s="670"/>
      <c r="BO71" s="670"/>
      <c r="BP71" s="670"/>
      <c r="BQ71" s="670"/>
      <c r="BR71" s="670"/>
      <c r="BS71" s="670"/>
      <c r="BT71" s="670"/>
      <c r="BU71" s="670"/>
      <c r="BV71" s="670"/>
      <c r="BW71" s="670"/>
      <c r="BX71" s="670"/>
      <c r="BY71" s="670"/>
      <c r="BZ71" s="670"/>
      <c r="CA71" s="670"/>
      <c r="CB71" s="671"/>
      <c r="CC71" s="95"/>
      <c r="CD71" s="95"/>
      <c r="CE71" s="181"/>
      <c r="CF71" s="273"/>
      <c r="CG71" s="256"/>
      <c r="CH71" s="256"/>
      <c r="CI71" s="256"/>
      <c r="CJ71" s="256"/>
      <c r="CK71" s="256"/>
      <c r="CL71" s="256"/>
      <c r="CM71" s="256"/>
      <c r="CN71" s="256"/>
      <c r="CO71" s="256"/>
      <c r="CP71" s="256"/>
      <c r="CQ71" s="256"/>
      <c r="CR71" s="256"/>
      <c r="CS71" s="256"/>
      <c r="CT71" s="256"/>
      <c r="CU71" s="256"/>
      <c r="CV71" s="256"/>
      <c r="CW71" s="256"/>
      <c r="CX71" s="256"/>
      <c r="CY71" s="256"/>
      <c r="CZ71" s="256"/>
      <c r="DA71" s="256"/>
      <c r="DB71" s="256"/>
      <c r="DC71" s="256"/>
      <c r="DD71" s="256"/>
      <c r="DE71" s="256"/>
      <c r="DF71" s="256"/>
      <c r="DG71" s="256"/>
      <c r="DH71" s="256"/>
      <c r="DI71" s="256"/>
      <c r="DJ71" s="256"/>
      <c r="DK71" s="256"/>
      <c r="DL71" s="256"/>
      <c r="DM71" s="256"/>
      <c r="DN71" s="256"/>
      <c r="DO71" s="256"/>
      <c r="DP71" s="256"/>
      <c r="DQ71" s="256"/>
      <c r="DR71" s="256"/>
      <c r="DS71" s="256"/>
      <c r="DT71" s="256"/>
      <c r="DU71" s="256"/>
      <c r="DV71" s="256"/>
      <c r="DW71" s="256"/>
      <c r="DX71" s="256"/>
      <c r="DY71" s="256"/>
      <c r="DZ71" s="256"/>
      <c r="EA71" s="256"/>
      <c r="EB71" s="256"/>
      <c r="EC71" s="256"/>
      <c r="ED71" s="256"/>
      <c r="EE71" s="256"/>
      <c r="EF71" s="256"/>
      <c r="EG71" s="256"/>
      <c r="EH71" s="256"/>
      <c r="EI71" s="256"/>
      <c r="EJ71" s="256"/>
      <c r="EK71" s="256"/>
      <c r="EL71" s="256"/>
      <c r="EM71" s="256"/>
      <c r="EN71" s="256"/>
      <c r="EO71" s="256"/>
      <c r="EP71" s="256"/>
      <c r="EQ71" s="256"/>
      <c r="ER71" s="256"/>
      <c r="ES71" s="256"/>
      <c r="ET71" s="256"/>
      <c r="EU71" s="256"/>
      <c r="EV71" s="256"/>
      <c r="EW71" s="256"/>
      <c r="EX71" s="256"/>
      <c r="EY71" s="256"/>
      <c r="EZ71" s="256"/>
      <c r="FA71" s="256"/>
      <c r="FB71" s="256"/>
      <c r="FC71" s="256"/>
      <c r="FD71" s="256"/>
      <c r="FE71" s="256"/>
      <c r="FF71" s="256"/>
      <c r="FG71" s="256"/>
      <c r="FH71" s="256"/>
      <c r="FI71" s="256"/>
      <c r="FJ71" s="256"/>
      <c r="FK71" s="256"/>
      <c r="FL71" s="256"/>
      <c r="FM71" s="256"/>
      <c r="FN71" s="256"/>
      <c r="FO71" s="256"/>
    </row>
    <row r="72" spans="1:171" s="31" customFormat="1" ht="19.5" customHeight="1">
      <c r="A72" s="260"/>
      <c r="B72" s="263"/>
      <c r="C72" s="262"/>
      <c r="D72" s="98"/>
      <c r="E72" s="98"/>
      <c r="F72" s="98"/>
      <c r="G72" s="98"/>
      <c r="H72" s="183"/>
      <c r="I72" s="183"/>
      <c r="J72" s="183"/>
      <c r="K72" s="183"/>
      <c r="L72" s="183"/>
      <c r="M72" s="183"/>
      <c r="N72" s="184"/>
      <c r="O72" s="184"/>
      <c r="P72" s="184"/>
      <c r="Q72" s="184"/>
      <c r="R72" s="184"/>
      <c r="S72" s="184"/>
      <c r="T72" s="184"/>
      <c r="U72" s="184"/>
      <c r="V72" s="184"/>
      <c r="W72" s="184"/>
      <c r="X72" s="184"/>
      <c r="Y72" s="184"/>
      <c r="Z72" s="184"/>
      <c r="AA72" s="184"/>
      <c r="AB72" s="184"/>
      <c r="AC72" s="184"/>
      <c r="AD72" s="184"/>
      <c r="AE72" s="184"/>
      <c r="AF72" s="184"/>
      <c r="AG72" s="184"/>
      <c r="AH72" s="184"/>
      <c r="AI72" s="184"/>
      <c r="AJ72" s="184"/>
      <c r="AK72" s="184"/>
      <c r="AL72" s="184"/>
      <c r="AM72" s="184"/>
      <c r="AN72" s="184"/>
      <c r="AO72" s="184"/>
      <c r="AP72" s="184"/>
      <c r="AQ72" s="184"/>
      <c r="AR72" s="184"/>
      <c r="AS72" s="184"/>
      <c r="AT72" s="184"/>
      <c r="AU72" s="184"/>
      <c r="AV72" s="184"/>
      <c r="AW72" s="184"/>
      <c r="AX72" s="184"/>
      <c r="AY72" s="184"/>
      <c r="AZ72" s="184"/>
      <c r="BA72" s="184"/>
      <c r="BB72" s="184"/>
      <c r="BC72" s="184"/>
      <c r="BD72" s="184"/>
      <c r="BE72" s="184"/>
      <c r="BF72" s="184"/>
      <c r="BG72" s="184"/>
      <c r="BH72" s="184"/>
      <c r="BI72" s="184"/>
      <c r="BJ72" s="184"/>
      <c r="BK72" s="184"/>
      <c r="BL72" s="184"/>
      <c r="BM72" s="183"/>
      <c r="BN72" s="183"/>
      <c r="BO72" s="184"/>
      <c r="BP72" s="184"/>
      <c r="BQ72" s="184"/>
      <c r="BR72" s="184"/>
      <c r="BS72" s="184"/>
      <c r="BT72" s="184"/>
      <c r="BU72" s="184"/>
      <c r="BV72" s="184"/>
      <c r="BW72" s="184"/>
      <c r="BX72" s="179"/>
      <c r="BY72" s="179"/>
      <c r="BZ72" s="179"/>
      <c r="CA72" s="179"/>
      <c r="CB72" s="179"/>
      <c r="CC72" s="95"/>
      <c r="CD72" s="95"/>
      <c r="CE72" s="181"/>
      <c r="CF72" s="273"/>
      <c r="CG72" s="256"/>
      <c r="CH72" s="256"/>
      <c r="CI72" s="256"/>
      <c r="CJ72" s="256"/>
      <c r="CK72" s="256"/>
      <c r="CL72" s="256"/>
      <c r="CM72" s="256"/>
      <c r="CN72" s="256"/>
      <c r="CO72" s="256"/>
      <c r="CP72" s="256"/>
      <c r="CQ72" s="256"/>
      <c r="CR72" s="256"/>
      <c r="CS72" s="256"/>
      <c r="CT72" s="256"/>
      <c r="CU72" s="256"/>
      <c r="CV72" s="256"/>
      <c r="CW72" s="256"/>
      <c r="CX72" s="256"/>
      <c r="CY72" s="256"/>
      <c r="CZ72" s="256"/>
      <c r="DA72" s="256"/>
      <c r="DB72" s="256"/>
      <c r="DC72" s="256"/>
      <c r="DD72" s="256"/>
      <c r="DE72" s="256"/>
      <c r="DF72" s="256"/>
      <c r="DG72" s="256"/>
      <c r="DH72" s="256"/>
      <c r="DI72" s="256"/>
      <c r="DJ72" s="256"/>
      <c r="DK72" s="256"/>
      <c r="DL72" s="256"/>
      <c r="DM72" s="256"/>
      <c r="DN72" s="256"/>
      <c r="DO72" s="256"/>
      <c r="DP72" s="256"/>
      <c r="DQ72" s="256"/>
      <c r="DR72" s="256"/>
      <c r="DS72" s="256"/>
      <c r="DT72" s="256"/>
      <c r="DU72" s="256"/>
      <c r="DV72" s="256"/>
      <c r="DW72" s="256"/>
      <c r="DX72" s="256"/>
      <c r="DY72" s="256"/>
      <c r="DZ72" s="256"/>
      <c r="EA72" s="256"/>
      <c r="EB72" s="256"/>
      <c r="EC72" s="256"/>
      <c r="ED72" s="256"/>
      <c r="EE72" s="256"/>
      <c r="EF72" s="256"/>
      <c r="EG72" s="256"/>
      <c r="EH72" s="256"/>
      <c r="EI72" s="256"/>
      <c r="EJ72" s="256"/>
      <c r="EK72" s="256"/>
      <c r="EL72" s="256"/>
      <c r="EM72" s="256"/>
      <c r="EN72" s="256"/>
      <c r="EO72" s="256"/>
      <c r="EP72" s="256"/>
      <c r="EQ72" s="256"/>
      <c r="ER72" s="256"/>
      <c r="ES72" s="256"/>
      <c r="ET72" s="256"/>
      <c r="EU72" s="256"/>
      <c r="EV72" s="256"/>
      <c r="EW72" s="256"/>
      <c r="EX72" s="256"/>
      <c r="EY72" s="256"/>
      <c r="EZ72" s="256"/>
      <c r="FA72" s="256"/>
      <c r="FB72" s="256"/>
      <c r="FC72" s="256"/>
      <c r="FD72" s="256"/>
      <c r="FE72" s="256"/>
      <c r="FF72" s="256"/>
      <c r="FG72" s="256"/>
      <c r="FH72" s="256"/>
      <c r="FI72" s="256"/>
      <c r="FJ72" s="256"/>
      <c r="FK72" s="256"/>
      <c r="FL72" s="256"/>
      <c r="FM72" s="256"/>
      <c r="FN72" s="256"/>
      <c r="FO72" s="256"/>
    </row>
    <row r="73" spans="1:171" s="31" customFormat="1" ht="19.5" customHeight="1">
      <c r="A73" s="260"/>
      <c r="B73" s="263"/>
      <c r="C73" s="262"/>
      <c r="D73" s="98"/>
      <c r="E73" s="98"/>
      <c r="F73" s="98"/>
      <c r="G73" s="98"/>
      <c r="H73" s="183"/>
      <c r="I73" s="183"/>
      <c r="J73" s="183"/>
      <c r="K73" s="183"/>
      <c r="L73" s="183"/>
      <c r="M73" s="183"/>
      <c r="N73" s="184"/>
      <c r="O73" s="184"/>
      <c r="P73" s="184"/>
      <c r="Q73" s="184"/>
      <c r="R73" s="184"/>
      <c r="S73" s="184"/>
      <c r="T73" s="184"/>
      <c r="U73" s="184"/>
      <c r="V73" s="184"/>
      <c r="W73" s="184"/>
      <c r="X73" s="184"/>
      <c r="Y73" s="184"/>
      <c r="Z73" s="184"/>
      <c r="AA73" s="184"/>
      <c r="AB73" s="184"/>
      <c r="AC73" s="184"/>
      <c r="AD73" s="184"/>
      <c r="AE73" s="184"/>
      <c r="AF73" s="184"/>
      <c r="AG73" s="184"/>
      <c r="AH73" s="184"/>
      <c r="AI73" s="184"/>
      <c r="AJ73" s="184"/>
      <c r="AK73" s="184"/>
      <c r="AL73" s="184"/>
      <c r="AM73" s="184"/>
      <c r="AN73" s="184"/>
      <c r="AO73" s="184"/>
      <c r="AP73" s="184"/>
      <c r="AQ73" s="184"/>
      <c r="AR73" s="184"/>
      <c r="AS73" s="184"/>
      <c r="AT73" s="184"/>
      <c r="AU73" s="184"/>
      <c r="AV73" s="184"/>
      <c r="AW73" s="184"/>
      <c r="AX73" s="184"/>
      <c r="AY73" s="184"/>
      <c r="AZ73" s="184"/>
      <c r="BA73" s="184"/>
      <c r="BB73" s="184"/>
      <c r="BC73" s="184"/>
      <c r="BD73" s="184"/>
      <c r="BE73" s="184"/>
      <c r="BF73" s="184"/>
      <c r="BG73" s="184"/>
      <c r="BH73" s="184"/>
      <c r="BI73" s="184"/>
      <c r="BJ73" s="184"/>
      <c r="BK73" s="184"/>
      <c r="BL73" s="184"/>
      <c r="BM73" s="183"/>
      <c r="BN73" s="183"/>
      <c r="BO73" s="184"/>
      <c r="BP73" s="184"/>
      <c r="BQ73" s="184"/>
      <c r="BR73" s="184"/>
      <c r="BS73" s="184"/>
      <c r="BT73" s="184"/>
      <c r="BU73" s="184"/>
      <c r="BV73" s="184"/>
      <c r="BW73" s="184"/>
      <c r="BX73" s="179"/>
      <c r="BY73" s="179"/>
      <c r="BZ73" s="179"/>
      <c r="CA73" s="179"/>
      <c r="CB73" s="179"/>
      <c r="CC73" s="95"/>
      <c r="CD73" s="95"/>
      <c r="CE73" s="181"/>
      <c r="CF73" s="273"/>
      <c r="CG73" s="256"/>
      <c r="CH73" s="256"/>
      <c r="CI73" s="256"/>
      <c r="CJ73" s="256"/>
      <c r="CK73" s="256"/>
      <c r="CL73" s="256"/>
      <c r="CM73" s="256"/>
      <c r="CN73" s="256"/>
      <c r="CO73" s="256"/>
      <c r="CP73" s="256"/>
      <c r="CQ73" s="256"/>
      <c r="CR73" s="256"/>
      <c r="CS73" s="256"/>
      <c r="CT73" s="256"/>
      <c r="CU73" s="256"/>
      <c r="CV73" s="256"/>
      <c r="CW73" s="256"/>
      <c r="CX73" s="256"/>
      <c r="CY73" s="256"/>
      <c r="CZ73" s="256"/>
      <c r="DA73" s="256"/>
      <c r="DB73" s="256"/>
      <c r="DC73" s="256"/>
      <c r="DD73" s="256"/>
      <c r="DE73" s="256"/>
      <c r="DF73" s="256"/>
      <c r="DG73" s="256"/>
      <c r="DH73" s="256"/>
      <c r="DI73" s="256"/>
      <c r="DJ73" s="256"/>
      <c r="DK73" s="256"/>
      <c r="DL73" s="256"/>
      <c r="DM73" s="256"/>
      <c r="DN73" s="256"/>
      <c r="DO73" s="256"/>
      <c r="DP73" s="256"/>
      <c r="DQ73" s="256"/>
      <c r="DR73" s="256"/>
      <c r="DS73" s="256"/>
      <c r="DT73" s="256"/>
      <c r="DU73" s="256"/>
      <c r="DV73" s="256"/>
      <c r="DW73" s="256"/>
      <c r="DX73" s="256"/>
      <c r="DY73" s="256"/>
      <c r="DZ73" s="256"/>
      <c r="EA73" s="256"/>
      <c r="EB73" s="256"/>
      <c r="EC73" s="256"/>
      <c r="ED73" s="256"/>
      <c r="EE73" s="256"/>
      <c r="EF73" s="256"/>
      <c r="EG73" s="256"/>
      <c r="EH73" s="256"/>
      <c r="EI73" s="256"/>
      <c r="EJ73" s="256"/>
      <c r="EK73" s="256"/>
      <c r="EL73" s="256"/>
      <c r="EM73" s="256"/>
      <c r="EN73" s="256"/>
      <c r="EO73" s="256"/>
      <c r="EP73" s="256"/>
      <c r="EQ73" s="256"/>
      <c r="ER73" s="256"/>
      <c r="ES73" s="256"/>
      <c r="ET73" s="256"/>
      <c r="EU73" s="256"/>
      <c r="EV73" s="256"/>
      <c r="EW73" s="256"/>
      <c r="EX73" s="256"/>
      <c r="EY73" s="256"/>
      <c r="EZ73" s="256"/>
      <c r="FA73" s="256"/>
      <c r="FB73" s="256"/>
      <c r="FC73" s="256"/>
      <c r="FD73" s="256"/>
      <c r="FE73" s="256"/>
      <c r="FF73" s="256"/>
      <c r="FG73" s="256"/>
      <c r="FH73" s="256"/>
      <c r="FI73" s="256"/>
      <c r="FJ73" s="256"/>
      <c r="FK73" s="256"/>
      <c r="FL73" s="256"/>
      <c r="FM73" s="256"/>
      <c r="FN73" s="256"/>
      <c r="FO73" s="256"/>
    </row>
    <row r="74" spans="1:171" s="31" customFormat="1" ht="19.5" customHeight="1">
      <c r="A74" s="260"/>
      <c r="B74" s="263"/>
      <c r="C74" s="262"/>
      <c r="D74" s="98"/>
      <c r="E74" s="98"/>
      <c r="F74" s="98"/>
      <c r="G74" s="98"/>
      <c r="H74" s="179"/>
      <c r="I74" s="179"/>
      <c r="J74" s="179"/>
      <c r="K74" s="179"/>
      <c r="L74" s="179"/>
      <c r="M74" s="179"/>
      <c r="N74" s="292"/>
      <c r="O74" s="179"/>
      <c r="P74" s="179"/>
      <c r="Q74" s="179"/>
      <c r="R74" s="179"/>
      <c r="S74" s="180"/>
      <c r="T74" s="180"/>
      <c r="U74" s="180"/>
      <c r="V74" s="180"/>
      <c r="W74" s="180"/>
      <c r="X74" s="180"/>
      <c r="Y74" s="180"/>
      <c r="Z74" s="180"/>
      <c r="AA74" s="179"/>
      <c r="AB74" s="292"/>
      <c r="AC74" s="180"/>
      <c r="AD74" s="179"/>
      <c r="AE74" s="179"/>
      <c r="AF74" s="179"/>
      <c r="AG74" s="179"/>
      <c r="AH74" s="179"/>
      <c r="AI74" s="179"/>
      <c r="AJ74" s="179"/>
      <c r="AK74" s="179"/>
      <c r="AL74" s="179"/>
      <c r="AM74" s="179"/>
      <c r="AN74" s="179"/>
      <c r="AO74" s="179"/>
      <c r="AP74" s="179"/>
      <c r="AQ74" s="179"/>
      <c r="AR74" s="179"/>
      <c r="AS74" s="179"/>
      <c r="AT74" s="292"/>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95"/>
      <c r="CE74" s="181"/>
      <c r="CF74" s="273"/>
      <c r="CG74" s="256"/>
      <c r="CH74" s="256"/>
      <c r="CI74" s="256"/>
      <c r="CJ74" s="256"/>
      <c r="CK74" s="256"/>
      <c r="CL74" s="256"/>
      <c r="CM74" s="256"/>
      <c r="CN74" s="256"/>
      <c r="CO74" s="261"/>
      <c r="CP74" s="261"/>
      <c r="CQ74" s="261"/>
      <c r="CR74" s="261"/>
      <c r="CS74" s="261"/>
      <c r="CT74" s="261"/>
      <c r="CU74" s="261"/>
      <c r="CV74" s="261"/>
      <c r="CW74" s="261"/>
      <c r="CX74" s="261"/>
      <c r="CY74" s="261"/>
      <c r="CZ74" s="261"/>
      <c r="DA74" s="261"/>
      <c r="DB74" s="261"/>
      <c r="DC74" s="261"/>
      <c r="DD74" s="261"/>
      <c r="DE74" s="261"/>
      <c r="DF74" s="261"/>
      <c r="DG74" s="261"/>
      <c r="DH74" s="261"/>
      <c r="DI74" s="279"/>
      <c r="DJ74" s="279"/>
      <c r="DK74" s="261"/>
      <c r="DL74" s="261"/>
      <c r="DM74" s="261"/>
      <c r="DN74" s="261"/>
      <c r="DO74" s="261"/>
      <c r="DP74" s="261"/>
      <c r="DQ74" s="261"/>
      <c r="DR74" s="261"/>
      <c r="DS74" s="261"/>
      <c r="DT74" s="261"/>
      <c r="DU74" s="261"/>
      <c r="DV74" s="261"/>
      <c r="DW74" s="261"/>
      <c r="DX74" s="261"/>
      <c r="DY74" s="279"/>
      <c r="DZ74" s="256"/>
      <c r="EA74" s="256"/>
      <c r="EB74" s="256"/>
      <c r="EC74" s="256"/>
      <c r="ED74" s="256"/>
      <c r="EE74" s="256"/>
      <c r="EF74" s="256"/>
      <c r="EG74" s="256"/>
      <c r="EH74" s="256"/>
      <c r="EI74" s="256"/>
      <c r="EJ74" s="256"/>
      <c r="EK74" s="256"/>
      <c r="EL74" s="256"/>
      <c r="EM74" s="256"/>
      <c r="EN74" s="256"/>
      <c r="EO74" s="256"/>
      <c r="EP74" s="256"/>
      <c r="EQ74" s="256"/>
      <c r="ER74" s="256"/>
      <c r="ES74" s="256"/>
      <c r="ET74" s="256"/>
      <c r="EU74" s="256"/>
      <c r="EV74" s="256"/>
      <c r="EW74" s="256"/>
      <c r="EX74" s="256"/>
      <c r="EY74" s="256"/>
      <c r="EZ74" s="256"/>
      <c r="FA74" s="256"/>
      <c r="FB74" s="256"/>
      <c r="FC74" s="256"/>
      <c r="FD74" s="256"/>
      <c r="FE74" s="256"/>
      <c r="FF74" s="256"/>
      <c r="FG74" s="256"/>
      <c r="FH74" s="256"/>
      <c r="FI74" s="256"/>
      <c r="FJ74" s="256"/>
      <c r="FK74" s="256"/>
      <c r="FL74" s="256"/>
      <c r="FM74" s="256"/>
      <c r="FN74" s="256"/>
      <c r="FO74" s="256"/>
    </row>
    <row r="75" spans="1:171" s="31" customFormat="1" ht="19.5" customHeight="1">
      <c r="A75" s="260"/>
      <c r="B75" s="263"/>
      <c r="C75" s="262"/>
      <c r="D75" s="98"/>
      <c r="E75" s="98"/>
      <c r="F75" s="98"/>
      <c r="G75" s="98"/>
      <c r="H75" s="192"/>
      <c r="I75" s="179"/>
      <c r="J75" s="179"/>
      <c r="K75" s="179"/>
      <c r="L75" s="179"/>
      <c r="M75" s="179"/>
      <c r="N75" s="179"/>
      <c r="O75" s="179"/>
      <c r="P75" s="179"/>
      <c r="Q75" s="179"/>
      <c r="R75" s="179"/>
      <c r="S75" s="179"/>
      <c r="T75" s="179"/>
      <c r="U75" s="179"/>
      <c r="V75" s="193"/>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79"/>
      <c r="BN75" s="179"/>
      <c r="BO75" s="179"/>
      <c r="BP75" s="179"/>
      <c r="BQ75" s="179"/>
      <c r="BR75" s="179"/>
      <c r="BS75" s="179"/>
      <c r="BT75" s="179"/>
      <c r="BU75" s="179"/>
      <c r="BV75" s="179"/>
      <c r="BW75" s="179"/>
      <c r="BX75" s="179"/>
      <c r="BY75" s="179"/>
      <c r="BZ75" s="179"/>
      <c r="CA75" s="179"/>
      <c r="CB75" s="179"/>
      <c r="CC75" s="179"/>
      <c r="CD75" s="95"/>
      <c r="CE75" s="181"/>
      <c r="CF75" s="273"/>
      <c r="CG75" s="256"/>
      <c r="CH75" s="256"/>
      <c r="CI75" s="256"/>
      <c r="CJ75" s="256"/>
      <c r="CK75" s="256"/>
      <c r="CL75" s="256"/>
      <c r="CM75" s="256"/>
      <c r="CN75" s="256"/>
      <c r="CO75" s="256"/>
      <c r="CP75" s="256"/>
      <c r="CQ75" s="256"/>
      <c r="CR75" s="256"/>
      <c r="CS75" s="256"/>
      <c r="CT75" s="256"/>
      <c r="CU75" s="256"/>
      <c r="CV75" s="256"/>
      <c r="CW75" s="256"/>
      <c r="CX75" s="256"/>
      <c r="CY75" s="256"/>
      <c r="CZ75" s="256"/>
      <c r="DA75" s="256"/>
      <c r="DB75" s="256"/>
      <c r="DC75" s="256"/>
      <c r="DD75" s="256"/>
      <c r="DE75" s="256"/>
      <c r="DF75" s="256"/>
      <c r="DG75" s="256"/>
      <c r="DH75" s="256"/>
      <c r="DI75" s="256"/>
      <c r="DJ75" s="256"/>
      <c r="DK75" s="256"/>
      <c r="DL75" s="256"/>
      <c r="DM75" s="256"/>
      <c r="DN75" s="256"/>
      <c r="DO75" s="256"/>
      <c r="DP75" s="256"/>
      <c r="DQ75" s="256"/>
      <c r="DR75" s="256"/>
      <c r="DS75" s="256"/>
      <c r="DT75" s="256"/>
      <c r="DU75" s="256"/>
      <c r="DV75" s="256"/>
      <c r="DW75" s="256"/>
      <c r="DX75" s="256"/>
      <c r="DY75" s="256"/>
      <c r="DZ75" s="256"/>
      <c r="EA75" s="256"/>
      <c r="EB75" s="256"/>
      <c r="EC75" s="256"/>
      <c r="ED75" s="256"/>
      <c r="EE75" s="256"/>
      <c r="EF75" s="256"/>
      <c r="EG75" s="256"/>
      <c r="EH75" s="256"/>
      <c r="EI75" s="256"/>
      <c r="EJ75" s="256"/>
      <c r="EK75" s="256"/>
      <c r="EL75" s="256"/>
      <c r="EM75" s="256"/>
      <c r="EN75" s="256"/>
      <c r="EO75" s="256"/>
      <c r="EP75" s="256"/>
      <c r="EQ75" s="256"/>
      <c r="ER75" s="256"/>
      <c r="ES75" s="256"/>
      <c r="ET75" s="256"/>
      <c r="EU75" s="256"/>
      <c r="EV75" s="256"/>
      <c r="EW75" s="256"/>
      <c r="EX75" s="256"/>
      <c r="EY75" s="256"/>
      <c r="EZ75" s="256"/>
      <c r="FA75" s="256"/>
      <c r="FB75" s="256"/>
      <c r="FC75" s="256"/>
      <c r="FD75" s="256"/>
      <c r="FE75" s="256"/>
      <c r="FF75" s="256"/>
      <c r="FG75" s="256"/>
      <c r="FH75" s="256"/>
      <c r="FI75" s="256"/>
      <c r="FJ75" s="256"/>
      <c r="FK75" s="256"/>
      <c r="FL75" s="256"/>
      <c r="FM75" s="256"/>
      <c r="FN75" s="256"/>
      <c r="FO75" s="256"/>
    </row>
    <row r="76" spans="1:171" s="31" customFormat="1" ht="19.5" customHeight="1">
      <c r="A76" s="260"/>
      <c r="B76" s="263"/>
      <c r="C76" s="263"/>
      <c r="D76" s="182"/>
      <c r="E76" s="89"/>
      <c r="F76" s="89"/>
      <c r="G76" s="89"/>
      <c r="H76" s="89"/>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88"/>
      <c r="CF76" s="273"/>
      <c r="CG76" s="256"/>
      <c r="CH76" s="256"/>
      <c r="CI76" s="256"/>
      <c r="CJ76" s="256"/>
      <c r="CK76" s="256"/>
      <c r="CL76" s="256"/>
      <c r="CM76" s="256"/>
      <c r="CN76" s="256"/>
      <c r="CO76" s="256"/>
      <c r="CP76" s="256"/>
      <c r="CQ76" s="256"/>
      <c r="CR76" s="256"/>
      <c r="CS76" s="256"/>
      <c r="CT76" s="256"/>
      <c r="CU76" s="256"/>
      <c r="CV76" s="256"/>
      <c r="CW76" s="256"/>
      <c r="CX76" s="256"/>
      <c r="CY76" s="256"/>
      <c r="CZ76" s="256"/>
      <c r="DA76" s="256"/>
      <c r="DB76" s="256"/>
      <c r="DC76" s="256"/>
      <c r="DD76" s="256"/>
      <c r="DE76" s="256"/>
      <c r="DF76" s="256"/>
      <c r="DG76" s="256"/>
      <c r="DH76" s="256"/>
      <c r="DI76" s="256"/>
      <c r="DJ76" s="256"/>
      <c r="DK76" s="256"/>
      <c r="DL76" s="256"/>
      <c r="DM76" s="256"/>
      <c r="DN76" s="256"/>
      <c r="DO76" s="256"/>
      <c r="DP76" s="256"/>
      <c r="DQ76" s="256"/>
      <c r="DR76" s="256"/>
      <c r="DS76" s="256"/>
      <c r="DT76" s="256"/>
      <c r="DU76" s="256"/>
      <c r="DV76" s="256"/>
      <c r="DW76" s="256"/>
      <c r="DX76" s="256"/>
      <c r="DY76" s="256"/>
      <c r="DZ76" s="256"/>
      <c r="EA76" s="256"/>
      <c r="EB76" s="256"/>
      <c r="EC76" s="256"/>
      <c r="ED76" s="256"/>
      <c r="EE76" s="256"/>
      <c r="EF76" s="256"/>
      <c r="EG76" s="256"/>
      <c r="EH76" s="256"/>
      <c r="EI76" s="256"/>
      <c r="EJ76" s="256"/>
      <c r="EK76" s="256"/>
      <c r="EL76" s="256"/>
      <c r="EM76" s="256"/>
      <c r="EN76" s="256"/>
      <c r="EO76" s="256"/>
      <c r="EP76" s="256"/>
      <c r="EQ76" s="256"/>
      <c r="ER76" s="256"/>
      <c r="ES76" s="256"/>
      <c r="ET76" s="256"/>
      <c r="EU76" s="256"/>
      <c r="EV76" s="256"/>
      <c r="EW76" s="256"/>
      <c r="EX76" s="256"/>
      <c r="EY76" s="256"/>
      <c r="EZ76" s="256"/>
      <c r="FA76" s="256"/>
      <c r="FB76" s="256"/>
      <c r="FC76" s="256"/>
      <c r="FD76" s="256"/>
      <c r="FE76" s="256"/>
      <c r="FF76" s="256"/>
      <c r="FG76" s="256"/>
      <c r="FH76" s="256"/>
      <c r="FI76" s="256"/>
      <c r="FJ76" s="256"/>
      <c r="FK76" s="256"/>
      <c r="FL76" s="256"/>
      <c r="FM76" s="256"/>
      <c r="FN76" s="256"/>
      <c r="FO76" s="256"/>
    </row>
    <row r="77" spans="1:171" s="256" customFormat="1" ht="19.5" customHeight="1">
      <c r="A77" s="260"/>
      <c r="B77" s="263"/>
      <c r="C77" s="263"/>
      <c r="D77" s="302"/>
      <c r="E77" s="302"/>
      <c r="F77" s="302"/>
      <c r="G77" s="302"/>
      <c r="H77" s="302"/>
      <c r="I77" s="303"/>
      <c r="J77" s="303"/>
      <c r="K77" s="303"/>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c r="BD77" s="303"/>
      <c r="BE77" s="303"/>
      <c r="BF77" s="303"/>
      <c r="BG77" s="303"/>
      <c r="BH77" s="303"/>
      <c r="BI77" s="303"/>
      <c r="BJ77" s="303"/>
      <c r="BK77" s="303"/>
      <c r="BL77" s="303"/>
      <c r="BM77" s="303"/>
      <c r="BN77" s="303"/>
      <c r="BO77" s="303"/>
      <c r="BP77" s="303"/>
      <c r="BQ77" s="303"/>
      <c r="BR77" s="303"/>
      <c r="BS77" s="303"/>
      <c r="BT77" s="303"/>
      <c r="BU77" s="303"/>
      <c r="BV77" s="303"/>
      <c r="BW77" s="303"/>
      <c r="BX77" s="303"/>
      <c r="BY77" s="303"/>
      <c r="BZ77" s="303"/>
      <c r="CA77" s="303"/>
      <c r="CB77" s="303"/>
      <c r="CC77" s="303"/>
      <c r="CD77" s="303"/>
      <c r="CE77" s="304"/>
      <c r="CF77" s="273"/>
    </row>
    <row r="78" spans="1:171" s="254" customFormat="1" ht="21.75" customHeight="1">
      <c r="A78" s="297"/>
      <c r="B78" s="298"/>
      <c r="C78" s="298"/>
      <c r="D78" s="299" t="s">
        <v>453</v>
      </c>
      <c r="E78" s="300"/>
      <c r="F78" s="300"/>
      <c r="G78" s="300"/>
      <c r="H78" s="300"/>
      <c r="I78" s="300"/>
      <c r="J78" s="300"/>
      <c r="K78" s="300"/>
      <c r="L78" s="298"/>
      <c r="M78" s="299"/>
      <c r="N78" s="298"/>
      <c r="O78" s="298"/>
      <c r="P78" s="298"/>
      <c r="Q78" s="299"/>
      <c r="R78" s="298"/>
      <c r="S78" s="298"/>
      <c r="T78" s="299"/>
      <c r="U78" s="298"/>
      <c r="V78" s="298"/>
      <c r="W78" s="298"/>
      <c r="X78" s="298"/>
      <c r="Y78" s="298"/>
      <c r="Z78" s="298"/>
      <c r="AA78" s="298"/>
      <c r="AB78" s="298"/>
      <c r="AC78" s="298"/>
      <c r="AD78" s="298"/>
      <c r="AE78" s="298"/>
      <c r="AF78" s="298"/>
      <c r="AG78" s="298"/>
      <c r="AH78" s="298"/>
      <c r="AI78" s="298"/>
      <c r="AJ78" s="298"/>
      <c r="AK78" s="298"/>
      <c r="AL78" s="298"/>
      <c r="AM78" s="298"/>
      <c r="AN78" s="298"/>
      <c r="AO78" s="298"/>
      <c r="AP78" s="298"/>
      <c r="AQ78" s="298"/>
      <c r="AR78" s="298"/>
      <c r="AS78" s="298"/>
      <c r="AT78" s="298"/>
      <c r="AU78" s="298"/>
      <c r="AV78" s="298"/>
      <c r="AW78" s="298"/>
      <c r="AX78" s="298"/>
      <c r="AY78" s="298"/>
      <c r="AZ78" s="298"/>
      <c r="BA78" s="298"/>
      <c r="BB78" s="298"/>
      <c r="BC78" s="298"/>
      <c r="BD78" s="298"/>
      <c r="BE78" s="298"/>
      <c r="BF78" s="298"/>
      <c r="BG78" s="298"/>
      <c r="BH78" s="298"/>
      <c r="BI78" s="298"/>
      <c r="BJ78" s="298"/>
      <c r="BK78" s="298"/>
      <c r="BL78" s="298"/>
      <c r="BM78" s="298"/>
      <c r="BN78" s="298"/>
      <c r="BO78" s="298"/>
      <c r="BP78" s="298"/>
      <c r="BQ78" s="298"/>
      <c r="BR78" s="298"/>
      <c r="BS78" s="298"/>
      <c r="BT78" s="298"/>
      <c r="BU78" s="298"/>
      <c r="BV78" s="298"/>
      <c r="BW78" s="298"/>
      <c r="BX78" s="298"/>
      <c r="BY78" s="298"/>
      <c r="BZ78" s="298"/>
      <c r="CA78" s="298"/>
      <c r="CB78" s="298"/>
      <c r="CC78" s="298"/>
      <c r="CD78" s="298"/>
      <c r="CE78" s="298"/>
      <c r="CF78" s="301"/>
    </row>
    <row r="79" spans="1:171" s="31" customFormat="1" ht="19.5" customHeight="1">
      <c r="A79" s="260"/>
      <c r="B79" s="261"/>
      <c r="C79" s="262"/>
      <c r="D79" s="283"/>
      <c r="E79" s="284"/>
      <c r="F79" s="284"/>
      <c r="G79" s="284"/>
      <c r="H79" s="284"/>
      <c r="I79" s="284"/>
      <c r="J79" s="284"/>
      <c r="K79" s="284"/>
      <c r="L79" s="284"/>
      <c r="M79" s="421" t="s">
        <v>300</v>
      </c>
      <c r="N79" s="421"/>
      <c r="O79" s="421"/>
      <c r="P79" s="421"/>
      <c r="Q79" s="421"/>
      <c r="R79" s="421"/>
      <c r="S79" s="421"/>
      <c r="T79" s="421"/>
      <c r="U79" s="421"/>
      <c r="V79" s="421"/>
      <c r="W79" s="421"/>
      <c r="X79" s="421"/>
      <c r="Y79" s="421"/>
      <c r="Z79" s="421"/>
      <c r="AA79" s="421"/>
      <c r="AB79" s="421"/>
      <c r="AC79" s="421"/>
      <c r="AD79" s="421"/>
      <c r="AE79" s="421"/>
      <c r="AF79" s="421"/>
      <c r="AG79" s="421"/>
      <c r="AH79" s="421"/>
      <c r="AI79" s="421"/>
      <c r="AJ79" s="421"/>
      <c r="AK79" s="421"/>
      <c r="AL79" s="421"/>
      <c r="AM79" s="421"/>
      <c r="AN79" s="421"/>
      <c r="AO79" s="421"/>
      <c r="AP79" s="421"/>
      <c r="AQ79" s="421"/>
      <c r="AR79" s="421"/>
      <c r="AS79" s="421"/>
      <c r="AT79" s="421"/>
      <c r="AU79" s="421"/>
      <c r="AV79" s="421"/>
      <c r="AW79" s="421"/>
      <c r="AX79" s="421"/>
      <c r="AY79" s="421"/>
      <c r="AZ79" s="421"/>
      <c r="BA79" s="421"/>
      <c r="BB79" s="421"/>
      <c r="BC79" s="421"/>
      <c r="BD79" s="421"/>
      <c r="BE79" s="421"/>
      <c r="BF79" s="421"/>
      <c r="BG79" s="421"/>
      <c r="BH79" s="421"/>
      <c r="BI79" s="421"/>
      <c r="BJ79" s="421"/>
      <c r="BK79" s="421"/>
      <c r="BL79" s="421"/>
      <c r="BM79" s="421"/>
      <c r="BN79" s="421"/>
      <c r="BO79" s="421"/>
      <c r="BP79" s="421"/>
      <c r="BQ79" s="284"/>
      <c r="BR79" s="284"/>
      <c r="BS79" s="284"/>
      <c r="BT79" s="284"/>
      <c r="BU79" s="417" t="s">
        <v>289</v>
      </c>
      <c r="BV79" s="417"/>
      <c r="BW79" s="417"/>
      <c r="BX79" s="417"/>
      <c r="BY79" s="417"/>
      <c r="BZ79" s="417"/>
      <c r="CA79" s="417"/>
      <c r="CB79" s="417"/>
      <c r="CC79" s="417"/>
      <c r="CD79" s="417"/>
      <c r="CE79" s="418"/>
      <c r="CF79" s="273"/>
      <c r="CG79" s="256"/>
      <c r="CH79" s="256"/>
      <c r="CI79" s="256"/>
      <c r="CJ79" s="256"/>
      <c r="CK79" s="256"/>
      <c r="CL79" s="256"/>
      <c r="CM79" s="256"/>
      <c r="CN79" s="256"/>
      <c r="CO79" s="256"/>
      <c r="CP79" s="256"/>
      <c r="CQ79" s="256"/>
      <c r="CR79" s="256"/>
      <c r="CS79" s="256"/>
      <c r="CT79" s="256"/>
      <c r="CU79" s="256"/>
      <c r="CV79" s="256"/>
      <c r="CW79" s="256"/>
      <c r="CX79" s="256"/>
      <c r="CY79" s="256"/>
      <c r="CZ79" s="256"/>
      <c r="DA79" s="256"/>
      <c r="DB79" s="256"/>
      <c r="DC79" s="256"/>
      <c r="DD79" s="256"/>
      <c r="DE79" s="256"/>
      <c r="DF79" s="256"/>
      <c r="DG79" s="256"/>
      <c r="DH79" s="256"/>
      <c r="DI79" s="256"/>
      <c r="DJ79" s="256"/>
      <c r="DK79" s="256"/>
      <c r="DL79" s="256"/>
      <c r="DM79" s="256"/>
      <c r="DN79" s="256"/>
      <c r="DO79" s="256"/>
      <c r="DP79" s="256"/>
      <c r="DQ79" s="256"/>
      <c r="DR79" s="256"/>
      <c r="DS79" s="256"/>
      <c r="DT79" s="256"/>
      <c r="DU79" s="256"/>
      <c r="DV79" s="256"/>
      <c r="DW79" s="256"/>
      <c r="DX79" s="256"/>
      <c r="DY79" s="256"/>
      <c r="DZ79" s="256"/>
      <c r="EA79" s="256"/>
      <c r="EB79" s="256"/>
      <c r="EC79" s="256"/>
      <c r="ED79" s="256"/>
      <c r="EE79" s="256"/>
      <c r="EF79" s="256"/>
      <c r="EG79" s="256"/>
      <c r="EH79" s="256"/>
      <c r="EI79" s="256"/>
      <c r="EJ79" s="256"/>
      <c r="EK79" s="256"/>
      <c r="EL79" s="256"/>
      <c r="EM79" s="256"/>
      <c r="EN79" s="256"/>
      <c r="EO79" s="256"/>
      <c r="EP79" s="256"/>
      <c r="EQ79" s="256"/>
      <c r="ER79" s="256"/>
      <c r="ES79" s="256"/>
      <c r="ET79" s="256"/>
      <c r="EU79" s="256"/>
      <c r="EV79" s="256"/>
      <c r="EW79" s="256"/>
      <c r="EX79" s="256"/>
      <c r="EY79" s="256"/>
      <c r="EZ79" s="256"/>
      <c r="FA79" s="256"/>
      <c r="FB79" s="256"/>
      <c r="FC79" s="256"/>
      <c r="FD79" s="256"/>
      <c r="FE79" s="256"/>
      <c r="FF79" s="256"/>
      <c r="FG79" s="256"/>
      <c r="FH79" s="256"/>
      <c r="FI79" s="256"/>
      <c r="FJ79" s="256"/>
      <c r="FK79" s="256"/>
      <c r="FL79" s="256"/>
      <c r="FM79" s="256"/>
      <c r="FN79" s="256"/>
      <c r="FO79" s="256"/>
    </row>
    <row r="80" spans="1:171" s="31" customFormat="1" ht="19.5" customHeight="1" thickBot="1">
      <c r="A80" s="260"/>
      <c r="B80" s="263"/>
      <c r="C80" s="262"/>
      <c r="D80" s="286"/>
      <c r="E80" s="286"/>
      <c r="F80" s="286"/>
      <c r="G80" s="286"/>
      <c r="H80" s="286"/>
      <c r="I80" s="286"/>
      <c r="J80" s="286"/>
      <c r="K80" s="286"/>
      <c r="L80" s="286"/>
      <c r="M80" s="422"/>
      <c r="N80" s="422"/>
      <c r="O80" s="422"/>
      <c r="P80" s="422"/>
      <c r="Q80" s="422"/>
      <c r="R80" s="422"/>
      <c r="S80" s="422"/>
      <c r="T80" s="422"/>
      <c r="U80" s="422"/>
      <c r="V80" s="422"/>
      <c r="W80" s="422"/>
      <c r="X80" s="422"/>
      <c r="Y80" s="422"/>
      <c r="Z80" s="422"/>
      <c r="AA80" s="422"/>
      <c r="AB80" s="422"/>
      <c r="AC80" s="422"/>
      <c r="AD80" s="422"/>
      <c r="AE80" s="422"/>
      <c r="AF80" s="422"/>
      <c r="AG80" s="422"/>
      <c r="AH80" s="422"/>
      <c r="AI80" s="422"/>
      <c r="AJ80" s="422"/>
      <c r="AK80" s="422"/>
      <c r="AL80" s="422"/>
      <c r="AM80" s="422"/>
      <c r="AN80" s="422"/>
      <c r="AO80" s="422"/>
      <c r="AP80" s="422"/>
      <c r="AQ80" s="422"/>
      <c r="AR80" s="422"/>
      <c r="AS80" s="422"/>
      <c r="AT80" s="422"/>
      <c r="AU80" s="422"/>
      <c r="AV80" s="422"/>
      <c r="AW80" s="422"/>
      <c r="AX80" s="422"/>
      <c r="AY80" s="422"/>
      <c r="AZ80" s="422"/>
      <c r="BA80" s="422"/>
      <c r="BB80" s="422"/>
      <c r="BC80" s="422"/>
      <c r="BD80" s="422"/>
      <c r="BE80" s="422"/>
      <c r="BF80" s="422"/>
      <c r="BG80" s="422"/>
      <c r="BH80" s="422"/>
      <c r="BI80" s="422"/>
      <c r="BJ80" s="422"/>
      <c r="BK80" s="422"/>
      <c r="BL80" s="422"/>
      <c r="BM80" s="422"/>
      <c r="BN80" s="422"/>
      <c r="BO80" s="422"/>
      <c r="BP80" s="422"/>
      <c r="BQ80" s="286"/>
      <c r="BR80" s="286"/>
      <c r="BS80" s="286"/>
      <c r="BT80" s="286"/>
      <c r="BU80" s="419"/>
      <c r="BV80" s="419"/>
      <c r="BW80" s="419"/>
      <c r="BX80" s="419"/>
      <c r="BY80" s="419"/>
      <c r="BZ80" s="419"/>
      <c r="CA80" s="419"/>
      <c r="CB80" s="419"/>
      <c r="CC80" s="419"/>
      <c r="CD80" s="419"/>
      <c r="CE80" s="420"/>
      <c r="CF80" s="273"/>
      <c r="CG80" s="256"/>
      <c r="CH80" s="256"/>
      <c r="CI80" s="256"/>
      <c r="CJ80" s="256"/>
      <c r="CK80" s="256"/>
      <c r="CL80" s="256"/>
      <c r="CM80" s="256"/>
      <c r="CN80" s="256"/>
      <c r="CO80" s="256"/>
      <c r="CP80" s="256"/>
      <c r="CQ80" s="256"/>
      <c r="CR80" s="256"/>
      <c r="CS80" s="256"/>
      <c r="CT80" s="256"/>
      <c r="CU80" s="256"/>
      <c r="CV80" s="256"/>
      <c r="CW80" s="256"/>
      <c r="CX80" s="256"/>
      <c r="CY80" s="256"/>
      <c r="CZ80" s="256"/>
      <c r="DA80" s="256"/>
      <c r="DB80" s="256"/>
      <c r="DC80" s="256"/>
      <c r="DD80" s="256"/>
      <c r="DE80" s="256"/>
      <c r="DF80" s="256"/>
      <c r="DG80" s="256"/>
      <c r="DH80" s="256"/>
      <c r="DI80" s="256"/>
      <c r="DJ80" s="256"/>
      <c r="DK80" s="256"/>
      <c r="DL80" s="256"/>
      <c r="DM80" s="256"/>
      <c r="DN80" s="256"/>
      <c r="DO80" s="256"/>
      <c r="DP80" s="256"/>
      <c r="DQ80" s="256"/>
      <c r="DR80" s="256"/>
      <c r="DS80" s="256"/>
      <c r="DT80" s="256"/>
      <c r="DU80" s="256"/>
      <c r="DV80" s="256"/>
      <c r="DW80" s="256"/>
      <c r="DX80" s="256"/>
      <c r="DY80" s="256"/>
      <c r="DZ80" s="256"/>
      <c r="EA80" s="256"/>
      <c r="EB80" s="256"/>
      <c r="EC80" s="256"/>
      <c r="ED80" s="256"/>
      <c r="EE80" s="256"/>
      <c r="EF80" s="256"/>
      <c r="EG80" s="256"/>
      <c r="EH80" s="256"/>
      <c r="EI80" s="256"/>
      <c r="EJ80" s="256"/>
      <c r="EK80" s="256"/>
      <c r="EL80" s="256"/>
      <c r="EM80" s="256"/>
      <c r="EN80" s="256"/>
      <c r="EO80" s="256"/>
      <c r="EP80" s="256"/>
      <c r="EQ80" s="256"/>
      <c r="ER80" s="256"/>
      <c r="ES80" s="256"/>
      <c r="ET80" s="256"/>
      <c r="EU80" s="256"/>
      <c r="EV80" s="256"/>
      <c r="EW80" s="256"/>
      <c r="EX80" s="256"/>
      <c r="EY80" s="256"/>
      <c r="EZ80" s="256"/>
      <c r="FA80" s="256"/>
      <c r="FB80" s="256"/>
      <c r="FC80" s="256"/>
      <c r="FD80" s="256"/>
      <c r="FE80" s="256"/>
      <c r="FF80" s="256"/>
      <c r="FG80" s="256"/>
      <c r="FH80" s="256"/>
      <c r="FI80" s="256"/>
      <c r="FJ80" s="256"/>
      <c r="FK80" s="256"/>
      <c r="FL80" s="256"/>
      <c r="FM80" s="256"/>
      <c r="FN80" s="256"/>
      <c r="FO80" s="256"/>
    </row>
    <row r="81" spans="1:171" s="31" customFormat="1" ht="19.5" customHeight="1" thickTop="1">
      <c r="A81" s="260"/>
      <c r="B81" s="263"/>
      <c r="C81" s="262"/>
      <c r="D81" s="86"/>
      <c r="E81" s="86"/>
      <c r="F81" s="86"/>
      <c r="G81" s="86"/>
      <c r="H81" s="179" t="s">
        <v>303</v>
      </c>
      <c r="I81" s="179"/>
      <c r="J81" s="179"/>
      <c r="K81" s="179"/>
      <c r="L81" s="179"/>
      <c r="M81" s="179" t="s">
        <v>31</v>
      </c>
      <c r="N81" s="179"/>
      <c r="O81" s="129" t="s">
        <v>318</v>
      </c>
      <c r="P81" s="129"/>
      <c r="Q81" s="129"/>
      <c r="R81" s="129"/>
      <c r="S81" s="12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80"/>
      <c r="AX81" s="180"/>
      <c r="AY81" s="179"/>
      <c r="AZ81" s="179"/>
      <c r="BA81" s="179"/>
      <c r="BB81" s="179"/>
      <c r="BC81" s="179"/>
      <c r="BD81" s="179"/>
      <c r="BE81" s="179"/>
      <c r="BF81" s="179"/>
      <c r="BG81" s="179"/>
      <c r="BH81" s="179"/>
      <c r="BI81" s="179"/>
      <c r="BJ81" s="179"/>
      <c r="BK81" s="179"/>
      <c r="BL81" s="179"/>
      <c r="BM81" s="179"/>
      <c r="BN81" s="179"/>
      <c r="BO81" s="179"/>
      <c r="BP81" s="179"/>
      <c r="BQ81" s="179"/>
      <c r="BR81" s="179"/>
      <c r="BS81" s="179"/>
      <c r="BT81" s="179"/>
      <c r="BU81" s="179"/>
      <c r="BV81" s="179"/>
      <c r="BW81" s="179"/>
      <c r="BX81" s="179"/>
      <c r="BY81" s="179"/>
      <c r="BZ81" s="179"/>
      <c r="CA81" s="179"/>
      <c r="CB81" s="179"/>
      <c r="CC81" s="95"/>
      <c r="CD81" s="95"/>
      <c r="CE81" s="181"/>
      <c r="CF81" s="273"/>
      <c r="CG81" s="256"/>
      <c r="CH81" s="256"/>
      <c r="CI81" s="256"/>
      <c r="CJ81" s="256"/>
      <c r="CK81" s="256"/>
      <c r="CL81" s="256"/>
      <c r="CM81" s="256"/>
      <c r="CN81" s="256"/>
      <c r="CO81" s="256"/>
      <c r="CP81" s="256"/>
      <c r="CQ81" s="256"/>
      <c r="CR81" s="256"/>
      <c r="CS81" s="256"/>
      <c r="CT81" s="256"/>
      <c r="CU81" s="256"/>
      <c r="CV81" s="256"/>
      <c r="CW81" s="256"/>
      <c r="CX81" s="256"/>
      <c r="CY81" s="256"/>
      <c r="CZ81" s="256"/>
      <c r="DA81" s="256"/>
      <c r="DB81" s="256"/>
      <c r="DC81" s="256"/>
      <c r="DD81" s="256"/>
      <c r="DE81" s="256"/>
      <c r="DF81" s="256"/>
      <c r="DG81" s="256"/>
      <c r="DH81" s="256"/>
      <c r="DI81" s="256"/>
      <c r="DJ81" s="256"/>
      <c r="DK81" s="256"/>
      <c r="DL81" s="256"/>
      <c r="DM81" s="256"/>
      <c r="DN81" s="256"/>
      <c r="DO81" s="256"/>
      <c r="DP81" s="256"/>
      <c r="DQ81" s="256"/>
      <c r="DR81" s="256"/>
      <c r="DS81" s="256"/>
      <c r="DT81" s="256"/>
      <c r="DU81" s="256"/>
      <c r="DV81" s="256"/>
      <c r="DW81" s="256"/>
      <c r="DX81" s="256"/>
      <c r="DY81" s="256"/>
      <c r="DZ81" s="256"/>
      <c r="EA81" s="256"/>
      <c r="EB81" s="256"/>
      <c r="EC81" s="256"/>
      <c r="ED81" s="256"/>
      <c r="EE81" s="256"/>
      <c r="EF81" s="256"/>
      <c r="EG81" s="256"/>
      <c r="EH81" s="256"/>
      <c r="EI81" s="256"/>
      <c r="EJ81" s="256"/>
      <c r="EK81" s="256"/>
      <c r="EL81" s="256"/>
      <c r="EM81" s="256"/>
      <c r="EN81" s="256"/>
      <c r="EO81" s="256"/>
      <c r="EP81" s="256"/>
      <c r="EQ81" s="256"/>
      <c r="ER81" s="256"/>
      <c r="ES81" s="256"/>
      <c r="ET81" s="256"/>
      <c r="EU81" s="256"/>
      <c r="EV81" s="256"/>
      <c r="EW81" s="256"/>
      <c r="EX81" s="256"/>
      <c r="EY81" s="256"/>
      <c r="EZ81" s="256"/>
      <c r="FA81" s="256"/>
      <c r="FB81" s="256"/>
      <c r="FC81" s="256"/>
      <c r="FD81" s="256"/>
      <c r="FE81" s="256"/>
      <c r="FF81" s="256"/>
      <c r="FG81" s="256"/>
      <c r="FH81" s="256"/>
      <c r="FI81" s="256"/>
      <c r="FJ81" s="256"/>
      <c r="FK81" s="256"/>
      <c r="FL81" s="256"/>
      <c r="FM81" s="256"/>
      <c r="FN81" s="256"/>
      <c r="FO81" s="256"/>
    </row>
    <row r="82" spans="1:171" s="31" customFormat="1" ht="19.5" customHeight="1">
      <c r="A82" s="260"/>
      <c r="B82" s="263"/>
      <c r="C82" s="262"/>
      <c r="D82" s="98"/>
      <c r="E82" s="98"/>
      <c r="F82" s="98"/>
      <c r="G82" s="98"/>
      <c r="H82" s="672" t="s">
        <v>334</v>
      </c>
      <c r="I82" s="673"/>
      <c r="J82" s="673"/>
      <c r="K82" s="673"/>
      <c r="L82" s="673"/>
      <c r="M82" s="673"/>
      <c r="N82" s="673"/>
      <c r="O82" s="673"/>
      <c r="P82" s="673"/>
      <c r="Q82" s="673"/>
      <c r="R82" s="673"/>
      <c r="S82" s="673"/>
      <c r="T82" s="673"/>
      <c r="U82" s="673"/>
      <c r="V82" s="673"/>
      <c r="W82" s="673"/>
      <c r="X82" s="673"/>
      <c r="Y82" s="673"/>
      <c r="Z82" s="673"/>
      <c r="AA82" s="673"/>
      <c r="AB82" s="673"/>
      <c r="AC82" s="673"/>
      <c r="AD82" s="673"/>
      <c r="AE82" s="673"/>
      <c r="AF82" s="673"/>
      <c r="AG82" s="673"/>
      <c r="AH82" s="673"/>
      <c r="AI82" s="673"/>
      <c r="AJ82" s="673"/>
      <c r="AK82" s="673"/>
      <c r="AL82" s="673"/>
      <c r="AM82" s="673"/>
      <c r="AN82" s="673"/>
      <c r="AO82" s="673"/>
      <c r="AP82" s="673"/>
      <c r="AQ82" s="673"/>
      <c r="AR82" s="673"/>
      <c r="AS82" s="673"/>
      <c r="AT82" s="673"/>
      <c r="AU82" s="673"/>
      <c r="AV82" s="673"/>
      <c r="AW82" s="673"/>
      <c r="AX82" s="673"/>
      <c r="AY82" s="673"/>
      <c r="AZ82" s="673"/>
      <c r="BA82" s="673"/>
      <c r="BB82" s="673"/>
      <c r="BC82" s="673"/>
      <c r="BD82" s="673"/>
      <c r="BE82" s="673"/>
      <c r="BF82" s="673"/>
      <c r="BG82" s="673"/>
      <c r="BH82" s="673"/>
      <c r="BI82" s="673"/>
      <c r="BJ82" s="673"/>
      <c r="BK82" s="673"/>
      <c r="BL82" s="673"/>
      <c r="BM82" s="673"/>
      <c r="BN82" s="673"/>
      <c r="BO82" s="673"/>
      <c r="BP82" s="673"/>
      <c r="BQ82" s="673"/>
      <c r="BR82" s="673"/>
      <c r="BS82" s="673"/>
      <c r="BT82" s="673"/>
      <c r="BU82" s="673"/>
      <c r="BV82" s="673"/>
      <c r="BW82" s="673"/>
      <c r="BX82" s="673"/>
      <c r="BY82" s="673"/>
      <c r="BZ82" s="673"/>
      <c r="CA82" s="673"/>
      <c r="CB82" s="674"/>
      <c r="CC82" s="95"/>
      <c r="CD82" s="96"/>
      <c r="CE82" s="186"/>
      <c r="CF82" s="273"/>
      <c r="CG82" s="256"/>
      <c r="CH82" s="256"/>
      <c r="CI82" s="256"/>
      <c r="CJ82" s="256"/>
      <c r="CK82" s="256"/>
      <c r="CL82" s="256"/>
      <c r="CM82" s="256"/>
      <c r="CN82" s="256"/>
      <c r="CO82" s="256"/>
      <c r="CP82" s="256"/>
      <c r="CQ82" s="256"/>
      <c r="CR82" s="256"/>
      <c r="CS82" s="256"/>
      <c r="CT82" s="256"/>
      <c r="CU82" s="256"/>
      <c r="CV82" s="256"/>
      <c r="CW82" s="256"/>
      <c r="CX82" s="256"/>
      <c r="CY82" s="256"/>
      <c r="CZ82" s="256"/>
      <c r="DA82" s="256"/>
      <c r="DB82" s="256"/>
      <c r="DC82" s="256"/>
      <c r="DD82" s="256"/>
      <c r="DE82" s="256"/>
      <c r="DF82" s="256"/>
      <c r="DG82" s="256"/>
      <c r="DH82" s="256"/>
      <c r="DI82" s="256"/>
      <c r="DJ82" s="256"/>
      <c r="DK82" s="256"/>
      <c r="DL82" s="256"/>
      <c r="DM82" s="256"/>
      <c r="DN82" s="256"/>
      <c r="DO82" s="256"/>
      <c r="DP82" s="256"/>
      <c r="DQ82" s="256"/>
      <c r="DR82" s="256"/>
      <c r="DS82" s="256"/>
      <c r="DT82" s="256"/>
      <c r="DU82" s="256"/>
      <c r="DV82" s="256"/>
      <c r="DW82" s="256"/>
      <c r="DX82" s="256"/>
      <c r="DY82" s="256"/>
      <c r="DZ82" s="256"/>
      <c r="EA82" s="256"/>
      <c r="EB82" s="256"/>
      <c r="EC82" s="256"/>
      <c r="ED82" s="256"/>
      <c r="EE82" s="256"/>
      <c r="EF82" s="256"/>
      <c r="EG82" s="256"/>
      <c r="EH82" s="256"/>
      <c r="EI82" s="256"/>
      <c r="EJ82" s="256"/>
      <c r="EK82" s="256"/>
      <c r="EL82" s="256"/>
      <c r="EM82" s="256"/>
      <c r="EN82" s="256"/>
      <c r="EO82" s="256"/>
      <c r="EP82" s="256"/>
      <c r="EQ82" s="256"/>
      <c r="ER82" s="256"/>
      <c r="ES82" s="256"/>
      <c r="ET82" s="256"/>
      <c r="EU82" s="256"/>
      <c r="EV82" s="256"/>
      <c r="EW82" s="256"/>
      <c r="EX82" s="256"/>
      <c r="EY82" s="256"/>
      <c r="EZ82" s="256"/>
      <c r="FA82" s="256"/>
      <c r="FB82" s="256"/>
      <c r="FC82" s="256"/>
      <c r="FD82" s="256"/>
      <c r="FE82" s="256"/>
      <c r="FF82" s="256"/>
      <c r="FG82" s="256"/>
      <c r="FH82" s="256"/>
      <c r="FI82" s="256"/>
      <c r="FJ82" s="256"/>
      <c r="FK82" s="256"/>
      <c r="FL82" s="256"/>
      <c r="FM82" s="256"/>
      <c r="FN82" s="256"/>
      <c r="FO82" s="256"/>
    </row>
    <row r="83" spans="1:171" s="31" customFormat="1" ht="19.5" customHeight="1">
      <c r="A83" s="260"/>
      <c r="B83" s="263"/>
      <c r="C83" s="262"/>
      <c r="D83" s="98"/>
      <c r="E83" s="98"/>
      <c r="F83" s="98"/>
      <c r="G83" s="98"/>
      <c r="H83" s="183"/>
      <c r="I83" s="183"/>
      <c r="J83" s="183"/>
      <c r="K83" s="183"/>
      <c r="L83" s="183"/>
      <c r="M83" s="183"/>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3"/>
      <c r="BN83" s="183"/>
      <c r="BO83" s="184"/>
      <c r="BP83" s="184"/>
      <c r="BQ83" s="184"/>
      <c r="BR83" s="184"/>
      <c r="BS83" s="184"/>
      <c r="BT83" s="184"/>
      <c r="BU83" s="184"/>
      <c r="BV83" s="184"/>
      <c r="BW83" s="184"/>
      <c r="BX83" s="179"/>
      <c r="BY83" s="179"/>
      <c r="BZ83" s="179"/>
      <c r="CA83" s="179"/>
      <c r="CB83" s="179"/>
      <c r="CC83" s="95"/>
      <c r="CD83" s="95"/>
      <c r="CE83" s="181"/>
      <c r="CF83" s="273"/>
      <c r="CG83" s="256"/>
      <c r="CH83" s="256"/>
      <c r="CI83" s="256"/>
      <c r="CJ83" s="256"/>
      <c r="CK83" s="256"/>
      <c r="CL83" s="256"/>
      <c r="CM83" s="256"/>
      <c r="CN83" s="256"/>
      <c r="CO83" s="256"/>
      <c r="CP83" s="256"/>
      <c r="CQ83" s="256"/>
      <c r="CR83" s="256"/>
      <c r="CS83" s="256"/>
      <c r="CT83" s="256"/>
      <c r="CU83" s="256"/>
      <c r="CV83" s="256"/>
      <c r="CW83" s="256"/>
      <c r="CX83" s="256"/>
      <c r="CY83" s="256"/>
      <c r="CZ83" s="256"/>
      <c r="DA83" s="256"/>
      <c r="DB83" s="256"/>
      <c r="DC83" s="256"/>
      <c r="DD83" s="256"/>
      <c r="DE83" s="256"/>
      <c r="DF83" s="256"/>
      <c r="DG83" s="256"/>
      <c r="DH83" s="256"/>
      <c r="DI83" s="256"/>
      <c r="DJ83" s="256"/>
      <c r="DK83" s="256"/>
      <c r="DL83" s="256"/>
      <c r="DM83" s="256"/>
      <c r="DN83" s="256"/>
      <c r="DO83" s="256"/>
      <c r="DP83" s="256"/>
      <c r="DQ83" s="256"/>
      <c r="DR83" s="256"/>
      <c r="DS83" s="256"/>
      <c r="DT83" s="256"/>
      <c r="DU83" s="256"/>
      <c r="DV83" s="256"/>
      <c r="DW83" s="256"/>
      <c r="DX83" s="256"/>
      <c r="DY83" s="256"/>
      <c r="DZ83" s="256"/>
      <c r="EA83" s="256"/>
      <c r="EB83" s="256"/>
      <c r="EC83" s="256"/>
      <c r="ED83" s="256"/>
      <c r="EE83" s="256"/>
      <c r="EF83" s="256"/>
      <c r="EG83" s="256"/>
      <c r="EH83" s="256"/>
      <c r="EI83" s="256"/>
      <c r="EJ83" s="256"/>
      <c r="EK83" s="256"/>
      <c r="EL83" s="256"/>
      <c r="EM83" s="256"/>
      <c r="EN83" s="256"/>
      <c r="EO83" s="256"/>
      <c r="EP83" s="256"/>
      <c r="EQ83" s="256"/>
      <c r="ER83" s="256"/>
      <c r="ES83" s="256"/>
      <c r="ET83" s="256"/>
      <c r="EU83" s="256"/>
      <c r="EV83" s="256"/>
      <c r="EW83" s="256"/>
      <c r="EX83" s="256"/>
      <c r="EY83" s="256"/>
      <c r="EZ83" s="256"/>
      <c r="FA83" s="256"/>
      <c r="FB83" s="256"/>
      <c r="FC83" s="256"/>
      <c r="FD83" s="256"/>
      <c r="FE83" s="256"/>
      <c r="FF83" s="256"/>
      <c r="FG83" s="256"/>
      <c r="FH83" s="256"/>
      <c r="FI83" s="256"/>
      <c r="FJ83" s="256"/>
      <c r="FK83" s="256"/>
      <c r="FL83" s="256"/>
      <c r="FM83" s="256"/>
      <c r="FN83" s="256"/>
      <c r="FO83" s="256"/>
    </row>
    <row r="84" spans="1:171" s="31" customFormat="1" ht="19.5" customHeight="1">
      <c r="A84" s="260"/>
      <c r="B84" s="263"/>
      <c r="C84" s="262"/>
      <c r="D84" s="98"/>
      <c r="E84" s="98"/>
      <c r="F84" s="98"/>
      <c r="G84" s="98"/>
      <c r="H84" s="666" t="s">
        <v>335</v>
      </c>
      <c r="I84" s="667"/>
      <c r="J84" s="667"/>
      <c r="K84" s="667"/>
      <c r="L84" s="667"/>
      <c r="M84" s="667"/>
      <c r="N84" s="667"/>
      <c r="O84" s="667"/>
      <c r="P84" s="667"/>
      <c r="Q84" s="667"/>
      <c r="R84" s="667"/>
      <c r="S84" s="667"/>
      <c r="T84" s="667"/>
      <c r="U84" s="667"/>
      <c r="V84" s="667"/>
      <c r="W84" s="667"/>
      <c r="X84" s="667"/>
      <c r="Y84" s="667"/>
      <c r="Z84" s="667"/>
      <c r="AA84" s="667"/>
      <c r="AB84" s="667"/>
      <c r="AC84" s="667"/>
      <c r="AD84" s="667"/>
      <c r="AE84" s="667"/>
      <c r="AF84" s="667"/>
      <c r="AG84" s="667"/>
      <c r="AH84" s="667"/>
      <c r="AI84" s="667"/>
      <c r="AJ84" s="667"/>
      <c r="AK84" s="667"/>
      <c r="AL84" s="667"/>
      <c r="AM84" s="667"/>
      <c r="AN84" s="667"/>
      <c r="AO84" s="667"/>
      <c r="AP84" s="667"/>
      <c r="AQ84" s="667"/>
      <c r="AR84" s="667"/>
      <c r="AS84" s="667"/>
      <c r="AT84" s="667"/>
      <c r="AU84" s="667"/>
      <c r="AV84" s="667"/>
      <c r="AW84" s="667"/>
      <c r="AX84" s="667"/>
      <c r="AY84" s="667"/>
      <c r="AZ84" s="667"/>
      <c r="BA84" s="667"/>
      <c r="BB84" s="667"/>
      <c r="BC84" s="667"/>
      <c r="BD84" s="667"/>
      <c r="BE84" s="667"/>
      <c r="BF84" s="667"/>
      <c r="BG84" s="667"/>
      <c r="BH84" s="667"/>
      <c r="BI84" s="667"/>
      <c r="BJ84" s="667"/>
      <c r="BK84" s="667"/>
      <c r="BL84" s="667"/>
      <c r="BM84" s="667"/>
      <c r="BN84" s="667"/>
      <c r="BO84" s="667"/>
      <c r="BP84" s="667"/>
      <c r="BQ84" s="667"/>
      <c r="BR84" s="667"/>
      <c r="BS84" s="667"/>
      <c r="BT84" s="667"/>
      <c r="BU84" s="667"/>
      <c r="BV84" s="667"/>
      <c r="BW84" s="667"/>
      <c r="BX84" s="667"/>
      <c r="BY84" s="667"/>
      <c r="BZ84" s="667"/>
      <c r="CA84" s="667"/>
      <c r="CB84" s="668"/>
      <c r="CC84" s="95"/>
      <c r="CD84" s="95"/>
      <c r="CE84" s="181"/>
      <c r="CF84" s="273"/>
      <c r="CG84" s="256"/>
      <c r="CH84" s="256"/>
      <c r="CI84" s="256"/>
      <c r="CJ84" s="256"/>
      <c r="CK84" s="256"/>
      <c r="CL84" s="256"/>
      <c r="CM84" s="256"/>
      <c r="CN84" s="256"/>
      <c r="CO84" s="256"/>
      <c r="CP84" s="256"/>
      <c r="CQ84" s="256"/>
      <c r="CR84" s="256"/>
      <c r="CS84" s="256"/>
      <c r="CT84" s="256"/>
      <c r="CU84" s="256"/>
      <c r="CV84" s="256"/>
      <c r="CW84" s="256"/>
      <c r="CX84" s="256"/>
      <c r="CY84" s="256"/>
      <c r="CZ84" s="256"/>
      <c r="DA84" s="256"/>
      <c r="DB84" s="256"/>
      <c r="DC84" s="256"/>
      <c r="DD84" s="256"/>
      <c r="DE84" s="256"/>
      <c r="DF84" s="256"/>
      <c r="DG84" s="256"/>
      <c r="DH84" s="256"/>
      <c r="DI84" s="256"/>
      <c r="DJ84" s="256"/>
      <c r="DK84" s="256"/>
      <c r="DL84" s="256"/>
      <c r="DM84" s="256"/>
      <c r="DN84" s="256"/>
      <c r="DO84" s="256"/>
      <c r="DP84" s="256"/>
      <c r="DQ84" s="256"/>
      <c r="DR84" s="256"/>
      <c r="DS84" s="256"/>
      <c r="DT84" s="256"/>
      <c r="DU84" s="256"/>
      <c r="DV84" s="256"/>
      <c r="DW84" s="256"/>
      <c r="DX84" s="256"/>
      <c r="DY84" s="256"/>
      <c r="DZ84" s="256"/>
      <c r="EA84" s="256"/>
      <c r="EB84" s="256"/>
      <c r="EC84" s="256"/>
      <c r="ED84" s="256"/>
      <c r="EE84" s="256"/>
      <c r="EF84" s="256"/>
      <c r="EG84" s="256"/>
      <c r="EH84" s="256"/>
      <c r="EI84" s="256"/>
      <c r="EJ84" s="256"/>
      <c r="EK84" s="256"/>
      <c r="EL84" s="256"/>
      <c r="EM84" s="256"/>
      <c r="EN84" s="256"/>
      <c r="EO84" s="256"/>
      <c r="EP84" s="256"/>
      <c r="EQ84" s="256"/>
      <c r="ER84" s="256"/>
      <c r="ES84" s="256"/>
      <c r="ET84" s="256"/>
      <c r="EU84" s="256"/>
      <c r="EV84" s="256"/>
      <c r="EW84" s="256"/>
      <c r="EX84" s="256"/>
      <c r="EY84" s="256"/>
      <c r="EZ84" s="256"/>
      <c r="FA84" s="256"/>
      <c r="FB84" s="256"/>
      <c r="FC84" s="256"/>
      <c r="FD84" s="256"/>
      <c r="FE84" s="256"/>
      <c r="FF84" s="256"/>
      <c r="FG84" s="256"/>
      <c r="FH84" s="256"/>
      <c r="FI84" s="256"/>
      <c r="FJ84" s="256"/>
      <c r="FK84" s="256"/>
      <c r="FL84" s="256"/>
      <c r="FM84" s="256"/>
      <c r="FN84" s="256"/>
      <c r="FO84" s="256"/>
    </row>
    <row r="85" spans="1:171" s="31" customFormat="1" ht="19.5" customHeight="1">
      <c r="A85" s="260"/>
      <c r="B85" s="263"/>
      <c r="C85" s="262"/>
      <c r="D85" s="98"/>
      <c r="E85" s="98"/>
      <c r="F85" s="98"/>
      <c r="G85" s="98"/>
      <c r="H85" s="669"/>
      <c r="I85" s="670"/>
      <c r="J85" s="670"/>
      <c r="K85" s="670"/>
      <c r="L85" s="670"/>
      <c r="M85" s="670"/>
      <c r="N85" s="670"/>
      <c r="O85" s="670"/>
      <c r="P85" s="670"/>
      <c r="Q85" s="670"/>
      <c r="R85" s="670"/>
      <c r="S85" s="670"/>
      <c r="T85" s="670"/>
      <c r="U85" s="670"/>
      <c r="V85" s="670"/>
      <c r="W85" s="670"/>
      <c r="X85" s="670"/>
      <c r="Y85" s="670"/>
      <c r="Z85" s="670"/>
      <c r="AA85" s="670"/>
      <c r="AB85" s="670"/>
      <c r="AC85" s="670"/>
      <c r="AD85" s="670"/>
      <c r="AE85" s="670"/>
      <c r="AF85" s="670"/>
      <c r="AG85" s="670"/>
      <c r="AH85" s="670"/>
      <c r="AI85" s="670"/>
      <c r="AJ85" s="670"/>
      <c r="AK85" s="670"/>
      <c r="AL85" s="670"/>
      <c r="AM85" s="670"/>
      <c r="AN85" s="670"/>
      <c r="AO85" s="670"/>
      <c r="AP85" s="670"/>
      <c r="AQ85" s="670"/>
      <c r="AR85" s="670"/>
      <c r="AS85" s="670"/>
      <c r="AT85" s="670"/>
      <c r="AU85" s="670"/>
      <c r="AV85" s="670"/>
      <c r="AW85" s="670"/>
      <c r="AX85" s="670"/>
      <c r="AY85" s="670"/>
      <c r="AZ85" s="670"/>
      <c r="BA85" s="670"/>
      <c r="BB85" s="670"/>
      <c r="BC85" s="670"/>
      <c r="BD85" s="670"/>
      <c r="BE85" s="670"/>
      <c r="BF85" s="670"/>
      <c r="BG85" s="670"/>
      <c r="BH85" s="670"/>
      <c r="BI85" s="670"/>
      <c r="BJ85" s="670"/>
      <c r="BK85" s="670"/>
      <c r="BL85" s="670"/>
      <c r="BM85" s="670"/>
      <c r="BN85" s="670"/>
      <c r="BO85" s="670"/>
      <c r="BP85" s="670"/>
      <c r="BQ85" s="670"/>
      <c r="BR85" s="670"/>
      <c r="BS85" s="670"/>
      <c r="BT85" s="670"/>
      <c r="BU85" s="670"/>
      <c r="BV85" s="670"/>
      <c r="BW85" s="670"/>
      <c r="BX85" s="670"/>
      <c r="BY85" s="670"/>
      <c r="BZ85" s="670"/>
      <c r="CA85" s="670"/>
      <c r="CB85" s="671"/>
      <c r="CC85" s="95"/>
      <c r="CD85" s="95"/>
      <c r="CE85" s="181"/>
      <c r="CF85" s="273"/>
      <c r="CG85" s="256"/>
      <c r="CH85" s="256"/>
      <c r="CI85" s="256"/>
      <c r="CJ85" s="256"/>
      <c r="CK85" s="256"/>
      <c r="CL85" s="256"/>
      <c r="CM85" s="256"/>
      <c r="CN85" s="256"/>
      <c r="CO85" s="256"/>
      <c r="CP85" s="256"/>
      <c r="CQ85" s="256"/>
      <c r="CR85" s="256"/>
      <c r="CS85" s="256"/>
      <c r="CT85" s="256"/>
      <c r="CU85" s="256"/>
      <c r="CV85" s="256"/>
      <c r="CW85" s="256"/>
      <c r="CX85" s="256"/>
      <c r="CY85" s="256"/>
      <c r="CZ85" s="256"/>
      <c r="DA85" s="256"/>
      <c r="DB85" s="256"/>
      <c r="DC85" s="256"/>
      <c r="DD85" s="256"/>
      <c r="DE85" s="256"/>
      <c r="DF85" s="256"/>
      <c r="DG85" s="256"/>
      <c r="DH85" s="256"/>
      <c r="DI85" s="256"/>
      <c r="DJ85" s="256"/>
      <c r="DK85" s="256"/>
      <c r="DL85" s="256"/>
      <c r="DM85" s="256"/>
      <c r="DN85" s="256"/>
      <c r="DO85" s="256"/>
      <c r="DP85" s="256"/>
      <c r="DQ85" s="256"/>
      <c r="DR85" s="256"/>
      <c r="DS85" s="256"/>
      <c r="DT85" s="256"/>
      <c r="DU85" s="256"/>
      <c r="DV85" s="256"/>
      <c r="DW85" s="256"/>
      <c r="DX85" s="256"/>
      <c r="DY85" s="256"/>
      <c r="DZ85" s="256"/>
      <c r="EA85" s="256"/>
      <c r="EB85" s="256"/>
      <c r="EC85" s="256"/>
      <c r="ED85" s="256"/>
      <c r="EE85" s="256"/>
      <c r="EF85" s="256"/>
      <c r="EG85" s="256"/>
      <c r="EH85" s="256"/>
      <c r="EI85" s="256"/>
      <c r="EJ85" s="256"/>
      <c r="EK85" s="256"/>
      <c r="EL85" s="256"/>
      <c r="EM85" s="256"/>
      <c r="EN85" s="256"/>
      <c r="EO85" s="256"/>
      <c r="EP85" s="256"/>
      <c r="EQ85" s="256"/>
      <c r="ER85" s="256"/>
      <c r="ES85" s="256"/>
      <c r="ET85" s="256"/>
      <c r="EU85" s="256"/>
      <c r="EV85" s="256"/>
      <c r="EW85" s="256"/>
      <c r="EX85" s="256"/>
      <c r="EY85" s="256"/>
      <c r="EZ85" s="256"/>
      <c r="FA85" s="256"/>
      <c r="FB85" s="256"/>
      <c r="FC85" s="256"/>
      <c r="FD85" s="256"/>
      <c r="FE85" s="256"/>
      <c r="FF85" s="256"/>
      <c r="FG85" s="256"/>
      <c r="FH85" s="256"/>
      <c r="FI85" s="256"/>
      <c r="FJ85" s="256"/>
      <c r="FK85" s="256"/>
      <c r="FL85" s="256"/>
      <c r="FM85" s="256"/>
      <c r="FN85" s="256"/>
      <c r="FO85" s="256"/>
    </row>
    <row r="86" spans="1:171" s="31" customFormat="1" ht="19.5" customHeight="1">
      <c r="A86" s="260"/>
      <c r="B86" s="263"/>
      <c r="C86" s="262"/>
      <c r="D86" s="98"/>
      <c r="E86" s="98"/>
      <c r="F86" s="98"/>
      <c r="G86" s="98"/>
      <c r="H86" s="183"/>
      <c r="I86" s="183"/>
      <c r="J86" s="183"/>
      <c r="K86" s="183"/>
      <c r="L86" s="183"/>
      <c r="M86" s="183"/>
      <c r="N86" s="184"/>
      <c r="O86" s="184"/>
      <c r="P86" s="184"/>
      <c r="Q86" s="184"/>
      <c r="R86" s="184"/>
      <c r="S86" s="184"/>
      <c r="T86" s="184"/>
      <c r="U86" s="184"/>
      <c r="V86" s="184"/>
      <c r="W86" s="184"/>
      <c r="X86" s="184"/>
      <c r="Y86" s="184"/>
      <c r="Z86" s="184"/>
      <c r="AA86" s="184"/>
      <c r="AB86" s="184"/>
      <c r="AC86" s="184"/>
      <c r="AD86" s="184"/>
      <c r="AE86" s="184"/>
      <c r="AF86" s="184"/>
      <c r="AG86" s="184"/>
      <c r="AH86" s="184"/>
      <c r="AI86" s="184"/>
      <c r="AJ86" s="184"/>
      <c r="AK86" s="184"/>
      <c r="AL86" s="184"/>
      <c r="AM86" s="184"/>
      <c r="AN86" s="184"/>
      <c r="AO86" s="184"/>
      <c r="AP86" s="184"/>
      <c r="AQ86" s="184"/>
      <c r="AR86" s="184"/>
      <c r="AS86" s="184"/>
      <c r="AT86" s="184"/>
      <c r="AU86" s="184"/>
      <c r="AV86" s="184"/>
      <c r="AW86" s="184"/>
      <c r="AX86" s="184"/>
      <c r="AY86" s="184"/>
      <c r="AZ86" s="184"/>
      <c r="BA86" s="184"/>
      <c r="BB86" s="184"/>
      <c r="BC86" s="184"/>
      <c r="BD86" s="184"/>
      <c r="BE86" s="184"/>
      <c r="BF86" s="184"/>
      <c r="BG86" s="184"/>
      <c r="BH86" s="184"/>
      <c r="BI86" s="184"/>
      <c r="BJ86" s="184"/>
      <c r="BK86" s="184"/>
      <c r="BL86" s="184"/>
      <c r="BM86" s="183"/>
      <c r="BN86" s="183"/>
      <c r="BO86" s="184"/>
      <c r="BP86" s="184"/>
      <c r="BQ86" s="184"/>
      <c r="BR86" s="184"/>
      <c r="BS86" s="184"/>
      <c r="BT86" s="184"/>
      <c r="BU86" s="184"/>
      <c r="BV86" s="184"/>
      <c r="BW86" s="184"/>
      <c r="BX86" s="179"/>
      <c r="BY86" s="179"/>
      <c r="BZ86" s="179"/>
      <c r="CA86" s="179"/>
      <c r="CB86" s="179"/>
      <c r="CC86" s="95"/>
      <c r="CD86" s="95"/>
      <c r="CE86" s="181"/>
      <c r="CF86" s="273"/>
      <c r="CG86" s="256"/>
      <c r="CH86" s="256"/>
      <c r="CI86" s="256"/>
      <c r="CJ86" s="256"/>
      <c r="CK86" s="256"/>
      <c r="CL86" s="256"/>
      <c r="CM86" s="256"/>
      <c r="CN86" s="256"/>
      <c r="CO86" s="256"/>
      <c r="CP86" s="256"/>
      <c r="CQ86" s="256"/>
      <c r="CR86" s="256"/>
      <c r="CS86" s="256"/>
      <c r="CT86" s="256"/>
      <c r="CU86" s="256"/>
      <c r="CV86" s="256"/>
      <c r="CW86" s="256"/>
      <c r="CX86" s="256"/>
      <c r="CY86" s="256"/>
      <c r="CZ86" s="256"/>
      <c r="DA86" s="256"/>
      <c r="DB86" s="256"/>
      <c r="DC86" s="256"/>
      <c r="DD86" s="256"/>
      <c r="DE86" s="256"/>
      <c r="DF86" s="256"/>
      <c r="DG86" s="256"/>
      <c r="DH86" s="256"/>
      <c r="DI86" s="256"/>
      <c r="DJ86" s="256"/>
      <c r="DK86" s="256"/>
      <c r="DL86" s="256"/>
      <c r="DM86" s="256"/>
      <c r="DN86" s="256"/>
      <c r="DO86" s="256"/>
      <c r="DP86" s="256"/>
      <c r="DQ86" s="256"/>
      <c r="DR86" s="256"/>
      <c r="DS86" s="256"/>
      <c r="DT86" s="256"/>
      <c r="DU86" s="256"/>
      <c r="DV86" s="256"/>
      <c r="DW86" s="256"/>
      <c r="DX86" s="256"/>
      <c r="DY86" s="256"/>
      <c r="DZ86" s="256"/>
      <c r="EA86" s="256"/>
      <c r="EB86" s="256"/>
      <c r="EC86" s="256"/>
      <c r="ED86" s="256"/>
      <c r="EE86" s="256"/>
      <c r="EF86" s="256"/>
      <c r="EG86" s="256"/>
      <c r="EH86" s="256"/>
      <c r="EI86" s="256"/>
      <c r="EJ86" s="256"/>
      <c r="EK86" s="256"/>
      <c r="EL86" s="256"/>
      <c r="EM86" s="256"/>
      <c r="EN86" s="256"/>
      <c r="EO86" s="256"/>
      <c r="EP86" s="256"/>
      <c r="EQ86" s="256"/>
      <c r="ER86" s="256"/>
      <c r="ES86" s="256"/>
      <c r="ET86" s="256"/>
      <c r="EU86" s="256"/>
      <c r="EV86" s="256"/>
      <c r="EW86" s="256"/>
      <c r="EX86" s="256"/>
      <c r="EY86" s="256"/>
      <c r="EZ86" s="256"/>
      <c r="FA86" s="256"/>
      <c r="FB86" s="256"/>
      <c r="FC86" s="256"/>
      <c r="FD86" s="256"/>
      <c r="FE86" s="256"/>
      <c r="FF86" s="256"/>
      <c r="FG86" s="256"/>
      <c r="FH86" s="256"/>
      <c r="FI86" s="256"/>
      <c r="FJ86" s="256"/>
      <c r="FK86" s="256"/>
      <c r="FL86" s="256"/>
      <c r="FM86" s="256"/>
      <c r="FN86" s="256"/>
      <c r="FO86" s="256"/>
    </row>
    <row r="87" spans="1:171" s="31" customFormat="1" ht="19.5" customHeight="1">
      <c r="A87" s="260"/>
      <c r="B87" s="263"/>
      <c r="C87" s="262"/>
      <c r="D87" s="98"/>
      <c r="E87" s="98"/>
      <c r="F87" s="98"/>
      <c r="G87" s="98"/>
      <c r="H87" s="183"/>
      <c r="I87" s="183"/>
      <c r="J87" s="183"/>
      <c r="K87" s="183"/>
      <c r="L87" s="183"/>
      <c r="M87" s="183"/>
      <c r="N87" s="184"/>
      <c r="O87" s="184"/>
      <c r="P87" s="184"/>
      <c r="Q87" s="184"/>
      <c r="R87" s="184"/>
      <c r="S87" s="184"/>
      <c r="T87" s="184"/>
      <c r="U87" s="184"/>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3"/>
      <c r="BN87" s="183"/>
      <c r="BO87" s="184"/>
      <c r="BP87" s="184"/>
      <c r="BQ87" s="184"/>
      <c r="BR87" s="184"/>
      <c r="BS87" s="184"/>
      <c r="BT87" s="184"/>
      <c r="BU87" s="184"/>
      <c r="BV87" s="184"/>
      <c r="BW87" s="184"/>
      <c r="BX87" s="179"/>
      <c r="BY87" s="179"/>
      <c r="BZ87" s="179"/>
      <c r="CA87" s="179"/>
      <c r="CB87" s="179"/>
      <c r="CC87" s="95"/>
      <c r="CD87" s="95"/>
      <c r="CE87" s="181"/>
      <c r="CF87" s="273"/>
      <c r="CG87" s="256"/>
      <c r="CH87" s="256"/>
      <c r="CI87" s="256"/>
      <c r="CJ87" s="256"/>
      <c r="CK87" s="256"/>
      <c r="CL87" s="256"/>
      <c r="CM87" s="256"/>
      <c r="CN87" s="256"/>
      <c r="CO87" s="256"/>
      <c r="CP87" s="256"/>
      <c r="CQ87" s="256"/>
      <c r="CR87" s="256"/>
      <c r="CS87" s="256"/>
      <c r="CT87" s="256"/>
      <c r="CU87" s="256"/>
      <c r="CV87" s="256"/>
      <c r="CW87" s="256"/>
      <c r="CX87" s="256"/>
      <c r="CY87" s="256"/>
      <c r="CZ87" s="256"/>
      <c r="DA87" s="256"/>
      <c r="DB87" s="256"/>
      <c r="DC87" s="256"/>
      <c r="DD87" s="256"/>
      <c r="DE87" s="256"/>
      <c r="DF87" s="256"/>
      <c r="DG87" s="256"/>
      <c r="DH87" s="256"/>
      <c r="DI87" s="256"/>
      <c r="DJ87" s="256"/>
      <c r="DK87" s="256"/>
      <c r="DL87" s="256"/>
      <c r="DM87" s="256"/>
      <c r="DN87" s="256"/>
      <c r="DO87" s="256"/>
      <c r="DP87" s="256"/>
      <c r="DQ87" s="256"/>
      <c r="DR87" s="256"/>
      <c r="DS87" s="256"/>
      <c r="DT87" s="256"/>
      <c r="DU87" s="256"/>
      <c r="DV87" s="256"/>
      <c r="DW87" s="256"/>
      <c r="DX87" s="256"/>
      <c r="DY87" s="256"/>
      <c r="DZ87" s="256"/>
      <c r="EA87" s="256"/>
      <c r="EB87" s="256"/>
      <c r="EC87" s="256"/>
      <c r="ED87" s="256"/>
      <c r="EE87" s="256"/>
      <c r="EF87" s="256"/>
      <c r="EG87" s="256"/>
      <c r="EH87" s="256"/>
      <c r="EI87" s="256"/>
      <c r="EJ87" s="256"/>
      <c r="EK87" s="256"/>
      <c r="EL87" s="256"/>
      <c r="EM87" s="256"/>
      <c r="EN87" s="256"/>
      <c r="EO87" s="256"/>
      <c r="EP87" s="256"/>
      <c r="EQ87" s="256"/>
      <c r="ER87" s="256"/>
      <c r="ES87" s="256"/>
      <c r="ET87" s="256"/>
      <c r="EU87" s="256"/>
      <c r="EV87" s="256"/>
      <c r="EW87" s="256"/>
      <c r="EX87" s="256"/>
      <c r="EY87" s="256"/>
      <c r="EZ87" s="256"/>
      <c r="FA87" s="256"/>
      <c r="FB87" s="256"/>
      <c r="FC87" s="256"/>
      <c r="FD87" s="256"/>
      <c r="FE87" s="256"/>
      <c r="FF87" s="256"/>
      <c r="FG87" s="256"/>
      <c r="FH87" s="256"/>
      <c r="FI87" s="256"/>
      <c r="FJ87" s="256"/>
      <c r="FK87" s="256"/>
      <c r="FL87" s="256"/>
      <c r="FM87" s="256"/>
      <c r="FN87" s="256"/>
      <c r="FO87" s="256"/>
    </row>
    <row r="88" spans="1:171" s="31" customFormat="1" ht="19.5" customHeight="1">
      <c r="A88" s="260"/>
      <c r="B88" s="263"/>
      <c r="C88" s="262"/>
      <c r="D88" s="98"/>
      <c r="E88" s="98"/>
      <c r="F88" s="98"/>
      <c r="G88" s="98"/>
      <c r="H88" s="179"/>
      <c r="I88" s="179"/>
      <c r="J88" s="179"/>
      <c r="K88" s="179"/>
      <c r="L88" s="179"/>
      <c r="M88" s="179"/>
      <c r="N88" s="292"/>
      <c r="O88" s="179"/>
      <c r="P88" s="179"/>
      <c r="Q88" s="179"/>
      <c r="R88" s="179"/>
      <c r="S88" s="180"/>
      <c r="T88" s="180"/>
      <c r="U88" s="180"/>
      <c r="V88" s="180"/>
      <c r="W88" s="180"/>
      <c r="X88" s="180"/>
      <c r="Y88" s="180"/>
      <c r="Z88" s="180"/>
      <c r="AA88" s="179"/>
      <c r="AB88" s="292"/>
      <c r="AC88" s="180"/>
      <c r="AD88" s="179"/>
      <c r="AE88" s="179"/>
      <c r="AF88" s="179"/>
      <c r="AG88" s="179"/>
      <c r="AH88" s="179"/>
      <c r="AI88" s="179"/>
      <c r="AJ88" s="179"/>
      <c r="AK88" s="179"/>
      <c r="AL88" s="179"/>
      <c r="AM88" s="179"/>
      <c r="AN88" s="179"/>
      <c r="AO88" s="179"/>
      <c r="AP88" s="179"/>
      <c r="AQ88" s="179"/>
      <c r="AR88" s="179"/>
      <c r="AS88" s="179"/>
      <c r="AT88" s="292"/>
      <c r="AU88" s="179"/>
      <c r="AV88" s="179"/>
      <c r="AW88" s="179"/>
      <c r="AX88" s="179"/>
      <c r="AY88" s="179"/>
      <c r="AZ88" s="179"/>
      <c r="BA88" s="179"/>
      <c r="BB88" s="179"/>
      <c r="BC88" s="179"/>
      <c r="BD88" s="179"/>
      <c r="BE88" s="179"/>
      <c r="BF88" s="179"/>
      <c r="BG88" s="179"/>
      <c r="BH88" s="179"/>
      <c r="BI88" s="179"/>
      <c r="BJ88" s="179"/>
      <c r="BK88" s="179"/>
      <c r="BL88" s="179"/>
      <c r="BM88" s="179"/>
      <c r="BN88" s="179"/>
      <c r="BO88" s="179"/>
      <c r="BP88" s="179"/>
      <c r="BQ88" s="179"/>
      <c r="BR88" s="179"/>
      <c r="BS88" s="179"/>
      <c r="BT88" s="179"/>
      <c r="BU88" s="179"/>
      <c r="BV88" s="179"/>
      <c r="BW88" s="179"/>
      <c r="BX88" s="179"/>
      <c r="BY88" s="179"/>
      <c r="BZ88" s="179"/>
      <c r="CA88" s="179"/>
      <c r="CB88" s="179"/>
      <c r="CC88" s="179"/>
      <c r="CD88" s="95"/>
      <c r="CE88" s="181"/>
      <c r="CF88" s="273"/>
      <c r="CG88" s="256"/>
      <c r="CH88" s="256"/>
      <c r="CI88" s="256"/>
      <c r="CJ88" s="256"/>
      <c r="CK88" s="256"/>
      <c r="CL88" s="256"/>
      <c r="CM88" s="256"/>
      <c r="CN88" s="256"/>
      <c r="CO88" s="261"/>
      <c r="CP88" s="261"/>
      <c r="CQ88" s="261"/>
      <c r="CR88" s="261"/>
      <c r="CS88" s="261"/>
      <c r="CT88" s="261"/>
      <c r="CU88" s="261"/>
      <c r="CV88" s="261"/>
      <c r="CW88" s="261"/>
      <c r="CX88" s="261"/>
      <c r="CY88" s="261"/>
      <c r="CZ88" s="261"/>
      <c r="DA88" s="261"/>
      <c r="DB88" s="261"/>
      <c r="DC88" s="261"/>
      <c r="DD88" s="261"/>
      <c r="DE88" s="261"/>
      <c r="DF88" s="261"/>
      <c r="DG88" s="261"/>
      <c r="DH88" s="261"/>
      <c r="DI88" s="279"/>
      <c r="DJ88" s="279"/>
      <c r="DK88" s="261"/>
      <c r="DL88" s="261"/>
      <c r="DM88" s="261"/>
      <c r="DN88" s="261"/>
      <c r="DO88" s="261"/>
      <c r="DP88" s="261"/>
      <c r="DQ88" s="261"/>
      <c r="DR88" s="261"/>
      <c r="DS88" s="261"/>
      <c r="DT88" s="261"/>
      <c r="DU88" s="261"/>
      <c r="DV88" s="261"/>
      <c r="DW88" s="261"/>
      <c r="DX88" s="261"/>
      <c r="DY88" s="279"/>
      <c r="DZ88" s="256"/>
      <c r="EA88" s="256"/>
      <c r="EB88" s="256"/>
      <c r="EC88" s="256"/>
      <c r="ED88" s="256"/>
      <c r="EE88" s="256"/>
      <c r="EF88" s="256"/>
      <c r="EG88" s="256"/>
      <c r="EH88" s="256"/>
      <c r="EI88" s="256"/>
      <c r="EJ88" s="256"/>
      <c r="EK88" s="256"/>
      <c r="EL88" s="256"/>
      <c r="EM88" s="256"/>
      <c r="EN88" s="256"/>
      <c r="EO88" s="256"/>
      <c r="EP88" s="256"/>
      <c r="EQ88" s="256"/>
      <c r="ER88" s="256"/>
      <c r="ES88" s="256"/>
      <c r="ET88" s="256"/>
      <c r="EU88" s="256"/>
      <c r="EV88" s="256"/>
      <c r="EW88" s="256"/>
      <c r="EX88" s="256"/>
      <c r="EY88" s="256"/>
      <c r="EZ88" s="256"/>
      <c r="FA88" s="256"/>
      <c r="FB88" s="256"/>
      <c r="FC88" s="256"/>
      <c r="FD88" s="256"/>
      <c r="FE88" s="256"/>
      <c r="FF88" s="256"/>
      <c r="FG88" s="256"/>
      <c r="FH88" s="256"/>
      <c r="FI88" s="256"/>
      <c r="FJ88" s="256"/>
      <c r="FK88" s="256"/>
      <c r="FL88" s="256"/>
      <c r="FM88" s="256"/>
      <c r="FN88" s="256"/>
      <c r="FO88" s="256"/>
    </row>
    <row r="89" spans="1:171" s="31" customFormat="1" ht="19.5" customHeight="1">
      <c r="A89" s="260"/>
      <c r="B89" s="263"/>
      <c r="C89" s="262"/>
      <c r="D89" s="98"/>
      <c r="E89" s="98"/>
      <c r="F89" s="98"/>
      <c r="G89" s="98"/>
      <c r="H89" s="192"/>
      <c r="I89" s="179"/>
      <c r="J89" s="179"/>
      <c r="K89" s="179"/>
      <c r="L89" s="179"/>
      <c r="M89" s="179"/>
      <c r="N89" s="179"/>
      <c r="O89" s="179"/>
      <c r="P89" s="179"/>
      <c r="Q89" s="179"/>
      <c r="R89" s="179"/>
      <c r="S89" s="179"/>
      <c r="T89" s="179"/>
      <c r="U89" s="179"/>
      <c r="V89" s="193"/>
      <c r="W89" s="179"/>
      <c r="X89" s="179"/>
      <c r="Y89" s="179"/>
      <c r="Z89" s="179"/>
      <c r="AA89" s="179"/>
      <c r="AB89" s="179"/>
      <c r="AC89" s="179"/>
      <c r="AD89" s="179"/>
      <c r="AE89" s="179"/>
      <c r="AF89" s="179"/>
      <c r="AG89" s="179"/>
      <c r="AH89" s="179"/>
      <c r="AI89" s="179"/>
      <c r="AJ89" s="179"/>
      <c r="AK89" s="179"/>
      <c r="AL89" s="179"/>
      <c r="AM89" s="179"/>
      <c r="AN89" s="179"/>
      <c r="AO89" s="179"/>
      <c r="AP89" s="179"/>
      <c r="AQ89" s="179"/>
      <c r="AR89" s="179"/>
      <c r="AS89" s="179"/>
      <c r="AT89" s="179"/>
      <c r="AU89" s="179"/>
      <c r="AV89" s="179"/>
      <c r="AW89" s="179"/>
      <c r="AX89" s="179"/>
      <c r="AY89" s="179"/>
      <c r="AZ89" s="179"/>
      <c r="BA89" s="179"/>
      <c r="BB89" s="179"/>
      <c r="BC89" s="179"/>
      <c r="BD89" s="179"/>
      <c r="BE89" s="179"/>
      <c r="BF89" s="179"/>
      <c r="BG89" s="179"/>
      <c r="BH89" s="179"/>
      <c r="BI89" s="179"/>
      <c r="BJ89" s="179"/>
      <c r="BK89" s="179"/>
      <c r="BL89" s="179"/>
      <c r="BM89" s="179"/>
      <c r="BN89" s="179"/>
      <c r="BO89" s="179"/>
      <c r="BP89" s="179"/>
      <c r="BQ89" s="179"/>
      <c r="BR89" s="179"/>
      <c r="BS89" s="179"/>
      <c r="BT89" s="179"/>
      <c r="BU89" s="179"/>
      <c r="BV89" s="179"/>
      <c r="BW89" s="179"/>
      <c r="BX89" s="179"/>
      <c r="BY89" s="179"/>
      <c r="BZ89" s="179"/>
      <c r="CA89" s="179"/>
      <c r="CB89" s="179"/>
      <c r="CC89" s="179"/>
      <c r="CD89" s="95"/>
      <c r="CE89" s="181"/>
      <c r="CF89" s="273"/>
      <c r="CG89" s="256"/>
      <c r="CH89" s="256"/>
      <c r="CI89" s="256"/>
      <c r="CJ89" s="256"/>
      <c r="CK89" s="256"/>
      <c r="CL89" s="256"/>
      <c r="CM89" s="256"/>
      <c r="CN89" s="256"/>
      <c r="CO89" s="256"/>
      <c r="CP89" s="256"/>
      <c r="CQ89" s="256"/>
      <c r="CR89" s="256"/>
      <c r="CS89" s="256"/>
      <c r="CT89" s="256"/>
      <c r="CU89" s="256"/>
      <c r="CV89" s="256"/>
      <c r="CW89" s="256"/>
      <c r="CX89" s="256"/>
      <c r="CY89" s="256"/>
      <c r="CZ89" s="256"/>
      <c r="DA89" s="256"/>
      <c r="DB89" s="256"/>
      <c r="DC89" s="256"/>
      <c r="DD89" s="256"/>
      <c r="DE89" s="256"/>
      <c r="DF89" s="256"/>
      <c r="DG89" s="256"/>
      <c r="DH89" s="256"/>
      <c r="DI89" s="256"/>
      <c r="DJ89" s="256"/>
      <c r="DK89" s="256"/>
      <c r="DL89" s="256"/>
      <c r="DM89" s="256"/>
      <c r="DN89" s="256"/>
      <c r="DO89" s="256"/>
      <c r="DP89" s="256"/>
      <c r="DQ89" s="256"/>
      <c r="DR89" s="256"/>
      <c r="DS89" s="256"/>
      <c r="DT89" s="256"/>
      <c r="DU89" s="256"/>
      <c r="DV89" s="256"/>
      <c r="DW89" s="256"/>
      <c r="DX89" s="256"/>
      <c r="DY89" s="256"/>
      <c r="DZ89" s="256"/>
      <c r="EA89" s="256"/>
      <c r="EB89" s="256"/>
      <c r="EC89" s="256"/>
      <c r="ED89" s="256"/>
      <c r="EE89" s="256"/>
      <c r="EF89" s="256"/>
      <c r="EG89" s="256"/>
      <c r="EH89" s="256"/>
      <c r="EI89" s="256"/>
      <c r="EJ89" s="256"/>
      <c r="EK89" s="256"/>
      <c r="EL89" s="256"/>
      <c r="EM89" s="256"/>
      <c r="EN89" s="256"/>
      <c r="EO89" s="256"/>
      <c r="EP89" s="256"/>
      <c r="EQ89" s="256"/>
      <c r="ER89" s="256"/>
      <c r="ES89" s="256"/>
      <c r="ET89" s="256"/>
      <c r="EU89" s="256"/>
      <c r="EV89" s="256"/>
      <c r="EW89" s="256"/>
      <c r="EX89" s="256"/>
      <c r="EY89" s="256"/>
      <c r="EZ89" s="256"/>
      <c r="FA89" s="256"/>
      <c r="FB89" s="256"/>
      <c r="FC89" s="256"/>
      <c r="FD89" s="256"/>
      <c r="FE89" s="256"/>
      <c r="FF89" s="256"/>
      <c r="FG89" s="256"/>
      <c r="FH89" s="256"/>
      <c r="FI89" s="256"/>
      <c r="FJ89" s="256"/>
      <c r="FK89" s="256"/>
      <c r="FL89" s="256"/>
      <c r="FM89" s="256"/>
      <c r="FN89" s="256"/>
      <c r="FO89" s="256"/>
    </row>
    <row r="90" spans="1:171" s="31" customFormat="1" ht="19.5" customHeight="1">
      <c r="A90" s="260"/>
      <c r="B90" s="263"/>
      <c r="C90" s="263"/>
      <c r="D90" s="182"/>
      <c r="E90" s="89"/>
      <c r="F90" s="89"/>
      <c r="G90" s="89"/>
      <c r="H90" s="89"/>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7"/>
      <c r="BZ90" s="127"/>
      <c r="CA90" s="127"/>
      <c r="CB90" s="127"/>
      <c r="CC90" s="127"/>
      <c r="CD90" s="127"/>
      <c r="CE90" s="188"/>
      <c r="CF90" s="273"/>
      <c r="CG90" s="256"/>
      <c r="CH90" s="256"/>
      <c r="CI90" s="256"/>
      <c r="CJ90" s="256"/>
      <c r="CK90" s="256"/>
      <c r="CL90" s="256"/>
      <c r="CM90" s="256"/>
      <c r="CN90" s="256"/>
      <c r="CO90" s="256"/>
      <c r="CP90" s="256"/>
      <c r="CQ90" s="256"/>
      <c r="CR90" s="256"/>
      <c r="CS90" s="256"/>
      <c r="CT90" s="256"/>
      <c r="CU90" s="256"/>
      <c r="CV90" s="256"/>
      <c r="CW90" s="256"/>
      <c r="CX90" s="256"/>
      <c r="CY90" s="256"/>
      <c r="CZ90" s="256"/>
      <c r="DA90" s="256"/>
      <c r="DB90" s="256"/>
      <c r="DC90" s="256"/>
      <c r="DD90" s="256"/>
      <c r="DE90" s="256"/>
      <c r="DF90" s="256"/>
      <c r="DG90" s="256"/>
      <c r="DH90" s="256"/>
      <c r="DI90" s="256"/>
      <c r="DJ90" s="256"/>
      <c r="DK90" s="256"/>
      <c r="DL90" s="256"/>
      <c r="DM90" s="256"/>
      <c r="DN90" s="256"/>
      <c r="DO90" s="256"/>
      <c r="DP90" s="256"/>
      <c r="DQ90" s="256"/>
      <c r="DR90" s="256"/>
      <c r="DS90" s="256"/>
      <c r="DT90" s="256"/>
      <c r="DU90" s="256"/>
      <c r="DV90" s="256"/>
      <c r="DW90" s="256"/>
      <c r="DX90" s="256"/>
      <c r="DY90" s="256"/>
      <c r="DZ90" s="256"/>
      <c r="EA90" s="256"/>
      <c r="EB90" s="256"/>
      <c r="EC90" s="256"/>
      <c r="ED90" s="256"/>
      <c r="EE90" s="256"/>
      <c r="EF90" s="256"/>
      <c r="EG90" s="256"/>
      <c r="EH90" s="256"/>
      <c r="EI90" s="256"/>
      <c r="EJ90" s="256"/>
      <c r="EK90" s="256"/>
      <c r="EL90" s="256"/>
      <c r="EM90" s="256"/>
      <c r="EN90" s="256"/>
      <c r="EO90" s="256"/>
      <c r="EP90" s="256"/>
      <c r="EQ90" s="256"/>
      <c r="ER90" s="256"/>
      <c r="ES90" s="256"/>
      <c r="ET90" s="256"/>
      <c r="EU90" s="256"/>
      <c r="EV90" s="256"/>
      <c r="EW90" s="256"/>
      <c r="EX90" s="256"/>
      <c r="EY90" s="256"/>
      <c r="EZ90" s="256"/>
      <c r="FA90" s="256"/>
      <c r="FB90" s="256"/>
      <c r="FC90" s="256"/>
      <c r="FD90" s="256"/>
      <c r="FE90" s="256"/>
      <c r="FF90" s="256"/>
      <c r="FG90" s="256"/>
      <c r="FH90" s="256"/>
      <c r="FI90" s="256"/>
      <c r="FJ90" s="256"/>
      <c r="FK90" s="256"/>
      <c r="FL90" s="256"/>
      <c r="FM90" s="256"/>
      <c r="FN90" s="256"/>
      <c r="FO90" s="256"/>
    </row>
    <row r="91" spans="1:171" s="254" customFormat="1" ht="8.25" customHeight="1">
      <c r="A91" s="264"/>
      <c r="B91" s="265"/>
      <c r="C91" s="265"/>
      <c r="D91" s="258"/>
      <c r="E91" s="258"/>
      <c r="F91" s="258"/>
      <c r="G91" s="258"/>
      <c r="H91" s="258"/>
      <c r="I91" s="258"/>
      <c r="J91" s="258"/>
      <c r="K91" s="258"/>
      <c r="L91" s="258"/>
      <c r="M91" s="258"/>
      <c r="N91" s="265"/>
      <c r="O91" s="265"/>
      <c r="P91" s="265"/>
      <c r="Q91" s="265"/>
      <c r="R91" s="265"/>
      <c r="S91" s="265"/>
      <c r="T91" s="265"/>
      <c r="U91" s="265"/>
      <c r="V91" s="265"/>
      <c r="W91" s="265"/>
      <c r="X91" s="265"/>
      <c r="Y91" s="265"/>
      <c r="Z91" s="265"/>
      <c r="AA91" s="265"/>
      <c r="AB91" s="265"/>
      <c r="AC91" s="265"/>
      <c r="AD91" s="265"/>
      <c r="AE91" s="265"/>
      <c r="AF91" s="265"/>
      <c r="AG91" s="265"/>
      <c r="AH91" s="265"/>
      <c r="AI91" s="265"/>
      <c r="AJ91" s="265"/>
      <c r="AK91" s="265"/>
      <c r="AL91" s="265"/>
      <c r="AM91" s="265"/>
      <c r="AN91" s="265"/>
      <c r="AO91" s="265"/>
      <c r="AP91" s="265"/>
      <c r="AQ91" s="265"/>
      <c r="AR91" s="265"/>
      <c r="AS91" s="265"/>
      <c r="AT91" s="265"/>
      <c r="AU91" s="265"/>
      <c r="AV91" s="265"/>
      <c r="AW91" s="265"/>
      <c r="AX91" s="265"/>
      <c r="AY91" s="265"/>
      <c r="AZ91" s="265"/>
      <c r="BA91" s="265"/>
      <c r="BB91" s="265"/>
      <c r="BC91" s="265"/>
      <c r="BD91" s="265"/>
      <c r="BE91" s="265"/>
      <c r="BF91" s="265"/>
      <c r="BG91" s="265"/>
      <c r="BH91" s="265"/>
      <c r="BI91" s="265"/>
      <c r="BJ91" s="265"/>
      <c r="BK91" s="265"/>
      <c r="BL91" s="265"/>
      <c r="BM91" s="265"/>
      <c r="BN91" s="265"/>
      <c r="BO91" s="265"/>
      <c r="BP91" s="265"/>
      <c r="BQ91" s="265"/>
      <c r="BR91" s="265"/>
      <c r="BS91" s="265"/>
      <c r="BT91" s="265"/>
      <c r="BU91" s="265"/>
      <c r="BV91" s="265"/>
      <c r="BW91" s="265"/>
      <c r="BX91" s="265"/>
      <c r="BY91" s="265"/>
      <c r="BZ91" s="265"/>
      <c r="CA91" s="265"/>
      <c r="CB91" s="265"/>
      <c r="CC91" s="265"/>
      <c r="CD91" s="265"/>
      <c r="CE91" s="265"/>
      <c r="CF91" s="274"/>
    </row>
    <row r="92" spans="1:171" s="269" customFormat="1" ht="19.5" customHeight="1">
      <c r="A92" s="266"/>
      <c r="B92" s="267" t="s">
        <v>158</v>
      </c>
      <c r="C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75"/>
    </row>
    <row r="93" spans="1:171" s="256" customFormat="1" ht="19.5" customHeight="1">
      <c r="A93" s="260"/>
      <c r="B93" s="384" t="s">
        <v>159</v>
      </c>
      <c r="C93" s="385"/>
      <c r="D93" s="385"/>
      <c r="E93" s="385"/>
      <c r="F93" s="385"/>
      <c r="G93" s="385"/>
      <c r="H93" s="385"/>
      <c r="I93" s="385"/>
      <c r="J93" s="385"/>
      <c r="K93" s="385"/>
      <c r="L93" s="385"/>
      <c r="M93" s="385"/>
      <c r="N93" s="385"/>
      <c r="O93" s="385"/>
      <c r="P93" s="386"/>
      <c r="Q93" s="384" t="s">
        <v>160</v>
      </c>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c r="BK93" s="385"/>
      <c r="BL93" s="386"/>
      <c r="BM93" s="384" t="s">
        <v>161</v>
      </c>
      <c r="BN93" s="385"/>
      <c r="BO93" s="385"/>
      <c r="BP93" s="385"/>
      <c r="BQ93" s="385"/>
      <c r="BR93" s="385"/>
      <c r="BS93" s="385"/>
      <c r="BT93" s="385"/>
      <c r="BU93" s="385"/>
      <c r="BV93" s="385"/>
      <c r="BW93" s="385"/>
      <c r="BX93" s="385"/>
      <c r="BY93" s="385"/>
      <c r="BZ93" s="385"/>
      <c r="CA93" s="385"/>
      <c r="CB93" s="385"/>
      <c r="CC93" s="385"/>
      <c r="CD93" s="385"/>
      <c r="CE93" s="386"/>
      <c r="CF93" s="273"/>
    </row>
    <row r="94" spans="1:171" s="269" customFormat="1" ht="48.65" customHeight="1">
      <c r="A94" s="268"/>
      <c r="B94" s="378" t="s">
        <v>184</v>
      </c>
      <c r="C94" s="379"/>
      <c r="D94" s="379"/>
      <c r="E94" s="379"/>
      <c r="F94" s="379"/>
      <c r="G94" s="379"/>
      <c r="H94" s="379"/>
      <c r="I94" s="379"/>
      <c r="J94" s="379"/>
      <c r="K94" s="379"/>
      <c r="L94" s="379"/>
      <c r="M94" s="379"/>
      <c r="N94" s="379"/>
      <c r="O94" s="379"/>
      <c r="P94" s="380"/>
      <c r="Q94" s="610" t="s">
        <v>400</v>
      </c>
      <c r="R94" s="611"/>
      <c r="S94" s="611"/>
      <c r="T94" s="611"/>
      <c r="U94" s="611"/>
      <c r="V94" s="611"/>
      <c r="W94" s="611"/>
      <c r="X94" s="611"/>
      <c r="Y94" s="611"/>
      <c r="Z94" s="611"/>
      <c r="AA94" s="611"/>
      <c r="AB94" s="611"/>
      <c r="AC94" s="611"/>
      <c r="AD94" s="611"/>
      <c r="AE94" s="611"/>
      <c r="AF94" s="611"/>
      <c r="AG94" s="611"/>
      <c r="AH94" s="611"/>
      <c r="AI94" s="611"/>
      <c r="AJ94" s="611"/>
      <c r="AK94" s="611"/>
      <c r="AL94" s="611"/>
      <c r="AM94" s="611"/>
      <c r="AN94" s="611"/>
      <c r="AO94" s="611"/>
      <c r="AP94" s="611"/>
      <c r="AQ94" s="611"/>
      <c r="AR94" s="611"/>
      <c r="AS94" s="611"/>
      <c r="AT94" s="611"/>
      <c r="AU94" s="611"/>
      <c r="AV94" s="611"/>
      <c r="AW94" s="611"/>
      <c r="AX94" s="611"/>
      <c r="AY94" s="611"/>
      <c r="AZ94" s="611"/>
      <c r="BA94" s="611"/>
      <c r="BB94" s="611"/>
      <c r="BC94" s="611"/>
      <c r="BD94" s="611"/>
      <c r="BE94" s="611"/>
      <c r="BF94" s="611"/>
      <c r="BG94" s="611"/>
      <c r="BH94" s="611"/>
      <c r="BI94" s="611"/>
      <c r="BJ94" s="611"/>
      <c r="BK94" s="611"/>
      <c r="BL94" s="612"/>
      <c r="BM94" s="663" t="s">
        <v>452</v>
      </c>
      <c r="BN94" s="664"/>
      <c r="BO94" s="664"/>
      <c r="BP94" s="664"/>
      <c r="BQ94" s="664"/>
      <c r="BR94" s="664"/>
      <c r="BS94" s="664"/>
      <c r="BT94" s="664"/>
      <c r="BU94" s="664"/>
      <c r="BV94" s="664"/>
      <c r="BW94" s="664"/>
      <c r="BX94" s="664"/>
      <c r="BY94" s="664"/>
      <c r="BZ94" s="664"/>
      <c r="CA94" s="664"/>
      <c r="CB94" s="664"/>
      <c r="CC94" s="664"/>
      <c r="CD94" s="664"/>
      <c r="CE94" s="665"/>
      <c r="CF94" s="276"/>
    </row>
    <row r="95" spans="1:171" s="269" customFormat="1" ht="30.75" customHeight="1">
      <c r="A95" s="268"/>
      <c r="B95" s="378" t="s">
        <v>338</v>
      </c>
      <c r="C95" s="379"/>
      <c r="D95" s="379"/>
      <c r="E95" s="379"/>
      <c r="F95" s="379"/>
      <c r="G95" s="379"/>
      <c r="H95" s="379"/>
      <c r="I95" s="379"/>
      <c r="J95" s="379"/>
      <c r="K95" s="379"/>
      <c r="L95" s="379"/>
      <c r="M95" s="379"/>
      <c r="N95" s="379"/>
      <c r="O95" s="379"/>
      <c r="P95" s="380"/>
      <c r="Q95" s="610" t="s">
        <v>454</v>
      </c>
      <c r="R95" s="611"/>
      <c r="S95" s="611"/>
      <c r="T95" s="611"/>
      <c r="U95" s="611"/>
      <c r="V95" s="611"/>
      <c r="W95" s="611"/>
      <c r="X95" s="611"/>
      <c r="Y95" s="611"/>
      <c r="Z95" s="611"/>
      <c r="AA95" s="611"/>
      <c r="AB95" s="611"/>
      <c r="AC95" s="611"/>
      <c r="AD95" s="611"/>
      <c r="AE95" s="611"/>
      <c r="AF95" s="611"/>
      <c r="AG95" s="611"/>
      <c r="AH95" s="611"/>
      <c r="AI95" s="611"/>
      <c r="AJ95" s="611"/>
      <c r="AK95" s="611"/>
      <c r="AL95" s="611"/>
      <c r="AM95" s="611"/>
      <c r="AN95" s="611"/>
      <c r="AO95" s="611"/>
      <c r="AP95" s="611"/>
      <c r="AQ95" s="611"/>
      <c r="AR95" s="611"/>
      <c r="AS95" s="611"/>
      <c r="AT95" s="611"/>
      <c r="AU95" s="611"/>
      <c r="AV95" s="611"/>
      <c r="AW95" s="611"/>
      <c r="AX95" s="611"/>
      <c r="AY95" s="611"/>
      <c r="AZ95" s="611"/>
      <c r="BA95" s="611"/>
      <c r="BB95" s="611"/>
      <c r="BC95" s="611"/>
      <c r="BD95" s="611"/>
      <c r="BE95" s="611"/>
      <c r="BF95" s="611"/>
      <c r="BG95" s="611"/>
      <c r="BH95" s="611"/>
      <c r="BI95" s="611"/>
      <c r="BJ95" s="611"/>
      <c r="BK95" s="611"/>
      <c r="BL95" s="612"/>
      <c r="BM95" s="387"/>
      <c r="BN95" s="388"/>
      <c r="BO95" s="388"/>
      <c r="BP95" s="388"/>
      <c r="BQ95" s="388"/>
      <c r="BR95" s="388"/>
      <c r="BS95" s="388"/>
      <c r="BT95" s="388"/>
      <c r="BU95" s="388"/>
      <c r="BV95" s="388"/>
      <c r="BW95" s="388"/>
      <c r="BX95" s="388"/>
      <c r="BY95" s="388"/>
      <c r="BZ95" s="388"/>
      <c r="CA95" s="388"/>
      <c r="CB95" s="388"/>
      <c r="CC95" s="388"/>
      <c r="CD95" s="388"/>
      <c r="CE95" s="389"/>
      <c r="CF95" s="276"/>
    </row>
    <row r="96" spans="1:171" s="269" customFormat="1" ht="30.75" customHeight="1">
      <c r="A96" s="268"/>
      <c r="B96" s="378" t="s">
        <v>337</v>
      </c>
      <c r="C96" s="379"/>
      <c r="D96" s="379"/>
      <c r="E96" s="379"/>
      <c r="F96" s="379"/>
      <c r="G96" s="379"/>
      <c r="H96" s="379"/>
      <c r="I96" s="379"/>
      <c r="J96" s="379"/>
      <c r="K96" s="379"/>
      <c r="L96" s="379"/>
      <c r="M96" s="379"/>
      <c r="N96" s="379"/>
      <c r="O96" s="379"/>
      <c r="P96" s="380"/>
      <c r="Q96" s="610" t="s">
        <v>356</v>
      </c>
      <c r="R96" s="611"/>
      <c r="S96" s="611"/>
      <c r="T96" s="611"/>
      <c r="U96" s="611"/>
      <c r="V96" s="611"/>
      <c r="W96" s="611"/>
      <c r="X96" s="611"/>
      <c r="Y96" s="611"/>
      <c r="Z96" s="611"/>
      <c r="AA96" s="611"/>
      <c r="AB96" s="611"/>
      <c r="AC96" s="611"/>
      <c r="AD96" s="611"/>
      <c r="AE96" s="611"/>
      <c r="AF96" s="611"/>
      <c r="AG96" s="611"/>
      <c r="AH96" s="611"/>
      <c r="AI96" s="611"/>
      <c r="AJ96" s="611"/>
      <c r="AK96" s="611"/>
      <c r="AL96" s="611"/>
      <c r="AM96" s="611"/>
      <c r="AN96" s="611"/>
      <c r="AO96" s="611"/>
      <c r="AP96" s="611"/>
      <c r="AQ96" s="611"/>
      <c r="AR96" s="611"/>
      <c r="AS96" s="611"/>
      <c r="AT96" s="611"/>
      <c r="AU96" s="611"/>
      <c r="AV96" s="611"/>
      <c r="AW96" s="611"/>
      <c r="AX96" s="611"/>
      <c r="AY96" s="611"/>
      <c r="AZ96" s="611"/>
      <c r="BA96" s="611"/>
      <c r="BB96" s="611"/>
      <c r="BC96" s="611"/>
      <c r="BD96" s="611"/>
      <c r="BE96" s="611"/>
      <c r="BF96" s="611"/>
      <c r="BG96" s="611"/>
      <c r="BH96" s="611"/>
      <c r="BI96" s="611"/>
      <c r="BJ96" s="611"/>
      <c r="BK96" s="611"/>
      <c r="BL96" s="612"/>
      <c r="BM96" s="387"/>
      <c r="BN96" s="388"/>
      <c r="BO96" s="388"/>
      <c r="BP96" s="388"/>
      <c r="BQ96" s="388"/>
      <c r="BR96" s="388"/>
      <c r="BS96" s="388"/>
      <c r="BT96" s="388"/>
      <c r="BU96" s="388"/>
      <c r="BV96" s="388"/>
      <c r="BW96" s="388"/>
      <c r="BX96" s="388"/>
      <c r="BY96" s="388"/>
      <c r="BZ96" s="388"/>
      <c r="CA96" s="388"/>
      <c r="CB96" s="388"/>
      <c r="CC96" s="388"/>
      <c r="CD96" s="388"/>
      <c r="CE96" s="389"/>
      <c r="CF96" s="276"/>
    </row>
    <row r="97" spans="1:84" s="269" customFormat="1" ht="30.75" customHeight="1">
      <c r="A97" s="268"/>
      <c r="B97" s="378" t="s">
        <v>259</v>
      </c>
      <c r="C97" s="379"/>
      <c r="D97" s="379"/>
      <c r="E97" s="379"/>
      <c r="F97" s="379"/>
      <c r="G97" s="379"/>
      <c r="H97" s="379"/>
      <c r="I97" s="379"/>
      <c r="J97" s="379"/>
      <c r="K97" s="379"/>
      <c r="L97" s="379"/>
      <c r="M97" s="379"/>
      <c r="N97" s="379"/>
      <c r="O97" s="379"/>
      <c r="P97" s="380"/>
      <c r="Q97" s="610" t="s">
        <v>258</v>
      </c>
      <c r="R97" s="611"/>
      <c r="S97" s="611"/>
      <c r="T97" s="611"/>
      <c r="U97" s="611"/>
      <c r="V97" s="611"/>
      <c r="W97" s="611"/>
      <c r="X97" s="611"/>
      <c r="Y97" s="611"/>
      <c r="Z97" s="611"/>
      <c r="AA97" s="611"/>
      <c r="AB97" s="611"/>
      <c r="AC97" s="611"/>
      <c r="AD97" s="611"/>
      <c r="AE97" s="611"/>
      <c r="AF97" s="611"/>
      <c r="AG97" s="611"/>
      <c r="AH97" s="611"/>
      <c r="AI97" s="611"/>
      <c r="AJ97" s="611"/>
      <c r="AK97" s="611"/>
      <c r="AL97" s="611"/>
      <c r="AM97" s="611"/>
      <c r="AN97" s="611"/>
      <c r="AO97" s="611"/>
      <c r="AP97" s="611"/>
      <c r="AQ97" s="611"/>
      <c r="AR97" s="611"/>
      <c r="AS97" s="611"/>
      <c r="AT97" s="611"/>
      <c r="AU97" s="611"/>
      <c r="AV97" s="611"/>
      <c r="AW97" s="611"/>
      <c r="AX97" s="611"/>
      <c r="AY97" s="611"/>
      <c r="AZ97" s="611"/>
      <c r="BA97" s="611"/>
      <c r="BB97" s="611"/>
      <c r="BC97" s="611"/>
      <c r="BD97" s="611"/>
      <c r="BE97" s="611"/>
      <c r="BF97" s="611"/>
      <c r="BG97" s="611"/>
      <c r="BH97" s="611"/>
      <c r="BI97" s="611"/>
      <c r="BJ97" s="611"/>
      <c r="BK97" s="611"/>
      <c r="BL97" s="612"/>
      <c r="BM97" s="387"/>
      <c r="BN97" s="388"/>
      <c r="BO97" s="388"/>
      <c r="BP97" s="388"/>
      <c r="BQ97" s="388"/>
      <c r="BR97" s="388"/>
      <c r="BS97" s="388"/>
      <c r="BT97" s="388"/>
      <c r="BU97" s="388"/>
      <c r="BV97" s="388"/>
      <c r="BW97" s="388"/>
      <c r="BX97" s="388"/>
      <c r="BY97" s="388"/>
      <c r="BZ97" s="388"/>
      <c r="CA97" s="388"/>
      <c r="CB97" s="388"/>
      <c r="CC97" s="388"/>
      <c r="CD97" s="388"/>
      <c r="CE97" s="389"/>
      <c r="CF97" s="276"/>
    </row>
    <row r="98" spans="1:84" s="269" customFormat="1" ht="30.75" customHeight="1">
      <c r="A98" s="268"/>
      <c r="B98" s="378" t="s">
        <v>473</v>
      </c>
      <c r="C98" s="379"/>
      <c r="D98" s="379"/>
      <c r="E98" s="379"/>
      <c r="F98" s="379"/>
      <c r="G98" s="379"/>
      <c r="H98" s="379"/>
      <c r="I98" s="379"/>
      <c r="J98" s="379"/>
      <c r="K98" s="379"/>
      <c r="L98" s="379"/>
      <c r="M98" s="379"/>
      <c r="N98" s="379"/>
      <c r="O98" s="379"/>
      <c r="P98" s="380"/>
      <c r="Q98" s="610" t="s">
        <v>474</v>
      </c>
      <c r="R98" s="611"/>
      <c r="S98" s="611"/>
      <c r="T98" s="611"/>
      <c r="U98" s="611"/>
      <c r="V98" s="611"/>
      <c r="W98" s="611"/>
      <c r="X98" s="611"/>
      <c r="Y98" s="611"/>
      <c r="Z98" s="611"/>
      <c r="AA98" s="611"/>
      <c r="AB98" s="611"/>
      <c r="AC98" s="611"/>
      <c r="AD98" s="611"/>
      <c r="AE98" s="611"/>
      <c r="AF98" s="611"/>
      <c r="AG98" s="611"/>
      <c r="AH98" s="611"/>
      <c r="AI98" s="611"/>
      <c r="AJ98" s="611"/>
      <c r="AK98" s="611"/>
      <c r="AL98" s="611"/>
      <c r="AM98" s="611"/>
      <c r="AN98" s="611"/>
      <c r="AO98" s="611"/>
      <c r="AP98" s="611"/>
      <c r="AQ98" s="611"/>
      <c r="AR98" s="611"/>
      <c r="AS98" s="611"/>
      <c r="AT98" s="611"/>
      <c r="AU98" s="611"/>
      <c r="AV98" s="611"/>
      <c r="AW98" s="611"/>
      <c r="AX98" s="611"/>
      <c r="AY98" s="611"/>
      <c r="AZ98" s="611"/>
      <c r="BA98" s="611"/>
      <c r="BB98" s="611"/>
      <c r="BC98" s="611"/>
      <c r="BD98" s="611"/>
      <c r="BE98" s="611"/>
      <c r="BF98" s="611"/>
      <c r="BG98" s="611"/>
      <c r="BH98" s="611"/>
      <c r="BI98" s="611"/>
      <c r="BJ98" s="611"/>
      <c r="BK98" s="611"/>
      <c r="BL98" s="612"/>
      <c r="BM98" s="387"/>
      <c r="BN98" s="388"/>
      <c r="BO98" s="388"/>
      <c r="BP98" s="388"/>
      <c r="BQ98" s="388"/>
      <c r="BR98" s="388"/>
      <c r="BS98" s="388"/>
      <c r="BT98" s="388"/>
      <c r="BU98" s="388"/>
      <c r="BV98" s="388"/>
      <c r="BW98" s="388"/>
      <c r="BX98" s="388"/>
      <c r="BY98" s="388"/>
      <c r="BZ98" s="388"/>
      <c r="CA98" s="388"/>
      <c r="CB98" s="388"/>
      <c r="CC98" s="388"/>
      <c r="CD98" s="388"/>
      <c r="CE98" s="389"/>
      <c r="CF98" s="276"/>
    </row>
    <row r="99" spans="1:84" s="269" customFormat="1" ht="30.75" customHeight="1">
      <c r="A99" s="268"/>
      <c r="B99" s="616"/>
      <c r="C99" s="617"/>
      <c r="D99" s="617"/>
      <c r="E99" s="617"/>
      <c r="F99" s="617"/>
      <c r="G99" s="617"/>
      <c r="H99" s="617"/>
      <c r="I99" s="617"/>
      <c r="J99" s="617"/>
      <c r="K99" s="617"/>
      <c r="L99" s="617"/>
      <c r="M99" s="617"/>
      <c r="N99" s="617"/>
      <c r="O99" s="617"/>
      <c r="P99" s="618"/>
      <c r="Q99" s="619"/>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620"/>
      <c r="BJ99" s="620"/>
      <c r="BK99" s="620"/>
      <c r="BL99" s="621"/>
      <c r="BM99" s="622"/>
      <c r="BN99" s="623"/>
      <c r="BO99" s="623"/>
      <c r="BP99" s="623"/>
      <c r="BQ99" s="623"/>
      <c r="BR99" s="623"/>
      <c r="BS99" s="623"/>
      <c r="BT99" s="623"/>
      <c r="BU99" s="623"/>
      <c r="BV99" s="623"/>
      <c r="BW99" s="623"/>
      <c r="BX99" s="623"/>
      <c r="BY99" s="623"/>
      <c r="BZ99" s="623"/>
      <c r="CA99" s="623"/>
      <c r="CB99" s="623"/>
      <c r="CC99" s="623"/>
      <c r="CD99" s="623"/>
      <c r="CE99" s="624"/>
      <c r="CF99" s="276"/>
    </row>
    <row r="100" spans="1:84" s="269" customFormat="1" ht="23.25" customHeight="1">
      <c r="A100" s="268"/>
      <c r="B100" s="256" t="s">
        <v>164</v>
      </c>
      <c r="C100" s="256"/>
      <c r="D100" s="256"/>
      <c r="E100" s="256"/>
      <c r="F100" s="256"/>
      <c r="G100" s="256"/>
      <c r="H100" s="256"/>
      <c r="I100" s="256"/>
      <c r="J100" s="256"/>
      <c r="K100" s="256"/>
      <c r="L100" s="256"/>
      <c r="M100" s="256"/>
      <c r="N100" s="256"/>
      <c r="O100" s="256"/>
      <c r="P100" s="256"/>
      <c r="Q100" s="256"/>
      <c r="R100" s="256" t="s">
        <v>165</v>
      </c>
      <c r="S100" s="256"/>
      <c r="T100" s="256"/>
      <c r="U100" s="256"/>
      <c r="V100" s="256"/>
      <c r="W100" s="256"/>
      <c r="X100" s="256"/>
      <c r="Y100" s="256"/>
      <c r="Z100" s="256"/>
      <c r="AA100" s="256"/>
      <c r="AB100" s="256"/>
      <c r="AC100" s="256"/>
      <c r="AD100" s="256"/>
      <c r="AE100" s="256"/>
      <c r="AF100" s="256"/>
      <c r="AG100" s="256"/>
      <c r="AH100" s="256"/>
      <c r="AI100" s="256"/>
      <c r="AJ100" s="256"/>
      <c r="AK100" s="256"/>
      <c r="AL100" s="256"/>
      <c r="AM100" s="256"/>
      <c r="AN100" s="256"/>
      <c r="AO100" s="256"/>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256"/>
      <c r="BK100" s="256"/>
      <c r="BL100" s="256"/>
      <c r="CF100" s="276"/>
    </row>
    <row r="101" spans="1:84" s="256" customFormat="1" ht="19.5" customHeight="1">
      <c r="A101" s="260"/>
      <c r="B101" s="384" t="s">
        <v>166</v>
      </c>
      <c r="C101" s="385"/>
      <c r="D101" s="385"/>
      <c r="E101" s="385"/>
      <c r="F101" s="385"/>
      <c r="G101" s="385"/>
      <c r="H101" s="385"/>
      <c r="I101" s="385"/>
      <c r="J101" s="385"/>
      <c r="K101" s="385"/>
      <c r="L101" s="385"/>
      <c r="M101" s="385"/>
      <c r="N101" s="385"/>
      <c r="O101" s="385"/>
      <c r="P101" s="386"/>
      <c r="Q101" s="384" t="s">
        <v>167</v>
      </c>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H101" s="385"/>
      <c r="BI101" s="385"/>
      <c r="BJ101" s="385"/>
      <c r="BK101" s="385"/>
      <c r="BL101" s="386"/>
      <c r="BM101" s="384" t="s">
        <v>161</v>
      </c>
      <c r="BN101" s="385"/>
      <c r="BO101" s="385"/>
      <c r="BP101" s="385"/>
      <c r="BQ101" s="385"/>
      <c r="BR101" s="385"/>
      <c r="BS101" s="385"/>
      <c r="BT101" s="385"/>
      <c r="BU101" s="385"/>
      <c r="BV101" s="385"/>
      <c r="BW101" s="385"/>
      <c r="BX101" s="385"/>
      <c r="BY101" s="385"/>
      <c r="BZ101" s="385"/>
      <c r="CA101" s="385"/>
      <c r="CB101" s="385"/>
      <c r="CC101" s="385"/>
      <c r="CD101" s="385"/>
      <c r="CE101" s="386"/>
      <c r="CF101" s="273"/>
    </row>
    <row r="102" spans="1:84" s="269" customFormat="1" ht="30.75" customHeight="1">
      <c r="A102" s="268"/>
      <c r="B102" s="625" t="s">
        <v>355</v>
      </c>
      <c r="C102" s="626"/>
      <c r="D102" s="626"/>
      <c r="E102" s="626"/>
      <c r="F102" s="626"/>
      <c r="G102" s="626"/>
      <c r="H102" s="626"/>
      <c r="I102" s="626"/>
      <c r="J102" s="626"/>
      <c r="K102" s="626"/>
      <c r="L102" s="626"/>
      <c r="M102" s="626"/>
      <c r="N102" s="626"/>
      <c r="O102" s="626"/>
      <c r="P102" s="627"/>
      <c r="Q102" s="375" t="s">
        <v>389</v>
      </c>
      <c r="R102" s="376"/>
      <c r="S102" s="376"/>
      <c r="T102" s="376"/>
      <c r="U102" s="376"/>
      <c r="V102" s="376"/>
      <c r="W102" s="376"/>
      <c r="X102" s="376"/>
      <c r="Y102" s="376"/>
      <c r="Z102" s="376"/>
      <c r="AA102" s="376"/>
      <c r="AB102" s="376"/>
      <c r="AC102" s="376"/>
      <c r="AD102" s="376"/>
      <c r="AE102" s="376"/>
      <c r="AF102" s="376"/>
      <c r="AG102" s="376"/>
      <c r="AH102" s="376"/>
      <c r="AI102" s="376"/>
      <c r="AJ102" s="376"/>
      <c r="AK102" s="376"/>
      <c r="AL102" s="376"/>
      <c r="AM102" s="376"/>
      <c r="AN102" s="376"/>
      <c r="AO102" s="376"/>
      <c r="AP102" s="376"/>
      <c r="AQ102" s="376"/>
      <c r="AR102" s="376"/>
      <c r="AS102" s="376"/>
      <c r="AT102" s="376"/>
      <c r="AU102" s="376"/>
      <c r="AV102" s="376"/>
      <c r="AW102" s="376"/>
      <c r="AX102" s="376"/>
      <c r="AY102" s="376"/>
      <c r="AZ102" s="376"/>
      <c r="BA102" s="376"/>
      <c r="BB102" s="376"/>
      <c r="BC102" s="376"/>
      <c r="BD102" s="376"/>
      <c r="BE102" s="376"/>
      <c r="BF102" s="376"/>
      <c r="BG102" s="376"/>
      <c r="BH102" s="376"/>
      <c r="BI102" s="376"/>
      <c r="BJ102" s="376"/>
      <c r="BK102" s="376"/>
      <c r="BL102" s="377"/>
      <c r="BM102" s="628"/>
      <c r="BN102" s="629"/>
      <c r="BO102" s="629"/>
      <c r="BP102" s="629"/>
      <c r="BQ102" s="629"/>
      <c r="BR102" s="629"/>
      <c r="BS102" s="629"/>
      <c r="BT102" s="629"/>
      <c r="BU102" s="629"/>
      <c r="BV102" s="629"/>
      <c r="BW102" s="629"/>
      <c r="BX102" s="629"/>
      <c r="BY102" s="629"/>
      <c r="BZ102" s="629"/>
      <c r="CA102" s="629"/>
      <c r="CB102" s="629"/>
      <c r="CC102" s="629"/>
      <c r="CD102" s="629"/>
      <c r="CE102" s="630"/>
      <c r="CF102" s="276"/>
    </row>
    <row r="103" spans="1:84" s="269" customFormat="1" ht="30.75" customHeight="1">
      <c r="A103" s="268"/>
      <c r="B103" s="378" t="s">
        <v>184</v>
      </c>
      <c r="C103" s="379"/>
      <c r="D103" s="379"/>
      <c r="E103" s="379"/>
      <c r="F103" s="379"/>
      <c r="G103" s="379"/>
      <c r="H103" s="379"/>
      <c r="I103" s="379"/>
      <c r="J103" s="379"/>
      <c r="K103" s="379"/>
      <c r="L103" s="379"/>
      <c r="M103" s="379"/>
      <c r="N103" s="379"/>
      <c r="O103" s="379"/>
      <c r="P103" s="380"/>
      <c r="Q103" s="662" t="s">
        <v>357</v>
      </c>
      <c r="R103" s="376"/>
      <c r="S103" s="376"/>
      <c r="T103" s="376"/>
      <c r="U103" s="376"/>
      <c r="V103" s="376"/>
      <c r="W103" s="376"/>
      <c r="X103" s="376"/>
      <c r="Y103" s="376"/>
      <c r="Z103" s="376"/>
      <c r="AA103" s="376"/>
      <c r="AB103" s="376"/>
      <c r="AC103" s="376"/>
      <c r="AD103" s="376"/>
      <c r="AE103" s="376"/>
      <c r="AF103" s="376"/>
      <c r="AG103" s="376"/>
      <c r="AH103" s="376"/>
      <c r="AI103" s="376"/>
      <c r="AJ103" s="376"/>
      <c r="AK103" s="376"/>
      <c r="AL103" s="376"/>
      <c r="AM103" s="376"/>
      <c r="AN103" s="376"/>
      <c r="AO103" s="376"/>
      <c r="AP103" s="376"/>
      <c r="AQ103" s="376"/>
      <c r="AR103" s="376"/>
      <c r="AS103" s="376"/>
      <c r="AT103" s="376"/>
      <c r="AU103" s="376"/>
      <c r="AV103" s="376"/>
      <c r="AW103" s="376"/>
      <c r="AX103" s="376"/>
      <c r="AY103" s="376"/>
      <c r="AZ103" s="376"/>
      <c r="BA103" s="376"/>
      <c r="BB103" s="376"/>
      <c r="BC103" s="376"/>
      <c r="BD103" s="376"/>
      <c r="BE103" s="376"/>
      <c r="BF103" s="376"/>
      <c r="BG103" s="376"/>
      <c r="BH103" s="376"/>
      <c r="BI103" s="376"/>
      <c r="BJ103" s="376"/>
      <c r="BK103" s="376"/>
      <c r="BL103" s="377"/>
      <c r="BM103" s="628"/>
      <c r="BN103" s="629"/>
      <c r="BO103" s="629"/>
      <c r="BP103" s="629"/>
      <c r="BQ103" s="629"/>
      <c r="BR103" s="629"/>
      <c r="BS103" s="629"/>
      <c r="BT103" s="629"/>
      <c r="BU103" s="629"/>
      <c r="BV103" s="629"/>
      <c r="BW103" s="629"/>
      <c r="BX103" s="629"/>
      <c r="BY103" s="629"/>
      <c r="BZ103" s="629"/>
      <c r="CA103" s="629"/>
      <c r="CB103" s="629"/>
      <c r="CC103" s="629"/>
      <c r="CD103" s="629"/>
      <c r="CE103" s="630"/>
      <c r="CF103" s="276"/>
    </row>
    <row r="104" spans="1:84" s="269" customFormat="1" ht="30.75" customHeight="1">
      <c r="A104" s="268"/>
      <c r="B104" s="378" t="s">
        <v>337</v>
      </c>
      <c r="C104" s="379"/>
      <c r="D104" s="379"/>
      <c r="E104" s="379"/>
      <c r="F104" s="379"/>
      <c r="G104" s="379"/>
      <c r="H104" s="379"/>
      <c r="I104" s="379"/>
      <c r="J104" s="379"/>
      <c r="K104" s="379"/>
      <c r="L104" s="379"/>
      <c r="M104" s="379"/>
      <c r="N104" s="379"/>
      <c r="O104" s="379"/>
      <c r="P104" s="380"/>
      <c r="Q104" s="662" t="s">
        <v>358</v>
      </c>
      <c r="R104" s="376"/>
      <c r="S104" s="376"/>
      <c r="T104" s="376"/>
      <c r="U104" s="376"/>
      <c r="V104" s="376"/>
      <c r="W104" s="376"/>
      <c r="X104" s="376"/>
      <c r="Y104" s="376"/>
      <c r="Z104" s="376"/>
      <c r="AA104" s="376"/>
      <c r="AB104" s="376"/>
      <c r="AC104" s="376"/>
      <c r="AD104" s="376"/>
      <c r="AE104" s="376"/>
      <c r="AF104" s="376"/>
      <c r="AG104" s="376"/>
      <c r="AH104" s="376"/>
      <c r="AI104" s="376"/>
      <c r="AJ104" s="376"/>
      <c r="AK104" s="376"/>
      <c r="AL104" s="376"/>
      <c r="AM104" s="376"/>
      <c r="AN104" s="376"/>
      <c r="AO104" s="376"/>
      <c r="AP104" s="376"/>
      <c r="AQ104" s="376"/>
      <c r="AR104" s="376"/>
      <c r="AS104" s="376"/>
      <c r="AT104" s="376"/>
      <c r="AU104" s="376"/>
      <c r="AV104" s="376"/>
      <c r="AW104" s="376"/>
      <c r="AX104" s="376"/>
      <c r="AY104" s="376"/>
      <c r="AZ104" s="376"/>
      <c r="BA104" s="376"/>
      <c r="BB104" s="376"/>
      <c r="BC104" s="376"/>
      <c r="BD104" s="376"/>
      <c r="BE104" s="376"/>
      <c r="BF104" s="376"/>
      <c r="BG104" s="376"/>
      <c r="BH104" s="376"/>
      <c r="BI104" s="376"/>
      <c r="BJ104" s="376"/>
      <c r="BK104" s="376"/>
      <c r="BL104" s="377"/>
      <c r="BM104" s="628"/>
      <c r="BN104" s="629"/>
      <c r="BO104" s="629"/>
      <c r="BP104" s="629"/>
      <c r="BQ104" s="629"/>
      <c r="BR104" s="629"/>
      <c r="BS104" s="629"/>
      <c r="BT104" s="629"/>
      <c r="BU104" s="629"/>
      <c r="BV104" s="629"/>
      <c r="BW104" s="629"/>
      <c r="BX104" s="629"/>
      <c r="BY104" s="629"/>
      <c r="BZ104" s="629"/>
      <c r="CA104" s="629"/>
      <c r="CB104" s="629"/>
      <c r="CC104" s="629"/>
      <c r="CD104" s="629"/>
      <c r="CE104" s="630"/>
      <c r="CF104" s="276"/>
    </row>
    <row r="105" spans="1:84" s="269" customFormat="1" ht="30.75" customHeight="1">
      <c r="A105" s="268"/>
      <c r="B105" s="378" t="s">
        <v>259</v>
      </c>
      <c r="C105" s="379"/>
      <c r="D105" s="379"/>
      <c r="E105" s="379"/>
      <c r="F105" s="379"/>
      <c r="G105" s="379"/>
      <c r="H105" s="379"/>
      <c r="I105" s="379"/>
      <c r="J105" s="379"/>
      <c r="K105" s="379"/>
      <c r="L105" s="379"/>
      <c r="M105" s="379"/>
      <c r="N105" s="379"/>
      <c r="O105" s="379"/>
      <c r="P105" s="380"/>
      <c r="Q105" s="662" t="s">
        <v>359</v>
      </c>
      <c r="R105" s="376"/>
      <c r="S105" s="376"/>
      <c r="T105" s="376"/>
      <c r="U105" s="376"/>
      <c r="V105" s="376"/>
      <c r="W105" s="376"/>
      <c r="X105" s="376"/>
      <c r="Y105" s="376"/>
      <c r="Z105" s="376"/>
      <c r="AA105" s="376"/>
      <c r="AB105" s="376"/>
      <c r="AC105" s="376"/>
      <c r="AD105" s="376"/>
      <c r="AE105" s="376"/>
      <c r="AF105" s="376"/>
      <c r="AG105" s="376"/>
      <c r="AH105" s="376"/>
      <c r="AI105" s="376"/>
      <c r="AJ105" s="376"/>
      <c r="AK105" s="376"/>
      <c r="AL105" s="376"/>
      <c r="AM105" s="376"/>
      <c r="AN105" s="376"/>
      <c r="AO105" s="376"/>
      <c r="AP105" s="376"/>
      <c r="AQ105" s="376"/>
      <c r="AR105" s="376"/>
      <c r="AS105" s="376"/>
      <c r="AT105" s="376"/>
      <c r="AU105" s="376"/>
      <c r="AV105" s="376"/>
      <c r="AW105" s="376"/>
      <c r="AX105" s="376"/>
      <c r="AY105" s="376"/>
      <c r="AZ105" s="376"/>
      <c r="BA105" s="376"/>
      <c r="BB105" s="376"/>
      <c r="BC105" s="376"/>
      <c r="BD105" s="376"/>
      <c r="BE105" s="376"/>
      <c r="BF105" s="376"/>
      <c r="BG105" s="376"/>
      <c r="BH105" s="376"/>
      <c r="BI105" s="376"/>
      <c r="BJ105" s="376"/>
      <c r="BK105" s="376"/>
      <c r="BL105" s="377"/>
      <c r="BM105" s="628"/>
      <c r="BN105" s="629"/>
      <c r="BO105" s="629"/>
      <c r="BP105" s="629"/>
      <c r="BQ105" s="629"/>
      <c r="BR105" s="629"/>
      <c r="BS105" s="629"/>
      <c r="BT105" s="629"/>
      <c r="BU105" s="629"/>
      <c r="BV105" s="629"/>
      <c r="BW105" s="629"/>
      <c r="BX105" s="629"/>
      <c r="BY105" s="629"/>
      <c r="BZ105" s="629"/>
      <c r="CA105" s="629"/>
      <c r="CB105" s="629"/>
      <c r="CC105" s="629"/>
      <c r="CD105" s="629"/>
      <c r="CE105" s="630"/>
      <c r="CF105" s="276"/>
    </row>
    <row r="106" spans="1:84" s="269" customFormat="1" ht="30.75" customHeight="1">
      <c r="A106" s="268"/>
      <c r="B106" s="378"/>
      <c r="C106" s="379"/>
      <c r="D106" s="379"/>
      <c r="E106" s="379"/>
      <c r="F106" s="379"/>
      <c r="G106" s="379"/>
      <c r="H106" s="379"/>
      <c r="I106" s="379"/>
      <c r="J106" s="379"/>
      <c r="K106" s="379"/>
      <c r="L106" s="379"/>
      <c r="M106" s="379"/>
      <c r="N106" s="379"/>
      <c r="O106" s="379"/>
      <c r="P106" s="380"/>
      <c r="Q106" s="378"/>
      <c r="R106" s="379"/>
      <c r="S106" s="379"/>
      <c r="T106" s="379"/>
      <c r="U106" s="379"/>
      <c r="V106" s="379"/>
      <c r="W106" s="379"/>
      <c r="X106" s="379"/>
      <c r="Y106" s="379"/>
      <c r="Z106" s="379"/>
      <c r="AA106" s="379"/>
      <c r="AB106" s="379"/>
      <c r="AC106" s="379"/>
      <c r="AD106" s="379"/>
      <c r="AE106" s="379"/>
      <c r="AF106" s="379"/>
      <c r="AG106" s="379"/>
      <c r="AH106" s="379"/>
      <c r="AI106" s="379"/>
      <c r="AJ106" s="379"/>
      <c r="AK106" s="379"/>
      <c r="AL106" s="379"/>
      <c r="AM106" s="379"/>
      <c r="AN106" s="379"/>
      <c r="AO106" s="379"/>
      <c r="AP106" s="379"/>
      <c r="AQ106" s="379"/>
      <c r="AR106" s="379"/>
      <c r="AS106" s="379"/>
      <c r="AT106" s="379"/>
      <c r="AU106" s="379"/>
      <c r="AV106" s="379"/>
      <c r="AW106" s="379"/>
      <c r="AX106" s="379"/>
      <c r="AY106" s="379"/>
      <c r="AZ106" s="379"/>
      <c r="BA106" s="379"/>
      <c r="BB106" s="379"/>
      <c r="BC106" s="379"/>
      <c r="BD106" s="379"/>
      <c r="BE106" s="379"/>
      <c r="BF106" s="379"/>
      <c r="BG106" s="379"/>
      <c r="BH106" s="379"/>
      <c r="BI106" s="379"/>
      <c r="BJ106" s="379"/>
      <c r="BK106" s="379"/>
      <c r="BL106" s="380"/>
      <c r="BM106" s="387"/>
      <c r="BN106" s="388"/>
      <c r="BO106" s="388"/>
      <c r="BP106" s="388"/>
      <c r="BQ106" s="388"/>
      <c r="BR106" s="388"/>
      <c r="BS106" s="388"/>
      <c r="BT106" s="388"/>
      <c r="BU106" s="388"/>
      <c r="BV106" s="388"/>
      <c r="BW106" s="388"/>
      <c r="BX106" s="388"/>
      <c r="BY106" s="388"/>
      <c r="BZ106" s="388"/>
      <c r="CA106" s="388"/>
      <c r="CB106" s="388"/>
      <c r="CC106" s="388"/>
      <c r="CD106" s="388"/>
      <c r="CE106" s="389"/>
      <c r="CF106" s="276"/>
    </row>
    <row r="107" spans="1:84" s="278" customFormat="1" ht="4.5" customHeight="1">
      <c r="A107" s="270"/>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271"/>
      <c r="BC107" s="271"/>
      <c r="BD107" s="271"/>
      <c r="BE107" s="271"/>
      <c r="BF107" s="271"/>
      <c r="BG107" s="271"/>
      <c r="BH107" s="271"/>
      <c r="BI107" s="271"/>
      <c r="BJ107" s="271"/>
      <c r="BK107" s="271"/>
      <c r="BL107" s="271"/>
      <c r="BM107" s="271"/>
      <c r="BN107" s="271"/>
      <c r="BO107" s="271"/>
      <c r="BP107" s="271"/>
      <c r="BQ107" s="271"/>
      <c r="BR107" s="271"/>
      <c r="BS107" s="271"/>
      <c r="BT107" s="271"/>
      <c r="BU107" s="271"/>
      <c r="BV107" s="271"/>
      <c r="BW107" s="271"/>
      <c r="BX107" s="271"/>
      <c r="BY107" s="271"/>
      <c r="BZ107" s="271"/>
      <c r="CA107" s="271"/>
      <c r="CB107" s="271"/>
      <c r="CC107" s="271"/>
      <c r="CD107" s="271"/>
      <c r="CE107" s="271"/>
      <c r="CF107" s="277"/>
    </row>
    <row r="108" spans="1:84" s="272" customFormat="1" ht="3" customHeight="1"/>
    <row r="109" spans="1:84" s="272" customFormat="1" ht="19.5" customHeight="1"/>
    <row r="110" spans="1:84" s="272" customFormat="1" ht="19.5" customHeight="1"/>
    <row r="111" spans="1:84" s="272" customFormat="1" ht="19.5" customHeight="1"/>
    <row r="112" spans="1:84" s="254" customFormat="1" ht="19.5" customHeight="1"/>
    <row r="113" s="254" customFormat="1" ht="19.5" customHeight="1"/>
    <row r="114" s="254" customFormat="1" ht="19.5" customHeight="1"/>
    <row r="115" s="254" customFormat="1" ht="19.5" customHeight="1"/>
    <row r="116" s="254" customFormat="1" ht="19.5" customHeight="1"/>
    <row r="117" s="254" customFormat="1" ht="19.5" customHeight="1"/>
    <row r="118" s="254" customFormat="1" ht="19.5" customHeight="1"/>
    <row r="119" s="254" customFormat="1" ht="19.5" customHeight="1"/>
    <row r="120" s="254" customFormat="1" ht="19.5" customHeight="1"/>
    <row r="121" s="254" customFormat="1" ht="19.5" customHeight="1"/>
    <row r="122" s="254" customFormat="1" ht="19.5" customHeight="1"/>
    <row r="123" s="254" customFormat="1" ht="19.5" customHeight="1"/>
    <row r="124" s="254" customFormat="1" ht="19.5" customHeight="1"/>
    <row r="125" s="254" customFormat="1" ht="19.5" customHeight="1"/>
    <row r="126" s="254" customFormat="1" ht="19.5" customHeight="1"/>
    <row r="127" s="254" customFormat="1" ht="19.5" customHeight="1"/>
    <row r="128" s="254" customFormat="1" ht="19.5" customHeight="1"/>
    <row r="129" s="254" customFormat="1" ht="19.5" customHeight="1"/>
    <row r="130" s="254" customFormat="1" ht="19.5" customHeight="1"/>
    <row r="131" s="254" customFormat="1" ht="19.5" customHeight="1"/>
    <row r="132" s="254" customFormat="1" ht="19.5" customHeight="1"/>
    <row r="133" s="254" customFormat="1" ht="19.5" customHeight="1"/>
    <row r="134" s="254" customFormat="1" ht="19.5" customHeight="1"/>
    <row r="135" s="254" customFormat="1" ht="19.5" customHeight="1"/>
    <row r="136" s="254" customFormat="1" ht="19.5" customHeight="1"/>
    <row r="137" s="254" customFormat="1" ht="19.5" customHeight="1"/>
    <row r="138" s="254" customFormat="1" ht="19.5" customHeight="1"/>
    <row r="139" s="254" customFormat="1" ht="19.5" customHeight="1"/>
    <row r="140" s="254" customFormat="1" ht="19.5" customHeight="1"/>
    <row r="141" s="254" customFormat="1" ht="19.5" customHeight="1"/>
    <row r="142" s="254" customFormat="1" ht="19.5" customHeight="1"/>
    <row r="143" s="254" customFormat="1" ht="19.5" customHeight="1"/>
    <row r="144" s="254" customFormat="1" ht="19.5" customHeight="1"/>
    <row r="145" spans="4:83" s="254" customFormat="1" ht="19.5" customHeight="1"/>
    <row r="146" spans="4:83" s="254" customFormat="1" ht="19.5" customHeight="1"/>
    <row r="147" spans="4:83" s="254" customFormat="1" ht="19.5" customHeight="1">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row>
    <row r="148" spans="4:83" s="254" customFormat="1" ht="19.5" customHeight="1">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row>
    <row r="149" spans="4:83" s="254" customFormat="1" ht="19.5" customHeight="1">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c r="CD149" s="57"/>
      <c r="CE149" s="57"/>
    </row>
    <row r="150" spans="4:83" s="254" customFormat="1" ht="19.5" customHeight="1">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row>
    <row r="151" spans="4:83" s="254" customFormat="1" ht="19.5" customHeight="1">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row>
    <row r="152" spans="4:83" s="254" customFormat="1" ht="19.5" customHeight="1">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row>
    <row r="153" spans="4:83" s="254" customFormat="1" ht="19.5" customHeight="1">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row>
    <row r="154" spans="4:83" s="254" customFormat="1" ht="19.5" customHeight="1">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c r="BR154" s="57"/>
      <c r="BS154" s="57"/>
      <c r="BT154" s="57"/>
      <c r="BU154" s="57"/>
      <c r="BV154" s="57"/>
      <c r="BW154" s="57"/>
      <c r="BX154" s="57"/>
      <c r="BY154" s="57"/>
      <c r="BZ154" s="57"/>
      <c r="CA154" s="57"/>
      <c r="CB154" s="57"/>
      <c r="CC154" s="57"/>
      <c r="CD154" s="57"/>
      <c r="CE154" s="57"/>
    </row>
    <row r="155" spans="4:83" s="254" customFormat="1" ht="19.5" customHeight="1">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row>
    <row r="156" spans="4:83" s="254" customFormat="1" ht="19.5" customHeight="1">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row>
    <row r="157" spans="4:83" s="254" customFormat="1" ht="19.5" customHeight="1">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row>
    <row r="158" spans="4:83" s="254" customFormat="1" ht="19.5" customHeight="1">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row>
    <row r="159" spans="4:83" s="254" customFormat="1" ht="19.5" customHeight="1">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row>
    <row r="160" spans="4:83" s="254" customFormat="1" ht="19.5" customHeight="1">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row>
    <row r="161" spans="4:83" s="254" customFormat="1" ht="19.5" customHeight="1">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row>
    <row r="162" spans="4:83" s="254" customFormat="1" ht="19.5" customHeight="1">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row>
    <row r="163" spans="4:83" s="254" customFormat="1" ht="19.5" customHeight="1">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c r="BO163" s="57"/>
      <c r="BP163" s="57"/>
      <c r="BQ163" s="57"/>
      <c r="BR163" s="57"/>
      <c r="BS163" s="57"/>
      <c r="BT163" s="57"/>
      <c r="BU163" s="57"/>
      <c r="BV163" s="57"/>
      <c r="BW163" s="57"/>
      <c r="BX163" s="57"/>
      <c r="BY163" s="57"/>
      <c r="BZ163" s="57"/>
      <c r="CA163" s="57"/>
      <c r="CB163" s="57"/>
      <c r="CC163" s="57"/>
      <c r="CD163" s="57"/>
      <c r="CE163" s="57"/>
    </row>
    <row r="164" spans="4:83" s="254" customFormat="1" ht="19.5" customHeight="1">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row>
    <row r="165" spans="4:83" s="254" customFormat="1" ht="19.5" customHeight="1">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row>
    <row r="166" spans="4:83" s="254" customFormat="1" ht="19.5" customHeight="1">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row>
    <row r="167" spans="4:83" s="254" customFormat="1" ht="19.5" customHeight="1">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row>
    <row r="168" spans="4:83" s="254" customFormat="1" ht="19.5" customHeight="1">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row>
    <row r="169" spans="4:83" s="254" customFormat="1" ht="19.5" customHeight="1">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row>
    <row r="170" spans="4:83" s="254" customFormat="1" ht="19.5" customHeight="1">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c r="BU170" s="57"/>
      <c r="BV170" s="57"/>
      <c r="BW170" s="57"/>
      <c r="BX170" s="57"/>
      <c r="BY170" s="57"/>
      <c r="BZ170" s="57"/>
      <c r="CA170" s="57"/>
      <c r="CB170" s="57"/>
      <c r="CC170" s="57"/>
      <c r="CD170" s="57"/>
      <c r="CE170" s="57"/>
    </row>
    <row r="171" spans="4:83" s="254" customFormat="1" ht="19.5" customHeight="1">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c r="BU171" s="57"/>
      <c r="BV171" s="57"/>
      <c r="BW171" s="57"/>
      <c r="BX171" s="57"/>
      <c r="BY171" s="57"/>
      <c r="BZ171" s="57"/>
      <c r="CA171" s="57"/>
      <c r="CB171" s="57"/>
      <c r="CC171" s="57"/>
      <c r="CD171" s="57"/>
      <c r="CE171" s="57"/>
    </row>
    <row r="172" spans="4:83" s="254" customFormat="1" ht="19.5" customHeight="1">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c r="BW172" s="57"/>
      <c r="BX172" s="57"/>
      <c r="BY172" s="57"/>
      <c r="BZ172" s="57"/>
      <c r="CA172" s="57"/>
      <c r="CB172" s="57"/>
      <c r="CC172" s="57"/>
      <c r="CD172" s="57"/>
      <c r="CE172" s="57"/>
    </row>
    <row r="173" spans="4:83" s="254" customFormat="1" ht="19.5" customHeight="1">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c r="BO173" s="57"/>
      <c r="BP173" s="57"/>
      <c r="BQ173" s="57"/>
      <c r="BR173" s="57"/>
      <c r="BS173" s="57"/>
      <c r="BT173" s="57"/>
      <c r="BU173" s="57"/>
      <c r="BV173" s="57"/>
      <c r="BW173" s="57"/>
      <c r="BX173" s="57"/>
      <c r="BY173" s="57"/>
      <c r="BZ173" s="57"/>
      <c r="CA173" s="57"/>
      <c r="CB173" s="57"/>
      <c r="CC173" s="57"/>
      <c r="CD173" s="57"/>
      <c r="CE173" s="57"/>
    </row>
    <row r="174" spans="4:83" s="254" customFormat="1" ht="19.5" customHeight="1">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row>
    <row r="175" spans="4:83" s="254" customFormat="1" ht="19.5" customHeight="1">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c r="BX175" s="57"/>
      <c r="BY175" s="57"/>
      <c r="BZ175" s="57"/>
      <c r="CA175" s="57"/>
      <c r="CB175" s="57"/>
      <c r="CC175" s="57"/>
      <c r="CD175" s="57"/>
      <c r="CE175" s="57"/>
    </row>
    <row r="176" spans="4:83" s="254" customFormat="1" ht="19.5" customHeight="1">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c r="BN176" s="57"/>
      <c r="BO176" s="57"/>
      <c r="BP176" s="57"/>
      <c r="BQ176" s="57"/>
      <c r="BR176" s="57"/>
      <c r="BS176" s="57"/>
      <c r="BT176" s="57"/>
      <c r="BU176" s="57"/>
      <c r="BV176" s="57"/>
      <c r="BW176" s="57"/>
      <c r="BX176" s="57"/>
      <c r="BY176" s="57"/>
      <c r="BZ176" s="57"/>
      <c r="CA176" s="57"/>
      <c r="CB176" s="57"/>
      <c r="CC176" s="57"/>
      <c r="CD176" s="57"/>
      <c r="CE176" s="57"/>
    </row>
    <row r="177" spans="4:83" s="254" customFormat="1" ht="19.5" customHeight="1">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c r="BW177" s="57"/>
      <c r="BX177" s="57"/>
      <c r="BY177" s="57"/>
      <c r="BZ177" s="57"/>
      <c r="CA177" s="57"/>
      <c r="CB177" s="57"/>
      <c r="CC177" s="57"/>
      <c r="CD177" s="57"/>
      <c r="CE177" s="57"/>
    </row>
    <row r="178" spans="4:83" s="254" customFormat="1" ht="19.5" customHeight="1">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7"/>
    </row>
    <row r="179" spans="4:83" s="254" customFormat="1" ht="19.5" customHeight="1">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c r="BS179" s="57"/>
      <c r="BT179" s="57"/>
      <c r="BU179" s="57"/>
      <c r="BV179" s="57"/>
      <c r="BW179" s="57"/>
      <c r="BX179" s="57"/>
      <c r="BY179" s="57"/>
      <c r="BZ179" s="57"/>
      <c r="CA179" s="57"/>
      <c r="CB179" s="57"/>
      <c r="CC179" s="57"/>
      <c r="CD179" s="57"/>
      <c r="CE179" s="57"/>
    </row>
    <row r="180" spans="4:83" s="254" customFormat="1" ht="19.5" customHeight="1">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c r="BS180" s="57"/>
      <c r="BT180" s="57"/>
      <c r="BU180" s="57"/>
      <c r="BV180" s="57"/>
      <c r="BW180" s="57"/>
      <c r="BX180" s="57"/>
      <c r="BY180" s="57"/>
      <c r="BZ180" s="57"/>
      <c r="CA180" s="57"/>
      <c r="CB180" s="57"/>
      <c r="CC180" s="57"/>
      <c r="CD180" s="57"/>
      <c r="CE180" s="57"/>
    </row>
    <row r="181" spans="4:83" s="254" customFormat="1" ht="19.5" customHeight="1">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7"/>
    </row>
    <row r="182" spans="4:83" s="254" customFormat="1" ht="19.5" customHeight="1">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row>
    <row r="183" spans="4:83" s="254" customFormat="1" ht="19.5" customHeight="1">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row>
    <row r="184" spans="4:83" s="254" customFormat="1" ht="19.5" customHeight="1">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row>
    <row r="185" spans="4:83" s="254" customFormat="1" ht="19.5" customHeight="1">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7"/>
    </row>
    <row r="186" spans="4:83" s="254" customFormat="1" ht="19.5" customHeight="1">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7"/>
    </row>
    <row r="187" spans="4:83" s="254" customFormat="1" ht="19.5" customHeight="1">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7"/>
    </row>
    <row r="188" spans="4:83" s="254" customFormat="1" ht="19.5" customHeight="1">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c r="BP188" s="57"/>
      <c r="BQ188" s="57"/>
      <c r="BR188" s="57"/>
      <c r="BS188" s="57"/>
      <c r="BT188" s="57"/>
      <c r="BU188" s="57"/>
      <c r="BV188" s="57"/>
      <c r="BW188" s="57"/>
      <c r="BX188" s="57"/>
      <c r="BY188" s="57"/>
      <c r="BZ188" s="57"/>
      <c r="CA188" s="57"/>
      <c r="CB188" s="57"/>
      <c r="CC188" s="57"/>
      <c r="CD188" s="57"/>
      <c r="CE188" s="57"/>
    </row>
    <row r="189" spans="4:83" s="254" customFormat="1" ht="19.5" customHeight="1">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c r="BW189" s="57"/>
      <c r="BX189" s="57"/>
      <c r="BY189" s="57"/>
      <c r="BZ189" s="57"/>
      <c r="CA189" s="57"/>
      <c r="CB189" s="57"/>
      <c r="CC189" s="57"/>
      <c r="CD189" s="57"/>
      <c r="CE189" s="57"/>
    </row>
    <row r="190" spans="4:83" s="254" customFormat="1" ht="19.5" customHeight="1">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7"/>
    </row>
    <row r="191" spans="4:83" s="254" customFormat="1" ht="19.5" customHeight="1">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c r="BQ191" s="57"/>
      <c r="BR191" s="57"/>
      <c r="BS191" s="57"/>
      <c r="BT191" s="57"/>
      <c r="BU191" s="57"/>
      <c r="BV191" s="57"/>
      <c r="BW191" s="57"/>
      <c r="BX191" s="57"/>
      <c r="BY191" s="57"/>
      <c r="BZ191" s="57"/>
      <c r="CA191" s="57"/>
      <c r="CB191" s="57"/>
      <c r="CC191" s="57"/>
      <c r="CD191" s="57"/>
      <c r="CE191" s="57"/>
    </row>
    <row r="192" spans="4:83" s="254" customFormat="1" ht="19.5" customHeight="1">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c r="BR192" s="57"/>
      <c r="BS192" s="57"/>
      <c r="BT192" s="57"/>
      <c r="BU192" s="57"/>
      <c r="BV192" s="57"/>
      <c r="BW192" s="57"/>
      <c r="BX192" s="57"/>
      <c r="BY192" s="57"/>
      <c r="BZ192" s="57"/>
      <c r="CA192" s="57"/>
      <c r="CB192" s="57"/>
      <c r="CC192" s="57"/>
      <c r="CD192" s="57"/>
      <c r="CE192" s="57"/>
    </row>
    <row r="193" spans="4:83" s="254" customFormat="1" ht="17.149999999999999" customHeight="1">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c r="BQ193" s="57"/>
      <c r="BR193" s="57"/>
      <c r="BS193" s="57"/>
      <c r="BT193" s="57"/>
      <c r="BU193" s="57"/>
      <c r="BV193" s="57"/>
      <c r="BW193" s="57"/>
      <c r="BX193" s="57"/>
      <c r="BY193" s="57"/>
      <c r="BZ193" s="57"/>
      <c r="CA193" s="57"/>
      <c r="CB193" s="57"/>
      <c r="CC193" s="57"/>
      <c r="CD193" s="57"/>
      <c r="CE193" s="57"/>
    </row>
    <row r="194" spans="4:83" s="254" customFormat="1" ht="17.149999999999999" customHeight="1">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c r="BN194" s="57"/>
      <c r="BO194" s="57"/>
      <c r="BP194" s="57"/>
      <c r="BQ194" s="57"/>
      <c r="BR194" s="57"/>
      <c r="BS194" s="57"/>
      <c r="BT194" s="57"/>
      <c r="BU194" s="57"/>
      <c r="BV194" s="57"/>
      <c r="BW194" s="57"/>
      <c r="BX194" s="57"/>
      <c r="BY194" s="57"/>
      <c r="BZ194" s="57"/>
      <c r="CA194" s="57"/>
      <c r="CB194" s="57"/>
      <c r="CC194" s="57"/>
      <c r="CD194" s="57"/>
      <c r="CE194" s="57"/>
    </row>
    <row r="195" spans="4:83" s="254" customFormat="1" ht="17.149999999999999" customHeight="1">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7"/>
    </row>
    <row r="196" spans="4:83" s="254" customFormat="1" ht="17.149999999999999" customHeight="1">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7"/>
    </row>
    <row r="197" spans="4:83" s="254" customFormat="1" ht="17.149999999999999" customHeight="1">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c r="BN197" s="57"/>
      <c r="BO197" s="57"/>
      <c r="BP197" s="57"/>
      <c r="BQ197" s="57"/>
      <c r="BR197" s="57"/>
      <c r="BS197" s="57"/>
      <c r="BT197" s="57"/>
      <c r="BU197" s="57"/>
      <c r="BV197" s="57"/>
      <c r="BW197" s="57"/>
      <c r="BX197" s="57"/>
      <c r="BY197" s="57"/>
      <c r="BZ197" s="57"/>
      <c r="CA197" s="57"/>
      <c r="CB197" s="57"/>
      <c r="CC197" s="57"/>
      <c r="CD197" s="57"/>
      <c r="CE197" s="57"/>
    </row>
    <row r="198" spans="4:83" s="254" customFormat="1" ht="17.149999999999999" customHeight="1">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c r="BN198" s="57"/>
      <c r="BO198" s="57"/>
      <c r="BP198" s="57"/>
      <c r="BQ198" s="57"/>
      <c r="BR198" s="57"/>
      <c r="BS198" s="57"/>
      <c r="BT198" s="57"/>
      <c r="BU198" s="57"/>
      <c r="BV198" s="57"/>
      <c r="BW198" s="57"/>
      <c r="BX198" s="57"/>
      <c r="BY198" s="57"/>
      <c r="BZ198" s="57"/>
      <c r="CA198" s="57"/>
      <c r="CB198" s="57"/>
      <c r="CC198" s="57"/>
      <c r="CD198" s="57"/>
      <c r="CE198" s="57"/>
    </row>
    <row r="199" spans="4:83" s="254" customFormat="1" ht="17.149999999999999" customHeight="1">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c r="BN199" s="57"/>
      <c r="BO199" s="57"/>
      <c r="BP199" s="57"/>
      <c r="BQ199" s="57"/>
      <c r="BR199" s="57"/>
      <c r="BS199" s="57"/>
      <c r="BT199" s="57"/>
      <c r="BU199" s="57"/>
      <c r="BV199" s="57"/>
      <c r="BW199" s="57"/>
      <c r="BX199" s="57"/>
      <c r="BY199" s="57"/>
      <c r="BZ199" s="57"/>
      <c r="CA199" s="57"/>
      <c r="CB199" s="57"/>
      <c r="CC199" s="57"/>
      <c r="CD199" s="57"/>
      <c r="CE199" s="57"/>
    </row>
    <row r="200" spans="4:83" s="254" customFormat="1" ht="17.149999999999999" customHeight="1">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c r="BN200" s="57"/>
      <c r="BO200" s="57"/>
      <c r="BP200" s="57"/>
      <c r="BQ200" s="57"/>
      <c r="BR200" s="57"/>
      <c r="BS200" s="57"/>
      <c r="BT200" s="57"/>
      <c r="BU200" s="57"/>
      <c r="BV200" s="57"/>
      <c r="BW200" s="57"/>
      <c r="BX200" s="57"/>
      <c r="BY200" s="57"/>
      <c r="BZ200" s="57"/>
      <c r="CA200" s="57"/>
      <c r="CB200" s="57"/>
      <c r="CC200" s="57"/>
      <c r="CD200" s="57"/>
      <c r="CE200" s="57"/>
    </row>
    <row r="201" spans="4:83" s="254" customFormat="1" ht="17.149999999999999" customHeight="1">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c r="BN201" s="57"/>
      <c r="BO201" s="57"/>
      <c r="BP201" s="57"/>
      <c r="BQ201" s="57"/>
      <c r="BR201" s="57"/>
      <c r="BS201" s="57"/>
      <c r="BT201" s="57"/>
      <c r="BU201" s="57"/>
      <c r="BV201" s="57"/>
      <c r="BW201" s="57"/>
      <c r="BX201" s="57"/>
      <c r="BY201" s="57"/>
      <c r="BZ201" s="57"/>
      <c r="CA201" s="57"/>
      <c r="CB201" s="57"/>
      <c r="CC201" s="57"/>
      <c r="CD201" s="57"/>
      <c r="CE201" s="57"/>
    </row>
    <row r="202" spans="4:83" s="254" customFormat="1" ht="17.149999999999999" customHeight="1">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c r="BN202" s="57"/>
      <c r="BO202" s="57"/>
      <c r="BP202" s="57"/>
      <c r="BQ202" s="57"/>
      <c r="BR202" s="57"/>
      <c r="BS202" s="57"/>
      <c r="BT202" s="57"/>
      <c r="BU202" s="57"/>
      <c r="BV202" s="57"/>
      <c r="BW202" s="57"/>
      <c r="BX202" s="57"/>
      <c r="BY202" s="57"/>
      <c r="BZ202" s="57"/>
      <c r="CA202" s="57"/>
      <c r="CB202" s="57"/>
      <c r="CC202" s="57"/>
      <c r="CD202" s="57"/>
      <c r="CE202" s="57"/>
    </row>
    <row r="203" spans="4:83" s="254" customFormat="1" ht="17.149999999999999" customHeight="1">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c r="BN203" s="57"/>
      <c r="BO203" s="57"/>
      <c r="BP203" s="57"/>
      <c r="BQ203" s="57"/>
      <c r="BR203" s="57"/>
      <c r="BS203" s="57"/>
      <c r="BT203" s="57"/>
      <c r="BU203" s="57"/>
      <c r="BV203" s="57"/>
      <c r="BW203" s="57"/>
      <c r="BX203" s="57"/>
      <c r="BY203" s="57"/>
      <c r="BZ203" s="57"/>
      <c r="CA203" s="57"/>
      <c r="CB203" s="57"/>
      <c r="CC203" s="57"/>
      <c r="CD203" s="57"/>
      <c r="CE203" s="57"/>
    </row>
    <row r="204" spans="4:83" s="254" customFormat="1" ht="17.149999999999999" customHeight="1">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c r="BN204" s="57"/>
      <c r="BO204" s="57"/>
      <c r="BP204" s="57"/>
      <c r="BQ204" s="57"/>
      <c r="BR204" s="57"/>
      <c r="BS204" s="57"/>
      <c r="BT204" s="57"/>
      <c r="BU204" s="57"/>
      <c r="BV204" s="57"/>
      <c r="BW204" s="57"/>
      <c r="BX204" s="57"/>
      <c r="BY204" s="57"/>
      <c r="BZ204" s="57"/>
      <c r="CA204" s="57"/>
      <c r="CB204" s="57"/>
      <c r="CC204" s="57"/>
      <c r="CD204" s="57"/>
      <c r="CE204" s="57"/>
    </row>
    <row r="205" spans="4:83" s="254" customFormat="1" ht="17.149999999999999" customHeight="1">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c r="BN205" s="57"/>
      <c r="BO205" s="57"/>
      <c r="BP205" s="57"/>
      <c r="BQ205" s="57"/>
      <c r="BR205" s="57"/>
      <c r="BS205" s="57"/>
      <c r="BT205" s="57"/>
      <c r="BU205" s="57"/>
      <c r="BV205" s="57"/>
      <c r="BW205" s="57"/>
      <c r="BX205" s="57"/>
      <c r="BY205" s="57"/>
      <c r="BZ205" s="57"/>
      <c r="CA205" s="57"/>
      <c r="CB205" s="57"/>
      <c r="CC205" s="57"/>
      <c r="CD205" s="57"/>
      <c r="CE205" s="57"/>
    </row>
    <row r="206" spans="4:83" s="254" customFormat="1" ht="17.149999999999999" customHeight="1">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c r="BN206" s="57"/>
      <c r="BO206" s="57"/>
      <c r="BP206" s="57"/>
      <c r="BQ206" s="57"/>
      <c r="BR206" s="57"/>
      <c r="BS206" s="57"/>
      <c r="BT206" s="57"/>
      <c r="BU206" s="57"/>
      <c r="BV206" s="57"/>
      <c r="BW206" s="57"/>
      <c r="BX206" s="57"/>
      <c r="BY206" s="57"/>
      <c r="BZ206" s="57"/>
      <c r="CA206" s="57"/>
      <c r="CB206" s="57"/>
      <c r="CC206" s="57"/>
      <c r="CD206" s="57"/>
      <c r="CE206" s="57"/>
    </row>
    <row r="207" spans="4:83" s="254" customFormat="1" ht="17.149999999999999" customHeight="1">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c r="BN207" s="57"/>
      <c r="BO207" s="57"/>
      <c r="BP207" s="57"/>
      <c r="BQ207" s="57"/>
      <c r="BR207" s="57"/>
      <c r="BS207" s="57"/>
      <c r="BT207" s="57"/>
      <c r="BU207" s="57"/>
      <c r="BV207" s="57"/>
      <c r="BW207" s="57"/>
      <c r="BX207" s="57"/>
      <c r="BY207" s="57"/>
      <c r="BZ207" s="57"/>
      <c r="CA207" s="57"/>
      <c r="CB207" s="57"/>
      <c r="CC207" s="57"/>
      <c r="CD207" s="57"/>
      <c r="CE207" s="57"/>
    </row>
    <row r="208" spans="4:83" s="254" customFormat="1" ht="17.149999999999999" customHeight="1">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c r="BN208" s="57"/>
      <c r="BO208" s="57"/>
      <c r="BP208" s="57"/>
      <c r="BQ208" s="57"/>
      <c r="BR208" s="57"/>
      <c r="BS208" s="57"/>
      <c r="BT208" s="57"/>
      <c r="BU208" s="57"/>
      <c r="BV208" s="57"/>
      <c r="BW208" s="57"/>
      <c r="BX208" s="57"/>
      <c r="BY208" s="57"/>
      <c r="BZ208" s="57"/>
      <c r="CA208" s="57"/>
      <c r="CB208" s="57"/>
      <c r="CC208" s="57"/>
      <c r="CD208" s="57"/>
      <c r="CE208" s="57"/>
    </row>
    <row r="209" spans="4:83" s="254" customFormat="1" ht="17.149999999999999" customHeight="1">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7"/>
    </row>
    <row r="210" spans="4:83" s="254" customFormat="1" ht="17.149999999999999" customHeight="1">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7"/>
    </row>
    <row r="211" spans="4:83" s="254" customFormat="1" ht="17.149999999999999" customHeight="1">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7"/>
    </row>
    <row r="212" spans="4:83" s="254" customFormat="1" ht="17.149999999999999" customHeight="1">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row>
    <row r="213" spans="4:83" s="254" customFormat="1" ht="17.149999999999999" customHeight="1">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7"/>
    </row>
    <row r="214" spans="4:83" s="254" customFormat="1" ht="17.149999999999999" customHeight="1">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7"/>
    </row>
    <row r="215" spans="4:83" s="254" customFormat="1" ht="17.149999999999999" customHeight="1">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7"/>
    </row>
    <row r="216" spans="4:83" s="254" customFormat="1" ht="17.149999999999999" customHeight="1">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c r="BN216" s="57"/>
      <c r="BO216" s="57"/>
      <c r="BP216" s="57"/>
      <c r="BQ216" s="57"/>
      <c r="BR216" s="57"/>
      <c r="BS216" s="57"/>
      <c r="BT216" s="57"/>
      <c r="BU216" s="57"/>
      <c r="BV216" s="57"/>
      <c r="BW216" s="57"/>
      <c r="BX216" s="57"/>
      <c r="BY216" s="57"/>
      <c r="BZ216" s="57"/>
      <c r="CA216" s="57"/>
      <c r="CB216" s="57"/>
      <c r="CC216" s="57"/>
      <c r="CD216" s="57"/>
      <c r="CE216" s="57"/>
    </row>
    <row r="217" spans="4:83" s="254" customFormat="1" ht="17.149999999999999" customHeight="1">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7"/>
    </row>
    <row r="218" spans="4:83" s="254" customFormat="1" ht="17.149999999999999" customHeight="1">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7"/>
    </row>
    <row r="219" spans="4:83" s="254" customFormat="1" ht="17.149999999999999" customHeight="1">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c r="BN219" s="57"/>
      <c r="BO219" s="57"/>
      <c r="BP219" s="57"/>
      <c r="BQ219" s="57"/>
      <c r="BR219" s="57"/>
      <c r="BS219" s="57"/>
      <c r="BT219" s="57"/>
      <c r="BU219" s="57"/>
      <c r="BV219" s="57"/>
      <c r="BW219" s="57"/>
      <c r="BX219" s="57"/>
      <c r="BY219" s="57"/>
      <c r="BZ219" s="57"/>
      <c r="CA219" s="57"/>
      <c r="CB219" s="57"/>
      <c r="CC219" s="57"/>
      <c r="CD219" s="57"/>
      <c r="CE219" s="57"/>
    </row>
    <row r="220" spans="4:83" s="254" customFormat="1" ht="17.149999999999999" customHeight="1">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7"/>
    </row>
    <row r="221" spans="4:83" s="254" customFormat="1" ht="17.149999999999999" customHeight="1">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row>
    <row r="222" spans="4:83" s="254" customFormat="1" ht="17.149999999999999" customHeight="1">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row>
    <row r="223" spans="4:83" s="254" customFormat="1" ht="17.149999999999999" customHeight="1">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row>
    <row r="224" spans="4:83" s="254" customFormat="1" ht="17.149999999999999" customHeight="1">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7"/>
    </row>
    <row r="225" spans="4:83" s="254" customFormat="1" ht="17.149999999999999" customHeight="1">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c r="BN225" s="57"/>
      <c r="BO225" s="57"/>
      <c r="BP225" s="57"/>
      <c r="BQ225" s="57"/>
      <c r="BR225" s="57"/>
      <c r="BS225" s="57"/>
      <c r="BT225" s="57"/>
      <c r="BU225" s="57"/>
      <c r="BV225" s="57"/>
      <c r="BW225" s="57"/>
      <c r="BX225" s="57"/>
      <c r="BY225" s="57"/>
      <c r="BZ225" s="57"/>
      <c r="CA225" s="57"/>
      <c r="CB225" s="57"/>
      <c r="CC225" s="57"/>
      <c r="CD225" s="57"/>
      <c r="CE225" s="57"/>
    </row>
    <row r="226" spans="4:83" s="254" customFormat="1" ht="17.149999999999999" customHeight="1">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7"/>
    </row>
    <row r="227" spans="4:83" s="254" customFormat="1" ht="17.149999999999999" customHeight="1">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c r="BA227" s="57"/>
      <c r="BB227" s="57"/>
      <c r="BC227" s="57"/>
      <c r="BD227" s="57"/>
      <c r="BE227" s="57"/>
      <c r="BF227" s="57"/>
      <c r="BG227" s="57"/>
      <c r="BH227" s="57"/>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7"/>
    </row>
    <row r="228" spans="4:83" s="254" customFormat="1" ht="17.149999999999999" customHeight="1">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c r="BM228" s="57"/>
      <c r="BN228" s="57"/>
      <c r="BO228" s="57"/>
      <c r="BP228" s="57"/>
      <c r="BQ228" s="57"/>
      <c r="BR228" s="57"/>
      <c r="BS228" s="57"/>
      <c r="BT228" s="57"/>
      <c r="BU228" s="57"/>
      <c r="BV228" s="57"/>
      <c r="BW228" s="57"/>
      <c r="BX228" s="57"/>
      <c r="BY228" s="57"/>
      <c r="BZ228" s="57"/>
      <c r="CA228" s="57"/>
      <c r="CB228" s="57"/>
      <c r="CC228" s="57"/>
      <c r="CD228" s="57"/>
      <c r="CE228" s="57"/>
    </row>
    <row r="229" spans="4:83" s="254" customFormat="1" ht="17.149999999999999" customHeight="1">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7"/>
    </row>
    <row r="230" spans="4:83" s="254" customFormat="1" ht="17.149999999999999" customHeight="1">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c r="BN230" s="57"/>
      <c r="BO230" s="57"/>
      <c r="BP230" s="57"/>
      <c r="BQ230" s="57"/>
      <c r="BR230" s="57"/>
      <c r="BS230" s="57"/>
      <c r="BT230" s="57"/>
      <c r="BU230" s="57"/>
      <c r="BV230" s="57"/>
      <c r="BW230" s="57"/>
      <c r="BX230" s="57"/>
      <c r="BY230" s="57"/>
      <c r="BZ230" s="57"/>
      <c r="CA230" s="57"/>
      <c r="CB230" s="57"/>
      <c r="CC230" s="57"/>
      <c r="CD230" s="57"/>
      <c r="CE230" s="57"/>
    </row>
    <row r="231" spans="4:83" s="254" customFormat="1" ht="17.149999999999999" customHeight="1">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c r="BN231" s="57"/>
      <c r="BO231" s="57"/>
      <c r="BP231" s="57"/>
      <c r="BQ231" s="57"/>
      <c r="BR231" s="57"/>
      <c r="BS231" s="57"/>
      <c r="BT231" s="57"/>
      <c r="BU231" s="57"/>
      <c r="BV231" s="57"/>
      <c r="BW231" s="57"/>
      <c r="BX231" s="57"/>
      <c r="BY231" s="57"/>
      <c r="BZ231" s="57"/>
      <c r="CA231" s="57"/>
      <c r="CB231" s="57"/>
      <c r="CC231" s="57"/>
      <c r="CD231" s="57"/>
      <c r="CE231" s="57"/>
    </row>
    <row r="232" spans="4:83" s="254" customFormat="1" ht="17.149999999999999" customHeight="1">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c r="BM232" s="57"/>
      <c r="BN232" s="57"/>
      <c r="BO232" s="57"/>
      <c r="BP232" s="57"/>
      <c r="BQ232" s="57"/>
      <c r="BR232" s="57"/>
      <c r="BS232" s="57"/>
      <c r="BT232" s="57"/>
      <c r="BU232" s="57"/>
      <c r="BV232" s="57"/>
      <c r="BW232" s="57"/>
      <c r="BX232" s="57"/>
      <c r="BY232" s="57"/>
      <c r="BZ232" s="57"/>
      <c r="CA232" s="57"/>
      <c r="CB232" s="57"/>
      <c r="CC232" s="57"/>
      <c r="CD232" s="57"/>
      <c r="CE232" s="57"/>
    </row>
    <row r="233" spans="4:83" s="254" customFormat="1" ht="17.149999999999999" customHeight="1">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c r="BM233" s="57"/>
      <c r="BN233" s="57"/>
      <c r="BO233" s="57"/>
      <c r="BP233" s="57"/>
      <c r="BQ233" s="57"/>
      <c r="BR233" s="57"/>
      <c r="BS233" s="57"/>
      <c r="BT233" s="57"/>
      <c r="BU233" s="57"/>
      <c r="BV233" s="57"/>
      <c r="BW233" s="57"/>
      <c r="BX233" s="57"/>
      <c r="BY233" s="57"/>
      <c r="BZ233" s="57"/>
      <c r="CA233" s="57"/>
      <c r="CB233" s="57"/>
      <c r="CC233" s="57"/>
      <c r="CD233" s="57"/>
      <c r="CE233" s="57"/>
    </row>
    <row r="234" spans="4:83" s="254" customFormat="1" ht="17.149999999999999" customHeight="1">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c r="BN234" s="57"/>
      <c r="BO234" s="57"/>
      <c r="BP234" s="57"/>
      <c r="BQ234" s="57"/>
      <c r="BR234" s="57"/>
      <c r="BS234" s="57"/>
      <c r="BT234" s="57"/>
      <c r="BU234" s="57"/>
      <c r="BV234" s="57"/>
      <c r="BW234" s="57"/>
      <c r="BX234" s="57"/>
      <c r="BY234" s="57"/>
      <c r="BZ234" s="57"/>
      <c r="CA234" s="57"/>
      <c r="CB234" s="57"/>
      <c r="CC234" s="57"/>
      <c r="CD234" s="57"/>
      <c r="CE234" s="57"/>
    </row>
    <row r="235" spans="4:83" s="254" customFormat="1" ht="17.149999999999999" customHeight="1">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row>
    <row r="236" spans="4:83" s="254" customFormat="1" ht="17.149999999999999" customHeight="1">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c r="BN236" s="57"/>
      <c r="BO236" s="57"/>
      <c r="BP236" s="57"/>
      <c r="BQ236" s="57"/>
      <c r="BR236" s="57"/>
      <c r="BS236" s="57"/>
      <c r="BT236" s="57"/>
      <c r="BU236" s="57"/>
      <c r="BV236" s="57"/>
      <c r="BW236" s="57"/>
      <c r="BX236" s="57"/>
      <c r="BY236" s="57"/>
      <c r="BZ236" s="57"/>
      <c r="CA236" s="57"/>
      <c r="CB236" s="57"/>
      <c r="CC236" s="57"/>
      <c r="CD236" s="57"/>
      <c r="CE236" s="57"/>
    </row>
    <row r="237" spans="4:83" s="254" customFormat="1" ht="17.149999999999999" customHeight="1">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row>
    <row r="238" spans="4:83" s="254" customFormat="1" ht="17.149999999999999" customHeight="1">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7"/>
    </row>
    <row r="239" spans="4:83" s="254" customFormat="1" ht="17.149999999999999" customHeight="1">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c r="BQ239" s="57"/>
      <c r="BR239" s="57"/>
      <c r="BS239" s="57"/>
      <c r="BT239" s="57"/>
      <c r="BU239" s="57"/>
      <c r="BV239" s="57"/>
      <c r="BW239" s="57"/>
      <c r="BX239" s="57"/>
      <c r="BY239" s="57"/>
      <c r="BZ239" s="57"/>
      <c r="CA239" s="57"/>
      <c r="CB239" s="57"/>
      <c r="CC239" s="57"/>
      <c r="CD239" s="57"/>
      <c r="CE239" s="57"/>
    </row>
    <row r="240" spans="4:83" s="254" customFormat="1" ht="17.149999999999999" customHeight="1">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c r="BN240" s="57"/>
      <c r="BO240" s="57"/>
      <c r="BP240" s="57"/>
      <c r="BQ240" s="57"/>
      <c r="BR240" s="57"/>
      <c r="BS240" s="57"/>
      <c r="BT240" s="57"/>
      <c r="BU240" s="57"/>
      <c r="BV240" s="57"/>
      <c r="BW240" s="57"/>
      <c r="BX240" s="57"/>
      <c r="BY240" s="57"/>
      <c r="BZ240" s="57"/>
      <c r="CA240" s="57"/>
      <c r="CB240" s="57"/>
      <c r="CC240" s="57"/>
      <c r="CD240" s="57"/>
      <c r="CE240" s="57"/>
    </row>
    <row r="241" spans="4:83" s="254" customFormat="1" ht="17.149999999999999" customHeight="1">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c r="BY241" s="57"/>
      <c r="BZ241" s="57"/>
      <c r="CA241" s="57"/>
      <c r="CB241" s="57"/>
      <c r="CC241" s="57"/>
      <c r="CD241" s="57"/>
      <c r="CE241" s="57"/>
    </row>
    <row r="242" spans="4:83" s="254" customFormat="1" ht="17.149999999999999" customHeight="1">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7"/>
    </row>
    <row r="243" spans="4:83" s="254" customFormat="1" ht="17.149999999999999" customHeight="1">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c r="BN243" s="57"/>
      <c r="BO243" s="57"/>
      <c r="BP243" s="57"/>
      <c r="BQ243" s="57"/>
      <c r="BR243" s="57"/>
      <c r="BS243" s="57"/>
      <c r="BT243" s="57"/>
      <c r="BU243" s="57"/>
      <c r="BV243" s="57"/>
      <c r="BW243" s="57"/>
      <c r="BX243" s="57"/>
      <c r="BY243" s="57"/>
      <c r="BZ243" s="57"/>
      <c r="CA243" s="57"/>
      <c r="CB243" s="57"/>
      <c r="CC243" s="57"/>
      <c r="CD243" s="57"/>
      <c r="CE243" s="57"/>
    </row>
    <row r="244" spans="4:83" s="254" customFormat="1" ht="17.149999999999999" customHeight="1">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c r="BN244" s="57"/>
      <c r="BO244" s="57"/>
      <c r="BP244" s="57"/>
      <c r="BQ244" s="57"/>
      <c r="BR244" s="57"/>
      <c r="BS244" s="57"/>
      <c r="BT244" s="57"/>
      <c r="BU244" s="57"/>
      <c r="BV244" s="57"/>
      <c r="BW244" s="57"/>
      <c r="BX244" s="57"/>
      <c r="BY244" s="57"/>
      <c r="BZ244" s="57"/>
      <c r="CA244" s="57"/>
      <c r="CB244" s="57"/>
      <c r="CC244" s="57"/>
      <c r="CD244" s="57"/>
      <c r="CE244" s="57"/>
    </row>
    <row r="245" spans="4:83" s="254" customFormat="1" ht="17.149999999999999" customHeight="1">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row>
    <row r="246" spans="4:83" s="254" customFormat="1" ht="17.149999999999999" customHeight="1">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row>
    <row r="247" spans="4:83" s="254" customFormat="1" ht="17.149999999999999" customHeight="1">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c r="BN247" s="57"/>
      <c r="BO247" s="57"/>
      <c r="BP247" s="57"/>
      <c r="BQ247" s="57"/>
      <c r="BR247" s="57"/>
      <c r="BS247" s="57"/>
      <c r="BT247" s="57"/>
      <c r="BU247" s="57"/>
      <c r="BV247" s="57"/>
      <c r="BW247" s="57"/>
      <c r="BX247" s="57"/>
      <c r="BY247" s="57"/>
      <c r="BZ247" s="57"/>
      <c r="CA247" s="57"/>
      <c r="CB247" s="57"/>
      <c r="CC247" s="57"/>
      <c r="CD247" s="57"/>
      <c r="CE247" s="57"/>
    </row>
    <row r="248" spans="4:83" s="254" customFormat="1" ht="17.149999999999999" customHeight="1">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c r="BM248" s="57"/>
      <c r="BN248" s="57"/>
      <c r="BO248" s="57"/>
      <c r="BP248" s="57"/>
      <c r="BQ248" s="57"/>
      <c r="BR248" s="57"/>
      <c r="BS248" s="57"/>
      <c r="BT248" s="57"/>
      <c r="BU248" s="57"/>
      <c r="BV248" s="57"/>
      <c r="BW248" s="57"/>
      <c r="BX248" s="57"/>
      <c r="BY248" s="57"/>
      <c r="BZ248" s="57"/>
      <c r="CA248" s="57"/>
      <c r="CB248" s="57"/>
      <c r="CC248" s="57"/>
      <c r="CD248" s="57"/>
      <c r="CE248" s="57"/>
    </row>
    <row r="249" spans="4:83" s="254" customFormat="1" ht="17.149999999999999" customHeight="1">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c r="BK249" s="57"/>
      <c r="BL249" s="57"/>
      <c r="BM249" s="57"/>
      <c r="BN249" s="57"/>
      <c r="BO249" s="57"/>
      <c r="BP249" s="57"/>
      <c r="BQ249" s="57"/>
      <c r="BR249" s="57"/>
      <c r="BS249" s="57"/>
      <c r="BT249" s="57"/>
      <c r="BU249" s="57"/>
      <c r="BV249" s="57"/>
      <c r="BW249" s="57"/>
      <c r="BX249" s="57"/>
      <c r="BY249" s="57"/>
      <c r="BZ249" s="57"/>
      <c r="CA249" s="57"/>
      <c r="CB249" s="57"/>
      <c r="CC249" s="57"/>
      <c r="CD249" s="57"/>
      <c r="CE249" s="57"/>
    </row>
    <row r="250" spans="4:83" s="254" customFormat="1" ht="17.149999999999999" customHeight="1">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c r="BN250" s="57"/>
      <c r="BO250" s="57"/>
      <c r="BP250" s="57"/>
      <c r="BQ250" s="57"/>
      <c r="BR250" s="57"/>
      <c r="BS250" s="57"/>
      <c r="BT250" s="57"/>
      <c r="BU250" s="57"/>
      <c r="BV250" s="57"/>
      <c r="BW250" s="57"/>
      <c r="BX250" s="57"/>
      <c r="BY250" s="57"/>
      <c r="BZ250" s="57"/>
      <c r="CA250" s="57"/>
      <c r="CB250" s="57"/>
      <c r="CC250" s="57"/>
      <c r="CD250" s="57"/>
      <c r="CE250" s="57"/>
    </row>
    <row r="251" spans="4:83" s="254" customFormat="1" ht="17.149999999999999" customHeight="1">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row>
    <row r="252" spans="4:83" s="254" customFormat="1" ht="17.149999999999999" customHeight="1">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row>
    <row r="253" spans="4:83" s="254" customFormat="1" ht="17.149999999999999" customHeight="1">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row>
    <row r="254" spans="4:83" s="254" customFormat="1" ht="17.149999999999999" customHeight="1">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c r="BN254" s="57"/>
      <c r="BO254" s="57"/>
      <c r="BP254" s="57"/>
      <c r="BQ254" s="57"/>
      <c r="BR254" s="57"/>
      <c r="BS254" s="57"/>
      <c r="BT254" s="57"/>
      <c r="BU254" s="57"/>
      <c r="BV254" s="57"/>
      <c r="BW254" s="57"/>
      <c r="BX254" s="57"/>
      <c r="BY254" s="57"/>
      <c r="BZ254" s="57"/>
      <c r="CA254" s="57"/>
      <c r="CB254" s="57"/>
      <c r="CC254" s="57"/>
      <c r="CD254" s="57"/>
      <c r="CE254" s="57"/>
    </row>
    <row r="255" spans="4:83" s="254" customFormat="1" ht="17.149999999999999" customHeight="1">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c r="BN255" s="57"/>
      <c r="BO255" s="57"/>
      <c r="BP255" s="57"/>
      <c r="BQ255" s="57"/>
      <c r="BR255" s="57"/>
      <c r="BS255" s="57"/>
      <c r="BT255" s="57"/>
      <c r="BU255" s="57"/>
      <c r="BV255" s="57"/>
      <c r="BW255" s="57"/>
      <c r="BX255" s="57"/>
      <c r="BY255" s="57"/>
      <c r="BZ255" s="57"/>
      <c r="CA255" s="57"/>
      <c r="CB255" s="57"/>
      <c r="CC255" s="57"/>
      <c r="CD255" s="57"/>
      <c r="CE255" s="57"/>
    </row>
    <row r="256" spans="4:83" s="254" customFormat="1" ht="17.149999999999999" customHeight="1">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c r="BN256" s="57"/>
      <c r="BO256" s="57"/>
      <c r="BP256" s="57"/>
      <c r="BQ256" s="57"/>
      <c r="BR256" s="57"/>
      <c r="BS256" s="57"/>
      <c r="BT256" s="57"/>
      <c r="BU256" s="57"/>
      <c r="BV256" s="57"/>
      <c r="BW256" s="57"/>
      <c r="BX256" s="57"/>
      <c r="BY256" s="57"/>
      <c r="BZ256" s="57"/>
      <c r="CA256" s="57"/>
      <c r="CB256" s="57"/>
      <c r="CC256" s="57"/>
      <c r="CD256" s="57"/>
      <c r="CE256" s="57"/>
    </row>
    <row r="257" spans="4:83" s="254" customFormat="1" ht="17.149999999999999" customHeight="1">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7"/>
    </row>
    <row r="258" spans="4:83" s="254" customFormat="1" ht="17.149999999999999" customHeight="1">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c r="BA258" s="57"/>
      <c r="BB258" s="57"/>
      <c r="BC258" s="57"/>
      <c r="BD258" s="57"/>
      <c r="BE258" s="57"/>
      <c r="BF258" s="57"/>
      <c r="BG258" s="57"/>
      <c r="BH258" s="57"/>
      <c r="BI258" s="57"/>
      <c r="BJ258" s="57"/>
      <c r="BK258" s="57"/>
      <c r="BL258" s="57"/>
      <c r="BM258" s="57"/>
      <c r="BN258" s="57"/>
      <c r="BO258" s="57"/>
      <c r="BP258" s="57"/>
      <c r="BQ258" s="57"/>
      <c r="BR258" s="57"/>
      <c r="BS258" s="57"/>
      <c r="BT258" s="57"/>
      <c r="BU258" s="57"/>
      <c r="BV258" s="57"/>
      <c r="BW258" s="57"/>
      <c r="BX258" s="57"/>
      <c r="BY258" s="57"/>
      <c r="BZ258" s="57"/>
      <c r="CA258" s="57"/>
      <c r="CB258" s="57"/>
      <c r="CC258" s="57"/>
      <c r="CD258" s="57"/>
      <c r="CE258" s="57"/>
    </row>
    <row r="259" spans="4:83" s="254" customFormat="1" ht="17.149999999999999" customHeight="1">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c r="BC259" s="57"/>
      <c r="BD259" s="57"/>
      <c r="BE259" s="57"/>
      <c r="BF259" s="57"/>
      <c r="BG259" s="57"/>
      <c r="BH259" s="57"/>
      <c r="BI259" s="57"/>
      <c r="BJ259" s="57"/>
      <c r="BK259" s="57"/>
      <c r="BL259" s="57"/>
      <c r="BM259" s="57"/>
      <c r="BN259" s="57"/>
      <c r="BO259" s="57"/>
      <c r="BP259" s="57"/>
      <c r="BQ259" s="57"/>
      <c r="BR259" s="57"/>
      <c r="BS259" s="57"/>
      <c r="BT259" s="57"/>
      <c r="BU259" s="57"/>
      <c r="BV259" s="57"/>
      <c r="BW259" s="57"/>
      <c r="BX259" s="57"/>
      <c r="BY259" s="57"/>
      <c r="BZ259" s="57"/>
      <c r="CA259" s="57"/>
      <c r="CB259" s="57"/>
      <c r="CC259" s="57"/>
      <c r="CD259" s="57"/>
      <c r="CE259" s="57"/>
    </row>
    <row r="260" spans="4:83" s="254" customFormat="1" ht="17.149999999999999" customHeight="1">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c r="BE260" s="57"/>
      <c r="BF260" s="57"/>
      <c r="BG260" s="57"/>
      <c r="BH260" s="57"/>
      <c r="BI260" s="57"/>
      <c r="BJ260" s="57"/>
      <c r="BK260" s="57"/>
      <c r="BL260" s="57"/>
      <c r="BM260" s="57"/>
      <c r="BN260" s="57"/>
      <c r="BO260" s="57"/>
      <c r="BP260" s="57"/>
      <c r="BQ260" s="57"/>
      <c r="BR260" s="57"/>
      <c r="BS260" s="57"/>
      <c r="BT260" s="57"/>
      <c r="BU260" s="57"/>
      <c r="BV260" s="57"/>
      <c r="BW260" s="57"/>
      <c r="BX260" s="57"/>
      <c r="BY260" s="57"/>
      <c r="BZ260" s="57"/>
      <c r="CA260" s="57"/>
      <c r="CB260" s="57"/>
      <c r="CC260" s="57"/>
      <c r="CD260" s="57"/>
      <c r="CE260" s="57"/>
    </row>
    <row r="261" spans="4:83" s="254" customFormat="1" ht="17.149999999999999" customHeight="1">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c r="BN261" s="57"/>
      <c r="BO261" s="57"/>
      <c r="BP261" s="57"/>
      <c r="BQ261" s="57"/>
      <c r="BR261" s="57"/>
      <c r="BS261" s="57"/>
      <c r="BT261" s="57"/>
      <c r="BU261" s="57"/>
      <c r="BV261" s="57"/>
      <c r="BW261" s="57"/>
      <c r="BX261" s="57"/>
      <c r="BY261" s="57"/>
      <c r="BZ261" s="57"/>
      <c r="CA261" s="57"/>
      <c r="CB261" s="57"/>
      <c r="CC261" s="57"/>
      <c r="CD261" s="57"/>
      <c r="CE261" s="57"/>
    </row>
    <row r="262" spans="4:83" s="254" customFormat="1" ht="17.149999999999999" customHeight="1">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row>
    <row r="263" spans="4:83" s="254" customFormat="1" ht="17.149999999999999" customHeight="1">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c r="BE263" s="57"/>
      <c r="BF263" s="57"/>
      <c r="BG263" s="57"/>
      <c r="BH263" s="57"/>
      <c r="BI263" s="57"/>
      <c r="BJ263" s="57"/>
      <c r="BK263" s="57"/>
      <c r="BL263" s="57"/>
      <c r="BM263" s="57"/>
      <c r="BN263" s="57"/>
      <c r="BO263" s="57"/>
      <c r="BP263" s="57"/>
      <c r="BQ263" s="57"/>
      <c r="BR263" s="57"/>
      <c r="BS263" s="57"/>
      <c r="BT263" s="57"/>
      <c r="BU263" s="57"/>
      <c r="BV263" s="57"/>
      <c r="BW263" s="57"/>
      <c r="BX263" s="57"/>
      <c r="BY263" s="57"/>
      <c r="BZ263" s="57"/>
      <c r="CA263" s="57"/>
      <c r="CB263" s="57"/>
      <c r="CC263" s="57"/>
      <c r="CD263" s="57"/>
      <c r="CE263" s="57"/>
    </row>
    <row r="264" spans="4:83" s="254" customFormat="1" ht="17.149999999999999" customHeight="1">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c r="BH264" s="57"/>
      <c r="BI264" s="57"/>
      <c r="BJ264" s="57"/>
      <c r="BK264" s="57"/>
      <c r="BL264" s="57"/>
      <c r="BM264" s="57"/>
      <c r="BN264" s="57"/>
      <c r="BO264" s="57"/>
      <c r="BP264" s="57"/>
      <c r="BQ264" s="57"/>
      <c r="BR264" s="57"/>
      <c r="BS264" s="57"/>
      <c r="BT264" s="57"/>
      <c r="BU264" s="57"/>
      <c r="BV264" s="57"/>
      <c r="BW264" s="57"/>
      <c r="BX264" s="57"/>
      <c r="BY264" s="57"/>
      <c r="BZ264" s="57"/>
      <c r="CA264" s="57"/>
      <c r="CB264" s="57"/>
      <c r="CC264" s="57"/>
      <c r="CD264" s="57"/>
      <c r="CE264" s="57"/>
    </row>
    <row r="265" spans="4:83" s="254" customFormat="1" ht="17.149999999999999" customHeight="1">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c r="BS265" s="57"/>
      <c r="BT265" s="57"/>
      <c r="BU265" s="57"/>
      <c r="BV265" s="57"/>
      <c r="BW265" s="57"/>
      <c r="BX265" s="57"/>
      <c r="BY265" s="57"/>
      <c r="BZ265" s="57"/>
      <c r="CA265" s="57"/>
      <c r="CB265" s="57"/>
      <c r="CC265" s="57"/>
      <c r="CD265" s="57"/>
      <c r="CE265" s="57"/>
    </row>
    <row r="266" spans="4:83" s="254" customFormat="1" ht="17.149999999999999" customHeight="1">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c r="BN266" s="57"/>
      <c r="BO266" s="57"/>
      <c r="BP266" s="57"/>
      <c r="BQ266" s="57"/>
      <c r="BR266" s="57"/>
      <c r="BS266" s="57"/>
      <c r="BT266" s="57"/>
      <c r="BU266" s="57"/>
      <c r="BV266" s="57"/>
      <c r="BW266" s="57"/>
      <c r="BX266" s="57"/>
      <c r="BY266" s="57"/>
      <c r="BZ266" s="57"/>
      <c r="CA266" s="57"/>
      <c r="CB266" s="57"/>
      <c r="CC266" s="57"/>
      <c r="CD266" s="57"/>
      <c r="CE266" s="57"/>
    </row>
    <row r="267" spans="4:83" s="254" customFormat="1" ht="17.149999999999999" customHeight="1">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c r="BA267" s="57"/>
      <c r="BB267" s="57"/>
      <c r="BC267" s="57"/>
      <c r="BD267" s="57"/>
      <c r="BE267" s="57"/>
      <c r="BF267" s="57"/>
      <c r="BG267" s="57"/>
      <c r="BH267" s="57"/>
      <c r="BI267" s="57"/>
      <c r="BJ267" s="57"/>
      <c r="BK267" s="57"/>
      <c r="BL267" s="57"/>
      <c r="BM267" s="57"/>
      <c r="BN267" s="57"/>
      <c r="BO267" s="57"/>
      <c r="BP267" s="57"/>
      <c r="BQ267" s="57"/>
      <c r="BR267" s="57"/>
      <c r="BS267" s="57"/>
      <c r="BT267" s="57"/>
      <c r="BU267" s="57"/>
      <c r="BV267" s="57"/>
      <c r="BW267" s="57"/>
      <c r="BX267" s="57"/>
      <c r="BY267" s="57"/>
      <c r="BZ267" s="57"/>
      <c r="CA267" s="57"/>
      <c r="CB267" s="57"/>
      <c r="CC267" s="57"/>
      <c r="CD267" s="57"/>
      <c r="CE267" s="57"/>
    </row>
    <row r="268" spans="4:83" s="254" customFormat="1" ht="17.149999999999999" customHeight="1">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c r="BN268" s="57"/>
      <c r="BO268" s="57"/>
      <c r="BP268" s="57"/>
      <c r="BQ268" s="57"/>
      <c r="BR268" s="57"/>
      <c r="BS268" s="57"/>
      <c r="BT268" s="57"/>
      <c r="BU268" s="57"/>
      <c r="BV268" s="57"/>
      <c r="BW268" s="57"/>
      <c r="BX268" s="57"/>
      <c r="BY268" s="57"/>
      <c r="BZ268" s="57"/>
      <c r="CA268" s="57"/>
      <c r="CB268" s="57"/>
      <c r="CC268" s="57"/>
      <c r="CD268" s="57"/>
      <c r="CE268" s="57"/>
    </row>
    <row r="269" spans="4:83" s="254" customFormat="1" ht="17.149999999999999" customHeight="1">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c r="BE269" s="57"/>
      <c r="BF269" s="57"/>
      <c r="BG269" s="57"/>
      <c r="BH269" s="57"/>
      <c r="BI269" s="57"/>
      <c r="BJ269" s="57"/>
      <c r="BK269" s="57"/>
      <c r="BL269" s="57"/>
      <c r="BM269" s="57"/>
      <c r="BN269" s="57"/>
      <c r="BO269" s="57"/>
      <c r="BP269" s="57"/>
      <c r="BQ269" s="57"/>
      <c r="BR269" s="57"/>
      <c r="BS269" s="57"/>
      <c r="BT269" s="57"/>
      <c r="BU269" s="57"/>
      <c r="BV269" s="57"/>
      <c r="BW269" s="57"/>
      <c r="BX269" s="57"/>
      <c r="BY269" s="57"/>
      <c r="BZ269" s="57"/>
      <c r="CA269" s="57"/>
      <c r="CB269" s="57"/>
      <c r="CC269" s="57"/>
      <c r="CD269" s="57"/>
      <c r="CE269" s="57"/>
    </row>
    <row r="270" spans="4:83" s="254" customFormat="1" ht="17.149999999999999" customHeight="1">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c r="BE270" s="57"/>
      <c r="BF270" s="57"/>
      <c r="BG270" s="57"/>
      <c r="BH270" s="57"/>
      <c r="BI270" s="57"/>
      <c r="BJ270" s="57"/>
      <c r="BK270" s="57"/>
      <c r="BL270" s="57"/>
      <c r="BM270" s="57"/>
      <c r="BN270" s="57"/>
      <c r="BO270" s="57"/>
      <c r="BP270" s="57"/>
      <c r="BQ270" s="57"/>
      <c r="BR270" s="57"/>
      <c r="BS270" s="57"/>
      <c r="BT270" s="57"/>
      <c r="BU270" s="57"/>
      <c r="BV270" s="57"/>
      <c r="BW270" s="57"/>
      <c r="BX270" s="57"/>
      <c r="BY270" s="57"/>
      <c r="BZ270" s="57"/>
      <c r="CA270" s="57"/>
      <c r="CB270" s="57"/>
      <c r="CC270" s="57"/>
      <c r="CD270" s="57"/>
      <c r="CE270" s="57"/>
    </row>
    <row r="271" spans="4:83" s="254" customFormat="1" ht="17.149999999999999" customHeight="1">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c r="BN271" s="57"/>
      <c r="BO271" s="57"/>
      <c r="BP271" s="57"/>
      <c r="BQ271" s="57"/>
      <c r="BR271" s="57"/>
      <c r="BS271" s="57"/>
      <c r="BT271" s="57"/>
      <c r="BU271" s="57"/>
      <c r="BV271" s="57"/>
      <c r="BW271" s="57"/>
      <c r="BX271" s="57"/>
      <c r="BY271" s="57"/>
      <c r="BZ271" s="57"/>
      <c r="CA271" s="57"/>
      <c r="CB271" s="57"/>
      <c r="CC271" s="57"/>
      <c r="CD271" s="57"/>
      <c r="CE271" s="57"/>
    </row>
    <row r="272" spans="4:83" s="254" customFormat="1" ht="17.149999999999999" customHeight="1">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c r="BN272" s="57"/>
      <c r="BO272" s="57"/>
      <c r="BP272" s="57"/>
      <c r="BQ272" s="57"/>
      <c r="BR272" s="57"/>
      <c r="BS272" s="57"/>
      <c r="BT272" s="57"/>
      <c r="BU272" s="57"/>
      <c r="BV272" s="57"/>
      <c r="BW272" s="57"/>
      <c r="BX272" s="57"/>
      <c r="BY272" s="57"/>
      <c r="BZ272" s="57"/>
      <c r="CA272" s="57"/>
      <c r="CB272" s="57"/>
      <c r="CC272" s="57"/>
      <c r="CD272" s="57"/>
      <c r="CE272" s="57"/>
    </row>
    <row r="273" spans="4:83" s="254" customFormat="1" ht="17.149999999999999" customHeight="1">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c r="BE273" s="57"/>
      <c r="BF273" s="57"/>
      <c r="BG273" s="57"/>
      <c r="BH273" s="57"/>
      <c r="BI273" s="57"/>
      <c r="BJ273" s="57"/>
      <c r="BK273" s="57"/>
      <c r="BL273" s="57"/>
      <c r="BM273" s="57"/>
      <c r="BN273" s="57"/>
      <c r="BO273" s="57"/>
      <c r="BP273" s="57"/>
      <c r="BQ273" s="57"/>
      <c r="BR273" s="57"/>
      <c r="BS273" s="57"/>
      <c r="BT273" s="57"/>
      <c r="BU273" s="57"/>
      <c r="BV273" s="57"/>
      <c r="BW273" s="57"/>
      <c r="BX273" s="57"/>
      <c r="BY273" s="57"/>
      <c r="BZ273" s="57"/>
      <c r="CA273" s="57"/>
      <c r="CB273" s="57"/>
      <c r="CC273" s="57"/>
      <c r="CD273" s="57"/>
      <c r="CE273" s="57"/>
    </row>
    <row r="274" spans="4:83" s="254" customFormat="1" ht="17.149999999999999" customHeight="1">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row>
    <row r="275" spans="4:83" s="254" customFormat="1" ht="17.149999999999999" customHeight="1">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c r="BN275" s="57"/>
      <c r="BO275" s="57"/>
      <c r="BP275" s="57"/>
      <c r="BQ275" s="57"/>
      <c r="BR275" s="57"/>
      <c r="BS275" s="57"/>
      <c r="BT275" s="57"/>
      <c r="BU275" s="57"/>
      <c r="BV275" s="57"/>
      <c r="BW275" s="57"/>
      <c r="BX275" s="57"/>
      <c r="BY275" s="57"/>
      <c r="BZ275" s="57"/>
      <c r="CA275" s="57"/>
      <c r="CB275" s="57"/>
      <c r="CC275" s="57"/>
      <c r="CD275" s="57"/>
      <c r="CE275" s="57"/>
    </row>
    <row r="276" spans="4:83" s="254" customFormat="1" ht="17.149999999999999" customHeight="1">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c r="BN276" s="57"/>
      <c r="BO276" s="57"/>
      <c r="BP276" s="57"/>
      <c r="BQ276" s="57"/>
      <c r="BR276" s="57"/>
      <c r="BS276" s="57"/>
      <c r="BT276" s="57"/>
      <c r="BU276" s="57"/>
      <c r="BV276" s="57"/>
      <c r="BW276" s="57"/>
      <c r="BX276" s="57"/>
      <c r="BY276" s="57"/>
      <c r="BZ276" s="57"/>
      <c r="CA276" s="57"/>
      <c r="CB276" s="57"/>
      <c r="CC276" s="57"/>
      <c r="CD276" s="57"/>
      <c r="CE276" s="57"/>
    </row>
    <row r="277" spans="4:83" s="254" customFormat="1" ht="17.149999999999999" customHeight="1">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c r="BN277" s="57"/>
      <c r="BO277" s="57"/>
      <c r="BP277" s="57"/>
      <c r="BQ277" s="57"/>
      <c r="BR277" s="57"/>
      <c r="BS277" s="57"/>
      <c r="BT277" s="57"/>
      <c r="BU277" s="57"/>
      <c r="BV277" s="57"/>
      <c r="BW277" s="57"/>
      <c r="BX277" s="57"/>
      <c r="BY277" s="57"/>
      <c r="BZ277" s="57"/>
      <c r="CA277" s="57"/>
      <c r="CB277" s="57"/>
      <c r="CC277" s="57"/>
      <c r="CD277" s="57"/>
      <c r="CE277" s="57"/>
    </row>
    <row r="278" spans="4:83" s="254" customFormat="1" ht="17.149999999999999" customHeight="1">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c r="BM278" s="57"/>
      <c r="BN278" s="57"/>
      <c r="BO278" s="57"/>
      <c r="BP278" s="57"/>
      <c r="BQ278" s="57"/>
      <c r="BR278" s="57"/>
      <c r="BS278" s="57"/>
      <c r="BT278" s="57"/>
      <c r="BU278" s="57"/>
      <c r="BV278" s="57"/>
      <c r="BW278" s="57"/>
      <c r="BX278" s="57"/>
      <c r="BY278" s="57"/>
      <c r="BZ278" s="57"/>
      <c r="CA278" s="57"/>
      <c r="CB278" s="57"/>
      <c r="CC278" s="57"/>
      <c r="CD278" s="57"/>
      <c r="CE278" s="57"/>
    </row>
    <row r="279" spans="4:83" s="254" customFormat="1" ht="17.149999999999999" customHeight="1">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c r="BN279" s="57"/>
      <c r="BO279" s="57"/>
      <c r="BP279" s="57"/>
      <c r="BQ279" s="57"/>
      <c r="BR279" s="57"/>
      <c r="BS279" s="57"/>
      <c r="BT279" s="57"/>
      <c r="BU279" s="57"/>
      <c r="BV279" s="57"/>
      <c r="BW279" s="57"/>
      <c r="BX279" s="57"/>
      <c r="BY279" s="57"/>
      <c r="BZ279" s="57"/>
      <c r="CA279" s="57"/>
      <c r="CB279" s="57"/>
      <c r="CC279" s="57"/>
      <c r="CD279" s="57"/>
      <c r="CE279" s="57"/>
    </row>
    <row r="280" spans="4:83" s="254" customFormat="1" ht="17.149999999999999" customHeight="1">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c r="BN280" s="57"/>
      <c r="BO280" s="57"/>
      <c r="BP280" s="57"/>
      <c r="BQ280" s="57"/>
      <c r="BR280" s="57"/>
      <c r="BS280" s="57"/>
      <c r="BT280" s="57"/>
      <c r="BU280" s="57"/>
      <c r="BV280" s="57"/>
      <c r="BW280" s="57"/>
      <c r="BX280" s="57"/>
      <c r="BY280" s="57"/>
      <c r="BZ280" s="57"/>
      <c r="CA280" s="57"/>
      <c r="CB280" s="57"/>
      <c r="CC280" s="57"/>
      <c r="CD280" s="57"/>
      <c r="CE280" s="57"/>
    </row>
    <row r="281" spans="4:83" s="254" customFormat="1" ht="17.149999999999999" customHeight="1">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c r="BN281" s="57"/>
      <c r="BO281" s="57"/>
      <c r="BP281" s="57"/>
      <c r="BQ281" s="57"/>
      <c r="BR281" s="57"/>
      <c r="BS281" s="57"/>
      <c r="BT281" s="57"/>
      <c r="BU281" s="57"/>
      <c r="BV281" s="57"/>
      <c r="BW281" s="57"/>
      <c r="BX281" s="57"/>
      <c r="BY281" s="57"/>
      <c r="BZ281" s="57"/>
      <c r="CA281" s="57"/>
      <c r="CB281" s="57"/>
      <c r="CC281" s="57"/>
      <c r="CD281" s="57"/>
      <c r="CE281" s="57"/>
    </row>
    <row r="282" spans="4:83" s="254" customFormat="1" ht="17.149999999999999" customHeight="1">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c r="BN282" s="57"/>
      <c r="BO282" s="57"/>
      <c r="BP282" s="57"/>
      <c r="BQ282" s="57"/>
      <c r="BR282" s="57"/>
      <c r="BS282" s="57"/>
      <c r="BT282" s="57"/>
      <c r="BU282" s="57"/>
      <c r="BV282" s="57"/>
      <c r="BW282" s="57"/>
      <c r="BX282" s="57"/>
      <c r="BY282" s="57"/>
      <c r="BZ282" s="57"/>
      <c r="CA282" s="57"/>
      <c r="CB282" s="57"/>
      <c r="CC282" s="57"/>
      <c r="CD282" s="57"/>
      <c r="CE282" s="57"/>
    </row>
    <row r="283" spans="4:83" s="254" customFormat="1" ht="17.149999999999999" customHeight="1">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c r="BN283" s="57"/>
      <c r="BO283" s="57"/>
      <c r="BP283" s="57"/>
      <c r="BQ283" s="57"/>
      <c r="BR283" s="57"/>
      <c r="BS283" s="57"/>
      <c r="BT283" s="57"/>
      <c r="BU283" s="57"/>
      <c r="BV283" s="57"/>
      <c r="BW283" s="57"/>
      <c r="BX283" s="57"/>
      <c r="BY283" s="57"/>
      <c r="BZ283" s="57"/>
      <c r="CA283" s="57"/>
      <c r="CB283" s="57"/>
      <c r="CC283" s="57"/>
      <c r="CD283" s="57"/>
      <c r="CE283" s="57"/>
    </row>
    <row r="284" spans="4:83" s="254" customFormat="1" ht="17.149999999999999" customHeight="1">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c r="BN284" s="57"/>
      <c r="BO284" s="57"/>
      <c r="BP284" s="57"/>
      <c r="BQ284" s="57"/>
      <c r="BR284" s="57"/>
      <c r="BS284" s="57"/>
      <c r="BT284" s="57"/>
      <c r="BU284" s="57"/>
      <c r="BV284" s="57"/>
      <c r="BW284" s="57"/>
      <c r="BX284" s="57"/>
      <c r="BY284" s="57"/>
      <c r="BZ284" s="57"/>
      <c r="CA284" s="57"/>
      <c r="CB284" s="57"/>
      <c r="CC284" s="57"/>
      <c r="CD284" s="57"/>
      <c r="CE284" s="57"/>
    </row>
    <row r="285" spans="4:83" s="254" customFormat="1" ht="17.149999999999999" customHeight="1">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c r="BN285" s="57"/>
      <c r="BO285" s="57"/>
      <c r="BP285" s="57"/>
      <c r="BQ285" s="57"/>
      <c r="BR285" s="57"/>
      <c r="BS285" s="57"/>
      <c r="BT285" s="57"/>
      <c r="BU285" s="57"/>
      <c r="BV285" s="57"/>
      <c r="BW285" s="57"/>
      <c r="BX285" s="57"/>
      <c r="BY285" s="57"/>
      <c r="BZ285" s="57"/>
      <c r="CA285" s="57"/>
      <c r="CB285" s="57"/>
      <c r="CC285" s="57"/>
      <c r="CD285" s="57"/>
      <c r="CE285" s="57"/>
    </row>
    <row r="286" spans="4:83" s="254" customFormat="1" ht="17.149999999999999" customHeight="1">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c r="BN286" s="57"/>
      <c r="BO286" s="57"/>
      <c r="BP286" s="57"/>
      <c r="BQ286" s="57"/>
      <c r="BR286" s="57"/>
      <c r="BS286" s="57"/>
      <c r="BT286" s="57"/>
      <c r="BU286" s="57"/>
      <c r="BV286" s="57"/>
      <c r="BW286" s="57"/>
      <c r="BX286" s="57"/>
      <c r="BY286" s="57"/>
      <c r="BZ286" s="57"/>
      <c r="CA286" s="57"/>
      <c r="CB286" s="57"/>
      <c r="CC286" s="57"/>
      <c r="CD286" s="57"/>
      <c r="CE286" s="57"/>
    </row>
    <row r="287" spans="4:83" s="254" customFormat="1" ht="17.149999999999999" customHeight="1">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c r="BN287" s="57"/>
      <c r="BO287" s="57"/>
      <c r="BP287" s="57"/>
      <c r="BQ287" s="57"/>
      <c r="BR287" s="57"/>
      <c r="BS287" s="57"/>
      <c r="BT287" s="57"/>
      <c r="BU287" s="57"/>
      <c r="BV287" s="57"/>
      <c r="BW287" s="57"/>
      <c r="BX287" s="57"/>
      <c r="BY287" s="57"/>
      <c r="BZ287" s="57"/>
      <c r="CA287" s="57"/>
      <c r="CB287" s="57"/>
      <c r="CC287" s="57"/>
      <c r="CD287" s="57"/>
      <c r="CE287" s="57"/>
    </row>
    <row r="288" spans="4:83" s="254" customFormat="1" ht="17.149999999999999" customHeight="1">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c r="BN288" s="57"/>
      <c r="BO288" s="57"/>
      <c r="BP288" s="57"/>
      <c r="BQ288" s="57"/>
      <c r="BR288" s="57"/>
      <c r="BS288" s="57"/>
      <c r="BT288" s="57"/>
      <c r="BU288" s="57"/>
      <c r="BV288" s="57"/>
      <c r="BW288" s="57"/>
      <c r="BX288" s="57"/>
      <c r="BY288" s="57"/>
      <c r="BZ288" s="57"/>
      <c r="CA288" s="57"/>
      <c r="CB288" s="57"/>
      <c r="CC288" s="57"/>
      <c r="CD288" s="57"/>
      <c r="CE288" s="57"/>
    </row>
    <row r="289" spans="4:83" s="254" customFormat="1" ht="17.149999999999999" customHeight="1">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c r="BN289" s="57"/>
      <c r="BO289" s="57"/>
      <c r="BP289" s="57"/>
      <c r="BQ289" s="57"/>
      <c r="BR289" s="57"/>
      <c r="BS289" s="57"/>
      <c r="BT289" s="57"/>
      <c r="BU289" s="57"/>
      <c r="BV289" s="57"/>
      <c r="BW289" s="57"/>
      <c r="BX289" s="57"/>
      <c r="BY289" s="57"/>
      <c r="BZ289" s="57"/>
      <c r="CA289" s="57"/>
      <c r="CB289" s="57"/>
      <c r="CC289" s="57"/>
      <c r="CD289" s="57"/>
      <c r="CE289" s="57"/>
    </row>
    <row r="290" spans="4:83" s="254" customFormat="1" ht="17.149999999999999" customHeight="1">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c r="BN290" s="57"/>
      <c r="BO290" s="57"/>
      <c r="BP290" s="57"/>
      <c r="BQ290" s="57"/>
      <c r="BR290" s="57"/>
      <c r="BS290" s="57"/>
      <c r="BT290" s="57"/>
      <c r="BU290" s="57"/>
      <c r="BV290" s="57"/>
      <c r="BW290" s="57"/>
      <c r="BX290" s="57"/>
      <c r="BY290" s="57"/>
      <c r="BZ290" s="57"/>
      <c r="CA290" s="57"/>
      <c r="CB290" s="57"/>
      <c r="CC290" s="57"/>
      <c r="CD290" s="57"/>
      <c r="CE290" s="57"/>
    </row>
    <row r="291" spans="4:83" s="254" customFormat="1" ht="17.149999999999999" customHeight="1">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c r="BN291" s="57"/>
      <c r="BO291" s="57"/>
      <c r="BP291" s="57"/>
      <c r="BQ291" s="57"/>
      <c r="BR291" s="57"/>
      <c r="BS291" s="57"/>
      <c r="BT291" s="57"/>
      <c r="BU291" s="57"/>
      <c r="BV291" s="57"/>
      <c r="BW291" s="57"/>
      <c r="BX291" s="57"/>
      <c r="BY291" s="57"/>
      <c r="BZ291" s="57"/>
      <c r="CA291" s="57"/>
      <c r="CB291" s="57"/>
      <c r="CC291" s="57"/>
      <c r="CD291" s="57"/>
      <c r="CE291" s="57"/>
    </row>
    <row r="292" spans="4:83" s="254" customFormat="1" ht="17.149999999999999" customHeight="1">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c r="BN292" s="57"/>
      <c r="BO292" s="57"/>
      <c r="BP292" s="57"/>
      <c r="BQ292" s="57"/>
      <c r="BR292" s="57"/>
      <c r="BS292" s="57"/>
      <c r="BT292" s="57"/>
      <c r="BU292" s="57"/>
      <c r="BV292" s="57"/>
      <c r="BW292" s="57"/>
      <c r="BX292" s="57"/>
      <c r="BY292" s="57"/>
      <c r="BZ292" s="57"/>
      <c r="CA292" s="57"/>
      <c r="CB292" s="57"/>
      <c r="CC292" s="57"/>
      <c r="CD292" s="57"/>
      <c r="CE292" s="57"/>
    </row>
    <row r="293" spans="4:83" s="254" customFormat="1" ht="17.149999999999999" customHeight="1">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c r="BN293" s="57"/>
      <c r="BO293" s="57"/>
      <c r="BP293" s="57"/>
      <c r="BQ293" s="57"/>
      <c r="BR293" s="57"/>
      <c r="BS293" s="57"/>
      <c r="BT293" s="57"/>
      <c r="BU293" s="57"/>
      <c r="BV293" s="57"/>
      <c r="BW293" s="57"/>
      <c r="BX293" s="57"/>
      <c r="BY293" s="57"/>
      <c r="BZ293" s="57"/>
      <c r="CA293" s="57"/>
      <c r="CB293" s="57"/>
      <c r="CC293" s="57"/>
      <c r="CD293" s="57"/>
      <c r="CE293" s="57"/>
    </row>
    <row r="294" spans="4:83" s="254" customFormat="1" ht="17.149999999999999" customHeight="1">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row>
    <row r="295" spans="4:83" s="254" customFormat="1" ht="17.149999999999999" customHeight="1">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c r="BN295" s="57"/>
      <c r="BO295" s="57"/>
      <c r="BP295" s="57"/>
      <c r="BQ295" s="57"/>
      <c r="BR295" s="57"/>
      <c r="BS295" s="57"/>
      <c r="BT295" s="57"/>
      <c r="BU295" s="57"/>
      <c r="BV295" s="57"/>
      <c r="BW295" s="57"/>
      <c r="BX295" s="57"/>
      <c r="BY295" s="57"/>
      <c r="BZ295" s="57"/>
      <c r="CA295" s="57"/>
      <c r="CB295" s="57"/>
      <c r="CC295" s="57"/>
      <c r="CD295" s="57"/>
      <c r="CE295" s="57"/>
    </row>
    <row r="296" spans="4:83" s="254" customFormat="1" ht="17.149999999999999" customHeight="1">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c r="BN296" s="57"/>
      <c r="BO296" s="57"/>
      <c r="BP296" s="57"/>
      <c r="BQ296" s="57"/>
      <c r="BR296" s="57"/>
      <c r="BS296" s="57"/>
      <c r="BT296" s="57"/>
      <c r="BU296" s="57"/>
      <c r="BV296" s="57"/>
      <c r="BW296" s="57"/>
      <c r="BX296" s="57"/>
      <c r="BY296" s="57"/>
      <c r="BZ296" s="57"/>
      <c r="CA296" s="57"/>
      <c r="CB296" s="57"/>
      <c r="CC296" s="57"/>
      <c r="CD296" s="57"/>
      <c r="CE296" s="57"/>
    </row>
    <row r="297" spans="4:83" s="254" customFormat="1" ht="17.149999999999999" customHeight="1">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row>
    <row r="298" spans="4:83" s="254" customFormat="1" ht="17.149999999999999" customHeight="1">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row>
    <row r="299" spans="4:83" s="254" customFormat="1" ht="17.149999999999999" customHeight="1">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row>
    <row r="300" spans="4:83" s="254" customFormat="1" ht="17.149999999999999" customHeight="1">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row>
    <row r="301" spans="4:83" s="254" customFormat="1" ht="17.149999999999999" customHeight="1">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c r="BN301" s="57"/>
      <c r="BO301" s="57"/>
      <c r="BP301" s="57"/>
      <c r="BQ301" s="57"/>
      <c r="BR301" s="57"/>
      <c r="BS301" s="57"/>
      <c r="BT301" s="57"/>
      <c r="BU301" s="57"/>
      <c r="BV301" s="57"/>
      <c r="BW301" s="57"/>
      <c r="BX301" s="57"/>
      <c r="BY301" s="57"/>
      <c r="BZ301" s="57"/>
      <c r="CA301" s="57"/>
      <c r="CB301" s="57"/>
      <c r="CC301" s="57"/>
      <c r="CD301" s="57"/>
      <c r="CE301" s="57"/>
    </row>
    <row r="302" spans="4:83" s="254" customFormat="1" ht="17.149999999999999" customHeight="1">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row>
    <row r="303" spans="4:83" s="254" customFormat="1" ht="17.149999999999999" customHeight="1">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c r="BN303" s="57"/>
      <c r="BO303" s="57"/>
      <c r="BP303" s="57"/>
      <c r="BQ303" s="57"/>
      <c r="BR303" s="57"/>
      <c r="BS303" s="57"/>
      <c r="BT303" s="57"/>
      <c r="BU303" s="57"/>
      <c r="BV303" s="57"/>
      <c r="BW303" s="57"/>
      <c r="BX303" s="57"/>
      <c r="BY303" s="57"/>
      <c r="BZ303" s="57"/>
      <c r="CA303" s="57"/>
      <c r="CB303" s="57"/>
      <c r="CC303" s="57"/>
      <c r="CD303" s="57"/>
      <c r="CE303" s="57"/>
    </row>
    <row r="304" spans="4:83" s="254" customFormat="1" ht="17.149999999999999" customHeight="1">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c r="BN304" s="57"/>
      <c r="BO304" s="57"/>
      <c r="BP304" s="57"/>
      <c r="BQ304" s="57"/>
      <c r="BR304" s="57"/>
      <c r="BS304" s="57"/>
      <c r="BT304" s="57"/>
      <c r="BU304" s="57"/>
      <c r="BV304" s="57"/>
      <c r="BW304" s="57"/>
      <c r="BX304" s="57"/>
      <c r="BY304" s="57"/>
      <c r="BZ304" s="57"/>
      <c r="CA304" s="57"/>
      <c r="CB304" s="57"/>
      <c r="CC304" s="57"/>
      <c r="CD304" s="57"/>
      <c r="CE304" s="57"/>
    </row>
    <row r="305" spans="4:83" s="254" customFormat="1" ht="17.149999999999999" customHeight="1">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c r="BN305" s="57"/>
      <c r="BO305" s="57"/>
      <c r="BP305" s="57"/>
      <c r="BQ305" s="57"/>
      <c r="BR305" s="57"/>
      <c r="BS305" s="57"/>
      <c r="BT305" s="57"/>
      <c r="BU305" s="57"/>
      <c r="BV305" s="57"/>
      <c r="BW305" s="57"/>
      <c r="BX305" s="57"/>
      <c r="BY305" s="57"/>
      <c r="BZ305" s="57"/>
      <c r="CA305" s="57"/>
      <c r="CB305" s="57"/>
      <c r="CC305" s="57"/>
      <c r="CD305" s="57"/>
      <c r="CE305" s="57"/>
    </row>
    <row r="306" spans="4:83" s="254" customFormat="1" ht="17.149999999999999" customHeight="1">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c r="BN306" s="57"/>
      <c r="BO306" s="57"/>
      <c r="BP306" s="57"/>
      <c r="BQ306" s="57"/>
      <c r="BR306" s="57"/>
      <c r="BS306" s="57"/>
      <c r="BT306" s="57"/>
      <c r="BU306" s="57"/>
      <c r="BV306" s="57"/>
      <c r="BW306" s="57"/>
      <c r="BX306" s="57"/>
      <c r="BY306" s="57"/>
      <c r="BZ306" s="57"/>
      <c r="CA306" s="57"/>
      <c r="CB306" s="57"/>
      <c r="CC306" s="57"/>
      <c r="CD306" s="57"/>
      <c r="CE306" s="57"/>
    </row>
    <row r="307" spans="4:83" s="254" customFormat="1" ht="17.149999999999999" customHeight="1">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c r="BN307" s="57"/>
      <c r="BO307" s="57"/>
      <c r="BP307" s="57"/>
      <c r="BQ307" s="57"/>
      <c r="BR307" s="57"/>
      <c r="BS307" s="57"/>
      <c r="BT307" s="57"/>
      <c r="BU307" s="57"/>
      <c r="BV307" s="57"/>
      <c r="BW307" s="57"/>
      <c r="BX307" s="57"/>
      <c r="BY307" s="57"/>
      <c r="BZ307" s="57"/>
      <c r="CA307" s="57"/>
      <c r="CB307" s="57"/>
      <c r="CC307" s="57"/>
      <c r="CD307" s="57"/>
      <c r="CE307" s="57"/>
    </row>
    <row r="308" spans="4:83" s="254" customFormat="1" ht="17.149999999999999" customHeight="1">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c r="BN308" s="57"/>
      <c r="BO308" s="57"/>
      <c r="BP308" s="57"/>
      <c r="BQ308" s="57"/>
      <c r="BR308" s="57"/>
      <c r="BS308" s="57"/>
      <c r="BT308" s="57"/>
      <c r="BU308" s="57"/>
      <c r="BV308" s="57"/>
      <c r="BW308" s="57"/>
      <c r="BX308" s="57"/>
      <c r="BY308" s="57"/>
      <c r="BZ308" s="57"/>
      <c r="CA308" s="57"/>
      <c r="CB308" s="57"/>
      <c r="CC308" s="57"/>
      <c r="CD308" s="57"/>
      <c r="CE308" s="57"/>
    </row>
    <row r="309" spans="4:83" s="254" customFormat="1" ht="17.149999999999999" customHeight="1">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c r="BN309" s="57"/>
      <c r="BO309" s="57"/>
      <c r="BP309" s="57"/>
      <c r="BQ309" s="57"/>
      <c r="BR309" s="57"/>
      <c r="BS309" s="57"/>
      <c r="BT309" s="57"/>
      <c r="BU309" s="57"/>
      <c r="BV309" s="57"/>
      <c r="BW309" s="57"/>
      <c r="BX309" s="57"/>
      <c r="BY309" s="57"/>
      <c r="BZ309" s="57"/>
      <c r="CA309" s="57"/>
      <c r="CB309" s="57"/>
      <c r="CC309" s="57"/>
      <c r="CD309" s="57"/>
      <c r="CE309" s="57"/>
    </row>
    <row r="310" spans="4:83" s="254" customFormat="1" ht="17.149999999999999" customHeight="1">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c r="BN310" s="57"/>
      <c r="BO310" s="57"/>
      <c r="BP310" s="57"/>
      <c r="BQ310" s="57"/>
      <c r="BR310" s="57"/>
      <c r="BS310" s="57"/>
      <c r="BT310" s="57"/>
      <c r="BU310" s="57"/>
      <c r="BV310" s="57"/>
      <c r="BW310" s="57"/>
      <c r="BX310" s="57"/>
      <c r="BY310" s="57"/>
      <c r="BZ310" s="57"/>
      <c r="CA310" s="57"/>
      <c r="CB310" s="57"/>
      <c r="CC310" s="57"/>
      <c r="CD310" s="57"/>
      <c r="CE310" s="57"/>
    </row>
    <row r="311" spans="4:83" s="254" customFormat="1" ht="17.149999999999999" customHeight="1">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c r="BN311" s="57"/>
      <c r="BO311" s="57"/>
      <c r="BP311" s="57"/>
      <c r="BQ311" s="57"/>
      <c r="BR311" s="57"/>
      <c r="BS311" s="57"/>
      <c r="BT311" s="57"/>
      <c r="BU311" s="57"/>
      <c r="BV311" s="57"/>
      <c r="BW311" s="57"/>
      <c r="BX311" s="57"/>
      <c r="BY311" s="57"/>
      <c r="BZ311" s="57"/>
      <c r="CA311" s="57"/>
      <c r="CB311" s="57"/>
      <c r="CC311" s="57"/>
      <c r="CD311" s="57"/>
      <c r="CE311" s="57"/>
    </row>
    <row r="312" spans="4:83" s="254" customFormat="1" ht="17.149999999999999" customHeight="1">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c r="BN312" s="57"/>
      <c r="BO312" s="57"/>
      <c r="BP312" s="57"/>
      <c r="BQ312" s="57"/>
      <c r="BR312" s="57"/>
      <c r="BS312" s="57"/>
      <c r="BT312" s="57"/>
      <c r="BU312" s="57"/>
      <c r="BV312" s="57"/>
      <c r="BW312" s="57"/>
      <c r="BX312" s="57"/>
      <c r="BY312" s="57"/>
      <c r="BZ312" s="57"/>
      <c r="CA312" s="57"/>
      <c r="CB312" s="57"/>
      <c r="CC312" s="57"/>
      <c r="CD312" s="57"/>
      <c r="CE312" s="57"/>
    </row>
    <row r="313" spans="4:83" s="254" customFormat="1" ht="17.149999999999999" customHeight="1">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c r="BN313" s="57"/>
      <c r="BO313" s="57"/>
      <c r="BP313" s="57"/>
      <c r="BQ313" s="57"/>
      <c r="BR313" s="57"/>
      <c r="BS313" s="57"/>
      <c r="BT313" s="57"/>
      <c r="BU313" s="57"/>
      <c r="BV313" s="57"/>
      <c r="BW313" s="57"/>
      <c r="BX313" s="57"/>
      <c r="BY313" s="57"/>
      <c r="BZ313" s="57"/>
      <c r="CA313" s="57"/>
      <c r="CB313" s="57"/>
      <c r="CC313" s="57"/>
      <c r="CD313" s="57"/>
      <c r="CE313" s="57"/>
    </row>
    <row r="314" spans="4:83" s="254" customFormat="1" ht="17.149999999999999" customHeight="1">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c r="BN314" s="57"/>
      <c r="BO314" s="57"/>
      <c r="BP314" s="57"/>
      <c r="BQ314" s="57"/>
      <c r="BR314" s="57"/>
      <c r="BS314" s="57"/>
      <c r="BT314" s="57"/>
      <c r="BU314" s="57"/>
      <c r="BV314" s="57"/>
      <c r="BW314" s="57"/>
      <c r="BX314" s="57"/>
      <c r="BY314" s="57"/>
      <c r="BZ314" s="57"/>
      <c r="CA314" s="57"/>
      <c r="CB314" s="57"/>
      <c r="CC314" s="57"/>
      <c r="CD314" s="57"/>
      <c r="CE314" s="57"/>
    </row>
    <row r="315" spans="4:83" s="254" customFormat="1" ht="17.149999999999999" customHeight="1">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57"/>
      <c r="BO315" s="57"/>
      <c r="BP315" s="57"/>
      <c r="BQ315" s="57"/>
      <c r="BR315" s="57"/>
      <c r="BS315" s="57"/>
      <c r="BT315" s="57"/>
      <c r="BU315" s="57"/>
      <c r="BV315" s="57"/>
      <c r="BW315" s="57"/>
      <c r="BX315" s="57"/>
      <c r="BY315" s="57"/>
      <c r="BZ315" s="57"/>
      <c r="CA315" s="57"/>
      <c r="CB315" s="57"/>
      <c r="CC315" s="57"/>
      <c r="CD315" s="57"/>
      <c r="CE315" s="57"/>
    </row>
    <row r="316" spans="4:83" s="254" customFormat="1" ht="17.149999999999999" customHeight="1">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57"/>
      <c r="BO316" s="57"/>
      <c r="BP316" s="57"/>
      <c r="BQ316" s="57"/>
      <c r="BR316" s="57"/>
      <c r="BS316" s="57"/>
      <c r="BT316" s="57"/>
      <c r="BU316" s="57"/>
      <c r="BV316" s="57"/>
      <c r="BW316" s="57"/>
      <c r="BX316" s="57"/>
      <c r="BY316" s="57"/>
      <c r="BZ316" s="57"/>
      <c r="CA316" s="57"/>
      <c r="CB316" s="57"/>
      <c r="CC316" s="57"/>
      <c r="CD316" s="57"/>
      <c r="CE316" s="57"/>
    </row>
    <row r="317" spans="4:83" s="254" customFormat="1" ht="17.149999999999999" customHeight="1">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c r="BN317" s="57"/>
      <c r="BO317" s="57"/>
      <c r="BP317" s="57"/>
      <c r="BQ317" s="57"/>
      <c r="BR317" s="57"/>
      <c r="BS317" s="57"/>
      <c r="BT317" s="57"/>
      <c r="BU317" s="57"/>
      <c r="BV317" s="57"/>
      <c r="BW317" s="57"/>
      <c r="BX317" s="57"/>
      <c r="BY317" s="57"/>
      <c r="BZ317" s="57"/>
      <c r="CA317" s="57"/>
      <c r="CB317" s="57"/>
      <c r="CC317" s="57"/>
      <c r="CD317" s="57"/>
      <c r="CE317" s="57"/>
    </row>
    <row r="318" spans="4:83" s="254" customFormat="1" ht="17.149999999999999" customHeight="1">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c r="BN318" s="57"/>
      <c r="BO318" s="57"/>
      <c r="BP318" s="57"/>
      <c r="BQ318" s="57"/>
      <c r="BR318" s="57"/>
      <c r="BS318" s="57"/>
      <c r="BT318" s="57"/>
      <c r="BU318" s="57"/>
      <c r="BV318" s="57"/>
      <c r="BW318" s="57"/>
      <c r="BX318" s="57"/>
      <c r="BY318" s="57"/>
      <c r="BZ318" s="57"/>
      <c r="CA318" s="57"/>
      <c r="CB318" s="57"/>
      <c r="CC318" s="57"/>
      <c r="CD318" s="57"/>
      <c r="CE318" s="57"/>
    </row>
    <row r="319" spans="4:83" s="254" customFormat="1" ht="17.149999999999999" customHeight="1">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c r="BN319" s="57"/>
      <c r="BO319" s="57"/>
      <c r="BP319" s="57"/>
      <c r="BQ319" s="57"/>
      <c r="BR319" s="57"/>
      <c r="BS319" s="57"/>
      <c r="BT319" s="57"/>
      <c r="BU319" s="57"/>
      <c r="BV319" s="57"/>
      <c r="BW319" s="57"/>
      <c r="BX319" s="57"/>
      <c r="BY319" s="57"/>
      <c r="BZ319" s="57"/>
      <c r="CA319" s="57"/>
      <c r="CB319" s="57"/>
      <c r="CC319" s="57"/>
      <c r="CD319" s="57"/>
      <c r="CE319" s="57"/>
    </row>
    <row r="320" spans="4:83" s="254" customFormat="1" ht="17.149999999999999" customHeight="1">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c r="BN320" s="57"/>
      <c r="BO320" s="57"/>
      <c r="BP320" s="57"/>
      <c r="BQ320" s="57"/>
      <c r="BR320" s="57"/>
      <c r="BS320" s="57"/>
      <c r="BT320" s="57"/>
      <c r="BU320" s="57"/>
      <c r="BV320" s="57"/>
      <c r="BW320" s="57"/>
      <c r="BX320" s="57"/>
      <c r="BY320" s="57"/>
      <c r="BZ320" s="57"/>
      <c r="CA320" s="57"/>
      <c r="CB320" s="57"/>
      <c r="CC320" s="57"/>
      <c r="CD320" s="57"/>
      <c r="CE320" s="57"/>
    </row>
    <row r="321" spans="4:83" s="254" customFormat="1" ht="17.149999999999999" customHeight="1">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c r="BN321" s="57"/>
      <c r="BO321" s="57"/>
      <c r="BP321" s="57"/>
      <c r="BQ321" s="57"/>
      <c r="BR321" s="57"/>
      <c r="BS321" s="57"/>
      <c r="BT321" s="57"/>
      <c r="BU321" s="57"/>
      <c r="BV321" s="57"/>
      <c r="BW321" s="57"/>
      <c r="BX321" s="57"/>
      <c r="BY321" s="57"/>
      <c r="BZ321" s="57"/>
      <c r="CA321" s="57"/>
      <c r="CB321" s="57"/>
      <c r="CC321" s="57"/>
      <c r="CD321" s="57"/>
      <c r="CE321" s="57"/>
    </row>
    <row r="322" spans="4:83" s="254" customFormat="1" ht="17.149999999999999" customHeight="1">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c r="BN322" s="57"/>
      <c r="BO322" s="57"/>
      <c r="BP322" s="57"/>
      <c r="BQ322" s="57"/>
      <c r="BR322" s="57"/>
      <c r="BS322" s="57"/>
      <c r="BT322" s="57"/>
      <c r="BU322" s="57"/>
      <c r="BV322" s="57"/>
      <c r="BW322" s="57"/>
      <c r="BX322" s="57"/>
      <c r="BY322" s="57"/>
      <c r="BZ322" s="57"/>
      <c r="CA322" s="57"/>
      <c r="CB322" s="57"/>
      <c r="CC322" s="57"/>
      <c r="CD322" s="57"/>
      <c r="CE322" s="57"/>
    </row>
    <row r="323" spans="4:83" s="254" customFormat="1" ht="17.149999999999999" customHeight="1">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c r="BN323" s="57"/>
      <c r="BO323" s="57"/>
      <c r="BP323" s="57"/>
      <c r="BQ323" s="57"/>
      <c r="BR323" s="57"/>
      <c r="BS323" s="57"/>
      <c r="BT323" s="57"/>
      <c r="BU323" s="57"/>
      <c r="BV323" s="57"/>
      <c r="BW323" s="57"/>
      <c r="BX323" s="57"/>
      <c r="BY323" s="57"/>
      <c r="BZ323" s="57"/>
      <c r="CA323" s="57"/>
      <c r="CB323" s="57"/>
      <c r="CC323" s="57"/>
      <c r="CD323" s="57"/>
      <c r="CE323" s="57"/>
    </row>
    <row r="324" spans="4:83" s="254" customFormat="1" ht="17.149999999999999" customHeight="1">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c r="BN324" s="57"/>
      <c r="BO324" s="57"/>
      <c r="BP324" s="57"/>
      <c r="BQ324" s="57"/>
      <c r="BR324" s="57"/>
      <c r="BS324" s="57"/>
      <c r="BT324" s="57"/>
      <c r="BU324" s="57"/>
      <c r="BV324" s="57"/>
      <c r="BW324" s="57"/>
      <c r="BX324" s="57"/>
      <c r="BY324" s="57"/>
      <c r="BZ324" s="57"/>
      <c r="CA324" s="57"/>
      <c r="CB324" s="57"/>
      <c r="CC324" s="57"/>
      <c r="CD324" s="57"/>
      <c r="CE324" s="57"/>
    </row>
    <row r="325" spans="4:83" s="254" customFormat="1" ht="17.149999999999999" customHeight="1">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c r="BN325" s="57"/>
      <c r="BO325" s="57"/>
      <c r="BP325" s="57"/>
      <c r="BQ325" s="57"/>
      <c r="BR325" s="57"/>
      <c r="BS325" s="57"/>
      <c r="BT325" s="57"/>
      <c r="BU325" s="57"/>
      <c r="BV325" s="57"/>
      <c r="BW325" s="57"/>
      <c r="BX325" s="57"/>
      <c r="BY325" s="57"/>
      <c r="BZ325" s="57"/>
      <c r="CA325" s="57"/>
      <c r="CB325" s="57"/>
      <c r="CC325" s="57"/>
      <c r="CD325" s="57"/>
      <c r="CE325" s="57"/>
    </row>
    <row r="326" spans="4:83" s="254" customFormat="1" ht="17.149999999999999" customHeight="1">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c r="BN326" s="57"/>
      <c r="BO326" s="57"/>
      <c r="BP326" s="57"/>
      <c r="BQ326" s="57"/>
      <c r="BR326" s="57"/>
      <c r="BS326" s="57"/>
      <c r="BT326" s="57"/>
      <c r="BU326" s="57"/>
      <c r="BV326" s="57"/>
      <c r="BW326" s="57"/>
      <c r="BX326" s="57"/>
      <c r="BY326" s="57"/>
      <c r="BZ326" s="57"/>
      <c r="CA326" s="57"/>
      <c r="CB326" s="57"/>
      <c r="CC326" s="57"/>
      <c r="CD326" s="57"/>
      <c r="CE326" s="57"/>
    </row>
    <row r="327" spans="4:83" s="254" customFormat="1" ht="17.149999999999999" customHeight="1">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c r="BN327" s="57"/>
      <c r="BO327" s="57"/>
      <c r="BP327" s="57"/>
      <c r="BQ327" s="57"/>
      <c r="BR327" s="57"/>
      <c r="BS327" s="57"/>
      <c r="BT327" s="57"/>
      <c r="BU327" s="57"/>
      <c r="BV327" s="57"/>
      <c r="BW327" s="57"/>
      <c r="BX327" s="57"/>
      <c r="BY327" s="57"/>
      <c r="BZ327" s="57"/>
      <c r="CA327" s="57"/>
      <c r="CB327" s="57"/>
      <c r="CC327" s="57"/>
      <c r="CD327" s="57"/>
      <c r="CE327" s="57"/>
    </row>
    <row r="328" spans="4:83" s="254" customFormat="1" ht="17.149999999999999" customHeight="1">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c r="BN328" s="57"/>
      <c r="BO328" s="57"/>
      <c r="BP328" s="57"/>
      <c r="BQ328" s="57"/>
      <c r="BR328" s="57"/>
      <c r="BS328" s="57"/>
      <c r="BT328" s="57"/>
      <c r="BU328" s="57"/>
      <c r="BV328" s="57"/>
      <c r="BW328" s="57"/>
      <c r="BX328" s="57"/>
      <c r="BY328" s="57"/>
      <c r="BZ328" s="57"/>
      <c r="CA328" s="57"/>
      <c r="CB328" s="57"/>
      <c r="CC328" s="57"/>
      <c r="CD328" s="57"/>
      <c r="CE328" s="57"/>
    </row>
    <row r="329" spans="4:83" s="254" customFormat="1" ht="17.149999999999999" customHeight="1">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c r="BN329" s="57"/>
      <c r="BO329" s="57"/>
      <c r="BP329" s="57"/>
      <c r="BQ329" s="57"/>
      <c r="BR329" s="57"/>
      <c r="BS329" s="57"/>
      <c r="BT329" s="57"/>
      <c r="BU329" s="57"/>
      <c r="BV329" s="57"/>
      <c r="BW329" s="57"/>
      <c r="BX329" s="57"/>
      <c r="BY329" s="57"/>
      <c r="BZ329" s="57"/>
      <c r="CA329" s="57"/>
      <c r="CB329" s="57"/>
      <c r="CC329" s="57"/>
      <c r="CD329" s="57"/>
      <c r="CE329" s="57"/>
    </row>
    <row r="330" spans="4:83" s="254" customFormat="1" ht="17.149999999999999" customHeight="1">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c r="BN330" s="57"/>
      <c r="BO330" s="57"/>
      <c r="BP330" s="57"/>
      <c r="BQ330" s="57"/>
      <c r="BR330" s="57"/>
      <c r="BS330" s="57"/>
      <c r="BT330" s="57"/>
      <c r="BU330" s="57"/>
      <c r="BV330" s="57"/>
      <c r="BW330" s="57"/>
      <c r="BX330" s="57"/>
      <c r="BY330" s="57"/>
      <c r="BZ330" s="57"/>
      <c r="CA330" s="57"/>
      <c r="CB330" s="57"/>
      <c r="CC330" s="57"/>
      <c r="CD330" s="57"/>
      <c r="CE330" s="57"/>
    </row>
    <row r="331" spans="4:83" s="254" customFormat="1" ht="17.149999999999999" customHeight="1">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c r="BN331" s="57"/>
      <c r="BO331" s="57"/>
      <c r="BP331" s="57"/>
      <c r="BQ331" s="57"/>
      <c r="BR331" s="57"/>
      <c r="BS331" s="57"/>
      <c r="BT331" s="57"/>
      <c r="BU331" s="57"/>
      <c r="BV331" s="57"/>
      <c r="BW331" s="57"/>
      <c r="BX331" s="57"/>
      <c r="BY331" s="57"/>
      <c r="BZ331" s="57"/>
      <c r="CA331" s="57"/>
      <c r="CB331" s="57"/>
      <c r="CC331" s="57"/>
      <c r="CD331" s="57"/>
      <c r="CE331" s="57"/>
    </row>
    <row r="332" spans="4:83" s="254" customFormat="1" ht="17.149999999999999" customHeight="1">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c r="BN332" s="57"/>
      <c r="BO332" s="57"/>
      <c r="BP332" s="57"/>
      <c r="BQ332" s="57"/>
      <c r="BR332" s="57"/>
      <c r="BS332" s="57"/>
      <c r="BT332" s="57"/>
      <c r="BU332" s="57"/>
      <c r="BV332" s="57"/>
      <c r="BW332" s="57"/>
      <c r="BX332" s="57"/>
      <c r="BY332" s="57"/>
      <c r="BZ332" s="57"/>
      <c r="CA332" s="57"/>
      <c r="CB332" s="57"/>
      <c r="CC332" s="57"/>
      <c r="CD332" s="57"/>
      <c r="CE332" s="57"/>
    </row>
    <row r="333" spans="4:83" s="254" customFormat="1" ht="17.149999999999999" customHeight="1">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c r="BN333" s="57"/>
      <c r="BO333" s="57"/>
      <c r="BP333" s="57"/>
      <c r="BQ333" s="57"/>
      <c r="BR333" s="57"/>
      <c r="BS333" s="57"/>
      <c r="BT333" s="57"/>
      <c r="BU333" s="57"/>
      <c r="BV333" s="57"/>
      <c r="BW333" s="57"/>
      <c r="BX333" s="57"/>
      <c r="BY333" s="57"/>
      <c r="BZ333" s="57"/>
      <c r="CA333" s="57"/>
      <c r="CB333" s="57"/>
      <c r="CC333" s="57"/>
      <c r="CD333" s="57"/>
      <c r="CE333" s="57"/>
    </row>
    <row r="334" spans="4:83" s="254" customFormat="1" ht="17.149999999999999" customHeight="1">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V334" s="57"/>
      <c r="AW334" s="57"/>
      <c r="AX334" s="57"/>
      <c r="AY334" s="57"/>
      <c r="AZ334" s="57"/>
      <c r="BA334" s="57"/>
      <c r="BB334" s="57"/>
      <c r="BC334" s="57"/>
      <c r="BD334" s="57"/>
      <c r="BE334" s="57"/>
      <c r="BF334" s="57"/>
      <c r="BG334" s="57"/>
      <c r="BH334" s="57"/>
      <c r="BI334" s="57"/>
      <c r="BJ334" s="57"/>
      <c r="BK334" s="57"/>
      <c r="BL334" s="57"/>
      <c r="BM334" s="57"/>
      <c r="BN334" s="57"/>
      <c r="BO334" s="57"/>
      <c r="BP334" s="57"/>
      <c r="BQ334" s="57"/>
      <c r="BR334" s="57"/>
      <c r="BS334" s="57"/>
      <c r="BT334" s="57"/>
      <c r="BU334" s="57"/>
      <c r="BV334" s="57"/>
      <c r="BW334" s="57"/>
      <c r="BX334" s="57"/>
      <c r="BY334" s="57"/>
      <c r="BZ334" s="57"/>
      <c r="CA334" s="57"/>
      <c r="CB334" s="57"/>
      <c r="CC334" s="57"/>
      <c r="CD334" s="57"/>
      <c r="CE334" s="57"/>
    </row>
    <row r="335" spans="4:83" s="254" customFormat="1" ht="17.149999999999999" customHeight="1">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c r="BN335" s="57"/>
      <c r="BO335" s="57"/>
      <c r="BP335" s="57"/>
      <c r="BQ335" s="57"/>
      <c r="BR335" s="57"/>
      <c r="BS335" s="57"/>
      <c r="BT335" s="57"/>
      <c r="BU335" s="57"/>
      <c r="BV335" s="57"/>
      <c r="BW335" s="57"/>
      <c r="BX335" s="57"/>
      <c r="BY335" s="57"/>
      <c r="BZ335" s="57"/>
      <c r="CA335" s="57"/>
      <c r="CB335" s="57"/>
      <c r="CC335" s="57"/>
      <c r="CD335" s="57"/>
      <c r="CE335" s="57"/>
    </row>
    <row r="336" spans="4:83" s="254" customFormat="1" ht="17.149999999999999" customHeight="1">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c r="BN336" s="57"/>
      <c r="BO336" s="57"/>
      <c r="BP336" s="57"/>
      <c r="BQ336" s="57"/>
      <c r="BR336" s="57"/>
      <c r="BS336" s="57"/>
      <c r="BT336" s="57"/>
      <c r="BU336" s="57"/>
      <c r="BV336" s="57"/>
      <c r="BW336" s="57"/>
      <c r="BX336" s="57"/>
      <c r="BY336" s="57"/>
      <c r="BZ336" s="57"/>
      <c r="CA336" s="57"/>
      <c r="CB336" s="57"/>
      <c r="CC336" s="57"/>
      <c r="CD336" s="57"/>
      <c r="CE336" s="57"/>
    </row>
    <row r="337" spans="4:83" s="254" customFormat="1" ht="17.149999999999999" customHeight="1">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c r="BN337" s="57"/>
      <c r="BO337" s="57"/>
      <c r="BP337" s="57"/>
      <c r="BQ337" s="57"/>
      <c r="BR337" s="57"/>
      <c r="BS337" s="57"/>
      <c r="BT337" s="57"/>
      <c r="BU337" s="57"/>
      <c r="BV337" s="57"/>
      <c r="BW337" s="57"/>
      <c r="BX337" s="57"/>
      <c r="BY337" s="57"/>
      <c r="BZ337" s="57"/>
      <c r="CA337" s="57"/>
      <c r="CB337" s="57"/>
      <c r="CC337" s="57"/>
      <c r="CD337" s="57"/>
      <c r="CE337" s="57"/>
    </row>
    <row r="338" spans="4:83" s="254" customFormat="1" ht="17.149999999999999" customHeight="1">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c r="BN338" s="57"/>
      <c r="BO338" s="57"/>
      <c r="BP338" s="57"/>
      <c r="BQ338" s="57"/>
      <c r="BR338" s="57"/>
      <c r="BS338" s="57"/>
      <c r="BT338" s="57"/>
      <c r="BU338" s="57"/>
      <c r="BV338" s="57"/>
      <c r="BW338" s="57"/>
      <c r="BX338" s="57"/>
      <c r="BY338" s="57"/>
      <c r="BZ338" s="57"/>
      <c r="CA338" s="57"/>
      <c r="CB338" s="57"/>
      <c r="CC338" s="57"/>
      <c r="CD338" s="57"/>
      <c r="CE338" s="57"/>
    </row>
    <row r="339" spans="4:83" s="254" customFormat="1" ht="17.149999999999999" customHeight="1">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c r="BN339" s="57"/>
      <c r="BO339" s="57"/>
      <c r="BP339" s="57"/>
      <c r="BQ339" s="57"/>
      <c r="BR339" s="57"/>
      <c r="BS339" s="57"/>
      <c r="BT339" s="57"/>
      <c r="BU339" s="57"/>
      <c r="BV339" s="57"/>
      <c r="BW339" s="57"/>
      <c r="BX339" s="57"/>
      <c r="BY339" s="57"/>
      <c r="BZ339" s="57"/>
      <c r="CA339" s="57"/>
      <c r="CB339" s="57"/>
      <c r="CC339" s="57"/>
      <c r="CD339" s="57"/>
      <c r="CE339" s="57"/>
    </row>
    <row r="340" spans="4:83" s="254" customFormat="1" ht="17.149999999999999" customHeight="1">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c r="BN340" s="57"/>
      <c r="BO340" s="57"/>
      <c r="BP340" s="57"/>
      <c r="BQ340" s="57"/>
      <c r="BR340" s="57"/>
      <c r="BS340" s="57"/>
      <c r="BT340" s="57"/>
      <c r="BU340" s="57"/>
      <c r="BV340" s="57"/>
      <c r="BW340" s="57"/>
      <c r="BX340" s="57"/>
      <c r="BY340" s="57"/>
      <c r="BZ340" s="57"/>
      <c r="CA340" s="57"/>
      <c r="CB340" s="57"/>
      <c r="CC340" s="57"/>
      <c r="CD340" s="57"/>
      <c r="CE340" s="57"/>
    </row>
    <row r="341" spans="4:83" s="254" customFormat="1" ht="17.149999999999999" customHeight="1">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V341" s="57"/>
      <c r="AW341" s="57"/>
      <c r="AX341" s="57"/>
      <c r="AY341" s="57"/>
      <c r="AZ341" s="57"/>
      <c r="BA341" s="57"/>
      <c r="BB341" s="57"/>
      <c r="BC341" s="57"/>
      <c r="BD341" s="57"/>
      <c r="BE341" s="57"/>
      <c r="BF341" s="57"/>
      <c r="BG341" s="57"/>
      <c r="BH341" s="57"/>
      <c r="BI341" s="57"/>
      <c r="BJ341" s="57"/>
      <c r="BK341" s="57"/>
      <c r="BL341" s="57"/>
      <c r="BM341" s="57"/>
      <c r="BN341" s="57"/>
      <c r="BO341" s="57"/>
      <c r="BP341" s="57"/>
      <c r="BQ341" s="57"/>
      <c r="BR341" s="57"/>
      <c r="BS341" s="57"/>
      <c r="BT341" s="57"/>
      <c r="BU341" s="57"/>
      <c r="BV341" s="57"/>
      <c r="BW341" s="57"/>
      <c r="BX341" s="57"/>
      <c r="BY341" s="57"/>
      <c r="BZ341" s="57"/>
      <c r="CA341" s="57"/>
      <c r="CB341" s="57"/>
      <c r="CC341" s="57"/>
      <c r="CD341" s="57"/>
      <c r="CE341" s="57"/>
    </row>
    <row r="342" spans="4:83" s="254" customFormat="1" ht="17.149999999999999" customHeight="1">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c r="BN342" s="57"/>
      <c r="BO342" s="57"/>
      <c r="BP342" s="57"/>
      <c r="BQ342" s="57"/>
      <c r="BR342" s="57"/>
      <c r="BS342" s="57"/>
      <c r="BT342" s="57"/>
      <c r="BU342" s="57"/>
      <c r="BV342" s="57"/>
      <c r="BW342" s="57"/>
      <c r="BX342" s="57"/>
      <c r="BY342" s="57"/>
      <c r="BZ342" s="57"/>
      <c r="CA342" s="57"/>
      <c r="CB342" s="57"/>
      <c r="CC342" s="57"/>
      <c r="CD342" s="57"/>
      <c r="CE342" s="57"/>
    </row>
    <row r="343" spans="4:83" s="254" customFormat="1" ht="17.149999999999999" customHeight="1">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c r="BN343" s="57"/>
      <c r="BO343" s="57"/>
      <c r="BP343" s="57"/>
      <c r="BQ343" s="57"/>
      <c r="BR343" s="57"/>
      <c r="BS343" s="57"/>
      <c r="BT343" s="57"/>
      <c r="BU343" s="57"/>
      <c r="BV343" s="57"/>
      <c r="BW343" s="57"/>
      <c r="BX343" s="57"/>
      <c r="BY343" s="57"/>
      <c r="BZ343" s="57"/>
      <c r="CA343" s="57"/>
      <c r="CB343" s="57"/>
      <c r="CC343" s="57"/>
      <c r="CD343" s="57"/>
      <c r="CE343" s="57"/>
    </row>
    <row r="344" spans="4:83" s="254" customFormat="1" ht="17.149999999999999" customHeight="1">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c r="BN344" s="57"/>
      <c r="BO344" s="57"/>
      <c r="BP344" s="57"/>
      <c r="BQ344" s="57"/>
      <c r="BR344" s="57"/>
      <c r="BS344" s="57"/>
      <c r="BT344" s="57"/>
      <c r="BU344" s="57"/>
      <c r="BV344" s="57"/>
      <c r="BW344" s="57"/>
      <c r="BX344" s="57"/>
      <c r="BY344" s="57"/>
      <c r="BZ344" s="57"/>
      <c r="CA344" s="57"/>
      <c r="CB344" s="57"/>
      <c r="CC344" s="57"/>
      <c r="CD344" s="57"/>
      <c r="CE344" s="57"/>
    </row>
    <row r="345" spans="4:83" s="254" customFormat="1" ht="17.149999999999999" customHeight="1">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c r="BN345" s="57"/>
      <c r="BO345" s="57"/>
      <c r="BP345" s="57"/>
      <c r="BQ345" s="57"/>
      <c r="BR345" s="57"/>
      <c r="BS345" s="57"/>
      <c r="BT345" s="57"/>
      <c r="BU345" s="57"/>
      <c r="BV345" s="57"/>
      <c r="BW345" s="57"/>
      <c r="BX345" s="57"/>
      <c r="BY345" s="57"/>
      <c r="BZ345" s="57"/>
      <c r="CA345" s="57"/>
      <c r="CB345" s="57"/>
      <c r="CC345" s="57"/>
      <c r="CD345" s="57"/>
      <c r="CE345" s="57"/>
    </row>
    <row r="346" spans="4:83" s="254" customFormat="1" ht="17.149999999999999" customHeight="1">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c r="BN346" s="57"/>
      <c r="BO346" s="57"/>
      <c r="BP346" s="57"/>
      <c r="BQ346" s="57"/>
      <c r="BR346" s="57"/>
      <c r="BS346" s="57"/>
      <c r="BT346" s="57"/>
      <c r="BU346" s="57"/>
      <c r="BV346" s="57"/>
      <c r="BW346" s="57"/>
      <c r="BX346" s="57"/>
      <c r="BY346" s="57"/>
      <c r="BZ346" s="57"/>
      <c r="CA346" s="57"/>
      <c r="CB346" s="57"/>
      <c r="CC346" s="57"/>
      <c r="CD346" s="57"/>
      <c r="CE346" s="57"/>
    </row>
    <row r="347" spans="4:83" s="254" customFormat="1" ht="17.149999999999999" customHeight="1">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c r="BN347" s="57"/>
      <c r="BO347" s="57"/>
      <c r="BP347" s="57"/>
      <c r="BQ347" s="57"/>
      <c r="BR347" s="57"/>
      <c r="BS347" s="57"/>
      <c r="BT347" s="57"/>
      <c r="BU347" s="57"/>
      <c r="BV347" s="57"/>
      <c r="BW347" s="57"/>
      <c r="BX347" s="57"/>
      <c r="BY347" s="57"/>
      <c r="BZ347" s="57"/>
      <c r="CA347" s="57"/>
      <c r="CB347" s="57"/>
      <c r="CC347" s="57"/>
      <c r="CD347" s="57"/>
      <c r="CE347" s="57"/>
    </row>
    <row r="348" spans="4:83" s="254" customFormat="1" ht="17.149999999999999" customHeight="1">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c r="BN348" s="57"/>
      <c r="BO348" s="57"/>
      <c r="BP348" s="57"/>
      <c r="BQ348" s="57"/>
      <c r="BR348" s="57"/>
      <c r="BS348" s="57"/>
      <c r="BT348" s="57"/>
      <c r="BU348" s="57"/>
      <c r="BV348" s="57"/>
      <c r="BW348" s="57"/>
      <c r="BX348" s="57"/>
      <c r="BY348" s="57"/>
      <c r="BZ348" s="57"/>
      <c r="CA348" s="57"/>
      <c r="CB348" s="57"/>
      <c r="CC348" s="57"/>
      <c r="CD348" s="57"/>
      <c r="CE348" s="57"/>
    </row>
    <row r="349" spans="4:83" s="254" customFormat="1" ht="17.149999999999999" customHeight="1">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c r="BN349" s="57"/>
      <c r="BO349" s="57"/>
      <c r="BP349" s="57"/>
      <c r="BQ349" s="57"/>
      <c r="BR349" s="57"/>
      <c r="BS349" s="57"/>
      <c r="BT349" s="57"/>
      <c r="BU349" s="57"/>
      <c r="BV349" s="57"/>
      <c r="BW349" s="57"/>
      <c r="BX349" s="57"/>
      <c r="BY349" s="57"/>
      <c r="BZ349" s="57"/>
      <c r="CA349" s="57"/>
      <c r="CB349" s="57"/>
      <c r="CC349" s="57"/>
      <c r="CD349" s="57"/>
      <c r="CE349" s="57"/>
    </row>
    <row r="350" spans="4:83" s="254" customFormat="1" ht="17.149999999999999" customHeight="1">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c r="BN350" s="57"/>
      <c r="BO350" s="57"/>
      <c r="BP350" s="57"/>
      <c r="BQ350" s="57"/>
      <c r="BR350" s="57"/>
      <c r="BS350" s="57"/>
      <c r="BT350" s="57"/>
      <c r="BU350" s="57"/>
      <c r="BV350" s="57"/>
      <c r="BW350" s="57"/>
      <c r="BX350" s="57"/>
      <c r="BY350" s="57"/>
      <c r="BZ350" s="57"/>
      <c r="CA350" s="57"/>
      <c r="CB350" s="57"/>
      <c r="CC350" s="57"/>
      <c r="CD350" s="57"/>
      <c r="CE350" s="57"/>
    </row>
    <row r="351" spans="4:83" s="254" customFormat="1" ht="17.149999999999999" customHeight="1">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c r="BN351" s="57"/>
      <c r="BO351" s="57"/>
      <c r="BP351" s="57"/>
      <c r="BQ351" s="57"/>
      <c r="BR351" s="57"/>
      <c r="BS351" s="57"/>
      <c r="BT351" s="57"/>
      <c r="BU351" s="57"/>
      <c r="BV351" s="57"/>
      <c r="BW351" s="57"/>
      <c r="BX351" s="57"/>
      <c r="BY351" s="57"/>
      <c r="BZ351" s="57"/>
      <c r="CA351" s="57"/>
      <c r="CB351" s="57"/>
      <c r="CC351" s="57"/>
      <c r="CD351" s="57"/>
      <c r="CE351" s="57"/>
    </row>
    <row r="352" spans="4:83" s="254" customFormat="1" ht="17.149999999999999" customHeight="1">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c r="BN352" s="57"/>
      <c r="BO352" s="57"/>
      <c r="BP352" s="57"/>
      <c r="BQ352" s="57"/>
      <c r="BR352" s="57"/>
      <c r="BS352" s="57"/>
      <c r="BT352" s="57"/>
      <c r="BU352" s="57"/>
      <c r="BV352" s="57"/>
      <c r="BW352" s="57"/>
      <c r="BX352" s="57"/>
      <c r="BY352" s="57"/>
      <c r="BZ352" s="57"/>
      <c r="CA352" s="57"/>
      <c r="CB352" s="57"/>
      <c r="CC352" s="57"/>
      <c r="CD352" s="57"/>
      <c r="CE352" s="57"/>
    </row>
    <row r="353" spans="4:83" s="254" customFormat="1" ht="17.149999999999999" customHeight="1">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c r="BN353" s="57"/>
      <c r="BO353" s="57"/>
      <c r="BP353" s="57"/>
      <c r="BQ353" s="57"/>
      <c r="BR353" s="57"/>
      <c r="BS353" s="57"/>
      <c r="BT353" s="57"/>
      <c r="BU353" s="57"/>
      <c r="BV353" s="57"/>
      <c r="BW353" s="57"/>
      <c r="BX353" s="57"/>
      <c r="BY353" s="57"/>
      <c r="BZ353" s="57"/>
      <c r="CA353" s="57"/>
      <c r="CB353" s="57"/>
      <c r="CC353" s="57"/>
      <c r="CD353" s="57"/>
      <c r="CE353" s="57"/>
    </row>
    <row r="354" spans="4:83" s="254" customFormat="1" ht="17.149999999999999" customHeight="1">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c r="BN354" s="57"/>
      <c r="BO354" s="57"/>
      <c r="BP354" s="57"/>
      <c r="BQ354" s="57"/>
      <c r="BR354" s="57"/>
      <c r="BS354" s="57"/>
      <c r="BT354" s="57"/>
      <c r="BU354" s="57"/>
      <c r="BV354" s="57"/>
      <c r="BW354" s="57"/>
      <c r="BX354" s="57"/>
      <c r="BY354" s="57"/>
      <c r="BZ354" s="57"/>
      <c r="CA354" s="57"/>
      <c r="CB354" s="57"/>
      <c r="CC354" s="57"/>
      <c r="CD354" s="57"/>
      <c r="CE354" s="57"/>
    </row>
    <row r="355" spans="4:83" s="254" customFormat="1" ht="17.149999999999999" customHeight="1">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c r="BN355" s="57"/>
      <c r="BO355" s="57"/>
      <c r="BP355" s="57"/>
      <c r="BQ355" s="57"/>
      <c r="BR355" s="57"/>
      <c r="BS355" s="57"/>
      <c r="BT355" s="57"/>
      <c r="BU355" s="57"/>
      <c r="BV355" s="57"/>
      <c r="BW355" s="57"/>
      <c r="BX355" s="57"/>
      <c r="BY355" s="57"/>
      <c r="BZ355" s="57"/>
      <c r="CA355" s="57"/>
      <c r="CB355" s="57"/>
      <c r="CC355" s="57"/>
      <c r="CD355" s="57"/>
      <c r="CE355" s="57"/>
    </row>
    <row r="356" spans="4:83" s="254" customFormat="1" ht="17.149999999999999" customHeight="1">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c r="CB356" s="57"/>
      <c r="CC356" s="57"/>
      <c r="CD356" s="57"/>
      <c r="CE356" s="57"/>
    </row>
    <row r="357" spans="4:83" s="254" customFormat="1" ht="17.149999999999999" customHeight="1">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c r="BN357" s="57"/>
      <c r="BO357" s="57"/>
      <c r="BP357" s="57"/>
      <c r="BQ357" s="57"/>
      <c r="BR357" s="57"/>
      <c r="BS357" s="57"/>
      <c r="BT357" s="57"/>
      <c r="BU357" s="57"/>
      <c r="BV357" s="57"/>
      <c r="BW357" s="57"/>
      <c r="BX357" s="57"/>
      <c r="BY357" s="57"/>
      <c r="BZ357" s="57"/>
      <c r="CA357" s="57"/>
      <c r="CB357" s="57"/>
      <c r="CC357" s="57"/>
      <c r="CD357" s="57"/>
      <c r="CE357" s="57"/>
    </row>
    <row r="358" spans="4:83" s="254" customFormat="1" ht="17.149999999999999" customHeight="1">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c r="BN358" s="57"/>
      <c r="BO358" s="57"/>
      <c r="BP358" s="57"/>
      <c r="BQ358" s="57"/>
      <c r="BR358" s="57"/>
      <c r="BS358" s="57"/>
      <c r="BT358" s="57"/>
      <c r="BU358" s="57"/>
      <c r="BV358" s="57"/>
      <c r="BW358" s="57"/>
      <c r="BX358" s="57"/>
      <c r="BY358" s="57"/>
      <c r="BZ358" s="57"/>
      <c r="CA358" s="57"/>
      <c r="CB358" s="57"/>
      <c r="CC358" s="57"/>
      <c r="CD358" s="57"/>
      <c r="CE358" s="57"/>
    </row>
    <row r="359" spans="4:83" s="254" customFormat="1" ht="17.149999999999999" customHeight="1">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c r="BN359" s="57"/>
      <c r="BO359" s="57"/>
      <c r="BP359" s="57"/>
      <c r="BQ359" s="57"/>
      <c r="BR359" s="57"/>
      <c r="BS359" s="57"/>
      <c r="BT359" s="57"/>
      <c r="BU359" s="57"/>
      <c r="BV359" s="57"/>
      <c r="BW359" s="57"/>
      <c r="BX359" s="57"/>
      <c r="BY359" s="57"/>
      <c r="BZ359" s="57"/>
      <c r="CA359" s="57"/>
      <c r="CB359" s="57"/>
      <c r="CC359" s="57"/>
      <c r="CD359" s="57"/>
      <c r="CE359" s="57"/>
    </row>
    <row r="360" spans="4:83" s="254" customFormat="1" ht="17.149999999999999" customHeight="1">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c r="BN360" s="57"/>
      <c r="BO360" s="57"/>
      <c r="BP360" s="57"/>
      <c r="BQ360" s="57"/>
      <c r="BR360" s="57"/>
      <c r="BS360" s="57"/>
      <c r="BT360" s="57"/>
      <c r="BU360" s="57"/>
      <c r="BV360" s="57"/>
      <c r="BW360" s="57"/>
      <c r="BX360" s="57"/>
      <c r="BY360" s="57"/>
      <c r="BZ360" s="57"/>
      <c r="CA360" s="57"/>
      <c r="CB360" s="57"/>
      <c r="CC360" s="57"/>
      <c r="CD360" s="57"/>
      <c r="CE360" s="57"/>
    </row>
    <row r="361" spans="4:83" s="254" customFormat="1" ht="17.149999999999999" customHeight="1">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row>
    <row r="362" spans="4:83" s="254" customFormat="1" ht="17.149999999999999" customHeight="1">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row>
  </sheetData>
  <mergeCells count="107">
    <mergeCell ref="H42:T42"/>
    <mergeCell ref="U42:AG42"/>
    <mergeCell ref="AH42:BG42"/>
    <mergeCell ref="BH42:CB42"/>
    <mergeCell ref="A3:K3"/>
    <mergeCell ref="L3:BO3"/>
    <mergeCell ref="BP3:BU3"/>
    <mergeCell ref="BV3:CG3"/>
    <mergeCell ref="AT1:BF1"/>
    <mergeCell ref="A2:BO2"/>
    <mergeCell ref="BP2:BU2"/>
    <mergeCell ref="CA2:CC2"/>
    <mergeCell ref="CD2:CG2"/>
    <mergeCell ref="M10:BP11"/>
    <mergeCell ref="BU10:CE11"/>
    <mergeCell ref="H13:CB13"/>
    <mergeCell ref="H15:CB15"/>
    <mergeCell ref="A4:K4"/>
    <mergeCell ref="L4:BO4"/>
    <mergeCell ref="BP4:BU4"/>
    <mergeCell ref="BV4:CG4"/>
    <mergeCell ref="A7:K7"/>
    <mergeCell ref="L7:CF7"/>
    <mergeCell ref="V34:AW34"/>
    <mergeCell ref="AZ34:CA34"/>
    <mergeCell ref="H26:CB26"/>
    <mergeCell ref="V28:AW28"/>
    <mergeCell ref="AZ28:CA28"/>
    <mergeCell ref="V29:AW29"/>
    <mergeCell ref="AZ29:CA29"/>
    <mergeCell ref="V30:AW30"/>
    <mergeCell ref="AZ30:CA30"/>
    <mergeCell ref="V31:AW31"/>
    <mergeCell ref="V32:AW32"/>
    <mergeCell ref="AZ32:CA32"/>
    <mergeCell ref="V33:AW33"/>
    <mergeCell ref="AZ33:CA33"/>
    <mergeCell ref="AZ38:CA38"/>
    <mergeCell ref="M79:BP80"/>
    <mergeCell ref="BU79:CE80"/>
    <mergeCell ref="H82:CB82"/>
    <mergeCell ref="M51:BP52"/>
    <mergeCell ref="BU51:CE52"/>
    <mergeCell ref="H54:CB54"/>
    <mergeCell ref="H56:CB57"/>
    <mergeCell ref="M65:BP66"/>
    <mergeCell ref="BU65:CE66"/>
    <mergeCell ref="H68:CB68"/>
    <mergeCell ref="H70:CB71"/>
    <mergeCell ref="H40:CB40"/>
    <mergeCell ref="H41:T41"/>
    <mergeCell ref="U41:AG41"/>
    <mergeCell ref="AH41:BG41"/>
    <mergeCell ref="H43:T43"/>
    <mergeCell ref="U43:AG43"/>
    <mergeCell ref="AH43:BG43"/>
    <mergeCell ref="BH43:CB43"/>
    <mergeCell ref="H44:T44"/>
    <mergeCell ref="U44:BG44"/>
    <mergeCell ref="BH44:CB44"/>
    <mergeCell ref="BH41:CB41"/>
    <mergeCell ref="V35:AW35"/>
    <mergeCell ref="AZ35:CA35"/>
    <mergeCell ref="U36:AW36"/>
    <mergeCell ref="BA36:CA36"/>
    <mergeCell ref="V37:AW37"/>
    <mergeCell ref="AZ37:CA37"/>
    <mergeCell ref="B106:P106"/>
    <mergeCell ref="Q106:BL106"/>
    <mergeCell ref="BM106:CE106"/>
    <mergeCell ref="H84:CB85"/>
    <mergeCell ref="B96:P96"/>
    <mergeCell ref="Q96:BL96"/>
    <mergeCell ref="BM96:CE96"/>
    <mergeCell ref="B93:P93"/>
    <mergeCell ref="Q93:BL93"/>
    <mergeCell ref="BM93:CE93"/>
    <mergeCell ref="B99:P99"/>
    <mergeCell ref="Q99:BL99"/>
    <mergeCell ref="BM99:CE99"/>
    <mergeCell ref="B102:P102"/>
    <mergeCell ref="Q102:BL102"/>
    <mergeCell ref="BM102:CE102"/>
    <mergeCell ref="B101:P101"/>
    <mergeCell ref="Q101:BL101"/>
    <mergeCell ref="BM101:CE101"/>
    <mergeCell ref="B94:P94"/>
    <mergeCell ref="Q94:BL94"/>
    <mergeCell ref="BM94:CE94"/>
    <mergeCell ref="B97:P97"/>
    <mergeCell ref="Q97:BL97"/>
    <mergeCell ref="BM97:CE97"/>
    <mergeCell ref="B95:P95"/>
    <mergeCell ref="Q95:BL95"/>
    <mergeCell ref="BM95:CE95"/>
    <mergeCell ref="B98:P98"/>
    <mergeCell ref="Q98:BL98"/>
    <mergeCell ref="BM98:CE98"/>
    <mergeCell ref="B103:P103"/>
    <mergeCell ref="Q103:BL103"/>
    <mergeCell ref="BM103:CE103"/>
    <mergeCell ref="B105:P105"/>
    <mergeCell ref="Q105:BL105"/>
    <mergeCell ref="BM105:CE105"/>
    <mergeCell ref="B104:P104"/>
    <mergeCell ref="Q104:BL104"/>
    <mergeCell ref="BM104:CE104"/>
  </mergeCells>
  <phoneticPr fontId="3"/>
  <pageMargins left="0.45" right="0.23" top="0.51" bottom="0.19685039370078741" header="0.7" footer="0.27559055118110237"/>
  <pageSetup paperSize="9" scale="56" orientation="portrait" horizontalDpi="360" verticalDpi="360" r:id="rId1"/>
  <headerFooter>
    <oddHeader xml:space="preserve">&amp;R&amp;P    </oddHeader>
  </headerFooter>
  <rowBreaks count="1" manualBreakCount="1">
    <brk id="7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3965-8D63-40FB-BDB9-45DAB6A3514B}">
  <sheetPr codeName="Sheet7"/>
  <dimension ref="A1:BU79"/>
  <sheetViews>
    <sheetView view="pageBreakPreview" zoomScaleNormal="100" zoomScaleSheetLayoutView="100" workbookViewId="0"/>
  </sheetViews>
  <sheetFormatPr defaultColWidth="1.90625" defaultRowHeight="14"/>
  <cols>
    <col min="1" max="62" width="2.08984375" style="18" customWidth="1"/>
    <col min="63"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38</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397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8</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3" t="s">
        <v>39</v>
      </c>
      <c r="B9" s="353"/>
      <c r="C9" s="353"/>
      <c r="D9" s="507" t="s">
        <v>178</v>
      </c>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336" t="s">
        <v>179</v>
      </c>
      <c r="AU9" s="337"/>
      <c r="AV9" s="337"/>
      <c r="AW9" s="337"/>
      <c r="AX9" s="337"/>
      <c r="AY9" s="337"/>
      <c r="AZ9" s="337"/>
      <c r="BA9" s="337"/>
      <c r="BB9" s="337"/>
      <c r="BC9" s="337"/>
      <c r="BD9" s="337"/>
      <c r="BE9" s="337"/>
      <c r="BF9" s="337"/>
      <c r="BG9" s="337"/>
      <c r="BH9" s="337"/>
      <c r="BI9" s="337"/>
      <c r="BJ9" s="338"/>
      <c r="BK9" s="151"/>
    </row>
    <row r="10" spans="1:63" ht="25.5" customHeight="1">
      <c r="A10" s="353" t="s">
        <v>49</v>
      </c>
      <c r="B10" s="353"/>
      <c r="C10" s="353"/>
      <c r="D10" s="507" t="s">
        <v>220</v>
      </c>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336"/>
      <c r="AU10" s="337"/>
      <c r="AV10" s="337"/>
      <c r="AW10" s="337"/>
      <c r="AX10" s="337"/>
      <c r="AY10" s="337"/>
      <c r="AZ10" s="337"/>
      <c r="BA10" s="337"/>
      <c r="BB10" s="337"/>
      <c r="BC10" s="337"/>
      <c r="BD10" s="337"/>
      <c r="BE10" s="337"/>
      <c r="BF10" s="337"/>
      <c r="BG10" s="337"/>
      <c r="BH10" s="337"/>
      <c r="BI10" s="337"/>
      <c r="BJ10" s="338"/>
      <c r="BK10" s="3"/>
    </row>
    <row r="11" spans="1:63" ht="11.15" customHeight="1">
      <c r="A11" s="156"/>
      <c r="B11" s="156"/>
      <c r="C11" s="156"/>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156"/>
      <c r="AU11" s="156"/>
      <c r="AV11" s="156"/>
      <c r="AW11" s="156"/>
      <c r="AX11" s="156"/>
      <c r="AY11" s="156"/>
      <c r="AZ11" s="156"/>
      <c r="BA11" s="156"/>
      <c r="BB11" s="156"/>
      <c r="BC11" s="156"/>
      <c r="BD11" s="156"/>
      <c r="BE11" s="156"/>
      <c r="BF11" s="156"/>
      <c r="BG11" s="156"/>
      <c r="BH11" s="156"/>
      <c r="BI11" s="156"/>
      <c r="BJ11" s="156"/>
      <c r="BK11" s="15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534" t="s">
        <v>39</v>
      </c>
      <c r="B13" s="535"/>
      <c r="C13" s="536"/>
      <c r="D13" s="534" t="s">
        <v>40</v>
      </c>
      <c r="E13" s="535"/>
      <c r="F13" s="535"/>
      <c r="G13" s="535"/>
      <c r="H13" s="535"/>
      <c r="I13" s="535"/>
      <c r="J13" s="535"/>
      <c r="K13" s="535"/>
      <c r="L13" s="535"/>
      <c r="M13" s="535"/>
      <c r="N13" s="535"/>
      <c r="O13" s="535"/>
      <c r="P13" s="535"/>
      <c r="Q13" s="535"/>
      <c r="R13" s="536"/>
      <c r="S13" s="534" t="s">
        <v>41</v>
      </c>
      <c r="T13" s="535"/>
      <c r="U13" s="536"/>
      <c r="V13" s="542" t="s">
        <v>42</v>
      </c>
      <c r="W13" s="543"/>
      <c r="X13" s="543"/>
      <c r="Y13" s="544"/>
      <c r="Z13" s="534" t="s">
        <v>43</v>
      </c>
      <c r="AA13" s="535"/>
      <c r="AB13" s="535"/>
      <c r="AC13" s="536"/>
      <c r="AD13" s="513" t="s">
        <v>44</v>
      </c>
      <c r="AE13" s="514"/>
      <c r="AF13" s="515"/>
      <c r="AG13" s="513" t="s">
        <v>45</v>
      </c>
      <c r="AH13" s="514"/>
      <c r="AI13" s="515"/>
      <c r="AJ13" s="513" t="s">
        <v>46</v>
      </c>
      <c r="AK13" s="514"/>
      <c r="AL13" s="515"/>
      <c r="AM13" s="534" t="s">
        <v>47</v>
      </c>
      <c r="AN13" s="535"/>
      <c r="AO13" s="535"/>
      <c r="AP13" s="535"/>
      <c r="AQ13" s="535"/>
      <c r="AR13" s="535"/>
      <c r="AS13" s="535"/>
      <c r="AT13" s="535"/>
      <c r="AU13" s="535"/>
      <c r="AV13" s="535"/>
      <c r="AW13" s="535"/>
      <c r="AX13" s="535"/>
      <c r="AY13" s="535"/>
      <c r="AZ13" s="535"/>
      <c r="BA13" s="535"/>
      <c r="BB13" s="535"/>
      <c r="BC13" s="535"/>
      <c r="BD13" s="535"/>
      <c r="BE13" s="535"/>
      <c r="BF13" s="535"/>
      <c r="BG13" s="535"/>
      <c r="BH13" s="535"/>
      <c r="BI13" s="535"/>
      <c r="BJ13" s="536"/>
    </row>
    <row r="14" spans="1:63" s="19" customFormat="1" ht="20.25" customHeight="1">
      <c r="A14" s="537"/>
      <c r="B14" s="538"/>
      <c r="C14" s="539"/>
      <c r="D14" s="537"/>
      <c r="E14" s="538"/>
      <c r="F14" s="538"/>
      <c r="G14" s="538"/>
      <c r="H14" s="538"/>
      <c r="I14" s="538"/>
      <c r="J14" s="538"/>
      <c r="K14" s="538"/>
      <c r="L14" s="538"/>
      <c r="M14" s="538"/>
      <c r="N14" s="538"/>
      <c r="O14" s="538"/>
      <c r="P14" s="538"/>
      <c r="Q14" s="538"/>
      <c r="R14" s="539"/>
      <c r="S14" s="537"/>
      <c r="T14" s="538"/>
      <c r="U14" s="539"/>
      <c r="V14" s="531" t="s">
        <v>29</v>
      </c>
      <c r="W14" s="532"/>
      <c r="X14" s="532" t="s">
        <v>48</v>
      </c>
      <c r="Y14" s="533"/>
      <c r="Z14" s="537"/>
      <c r="AA14" s="538"/>
      <c r="AB14" s="538"/>
      <c r="AC14" s="539"/>
      <c r="AD14" s="516"/>
      <c r="AE14" s="517"/>
      <c r="AF14" s="518"/>
      <c r="AG14" s="516"/>
      <c r="AH14" s="517"/>
      <c r="AI14" s="518"/>
      <c r="AJ14" s="516"/>
      <c r="AK14" s="517"/>
      <c r="AL14" s="518"/>
      <c r="AM14" s="537"/>
      <c r="AN14" s="538"/>
      <c r="AO14" s="538"/>
      <c r="AP14" s="538"/>
      <c r="AQ14" s="538"/>
      <c r="AR14" s="538"/>
      <c r="AS14" s="538"/>
      <c r="AT14" s="538"/>
      <c r="AU14" s="538"/>
      <c r="AV14" s="538"/>
      <c r="AW14" s="538"/>
      <c r="AX14" s="538"/>
      <c r="AY14" s="538"/>
      <c r="AZ14" s="538"/>
      <c r="BA14" s="538"/>
      <c r="BB14" s="538"/>
      <c r="BC14" s="538"/>
      <c r="BD14" s="538"/>
      <c r="BE14" s="538"/>
      <c r="BF14" s="538"/>
      <c r="BG14" s="538"/>
      <c r="BH14" s="538"/>
      <c r="BI14" s="538"/>
      <c r="BJ14" s="539"/>
    </row>
    <row r="15" spans="1:63" ht="30.75" customHeight="1">
      <c r="A15" s="633">
        <f>ROW()-14</f>
        <v>1</v>
      </c>
      <c r="B15" s="634"/>
      <c r="C15" s="635"/>
      <c r="D15" s="636" t="s">
        <v>325</v>
      </c>
      <c r="E15" s="637"/>
      <c r="F15" s="637"/>
      <c r="G15" s="637"/>
      <c r="H15" s="637"/>
      <c r="I15" s="637"/>
      <c r="J15" s="637"/>
      <c r="K15" s="637"/>
      <c r="L15" s="637"/>
      <c r="M15" s="637"/>
      <c r="N15" s="637"/>
      <c r="O15" s="637"/>
      <c r="P15" s="637"/>
      <c r="Q15" s="637"/>
      <c r="R15" s="638"/>
      <c r="S15" s="639"/>
      <c r="T15" s="640"/>
      <c r="U15" s="541"/>
      <c r="V15" s="639" t="s">
        <v>276</v>
      </c>
      <c r="W15" s="641"/>
      <c r="X15" s="540" t="s">
        <v>276</v>
      </c>
      <c r="Y15" s="541"/>
      <c r="Z15" s="639"/>
      <c r="AA15" s="640"/>
      <c r="AB15" s="640"/>
      <c r="AC15" s="541"/>
      <c r="AD15" s="642"/>
      <c r="AE15" s="643"/>
      <c r="AF15" s="644"/>
      <c r="AG15" s="642"/>
      <c r="AH15" s="643"/>
      <c r="AI15" s="644"/>
      <c r="AJ15" s="642"/>
      <c r="AK15" s="643"/>
      <c r="AL15" s="644"/>
      <c r="AM15" s="645"/>
      <c r="AN15" s="646"/>
      <c r="AO15" s="646"/>
      <c r="AP15" s="646"/>
      <c r="AQ15" s="646"/>
      <c r="AR15" s="646"/>
      <c r="AS15" s="646"/>
      <c r="AT15" s="646"/>
      <c r="AU15" s="646"/>
      <c r="AV15" s="646"/>
      <c r="AW15" s="646"/>
      <c r="AX15" s="646"/>
      <c r="AY15" s="646"/>
      <c r="AZ15" s="646"/>
      <c r="BA15" s="646"/>
      <c r="BB15" s="646"/>
      <c r="BC15" s="646"/>
      <c r="BD15" s="646"/>
      <c r="BE15" s="646"/>
      <c r="BF15" s="646"/>
      <c r="BG15" s="646"/>
      <c r="BH15" s="646"/>
      <c r="BI15" s="646"/>
      <c r="BJ15" s="647"/>
    </row>
    <row r="16" spans="1:63" ht="30.75" customHeight="1">
      <c r="A16" s="464">
        <f t="shared" ref="A16:A19" si="0">ROW()-14</f>
        <v>2</v>
      </c>
      <c r="B16" s="465"/>
      <c r="C16" s="466"/>
      <c r="D16" s="495" t="s">
        <v>176</v>
      </c>
      <c r="E16" s="496"/>
      <c r="F16" s="496"/>
      <c r="G16" s="496"/>
      <c r="H16" s="496"/>
      <c r="I16" s="496"/>
      <c r="J16" s="496"/>
      <c r="K16" s="496"/>
      <c r="L16" s="496"/>
      <c r="M16" s="496"/>
      <c r="N16" s="496"/>
      <c r="O16" s="496"/>
      <c r="P16" s="496"/>
      <c r="Q16" s="496"/>
      <c r="R16" s="497"/>
      <c r="S16" s="152" t="s">
        <v>51</v>
      </c>
      <c r="T16" s="154"/>
      <c r="U16" s="153"/>
      <c r="V16" s="449" t="s">
        <v>175</v>
      </c>
      <c r="W16" s="632"/>
      <c r="X16" s="468" t="s">
        <v>284</v>
      </c>
      <c r="Y16" s="451"/>
      <c r="Z16" s="449" t="s">
        <v>549</v>
      </c>
      <c r="AA16" s="450"/>
      <c r="AB16" s="450"/>
      <c r="AC16" s="451"/>
      <c r="AD16" s="449"/>
      <c r="AE16" s="450"/>
      <c r="AF16" s="451"/>
      <c r="AG16" s="449"/>
      <c r="AH16" s="450"/>
      <c r="AI16" s="451"/>
      <c r="AJ16" s="449"/>
      <c r="AK16" s="450"/>
      <c r="AL16" s="451"/>
      <c r="AM16" s="446"/>
      <c r="AN16" s="447"/>
      <c r="AO16" s="447"/>
      <c r="AP16" s="447"/>
      <c r="AQ16" s="447"/>
      <c r="AR16" s="447"/>
      <c r="AS16" s="447"/>
      <c r="AT16" s="447"/>
      <c r="AU16" s="447"/>
      <c r="AV16" s="447"/>
      <c r="AW16" s="447"/>
      <c r="AX16" s="447"/>
      <c r="AY16" s="447"/>
      <c r="AZ16" s="447"/>
      <c r="BA16" s="447"/>
      <c r="BB16" s="447"/>
      <c r="BC16" s="447"/>
      <c r="BD16" s="447"/>
      <c r="BE16" s="447"/>
      <c r="BF16" s="447"/>
      <c r="BG16" s="447"/>
      <c r="BH16" s="447"/>
      <c r="BI16" s="447"/>
      <c r="BJ16" s="448"/>
    </row>
    <row r="17" spans="1:62" ht="30.75" customHeight="1">
      <c r="A17" s="464">
        <f t="shared" si="0"/>
        <v>3</v>
      </c>
      <c r="B17" s="465"/>
      <c r="C17" s="466"/>
      <c r="D17" s="484" t="s">
        <v>309</v>
      </c>
      <c r="E17" s="485"/>
      <c r="F17" s="485"/>
      <c r="G17" s="485"/>
      <c r="H17" s="485"/>
      <c r="I17" s="485"/>
      <c r="J17" s="485"/>
      <c r="K17" s="485"/>
      <c r="L17" s="485"/>
      <c r="M17" s="485"/>
      <c r="N17" s="485"/>
      <c r="O17" s="485"/>
      <c r="P17" s="485"/>
      <c r="Q17" s="485"/>
      <c r="R17" s="486"/>
      <c r="S17" s="449" t="s">
        <v>51</v>
      </c>
      <c r="T17" s="450"/>
      <c r="U17" s="451"/>
      <c r="V17" s="449" t="s">
        <v>175</v>
      </c>
      <c r="W17" s="632"/>
      <c r="X17" s="468" t="s">
        <v>61</v>
      </c>
      <c r="Y17" s="451"/>
      <c r="Z17" s="449" t="s">
        <v>59</v>
      </c>
      <c r="AA17" s="450"/>
      <c r="AB17" s="450"/>
      <c r="AC17" s="451"/>
      <c r="AD17" s="449"/>
      <c r="AE17" s="450"/>
      <c r="AF17" s="451"/>
      <c r="AG17" s="449"/>
      <c r="AH17" s="450"/>
      <c r="AI17" s="451"/>
      <c r="AJ17" s="449"/>
      <c r="AK17" s="450"/>
      <c r="AL17" s="451"/>
      <c r="AM17" s="452" t="s">
        <v>326</v>
      </c>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5"/>
    </row>
    <row r="18" spans="1:62" ht="30.75" customHeight="1">
      <c r="A18" s="464">
        <f t="shared" si="0"/>
        <v>4</v>
      </c>
      <c r="B18" s="465"/>
      <c r="C18" s="466"/>
      <c r="D18" s="484" t="s">
        <v>189</v>
      </c>
      <c r="E18" s="485"/>
      <c r="F18" s="485"/>
      <c r="G18" s="485"/>
      <c r="H18" s="485"/>
      <c r="I18" s="485"/>
      <c r="J18" s="485"/>
      <c r="K18" s="485"/>
      <c r="L18" s="485"/>
      <c r="M18" s="485"/>
      <c r="N18" s="485"/>
      <c r="O18" s="485"/>
      <c r="P18" s="485"/>
      <c r="Q18" s="485"/>
      <c r="R18" s="486"/>
      <c r="S18" s="449" t="s">
        <v>120</v>
      </c>
      <c r="T18" s="450"/>
      <c r="U18" s="451"/>
      <c r="V18" s="449" t="s">
        <v>175</v>
      </c>
      <c r="W18" s="632"/>
      <c r="X18" s="450" t="s">
        <v>50</v>
      </c>
      <c r="Y18" s="632"/>
      <c r="Z18" s="449" t="s">
        <v>59</v>
      </c>
      <c r="AA18" s="450"/>
      <c r="AB18" s="450"/>
      <c r="AC18" s="451"/>
      <c r="AD18" s="449"/>
      <c r="AE18" s="450"/>
      <c r="AF18" s="451"/>
      <c r="AG18" s="449"/>
      <c r="AH18" s="450"/>
      <c r="AI18" s="451"/>
      <c r="AJ18" s="449"/>
      <c r="AK18" s="450"/>
      <c r="AL18" s="451"/>
      <c r="AM18" s="452"/>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5"/>
    </row>
    <row r="19" spans="1:62" ht="30.75" customHeight="1">
      <c r="A19" s="464">
        <f t="shared" si="0"/>
        <v>5</v>
      </c>
      <c r="B19" s="465"/>
      <c r="C19" s="466"/>
      <c r="D19" s="484" t="s">
        <v>171</v>
      </c>
      <c r="E19" s="485"/>
      <c r="F19" s="485"/>
      <c r="G19" s="485"/>
      <c r="H19" s="485"/>
      <c r="I19" s="485"/>
      <c r="J19" s="485"/>
      <c r="K19" s="485"/>
      <c r="L19" s="485"/>
      <c r="M19" s="485"/>
      <c r="N19" s="485"/>
      <c r="O19" s="485"/>
      <c r="P19" s="485"/>
      <c r="Q19" s="485"/>
      <c r="R19" s="486"/>
      <c r="S19" s="449" t="s">
        <v>51</v>
      </c>
      <c r="T19" s="450"/>
      <c r="U19" s="451"/>
      <c r="V19" s="449" t="s">
        <v>175</v>
      </c>
      <c r="W19" s="632"/>
      <c r="X19" s="450" t="s">
        <v>210</v>
      </c>
      <c r="Y19" s="632"/>
      <c r="Z19" s="449" t="s">
        <v>549</v>
      </c>
      <c r="AA19" s="450"/>
      <c r="AB19" s="450"/>
      <c r="AC19" s="451"/>
      <c r="AD19" s="449"/>
      <c r="AE19" s="450"/>
      <c r="AF19" s="451"/>
      <c r="AG19" s="449"/>
      <c r="AH19" s="450"/>
      <c r="AI19" s="451"/>
      <c r="AJ19" s="449"/>
      <c r="AK19" s="450"/>
      <c r="AL19" s="451"/>
      <c r="AM19" s="452"/>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5"/>
    </row>
    <row r="20" spans="1:62" ht="30.75" customHeight="1">
      <c r="A20" s="464">
        <f>ROW()-14</f>
        <v>6</v>
      </c>
      <c r="B20" s="465"/>
      <c r="C20" s="466"/>
      <c r="D20" s="484" t="s">
        <v>36</v>
      </c>
      <c r="E20" s="485"/>
      <c r="F20" s="485"/>
      <c r="G20" s="485"/>
      <c r="H20" s="485"/>
      <c r="I20" s="485"/>
      <c r="J20" s="485"/>
      <c r="K20" s="485"/>
      <c r="L20" s="485"/>
      <c r="M20" s="485"/>
      <c r="N20" s="485"/>
      <c r="O20" s="485"/>
      <c r="P20" s="485"/>
      <c r="Q20" s="485"/>
      <c r="R20" s="486"/>
      <c r="S20" s="453" t="s">
        <v>120</v>
      </c>
      <c r="T20" s="454"/>
      <c r="U20" s="455"/>
      <c r="V20" s="449" t="s">
        <v>175</v>
      </c>
      <c r="W20" s="632"/>
      <c r="X20" s="467" t="s">
        <v>50</v>
      </c>
      <c r="Y20" s="455"/>
      <c r="Z20" s="655" t="s">
        <v>418</v>
      </c>
      <c r="AA20" s="656"/>
      <c r="AB20" s="656"/>
      <c r="AC20" s="657"/>
      <c r="AD20" s="453"/>
      <c r="AE20" s="454"/>
      <c r="AF20" s="455"/>
      <c r="AG20" s="453"/>
      <c r="AH20" s="454"/>
      <c r="AI20" s="455"/>
      <c r="AJ20" s="453"/>
      <c r="AK20" s="454"/>
      <c r="AL20" s="455"/>
      <c r="AM20" s="498" t="s">
        <v>211</v>
      </c>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64">
        <f t="shared" ref="A21:A58" si="1">ROW()-14</f>
        <v>7</v>
      </c>
      <c r="B21" s="465"/>
      <c r="C21" s="466"/>
      <c r="D21" s="446" t="s">
        <v>208</v>
      </c>
      <c r="E21" s="447"/>
      <c r="F21" s="447"/>
      <c r="G21" s="447"/>
      <c r="H21" s="447"/>
      <c r="I21" s="447"/>
      <c r="J21" s="447"/>
      <c r="K21" s="447"/>
      <c r="L21" s="447"/>
      <c r="M21" s="447"/>
      <c r="N21" s="447"/>
      <c r="O21" s="447"/>
      <c r="P21" s="447"/>
      <c r="Q21" s="447"/>
      <c r="R21" s="448"/>
      <c r="S21" s="449" t="s">
        <v>120</v>
      </c>
      <c r="T21" s="450"/>
      <c r="U21" s="451"/>
      <c r="V21" s="449" t="s">
        <v>175</v>
      </c>
      <c r="W21" s="632"/>
      <c r="X21" s="468" t="s">
        <v>61</v>
      </c>
      <c r="Y21" s="451"/>
      <c r="Z21" s="655" t="s">
        <v>418</v>
      </c>
      <c r="AA21" s="656"/>
      <c r="AB21" s="656"/>
      <c r="AC21" s="657"/>
      <c r="AD21" s="449"/>
      <c r="AE21" s="450"/>
      <c r="AF21" s="451"/>
      <c r="AG21" s="449"/>
      <c r="AH21" s="450"/>
      <c r="AI21" s="451"/>
      <c r="AJ21" s="487"/>
      <c r="AK21" s="488"/>
      <c r="AL21" s="457"/>
      <c r="AM21" s="452" t="s">
        <v>212</v>
      </c>
      <c r="AN21" s="447"/>
      <c r="AO21" s="447"/>
      <c r="AP21" s="447"/>
      <c r="AQ21" s="447"/>
      <c r="AR21" s="447"/>
      <c r="AS21" s="447"/>
      <c r="AT21" s="447"/>
      <c r="AU21" s="447"/>
      <c r="AV21" s="447"/>
      <c r="AW21" s="447"/>
      <c r="AX21" s="447"/>
      <c r="AY21" s="447"/>
      <c r="AZ21" s="447"/>
      <c r="BA21" s="447"/>
      <c r="BB21" s="447"/>
      <c r="BC21" s="447"/>
      <c r="BD21" s="447"/>
      <c r="BE21" s="447"/>
      <c r="BF21" s="447"/>
      <c r="BG21" s="447"/>
      <c r="BH21" s="447"/>
      <c r="BI21" s="447"/>
      <c r="BJ21" s="448"/>
    </row>
    <row r="22" spans="1:62" ht="30.75" customHeight="1">
      <c r="A22" s="464">
        <f t="shared" si="1"/>
        <v>8</v>
      </c>
      <c r="B22" s="465"/>
      <c r="C22" s="466"/>
      <c r="D22" s="446" t="s">
        <v>113</v>
      </c>
      <c r="E22" s="447"/>
      <c r="F22" s="447"/>
      <c r="G22" s="447"/>
      <c r="H22" s="447"/>
      <c r="I22" s="447"/>
      <c r="J22" s="447"/>
      <c r="K22" s="447"/>
      <c r="L22" s="447"/>
      <c r="M22" s="447"/>
      <c r="N22" s="447"/>
      <c r="O22" s="447"/>
      <c r="P22" s="447"/>
      <c r="Q22" s="447"/>
      <c r="R22" s="448"/>
      <c r="S22" s="449" t="s">
        <v>51</v>
      </c>
      <c r="T22" s="450"/>
      <c r="U22" s="451"/>
      <c r="V22" s="449" t="s">
        <v>175</v>
      </c>
      <c r="W22" s="632"/>
      <c r="X22" s="468" t="s">
        <v>53</v>
      </c>
      <c r="Y22" s="451"/>
      <c r="Z22" s="152" t="s">
        <v>549</v>
      </c>
      <c r="AA22" s="154"/>
      <c r="AB22" s="154"/>
      <c r="AC22" s="153"/>
      <c r="AD22" s="487"/>
      <c r="AE22" s="488"/>
      <c r="AF22" s="457"/>
      <c r="AG22" s="487"/>
      <c r="AH22" s="488"/>
      <c r="AI22" s="457"/>
      <c r="AJ22" s="487"/>
      <c r="AK22" s="488"/>
      <c r="AL22" s="457"/>
      <c r="AM22" s="501" t="s">
        <v>213</v>
      </c>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62" ht="30.75" customHeight="1">
      <c r="A23" s="464">
        <f t="shared" si="1"/>
        <v>9</v>
      </c>
      <c r="B23" s="465"/>
      <c r="C23" s="466"/>
      <c r="D23" s="446" t="s">
        <v>115</v>
      </c>
      <c r="E23" s="447"/>
      <c r="F23" s="447"/>
      <c r="G23" s="447"/>
      <c r="H23" s="447"/>
      <c r="I23" s="447"/>
      <c r="J23" s="447"/>
      <c r="K23" s="447"/>
      <c r="L23" s="447"/>
      <c r="M23" s="447"/>
      <c r="N23" s="447"/>
      <c r="O23" s="447"/>
      <c r="P23" s="447"/>
      <c r="Q23" s="447"/>
      <c r="R23" s="448"/>
      <c r="S23" s="449" t="s">
        <v>120</v>
      </c>
      <c r="T23" s="450"/>
      <c r="U23" s="451"/>
      <c r="V23" s="449" t="s">
        <v>175</v>
      </c>
      <c r="W23" s="632"/>
      <c r="X23" s="468" t="s">
        <v>62</v>
      </c>
      <c r="Y23" s="451"/>
      <c r="Z23" s="655" t="s">
        <v>418</v>
      </c>
      <c r="AA23" s="656"/>
      <c r="AB23" s="656"/>
      <c r="AC23" s="657"/>
      <c r="AD23" s="449"/>
      <c r="AE23" s="450"/>
      <c r="AF23" s="451"/>
      <c r="AG23" s="449"/>
      <c r="AH23" s="450"/>
      <c r="AI23" s="451"/>
      <c r="AJ23" s="487"/>
      <c r="AK23" s="488"/>
      <c r="AL23" s="457"/>
      <c r="AM23" s="452" t="s">
        <v>214</v>
      </c>
      <c r="AN23" s="447"/>
      <c r="AO23" s="447"/>
      <c r="AP23" s="447"/>
      <c r="AQ23" s="447"/>
      <c r="AR23" s="447"/>
      <c r="AS23" s="447"/>
      <c r="AT23" s="447"/>
      <c r="AU23" s="447"/>
      <c r="AV23" s="447"/>
      <c r="AW23" s="447"/>
      <c r="AX23" s="447"/>
      <c r="AY23" s="447"/>
      <c r="AZ23" s="447"/>
      <c r="BA23" s="447"/>
      <c r="BB23" s="447"/>
      <c r="BC23" s="447"/>
      <c r="BD23" s="447"/>
      <c r="BE23" s="447"/>
      <c r="BF23" s="447"/>
      <c r="BG23" s="447"/>
      <c r="BH23" s="447"/>
      <c r="BI23" s="447"/>
      <c r="BJ23" s="448"/>
    </row>
    <row r="24" spans="1:62" ht="30.75" customHeight="1">
      <c r="A24" s="464">
        <f t="shared" si="1"/>
        <v>10</v>
      </c>
      <c r="B24" s="465"/>
      <c r="C24" s="466"/>
      <c r="D24" s="446" t="s">
        <v>114</v>
      </c>
      <c r="E24" s="447"/>
      <c r="F24" s="447"/>
      <c r="G24" s="447"/>
      <c r="H24" s="447"/>
      <c r="I24" s="447"/>
      <c r="J24" s="447"/>
      <c r="K24" s="447"/>
      <c r="L24" s="447"/>
      <c r="M24" s="447"/>
      <c r="N24" s="447"/>
      <c r="O24" s="447"/>
      <c r="P24" s="447"/>
      <c r="Q24" s="447"/>
      <c r="R24" s="448"/>
      <c r="S24" s="449" t="s">
        <v>51</v>
      </c>
      <c r="T24" s="450"/>
      <c r="U24" s="451"/>
      <c r="V24" s="449" t="s">
        <v>175</v>
      </c>
      <c r="W24" s="632"/>
      <c r="X24" s="468" t="s">
        <v>53</v>
      </c>
      <c r="Y24" s="451"/>
      <c r="Z24" s="655" t="s">
        <v>418</v>
      </c>
      <c r="AA24" s="656"/>
      <c r="AB24" s="656"/>
      <c r="AC24" s="657"/>
      <c r="AD24" s="449"/>
      <c r="AE24" s="450"/>
      <c r="AF24" s="451"/>
      <c r="AG24" s="449"/>
      <c r="AH24" s="450"/>
      <c r="AI24" s="451"/>
      <c r="AJ24" s="487"/>
      <c r="AK24" s="488"/>
      <c r="AL24" s="457"/>
      <c r="AM24" s="452" t="s">
        <v>215</v>
      </c>
      <c r="AN24" s="504"/>
      <c r="AO24" s="504"/>
      <c r="AP24" s="504"/>
      <c r="AQ24" s="504"/>
      <c r="AR24" s="504"/>
      <c r="AS24" s="504"/>
      <c r="AT24" s="504"/>
      <c r="AU24" s="504"/>
      <c r="AV24" s="504"/>
      <c r="AW24" s="504"/>
      <c r="AX24" s="504"/>
      <c r="AY24" s="504"/>
      <c r="AZ24" s="504"/>
      <c r="BA24" s="504"/>
      <c r="BB24" s="504"/>
      <c r="BC24" s="504"/>
      <c r="BD24" s="504"/>
      <c r="BE24" s="504"/>
      <c r="BF24" s="504"/>
      <c r="BG24" s="504"/>
      <c r="BH24" s="504"/>
      <c r="BI24" s="504"/>
      <c r="BJ24" s="505"/>
    </row>
    <row r="25" spans="1:62" ht="30.75" customHeight="1">
      <c r="A25" s="464">
        <f t="shared" si="1"/>
        <v>11</v>
      </c>
      <c r="B25" s="465"/>
      <c r="C25" s="466"/>
      <c r="D25" s="446" t="s">
        <v>294</v>
      </c>
      <c r="E25" s="447"/>
      <c r="F25" s="447"/>
      <c r="G25" s="447"/>
      <c r="H25" s="447"/>
      <c r="I25" s="447"/>
      <c r="J25" s="447"/>
      <c r="K25" s="447"/>
      <c r="L25" s="447"/>
      <c r="M25" s="447"/>
      <c r="N25" s="447"/>
      <c r="O25" s="447"/>
      <c r="P25" s="447"/>
      <c r="Q25" s="447"/>
      <c r="R25" s="448"/>
      <c r="S25" s="449" t="s">
        <v>51</v>
      </c>
      <c r="T25" s="450"/>
      <c r="U25" s="451"/>
      <c r="V25" s="449" t="s">
        <v>175</v>
      </c>
      <c r="W25" s="632"/>
      <c r="X25" s="468" t="s">
        <v>61</v>
      </c>
      <c r="Y25" s="451"/>
      <c r="Z25" s="449" t="s">
        <v>59</v>
      </c>
      <c r="AA25" s="450"/>
      <c r="AB25" s="450"/>
      <c r="AC25" s="451"/>
      <c r="AD25" s="449"/>
      <c r="AE25" s="450"/>
      <c r="AF25" s="451"/>
      <c r="AG25" s="449"/>
      <c r="AH25" s="450"/>
      <c r="AI25" s="451"/>
      <c r="AJ25" s="487"/>
      <c r="AK25" s="488"/>
      <c r="AL25" s="457"/>
      <c r="AM25" s="452" t="s">
        <v>327</v>
      </c>
      <c r="AN25" s="504"/>
      <c r="AO25" s="504"/>
      <c r="AP25" s="504"/>
      <c r="AQ25" s="504"/>
      <c r="AR25" s="504"/>
      <c r="AS25" s="504"/>
      <c r="AT25" s="504"/>
      <c r="AU25" s="504"/>
      <c r="AV25" s="504"/>
      <c r="AW25" s="504"/>
      <c r="AX25" s="504"/>
      <c r="AY25" s="504"/>
      <c r="AZ25" s="504"/>
      <c r="BA25" s="504"/>
      <c r="BB25" s="504"/>
      <c r="BC25" s="504"/>
      <c r="BD25" s="504"/>
      <c r="BE25" s="504"/>
      <c r="BF25" s="504"/>
      <c r="BG25" s="504"/>
      <c r="BH25" s="504"/>
      <c r="BI25" s="504"/>
      <c r="BJ25" s="505"/>
    </row>
    <row r="26" spans="1:62" ht="30.75" customHeight="1">
      <c r="A26" s="464">
        <f t="shared" si="1"/>
        <v>12</v>
      </c>
      <c r="B26" s="465"/>
      <c r="C26" s="466"/>
      <c r="D26" s="495" t="s">
        <v>375</v>
      </c>
      <c r="E26" s="496"/>
      <c r="F26" s="496"/>
      <c r="G26" s="496"/>
      <c r="H26" s="496"/>
      <c r="I26" s="496"/>
      <c r="J26" s="496"/>
      <c r="K26" s="496"/>
      <c r="L26" s="496"/>
      <c r="M26" s="496"/>
      <c r="N26" s="496"/>
      <c r="O26" s="496"/>
      <c r="P26" s="496"/>
      <c r="Q26" s="496"/>
      <c r="R26" s="497"/>
      <c r="S26" s="449" t="s">
        <v>51</v>
      </c>
      <c r="T26" s="450"/>
      <c r="U26" s="451"/>
      <c r="V26" s="449" t="s">
        <v>175</v>
      </c>
      <c r="W26" s="632"/>
      <c r="X26" s="468" t="s">
        <v>54</v>
      </c>
      <c r="Y26" s="451"/>
      <c r="Z26" s="449" t="s">
        <v>549</v>
      </c>
      <c r="AA26" s="450"/>
      <c r="AB26" s="450"/>
      <c r="AC26" s="451"/>
      <c r="AD26" s="449"/>
      <c r="AE26" s="450"/>
      <c r="AF26" s="451"/>
      <c r="AG26" s="449"/>
      <c r="AH26" s="450"/>
      <c r="AI26" s="451"/>
      <c r="AJ26" s="487"/>
      <c r="AK26" s="488"/>
      <c r="AL26" s="457"/>
      <c r="AM26" s="446" t="s">
        <v>361</v>
      </c>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8"/>
    </row>
    <row r="27" spans="1:62" ht="30.75" customHeight="1">
      <c r="A27" s="464">
        <f t="shared" si="1"/>
        <v>13</v>
      </c>
      <c r="B27" s="465"/>
      <c r="C27" s="466"/>
      <c r="D27" s="495" t="s">
        <v>376</v>
      </c>
      <c r="E27" s="496"/>
      <c r="F27" s="496"/>
      <c r="G27" s="496"/>
      <c r="H27" s="496"/>
      <c r="I27" s="496"/>
      <c r="J27" s="496"/>
      <c r="K27" s="496"/>
      <c r="L27" s="496"/>
      <c r="M27" s="496"/>
      <c r="N27" s="496"/>
      <c r="O27" s="496"/>
      <c r="P27" s="496"/>
      <c r="Q27" s="496"/>
      <c r="R27" s="497"/>
      <c r="S27" s="449" t="s">
        <v>51</v>
      </c>
      <c r="T27" s="450"/>
      <c r="U27" s="451"/>
      <c r="V27" s="449" t="s">
        <v>175</v>
      </c>
      <c r="W27" s="632"/>
      <c r="X27" s="468" t="s">
        <v>52</v>
      </c>
      <c r="Y27" s="451"/>
      <c r="Z27" s="655" t="s">
        <v>418</v>
      </c>
      <c r="AA27" s="656"/>
      <c r="AB27" s="656"/>
      <c r="AC27" s="657"/>
      <c r="AD27" s="449"/>
      <c r="AE27" s="450"/>
      <c r="AF27" s="451"/>
      <c r="AG27" s="449"/>
      <c r="AH27" s="450"/>
      <c r="AI27" s="451"/>
      <c r="AJ27" s="487"/>
      <c r="AK27" s="488"/>
      <c r="AL27" s="457"/>
      <c r="AM27" s="446" t="s">
        <v>217</v>
      </c>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8"/>
    </row>
    <row r="28" spans="1:62" ht="30.75" customHeight="1">
      <c r="A28" s="464">
        <f t="shared" si="1"/>
        <v>14</v>
      </c>
      <c r="B28" s="465"/>
      <c r="C28" s="466"/>
      <c r="D28" s="446" t="s">
        <v>57</v>
      </c>
      <c r="E28" s="447"/>
      <c r="F28" s="447"/>
      <c r="G28" s="447"/>
      <c r="H28" s="447"/>
      <c r="I28" s="447"/>
      <c r="J28" s="447"/>
      <c r="K28" s="447"/>
      <c r="L28" s="447"/>
      <c r="M28" s="447"/>
      <c r="N28" s="447"/>
      <c r="O28" s="447"/>
      <c r="P28" s="447"/>
      <c r="Q28" s="447"/>
      <c r="R28" s="448"/>
      <c r="S28" s="449" t="s">
        <v>51</v>
      </c>
      <c r="T28" s="450"/>
      <c r="U28" s="451"/>
      <c r="V28" s="449" t="s">
        <v>175</v>
      </c>
      <c r="W28" s="632"/>
      <c r="X28" s="468" t="s">
        <v>53</v>
      </c>
      <c r="Y28" s="451"/>
      <c r="Z28" s="449" t="s">
        <v>59</v>
      </c>
      <c r="AA28" s="450"/>
      <c r="AB28" s="450"/>
      <c r="AC28" s="451"/>
      <c r="AD28" s="449"/>
      <c r="AE28" s="450"/>
      <c r="AF28" s="451"/>
      <c r="AG28" s="449"/>
      <c r="AH28" s="450"/>
      <c r="AI28" s="451"/>
      <c r="AJ28" s="487"/>
      <c r="AK28" s="488"/>
      <c r="AL28" s="457"/>
      <c r="AM28" s="452" t="s">
        <v>362</v>
      </c>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8"/>
    </row>
    <row r="29" spans="1:62" ht="30.75" customHeight="1">
      <c r="A29" s="464">
        <f t="shared" si="1"/>
        <v>15</v>
      </c>
      <c r="B29" s="465"/>
      <c r="C29" s="466"/>
      <c r="D29" s="446" t="s">
        <v>377</v>
      </c>
      <c r="E29" s="447"/>
      <c r="F29" s="447"/>
      <c r="G29" s="447"/>
      <c r="H29" s="447"/>
      <c r="I29" s="447"/>
      <c r="J29" s="447"/>
      <c r="K29" s="447"/>
      <c r="L29" s="447"/>
      <c r="M29" s="447"/>
      <c r="N29" s="447"/>
      <c r="O29" s="447"/>
      <c r="P29" s="447"/>
      <c r="Q29" s="447"/>
      <c r="R29" s="448"/>
      <c r="S29" s="449" t="s">
        <v>51</v>
      </c>
      <c r="T29" s="450"/>
      <c r="U29" s="451"/>
      <c r="V29" s="449" t="s">
        <v>175</v>
      </c>
      <c r="W29" s="632"/>
      <c r="X29" s="468" t="s">
        <v>50</v>
      </c>
      <c r="Y29" s="451"/>
      <c r="Z29" s="449" t="s">
        <v>59</v>
      </c>
      <c r="AA29" s="450"/>
      <c r="AB29" s="450"/>
      <c r="AC29" s="451"/>
      <c r="AD29" s="449"/>
      <c r="AE29" s="450"/>
      <c r="AF29" s="451"/>
      <c r="AG29" s="449"/>
      <c r="AH29" s="450"/>
      <c r="AI29" s="451"/>
      <c r="AJ29" s="487"/>
      <c r="AK29" s="488"/>
      <c r="AL29" s="457"/>
      <c r="AM29" s="452" t="s">
        <v>363</v>
      </c>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2" ht="30.75" customHeight="1">
      <c r="A30" s="464">
        <f t="shared" si="1"/>
        <v>16</v>
      </c>
      <c r="B30" s="465"/>
      <c r="C30" s="466"/>
      <c r="D30" s="495" t="s">
        <v>137</v>
      </c>
      <c r="E30" s="496"/>
      <c r="F30" s="496"/>
      <c r="G30" s="496"/>
      <c r="H30" s="496"/>
      <c r="I30" s="496"/>
      <c r="J30" s="496"/>
      <c r="K30" s="496"/>
      <c r="L30" s="496"/>
      <c r="M30" s="496"/>
      <c r="N30" s="496"/>
      <c r="O30" s="496"/>
      <c r="P30" s="496"/>
      <c r="Q30" s="496"/>
      <c r="R30" s="497"/>
      <c r="S30" s="449" t="s">
        <v>51</v>
      </c>
      <c r="T30" s="450"/>
      <c r="U30" s="451"/>
      <c r="V30" s="449" t="s">
        <v>175</v>
      </c>
      <c r="W30" s="632"/>
      <c r="X30" s="468" t="s">
        <v>54</v>
      </c>
      <c r="Y30" s="451"/>
      <c r="Z30" s="449" t="s">
        <v>549</v>
      </c>
      <c r="AA30" s="450"/>
      <c r="AB30" s="450"/>
      <c r="AC30" s="451"/>
      <c r="AD30" s="449"/>
      <c r="AE30" s="450"/>
      <c r="AF30" s="451"/>
      <c r="AG30" s="449"/>
      <c r="AH30" s="450"/>
      <c r="AI30" s="451"/>
      <c r="AJ30" s="487"/>
      <c r="AK30" s="488"/>
      <c r="AL30" s="457"/>
      <c r="AM30" s="446" t="s">
        <v>361</v>
      </c>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8"/>
    </row>
    <row r="31" spans="1:62" ht="30.75" customHeight="1">
      <c r="A31" s="464">
        <f t="shared" si="1"/>
        <v>17</v>
      </c>
      <c r="B31" s="465"/>
      <c r="C31" s="466"/>
      <c r="D31" s="495" t="s">
        <v>138</v>
      </c>
      <c r="E31" s="496"/>
      <c r="F31" s="496"/>
      <c r="G31" s="496"/>
      <c r="H31" s="496"/>
      <c r="I31" s="496"/>
      <c r="J31" s="496"/>
      <c r="K31" s="496"/>
      <c r="L31" s="496"/>
      <c r="M31" s="496"/>
      <c r="N31" s="496"/>
      <c r="O31" s="496"/>
      <c r="P31" s="496"/>
      <c r="Q31" s="496"/>
      <c r="R31" s="497"/>
      <c r="S31" s="449" t="s">
        <v>51</v>
      </c>
      <c r="T31" s="450"/>
      <c r="U31" s="451"/>
      <c r="V31" s="449" t="s">
        <v>175</v>
      </c>
      <c r="W31" s="632"/>
      <c r="X31" s="468" t="s">
        <v>52</v>
      </c>
      <c r="Y31" s="451"/>
      <c r="Z31" s="655" t="s">
        <v>418</v>
      </c>
      <c r="AA31" s="656"/>
      <c r="AB31" s="656"/>
      <c r="AC31" s="657"/>
      <c r="AD31" s="449"/>
      <c r="AE31" s="450"/>
      <c r="AF31" s="451"/>
      <c r="AG31" s="449"/>
      <c r="AH31" s="450"/>
      <c r="AI31" s="451"/>
      <c r="AJ31" s="487"/>
      <c r="AK31" s="488"/>
      <c r="AL31" s="457"/>
      <c r="AM31" s="446" t="s">
        <v>244</v>
      </c>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8"/>
    </row>
    <row r="32" spans="1:62" ht="30.75" customHeight="1">
      <c r="A32" s="464">
        <f t="shared" si="1"/>
        <v>18</v>
      </c>
      <c r="B32" s="465"/>
      <c r="C32" s="466"/>
      <c r="D32" s="446" t="s">
        <v>139</v>
      </c>
      <c r="E32" s="447"/>
      <c r="F32" s="447"/>
      <c r="G32" s="447"/>
      <c r="H32" s="447"/>
      <c r="I32" s="447"/>
      <c r="J32" s="447"/>
      <c r="K32" s="447"/>
      <c r="L32" s="447"/>
      <c r="M32" s="447"/>
      <c r="N32" s="447"/>
      <c r="O32" s="447"/>
      <c r="P32" s="447"/>
      <c r="Q32" s="447"/>
      <c r="R32" s="448"/>
      <c r="S32" s="449" t="s">
        <v>51</v>
      </c>
      <c r="T32" s="450"/>
      <c r="U32" s="451"/>
      <c r="V32" s="449" t="s">
        <v>175</v>
      </c>
      <c r="W32" s="632"/>
      <c r="X32" s="468" t="s">
        <v>50</v>
      </c>
      <c r="Y32" s="451"/>
      <c r="Z32" s="449" t="s">
        <v>59</v>
      </c>
      <c r="AA32" s="450"/>
      <c r="AB32" s="450"/>
      <c r="AC32" s="451"/>
      <c r="AD32" s="449"/>
      <c r="AE32" s="450"/>
      <c r="AF32" s="451"/>
      <c r="AG32" s="449"/>
      <c r="AH32" s="450"/>
      <c r="AI32" s="451"/>
      <c r="AJ32" s="487"/>
      <c r="AK32" s="488"/>
      <c r="AL32" s="457"/>
      <c r="AM32" s="452" t="s">
        <v>363</v>
      </c>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8"/>
    </row>
    <row r="33" spans="1:62" ht="30.75" customHeight="1">
      <c r="A33" s="464">
        <f t="shared" si="1"/>
        <v>19</v>
      </c>
      <c r="B33" s="465"/>
      <c r="C33" s="466"/>
      <c r="D33" s="495" t="s">
        <v>140</v>
      </c>
      <c r="E33" s="496"/>
      <c r="F33" s="496"/>
      <c r="G33" s="496"/>
      <c r="H33" s="496"/>
      <c r="I33" s="496"/>
      <c r="J33" s="496"/>
      <c r="K33" s="496"/>
      <c r="L33" s="496"/>
      <c r="M33" s="496"/>
      <c r="N33" s="496"/>
      <c r="O33" s="496"/>
      <c r="P33" s="496"/>
      <c r="Q33" s="496"/>
      <c r="R33" s="497"/>
      <c r="S33" s="449" t="s">
        <v>51</v>
      </c>
      <c r="T33" s="450"/>
      <c r="U33" s="451"/>
      <c r="V33" s="449" t="s">
        <v>175</v>
      </c>
      <c r="W33" s="632"/>
      <c r="X33" s="468" t="s">
        <v>54</v>
      </c>
      <c r="Y33" s="451"/>
      <c r="Z33" s="449" t="s">
        <v>549</v>
      </c>
      <c r="AA33" s="450"/>
      <c r="AB33" s="450"/>
      <c r="AC33" s="451"/>
      <c r="AD33" s="449"/>
      <c r="AE33" s="450"/>
      <c r="AF33" s="451"/>
      <c r="AG33" s="449"/>
      <c r="AH33" s="450"/>
      <c r="AI33" s="451"/>
      <c r="AJ33" s="487"/>
      <c r="AK33" s="488"/>
      <c r="AL33" s="457"/>
      <c r="AM33" s="446" t="s">
        <v>361</v>
      </c>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8"/>
    </row>
    <row r="34" spans="1:62" ht="30.75" customHeight="1">
      <c r="A34" s="464">
        <f t="shared" si="1"/>
        <v>20</v>
      </c>
      <c r="B34" s="465"/>
      <c r="C34" s="466"/>
      <c r="D34" s="495" t="s">
        <v>141</v>
      </c>
      <c r="E34" s="496"/>
      <c r="F34" s="496"/>
      <c r="G34" s="496"/>
      <c r="H34" s="496"/>
      <c r="I34" s="496"/>
      <c r="J34" s="496"/>
      <c r="K34" s="496"/>
      <c r="L34" s="496"/>
      <c r="M34" s="496"/>
      <c r="N34" s="496"/>
      <c r="O34" s="496"/>
      <c r="P34" s="496"/>
      <c r="Q34" s="496"/>
      <c r="R34" s="497"/>
      <c r="S34" s="449" t="s">
        <v>51</v>
      </c>
      <c r="T34" s="450"/>
      <c r="U34" s="451"/>
      <c r="V34" s="449" t="s">
        <v>175</v>
      </c>
      <c r="W34" s="632"/>
      <c r="X34" s="468" t="s">
        <v>52</v>
      </c>
      <c r="Y34" s="451"/>
      <c r="Z34" s="655" t="s">
        <v>418</v>
      </c>
      <c r="AA34" s="656"/>
      <c r="AB34" s="656"/>
      <c r="AC34" s="657"/>
      <c r="AD34" s="449"/>
      <c r="AE34" s="450"/>
      <c r="AF34" s="451"/>
      <c r="AG34" s="449"/>
      <c r="AH34" s="450"/>
      <c r="AI34" s="451"/>
      <c r="AJ34" s="487"/>
      <c r="AK34" s="488"/>
      <c r="AL34" s="457"/>
      <c r="AM34" s="446" t="s">
        <v>245</v>
      </c>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8"/>
    </row>
    <row r="35" spans="1:62" ht="30.75" customHeight="1">
      <c r="A35" s="464">
        <f t="shared" si="1"/>
        <v>21</v>
      </c>
      <c r="B35" s="465"/>
      <c r="C35" s="466"/>
      <c r="D35" s="446" t="s">
        <v>142</v>
      </c>
      <c r="E35" s="447"/>
      <c r="F35" s="447"/>
      <c r="G35" s="447"/>
      <c r="H35" s="447"/>
      <c r="I35" s="447"/>
      <c r="J35" s="447"/>
      <c r="K35" s="447"/>
      <c r="L35" s="447"/>
      <c r="M35" s="447"/>
      <c r="N35" s="447"/>
      <c r="O35" s="447"/>
      <c r="P35" s="447"/>
      <c r="Q35" s="447"/>
      <c r="R35" s="448"/>
      <c r="S35" s="449" t="s">
        <v>51</v>
      </c>
      <c r="T35" s="450"/>
      <c r="U35" s="451"/>
      <c r="V35" s="449" t="s">
        <v>175</v>
      </c>
      <c r="W35" s="632"/>
      <c r="X35" s="468" t="s">
        <v>50</v>
      </c>
      <c r="Y35" s="451"/>
      <c r="Z35" s="449" t="s">
        <v>59</v>
      </c>
      <c r="AA35" s="450"/>
      <c r="AB35" s="450"/>
      <c r="AC35" s="451"/>
      <c r="AD35" s="449"/>
      <c r="AE35" s="450"/>
      <c r="AF35" s="451"/>
      <c r="AG35" s="449"/>
      <c r="AH35" s="450"/>
      <c r="AI35" s="451"/>
      <c r="AJ35" s="487"/>
      <c r="AK35" s="488"/>
      <c r="AL35" s="457"/>
      <c r="AM35" s="452" t="s">
        <v>363</v>
      </c>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8"/>
    </row>
    <row r="36" spans="1:62" ht="30.75" customHeight="1">
      <c r="A36" s="464">
        <f t="shared" si="1"/>
        <v>22</v>
      </c>
      <c r="B36" s="465"/>
      <c r="C36" s="466"/>
      <c r="D36" s="476" t="s">
        <v>190</v>
      </c>
      <c r="E36" s="477"/>
      <c r="F36" s="477"/>
      <c r="G36" s="477"/>
      <c r="H36" s="477"/>
      <c r="I36" s="477"/>
      <c r="J36" s="477"/>
      <c r="K36" s="477"/>
      <c r="L36" s="477"/>
      <c r="M36" s="477"/>
      <c r="N36" s="477"/>
      <c r="O36" s="477"/>
      <c r="P36" s="477"/>
      <c r="Q36" s="477"/>
      <c r="R36" s="478"/>
      <c r="S36" s="453"/>
      <c r="T36" s="454"/>
      <c r="U36" s="455"/>
      <c r="V36" s="453" t="s">
        <v>276</v>
      </c>
      <c r="W36" s="482"/>
      <c r="X36" s="467" t="s">
        <v>276</v>
      </c>
      <c r="Y36" s="455"/>
      <c r="Z36" s="453"/>
      <c r="AA36" s="454"/>
      <c r="AB36" s="454"/>
      <c r="AC36" s="455"/>
      <c r="AD36" s="453"/>
      <c r="AE36" s="454"/>
      <c r="AF36" s="455"/>
      <c r="AG36" s="453"/>
      <c r="AH36" s="454"/>
      <c r="AI36" s="455"/>
      <c r="AJ36" s="453"/>
      <c r="AK36" s="454"/>
      <c r="AL36" s="455"/>
      <c r="AM36" s="484"/>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6"/>
    </row>
    <row r="37" spans="1:62" ht="30.75" customHeight="1">
      <c r="A37" s="464">
        <f t="shared" si="1"/>
        <v>23</v>
      </c>
      <c r="B37" s="465"/>
      <c r="C37" s="466"/>
      <c r="D37" s="567" t="s">
        <v>191</v>
      </c>
      <c r="E37" s="568"/>
      <c r="F37" s="568"/>
      <c r="G37" s="568"/>
      <c r="H37" s="568"/>
      <c r="I37" s="568"/>
      <c r="J37" s="568"/>
      <c r="K37" s="568"/>
      <c r="L37" s="568"/>
      <c r="M37" s="568"/>
      <c r="N37" s="568"/>
      <c r="O37" s="568"/>
      <c r="P37" s="568"/>
      <c r="Q37" s="568"/>
      <c r="R37" s="569"/>
      <c r="S37" s="449" t="s">
        <v>120</v>
      </c>
      <c r="T37" s="450"/>
      <c r="U37" s="451"/>
      <c r="V37" s="449" t="s">
        <v>175</v>
      </c>
      <c r="W37" s="632"/>
      <c r="X37" s="450" t="s">
        <v>61</v>
      </c>
      <c r="Y37" s="632"/>
      <c r="Z37" s="449" t="s">
        <v>59</v>
      </c>
      <c r="AA37" s="450"/>
      <c r="AB37" s="450"/>
      <c r="AC37" s="451"/>
      <c r="AD37" s="449"/>
      <c r="AE37" s="450"/>
      <c r="AF37" s="451"/>
      <c r="AG37" s="449"/>
      <c r="AH37" s="450"/>
      <c r="AI37" s="451"/>
      <c r="AJ37" s="449"/>
      <c r="AK37" s="450"/>
      <c r="AL37" s="451"/>
      <c r="AM37" s="452" t="s">
        <v>221</v>
      </c>
      <c r="AN37" s="504"/>
      <c r="AO37" s="504"/>
      <c r="AP37" s="504"/>
      <c r="AQ37" s="504"/>
      <c r="AR37" s="504"/>
      <c r="AS37" s="504"/>
      <c r="AT37" s="504"/>
      <c r="AU37" s="504"/>
      <c r="AV37" s="504"/>
      <c r="AW37" s="504"/>
      <c r="AX37" s="504"/>
      <c r="AY37" s="504"/>
      <c r="AZ37" s="504"/>
      <c r="BA37" s="504"/>
      <c r="BB37" s="504"/>
      <c r="BC37" s="504"/>
      <c r="BD37" s="504"/>
      <c r="BE37" s="504"/>
      <c r="BF37" s="504"/>
      <c r="BG37" s="504"/>
      <c r="BH37" s="504"/>
      <c r="BI37" s="504"/>
      <c r="BJ37" s="505"/>
    </row>
    <row r="38" spans="1:62" ht="30.75" customHeight="1">
      <c r="A38" s="464">
        <f t="shared" si="1"/>
        <v>24</v>
      </c>
      <c r="B38" s="465"/>
      <c r="C38" s="466"/>
      <c r="D38" s="567" t="s">
        <v>192</v>
      </c>
      <c r="E38" s="568"/>
      <c r="F38" s="568"/>
      <c r="G38" s="568"/>
      <c r="H38" s="568"/>
      <c r="I38" s="568"/>
      <c r="J38" s="568"/>
      <c r="K38" s="568"/>
      <c r="L38" s="568"/>
      <c r="M38" s="568"/>
      <c r="N38" s="568"/>
      <c r="O38" s="568"/>
      <c r="P38" s="568"/>
      <c r="Q38" s="568"/>
      <c r="R38" s="569"/>
      <c r="S38" s="449" t="s">
        <v>51</v>
      </c>
      <c r="T38" s="450"/>
      <c r="U38" s="451"/>
      <c r="V38" s="449" t="s">
        <v>175</v>
      </c>
      <c r="W38" s="632"/>
      <c r="X38" s="450" t="s">
        <v>401</v>
      </c>
      <c r="Y38" s="632"/>
      <c r="Z38" s="449" t="s">
        <v>59</v>
      </c>
      <c r="AA38" s="450"/>
      <c r="AB38" s="450"/>
      <c r="AC38" s="451"/>
      <c r="AD38" s="449" t="s">
        <v>37</v>
      </c>
      <c r="AE38" s="450"/>
      <c r="AF38" s="451"/>
      <c r="AG38" s="449"/>
      <c r="AH38" s="450"/>
      <c r="AI38" s="451"/>
      <c r="AJ38" s="449"/>
      <c r="AK38" s="450"/>
      <c r="AL38" s="451"/>
      <c r="AM38" s="452" t="s">
        <v>222</v>
      </c>
      <c r="AN38" s="504"/>
      <c r="AO38" s="504"/>
      <c r="AP38" s="504"/>
      <c r="AQ38" s="504"/>
      <c r="AR38" s="504"/>
      <c r="AS38" s="504"/>
      <c r="AT38" s="504"/>
      <c r="AU38" s="504"/>
      <c r="AV38" s="504"/>
      <c r="AW38" s="504"/>
      <c r="AX38" s="504"/>
      <c r="AY38" s="504"/>
      <c r="AZ38" s="504"/>
      <c r="BA38" s="504"/>
      <c r="BB38" s="504"/>
      <c r="BC38" s="504"/>
      <c r="BD38" s="504"/>
      <c r="BE38" s="504"/>
      <c r="BF38" s="504"/>
      <c r="BG38" s="504"/>
      <c r="BH38" s="504"/>
      <c r="BI38" s="504"/>
      <c r="BJ38" s="505"/>
    </row>
    <row r="39" spans="1:62" ht="30.75" customHeight="1">
      <c r="A39" s="464">
        <f t="shared" si="1"/>
        <v>25</v>
      </c>
      <c r="B39" s="465"/>
      <c r="C39" s="466"/>
      <c r="D39" s="567" t="s">
        <v>193</v>
      </c>
      <c r="E39" s="568"/>
      <c r="F39" s="568"/>
      <c r="G39" s="568"/>
      <c r="H39" s="568"/>
      <c r="I39" s="568"/>
      <c r="J39" s="568"/>
      <c r="K39" s="568"/>
      <c r="L39" s="568"/>
      <c r="M39" s="568"/>
      <c r="N39" s="568"/>
      <c r="O39" s="568"/>
      <c r="P39" s="568"/>
      <c r="Q39" s="568"/>
      <c r="R39" s="569"/>
      <c r="S39" s="449" t="s">
        <v>51</v>
      </c>
      <c r="T39" s="450"/>
      <c r="U39" s="451"/>
      <c r="V39" s="449" t="s">
        <v>175</v>
      </c>
      <c r="W39" s="632"/>
      <c r="X39" s="450" t="s">
        <v>401</v>
      </c>
      <c r="Y39" s="632"/>
      <c r="Z39" s="449" t="s">
        <v>59</v>
      </c>
      <c r="AA39" s="450"/>
      <c r="AB39" s="450"/>
      <c r="AC39" s="451"/>
      <c r="AD39" s="449" t="s">
        <v>37</v>
      </c>
      <c r="AE39" s="450"/>
      <c r="AF39" s="451"/>
      <c r="AG39" s="449"/>
      <c r="AH39" s="450"/>
      <c r="AI39" s="451"/>
      <c r="AJ39" s="449"/>
      <c r="AK39" s="450"/>
      <c r="AL39" s="451"/>
      <c r="AM39" s="452" t="s">
        <v>223</v>
      </c>
      <c r="AN39" s="504"/>
      <c r="AO39" s="504"/>
      <c r="AP39" s="504"/>
      <c r="AQ39" s="504"/>
      <c r="AR39" s="504"/>
      <c r="AS39" s="504"/>
      <c r="AT39" s="504"/>
      <c r="AU39" s="504"/>
      <c r="AV39" s="504"/>
      <c r="AW39" s="504"/>
      <c r="AX39" s="504"/>
      <c r="AY39" s="504"/>
      <c r="AZ39" s="504"/>
      <c r="BA39" s="504"/>
      <c r="BB39" s="504"/>
      <c r="BC39" s="504"/>
      <c r="BD39" s="504"/>
      <c r="BE39" s="504"/>
      <c r="BF39" s="504"/>
      <c r="BG39" s="504"/>
      <c r="BH39" s="504"/>
      <c r="BI39" s="504"/>
      <c r="BJ39" s="505"/>
    </row>
    <row r="40" spans="1:62" ht="30.75" customHeight="1">
      <c r="A40" s="464">
        <f t="shared" si="1"/>
        <v>26</v>
      </c>
      <c r="B40" s="465"/>
      <c r="C40" s="466"/>
      <c r="D40" s="567" t="s">
        <v>194</v>
      </c>
      <c r="E40" s="568"/>
      <c r="F40" s="568"/>
      <c r="G40" s="568"/>
      <c r="H40" s="568"/>
      <c r="I40" s="568"/>
      <c r="J40" s="568"/>
      <c r="K40" s="568"/>
      <c r="L40" s="568"/>
      <c r="M40" s="568"/>
      <c r="N40" s="568"/>
      <c r="O40" s="568"/>
      <c r="P40" s="568"/>
      <c r="Q40" s="568"/>
      <c r="R40" s="569"/>
      <c r="S40" s="449" t="s">
        <v>51</v>
      </c>
      <c r="T40" s="450"/>
      <c r="U40" s="451"/>
      <c r="V40" s="449" t="s">
        <v>175</v>
      </c>
      <c r="W40" s="632"/>
      <c r="X40" s="450" t="s">
        <v>401</v>
      </c>
      <c r="Y40" s="632"/>
      <c r="Z40" s="449" t="s">
        <v>59</v>
      </c>
      <c r="AA40" s="450"/>
      <c r="AB40" s="450"/>
      <c r="AC40" s="451"/>
      <c r="AD40" s="449" t="s">
        <v>37</v>
      </c>
      <c r="AE40" s="450"/>
      <c r="AF40" s="451"/>
      <c r="AG40" s="449"/>
      <c r="AH40" s="450"/>
      <c r="AI40" s="451"/>
      <c r="AJ40" s="449"/>
      <c r="AK40" s="450"/>
      <c r="AL40" s="451"/>
      <c r="AM40" s="452" t="s">
        <v>224</v>
      </c>
      <c r="AN40" s="504"/>
      <c r="AO40" s="504"/>
      <c r="AP40" s="504"/>
      <c r="AQ40" s="504"/>
      <c r="AR40" s="504"/>
      <c r="AS40" s="504"/>
      <c r="AT40" s="504"/>
      <c r="AU40" s="504"/>
      <c r="AV40" s="504"/>
      <c r="AW40" s="504"/>
      <c r="AX40" s="504"/>
      <c r="AY40" s="504"/>
      <c r="AZ40" s="504"/>
      <c r="BA40" s="504"/>
      <c r="BB40" s="504"/>
      <c r="BC40" s="504"/>
      <c r="BD40" s="504"/>
      <c r="BE40" s="504"/>
      <c r="BF40" s="504"/>
      <c r="BG40" s="504"/>
      <c r="BH40" s="504"/>
      <c r="BI40" s="504"/>
      <c r="BJ40" s="505"/>
    </row>
    <row r="41" spans="1:62" ht="30.75" customHeight="1">
      <c r="A41" s="464">
        <f t="shared" si="1"/>
        <v>27</v>
      </c>
      <c r="B41" s="465"/>
      <c r="C41" s="466"/>
      <c r="D41" s="567" t="s">
        <v>195</v>
      </c>
      <c r="E41" s="568"/>
      <c r="F41" s="568"/>
      <c r="G41" s="568"/>
      <c r="H41" s="568"/>
      <c r="I41" s="568"/>
      <c r="J41" s="568"/>
      <c r="K41" s="568"/>
      <c r="L41" s="568"/>
      <c r="M41" s="568"/>
      <c r="N41" s="568"/>
      <c r="O41" s="568"/>
      <c r="P41" s="568"/>
      <c r="Q41" s="568"/>
      <c r="R41" s="569"/>
      <c r="S41" s="449" t="s">
        <v>51</v>
      </c>
      <c r="T41" s="450"/>
      <c r="U41" s="451"/>
      <c r="V41" s="449" t="s">
        <v>175</v>
      </c>
      <c r="W41" s="632"/>
      <c r="X41" s="450" t="s">
        <v>401</v>
      </c>
      <c r="Y41" s="632"/>
      <c r="Z41" s="449" t="s">
        <v>59</v>
      </c>
      <c r="AA41" s="450"/>
      <c r="AB41" s="450"/>
      <c r="AC41" s="451"/>
      <c r="AD41" s="449" t="s">
        <v>37</v>
      </c>
      <c r="AE41" s="450"/>
      <c r="AF41" s="451"/>
      <c r="AG41" s="449"/>
      <c r="AH41" s="450"/>
      <c r="AI41" s="451"/>
      <c r="AJ41" s="449"/>
      <c r="AK41" s="450"/>
      <c r="AL41" s="451"/>
      <c r="AM41" s="452" t="s">
        <v>225</v>
      </c>
      <c r="AN41" s="504"/>
      <c r="AO41" s="504"/>
      <c r="AP41" s="504"/>
      <c r="AQ41" s="504"/>
      <c r="AR41" s="504"/>
      <c r="AS41" s="504"/>
      <c r="AT41" s="504"/>
      <c r="AU41" s="504"/>
      <c r="AV41" s="504"/>
      <c r="AW41" s="504"/>
      <c r="AX41" s="504"/>
      <c r="AY41" s="504"/>
      <c r="AZ41" s="504"/>
      <c r="BA41" s="504"/>
      <c r="BB41" s="504"/>
      <c r="BC41" s="504"/>
      <c r="BD41" s="504"/>
      <c r="BE41" s="504"/>
      <c r="BF41" s="504"/>
      <c r="BG41" s="504"/>
      <c r="BH41" s="504"/>
      <c r="BI41" s="504"/>
      <c r="BJ41" s="505"/>
    </row>
    <row r="42" spans="1:62" ht="30.75" customHeight="1">
      <c r="A42" s="464">
        <f t="shared" si="1"/>
        <v>28</v>
      </c>
      <c r="B42" s="465"/>
      <c r="C42" s="466"/>
      <c r="D42" s="567" t="s">
        <v>196</v>
      </c>
      <c r="E42" s="568"/>
      <c r="F42" s="568"/>
      <c r="G42" s="568"/>
      <c r="H42" s="568"/>
      <c r="I42" s="568"/>
      <c r="J42" s="568"/>
      <c r="K42" s="568"/>
      <c r="L42" s="568"/>
      <c r="M42" s="568"/>
      <c r="N42" s="568"/>
      <c r="O42" s="568"/>
      <c r="P42" s="568"/>
      <c r="Q42" s="568"/>
      <c r="R42" s="569"/>
      <c r="S42" s="449" t="s">
        <v>51</v>
      </c>
      <c r="T42" s="450"/>
      <c r="U42" s="451"/>
      <c r="V42" s="449" t="s">
        <v>175</v>
      </c>
      <c r="W42" s="632"/>
      <c r="X42" s="450" t="s">
        <v>401</v>
      </c>
      <c r="Y42" s="632"/>
      <c r="Z42" s="449" t="s">
        <v>59</v>
      </c>
      <c r="AA42" s="450"/>
      <c r="AB42" s="450"/>
      <c r="AC42" s="451"/>
      <c r="AD42" s="449" t="s">
        <v>37</v>
      </c>
      <c r="AE42" s="450"/>
      <c r="AF42" s="451"/>
      <c r="AG42" s="449"/>
      <c r="AH42" s="450"/>
      <c r="AI42" s="451"/>
      <c r="AJ42" s="449"/>
      <c r="AK42" s="450"/>
      <c r="AL42" s="451"/>
      <c r="AM42" s="452" t="s">
        <v>227</v>
      </c>
      <c r="AN42" s="504"/>
      <c r="AO42" s="504"/>
      <c r="AP42" s="504"/>
      <c r="AQ42" s="504"/>
      <c r="AR42" s="504"/>
      <c r="AS42" s="504"/>
      <c r="AT42" s="504"/>
      <c r="AU42" s="504"/>
      <c r="AV42" s="504"/>
      <c r="AW42" s="504"/>
      <c r="AX42" s="504"/>
      <c r="AY42" s="504"/>
      <c r="AZ42" s="504"/>
      <c r="BA42" s="504"/>
      <c r="BB42" s="504"/>
      <c r="BC42" s="504"/>
      <c r="BD42" s="504"/>
      <c r="BE42" s="504"/>
      <c r="BF42" s="504"/>
      <c r="BG42" s="504"/>
      <c r="BH42" s="504"/>
      <c r="BI42" s="504"/>
      <c r="BJ42" s="505"/>
    </row>
    <row r="43" spans="1:62" ht="30.75" customHeight="1">
      <c r="A43" s="464">
        <f t="shared" si="1"/>
        <v>29</v>
      </c>
      <c r="B43" s="465"/>
      <c r="C43" s="466"/>
      <c r="D43" s="567" t="s">
        <v>197</v>
      </c>
      <c r="E43" s="568"/>
      <c r="F43" s="568"/>
      <c r="G43" s="568"/>
      <c r="H43" s="568"/>
      <c r="I43" s="568"/>
      <c r="J43" s="568"/>
      <c r="K43" s="568"/>
      <c r="L43" s="568"/>
      <c r="M43" s="568"/>
      <c r="N43" s="568"/>
      <c r="O43" s="568"/>
      <c r="P43" s="568"/>
      <c r="Q43" s="568"/>
      <c r="R43" s="569"/>
      <c r="S43" s="449" t="s">
        <v>51</v>
      </c>
      <c r="T43" s="450"/>
      <c r="U43" s="451"/>
      <c r="V43" s="449" t="s">
        <v>175</v>
      </c>
      <c r="W43" s="632"/>
      <c r="X43" s="450" t="s">
        <v>401</v>
      </c>
      <c r="Y43" s="632"/>
      <c r="Z43" s="449" t="s">
        <v>59</v>
      </c>
      <c r="AA43" s="450"/>
      <c r="AB43" s="450"/>
      <c r="AC43" s="451"/>
      <c r="AD43" s="449" t="s">
        <v>37</v>
      </c>
      <c r="AE43" s="450"/>
      <c r="AF43" s="451"/>
      <c r="AG43" s="449"/>
      <c r="AH43" s="450"/>
      <c r="AI43" s="451"/>
      <c r="AJ43" s="449"/>
      <c r="AK43" s="450"/>
      <c r="AL43" s="451"/>
      <c r="AM43" s="452" t="s">
        <v>226</v>
      </c>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5"/>
    </row>
    <row r="44" spans="1:62" ht="30.75" customHeight="1">
      <c r="A44" s="464">
        <f t="shared" si="1"/>
        <v>30</v>
      </c>
      <c r="B44" s="465"/>
      <c r="C44" s="466"/>
      <c r="D44" s="567" t="s">
        <v>198</v>
      </c>
      <c r="E44" s="568"/>
      <c r="F44" s="568"/>
      <c r="G44" s="568"/>
      <c r="H44" s="568"/>
      <c r="I44" s="568"/>
      <c r="J44" s="568"/>
      <c r="K44" s="568"/>
      <c r="L44" s="568"/>
      <c r="M44" s="568"/>
      <c r="N44" s="568"/>
      <c r="O44" s="568"/>
      <c r="P44" s="568"/>
      <c r="Q44" s="568"/>
      <c r="R44" s="569"/>
      <c r="S44" s="449" t="s">
        <v>51</v>
      </c>
      <c r="T44" s="450"/>
      <c r="U44" s="451"/>
      <c r="V44" s="449" t="s">
        <v>175</v>
      </c>
      <c r="W44" s="632"/>
      <c r="X44" s="450" t="s">
        <v>401</v>
      </c>
      <c r="Y44" s="632"/>
      <c r="Z44" s="449" t="s">
        <v>59</v>
      </c>
      <c r="AA44" s="450"/>
      <c r="AB44" s="450"/>
      <c r="AC44" s="451"/>
      <c r="AD44" s="449" t="s">
        <v>37</v>
      </c>
      <c r="AE44" s="450"/>
      <c r="AF44" s="451"/>
      <c r="AG44" s="449"/>
      <c r="AH44" s="450"/>
      <c r="AI44" s="451"/>
      <c r="AJ44" s="449"/>
      <c r="AK44" s="450"/>
      <c r="AL44" s="451"/>
      <c r="AM44" s="452" t="s">
        <v>228</v>
      </c>
      <c r="AN44" s="504"/>
      <c r="AO44" s="504"/>
      <c r="AP44" s="504"/>
      <c r="AQ44" s="504"/>
      <c r="AR44" s="504"/>
      <c r="AS44" s="504"/>
      <c r="AT44" s="504"/>
      <c r="AU44" s="504"/>
      <c r="AV44" s="504"/>
      <c r="AW44" s="504"/>
      <c r="AX44" s="504"/>
      <c r="AY44" s="504"/>
      <c r="AZ44" s="504"/>
      <c r="BA44" s="504"/>
      <c r="BB44" s="504"/>
      <c r="BC44" s="504"/>
      <c r="BD44" s="504"/>
      <c r="BE44" s="504"/>
      <c r="BF44" s="504"/>
      <c r="BG44" s="504"/>
      <c r="BH44" s="504"/>
      <c r="BI44" s="504"/>
      <c r="BJ44" s="505"/>
    </row>
    <row r="45" spans="1:62" ht="30.75" customHeight="1">
      <c r="A45" s="464">
        <f t="shared" si="1"/>
        <v>31</v>
      </c>
      <c r="B45" s="465"/>
      <c r="C45" s="466"/>
      <c r="D45" s="567" t="s">
        <v>199</v>
      </c>
      <c r="E45" s="568"/>
      <c r="F45" s="568"/>
      <c r="G45" s="568"/>
      <c r="H45" s="568"/>
      <c r="I45" s="568"/>
      <c r="J45" s="568"/>
      <c r="K45" s="568"/>
      <c r="L45" s="568"/>
      <c r="M45" s="568"/>
      <c r="N45" s="568"/>
      <c r="O45" s="568"/>
      <c r="P45" s="568"/>
      <c r="Q45" s="568"/>
      <c r="R45" s="569"/>
      <c r="S45" s="449" t="s">
        <v>51</v>
      </c>
      <c r="T45" s="450"/>
      <c r="U45" s="451"/>
      <c r="V45" s="449" t="s">
        <v>175</v>
      </c>
      <c r="W45" s="632"/>
      <c r="X45" s="450" t="s">
        <v>401</v>
      </c>
      <c r="Y45" s="632"/>
      <c r="Z45" s="449" t="s">
        <v>59</v>
      </c>
      <c r="AA45" s="450"/>
      <c r="AB45" s="450"/>
      <c r="AC45" s="451"/>
      <c r="AD45" s="449" t="s">
        <v>37</v>
      </c>
      <c r="AE45" s="450"/>
      <c r="AF45" s="451"/>
      <c r="AG45" s="449"/>
      <c r="AH45" s="450"/>
      <c r="AI45" s="451"/>
      <c r="AJ45" s="449"/>
      <c r="AK45" s="450"/>
      <c r="AL45" s="451"/>
      <c r="AM45" s="452" t="s">
        <v>229</v>
      </c>
      <c r="AN45" s="504"/>
      <c r="AO45" s="504"/>
      <c r="AP45" s="504"/>
      <c r="AQ45" s="504"/>
      <c r="AR45" s="504"/>
      <c r="AS45" s="504"/>
      <c r="AT45" s="504"/>
      <c r="AU45" s="504"/>
      <c r="AV45" s="504"/>
      <c r="AW45" s="504"/>
      <c r="AX45" s="504"/>
      <c r="AY45" s="504"/>
      <c r="AZ45" s="504"/>
      <c r="BA45" s="504"/>
      <c r="BB45" s="504"/>
      <c r="BC45" s="504"/>
      <c r="BD45" s="504"/>
      <c r="BE45" s="504"/>
      <c r="BF45" s="504"/>
      <c r="BG45" s="504"/>
      <c r="BH45" s="504"/>
      <c r="BI45" s="504"/>
      <c r="BJ45" s="505"/>
    </row>
    <row r="46" spans="1:62" ht="30.75" customHeight="1">
      <c r="A46" s="464">
        <f t="shared" si="1"/>
        <v>32</v>
      </c>
      <c r="B46" s="465"/>
      <c r="C46" s="466"/>
      <c r="D46" s="567" t="s">
        <v>234</v>
      </c>
      <c r="E46" s="568"/>
      <c r="F46" s="568"/>
      <c r="G46" s="568"/>
      <c r="H46" s="568"/>
      <c r="I46" s="568"/>
      <c r="J46" s="568"/>
      <c r="K46" s="568"/>
      <c r="L46" s="568"/>
      <c r="M46" s="568"/>
      <c r="N46" s="568"/>
      <c r="O46" s="568"/>
      <c r="P46" s="568"/>
      <c r="Q46" s="568"/>
      <c r="R46" s="569"/>
      <c r="S46" s="449"/>
      <c r="T46" s="450"/>
      <c r="U46" s="451"/>
      <c r="V46" s="449" t="s">
        <v>276</v>
      </c>
      <c r="W46" s="632"/>
      <c r="X46" s="450" t="s">
        <v>276</v>
      </c>
      <c r="Y46" s="632"/>
      <c r="Z46" s="449"/>
      <c r="AA46" s="450"/>
      <c r="AB46" s="450"/>
      <c r="AC46" s="451"/>
      <c r="AD46" s="449"/>
      <c r="AE46" s="450"/>
      <c r="AF46" s="451"/>
      <c r="AG46" s="449"/>
      <c r="AH46" s="450"/>
      <c r="AI46" s="451"/>
      <c r="AJ46" s="449"/>
      <c r="AK46" s="450"/>
      <c r="AL46" s="451"/>
      <c r="AM46" s="452"/>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5"/>
    </row>
    <row r="47" spans="1:62" ht="30.75" customHeight="1">
      <c r="A47" s="464">
        <f t="shared" si="1"/>
        <v>33</v>
      </c>
      <c r="B47" s="465"/>
      <c r="C47" s="466"/>
      <c r="D47" s="446" t="s">
        <v>235</v>
      </c>
      <c r="E47" s="447"/>
      <c r="F47" s="447"/>
      <c r="G47" s="447"/>
      <c r="H47" s="447"/>
      <c r="I47" s="447"/>
      <c r="J47" s="447"/>
      <c r="K47" s="447"/>
      <c r="L47" s="447"/>
      <c r="M47" s="447"/>
      <c r="N47" s="447"/>
      <c r="O47" s="447"/>
      <c r="P47" s="447"/>
      <c r="Q47" s="447"/>
      <c r="R47" s="448"/>
      <c r="S47" s="449" t="s">
        <v>51</v>
      </c>
      <c r="T47" s="450"/>
      <c r="U47" s="451"/>
      <c r="V47" s="449" t="s">
        <v>175</v>
      </c>
      <c r="W47" s="632"/>
      <c r="X47" s="468" t="s">
        <v>54</v>
      </c>
      <c r="Y47" s="451"/>
      <c r="Z47" s="152" t="s">
        <v>549</v>
      </c>
      <c r="AA47" s="154"/>
      <c r="AB47" s="154"/>
      <c r="AC47" s="153"/>
      <c r="AD47" s="449"/>
      <c r="AE47" s="450"/>
      <c r="AF47" s="451"/>
      <c r="AG47" s="449"/>
      <c r="AH47" s="450"/>
      <c r="AI47" s="451"/>
      <c r="AJ47" s="487"/>
      <c r="AK47" s="488"/>
      <c r="AL47" s="457"/>
      <c r="AM47" s="452" t="s">
        <v>230</v>
      </c>
      <c r="AN47" s="447"/>
      <c r="AO47" s="447"/>
      <c r="AP47" s="447"/>
      <c r="AQ47" s="447"/>
      <c r="AR47" s="447"/>
      <c r="AS47" s="447"/>
      <c r="AT47" s="447"/>
      <c r="AU47" s="447"/>
      <c r="AV47" s="447"/>
      <c r="AW47" s="447"/>
      <c r="AX47" s="447"/>
      <c r="AY47" s="447"/>
      <c r="AZ47" s="447"/>
      <c r="BA47" s="447"/>
      <c r="BB47" s="447"/>
      <c r="BC47" s="447"/>
      <c r="BD47" s="447"/>
      <c r="BE47" s="447"/>
      <c r="BF47" s="447"/>
      <c r="BG47" s="447"/>
      <c r="BH47" s="447"/>
      <c r="BI47" s="447"/>
      <c r="BJ47" s="448"/>
    </row>
    <row r="48" spans="1:62" ht="30.75" customHeight="1">
      <c r="A48" s="464">
        <f t="shared" si="1"/>
        <v>34</v>
      </c>
      <c r="B48" s="465"/>
      <c r="C48" s="466"/>
      <c r="D48" s="446" t="s">
        <v>236</v>
      </c>
      <c r="E48" s="447"/>
      <c r="F48" s="447"/>
      <c r="G48" s="447"/>
      <c r="H48" s="447"/>
      <c r="I48" s="447"/>
      <c r="J48" s="447"/>
      <c r="K48" s="447"/>
      <c r="L48" s="447"/>
      <c r="M48" s="447"/>
      <c r="N48" s="447"/>
      <c r="O48" s="447"/>
      <c r="P48" s="447"/>
      <c r="Q48" s="447"/>
      <c r="R48" s="448"/>
      <c r="S48" s="152" t="s">
        <v>51</v>
      </c>
      <c r="T48" s="154"/>
      <c r="U48" s="153"/>
      <c r="V48" s="449" t="s">
        <v>175</v>
      </c>
      <c r="W48" s="632"/>
      <c r="X48" s="450" t="s">
        <v>56</v>
      </c>
      <c r="Y48" s="451"/>
      <c r="Z48" s="655" t="s">
        <v>418</v>
      </c>
      <c r="AA48" s="656"/>
      <c r="AB48" s="656"/>
      <c r="AC48" s="657"/>
      <c r="AD48" s="449"/>
      <c r="AE48" s="450"/>
      <c r="AF48" s="451"/>
      <c r="AG48" s="449"/>
      <c r="AH48" s="450"/>
      <c r="AI48" s="451"/>
      <c r="AJ48" s="487"/>
      <c r="AK48" s="488"/>
      <c r="AL48" s="457"/>
      <c r="AM48" s="452" t="s">
        <v>231</v>
      </c>
      <c r="AN48" s="447"/>
      <c r="AO48" s="447"/>
      <c r="AP48" s="447"/>
      <c r="AQ48" s="447"/>
      <c r="AR48" s="447"/>
      <c r="AS48" s="447"/>
      <c r="AT48" s="447"/>
      <c r="AU48" s="447"/>
      <c r="AV48" s="447"/>
      <c r="AW48" s="447"/>
      <c r="AX48" s="447"/>
      <c r="AY48" s="447"/>
      <c r="AZ48" s="447"/>
      <c r="BA48" s="447"/>
      <c r="BB48" s="447"/>
      <c r="BC48" s="447"/>
      <c r="BD48" s="447"/>
      <c r="BE48" s="447"/>
      <c r="BF48" s="447"/>
      <c r="BG48" s="447"/>
      <c r="BH48" s="447"/>
      <c r="BI48" s="447"/>
      <c r="BJ48" s="448"/>
    </row>
    <row r="49" spans="1:73" ht="30.75" customHeight="1">
      <c r="A49" s="464">
        <f t="shared" si="1"/>
        <v>35</v>
      </c>
      <c r="B49" s="465"/>
      <c r="C49" s="466"/>
      <c r="D49" s="446" t="s">
        <v>237</v>
      </c>
      <c r="E49" s="447"/>
      <c r="F49" s="447"/>
      <c r="G49" s="447"/>
      <c r="H49" s="447"/>
      <c r="I49" s="447"/>
      <c r="J49" s="447"/>
      <c r="K49" s="447"/>
      <c r="L49" s="447"/>
      <c r="M49" s="447"/>
      <c r="N49" s="447"/>
      <c r="O49" s="447"/>
      <c r="P49" s="447"/>
      <c r="Q49" s="447"/>
      <c r="R49" s="448"/>
      <c r="S49" s="449" t="s">
        <v>51</v>
      </c>
      <c r="T49" s="450"/>
      <c r="U49" s="451"/>
      <c r="V49" s="449" t="s">
        <v>175</v>
      </c>
      <c r="W49" s="632"/>
      <c r="X49" s="450" t="s">
        <v>53</v>
      </c>
      <c r="Y49" s="451"/>
      <c r="Z49" s="449" t="s">
        <v>59</v>
      </c>
      <c r="AA49" s="450"/>
      <c r="AB49" s="450"/>
      <c r="AC49" s="451"/>
      <c r="AD49" s="449"/>
      <c r="AE49" s="450"/>
      <c r="AF49" s="451"/>
      <c r="AG49" s="449"/>
      <c r="AH49" s="450"/>
      <c r="AI49" s="451"/>
      <c r="AJ49" s="487"/>
      <c r="AK49" s="488"/>
      <c r="AL49" s="457"/>
      <c r="AM49" s="452" t="s">
        <v>232</v>
      </c>
      <c r="AN49" s="447"/>
      <c r="AO49" s="447"/>
      <c r="AP49" s="447"/>
      <c r="AQ49" s="447"/>
      <c r="AR49" s="447"/>
      <c r="AS49" s="447"/>
      <c r="AT49" s="447"/>
      <c r="AU49" s="447"/>
      <c r="AV49" s="447"/>
      <c r="AW49" s="447"/>
      <c r="AX49" s="447"/>
      <c r="AY49" s="447"/>
      <c r="AZ49" s="447"/>
      <c r="BA49" s="447"/>
      <c r="BB49" s="447"/>
      <c r="BC49" s="447"/>
      <c r="BD49" s="447"/>
      <c r="BE49" s="447"/>
      <c r="BF49" s="447"/>
      <c r="BG49" s="447"/>
      <c r="BH49" s="447"/>
      <c r="BI49" s="447"/>
      <c r="BJ49" s="448"/>
    </row>
    <row r="50" spans="1:73" ht="30.75" customHeight="1">
      <c r="A50" s="464">
        <f t="shared" si="1"/>
        <v>36</v>
      </c>
      <c r="B50" s="465"/>
      <c r="C50" s="466"/>
      <c r="D50" s="446" t="s">
        <v>238</v>
      </c>
      <c r="E50" s="447"/>
      <c r="F50" s="447"/>
      <c r="G50" s="447"/>
      <c r="H50" s="447"/>
      <c r="I50" s="447"/>
      <c r="J50" s="447"/>
      <c r="K50" s="447"/>
      <c r="L50" s="447"/>
      <c r="M50" s="447"/>
      <c r="N50" s="447"/>
      <c r="O50" s="447"/>
      <c r="P50" s="447"/>
      <c r="Q50" s="447"/>
      <c r="R50" s="448"/>
      <c r="S50" s="449" t="s">
        <v>51</v>
      </c>
      <c r="T50" s="450"/>
      <c r="U50" s="451"/>
      <c r="V50" s="449" t="s">
        <v>175</v>
      </c>
      <c r="W50" s="632"/>
      <c r="X50" s="450" t="s">
        <v>50</v>
      </c>
      <c r="Y50" s="451"/>
      <c r="Z50" s="449" t="s">
        <v>59</v>
      </c>
      <c r="AA50" s="450"/>
      <c r="AB50" s="450"/>
      <c r="AC50" s="451"/>
      <c r="AD50" s="449"/>
      <c r="AE50" s="450"/>
      <c r="AF50" s="451"/>
      <c r="AG50" s="449"/>
      <c r="AH50" s="450"/>
      <c r="AI50" s="451"/>
      <c r="AJ50" s="487"/>
      <c r="AK50" s="488"/>
      <c r="AL50" s="457"/>
      <c r="AM50" s="452" t="s">
        <v>233</v>
      </c>
      <c r="AN50" s="447"/>
      <c r="AO50" s="447"/>
      <c r="AP50" s="447"/>
      <c r="AQ50" s="447"/>
      <c r="AR50" s="447"/>
      <c r="AS50" s="447"/>
      <c r="AT50" s="447"/>
      <c r="AU50" s="447"/>
      <c r="AV50" s="447"/>
      <c r="AW50" s="447"/>
      <c r="AX50" s="447"/>
      <c r="AY50" s="447"/>
      <c r="AZ50" s="447"/>
      <c r="BA50" s="447"/>
      <c r="BB50" s="447"/>
      <c r="BC50" s="447"/>
      <c r="BD50" s="447"/>
      <c r="BE50" s="447"/>
      <c r="BF50" s="447"/>
      <c r="BG50" s="447"/>
      <c r="BH50" s="447"/>
      <c r="BI50" s="447"/>
      <c r="BJ50" s="448"/>
    </row>
    <row r="51" spans="1:73" ht="30.75" customHeight="1">
      <c r="A51" s="464">
        <f t="shared" si="1"/>
        <v>37</v>
      </c>
      <c r="B51" s="465"/>
      <c r="C51" s="466"/>
      <c r="D51" s="476" t="s">
        <v>414</v>
      </c>
      <c r="E51" s="477"/>
      <c r="F51" s="477"/>
      <c r="G51" s="477"/>
      <c r="H51" s="477"/>
      <c r="I51" s="477"/>
      <c r="J51" s="477"/>
      <c r="K51" s="477"/>
      <c r="L51" s="477"/>
      <c r="M51" s="477"/>
      <c r="N51" s="477"/>
      <c r="O51" s="477"/>
      <c r="P51" s="477"/>
      <c r="Q51" s="477"/>
      <c r="R51" s="478"/>
      <c r="S51" s="453"/>
      <c r="T51" s="454"/>
      <c r="U51" s="455"/>
      <c r="V51" s="453" t="s">
        <v>276</v>
      </c>
      <c r="W51" s="482"/>
      <c r="X51" s="467" t="s">
        <v>276</v>
      </c>
      <c r="Y51" s="455"/>
      <c r="Z51" s="453"/>
      <c r="AA51" s="454"/>
      <c r="AB51" s="454"/>
      <c r="AC51" s="455"/>
      <c r="AD51" s="453"/>
      <c r="AE51" s="454"/>
      <c r="AF51" s="455"/>
      <c r="AG51" s="453"/>
      <c r="AH51" s="454"/>
      <c r="AI51" s="455"/>
      <c r="AJ51" s="453"/>
      <c r="AK51" s="454"/>
      <c r="AL51" s="455"/>
      <c r="AM51" s="484"/>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6"/>
    </row>
    <row r="52" spans="1:73" ht="30" customHeight="1">
      <c r="A52" s="464">
        <f t="shared" si="1"/>
        <v>38</v>
      </c>
      <c r="B52" s="465"/>
      <c r="C52" s="466"/>
      <c r="D52" s="446" t="s">
        <v>415</v>
      </c>
      <c r="E52" s="447"/>
      <c r="F52" s="447"/>
      <c r="G52" s="447"/>
      <c r="H52" s="447"/>
      <c r="I52" s="447"/>
      <c r="J52" s="447"/>
      <c r="K52" s="447"/>
      <c r="L52" s="447"/>
      <c r="M52" s="447"/>
      <c r="N52" s="447"/>
      <c r="O52" s="447"/>
      <c r="P52" s="447"/>
      <c r="Q52" s="447"/>
      <c r="R52" s="448"/>
      <c r="S52" s="152" t="s">
        <v>120</v>
      </c>
      <c r="T52" s="154"/>
      <c r="U52" s="153"/>
      <c r="V52" s="449" t="s">
        <v>175</v>
      </c>
      <c r="W52" s="632"/>
      <c r="X52" s="468" t="s">
        <v>550</v>
      </c>
      <c r="Y52" s="451"/>
      <c r="Z52" s="152" t="s">
        <v>59</v>
      </c>
      <c r="AA52" s="154"/>
      <c r="AB52" s="154"/>
      <c r="AC52" s="153"/>
      <c r="AD52" s="449"/>
      <c r="AE52" s="450"/>
      <c r="AF52" s="451"/>
      <c r="AG52" s="449"/>
      <c r="AH52" s="450"/>
      <c r="AI52" s="451"/>
      <c r="AJ52" s="449"/>
      <c r="AK52" s="450"/>
      <c r="AL52" s="451"/>
      <c r="AM52" s="452" t="s">
        <v>416</v>
      </c>
      <c r="AN52" s="652"/>
      <c r="AO52" s="652"/>
      <c r="AP52" s="652"/>
      <c r="AQ52" s="652"/>
      <c r="AR52" s="652"/>
      <c r="AS52" s="652"/>
      <c r="AT52" s="652"/>
      <c r="AU52" s="652"/>
      <c r="AV52" s="652"/>
      <c r="AW52" s="652"/>
      <c r="AX52" s="652"/>
      <c r="AY52" s="652"/>
      <c r="AZ52" s="652"/>
      <c r="BA52" s="652"/>
      <c r="BB52" s="652"/>
      <c r="BC52" s="652"/>
      <c r="BD52" s="652"/>
      <c r="BE52" s="652"/>
      <c r="BF52" s="652"/>
      <c r="BG52" s="652"/>
      <c r="BH52" s="652"/>
      <c r="BI52" s="652"/>
      <c r="BJ52" s="653"/>
      <c r="BR52" s="654"/>
      <c r="BS52" s="654"/>
      <c r="BT52" s="654"/>
      <c r="BU52" s="334"/>
    </row>
    <row r="53" spans="1:73" ht="30" customHeight="1">
      <c r="A53" s="464">
        <f t="shared" si="1"/>
        <v>39</v>
      </c>
      <c r="B53" s="465"/>
      <c r="C53" s="466"/>
      <c r="D53" s="446" t="s">
        <v>417</v>
      </c>
      <c r="E53" s="447"/>
      <c r="F53" s="447"/>
      <c r="G53" s="447"/>
      <c r="H53" s="447"/>
      <c r="I53" s="447"/>
      <c r="J53" s="447"/>
      <c r="K53" s="447"/>
      <c r="L53" s="447"/>
      <c r="M53" s="447"/>
      <c r="N53" s="447"/>
      <c r="O53" s="447"/>
      <c r="P53" s="447"/>
      <c r="Q53" s="447"/>
      <c r="R53" s="448"/>
      <c r="S53" s="152" t="s">
        <v>120</v>
      </c>
      <c r="T53" s="154"/>
      <c r="U53" s="153"/>
      <c r="V53" s="449" t="s">
        <v>175</v>
      </c>
      <c r="W53" s="632"/>
      <c r="X53" s="468" t="s">
        <v>62</v>
      </c>
      <c r="Y53" s="451"/>
      <c r="Z53" s="655" t="s">
        <v>418</v>
      </c>
      <c r="AA53" s="656"/>
      <c r="AB53" s="656"/>
      <c r="AC53" s="657"/>
      <c r="AD53" s="449"/>
      <c r="AE53" s="450"/>
      <c r="AF53" s="451"/>
      <c r="AG53" s="449"/>
      <c r="AH53" s="450"/>
      <c r="AI53" s="451"/>
      <c r="AJ53" s="449"/>
      <c r="AK53" s="450"/>
      <c r="AL53" s="451"/>
      <c r="AM53" s="452" t="s">
        <v>419</v>
      </c>
      <c r="AN53" s="652"/>
      <c r="AO53" s="652"/>
      <c r="AP53" s="652"/>
      <c r="AQ53" s="652"/>
      <c r="AR53" s="652"/>
      <c r="AS53" s="652"/>
      <c r="AT53" s="652"/>
      <c r="AU53" s="652"/>
      <c r="AV53" s="652"/>
      <c r="AW53" s="652"/>
      <c r="AX53" s="652"/>
      <c r="AY53" s="652"/>
      <c r="AZ53" s="652"/>
      <c r="BA53" s="652"/>
      <c r="BB53" s="652"/>
      <c r="BC53" s="652"/>
      <c r="BD53" s="652"/>
      <c r="BE53" s="652"/>
      <c r="BF53" s="652"/>
      <c r="BG53" s="652"/>
      <c r="BH53" s="652"/>
      <c r="BI53" s="652"/>
      <c r="BJ53" s="653"/>
      <c r="BR53" s="654"/>
      <c r="BS53" s="654"/>
      <c r="BT53" s="654"/>
      <c r="BU53" s="334"/>
    </row>
    <row r="54" spans="1:73" ht="30" customHeight="1">
      <c r="A54" s="464">
        <f t="shared" si="1"/>
        <v>40</v>
      </c>
      <c r="B54" s="465"/>
      <c r="C54" s="466"/>
      <c r="D54" s="446" t="s">
        <v>420</v>
      </c>
      <c r="E54" s="447"/>
      <c r="F54" s="447"/>
      <c r="G54" s="447"/>
      <c r="H54" s="447"/>
      <c r="I54" s="447"/>
      <c r="J54" s="447"/>
      <c r="K54" s="447"/>
      <c r="L54" s="447"/>
      <c r="M54" s="447"/>
      <c r="N54" s="447"/>
      <c r="O54" s="447"/>
      <c r="P54" s="447"/>
      <c r="Q54" s="447"/>
      <c r="R54" s="448"/>
      <c r="S54" s="152" t="s">
        <v>120</v>
      </c>
      <c r="T54" s="154"/>
      <c r="U54" s="153"/>
      <c r="V54" s="449" t="s">
        <v>175</v>
      </c>
      <c r="W54" s="632"/>
      <c r="X54" s="468" t="s">
        <v>52</v>
      </c>
      <c r="Y54" s="451"/>
      <c r="Z54" s="655" t="s">
        <v>418</v>
      </c>
      <c r="AA54" s="656"/>
      <c r="AB54" s="656"/>
      <c r="AC54" s="657"/>
      <c r="AD54" s="449"/>
      <c r="AE54" s="450"/>
      <c r="AF54" s="451"/>
      <c r="AG54" s="449"/>
      <c r="AH54" s="450"/>
      <c r="AI54" s="451"/>
      <c r="AJ54" s="449"/>
      <c r="AK54" s="450"/>
      <c r="AL54" s="451"/>
      <c r="AM54" s="452" t="s">
        <v>421</v>
      </c>
      <c r="AN54" s="652"/>
      <c r="AO54" s="652"/>
      <c r="AP54" s="652"/>
      <c r="AQ54" s="652"/>
      <c r="AR54" s="652"/>
      <c r="AS54" s="652"/>
      <c r="AT54" s="652"/>
      <c r="AU54" s="652"/>
      <c r="AV54" s="652"/>
      <c r="AW54" s="652"/>
      <c r="AX54" s="652"/>
      <c r="AY54" s="652"/>
      <c r="AZ54" s="652"/>
      <c r="BA54" s="652"/>
      <c r="BB54" s="652"/>
      <c r="BC54" s="652"/>
      <c r="BD54" s="652"/>
      <c r="BE54" s="652"/>
      <c r="BF54" s="652"/>
      <c r="BG54" s="652"/>
      <c r="BH54" s="652"/>
      <c r="BI54" s="652"/>
      <c r="BJ54" s="653"/>
      <c r="BR54" s="654"/>
      <c r="BS54" s="654"/>
      <c r="BT54" s="654"/>
      <c r="BU54" s="334"/>
    </row>
    <row r="55" spans="1:73" ht="30" customHeight="1">
      <c r="A55" s="464">
        <f t="shared" si="1"/>
        <v>41</v>
      </c>
      <c r="B55" s="465"/>
      <c r="C55" s="466"/>
      <c r="D55" s="446" t="s">
        <v>422</v>
      </c>
      <c r="E55" s="447"/>
      <c r="F55" s="447"/>
      <c r="G55" s="447"/>
      <c r="H55" s="447"/>
      <c r="I55" s="447"/>
      <c r="J55" s="447"/>
      <c r="K55" s="447"/>
      <c r="L55" s="447"/>
      <c r="M55" s="447"/>
      <c r="N55" s="447"/>
      <c r="O55" s="447"/>
      <c r="P55" s="447"/>
      <c r="Q55" s="447"/>
      <c r="R55" s="448"/>
      <c r="S55" s="152" t="s">
        <v>120</v>
      </c>
      <c r="T55" s="154"/>
      <c r="U55" s="153"/>
      <c r="V55" s="449" t="s">
        <v>175</v>
      </c>
      <c r="W55" s="632"/>
      <c r="X55" s="468" t="s">
        <v>550</v>
      </c>
      <c r="Y55" s="451"/>
      <c r="Z55" s="152" t="s">
        <v>59</v>
      </c>
      <c r="AA55" s="154"/>
      <c r="AB55" s="154"/>
      <c r="AC55" s="153"/>
      <c r="AD55" s="449"/>
      <c r="AE55" s="450"/>
      <c r="AF55" s="451"/>
      <c r="AG55" s="449"/>
      <c r="AH55" s="450"/>
      <c r="AI55" s="451"/>
      <c r="AJ55" s="449"/>
      <c r="AK55" s="450"/>
      <c r="AL55" s="451"/>
      <c r="AM55" s="452" t="s">
        <v>423</v>
      </c>
      <c r="AN55" s="652"/>
      <c r="AO55" s="652"/>
      <c r="AP55" s="652"/>
      <c r="AQ55" s="652"/>
      <c r="AR55" s="652"/>
      <c r="AS55" s="652"/>
      <c r="AT55" s="652"/>
      <c r="AU55" s="652"/>
      <c r="AV55" s="652"/>
      <c r="AW55" s="652"/>
      <c r="AX55" s="652"/>
      <c r="AY55" s="652"/>
      <c r="AZ55" s="652"/>
      <c r="BA55" s="652"/>
      <c r="BB55" s="652"/>
      <c r="BC55" s="652"/>
      <c r="BD55" s="652"/>
      <c r="BE55" s="652"/>
      <c r="BF55" s="652"/>
      <c r="BG55" s="652"/>
      <c r="BH55" s="652"/>
      <c r="BI55" s="652"/>
      <c r="BJ55" s="653"/>
      <c r="BR55" s="654"/>
      <c r="BS55" s="654"/>
      <c r="BT55" s="654"/>
      <c r="BU55" s="334"/>
    </row>
    <row r="56" spans="1:73" ht="30" customHeight="1">
      <c r="A56" s="464">
        <f t="shared" si="1"/>
        <v>42</v>
      </c>
      <c r="B56" s="465"/>
      <c r="C56" s="466"/>
      <c r="D56" s="446" t="s">
        <v>424</v>
      </c>
      <c r="E56" s="447"/>
      <c r="F56" s="447"/>
      <c r="G56" s="447"/>
      <c r="H56" s="447"/>
      <c r="I56" s="447"/>
      <c r="J56" s="447"/>
      <c r="K56" s="447"/>
      <c r="L56" s="447"/>
      <c r="M56" s="447"/>
      <c r="N56" s="447"/>
      <c r="O56" s="447"/>
      <c r="P56" s="447"/>
      <c r="Q56" s="447"/>
      <c r="R56" s="448"/>
      <c r="S56" s="152" t="s">
        <v>120</v>
      </c>
      <c r="T56" s="154"/>
      <c r="U56" s="153"/>
      <c r="V56" s="449" t="s">
        <v>175</v>
      </c>
      <c r="W56" s="632"/>
      <c r="X56" s="468" t="s">
        <v>62</v>
      </c>
      <c r="Y56" s="451"/>
      <c r="Z56" s="655" t="s">
        <v>418</v>
      </c>
      <c r="AA56" s="656"/>
      <c r="AB56" s="656"/>
      <c r="AC56" s="657"/>
      <c r="AD56" s="449"/>
      <c r="AE56" s="450"/>
      <c r="AF56" s="451"/>
      <c r="AG56" s="449"/>
      <c r="AH56" s="450"/>
      <c r="AI56" s="451"/>
      <c r="AJ56" s="449"/>
      <c r="AK56" s="450"/>
      <c r="AL56" s="451"/>
      <c r="AM56" s="452" t="s">
        <v>425</v>
      </c>
      <c r="AN56" s="652"/>
      <c r="AO56" s="652"/>
      <c r="AP56" s="652"/>
      <c r="AQ56" s="652"/>
      <c r="AR56" s="652"/>
      <c r="AS56" s="652"/>
      <c r="AT56" s="652"/>
      <c r="AU56" s="652"/>
      <c r="AV56" s="652"/>
      <c r="AW56" s="652"/>
      <c r="AX56" s="652"/>
      <c r="AY56" s="652"/>
      <c r="AZ56" s="652"/>
      <c r="BA56" s="652"/>
      <c r="BB56" s="652"/>
      <c r="BC56" s="652"/>
      <c r="BD56" s="652"/>
      <c r="BE56" s="652"/>
      <c r="BF56" s="652"/>
      <c r="BG56" s="652"/>
      <c r="BH56" s="652"/>
      <c r="BI56" s="652"/>
      <c r="BJ56" s="653"/>
      <c r="BR56" s="654"/>
      <c r="BS56" s="654"/>
      <c r="BT56" s="654"/>
      <c r="BU56" s="334"/>
    </row>
    <row r="57" spans="1:73" ht="30" customHeight="1">
      <c r="A57" s="464">
        <f t="shared" si="1"/>
        <v>43</v>
      </c>
      <c r="B57" s="465"/>
      <c r="C57" s="466"/>
      <c r="D57" s="446" t="s">
        <v>426</v>
      </c>
      <c r="E57" s="447"/>
      <c r="F57" s="447"/>
      <c r="G57" s="447"/>
      <c r="H57" s="447"/>
      <c r="I57" s="447"/>
      <c r="J57" s="447"/>
      <c r="K57" s="447"/>
      <c r="L57" s="447"/>
      <c r="M57" s="447"/>
      <c r="N57" s="447"/>
      <c r="O57" s="447"/>
      <c r="P57" s="447"/>
      <c r="Q57" s="447"/>
      <c r="R57" s="448"/>
      <c r="S57" s="152" t="s">
        <v>120</v>
      </c>
      <c r="T57" s="154"/>
      <c r="U57" s="153"/>
      <c r="V57" s="449" t="s">
        <v>175</v>
      </c>
      <c r="W57" s="632"/>
      <c r="X57" s="468" t="s">
        <v>52</v>
      </c>
      <c r="Y57" s="451"/>
      <c r="Z57" s="655" t="s">
        <v>418</v>
      </c>
      <c r="AA57" s="656"/>
      <c r="AB57" s="656"/>
      <c r="AC57" s="657"/>
      <c r="AD57" s="449"/>
      <c r="AE57" s="450"/>
      <c r="AF57" s="451"/>
      <c r="AG57" s="449"/>
      <c r="AH57" s="450"/>
      <c r="AI57" s="451"/>
      <c r="AJ57" s="449"/>
      <c r="AK57" s="450"/>
      <c r="AL57" s="451"/>
      <c r="AM57" s="452" t="s">
        <v>427</v>
      </c>
      <c r="AN57" s="652"/>
      <c r="AO57" s="652"/>
      <c r="AP57" s="652"/>
      <c r="AQ57" s="652"/>
      <c r="AR57" s="652"/>
      <c r="AS57" s="652"/>
      <c r="AT57" s="652"/>
      <c r="AU57" s="652"/>
      <c r="AV57" s="652"/>
      <c r="AW57" s="652"/>
      <c r="AX57" s="652"/>
      <c r="AY57" s="652"/>
      <c r="AZ57" s="652"/>
      <c r="BA57" s="652"/>
      <c r="BB57" s="652"/>
      <c r="BC57" s="652"/>
      <c r="BD57" s="652"/>
      <c r="BE57" s="652"/>
      <c r="BF57" s="652"/>
      <c r="BG57" s="652"/>
      <c r="BH57" s="652"/>
      <c r="BI57" s="652"/>
      <c r="BJ57" s="653"/>
      <c r="BR57" s="654"/>
      <c r="BS57" s="654"/>
      <c r="BT57" s="654"/>
      <c r="BU57" s="334"/>
    </row>
    <row r="58" spans="1:73" ht="30" customHeight="1">
      <c r="A58" s="464">
        <f t="shared" si="1"/>
        <v>44</v>
      </c>
      <c r="B58" s="465"/>
      <c r="C58" s="466"/>
      <c r="D58" s="446" t="s">
        <v>412</v>
      </c>
      <c r="E58" s="447"/>
      <c r="F58" s="447"/>
      <c r="G58" s="447"/>
      <c r="H58" s="447"/>
      <c r="I58" s="447"/>
      <c r="J58" s="447"/>
      <c r="K58" s="447"/>
      <c r="L58" s="447"/>
      <c r="M58" s="447"/>
      <c r="N58" s="447"/>
      <c r="O58" s="447"/>
      <c r="P58" s="447"/>
      <c r="Q58" s="447"/>
      <c r="R58" s="448"/>
      <c r="S58" s="152" t="s">
        <v>120</v>
      </c>
      <c r="T58" s="154"/>
      <c r="U58" s="153"/>
      <c r="V58" s="449" t="s">
        <v>175</v>
      </c>
      <c r="W58" s="632"/>
      <c r="X58" s="468" t="s">
        <v>428</v>
      </c>
      <c r="Y58" s="451"/>
      <c r="Z58" s="655" t="s">
        <v>418</v>
      </c>
      <c r="AA58" s="656"/>
      <c r="AB58" s="656"/>
      <c r="AC58" s="657"/>
      <c r="AD58" s="449"/>
      <c r="AE58" s="450"/>
      <c r="AF58" s="451"/>
      <c r="AG58" s="449"/>
      <c r="AH58" s="450"/>
      <c r="AI58" s="451"/>
      <c r="AJ58" s="449"/>
      <c r="AK58" s="450"/>
      <c r="AL58" s="451"/>
      <c r="AM58" s="452" t="s">
        <v>429</v>
      </c>
      <c r="AN58" s="652"/>
      <c r="AO58" s="652"/>
      <c r="AP58" s="652"/>
      <c r="AQ58" s="652"/>
      <c r="AR58" s="652"/>
      <c r="AS58" s="652"/>
      <c r="AT58" s="652"/>
      <c r="AU58" s="652"/>
      <c r="AV58" s="652"/>
      <c r="AW58" s="652"/>
      <c r="AX58" s="652"/>
      <c r="AY58" s="652"/>
      <c r="AZ58" s="652"/>
      <c r="BA58" s="652"/>
      <c r="BB58" s="652"/>
      <c r="BC58" s="652"/>
      <c r="BD58" s="652"/>
      <c r="BE58" s="652"/>
      <c r="BF58" s="652"/>
      <c r="BG58" s="652"/>
      <c r="BH58" s="652"/>
      <c r="BI58" s="652"/>
      <c r="BJ58" s="653"/>
      <c r="BR58" s="654"/>
      <c r="BS58" s="654"/>
      <c r="BT58" s="654"/>
      <c r="BU58" s="334"/>
    </row>
    <row r="59" spans="1:73" ht="30.75" customHeight="1">
      <c r="A59" s="449"/>
      <c r="B59" s="450"/>
      <c r="C59" s="451"/>
      <c r="D59" s="567"/>
      <c r="E59" s="568"/>
      <c r="F59" s="568"/>
      <c r="G59" s="568"/>
      <c r="H59" s="568"/>
      <c r="I59" s="568"/>
      <c r="J59" s="568"/>
      <c r="K59" s="568"/>
      <c r="L59" s="568"/>
      <c r="M59" s="568"/>
      <c r="N59" s="568"/>
      <c r="O59" s="568"/>
      <c r="P59" s="568"/>
      <c r="Q59" s="568"/>
      <c r="R59" s="569"/>
      <c r="S59" s="449"/>
      <c r="T59" s="450"/>
      <c r="U59" s="451"/>
      <c r="V59" s="449"/>
      <c r="W59" s="632"/>
      <c r="X59" s="450"/>
      <c r="Y59" s="632"/>
      <c r="Z59" s="449"/>
      <c r="AA59" s="450"/>
      <c r="AB59" s="450"/>
      <c r="AC59" s="451"/>
      <c r="AD59" s="449"/>
      <c r="AE59" s="450"/>
      <c r="AF59" s="451"/>
      <c r="AG59" s="449"/>
      <c r="AH59" s="450"/>
      <c r="AI59" s="451"/>
      <c r="AJ59" s="449"/>
      <c r="AK59" s="450"/>
      <c r="AL59" s="451"/>
      <c r="AM59" s="452"/>
      <c r="AN59" s="504"/>
      <c r="AO59" s="504"/>
      <c r="AP59" s="504"/>
      <c r="AQ59" s="504"/>
      <c r="AR59" s="504"/>
      <c r="AS59" s="504"/>
      <c r="AT59" s="504"/>
      <c r="AU59" s="504"/>
      <c r="AV59" s="504"/>
      <c r="AW59" s="504"/>
      <c r="AX59" s="504"/>
      <c r="AY59" s="504"/>
      <c r="AZ59" s="504"/>
      <c r="BA59" s="504"/>
      <c r="BB59" s="504"/>
      <c r="BC59" s="504"/>
      <c r="BD59" s="504"/>
      <c r="BE59" s="504"/>
      <c r="BF59" s="504"/>
      <c r="BG59" s="504"/>
      <c r="BH59" s="504"/>
      <c r="BI59" s="504"/>
      <c r="BJ59" s="505"/>
    </row>
    <row r="60" spans="1:73" ht="30.75" customHeight="1">
      <c r="A60" s="461"/>
      <c r="B60" s="462"/>
      <c r="C60" s="463"/>
      <c r="D60" s="525"/>
      <c r="E60" s="526"/>
      <c r="F60" s="526"/>
      <c r="G60" s="526"/>
      <c r="H60" s="526"/>
      <c r="I60" s="526"/>
      <c r="J60" s="526"/>
      <c r="K60" s="526"/>
      <c r="L60" s="526"/>
      <c r="M60" s="526"/>
      <c r="N60" s="526"/>
      <c r="O60" s="526"/>
      <c r="P60" s="526"/>
      <c r="Q60" s="526"/>
      <c r="R60" s="527"/>
      <c r="S60" s="461"/>
      <c r="T60" s="462"/>
      <c r="U60" s="463"/>
      <c r="V60" s="461"/>
      <c r="W60" s="648"/>
      <c r="X60" s="462"/>
      <c r="Y60" s="463"/>
      <c r="Z60" s="461"/>
      <c r="AA60" s="462"/>
      <c r="AB60" s="462"/>
      <c r="AC60" s="463"/>
      <c r="AD60" s="461"/>
      <c r="AE60" s="462"/>
      <c r="AF60" s="463"/>
      <c r="AG60" s="461"/>
      <c r="AH60" s="462"/>
      <c r="AI60" s="463"/>
      <c r="AJ60" s="461"/>
      <c r="AK60" s="462"/>
      <c r="AL60" s="463"/>
      <c r="AM60" s="649"/>
      <c r="AN60" s="650"/>
      <c r="AO60" s="650"/>
      <c r="AP60" s="650"/>
      <c r="AQ60" s="650"/>
      <c r="AR60" s="650"/>
      <c r="AS60" s="650"/>
      <c r="AT60" s="650"/>
      <c r="AU60" s="650"/>
      <c r="AV60" s="650"/>
      <c r="AW60" s="650"/>
      <c r="AX60" s="650"/>
      <c r="AY60" s="650"/>
      <c r="AZ60" s="650"/>
      <c r="BA60" s="650"/>
      <c r="BB60" s="650"/>
      <c r="BC60" s="650"/>
      <c r="BD60" s="650"/>
      <c r="BE60" s="650"/>
      <c r="BF60" s="650"/>
      <c r="BG60" s="650"/>
      <c r="BH60" s="650"/>
      <c r="BI60" s="650"/>
      <c r="BJ60" s="651"/>
    </row>
    <row r="61" spans="1:73" ht="8.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86">
    <mergeCell ref="BR58:BT58"/>
    <mergeCell ref="A58:C58"/>
    <mergeCell ref="D58:R58"/>
    <mergeCell ref="V58:W58"/>
    <mergeCell ref="X58:Y58"/>
    <mergeCell ref="Z58:AC58"/>
    <mergeCell ref="AD58:AF58"/>
    <mergeCell ref="AG58:AI58"/>
    <mergeCell ref="AJ58:AL58"/>
    <mergeCell ref="AM58:BJ58"/>
    <mergeCell ref="BR56:BT56"/>
    <mergeCell ref="A57:C57"/>
    <mergeCell ref="D57:R57"/>
    <mergeCell ref="V57:W57"/>
    <mergeCell ref="X57:Y57"/>
    <mergeCell ref="Z57:AC57"/>
    <mergeCell ref="AD57:AF57"/>
    <mergeCell ref="AG57:AI57"/>
    <mergeCell ref="AJ57:AL57"/>
    <mergeCell ref="AM57:BJ57"/>
    <mergeCell ref="BR57:BT57"/>
    <mergeCell ref="A56:C56"/>
    <mergeCell ref="D56:R56"/>
    <mergeCell ref="V56:W56"/>
    <mergeCell ref="X56:Y56"/>
    <mergeCell ref="Z56:AC56"/>
    <mergeCell ref="AD56:AF56"/>
    <mergeCell ref="AG56:AI56"/>
    <mergeCell ref="AJ56:AL56"/>
    <mergeCell ref="AM56:BJ56"/>
    <mergeCell ref="BR54:BT54"/>
    <mergeCell ref="A55:C55"/>
    <mergeCell ref="D55:R55"/>
    <mergeCell ref="V55:W55"/>
    <mergeCell ref="X55:Y55"/>
    <mergeCell ref="AD55:AF55"/>
    <mergeCell ref="AG55:AI55"/>
    <mergeCell ref="AJ55:AL55"/>
    <mergeCell ref="AM55:BJ55"/>
    <mergeCell ref="BR55:BT55"/>
    <mergeCell ref="A54:C54"/>
    <mergeCell ref="D54:R54"/>
    <mergeCell ref="V54:W54"/>
    <mergeCell ref="X54:Y54"/>
    <mergeCell ref="Z54:AC54"/>
    <mergeCell ref="AD54:AF54"/>
    <mergeCell ref="AG54:AI54"/>
    <mergeCell ref="AJ54:AL54"/>
    <mergeCell ref="AM54:BJ54"/>
    <mergeCell ref="BR52:BT52"/>
    <mergeCell ref="A53:C53"/>
    <mergeCell ref="D53:R53"/>
    <mergeCell ref="V53:W53"/>
    <mergeCell ref="X53:Y53"/>
    <mergeCell ref="Z53:AC53"/>
    <mergeCell ref="AD53:AF53"/>
    <mergeCell ref="AG53:AI53"/>
    <mergeCell ref="AJ53:AL53"/>
    <mergeCell ref="AM53:BJ53"/>
    <mergeCell ref="BR53:BT53"/>
    <mergeCell ref="V51:W51"/>
    <mergeCell ref="X51:Y51"/>
    <mergeCell ref="Z51:AC51"/>
    <mergeCell ref="AD51:AF51"/>
    <mergeCell ref="AG51:AI51"/>
    <mergeCell ref="AJ51:AL51"/>
    <mergeCell ref="AM51:BJ51"/>
    <mergeCell ref="A52:C52"/>
    <mergeCell ref="D52:R52"/>
    <mergeCell ref="V52:W52"/>
    <mergeCell ref="X52:Y52"/>
    <mergeCell ref="AD52:AF52"/>
    <mergeCell ref="AG52:AI52"/>
    <mergeCell ref="AJ52:AL52"/>
    <mergeCell ref="AM52:BJ52"/>
    <mergeCell ref="A2:AU2"/>
    <mergeCell ref="AV2:AY2"/>
    <mergeCell ref="AZ2:BC2"/>
    <mergeCell ref="BD2:BF2"/>
    <mergeCell ref="BG2:BJ2"/>
    <mergeCell ref="A3:G3"/>
    <mergeCell ref="H3:AU3"/>
    <mergeCell ref="AV3:AY3"/>
    <mergeCell ref="AZ3:BJ3"/>
    <mergeCell ref="AM13:BJ14"/>
    <mergeCell ref="V14:W14"/>
    <mergeCell ref="X14:Y14"/>
    <mergeCell ref="A15:C15"/>
    <mergeCell ref="D15:R15"/>
    <mergeCell ref="S15:U15"/>
    <mergeCell ref="V15:W15"/>
    <mergeCell ref="X15:Y15"/>
    <mergeCell ref="A13:C14"/>
    <mergeCell ref="D13:R14"/>
    <mergeCell ref="S13:U14"/>
    <mergeCell ref="V13:Y13"/>
    <mergeCell ref="Z13:AC14"/>
    <mergeCell ref="AD13:AF14"/>
    <mergeCell ref="Z15:AC15"/>
    <mergeCell ref="AD15:AF15"/>
    <mergeCell ref="AG15:AI15"/>
    <mergeCell ref="AJ15:AL15"/>
    <mergeCell ref="AG13:AI14"/>
    <mergeCell ref="AJ13:AL14"/>
    <mergeCell ref="A9:C9"/>
    <mergeCell ref="D9:AS9"/>
    <mergeCell ref="AT9:BJ9"/>
    <mergeCell ref="A10:C10"/>
    <mergeCell ref="D10:AS10"/>
    <mergeCell ref="AT10:BJ10"/>
    <mergeCell ref="A4:G4"/>
    <mergeCell ref="H4:AU4"/>
    <mergeCell ref="AV4:AY4"/>
    <mergeCell ref="AZ4:BJ4"/>
    <mergeCell ref="A6:G6"/>
    <mergeCell ref="H6:BJ6"/>
    <mergeCell ref="A19:C19"/>
    <mergeCell ref="D19:R19"/>
    <mergeCell ref="S19:U19"/>
    <mergeCell ref="V19:W19"/>
    <mergeCell ref="X19:Y19"/>
    <mergeCell ref="Z20:AC20"/>
    <mergeCell ref="AD20:AF20"/>
    <mergeCell ref="AG20:AI20"/>
    <mergeCell ref="AJ20:AL20"/>
    <mergeCell ref="Z19:AC19"/>
    <mergeCell ref="A21:C21"/>
    <mergeCell ref="D21:R21"/>
    <mergeCell ref="S21:U21"/>
    <mergeCell ref="V21:W21"/>
    <mergeCell ref="X21:Y21"/>
    <mergeCell ref="A20:C20"/>
    <mergeCell ref="D20:R20"/>
    <mergeCell ref="S20:U20"/>
    <mergeCell ref="V20:W20"/>
    <mergeCell ref="X20:Y20"/>
    <mergeCell ref="V22:W22"/>
    <mergeCell ref="X22:Y22"/>
    <mergeCell ref="AD22:AF22"/>
    <mergeCell ref="AM23:BJ23"/>
    <mergeCell ref="AG22:AI22"/>
    <mergeCell ref="AJ22:AL22"/>
    <mergeCell ref="AJ23:AL23"/>
    <mergeCell ref="AM15:BJ15"/>
    <mergeCell ref="AD19:AF19"/>
    <mergeCell ref="AG19:AI19"/>
    <mergeCell ref="AJ19:AL19"/>
    <mergeCell ref="AM19:BJ19"/>
    <mergeCell ref="AD17:AF17"/>
    <mergeCell ref="AG17:AI17"/>
    <mergeCell ref="AJ17:AL17"/>
    <mergeCell ref="AM17:BJ17"/>
    <mergeCell ref="AM18:BJ18"/>
    <mergeCell ref="Z23:AC23"/>
    <mergeCell ref="Z21:AC21"/>
    <mergeCell ref="A31:C31"/>
    <mergeCell ref="D31:R31"/>
    <mergeCell ref="S31:U31"/>
    <mergeCell ref="V31:W31"/>
    <mergeCell ref="X31:Y31"/>
    <mergeCell ref="Z31:AC31"/>
    <mergeCell ref="AD31:AF31"/>
    <mergeCell ref="AG31:AI31"/>
    <mergeCell ref="AM20:BJ20"/>
    <mergeCell ref="AM22:BJ22"/>
    <mergeCell ref="A23:C23"/>
    <mergeCell ref="D23:R23"/>
    <mergeCell ref="S23:U23"/>
    <mergeCell ref="V23:W23"/>
    <mergeCell ref="X23:Y23"/>
    <mergeCell ref="AD23:AF23"/>
    <mergeCell ref="AG23:AI23"/>
    <mergeCell ref="AD21:AF21"/>
    <mergeCell ref="AG21:AI21"/>
    <mergeCell ref="AJ21:AL21"/>
    <mergeCell ref="AM21:BJ21"/>
    <mergeCell ref="A22:C22"/>
    <mergeCell ref="D22:R22"/>
    <mergeCell ref="S22:U22"/>
    <mergeCell ref="AJ36:AL36"/>
    <mergeCell ref="AM36:BJ36"/>
    <mergeCell ref="A37:C37"/>
    <mergeCell ref="D37:R37"/>
    <mergeCell ref="S37:U37"/>
    <mergeCell ref="V37:W37"/>
    <mergeCell ref="X37:Y37"/>
    <mergeCell ref="Z37:AC37"/>
    <mergeCell ref="AD37:AF37"/>
    <mergeCell ref="AG37:AI37"/>
    <mergeCell ref="A36:C36"/>
    <mergeCell ref="D36:R36"/>
    <mergeCell ref="S36:U36"/>
    <mergeCell ref="V36:W36"/>
    <mergeCell ref="X36:Y36"/>
    <mergeCell ref="Z36:AC36"/>
    <mergeCell ref="AD36:AF36"/>
    <mergeCell ref="AG36:AI36"/>
    <mergeCell ref="AJ37:AL37"/>
    <mergeCell ref="AM37:BJ37"/>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6:BJ46"/>
    <mergeCell ref="A47:C47"/>
    <mergeCell ref="D47:R47"/>
    <mergeCell ref="S47:U47"/>
    <mergeCell ref="V47:W47"/>
    <mergeCell ref="X47:Y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48:C48"/>
    <mergeCell ref="D48:R48"/>
    <mergeCell ref="V48:W48"/>
    <mergeCell ref="X48:Y48"/>
    <mergeCell ref="AD48:AF48"/>
    <mergeCell ref="AG48:AI48"/>
    <mergeCell ref="AJ48:AL48"/>
    <mergeCell ref="AM48:BJ48"/>
    <mergeCell ref="AM49:BJ49"/>
    <mergeCell ref="Z48:AC48"/>
    <mergeCell ref="A59:C59"/>
    <mergeCell ref="D59:R59"/>
    <mergeCell ref="S59:U59"/>
    <mergeCell ref="V59:W59"/>
    <mergeCell ref="X59:Y59"/>
    <mergeCell ref="Z59:AC59"/>
    <mergeCell ref="AD49:AF49"/>
    <mergeCell ref="AG49:AI49"/>
    <mergeCell ref="AJ49:AL49"/>
    <mergeCell ref="A50:C50"/>
    <mergeCell ref="D50:R50"/>
    <mergeCell ref="S50:U50"/>
    <mergeCell ref="V50:W50"/>
    <mergeCell ref="X50:Y50"/>
    <mergeCell ref="Z50:AC50"/>
    <mergeCell ref="A49:C49"/>
    <mergeCell ref="D49:R49"/>
    <mergeCell ref="S49:U49"/>
    <mergeCell ref="V49:W49"/>
    <mergeCell ref="X49:Y49"/>
    <mergeCell ref="Z49:AC49"/>
    <mergeCell ref="A51:C51"/>
    <mergeCell ref="D51:R51"/>
    <mergeCell ref="S51:U51"/>
    <mergeCell ref="AD60:AF60"/>
    <mergeCell ref="AG60:AI60"/>
    <mergeCell ref="AJ60:AL60"/>
    <mergeCell ref="AM60:BJ60"/>
    <mergeCell ref="A17:C17"/>
    <mergeCell ref="D17:R17"/>
    <mergeCell ref="S17:U17"/>
    <mergeCell ref="V17:W17"/>
    <mergeCell ref="X17:Y17"/>
    <mergeCell ref="Z17:AC17"/>
    <mergeCell ref="AD59:AF59"/>
    <mergeCell ref="AG59:AI59"/>
    <mergeCell ref="AJ59:AL59"/>
    <mergeCell ref="AM59:BJ59"/>
    <mergeCell ref="A60:C60"/>
    <mergeCell ref="D60:R60"/>
    <mergeCell ref="S60:U60"/>
    <mergeCell ref="V60:W60"/>
    <mergeCell ref="X60:Y60"/>
    <mergeCell ref="Z60:AC60"/>
    <mergeCell ref="AD50:AF50"/>
    <mergeCell ref="AG50:AI50"/>
    <mergeCell ref="AJ50:AL50"/>
    <mergeCell ref="AM50:BJ50"/>
    <mergeCell ref="A18:C18"/>
    <mergeCell ref="D18:R18"/>
    <mergeCell ref="S18:U18"/>
    <mergeCell ref="V18:W18"/>
    <mergeCell ref="X18:Y18"/>
    <mergeCell ref="Z18:AC18"/>
    <mergeCell ref="AD18:AF18"/>
    <mergeCell ref="AG18:AI18"/>
    <mergeCell ref="AJ18:AL18"/>
    <mergeCell ref="AM25:BJ25"/>
    <mergeCell ref="AM24:BJ24"/>
    <mergeCell ref="A25:C25"/>
    <mergeCell ref="D25:R25"/>
    <mergeCell ref="S25:U25"/>
    <mergeCell ref="V25:W25"/>
    <mergeCell ref="X25:Y25"/>
    <mergeCell ref="Z25:AC25"/>
    <mergeCell ref="AD25:AF25"/>
    <mergeCell ref="AG25:AI25"/>
    <mergeCell ref="AJ25:AL25"/>
    <mergeCell ref="A24:C24"/>
    <mergeCell ref="D24:R24"/>
    <mergeCell ref="S24:U24"/>
    <mergeCell ref="V24:W24"/>
    <mergeCell ref="X24:Y24"/>
    <mergeCell ref="AD24:AF24"/>
    <mergeCell ref="AG24:AI24"/>
    <mergeCell ref="AJ24:AL24"/>
    <mergeCell ref="Z24:AC24"/>
    <mergeCell ref="X27:Y27"/>
    <mergeCell ref="Z27:AC27"/>
    <mergeCell ref="AD27:AF27"/>
    <mergeCell ref="A26:C26"/>
    <mergeCell ref="D26:R26"/>
    <mergeCell ref="V26:W26"/>
    <mergeCell ref="X26:Y26"/>
    <mergeCell ref="Z26:AC26"/>
    <mergeCell ref="AD26:AF26"/>
    <mergeCell ref="S26:U26"/>
    <mergeCell ref="A32:C32"/>
    <mergeCell ref="D32:R32"/>
    <mergeCell ref="V32:W32"/>
    <mergeCell ref="X32:Y32"/>
    <mergeCell ref="Z32:AC32"/>
    <mergeCell ref="AD32:AF32"/>
    <mergeCell ref="AM29:BJ29"/>
    <mergeCell ref="A30:C30"/>
    <mergeCell ref="D30:R30"/>
    <mergeCell ref="V30:W30"/>
    <mergeCell ref="X30:Y30"/>
    <mergeCell ref="Z30:AC30"/>
    <mergeCell ref="AD30:AF30"/>
    <mergeCell ref="AG30:AI30"/>
    <mergeCell ref="A29:C29"/>
    <mergeCell ref="D29:R29"/>
    <mergeCell ref="V29:W29"/>
    <mergeCell ref="X29:Y29"/>
    <mergeCell ref="Z29:AC29"/>
    <mergeCell ref="AD29:AF29"/>
    <mergeCell ref="AG29:AI29"/>
    <mergeCell ref="AJ29:AL29"/>
    <mergeCell ref="S29:U29"/>
    <mergeCell ref="S30:U30"/>
    <mergeCell ref="A34:C34"/>
    <mergeCell ref="D34:R34"/>
    <mergeCell ref="S34:U34"/>
    <mergeCell ref="V34:W34"/>
    <mergeCell ref="X34:Y34"/>
    <mergeCell ref="Z34:AC34"/>
    <mergeCell ref="AD34:AF34"/>
    <mergeCell ref="AG34:AI34"/>
    <mergeCell ref="A33:C33"/>
    <mergeCell ref="D33:R33"/>
    <mergeCell ref="V33:W33"/>
    <mergeCell ref="X33:Y33"/>
    <mergeCell ref="Z33:AC33"/>
    <mergeCell ref="AD33:AF33"/>
    <mergeCell ref="AG33:AI33"/>
    <mergeCell ref="A35:C35"/>
    <mergeCell ref="D35:R35"/>
    <mergeCell ref="V35:W35"/>
    <mergeCell ref="X35:Y35"/>
    <mergeCell ref="Z35:AC35"/>
    <mergeCell ref="AD35:AF35"/>
    <mergeCell ref="AG35:AI35"/>
    <mergeCell ref="AJ35:AL35"/>
    <mergeCell ref="AM35:BJ35"/>
    <mergeCell ref="S35:U35"/>
    <mergeCell ref="S32:U32"/>
    <mergeCell ref="S33:U33"/>
    <mergeCell ref="AJ34:AL34"/>
    <mergeCell ref="AM34:BJ34"/>
    <mergeCell ref="AM33:BJ33"/>
    <mergeCell ref="AG32:AI32"/>
    <mergeCell ref="AJ32:AL32"/>
    <mergeCell ref="AM32:BJ32"/>
    <mergeCell ref="AJ28:AL28"/>
    <mergeCell ref="AM28:BJ28"/>
    <mergeCell ref="AJ33:AL33"/>
    <mergeCell ref="V28:W28"/>
    <mergeCell ref="X28:Y28"/>
    <mergeCell ref="Z28:AC28"/>
    <mergeCell ref="AD28:AF28"/>
    <mergeCell ref="AG28:AI28"/>
    <mergeCell ref="S28:U28"/>
    <mergeCell ref="AJ30:AL30"/>
    <mergeCell ref="AG27:AI27"/>
    <mergeCell ref="AJ27:AL27"/>
    <mergeCell ref="AM27:BJ27"/>
    <mergeCell ref="AM26:BJ26"/>
    <mergeCell ref="AJ31:AL31"/>
    <mergeCell ref="AM31:BJ31"/>
    <mergeCell ref="AM30:BJ30"/>
    <mergeCell ref="A16:C16"/>
    <mergeCell ref="D16:R16"/>
    <mergeCell ref="V16:W16"/>
    <mergeCell ref="X16:Y16"/>
    <mergeCell ref="Z16:AC16"/>
    <mergeCell ref="AD16:AF16"/>
    <mergeCell ref="AG16:AI16"/>
    <mergeCell ref="AJ16:AL16"/>
    <mergeCell ref="AM16:BJ16"/>
    <mergeCell ref="A28:C28"/>
    <mergeCell ref="D28:R28"/>
    <mergeCell ref="AG26:AI26"/>
    <mergeCell ref="AJ26:AL26"/>
    <mergeCell ref="A27:C27"/>
    <mergeCell ref="D27:R27"/>
    <mergeCell ref="S27:U27"/>
    <mergeCell ref="V27:W27"/>
  </mergeCells>
  <phoneticPr fontId="3"/>
  <pageMargins left="0.74803149606299213" right="0.39370078740157483" top="0.51181102362204722" bottom="0.86614173228346458" header="0.74803149606299213" footer="0.35433070866141736"/>
  <pageSetup paperSize="9" scale="68"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C532-6E6C-4416-81DD-5BFDAB7A9FAA}">
  <sheetPr codeName="Sheet13"/>
  <dimension ref="A1:BK52"/>
  <sheetViews>
    <sheetView view="pageBreakPreview" zoomScaleNormal="100" zoomScaleSheetLayoutView="100" workbookViewId="0"/>
  </sheetViews>
  <sheetFormatPr defaultColWidth="1.90625" defaultRowHeight="14"/>
  <cols>
    <col min="1" max="89" width="2.08984375" style="18" customWidth="1"/>
    <col min="90"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65</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66</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36" t="s">
        <v>39</v>
      </c>
      <c r="B8" s="337"/>
      <c r="C8" s="338"/>
      <c r="D8" s="336" t="s">
        <v>40</v>
      </c>
      <c r="E8" s="337"/>
      <c r="F8" s="337"/>
      <c r="G8" s="337"/>
      <c r="H8" s="337"/>
      <c r="I8" s="337"/>
      <c r="J8" s="337"/>
      <c r="K8" s="337"/>
      <c r="L8" s="337"/>
      <c r="M8" s="337"/>
      <c r="N8" s="337"/>
      <c r="O8" s="337"/>
      <c r="P8" s="337"/>
      <c r="Q8" s="338"/>
      <c r="R8" s="561" t="s">
        <v>68</v>
      </c>
      <c r="S8" s="562"/>
      <c r="T8" s="563"/>
      <c r="U8" s="561" t="s">
        <v>69</v>
      </c>
      <c r="V8" s="562"/>
      <c r="W8" s="563"/>
      <c r="X8" s="561" t="s">
        <v>70</v>
      </c>
      <c r="Y8" s="562"/>
      <c r="Z8" s="563"/>
      <c r="AA8" s="561" t="s">
        <v>71</v>
      </c>
      <c r="AB8" s="562"/>
      <c r="AC8" s="563"/>
      <c r="AD8" s="561" t="s">
        <v>72</v>
      </c>
      <c r="AE8" s="562"/>
      <c r="AF8" s="563"/>
      <c r="AG8" s="336" t="s">
        <v>73</v>
      </c>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30" customHeight="1">
      <c r="A9" s="558"/>
      <c r="B9" s="559"/>
      <c r="C9" s="560"/>
      <c r="D9" s="446"/>
      <c r="E9" s="447"/>
      <c r="F9" s="447"/>
      <c r="G9" s="447"/>
      <c r="H9" s="447"/>
      <c r="I9" s="447"/>
      <c r="J9" s="447"/>
      <c r="K9" s="447"/>
      <c r="L9" s="447"/>
      <c r="M9" s="447"/>
      <c r="N9" s="447"/>
      <c r="O9" s="447"/>
      <c r="P9" s="447"/>
      <c r="Q9" s="448"/>
      <c r="R9" s="449"/>
      <c r="S9" s="450"/>
      <c r="T9" s="451"/>
      <c r="U9" s="449"/>
      <c r="V9" s="450"/>
      <c r="W9" s="451"/>
      <c r="X9" s="449"/>
      <c r="Y9" s="450"/>
      <c r="Z9" s="451"/>
      <c r="AA9" s="449"/>
      <c r="AB9" s="450"/>
      <c r="AC9" s="451"/>
      <c r="AD9" s="449"/>
      <c r="AE9" s="450"/>
      <c r="AF9" s="451"/>
      <c r="AG9" s="553" t="s">
        <v>360</v>
      </c>
      <c r="AH9" s="554"/>
      <c r="AI9" s="554"/>
      <c r="AJ9" s="554"/>
      <c r="AK9" s="554"/>
      <c r="AL9" s="554"/>
      <c r="AM9" s="554"/>
      <c r="AN9" s="554"/>
      <c r="AO9" s="554"/>
      <c r="AP9" s="554"/>
      <c r="AQ9" s="554"/>
      <c r="AR9" s="554"/>
      <c r="AS9" s="554"/>
      <c r="AT9" s="554"/>
      <c r="AU9" s="554"/>
      <c r="AV9" s="554"/>
      <c r="AW9" s="554"/>
      <c r="AX9" s="554"/>
      <c r="AY9" s="554"/>
      <c r="AZ9" s="554"/>
      <c r="BA9" s="554"/>
      <c r="BB9" s="554"/>
      <c r="BC9" s="555"/>
      <c r="BD9" s="449"/>
      <c r="BE9" s="450"/>
      <c r="BF9" s="450"/>
      <c r="BG9" s="450"/>
      <c r="BH9" s="450"/>
      <c r="BI9" s="450"/>
      <c r="BJ9" s="451"/>
    </row>
    <row r="10" spans="1:63" ht="30" customHeight="1">
      <c r="A10" s="558"/>
      <c r="B10" s="559"/>
      <c r="C10" s="560"/>
      <c r="D10" s="446"/>
      <c r="E10" s="447"/>
      <c r="F10" s="447"/>
      <c r="G10" s="447"/>
      <c r="H10" s="447"/>
      <c r="I10" s="447"/>
      <c r="J10" s="447"/>
      <c r="K10" s="447"/>
      <c r="L10" s="447"/>
      <c r="M10" s="447"/>
      <c r="N10" s="447"/>
      <c r="O10" s="447"/>
      <c r="P10" s="447"/>
      <c r="Q10" s="448"/>
      <c r="R10" s="449"/>
      <c r="S10" s="450"/>
      <c r="T10" s="451"/>
      <c r="U10" s="449"/>
      <c r="V10" s="450"/>
      <c r="W10" s="451"/>
      <c r="X10" s="449"/>
      <c r="Y10" s="450"/>
      <c r="Z10" s="451"/>
      <c r="AA10" s="449"/>
      <c r="AB10" s="450"/>
      <c r="AC10" s="451"/>
      <c r="AD10" s="449"/>
      <c r="AE10" s="450"/>
      <c r="AF10" s="451"/>
      <c r="AG10" s="553"/>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49"/>
      <c r="BE10" s="450"/>
      <c r="BF10" s="450"/>
      <c r="BG10" s="450"/>
      <c r="BH10" s="450"/>
      <c r="BI10" s="450"/>
      <c r="BJ10" s="451"/>
    </row>
    <row r="11" spans="1:63" s="19" customFormat="1" ht="30" customHeight="1">
      <c r="A11" s="558"/>
      <c r="B11" s="559"/>
      <c r="C11" s="560"/>
      <c r="D11" s="446"/>
      <c r="E11" s="447"/>
      <c r="F11" s="447"/>
      <c r="G11" s="447"/>
      <c r="H11" s="447"/>
      <c r="I11" s="447"/>
      <c r="J11" s="447"/>
      <c r="K11" s="447"/>
      <c r="L11" s="447"/>
      <c r="M11" s="447"/>
      <c r="N11" s="447"/>
      <c r="O11" s="447"/>
      <c r="P11" s="447"/>
      <c r="Q11" s="448"/>
      <c r="R11" s="449"/>
      <c r="S11" s="450"/>
      <c r="T11" s="451"/>
      <c r="U11" s="449"/>
      <c r="V11" s="450"/>
      <c r="W11" s="451"/>
      <c r="X11" s="449"/>
      <c r="Y11" s="450"/>
      <c r="Z11" s="451"/>
      <c r="AA11" s="449"/>
      <c r="AB11" s="450"/>
      <c r="AC11" s="451"/>
      <c r="AD11" s="449"/>
      <c r="AE11" s="450"/>
      <c r="AF11" s="451"/>
      <c r="AG11" s="553"/>
      <c r="AH11" s="554"/>
      <c r="AI11" s="554"/>
      <c r="AJ11" s="554"/>
      <c r="AK11" s="554"/>
      <c r="AL11" s="554"/>
      <c r="AM11" s="554"/>
      <c r="AN11" s="554"/>
      <c r="AO11" s="554"/>
      <c r="AP11" s="554"/>
      <c r="AQ11" s="554"/>
      <c r="AR11" s="554"/>
      <c r="AS11" s="554"/>
      <c r="AT11" s="554"/>
      <c r="AU11" s="554"/>
      <c r="AV11" s="554"/>
      <c r="AW11" s="554"/>
      <c r="AX11" s="554"/>
      <c r="AY11" s="554"/>
      <c r="AZ11" s="554"/>
      <c r="BA11" s="554"/>
      <c r="BB11" s="554"/>
      <c r="BC11" s="555"/>
      <c r="BD11" s="449"/>
      <c r="BE11" s="450"/>
      <c r="BF11" s="450"/>
      <c r="BG11" s="450"/>
      <c r="BH11" s="450"/>
      <c r="BI11" s="450"/>
      <c r="BJ11" s="451"/>
    </row>
    <row r="12" spans="1:63" ht="32.25" customHeight="1">
      <c r="A12" s="558"/>
      <c r="B12" s="559"/>
      <c r="C12" s="560"/>
      <c r="D12" s="446"/>
      <c r="E12" s="447"/>
      <c r="F12" s="447"/>
      <c r="G12" s="447"/>
      <c r="H12" s="447"/>
      <c r="I12" s="447"/>
      <c r="J12" s="447"/>
      <c r="K12" s="447"/>
      <c r="L12" s="447"/>
      <c r="M12" s="447"/>
      <c r="N12" s="447"/>
      <c r="O12" s="447"/>
      <c r="P12" s="447"/>
      <c r="Q12" s="448"/>
      <c r="R12" s="449"/>
      <c r="S12" s="450"/>
      <c r="T12" s="451"/>
      <c r="U12" s="449"/>
      <c r="V12" s="450"/>
      <c r="W12" s="451"/>
      <c r="X12" s="449"/>
      <c r="Y12" s="450"/>
      <c r="Z12" s="451"/>
      <c r="AA12" s="449"/>
      <c r="AB12" s="450"/>
      <c r="AC12" s="451"/>
      <c r="AD12" s="449"/>
      <c r="AE12" s="450"/>
      <c r="AF12" s="451"/>
      <c r="AG12" s="553"/>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49"/>
      <c r="BE12" s="450"/>
      <c r="BF12" s="450"/>
      <c r="BG12" s="450"/>
      <c r="BH12" s="450"/>
      <c r="BI12" s="450"/>
      <c r="BJ12" s="451"/>
    </row>
    <row r="13" spans="1:63" ht="30" customHeight="1">
      <c r="A13" s="558"/>
      <c r="B13" s="559"/>
      <c r="C13" s="560"/>
      <c r="D13" s="446"/>
      <c r="E13" s="447"/>
      <c r="F13" s="447"/>
      <c r="G13" s="447"/>
      <c r="H13" s="447"/>
      <c r="I13" s="447"/>
      <c r="J13" s="447"/>
      <c r="K13" s="447"/>
      <c r="L13" s="447"/>
      <c r="M13" s="447"/>
      <c r="N13" s="447"/>
      <c r="O13" s="447"/>
      <c r="P13" s="447"/>
      <c r="Q13" s="448"/>
      <c r="R13" s="449"/>
      <c r="S13" s="450"/>
      <c r="T13" s="451"/>
      <c r="U13" s="449"/>
      <c r="V13" s="450"/>
      <c r="W13" s="451"/>
      <c r="X13" s="449"/>
      <c r="Y13" s="450"/>
      <c r="Z13" s="451"/>
      <c r="AA13" s="449"/>
      <c r="AB13" s="450"/>
      <c r="AC13" s="451"/>
      <c r="AD13" s="449"/>
      <c r="AE13" s="450"/>
      <c r="AF13" s="451"/>
      <c r="AG13" s="553"/>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49"/>
      <c r="BE13" s="450"/>
      <c r="BF13" s="450"/>
      <c r="BG13" s="450"/>
      <c r="BH13" s="450"/>
      <c r="BI13" s="450"/>
      <c r="BJ13" s="451"/>
    </row>
    <row r="14" spans="1:63" ht="30" customHeight="1">
      <c r="A14" s="558"/>
      <c r="B14" s="559"/>
      <c r="C14" s="560"/>
      <c r="D14" s="446"/>
      <c r="E14" s="447"/>
      <c r="F14" s="447"/>
      <c r="G14" s="447"/>
      <c r="H14" s="447"/>
      <c r="I14" s="447"/>
      <c r="J14" s="447"/>
      <c r="K14" s="447"/>
      <c r="L14" s="447"/>
      <c r="M14" s="447"/>
      <c r="N14" s="447"/>
      <c r="O14" s="447"/>
      <c r="P14" s="447"/>
      <c r="Q14" s="448"/>
      <c r="R14" s="449"/>
      <c r="S14" s="450"/>
      <c r="T14" s="451"/>
      <c r="U14" s="449"/>
      <c r="V14" s="450"/>
      <c r="W14" s="451"/>
      <c r="X14" s="449"/>
      <c r="Y14" s="450"/>
      <c r="Z14" s="451"/>
      <c r="AA14" s="449"/>
      <c r="AB14" s="450"/>
      <c r="AC14" s="451"/>
      <c r="AD14" s="449"/>
      <c r="AE14" s="450"/>
      <c r="AF14" s="451"/>
      <c r="AG14" s="553"/>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49"/>
      <c r="BE14" s="450"/>
      <c r="BF14" s="450"/>
      <c r="BG14" s="450"/>
      <c r="BH14" s="450"/>
      <c r="BI14" s="450"/>
      <c r="BJ14" s="451"/>
    </row>
    <row r="15" spans="1:63" ht="30" customHeight="1">
      <c r="A15" s="658"/>
      <c r="B15" s="559"/>
      <c r="C15" s="560"/>
      <c r="D15" s="446"/>
      <c r="E15" s="447"/>
      <c r="F15" s="447"/>
      <c r="G15" s="447"/>
      <c r="H15" s="447"/>
      <c r="I15" s="447"/>
      <c r="J15" s="447"/>
      <c r="K15" s="447"/>
      <c r="L15" s="447"/>
      <c r="M15" s="447"/>
      <c r="N15" s="447"/>
      <c r="O15" s="447"/>
      <c r="P15" s="447"/>
      <c r="Q15" s="448"/>
      <c r="R15" s="449"/>
      <c r="S15" s="450"/>
      <c r="T15" s="451"/>
      <c r="U15" s="449"/>
      <c r="V15" s="450"/>
      <c r="W15" s="451"/>
      <c r="X15" s="449"/>
      <c r="Y15" s="450"/>
      <c r="Z15" s="451"/>
      <c r="AA15" s="449"/>
      <c r="AB15" s="450"/>
      <c r="AC15" s="451"/>
      <c r="AD15" s="449"/>
      <c r="AE15" s="450"/>
      <c r="AF15" s="451"/>
      <c r="AG15" s="553"/>
      <c r="AH15" s="554"/>
      <c r="AI15" s="554"/>
      <c r="AJ15" s="554"/>
      <c r="AK15" s="554"/>
      <c r="AL15" s="554"/>
      <c r="AM15" s="554"/>
      <c r="AN15" s="554"/>
      <c r="AO15" s="554"/>
      <c r="AP15" s="554"/>
      <c r="AQ15" s="554"/>
      <c r="AR15" s="554"/>
      <c r="AS15" s="554"/>
      <c r="AT15" s="554"/>
      <c r="AU15" s="554"/>
      <c r="AV15" s="554"/>
      <c r="AW15" s="554"/>
      <c r="AX15" s="554"/>
      <c r="AY15" s="554"/>
      <c r="AZ15" s="554"/>
      <c r="BA15" s="554"/>
      <c r="BB15" s="554"/>
      <c r="BC15" s="555"/>
      <c r="BD15" s="449"/>
      <c r="BE15" s="450"/>
      <c r="BF15" s="450"/>
      <c r="BG15" s="450"/>
      <c r="BH15" s="450"/>
      <c r="BI15" s="450"/>
      <c r="BJ15" s="451"/>
    </row>
    <row r="16" spans="1:63" ht="30" customHeight="1">
      <c r="A16" s="658"/>
      <c r="B16" s="559"/>
      <c r="C16" s="560"/>
      <c r="D16" s="446"/>
      <c r="E16" s="447"/>
      <c r="F16" s="447"/>
      <c r="G16" s="447"/>
      <c r="H16" s="447"/>
      <c r="I16" s="447"/>
      <c r="J16" s="447"/>
      <c r="K16" s="447"/>
      <c r="L16" s="447"/>
      <c r="M16" s="447"/>
      <c r="N16" s="447"/>
      <c r="O16" s="447"/>
      <c r="P16" s="447"/>
      <c r="Q16" s="448"/>
      <c r="R16" s="449"/>
      <c r="S16" s="450"/>
      <c r="T16" s="451"/>
      <c r="U16" s="449"/>
      <c r="V16" s="450"/>
      <c r="W16" s="451"/>
      <c r="X16" s="449"/>
      <c r="Y16" s="450"/>
      <c r="Z16" s="451"/>
      <c r="AA16" s="449"/>
      <c r="AB16" s="450"/>
      <c r="AC16" s="451"/>
      <c r="AD16" s="449"/>
      <c r="AE16" s="450"/>
      <c r="AF16" s="451"/>
      <c r="AG16" s="553"/>
      <c r="AH16" s="554"/>
      <c r="AI16" s="554"/>
      <c r="AJ16" s="554"/>
      <c r="AK16" s="554"/>
      <c r="AL16" s="554"/>
      <c r="AM16" s="554"/>
      <c r="AN16" s="554"/>
      <c r="AO16" s="554"/>
      <c r="AP16" s="554"/>
      <c r="AQ16" s="554"/>
      <c r="AR16" s="554"/>
      <c r="AS16" s="554"/>
      <c r="AT16" s="554"/>
      <c r="AU16" s="554"/>
      <c r="AV16" s="554"/>
      <c r="AW16" s="554"/>
      <c r="AX16" s="554"/>
      <c r="AY16" s="554"/>
      <c r="AZ16" s="554"/>
      <c r="BA16" s="554"/>
      <c r="BB16" s="554"/>
      <c r="BC16" s="555"/>
      <c r="BD16" s="449"/>
      <c r="BE16" s="450"/>
      <c r="BF16" s="450"/>
      <c r="BG16" s="450"/>
      <c r="BH16" s="450"/>
      <c r="BI16" s="450"/>
      <c r="BJ16" s="451"/>
    </row>
    <row r="17" spans="1:62" ht="30" customHeight="1">
      <c r="A17" s="658"/>
      <c r="B17" s="559"/>
      <c r="C17" s="560"/>
      <c r="D17" s="567"/>
      <c r="E17" s="568"/>
      <c r="F17" s="568"/>
      <c r="G17" s="568"/>
      <c r="H17" s="568"/>
      <c r="I17" s="568"/>
      <c r="J17" s="568"/>
      <c r="K17" s="568"/>
      <c r="L17" s="568"/>
      <c r="M17" s="568"/>
      <c r="N17" s="568"/>
      <c r="O17" s="568"/>
      <c r="P17" s="568"/>
      <c r="Q17" s="569"/>
      <c r="R17" s="449"/>
      <c r="S17" s="450"/>
      <c r="T17" s="451"/>
      <c r="U17" s="449"/>
      <c r="V17" s="450"/>
      <c r="W17" s="451"/>
      <c r="X17" s="449"/>
      <c r="Y17" s="450"/>
      <c r="Z17" s="451"/>
      <c r="AA17" s="449"/>
      <c r="AB17" s="450"/>
      <c r="AC17" s="451"/>
      <c r="AD17" s="449"/>
      <c r="AE17" s="450"/>
      <c r="AF17" s="451"/>
      <c r="AG17" s="553"/>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49"/>
      <c r="BE17" s="450"/>
      <c r="BF17" s="450"/>
      <c r="BG17" s="450"/>
      <c r="BH17" s="450"/>
      <c r="BI17" s="450"/>
      <c r="BJ17" s="451"/>
    </row>
    <row r="18" spans="1:62" ht="30" customHeight="1">
      <c r="A18" s="658"/>
      <c r="B18" s="559"/>
      <c r="C18" s="560"/>
      <c r="D18" s="567"/>
      <c r="E18" s="568"/>
      <c r="F18" s="568"/>
      <c r="G18" s="568"/>
      <c r="H18" s="568"/>
      <c r="I18" s="568"/>
      <c r="J18" s="568"/>
      <c r="K18" s="568"/>
      <c r="L18" s="568"/>
      <c r="M18" s="568"/>
      <c r="N18" s="568"/>
      <c r="O18" s="568"/>
      <c r="P18" s="568"/>
      <c r="Q18" s="569"/>
      <c r="R18" s="449"/>
      <c r="S18" s="450"/>
      <c r="T18" s="451"/>
      <c r="U18" s="449"/>
      <c r="V18" s="450"/>
      <c r="W18" s="451"/>
      <c r="X18" s="449"/>
      <c r="Y18" s="450"/>
      <c r="Z18" s="451"/>
      <c r="AA18" s="449"/>
      <c r="AB18" s="450"/>
      <c r="AC18" s="451"/>
      <c r="AD18" s="449"/>
      <c r="AE18" s="450"/>
      <c r="AF18" s="451"/>
      <c r="AG18" s="553"/>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49"/>
      <c r="BE18" s="450"/>
      <c r="BF18" s="450"/>
      <c r="BG18" s="450"/>
      <c r="BH18" s="450"/>
      <c r="BI18" s="450"/>
      <c r="BJ18" s="451"/>
    </row>
    <row r="19" spans="1:62" ht="30" customHeight="1">
      <c r="A19" s="658"/>
      <c r="B19" s="559"/>
      <c r="C19" s="560"/>
      <c r="D19" s="567"/>
      <c r="E19" s="568"/>
      <c r="F19" s="568"/>
      <c r="G19" s="568"/>
      <c r="H19" s="568"/>
      <c r="I19" s="568"/>
      <c r="J19" s="568"/>
      <c r="K19" s="568"/>
      <c r="L19" s="568"/>
      <c r="M19" s="568"/>
      <c r="N19" s="568"/>
      <c r="O19" s="568"/>
      <c r="P19" s="568"/>
      <c r="Q19" s="569"/>
      <c r="R19" s="449"/>
      <c r="S19" s="450"/>
      <c r="T19" s="451"/>
      <c r="U19" s="449"/>
      <c r="V19" s="450"/>
      <c r="W19" s="451"/>
      <c r="X19" s="449"/>
      <c r="Y19" s="450"/>
      <c r="Z19" s="451"/>
      <c r="AA19" s="449"/>
      <c r="AB19" s="450"/>
      <c r="AC19" s="451"/>
      <c r="AD19" s="449"/>
      <c r="AE19" s="450"/>
      <c r="AF19" s="451"/>
      <c r="AG19" s="553"/>
      <c r="AH19" s="554"/>
      <c r="AI19" s="554"/>
      <c r="AJ19" s="554"/>
      <c r="AK19" s="554"/>
      <c r="AL19" s="554"/>
      <c r="AM19" s="554"/>
      <c r="AN19" s="554"/>
      <c r="AO19" s="554"/>
      <c r="AP19" s="554"/>
      <c r="AQ19" s="554"/>
      <c r="AR19" s="554"/>
      <c r="AS19" s="554"/>
      <c r="AT19" s="554"/>
      <c r="AU19" s="554"/>
      <c r="AV19" s="554"/>
      <c r="AW19" s="554"/>
      <c r="AX19" s="554"/>
      <c r="AY19" s="554"/>
      <c r="AZ19" s="554"/>
      <c r="BA19" s="554"/>
      <c r="BB19" s="554"/>
      <c r="BC19" s="555"/>
      <c r="BD19" s="449"/>
      <c r="BE19" s="450"/>
      <c r="BF19" s="450"/>
      <c r="BG19" s="450"/>
      <c r="BH19" s="450"/>
      <c r="BI19" s="450"/>
      <c r="BJ19" s="451"/>
    </row>
    <row r="20" spans="1:62" ht="30" customHeight="1">
      <c r="A20" s="658"/>
      <c r="B20" s="559"/>
      <c r="C20" s="560"/>
      <c r="D20" s="567"/>
      <c r="E20" s="568"/>
      <c r="F20" s="568"/>
      <c r="G20" s="568"/>
      <c r="H20" s="568"/>
      <c r="I20" s="568"/>
      <c r="J20" s="568"/>
      <c r="K20" s="568"/>
      <c r="L20" s="568"/>
      <c r="M20" s="568"/>
      <c r="N20" s="568"/>
      <c r="O20" s="568"/>
      <c r="P20" s="568"/>
      <c r="Q20" s="569"/>
      <c r="R20" s="449"/>
      <c r="S20" s="450"/>
      <c r="T20" s="451"/>
      <c r="U20" s="449"/>
      <c r="V20" s="450"/>
      <c r="W20" s="451"/>
      <c r="X20" s="449"/>
      <c r="Y20" s="450"/>
      <c r="Z20" s="451"/>
      <c r="AA20" s="449"/>
      <c r="AB20" s="450"/>
      <c r="AC20" s="451"/>
      <c r="AD20" s="449"/>
      <c r="AE20" s="450"/>
      <c r="AF20" s="451"/>
      <c r="AG20" s="553"/>
      <c r="AH20" s="554"/>
      <c r="AI20" s="554"/>
      <c r="AJ20" s="554"/>
      <c r="AK20" s="554"/>
      <c r="AL20" s="554"/>
      <c r="AM20" s="554"/>
      <c r="AN20" s="554"/>
      <c r="AO20" s="554"/>
      <c r="AP20" s="554"/>
      <c r="AQ20" s="554"/>
      <c r="AR20" s="554"/>
      <c r="AS20" s="554"/>
      <c r="AT20" s="554"/>
      <c r="AU20" s="554"/>
      <c r="AV20" s="554"/>
      <c r="AW20" s="554"/>
      <c r="AX20" s="554"/>
      <c r="AY20" s="554"/>
      <c r="AZ20" s="554"/>
      <c r="BA20" s="554"/>
      <c r="BB20" s="554"/>
      <c r="BC20" s="555"/>
      <c r="BD20" s="449"/>
      <c r="BE20" s="450"/>
      <c r="BF20" s="450"/>
      <c r="BG20" s="450"/>
      <c r="BH20" s="450"/>
      <c r="BI20" s="450"/>
      <c r="BJ20" s="451"/>
    </row>
    <row r="21" spans="1:62" ht="30" customHeight="1">
      <c r="A21" s="658"/>
      <c r="B21" s="559"/>
      <c r="C21" s="560"/>
      <c r="D21" s="567"/>
      <c r="E21" s="568"/>
      <c r="F21" s="568"/>
      <c r="G21" s="568"/>
      <c r="H21" s="568"/>
      <c r="I21" s="568"/>
      <c r="J21" s="568"/>
      <c r="K21" s="568"/>
      <c r="L21" s="568"/>
      <c r="M21" s="568"/>
      <c r="N21" s="568"/>
      <c r="O21" s="568"/>
      <c r="P21" s="568"/>
      <c r="Q21" s="569"/>
      <c r="R21" s="449"/>
      <c r="S21" s="450"/>
      <c r="T21" s="451"/>
      <c r="U21" s="449"/>
      <c r="V21" s="450"/>
      <c r="W21" s="451"/>
      <c r="X21" s="449"/>
      <c r="Y21" s="450"/>
      <c r="Z21" s="451"/>
      <c r="AA21" s="449"/>
      <c r="AB21" s="450"/>
      <c r="AC21" s="451"/>
      <c r="AD21" s="449"/>
      <c r="AE21" s="450"/>
      <c r="AF21" s="451"/>
      <c r="AG21" s="553"/>
      <c r="AH21" s="554"/>
      <c r="AI21" s="554"/>
      <c r="AJ21" s="554"/>
      <c r="AK21" s="554"/>
      <c r="AL21" s="554"/>
      <c r="AM21" s="554"/>
      <c r="AN21" s="554"/>
      <c r="AO21" s="554"/>
      <c r="AP21" s="554"/>
      <c r="AQ21" s="554"/>
      <c r="AR21" s="554"/>
      <c r="AS21" s="554"/>
      <c r="AT21" s="554"/>
      <c r="AU21" s="554"/>
      <c r="AV21" s="554"/>
      <c r="AW21" s="554"/>
      <c r="AX21" s="554"/>
      <c r="AY21" s="554"/>
      <c r="AZ21" s="554"/>
      <c r="BA21" s="554"/>
      <c r="BB21" s="554"/>
      <c r="BC21" s="555"/>
      <c r="BD21" s="449"/>
      <c r="BE21" s="450"/>
      <c r="BF21" s="450"/>
      <c r="BG21" s="450"/>
      <c r="BH21" s="450"/>
      <c r="BI21" s="450"/>
      <c r="BJ21" s="451"/>
    </row>
    <row r="22" spans="1:62" ht="30" customHeight="1">
      <c r="A22" s="658"/>
      <c r="B22" s="559"/>
      <c r="C22" s="560"/>
      <c r="D22" s="567"/>
      <c r="E22" s="568"/>
      <c r="F22" s="568"/>
      <c r="G22" s="568"/>
      <c r="H22" s="568"/>
      <c r="I22" s="568"/>
      <c r="J22" s="568"/>
      <c r="K22" s="568"/>
      <c r="L22" s="568"/>
      <c r="M22" s="568"/>
      <c r="N22" s="568"/>
      <c r="O22" s="568"/>
      <c r="P22" s="568"/>
      <c r="Q22" s="569"/>
      <c r="R22" s="449"/>
      <c r="S22" s="450"/>
      <c r="T22" s="451"/>
      <c r="U22" s="449"/>
      <c r="V22" s="450"/>
      <c r="W22" s="451"/>
      <c r="X22" s="449"/>
      <c r="Y22" s="450"/>
      <c r="Z22" s="451"/>
      <c r="AA22" s="449"/>
      <c r="AB22" s="450"/>
      <c r="AC22" s="451"/>
      <c r="AD22" s="449"/>
      <c r="AE22" s="450"/>
      <c r="AF22" s="451"/>
      <c r="AG22" s="553"/>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49"/>
      <c r="BE22" s="450"/>
      <c r="BF22" s="450"/>
      <c r="BG22" s="450"/>
      <c r="BH22" s="450"/>
      <c r="BI22" s="450"/>
      <c r="BJ22" s="451"/>
    </row>
    <row r="23" spans="1:62" ht="30" customHeight="1">
      <c r="A23" s="658"/>
      <c r="B23" s="559"/>
      <c r="C23" s="560"/>
      <c r="D23" s="567"/>
      <c r="E23" s="568"/>
      <c r="F23" s="568"/>
      <c r="G23" s="568"/>
      <c r="H23" s="568"/>
      <c r="I23" s="568"/>
      <c r="J23" s="568"/>
      <c r="K23" s="568"/>
      <c r="L23" s="568"/>
      <c r="M23" s="568"/>
      <c r="N23" s="568"/>
      <c r="O23" s="568"/>
      <c r="P23" s="568"/>
      <c r="Q23" s="569"/>
      <c r="R23" s="449"/>
      <c r="S23" s="450"/>
      <c r="T23" s="451"/>
      <c r="U23" s="449"/>
      <c r="V23" s="450"/>
      <c r="W23" s="451"/>
      <c r="X23" s="449"/>
      <c r="Y23" s="450"/>
      <c r="Z23" s="451"/>
      <c r="AA23" s="449"/>
      <c r="AB23" s="450"/>
      <c r="AC23" s="451"/>
      <c r="AD23" s="449"/>
      <c r="AE23" s="450"/>
      <c r="AF23" s="451"/>
      <c r="AG23" s="553"/>
      <c r="AH23" s="554"/>
      <c r="AI23" s="554"/>
      <c r="AJ23" s="554"/>
      <c r="AK23" s="554"/>
      <c r="AL23" s="554"/>
      <c r="AM23" s="554"/>
      <c r="AN23" s="554"/>
      <c r="AO23" s="554"/>
      <c r="AP23" s="554"/>
      <c r="AQ23" s="554"/>
      <c r="AR23" s="554"/>
      <c r="AS23" s="554"/>
      <c r="AT23" s="554"/>
      <c r="AU23" s="554"/>
      <c r="AV23" s="554"/>
      <c r="AW23" s="554"/>
      <c r="AX23" s="554"/>
      <c r="AY23" s="554"/>
      <c r="AZ23" s="554"/>
      <c r="BA23" s="554"/>
      <c r="BB23" s="554"/>
      <c r="BC23" s="555"/>
      <c r="BD23" s="449"/>
      <c r="BE23" s="450"/>
      <c r="BF23" s="450"/>
      <c r="BG23" s="450"/>
      <c r="BH23" s="450"/>
      <c r="BI23" s="450"/>
      <c r="BJ23" s="451"/>
    </row>
    <row r="24" spans="1:62" ht="30" customHeight="1">
      <c r="A24" s="658"/>
      <c r="B24" s="559"/>
      <c r="C24" s="560"/>
      <c r="D24" s="567"/>
      <c r="E24" s="568"/>
      <c r="F24" s="568"/>
      <c r="G24" s="568"/>
      <c r="H24" s="568"/>
      <c r="I24" s="568"/>
      <c r="J24" s="568"/>
      <c r="K24" s="568"/>
      <c r="L24" s="568"/>
      <c r="M24" s="568"/>
      <c r="N24" s="568"/>
      <c r="O24" s="568"/>
      <c r="P24" s="568"/>
      <c r="Q24" s="569"/>
      <c r="R24" s="449"/>
      <c r="S24" s="450"/>
      <c r="T24" s="451"/>
      <c r="U24" s="449"/>
      <c r="V24" s="450"/>
      <c r="W24" s="451"/>
      <c r="X24" s="449"/>
      <c r="Y24" s="450"/>
      <c r="Z24" s="451"/>
      <c r="AA24" s="449"/>
      <c r="AB24" s="450"/>
      <c r="AC24" s="451"/>
      <c r="AD24" s="449"/>
      <c r="AE24" s="450"/>
      <c r="AF24" s="451"/>
      <c r="AG24" s="553"/>
      <c r="AH24" s="554"/>
      <c r="AI24" s="554"/>
      <c r="AJ24" s="554"/>
      <c r="AK24" s="554"/>
      <c r="AL24" s="554"/>
      <c r="AM24" s="554"/>
      <c r="AN24" s="554"/>
      <c r="AO24" s="554"/>
      <c r="AP24" s="554"/>
      <c r="AQ24" s="554"/>
      <c r="AR24" s="554"/>
      <c r="AS24" s="554"/>
      <c r="AT24" s="554"/>
      <c r="AU24" s="554"/>
      <c r="AV24" s="554"/>
      <c r="AW24" s="554"/>
      <c r="AX24" s="554"/>
      <c r="AY24" s="554"/>
      <c r="AZ24" s="554"/>
      <c r="BA24" s="554"/>
      <c r="BB24" s="554"/>
      <c r="BC24" s="555"/>
      <c r="BD24" s="449"/>
      <c r="BE24" s="450"/>
      <c r="BF24" s="450"/>
      <c r="BG24" s="450"/>
      <c r="BH24" s="450"/>
      <c r="BI24" s="450"/>
      <c r="BJ24" s="451"/>
    </row>
    <row r="25" spans="1:62" ht="30" customHeight="1">
      <c r="A25" s="658"/>
      <c r="B25" s="559"/>
      <c r="C25" s="560"/>
      <c r="D25" s="446"/>
      <c r="E25" s="447"/>
      <c r="F25" s="447"/>
      <c r="G25" s="447"/>
      <c r="H25" s="447"/>
      <c r="I25" s="447"/>
      <c r="J25" s="447"/>
      <c r="K25" s="447"/>
      <c r="L25" s="447"/>
      <c r="M25" s="447"/>
      <c r="N25" s="447"/>
      <c r="O25" s="447"/>
      <c r="P25" s="447"/>
      <c r="Q25" s="448"/>
      <c r="R25" s="449"/>
      <c r="S25" s="450"/>
      <c r="T25" s="451"/>
      <c r="U25" s="449"/>
      <c r="V25" s="450"/>
      <c r="W25" s="451"/>
      <c r="X25" s="449"/>
      <c r="Y25" s="450"/>
      <c r="Z25" s="451"/>
      <c r="AA25" s="449"/>
      <c r="AB25" s="450"/>
      <c r="AC25" s="451"/>
      <c r="AD25" s="449"/>
      <c r="AE25" s="450"/>
      <c r="AF25" s="451"/>
      <c r="AG25" s="553"/>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49"/>
      <c r="BE25" s="450"/>
      <c r="BF25" s="450"/>
      <c r="BG25" s="450"/>
      <c r="BH25" s="450"/>
      <c r="BI25" s="450"/>
      <c r="BJ25" s="451"/>
    </row>
    <row r="26" spans="1:62" ht="30" customHeight="1">
      <c r="A26" s="658"/>
      <c r="B26" s="559"/>
      <c r="C26" s="560"/>
      <c r="D26" s="446"/>
      <c r="E26" s="447"/>
      <c r="F26" s="447"/>
      <c r="G26" s="447"/>
      <c r="H26" s="447"/>
      <c r="I26" s="447"/>
      <c r="J26" s="447"/>
      <c r="K26" s="447"/>
      <c r="L26" s="447"/>
      <c r="M26" s="447"/>
      <c r="N26" s="447"/>
      <c r="O26" s="447"/>
      <c r="P26" s="447"/>
      <c r="Q26" s="448"/>
      <c r="R26" s="449"/>
      <c r="S26" s="450"/>
      <c r="T26" s="451"/>
      <c r="U26" s="449"/>
      <c r="V26" s="450"/>
      <c r="W26" s="451"/>
      <c r="X26" s="449"/>
      <c r="Y26" s="450"/>
      <c r="Z26" s="451"/>
      <c r="AA26" s="449"/>
      <c r="AB26" s="450"/>
      <c r="AC26" s="451"/>
      <c r="AD26" s="449"/>
      <c r="AE26" s="450"/>
      <c r="AF26" s="451"/>
      <c r="AG26" s="553"/>
      <c r="AH26" s="554"/>
      <c r="AI26" s="554"/>
      <c r="AJ26" s="554"/>
      <c r="AK26" s="554"/>
      <c r="AL26" s="554"/>
      <c r="AM26" s="554"/>
      <c r="AN26" s="554"/>
      <c r="AO26" s="554"/>
      <c r="AP26" s="554"/>
      <c r="AQ26" s="554"/>
      <c r="AR26" s="554"/>
      <c r="AS26" s="554"/>
      <c r="AT26" s="554"/>
      <c r="AU26" s="554"/>
      <c r="AV26" s="554"/>
      <c r="AW26" s="554"/>
      <c r="AX26" s="554"/>
      <c r="AY26" s="554"/>
      <c r="AZ26" s="554"/>
      <c r="BA26" s="554"/>
      <c r="BB26" s="554"/>
      <c r="BC26" s="555"/>
      <c r="BD26" s="449"/>
      <c r="BE26" s="450"/>
      <c r="BF26" s="450"/>
      <c r="BG26" s="450"/>
      <c r="BH26" s="450"/>
      <c r="BI26" s="450"/>
      <c r="BJ26" s="451"/>
    </row>
    <row r="27" spans="1:62" ht="30" customHeight="1">
      <c r="A27" s="445"/>
      <c r="B27" s="450"/>
      <c r="C27" s="451"/>
      <c r="D27" s="446"/>
      <c r="E27" s="447"/>
      <c r="F27" s="447"/>
      <c r="G27" s="447"/>
      <c r="H27" s="447"/>
      <c r="I27" s="447"/>
      <c r="J27" s="447"/>
      <c r="K27" s="447"/>
      <c r="L27" s="447"/>
      <c r="M27" s="447"/>
      <c r="N27" s="447"/>
      <c r="O27" s="447"/>
      <c r="P27" s="447"/>
      <c r="Q27" s="448"/>
      <c r="R27" s="449"/>
      <c r="S27" s="450"/>
      <c r="T27" s="451"/>
      <c r="U27" s="449"/>
      <c r="V27" s="450"/>
      <c r="W27" s="451"/>
      <c r="X27" s="449"/>
      <c r="Y27" s="450"/>
      <c r="Z27" s="451"/>
      <c r="AA27" s="449"/>
      <c r="AB27" s="450"/>
      <c r="AC27" s="451"/>
      <c r="AD27" s="449"/>
      <c r="AE27" s="450"/>
      <c r="AF27" s="451"/>
      <c r="AG27" s="553"/>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5"/>
      <c r="BD27" s="449"/>
      <c r="BE27" s="450"/>
      <c r="BF27" s="450"/>
      <c r="BG27" s="450"/>
      <c r="BH27" s="450"/>
      <c r="BI27" s="450"/>
      <c r="BJ27" s="451"/>
    </row>
    <row r="28" spans="1:62" ht="30" customHeight="1">
      <c r="A28" s="445"/>
      <c r="B28" s="450"/>
      <c r="C28" s="451"/>
      <c r="D28" s="446"/>
      <c r="E28" s="447"/>
      <c r="F28" s="447"/>
      <c r="G28" s="447"/>
      <c r="H28" s="447"/>
      <c r="I28" s="447"/>
      <c r="J28" s="447"/>
      <c r="K28" s="447"/>
      <c r="L28" s="447"/>
      <c r="M28" s="447"/>
      <c r="N28" s="447"/>
      <c r="O28" s="447"/>
      <c r="P28" s="447"/>
      <c r="Q28" s="448"/>
      <c r="R28" s="449"/>
      <c r="S28" s="450"/>
      <c r="T28" s="451"/>
      <c r="U28" s="449"/>
      <c r="V28" s="450"/>
      <c r="W28" s="451"/>
      <c r="X28" s="449"/>
      <c r="Y28" s="450"/>
      <c r="Z28" s="451"/>
      <c r="AA28" s="449"/>
      <c r="AB28" s="450"/>
      <c r="AC28" s="451"/>
      <c r="AD28" s="449"/>
      <c r="AE28" s="450"/>
      <c r="AF28" s="451"/>
      <c r="AG28" s="553"/>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5"/>
      <c r="BD28" s="449"/>
      <c r="BE28" s="450"/>
      <c r="BF28" s="450"/>
      <c r="BG28" s="450"/>
      <c r="BH28" s="450"/>
      <c r="BI28" s="450"/>
      <c r="BJ28" s="451"/>
    </row>
    <row r="29" spans="1:62" ht="30" customHeight="1">
      <c r="A29" s="445"/>
      <c r="B29" s="450"/>
      <c r="C29" s="451"/>
      <c r="D29" s="446"/>
      <c r="E29" s="447"/>
      <c r="F29" s="447"/>
      <c r="G29" s="447"/>
      <c r="H29" s="447"/>
      <c r="I29" s="447"/>
      <c r="J29" s="447"/>
      <c r="K29" s="447"/>
      <c r="L29" s="447"/>
      <c r="M29" s="447"/>
      <c r="N29" s="447"/>
      <c r="O29" s="447"/>
      <c r="P29" s="447"/>
      <c r="Q29" s="448"/>
      <c r="R29" s="449"/>
      <c r="S29" s="450"/>
      <c r="T29" s="451"/>
      <c r="U29" s="449"/>
      <c r="V29" s="450"/>
      <c r="W29" s="451"/>
      <c r="X29" s="449"/>
      <c r="Y29" s="450"/>
      <c r="Z29" s="451"/>
      <c r="AA29" s="449"/>
      <c r="AB29" s="450"/>
      <c r="AC29" s="451"/>
      <c r="AD29" s="449"/>
      <c r="AE29" s="450"/>
      <c r="AF29" s="451"/>
      <c r="AG29" s="553"/>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5"/>
      <c r="BD29" s="449"/>
      <c r="BE29" s="450"/>
      <c r="BF29" s="450"/>
      <c r="BG29" s="450"/>
      <c r="BH29" s="450"/>
      <c r="BI29" s="450"/>
      <c r="BJ29" s="451"/>
    </row>
    <row r="30" spans="1:62" ht="30" customHeight="1">
      <c r="A30" s="445"/>
      <c r="B30" s="450"/>
      <c r="C30" s="451"/>
      <c r="D30" s="446"/>
      <c r="E30" s="447"/>
      <c r="F30" s="447"/>
      <c r="G30" s="447"/>
      <c r="H30" s="447"/>
      <c r="I30" s="447"/>
      <c r="J30" s="447"/>
      <c r="K30" s="447"/>
      <c r="L30" s="447"/>
      <c r="M30" s="447"/>
      <c r="N30" s="447"/>
      <c r="O30" s="447"/>
      <c r="P30" s="447"/>
      <c r="Q30" s="448"/>
      <c r="R30" s="449"/>
      <c r="S30" s="450"/>
      <c r="T30" s="451"/>
      <c r="U30" s="449"/>
      <c r="V30" s="450"/>
      <c r="W30" s="451"/>
      <c r="X30" s="449"/>
      <c r="Y30" s="450"/>
      <c r="Z30" s="451"/>
      <c r="AA30" s="449"/>
      <c r="AB30" s="450"/>
      <c r="AC30" s="451"/>
      <c r="AD30" s="449"/>
      <c r="AE30" s="450"/>
      <c r="AF30" s="451"/>
      <c r="AG30" s="553"/>
      <c r="AH30" s="554"/>
      <c r="AI30" s="554"/>
      <c r="AJ30" s="554"/>
      <c r="AK30" s="554"/>
      <c r="AL30" s="554"/>
      <c r="AM30" s="554"/>
      <c r="AN30" s="554"/>
      <c r="AO30" s="554"/>
      <c r="AP30" s="554"/>
      <c r="AQ30" s="554"/>
      <c r="AR30" s="554"/>
      <c r="AS30" s="554"/>
      <c r="AT30" s="554"/>
      <c r="AU30" s="554"/>
      <c r="AV30" s="554"/>
      <c r="AW30" s="554"/>
      <c r="AX30" s="554"/>
      <c r="AY30" s="554"/>
      <c r="AZ30" s="554"/>
      <c r="BA30" s="554"/>
      <c r="BB30" s="554"/>
      <c r="BC30" s="555"/>
      <c r="BD30" s="449"/>
      <c r="BE30" s="450"/>
      <c r="BF30" s="450"/>
      <c r="BG30" s="450"/>
      <c r="BH30" s="450"/>
      <c r="BI30" s="450"/>
      <c r="BJ30" s="451"/>
    </row>
    <row r="31" spans="1:62" ht="30" customHeight="1">
      <c r="A31" s="678"/>
      <c r="B31" s="679"/>
      <c r="C31" s="680"/>
      <c r="D31" s="681"/>
      <c r="E31" s="682"/>
      <c r="F31" s="682"/>
      <c r="G31" s="682"/>
      <c r="H31" s="682"/>
      <c r="I31" s="682"/>
      <c r="J31" s="682"/>
      <c r="K31" s="682"/>
      <c r="L31" s="682"/>
      <c r="M31" s="682"/>
      <c r="N31" s="682"/>
      <c r="O31" s="682"/>
      <c r="P31" s="682"/>
      <c r="Q31" s="683"/>
      <c r="R31" s="582"/>
      <c r="S31" s="583"/>
      <c r="T31" s="584"/>
      <c r="U31" s="582"/>
      <c r="V31" s="583"/>
      <c r="W31" s="584"/>
      <c r="X31" s="582"/>
      <c r="Y31" s="583"/>
      <c r="Z31" s="584"/>
      <c r="AA31" s="582"/>
      <c r="AB31" s="583"/>
      <c r="AC31" s="584"/>
      <c r="AD31" s="582"/>
      <c r="AE31" s="583"/>
      <c r="AF31" s="584"/>
      <c r="AG31" s="675"/>
      <c r="AH31" s="676"/>
      <c r="AI31" s="676"/>
      <c r="AJ31" s="676"/>
      <c r="AK31" s="676"/>
      <c r="AL31" s="676"/>
      <c r="AM31" s="676"/>
      <c r="AN31" s="676"/>
      <c r="AO31" s="676"/>
      <c r="AP31" s="676"/>
      <c r="AQ31" s="676"/>
      <c r="AR31" s="676"/>
      <c r="AS31" s="676"/>
      <c r="AT31" s="676"/>
      <c r="AU31" s="676"/>
      <c r="AV31" s="676"/>
      <c r="AW31" s="676"/>
      <c r="AX31" s="676"/>
      <c r="AY31" s="676"/>
      <c r="AZ31" s="676"/>
      <c r="BA31" s="676"/>
      <c r="BB31" s="676"/>
      <c r="BC31" s="677"/>
      <c r="BD31" s="449"/>
      <c r="BE31" s="450"/>
      <c r="BF31" s="450"/>
      <c r="BG31" s="450"/>
      <c r="BH31" s="450"/>
      <c r="BI31" s="450"/>
      <c r="BJ31" s="451"/>
    </row>
    <row r="32" spans="1:62" ht="30" customHeight="1">
      <c r="A32" s="678"/>
      <c r="B32" s="679"/>
      <c r="C32" s="680"/>
      <c r="D32" s="681"/>
      <c r="E32" s="682"/>
      <c r="F32" s="682"/>
      <c r="G32" s="682"/>
      <c r="H32" s="682"/>
      <c r="I32" s="682"/>
      <c r="J32" s="682"/>
      <c r="K32" s="682"/>
      <c r="L32" s="682"/>
      <c r="M32" s="682"/>
      <c r="N32" s="682"/>
      <c r="O32" s="682"/>
      <c r="P32" s="682"/>
      <c r="Q32" s="683"/>
      <c r="R32" s="582"/>
      <c r="S32" s="583"/>
      <c r="T32" s="584"/>
      <c r="U32" s="582"/>
      <c r="V32" s="583"/>
      <c r="W32" s="584"/>
      <c r="X32" s="582"/>
      <c r="Y32" s="583"/>
      <c r="Z32" s="584"/>
      <c r="AA32" s="582"/>
      <c r="AB32" s="583"/>
      <c r="AC32" s="584"/>
      <c r="AD32" s="582"/>
      <c r="AE32" s="583"/>
      <c r="AF32" s="584"/>
      <c r="AG32" s="675"/>
      <c r="AH32" s="676"/>
      <c r="AI32" s="676"/>
      <c r="AJ32" s="676"/>
      <c r="AK32" s="676"/>
      <c r="AL32" s="676"/>
      <c r="AM32" s="676"/>
      <c r="AN32" s="676"/>
      <c r="AO32" s="676"/>
      <c r="AP32" s="676"/>
      <c r="AQ32" s="676"/>
      <c r="AR32" s="676"/>
      <c r="AS32" s="676"/>
      <c r="AT32" s="676"/>
      <c r="AU32" s="676"/>
      <c r="AV32" s="676"/>
      <c r="AW32" s="676"/>
      <c r="AX32" s="676"/>
      <c r="AY32" s="676"/>
      <c r="AZ32" s="676"/>
      <c r="BA32" s="676"/>
      <c r="BB32" s="676"/>
      <c r="BC32" s="677"/>
      <c r="BD32" s="449"/>
      <c r="BE32" s="450"/>
      <c r="BF32" s="450"/>
      <c r="BG32" s="450"/>
      <c r="BH32" s="450"/>
      <c r="BI32" s="450"/>
      <c r="BJ32" s="451"/>
    </row>
    <row r="33" spans="1:62" ht="30" customHeight="1">
      <c r="A33" s="678"/>
      <c r="B33" s="679"/>
      <c r="C33" s="680"/>
      <c r="D33" s="681"/>
      <c r="E33" s="682"/>
      <c r="F33" s="682"/>
      <c r="G33" s="682"/>
      <c r="H33" s="682"/>
      <c r="I33" s="682"/>
      <c r="J33" s="682"/>
      <c r="K33" s="682"/>
      <c r="L33" s="682"/>
      <c r="M33" s="682"/>
      <c r="N33" s="682"/>
      <c r="O33" s="682"/>
      <c r="P33" s="682"/>
      <c r="Q33" s="683"/>
      <c r="R33" s="582"/>
      <c r="S33" s="583"/>
      <c r="T33" s="584"/>
      <c r="U33" s="582"/>
      <c r="V33" s="583"/>
      <c r="W33" s="584"/>
      <c r="X33" s="582"/>
      <c r="Y33" s="583"/>
      <c r="Z33" s="584"/>
      <c r="AA33" s="582"/>
      <c r="AB33" s="583"/>
      <c r="AC33" s="584"/>
      <c r="AD33" s="582"/>
      <c r="AE33" s="583"/>
      <c r="AF33" s="584"/>
      <c r="AG33" s="675"/>
      <c r="AH33" s="676"/>
      <c r="AI33" s="676"/>
      <c r="AJ33" s="676"/>
      <c r="AK33" s="676"/>
      <c r="AL33" s="676"/>
      <c r="AM33" s="676"/>
      <c r="AN33" s="676"/>
      <c r="AO33" s="676"/>
      <c r="AP33" s="676"/>
      <c r="AQ33" s="676"/>
      <c r="AR33" s="676"/>
      <c r="AS33" s="676"/>
      <c r="AT33" s="676"/>
      <c r="AU33" s="676"/>
      <c r="AV33" s="676"/>
      <c r="AW33" s="676"/>
      <c r="AX33" s="676"/>
      <c r="AY33" s="676"/>
      <c r="AZ33" s="676"/>
      <c r="BA33" s="676"/>
      <c r="BB33" s="676"/>
      <c r="BC33" s="677"/>
      <c r="BD33" s="449"/>
      <c r="BE33" s="450"/>
      <c r="BF33" s="450"/>
      <c r="BG33" s="450"/>
      <c r="BH33" s="450"/>
      <c r="BI33" s="450"/>
      <c r="BJ33" s="451"/>
    </row>
    <row r="34" spans="1:62" ht="30" customHeight="1">
      <c r="A34" s="558"/>
      <c r="B34" s="559"/>
      <c r="C34" s="560"/>
      <c r="D34" s="446"/>
      <c r="E34" s="447"/>
      <c r="F34" s="447"/>
      <c r="G34" s="447"/>
      <c r="H34" s="447"/>
      <c r="I34" s="447"/>
      <c r="J34" s="447"/>
      <c r="K34" s="447"/>
      <c r="L34" s="447"/>
      <c r="M34" s="447"/>
      <c r="N34" s="447"/>
      <c r="O34" s="447"/>
      <c r="P34" s="447"/>
      <c r="Q34" s="448"/>
      <c r="R34" s="449"/>
      <c r="S34" s="450"/>
      <c r="T34" s="451"/>
      <c r="U34" s="449"/>
      <c r="V34" s="450"/>
      <c r="W34" s="451"/>
      <c r="X34" s="449"/>
      <c r="Y34" s="450"/>
      <c r="Z34" s="451"/>
      <c r="AA34" s="449"/>
      <c r="AB34" s="450"/>
      <c r="AC34" s="451"/>
      <c r="AD34" s="449"/>
      <c r="AE34" s="450"/>
      <c r="AF34" s="451"/>
      <c r="AG34" s="553"/>
      <c r="AH34" s="554"/>
      <c r="AI34" s="554"/>
      <c r="AJ34" s="554"/>
      <c r="AK34" s="554"/>
      <c r="AL34" s="554"/>
      <c r="AM34" s="554"/>
      <c r="AN34" s="554"/>
      <c r="AO34" s="554"/>
      <c r="AP34" s="554"/>
      <c r="AQ34" s="554"/>
      <c r="AR34" s="554"/>
      <c r="AS34" s="554"/>
      <c r="AT34" s="554"/>
      <c r="AU34" s="554"/>
      <c r="AV34" s="554"/>
      <c r="AW34" s="554"/>
      <c r="AX34" s="554"/>
      <c r="AY34" s="554"/>
      <c r="AZ34" s="554"/>
      <c r="BA34" s="554"/>
      <c r="BB34" s="554"/>
      <c r="BC34" s="555"/>
      <c r="BD34" s="449"/>
      <c r="BE34" s="450"/>
      <c r="BF34" s="450"/>
      <c r="BG34" s="450"/>
      <c r="BH34" s="450"/>
      <c r="BI34" s="450"/>
      <c r="BJ34" s="451"/>
    </row>
    <row r="35" spans="1:62" ht="30" customHeight="1">
      <c r="A35" s="558"/>
      <c r="B35" s="559"/>
      <c r="C35" s="560"/>
      <c r="D35" s="446"/>
      <c r="E35" s="447"/>
      <c r="F35" s="447"/>
      <c r="G35" s="447"/>
      <c r="H35" s="447"/>
      <c r="I35" s="447"/>
      <c r="J35" s="447"/>
      <c r="K35" s="447"/>
      <c r="L35" s="447"/>
      <c r="M35" s="447"/>
      <c r="N35" s="447"/>
      <c r="O35" s="447"/>
      <c r="P35" s="447"/>
      <c r="Q35" s="448"/>
      <c r="R35" s="449"/>
      <c r="S35" s="450"/>
      <c r="T35" s="451"/>
      <c r="U35" s="449"/>
      <c r="V35" s="450"/>
      <c r="W35" s="451"/>
      <c r="X35" s="449"/>
      <c r="Y35" s="450"/>
      <c r="Z35" s="451"/>
      <c r="AA35" s="449"/>
      <c r="AB35" s="450"/>
      <c r="AC35" s="451"/>
      <c r="AD35" s="449"/>
      <c r="AE35" s="450"/>
      <c r="AF35" s="451"/>
      <c r="AG35" s="553"/>
      <c r="AH35" s="554"/>
      <c r="AI35" s="554"/>
      <c r="AJ35" s="554"/>
      <c r="AK35" s="554"/>
      <c r="AL35" s="554"/>
      <c r="AM35" s="554"/>
      <c r="AN35" s="554"/>
      <c r="AO35" s="554"/>
      <c r="AP35" s="554"/>
      <c r="AQ35" s="554"/>
      <c r="AR35" s="554"/>
      <c r="AS35" s="554"/>
      <c r="AT35" s="554"/>
      <c r="AU35" s="554"/>
      <c r="AV35" s="554"/>
      <c r="AW35" s="554"/>
      <c r="AX35" s="554"/>
      <c r="AY35" s="554"/>
      <c r="AZ35" s="554"/>
      <c r="BA35" s="554"/>
      <c r="BB35" s="554"/>
      <c r="BC35" s="555"/>
      <c r="BD35" s="449"/>
      <c r="BE35" s="450"/>
      <c r="BF35" s="450"/>
      <c r="BG35" s="450"/>
      <c r="BH35" s="450"/>
      <c r="BI35" s="450"/>
      <c r="BJ35" s="451"/>
    </row>
    <row r="36" spans="1:62" ht="30" customHeight="1">
      <c r="A36" s="558"/>
      <c r="B36" s="559"/>
      <c r="C36" s="560"/>
      <c r="D36" s="446"/>
      <c r="E36" s="447"/>
      <c r="F36" s="447"/>
      <c r="G36" s="447"/>
      <c r="H36" s="447"/>
      <c r="I36" s="447"/>
      <c r="J36" s="447"/>
      <c r="K36" s="447"/>
      <c r="L36" s="447"/>
      <c r="M36" s="447"/>
      <c r="N36" s="447"/>
      <c r="O36" s="447"/>
      <c r="P36" s="447"/>
      <c r="Q36" s="448"/>
      <c r="R36" s="449"/>
      <c r="S36" s="450"/>
      <c r="T36" s="451"/>
      <c r="U36" s="449"/>
      <c r="V36" s="450"/>
      <c r="W36" s="451"/>
      <c r="X36" s="449"/>
      <c r="Y36" s="450"/>
      <c r="Z36" s="451"/>
      <c r="AA36" s="449"/>
      <c r="AB36" s="450"/>
      <c r="AC36" s="451"/>
      <c r="AD36" s="449"/>
      <c r="AE36" s="450"/>
      <c r="AF36" s="451"/>
      <c r="AG36" s="553"/>
      <c r="AH36" s="554"/>
      <c r="AI36" s="554"/>
      <c r="AJ36" s="554"/>
      <c r="AK36" s="554"/>
      <c r="AL36" s="554"/>
      <c r="AM36" s="554"/>
      <c r="AN36" s="554"/>
      <c r="AO36" s="554"/>
      <c r="AP36" s="554"/>
      <c r="AQ36" s="554"/>
      <c r="AR36" s="554"/>
      <c r="AS36" s="554"/>
      <c r="AT36" s="554"/>
      <c r="AU36" s="554"/>
      <c r="AV36" s="554"/>
      <c r="AW36" s="554"/>
      <c r="AX36" s="554"/>
      <c r="AY36" s="554"/>
      <c r="AZ36" s="554"/>
      <c r="BA36" s="554"/>
      <c r="BB36" s="554"/>
      <c r="BC36" s="555"/>
      <c r="BD36" s="449"/>
      <c r="BE36" s="450"/>
      <c r="BF36" s="450"/>
      <c r="BG36" s="450"/>
      <c r="BH36" s="450"/>
      <c r="BI36" s="450"/>
      <c r="BJ36" s="451"/>
    </row>
    <row r="37" spans="1:62" ht="30" customHeight="1">
      <c r="A37" s="558"/>
      <c r="B37" s="559"/>
      <c r="C37" s="560"/>
      <c r="D37" s="446"/>
      <c r="E37" s="447"/>
      <c r="F37" s="447"/>
      <c r="G37" s="447"/>
      <c r="H37" s="447"/>
      <c r="I37" s="447"/>
      <c r="J37" s="447"/>
      <c r="K37" s="447"/>
      <c r="L37" s="447"/>
      <c r="M37" s="447"/>
      <c r="N37" s="447"/>
      <c r="O37" s="447"/>
      <c r="P37" s="447"/>
      <c r="Q37" s="448"/>
      <c r="R37" s="449"/>
      <c r="S37" s="450"/>
      <c r="T37" s="451"/>
      <c r="U37" s="449"/>
      <c r="V37" s="450"/>
      <c r="W37" s="451"/>
      <c r="X37" s="449"/>
      <c r="Y37" s="450"/>
      <c r="Z37" s="451"/>
      <c r="AA37" s="449"/>
      <c r="AB37" s="450"/>
      <c r="AC37" s="451"/>
      <c r="AD37" s="449"/>
      <c r="AE37" s="450"/>
      <c r="AF37" s="451"/>
      <c r="AG37" s="553"/>
      <c r="AH37" s="554"/>
      <c r="AI37" s="554"/>
      <c r="AJ37" s="554"/>
      <c r="AK37" s="554"/>
      <c r="AL37" s="554"/>
      <c r="AM37" s="554"/>
      <c r="AN37" s="554"/>
      <c r="AO37" s="554"/>
      <c r="AP37" s="554"/>
      <c r="AQ37" s="554"/>
      <c r="AR37" s="554"/>
      <c r="AS37" s="554"/>
      <c r="AT37" s="554"/>
      <c r="AU37" s="554"/>
      <c r="AV37" s="554"/>
      <c r="AW37" s="554"/>
      <c r="AX37" s="554"/>
      <c r="AY37" s="554"/>
      <c r="AZ37" s="554"/>
      <c r="BA37" s="554"/>
      <c r="BB37" s="554"/>
      <c r="BC37" s="555"/>
      <c r="BD37" s="449"/>
      <c r="BE37" s="450"/>
      <c r="BF37" s="450"/>
      <c r="BG37" s="450"/>
      <c r="BH37" s="450"/>
      <c r="BI37" s="450"/>
      <c r="BJ37" s="451"/>
    </row>
    <row r="38" spans="1:62" ht="30" customHeight="1">
      <c r="A38" s="558"/>
      <c r="B38" s="559"/>
      <c r="C38" s="560"/>
      <c r="D38" s="446"/>
      <c r="E38" s="447"/>
      <c r="F38" s="447"/>
      <c r="G38" s="447"/>
      <c r="H38" s="447"/>
      <c r="I38" s="447"/>
      <c r="J38" s="447"/>
      <c r="K38" s="447"/>
      <c r="L38" s="447"/>
      <c r="M38" s="447"/>
      <c r="N38" s="447"/>
      <c r="O38" s="447"/>
      <c r="P38" s="447"/>
      <c r="Q38" s="448"/>
      <c r="R38" s="449"/>
      <c r="S38" s="450"/>
      <c r="T38" s="451"/>
      <c r="U38" s="449"/>
      <c r="V38" s="450"/>
      <c r="W38" s="451"/>
      <c r="X38" s="449"/>
      <c r="Y38" s="450"/>
      <c r="Z38" s="451"/>
      <c r="AA38" s="449"/>
      <c r="AB38" s="450"/>
      <c r="AC38" s="451"/>
      <c r="AD38" s="449"/>
      <c r="AE38" s="450"/>
      <c r="AF38" s="451"/>
      <c r="AG38" s="553"/>
      <c r="AH38" s="554"/>
      <c r="AI38" s="554"/>
      <c r="AJ38" s="554"/>
      <c r="AK38" s="554"/>
      <c r="AL38" s="554"/>
      <c r="AM38" s="554"/>
      <c r="AN38" s="554"/>
      <c r="AO38" s="554"/>
      <c r="AP38" s="554"/>
      <c r="AQ38" s="554"/>
      <c r="AR38" s="554"/>
      <c r="AS38" s="554"/>
      <c r="AT38" s="554"/>
      <c r="AU38" s="554"/>
      <c r="AV38" s="554"/>
      <c r="AW38" s="554"/>
      <c r="AX38" s="554"/>
      <c r="AY38" s="554"/>
      <c r="AZ38" s="554"/>
      <c r="BA38" s="554"/>
      <c r="BB38" s="554"/>
      <c r="BC38" s="555"/>
      <c r="BD38" s="449"/>
      <c r="BE38" s="450"/>
      <c r="BF38" s="450"/>
      <c r="BG38" s="450"/>
      <c r="BH38" s="450"/>
      <c r="BI38" s="450"/>
      <c r="BJ38" s="451"/>
    </row>
    <row r="39" spans="1:62" ht="30" customHeight="1">
      <c r="A39" s="449"/>
      <c r="B39" s="450"/>
      <c r="C39" s="451"/>
      <c r="D39" s="446"/>
      <c r="E39" s="447"/>
      <c r="F39" s="447"/>
      <c r="G39" s="447"/>
      <c r="H39" s="447"/>
      <c r="I39" s="447"/>
      <c r="J39" s="447"/>
      <c r="K39" s="447"/>
      <c r="L39" s="447"/>
      <c r="M39" s="447"/>
      <c r="N39" s="447"/>
      <c r="O39" s="447"/>
      <c r="P39" s="447"/>
      <c r="Q39" s="448"/>
      <c r="R39" s="449"/>
      <c r="S39" s="450"/>
      <c r="T39" s="451"/>
      <c r="U39" s="449"/>
      <c r="V39" s="450"/>
      <c r="W39" s="451"/>
      <c r="X39" s="449"/>
      <c r="Y39" s="450"/>
      <c r="Z39" s="451"/>
      <c r="AA39" s="449"/>
      <c r="AB39" s="450"/>
      <c r="AC39" s="451"/>
      <c r="AD39" s="449"/>
      <c r="AE39" s="450"/>
      <c r="AF39" s="451"/>
      <c r="AG39" s="553"/>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5"/>
      <c r="BD39" s="449"/>
      <c r="BE39" s="450"/>
      <c r="BF39" s="450"/>
      <c r="BG39" s="450"/>
      <c r="BH39" s="450"/>
      <c r="BI39" s="450"/>
      <c r="BJ39" s="451"/>
    </row>
    <row r="40" spans="1:62" ht="30" customHeight="1">
      <c r="A40" s="449"/>
      <c r="B40" s="450"/>
      <c r="C40" s="451"/>
      <c r="D40" s="446"/>
      <c r="E40" s="447"/>
      <c r="F40" s="447"/>
      <c r="G40" s="447"/>
      <c r="H40" s="447"/>
      <c r="I40" s="447"/>
      <c r="J40" s="447"/>
      <c r="K40" s="447"/>
      <c r="L40" s="447"/>
      <c r="M40" s="447"/>
      <c r="N40" s="447"/>
      <c r="O40" s="447"/>
      <c r="P40" s="447"/>
      <c r="Q40" s="448"/>
      <c r="R40" s="449"/>
      <c r="S40" s="450"/>
      <c r="T40" s="451"/>
      <c r="U40" s="449"/>
      <c r="V40" s="450"/>
      <c r="W40" s="451"/>
      <c r="X40" s="449"/>
      <c r="Y40" s="450"/>
      <c r="Z40" s="451"/>
      <c r="AA40" s="449"/>
      <c r="AB40" s="450"/>
      <c r="AC40" s="451"/>
      <c r="AD40" s="449"/>
      <c r="AE40" s="450"/>
      <c r="AF40" s="451"/>
      <c r="AG40" s="553"/>
      <c r="AH40" s="554"/>
      <c r="AI40" s="554"/>
      <c r="AJ40" s="554"/>
      <c r="AK40" s="554"/>
      <c r="AL40" s="554"/>
      <c r="AM40" s="554"/>
      <c r="AN40" s="554"/>
      <c r="AO40" s="554"/>
      <c r="AP40" s="554"/>
      <c r="AQ40" s="554"/>
      <c r="AR40" s="554"/>
      <c r="AS40" s="554"/>
      <c r="AT40" s="554"/>
      <c r="AU40" s="554"/>
      <c r="AV40" s="554"/>
      <c r="AW40" s="554"/>
      <c r="AX40" s="554"/>
      <c r="AY40" s="554"/>
      <c r="AZ40" s="554"/>
      <c r="BA40" s="554"/>
      <c r="BB40" s="554"/>
      <c r="BC40" s="555"/>
      <c r="BD40" s="449"/>
      <c r="BE40" s="450"/>
      <c r="BF40" s="450"/>
      <c r="BG40" s="450"/>
      <c r="BH40" s="450"/>
      <c r="BI40" s="450"/>
      <c r="BJ40" s="451"/>
    </row>
    <row r="41" spans="1:62" ht="30" customHeight="1">
      <c r="A41" s="449"/>
      <c r="B41" s="450"/>
      <c r="C41" s="451"/>
      <c r="D41" s="446"/>
      <c r="E41" s="447"/>
      <c r="F41" s="447"/>
      <c r="G41" s="447"/>
      <c r="H41" s="447"/>
      <c r="I41" s="447"/>
      <c r="J41" s="447"/>
      <c r="K41" s="447"/>
      <c r="L41" s="447"/>
      <c r="M41" s="447"/>
      <c r="N41" s="447"/>
      <c r="O41" s="447"/>
      <c r="P41" s="447"/>
      <c r="Q41" s="448"/>
      <c r="R41" s="449"/>
      <c r="S41" s="450"/>
      <c r="T41" s="451"/>
      <c r="U41" s="449"/>
      <c r="V41" s="450"/>
      <c r="W41" s="451"/>
      <c r="X41" s="449"/>
      <c r="Y41" s="450"/>
      <c r="Z41" s="451"/>
      <c r="AA41" s="449"/>
      <c r="AB41" s="450"/>
      <c r="AC41" s="451"/>
      <c r="AD41" s="449"/>
      <c r="AE41" s="450"/>
      <c r="AF41" s="451"/>
      <c r="AG41" s="553"/>
      <c r="AH41" s="554"/>
      <c r="AI41" s="554"/>
      <c r="AJ41" s="554"/>
      <c r="AK41" s="554"/>
      <c r="AL41" s="554"/>
      <c r="AM41" s="554"/>
      <c r="AN41" s="554"/>
      <c r="AO41" s="554"/>
      <c r="AP41" s="554"/>
      <c r="AQ41" s="554"/>
      <c r="AR41" s="554"/>
      <c r="AS41" s="554"/>
      <c r="AT41" s="554"/>
      <c r="AU41" s="554"/>
      <c r="AV41" s="554"/>
      <c r="AW41" s="554"/>
      <c r="AX41" s="554"/>
      <c r="AY41" s="554"/>
      <c r="AZ41" s="554"/>
      <c r="BA41" s="554"/>
      <c r="BB41" s="554"/>
      <c r="BC41" s="555"/>
      <c r="BD41" s="449"/>
      <c r="BE41" s="450"/>
      <c r="BF41" s="450"/>
      <c r="BG41" s="450"/>
      <c r="BH41" s="450"/>
      <c r="BI41" s="450"/>
      <c r="BJ41" s="451"/>
    </row>
    <row r="42" spans="1:62" ht="30" customHeight="1">
      <c r="A42" s="461"/>
      <c r="B42" s="462"/>
      <c r="C42" s="463"/>
      <c r="D42" s="458"/>
      <c r="E42" s="459"/>
      <c r="F42" s="459"/>
      <c r="G42" s="459"/>
      <c r="H42" s="459"/>
      <c r="I42" s="459"/>
      <c r="J42" s="459"/>
      <c r="K42" s="459"/>
      <c r="L42" s="459"/>
      <c r="M42" s="459"/>
      <c r="N42" s="459"/>
      <c r="O42" s="459"/>
      <c r="P42" s="459"/>
      <c r="Q42" s="460"/>
      <c r="R42" s="461"/>
      <c r="S42" s="462"/>
      <c r="T42" s="463"/>
      <c r="U42" s="461"/>
      <c r="V42" s="462"/>
      <c r="W42" s="463"/>
      <c r="X42" s="461"/>
      <c r="Y42" s="462"/>
      <c r="Z42" s="463"/>
      <c r="AA42" s="461"/>
      <c r="AB42" s="462"/>
      <c r="AC42" s="463"/>
      <c r="AD42" s="461"/>
      <c r="AE42" s="462"/>
      <c r="AF42" s="463"/>
      <c r="AG42" s="458"/>
      <c r="AH42" s="459"/>
      <c r="AI42" s="459"/>
      <c r="AJ42" s="459"/>
      <c r="AK42" s="459"/>
      <c r="AL42" s="459"/>
      <c r="AM42" s="459"/>
      <c r="AN42" s="459"/>
      <c r="AO42" s="459"/>
      <c r="AP42" s="459"/>
      <c r="AQ42" s="459"/>
      <c r="AR42" s="459"/>
      <c r="AS42" s="459"/>
      <c r="AT42" s="459"/>
      <c r="AU42" s="459"/>
      <c r="AV42" s="459"/>
      <c r="AW42" s="459"/>
      <c r="AX42" s="459"/>
      <c r="AY42" s="459"/>
      <c r="AZ42" s="459"/>
      <c r="BA42" s="459"/>
      <c r="BB42" s="459"/>
      <c r="BC42" s="460"/>
      <c r="BD42" s="461"/>
      <c r="BE42" s="462"/>
      <c r="BF42" s="462"/>
      <c r="BG42" s="462"/>
      <c r="BH42" s="462"/>
      <c r="BI42" s="462"/>
      <c r="BJ42" s="463"/>
    </row>
    <row r="43" spans="1:62" s="20" customFormat="1" ht="5.25" customHeight="1">
      <c r="B43" s="21"/>
      <c r="C43" s="21"/>
      <c r="D43" s="21"/>
      <c r="E43" s="21"/>
      <c r="F43" s="21"/>
      <c r="G43" s="21"/>
      <c r="H43" s="21"/>
      <c r="I43" s="21"/>
      <c r="J43" s="21"/>
      <c r="K43" s="21"/>
      <c r="L43" s="21"/>
      <c r="M43" s="21"/>
      <c r="N43" s="21"/>
      <c r="O43" s="21"/>
      <c r="P43" s="21"/>
      <c r="Q43" s="21"/>
      <c r="R43" s="21"/>
      <c r="S43" s="21"/>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33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38:C38"/>
    <mergeCell ref="D38:Q38"/>
    <mergeCell ref="R38:T38"/>
    <mergeCell ref="U38:W38"/>
    <mergeCell ref="X38:Z38"/>
    <mergeCell ref="AA38:AC38"/>
    <mergeCell ref="AD38:AF38"/>
    <mergeCell ref="AG38:BC38"/>
    <mergeCell ref="BD38:BJ38"/>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G40:BC40"/>
    <mergeCell ref="BD40:BJ40"/>
    <mergeCell ref="A41:C41"/>
    <mergeCell ref="D41:Q41"/>
    <mergeCell ref="R41:T41"/>
    <mergeCell ref="U41:W41"/>
    <mergeCell ref="X41:Z41"/>
    <mergeCell ref="AA41:AC41"/>
    <mergeCell ref="AD41:AF41"/>
    <mergeCell ref="AG41:BC41"/>
    <mergeCell ref="BD41:BJ41"/>
    <mergeCell ref="AG42:BC42"/>
    <mergeCell ref="BD42:BJ42"/>
    <mergeCell ref="A42:C42"/>
    <mergeCell ref="D42:Q42"/>
    <mergeCell ref="R42:T42"/>
    <mergeCell ref="U42:W42"/>
    <mergeCell ref="X42:Z42"/>
    <mergeCell ref="AA42:AC42"/>
    <mergeCell ref="AD42:AF42"/>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92DD-622D-4716-B2A0-9819253348AA}">
  <sheetPr codeName="Sheet15"/>
  <dimension ref="A1:BK55"/>
  <sheetViews>
    <sheetView view="pageBreakPreview" zoomScaleNormal="100" zoomScaleSheetLayoutView="100" workbookViewId="0"/>
  </sheetViews>
  <sheetFormatPr defaultColWidth="1.90625" defaultRowHeight="14"/>
  <cols>
    <col min="1" max="74" width="2.08984375" style="18" customWidth="1"/>
    <col min="75" max="16384" width="1.9062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76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77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36" t="s">
        <v>39</v>
      </c>
      <c r="B8" s="337"/>
      <c r="C8" s="338"/>
      <c r="D8" s="336" t="s">
        <v>78</v>
      </c>
      <c r="E8" s="337"/>
      <c r="F8" s="337"/>
      <c r="G8" s="337"/>
      <c r="H8" s="337"/>
      <c r="I8" s="337"/>
      <c r="J8" s="337"/>
      <c r="K8" s="337"/>
      <c r="L8" s="337"/>
      <c r="M8" s="337"/>
      <c r="N8" s="337"/>
      <c r="O8" s="337"/>
      <c r="P8" s="338"/>
      <c r="Q8" s="336" t="s">
        <v>79</v>
      </c>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30" customHeight="1">
      <c r="A9" s="558"/>
      <c r="B9" s="559"/>
      <c r="C9" s="560"/>
      <c r="D9" s="579"/>
      <c r="E9" s="580"/>
      <c r="F9" s="580"/>
      <c r="G9" s="580"/>
      <c r="H9" s="580"/>
      <c r="I9" s="580"/>
      <c r="J9" s="580"/>
      <c r="K9" s="580"/>
      <c r="L9" s="580"/>
      <c r="M9" s="580"/>
      <c r="N9" s="580"/>
      <c r="O9" s="580"/>
      <c r="P9" s="581"/>
      <c r="Q9" s="579" t="s">
        <v>123</v>
      </c>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0"/>
      <c r="BB9" s="580"/>
      <c r="BC9" s="581"/>
      <c r="BD9" s="582"/>
      <c r="BE9" s="583"/>
      <c r="BF9" s="583"/>
      <c r="BG9" s="583"/>
      <c r="BH9" s="583"/>
      <c r="BI9" s="583"/>
      <c r="BJ9" s="584"/>
    </row>
    <row r="10" spans="1:63" ht="30" customHeight="1">
      <c r="A10" s="558"/>
      <c r="B10" s="559"/>
      <c r="C10" s="560"/>
      <c r="D10" s="579"/>
      <c r="E10" s="580"/>
      <c r="F10" s="580"/>
      <c r="G10" s="580"/>
      <c r="H10" s="580"/>
      <c r="I10" s="580"/>
      <c r="J10" s="580"/>
      <c r="K10" s="580"/>
      <c r="L10" s="580"/>
      <c r="M10" s="580"/>
      <c r="N10" s="580"/>
      <c r="O10" s="580"/>
      <c r="P10" s="581"/>
      <c r="Q10" s="579"/>
      <c r="R10" s="580"/>
      <c r="S10" s="580"/>
      <c r="T10" s="580"/>
      <c r="U10" s="580"/>
      <c r="V10" s="580"/>
      <c r="W10" s="580"/>
      <c r="X10" s="580"/>
      <c r="Y10" s="580"/>
      <c r="Z10" s="580"/>
      <c r="AA10" s="580"/>
      <c r="AB10" s="580"/>
      <c r="AC10" s="580"/>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c r="AZ10" s="580"/>
      <c r="BA10" s="580"/>
      <c r="BB10" s="580"/>
      <c r="BC10" s="581"/>
      <c r="BD10" s="582"/>
      <c r="BE10" s="583"/>
      <c r="BF10" s="583"/>
      <c r="BG10" s="583"/>
      <c r="BH10" s="583"/>
      <c r="BI10" s="583"/>
      <c r="BJ10" s="584"/>
    </row>
    <row r="11" spans="1:63" ht="30" customHeight="1">
      <c r="A11" s="582"/>
      <c r="B11" s="583"/>
      <c r="C11" s="584"/>
      <c r="D11" s="684"/>
      <c r="E11" s="685"/>
      <c r="F11" s="685"/>
      <c r="G11" s="685"/>
      <c r="H11" s="685"/>
      <c r="I11" s="685"/>
      <c r="J11" s="685"/>
      <c r="K11" s="685"/>
      <c r="L11" s="685"/>
      <c r="M11" s="685"/>
      <c r="N11" s="685"/>
      <c r="O11" s="685"/>
      <c r="P11" s="686"/>
      <c r="Q11" s="687"/>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688"/>
      <c r="BA11" s="688"/>
      <c r="BB11" s="688"/>
      <c r="BC11" s="689"/>
      <c r="BD11" s="582"/>
      <c r="BE11" s="583"/>
      <c r="BF11" s="583"/>
      <c r="BG11" s="583"/>
      <c r="BH11" s="583"/>
      <c r="BI11" s="583"/>
      <c r="BJ11" s="584"/>
    </row>
    <row r="12" spans="1:63" ht="30" customHeight="1">
      <c r="A12" s="582"/>
      <c r="B12" s="583"/>
      <c r="C12" s="584"/>
      <c r="D12" s="684"/>
      <c r="E12" s="685"/>
      <c r="F12" s="685"/>
      <c r="G12" s="685"/>
      <c r="H12" s="685"/>
      <c r="I12" s="685"/>
      <c r="J12" s="685"/>
      <c r="K12" s="685"/>
      <c r="L12" s="685"/>
      <c r="M12" s="685"/>
      <c r="N12" s="685"/>
      <c r="O12" s="685"/>
      <c r="P12" s="686"/>
      <c r="Q12" s="687"/>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688"/>
      <c r="BA12" s="688"/>
      <c r="BB12" s="688"/>
      <c r="BC12" s="689"/>
      <c r="BD12" s="582"/>
      <c r="BE12" s="583"/>
      <c r="BF12" s="583"/>
      <c r="BG12" s="583"/>
      <c r="BH12" s="583"/>
      <c r="BI12" s="583"/>
      <c r="BJ12" s="584"/>
    </row>
    <row r="13" spans="1:63" ht="30" customHeight="1">
      <c r="A13" s="582"/>
      <c r="B13" s="583"/>
      <c r="C13" s="584"/>
      <c r="D13" s="684"/>
      <c r="E13" s="685"/>
      <c r="F13" s="685"/>
      <c r="G13" s="685"/>
      <c r="H13" s="685"/>
      <c r="I13" s="685"/>
      <c r="J13" s="685"/>
      <c r="K13" s="685"/>
      <c r="L13" s="685"/>
      <c r="M13" s="685"/>
      <c r="N13" s="685"/>
      <c r="O13" s="685"/>
      <c r="P13" s="686"/>
      <c r="Q13" s="687"/>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688"/>
      <c r="BA13" s="688"/>
      <c r="BB13" s="688"/>
      <c r="BC13" s="689"/>
      <c r="BD13" s="582"/>
      <c r="BE13" s="583"/>
      <c r="BF13" s="583"/>
      <c r="BG13" s="583"/>
      <c r="BH13" s="583"/>
      <c r="BI13" s="583"/>
      <c r="BJ13" s="584"/>
    </row>
    <row r="14" spans="1:63" ht="30" customHeight="1">
      <c r="A14" s="582"/>
      <c r="B14" s="583"/>
      <c r="C14" s="584"/>
      <c r="D14" s="684"/>
      <c r="E14" s="685"/>
      <c r="F14" s="685"/>
      <c r="G14" s="685"/>
      <c r="H14" s="685"/>
      <c r="I14" s="685"/>
      <c r="J14" s="685"/>
      <c r="K14" s="685"/>
      <c r="L14" s="685"/>
      <c r="M14" s="685"/>
      <c r="N14" s="685"/>
      <c r="O14" s="685"/>
      <c r="P14" s="686"/>
      <c r="Q14" s="687"/>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688"/>
      <c r="BA14" s="688"/>
      <c r="BB14" s="688"/>
      <c r="BC14" s="689"/>
      <c r="BD14" s="582"/>
      <c r="BE14" s="583"/>
      <c r="BF14" s="583"/>
      <c r="BG14" s="583"/>
      <c r="BH14" s="583"/>
      <c r="BI14" s="583"/>
      <c r="BJ14" s="584"/>
    </row>
    <row r="15" spans="1:63" ht="30" customHeight="1">
      <c r="A15" s="582"/>
      <c r="B15" s="583"/>
      <c r="C15" s="584"/>
      <c r="D15" s="684"/>
      <c r="E15" s="685"/>
      <c r="F15" s="685"/>
      <c r="G15" s="685"/>
      <c r="H15" s="685"/>
      <c r="I15" s="685"/>
      <c r="J15" s="685"/>
      <c r="K15" s="685"/>
      <c r="L15" s="685"/>
      <c r="M15" s="685"/>
      <c r="N15" s="685"/>
      <c r="O15" s="685"/>
      <c r="P15" s="686"/>
      <c r="Q15" s="687"/>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688"/>
      <c r="BA15" s="688"/>
      <c r="BB15" s="688"/>
      <c r="BC15" s="689"/>
      <c r="BD15" s="582"/>
      <c r="BE15" s="583"/>
      <c r="BF15" s="583"/>
      <c r="BG15" s="583"/>
      <c r="BH15" s="583"/>
      <c r="BI15" s="583"/>
      <c r="BJ15" s="584"/>
    </row>
    <row r="16" spans="1:63" ht="30" customHeight="1">
      <c r="A16" s="582"/>
      <c r="B16" s="583"/>
      <c r="C16" s="584"/>
      <c r="D16" s="684"/>
      <c r="E16" s="685"/>
      <c r="F16" s="685"/>
      <c r="G16" s="685"/>
      <c r="H16" s="685"/>
      <c r="I16" s="685"/>
      <c r="J16" s="685"/>
      <c r="K16" s="685"/>
      <c r="L16" s="685"/>
      <c r="M16" s="685"/>
      <c r="N16" s="685"/>
      <c r="O16" s="685"/>
      <c r="P16" s="686"/>
      <c r="Q16" s="687"/>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688"/>
      <c r="BA16" s="688"/>
      <c r="BB16" s="688"/>
      <c r="BC16" s="689"/>
      <c r="BD16" s="582"/>
      <c r="BE16" s="583"/>
      <c r="BF16" s="583"/>
      <c r="BG16" s="583"/>
      <c r="BH16" s="583"/>
      <c r="BI16" s="583"/>
      <c r="BJ16" s="584"/>
    </row>
    <row r="17" spans="1:62" ht="30" customHeight="1">
      <c r="A17" s="582"/>
      <c r="B17" s="583"/>
      <c r="C17" s="584"/>
      <c r="D17" s="684"/>
      <c r="E17" s="685"/>
      <c r="F17" s="685"/>
      <c r="G17" s="685"/>
      <c r="H17" s="685"/>
      <c r="I17" s="685"/>
      <c r="J17" s="685"/>
      <c r="K17" s="685"/>
      <c r="L17" s="685"/>
      <c r="M17" s="685"/>
      <c r="N17" s="685"/>
      <c r="O17" s="685"/>
      <c r="P17" s="686"/>
      <c r="Q17" s="687"/>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688"/>
      <c r="BA17" s="688"/>
      <c r="BB17" s="688"/>
      <c r="BC17" s="689"/>
      <c r="BD17" s="582"/>
      <c r="BE17" s="583"/>
      <c r="BF17" s="583"/>
      <c r="BG17" s="583"/>
      <c r="BH17" s="583"/>
      <c r="BI17" s="583"/>
      <c r="BJ17" s="584"/>
    </row>
    <row r="18" spans="1:62" ht="30" customHeight="1">
      <c r="A18" s="449"/>
      <c r="B18" s="450"/>
      <c r="C18" s="451"/>
      <c r="D18" s="495"/>
      <c r="E18" s="496"/>
      <c r="F18" s="496"/>
      <c r="G18" s="496"/>
      <c r="H18" s="496"/>
      <c r="I18" s="496"/>
      <c r="J18" s="496"/>
      <c r="K18" s="496"/>
      <c r="L18" s="496"/>
      <c r="M18" s="496"/>
      <c r="N18" s="496"/>
      <c r="O18" s="496"/>
      <c r="P18" s="497"/>
      <c r="Q18" s="452"/>
      <c r="R18" s="504"/>
      <c r="S18" s="504"/>
      <c r="T18" s="504"/>
      <c r="U18" s="504"/>
      <c r="V18" s="504"/>
      <c r="W18" s="504"/>
      <c r="X18" s="504"/>
      <c r="Y18" s="504"/>
      <c r="Z18" s="504"/>
      <c r="AA18" s="504"/>
      <c r="AB18" s="504"/>
      <c r="AC18" s="504"/>
      <c r="AD18" s="504"/>
      <c r="AE18" s="504"/>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5"/>
      <c r="BD18" s="449"/>
      <c r="BE18" s="450"/>
      <c r="BF18" s="450"/>
      <c r="BG18" s="450"/>
      <c r="BH18" s="450"/>
      <c r="BI18" s="450"/>
      <c r="BJ18" s="451"/>
    </row>
    <row r="19" spans="1:62" ht="30" customHeight="1">
      <c r="A19" s="449"/>
      <c r="B19" s="450"/>
      <c r="C19" s="451"/>
      <c r="D19" s="495"/>
      <c r="E19" s="496"/>
      <c r="F19" s="496"/>
      <c r="G19" s="496"/>
      <c r="H19" s="496"/>
      <c r="I19" s="496"/>
      <c r="J19" s="496"/>
      <c r="K19" s="496"/>
      <c r="L19" s="496"/>
      <c r="M19" s="496"/>
      <c r="N19" s="496"/>
      <c r="O19" s="496"/>
      <c r="P19" s="497"/>
      <c r="Q19" s="452"/>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5"/>
      <c r="BD19" s="449"/>
      <c r="BE19" s="450"/>
      <c r="BF19" s="450"/>
      <c r="BG19" s="450"/>
      <c r="BH19" s="450"/>
      <c r="BI19" s="450"/>
      <c r="BJ19" s="451"/>
    </row>
    <row r="20" spans="1:62" ht="30" customHeight="1">
      <c r="A20" s="449"/>
      <c r="B20" s="450"/>
      <c r="C20" s="451"/>
      <c r="D20" s="495"/>
      <c r="E20" s="496"/>
      <c r="F20" s="496"/>
      <c r="G20" s="496"/>
      <c r="H20" s="496"/>
      <c r="I20" s="496"/>
      <c r="J20" s="496"/>
      <c r="K20" s="496"/>
      <c r="L20" s="496"/>
      <c r="M20" s="496"/>
      <c r="N20" s="496"/>
      <c r="O20" s="496"/>
      <c r="P20" s="497"/>
      <c r="Q20" s="452"/>
      <c r="R20" s="504"/>
      <c r="S20" s="504"/>
      <c r="T20" s="504"/>
      <c r="U20" s="504"/>
      <c r="V20" s="504"/>
      <c r="W20" s="504"/>
      <c r="X20" s="504"/>
      <c r="Y20" s="504"/>
      <c r="Z20" s="504"/>
      <c r="AA20" s="504"/>
      <c r="AB20" s="504"/>
      <c r="AC20" s="504"/>
      <c r="AD20" s="504"/>
      <c r="AE20" s="504"/>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5"/>
      <c r="BD20" s="449"/>
      <c r="BE20" s="450"/>
      <c r="BF20" s="450"/>
      <c r="BG20" s="450"/>
      <c r="BH20" s="450"/>
      <c r="BI20" s="450"/>
      <c r="BJ20" s="451"/>
    </row>
    <row r="21" spans="1:62" ht="30" customHeight="1">
      <c r="A21" s="449"/>
      <c r="B21" s="450"/>
      <c r="C21" s="451"/>
      <c r="D21" s="495"/>
      <c r="E21" s="496"/>
      <c r="F21" s="496"/>
      <c r="G21" s="496"/>
      <c r="H21" s="496"/>
      <c r="I21" s="496"/>
      <c r="J21" s="496"/>
      <c r="K21" s="496"/>
      <c r="L21" s="496"/>
      <c r="M21" s="496"/>
      <c r="N21" s="496"/>
      <c r="O21" s="496"/>
      <c r="P21" s="497"/>
      <c r="Q21" s="452"/>
      <c r="R21" s="504"/>
      <c r="S21" s="504"/>
      <c r="T21" s="504"/>
      <c r="U21" s="504"/>
      <c r="V21" s="504"/>
      <c r="W21" s="504"/>
      <c r="X21" s="504"/>
      <c r="Y21" s="504"/>
      <c r="Z21" s="504"/>
      <c r="AA21" s="504"/>
      <c r="AB21" s="504"/>
      <c r="AC21" s="504"/>
      <c r="AD21" s="504"/>
      <c r="AE21" s="504"/>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5"/>
      <c r="BD21" s="449"/>
      <c r="BE21" s="450"/>
      <c r="BF21" s="450"/>
      <c r="BG21" s="450"/>
      <c r="BH21" s="450"/>
      <c r="BI21" s="450"/>
      <c r="BJ21" s="451"/>
    </row>
    <row r="22" spans="1:62" ht="30" customHeight="1">
      <c r="A22" s="449"/>
      <c r="B22" s="450"/>
      <c r="C22" s="451"/>
      <c r="D22" s="495"/>
      <c r="E22" s="496"/>
      <c r="F22" s="496"/>
      <c r="G22" s="496"/>
      <c r="H22" s="496"/>
      <c r="I22" s="496"/>
      <c r="J22" s="496"/>
      <c r="K22" s="496"/>
      <c r="L22" s="496"/>
      <c r="M22" s="496"/>
      <c r="N22" s="496"/>
      <c r="O22" s="496"/>
      <c r="P22" s="497"/>
      <c r="Q22" s="452"/>
      <c r="R22" s="504"/>
      <c r="S22" s="504"/>
      <c r="T22" s="504"/>
      <c r="U22" s="504"/>
      <c r="V22" s="504"/>
      <c r="W22" s="504"/>
      <c r="X22" s="504"/>
      <c r="Y22" s="504"/>
      <c r="Z22" s="504"/>
      <c r="AA22" s="504"/>
      <c r="AB22" s="504"/>
      <c r="AC22" s="504"/>
      <c r="AD22" s="504"/>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5"/>
      <c r="BD22" s="449"/>
      <c r="BE22" s="450"/>
      <c r="BF22" s="450"/>
      <c r="BG22" s="450"/>
      <c r="BH22" s="450"/>
      <c r="BI22" s="450"/>
      <c r="BJ22" s="451"/>
    </row>
    <row r="23" spans="1:62" ht="30" customHeight="1">
      <c r="A23" s="449"/>
      <c r="B23" s="450"/>
      <c r="C23" s="451"/>
      <c r="D23" s="495"/>
      <c r="E23" s="496"/>
      <c r="F23" s="496"/>
      <c r="G23" s="496"/>
      <c r="H23" s="496"/>
      <c r="I23" s="496"/>
      <c r="J23" s="496"/>
      <c r="K23" s="496"/>
      <c r="L23" s="496"/>
      <c r="M23" s="496"/>
      <c r="N23" s="496"/>
      <c r="O23" s="496"/>
      <c r="P23" s="497"/>
      <c r="Q23" s="452"/>
      <c r="R23" s="504"/>
      <c r="S23" s="504"/>
      <c r="T23" s="504"/>
      <c r="U23" s="504"/>
      <c r="V23" s="504"/>
      <c r="W23" s="504"/>
      <c r="X23" s="504"/>
      <c r="Y23" s="504"/>
      <c r="Z23" s="504"/>
      <c r="AA23" s="504"/>
      <c r="AB23" s="504"/>
      <c r="AC23" s="504"/>
      <c r="AD23" s="504"/>
      <c r="AE23" s="504"/>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5"/>
      <c r="BD23" s="449"/>
      <c r="BE23" s="450"/>
      <c r="BF23" s="450"/>
      <c r="BG23" s="450"/>
      <c r="BH23" s="450"/>
      <c r="BI23" s="450"/>
      <c r="BJ23" s="451"/>
    </row>
    <row r="24" spans="1:62" ht="30" customHeight="1">
      <c r="A24" s="449"/>
      <c r="B24" s="450"/>
      <c r="C24" s="451"/>
      <c r="D24" s="495"/>
      <c r="E24" s="496"/>
      <c r="F24" s="496"/>
      <c r="G24" s="496"/>
      <c r="H24" s="496"/>
      <c r="I24" s="496"/>
      <c r="J24" s="496"/>
      <c r="K24" s="496"/>
      <c r="L24" s="496"/>
      <c r="M24" s="496"/>
      <c r="N24" s="496"/>
      <c r="O24" s="496"/>
      <c r="P24" s="497"/>
      <c r="Q24" s="452"/>
      <c r="R24" s="504"/>
      <c r="S24" s="504"/>
      <c r="T24" s="504"/>
      <c r="U24" s="504"/>
      <c r="V24" s="504"/>
      <c r="W24" s="504"/>
      <c r="X24" s="504"/>
      <c r="Y24" s="504"/>
      <c r="Z24" s="504"/>
      <c r="AA24" s="504"/>
      <c r="AB24" s="504"/>
      <c r="AC24" s="504"/>
      <c r="AD24" s="504"/>
      <c r="AE24" s="504"/>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5"/>
      <c r="BD24" s="449"/>
      <c r="BE24" s="450"/>
      <c r="BF24" s="450"/>
      <c r="BG24" s="450"/>
      <c r="BH24" s="450"/>
      <c r="BI24" s="450"/>
      <c r="BJ24" s="451"/>
    </row>
    <row r="25" spans="1:62" ht="30" customHeight="1">
      <c r="A25" s="449"/>
      <c r="B25" s="450"/>
      <c r="C25" s="451"/>
      <c r="D25" s="495"/>
      <c r="E25" s="496"/>
      <c r="F25" s="496"/>
      <c r="G25" s="496"/>
      <c r="H25" s="496"/>
      <c r="I25" s="496"/>
      <c r="J25" s="496"/>
      <c r="K25" s="496"/>
      <c r="L25" s="496"/>
      <c r="M25" s="496"/>
      <c r="N25" s="496"/>
      <c r="O25" s="496"/>
      <c r="P25" s="497"/>
      <c r="Q25" s="452"/>
      <c r="R25" s="504"/>
      <c r="S25" s="504"/>
      <c r="T25" s="504"/>
      <c r="U25" s="504"/>
      <c r="V25" s="504"/>
      <c r="W25" s="504"/>
      <c r="X25" s="504"/>
      <c r="Y25" s="504"/>
      <c r="Z25" s="504"/>
      <c r="AA25" s="504"/>
      <c r="AB25" s="504"/>
      <c r="AC25" s="504"/>
      <c r="AD25" s="504"/>
      <c r="AE25" s="504"/>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5"/>
      <c r="BD25" s="449"/>
      <c r="BE25" s="450"/>
      <c r="BF25" s="450"/>
      <c r="BG25" s="450"/>
      <c r="BH25" s="450"/>
      <c r="BI25" s="450"/>
      <c r="BJ25" s="451"/>
    </row>
    <row r="26" spans="1:62" ht="30" customHeight="1">
      <c r="A26" s="449"/>
      <c r="B26" s="450"/>
      <c r="C26" s="451"/>
      <c r="D26" s="495"/>
      <c r="E26" s="496"/>
      <c r="F26" s="496"/>
      <c r="G26" s="496"/>
      <c r="H26" s="496"/>
      <c r="I26" s="496"/>
      <c r="J26" s="496"/>
      <c r="K26" s="496"/>
      <c r="L26" s="496"/>
      <c r="M26" s="496"/>
      <c r="N26" s="496"/>
      <c r="O26" s="496"/>
      <c r="P26" s="497"/>
      <c r="Q26" s="452"/>
      <c r="R26" s="504"/>
      <c r="S26" s="504"/>
      <c r="T26" s="504"/>
      <c r="U26" s="504"/>
      <c r="V26" s="504"/>
      <c r="W26" s="504"/>
      <c r="X26" s="504"/>
      <c r="Y26" s="504"/>
      <c r="Z26" s="504"/>
      <c r="AA26" s="504"/>
      <c r="AB26" s="504"/>
      <c r="AC26" s="504"/>
      <c r="AD26" s="504"/>
      <c r="AE26" s="504"/>
      <c r="AF26" s="504"/>
      <c r="AG26" s="504"/>
      <c r="AH26" s="504"/>
      <c r="AI26" s="504"/>
      <c r="AJ26" s="504"/>
      <c r="AK26" s="504"/>
      <c r="AL26" s="504"/>
      <c r="AM26" s="504"/>
      <c r="AN26" s="504"/>
      <c r="AO26" s="504"/>
      <c r="AP26" s="504"/>
      <c r="AQ26" s="504"/>
      <c r="AR26" s="504"/>
      <c r="AS26" s="504"/>
      <c r="AT26" s="504"/>
      <c r="AU26" s="504"/>
      <c r="AV26" s="504"/>
      <c r="AW26" s="504"/>
      <c r="AX26" s="504"/>
      <c r="AY26" s="504"/>
      <c r="AZ26" s="504"/>
      <c r="BA26" s="504"/>
      <c r="BB26" s="504"/>
      <c r="BC26" s="505"/>
      <c r="BD26" s="449"/>
      <c r="BE26" s="450"/>
      <c r="BF26" s="450"/>
      <c r="BG26" s="450"/>
      <c r="BH26" s="450"/>
      <c r="BI26" s="450"/>
      <c r="BJ26" s="451"/>
    </row>
    <row r="27" spans="1:62" ht="30" customHeight="1">
      <c r="A27" s="449"/>
      <c r="B27" s="450"/>
      <c r="C27" s="451"/>
      <c r="D27" s="495"/>
      <c r="E27" s="496"/>
      <c r="F27" s="496"/>
      <c r="G27" s="496"/>
      <c r="H27" s="496"/>
      <c r="I27" s="496"/>
      <c r="J27" s="496"/>
      <c r="K27" s="496"/>
      <c r="L27" s="496"/>
      <c r="M27" s="496"/>
      <c r="N27" s="496"/>
      <c r="O27" s="496"/>
      <c r="P27" s="497"/>
      <c r="Q27" s="452"/>
      <c r="R27" s="504"/>
      <c r="S27" s="504"/>
      <c r="T27" s="504"/>
      <c r="U27" s="504"/>
      <c r="V27" s="504"/>
      <c r="W27" s="504"/>
      <c r="X27" s="504"/>
      <c r="Y27" s="504"/>
      <c r="Z27" s="504"/>
      <c r="AA27" s="504"/>
      <c r="AB27" s="504"/>
      <c r="AC27" s="504"/>
      <c r="AD27" s="504"/>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5"/>
      <c r="BD27" s="449"/>
      <c r="BE27" s="450"/>
      <c r="BF27" s="450"/>
      <c r="BG27" s="450"/>
      <c r="BH27" s="450"/>
      <c r="BI27" s="450"/>
      <c r="BJ27" s="451"/>
    </row>
    <row r="28" spans="1:62" ht="30" customHeight="1">
      <c r="A28" s="449"/>
      <c r="B28" s="450"/>
      <c r="C28" s="451"/>
      <c r="D28" s="495"/>
      <c r="E28" s="496"/>
      <c r="F28" s="496"/>
      <c r="G28" s="496"/>
      <c r="H28" s="496"/>
      <c r="I28" s="496"/>
      <c r="J28" s="496"/>
      <c r="K28" s="496"/>
      <c r="L28" s="496"/>
      <c r="M28" s="496"/>
      <c r="N28" s="496"/>
      <c r="O28" s="496"/>
      <c r="P28" s="497"/>
      <c r="Q28" s="452"/>
      <c r="R28" s="504"/>
      <c r="S28" s="504"/>
      <c r="T28" s="504"/>
      <c r="U28" s="504"/>
      <c r="V28" s="504"/>
      <c r="W28" s="504"/>
      <c r="X28" s="504"/>
      <c r="Y28" s="504"/>
      <c r="Z28" s="504"/>
      <c r="AA28" s="504"/>
      <c r="AB28" s="504"/>
      <c r="AC28" s="504"/>
      <c r="AD28" s="504"/>
      <c r="AE28" s="504"/>
      <c r="AF28" s="504"/>
      <c r="AG28" s="504"/>
      <c r="AH28" s="504"/>
      <c r="AI28" s="504"/>
      <c r="AJ28" s="504"/>
      <c r="AK28" s="504"/>
      <c r="AL28" s="504"/>
      <c r="AM28" s="504"/>
      <c r="AN28" s="504"/>
      <c r="AO28" s="504"/>
      <c r="AP28" s="504"/>
      <c r="AQ28" s="504"/>
      <c r="AR28" s="504"/>
      <c r="AS28" s="504"/>
      <c r="AT28" s="504"/>
      <c r="AU28" s="504"/>
      <c r="AV28" s="504"/>
      <c r="AW28" s="504"/>
      <c r="AX28" s="504"/>
      <c r="AY28" s="504"/>
      <c r="AZ28" s="504"/>
      <c r="BA28" s="504"/>
      <c r="BB28" s="504"/>
      <c r="BC28" s="505"/>
      <c r="BD28" s="449"/>
      <c r="BE28" s="450"/>
      <c r="BF28" s="450"/>
      <c r="BG28" s="450"/>
      <c r="BH28" s="450"/>
      <c r="BI28" s="450"/>
      <c r="BJ28" s="451"/>
    </row>
    <row r="29" spans="1:62" ht="30" customHeight="1">
      <c r="A29" s="449"/>
      <c r="B29" s="450"/>
      <c r="C29" s="451"/>
      <c r="D29" s="495"/>
      <c r="E29" s="496"/>
      <c r="F29" s="496"/>
      <c r="G29" s="496"/>
      <c r="H29" s="496"/>
      <c r="I29" s="496"/>
      <c r="J29" s="496"/>
      <c r="K29" s="496"/>
      <c r="L29" s="496"/>
      <c r="M29" s="496"/>
      <c r="N29" s="496"/>
      <c r="O29" s="496"/>
      <c r="P29" s="497"/>
      <c r="Q29" s="452"/>
      <c r="R29" s="504"/>
      <c r="S29" s="504"/>
      <c r="T29" s="504"/>
      <c r="U29" s="504"/>
      <c r="V29" s="504"/>
      <c r="W29" s="504"/>
      <c r="X29" s="504"/>
      <c r="Y29" s="504"/>
      <c r="Z29" s="504"/>
      <c r="AA29" s="504"/>
      <c r="AB29" s="504"/>
      <c r="AC29" s="504"/>
      <c r="AD29" s="504"/>
      <c r="AE29" s="504"/>
      <c r="AF29" s="504"/>
      <c r="AG29" s="504"/>
      <c r="AH29" s="504"/>
      <c r="AI29" s="504"/>
      <c r="AJ29" s="504"/>
      <c r="AK29" s="504"/>
      <c r="AL29" s="504"/>
      <c r="AM29" s="504"/>
      <c r="AN29" s="504"/>
      <c r="AO29" s="504"/>
      <c r="AP29" s="504"/>
      <c r="AQ29" s="504"/>
      <c r="AR29" s="504"/>
      <c r="AS29" s="504"/>
      <c r="AT29" s="504"/>
      <c r="AU29" s="504"/>
      <c r="AV29" s="504"/>
      <c r="AW29" s="504"/>
      <c r="AX29" s="504"/>
      <c r="AY29" s="504"/>
      <c r="AZ29" s="504"/>
      <c r="BA29" s="504"/>
      <c r="BB29" s="504"/>
      <c r="BC29" s="505"/>
      <c r="BD29" s="449"/>
      <c r="BE29" s="450"/>
      <c r="BF29" s="450"/>
      <c r="BG29" s="450"/>
      <c r="BH29" s="450"/>
      <c r="BI29" s="450"/>
      <c r="BJ29" s="451"/>
    </row>
    <row r="30" spans="1:62" ht="30" customHeight="1">
      <c r="A30" s="449"/>
      <c r="B30" s="450"/>
      <c r="C30" s="451"/>
      <c r="D30" s="495"/>
      <c r="E30" s="496"/>
      <c r="F30" s="496"/>
      <c r="G30" s="496"/>
      <c r="H30" s="496"/>
      <c r="I30" s="496"/>
      <c r="J30" s="496"/>
      <c r="K30" s="496"/>
      <c r="L30" s="496"/>
      <c r="M30" s="496"/>
      <c r="N30" s="496"/>
      <c r="O30" s="496"/>
      <c r="P30" s="497"/>
      <c r="Q30" s="452"/>
      <c r="R30" s="504"/>
      <c r="S30" s="504"/>
      <c r="T30" s="504"/>
      <c r="U30" s="504"/>
      <c r="V30" s="504"/>
      <c r="W30" s="504"/>
      <c r="X30" s="504"/>
      <c r="Y30" s="504"/>
      <c r="Z30" s="504"/>
      <c r="AA30" s="504"/>
      <c r="AB30" s="504"/>
      <c r="AC30" s="504"/>
      <c r="AD30" s="504"/>
      <c r="AE30" s="504"/>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5"/>
      <c r="BD30" s="449"/>
      <c r="BE30" s="450"/>
      <c r="BF30" s="450"/>
      <c r="BG30" s="450"/>
      <c r="BH30" s="450"/>
      <c r="BI30" s="450"/>
      <c r="BJ30" s="451"/>
    </row>
    <row r="31" spans="1:62" ht="30" customHeight="1">
      <c r="A31" s="449"/>
      <c r="B31" s="450"/>
      <c r="C31" s="451"/>
      <c r="D31" s="495"/>
      <c r="E31" s="496"/>
      <c r="F31" s="496"/>
      <c r="G31" s="496"/>
      <c r="H31" s="496"/>
      <c r="I31" s="496"/>
      <c r="J31" s="496"/>
      <c r="K31" s="496"/>
      <c r="L31" s="496"/>
      <c r="M31" s="496"/>
      <c r="N31" s="496"/>
      <c r="O31" s="496"/>
      <c r="P31" s="497"/>
      <c r="Q31" s="452"/>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5"/>
      <c r="BD31" s="449"/>
      <c r="BE31" s="450"/>
      <c r="BF31" s="450"/>
      <c r="BG31" s="450"/>
      <c r="BH31" s="450"/>
      <c r="BI31" s="450"/>
      <c r="BJ31" s="451"/>
    </row>
    <row r="32" spans="1:62" ht="30" customHeight="1">
      <c r="A32" s="449"/>
      <c r="B32" s="450"/>
      <c r="C32" s="451"/>
      <c r="D32" s="495"/>
      <c r="E32" s="496"/>
      <c r="F32" s="496"/>
      <c r="G32" s="496"/>
      <c r="H32" s="496"/>
      <c r="I32" s="496"/>
      <c r="J32" s="496"/>
      <c r="K32" s="496"/>
      <c r="L32" s="496"/>
      <c r="M32" s="496"/>
      <c r="N32" s="496"/>
      <c r="O32" s="496"/>
      <c r="P32" s="497"/>
      <c r="Q32" s="452"/>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5"/>
      <c r="BD32" s="449"/>
      <c r="BE32" s="450"/>
      <c r="BF32" s="450"/>
      <c r="BG32" s="450"/>
      <c r="BH32" s="450"/>
      <c r="BI32" s="450"/>
      <c r="BJ32" s="451"/>
    </row>
    <row r="33" spans="1:62" ht="30" customHeight="1">
      <c r="A33" s="449"/>
      <c r="B33" s="450"/>
      <c r="C33" s="451"/>
      <c r="D33" s="495"/>
      <c r="E33" s="496"/>
      <c r="F33" s="496"/>
      <c r="G33" s="496"/>
      <c r="H33" s="496"/>
      <c r="I33" s="496"/>
      <c r="J33" s="496"/>
      <c r="K33" s="496"/>
      <c r="L33" s="496"/>
      <c r="M33" s="496"/>
      <c r="N33" s="496"/>
      <c r="O33" s="496"/>
      <c r="P33" s="497"/>
      <c r="Q33" s="452"/>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5"/>
      <c r="BD33" s="449"/>
      <c r="BE33" s="450"/>
      <c r="BF33" s="450"/>
      <c r="BG33" s="450"/>
      <c r="BH33" s="450"/>
      <c r="BI33" s="450"/>
      <c r="BJ33" s="451"/>
    </row>
    <row r="34" spans="1:62" ht="30" customHeight="1">
      <c r="A34" s="449"/>
      <c r="B34" s="450"/>
      <c r="C34" s="451"/>
      <c r="D34" s="495"/>
      <c r="E34" s="496"/>
      <c r="F34" s="496"/>
      <c r="G34" s="496"/>
      <c r="H34" s="496"/>
      <c r="I34" s="496"/>
      <c r="J34" s="496"/>
      <c r="K34" s="496"/>
      <c r="L34" s="496"/>
      <c r="M34" s="496"/>
      <c r="N34" s="496"/>
      <c r="O34" s="496"/>
      <c r="P34" s="497"/>
      <c r="Q34" s="452"/>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5"/>
      <c r="BD34" s="449"/>
      <c r="BE34" s="450"/>
      <c r="BF34" s="450"/>
      <c r="BG34" s="450"/>
      <c r="BH34" s="450"/>
      <c r="BI34" s="450"/>
      <c r="BJ34" s="451"/>
    </row>
    <row r="35" spans="1:62" ht="30" customHeight="1">
      <c r="A35" s="449"/>
      <c r="B35" s="450"/>
      <c r="C35" s="451"/>
      <c r="D35" s="495"/>
      <c r="E35" s="496"/>
      <c r="F35" s="496"/>
      <c r="G35" s="496"/>
      <c r="H35" s="496"/>
      <c r="I35" s="496"/>
      <c r="J35" s="496"/>
      <c r="K35" s="496"/>
      <c r="L35" s="496"/>
      <c r="M35" s="496"/>
      <c r="N35" s="496"/>
      <c r="O35" s="496"/>
      <c r="P35" s="497"/>
      <c r="Q35" s="452"/>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504"/>
      <c r="AO35" s="504"/>
      <c r="AP35" s="504"/>
      <c r="AQ35" s="504"/>
      <c r="AR35" s="504"/>
      <c r="AS35" s="504"/>
      <c r="AT35" s="504"/>
      <c r="AU35" s="504"/>
      <c r="AV35" s="504"/>
      <c r="AW35" s="504"/>
      <c r="AX35" s="504"/>
      <c r="AY35" s="504"/>
      <c r="AZ35" s="504"/>
      <c r="BA35" s="504"/>
      <c r="BB35" s="504"/>
      <c r="BC35" s="505"/>
      <c r="BD35" s="449"/>
      <c r="BE35" s="450"/>
      <c r="BF35" s="450"/>
      <c r="BG35" s="450"/>
      <c r="BH35" s="450"/>
      <c r="BI35" s="450"/>
      <c r="BJ35" s="451"/>
    </row>
    <row r="36" spans="1:62" ht="30" customHeight="1">
      <c r="A36" s="449"/>
      <c r="B36" s="450"/>
      <c r="C36" s="451"/>
      <c r="D36" s="495"/>
      <c r="E36" s="496"/>
      <c r="F36" s="496"/>
      <c r="G36" s="496"/>
      <c r="H36" s="496"/>
      <c r="I36" s="496"/>
      <c r="J36" s="496"/>
      <c r="K36" s="496"/>
      <c r="L36" s="496"/>
      <c r="M36" s="496"/>
      <c r="N36" s="496"/>
      <c r="O36" s="496"/>
      <c r="P36" s="497"/>
      <c r="Q36" s="452"/>
      <c r="R36" s="504"/>
      <c r="S36" s="504"/>
      <c r="T36" s="504"/>
      <c r="U36" s="504"/>
      <c r="V36" s="504"/>
      <c r="W36" s="504"/>
      <c r="X36" s="504"/>
      <c r="Y36" s="504"/>
      <c r="Z36" s="504"/>
      <c r="AA36" s="504"/>
      <c r="AB36" s="504"/>
      <c r="AC36" s="504"/>
      <c r="AD36" s="504"/>
      <c r="AE36" s="504"/>
      <c r="AF36" s="504"/>
      <c r="AG36" s="504"/>
      <c r="AH36" s="504"/>
      <c r="AI36" s="504"/>
      <c r="AJ36" s="504"/>
      <c r="AK36" s="504"/>
      <c r="AL36" s="504"/>
      <c r="AM36" s="504"/>
      <c r="AN36" s="504"/>
      <c r="AO36" s="504"/>
      <c r="AP36" s="504"/>
      <c r="AQ36" s="504"/>
      <c r="AR36" s="504"/>
      <c r="AS36" s="504"/>
      <c r="AT36" s="504"/>
      <c r="AU36" s="504"/>
      <c r="AV36" s="504"/>
      <c r="AW36" s="504"/>
      <c r="AX36" s="504"/>
      <c r="AY36" s="504"/>
      <c r="AZ36" s="504"/>
      <c r="BA36" s="504"/>
      <c r="BB36" s="504"/>
      <c r="BC36" s="505"/>
      <c r="BD36" s="449"/>
      <c r="BE36" s="450"/>
      <c r="BF36" s="450"/>
      <c r="BG36" s="450"/>
      <c r="BH36" s="450"/>
      <c r="BI36" s="450"/>
      <c r="BJ36" s="451"/>
    </row>
    <row r="37" spans="1:62" ht="30" customHeight="1">
      <c r="A37" s="449"/>
      <c r="B37" s="450"/>
      <c r="C37" s="451"/>
      <c r="D37" s="495"/>
      <c r="E37" s="496"/>
      <c r="F37" s="496"/>
      <c r="G37" s="496"/>
      <c r="H37" s="496"/>
      <c r="I37" s="496"/>
      <c r="J37" s="496"/>
      <c r="K37" s="496"/>
      <c r="L37" s="496"/>
      <c r="M37" s="496"/>
      <c r="N37" s="496"/>
      <c r="O37" s="496"/>
      <c r="P37" s="497"/>
      <c r="Q37" s="452"/>
      <c r="R37" s="504"/>
      <c r="S37" s="504"/>
      <c r="T37" s="504"/>
      <c r="U37" s="504"/>
      <c r="V37" s="504"/>
      <c r="W37" s="504"/>
      <c r="X37" s="504"/>
      <c r="Y37" s="504"/>
      <c r="Z37" s="504"/>
      <c r="AA37" s="504"/>
      <c r="AB37" s="504"/>
      <c r="AC37" s="504"/>
      <c r="AD37" s="504"/>
      <c r="AE37" s="504"/>
      <c r="AF37" s="504"/>
      <c r="AG37" s="504"/>
      <c r="AH37" s="504"/>
      <c r="AI37" s="504"/>
      <c r="AJ37" s="504"/>
      <c r="AK37" s="504"/>
      <c r="AL37" s="504"/>
      <c r="AM37" s="504"/>
      <c r="AN37" s="504"/>
      <c r="AO37" s="504"/>
      <c r="AP37" s="504"/>
      <c r="AQ37" s="504"/>
      <c r="AR37" s="504"/>
      <c r="AS37" s="504"/>
      <c r="AT37" s="504"/>
      <c r="AU37" s="504"/>
      <c r="AV37" s="504"/>
      <c r="AW37" s="504"/>
      <c r="AX37" s="504"/>
      <c r="AY37" s="504"/>
      <c r="AZ37" s="504"/>
      <c r="BA37" s="504"/>
      <c r="BB37" s="504"/>
      <c r="BC37" s="505"/>
      <c r="BD37" s="449"/>
      <c r="BE37" s="450"/>
      <c r="BF37" s="450"/>
      <c r="BG37" s="450"/>
      <c r="BH37" s="450"/>
      <c r="BI37" s="450"/>
      <c r="BJ37" s="451"/>
    </row>
    <row r="38" spans="1:62" ht="30" customHeight="1">
      <c r="A38" s="449"/>
      <c r="B38" s="450"/>
      <c r="C38" s="451"/>
      <c r="D38" s="495"/>
      <c r="E38" s="496"/>
      <c r="F38" s="496"/>
      <c r="G38" s="496"/>
      <c r="H38" s="496"/>
      <c r="I38" s="496"/>
      <c r="J38" s="496"/>
      <c r="K38" s="496"/>
      <c r="L38" s="496"/>
      <c r="M38" s="496"/>
      <c r="N38" s="496"/>
      <c r="O38" s="496"/>
      <c r="P38" s="497"/>
      <c r="Q38" s="452"/>
      <c r="R38" s="504"/>
      <c r="S38" s="504"/>
      <c r="T38" s="504"/>
      <c r="U38" s="504"/>
      <c r="V38" s="504"/>
      <c r="W38" s="504"/>
      <c r="X38" s="504"/>
      <c r="Y38" s="504"/>
      <c r="Z38" s="504"/>
      <c r="AA38" s="504"/>
      <c r="AB38" s="504"/>
      <c r="AC38" s="504"/>
      <c r="AD38" s="504"/>
      <c r="AE38" s="504"/>
      <c r="AF38" s="504"/>
      <c r="AG38" s="504"/>
      <c r="AH38" s="504"/>
      <c r="AI38" s="504"/>
      <c r="AJ38" s="504"/>
      <c r="AK38" s="504"/>
      <c r="AL38" s="504"/>
      <c r="AM38" s="504"/>
      <c r="AN38" s="504"/>
      <c r="AO38" s="504"/>
      <c r="AP38" s="504"/>
      <c r="AQ38" s="504"/>
      <c r="AR38" s="504"/>
      <c r="AS38" s="504"/>
      <c r="AT38" s="504"/>
      <c r="AU38" s="504"/>
      <c r="AV38" s="504"/>
      <c r="AW38" s="504"/>
      <c r="AX38" s="504"/>
      <c r="AY38" s="504"/>
      <c r="AZ38" s="504"/>
      <c r="BA38" s="504"/>
      <c r="BB38" s="504"/>
      <c r="BC38" s="505"/>
      <c r="BD38" s="449"/>
      <c r="BE38" s="450"/>
      <c r="BF38" s="450"/>
      <c r="BG38" s="450"/>
      <c r="BH38" s="450"/>
      <c r="BI38" s="450"/>
      <c r="BJ38" s="451"/>
    </row>
    <row r="39" spans="1:62" ht="30" customHeight="1">
      <c r="A39" s="449"/>
      <c r="B39" s="450"/>
      <c r="C39" s="451"/>
      <c r="D39" s="495"/>
      <c r="E39" s="496"/>
      <c r="F39" s="496"/>
      <c r="G39" s="496"/>
      <c r="H39" s="496"/>
      <c r="I39" s="496"/>
      <c r="J39" s="496"/>
      <c r="K39" s="496"/>
      <c r="L39" s="496"/>
      <c r="M39" s="496"/>
      <c r="N39" s="496"/>
      <c r="O39" s="496"/>
      <c r="P39" s="497"/>
      <c r="Q39" s="452"/>
      <c r="R39" s="504"/>
      <c r="S39" s="504"/>
      <c r="T39" s="504"/>
      <c r="U39" s="504"/>
      <c r="V39" s="504"/>
      <c r="W39" s="504"/>
      <c r="X39" s="504"/>
      <c r="Y39" s="504"/>
      <c r="Z39" s="504"/>
      <c r="AA39" s="504"/>
      <c r="AB39" s="504"/>
      <c r="AC39" s="504"/>
      <c r="AD39" s="504"/>
      <c r="AE39" s="504"/>
      <c r="AF39" s="504"/>
      <c r="AG39" s="504"/>
      <c r="AH39" s="504"/>
      <c r="AI39" s="504"/>
      <c r="AJ39" s="504"/>
      <c r="AK39" s="504"/>
      <c r="AL39" s="504"/>
      <c r="AM39" s="504"/>
      <c r="AN39" s="504"/>
      <c r="AO39" s="504"/>
      <c r="AP39" s="504"/>
      <c r="AQ39" s="504"/>
      <c r="AR39" s="504"/>
      <c r="AS39" s="504"/>
      <c r="AT39" s="504"/>
      <c r="AU39" s="504"/>
      <c r="AV39" s="504"/>
      <c r="AW39" s="504"/>
      <c r="AX39" s="504"/>
      <c r="AY39" s="504"/>
      <c r="AZ39" s="504"/>
      <c r="BA39" s="504"/>
      <c r="BB39" s="504"/>
      <c r="BC39" s="505"/>
      <c r="BD39" s="449"/>
      <c r="BE39" s="450"/>
      <c r="BF39" s="450"/>
      <c r="BG39" s="450"/>
      <c r="BH39" s="450"/>
      <c r="BI39" s="450"/>
      <c r="BJ39" s="451"/>
    </row>
    <row r="40" spans="1:62" ht="30" customHeight="1">
      <c r="A40" s="449"/>
      <c r="B40" s="450"/>
      <c r="C40" s="451"/>
      <c r="D40" s="495"/>
      <c r="E40" s="496"/>
      <c r="F40" s="496"/>
      <c r="G40" s="496"/>
      <c r="H40" s="496"/>
      <c r="I40" s="496"/>
      <c r="J40" s="496"/>
      <c r="K40" s="496"/>
      <c r="L40" s="496"/>
      <c r="M40" s="496"/>
      <c r="N40" s="496"/>
      <c r="O40" s="496"/>
      <c r="P40" s="497"/>
      <c r="Q40" s="452"/>
      <c r="R40" s="504"/>
      <c r="S40" s="504"/>
      <c r="T40" s="504"/>
      <c r="U40" s="504"/>
      <c r="V40" s="504"/>
      <c r="W40" s="504"/>
      <c r="X40" s="504"/>
      <c r="Y40" s="504"/>
      <c r="Z40" s="504"/>
      <c r="AA40" s="504"/>
      <c r="AB40" s="504"/>
      <c r="AC40" s="504"/>
      <c r="AD40" s="504"/>
      <c r="AE40" s="504"/>
      <c r="AF40" s="504"/>
      <c r="AG40" s="504"/>
      <c r="AH40" s="504"/>
      <c r="AI40" s="504"/>
      <c r="AJ40" s="504"/>
      <c r="AK40" s="504"/>
      <c r="AL40" s="504"/>
      <c r="AM40" s="504"/>
      <c r="AN40" s="504"/>
      <c r="AO40" s="504"/>
      <c r="AP40" s="504"/>
      <c r="AQ40" s="504"/>
      <c r="AR40" s="504"/>
      <c r="AS40" s="504"/>
      <c r="AT40" s="504"/>
      <c r="AU40" s="504"/>
      <c r="AV40" s="504"/>
      <c r="AW40" s="504"/>
      <c r="AX40" s="504"/>
      <c r="AY40" s="504"/>
      <c r="AZ40" s="504"/>
      <c r="BA40" s="504"/>
      <c r="BB40" s="504"/>
      <c r="BC40" s="505"/>
      <c r="BD40" s="449"/>
      <c r="BE40" s="450"/>
      <c r="BF40" s="450"/>
      <c r="BG40" s="450"/>
      <c r="BH40" s="450"/>
      <c r="BI40" s="450"/>
      <c r="BJ40" s="451"/>
    </row>
    <row r="41" spans="1:62" ht="30" customHeight="1">
      <c r="A41" s="461"/>
      <c r="B41" s="462"/>
      <c r="C41" s="463"/>
      <c r="D41" s="525"/>
      <c r="E41" s="526"/>
      <c r="F41" s="526"/>
      <c r="G41" s="526"/>
      <c r="H41" s="526"/>
      <c r="I41" s="526"/>
      <c r="J41" s="526"/>
      <c r="K41" s="526"/>
      <c r="L41" s="526"/>
      <c r="M41" s="526"/>
      <c r="N41" s="526"/>
      <c r="O41" s="526"/>
      <c r="P41" s="527"/>
      <c r="Q41" s="576"/>
      <c r="R41" s="577"/>
      <c r="S41" s="577"/>
      <c r="T41" s="577"/>
      <c r="U41" s="577"/>
      <c r="V41" s="577"/>
      <c r="W41" s="577"/>
      <c r="X41" s="577"/>
      <c r="Y41" s="577"/>
      <c r="Z41" s="577"/>
      <c r="AA41" s="577"/>
      <c r="AB41" s="577"/>
      <c r="AC41" s="577"/>
      <c r="AD41" s="577"/>
      <c r="AE41" s="577"/>
      <c r="AF41" s="577"/>
      <c r="AG41" s="577"/>
      <c r="AH41" s="577"/>
      <c r="AI41" s="577"/>
      <c r="AJ41" s="577"/>
      <c r="AK41" s="577"/>
      <c r="AL41" s="577"/>
      <c r="AM41" s="577"/>
      <c r="AN41" s="577"/>
      <c r="AO41" s="577"/>
      <c r="AP41" s="577"/>
      <c r="AQ41" s="577"/>
      <c r="AR41" s="577"/>
      <c r="AS41" s="577"/>
      <c r="AT41" s="577"/>
      <c r="AU41" s="577"/>
      <c r="AV41" s="577"/>
      <c r="AW41" s="577"/>
      <c r="AX41" s="577"/>
      <c r="AY41" s="577"/>
      <c r="AZ41" s="577"/>
      <c r="BA41" s="577"/>
      <c r="BB41" s="577"/>
      <c r="BC41" s="578"/>
      <c r="BD41" s="461"/>
      <c r="BE41" s="462"/>
      <c r="BF41" s="462"/>
      <c r="BG41" s="462"/>
      <c r="BH41" s="462"/>
      <c r="BI41" s="462"/>
      <c r="BJ41" s="463"/>
    </row>
    <row r="42" spans="1:62" s="20" customFormat="1" ht="3" customHeight="1">
      <c r="B42" s="21"/>
      <c r="C42" s="21"/>
      <c r="D42" s="21"/>
      <c r="E42" s="21"/>
      <c r="F42" s="21"/>
      <c r="G42" s="21"/>
      <c r="H42" s="21"/>
      <c r="I42" s="21"/>
      <c r="J42" s="21"/>
      <c r="K42" s="21"/>
      <c r="L42" s="21"/>
      <c r="M42" s="21"/>
      <c r="N42" s="21"/>
      <c r="O42" s="21"/>
      <c r="P42" s="21"/>
      <c r="Q42" s="21"/>
    </row>
    <row r="43" spans="1:62" ht="21" customHeight="1">
      <c r="B43" s="19"/>
      <c r="C43" s="19"/>
      <c r="D43" s="19"/>
      <c r="E43" s="19"/>
      <c r="F43" s="19"/>
      <c r="G43" s="19"/>
      <c r="H43" s="19"/>
      <c r="I43" s="19"/>
      <c r="J43" s="19"/>
      <c r="K43" s="19"/>
      <c r="L43" s="19"/>
      <c r="M43" s="19"/>
      <c r="N43" s="19"/>
      <c r="O43" s="19"/>
      <c r="P43" s="19"/>
      <c r="Q43" s="19"/>
    </row>
    <row r="44" spans="1:62" ht="24" customHeight="1"/>
    <row r="45" spans="1:62" ht="24" customHeight="1"/>
    <row r="46" spans="1:62" ht="24" customHeight="1"/>
    <row r="47" spans="1:62" ht="24" customHeight="1"/>
    <row r="48" spans="1:62" ht="24" customHeight="1"/>
    <row r="49" ht="24" customHeight="1"/>
    <row r="50" ht="24" customHeight="1"/>
    <row r="51" ht="24" customHeight="1"/>
    <row r="52" ht="17.149999999999999" customHeight="1"/>
    <row r="53" ht="17.149999999999999" customHeight="1"/>
    <row r="54" ht="17.149999999999999" customHeight="1"/>
    <row r="55" ht="17.149999999999999" customHeight="1"/>
  </sheetData>
  <mergeCells count="151">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dimension ref="A1:BJ43"/>
  <sheetViews>
    <sheetView view="pageBreakPreview" zoomScaleNormal="100" zoomScaleSheetLayoutView="100" workbookViewId="0"/>
  </sheetViews>
  <sheetFormatPr defaultColWidth="1.90625" defaultRowHeight="14"/>
  <cols>
    <col min="1" max="62" width="2.08984375" style="25" customWidth="1"/>
    <col min="63" max="63" width="2.90625" style="25" customWidth="1"/>
    <col min="64" max="73" width="2.08984375" style="25" customWidth="1"/>
    <col min="74" max="16384" width="1.90625" style="25"/>
  </cols>
  <sheetData>
    <row r="1" spans="1:62" s="31" customFormat="1" ht="18" customHeight="1">
      <c r="A1" s="31" t="s">
        <v>0</v>
      </c>
      <c r="BJ1" s="32" t="s">
        <v>1</v>
      </c>
    </row>
    <row r="2" spans="1:62" s="33" customFormat="1" ht="18" customHeight="1">
      <c r="A2" s="344" t="s">
        <v>80</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36" t="s">
        <v>3</v>
      </c>
      <c r="AW2" s="337"/>
      <c r="AX2" s="337"/>
      <c r="AY2" s="338"/>
      <c r="AZ2" s="336" t="s">
        <v>81</v>
      </c>
      <c r="BA2" s="337"/>
      <c r="BB2" s="337"/>
      <c r="BC2" s="338"/>
      <c r="BD2" s="339" t="s">
        <v>5</v>
      </c>
      <c r="BE2" s="340"/>
      <c r="BF2" s="340"/>
      <c r="BG2" s="341"/>
      <c r="BH2" s="340"/>
      <c r="BI2" s="340"/>
      <c r="BJ2" s="341"/>
    </row>
    <row r="3" spans="1:62" s="18" customFormat="1"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2" s="18" customFormat="1" ht="21" customHeight="1">
      <c r="A4" s="336" t="s">
        <v>67</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2" s="34" customFormat="1" ht="4.5" customHeight="1"/>
    <row r="6" spans="1:62" ht="30.75" customHeight="1">
      <c r="A6" s="339" t="s">
        <v>19</v>
      </c>
      <c r="B6" s="340"/>
      <c r="C6" s="340"/>
      <c r="D6" s="340"/>
      <c r="E6" s="340"/>
      <c r="F6" s="340"/>
      <c r="G6" s="341"/>
      <c r="H6" s="693" t="s">
        <v>84</v>
      </c>
      <c r="I6" s="694"/>
      <c r="J6" s="694"/>
      <c r="K6" s="694"/>
      <c r="L6" s="694"/>
      <c r="M6" s="694"/>
      <c r="N6" s="695"/>
      <c r="O6" s="339" t="s">
        <v>11</v>
      </c>
      <c r="P6" s="340"/>
      <c r="Q6" s="340"/>
      <c r="R6" s="340"/>
      <c r="S6" s="340"/>
      <c r="T6" s="340"/>
      <c r="U6" s="341"/>
      <c r="V6" s="690" t="str">
        <f>変更履歴!H6</f>
        <v>滞留立替金利経理計上</v>
      </c>
      <c r="W6" s="691"/>
      <c r="X6" s="691"/>
      <c r="Y6" s="691"/>
      <c r="Z6" s="691"/>
      <c r="AA6" s="691"/>
      <c r="AB6" s="691"/>
      <c r="AC6" s="691"/>
      <c r="AD6" s="691"/>
      <c r="AE6" s="691"/>
      <c r="AF6" s="691"/>
      <c r="AG6" s="691"/>
      <c r="AH6" s="691"/>
      <c r="AI6" s="691"/>
      <c r="AJ6" s="691"/>
      <c r="AK6" s="691"/>
      <c r="AL6" s="691"/>
      <c r="AM6" s="691"/>
      <c r="AN6" s="691"/>
      <c r="AO6" s="691"/>
      <c r="AP6" s="691"/>
      <c r="AQ6" s="691"/>
      <c r="AR6" s="691"/>
      <c r="AS6" s="691"/>
      <c r="AT6" s="691"/>
      <c r="AU6" s="691"/>
      <c r="AV6" s="691"/>
      <c r="AW6" s="691"/>
      <c r="AX6" s="691"/>
      <c r="AY6" s="691"/>
      <c r="AZ6" s="691"/>
      <c r="BA6" s="691"/>
      <c r="BB6" s="691"/>
      <c r="BC6" s="691"/>
      <c r="BD6" s="691"/>
      <c r="BE6" s="691"/>
      <c r="BF6" s="691"/>
      <c r="BG6" s="691"/>
      <c r="BH6" s="691"/>
      <c r="BI6" s="691"/>
      <c r="BJ6" s="692"/>
    </row>
    <row r="7" spans="1:62" s="57" customFormat="1" ht="9" customHeight="1"/>
    <row r="8" spans="1:62" ht="22.5" customHeight="1">
      <c r="A8" s="62"/>
      <c r="B8" s="63" t="s">
        <v>82</v>
      </c>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4"/>
    </row>
    <row r="9" spans="1:62" ht="30" customHeight="1">
      <c r="A9" s="38"/>
      <c r="BJ9" s="41"/>
    </row>
    <row r="10" spans="1:62" ht="30.65" customHeight="1">
      <c r="A10" s="38"/>
      <c r="C10" s="58" t="s">
        <v>505</v>
      </c>
      <c r="BJ10" s="41"/>
    </row>
    <row r="11" spans="1:62" ht="30.75" customHeight="1">
      <c r="A11" s="38"/>
      <c r="C11" s="58" t="s">
        <v>506</v>
      </c>
      <c r="D11" s="58"/>
      <c r="E11" s="92"/>
      <c r="F11" s="92"/>
      <c r="BJ11" s="41"/>
    </row>
    <row r="12" spans="1:62" ht="30.75" customHeight="1">
      <c r="A12" s="38"/>
      <c r="E12" s="92" t="s">
        <v>507</v>
      </c>
      <c r="F12" s="92"/>
      <c r="BJ12" s="41"/>
    </row>
    <row r="13" spans="1:62" ht="30.75" customHeight="1">
      <c r="A13" s="38"/>
      <c r="D13" s="58" t="s">
        <v>508</v>
      </c>
      <c r="E13" s="92"/>
      <c r="F13" s="92"/>
      <c r="BJ13" s="41"/>
    </row>
    <row r="14" spans="1:62" ht="30.75" customHeight="1">
      <c r="A14" s="38"/>
      <c r="D14" s="58"/>
      <c r="E14" s="92" t="s">
        <v>509</v>
      </c>
      <c r="F14" s="92"/>
      <c r="BJ14" s="41"/>
    </row>
    <row r="15" spans="1:62" ht="30.75" customHeight="1">
      <c r="A15" s="38"/>
      <c r="BJ15" s="41"/>
    </row>
    <row r="16" spans="1:62" ht="30.75" customHeight="1">
      <c r="A16" s="38"/>
      <c r="C16" s="58" t="s">
        <v>510</v>
      </c>
      <c r="D16" s="58"/>
      <c r="E16" s="92"/>
      <c r="F16" s="92"/>
      <c r="BJ16" s="41"/>
    </row>
    <row r="17" spans="1:62" ht="30.75" customHeight="1">
      <c r="A17" s="38"/>
      <c r="E17" s="92" t="s">
        <v>511</v>
      </c>
      <c r="F17" s="92"/>
      <c r="BJ17" s="41"/>
    </row>
    <row r="18" spans="1:62" ht="30.75" customHeight="1">
      <c r="A18" s="38"/>
      <c r="D18" s="58" t="s">
        <v>508</v>
      </c>
      <c r="E18" s="92"/>
      <c r="F18" s="92"/>
      <c r="BJ18" s="41"/>
    </row>
    <row r="19" spans="1:62" ht="30.75" customHeight="1">
      <c r="A19" s="38"/>
      <c r="E19" s="92" t="s">
        <v>512</v>
      </c>
      <c r="F19" s="92"/>
      <c r="BJ19" s="41"/>
    </row>
    <row r="20" spans="1:62" ht="30.75" customHeight="1">
      <c r="A20" s="38"/>
      <c r="BJ20" s="41"/>
    </row>
    <row r="21" spans="1:62" ht="30.75" customHeight="1">
      <c r="A21" s="38"/>
      <c r="C21" s="58" t="s">
        <v>513</v>
      </c>
      <c r="D21" s="58"/>
      <c r="E21" s="92"/>
      <c r="F21" s="92"/>
      <c r="BJ21" s="41"/>
    </row>
    <row r="22" spans="1:62" ht="30.75" customHeight="1">
      <c r="A22" s="38"/>
      <c r="D22" s="58" t="s">
        <v>514</v>
      </c>
      <c r="E22" s="58"/>
      <c r="F22" s="58"/>
      <c r="BJ22" s="41"/>
    </row>
    <row r="23" spans="1:62" ht="30.75" customHeight="1">
      <c r="A23" s="38"/>
      <c r="D23" s="31"/>
      <c r="E23" s="55" t="s">
        <v>515</v>
      </c>
      <c r="F23" s="55"/>
      <c r="BJ23" s="41"/>
    </row>
    <row r="24" spans="1:62" ht="30.75" customHeight="1">
      <c r="A24" s="38"/>
      <c r="D24" s="31"/>
      <c r="E24" s="55" t="s">
        <v>516</v>
      </c>
      <c r="F24" s="55"/>
      <c r="BJ24" s="41"/>
    </row>
    <row r="25" spans="1:62" ht="30.75" customHeight="1">
      <c r="A25" s="38"/>
      <c r="D25" s="31"/>
      <c r="E25" s="31"/>
      <c r="F25" s="58" t="s">
        <v>517</v>
      </c>
      <c r="BJ25" s="41"/>
    </row>
    <row r="26" spans="1:62" ht="30.75" customHeight="1">
      <c r="A26" s="38"/>
      <c r="C26" s="58"/>
      <c r="D26" s="58" t="s">
        <v>518</v>
      </c>
      <c r="E26" s="58"/>
      <c r="F26" s="58"/>
      <c r="BJ26" s="41"/>
    </row>
    <row r="27" spans="1:62" ht="30.75" customHeight="1">
      <c r="A27" s="38"/>
      <c r="D27" s="31"/>
      <c r="E27" s="335" t="s">
        <v>519</v>
      </c>
      <c r="F27" s="335"/>
      <c r="BJ27" s="41"/>
    </row>
    <row r="28" spans="1:62" ht="30.75" customHeight="1">
      <c r="A28" s="38"/>
      <c r="D28" s="58" t="s">
        <v>508</v>
      </c>
      <c r="E28" s="92"/>
      <c r="F28" s="92"/>
      <c r="BJ28" s="41"/>
    </row>
    <row r="29" spans="1:62" ht="30.75" customHeight="1">
      <c r="A29" s="38"/>
      <c r="D29" s="58"/>
      <c r="E29" s="92" t="s">
        <v>520</v>
      </c>
      <c r="F29" s="92"/>
      <c r="BJ29" s="41"/>
    </row>
    <row r="30" spans="1:62" ht="30.75" customHeight="1">
      <c r="A30" s="38"/>
      <c r="BJ30" s="41"/>
    </row>
    <row r="31" spans="1:62" ht="30.75" customHeight="1">
      <c r="A31" s="38"/>
      <c r="C31" s="58" t="s">
        <v>521</v>
      </c>
      <c r="D31" s="58"/>
      <c r="E31" s="58"/>
      <c r="F31" s="58"/>
      <c r="BJ31" s="41"/>
    </row>
    <row r="32" spans="1:62" ht="30.75" customHeight="1">
      <c r="A32" s="38"/>
      <c r="C32" s="58"/>
      <c r="D32" s="58" t="s">
        <v>514</v>
      </c>
      <c r="E32" s="58"/>
      <c r="F32" s="58"/>
      <c r="BJ32" s="41"/>
    </row>
    <row r="33" spans="1:62" ht="30.75" customHeight="1">
      <c r="A33" s="38"/>
      <c r="C33" s="55"/>
      <c r="D33" s="31"/>
      <c r="E33" s="55" t="s">
        <v>522</v>
      </c>
      <c r="F33" s="55"/>
      <c r="BJ33" s="41"/>
    </row>
    <row r="34" spans="1:62" ht="30.75" customHeight="1">
      <c r="A34" s="38"/>
      <c r="C34" s="55"/>
      <c r="D34" s="31"/>
      <c r="E34" s="55" t="s">
        <v>523</v>
      </c>
      <c r="F34" s="55"/>
      <c r="BJ34" s="41"/>
    </row>
    <row r="35" spans="1:62" ht="30.75" customHeight="1">
      <c r="A35" s="38"/>
      <c r="C35" s="55"/>
      <c r="D35" s="31"/>
      <c r="E35" s="31"/>
      <c r="F35" s="58" t="s">
        <v>517</v>
      </c>
      <c r="BJ35" s="41"/>
    </row>
    <row r="36" spans="1:62" ht="30.75" customHeight="1">
      <c r="A36" s="38"/>
      <c r="C36" s="58"/>
      <c r="D36" s="58" t="s">
        <v>518</v>
      </c>
      <c r="E36" s="58"/>
      <c r="F36" s="58"/>
      <c r="BJ36" s="41"/>
    </row>
    <row r="37" spans="1:62" ht="30.75" customHeight="1">
      <c r="A37" s="38"/>
      <c r="C37" s="58"/>
      <c r="D37" s="31"/>
      <c r="E37" s="55" t="s">
        <v>522</v>
      </c>
      <c r="F37" s="335"/>
      <c r="BJ37" s="41"/>
    </row>
    <row r="38" spans="1:62" ht="30.75" customHeight="1">
      <c r="A38" s="38"/>
      <c r="C38" s="58"/>
      <c r="D38" s="58" t="s">
        <v>508</v>
      </c>
      <c r="E38" s="92"/>
      <c r="F38" s="92"/>
      <c r="BJ38" s="41"/>
    </row>
    <row r="39" spans="1:62" ht="30.75" customHeight="1">
      <c r="A39" s="38"/>
      <c r="C39" s="31"/>
      <c r="D39" s="58"/>
      <c r="E39" s="92" t="s">
        <v>524</v>
      </c>
      <c r="F39" s="92"/>
      <c r="BJ39" s="41"/>
    </row>
    <row r="40" spans="1:62" ht="30" customHeight="1">
      <c r="A40" s="38"/>
      <c r="BJ40" s="41"/>
    </row>
    <row r="41" spans="1:62" ht="30" customHeight="1">
      <c r="A41" s="38"/>
      <c r="BJ41" s="41"/>
    </row>
    <row r="42" spans="1:62" ht="30" customHeight="1">
      <c r="A42" s="42"/>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4"/>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3"/>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D8E9F4-4C25-427C-B586-3D9626DF88B6}"/>
</file>

<file path=customXml/itemProps2.xml><?xml version="1.0" encoding="utf-8"?>
<ds:datastoreItem xmlns:ds="http://schemas.openxmlformats.org/officeDocument/2006/customXml" ds:itemID="{6E5F7ED0-150C-45B5-8544-6FCFD5A3D3FB}">
  <ds:schemaRefs>
    <ds:schemaRef ds:uri="http://www.w3.org/XML/1998/namespace"/>
    <ds:schemaRef ds:uri="4a1f72ec-30b8-4383-892a-fcacdd251f13"/>
    <ds:schemaRef ds:uri="http://schemas.microsoft.com/office/2006/documentManagement/types"/>
    <ds:schemaRef ds:uri="http://purl.org/dc/dcmitype/"/>
    <ds:schemaRef ds:uri="http://schemas.microsoft.com/office/2006/metadata/properties"/>
    <ds:schemaRef ds:uri="http://schemas.microsoft.com/office/infopath/2007/PartnerControls"/>
    <ds:schemaRef ds:uri="http://purl.org/dc/terms/"/>
    <ds:schemaRef ds:uri="http://schemas.openxmlformats.org/package/2006/metadata/core-properties"/>
    <ds:schemaRef ds:uri="b9cc7365-e218-4624-aedb-0a55e821af1f"/>
    <ds:schemaRef ds:uri="http://purl.org/dc/elements/1.1/"/>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2.レイアウト_一覧表示</vt:lpstr>
      <vt:lpstr>3.項目説明_一覧表示</vt:lpstr>
      <vt:lpstr>4.項目チェック（単体）_一覧表示</vt:lpstr>
      <vt:lpstr>5.項目チェック（関連）_一覧表示</vt:lpstr>
      <vt:lpstr>2.レイアウト_作成</vt:lpstr>
      <vt:lpstr>3.項目説明_作成</vt:lpstr>
      <vt:lpstr>4.項目チェック（単体）_作成</vt:lpstr>
      <vt:lpstr>5.項目チェック（関連）_作成</vt:lpstr>
      <vt:lpstr>2.レイアウト_確認</vt:lpstr>
      <vt:lpstr>3.項目説明_確認</vt:lpstr>
      <vt:lpstr>4.項目チェック（単体）_確認</vt:lpstr>
      <vt:lpstr>5.項目チェック（関連）_確認</vt:lpstr>
      <vt:lpstr>6．画面機能補足説明</vt:lpstr>
      <vt:lpstr>'1.遷移図'!Print_Area</vt:lpstr>
      <vt:lpstr>'2.レイアウト_一覧表示'!Print_Area</vt:lpstr>
      <vt:lpstr>'2.レイアウト_確認'!Print_Area</vt:lpstr>
      <vt:lpstr>'2.レイアウト_作成'!Print_Area</vt:lpstr>
      <vt:lpstr>'3.項目説明_一覧表示'!Print_Area</vt:lpstr>
      <vt:lpstr>'3.項目説明_確認'!Print_Area</vt:lpstr>
      <vt:lpstr>'3.項目説明_作成'!Print_Area</vt:lpstr>
      <vt:lpstr>'4.項目チェック（単体）_一覧表示'!Print_Area</vt:lpstr>
      <vt:lpstr>'4.項目チェック（単体）_確認'!Print_Area</vt:lpstr>
      <vt:lpstr>'4.項目チェック（単体）_作成'!Print_Area</vt:lpstr>
      <vt:lpstr>'5.項目チェック（関連）_一覧表示'!Print_Area</vt:lpstr>
      <vt:lpstr>'5.項目チェック（関連）_確認'!Print_Area</vt:lpstr>
      <vt:lpstr>'5.項目チェック（関連）_作成'!Print_Area</vt:lpstr>
      <vt:lpstr>'6．画面機能補足説明'!Print_Area</vt:lpstr>
      <vt:lpstr>変更履歴!Print_Area</vt:lpstr>
      <vt:lpstr>'3.項目説明_一覧表示'!Print_Titles</vt:lpstr>
      <vt:lpstr>'3.項目説明_確認'!Print_Titles</vt:lpstr>
      <vt:lpstr>'3.項目説明_作成'!Print_Titles</vt:lpstr>
      <vt:lpstr>'4.項目チェック（単体）_一覧表示'!Print_Titles</vt:lpstr>
      <vt:lpstr>'4.項目チェック（単体）_確認'!Print_Titles</vt:lpstr>
      <vt:lpstr>'4.項目チェック（単体）_作成'!Print_Titles</vt:lpstr>
      <vt:lpstr>'5.項目チェック（関連）_一覧表示'!Print_Titles</vt:lpstr>
      <vt:lpstr>'5.項目チェック（関連）_確認'!Print_Titles</vt:lpstr>
      <vt:lpstr>'5.項目チェック（関連）_作成'!Print_Titles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2025-08-26T09:19:09Z</cp:lastPrinted>
  <dcterms:created xsi:type="dcterms:W3CDTF">2001-03-06T02:20:07Z</dcterms:created>
  <dcterms:modified xsi:type="dcterms:W3CDTF">2025-09-01T09:38:28Z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