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9.共計\9.2.金利計算\"/>
    </mc:Choice>
  </mc:AlternateContent>
  <xr:revisionPtr revIDLastSave="0" documentId="13_ncr:1_{71CBC50B-864E-4176-8F5D-84B006385CED}" xr6:coauthVersionLast="47" xr6:coauthVersionMax="47" xr10:uidLastSave="{00000000-0000-0000-0000-000000000000}"/>
  <bookViews>
    <workbookView xWindow="28680" yWindow="-120" windowWidth="29040" windowHeight="15720" tabRatio="763" xr2:uid="{BACEE8F5-0A28-4642-ABCD-B2BAE219EBF9}"/>
  </bookViews>
  <sheets>
    <sheet name="変更履歴" sheetId="43" r:id="rId1"/>
    <sheet name="1.遷移図" sheetId="42" r:id="rId2"/>
    <sheet name="2.レイアウト（検索)" sheetId="55" r:id="rId3"/>
    <sheet name="3.項目説明(検索）" sheetId="25" r:id="rId4"/>
    <sheet name="4.項目チェック（単体）_検索" sheetId="58" r:id="rId5"/>
    <sheet name="5.項目チェック（関連）_検索" sheetId="60" r:id="rId6"/>
    <sheet name="2.レイアウト（入力)" sheetId="56" r:id="rId7"/>
    <sheet name="3.項目説明(入力）" sheetId="59" r:id="rId8"/>
    <sheet name="4.項目チェック（単体）_入力" sheetId="48" r:id="rId9"/>
    <sheet name="5.項目チェック（関連）_入力" sheetId="38" r:id="rId10"/>
    <sheet name="2.レイアウト（確認)" sheetId="57" r:id="rId11"/>
    <sheet name="3.項目説明(確認）" sheetId="61" r:id="rId12"/>
    <sheet name="4.項目チェック（単体）_確認" sheetId="62" r:id="rId13"/>
    <sheet name="5.項目チェック（関連）_確認" sheetId="63" r:id="rId14"/>
    <sheet name="6．画面機能補足説明" sheetId="44" r:id="rId15"/>
  </sheets>
  <definedNames>
    <definedName name="_xlnm.Print_Area" localSheetId="1">'1.遷移図'!$A$1:$CQ$43</definedName>
    <definedName name="_xlnm.Print_Area" localSheetId="10">'2.レイアウト（確認)'!$A$1:$CG$141</definedName>
    <definedName name="_xlnm.Print_Area" localSheetId="2">'2.レイアウト（検索)'!$A$1:$CG$70</definedName>
    <definedName name="_xlnm.Print_Area" localSheetId="6">'2.レイアウト（入力)'!$A$1:$CG$137</definedName>
    <definedName name="_xlnm.Print_Area" localSheetId="11">'3.項目説明(確認）'!$A$1:$BJ$53</definedName>
    <definedName name="_xlnm.Print_Area" localSheetId="3">'3.項目説明(検索）'!$A$1:$BJ$54</definedName>
    <definedName name="_xlnm.Print_Area" localSheetId="7">'3.項目説明(入力）'!$A$1:$BJ$49</definedName>
    <definedName name="_xlnm.Print_Area" localSheetId="12">'4.項目チェック（単体）_確認'!$A$1:$BJ$43</definedName>
    <definedName name="_xlnm.Print_Area" localSheetId="4">'4.項目チェック（単体）_検索'!$A$1:$BJ$19</definedName>
    <definedName name="_xlnm.Print_Area" localSheetId="8">'4.項目チェック（単体）_入力'!$A$1:$BJ$29</definedName>
    <definedName name="_xlnm.Print_Area" localSheetId="13">'5.項目チェック（関連）_確認'!$A$1:$BJ$41</definedName>
    <definedName name="_xlnm.Print_Area" localSheetId="5">'5.項目チェック（関連）_検索'!$A$1:$BJ$33</definedName>
    <definedName name="_xlnm.Print_Area" localSheetId="9">'5.項目チェック（関連）_入力'!$A$1:$BJ$36</definedName>
    <definedName name="_xlnm.Print_Area" localSheetId="14">'6．画面機能補足説明'!$A$1:$BJ$40</definedName>
    <definedName name="_xlnm.Print_Area" localSheetId="0">変更履歴!$A$1:$BJ$63</definedName>
    <definedName name="_xlnm.Print_Titles" localSheetId="11">'3.項目説明(確認）'!$1:$15</definedName>
    <definedName name="_xlnm.Print_Titles" localSheetId="3">'3.項目説明(検索）'!$1:$14</definedName>
    <definedName name="_xlnm.Print_Titles" localSheetId="7">'3.項目説明(入力）'!$1:$14</definedName>
    <definedName name="_xlnm.Print_Titles" localSheetId="12">'4.項目チェック（単体）_確認'!$1:$8</definedName>
    <definedName name="_xlnm.Print_Titles" localSheetId="4">'4.項目チェック（単体）_検索'!$1:$8</definedName>
    <definedName name="_xlnm.Print_Titles" localSheetId="8">'4.項目チェック（単体）_入力'!$1:$8</definedName>
    <definedName name="_xlnm.Print_Titles" localSheetId="13">'5.項目チェック（関連）_確認'!$1:$8</definedName>
    <definedName name="_xlnm.Print_Titles" localSheetId="5">'5.項目チェック（関連）_検索'!$1:$8</definedName>
    <definedName name="_xlnm.Print_Titles" localSheetId="9">'5.項目チェック（関連）_入力'!$1:$8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4" i="25" l="1"/>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23" i="60"/>
  <c r="A11" i="60"/>
  <c r="A12" i="60"/>
  <c r="A13" i="60"/>
  <c r="A14" i="60"/>
  <c r="A15" i="60"/>
  <c r="A16" i="60"/>
  <c r="A17" i="60"/>
  <c r="A18" i="60"/>
  <c r="A19" i="60"/>
  <c r="A20" i="60"/>
  <c r="A21" i="60"/>
  <c r="A22" i="60"/>
  <c r="A24" i="60"/>
  <c r="A25" i="60"/>
  <c r="A26" i="60"/>
  <c r="A27" i="60"/>
  <c r="A28" i="60"/>
  <c r="A29" i="60"/>
  <c r="A30" i="60"/>
  <c r="A31" i="60"/>
  <c r="A32" i="60"/>
  <c r="A10" i="60"/>
  <c r="A9" i="60"/>
  <c r="A10" i="58" l="1"/>
  <c r="A20" i="48" l="1"/>
  <c r="A21" i="48"/>
  <c r="A22" i="48"/>
  <c r="A23" i="48"/>
  <c r="A24" i="48"/>
  <c r="A16" i="58"/>
  <c r="A17" i="58"/>
  <c r="A48" i="61"/>
  <c r="A47" i="61"/>
  <c r="A46" i="61"/>
  <c r="A45" i="61"/>
  <c r="A44" i="61"/>
  <c r="A43" i="61"/>
  <c r="A42" i="61"/>
  <c r="A41" i="61"/>
  <c r="A47" i="59"/>
  <c r="A46" i="59"/>
  <c r="A45" i="59"/>
  <c r="A44" i="59"/>
  <c r="A43" i="59"/>
  <c r="A42" i="59"/>
  <c r="A41" i="59"/>
  <c r="A40" i="59"/>
  <c r="A10" i="38"/>
  <c r="A13" i="38" l="1"/>
  <c r="A15" i="38"/>
  <c r="A14" i="38"/>
  <c r="A12" i="38" l="1"/>
  <c r="A19" i="48"/>
  <c r="A15" i="48"/>
  <c r="A13" i="48"/>
  <c r="A15" i="58"/>
  <c r="A16" i="38"/>
  <c r="AS111" i="56"/>
  <c r="AG111" i="56"/>
  <c r="A11" i="38"/>
  <c r="A9" i="38"/>
  <c r="AS111" i="57"/>
  <c r="AG111" i="57"/>
  <c r="BR84" i="57"/>
  <c r="BE84" i="57"/>
  <c r="BR83" i="57"/>
  <c r="BE82" i="57"/>
  <c r="BR80" i="57"/>
  <c r="BE80" i="57"/>
  <c r="A17" i="59" l="1"/>
  <c r="A18" i="59"/>
  <c r="A19" i="59"/>
  <c r="A20" i="59"/>
  <c r="A21" i="59"/>
  <c r="A22" i="59"/>
  <c r="A23" i="59"/>
  <c r="A24" i="59"/>
  <c r="A25" i="59"/>
  <c r="A26" i="59"/>
  <c r="A27" i="59"/>
  <c r="A28" i="59"/>
  <c r="A29" i="59"/>
  <c r="A30" i="59"/>
  <c r="A31" i="59"/>
  <c r="A32" i="59"/>
  <c r="A33" i="59"/>
  <c r="A34" i="59"/>
  <c r="A35" i="59"/>
  <c r="A36" i="59"/>
  <c r="A37" i="59"/>
  <c r="A38" i="59"/>
  <c r="A39" i="59"/>
  <c r="A16" i="59"/>
  <c r="A15" i="59"/>
  <c r="A18" i="61" l="1"/>
  <c r="A19" i="61"/>
  <c r="A20" i="61"/>
  <c r="A21" i="61"/>
  <c r="A22" i="61"/>
  <c r="A23" i="61"/>
  <c r="A24" i="61"/>
  <c r="A25" i="61"/>
  <c r="A26" i="61"/>
  <c r="A27" i="61"/>
  <c r="A28" i="61"/>
  <c r="A29" i="61"/>
  <c r="A30" i="61"/>
  <c r="A31" i="61"/>
  <c r="A32" i="61"/>
  <c r="A33" i="61"/>
  <c r="A34" i="61"/>
  <c r="A35" i="61"/>
  <c r="A36" i="61"/>
  <c r="A37" i="61"/>
  <c r="A38" i="61"/>
  <c r="A39" i="61"/>
  <c r="A40" i="61"/>
  <c r="A17" i="61"/>
  <c r="A16" i="61"/>
  <c r="A16" i="25" l="1"/>
  <c r="A15" i="25"/>
  <c r="A12" i="48"/>
  <c r="A10" i="48"/>
  <c r="A12" i="58"/>
  <c r="A11" i="58"/>
  <c r="BR27" i="57"/>
  <c r="BE27" i="57"/>
  <c r="BR26" i="57"/>
  <c r="BE25" i="57"/>
  <c r="BR23" i="57"/>
  <c r="BE23" i="57"/>
  <c r="BR84" i="56"/>
  <c r="BE84" i="56"/>
  <c r="BR80" i="56"/>
  <c r="BE80" i="56" l="1"/>
  <c r="BR83" i="56"/>
  <c r="BE82" i="56"/>
  <c r="AS54" i="56"/>
  <c r="AG54" i="56"/>
  <c r="U54" i="56"/>
  <c r="I54" i="56"/>
  <c r="AS54" i="57"/>
  <c r="AG54" i="57"/>
  <c r="H6" i="63"/>
  <c r="H4" i="63"/>
  <c r="H6" i="62"/>
  <c r="H4" i="62"/>
  <c r="H6" i="61"/>
  <c r="H4" i="61"/>
  <c r="H6" i="60"/>
  <c r="H4" i="60"/>
  <c r="H6" i="59"/>
  <c r="H4" i="59"/>
  <c r="A14" i="58"/>
  <c r="A13" i="58"/>
  <c r="A9" i="58"/>
  <c r="H6" i="58"/>
  <c r="H4" i="58"/>
  <c r="L7" i="57" l="1"/>
  <c r="L4" i="57"/>
  <c r="L7" i="56"/>
  <c r="L4" i="56"/>
  <c r="L7" i="55" l="1"/>
  <c r="L4" i="55" l="1"/>
  <c r="A14" i="48"/>
  <c r="A18" i="48"/>
  <c r="A16" i="48"/>
  <c r="A9" i="48"/>
  <c r="A17" i="48"/>
  <c r="A11" i="48"/>
  <c r="V6" i="44" l="1"/>
  <c r="H4" i="44"/>
  <c r="H6" i="38"/>
  <c r="H4" i="38"/>
  <c r="H6" i="48"/>
  <c r="H4" i="48"/>
  <c r="H6" i="25"/>
  <c r="H4" i="25"/>
  <c r="AD6" i="42" l="1"/>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916C004-0CA0-41E7-B74A-036837FDDADB}">
      <text>
        <r>
          <rPr>
            <sz val="9"/>
            <color indexed="81"/>
            <rFont val="MS P ゴシック"/>
            <family val="3"/>
            <charset val="128"/>
          </rPr>
          <t xml:space="preserve">必須チェック要の場合　”〇”
</t>
        </r>
      </text>
    </comment>
    <comment ref="U8" authorId="0" shapeId="0" xr:uid="{783EE3E5-BD71-4234-BFE0-416DA79AEBB0}">
      <text>
        <r>
          <rPr>
            <sz val="9"/>
            <color indexed="81"/>
            <rFont val="MS P ゴシック"/>
            <family val="3"/>
            <charset val="128"/>
          </rPr>
          <t xml:space="preserve">numericチェック要の場合、”〇”
</t>
        </r>
      </text>
    </comment>
    <comment ref="X8" authorId="0" shapeId="0" xr:uid="{40CD3DE1-5E58-4A66-8930-00E3542C6D42}">
      <text>
        <r>
          <rPr>
            <sz val="9"/>
            <color indexed="81"/>
            <rFont val="MS P ゴシック"/>
            <family val="3"/>
            <charset val="128"/>
          </rPr>
          <t xml:space="preserve">文字数チェック要の場合　”〇”
</t>
        </r>
      </text>
    </comment>
    <comment ref="AA8" authorId="0" shapeId="0" xr:uid="{C12CFF30-848A-49B5-95E9-275F5BDC16E4}">
      <text>
        <r>
          <rPr>
            <sz val="9"/>
            <color indexed="81"/>
            <rFont val="MS P ゴシック"/>
            <family val="3"/>
            <charset val="128"/>
          </rPr>
          <t>マスタ存在チェック要の場合　”〇”
チェック対象のマスタはチェック内容説明欄に記載する。</t>
        </r>
      </text>
    </comment>
    <comment ref="AG8" authorId="0" shapeId="0" xr:uid="{56E22656-8CCF-404F-888C-939B6D1271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89D344-85F1-41ED-A6DA-127663EB8A6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F4B95F-6E02-4BA0-8895-7BC1F14D11F1}">
      <text>
        <r>
          <rPr>
            <b/>
            <sz val="9"/>
            <color indexed="81"/>
            <rFont val="MS P ゴシック"/>
            <family val="3"/>
            <charset val="128"/>
          </rPr>
          <t>メッセージ文言は、
”／”（全角スラッシュ）に続けて記入すること。</t>
        </r>
      </text>
    </comment>
    <comment ref="BD8" authorId="1" shapeId="0" xr:uid="{F0011757-5461-4297-A045-4A12C460ECF2}">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830E9004-A912-4868-B380-2DF24E72A9A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CA78531-ABC8-4520-8E3D-576C4697D498}">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5CE0F55-D841-4C58-8559-735283F3017C}">
      <text>
        <r>
          <rPr>
            <sz val="9"/>
            <color indexed="81"/>
            <rFont val="MS P ゴシック"/>
            <family val="3"/>
            <charset val="128"/>
          </rPr>
          <t xml:space="preserve">必須チェック要の場合　”〇”
</t>
        </r>
      </text>
    </comment>
    <comment ref="U8" authorId="0" shapeId="0" xr:uid="{91C9033A-23F3-425A-95EA-BA4E00E0EF02}">
      <text>
        <r>
          <rPr>
            <sz val="9"/>
            <color indexed="81"/>
            <rFont val="MS P ゴシック"/>
            <family val="3"/>
            <charset val="128"/>
          </rPr>
          <t xml:space="preserve">numericチェック要の場合、”〇”
</t>
        </r>
      </text>
    </comment>
    <comment ref="X8" authorId="0" shapeId="0" xr:uid="{52568FC3-65C1-4BCD-A0B3-AA46FEA7C17E}">
      <text>
        <r>
          <rPr>
            <sz val="9"/>
            <color indexed="81"/>
            <rFont val="MS P ゴシック"/>
            <family val="3"/>
            <charset val="128"/>
          </rPr>
          <t xml:space="preserve">文字数チェック要の場合　”〇”
</t>
        </r>
      </text>
    </comment>
    <comment ref="AA8" authorId="0" shapeId="0" xr:uid="{1AD88AC2-1D82-48DC-A203-D029F961C5C6}">
      <text>
        <r>
          <rPr>
            <sz val="9"/>
            <color indexed="81"/>
            <rFont val="MS P ゴシック"/>
            <family val="3"/>
            <charset val="128"/>
          </rPr>
          <t>マスタ存在チェック要の場合　”〇”
チェック対象のマスタはチェック内容説明欄に記載する。</t>
        </r>
      </text>
    </comment>
    <comment ref="AG8" authorId="0" shapeId="0" xr:uid="{75262EB6-2BE2-4433-9064-876B9CE8B3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3ED3EC9-068B-467D-8E85-2D57F9DBEB29}">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0E5091B-4618-471C-A237-7ED2FA0183BE}">
      <text>
        <r>
          <rPr>
            <b/>
            <sz val="9"/>
            <color indexed="81"/>
            <rFont val="MS P ゴシック"/>
            <family val="3"/>
            <charset val="128"/>
          </rPr>
          <t>メッセージ文言は、
”／”（全角スラッシュ）に続けて記入すること。</t>
        </r>
      </text>
    </comment>
    <comment ref="BD8" authorId="1" shapeId="0" xr:uid="{037DCA4C-765A-4C31-90AB-8CF21D19FEE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<sst xmlns="http://schemas.openxmlformats.org/spreadsheetml/2006/main" count="1580" uniqueCount="483">
  <si>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</si>
  <si>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</si>
  <si>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</si>
  <si>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</si>
  <si>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</si>
  <si>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</si>
  <si>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</si>
  <si>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</si>
  <si>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</si>
  <si>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</si>
  <si>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</si>
  <si>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</si>
  <si>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</si>
  <si>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</si>
  <si>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</si>
  <si>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</si>
  <si>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</si>
  <si>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</si>
  <si>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</si>
  <si>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</si>
  <si>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</si>
  <si>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</si>
  <si>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</si>
  <si>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</si>
  <si>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</si>
  <si>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</si>
  <si>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</si>
  <si>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イベント処理概要</t>
    <rPh sb="4" eb="6">
      <t>ショリ</t>
    </rPh>
    <rPh sb="6" eb="8">
      <t>ガイヨウ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</si>
  <si>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</si>
  <si>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</si>
  <si>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</si>
  <si>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</si>
  <si>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</si>
  <si>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</si>
  <si>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</si>
  <si>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</si>
  <si>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</si>
  <si>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</si>
  <si>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</si>
  <si>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</si>
  <si>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</si>
  <si>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</si>
  <si>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</si>
  <si>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</si>
  <si>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</si>
  <si>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</si>
  <si>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</si>
  <si>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</si>
  <si>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</si>
  <si>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</si>
  <si>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</si>
  <si>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</si>
  <si>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</si>
  <si>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</si>
  <si>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</si>
  <si>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</si>
  <si>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</si>
  <si>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</si>
  <si>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</si>
  <si>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</si>
  <si>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</si>
  <si>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</si>
  <si>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</si>
  <si>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カーソル（初期位置）</t>
    <phoneticPr fontId="2"/>
  </si>
  <si>
    <t>2</t>
    <phoneticPr fontId="2"/>
  </si>
  <si>
    <t>共計</t>
    <rPh sb="0" eb="2">
      <t>キョウケイ</t>
    </rPh>
    <phoneticPr fontId="15"/>
  </si>
  <si>
    <t>検索（収支管理品目）</t>
    <rPh sb="0" eb="2">
      <t>ケンサク</t>
    </rPh>
    <rPh sb="3" eb="9">
      <t>シュウシカンリヒンモク</t>
    </rPh>
    <phoneticPr fontId="8"/>
  </si>
  <si>
    <t>クリア</t>
    <phoneticPr fontId="8"/>
  </si>
  <si>
    <t>表示</t>
    <rPh sb="0" eb="2">
      <t>ヒョウジ</t>
    </rPh>
    <phoneticPr fontId="8"/>
  </si>
  <si>
    <t>検索条件入力領域を初期の状態に戻します。</t>
    <phoneticPr fontId="8"/>
  </si>
  <si>
    <t>191113 小豆</t>
    <rPh sb="7" eb="9">
      <t>アズキ</t>
    </rPh>
    <phoneticPr fontId="2"/>
  </si>
  <si>
    <t>2024</t>
    <phoneticPr fontId="2"/>
  </si>
  <si>
    <t>01</t>
    <phoneticPr fontId="2"/>
  </si>
  <si>
    <t>年産</t>
    <rPh sb="0" eb="2">
      <t>ネンサン</t>
    </rPh>
    <phoneticPr fontId="2"/>
  </si>
  <si>
    <t>共計次数</t>
    <rPh sb="0" eb="4">
      <t>キョウケイジスウ</t>
    </rPh>
    <phoneticPr fontId="2"/>
  </si>
  <si>
    <t>6</t>
    <phoneticPr fontId="2"/>
  </si>
  <si>
    <t>4</t>
    <phoneticPr fontId="2"/>
  </si>
  <si>
    <t>収支管理品目</t>
    <rPh sb="0" eb="2">
      <t>シュウシ</t>
    </rPh>
    <rPh sb="2" eb="4">
      <t>カンリ</t>
    </rPh>
    <rPh sb="4" eb="6">
      <t>ヒンモク</t>
    </rPh>
    <phoneticPr fontId="2"/>
  </si>
  <si>
    <t>〇</t>
    <phoneticPr fontId="2"/>
  </si>
  <si>
    <t>／収支管理品目はマスタに存在しません。</t>
    <rPh sb="0" eb="6">
      <t>シュウシカンリヒンモク</t>
    </rPh>
    <rPh sb="11" eb="13">
      <t>ソンザイ</t>
    </rPh>
    <phoneticPr fontId="2"/>
  </si>
  <si>
    <t>8</t>
    <phoneticPr fontId="2"/>
  </si>
  <si>
    <t>対象年月（To）</t>
    <rPh sb="0" eb="4">
      <t>タイショウネンゲツ</t>
    </rPh>
    <phoneticPr fontId="2"/>
  </si>
  <si>
    <t>対象年月(From)と対象年月(To)の検索範囲チェック</t>
    <rPh sb="0" eb="4">
      <t>タイショウネンゲツ</t>
    </rPh>
    <rPh sb="20" eb="24">
      <t>ケンサクハンイ</t>
    </rPh>
    <phoneticPr fontId="2"/>
  </si>
  <si>
    <t>滞留立替金利補正入力</t>
    <rPh sb="0" eb="2">
      <t>タイリュウ</t>
    </rPh>
    <rPh sb="2" eb="4">
      <t>タテカエ</t>
    </rPh>
    <rPh sb="4" eb="6">
      <t>キンリ</t>
    </rPh>
    <rPh sb="6" eb="8">
      <t>ホセイ</t>
    </rPh>
    <rPh sb="8" eb="10">
      <t>ニュウリョク</t>
    </rPh>
    <phoneticPr fontId="15"/>
  </si>
  <si>
    <t>検索</t>
    <rPh sb="0" eb="2">
      <t>ケンサク</t>
    </rPh>
    <phoneticPr fontId="2"/>
  </si>
  <si>
    <t>選択</t>
    <rPh sb="0" eb="2">
      <t>センタク</t>
    </rPh>
    <phoneticPr fontId="2"/>
  </si>
  <si>
    <t>滞留立替金利補正入力</t>
    <rPh sb="0" eb="2">
      <t>タイリュウ</t>
    </rPh>
    <rPh sb="2" eb="4">
      <t>タテカエ</t>
    </rPh>
    <rPh sb="4" eb="6">
      <t>キンリ</t>
    </rPh>
    <rPh sb="6" eb="8">
      <t>ホセイ</t>
    </rPh>
    <rPh sb="8" eb="10">
      <t>ニュウリョク</t>
    </rPh>
    <phoneticPr fontId="2"/>
  </si>
  <si>
    <t>検索条件</t>
    <rPh sb="0" eb="2">
      <t>ケンサク</t>
    </rPh>
    <rPh sb="2" eb="4">
      <t>ジョウケン</t>
    </rPh>
    <phoneticPr fontId="2"/>
  </si>
  <si>
    <t>メニュー選択</t>
    <rPh sb="4" eb="6">
      <t>センタク</t>
    </rPh>
    <phoneticPr fontId="2"/>
  </si>
  <si>
    <t>業種</t>
    <rPh sb="0" eb="2">
      <t>ギョウシュ</t>
    </rPh>
    <phoneticPr fontId="2"/>
  </si>
  <si>
    <t>共計区分</t>
    <rPh sb="0" eb="4">
      <t>キョウケイクブン</t>
    </rPh>
    <phoneticPr fontId="2"/>
  </si>
  <si>
    <t>共計組織</t>
    <rPh sb="0" eb="4">
      <t>キョウケイソシキ</t>
    </rPh>
    <phoneticPr fontId="2"/>
  </si>
  <si>
    <t>対象年月</t>
    <rPh sb="0" eb="4">
      <t>タイショウネンゲツ</t>
    </rPh>
    <phoneticPr fontId="2"/>
  </si>
  <si>
    <t>収支管理品目</t>
    <rPh sb="0" eb="6">
      <t>シュウシカンリヒンモク</t>
    </rPh>
    <phoneticPr fontId="2"/>
  </si>
  <si>
    <t>4137 雑穀課</t>
    <rPh sb="5" eb="8">
      <t>ザッコクカ</t>
    </rPh>
    <phoneticPr fontId="2"/>
  </si>
  <si>
    <t>1</t>
    <phoneticPr fontId="2"/>
  </si>
  <si>
    <t>10 雑穀</t>
    <rPh sb="3" eb="5">
      <t>ザッコク</t>
    </rPh>
    <phoneticPr fontId="2"/>
  </si>
  <si>
    <t>検索（業種）</t>
    <rPh sb="0" eb="2">
      <t>ケンサク</t>
    </rPh>
    <rPh sb="3" eb="5">
      <t>ギョウシュ</t>
    </rPh>
    <phoneticPr fontId="8"/>
  </si>
  <si>
    <t>検索（共計組織）</t>
    <rPh sb="0" eb="2">
      <t>ケンサク</t>
    </rPh>
    <rPh sb="3" eb="5">
      <t>キョウケイ</t>
    </rPh>
    <rPh sb="5" eb="7">
      <t>ソシキ</t>
    </rPh>
    <phoneticPr fontId="8"/>
  </si>
  <si>
    <t>照会</t>
    <rPh sb="0" eb="2">
      <t>ショウカイ</t>
    </rPh>
    <phoneticPr fontId="8"/>
  </si>
  <si>
    <t>基本情報</t>
    <rPh sb="0" eb="4">
      <t>キホンジョウホウ</t>
    </rPh>
    <phoneticPr fontId="2"/>
  </si>
  <si>
    <t>191113 小豆</t>
    <phoneticPr fontId="2"/>
  </si>
  <si>
    <t>2025/01</t>
    <phoneticPr fontId="2"/>
  </si>
  <si>
    <t>日</t>
    <rPh sb="0" eb="1">
      <t>ヒ</t>
    </rPh>
    <phoneticPr fontId="2"/>
  </si>
  <si>
    <t>3</t>
    <phoneticPr fontId="2"/>
  </si>
  <si>
    <t>5</t>
    <phoneticPr fontId="2"/>
  </si>
  <si>
    <t>7</t>
    <phoneticPr fontId="2"/>
  </si>
  <si>
    <t>9</t>
    <phoneticPr fontId="2"/>
  </si>
  <si>
    <t>10</t>
    <phoneticPr fontId="2"/>
  </si>
  <si>
    <t>11</t>
    <phoneticPr fontId="2"/>
  </si>
  <si>
    <t>12</t>
    <phoneticPr fontId="2"/>
  </si>
  <si>
    <t>13</t>
    <phoneticPr fontId="2"/>
  </si>
  <si>
    <t>14</t>
    <phoneticPr fontId="2"/>
  </si>
  <si>
    <t>15</t>
    <phoneticPr fontId="2"/>
  </si>
  <si>
    <t>確認</t>
    <rPh sb="0" eb="2">
      <t>カクニン</t>
    </rPh>
    <phoneticPr fontId="2"/>
  </si>
  <si>
    <t>明細1行目の入金補正額とする。</t>
    <rPh sb="0" eb="2">
      <t>メイサイ</t>
    </rPh>
    <rPh sb="3" eb="5">
      <t>ギョウメ</t>
    </rPh>
    <rPh sb="6" eb="11">
      <t>ニュウキンホセイガク</t>
    </rPh>
    <phoneticPr fontId="2"/>
  </si>
  <si>
    <t>計</t>
    <rPh sb="0" eb="1">
      <t>ケイ</t>
    </rPh>
    <phoneticPr fontId="2"/>
  </si>
  <si>
    <t xml:space="preserve"> </t>
    <phoneticPr fontId="2"/>
  </si>
  <si>
    <t>-</t>
    <phoneticPr fontId="2"/>
  </si>
  <si>
    <t>191114 赤系金時</t>
    <rPh sb="7" eb="9">
      <t>アカケイ</t>
    </rPh>
    <rPh sb="9" eb="11">
      <t>キントキ</t>
    </rPh>
    <phoneticPr fontId="2"/>
  </si>
  <si>
    <t>191115 大手亡</t>
    <rPh sb="7" eb="10">
      <t>オオテボウ</t>
    </rPh>
    <phoneticPr fontId="2"/>
  </si>
  <si>
    <t>XXXXXX ＸＸＸＸＸＸＸＸＸ０</t>
    <phoneticPr fontId="2"/>
  </si>
  <si>
    <t>入金補正金額</t>
    <phoneticPr fontId="2"/>
  </si>
  <si>
    <t>入金額</t>
    <phoneticPr fontId="2"/>
  </si>
  <si>
    <t>支払額</t>
    <phoneticPr fontId="2"/>
  </si>
  <si>
    <t>滞留立替金利の補正金額を確認します。</t>
    <rPh sb="0" eb="6">
      <t>タイリュウタテカエキンリ</t>
    </rPh>
    <rPh sb="7" eb="9">
      <t>ホセイ</t>
    </rPh>
    <rPh sb="9" eb="11">
      <t>キンガク</t>
    </rPh>
    <rPh sb="12" eb="14">
      <t>カクニン</t>
    </rPh>
    <phoneticPr fontId="2"/>
  </si>
  <si>
    <t>滞留立替金利の補正が必要な収支管理品目を選択し、補正入力を行います。</t>
    <rPh sb="0" eb="2">
      <t>タイリュウ</t>
    </rPh>
    <rPh sb="2" eb="6">
      <t>タテカエキンリ</t>
    </rPh>
    <rPh sb="7" eb="9">
      <t>ホセイ</t>
    </rPh>
    <rPh sb="10" eb="12">
      <t>ヒツヨウ</t>
    </rPh>
    <rPh sb="13" eb="19">
      <t>シュウシカンリヒンモク</t>
    </rPh>
    <rPh sb="20" eb="22">
      <t>センタク</t>
    </rPh>
    <rPh sb="24" eb="26">
      <t>ホセイ</t>
    </rPh>
    <rPh sb="26" eb="28">
      <t>ニュウリョク</t>
    </rPh>
    <rPh sb="29" eb="30">
      <t>オコナ</t>
    </rPh>
    <phoneticPr fontId="2"/>
  </si>
  <si>
    <t>対象年月（From）</t>
    <rPh sb="0" eb="4">
      <t>タイショウネンゲツ</t>
    </rPh>
    <phoneticPr fontId="2"/>
  </si>
  <si>
    <t>／業種はマスタに存在しません。</t>
    <rPh sb="1" eb="3">
      <t>ギョウシュ</t>
    </rPh>
    <phoneticPr fontId="2"/>
  </si>
  <si>
    <t>／共計組織はマスタに存在しません。</t>
    <rPh sb="1" eb="5">
      <t>キョウケイソシキ</t>
    </rPh>
    <phoneticPr fontId="2"/>
  </si>
  <si>
    <t>O</t>
    <phoneticPr fontId="2"/>
  </si>
  <si>
    <t>日（明細）</t>
    <rPh sb="0" eb="1">
      <t>ヒ</t>
    </rPh>
    <rPh sb="2" eb="4">
      <t>メイサイ</t>
    </rPh>
    <phoneticPr fontId="2"/>
  </si>
  <si>
    <t>I/O</t>
    <phoneticPr fontId="2"/>
  </si>
  <si>
    <t>17</t>
    <phoneticPr fontId="2"/>
  </si>
  <si>
    <t>入金補正金額（明細）</t>
    <rPh sb="0" eb="6">
      <t>ニュウキンホセイキンガク</t>
    </rPh>
    <rPh sb="7" eb="9">
      <t>メイサイ</t>
    </rPh>
    <phoneticPr fontId="2"/>
  </si>
  <si>
    <t>支払補正金額（明細）</t>
    <rPh sb="0" eb="6">
      <t>シハライホセイキンガク</t>
    </rPh>
    <phoneticPr fontId="2"/>
  </si>
  <si>
    <t>入金額（明細）</t>
    <rPh sb="0" eb="3">
      <t>ニュウキンガク</t>
    </rPh>
    <phoneticPr fontId="2"/>
  </si>
  <si>
    <t>支払額（明細）</t>
    <rPh sb="0" eb="3">
      <t>シハライガク</t>
    </rPh>
    <phoneticPr fontId="2"/>
  </si>
  <si>
    <t>入金補正金額（合計）</t>
    <rPh sb="0" eb="6">
      <t>ニュウキンホセイキンガク</t>
    </rPh>
    <rPh sb="7" eb="9">
      <t>ゴウケイ</t>
    </rPh>
    <phoneticPr fontId="2"/>
  </si>
  <si>
    <t>支払補正金額（合計）</t>
    <rPh sb="0" eb="6">
      <t>シハライホセイキンガク</t>
    </rPh>
    <phoneticPr fontId="2"/>
  </si>
  <si>
    <t>入金額（合計）</t>
    <rPh sb="0" eb="3">
      <t>ニュウキンガク</t>
    </rPh>
    <phoneticPr fontId="2"/>
  </si>
  <si>
    <t>支払額（合計）</t>
    <rPh sb="0" eb="3">
      <t>シハライガク</t>
    </rPh>
    <phoneticPr fontId="2"/>
  </si>
  <si>
    <t>１から対象年月の末日までの日付をセットする。</t>
    <rPh sb="3" eb="7">
      <t>タイショウネンゲツ</t>
    </rPh>
    <rPh sb="8" eb="10">
      <t>マツジツ</t>
    </rPh>
    <rPh sb="13" eb="15">
      <t>ヒヅケ</t>
    </rPh>
    <phoneticPr fontId="2"/>
  </si>
  <si>
    <t>チェックなし</t>
    <phoneticPr fontId="2"/>
  </si>
  <si>
    <t>業種とする。</t>
    <rPh sb="0" eb="2">
      <t>ギョウシュ</t>
    </rPh>
    <phoneticPr fontId="2"/>
  </si>
  <si>
    <t>全道共計</t>
    <rPh sb="0" eb="4">
      <t>ゼンドウキョウケイ</t>
    </rPh>
    <phoneticPr fontId="2"/>
  </si>
  <si>
    <t>16</t>
    <phoneticPr fontId="2"/>
  </si>
  <si>
    <t>18</t>
    <phoneticPr fontId="2"/>
  </si>
  <si>
    <t>19</t>
    <phoneticPr fontId="2"/>
  </si>
  <si>
    <t>20</t>
    <phoneticPr fontId="2"/>
  </si>
  <si>
    <t>21</t>
    <phoneticPr fontId="2"/>
  </si>
  <si>
    <t>22</t>
    <phoneticPr fontId="2"/>
  </si>
  <si>
    <t>23</t>
    <phoneticPr fontId="2"/>
  </si>
  <si>
    <t>24</t>
    <phoneticPr fontId="2"/>
  </si>
  <si>
    <t>25</t>
    <phoneticPr fontId="2"/>
  </si>
  <si>
    <t>26</t>
    <phoneticPr fontId="2"/>
  </si>
  <si>
    <t>27</t>
    <phoneticPr fontId="2"/>
  </si>
  <si>
    <t>28</t>
    <phoneticPr fontId="2"/>
  </si>
  <si>
    <t>29</t>
    <phoneticPr fontId="2"/>
  </si>
  <si>
    <t>30</t>
    <phoneticPr fontId="2"/>
  </si>
  <si>
    <t>31</t>
    <phoneticPr fontId="2"/>
  </si>
  <si>
    <t>16</t>
  </si>
  <si>
    <t>17</t>
  </si>
  <si>
    <t>18</t>
  </si>
  <si>
    <t>19</t>
  </si>
  <si>
    <t>20</t>
  </si>
  <si>
    <t>21</t>
  </si>
  <si>
    <t>22</t>
  </si>
  <si>
    <t>23</t>
  </si>
  <si>
    <t>24</t>
  </si>
  <si>
    <t>25</t>
  </si>
  <si>
    <t>26</t>
  </si>
  <si>
    <t>27</t>
  </si>
  <si>
    <t>28</t>
  </si>
  <si>
    <t>29</t>
  </si>
  <si>
    <t>30</t>
  </si>
  <si>
    <t>31</t>
  </si>
  <si>
    <t>9.2.3</t>
    <phoneticPr fontId="2"/>
  </si>
  <si>
    <t>差戻</t>
    <rPh sb="0" eb="2">
      <t>サシモドシ</t>
    </rPh>
    <phoneticPr fontId="2"/>
  </si>
  <si>
    <t>業種（明細）</t>
    <rPh sb="0" eb="2">
      <t>ギョウシュ</t>
    </rPh>
    <rPh sb="3" eb="5">
      <t>メイサイ</t>
    </rPh>
    <phoneticPr fontId="2"/>
  </si>
  <si>
    <t>共計区分（明細）</t>
    <rPh sb="0" eb="4">
      <t>キョウケイクブン</t>
    </rPh>
    <rPh sb="5" eb="7">
      <t>メイサイ</t>
    </rPh>
    <phoneticPr fontId="2"/>
  </si>
  <si>
    <t>共計組織（明細）</t>
    <rPh sb="0" eb="4">
      <t>キョウケイソシキ</t>
    </rPh>
    <rPh sb="5" eb="7">
      <t>メイサイ</t>
    </rPh>
    <phoneticPr fontId="2"/>
  </si>
  <si>
    <t>収支管理品目（明細）</t>
    <rPh sb="0" eb="6">
      <t>シュウシカンリヒンモク</t>
    </rPh>
    <rPh sb="7" eb="9">
      <t>メイサイ</t>
    </rPh>
    <phoneticPr fontId="2"/>
  </si>
  <si>
    <t>年産（明細）</t>
    <rPh sb="0" eb="2">
      <t>ネンサン</t>
    </rPh>
    <rPh sb="3" eb="5">
      <t>メイサイ</t>
    </rPh>
    <phoneticPr fontId="2"/>
  </si>
  <si>
    <t>共計次数（明細）</t>
    <rPh sb="0" eb="4">
      <t>キョウケイジスウ</t>
    </rPh>
    <rPh sb="5" eb="7">
      <t>メイサイ</t>
    </rPh>
    <phoneticPr fontId="2"/>
  </si>
  <si>
    <t>対象年月（明細）</t>
    <rPh sb="0" eb="4">
      <t>タイショウネンゲツ</t>
    </rPh>
    <rPh sb="5" eb="7">
      <t>メイサイ</t>
    </rPh>
    <phoneticPr fontId="2"/>
  </si>
  <si>
    <t>共計区分名称</t>
    <rPh sb="0" eb="4">
      <t>キョウケイクブン</t>
    </rPh>
    <rPh sb="4" eb="6">
      <t>メイショウ</t>
    </rPh>
    <phoneticPr fontId="2"/>
  </si>
  <si>
    <t>XX ＸＸＸＸＸ</t>
    <phoneticPr fontId="2"/>
  </si>
  <si>
    <t>XXXX ＸＸＸ</t>
    <phoneticPr fontId="2"/>
  </si>
  <si>
    <t>共計区分</t>
    <phoneticPr fontId="2"/>
  </si>
  <si>
    <t>共計組織</t>
    <phoneticPr fontId="2"/>
  </si>
  <si>
    <t>収支管理品目</t>
    <phoneticPr fontId="2"/>
  </si>
  <si>
    <t>修正</t>
    <rPh sb="0" eb="2">
      <t>シュウセイ</t>
    </rPh>
    <phoneticPr fontId="8"/>
  </si>
  <si>
    <t>検索条件</t>
    <rPh sb="0" eb="4">
      <t>ケンサクジョウケン</t>
    </rPh>
    <phoneticPr fontId="2"/>
  </si>
  <si>
    <t>検索結果一覧</t>
    <rPh sb="0" eb="2">
      <t>ケンサク</t>
    </rPh>
    <rPh sb="2" eb="6">
      <t>ケッカイチラン</t>
    </rPh>
    <phoneticPr fontId="2"/>
  </si>
  <si>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2"/>
  </si>
  <si>
    <t>1頁あたり15件まで表示する。</t>
    <rPh sb="1" eb="2">
      <t>ページ</t>
    </rPh>
    <rPh sb="7" eb="8">
      <t>ケン</t>
    </rPh>
    <rPh sb="10" eb="12">
      <t>ヒョウジ</t>
    </rPh>
    <phoneticPr fontId="2"/>
  </si>
  <si>
    <t>滞留立替金利補正一覧を表示する際には、折り畳んで表示する。
「＋」押下で展開して表示する（条件の確認及び変更を行う場合）
「－」押下で折り畳んで表示する。</t>
    <rPh sb="0" eb="2">
      <t>タイリュウ</t>
    </rPh>
    <rPh sb="2" eb="4">
      <t>タテカエ</t>
    </rPh>
    <rPh sb="4" eb="6">
      <t>キンリ</t>
    </rPh>
    <rPh sb="6" eb="8">
      <t>ホセイ</t>
    </rPh>
    <rPh sb="8" eb="10">
      <t>イチラン</t>
    </rPh>
    <rPh sb="9" eb="10">
      <t>ラン</t>
    </rPh>
    <phoneticPr fontId="2"/>
  </si>
  <si>
    <t>【検索条件入力領域】</t>
    <rPh sb="1" eb="3">
      <t>ケンサク</t>
    </rPh>
    <rPh sb="3" eb="5">
      <t>ジョウケン</t>
    </rPh>
    <rPh sb="5" eb="7">
      <t>ニュウリョク</t>
    </rPh>
    <rPh sb="7" eb="9">
      <t>リョウイキ</t>
    </rPh>
    <phoneticPr fontId="2"/>
  </si>
  <si>
    <t>【検索結果表示領域】</t>
    <rPh sb="1" eb="3">
      <t>ケンサク</t>
    </rPh>
    <rPh sb="3" eb="5">
      <t>ケッカ</t>
    </rPh>
    <rPh sb="5" eb="9">
      <t>ヒョウジリョウイキ</t>
    </rPh>
    <phoneticPr fontId="2"/>
  </si>
  <si>
    <t>クリア</t>
    <phoneticPr fontId="2"/>
  </si>
  <si>
    <t>入力内容を初期化する。</t>
    <rPh sb="0" eb="2">
      <t>ニュウリョク</t>
    </rPh>
    <rPh sb="2" eb="4">
      <t>ナイヨウ</t>
    </rPh>
    <rPh sb="5" eb="8">
      <t>ショキカ</t>
    </rPh>
    <phoneticPr fontId="2"/>
  </si>
  <si>
    <t>照会</t>
    <rPh sb="0" eb="2">
      <t>ショウカイ</t>
    </rPh>
    <phoneticPr fontId="2"/>
  </si>
  <si>
    <t>&gt;</t>
    <phoneticPr fontId="2"/>
  </si>
  <si>
    <t>滞留立替金利補正入力画面へ遷移します。</t>
    <rPh sb="0" eb="2">
      <t>タイリュウ</t>
    </rPh>
    <rPh sb="2" eb="4">
      <t>タテカエ</t>
    </rPh>
    <rPh sb="4" eb="6">
      <t>キンリ</t>
    </rPh>
    <rPh sb="6" eb="8">
      <t>ホセイ</t>
    </rPh>
    <rPh sb="8" eb="10">
      <t>ニュウリョク</t>
    </rPh>
    <rPh sb="10" eb="12">
      <t>ガメン</t>
    </rPh>
    <rPh sb="13" eb="15">
      <t>センイ</t>
    </rPh>
    <phoneticPr fontId="2"/>
  </si>
  <si>
    <t>表示（コードの日本語名称表示）</t>
    <rPh sb="0" eb="2">
      <t>ヒョウジ</t>
    </rPh>
    <rPh sb="12" eb="14">
      <t>ヒョウジ</t>
    </rPh>
    <phoneticPr fontId="2"/>
  </si>
  <si>
    <t>◎</t>
    <phoneticPr fontId="2"/>
  </si>
  <si>
    <t>滞留立替金利の補正金額を登録します。</t>
    <rPh sb="0" eb="6">
      <t>タイリュウタテカエキンリ</t>
    </rPh>
    <rPh sb="7" eb="9">
      <t>ホセイ</t>
    </rPh>
    <rPh sb="9" eb="11">
      <t>キンガク</t>
    </rPh>
    <rPh sb="12" eb="14">
      <t>トウロク</t>
    </rPh>
    <phoneticPr fontId="2"/>
  </si>
  <si>
    <t>滞留立替金利の補正金額を修正します。</t>
    <rPh sb="0" eb="6">
      <t>タイリュウタテカエキンリ</t>
    </rPh>
    <rPh sb="7" eb="9">
      <t>ホセイ</t>
    </rPh>
    <rPh sb="9" eb="11">
      <t>キンガク</t>
    </rPh>
    <rPh sb="12" eb="14">
      <t>シュウセイ</t>
    </rPh>
    <phoneticPr fontId="2"/>
  </si>
  <si>
    <t>雑穀</t>
    <rPh sb="0" eb="2">
      <t>ザッコク</t>
    </rPh>
    <phoneticPr fontId="2"/>
  </si>
  <si>
    <t>雑穀課</t>
    <rPh sb="0" eb="3">
      <t>ザッコクカ</t>
    </rPh>
    <phoneticPr fontId="2"/>
  </si>
  <si>
    <t>小豆</t>
    <rPh sb="0" eb="2">
      <t>アズキ</t>
    </rPh>
    <phoneticPr fontId="2"/>
  </si>
  <si>
    <t>登録</t>
    <rPh sb="0" eb="2">
      <t>トウロク</t>
    </rPh>
    <phoneticPr fontId="8"/>
  </si>
  <si>
    <t>削除</t>
    <rPh sb="0" eb="2">
      <t>サクジョ</t>
    </rPh>
    <phoneticPr fontId="2"/>
  </si>
  <si>
    <t>下書保存</t>
    <rPh sb="0" eb="2">
      <t>シタガ</t>
    </rPh>
    <rPh sb="2" eb="4">
      <t>ホゾン</t>
    </rPh>
    <phoneticPr fontId="2"/>
  </si>
  <si>
    <t>滞留立替金利補正入力検索画面に遷移する。</t>
    <rPh sb="0" eb="2">
      <t>タイリュウ</t>
    </rPh>
    <rPh sb="2" eb="4">
      <t>タテカエ</t>
    </rPh>
    <rPh sb="4" eb="6">
      <t>キンリ</t>
    </rPh>
    <rPh sb="6" eb="8">
      <t>ホセイ</t>
    </rPh>
    <rPh sb="8" eb="10">
      <t>ニュウリョク</t>
    </rPh>
    <rPh sb="10" eb="12">
      <t>ケンサク</t>
    </rPh>
    <rPh sb="12" eb="14">
      <t>ガメン</t>
    </rPh>
    <rPh sb="15" eb="17">
      <t>センイ</t>
    </rPh>
    <phoneticPr fontId="2"/>
  </si>
  <si>
    <t>支払補正金額</t>
    <rPh sb="0" eb="2">
      <t>シハラ</t>
    </rPh>
    <phoneticPr fontId="2"/>
  </si>
  <si>
    <t>補正後入金額</t>
    <rPh sb="0" eb="3">
      <t>ホセイゴ</t>
    </rPh>
    <phoneticPr fontId="2"/>
  </si>
  <si>
    <t>補正後支払額</t>
    <rPh sb="2" eb="3">
      <t>ゴ</t>
    </rPh>
    <rPh sb="3" eb="5">
      <t>シハラ</t>
    </rPh>
    <phoneticPr fontId="2"/>
  </si>
  <si>
    <t>補正後入金額（明細）</t>
    <rPh sb="0" eb="3">
      <t>ホセイゴ</t>
    </rPh>
    <rPh sb="3" eb="6">
      <t>ニュウキンガク</t>
    </rPh>
    <phoneticPr fontId="2"/>
  </si>
  <si>
    <t>補正後支払額（明細）</t>
    <rPh sb="0" eb="3">
      <t>ホセイゴ</t>
    </rPh>
    <rPh sb="3" eb="6">
      <t>シハライガク</t>
    </rPh>
    <phoneticPr fontId="2"/>
  </si>
  <si>
    <t>191113</t>
    <phoneticPr fontId="2"/>
  </si>
  <si>
    <t>4137</t>
    <phoneticPr fontId="2"/>
  </si>
  <si>
    <t>　全道共計</t>
    <rPh sb="1" eb="3">
      <t>ゼンドウ</t>
    </rPh>
    <rPh sb="3" eb="5">
      <t>キョウケイ</t>
    </rPh>
    <phoneticPr fontId="2"/>
  </si>
  <si>
    <t>-1,000</t>
    <phoneticPr fontId="2"/>
  </si>
  <si>
    <t>-2,000</t>
    <phoneticPr fontId="2"/>
  </si>
  <si>
    <t>添付ファイル数</t>
    <rPh sb="0" eb="2">
      <t>テンプ</t>
    </rPh>
    <rPh sb="6" eb="7">
      <t>スウ</t>
    </rPh>
    <phoneticPr fontId="2"/>
  </si>
  <si>
    <t>0</t>
    <phoneticPr fontId="2"/>
  </si>
  <si>
    <r>
      <t xml:space="preserve">業種 </t>
    </r>
    <r>
      <rPr>
        <sz val="10"/>
        <color rgb="FFFF0000"/>
        <rFont val="ＭＳ ゴシック"/>
        <family val="3"/>
        <charset val="128"/>
      </rPr>
      <t>(*)</t>
    </r>
    <rPh sb="0" eb="2">
      <t>ギョウシュ</t>
    </rPh>
    <phoneticPr fontId="2"/>
  </si>
  <si>
    <r>
      <t>共計区分</t>
    </r>
    <r>
      <rPr>
        <sz val="10"/>
        <color rgb="FFFF0000"/>
        <rFont val="ＭＳ ゴシック"/>
        <family val="3"/>
        <charset val="128"/>
      </rPr>
      <t>(*)</t>
    </r>
    <rPh sb="0" eb="4">
      <t>キョウケイクブン</t>
    </rPh>
    <phoneticPr fontId="2"/>
  </si>
  <si>
    <r>
      <t>収支管理品目</t>
    </r>
    <r>
      <rPr>
        <sz val="10"/>
        <color rgb="FFFF0000"/>
        <rFont val="ＭＳ ゴシック"/>
        <family val="3"/>
        <charset val="128"/>
      </rPr>
      <t>(*)</t>
    </r>
    <rPh sb="0" eb="6">
      <t>シュウシカンリヒンモク</t>
    </rPh>
    <phoneticPr fontId="2"/>
  </si>
  <si>
    <t>参照ＵＲＬ</t>
    <rPh sb="0" eb="2">
      <t>サンショウ</t>
    </rPh>
    <phoneticPr fontId="2"/>
  </si>
  <si>
    <r>
      <t>対象年月</t>
    </r>
    <r>
      <rPr>
        <sz val="10"/>
        <color rgb="FFFF0000"/>
        <rFont val="ＭＳ ゴシック"/>
        <family val="3"/>
        <charset val="128"/>
      </rPr>
      <t>(*)</t>
    </r>
    <rPh sb="0" eb="4">
      <t>タイショウネンゲツ</t>
    </rPh>
    <phoneticPr fontId="2"/>
  </si>
  <si>
    <r>
      <t>年産</t>
    </r>
    <r>
      <rPr>
        <sz val="10"/>
        <color rgb="FFFF0000"/>
        <rFont val="ＭＳ ゴシック"/>
        <family val="3"/>
        <charset val="128"/>
      </rPr>
      <t xml:space="preserve"> (*)</t>
    </r>
    <rPh sb="0" eb="2">
      <t>ネンサン</t>
    </rPh>
    <phoneticPr fontId="2"/>
  </si>
  <si>
    <r>
      <t>共計次数</t>
    </r>
    <r>
      <rPr>
        <sz val="10"/>
        <color rgb="FFFF0000"/>
        <rFont val="ＭＳ ゴシック"/>
        <family val="3"/>
        <charset val="128"/>
      </rPr>
      <t xml:space="preserve"> (*)</t>
    </r>
    <rPh sb="0" eb="4">
      <t>キョウケイジスウ</t>
    </rPh>
    <phoneticPr fontId="2"/>
  </si>
  <si>
    <t>支払補正金額</t>
    <rPh sb="0" eb="2">
      <t>シハライ</t>
    </rPh>
    <phoneticPr fontId="2"/>
  </si>
  <si>
    <t>更新者</t>
    <rPh sb="0" eb="2">
      <t>コウシン</t>
    </rPh>
    <rPh sb="2" eb="3">
      <t>シャ</t>
    </rPh>
    <phoneticPr fontId="2"/>
  </si>
  <si>
    <t>伝票番号</t>
    <rPh sb="0" eb="2">
      <t>デンピョウ</t>
    </rPh>
    <rPh sb="2" eb="4">
      <t>バンゴウ</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</si>
  <si>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</si>
  <si>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</si>
  <si>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</si>
  <si>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</si>
  <si>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【検索条件エリア】</t>
    <rPh sb="1" eb="3">
      <t>ケンサク</t>
    </rPh>
    <rPh sb="3" eb="5">
      <t>ジョウケン</t>
    </rPh>
    <phoneticPr fontId="2"/>
  </si>
  <si>
    <t>I</t>
  </si>
  <si>
    <t>ﾁｪｯｸﾎﾞｯｸｽ</t>
    <phoneticPr fontId="2"/>
  </si>
  <si>
    <t>更新日</t>
    <rPh sb="0" eb="2">
      <t>コウシン</t>
    </rPh>
    <rPh sb="2" eb="3">
      <t>ヒ</t>
    </rPh>
    <phoneticPr fontId="2"/>
  </si>
  <si>
    <t>更新年月日（From）</t>
    <rPh sb="0" eb="2">
      <t>コウシン</t>
    </rPh>
    <rPh sb="2" eb="5">
      <t>ネンガッピ</t>
    </rPh>
    <phoneticPr fontId="2"/>
  </si>
  <si>
    <t>更新年月日（To）</t>
    <rPh sb="0" eb="2">
      <t>コウシン</t>
    </rPh>
    <rPh sb="2" eb="5">
      <t>ネンガッピ</t>
    </rPh>
    <phoneticPr fontId="2"/>
  </si>
  <si>
    <t>【明細表示エリア】</t>
    <rPh sb="1" eb="3">
      <t>メイサイ</t>
    </rPh>
    <rPh sb="3" eb="5">
      <t>ヒョウジ</t>
    </rPh>
    <phoneticPr fontId="2"/>
  </si>
  <si>
    <t>選択（明細）</t>
    <rPh sb="0" eb="2">
      <t>センタク</t>
    </rPh>
    <rPh sb="3" eb="5">
      <t>メイサイ</t>
    </rPh>
    <phoneticPr fontId="2"/>
  </si>
  <si>
    <t>O</t>
  </si>
  <si>
    <t>ﾗｼﾞｵﾎﾞﾀﾝ</t>
    <phoneticPr fontId="2"/>
  </si>
  <si>
    <t>添付ファイル</t>
    <rPh sb="0" eb="2">
      <t>テンプ</t>
    </rPh>
    <phoneticPr fontId="2"/>
  </si>
  <si>
    <t>数字</t>
    <rPh sb="0" eb="2">
      <t>スウジ</t>
    </rPh>
    <phoneticPr fontId="2"/>
  </si>
  <si>
    <t>【基本情報エリア】</t>
    <rPh sb="1" eb="3">
      <t>キホン</t>
    </rPh>
    <rPh sb="3" eb="5">
      <t>ジョウホウ</t>
    </rPh>
    <phoneticPr fontId="2"/>
  </si>
  <si>
    <t>【明細エリア】</t>
    <rPh sb="1" eb="3">
      <t>メイサイ</t>
    </rPh>
    <phoneticPr fontId="2"/>
  </si>
  <si>
    <t>業種名</t>
    <rPh sb="0" eb="2">
      <t>ギョウシュ</t>
    </rPh>
    <rPh sb="2" eb="3">
      <t>メイ</t>
    </rPh>
    <phoneticPr fontId="2"/>
  </si>
  <si>
    <t>全角</t>
    <rPh sb="0" eb="2">
      <t>ゼンカク</t>
    </rPh>
    <phoneticPr fontId="2"/>
  </si>
  <si>
    <t>共計組織名</t>
    <rPh sb="0" eb="4">
      <t>キョウケイソシキ</t>
    </rPh>
    <rPh sb="4" eb="5">
      <t>メイ</t>
    </rPh>
    <phoneticPr fontId="2"/>
  </si>
  <si>
    <t>収支管理品目名</t>
    <rPh sb="6" eb="7">
      <t>メイ</t>
    </rPh>
    <phoneticPr fontId="2"/>
  </si>
  <si>
    <t>差戻、下書保存、依頼中を初期選択</t>
    <rPh sb="0" eb="2">
      <t>サシモドシ</t>
    </rPh>
    <rPh sb="3" eb="5">
      <t>シタガ</t>
    </rPh>
    <rPh sb="5" eb="7">
      <t>ホゾン</t>
    </rPh>
    <rPh sb="8" eb="11">
      <t>イライチュウ</t>
    </rPh>
    <rPh sb="12" eb="14">
      <t>ショキ</t>
    </rPh>
    <rPh sb="14" eb="16">
      <t>センタク</t>
    </rPh>
    <phoneticPr fontId="2"/>
  </si>
  <si>
    <t>業種名（明細）</t>
    <rPh sb="0" eb="2">
      <t>ギョウシュ</t>
    </rPh>
    <rPh sb="2" eb="3">
      <t>メイ</t>
    </rPh>
    <rPh sb="4" eb="6">
      <t>メイサイ</t>
    </rPh>
    <phoneticPr fontId="2"/>
  </si>
  <si>
    <t>共計組織名（明細）</t>
    <rPh sb="0" eb="4">
      <t>キョウケイソシキ</t>
    </rPh>
    <rPh sb="4" eb="5">
      <t>メイ</t>
    </rPh>
    <rPh sb="6" eb="8">
      <t>メイサイ</t>
    </rPh>
    <phoneticPr fontId="2"/>
  </si>
  <si>
    <t>収支管理品目名（明細）</t>
    <rPh sb="0" eb="6">
      <t>シュウシカンリヒンモク</t>
    </rPh>
    <rPh sb="6" eb="7">
      <t>メイ</t>
    </rPh>
    <rPh sb="8" eb="10">
      <t>メイサイ</t>
    </rPh>
    <phoneticPr fontId="2"/>
  </si>
  <si>
    <t>収支管理品目名</t>
    <rPh sb="0" eb="6">
      <t>シュウシカンリヒンモク</t>
    </rPh>
    <rPh sb="6" eb="7">
      <t>メイ</t>
    </rPh>
    <phoneticPr fontId="2"/>
  </si>
  <si>
    <t>更新日（From）</t>
    <rPh sb="0" eb="2">
      <t>コウシン</t>
    </rPh>
    <rPh sb="2" eb="3">
      <t>ビ</t>
    </rPh>
    <phoneticPr fontId="2"/>
  </si>
  <si>
    <t>更新日(From)と更新日(To)の検索範囲チェック</t>
    <rPh sb="0" eb="3">
      <t>コウシンビ</t>
    </rPh>
    <rPh sb="18" eb="22">
      <t>ケンサクハンイ</t>
    </rPh>
    <phoneticPr fontId="2"/>
  </si>
  <si>
    <t>申請</t>
    <rPh sb="0" eb="2">
      <t>シンセイ</t>
    </rPh>
    <phoneticPr fontId="2"/>
  </si>
  <si>
    <t>申請ボタンとする。</t>
    <rPh sb="0" eb="2">
      <t>シンセイ</t>
    </rPh>
    <phoneticPr fontId="2"/>
  </si>
  <si>
    <t>登録、修正</t>
    <rPh sb="0" eb="2">
      <t>トウロク</t>
    </rPh>
    <rPh sb="3" eb="5">
      <t>シュウセイ</t>
    </rPh>
    <phoneticPr fontId="2"/>
  </si>
  <si>
    <t>ログインしたユーザーの担当する業種のみを対象として抽出する。</t>
    <rPh sb="20" eb="22">
      <t>タイショウ</t>
    </rPh>
    <rPh sb="25" eb="27">
      <t>チュウシュツ</t>
    </rPh>
    <phoneticPr fontId="2"/>
  </si>
  <si>
    <t>200</t>
    <phoneticPr fontId="2"/>
  </si>
  <si>
    <t>-1000</t>
    <phoneticPr fontId="2"/>
  </si>
  <si>
    <t>-2000</t>
    <phoneticPr fontId="2"/>
  </si>
  <si>
    <t>滞留立替金利計算結果情報の入金額をカンマ編集して表示する。</t>
    <rPh sb="13" eb="16">
      <t>ニュウキンガク</t>
    </rPh>
    <rPh sb="20" eb="22">
      <t>ヘンシュウ</t>
    </rPh>
    <rPh sb="24" eb="26">
      <t>ヒョウジ</t>
    </rPh>
    <phoneticPr fontId="2"/>
  </si>
  <si>
    <t>滞留立替金利計算結果情報の支払額をカンマ編集して表示する。</t>
    <rPh sb="13" eb="15">
      <t>シハライ</t>
    </rPh>
    <rPh sb="15" eb="16">
      <t>ガク</t>
    </rPh>
    <rPh sb="20" eb="22">
      <t>ヘンシュウ</t>
    </rPh>
    <rPh sb="24" eb="26">
      <t>ヒョウジ</t>
    </rPh>
    <phoneticPr fontId="2"/>
  </si>
  <si>
    <t>入金補正金額（明細）＋入金額（明細）をカンマ編集して表示する。</t>
    <rPh sb="0" eb="6">
      <t>ニュウキンホセイキンガク</t>
    </rPh>
    <rPh sb="7" eb="9">
      <t>メイサイ</t>
    </rPh>
    <rPh sb="11" eb="13">
      <t>ニュウキン</t>
    </rPh>
    <rPh sb="13" eb="14">
      <t>ガク</t>
    </rPh>
    <rPh sb="15" eb="17">
      <t>メイサイ</t>
    </rPh>
    <rPh sb="22" eb="24">
      <t>ヘンシュウ</t>
    </rPh>
    <rPh sb="26" eb="28">
      <t>ヒョウジ</t>
    </rPh>
    <phoneticPr fontId="2"/>
  </si>
  <si>
    <t>支払補正金額（明細）＋支払額（明細）をカンマ編集して表示する。</t>
    <rPh sb="0" eb="2">
      <t>シハライ</t>
    </rPh>
    <rPh sb="2" eb="4">
      <t>ホセイ</t>
    </rPh>
    <rPh sb="4" eb="6">
      <t>キンガク</t>
    </rPh>
    <rPh sb="7" eb="9">
      <t>メイサイ</t>
    </rPh>
    <rPh sb="11" eb="13">
      <t>シハライ</t>
    </rPh>
    <rPh sb="13" eb="14">
      <t>ガク</t>
    </rPh>
    <rPh sb="15" eb="17">
      <t>メイサイ</t>
    </rPh>
    <rPh sb="22" eb="24">
      <t>ヘンシュウ</t>
    </rPh>
    <rPh sb="26" eb="28">
      <t>ヒョウジ</t>
    </rPh>
    <phoneticPr fontId="2"/>
  </si>
  <si>
    <t>明細の入金補正金額の合計値をカンマ編集して表示する。</t>
    <rPh sb="0" eb="2">
      <t>メイサイ</t>
    </rPh>
    <rPh sb="3" eb="5">
      <t>ニュウキン</t>
    </rPh>
    <rPh sb="5" eb="7">
      <t>ホセイ</t>
    </rPh>
    <rPh sb="7" eb="9">
      <t>キンガク</t>
    </rPh>
    <rPh sb="10" eb="13">
      <t>ゴウケイチ</t>
    </rPh>
    <rPh sb="17" eb="19">
      <t>ヘンシュウ</t>
    </rPh>
    <rPh sb="21" eb="23">
      <t>ヒョウジ</t>
    </rPh>
    <phoneticPr fontId="2"/>
  </si>
  <si>
    <t>明細の支払補正金額の合計値をカンマ編集して表示する。</t>
    <rPh sb="0" eb="2">
      <t>メイサイ</t>
    </rPh>
    <rPh sb="3" eb="5">
      <t>シハライ</t>
    </rPh>
    <rPh sb="5" eb="7">
      <t>ホセイ</t>
    </rPh>
    <rPh sb="7" eb="8">
      <t>キン</t>
    </rPh>
    <rPh sb="8" eb="9">
      <t>ガク</t>
    </rPh>
    <rPh sb="10" eb="13">
      <t>ゴウケイチ</t>
    </rPh>
    <rPh sb="21" eb="23">
      <t>ヒョウジ</t>
    </rPh>
    <phoneticPr fontId="2"/>
  </si>
  <si>
    <t>明細の入金額の合計値をカンマ編集して表示する。</t>
    <rPh sb="0" eb="2">
      <t>メイサイ</t>
    </rPh>
    <rPh sb="3" eb="5">
      <t>ニュウキン</t>
    </rPh>
    <rPh sb="5" eb="6">
      <t>ガク</t>
    </rPh>
    <rPh sb="7" eb="10">
      <t>ゴウケイチ</t>
    </rPh>
    <rPh sb="18" eb="20">
      <t>ヒョウジ</t>
    </rPh>
    <phoneticPr fontId="2"/>
  </si>
  <si>
    <t>明細の支払額の合計値をカンマ編集して表示する。</t>
    <rPh sb="0" eb="2">
      <t>メイサイ</t>
    </rPh>
    <rPh sb="3" eb="5">
      <t>シハライ</t>
    </rPh>
    <rPh sb="5" eb="6">
      <t>ガク</t>
    </rPh>
    <rPh sb="7" eb="10">
      <t>ゴウケイチ</t>
    </rPh>
    <rPh sb="18" eb="20">
      <t>ヒョウジ</t>
    </rPh>
    <phoneticPr fontId="2"/>
  </si>
  <si>
    <t>入力画面で入力した入金補正金額をカンマ編集して表示する。</t>
    <rPh sb="0" eb="4">
      <t>ニュウリョクガメン</t>
    </rPh>
    <rPh sb="5" eb="7">
      <t>ニュウリョク</t>
    </rPh>
    <rPh sb="9" eb="15">
      <t>ニュウキンホセイキンガク</t>
    </rPh>
    <rPh sb="19" eb="21">
      <t>ヘンシュウ</t>
    </rPh>
    <rPh sb="23" eb="25">
      <t>ヒョウジ</t>
    </rPh>
    <phoneticPr fontId="2"/>
  </si>
  <si>
    <t>入力画面で入力した支払補正金額をカンマ編集して表示する。</t>
    <rPh sb="0" eb="4">
      <t>ニュウリョクガメン</t>
    </rPh>
    <rPh sb="5" eb="7">
      <t>ニュウリョク</t>
    </rPh>
    <rPh sb="9" eb="11">
      <t>シハライ</t>
    </rPh>
    <rPh sb="11" eb="13">
      <t>ホセイ</t>
    </rPh>
    <rPh sb="13" eb="15">
      <t>キンガク</t>
    </rPh>
    <rPh sb="19" eb="21">
      <t>ヘンシュウ</t>
    </rPh>
    <rPh sb="23" eb="25">
      <t>ヒョウジ</t>
    </rPh>
    <phoneticPr fontId="2"/>
  </si>
  <si>
    <t>滞留立替金利補正入力の対象年月をYYYY/MM形式で表示する。</t>
    <rPh sb="0" eb="2">
      <t>タイリュウ</t>
    </rPh>
    <rPh sb="2" eb="4">
      <t>タテカエ</t>
    </rPh>
    <rPh sb="4" eb="6">
      <t>キンリ</t>
    </rPh>
    <rPh sb="6" eb="8">
      <t>ホセイ</t>
    </rPh>
    <rPh sb="8" eb="10">
      <t>ニュウリョク</t>
    </rPh>
    <rPh sb="11" eb="13">
      <t>タイショウ</t>
    </rPh>
    <rPh sb="13" eb="15">
      <t>ネンゲツ</t>
    </rPh>
    <rPh sb="23" eb="25">
      <t>ケイシキ</t>
    </rPh>
    <rPh sb="26" eb="28">
      <t>ヒョウジ</t>
    </rPh>
    <phoneticPr fontId="2"/>
  </si>
  <si>
    <t>業種に対する名称を表示する</t>
    <rPh sb="0" eb="2">
      <t>ギョウシュ</t>
    </rPh>
    <rPh sb="3" eb="4">
      <t>タイ</t>
    </rPh>
    <rPh sb="6" eb="8">
      <t>メイショウ</t>
    </rPh>
    <rPh sb="9" eb="11">
      <t>ヒョウジ</t>
    </rPh>
    <phoneticPr fontId="2"/>
  </si>
  <si>
    <t>共計組織に対する名称を表示する</t>
    <rPh sb="0" eb="4">
      <t>キョウケイソシキ</t>
    </rPh>
    <rPh sb="5" eb="6">
      <t>タイ</t>
    </rPh>
    <rPh sb="8" eb="10">
      <t>メイショウ</t>
    </rPh>
    <rPh sb="11" eb="13">
      <t>ヒョウジ</t>
    </rPh>
    <phoneticPr fontId="2"/>
  </si>
  <si>
    <t>収支管理品目に対する名称を表示する</t>
    <rPh sb="0" eb="6">
      <t>シュウシカンリヒンモク</t>
    </rPh>
    <rPh sb="7" eb="8">
      <t>タイ</t>
    </rPh>
    <rPh sb="10" eb="12">
      <t>メイショウ</t>
    </rPh>
    <rPh sb="13" eb="15">
      <t>ヒョウジ</t>
    </rPh>
    <phoneticPr fontId="2"/>
  </si>
  <si>
    <t>【照会時】</t>
    <rPh sb="1" eb="3">
      <t>ショウカイ</t>
    </rPh>
    <rPh sb="3" eb="4">
      <t>ジ</t>
    </rPh>
    <phoneticPr fontId="2"/>
  </si>
  <si>
    <t>【削除時】</t>
    <rPh sb="1" eb="3">
      <t>サクジョ</t>
    </rPh>
    <rPh sb="3" eb="4">
      <t>ジ</t>
    </rPh>
    <phoneticPr fontId="2"/>
  </si>
  <si>
    <t>滞留立替金利情報を削除します。</t>
    <rPh sb="0" eb="6">
      <t>タイリュウタテカエキンリ</t>
    </rPh>
    <rPh sb="6" eb="8">
      <t>ジョウホウ</t>
    </rPh>
    <rPh sb="9" eb="11">
      <t>サクジョ</t>
    </rPh>
    <phoneticPr fontId="2"/>
  </si>
  <si>
    <t>【照会時】</t>
    <rPh sb="1" eb="3">
      <t>ショウカイ</t>
    </rPh>
    <rPh sb="3" eb="4">
      <t>ジ</t>
    </rPh>
    <phoneticPr fontId="8"/>
  </si>
  <si>
    <t>【削除時】</t>
    <rPh sb="1" eb="3">
      <t>サクジョ</t>
    </rPh>
    <rPh sb="3" eb="4">
      <t>ジ</t>
    </rPh>
    <phoneticPr fontId="8"/>
  </si>
  <si>
    <t>経理部、現業部門</t>
    <rPh sb="0" eb="3">
      <t>ケイリブ</t>
    </rPh>
    <rPh sb="4" eb="6">
      <t>ゲンギョウ</t>
    </rPh>
    <rPh sb="6" eb="8">
      <t>ブモン</t>
    </rPh>
    <phoneticPr fontId="2"/>
  </si>
  <si>
    <t>○</t>
  </si>
  <si>
    <t>承認状況</t>
    <rPh sb="0" eb="4">
      <t>ショウニンジョウキョウ</t>
    </rPh>
    <phoneticPr fontId="2"/>
  </si>
  <si>
    <t>承認状況（明細）</t>
    <rPh sb="0" eb="4">
      <t>ショウニンジョウキョウ</t>
    </rPh>
    <rPh sb="5" eb="7">
      <t>メイサイ</t>
    </rPh>
    <phoneticPr fontId="2"/>
  </si>
  <si>
    <t>　□ 全道共計  □ 地区共計 □ 全国共計</t>
    <rPh sb="3" eb="5">
      <t>ゼンドウ</t>
    </rPh>
    <rPh sb="5" eb="7">
      <t>キョウケイ</t>
    </rPh>
    <rPh sb="11" eb="13">
      <t>チク</t>
    </rPh>
    <rPh sb="13" eb="15">
      <t>キョウケイ</t>
    </rPh>
    <rPh sb="18" eb="20">
      <t>ゼンコク</t>
    </rPh>
    <rPh sb="20" eb="22">
      <t>キョウケイ</t>
    </rPh>
    <phoneticPr fontId="2"/>
  </si>
  <si>
    <t>チェックボックス　全道共計 地区共計 全国共計　
初期値なし</t>
    <rPh sb="9" eb="13">
      <t>ゼンドウキョウケイ</t>
    </rPh>
    <rPh sb="14" eb="18">
      <t>チクキョウケイ</t>
    </rPh>
    <rPh sb="19" eb="23">
      <t>ゼンコクキョウケイ</t>
    </rPh>
    <rPh sb="25" eb="28">
      <t>ショキチ</t>
    </rPh>
    <phoneticPr fontId="2"/>
  </si>
  <si>
    <t>共計次数</t>
    <rPh sb="0" eb="2">
      <t>キョウケイ</t>
    </rPh>
    <rPh sb="2" eb="4">
      <t>ジスウ</t>
    </rPh>
    <phoneticPr fontId="2"/>
  </si>
  <si>
    <t>共計次数</t>
    <rPh sb="2" eb="4">
      <t>ジスウ</t>
    </rPh>
    <phoneticPr fontId="2"/>
  </si>
  <si>
    <t>☑差戻　☑下書保存　☑依頼中　□承認済</t>
    <rPh sb="1" eb="3">
      <t>サシモドシ</t>
    </rPh>
    <rPh sb="5" eb="7">
      <t>シタガ</t>
    </rPh>
    <rPh sb="7" eb="9">
      <t>ホゾン</t>
    </rPh>
    <rPh sb="11" eb="13">
      <t>イライ</t>
    </rPh>
    <rPh sb="13" eb="14">
      <t>チュウ</t>
    </rPh>
    <rPh sb="16" eb="18">
      <t>ショウニン</t>
    </rPh>
    <rPh sb="18" eb="19">
      <t>スミ</t>
    </rPh>
    <phoneticPr fontId="2"/>
  </si>
  <si>
    <t>(1 of 5) &lt;&lt;  &lt;  1 2 3 4 5  &gt;  &gt;&gt;　</t>
    <phoneticPr fontId="2"/>
  </si>
  <si>
    <t>キャンセル</t>
    <phoneticPr fontId="2"/>
  </si>
  <si>
    <t>訂正</t>
    <rPh sb="0" eb="2">
      <t>テイセイ</t>
    </rPh>
    <phoneticPr fontId="2"/>
  </si>
  <si>
    <t>削除ボタンとする。</t>
    <rPh sb="0" eb="2">
      <t>サクジョ</t>
    </rPh>
    <phoneticPr fontId="2"/>
  </si>
  <si>
    <t>承認依頼取下</t>
    <rPh sb="0" eb="4">
      <t>ショウニンイライ</t>
    </rPh>
    <rPh sb="4" eb="6">
      <t>トリサ</t>
    </rPh>
    <phoneticPr fontId="2"/>
  </si>
  <si>
    <t>承認状況（差戻→下書保存→依頼中→承認済）</t>
    <rPh sb="0" eb="2">
      <t>ショウニン</t>
    </rPh>
    <rPh sb="2" eb="4">
      <t>ジョウキョウ</t>
    </rPh>
    <phoneticPr fontId="2"/>
  </si>
  <si>
    <t>2025/8/29</t>
    <phoneticPr fontId="15"/>
  </si>
  <si>
    <t>2025/8/29</t>
    <phoneticPr fontId="8"/>
  </si>
  <si>
    <t>確認画面</t>
    <rPh sb="0" eb="4">
      <t>カクニンガメン</t>
    </rPh>
    <phoneticPr fontId="2"/>
  </si>
  <si>
    <t>個別照会、削除、承認依頼取下</t>
    <rPh sb="0" eb="2">
      <t>コベツ</t>
    </rPh>
    <rPh sb="2" eb="4">
      <t>ショウカイ</t>
    </rPh>
    <rPh sb="5" eb="7">
      <t>サクジョ</t>
    </rPh>
    <rPh sb="8" eb="12">
      <t>ショウニンイライ</t>
    </rPh>
    <rPh sb="12" eb="14">
      <t>トリサ</t>
    </rPh>
    <phoneticPr fontId="2"/>
  </si>
  <si>
    <t>個別照会</t>
    <rPh sb="0" eb="2">
      <t>コベツ</t>
    </rPh>
    <rPh sb="2" eb="4">
      <t>ショウカイ</t>
    </rPh>
    <phoneticPr fontId="2"/>
  </si>
  <si>
    <t>申請、キャンセル</t>
    <rPh sb="0" eb="2">
      <t>シンセイ</t>
    </rPh>
    <phoneticPr fontId="2"/>
  </si>
  <si>
    <t>統合会計システム</t>
    <phoneticPr fontId="15"/>
  </si>
  <si>
    <t>統合会計システム</t>
    <phoneticPr fontId="2"/>
  </si>
  <si>
    <t>統合会計システム</t>
    <phoneticPr fontId="8"/>
  </si>
  <si>
    <t>2025/8/29</t>
    <phoneticPr fontId="2"/>
  </si>
  <si>
    <t>検索条件と対象データの
存在チェック</t>
    <phoneticPr fontId="2"/>
  </si>
  <si>
    <t>「照会」ボタン押下時、検索条件に合致するデータが存在しない場合はエラー
／条件に該当するデータはありません。</t>
    <phoneticPr fontId="2"/>
  </si>
  <si>
    <t>○</t>
    <phoneticPr fontId="2"/>
  </si>
  <si>
    <t>修正、照会画面の場合、登録済みの支払補正金額を表示する。</t>
    <rPh sb="0" eb="2">
      <t>シュウセイ</t>
    </rPh>
    <rPh sb="3" eb="5">
      <t>ショウカイ</t>
    </rPh>
    <rPh sb="5" eb="7">
      <t>ガメン</t>
    </rPh>
    <rPh sb="8" eb="10">
      <t>バアイ</t>
    </rPh>
    <rPh sb="11" eb="14">
      <t>トウロクズ</t>
    </rPh>
    <rPh sb="16" eb="18">
      <t>シハライ</t>
    </rPh>
    <rPh sb="18" eb="22">
      <t>ホセイキンガク</t>
    </rPh>
    <rPh sb="23" eb="25">
      <t>ヒョウジ</t>
    </rPh>
    <phoneticPr fontId="2"/>
  </si>
  <si>
    <t>修正、照会画面の場合、登録済みの入金補正金額を表示する。</t>
    <rPh sb="0" eb="2">
      <t>シュウセイ</t>
    </rPh>
    <rPh sb="3" eb="5">
      <t>ショウカイ</t>
    </rPh>
    <rPh sb="5" eb="7">
      <t>ガメン</t>
    </rPh>
    <rPh sb="8" eb="10">
      <t>バアイ</t>
    </rPh>
    <rPh sb="11" eb="14">
      <t>トウロクズ</t>
    </rPh>
    <rPh sb="16" eb="18">
      <t>ニュウキン</t>
    </rPh>
    <rPh sb="18" eb="22">
      <t>ホセイキンガク</t>
    </rPh>
    <rPh sb="23" eb="25">
      <t>ヒョウジ</t>
    </rPh>
    <phoneticPr fontId="2"/>
  </si>
  <si>
    <t>業種と共計組織</t>
    <rPh sb="0" eb="2">
      <t>ギョウシュ</t>
    </rPh>
    <rPh sb="3" eb="5">
      <t>キョウケイ</t>
    </rPh>
    <rPh sb="5" eb="7">
      <t>ソシキ</t>
    </rPh>
    <phoneticPr fontId="2"/>
  </si>
  <si>
    <t>入力組織と共計組織</t>
    <rPh sb="0" eb="4">
      <t>ニュウリョクソシキ</t>
    </rPh>
    <rPh sb="5" eb="7">
      <t>キョウケイ</t>
    </rPh>
    <rPh sb="7" eb="9">
      <t>ソシキ</t>
    </rPh>
    <phoneticPr fontId="2"/>
  </si>
  <si>
    <t>入金補正額、支払補正額</t>
    <rPh sb="6" eb="8">
      <t>シハライ</t>
    </rPh>
    <rPh sb="8" eb="11">
      <t>ホセイガク</t>
    </rPh>
    <phoneticPr fontId="2"/>
  </si>
  <si>
    <t>対象年月</t>
    <rPh sb="0" eb="2">
      <t>タイショウ</t>
    </rPh>
    <rPh sb="2" eb="4">
      <t>ネンゲツ</t>
    </rPh>
    <phoneticPr fontId="2"/>
  </si>
  <si>
    <t>入力組織と共計区分</t>
    <phoneticPr fontId="2"/>
  </si>
  <si>
    <t>「確認画面」押下時、対象年月に締処理済の年月が入力されている場合、エラー
／締処理済の日付で滞留立替金利補正入力をすることはできません。</t>
    <rPh sb="10" eb="12">
      <t>タイショウ</t>
    </rPh>
    <rPh sb="12" eb="14">
      <t>ネンゲツ</t>
    </rPh>
    <rPh sb="15" eb="18">
      <t>シメショリ</t>
    </rPh>
    <rPh sb="18" eb="19">
      <t>スミ</t>
    </rPh>
    <rPh sb="20" eb="22">
      <t>ネンゲツ</t>
    </rPh>
    <rPh sb="23" eb="25">
      <t>ニュウリョク</t>
    </rPh>
    <rPh sb="30" eb="32">
      <t>バアイ</t>
    </rPh>
    <rPh sb="38" eb="41">
      <t>シメショリ</t>
    </rPh>
    <rPh sb="41" eb="42">
      <t>ズ</t>
    </rPh>
    <rPh sb="43" eb="45">
      <t>ヒヅケ</t>
    </rPh>
    <rPh sb="46" eb="50">
      <t>タイリュウタテカエ</t>
    </rPh>
    <rPh sb="50" eb="56">
      <t>キンリホセイニュウリョク</t>
    </rPh>
    <phoneticPr fontId="2"/>
  </si>
  <si>
    <t>「確認画面」押下時、入金補正額または支払補正額が1件も入力されていない場合、エラー
／入金補正金額、支払補正金額を入力してください。</t>
    <rPh sb="10" eb="15">
      <t>ニュウキンホセイガク</t>
    </rPh>
    <rPh sb="18" eb="23">
      <t>シハライホセイガク</t>
    </rPh>
    <rPh sb="25" eb="26">
      <t>ケン</t>
    </rPh>
    <rPh sb="27" eb="29">
      <t>ニュウリョク</t>
    </rPh>
    <rPh sb="35" eb="37">
      <t>バアイ</t>
    </rPh>
    <rPh sb="43" eb="49">
      <t>ニュウキンホセイキンガク</t>
    </rPh>
    <rPh sb="50" eb="56">
      <t>シハライホセイキンガク</t>
    </rPh>
    <rPh sb="57" eb="59">
      <t>ニュウリョク</t>
    </rPh>
    <phoneticPr fontId="2"/>
  </si>
  <si>
    <t>「照会」、「確認画面」押下時、入力者の所属する組織が支所　かつ　全道共計・全国共計を選択した場合エラー
／所属組織が支所の場合、全道共計・全国共計は選択できません。</t>
    <rPh sb="15" eb="17">
      <t>ニュウリョク</t>
    </rPh>
    <rPh sb="17" eb="18">
      <t>シャ</t>
    </rPh>
    <rPh sb="19" eb="21">
      <t>ショゾク</t>
    </rPh>
    <rPh sb="23" eb="25">
      <t>ソシキ</t>
    </rPh>
    <rPh sb="26" eb="28">
      <t>シショ</t>
    </rPh>
    <rPh sb="32" eb="34">
      <t>ゼンドウ</t>
    </rPh>
    <rPh sb="34" eb="36">
      <t>キョウケイ</t>
    </rPh>
    <rPh sb="37" eb="39">
      <t>ゼンコク</t>
    </rPh>
    <rPh sb="39" eb="41">
      <t>キョウケイ</t>
    </rPh>
    <rPh sb="42" eb="44">
      <t>センタク</t>
    </rPh>
    <rPh sb="46" eb="48">
      <t>バアイ</t>
    </rPh>
    <rPh sb="61" eb="63">
      <t>バアイ</t>
    </rPh>
    <rPh sb="74" eb="76">
      <t>センタク</t>
    </rPh>
    <phoneticPr fontId="2"/>
  </si>
  <si>
    <t>「照会」、「確認画面」押下時、入力者の所属する組織が本所　かつ　地区共計を選択した場合エラー
／所属組織が本所の場合、地区共計は選択できません。</t>
    <rPh sb="15" eb="17">
      <t>ニュウリョク</t>
    </rPh>
    <rPh sb="17" eb="18">
      <t>シャ</t>
    </rPh>
    <rPh sb="19" eb="21">
      <t>ショゾク</t>
    </rPh>
    <rPh sb="23" eb="25">
      <t>ソシキ</t>
    </rPh>
    <rPh sb="26" eb="28">
      <t>ホンショ</t>
    </rPh>
    <rPh sb="32" eb="36">
      <t>チクキョウケイ</t>
    </rPh>
    <rPh sb="37" eb="39">
      <t>センタク</t>
    </rPh>
    <rPh sb="41" eb="43">
      <t>バアイ</t>
    </rPh>
    <rPh sb="48" eb="50">
      <t>ショゾク</t>
    </rPh>
    <rPh sb="50" eb="52">
      <t>ソシキ</t>
    </rPh>
    <rPh sb="53" eb="55">
      <t>ホンショ</t>
    </rPh>
    <rPh sb="56" eb="58">
      <t>バアイ</t>
    </rPh>
    <rPh sb="59" eb="61">
      <t>チク</t>
    </rPh>
    <rPh sb="61" eb="63">
      <t>キョウケイ</t>
    </rPh>
    <rPh sb="64" eb="66">
      <t>センタク</t>
    </rPh>
    <phoneticPr fontId="2"/>
  </si>
  <si>
    <t>F4106-3D</t>
    <phoneticPr fontId="2"/>
  </si>
  <si>
    <t>対象年月日、入金補正額
、支払補正額</t>
    <rPh sb="0" eb="2">
      <t>タイショウ</t>
    </rPh>
    <rPh sb="2" eb="4">
      <t>ネンゲツ</t>
    </rPh>
    <rPh sb="4" eb="5">
      <t>ニチ</t>
    </rPh>
    <phoneticPr fontId="2"/>
  </si>
  <si>
    <t>入力した内容をチェックし、エラーの場合はエラーメッセージを表示。
エラーが無ければ、確認画面へ遷移する。</t>
    <rPh sb="42" eb="44">
      <t>カクニン</t>
    </rPh>
    <phoneticPr fontId="2"/>
  </si>
  <si>
    <t>承認情報</t>
    <rPh sb="0" eb="2">
      <t>ショウニン</t>
    </rPh>
    <rPh sb="2" eb="4">
      <t>ジョウホウ</t>
    </rPh>
    <phoneticPr fontId="2"/>
  </si>
  <si>
    <t>更新情報</t>
    <rPh sb="0" eb="4">
      <t>コウシンジョウホウ</t>
    </rPh>
    <phoneticPr fontId="2"/>
  </si>
  <si>
    <t>更新日時</t>
    <rPh sb="0" eb="4">
      <t>コウシンニチジ</t>
    </rPh>
    <phoneticPr fontId="2"/>
  </si>
  <si>
    <t>所属</t>
    <rPh sb="0" eb="2">
      <t>ショゾク</t>
    </rPh>
    <phoneticPr fontId="2"/>
  </si>
  <si>
    <t>担当</t>
    <rPh sb="0" eb="2">
      <t>タントウ</t>
    </rPh>
    <phoneticPr fontId="2"/>
  </si>
  <si>
    <t>【承認情報エリア】</t>
    <rPh sb="1" eb="3">
      <t>ショウニン</t>
    </rPh>
    <rPh sb="3" eb="5">
      <t>ジョウホウ</t>
    </rPh>
    <phoneticPr fontId="2"/>
  </si>
  <si>
    <t>更新者（更新日時）</t>
    <rPh sb="0" eb="3">
      <t>コウシンシャ</t>
    </rPh>
    <rPh sb="4" eb="6">
      <t>コウシン</t>
    </rPh>
    <rPh sb="6" eb="8">
      <t>ニチジ</t>
    </rPh>
    <phoneticPr fontId="2"/>
  </si>
  <si>
    <t>更新者-日時を表示する。</t>
    <phoneticPr fontId="2"/>
  </si>
  <si>
    <t>更新者（所属）</t>
    <rPh sb="0" eb="3">
      <t>コウシンシャ</t>
    </rPh>
    <phoneticPr fontId="2"/>
  </si>
  <si>
    <t>文字
（全角）</t>
    <phoneticPr fontId="2"/>
  </si>
  <si>
    <t>更新者-所属を表示する。</t>
    <phoneticPr fontId="2"/>
  </si>
  <si>
    <t>更新者（担当者）</t>
    <rPh sb="0" eb="3">
      <t>コウシンシャ</t>
    </rPh>
    <rPh sb="4" eb="7">
      <t>タントウシャ</t>
    </rPh>
    <phoneticPr fontId="2"/>
  </si>
  <si>
    <t>更新者-担当者を表示する。</t>
    <phoneticPr fontId="2"/>
  </si>
  <si>
    <t>承認/差戻（更新日時）</t>
    <rPh sb="6" eb="10">
      <t>コウシンニチジ</t>
    </rPh>
    <phoneticPr fontId="2"/>
  </si>
  <si>
    <t>承認/差戻者-日時を表示する。</t>
    <phoneticPr fontId="2"/>
  </si>
  <si>
    <t>承認/差戻（所属）</t>
    <rPh sb="6" eb="8">
      <t>ショゾク</t>
    </rPh>
    <phoneticPr fontId="2"/>
  </si>
  <si>
    <t>承認/差戻者-所属を表示する。</t>
    <phoneticPr fontId="2"/>
  </si>
  <si>
    <t>承認/差戻（担当者）</t>
    <rPh sb="6" eb="9">
      <t>タントウシャ</t>
    </rPh>
    <phoneticPr fontId="2"/>
  </si>
  <si>
    <t>承認/差戻者-担当者を表示する。</t>
    <phoneticPr fontId="2"/>
  </si>
  <si>
    <t>差戻コメント</t>
    <phoneticPr fontId="2"/>
  </si>
  <si>
    <t>42</t>
    <phoneticPr fontId="2"/>
  </si>
  <si>
    <t>差戻コメントを表示する。</t>
    <phoneticPr fontId="2"/>
  </si>
  <si>
    <t>４文字である事を確認する。
／年産は４文字で入力してください。</t>
    <rPh sb="15" eb="17">
      <t>ネンサン</t>
    </rPh>
    <phoneticPr fontId="2"/>
  </si>
  <si>
    <t>２文字である事を確認する。
／共計次数は２文字で入力してください。</t>
    <rPh sb="15" eb="17">
      <t>キョウケイ</t>
    </rPh>
    <rPh sb="17" eb="19">
      <t>ジスウ</t>
    </rPh>
    <phoneticPr fontId="2"/>
  </si>
  <si>
    <t>実在日でない場合、エラーとする。
／対象年月に誤りがあります。（実在日ではありません）</t>
    <phoneticPr fontId="2"/>
  </si>
  <si>
    <t>入金補正金額に入力した値が -9,999,999,999,999 ～ 9,999,999,999,999の範囲内であることを確認する。
／入金補正金額は-9,999,999,999,999 ～ 9,999,999,999,999の範囲内で入力してください。</t>
    <phoneticPr fontId="2"/>
  </si>
  <si>
    <t>支払補正金額に入力した値が -9,999,999,999,999 ～ 9,999,999,999,999の範囲内であることを確認する。
／支払補正金額は-9,999,999,999,999 ～ 9,999,999,999,999の範囲内で入力してください。</t>
    <rPh sb="0" eb="2">
      <t>シハライ</t>
    </rPh>
    <rPh sb="69" eb="71">
      <t>シハライ</t>
    </rPh>
    <phoneticPr fontId="2"/>
  </si>
  <si>
    <t>修正ボタンと明細未選択チェック</t>
    <rPh sb="0" eb="2">
      <t>シュウセイ</t>
    </rPh>
    <rPh sb="6" eb="8">
      <t>メイサイ</t>
    </rPh>
    <rPh sb="8" eb="11">
      <t>ミセンタク</t>
    </rPh>
    <phoneticPr fontId="2"/>
  </si>
  <si>
    <t>「修正」ボタン押下時、明細を選択していない場合エラー
／明細を選択してください。</t>
    <rPh sb="33" eb="35">
      <t>メイサイ</t>
    </rPh>
    <rPh sb="36" eb="38">
      <t>センタクセンタク</t>
    </rPh>
    <phoneticPr fontId="2"/>
  </si>
  <si>
    <t>修正ボタンと複数明細選択チェック</t>
    <rPh sb="0" eb="2">
      <t>シュウセイ</t>
    </rPh>
    <rPh sb="6" eb="8">
      <t>フクスウ</t>
    </rPh>
    <rPh sb="8" eb="10">
      <t>メイサイ</t>
    </rPh>
    <rPh sb="10" eb="12">
      <t>センタク</t>
    </rPh>
    <phoneticPr fontId="2"/>
  </si>
  <si>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2"/>
  </si>
  <si>
    <t>修正ボタンと承認状況（依頼中）のチェック</t>
    <rPh sb="0" eb="2">
      <t>シュウセイ</t>
    </rPh>
    <rPh sb="11" eb="14">
      <t>イライチュウ</t>
    </rPh>
    <phoneticPr fontId="2"/>
  </si>
  <si>
    <t>修正ボタン承認状況（承認済）のチェック</t>
    <rPh sb="0" eb="2">
      <t>シュウセイ</t>
    </rPh>
    <rPh sb="10" eb="13">
      <t>ショウニンズ</t>
    </rPh>
    <phoneticPr fontId="2"/>
  </si>
  <si>
    <t>削除ボタンと明細未選択のチェック</t>
    <rPh sb="0" eb="2">
      <t>サクジョ</t>
    </rPh>
    <phoneticPr fontId="2"/>
  </si>
  <si>
    <t>「削除」ボタン押下時、明細を選択していない場合エラー
／明細を選択してください。</t>
    <rPh sb="1" eb="3">
      <t>サクジョ</t>
    </rPh>
    <rPh sb="28" eb="30">
      <t>メイサイ</t>
    </rPh>
    <rPh sb="31" eb="33">
      <t>センタクセンタク</t>
    </rPh>
    <phoneticPr fontId="2"/>
  </si>
  <si>
    <t>削除ボタンと承認状況（依頼中）のチェック</t>
    <rPh sb="0" eb="2">
      <t>サクジョ</t>
    </rPh>
    <rPh sb="10" eb="13">
      <t>イライチュウ</t>
    </rPh>
    <phoneticPr fontId="2"/>
  </si>
  <si>
    <t>個別照会ボタンと明細未選択のチェック</t>
    <rPh sb="0" eb="2">
      <t>コベツ</t>
    </rPh>
    <rPh sb="2" eb="4">
      <t>ショウカイ</t>
    </rPh>
    <phoneticPr fontId="2"/>
  </si>
  <si>
    <t>「個別照会」ボタン押下時、明細を選択していない場合エラー
／明細を選択してください。</t>
    <rPh sb="1" eb="3">
      <t>コベツ</t>
    </rPh>
    <rPh sb="3" eb="5">
      <t>ショウカイ</t>
    </rPh>
    <rPh sb="30" eb="32">
      <t>メイサイ</t>
    </rPh>
    <rPh sb="33" eb="35">
      <t>センタクセンタク</t>
    </rPh>
    <phoneticPr fontId="2"/>
  </si>
  <si>
    <t>個別照会ボタンと複数明細選択のチェック</t>
    <rPh sb="0" eb="2">
      <t>コベツ</t>
    </rPh>
    <rPh sb="2" eb="4">
      <t>ショウカイ</t>
    </rPh>
    <rPh sb="8" eb="10">
      <t>フクスウ</t>
    </rPh>
    <rPh sb="10" eb="12">
      <t>メイサイ</t>
    </rPh>
    <rPh sb="12" eb="14">
      <t>センタク</t>
    </rPh>
    <phoneticPr fontId="2"/>
  </si>
  <si>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2"/>
  </si>
  <si>
    <t>承認依頼取下ボタンと明細未選択のチェック</t>
    <rPh sb="0" eb="2">
      <t>ショウニン</t>
    </rPh>
    <rPh sb="2" eb="4">
      <t>イライ</t>
    </rPh>
    <rPh sb="4" eb="5">
      <t>トリ</t>
    </rPh>
    <rPh sb="5" eb="6">
      <t>シタ</t>
    </rPh>
    <phoneticPr fontId="2"/>
  </si>
  <si>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2"/>
  </si>
  <si>
    <t>承認依頼取下ボタンと承認状況（差戻）のチェック</t>
    <rPh sb="0" eb="2">
      <t>ショウニン</t>
    </rPh>
    <rPh sb="2" eb="4">
      <t>イライ</t>
    </rPh>
    <rPh sb="4" eb="5">
      <t>トリ</t>
    </rPh>
    <rPh sb="5" eb="6">
      <t>シタ</t>
    </rPh>
    <rPh sb="15" eb="16">
      <t>サ</t>
    </rPh>
    <rPh sb="16" eb="17">
      <t>モド</t>
    </rPh>
    <phoneticPr fontId="2"/>
  </si>
  <si>
    <t>承認依頼取下ボタンと承認状況（下書保存）のチェック</t>
    <rPh sb="0" eb="2">
      <t>ショウニン</t>
    </rPh>
    <rPh sb="2" eb="4">
      <t>イライ</t>
    </rPh>
    <rPh sb="4" eb="5">
      <t>トリ</t>
    </rPh>
    <rPh sb="5" eb="6">
      <t>シタ</t>
    </rPh>
    <rPh sb="15" eb="17">
      <t>シタガ</t>
    </rPh>
    <rPh sb="17" eb="19">
      <t>ホゾン</t>
    </rPh>
    <phoneticPr fontId="2"/>
  </si>
  <si>
    <t>承認依頼取下ボタンと承認状況（承認済）のチェック</t>
    <rPh sb="0" eb="2">
      <t>ショウニン</t>
    </rPh>
    <rPh sb="2" eb="4">
      <t>イライ</t>
    </rPh>
    <rPh sb="4" eb="5">
      <t>トリ</t>
    </rPh>
    <rPh sb="5" eb="6">
      <t>シタ</t>
    </rPh>
    <rPh sb="15" eb="18">
      <t>ショウニンズ</t>
    </rPh>
    <phoneticPr fontId="2"/>
  </si>
  <si>
    <t>　全道共計</t>
  </si>
  <si>
    <t>ログインしたユーザーの担当する業種のみを対象として抽出する。</t>
    <phoneticPr fontId="2"/>
  </si>
  <si>
    <t>業種と共計組織</t>
    <phoneticPr fontId="2"/>
  </si>
  <si>
    <r>
      <t>共計組織</t>
    </r>
    <r>
      <rPr>
        <sz val="10"/>
        <color rgb="FFFF0000"/>
        <rFont val="ＭＳ ゴシック"/>
        <family val="3"/>
        <charset val="128"/>
      </rPr>
      <t xml:space="preserve"> (*)</t>
    </r>
    <rPh sb="0" eb="4">
      <t>キョウケイソシキ</t>
    </rPh>
    <phoneticPr fontId="2"/>
  </si>
  <si>
    <t>入力：プルダウンリスト
ログインしたユーザーの所属に応じて以下の内容を設定する。
本所の場合：
「全道共計」（初期値）「全国共計」
支所の場合：
「地区共計」（初期値）</t>
    <rPh sb="24" eb="26">
      <t>ショゾク</t>
    </rPh>
    <rPh sb="27" eb="28">
      <t>オウ</t>
    </rPh>
    <rPh sb="30" eb="32">
      <t>イカ</t>
    </rPh>
    <rPh sb="33" eb="35">
      <t>ナイヨウ</t>
    </rPh>
    <rPh sb="36" eb="38">
      <t>セッテイ</t>
    </rPh>
    <rPh sb="42" eb="44">
      <t>ホンショ</t>
    </rPh>
    <rPh sb="45" eb="47">
      <t>バアイ</t>
    </rPh>
    <rPh sb="56" eb="59">
      <t>ショキチ</t>
    </rPh>
    <rPh sb="61" eb="63">
      <t>ゼンコク</t>
    </rPh>
    <rPh sb="67" eb="69">
      <t>シショ</t>
    </rPh>
    <rPh sb="75" eb="77">
      <t>チクゼンドウキョウケイ</t>
    </rPh>
    <phoneticPr fontId="2"/>
  </si>
  <si>
    <t>修正ボタンと入力組織のチェック</t>
    <rPh sb="0" eb="2">
      <t>シュウセイ</t>
    </rPh>
    <rPh sb="6" eb="10">
      <t>ニュウリョクソシキ</t>
    </rPh>
    <phoneticPr fontId="2"/>
  </si>
  <si>
    <t>「修正」ボタン押下時、共計組織が担当の所属する組織と異なる明細を1件でも選択している場合エラー
／共計組織が担当の所属コード以外となる明細は選択できません。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2"/>
  </si>
  <si>
    <t>削除ボタンと入力組織のチェック</t>
    <rPh sb="0" eb="2">
      <t>サクジョ</t>
    </rPh>
    <rPh sb="6" eb="10">
      <t>ニュウリョクソシキ</t>
    </rPh>
    <phoneticPr fontId="2"/>
  </si>
  <si>
    <t>「削除」ボタン押下時、共計組織が入力者の所属する組織と異なる明細を1件でも選択している場合エラー
／共計組織が担当の所属コード以外となる明細は選択できません。</t>
    <rPh sb="1" eb="3">
      <t>サクジョ</t>
    </rPh>
    <rPh sb="7" eb="10">
      <t>オウカジ</t>
    </rPh>
    <rPh sb="24" eb="26">
      <t>ソシキ</t>
    </rPh>
    <rPh sb="50" eb="52">
      <t>キョウケイ</t>
    </rPh>
    <rPh sb="52" eb="54">
      <t>ソシキ</t>
    </rPh>
    <rPh sb="55" eb="57">
      <t>タントウ</t>
    </rPh>
    <rPh sb="58" eb="60">
      <t>ショゾク</t>
    </rPh>
    <rPh sb="63" eb="65">
      <t>イガイ</t>
    </rPh>
    <rPh sb="68" eb="70">
      <t>メイサイ</t>
    </rPh>
    <phoneticPr fontId="2"/>
  </si>
  <si>
    <t>承認依頼取下ボタンと入力組織のチェック</t>
    <rPh sb="10" eb="14">
      <t>ニュウリョクソシキ</t>
    </rPh>
    <phoneticPr fontId="2"/>
  </si>
  <si>
    <t>「承認依頼取下」ボタン押下時、共計組織が入力者の所属する組織以外となる明細を1件でも選択している場合エラー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5" eb="57">
      <t>キョウケイ</t>
    </rPh>
    <rPh sb="57" eb="59">
      <t>ソシキ</t>
    </rPh>
    <rPh sb="60" eb="62">
      <t>タントウ</t>
    </rPh>
    <rPh sb="63" eb="65">
      <t>ショゾク</t>
    </rPh>
    <rPh sb="68" eb="70">
      <t>イガイ</t>
    </rPh>
    <rPh sb="73" eb="75">
      <t>メイサイ</t>
    </rPh>
    <phoneticPr fontId="2"/>
  </si>
  <si>
    <t>入力組織と収支管理品目</t>
    <rPh sb="0" eb="2">
      <t>ニュウリョク</t>
    </rPh>
    <rPh sb="2" eb="4">
      <t>ソシキ</t>
    </rPh>
    <rPh sb="5" eb="11">
      <t>シュウシカンリヒンモク</t>
    </rPh>
    <phoneticPr fontId="2"/>
  </si>
  <si>
    <t>入力組織と共計組織</t>
    <rPh sb="0" eb="2">
      <t>ニュウリョク</t>
    </rPh>
    <rPh sb="2" eb="4">
      <t>ソシキ</t>
    </rPh>
    <rPh sb="5" eb="9">
      <t>キョウケイソシキ</t>
    </rPh>
    <phoneticPr fontId="2"/>
  </si>
  <si>
    <t>入力組織と共計区分</t>
    <rPh sb="5" eb="9">
      <t>キョウケイクブン</t>
    </rPh>
    <phoneticPr fontId="2"/>
  </si>
  <si>
    <t>入力者の所属する組織が本所以外の場合、全道共計・全国共計を選択した場合エラー
／所属組織が支所の場合、全道共計・全国共計は選択できません。</t>
    <rPh sb="0" eb="2">
      <t>ニュウリョク</t>
    </rPh>
    <rPh sb="2" eb="3">
      <t>シャ</t>
    </rPh>
    <rPh sb="4" eb="6">
      <t>ショゾク</t>
    </rPh>
    <rPh sb="8" eb="10">
      <t>ソシキ</t>
    </rPh>
    <rPh sb="11" eb="13">
      <t>ホンショ</t>
    </rPh>
    <rPh sb="13" eb="15">
      <t>イガイ</t>
    </rPh>
    <rPh sb="19" eb="21">
      <t>ゼンドウ</t>
    </rPh>
    <rPh sb="21" eb="23">
      <t>キョウケイ</t>
    </rPh>
    <rPh sb="24" eb="26">
      <t>ゼンコク</t>
    </rPh>
    <rPh sb="26" eb="28">
      <t>キョウケイ</t>
    </rPh>
    <rPh sb="29" eb="31">
      <t>センタク</t>
    </rPh>
    <rPh sb="33" eb="35">
      <t>バアイ</t>
    </rPh>
    <rPh sb="48" eb="50">
      <t>バアイ</t>
    </rPh>
    <rPh sb="61" eb="63">
      <t>センタク</t>
    </rPh>
    <phoneticPr fontId="2"/>
  </si>
  <si>
    <t>入力組織と更新者</t>
    <rPh sb="0" eb="2">
      <t>ニュウリョク</t>
    </rPh>
    <rPh sb="2" eb="4">
      <t>ソシキ</t>
    </rPh>
    <rPh sb="5" eb="8">
      <t>コウシンシャ</t>
    </rPh>
    <phoneticPr fontId="2"/>
  </si>
  <si>
    <t>24058</t>
  </si>
  <si>
    <t>基幹システム再構築　会計システム外部設計</t>
  </si>
  <si>
    <t>入力した内容をチェックし、エラーの場合はエラーメッセージを表示。
エラーが無ければ、入力した条件の検索結果を一覧表示します。</t>
    <phoneticPr fontId="8"/>
  </si>
  <si>
    <t>基本情報欄に入力した条件の検索結果を一覧表示する。</t>
    <rPh sb="0" eb="2">
      <t>キホン</t>
    </rPh>
    <rPh sb="2" eb="4">
      <t>ジョウホウ</t>
    </rPh>
    <rPh sb="4" eb="5">
      <t>ラン</t>
    </rPh>
    <phoneticPr fontId="8"/>
  </si>
  <si>
    <t>入力した内容をチェックし、エラーの場合はエラーメッセージを表示。
エラーが無ければ、選択した滞留立替金利補正情報の明細を修正状態で、滞留立替金利補正入力画面に遷移する。
選択した明細の承認状況が下書保存、差戻の時のみ押下可とする。</t>
    <rPh sb="42" eb="44">
      <t>センタク</t>
    </rPh>
    <rPh sb="46" eb="48">
      <t>タイリュウ</t>
    </rPh>
    <rPh sb="48" eb="50">
      <t>タテカエ</t>
    </rPh>
    <rPh sb="50" eb="52">
      <t>キンリ</t>
    </rPh>
    <rPh sb="52" eb="54">
      <t>ホセイ</t>
    </rPh>
    <rPh sb="54" eb="56">
      <t>ジョウホウ</t>
    </rPh>
    <rPh sb="57" eb="59">
      <t>メイサイ</t>
    </rPh>
    <rPh sb="60" eb="62">
      <t>シュウセイ</t>
    </rPh>
    <rPh sb="62" eb="64">
      <t>ジョウタイ</t>
    </rPh>
    <rPh sb="74" eb="76">
      <t>ニュウリョク</t>
    </rPh>
    <rPh sb="76" eb="78">
      <t>ガメン</t>
    </rPh>
    <rPh sb="79" eb="81">
      <t>センイ</t>
    </rPh>
    <rPh sb="85" eb="87">
      <t>センタク</t>
    </rPh>
    <rPh sb="89" eb="91">
      <t>メイサイ</t>
    </rPh>
    <rPh sb="92" eb="96">
      <t>ショウニンジョウキョウ</t>
    </rPh>
    <rPh sb="97" eb="99">
      <t>シタガ</t>
    </rPh>
    <rPh sb="99" eb="101">
      <t>ホゾン</t>
    </rPh>
    <rPh sb="102" eb="104">
      <t>サシモドシ</t>
    </rPh>
    <rPh sb="105" eb="106">
      <t>トキ</t>
    </rPh>
    <rPh sb="108" eb="110">
      <t>オウカ</t>
    </rPh>
    <rPh sb="110" eb="111">
      <t>カ</t>
    </rPh>
    <phoneticPr fontId="2"/>
  </si>
  <si>
    <t>入力した内容をチェックし、エラーの場合はエラーメッセージを表示。
エラーが無ければ、選択した滞留立替金利補正情報の明細を削除状態で、滞留立替金利補正入力確認画面に遷移する。
選択した明細の承認状況が下書保存、差戻の時のみ押下可とする。</t>
    <rPh sb="42" eb="44">
      <t>センタク</t>
    </rPh>
    <rPh sb="46" eb="48">
      <t>タイリュウ</t>
    </rPh>
    <rPh sb="48" eb="50">
      <t>タテカエ</t>
    </rPh>
    <rPh sb="50" eb="52">
      <t>キンリ</t>
    </rPh>
    <rPh sb="52" eb="54">
      <t>ホセイ</t>
    </rPh>
    <rPh sb="54" eb="56">
      <t>ジョウホウ</t>
    </rPh>
    <rPh sb="57" eb="59">
      <t>メイサイ</t>
    </rPh>
    <rPh sb="60" eb="62">
      <t>サクジョ</t>
    </rPh>
    <rPh sb="62" eb="64">
      <t>ジョウタイ</t>
    </rPh>
    <rPh sb="66" eb="70">
      <t>タイリュウタテカエ</t>
    </rPh>
    <rPh sb="70" eb="72">
      <t>キンリ</t>
    </rPh>
    <rPh sb="72" eb="74">
      <t>ホセイ</t>
    </rPh>
    <rPh sb="74" eb="76">
      <t>ニュウリョク</t>
    </rPh>
    <rPh sb="76" eb="78">
      <t>カクニン</t>
    </rPh>
    <rPh sb="78" eb="80">
      <t>ガメン</t>
    </rPh>
    <rPh sb="81" eb="83">
      <t>センイ</t>
    </rPh>
    <rPh sb="94" eb="98">
      <t>ショウニンジョウキョウ</t>
    </rPh>
    <phoneticPr fontId="2"/>
  </si>
  <si>
    <t>入力した内容をチェックし、エラーの場合はエラーメッセージを表示。
エラーが無ければ、選択した滞留立替金利補正情報の明細を照会状態で、滞留立替金利補正入力確認画面に遷移する。</t>
    <rPh sb="42" eb="44">
      <t>センタク</t>
    </rPh>
    <rPh sb="46" eb="48">
      <t>タイリュウ</t>
    </rPh>
    <rPh sb="48" eb="50">
      <t>タテカエ</t>
    </rPh>
    <rPh sb="50" eb="52">
      <t>キンリ</t>
    </rPh>
    <rPh sb="52" eb="54">
      <t>ホセイ</t>
    </rPh>
    <rPh sb="54" eb="56">
      <t>ジョウホウ</t>
    </rPh>
    <rPh sb="57" eb="59">
      <t>メイサイ</t>
    </rPh>
    <rPh sb="60" eb="62">
      <t>ショウカイ</t>
    </rPh>
    <rPh sb="62" eb="64">
      <t>ジョウタイ</t>
    </rPh>
    <rPh sb="66" eb="70">
      <t>タイリュウタテカエ</t>
    </rPh>
    <rPh sb="70" eb="72">
      <t>キンリ</t>
    </rPh>
    <rPh sb="72" eb="74">
      <t>ホセイ</t>
    </rPh>
    <rPh sb="74" eb="76">
      <t>ニュウリョク</t>
    </rPh>
    <rPh sb="76" eb="78">
      <t>カクニン</t>
    </rPh>
    <rPh sb="78" eb="80">
      <t>ガメン</t>
    </rPh>
    <rPh sb="81" eb="83">
      <t>センイ</t>
    </rPh>
    <phoneticPr fontId="2"/>
  </si>
  <si>
    <t>入力した内容をチェックし、エラーの場合はエラーメッセージを表示。
エラーが無ければ、選択している明細の情報をもとに承認依頼取下で確認画面に遷移する。</t>
    <rPh sb="42" eb="44">
      <t>センタク</t>
    </rPh>
    <rPh sb="48" eb="50">
      <t>メイサイ</t>
    </rPh>
    <rPh sb="51" eb="53">
      <t>ジョウホウ</t>
    </rPh>
    <rPh sb="57" eb="61">
      <t>ショウニンイライ</t>
    </rPh>
    <rPh sb="61" eb="62">
      <t>ト</t>
    </rPh>
    <rPh sb="62" eb="63">
      <t>サ</t>
    </rPh>
    <rPh sb="64" eb="66">
      <t>カクニン</t>
    </rPh>
    <rPh sb="66" eb="68">
      <t>ガメン</t>
    </rPh>
    <rPh sb="69" eb="71">
      <t>センイ</t>
    </rPh>
    <phoneticPr fontId="2"/>
  </si>
  <si>
    <t>入力した内容をチェックし、エラーの場合はエラーメッセージを表示。
エラーが無ければ、下書保存に更新する。</t>
    <rPh sb="0" eb="2">
      <t>ニュウリョク</t>
    </rPh>
    <rPh sb="4" eb="6">
      <t>ナイヨウ</t>
    </rPh>
    <rPh sb="17" eb="19">
      <t>バアイ</t>
    </rPh>
    <rPh sb="29" eb="31">
      <t>ヒョウジ</t>
    </rPh>
    <rPh sb="37" eb="38">
      <t>ナ</t>
    </rPh>
    <rPh sb="42" eb="44">
      <t>シタガキ</t>
    </rPh>
    <rPh sb="44" eb="46">
      <t>ホゾン</t>
    </rPh>
    <rPh sb="47" eb="49">
      <t>コウシン</t>
    </rPh>
    <phoneticPr fontId="2"/>
  </si>
  <si>
    <t>削除ボタンと複数明細選択のチェック</t>
    <rPh sb="0" eb="2">
      <t>サクジョ</t>
    </rPh>
    <rPh sb="6" eb="8">
      <t>フクスウ</t>
    </rPh>
    <rPh sb="8" eb="10">
      <t>メイサイ</t>
    </rPh>
    <rPh sb="10" eb="12">
      <t>センタク</t>
    </rPh>
    <phoneticPr fontId="2"/>
  </si>
  <si>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2"/>
  </si>
  <si>
    <t>予め設定された申請・承認ルートの表示および再設定を行うための、申請・承認ルート表示画面を表示する。</t>
    <phoneticPr fontId="2"/>
  </si>
  <si>
    <t>承認ルート表示</t>
    <rPh sb="0" eb="2">
      <t>ショウニン</t>
    </rPh>
    <rPh sb="5" eb="7">
      <t>ヒョウジ</t>
    </rPh>
    <phoneticPr fontId="2"/>
  </si>
  <si>
    <t>検索（更新者）</t>
    <rPh sb="0" eb="2">
      <t>ケンサク</t>
    </rPh>
    <rPh sb="3" eb="6">
      <t>コウシンシャ</t>
    </rPh>
    <phoneticPr fontId="8"/>
  </si>
  <si>
    <t>承認ルート表示</t>
    <phoneticPr fontId="2"/>
  </si>
  <si>
    <t>登録、閉じる</t>
    <rPh sb="3" eb="4">
      <t>ト</t>
    </rPh>
    <phoneticPr fontId="2"/>
  </si>
  <si>
    <t>更新者</t>
    <rPh sb="0" eb="3">
      <t>コウシンシャ</t>
    </rPh>
    <phoneticPr fontId="2"/>
  </si>
  <si>
    <t>〇</t>
  </si>
  <si>
    <t>初期値：ログイン者の名称</t>
    <rPh sb="0" eb="3">
      <t>ショキチ</t>
    </rPh>
    <rPh sb="8" eb="9">
      <t>シャ</t>
    </rPh>
    <rPh sb="10" eb="12">
      <t>メイショウ</t>
    </rPh>
    <phoneticPr fontId="2"/>
  </si>
  <si>
    <t>仮メッセージ番号</t>
    <rPh sb="0" eb="1">
      <t>カリ</t>
    </rPh>
    <rPh sb="6" eb="8">
      <t>バンゴウ</t>
    </rPh>
    <phoneticPr fontId="2"/>
  </si>
  <si>
    <t>E000008</t>
  </si>
  <si>
    <t>E000012</t>
  </si>
  <si>
    <t>E000014</t>
  </si>
  <si>
    <t>E000019</t>
  </si>
  <si>
    <t>E000018</t>
  </si>
  <si>
    <t>実在日でない場合、エラーとする。
／更新日は有効な日付を入力してください。</t>
    <rPh sb="18" eb="21">
      <t>コウシンビ</t>
    </rPh>
    <rPh sb="22" eb="24">
      <t>ユウコウ</t>
    </rPh>
    <rPh sb="25" eb="27">
      <t>ヒヅケ</t>
    </rPh>
    <rPh sb="28" eb="30">
      <t>ニュウリョク</t>
    </rPh>
    <phoneticPr fontId="2"/>
  </si>
  <si>
    <t>E000001</t>
  </si>
  <si>
    <t>E000023</t>
  </si>
  <si>
    <t>／業種コードを入力してください。</t>
    <rPh sb="1" eb="3">
      <t>ギョウシュ</t>
    </rPh>
    <rPh sb="7" eb="9">
      <t>ニュウリョク</t>
    </rPh>
    <phoneticPr fontId="2"/>
  </si>
  <si>
    <t>／共計組織を入力してください。</t>
    <rPh sb="1" eb="3">
      <t>キョウケイ</t>
    </rPh>
    <rPh sb="3" eb="5">
      <t>ソシキ</t>
    </rPh>
    <rPh sb="6" eb="8">
      <t>ニュウリョク</t>
    </rPh>
    <phoneticPr fontId="2"/>
  </si>
  <si>
    <t>／収支管理品目を入力してください。</t>
    <phoneticPr fontId="2"/>
  </si>
  <si>
    <t>／年産を入力してください。</t>
    <rPh sb="1" eb="3">
      <t>ネンサン</t>
    </rPh>
    <rPh sb="4" eb="6">
      <t>ニュウリョク</t>
    </rPh>
    <phoneticPr fontId="2"/>
  </si>
  <si>
    <t>／共計次数を入力してください。</t>
    <phoneticPr fontId="2"/>
  </si>
  <si>
    <t>／入金補正額は半角数値で入力してください。</t>
    <rPh sb="1" eb="3">
      <t>ニュウキン</t>
    </rPh>
    <rPh sb="3" eb="5">
      <t>ホセイ</t>
    </rPh>
    <rPh sb="5" eb="6">
      <t>ガク</t>
    </rPh>
    <rPh sb="7" eb="9">
      <t>ハンカク</t>
    </rPh>
    <rPh sb="9" eb="11">
      <t>スウチ</t>
    </rPh>
    <rPh sb="12" eb="14">
      <t>ニュウリョク</t>
    </rPh>
    <phoneticPr fontId="2"/>
  </si>
  <si>
    <t>／支払補正額は半角数値で入力してください。</t>
    <rPh sb="1" eb="3">
      <t>シハライ</t>
    </rPh>
    <rPh sb="3" eb="5">
      <t>ホセイ</t>
    </rPh>
    <rPh sb="5" eb="6">
      <t>ガク</t>
    </rPh>
    <rPh sb="7" eb="9">
      <t>ハンカク</t>
    </rPh>
    <rPh sb="9" eb="11">
      <t>スウチ</t>
    </rPh>
    <rPh sb="12" eb="14">
      <t>ニュウリョク</t>
    </rPh>
    <phoneticPr fontId="2"/>
  </si>
  <si>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2"/>
  </si>
  <si>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2"/>
  </si>
  <si>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2"/>
  </si>
  <si>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2"/>
  </si>
  <si>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2"/>
  </si>
  <si>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2"/>
  </si>
  <si>
    <t>「確認画面」押下時、存在しない日付の行に補正額が入力されている場合、エラー
／日付は有効な日付を入力してください。</t>
    <rPh sb="10" eb="12">
      <t>ソンザイ</t>
    </rPh>
    <rPh sb="15" eb="17">
      <t>ヒヅケ</t>
    </rPh>
    <rPh sb="18" eb="19">
      <t>ギョウ</t>
    </rPh>
    <rPh sb="20" eb="23">
      <t>ホセイガク</t>
    </rPh>
    <rPh sb="24" eb="26">
      <t>ニュウリョク</t>
    </rPh>
    <rPh sb="31" eb="33">
      <t>バアイ</t>
    </rPh>
    <rPh sb="39" eb="41">
      <t>ヒヅケ</t>
    </rPh>
    <rPh sb="42" eb="44">
      <t>ユウコウ</t>
    </rPh>
    <rPh sb="45" eb="47">
      <t>ヒヅケ</t>
    </rPh>
    <rPh sb="48" eb="50">
      <t>ニュウリョク</t>
    </rPh>
    <phoneticPr fontId="2"/>
  </si>
  <si>
    <t>【入力者の所属が本所以外の場合】</t>
  </si>
  <si>
    <t>【入力者の所属が本所の場合】</t>
  </si>
  <si>
    <t>【特記事項】</t>
    <rPh sb="1" eb="3">
      <t>トッキ</t>
    </rPh>
    <rPh sb="3" eb="5">
      <t>ジコウ</t>
    </rPh>
    <phoneticPr fontId="2"/>
  </si>
  <si>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</si>
  <si>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2"/>
  </si>
  <si>
    <t>・経理部は全ての業種を照会できる。</t>
    <rPh sb="1" eb="4">
      <t>ケイリブ</t>
    </rPh>
    <rPh sb="5" eb="6">
      <t>スベ</t>
    </rPh>
    <rPh sb="8" eb="10">
      <t>ギョウシュ</t>
    </rPh>
    <rPh sb="11" eb="13">
      <t>ショウカイ</t>
    </rPh>
    <phoneticPr fontId="2"/>
  </si>
  <si>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</si>
  <si>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2"/>
  </si>
  <si>
    <t>・経理部は全ての業種を入力できる。</t>
    <rPh sb="1" eb="4">
      <t>ケイリブ</t>
    </rPh>
    <rPh sb="5" eb="6">
      <t>スベ</t>
    </rPh>
    <rPh sb="8" eb="10">
      <t>ギョウシュ</t>
    </rPh>
    <rPh sb="11" eb="13">
      <t>ニュウリョク</t>
    </rPh>
    <phoneticPr fontId="2"/>
  </si>
  <si>
    <t>＜共計組織 照会可能範囲＞</t>
    <rPh sb="1" eb="3">
      <t>キョウケイ</t>
    </rPh>
    <rPh sb="3" eb="5">
      <t>ソシキ</t>
    </rPh>
    <rPh sb="6" eb="8">
      <t>ショウカイ</t>
    </rPh>
    <rPh sb="8" eb="10">
      <t>カノウ</t>
    </rPh>
    <rPh sb="10" eb="12">
      <t>ハンイ</t>
    </rPh>
    <phoneticPr fontId="1"/>
  </si>
  <si>
    <t>・入力者の所属組織のみ照会できる。</t>
    <rPh sb="5" eb="7">
      <t>ショゾク</t>
    </rPh>
    <rPh sb="7" eb="9">
      <t>ソシキ</t>
    </rPh>
    <rPh sb="11" eb="13">
      <t>ショウカイ</t>
    </rPh>
    <phoneticPr fontId="2"/>
  </si>
  <si>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2"/>
  </si>
  <si>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2"/>
  </si>
  <si>
    <t>・担当業種を取り扱う、すべての組織を照会できる。</t>
    <rPh sb="1" eb="5">
      <t>タントウギョウシュ</t>
    </rPh>
    <rPh sb="6" eb="7">
      <t>ト</t>
    </rPh>
    <rPh sb="8" eb="9">
      <t>アツカ</t>
    </rPh>
    <rPh sb="15" eb="17">
      <t>ソシキ</t>
    </rPh>
    <rPh sb="18" eb="20">
      <t>ショウカイ</t>
    </rPh>
    <phoneticPr fontId="2"/>
  </si>
  <si>
    <t>・経理部は全ての組織を照会できる。</t>
    <rPh sb="1" eb="4">
      <t>ケイリブ</t>
    </rPh>
    <rPh sb="5" eb="6">
      <t>スベ</t>
    </rPh>
    <rPh sb="8" eb="10">
      <t>ソシキ</t>
    </rPh>
    <rPh sb="11" eb="13">
      <t>ショウカイ</t>
    </rPh>
    <phoneticPr fontId="2"/>
  </si>
  <si>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</si>
  <si>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2"/>
  </si>
  <si>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2"/>
  </si>
  <si>
    <t>・経理部は全ての組織を入力できる。</t>
    <rPh sb="1" eb="4">
      <t>ケイリブ</t>
    </rPh>
    <rPh sb="5" eb="6">
      <t>スベ</t>
    </rPh>
    <rPh sb="8" eb="10">
      <t>ソシキ</t>
    </rPh>
    <rPh sb="11" eb="13">
      <t>ニュウリョク</t>
    </rPh>
    <phoneticPr fontId="2"/>
  </si>
  <si>
    <t>１．照会・入力可能範囲</t>
    <rPh sb="2" eb="4">
      <t>ショウカイ</t>
    </rPh>
    <rPh sb="5" eb="7">
      <t>ニュウリョク</t>
    </rPh>
    <rPh sb="7" eb="9">
      <t>カノウ</t>
    </rPh>
    <rPh sb="9" eb="11">
      <t>ハンイ</t>
    </rPh>
    <phoneticPr fontId="2"/>
  </si>
  <si>
    <t>画面に入力した業種と入力者の所属する組織の組み合わせが「6．画面機能補足説明　＜業種照会可能範囲＞」で定める業種以外の場合エラー
／業種は共計組織に応じた業種を入力してください。</t>
    <rPh sb="30" eb="32">
      <t>ガメン</t>
    </rPh>
    <rPh sb="32" eb="34">
      <t>キノウ</t>
    </rPh>
    <rPh sb="34" eb="36">
      <t>ホソク</t>
    </rPh>
    <rPh sb="36" eb="38">
      <t>セツメイ</t>
    </rPh>
    <rPh sb="40" eb="42">
      <t>ギョウシュ</t>
    </rPh>
    <rPh sb="42" eb="44">
      <t>ショウカイ</t>
    </rPh>
    <rPh sb="44" eb="46">
      <t>カノウ</t>
    </rPh>
    <rPh sb="46" eb="48">
      <t>ハンイ</t>
    </rPh>
    <rPh sb="51" eb="52">
      <t>サダ</t>
    </rPh>
    <rPh sb="54" eb="56">
      <t>ギョウシュ</t>
    </rPh>
    <rPh sb="56" eb="58">
      <t>イガイ</t>
    </rPh>
    <rPh sb="59" eb="61">
      <t>バアイ</t>
    </rPh>
    <rPh sb="66" eb="68">
      <t>ギョウシュ</t>
    </rPh>
    <rPh sb="69" eb="71">
      <t>キョウケイ</t>
    </rPh>
    <rPh sb="71" eb="73">
      <t>ソシキ</t>
    </rPh>
    <rPh sb="74" eb="75">
      <t>オウ</t>
    </rPh>
    <rPh sb="77" eb="79">
      <t>ギョウシュ</t>
    </rPh>
    <rPh sb="80" eb="82">
      <t>ニュウリョク</t>
    </rPh>
    <phoneticPr fontId="2"/>
  </si>
  <si>
    <t>入力者の所属する組織が本所以外の場合、「6．画面機能補足説明　＜共計組織照会可能範囲＞」で定める共計組織以外の場合エラー
／共計組織は担当の所属コードを入力してください。</t>
    <rPh sb="22" eb="24">
      <t>ガメン</t>
    </rPh>
    <rPh sb="24" eb="26">
      <t>キノウ</t>
    </rPh>
    <rPh sb="26" eb="28">
      <t>ホソク</t>
    </rPh>
    <rPh sb="28" eb="30">
      <t>セツメイ</t>
    </rPh>
    <rPh sb="32" eb="34">
      <t>キョウケイ</t>
    </rPh>
    <rPh sb="34" eb="36">
      <t>ソシキ</t>
    </rPh>
    <rPh sb="36" eb="38">
      <t>ショウカイ</t>
    </rPh>
    <rPh sb="38" eb="40">
      <t>カノウ</t>
    </rPh>
    <rPh sb="40" eb="42">
      <t>ハンイ</t>
    </rPh>
    <rPh sb="45" eb="46">
      <t>サダ</t>
    </rPh>
    <rPh sb="48" eb="50">
      <t>キョウケイ</t>
    </rPh>
    <rPh sb="50" eb="52">
      <t>ソシキ</t>
    </rPh>
    <rPh sb="52" eb="54">
      <t>イガイ</t>
    </rPh>
    <rPh sb="55" eb="57">
      <t>バアイ</t>
    </rPh>
    <rPh sb="62" eb="64">
      <t>キョウケイ</t>
    </rPh>
    <rPh sb="64" eb="66">
      <t>ソシキ</t>
    </rPh>
    <rPh sb="67" eb="69">
      <t>タントウ</t>
    </rPh>
    <rPh sb="70" eb="72">
      <t>ショゾク</t>
    </rPh>
    <rPh sb="76" eb="78">
      <t>ニュウリョク</t>
    </rPh>
    <phoneticPr fontId="2"/>
  </si>
  <si>
    <t>「照会」ボタン押下時、入力した更新者の所属する組織が「6．画面機能補足説明　＜共計組織照会可能範囲＞」で定める組織以外の場合エラー
／更新者は自組織に応じた更新者を入力してください。</t>
    <phoneticPr fontId="2"/>
  </si>
  <si>
    <t>「照会」、「確認画面」押下時、入力した共計組織コードが「6．画面機能補足説明　＜共計組織入力可能範囲＞」で定める共計組織以外の場合エラー
／共計組織は担当の所属コードを入力してください。</t>
    <rPh sb="15" eb="17">
      <t>ニュウリョク</t>
    </rPh>
    <rPh sb="19" eb="21">
      <t>キョウケイ</t>
    </rPh>
    <rPh sb="21" eb="23">
      <t>ソシキ</t>
    </rPh>
    <rPh sb="40" eb="42">
      <t>キョウケイ</t>
    </rPh>
    <rPh sb="42" eb="44">
      <t>ソシキ</t>
    </rPh>
    <rPh sb="56" eb="60">
      <t>キョウケイソシキ</t>
    </rPh>
    <rPh sb="70" eb="72">
      <t>キョウケイ</t>
    </rPh>
    <rPh sb="72" eb="74">
      <t>ソシキ</t>
    </rPh>
    <rPh sb="75" eb="77">
      <t>タントウ</t>
    </rPh>
    <rPh sb="78" eb="80">
      <t>ショゾク</t>
    </rPh>
    <rPh sb="84" eb="86">
      <t>ニュウリョク</t>
    </rPh>
    <phoneticPr fontId="2"/>
  </si>
  <si>
    <t>「照会」、「確認画面」押下時、入力した業種と入力者の所属する組織の組み合わせが「6．画面機能補足説明　＜業種入力可能範囲＞」で定める共計組織以外の場合エラー
／業種は共計組織に応じた業種を入力してください。</t>
    <rPh sb="15" eb="17">
      <t>ニュウリョク</t>
    </rPh>
    <rPh sb="19" eb="21">
      <t>ギョウシュ</t>
    </rPh>
    <rPh sb="22" eb="24">
      <t>ニュウリョク</t>
    </rPh>
    <rPh sb="24" eb="25">
      <t>シャ</t>
    </rPh>
    <rPh sb="26" eb="28">
      <t>ショゾク</t>
    </rPh>
    <rPh sb="30" eb="32">
      <t>ソシキ</t>
    </rPh>
    <rPh sb="33" eb="34">
      <t>ク</t>
    </rPh>
    <rPh sb="35" eb="36">
      <t>ア</t>
    </rPh>
    <rPh sb="80" eb="82">
      <t>ギョウシュ</t>
    </rPh>
    <rPh sb="83" eb="85">
      <t>キョウケイ</t>
    </rPh>
    <rPh sb="85" eb="87">
      <t>ソシキ</t>
    </rPh>
    <rPh sb="88" eb="89">
      <t>オウ</t>
    </rPh>
    <rPh sb="91" eb="93">
      <t>ギョウシュ</t>
    </rPh>
    <rPh sb="94" eb="96">
      <t>ニュウリョク</t>
    </rPh>
    <phoneticPr fontId="2"/>
  </si>
  <si>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2"/>
  </si>
  <si>
    <t>入力した内容を単体チェックし、エラーの場合はエラーメッセージを表示。
エラーが無ければ、業種、共計組織、収支管理品目に入力したコードの名称を表示する。</t>
    <phoneticPr fontId="2"/>
  </si>
  <si>
    <t>業種検索子画面をポップアップ表示する</t>
    <phoneticPr fontId="8"/>
  </si>
  <si>
    <t>共計組織検索子画面をポップアップ表示する</t>
    <phoneticPr fontId="8"/>
  </si>
  <si>
    <t>収支管理品目検索子画面をポップアップ表示する</t>
    <phoneticPr fontId="8"/>
  </si>
  <si>
    <t>職員検索子画面をポップアップ表示する</t>
    <phoneticPr fontId="8"/>
  </si>
  <si>
    <t>入力した内容をチェックし、エラーの場合はエラーメッセージを表示。
エラーが無ければ、入金補正金額、支払補正金額を基に入金額、支払額、補正後入金額、補正後支払額を反映する。</t>
    <phoneticPr fontId="2"/>
  </si>
  <si>
    <t>-</t>
  </si>
  <si>
    <t>更新日（To）</t>
    <phoneticPr fontId="2"/>
  </si>
  <si>
    <t>／対象年月を入力してください。</t>
    <rPh sb="0" eb="2">
      <t>タイショウ</t>
    </rPh>
    <rPh sb="2" eb="4">
      <t>ネンゲツ</t>
    </rPh>
    <rPh sb="5" eb="7">
      <t>ニュウリョク</t>
    </rPh>
    <phoneticPr fontId="2"/>
  </si>
  <si>
    <t>文字</t>
    <rPh sb="0" eb="2">
      <t>モジ</t>
    </rPh>
    <phoneticPr fontId="2"/>
  </si>
  <si>
    <t>文字</t>
    <phoneticPr fontId="2"/>
  </si>
  <si>
    <t>検索 &gt; 入力</t>
    <rPh sb="0" eb="2">
      <t>ケンサク</t>
    </rPh>
    <rPh sb="5" eb="7">
      <t>ニュウリョク</t>
    </rPh>
    <phoneticPr fontId="2"/>
  </si>
  <si>
    <t>検索 &gt;　修正</t>
    <rPh sb="5" eb="7">
      <t>シュウセイ</t>
    </rPh>
    <phoneticPr fontId="2"/>
  </si>
  <si>
    <t>検索</t>
    <phoneticPr fontId="2"/>
  </si>
  <si>
    <t>入力した内容をチェックし、エラーの場合はエラーメッセージを表示。
エラーが無ければ、表示した滞留立替金利補正情報を削除し、検索画面へ遷移します。</t>
    <rPh sb="42" eb="44">
      <t>ヒョウジ</t>
    </rPh>
    <rPh sb="46" eb="50">
      <t>タイリュウタテカエ</t>
    </rPh>
    <rPh sb="50" eb="52">
      <t>キンリ</t>
    </rPh>
    <rPh sb="52" eb="54">
      <t>ホセイ</t>
    </rPh>
    <rPh sb="54" eb="56">
      <t>ジョウホウ</t>
    </rPh>
    <rPh sb="57" eb="59">
      <t>サクジョ</t>
    </rPh>
    <rPh sb="61" eb="63">
      <t>ケンサク</t>
    </rPh>
    <phoneticPr fontId="2"/>
  </si>
  <si>
    <t>入力した内容をチェックし、エラーの場合はエラーメッセージを表示。
エラーが無ければ、入力内容で更新し、検索画面へ遷移します。</t>
    <phoneticPr fontId="2"/>
  </si>
  <si>
    <t>滞留立替金利補正検索画面へ遷移します。</t>
    <rPh sb="0" eb="2">
      <t>タイリュウ</t>
    </rPh>
    <rPh sb="2" eb="4">
      <t>タテカエ</t>
    </rPh>
    <rPh sb="4" eb="6">
      <t>キンリ</t>
    </rPh>
    <rPh sb="6" eb="8">
      <t>ホセイ</t>
    </rPh>
    <rPh sb="10" eb="12">
      <t>ガメン</t>
    </rPh>
    <rPh sb="13" eb="15">
      <t>センイ</t>
    </rPh>
    <phoneticPr fontId="2"/>
  </si>
  <si>
    <t>更新日(From)、更新日(To)の両方を入力している且つ、
更新日(From)＞更新日(To)の場合はエラー
／更新日(From)は更新日(To)より過去の日付を入力してください。</t>
    <rPh sb="49" eb="51">
      <t>バアイ</t>
    </rPh>
    <phoneticPr fontId="2"/>
  </si>
  <si>
    <t>対象年月(From)、対象年月(To)の両方を入力している且つ、
対象年月(From)＞対象年月(To)の場合はエラー
／対象年月(From)は対象年月(To)より過去の日付を入力してください。</t>
    <rPh sb="53" eb="55">
      <t>バアイ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</si>
</sst>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_ "/>
  </numFmts>
  <fonts count="38">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u/>
      <sz val="11"/>
      <color rgb="FF262626"/>
      <name val="ＭＳ ゴシック"/>
      <family val="3"/>
      <charset val="128"/>
    </font>
    <font>
      <sz val="11"/>
      <name val="ＭＳ ゴシック"/>
      <family val="3"/>
      <charset val="128"/>
    </font>
    <font>
      <sz val="12"/>
      <name val="ＭＳ ゴシック"/>
      <family val="3"/>
      <charset val="128"/>
    </font>
    <font>
      <b/>
      <sz val="14"/>
      <color rgb="FF404040"/>
      <name val="ＭＳ ゴシック"/>
      <family val="3"/>
      <charset val="128"/>
    </font>
    <font>
      <b/>
      <sz val="14"/>
      <name val="ＭＳ ゴシック"/>
      <family val="3"/>
      <charset val="128"/>
    </font>
    <font>
      <sz val="10"/>
      <name val="ＭＳ ゴシック"/>
      <family val="3"/>
      <charset val="128"/>
    </font>
    <font>
      <u/>
      <sz val="10"/>
      <color rgb="FF262626"/>
      <name val="ＭＳ ゴシック"/>
      <family val="3"/>
      <charset val="128"/>
    </font>
    <font>
      <sz val="10"/>
      <color rgb="FF595959"/>
      <name val="ＭＳ ゴシック"/>
      <family val="3"/>
      <charset val="128"/>
    </font>
    <font>
      <b/>
      <sz val="10"/>
      <name val="ＭＳ ゴシック"/>
      <family val="3"/>
      <charset val="128"/>
    </font>
    <font>
      <sz val="10"/>
      <color rgb="FF262626"/>
      <name val="ＭＳ ゴシック"/>
      <family val="3"/>
      <charset val="128"/>
    </font>
    <font>
      <sz val="10"/>
      <color rgb="FF3B3B3B"/>
      <name val="MS　ゴシック"/>
      <family val="3"/>
      <charset val="128"/>
    </font>
    <font>
      <sz val="10"/>
      <color theme="1"/>
      <name val="ＭＳ ゴシック"/>
      <family val="3"/>
      <charset val="128"/>
    </font>
    <font>
      <sz val="10"/>
      <color theme="0"/>
      <name val="ＭＳ ゴシック"/>
      <family val="3"/>
      <charset val="128"/>
    </font>
    <font>
      <b/>
      <sz val="10"/>
      <color theme="0"/>
      <name val="ＭＳ ゴシック"/>
      <family val="3"/>
      <charset val="128"/>
    </font>
    <font>
      <sz val="10"/>
      <color rgb="FFFF0000"/>
      <name val="ＭＳ ゴシック"/>
      <family val="3"/>
      <charset val="128"/>
    </font>
    <font>
      <b/>
      <sz val="14"/>
      <color rgb="FF595959"/>
      <name val="ＭＳ ゴシック"/>
      <family val="3"/>
      <charset val="128"/>
    </font>
    <font>
      <b/>
      <sz val="10"/>
      <color rgb="FF404040"/>
      <name val="ＭＳ ゴシック"/>
      <family val="3"/>
      <charset val="128"/>
    </font>
    <font>
      <sz val="10"/>
      <color rgb="FF404040"/>
      <name val="ＭＳ ゴシック"/>
      <family val="3"/>
      <charset val="128"/>
    </font>
    <font>
      <b/>
      <u/>
      <sz val="12"/>
      <name val="ＭＳ ゴシック"/>
      <family val="3"/>
      <charset val="128"/>
    </font>
    <font>
      <b/>
      <u/>
      <sz val="10"/>
      <name val="ＭＳ ゴシック"/>
      <family val="3"/>
      <charset val="128"/>
    </font>
  </fonts>
  <fills count="10">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4.9989318521683403E-2"/>
        <bgColor indexed="64"/>
      </patternFill>
    </fill>
    <fill>
      <patternFill patternType="solid">
        <fgColor theme="9" tint="0.599963377788628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00FF"/>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medium">
        <color auto="1"/>
      </left>
      <right style="thin">
        <color auto="1"/>
      </right>
      <top/>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hair">
        <color indexed="64"/>
      </left>
      <right/>
      <top style="thin">
        <color indexed="64"/>
      </top>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564">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0" xfId="0" applyNumberFormat="1" applyFont="1"/>
    <xf numFmtId="49" fontId="7" fillId="0" borderId="2" xfId="0" applyNumberFormat="1" applyFont="1" applyBorder="1"/>
    <xf numFmtId="49" fontId="7" fillId="0" borderId="3" xfId="0" applyNumberFormat="1" applyFont="1" applyBorder="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3" fillId="0" borderId="6" xfId="0" applyNumberFormat="1" applyFont="1" applyBorder="1"/>
    <xf numFmtId="49" fontId="3" fillId="0" borderId="7" xfId="0" applyNumberFormat="1" applyFont="1" applyBorder="1"/>
    <xf numFmtId="49" fontId="3" fillId="0" borderId="8" xfId="0" applyNumberFormat="1" applyFont="1" applyBorder="1"/>
    <xf numFmtId="49" fontId="9" fillId="0" borderId="0" xfId="0" applyNumberFormat="1" applyFont="1"/>
    <xf numFmtId="49" fontId="5" fillId="0" borderId="9" xfId="0" applyNumberFormat="1" applyFont="1" applyBorder="1" applyAlignment="1">
      <alignment vertical="center"/>
    </xf>
    <xf numFmtId="49" fontId="5" fillId="0" borderId="10" xfId="0" applyNumberFormat="1" applyFont="1" applyBorder="1" applyAlignment="1">
      <alignment vertical="center"/>
    </xf>
    <xf numFmtId="49" fontId="5" fillId="0" borderId="11" xfId="0" applyNumberFormat="1" applyFont="1" applyBorder="1" applyAlignment="1">
      <alignmen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0" xfId="1" applyNumberFormat="1" applyFont="1"/>
    <xf numFmtId="49" fontId="5" fillId="0" borderId="6" xfId="0" applyNumberFormat="1" applyFont="1" applyBorder="1"/>
    <xf numFmtId="49" fontId="5" fillId="0" borderId="7" xfId="0" applyNumberFormat="1" applyFont="1" applyBorder="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5" fillId="0" borderId="0" xfId="1" applyNumberFormat="1" applyFont="1" applyAlignment="1">
      <alignment horizontal="righ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3" xfId="1" applyNumberFormat="1" applyFont="1" applyBorder="1"/>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3" xfId="0" applyNumberFormat="1" applyFont="1" applyBorder="1"/>
    <xf numFmtId="49" fontId="5" fillId="0" borderId="5" xfId="0" applyNumberFormat="1" applyFont="1" applyBorder="1"/>
    <xf numFmtId="49" fontId="5" fillId="0" borderId="8" xfId="0" applyNumberFormat="1" applyFont="1" applyBorder="1"/>
    <xf numFmtId="49" fontId="7" fillId="0" borderId="0" xfId="2" applyNumberFormat="1" applyFont="1" applyAlignment="1"/>
    <xf numFmtId="49" fontId="5" fillId="0" borderId="0" xfId="3" applyNumberFormat="1" applyFont="1" applyAlignment="1"/>
    <xf numFmtId="49" fontId="5" fillId="0" borderId="0" xfId="2" applyNumberFormat="1" applyFont="1" applyAlignment="1"/>
    <xf numFmtId="49" fontId="5" fillId="0" borderId="0" xfId="3" applyNumberFormat="1" applyFont="1">
      <alignment vertical="center"/>
    </xf>
    <xf numFmtId="49" fontId="5" fillId="0" borderId="0" xfId="2" applyNumberFormat="1" applyFont="1">
      <alignment vertical="center"/>
    </xf>
    <xf numFmtId="49" fontId="3" fillId="0" borderId="0" xfId="1" applyNumberFormat="1" applyFont="1"/>
    <xf numFmtId="49" fontId="5" fillId="0" borderId="0" xfId="6" applyNumberFormat="1" applyFont="1">
      <alignment vertical="center"/>
    </xf>
    <xf numFmtId="0" fontId="9" fillId="0" borderId="0" xfId="0" applyFont="1" applyAlignment="1">
      <alignment vertical="center"/>
    </xf>
    <xf numFmtId="0" fontId="5" fillId="0" borderId="0" xfId="0" applyFont="1" applyAlignment="1">
      <alignment vertical="center"/>
    </xf>
    <xf numFmtId="49" fontId="5" fillId="0" borderId="0" xfId="1" quotePrefix="1" applyNumberFormat="1" applyFont="1"/>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17" fillId="2" borderId="35" xfId="2" applyNumberFormat="1" applyFont="1" applyFill="1" applyBorder="1">
      <alignment vertical="center"/>
    </xf>
    <xf numFmtId="49" fontId="17" fillId="2" borderId="36" xfId="2" applyNumberFormat="1" applyFont="1" applyFill="1" applyBorder="1">
      <alignment vertical="center"/>
    </xf>
    <xf numFmtId="49" fontId="17" fillId="2" borderId="44" xfId="2" applyNumberFormat="1" applyFont="1" applyFill="1" applyBorder="1">
      <alignment vertical="center"/>
    </xf>
    <xf numFmtId="49" fontId="17" fillId="2" borderId="38" xfId="2" applyNumberFormat="1" applyFont="1" applyFill="1" applyBorder="1">
      <alignment vertical="center"/>
    </xf>
    <xf numFmtId="49" fontId="17" fillId="2" borderId="39" xfId="2" applyNumberFormat="1" applyFont="1" applyFill="1" applyBorder="1">
      <alignment vertical="center"/>
    </xf>
    <xf numFmtId="49" fontId="5" fillId="2" borderId="42" xfId="3" applyNumberFormat="1" applyFont="1" applyFill="1" applyBorder="1">
      <alignment vertical="center"/>
    </xf>
    <xf numFmtId="49" fontId="5" fillId="2" borderId="43" xfId="1" applyNumberFormat="1" applyFont="1" applyFill="1" applyBorder="1" applyAlignment="1">
      <alignment vertical="center"/>
    </xf>
    <xf numFmtId="49" fontId="5" fillId="2" borderId="45" xfId="1" applyNumberFormat="1" applyFont="1" applyFill="1" applyBorder="1" applyAlignment="1">
      <alignment vertical="center"/>
    </xf>
    <xf numFmtId="49" fontId="5" fillId="2" borderId="47" xfId="5" applyNumberFormat="1" applyFont="1" applyFill="1" applyBorder="1">
      <alignment vertical="center"/>
    </xf>
    <xf numFmtId="49" fontId="5" fillId="2" borderId="47" xfId="3" applyNumberFormat="1" applyFont="1" applyFill="1" applyBorder="1">
      <alignment vertical="center"/>
    </xf>
    <xf numFmtId="49" fontId="5" fillId="2" borderId="48" xfId="1" applyNumberFormat="1" applyFont="1" applyFill="1" applyBorder="1" applyAlignment="1">
      <alignment vertical="center"/>
    </xf>
    <xf numFmtId="49" fontId="18" fillId="2" borderId="41" xfId="2" applyNumberFormat="1" applyFont="1" applyFill="1" applyBorder="1" applyAlignment="1">
      <alignment horizontal="center" vertical="center" wrapText="1"/>
    </xf>
    <xf numFmtId="49" fontId="18" fillId="2" borderId="42" xfId="2" applyNumberFormat="1" applyFont="1" applyFill="1" applyBorder="1" applyAlignment="1">
      <alignment horizontal="center" vertical="center" wrapText="1"/>
    </xf>
    <xf numFmtId="49" fontId="18" fillId="2" borderId="44"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7" xfId="2" applyNumberFormat="1" applyFont="1" applyFill="1" applyBorder="1" applyAlignment="1">
      <alignment horizontal="center" vertical="center" wrapText="1"/>
    </xf>
    <xf numFmtId="49" fontId="5" fillId="3" borderId="22" xfId="0" applyNumberFormat="1" applyFont="1" applyFill="1" applyBorder="1" applyAlignment="1">
      <alignment horizontal="left" vertical="center" wrapText="1"/>
    </xf>
    <xf numFmtId="49" fontId="5" fillId="3" borderId="18" xfId="0" applyNumberFormat="1" applyFont="1" applyFill="1" applyBorder="1" applyAlignment="1">
      <alignment horizontal="left" vertical="center" wrapText="1"/>
    </xf>
    <xf numFmtId="49" fontId="5" fillId="3" borderId="17" xfId="0" applyNumberFormat="1" applyFont="1" applyFill="1" applyBorder="1" applyAlignment="1">
      <alignment horizontal="center" vertical="center"/>
    </xf>
    <xf numFmtId="49" fontId="5" fillId="3" borderId="22" xfId="0" applyNumberFormat="1" applyFont="1" applyFill="1" applyBorder="1" applyAlignment="1">
      <alignment horizontal="center" vertical="center"/>
    </xf>
    <xf numFmtId="49" fontId="5" fillId="3" borderId="18" xfId="0" applyNumberFormat="1" applyFont="1" applyFill="1" applyBorder="1" applyAlignment="1">
      <alignment horizontal="center" vertical="center"/>
    </xf>
    <xf numFmtId="49" fontId="5" fillId="3" borderId="17" xfId="0" applyNumberFormat="1" applyFont="1" applyFill="1" applyBorder="1" applyAlignment="1">
      <alignment horizontal="left" vertical="center" wrapText="1"/>
    </xf>
    <xf numFmtId="49" fontId="5" fillId="3" borderId="22" xfId="0" applyNumberFormat="1" applyFont="1" applyFill="1" applyBorder="1" applyAlignment="1">
      <alignment horizontal="left" vertical="center"/>
    </xf>
    <xf numFmtId="49" fontId="5" fillId="3" borderId="18" xfId="0" applyNumberFormat="1" applyFont="1" applyFill="1" applyBorder="1" applyAlignment="1">
      <alignment horizontal="left" vertical="center"/>
    </xf>
    <xf numFmtId="49" fontId="5" fillId="3" borderId="17" xfId="0" applyNumberFormat="1" applyFont="1" applyFill="1" applyBorder="1" applyAlignment="1">
      <alignment horizontal="left" vertical="center"/>
    </xf>
    <xf numFmtId="49" fontId="5" fillId="2" borderId="0" xfId="5" applyNumberFormat="1" applyFont="1" applyFill="1">
      <alignment vertical="center"/>
    </xf>
    <xf numFmtId="49" fontId="5" fillId="2" borderId="0" xfId="3" applyNumberFormat="1" applyFont="1" applyFill="1">
      <alignment vertical="center"/>
    </xf>
    <xf numFmtId="49" fontId="6" fillId="0" borderId="0" xfId="2" applyNumberFormat="1" applyFont="1" applyAlignment="1"/>
    <xf numFmtId="49" fontId="24" fillId="2" borderId="0" xfId="2" applyNumberFormat="1" applyFont="1" applyFill="1" applyAlignment="1">
      <alignment horizontal="center" vertical="center" wrapText="1"/>
    </xf>
    <xf numFmtId="49" fontId="23" fillId="3" borderId="9" xfId="3" applyNumberFormat="1" applyFont="1" applyFill="1" applyBorder="1">
      <alignment vertical="center"/>
    </xf>
    <xf numFmtId="49" fontId="23" fillId="3" borderId="10" xfId="3" applyNumberFormat="1" applyFont="1" applyFill="1" applyBorder="1">
      <alignment vertical="center"/>
    </xf>
    <xf numFmtId="49" fontId="23" fillId="3" borderId="10" xfId="5" applyNumberFormat="1" applyFont="1" applyFill="1" applyBorder="1">
      <alignment vertical="center"/>
    </xf>
    <xf numFmtId="49" fontId="23" fillId="3" borderId="11" xfId="3" applyNumberFormat="1" applyFont="1" applyFill="1" applyBorder="1">
      <alignment vertical="center"/>
    </xf>
    <xf numFmtId="49" fontId="23" fillId="2" borderId="0" xfId="5" applyNumberFormat="1" applyFont="1" applyFill="1" applyAlignment="1">
      <alignment horizontal="centerContinuous" vertical="center"/>
    </xf>
    <xf numFmtId="49" fontId="23" fillId="2" borderId="0" xfId="5" applyNumberFormat="1" applyFont="1" applyFill="1">
      <alignment vertical="center"/>
    </xf>
    <xf numFmtId="49" fontId="23" fillId="2" borderId="0" xfId="5" quotePrefix="1" applyNumberFormat="1" applyFont="1" applyFill="1">
      <alignment vertical="center"/>
    </xf>
    <xf numFmtId="49" fontId="7" fillId="3" borderId="10" xfId="5" applyNumberFormat="1" applyFont="1" applyFill="1" applyBorder="1">
      <alignment vertical="center"/>
    </xf>
    <xf numFmtId="49" fontId="7" fillId="3" borderId="11" xfId="5" applyNumberFormat="1" applyFont="1" applyFill="1" applyBorder="1">
      <alignment vertical="center"/>
    </xf>
    <xf numFmtId="49" fontId="24" fillId="3" borderId="10" xfId="2" applyNumberFormat="1" applyFont="1" applyFill="1" applyBorder="1" applyAlignment="1">
      <alignment horizontal="center" vertical="center" wrapText="1"/>
    </xf>
    <xf numFmtId="49" fontId="23" fillId="3" borderId="10" xfId="5" applyNumberFormat="1" applyFont="1" applyFill="1" applyBorder="1" applyAlignment="1">
      <alignment horizontal="centerContinuous" vertical="center"/>
    </xf>
    <xf numFmtId="49" fontId="23" fillId="3" borderId="11" xfId="5" applyNumberFormat="1" applyFont="1" applyFill="1" applyBorder="1">
      <alignment vertical="center"/>
    </xf>
    <xf numFmtId="49" fontId="23" fillId="3" borderId="9" xfId="5" applyNumberFormat="1" applyFont="1" applyFill="1" applyBorder="1">
      <alignment vertical="center"/>
    </xf>
    <xf numFmtId="49" fontId="23" fillId="3" borderId="10" xfId="5" quotePrefix="1" applyNumberFormat="1" applyFont="1" applyFill="1" applyBorder="1">
      <alignment vertical="center"/>
    </xf>
    <xf numFmtId="49" fontId="23" fillId="3" borderId="9" xfId="5" applyNumberFormat="1" applyFont="1" applyFill="1" applyBorder="1" applyAlignment="1">
      <alignment horizontal="centerContinuous" vertical="center"/>
    </xf>
    <xf numFmtId="49" fontId="24" fillId="3" borderId="11" xfId="2" applyNumberFormat="1" applyFont="1" applyFill="1" applyBorder="1" applyAlignment="1">
      <alignment horizontal="center" vertical="center" wrapText="1"/>
    </xf>
    <xf numFmtId="49" fontId="24" fillId="3" borderId="10" xfId="2" applyNumberFormat="1" applyFont="1" applyFill="1" applyBorder="1" applyAlignment="1">
      <alignment vertical="center" wrapText="1"/>
    </xf>
    <xf numFmtId="49" fontId="19" fillId="5" borderId="0" xfId="0" applyNumberFormat="1" applyFont="1" applyFill="1" applyAlignment="1">
      <alignment horizontal="center" vertical="center"/>
    </xf>
    <xf numFmtId="49" fontId="5" fillId="5" borderId="0" xfId="3" applyNumberFormat="1" applyFont="1" applyFill="1">
      <alignment vertical="center"/>
    </xf>
    <xf numFmtId="49" fontId="19" fillId="5" borderId="0" xfId="0" applyNumberFormat="1" applyFont="1" applyFill="1" applyAlignment="1">
      <alignment vertical="center"/>
    </xf>
    <xf numFmtId="49" fontId="18" fillId="5" borderId="0" xfId="2" applyNumberFormat="1" applyFont="1" applyFill="1" applyAlignment="1">
      <alignment horizontal="center" vertical="center" wrapText="1"/>
    </xf>
    <xf numFmtId="49" fontId="18" fillId="5" borderId="0" xfId="2" applyNumberFormat="1" applyFont="1" applyFill="1" applyAlignment="1">
      <alignment vertical="center" wrapText="1"/>
    </xf>
    <xf numFmtId="49" fontId="5" fillId="5" borderId="0" xfId="5" applyNumberFormat="1" applyFont="1" applyFill="1">
      <alignment vertical="center"/>
    </xf>
    <xf numFmtId="49" fontId="27" fillId="3" borderId="9" xfId="2" applyNumberFormat="1" applyFont="1" applyFill="1" applyBorder="1" applyAlignment="1">
      <alignment horizontal="left" vertical="center"/>
    </xf>
    <xf numFmtId="49" fontId="23" fillId="3" borderId="9" xfId="0" applyNumberFormat="1" applyFont="1" applyFill="1" applyBorder="1" applyAlignment="1">
      <alignment vertical="center"/>
    </xf>
    <xf numFmtId="49" fontId="23" fillId="3" borderId="10" xfId="0" applyNumberFormat="1" applyFont="1" applyFill="1" applyBorder="1" applyAlignment="1">
      <alignment vertical="center"/>
    </xf>
    <xf numFmtId="49" fontId="23" fillId="3" borderId="11" xfId="0" applyNumberFormat="1" applyFont="1" applyFill="1" applyBorder="1" applyAlignment="1">
      <alignment vertical="center"/>
    </xf>
    <xf numFmtId="49" fontId="23" fillId="3" borderId="10" xfId="0" applyNumberFormat="1" applyFont="1" applyFill="1" applyBorder="1" applyAlignment="1">
      <alignment horizontal="left" vertical="center"/>
    </xf>
    <xf numFmtId="49" fontId="23" fillId="3" borderId="10" xfId="0" applyNumberFormat="1" applyFont="1" applyFill="1" applyBorder="1" applyAlignment="1">
      <alignment horizontal="right" vertical="center"/>
    </xf>
    <xf numFmtId="49" fontId="5" fillId="0" borderId="3" xfId="1" applyNumberFormat="1" applyFont="1" applyBorder="1" applyAlignment="1">
      <alignment vertical="center"/>
    </xf>
    <xf numFmtId="49" fontId="3" fillId="0" borderId="2" xfId="0" applyNumberFormat="1" applyFont="1" applyBorder="1"/>
    <xf numFmtId="49" fontId="3" fillId="0" borderId="3" xfId="0" applyNumberFormat="1" applyFont="1" applyBorder="1"/>
    <xf numFmtId="49" fontId="17" fillId="2" borderId="0" xfId="2" applyNumberFormat="1" applyFont="1" applyFill="1">
      <alignment vertical="center"/>
    </xf>
    <xf numFmtId="49" fontId="23" fillId="2" borderId="0" xfId="3" applyNumberFormat="1" applyFont="1" applyFill="1">
      <alignment vertical="center"/>
    </xf>
    <xf numFmtId="49" fontId="17" fillId="5" borderId="0" xfId="2" applyNumberFormat="1" applyFont="1" applyFill="1" applyAlignment="1">
      <alignment vertical="center" wrapText="1"/>
    </xf>
    <xf numFmtId="49" fontId="10" fillId="5" borderId="0" xfId="0" applyNumberFormat="1" applyFont="1" applyFill="1" applyAlignment="1">
      <alignment vertical="center"/>
    </xf>
    <xf numFmtId="49" fontId="28" fillId="2" borderId="0" xfId="3" applyNumberFormat="1" applyFont="1" applyFill="1">
      <alignment vertical="center"/>
    </xf>
    <xf numFmtId="49" fontId="5" fillId="5" borderId="0" xfId="0" applyNumberFormat="1" applyFont="1" applyFill="1" applyAlignment="1">
      <alignment vertical="center"/>
    </xf>
    <xf numFmtId="49" fontId="19" fillId="5" borderId="0" xfId="0" applyNumberFormat="1" applyFont="1" applyFill="1" applyAlignment="1">
      <alignment horizontal="right" vertical="center"/>
    </xf>
    <xf numFmtId="49" fontId="5" fillId="0" borderId="4" xfId="0" applyNumberFormat="1" applyFont="1" applyBorder="1" applyAlignment="1">
      <alignment vertical="center"/>
    </xf>
    <xf numFmtId="49" fontId="3" fillId="0" borderId="1" xfId="2" applyNumberFormat="1" applyFont="1" applyBorder="1" applyAlignment="1">
      <alignment horizontal="center" vertical="center"/>
    </xf>
    <xf numFmtId="49" fontId="5" fillId="0" borderId="1" xfId="3" applyNumberFormat="1" applyFont="1" applyBorder="1" applyAlignment="1"/>
    <xf numFmtId="49" fontId="5" fillId="0" borderId="1" xfId="5" applyNumberFormat="1" applyFont="1" applyBorder="1">
      <alignment vertical="center"/>
    </xf>
    <xf numFmtId="49" fontId="5" fillId="0" borderId="1" xfId="0" applyNumberFormat="1" applyFont="1" applyBorder="1" applyAlignment="1">
      <alignment vertical="center"/>
    </xf>
    <xf numFmtId="49" fontId="5" fillId="0" borderId="5" xfId="0" applyNumberFormat="1" applyFont="1" applyBorder="1" applyAlignment="1">
      <alignment vertical="center"/>
    </xf>
    <xf numFmtId="49" fontId="28" fillId="5" borderId="0" xfId="5" applyNumberFormat="1" applyFont="1" applyFill="1">
      <alignment vertical="center"/>
    </xf>
    <xf numFmtId="49" fontId="28" fillId="5" borderId="0" xfId="6" applyNumberFormat="1" applyFont="1" applyFill="1">
      <alignment vertical="center"/>
    </xf>
    <xf numFmtId="49" fontId="28" fillId="5" borderId="0" xfId="3" applyNumberFormat="1" applyFont="1" applyFill="1">
      <alignment vertical="center"/>
    </xf>
    <xf numFmtId="49" fontId="5" fillId="0" borderId="17" xfId="0" applyNumberFormat="1" applyFont="1" applyBorder="1" applyAlignment="1">
      <alignment horizontal="centerContinuous" vertical="center"/>
    </xf>
    <xf numFmtId="49" fontId="5" fillId="0" borderId="22" xfId="0" applyNumberFormat="1" applyFont="1" applyBorder="1" applyAlignment="1">
      <alignment horizontal="centerContinuous" vertical="center"/>
    </xf>
    <xf numFmtId="49" fontId="5" fillId="0" borderId="18" xfId="0" applyNumberFormat="1" applyFont="1" applyBorder="1" applyAlignment="1">
      <alignment horizontal="centerContinuous" vertical="center"/>
    </xf>
    <xf numFmtId="49" fontId="23" fillId="3" borderId="0" xfId="5" applyNumberFormat="1" applyFont="1" applyFill="1">
      <alignment vertical="center"/>
    </xf>
    <xf numFmtId="49" fontId="23" fillId="3" borderId="9" xfId="0" applyNumberFormat="1" applyFont="1" applyFill="1" applyBorder="1" applyAlignment="1">
      <alignment horizontal="left" vertical="center"/>
    </xf>
    <xf numFmtId="49" fontId="29" fillId="3" borderId="10" xfId="3" applyNumberFormat="1" applyFont="1" applyFill="1" applyBorder="1" applyAlignment="1">
      <alignment horizontal="left" vertical="center"/>
    </xf>
    <xf numFmtId="49" fontId="18" fillId="8" borderId="42" xfId="2" applyNumberFormat="1" applyFont="1" applyFill="1" applyBorder="1" applyAlignment="1">
      <alignment horizontal="center" vertical="center" wrapText="1"/>
    </xf>
    <xf numFmtId="49" fontId="23" fillId="3" borderId="0" xfId="3" applyNumberFormat="1" applyFont="1" applyFill="1">
      <alignment vertical="center"/>
    </xf>
    <xf numFmtId="49" fontId="23" fillId="3" borderId="11" xfId="0" applyNumberFormat="1" applyFont="1" applyFill="1" applyBorder="1" applyAlignment="1">
      <alignment horizontal="left" vertical="center"/>
    </xf>
    <xf numFmtId="49" fontId="27" fillId="3" borderId="10" xfId="2" applyNumberFormat="1" applyFont="1" applyFill="1" applyBorder="1" applyAlignment="1">
      <alignment horizontal="left" vertical="center"/>
    </xf>
    <xf numFmtId="49" fontId="30" fillId="9" borderId="9" xfId="0" applyNumberFormat="1" applyFont="1" applyFill="1" applyBorder="1" applyAlignment="1">
      <alignment horizontal="left" vertical="center"/>
    </xf>
    <xf numFmtId="49" fontId="30" fillId="9" borderId="10" xfId="0" applyNumberFormat="1" applyFont="1" applyFill="1" applyBorder="1" applyAlignment="1">
      <alignment horizontal="left" vertical="center"/>
    </xf>
    <xf numFmtId="49" fontId="30" fillId="9" borderId="10" xfId="0" applyNumberFormat="1" applyFont="1" applyFill="1" applyBorder="1" applyAlignment="1">
      <alignment vertical="center"/>
    </xf>
    <xf numFmtId="49" fontId="30" fillId="9" borderId="11" xfId="0" applyNumberFormat="1" applyFont="1" applyFill="1" applyBorder="1" applyAlignment="1">
      <alignment vertical="center"/>
    </xf>
    <xf numFmtId="49" fontId="30" fillId="9" borderId="11" xfId="0" applyNumberFormat="1" applyFont="1" applyFill="1" applyBorder="1" applyAlignment="1">
      <alignment horizontal="left" vertical="center"/>
    </xf>
    <xf numFmtId="49" fontId="30" fillId="9" borderId="9" xfId="0" applyNumberFormat="1" applyFont="1" applyFill="1" applyBorder="1" applyAlignment="1">
      <alignment vertical="center"/>
    </xf>
    <xf numFmtId="49" fontId="30" fillId="9" borderId="10" xfId="0" applyNumberFormat="1" applyFont="1" applyFill="1" applyBorder="1" applyAlignment="1">
      <alignment horizontal="right" vertical="center"/>
    </xf>
    <xf numFmtId="49" fontId="31" fillId="9" borderId="9" xfId="3" applyNumberFormat="1" applyFont="1" applyFill="1" applyBorder="1" applyAlignment="1">
      <alignment horizontal="center" vertical="center"/>
    </xf>
    <xf numFmtId="49" fontId="30" fillId="9" borderId="10" xfId="3" applyNumberFormat="1" applyFont="1" applyFill="1" applyBorder="1" applyAlignment="1">
      <alignment horizontal="left" vertical="center"/>
    </xf>
    <xf numFmtId="49" fontId="31" fillId="9" borderId="10" xfId="3" applyNumberFormat="1" applyFont="1" applyFill="1" applyBorder="1" applyAlignment="1">
      <alignment horizontal="center" vertical="center"/>
    </xf>
    <xf numFmtId="49" fontId="31" fillId="9" borderId="11" xfId="3" applyNumberFormat="1" applyFont="1" applyFill="1" applyBorder="1" applyAlignment="1">
      <alignment horizontal="center" vertical="center"/>
    </xf>
    <xf numFmtId="49" fontId="23" fillId="0" borderId="0" xfId="0" applyNumberFormat="1" applyFont="1" applyAlignment="1">
      <alignment vertical="center"/>
    </xf>
    <xf numFmtId="49" fontId="23" fillId="0" borderId="0" xfId="0" applyNumberFormat="1" applyFont="1" applyAlignment="1">
      <alignment horizontal="right" vertical="center"/>
    </xf>
    <xf numFmtId="49" fontId="23" fillId="0" borderId="54" xfId="0" applyNumberFormat="1" applyFont="1" applyBorder="1" applyAlignment="1">
      <alignment vertical="center"/>
    </xf>
    <xf numFmtId="176" fontId="19" fillId="3" borderId="9" xfId="0" applyNumberFormat="1" applyFont="1" applyFill="1" applyBorder="1" applyAlignment="1">
      <alignment vertical="center"/>
    </xf>
    <xf numFmtId="176" fontId="19" fillId="3" borderId="10" xfId="0" applyNumberFormat="1" applyFont="1" applyFill="1" applyBorder="1" applyAlignment="1">
      <alignment vertical="center"/>
    </xf>
    <xf numFmtId="176" fontId="19" fillId="3" borderId="11" xfId="0" applyNumberFormat="1" applyFont="1" applyFill="1" applyBorder="1" applyAlignment="1">
      <alignment vertical="center"/>
    </xf>
    <xf numFmtId="176" fontId="26" fillId="3" borderId="11" xfId="3" applyNumberFormat="1" applyFont="1" applyFill="1" applyBorder="1" applyAlignment="1">
      <alignment horizontal="center" vertical="center"/>
    </xf>
    <xf numFmtId="49" fontId="23" fillId="3" borderId="11" xfId="5" quotePrefix="1" applyNumberFormat="1" applyFont="1" applyFill="1" applyBorder="1">
      <alignment vertical="center"/>
    </xf>
    <xf numFmtId="49" fontId="23" fillId="3" borderId="9" xfId="5" applyNumberFormat="1" applyFont="1" applyFill="1" applyBorder="1" applyAlignment="1">
      <alignment horizontal="left" vertical="center"/>
    </xf>
    <xf numFmtId="49" fontId="9" fillId="0" borderId="0" xfId="0" applyNumberFormat="1" applyFont="1" applyAlignment="1">
      <alignment vertical="center"/>
    </xf>
    <xf numFmtId="49" fontId="5" fillId="0" borderId="2" xfId="0" applyNumberFormat="1" applyFont="1" applyBorder="1" applyAlignment="1">
      <alignment horizontal="center" vertical="center"/>
    </xf>
    <xf numFmtId="49" fontId="27" fillId="3" borderId="10" xfId="2" applyNumberFormat="1" applyFont="1" applyFill="1" applyBorder="1" applyAlignment="1">
      <alignment vertical="center" wrapText="1"/>
    </xf>
    <xf numFmtId="49" fontId="5" fillId="0" borderId="25" xfId="0" applyNumberFormat="1" applyFont="1" applyBorder="1" applyAlignment="1">
      <alignment horizontal="centerContinuous" vertical="center"/>
    </xf>
    <xf numFmtId="49" fontId="23" fillId="2" borderId="0" xfId="5" applyNumberFormat="1" applyFont="1" applyFill="1" applyAlignment="1">
      <alignment horizontal="left" vertical="center"/>
    </xf>
    <xf numFmtId="49" fontId="24" fillId="2" borderId="42" xfId="2" applyNumberFormat="1" applyFont="1" applyFill="1" applyBorder="1" applyAlignment="1">
      <alignment horizontal="center" vertical="center" wrapText="1"/>
    </xf>
    <xf numFmtId="49" fontId="27" fillId="8" borderId="42" xfId="2" applyNumberFormat="1" applyFont="1" applyFill="1" applyBorder="1" applyAlignment="1">
      <alignment horizontal="left" vertical="center"/>
    </xf>
    <xf numFmtId="49" fontId="24" fillId="8" borderId="42" xfId="2" applyNumberFormat="1" applyFont="1" applyFill="1" applyBorder="1" applyAlignment="1">
      <alignment horizontal="center" vertical="center" wrapText="1"/>
    </xf>
    <xf numFmtId="49" fontId="23" fillId="2" borderId="42" xfId="3" applyNumberFormat="1" applyFont="1" applyFill="1" applyBorder="1">
      <alignment vertical="center"/>
    </xf>
    <xf numFmtId="49" fontId="23" fillId="3" borderId="11" xfId="0" quotePrefix="1" applyNumberFormat="1" applyFont="1" applyFill="1" applyBorder="1" applyAlignment="1">
      <alignment horizontal="left" vertical="center"/>
    </xf>
    <xf numFmtId="49" fontId="23" fillId="3" borderId="10" xfId="0" quotePrefix="1" applyNumberFormat="1" applyFont="1" applyFill="1" applyBorder="1" applyAlignment="1">
      <alignment horizontal="left" vertical="center"/>
    </xf>
    <xf numFmtId="49" fontId="23" fillId="3" borderId="7" xfId="0" applyNumberFormat="1" applyFont="1" applyFill="1" applyBorder="1" applyAlignment="1">
      <alignment vertical="center"/>
    </xf>
    <xf numFmtId="49" fontId="26" fillId="2" borderId="0" xfId="5" applyNumberFormat="1" applyFont="1" applyFill="1" applyAlignment="1">
      <alignment horizontal="center" vertical="center"/>
    </xf>
    <xf numFmtId="49" fontId="5" fillId="0" borderId="0" xfId="1" applyNumberFormat="1" applyFont="1" applyAlignment="1">
      <alignment horizontal="left" vertical="center"/>
    </xf>
    <xf numFmtId="49" fontId="5" fillId="0" borderId="0" xfId="0" applyNumberFormat="1" applyFont="1" applyAlignment="1">
      <alignment horizontal="center" vertical="center"/>
    </xf>
    <xf numFmtId="49" fontId="35" fillId="6" borderId="9" xfId="0" applyNumberFormat="1" applyFont="1" applyFill="1" applyBorder="1" applyAlignment="1">
      <alignment vertical="center"/>
    </xf>
    <xf numFmtId="49" fontId="35" fillId="6" borderId="10" xfId="0" applyNumberFormat="1" applyFont="1" applyFill="1" applyBorder="1" applyAlignment="1">
      <alignment vertical="center"/>
    </xf>
    <xf numFmtId="49" fontId="35" fillId="7" borderId="11" xfId="3" applyNumberFormat="1" applyFont="1" applyFill="1" applyBorder="1" applyAlignment="1">
      <alignment horizontal="center" vertical="center"/>
    </xf>
    <xf numFmtId="49" fontId="35" fillId="6" borderId="11" xfId="0" applyNumberFormat="1" applyFont="1" applyFill="1" applyBorder="1" applyAlignment="1">
      <alignment vertical="center"/>
    </xf>
    <xf numFmtId="49" fontId="26" fillId="2" borderId="7" xfId="5" applyNumberFormat="1" applyFont="1" applyFill="1" applyBorder="1" applyAlignment="1">
      <alignment horizontal="center" vertical="center"/>
    </xf>
    <xf numFmtId="49" fontId="5" fillId="3" borderId="0" xfId="0" applyNumberFormat="1" applyFont="1" applyFill="1" applyAlignment="1">
      <alignment vertical="center"/>
    </xf>
    <xf numFmtId="49" fontId="5" fillId="3" borderId="0" xfId="0" applyNumberFormat="1" applyFont="1" applyFill="1" applyAlignment="1">
      <alignment horizontal="right" vertical="center"/>
    </xf>
    <xf numFmtId="49" fontId="5" fillId="3" borderId="9" xfId="0" applyNumberFormat="1" applyFont="1" applyFill="1" applyBorder="1" applyAlignment="1">
      <alignment vertical="center"/>
    </xf>
    <xf numFmtId="49" fontId="5" fillId="3" borderId="10" xfId="0" applyNumberFormat="1" applyFont="1" applyFill="1" applyBorder="1" applyAlignment="1">
      <alignment vertical="center"/>
    </xf>
    <xf numFmtId="49" fontId="5" fillId="3" borderId="11" xfId="0" applyNumberFormat="1" applyFont="1" applyFill="1" applyBorder="1" applyAlignment="1">
      <alignment vertical="center"/>
    </xf>
    <xf numFmtId="49" fontId="6" fillId="3" borderId="0" xfId="0" applyNumberFormat="1" applyFont="1" applyFill="1" applyAlignment="1">
      <alignment vertical="center"/>
    </xf>
    <xf numFmtId="49" fontId="7" fillId="3" borderId="0" xfId="0" applyNumberFormat="1" applyFont="1" applyFill="1" applyAlignment="1">
      <alignment vertical="center"/>
    </xf>
    <xf numFmtId="49" fontId="3" fillId="3" borderId="0" xfId="0" applyNumberFormat="1" applyFont="1" applyFill="1"/>
    <xf numFmtId="49" fontId="5" fillId="3" borderId="0" xfId="0" applyNumberFormat="1" applyFont="1" applyFill="1" applyAlignment="1">
      <alignment horizontal="left" vertical="center"/>
    </xf>
    <xf numFmtId="49" fontId="3" fillId="3" borderId="6" xfId="0" applyNumberFormat="1" applyFont="1" applyFill="1" applyBorder="1"/>
    <xf numFmtId="49" fontId="3" fillId="3" borderId="7" xfId="0" applyNumberFormat="1" applyFont="1" applyFill="1" applyBorder="1"/>
    <xf numFmtId="49" fontId="3" fillId="3" borderId="8" xfId="0" applyNumberFormat="1" applyFont="1" applyFill="1" applyBorder="1"/>
    <xf numFmtId="49" fontId="5" fillId="3" borderId="6" xfId="0" applyNumberFormat="1" applyFont="1" applyFill="1" applyBorder="1"/>
    <xf numFmtId="49" fontId="5" fillId="3" borderId="2" xfId="0" applyNumberFormat="1" applyFont="1" applyFill="1" applyBorder="1" applyAlignment="1">
      <alignment vertical="center"/>
    </xf>
    <xf numFmtId="49" fontId="5" fillId="3" borderId="2" xfId="0" applyNumberFormat="1" applyFont="1" applyFill="1" applyBorder="1"/>
    <xf numFmtId="49" fontId="5" fillId="3" borderId="2" xfId="1" applyNumberFormat="1" applyFont="1" applyFill="1" applyBorder="1"/>
    <xf numFmtId="49" fontId="5" fillId="3" borderId="3" xfId="0" applyNumberFormat="1" applyFont="1" applyFill="1" applyBorder="1" applyAlignment="1">
      <alignment vertical="center"/>
    </xf>
    <xf numFmtId="49" fontId="3" fillId="3" borderId="5" xfId="0" applyNumberFormat="1" applyFont="1" applyFill="1" applyBorder="1"/>
    <xf numFmtId="49" fontId="5" fillId="3" borderId="7" xfId="0" applyNumberFormat="1" applyFont="1" applyFill="1" applyBorder="1"/>
    <xf numFmtId="49" fontId="5" fillId="3" borderId="8" xfId="0" applyNumberFormat="1" applyFont="1" applyFill="1" applyBorder="1"/>
    <xf numFmtId="49" fontId="5" fillId="3" borderId="3" xfId="0" applyNumberFormat="1" applyFont="1" applyFill="1" applyBorder="1"/>
    <xf numFmtId="49" fontId="5" fillId="3" borderId="3" xfId="1" applyNumberFormat="1" applyFont="1" applyFill="1" applyBorder="1"/>
    <xf numFmtId="49" fontId="5" fillId="3" borderId="0" xfId="0" applyNumberFormat="1" applyFont="1" applyFill="1"/>
    <xf numFmtId="49" fontId="7" fillId="3" borderId="4" xfId="0" applyNumberFormat="1" applyFont="1" applyFill="1" applyBorder="1"/>
    <xf numFmtId="49" fontId="7" fillId="3" borderId="1" xfId="0" applyNumberFormat="1" applyFont="1" applyFill="1" applyBorder="1"/>
    <xf numFmtId="49" fontId="7" fillId="3" borderId="5" xfId="0" applyNumberFormat="1" applyFont="1" applyFill="1" applyBorder="1"/>
    <xf numFmtId="49" fontId="3" fillId="3" borderId="3" xfId="0" applyNumberFormat="1" applyFont="1" applyFill="1" applyBorder="1"/>
    <xf numFmtId="49" fontId="5" fillId="3" borderId="0" xfId="1" applyNumberFormat="1" applyFont="1" applyFill="1"/>
    <xf numFmtId="49" fontId="7" fillId="3" borderId="0" xfId="0" applyNumberFormat="1" applyFont="1" applyFill="1"/>
    <xf numFmtId="49" fontId="27" fillId="2" borderId="42" xfId="2" applyNumberFormat="1" applyFont="1" applyFill="1" applyBorder="1" applyAlignment="1">
      <alignment horizontal="left" vertical="center"/>
    </xf>
    <xf numFmtId="176" fontId="23" fillId="3" borderId="10" xfId="0" applyNumberFormat="1" applyFont="1" applyFill="1" applyBorder="1" applyAlignment="1">
      <alignment vertical="center"/>
    </xf>
    <xf numFmtId="176" fontId="23" fillId="3" borderId="9" xfId="0" applyNumberFormat="1" applyFont="1" applyFill="1" applyBorder="1" applyAlignment="1">
      <alignment vertical="center"/>
    </xf>
    <xf numFmtId="176" fontId="23" fillId="3" borderId="11" xfId="0" applyNumberFormat="1" applyFont="1" applyFill="1" applyBorder="1" applyAlignment="1">
      <alignment vertical="center"/>
    </xf>
    <xf numFmtId="49" fontId="36" fillId="2" borderId="44" xfId="2" applyNumberFormat="1" applyFont="1" applyFill="1" applyBorder="1">
      <alignment vertical="center"/>
    </xf>
    <xf numFmtId="49" fontId="36" fillId="2" borderId="45" xfId="2" applyNumberFormat="1" applyFont="1" applyFill="1" applyBorder="1">
      <alignment vertical="center"/>
    </xf>
    <xf numFmtId="49" fontId="23" fillId="3" borderId="6" xfId="3" applyNumberFormat="1" applyFont="1" applyFill="1" applyBorder="1">
      <alignment vertical="center"/>
    </xf>
    <xf numFmtId="49" fontId="23" fillId="3" borderId="7" xfId="3" applyNumberFormat="1" applyFont="1" applyFill="1" applyBorder="1">
      <alignment vertical="center"/>
    </xf>
    <xf numFmtId="49" fontId="7" fillId="0" borderId="7" xfId="1" applyNumberFormat="1" applyFont="1" applyBorder="1" applyAlignment="1">
      <alignment vertical="center"/>
    </xf>
    <xf numFmtId="49" fontId="23" fillId="3" borderId="7" xfId="5" applyNumberFormat="1" applyFont="1" applyFill="1" applyBorder="1">
      <alignment vertical="center"/>
    </xf>
    <xf numFmtId="49" fontId="23" fillId="3" borderId="8" xfId="5" applyNumberFormat="1" applyFont="1" applyFill="1" applyBorder="1">
      <alignment vertical="center"/>
    </xf>
    <xf numFmtId="49" fontId="7" fillId="0" borderId="10" xfId="1" applyNumberFormat="1" applyFont="1" applyBorder="1" applyAlignment="1">
      <alignment vertical="center"/>
    </xf>
    <xf numFmtId="49" fontId="7" fillId="3" borderId="10" xfId="1" applyNumberFormat="1" applyFont="1" applyFill="1" applyBorder="1" applyAlignment="1">
      <alignment vertical="center"/>
    </xf>
    <xf numFmtId="49" fontId="23" fillId="0" borderId="10" xfId="1" applyNumberFormat="1" applyFont="1" applyBorder="1" applyAlignment="1">
      <alignment vertical="center"/>
    </xf>
    <xf numFmtId="0" fontId="11" fillId="0" borderId="0" xfId="1" applyFont="1" applyAlignment="1">
      <alignment vertical="center"/>
    </xf>
    <xf numFmtId="49" fontId="23" fillId="8" borderId="0" xfId="3" applyNumberFormat="1" applyFont="1" applyFill="1">
      <alignment vertical="center"/>
    </xf>
    <xf numFmtId="49" fontId="20" fillId="8" borderId="0" xfId="3" applyNumberFormat="1" applyFont="1" applyFill="1">
      <alignment vertical="center"/>
    </xf>
    <xf numFmtId="49" fontId="3" fillId="3" borderId="2" xfId="1" applyNumberFormat="1" applyFont="1" applyFill="1" applyBorder="1"/>
    <xf numFmtId="49" fontId="37" fillId="2" borderId="0" xfId="2" applyNumberFormat="1" applyFont="1" applyFill="1">
      <alignment vertical="center"/>
    </xf>
    <xf numFmtId="49" fontId="26" fillId="2" borderId="0" xfId="2" applyNumberFormat="1" applyFont="1" applyFill="1" applyAlignment="1">
      <alignment horizontal="center" vertical="center"/>
    </xf>
    <xf numFmtId="49" fontId="36" fillId="2" borderId="0" xfId="2" applyNumberFormat="1" applyFont="1" applyFill="1">
      <alignment vertical="center"/>
    </xf>
    <xf numFmtId="49" fontId="3" fillId="3" borderId="3" xfId="1" applyNumberFormat="1" applyFont="1" applyFill="1" applyBorder="1"/>
    <xf numFmtId="49" fontId="35" fillId="6" borderId="9" xfId="0" applyNumberFormat="1" applyFont="1" applyFill="1" applyBorder="1" applyAlignment="1">
      <alignment horizontal="center" vertical="center"/>
    </xf>
    <xf numFmtId="49" fontId="35" fillId="6" borderId="10" xfId="0" applyNumberFormat="1" applyFont="1" applyFill="1" applyBorder="1" applyAlignment="1">
      <alignment horizontal="center" vertical="center"/>
    </xf>
    <xf numFmtId="49" fontId="35" fillId="6" borderId="11" xfId="0" applyNumberFormat="1" applyFont="1" applyFill="1" applyBorder="1" applyAlignment="1">
      <alignment horizontal="center" vertical="center"/>
    </xf>
    <xf numFmtId="49" fontId="30" fillId="9" borderId="9" xfId="0" applyNumberFormat="1" applyFont="1" applyFill="1" applyBorder="1" applyAlignment="1">
      <alignment horizontal="center" vertical="center"/>
    </xf>
    <xf numFmtId="49" fontId="30" fillId="9" borderId="10" xfId="0" applyNumberFormat="1" applyFont="1" applyFill="1" applyBorder="1" applyAlignment="1">
      <alignment horizontal="center" vertical="center"/>
    </xf>
    <xf numFmtId="49" fontId="23" fillId="3" borderId="9" xfId="0" applyNumberFormat="1" applyFont="1" applyFill="1" applyBorder="1" applyAlignment="1">
      <alignment horizontal="center" vertical="center"/>
    </xf>
    <xf numFmtId="49" fontId="23" fillId="3" borderId="10" xfId="0" applyNumberFormat="1" applyFont="1" applyFill="1" applyBorder="1" applyAlignment="1">
      <alignment horizontal="center" vertical="center"/>
    </xf>
    <xf numFmtId="49" fontId="3" fillId="3" borderId="2" xfId="0" applyNumberFormat="1" applyFont="1" applyFill="1" applyBorder="1"/>
    <xf numFmtId="49" fontId="3" fillId="3" borderId="0" xfId="2" applyNumberFormat="1" applyFont="1" applyFill="1" applyAlignment="1">
      <alignment horizontal="center" vertical="center"/>
    </xf>
    <xf numFmtId="49" fontId="5" fillId="3" borderId="0" xfId="3" applyNumberFormat="1" applyFont="1" applyFill="1" applyAlignment="1"/>
    <xf numFmtId="49" fontId="5" fillId="3" borderId="0" xfId="5" applyNumberFormat="1" applyFont="1" applyFill="1">
      <alignment vertical="center"/>
    </xf>
    <xf numFmtId="49" fontId="5" fillId="0" borderId="0" xfId="6" applyNumberFormat="1" applyFont="1" applyAlignment="1">
      <alignment horizontal="left"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49" fontId="5" fillId="0" borderId="24" xfId="0" applyNumberFormat="1" applyFont="1" applyBorder="1" applyAlignment="1">
      <alignment horizontal="center" vertical="center" shrinkToFit="1"/>
    </xf>
    <xf numFmtId="49" fontId="5" fillId="0" borderId="9" xfId="0" quotePrefix="1" applyNumberFormat="1" applyFont="1" applyBorder="1" applyAlignment="1">
      <alignment horizontal="center" vertical="center"/>
    </xf>
    <xf numFmtId="49" fontId="5" fillId="3" borderId="9" xfId="1" applyNumberFormat="1" applyFont="1" applyFill="1" applyBorder="1" applyAlignment="1">
      <alignment horizontal="left" vertical="center"/>
    </xf>
    <xf numFmtId="49" fontId="5" fillId="3" borderId="10" xfId="1" applyNumberFormat="1" applyFont="1" applyFill="1" applyBorder="1" applyAlignment="1">
      <alignment horizontal="left" vertical="center"/>
    </xf>
    <xf numFmtId="49" fontId="5" fillId="3" borderId="11" xfId="1" applyNumberFormat="1" applyFont="1" applyFill="1" applyBorder="1" applyAlignment="1">
      <alignment horizontal="left" vertical="center"/>
    </xf>
    <xf numFmtId="49" fontId="5" fillId="3" borderId="9" xfId="1" applyNumberFormat="1" applyFont="1" applyFill="1" applyBorder="1" applyAlignment="1">
      <alignment horizontal="left" vertical="top" wrapText="1"/>
    </xf>
    <xf numFmtId="49" fontId="5" fillId="3" borderId="10" xfId="1" applyNumberFormat="1" applyFont="1" applyFill="1" applyBorder="1" applyAlignment="1">
      <alignment horizontal="left" vertical="top" wrapText="1"/>
    </xf>
    <xf numFmtId="49" fontId="5" fillId="3" borderId="11" xfId="1" applyNumberFormat="1" applyFont="1" applyFill="1" applyBorder="1" applyAlignment="1">
      <alignment horizontal="left" vertical="top" wrapText="1"/>
    </xf>
    <xf numFmtId="49" fontId="26" fillId="4" borderId="9" xfId="3" applyNumberFormat="1" applyFont="1" applyFill="1" applyBorder="1" applyAlignment="1">
      <alignment horizontal="center" vertical="center"/>
    </xf>
    <xf numFmtId="49" fontId="26" fillId="4" borderId="10" xfId="3" applyNumberFormat="1" applyFont="1" applyFill="1" applyBorder="1" applyAlignment="1">
      <alignment horizontal="center" vertical="center"/>
    </xf>
    <xf numFmtId="49" fontId="26" fillId="4" borderId="11" xfId="3" applyNumberFormat="1" applyFont="1" applyFill="1" applyBorder="1" applyAlignment="1">
      <alignment horizontal="center" vertical="center"/>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49" fontId="5" fillId="3" borderId="9" xfId="0" applyNumberFormat="1" applyFont="1" applyFill="1" applyBorder="1" applyAlignment="1">
      <alignment horizontal="left" vertical="center"/>
    </xf>
    <xf numFmtId="0" fontId="5" fillId="3" borderId="10" xfId="0" applyFont="1" applyFill="1" applyBorder="1" applyAlignment="1">
      <alignment horizontal="left" vertical="center"/>
    </xf>
    <xf numFmtId="0" fontId="5" fillId="3" borderId="11" xfId="0" applyFont="1" applyFill="1" applyBorder="1" applyAlignment="1">
      <alignment horizontal="left" vertical="center"/>
    </xf>
    <xf numFmtId="49" fontId="33" fillId="2" borderId="36" xfId="2" applyNumberFormat="1" applyFont="1" applyFill="1" applyBorder="1" applyAlignment="1">
      <alignment horizontal="center" vertical="center"/>
    </xf>
    <xf numFmtId="49" fontId="33" fillId="2" borderId="0" xfId="2" applyNumberFormat="1" applyFont="1" applyFill="1" applyAlignment="1">
      <alignment horizontal="center" vertical="center"/>
    </xf>
    <xf numFmtId="49" fontId="33" fillId="2" borderId="39" xfId="2" applyNumberFormat="1" applyFont="1" applyFill="1" applyBorder="1" applyAlignment="1">
      <alignment horizontal="center" vertical="center"/>
    </xf>
    <xf numFmtId="49" fontId="36" fillId="2" borderId="36" xfId="2" applyNumberFormat="1" applyFont="1" applyFill="1" applyBorder="1" applyAlignment="1">
      <alignment horizontal="center" vertical="center"/>
    </xf>
    <xf numFmtId="49" fontId="36" fillId="2" borderId="37" xfId="2" applyNumberFormat="1" applyFont="1" applyFill="1" applyBorder="1" applyAlignment="1">
      <alignment horizontal="center" vertical="center"/>
    </xf>
    <xf numFmtId="49" fontId="36" fillId="2" borderId="0" xfId="2" applyNumberFormat="1" applyFont="1" applyFill="1" applyAlignment="1">
      <alignment horizontal="center" vertical="center"/>
    </xf>
    <xf numFmtId="49" fontId="36" fillId="2" borderId="45" xfId="2" applyNumberFormat="1" applyFont="1" applyFill="1" applyBorder="1" applyAlignment="1">
      <alignment horizontal="center" vertical="center"/>
    </xf>
    <xf numFmtId="49" fontId="36" fillId="2" borderId="39" xfId="2" applyNumberFormat="1" applyFont="1" applyFill="1" applyBorder="1" applyAlignment="1">
      <alignment horizontal="center" vertical="center"/>
    </xf>
    <xf numFmtId="49" fontId="36" fillId="2" borderId="40" xfId="2" applyNumberFormat="1" applyFont="1" applyFill="1" applyBorder="1" applyAlignment="1">
      <alignment horizontal="center" vertical="center"/>
    </xf>
    <xf numFmtId="49" fontId="25" fillId="3" borderId="9" xfId="3" applyNumberFormat="1" applyFont="1" applyFill="1" applyBorder="1" applyAlignment="1">
      <alignment horizontal="center" vertical="center"/>
    </xf>
    <xf numFmtId="49" fontId="25" fillId="3" borderId="10" xfId="3" applyNumberFormat="1" applyFont="1" applyFill="1" applyBorder="1" applyAlignment="1">
      <alignment horizontal="center" vertical="center"/>
    </xf>
    <xf numFmtId="49" fontId="25" fillId="3" borderId="11" xfId="3" applyNumberFormat="1" applyFont="1" applyFill="1" applyBorder="1" applyAlignment="1">
      <alignment horizontal="center" vertical="center"/>
    </xf>
    <xf numFmtId="49" fontId="34" fillId="4" borderId="9" xfId="3" applyNumberFormat="1" applyFont="1" applyFill="1" applyBorder="1" applyAlignment="1">
      <alignment horizontal="center" vertical="center"/>
    </xf>
    <xf numFmtId="49" fontId="34" fillId="4" borderId="10" xfId="3" applyNumberFormat="1" applyFont="1" applyFill="1" applyBorder="1" applyAlignment="1">
      <alignment horizontal="center" vertical="center"/>
    </xf>
    <xf numFmtId="49" fontId="34" fillId="4" borderId="11" xfId="3" applyNumberFormat="1" applyFont="1" applyFill="1" applyBorder="1" applyAlignment="1">
      <alignment horizontal="center" vertical="center"/>
    </xf>
    <xf numFmtId="49" fontId="27" fillId="3" borderId="10" xfId="2" applyNumberFormat="1" applyFont="1" applyFill="1" applyBorder="1" applyAlignment="1">
      <alignment horizontal="center" vertical="center" wrapText="1"/>
    </xf>
    <xf numFmtId="49" fontId="5" fillId="3" borderId="0" xfId="0" applyNumberFormat="1" applyFont="1" applyFill="1" applyAlignment="1">
      <alignment horizontal="right" vertical="center"/>
    </xf>
    <xf numFmtId="49" fontId="4" fillId="3" borderId="9" xfId="0" applyNumberFormat="1" applyFont="1" applyFill="1" applyBorder="1" applyAlignment="1">
      <alignment horizontal="center" vertical="center"/>
    </xf>
    <xf numFmtId="49" fontId="4" fillId="3" borderId="10" xfId="0" applyNumberFormat="1" applyFont="1" applyFill="1" applyBorder="1" applyAlignment="1">
      <alignment horizontal="center" vertical="center"/>
    </xf>
    <xf numFmtId="49" fontId="4" fillId="3" borderId="11" xfId="0" applyNumberFormat="1" applyFont="1" applyFill="1" applyBorder="1" applyAlignment="1">
      <alignment horizontal="center" vertical="center"/>
    </xf>
    <xf numFmtId="49" fontId="5" fillId="3" borderId="10" xfId="0" applyNumberFormat="1" applyFont="1" applyFill="1" applyBorder="1" applyAlignment="1">
      <alignment horizontal="left" vertical="center"/>
    </xf>
    <xf numFmtId="49" fontId="5" fillId="3" borderId="11" xfId="0" applyNumberFormat="1" applyFont="1" applyFill="1" applyBorder="1" applyAlignment="1">
      <alignment horizontal="left" vertical="center"/>
    </xf>
    <xf numFmtId="49" fontId="34" fillId="6" borderId="9" xfId="3" applyNumberFormat="1" applyFont="1" applyFill="1" applyBorder="1" applyAlignment="1">
      <alignment horizontal="center" vertical="center" wrapText="1"/>
    </xf>
    <xf numFmtId="49" fontId="34" fillId="6" borderId="10" xfId="3" applyNumberFormat="1" applyFont="1" applyFill="1" applyBorder="1" applyAlignment="1">
      <alignment horizontal="center" vertical="center" wrapText="1"/>
    </xf>
    <xf numFmtId="49" fontId="34" fillId="6" borderId="11" xfId="3" applyNumberFormat="1" applyFont="1" applyFill="1" applyBorder="1" applyAlignment="1">
      <alignment horizontal="center" vertical="center" wrapText="1"/>
    </xf>
    <xf numFmtId="49" fontId="5" fillId="3" borderId="6" xfId="0" applyNumberFormat="1" applyFont="1" applyFill="1" applyBorder="1" applyAlignment="1">
      <alignment horizontal="left" vertical="top"/>
    </xf>
    <xf numFmtId="49" fontId="5" fillId="3" borderId="7" xfId="0" applyNumberFormat="1" applyFont="1" applyFill="1" applyBorder="1" applyAlignment="1">
      <alignment horizontal="left" vertical="top"/>
    </xf>
    <xf numFmtId="49" fontId="5" fillId="3" borderId="8" xfId="0" applyNumberFormat="1" applyFont="1" applyFill="1" applyBorder="1" applyAlignment="1">
      <alignment horizontal="left" vertical="top"/>
    </xf>
    <xf numFmtId="49" fontId="5" fillId="3" borderId="2" xfId="0" applyNumberFormat="1" applyFont="1" applyFill="1" applyBorder="1" applyAlignment="1">
      <alignment horizontal="left" vertical="top" wrapText="1"/>
    </xf>
    <xf numFmtId="49" fontId="5" fillId="3" borderId="0" xfId="0" applyNumberFormat="1" applyFont="1" applyFill="1" applyAlignment="1">
      <alignment horizontal="left" vertical="top" wrapText="1"/>
    </xf>
    <xf numFmtId="49" fontId="5" fillId="3" borderId="3" xfId="0" applyNumberFormat="1" applyFont="1" applyFill="1" applyBorder="1" applyAlignment="1">
      <alignment horizontal="left" vertical="top" wrapText="1"/>
    </xf>
    <xf numFmtId="49" fontId="5" fillId="3" borderId="9" xfId="0" applyNumberFormat="1" applyFont="1" applyFill="1" applyBorder="1" applyAlignment="1">
      <alignment horizontal="left" vertical="top"/>
    </xf>
    <xf numFmtId="49" fontId="5" fillId="3" borderId="10" xfId="0" applyNumberFormat="1" applyFont="1" applyFill="1" applyBorder="1" applyAlignment="1">
      <alignment horizontal="left" vertical="top"/>
    </xf>
    <xf numFmtId="49" fontId="5" fillId="3" borderId="11" xfId="0" applyNumberFormat="1" applyFont="1" applyFill="1" applyBorder="1" applyAlignment="1">
      <alignment horizontal="left" vertical="top"/>
    </xf>
    <xf numFmtId="49" fontId="5" fillId="3" borderId="9" xfId="0" applyNumberFormat="1" applyFont="1" applyFill="1" applyBorder="1" applyAlignment="1">
      <alignment horizontal="left" vertical="top" wrapText="1"/>
    </xf>
    <xf numFmtId="49" fontId="5" fillId="3" borderId="10" xfId="0" applyNumberFormat="1" applyFont="1" applyFill="1" applyBorder="1" applyAlignment="1">
      <alignment horizontal="left" vertical="top" wrapText="1"/>
    </xf>
    <xf numFmtId="49" fontId="5" fillId="3" borderId="11" xfId="0" applyNumberFormat="1" applyFont="1" applyFill="1" applyBorder="1" applyAlignment="1">
      <alignment horizontal="left" vertical="top" wrapText="1"/>
    </xf>
    <xf numFmtId="49" fontId="5" fillId="3" borderId="6" xfId="0" applyNumberFormat="1" applyFont="1" applyFill="1" applyBorder="1" applyAlignment="1">
      <alignment horizontal="left" vertical="center"/>
    </xf>
    <xf numFmtId="49" fontId="5" fillId="3" borderId="7" xfId="0" applyNumberFormat="1" applyFont="1" applyFill="1" applyBorder="1" applyAlignment="1">
      <alignment horizontal="left" vertical="center"/>
    </xf>
    <xf numFmtId="49" fontId="5" fillId="3" borderId="8" xfId="0" applyNumberFormat="1" applyFont="1" applyFill="1" applyBorder="1" applyAlignment="1">
      <alignment horizontal="left" vertical="center"/>
    </xf>
    <xf numFmtId="49" fontId="5" fillId="3" borderId="10" xfId="1" applyNumberFormat="1" applyFont="1" applyFill="1" applyBorder="1" applyAlignment="1">
      <alignment horizontal="left" vertical="top"/>
    </xf>
    <xf numFmtId="49" fontId="5" fillId="3" borderId="11" xfId="1" applyNumberFormat="1" applyFont="1" applyFill="1" applyBorder="1" applyAlignment="1">
      <alignment horizontal="left" vertical="top"/>
    </xf>
    <xf numFmtId="49" fontId="5" fillId="3" borderId="9" xfId="1" applyNumberFormat="1" applyFont="1" applyFill="1" applyBorder="1" applyAlignment="1">
      <alignment horizontal="left" vertical="top"/>
    </xf>
    <xf numFmtId="49" fontId="5" fillId="3" borderId="4" xfId="1" applyNumberFormat="1" applyFont="1" applyFill="1" applyBorder="1" applyAlignment="1">
      <alignment horizontal="left" vertical="center"/>
    </xf>
    <xf numFmtId="49" fontId="5" fillId="3" borderId="1" xfId="1" applyNumberFormat="1" applyFont="1" applyFill="1" applyBorder="1" applyAlignment="1">
      <alignment horizontal="left" vertical="center"/>
    </xf>
    <xf numFmtId="49" fontId="5" fillId="3" borderId="5" xfId="1" applyNumberFormat="1" applyFont="1" applyFill="1" applyBorder="1" applyAlignment="1">
      <alignment horizontal="left" vertical="center"/>
    </xf>
    <xf numFmtId="49" fontId="5" fillId="3" borderId="4" xfId="1" applyNumberFormat="1" applyFont="1" applyFill="1" applyBorder="1" applyAlignment="1">
      <alignment horizontal="left" vertical="top" wrapText="1"/>
    </xf>
    <xf numFmtId="49" fontId="5" fillId="3" borderId="1" xfId="1" applyNumberFormat="1" applyFont="1" applyFill="1" applyBorder="1" applyAlignment="1">
      <alignment horizontal="left" vertical="top"/>
    </xf>
    <xf numFmtId="49" fontId="5" fillId="3" borderId="5" xfId="1" applyNumberFormat="1" applyFont="1" applyFill="1" applyBorder="1" applyAlignment="1">
      <alignment horizontal="left" vertical="top"/>
    </xf>
    <xf numFmtId="49" fontId="29" fillId="3" borderId="9" xfId="0" applyNumberFormat="1" applyFont="1" applyFill="1" applyBorder="1" applyAlignment="1">
      <alignment horizontal="center" vertical="center"/>
    </xf>
    <xf numFmtId="49" fontId="29" fillId="3" borderId="10" xfId="0" applyNumberFormat="1" applyFont="1" applyFill="1" applyBorder="1" applyAlignment="1">
      <alignment horizontal="center" vertical="center"/>
    </xf>
    <xf numFmtId="49" fontId="29" fillId="3" borderId="11" xfId="0" applyNumberFormat="1" applyFont="1" applyFill="1" applyBorder="1" applyAlignment="1">
      <alignment horizontal="center" vertical="center"/>
    </xf>
    <xf numFmtId="49" fontId="34" fillId="4" borderId="9" xfId="3" applyNumberFormat="1" applyFont="1" applyFill="1" applyBorder="1" applyAlignment="1">
      <alignment horizontal="center" vertical="center" wrapText="1"/>
    </xf>
    <xf numFmtId="49" fontId="34" fillId="4" borderId="10" xfId="3" applyNumberFormat="1" applyFont="1" applyFill="1" applyBorder="1" applyAlignment="1">
      <alignment horizontal="center" vertical="center" wrapText="1"/>
    </xf>
    <xf numFmtId="49" fontId="34" fillId="4" borderId="11" xfId="3" applyNumberFormat="1" applyFont="1" applyFill="1" applyBorder="1" applyAlignment="1">
      <alignment horizontal="center" vertical="center" wrapText="1"/>
    </xf>
    <xf numFmtId="49" fontId="5" fillId="3" borderId="2" xfId="1" applyNumberFormat="1" applyFont="1" applyFill="1" applyBorder="1" applyAlignment="1">
      <alignment horizontal="left" vertical="center"/>
    </xf>
    <xf numFmtId="49" fontId="5" fillId="3" borderId="0" xfId="1" applyNumberFormat="1" applyFont="1" applyFill="1" applyAlignment="1">
      <alignment horizontal="left" vertical="center"/>
    </xf>
    <xf numFmtId="49" fontId="5" fillId="3" borderId="3" xfId="1" applyNumberFormat="1" applyFont="1" applyFill="1" applyBorder="1" applyAlignment="1">
      <alignment horizontal="left" vertical="center"/>
    </xf>
    <xf numFmtId="49" fontId="5" fillId="3" borderId="4" xfId="1" applyNumberFormat="1" applyFont="1" applyFill="1" applyBorder="1" applyAlignment="1">
      <alignment horizontal="left" vertical="top"/>
    </xf>
    <xf numFmtId="49" fontId="35" fillId="6" borderId="9" xfId="0" applyNumberFormat="1" applyFont="1" applyFill="1" applyBorder="1" applyAlignment="1">
      <alignment horizontal="center" vertical="center"/>
    </xf>
    <xf numFmtId="49" fontId="35" fillId="6" borderId="10" xfId="0" applyNumberFormat="1" applyFont="1" applyFill="1" applyBorder="1" applyAlignment="1">
      <alignment horizontal="center" vertical="center"/>
    </xf>
    <xf numFmtId="49" fontId="35" fillId="6" borderId="11" xfId="0" applyNumberFormat="1" applyFont="1" applyFill="1" applyBorder="1" applyAlignment="1">
      <alignment horizontal="center" vertical="center"/>
    </xf>
    <xf numFmtId="49" fontId="30" fillId="9" borderId="9" xfId="0" applyNumberFormat="1" applyFont="1" applyFill="1" applyBorder="1" applyAlignment="1">
      <alignment horizontal="center" vertical="center"/>
    </xf>
    <xf numFmtId="49" fontId="30" fillId="9" borderId="10" xfId="0" applyNumberFormat="1" applyFont="1" applyFill="1" applyBorder="1" applyAlignment="1">
      <alignment horizontal="center" vertical="center"/>
    </xf>
    <xf numFmtId="49" fontId="30" fillId="9" borderId="11" xfId="0" applyNumberFormat="1" applyFont="1" applyFill="1" applyBorder="1" applyAlignment="1">
      <alignment horizontal="center" vertical="center"/>
    </xf>
    <xf numFmtId="49" fontId="5" fillId="3" borderId="6" xfId="1" applyNumberFormat="1" applyFont="1" applyFill="1" applyBorder="1" applyAlignment="1">
      <alignment horizontal="left" vertical="center"/>
    </xf>
    <xf numFmtId="49" fontId="5" fillId="3" borderId="7" xfId="1" applyNumberFormat="1" applyFont="1" applyFill="1" applyBorder="1" applyAlignment="1">
      <alignment horizontal="left" vertical="center"/>
    </xf>
    <xf numFmtId="49" fontId="5" fillId="3" borderId="8" xfId="1" applyNumberFormat="1" applyFont="1" applyFill="1" applyBorder="1" applyAlignment="1">
      <alignment horizontal="left" vertical="center"/>
    </xf>
    <xf numFmtId="49" fontId="5" fillId="0" borderId="32" xfId="0" applyNumberFormat="1" applyFont="1" applyBorder="1" applyAlignment="1">
      <alignment horizontal="center" vertical="center"/>
    </xf>
    <xf numFmtId="49" fontId="5" fillId="0" borderId="18" xfId="0" applyNumberFormat="1" applyFont="1" applyBorder="1" applyAlignment="1">
      <alignment horizontal="center" vertical="center"/>
    </xf>
    <xf numFmtId="0" fontId="5" fillId="0" borderId="51" xfId="1" applyFont="1" applyBorder="1" applyAlignment="1">
      <alignment horizontal="center" vertical="center"/>
    </xf>
    <xf numFmtId="0" fontId="5" fillId="0" borderId="49" xfId="1" applyFont="1" applyBorder="1" applyAlignment="1">
      <alignment horizontal="center" vertical="center"/>
    </xf>
    <xf numFmtId="0" fontId="5" fillId="0" borderId="50" xfId="1" applyFont="1" applyBorder="1" applyAlignment="1">
      <alignment horizontal="center" vertical="center"/>
    </xf>
    <xf numFmtId="49" fontId="5" fillId="0" borderId="17" xfId="0" quotePrefix="1"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25"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53"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5" fillId="0" borderId="17"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18" xfId="1" applyNumberFormat="1" applyFont="1" applyBorder="1" applyAlignment="1">
      <alignment horizontal="center" vertical="center"/>
    </xf>
    <xf numFmtId="49" fontId="5" fillId="0" borderId="17" xfId="0" applyNumberFormat="1" applyFont="1" applyBorder="1" applyAlignment="1">
      <alignment horizontal="left" vertical="center"/>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5" fillId="0" borderId="17" xfId="0" applyNumberFormat="1" applyFont="1" applyBorder="1" applyAlignment="1">
      <alignment horizontal="center" vertical="center"/>
    </xf>
    <xf numFmtId="49" fontId="3" fillId="0" borderId="17"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5" fillId="0" borderId="17" xfId="0" applyNumberFormat="1" applyFont="1" applyBorder="1" applyAlignment="1">
      <alignment horizontal="center" vertical="center" wrapText="1"/>
    </xf>
    <xf numFmtId="49" fontId="5" fillId="0" borderId="22" xfId="0" applyNumberFormat="1" applyFont="1" applyBorder="1" applyAlignment="1">
      <alignment horizontal="center" vertical="center" wrapText="1"/>
    </xf>
    <xf numFmtId="49" fontId="5" fillId="0" borderId="18" xfId="0" applyNumberFormat="1" applyFont="1" applyBorder="1" applyAlignment="1">
      <alignment horizontal="center" vertical="center" wrapText="1"/>
    </xf>
    <xf numFmtId="14" fontId="5" fillId="0" borderId="9"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6"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49" fontId="5" fillId="0" borderId="24" xfId="0" applyNumberFormat="1" applyFont="1" applyBorder="1" applyAlignment="1">
      <alignment horizontal="left" vertical="center"/>
    </xf>
    <xf numFmtId="49" fontId="5" fillId="0" borderId="57" xfId="0" applyNumberFormat="1" applyFont="1" applyBorder="1" applyAlignment="1">
      <alignment horizontal="center" vertical="center"/>
    </xf>
    <xf numFmtId="49" fontId="5" fillId="0" borderId="59" xfId="1" applyNumberFormat="1" applyFont="1" applyBorder="1" applyAlignment="1">
      <alignment horizontal="left" vertical="center"/>
    </xf>
    <xf numFmtId="49" fontId="5" fillId="0" borderId="15" xfId="1" applyNumberFormat="1" applyFont="1" applyBorder="1" applyAlignment="1">
      <alignment horizontal="center" vertical="center"/>
    </xf>
    <xf numFmtId="49" fontId="5" fillId="0" borderId="21" xfId="1" applyNumberFormat="1" applyFont="1" applyBorder="1" applyAlignment="1">
      <alignment horizontal="center" vertical="center"/>
    </xf>
    <xf numFmtId="49" fontId="5" fillId="0" borderId="16" xfId="1" applyNumberFormat="1" applyFont="1" applyBorder="1" applyAlignment="1">
      <alignment horizontal="center" vertical="center"/>
    </xf>
    <xf numFmtId="49" fontId="5" fillId="0" borderId="58" xfId="0" applyNumberFormat="1" applyFont="1" applyBorder="1" applyAlignment="1">
      <alignment horizontal="center" vertical="center"/>
    </xf>
    <xf numFmtId="49" fontId="5" fillId="0" borderId="58" xfId="0" applyNumberFormat="1" applyFont="1" applyBorder="1" applyAlignment="1">
      <alignment horizontal="left" vertical="center"/>
    </xf>
    <xf numFmtId="49" fontId="5" fillId="0" borderId="28"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51" xfId="1" applyNumberFormat="1" applyFont="1" applyBorder="1" applyAlignment="1">
      <alignment vertical="center"/>
    </xf>
    <xf numFmtId="49" fontId="5" fillId="0" borderId="49" xfId="1" applyNumberFormat="1" applyFont="1" applyBorder="1" applyAlignment="1">
      <alignment vertical="center"/>
    </xf>
    <xf numFmtId="49" fontId="5" fillId="0" borderId="50" xfId="1" applyNumberFormat="1" applyFont="1" applyBorder="1" applyAlignment="1">
      <alignment vertical="center"/>
    </xf>
    <xf numFmtId="49" fontId="5" fillId="0" borderId="51" xfId="1" applyNumberFormat="1" applyFont="1" applyBorder="1" applyAlignment="1">
      <alignment horizontal="center" vertical="center"/>
    </xf>
    <xf numFmtId="49" fontId="5" fillId="0" borderId="49" xfId="1" applyNumberFormat="1" applyFont="1" applyBorder="1" applyAlignment="1">
      <alignment horizontal="center" vertical="center"/>
    </xf>
    <xf numFmtId="49" fontId="5" fillId="0" borderId="50" xfId="1" applyNumberFormat="1" applyFont="1" applyBorder="1" applyAlignment="1">
      <alignment horizontal="center" vertical="center"/>
    </xf>
    <xf numFmtId="49" fontId="5" fillId="0" borderId="60" xfId="1" applyNumberFormat="1" applyFont="1" applyBorder="1" applyAlignment="1">
      <alignment horizontal="center" vertical="center"/>
    </xf>
    <xf numFmtId="49" fontId="5" fillId="0" borderId="8" xfId="1" applyNumberFormat="1" applyFont="1" applyBorder="1" applyAlignment="1">
      <alignment horizontal="center" vertical="center"/>
    </xf>
    <xf numFmtId="49" fontId="5" fillId="0" borderId="17" xfId="1" applyNumberFormat="1" applyFont="1" applyBorder="1" applyAlignment="1">
      <alignment horizontal="left" vertical="center"/>
    </xf>
    <xf numFmtId="49" fontId="5" fillId="0" borderId="22" xfId="1" applyNumberFormat="1" applyFont="1" applyBorder="1" applyAlignment="1">
      <alignment horizontal="left" vertical="center"/>
    </xf>
    <xf numFmtId="49" fontId="5" fillId="0" borderId="18" xfId="1" applyNumberFormat="1" applyFont="1" applyBorder="1" applyAlignment="1">
      <alignment horizontal="left" vertical="center"/>
    </xf>
    <xf numFmtId="49" fontId="7" fillId="0" borderId="12" xfId="0" applyNumberFormat="1" applyFont="1" applyBorder="1" applyAlignment="1">
      <alignment horizontal="center" vertical="center"/>
    </xf>
    <xf numFmtId="49" fontId="7" fillId="0" borderId="13" xfId="0" applyNumberFormat="1" applyFont="1" applyBorder="1" applyAlignment="1">
      <alignment horizontal="center" vertical="center"/>
    </xf>
    <xf numFmtId="49" fontId="7" fillId="0" borderId="14" xfId="0" applyNumberFormat="1" applyFont="1" applyBorder="1" applyAlignment="1">
      <alignment horizontal="center" vertical="center"/>
    </xf>
    <xf numFmtId="0" fontId="5" fillId="0" borderId="19" xfId="1" applyFont="1" applyBorder="1" applyAlignment="1">
      <alignment horizontal="center" vertical="center"/>
    </xf>
    <xf numFmtId="0" fontId="5" fillId="0" borderId="23" xfId="1" applyFont="1" applyBorder="1" applyAlignment="1">
      <alignment horizontal="center" vertical="center"/>
    </xf>
    <xf numFmtId="0" fontId="5" fillId="0" borderId="20" xfId="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49" fontId="5" fillId="0" borderId="31" xfId="0" applyNumberFormat="1" applyFont="1" applyBorder="1" applyAlignment="1">
      <alignment horizontal="center" vertical="center"/>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xf>
    <xf numFmtId="49" fontId="5" fillId="0" borderId="20" xfId="0" applyNumberFormat="1" applyFont="1" applyBorder="1" applyAlignment="1">
      <alignment horizontal="left" vertical="center"/>
    </xf>
    <xf numFmtId="49" fontId="19" fillId="0" borderId="17" xfId="0" applyNumberFormat="1" applyFont="1" applyBorder="1" applyAlignment="1">
      <alignment horizontal="left" vertical="center" wrapText="1"/>
    </xf>
    <xf numFmtId="49" fontId="19" fillId="0" borderId="22" xfId="0" applyNumberFormat="1" applyFont="1" applyBorder="1" applyAlignment="1">
      <alignment horizontal="left" vertical="center" wrapText="1"/>
    </xf>
    <xf numFmtId="49" fontId="19" fillId="0" borderId="18" xfId="0" applyNumberFormat="1" applyFont="1" applyBorder="1" applyAlignment="1">
      <alignment horizontal="left" vertical="center" wrapText="1"/>
    </xf>
    <xf numFmtId="49" fontId="5" fillId="0" borderId="25" xfId="1" applyNumberFormat="1" applyFont="1" applyBorder="1" applyAlignment="1">
      <alignment horizontal="left" vertical="center"/>
    </xf>
    <xf numFmtId="49" fontId="5" fillId="0" borderId="26" xfId="1" applyNumberFormat="1" applyFont="1" applyBorder="1" applyAlignment="1">
      <alignment horizontal="left" vertical="center"/>
    </xf>
    <xf numFmtId="49" fontId="5" fillId="0" borderId="27" xfId="1" applyNumberFormat="1" applyFont="1" applyBorder="1" applyAlignment="1">
      <alignment horizontal="left" vertical="center"/>
    </xf>
    <xf numFmtId="49" fontId="5" fillId="0" borderId="32" xfId="0" quotePrefix="1" applyNumberFormat="1" applyFont="1" applyBorder="1" applyAlignment="1">
      <alignment horizontal="center" vertical="center"/>
    </xf>
    <xf numFmtId="49" fontId="5" fillId="0" borderId="56" xfId="1" applyNumberFormat="1" applyFont="1" applyBorder="1" applyAlignment="1">
      <alignment horizontal="center" vertical="center"/>
    </xf>
    <xf numFmtId="49" fontId="5" fillId="0" borderId="17" xfId="0" applyNumberFormat="1" applyFont="1" applyBorder="1" applyAlignment="1">
      <alignment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17" xfId="1" applyNumberFormat="1" applyFont="1" applyBorder="1" applyAlignment="1">
      <alignment vertical="center" wrapText="1"/>
    </xf>
    <xf numFmtId="49" fontId="5" fillId="0" borderId="22" xfId="1" applyNumberFormat="1" applyFont="1" applyBorder="1" applyAlignment="1">
      <alignment vertical="center" wrapText="1"/>
    </xf>
    <xf numFmtId="49" fontId="5" fillId="0" borderId="18" xfId="1" applyNumberFormat="1" applyFont="1" applyBorder="1" applyAlignment="1">
      <alignment vertical="center" wrapText="1"/>
    </xf>
    <xf numFmtId="49" fontId="5" fillId="0" borderId="31" xfId="1" applyNumberFormat="1" applyFont="1" applyBorder="1" applyAlignment="1">
      <alignment horizontal="center" vertical="center"/>
    </xf>
    <xf numFmtId="49" fontId="5" fillId="0" borderId="32" xfId="1" applyNumberFormat="1" applyFont="1" applyBorder="1" applyAlignment="1">
      <alignment horizontal="center" vertical="center"/>
    </xf>
    <xf numFmtId="0" fontId="5" fillId="0" borderId="17" xfId="0" quotePrefix="1" applyFont="1" applyBorder="1" applyAlignment="1">
      <alignment horizontal="center" vertical="center"/>
    </xf>
    <xf numFmtId="0" fontId="5" fillId="0" borderId="22" xfId="0" applyFont="1" applyBorder="1" applyAlignment="1">
      <alignment horizontal="center" vertical="center"/>
    </xf>
    <xf numFmtId="0" fontId="5" fillId="0" borderId="18" xfId="0" applyFont="1" applyBorder="1" applyAlignment="1">
      <alignment horizontal="center"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51" xfId="0" applyNumberFormat="1" applyFont="1" applyBorder="1" applyAlignment="1">
      <alignment horizontal="center" vertical="center"/>
    </xf>
    <xf numFmtId="49" fontId="5" fillId="0" borderId="49" xfId="0" applyNumberFormat="1" applyFont="1" applyBorder="1" applyAlignment="1">
      <alignment horizontal="center" vertical="center"/>
    </xf>
    <xf numFmtId="49" fontId="5" fillId="0" borderId="50" xfId="0" applyNumberFormat="1" applyFont="1" applyBorder="1" applyAlignment="1">
      <alignment horizontal="center" vertical="center"/>
    </xf>
    <xf numFmtId="49" fontId="5" fillId="0" borderId="17"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0" fontId="5" fillId="0" borderId="19" xfId="0" applyFont="1" applyBorder="1" applyAlignment="1">
      <alignment horizontal="center" vertical="center"/>
    </xf>
    <xf numFmtId="0" fontId="5" fillId="0" borderId="23" xfId="0" applyFont="1" applyBorder="1" applyAlignment="1">
      <alignment horizontal="center" vertical="center"/>
    </xf>
    <xf numFmtId="0" fontId="5" fillId="0" borderId="20" xfId="0" applyFont="1" applyBorder="1" applyAlignment="1">
      <alignment horizontal="center" vertical="center"/>
    </xf>
    <xf numFmtId="49" fontId="5" fillId="0" borderId="22" xfId="0" quotePrefix="1" applyNumberFormat="1" applyFont="1" applyBorder="1" applyAlignment="1">
      <alignment horizontal="left" vertical="center" wrapText="1"/>
    </xf>
    <xf numFmtId="49" fontId="5" fillId="0" borderId="18" xfId="0" quotePrefix="1" applyNumberFormat="1" applyFont="1" applyBorder="1" applyAlignment="1">
      <alignment horizontal="left" vertical="center" wrapText="1"/>
    </xf>
    <xf numFmtId="0" fontId="5" fillId="0" borderId="17" xfId="0" applyFont="1" applyBorder="1" applyAlignment="1">
      <alignment horizontal="center" vertical="center"/>
    </xf>
    <xf numFmtId="49" fontId="9" fillId="0" borderId="17" xfId="0" applyNumberFormat="1" applyFont="1" applyBorder="1" applyAlignment="1">
      <alignment vertical="center" wrapText="1"/>
    </xf>
    <xf numFmtId="49" fontId="9" fillId="0" borderId="22" xfId="0" applyNumberFormat="1" applyFont="1" applyBorder="1" applyAlignment="1">
      <alignment vertical="center" wrapText="1"/>
    </xf>
    <xf numFmtId="49" fontId="9" fillId="0" borderId="18" xfId="0" applyNumberFormat="1" applyFont="1" applyBorder="1" applyAlignment="1">
      <alignment vertical="center" wrapText="1"/>
    </xf>
    <xf numFmtId="49" fontId="9" fillId="0" borderId="17" xfId="0" applyNumberFormat="1" applyFont="1" applyBorder="1" applyAlignment="1">
      <alignment horizontal="left" vertical="center" wrapText="1"/>
    </xf>
    <xf numFmtId="49" fontId="9" fillId="0" borderId="22" xfId="0" applyNumberFormat="1" applyFont="1" applyBorder="1" applyAlignment="1">
      <alignment horizontal="left" vertical="center" wrapText="1"/>
    </xf>
    <xf numFmtId="49" fontId="9" fillId="0" borderId="18" xfId="0" applyNumberFormat="1" applyFont="1" applyBorder="1" applyAlignment="1">
      <alignment horizontal="left" vertical="center" wrapText="1"/>
    </xf>
    <xf numFmtId="49" fontId="9" fillId="0" borderId="17" xfId="0" applyNumberFormat="1" applyFont="1" applyBorder="1" applyAlignment="1">
      <alignment vertical="center"/>
    </xf>
    <xf numFmtId="49" fontId="9" fillId="0" borderId="22" xfId="0" applyNumberFormat="1" applyFont="1" applyBorder="1" applyAlignment="1">
      <alignment vertical="center"/>
    </xf>
    <xf numFmtId="49" fontId="9" fillId="0" borderId="18" xfId="0" applyNumberFormat="1" applyFont="1" applyBorder="1" applyAlignment="1">
      <alignment vertical="center"/>
    </xf>
    <xf numFmtId="49" fontId="9" fillId="0" borderId="19" xfId="0" applyNumberFormat="1" applyFont="1" applyBorder="1" applyAlignment="1">
      <alignment vertical="center" wrapText="1"/>
    </xf>
    <xf numFmtId="49" fontId="9" fillId="0" borderId="23" xfId="0" applyNumberFormat="1" applyFont="1" applyBorder="1" applyAlignment="1">
      <alignment vertical="center" wrapText="1"/>
    </xf>
    <xf numFmtId="49" fontId="9" fillId="0" borderId="20" xfId="0" applyNumberFormat="1" applyFont="1" applyBorder="1" applyAlignment="1">
      <alignment vertical="center" wrapText="1"/>
    </xf>
    <xf numFmtId="49" fontId="9" fillId="0" borderId="19" xfId="0" applyNumberFormat="1" applyFont="1" applyBorder="1" applyAlignment="1">
      <alignment horizontal="left" vertical="center" wrapText="1"/>
    </xf>
    <xf numFmtId="49" fontId="9" fillId="0" borderId="23" xfId="0" applyNumberFormat="1" applyFont="1" applyBorder="1" applyAlignment="1">
      <alignment horizontal="left" vertical="center" wrapText="1"/>
    </xf>
    <xf numFmtId="49" fontId="9" fillId="0" borderId="20" xfId="0" applyNumberFormat="1" applyFont="1" applyBorder="1" applyAlignment="1">
      <alignment horizontal="left" vertical="center" wrapText="1"/>
    </xf>
    <xf numFmtId="49" fontId="19" fillId="0" borderId="19" xfId="0" applyNumberFormat="1" applyFont="1" applyBorder="1" applyAlignment="1">
      <alignment horizontal="center" vertical="center"/>
    </xf>
    <xf numFmtId="49" fontId="19" fillId="0" borderId="23" xfId="0" applyNumberFormat="1" applyFont="1" applyBorder="1" applyAlignment="1">
      <alignment horizontal="center" vertical="center"/>
    </xf>
    <xf numFmtId="49" fontId="19" fillId="0" borderId="20" xfId="0" applyNumberFormat="1" applyFont="1" applyBorder="1" applyAlignment="1">
      <alignment horizontal="center" vertical="center"/>
    </xf>
    <xf numFmtId="49" fontId="19" fillId="0" borderId="17" xfId="0" applyNumberFormat="1" applyFont="1" applyBorder="1" applyAlignment="1">
      <alignment horizontal="center" vertical="center"/>
    </xf>
    <xf numFmtId="49" fontId="19" fillId="0" borderId="22" xfId="0" applyNumberFormat="1" applyFont="1" applyBorder="1" applyAlignment="1">
      <alignment horizontal="center" vertical="center"/>
    </xf>
    <xf numFmtId="49" fontId="19" fillId="0" borderId="18" xfId="0" applyNumberFormat="1" applyFont="1" applyBorder="1" applyAlignment="1">
      <alignment horizontal="center" vertical="center"/>
    </xf>
    <xf numFmtId="49" fontId="5" fillId="0" borderId="9" xfId="0" applyNumberFormat="1" applyFont="1" applyBorder="1" applyAlignment="1">
      <alignment horizontal="left" vertical="top" wrapText="1"/>
    </xf>
    <xf numFmtId="49" fontId="5" fillId="0" borderId="10" xfId="0" applyNumberFormat="1" applyFont="1" applyBorder="1" applyAlignment="1">
      <alignment horizontal="left" vertical="top" wrapText="1"/>
    </xf>
    <xf numFmtId="49" fontId="5" fillId="0" borderId="11" xfId="0" applyNumberFormat="1" applyFont="1" applyBorder="1" applyAlignment="1">
      <alignment horizontal="left" vertical="top" wrapText="1"/>
    </xf>
    <xf numFmtId="49" fontId="5" fillId="0" borderId="9" xfId="0" applyNumberFormat="1" applyFont="1" applyBorder="1" applyAlignment="1">
      <alignment horizontal="left" vertical="top"/>
    </xf>
    <xf numFmtId="49" fontId="5" fillId="0" borderId="10" xfId="0" applyNumberFormat="1" applyFont="1" applyBorder="1" applyAlignment="1">
      <alignment horizontal="left" vertical="top"/>
    </xf>
    <xf numFmtId="49" fontId="5" fillId="0" borderId="11" xfId="0" applyNumberFormat="1" applyFont="1" applyBorder="1" applyAlignment="1">
      <alignment horizontal="left" vertical="top"/>
    </xf>
    <xf numFmtId="49" fontId="23" fillId="7" borderId="9" xfId="5" applyNumberFormat="1" applyFont="1" applyFill="1" applyBorder="1" applyAlignment="1">
      <alignment horizontal="center" vertical="center"/>
    </xf>
    <xf numFmtId="49" fontId="23" fillId="7" borderId="10" xfId="5" applyNumberFormat="1" applyFont="1" applyFill="1" applyBorder="1" applyAlignment="1">
      <alignment horizontal="center" vertical="center"/>
    </xf>
    <xf numFmtId="49" fontId="23" fillId="7" borderId="11" xfId="5" applyNumberFormat="1" applyFont="1" applyFill="1" applyBorder="1" applyAlignment="1">
      <alignment horizontal="center" vertical="center"/>
    </xf>
    <xf numFmtId="49" fontId="23" fillId="3" borderId="9" xfId="0" applyNumberFormat="1" applyFont="1" applyFill="1" applyBorder="1" applyAlignment="1">
      <alignment horizontal="center" vertical="center"/>
    </xf>
    <xf numFmtId="49" fontId="23" fillId="3" borderId="10" xfId="0" applyNumberFormat="1" applyFont="1" applyFill="1" applyBorder="1" applyAlignment="1">
      <alignment horizontal="center" vertical="center"/>
    </xf>
    <xf numFmtId="49" fontId="23" fillId="3" borderId="11" xfId="0" applyNumberFormat="1" applyFont="1" applyFill="1" applyBorder="1" applyAlignment="1">
      <alignment horizontal="center" vertical="center"/>
    </xf>
    <xf numFmtId="176" fontId="23" fillId="3" borderId="10" xfId="0" applyNumberFormat="1" applyFont="1" applyFill="1" applyBorder="1" applyAlignment="1">
      <alignment horizontal="right" vertical="center"/>
    </xf>
    <xf numFmtId="176" fontId="23" fillId="3" borderId="10" xfId="0" quotePrefix="1" applyNumberFormat="1" applyFont="1" applyFill="1" applyBorder="1" applyAlignment="1">
      <alignment horizontal="right" vertical="center"/>
    </xf>
    <xf numFmtId="49" fontId="5" fillId="0" borderId="0" xfId="0" applyNumberFormat="1" applyFont="1" applyAlignment="1">
      <alignment horizontal="right" vertical="center"/>
    </xf>
    <xf numFmtId="49" fontId="21" fillId="2" borderId="36" xfId="2" applyNumberFormat="1" applyFont="1" applyFill="1" applyBorder="1" applyAlignment="1">
      <alignment horizontal="center" vertical="center"/>
    </xf>
    <xf numFmtId="49" fontId="22" fillId="2" borderId="36" xfId="2" applyNumberFormat="1" applyFont="1" applyFill="1" applyBorder="1" applyAlignment="1">
      <alignment horizontal="center" vertical="center"/>
    </xf>
    <xf numFmtId="49" fontId="22" fillId="2" borderId="0" xfId="2" applyNumberFormat="1" applyFont="1" applyFill="1" applyAlignment="1">
      <alignment horizontal="center" vertical="center"/>
    </xf>
    <xf numFmtId="49" fontId="22" fillId="2" borderId="39" xfId="2" applyNumberFormat="1" applyFont="1" applyFill="1" applyBorder="1" applyAlignment="1">
      <alignment horizontal="center" vertical="center"/>
    </xf>
    <xf numFmtId="49" fontId="23" fillId="6" borderId="9" xfId="0" applyNumberFormat="1" applyFont="1" applyFill="1" applyBorder="1" applyAlignment="1">
      <alignment horizontal="center" vertical="center"/>
    </xf>
    <xf numFmtId="49" fontId="23" fillId="6" borderId="10" xfId="0" applyNumberFormat="1" applyFont="1" applyFill="1" applyBorder="1" applyAlignment="1">
      <alignment horizontal="center" vertical="center"/>
    </xf>
    <xf numFmtId="49" fontId="23" fillId="6" borderId="11" xfId="0" applyNumberFormat="1" applyFont="1" applyFill="1" applyBorder="1" applyAlignment="1">
      <alignment horizontal="center" vertical="center"/>
    </xf>
    <xf numFmtId="176" fontId="19" fillId="3" borderId="10" xfId="0" applyNumberFormat="1" applyFont="1" applyFill="1" applyBorder="1" applyAlignment="1">
      <alignment horizontal="right" vertical="center"/>
    </xf>
    <xf numFmtId="49" fontId="34" fillId="4" borderId="24" xfId="3" applyNumberFormat="1" applyFont="1" applyFill="1" applyBorder="1" applyAlignment="1">
      <alignment horizontal="center" vertical="center"/>
    </xf>
    <xf numFmtId="177" fontId="23" fillId="3" borderId="10" xfId="0" applyNumberFormat="1" applyFont="1" applyFill="1" applyBorder="1" applyAlignment="1">
      <alignment horizontal="right" vertical="center"/>
    </xf>
    <xf numFmtId="49" fontId="5" fillId="0" borderId="55" xfId="1" applyNumberFormat="1" applyFont="1" applyBorder="1" applyAlignment="1">
      <alignment horizontal="center"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3" borderId="17" xfId="0" applyNumberFormat="1" applyFont="1" applyFill="1" applyBorder="1" applyAlignment="1">
      <alignment horizontal="left" vertical="center"/>
    </xf>
    <xf numFmtId="49" fontId="5" fillId="3" borderId="22" xfId="0" applyNumberFormat="1" applyFont="1" applyFill="1" applyBorder="1" applyAlignment="1">
      <alignment horizontal="left" vertical="center"/>
    </xf>
    <xf numFmtId="49" fontId="5" fillId="3" borderId="18" xfId="0" applyNumberFormat="1" applyFont="1" applyFill="1" applyBorder="1" applyAlignment="1">
      <alignment horizontal="left" vertical="center"/>
    </xf>
    <xf numFmtId="49" fontId="5" fillId="0" borderId="52" xfId="0" applyNumberFormat="1" applyFont="1" applyBorder="1" applyAlignment="1">
      <alignment horizontal="center" vertical="center"/>
    </xf>
    <xf numFmtId="0" fontId="5" fillId="0" borderId="22" xfId="0" applyFont="1" applyBorder="1" applyAlignment="1">
      <alignment horizontal="left" vertical="center"/>
    </xf>
    <xf numFmtId="0" fontId="5" fillId="0" borderId="18" xfId="0" applyFont="1" applyBorder="1" applyAlignment="1">
      <alignment horizontal="left" vertical="center"/>
    </xf>
    <xf numFmtId="49" fontId="5" fillId="0" borderId="17" xfId="1" applyNumberFormat="1" applyFont="1" applyBorder="1" applyAlignment="1">
      <alignment vertical="center"/>
    </xf>
    <xf numFmtId="49" fontId="5" fillId="0" borderId="22" xfId="1" applyNumberFormat="1" applyFont="1" applyBorder="1" applyAlignment="1">
      <alignment vertical="center"/>
    </xf>
    <xf numFmtId="49" fontId="5" fillId="0" borderId="18" xfId="1" applyNumberFormat="1" applyFont="1" applyBorder="1" applyAlignment="1">
      <alignment vertical="center"/>
    </xf>
    <xf numFmtId="0" fontId="5" fillId="0" borderId="0" xfId="0" applyFont="1" applyAlignment="1">
      <alignment horizontal="center" vertical="center"/>
    </xf>
    <xf numFmtId="49" fontId="9" fillId="3" borderId="17" xfId="0" applyNumberFormat="1" applyFont="1" applyFill="1" applyBorder="1" applyAlignment="1">
      <alignment vertical="center"/>
    </xf>
    <xf numFmtId="49" fontId="9" fillId="3" borderId="22" xfId="0" applyNumberFormat="1" applyFont="1" applyFill="1" applyBorder="1" applyAlignment="1">
      <alignment vertical="center"/>
    </xf>
    <xf numFmtId="49" fontId="9" fillId="3" borderId="18" xfId="0" applyNumberFormat="1" applyFont="1" applyFill="1" applyBorder="1" applyAlignment="1">
      <alignment vertical="center"/>
    </xf>
    <xf numFmtId="49" fontId="5" fillId="3" borderId="17" xfId="0" applyNumberFormat="1" applyFont="1" applyFill="1" applyBorder="1" applyAlignment="1">
      <alignment vertical="center"/>
    </xf>
    <xf numFmtId="49" fontId="5" fillId="3" borderId="22" xfId="0" applyNumberFormat="1" applyFont="1" applyFill="1" applyBorder="1" applyAlignment="1">
      <alignment vertical="center"/>
    </xf>
    <xf numFmtId="49" fontId="5" fillId="3" borderId="18" xfId="0" applyNumberFormat="1" applyFont="1" applyFill="1" applyBorder="1" applyAlignment="1">
      <alignment vertical="center"/>
    </xf>
    <xf numFmtId="49" fontId="9" fillId="0" borderId="17" xfId="0" applyNumberFormat="1" applyFont="1" applyBorder="1" applyAlignment="1">
      <alignment horizontal="left" vertical="center"/>
    </xf>
    <xf numFmtId="49" fontId="9" fillId="0" borderId="22" xfId="0" applyNumberFormat="1" applyFont="1" applyBorder="1" applyAlignment="1">
      <alignment horizontal="left" vertical="center"/>
    </xf>
    <xf numFmtId="49" fontId="9" fillId="0" borderId="18" xfId="0" applyNumberFormat="1" applyFont="1" applyBorder="1" applyAlignment="1">
      <alignment horizontal="left" vertical="center"/>
    </xf>
    <xf numFmtId="49" fontId="5" fillId="0" borderId="19" xfId="0" applyNumberFormat="1" applyFont="1" applyBorder="1" applyAlignment="1">
      <alignment horizontal="left" vertical="center" wrapText="1"/>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5" fillId="0" borderId="57" xfId="0" applyNumberFormat="1" applyFont="1" applyBorder="1" applyAlignment="1">
      <alignment horizontal="left" vertical="center"/>
    </xf>
    <xf numFmtId="49" fontId="5" fillId="0" borderId="15"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51" xfId="0" applyNumberFormat="1" applyFont="1" applyBorder="1" applyAlignment="1">
      <alignment horizontal="left" vertical="center"/>
    </xf>
    <xf numFmtId="49" fontId="5" fillId="0" borderId="49" xfId="0" applyNumberFormat="1" applyFont="1" applyBorder="1" applyAlignment="1">
      <alignment horizontal="left" vertical="center"/>
    </xf>
    <xf numFmtId="49" fontId="5" fillId="0" borderId="50" xfId="0" applyNumberFormat="1" applyFont="1" applyBorder="1" applyAlignment="1">
      <alignment horizontal="left" vertical="center"/>
    </xf>
    <xf numFmtId="49" fontId="5" fillId="0" borderId="51" xfId="0" quotePrefix="1" applyNumberFormat="1" applyFont="1" applyBorder="1" applyAlignment="1">
      <alignment horizontal="left" vertical="center" wrapText="1"/>
    </xf>
    <xf numFmtId="49" fontId="5" fillId="0" borderId="49" xfId="0" quotePrefix="1" applyNumberFormat="1" applyFont="1" applyBorder="1" applyAlignment="1">
      <alignment horizontal="left" vertical="center"/>
    </xf>
    <xf numFmtId="49" fontId="5" fillId="0" borderId="50" xfId="0" quotePrefix="1" applyNumberFormat="1" applyFont="1" applyBorder="1" applyAlignment="1">
      <alignment horizontal="left" vertical="center"/>
    </xf>
    <xf numFmtId="49" fontId="5" fillId="0" borderId="9" xfId="1" applyNumberFormat="1" applyFont="1" applyBorder="1" applyAlignment="1">
      <alignment horizontal="left" vertical="center"/>
    </xf>
    <xf numFmtId="0" fontId="5" fillId="0" borderId="10" xfId="1" applyFont="1" applyBorder="1" applyAlignment="1">
      <alignment horizontal="left" vertical="center"/>
    </xf>
    <xf numFmtId="0" fontId="5" fillId="0" borderId="11" xfId="1" applyFont="1" applyBorder="1" applyAlignment="1">
      <alignment horizontal="left" vertical="center"/>
    </xf>
    <xf numFmtId="49" fontId="5" fillId="0" borderId="9" xfId="1" quotePrefix="1" applyNumberFormat="1" applyFont="1" applyBorder="1" applyAlignment="1">
      <alignment horizontal="center" vertical="center"/>
    </xf>
    <xf numFmtId="0" fontId="5" fillId="0" borderId="10" xfId="1" quotePrefix="1" applyFont="1" applyBorder="1" applyAlignment="1">
      <alignment horizontal="center" vertical="center"/>
    </xf>
    <xf numFmtId="0" fontId="5" fillId="0" borderId="11" xfId="1" quotePrefix="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404040"/>
      <color rgb="FF595959"/>
      <color rgb="FF0000F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61</xdr:col>
      <xdr:colOff>133350</xdr:colOff>
      <xdr:row>32</xdr:row>
      <xdr:rowOff>59266</xdr:rowOff>
    </xdr:from>
    <xdr:to>
      <xdr:col>61</xdr:col>
      <xdr:colOff>133350</xdr:colOff>
      <xdr:row>36</xdr:row>
      <xdr:rowOff>110566</xdr:rowOff>
    </xdr:to>
    <xdr:cxnSp macro="">
      <xdr:nvCxnSpPr>
        <xdr:cNvPr id="28" name="直線矢印コネクタ 27">
          <a:extLst>
            <a:ext uri="{FF2B5EF4-FFF2-40B4-BE49-F238E27FC236}">
              <a16:creationId xmlns:a16="http://schemas.microsoft.com/office/drawing/2014/main" id="{7A451019-67E3-43F2-9C9F-8A50C7B408F2}"/>
            </a:ext>
          </a:extLst>
        </xdr:cNvPr>
        <xdr:cNvCxnSpPr/>
      </xdr:nvCxnSpPr>
      <xdr:spPr bwMode="auto">
        <a:xfrm flipV="1">
          <a:off x="10010775" y="7974541"/>
          <a:ext cx="0" cy="1080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124732</xdr:colOff>
      <xdr:row>30</xdr:row>
      <xdr:rowOff>105833</xdr:rowOff>
    </xdr:from>
    <xdr:to>
      <xdr:col>22</xdr:col>
      <xdr:colOff>96308</xdr:colOff>
      <xdr:row>30</xdr:row>
      <xdr:rowOff>111579</xdr:rowOff>
    </xdr:to>
    <xdr:cxnSp macro="">
      <xdr:nvCxnSpPr>
        <xdr:cNvPr id="7" name="直線矢印コネクタ 6">
          <a:extLst>
            <a:ext uri="{FF2B5EF4-FFF2-40B4-BE49-F238E27FC236}">
              <a16:creationId xmlns:a16="http://schemas.microsoft.com/office/drawing/2014/main" id="{8521DF61-9BAA-4443-BC1B-53E8DA2DB55C}"/>
            </a:ext>
          </a:extLst>
        </xdr:cNvPr>
        <xdr:cNvCxnSpPr/>
      </xdr:nvCxnSpPr>
      <xdr:spPr bwMode="auto">
        <a:xfrm flipV="1">
          <a:off x="934357" y="6735233"/>
          <a:ext cx="1428901" cy="5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149376</xdr:colOff>
      <xdr:row>30</xdr:row>
      <xdr:rowOff>85273</xdr:rowOff>
    </xdr:from>
    <xdr:to>
      <xdr:col>40</xdr:col>
      <xdr:colOff>67733</xdr:colOff>
      <xdr:row>30</xdr:row>
      <xdr:rowOff>85273</xdr:rowOff>
    </xdr:to>
    <xdr:cxnSp macro="">
      <xdr:nvCxnSpPr>
        <xdr:cNvPr id="8" name="直線矢印コネクタ 11">
          <a:extLst>
            <a:ext uri="{FF2B5EF4-FFF2-40B4-BE49-F238E27FC236}">
              <a16:creationId xmlns:a16="http://schemas.microsoft.com/office/drawing/2014/main" id="{57258F16-FDF3-4BD9-8670-1B3383DDACA1}"/>
            </a:ext>
          </a:extLst>
        </xdr:cNvPr>
        <xdr:cNvCxnSpPr/>
      </xdr:nvCxnSpPr>
      <xdr:spPr bwMode="auto">
        <a:xfrm flipV="1">
          <a:off x="5654826" y="7486198"/>
          <a:ext cx="8899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135922</xdr:colOff>
      <xdr:row>30</xdr:row>
      <xdr:rowOff>213481</xdr:rowOff>
    </xdr:from>
    <xdr:to>
      <xdr:col>40</xdr:col>
      <xdr:colOff>42485</xdr:colOff>
      <xdr:row>30</xdr:row>
      <xdr:rowOff>213481</xdr:rowOff>
    </xdr:to>
    <xdr:cxnSp macro="">
      <xdr:nvCxnSpPr>
        <xdr:cNvPr id="9" name="直線矢印コネクタ 8">
          <a:extLst>
            <a:ext uri="{FF2B5EF4-FFF2-40B4-BE49-F238E27FC236}">
              <a16:creationId xmlns:a16="http://schemas.microsoft.com/office/drawing/2014/main" id="{C537A1CF-E0A8-478E-84FC-6C505106724C}"/>
            </a:ext>
          </a:extLst>
        </xdr:cNvPr>
        <xdr:cNvCxnSpPr/>
      </xdr:nvCxnSpPr>
      <xdr:spPr bwMode="auto">
        <a:xfrm flipH="1" flipV="1">
          <a:off x="5641372" y="7614406"/>
          <a:ext cx="87811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10582</xdr:colOff>
      <xdr:row>29</xdr:row>
      <xdr:rowOff>24341</xdr:rowOff>
    </xdr:from>
    <xdr:to>
      <xdr:col>34</xdr:col>
      <xdr:colOff>66674</xdr:colOff>
      <xdr:row>32</xdr:row>
      <xdr:rowOff>3174</xdr:rowOff>
    </xdr:to>
    <xdr:sp macro="" textlink="">
      <xdr:nvSpPr>
        <xdr:cNvPr id="12" name="AutoShape 126">
          <a:extLst>
            <a:ext uri="{FF2B5EF4-FFF2-40B4-BE49-F238E27FC236}">
              <a16:creationId xmlns:a16="http://schemas.microsoft.com/office/drawing/2014/main" id="{4C739A51-17BB-4152-9AF3-1C0F2B4CB8B9}"/>
            </a:ext>
          </a:extLst>
        </xdr:cNvPr>
        <xdr:cNvSpPr>
          <a:spLocks noChangeArrowheads="1"/>
        </xdr:cNvSpPr>
      </xdr:nvSpPr>
      <xdr:spPr bwMode="auto">
        <a:xfrm>
          <a:off x="3734857" y="7168091"/>
          <a:ext cx="1837267"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補正入力検索</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41</xdr:col>
      <xdr:colOff>67734</xdr:colOff>
      <xdr:row>29</xdr:row>
      <xdr:rowOff>25399</xdr:rowOff>
    </xdr:from>
    <xdr:to>
      <xdr:col>52</xdr:col>
      <xdr:colOff>46568</xdr:colOff>
      <xdr:row>32</xdr:row>
      <xdr:rowOff>4232</xdr:rowOff>
    </xdr:to>
    <xdr:sp macro="" textlink="">
      <xdr:nvSpPr>
        <xdr:cNvPr id="13" name="AutoShape 126">
          <a:extLst>
            <a:ext uri="{FF2B5EF4-FFF2-40B4-BE49-F238E27FC236}">
              <a16:creationId xmlns:a16="http://schemas.microsoft.com/office/drawing/2014/main" id="{0A0A679C-24A5-4F20-AF50-7EB0B47F0625}"/>
            </a:ext>
          </a:extLst>
        </xdr:cNvPr>
        <xdr:cNvSpPr>
          <a:spLocks noChangeArrowheads="1"/>
        </xdr:cNvSpPr>
      </xdr:nvSpPr>
      <xdr:spPr bwMode="auto">
        <a:xfrm>
          <a:off x="5087409" y="7169149"/>
          <a:ext cx="176000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補正入力</a:t>
          </a:r>
        </a:p>
      </xdr:txBody>
    </xdr:sp>
    <xdr:clientData/>
  </xdr:twoCellAnchor>
  <xdr:twoCellAnchor>
    <xdr:from>
      <xdr:col>23</xdr:col>
      <xdr:colOff>21167</xdr:colOff>
      <xdr:row>17</xdr:row>
      <xdr:rowOff>10584</xdr:rowOff>
    </xdr:from>
    <xdr:to>
      <xdr:col>34</xdr:col>
      <xdr:colOff>1</xdr:colOff>
      <xdr:row>19</xdr:row>
      <xdr:rowOff>243417</xdr:rowOff>
    </xdr:to>
    <xdr:sp macro="" textlink="">
      <xdr:nvSpPr>
        <xdr:cNvPr id="17" name="AutoShape 126">
          <a:extLst>
            <a:ext uri="{FF2B5EF4-FFF2-40B4-BE49-F238E27FC236}">
              <a16:creationId xmlns:a16="http://schemas.microsoft.com/office/drawing/2014/main" id="{F9ECF4A5-F3D8-401F-8B0F-4016FCB2994B}"/>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26</xdr:col>
      <xdr:colOff>78317</xdr:colOff>
      <xdr:row>20</xdr:row>
      <xdr:rowOff>9525</xdr:rowOff>
    </xdr:from>
    <xdr:to>
      <xdr:col>26</xdr:col>
      <xdr:colOff>78317</xdr:colOff>
      <xdr:row>28</xdr:row>
      <xdr:rowOff>168275</xdr:rowOff>
    </xdr:to>
    <xdr:cxnSp macro="">
      <xdr:nvCxnSpPr>
        <xdr:cNvPr id="19" name="直線矢印コネクタ 18">
          <a:extLst>
            <a:ext uri="{FF2B5EF4-FFF2-40B4-BE49-F238E27FC236}">
              <a16:creationId xmlns:a16="http://schemas.microsoft.com/office/drawing/2014/main" id="{7DA30A1D-51B1-4489-8CB7-B4742E6B427C}"/>
            </a:ext>
          </a:extLst>
        </xdr:cNvPr>
        <xdr:cNvCxnSpPr/>
      </xdr:nvCxnSpPr>
      <xdr:spPr bwMode="auto">
        <a:xfrm flipV="1">
          <a:off x="4288367" y="4838700"/>
          <a:ext cx="0" cy="22161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67733</xdr:colOff>
      <xdr:row>20</xdr:row>
      <xdr:rowOff>14817</xdr:rowOff>
    </xdr:from>
    <xdr:to>
      <xdr:col>27</xdr:col>
      <xdr:colOff>67733</xdr:colOff>
      <xdr:row>28</xdr:row>
      <xdr:rowOff>244475</xdr:rowOff>
    </xdr:to>
    <xdr:cxnSp macro="">
      <xdr:nvCxnSpPr>
        <xdr:cNvPr id="21" name="直線矢印コネクタ 20">
          <a:extLst>
            <a:ext uri="{FF2B5EF4-FFF2-40B4-BE49-F238E27FC236}">
              <a16:creationId xmlns:a16="http://schemas.microsoft.com/office/drawing/2014/main" id="{CD83E29D-DB80-4AD2-965F-46DFBE220F07}"/>
            </a:ext>
          </a:extLst>
        </xdr:cNvPr>
        <xdr:cNvCxnSpPr/>
      </xdr:nvCxnSpPr>
      <xdr:spPr bwMode="auto">
        <a:xfrm>
          <a:off x="4439708" y="4843992"/>
          <a:ext cx="0" cy="22870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76200</xdr:colOff>
      <xdr:row>32</xdr:row>
      <xdr:rowOff>21167</xdr:rowOff>
    </xdr:from>
    <xdr:to>
      <xdr:col>25</xdr:col>
      <xdr:colOff>76200</xdr:colOff>
      <xdr:row>37</xdr:row>
      <xdr:rowOff>161925</xdr:rowOff>
    </xdr:to>
    <xdr:cxnSp macro="">
      <xdr:nvCxnSpPr>
        <xdr:cNvPr id="24" name="直線矢印コネクタ 23">
          <a:extLst>
            <a:ext uri="{FF2B5EF4-FFF2-40B4-BE49-F238E27FC236}">
              <a16:creationId xmlns:a16="http://schemas.microsoft.com/office/drawing/2014/main" id="{9AE15BA8-F27F-45D2-ADB8-8604983AA30C}"/>
            </a:ext>
          </a:extLst>
        </xdr:cNvPr>
        <xdr:cNvCxnSpPr/>
      </xdr:nvCxnSpPr>
      <xdr:spPr bwMode="auto">
        <a:xfrm flipH="1" flipV="1">
          <a:off x="4124325" y="7936442"/>
          <a:ext cx="0" cy="142663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138642</xdr:colOff>
      <xdr:row>29</xdr:row>
      <xdr:rowOff>25399</xdr:rowOff>
    </xdr:from>
    <xdr:to>
      <xdr:col>69</xdr:col>
      <xdr:colOff>82551</xdr:colOff>
      <xdr:row>31</xdr:row>
      <xdr:rowOff>251882</xdr:rowOff>
    </xdr:to>
    <xdr:sp macro="" textlink="">
      <xdr:nvSpPr>
        <xdr:cNvPr id="2" name="AutoShape 126">
          <a:extLst>
            <a:ext uri="{FF2B5EF4-FFF2-40B4-BE49-F238E27FC236}">
              <a16:creationId xmlns:a16="http://schemas.microsoft.com/office/drawing/2014/main" id="{CFE16BE4-35DE-4697-9676-0794C200F39F}"/>
            </a:ext>
          </a:extLst>
        </xdr:cNvPr>
        <xdr:cNvSpPr>
          <a:spLocks noChangeArrowheads="1"/>
        </xdr:cNvSpPr>
      </xdr:nvSpPr>
      <xdr:spPr bwMode="auto">
        <a:xfrm>
          <a:off x="9530292" y="6397624"/>
          <a:ext cx="1725084"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ja-JP" sz="1200">
              <a:effectLst/>
              <a:latin typeface="ＭＳ 明朝" panose="02020609040205080304" pitchFamily="17" charset="-128"/>
              <a:ea typeface="ＭＳ 明朝" panose="02020609040205080304" pitchFamily="17" charset="-128"/>
              <a:cs typeface="+mn-cs"/>
            </a:rPr>
            <a:t>滞留立替金利</a:t>
          </a:r>
          <a:endParaRPr lang="ja-JP" altLang="ja-JP" sz="1200">
            <a:effectLst/>
            <a:latin typeface="ＭＳ 明朝" panose="02020609040205080304" pitchFamily="17" charset="-128"/>
            <a:ea typeface="ＭＳ 明朝" panose="02020609040205080304" pitchFamily="17" charset="-128"/>
          </a:endParaRPr>
        </a:p>
        <a:p>
          <a:pPr algn="ctr"/>
          <a:r>
            <a:rPr lang="ja-JP" altLang="ja-JP" sz="1200">
              <a:effectLst/>
              <a:latin typeface="ＭＳ 明朝" panose="02020609040205080304" pitchFamily="17" charset="-128"/>
              <a:ea typeface="ＭＳ 明朝" panose="02020609040205080304" pitchFamily="17" charset="-128"/>
              <a:cs typeface="+mn-cs"/>
            </a:rPr>
            <a:t>補正確認</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52</xdr:col>
      <xdr:colOff>140908</xdr:colOff>
      <xdr:row>30</xdr:row>
      <xdr:rowOff>78924</xdr:rowOff>
    </xdr:from>
    <xdr:to>
      <xdr:col>58</xdr:col>
      <xdr:colOff>40215</xdr:colOff>
      <xdr:row>30</xdr:row>
      <xdr:rowOff>78924</xdr:rowOff>
    </xdr:to>
    <xdr:cxnSp macro="">
      <xdr:nvCxnSpPr>
        <xdr:cNvPr id="5" name="直線矢印コネクタ 4">
          <a:extLst>
            <a:ext uri="{FF2B5EF4-FFF2-40B4-BE49-F238E27FC236}">
              <a16:creationId xmlns:a16="http://schemas.microsoft.com/office/drawing/2014/main" id="{E30A4D13-45AF-44C6-9B8F-B2D7C8D25C5E}"/>
            </a:ext>
          </a:extLst>
        </xdr:cNvPr>
        <xdr:cNvCxnSpPr/>
      </xdr:nvCxnSpPr>
      <xdr:spPr bwMode="auto">
        <a:xfrm flipV="1">
          <a:off x="8561008" y="7479849"/>
          <a:ext cx="87085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147563</xdr:colOff>
      <xdr:row>30</xdr:row>
      <xdr:rowOff>213481</xdr:rowOff>
    </xdr:from>
    <xdr:to>
      <xdr:col>58</xdr:col>
      <xdr:colOff>35076</xdr:colOff>
      <xdr:row>30</xdr:row>
      <xdr:rowOff>213481</xdr:rowOff>
    </xdr:to>
    <xdr:cxnSp macro="">
      <xdr:nvCxnSpPr>
        <xdr:cNvPr id="6" name="直線矢印コネクタ 5">
          <a:extLst>
            <a:ext uri="{FF2B5EF4-FFF2-40B4-BE49-F238E27FC236}">
              <a16:creationId xmlns:a16="http://schemas.microsoft.com/office/drawing/2014/main" id="{31E45D8B-6E1F-4667-BA73-5B3155651D40}"/>
            </a:ext>
          </a:extLst>
        </xdr:cNvPr>
        <xdr:cNvCxnSpPr/>
      </xdr:nvCxnSpPr>
      <xdr:spPr bwMode="auto">
        <a:xfrm flipH="1" flipV="1">
          <a:off x="8567663" y="7614406"/>
          <a:ext cx="85906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31752</xdr:colOff>
      <xdr:row>31</xdr:row>
      <xdr:rowOff>257174</xdr:rowOff>
    </xdr:from>
    <xdr:to>
      <xdr:col>65</xdr:col>
      <xdr:colOff>31752</xdr:colOff>
      <xdr:row>37</xdr:row>
      <xdr:rowOff>180975</xdr:rowOff>
    </xdr:to>
    <xdr:cxnSp macro="">
      <xdr:nvCxnSpPr>
        <xdr:cNvPr id="16" name="直線コネクタ 47">
          <a:extLst>
            <a:ext uri="{FF2B5EF4-FFF2-40B4-BE49-F238E27FC236}">
              <a16:creationId xmlns:a16="http://schemas.microsoft.com/office/drawing/2014/main" id="{9A159FF4-5236-464C-8BA2-188D64516F89}"/>
            </a:ext>
          </a:extLst>
        </xdr:cNvPr>
        <xdr:cNvCxnSpPr/>
      </xdr:nvCxnSpPr>
      <xdr:spPr bwMode="auto">
        <a:xfrm>
          <a:off x="10556877" y="7915274"/>
          <a:ext cx="0" cy="146685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76200</xdr:colOff>
      <xdr:row>37</xdr:row>
      <xdr:rowOff>171450</xdr:rowOff>
    </xdr:from>
    <xdr:to>
      <xdr:col>65</xdr:col>
      <xdr:colOff>38100</xdr:colOff>
      <xdr:row>37</xdr:row>
      <xdr:rowOff>171450</xdr:rowOff>
    </xdr:to>
    <xdr:cxnSp macro="">
      <xdr:nvCxnSpPr>
        <xdr:cNvPr id="18" name="直線コネクタ 17">
          <a:extLst>
            <a:ext uri="{FF2B5EF4-FFF2-40B4-BE49-F238E27FC236}">
              <a16:creationId xmlns:a16="http://schemas.microsoft.com/office/drawing/2014/main" id="{3FAEF664-0175-44D5-89C9-BB30AAAE6845}"/>
            </a:ext>
          </a:extLst>
        </xdr:cNvPr>
        <xdr:cNvCxnSpPr/>
      </xdr:nvCxnSpPr>
      <xdr:spPr bwMode="auto">
        <a:xfrm>
          <a:off x="4124325" y="9372600"/>
          <a:ext cx="64389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76200</xdr:colOff>
      <xdr:row>29</xdr:row>
      <xdr:rowOff>38100</xdr:rowOff>
    </xdr:from>
    <xdr:to>
      <xdr:col>12</xdr:col>
      <xdr:colOff>98611</xdr:colOff>
      <xdr:row>31</xdr:row>
      <xdr:rowOff>137463</xdr:rowOff>
    </xdr:to>
    <xdr:sp macro="" textlink="">
      <xdr:nvSpPr>
        <xdr:cNvPr id="15" name="フローチャート: 表示 14">
          <a:extLst>
            <a:ext uri="{FF2B5EF4-FFF2-40B4-BE49-F238E27FC236}">
              <a16:creationId xmlns:a16="http://schemas.microsoft.com/office/drawing/2014/main" id="{B772EF89-0D4D-49F3-B180-F24718A8CCBA}"/>
            </a:ext>
          </a:extLst>
        </xdr:cNvPr>
        <xdr:cNvSpPr/>
      </xdr:nvSpPr>
      <xdr:spPr bwMode="auto">
        <a:xfrm>
          <a:off x="76200" y="7181850"/>
          <a:ext cx="1965511" cy="6137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トップページ画面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29</xdr:col>
      <xdr:colOff>57150</xdr:colOff>
      <xdr:row>24</xdr:row>
      <xdr:rowOff>76200</xdr:rowOff>
    </xdr:from>
    <xdr:to>
      <xdr:col>29</xdr:col>
      <xdr:colOff>57150</xdr:colOff>
      <xdr:row>29</xdr:row>
      <xdr:rowOff>0</xdr:rowOff>
    </xdr:to>
    <xdr:cxnSp macro="">
      <xdr:nvCxnSpPr>
        <xdr:cNvPr id="3" name="直線矢印コネクタ 2">
          <a:extLst>
            <a:ext uri="{FF2B5EF4-FFF2-40B4-BE49-F238E27FC236}">
              <a16:creationId xmlns:a16="http://schemas.microsoft.com/office/drawing/2014/main" id="{6B04ED29-D376-457D-A13E-A48A4F5DF910}"/>
            </a:ext>
          </a:extLst>
        </xdr:cNvPr>
        <xdr:cNvCxnSpPr/>
      </xdr:nvCxnSpPr>
      <xdr:spPr bwMode="auto">
        <a:xfrm>
          <a:off x="4752975" y="5934075"/>
          <a:ext cx="0" cy="12096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54406</xdr:colOff>
      <xdr:row>24</xdr:row>
      <xdr:rowOff>76200</xdr:rowOff>
    </xdr:from>
    <xdr:to>
      <xdr:col>30</xdr:col>
      <xdr:colOff>54406</xdr:colOff>
      <xdr:row>29</xdr:row>
      <xdr:rowOff>9525</xdr:rowOff>
    </xdr:to>
    <xdr:cxnSp macro="">
      <xdr:nvCxnSpPr>
        <xdr:cNvPr id="10" name="直線コネクタ 47">
          <a:extLst>
            <a:ext uri="{FF2B5EF4-FFF2-40B4-BE49-F238E27FC236}">
              <a16:creationId xmlns:a16="http://schemas.microsoft.com/office/drawing/2014/main" id="{0BFFB1B1-ABE7-482B-9DCD-510D1DC6069B}"/>
            </a:ext>
          </a:extLst>
        </xdr:cNvPr>
        <xdr:cNvCxnSpPr/>
      </xdr:nvCxnSpPr>
      <xdr:spPr bwMode="auto">
        <a:xfrm flipH="1">
          <a:off x="4912156" y="5934075"/>
          <a:ext cx="0" cy="12192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57150</xdr:colOff>
      <xdr:row>24</xdr:row>
      <xdr:rowOff>76200</xdr:rowOff>
    </xdr:from>
    <xdr:to>
      <xdr:col>30</xdr:col>
      <xdr:colOff>57150</xdr:colOff>
      <xdr:row>24</xdr:row>
      <xdr:rowOff>76200</xdr:rowOff>
    </xdr:to>
    <xdr:cxnSp macro="">
      <xdr:nvCxnSpPr>
        <xdr:cNvPr id="11" name="直線コネクタ 10">
          <a:extLst>
            <a:ext uri="{FF2B5EF4-FFF2-40B4-BE49-F238E27FC236}">
              <a16:creationId xmlns:a16="http://schemas.microsoft.com/office/drawing/2014/main" id="{A679E2E1-4441-4125-9ED9-8F5A01E87CFA}"/>
            </a:ext>
          </a:extLst>
        </xdr:cNvPr>
        <xdr:cNvCxnSpPr/>
      </xdr:nvCxnSpPr>
      <xdr:spPr bwMode="auto">
        <a:xfrm>
          <a:off x="4752975" y="5934075"/>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3177</xdr:colOff>
      <xdr:row>32</xdr:row>
      <xdr:rowOff>28574</xdr:rowOff>
    </xdr:from>
    <xdr:to>
      <xdr:col>28</xdr:col>
      <xdr:colOff>3177</xdr:colOff>
      <xdr:row>36</xdr:row>
      <xdr:rowOff>115874</xdr:rowOff>
    </xdr:to>
    <xdr:cxnSp macro="">
      <xdr:nvCxnSpPr>
        <xdr:cNvPr id="26" name="直線コネクタ 47">
          <a:extLst>
            <a:ext uri="{FF2B5EF4-FFF2-40B4-BE49-F238E27FC236}">
              <a16:creationId xmlns:a16="http://schemas.microsoft.com/office/drawing/2014/main" id="{8ECFAB80-E346-4EE5-81DB-ACBC2BAC342B}"/>
            </a:ext>
          </a:extLst>
        </xdr:cNvPr>
        <xdr:cNvCxnSpPr/>
      </xdr:nvCxnSpPr>
      <xdr:spPr bwMode="auto">
        <a:xfrm>
          <a:off x="4537077" y="7943849"/>
          <a:ext cx="0" cy="1116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36</xdr:row>
      <xdr:rowOff>114300</xdr:rowOff>
    </xdr:from>
    <xdr:to>
      <xdr:col>61</xdr:col>
      <xdr:colOff>123825</xdr:colOff>
      <xdr:row>36</xdr:row>
      <xdr:rowOff>114300</xdr:rowOff>
    </xdr:to>
    <xdr:cxnSp macro="">
      <xdr:nvCxnSpPr>
        <xdr:cNvPr id="27" name="直線コネクタ 26">
          <a:extLst>
            <a:ext uri="{FF2B5EF4-FFF2-40B4-BE49-F238E27FC236}">
              <a16:creationId xmlns:a16="http://schemas.microsoft.com/office/drawing/2014/main" id="{6A9C73F8-C235-403E-8A83-E02FDD1247F1}"/>
            </a:ext>
          </a:extLst>
        </xdr:cNvPr>
        <xdr:cNvCxnSpPr/>
      </xdr:nvCxnSpPr>
      <xdr:spPr bwMode="auto">
        <a:xfrm flipV="1">
          <a:off x="4533900" y="9058275"/>
          <a:ext cx="54673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104775</xdr:colOff>
      <xdr:row>32</xdr:row>
      <xdr:rowOff>11642</xdr:rowOff>
    </xdr:from>
    <xdr:to>
      <xdr:col>47</xdr:col>
      <xdr:colOff>16050</xdr:colOff>
      <xdr:row>34</xdr:row>
      <xdr:rowOff>37292</xdr:rowOff>
    </xdr:to>
    <xdr:grpSp>
      <xdr:nvGrpSpPr>
        <xdr:cNvPr id="23" name="グループ化 22">
          <a:extLst>
            <a:ext uri="{FF2B5EF4-FFF2-40B4-BE49-F238E27FC236}">
              <a16:creationId xmlns:a16="http://schemas.microsoft.com/office/drawing/2014/main" id="{DDAAFCB0-226D-67B3-DD5D-86BD1215830E}"/>
            </a:ext>
          </a:extLst>
        </xdr:cNvPr>
        <xdr:cNvGrpSpPr/>
      </xdr:nvGrpSpPr>
      <xdr:grpSpPr>
        <a:xfrm>
          <a:off x="4387850" y="7923742"/>
          <a:ext cx="2343325" cy="543175"/>
          <a:chOff x="4962525" y="7926917"/>
          <a:chExt cx="2664000" cy="540000"/>
        </a:xfrm>
      </xdr:grpSpPr>
      <xdr:cxnSp macro="">
        <xdr:nvCxnSpPr>
          <xdr:cNvPr id="14" name="直線コネクタ 47">
            <a:extLst>
              <a:ext uri="{FF2B5EF4-FFF2-40B4-BE49-F238E27FC236}">
                <a16:creationId xmlns:a16="http://schemas.microsoft.com/office/drawing/2014/main" id="{C2280C48-1B7A-44B5-ABFC-F29E7CC7BC2E}"/>
              </a:ext>
            </a:extLst>
          </xdr:cNvPr>
          <xdr:cNvCxnSpPr/>
        </xdr:nvCxnSpPr>
        <xdr:spPr bwMode="auto">
          <a:xfrm>
            <a:off x="7623177" y="7981949"/>
            <a:ext cx="0" cy="468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 name="直線矢印コネクタ 19">
            <a:extLst>
              <a:ext uri="{FF2B5EF4-FFF2-40B4-BE49-F238E27FC236}">
                <a16:creationId xmlns:a16="http://schemas.microsoft.com/office/drawing/2014/main" id="{6A1CF5D5-62F7-4BBB-A418-5588E2296E01}"/>
              </a:ext>
            </a:extLst>
          </xdr:cNvPr>
          <xdr:cNvCxnSpPr/>
        </xdr:nvCxnSpPr>
        <xdr:spPr bwMode="auto">
          <a:xfrm flipH="1" flipV="1">
            <a:off x="4972050" y="7926917"/>
            <a:ext cx="0" cy="540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2" name="直線コネクタ 21">
            <a:extLst>
              <a:ext uri="{FF2B5EF4-FFF2-40B4-BE49-F238E27FC236}">
                <a16:creationId xmlns:a16="http://schemas.microsoft.com/office/drawing/2014/main" id="{84BB5C01-5E86-493A-BFF4-ED080C6E9912}"/>
              </a:ext>
            </a:extLst>
          </xdr:cNvPr>
          <xdr:cNvCxnSpPr/>
        </xdr:nvCxnSpPr>
        <xdr:spPr bwMode="auto">
          <a:xfrm flipV="1">
            <a:off x="4962525" y="8458200"/>
            <a:ext cx="26640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13</xdr:col>
      <xdr:colOff>68580</xdr:colOff>
      <xdr:row>31</xdr:row>
      <xdr:rowOff>22860</xdr:rowOff>
    </xdr:from>
    <xdr:to>
      <xdr:col>22</xdr:col>
      <xdr:colOff>83820</xdr:colOff>
      <xdr:row>31</xdr:row>
      <xdr:rowOff>22860</xdr:rowOff>
    </xdr:to>
    <xdr:cxnSp macro="">
      <xdr:nvCxnSpPr>
        <xdr:cNvPr id="4" name="直線矢印コネクタ 3">
          <a:extLst>
            <a:ext uri="{FF2B5EF4-FFF2-40B4-BE49-F238E27FC236}">
              <a16:creationId xmlns:a16="http://schemas.microsoft.com/office/drawing/2014/main" id="{A470B90E-87C7-49E4-967F-68A03379B7BE}"/>
            </a:ext>
          </a:extLst>
        </xdr:cNvPr>
        <xdr:cNvCxnSpPr>
          <a:cxnSpLocks/>
        </xdr:cNvCxnSpPr>
      </xdr:nvCxnSpPr>
      <xdr:spPr bwMode="auto">
        <a:xfrm flipH="1">
          <a:off x="1950720" y="7566660"/>
          <a:ext cx="131826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134304</xdr:colOff>
      <xdr:row>31</xdr:row>
      <xdr:rowOff>97667</xdr:rowOff>
    </xdr:from>
    <xdr:to>
      <xdr:col>22</xdr:col>
      <xdr:colOff>31524</xdr:colOff>
      <xdr:row>32</xdr:row>
      <xdr:rowOff>134118</xdr:rowOff>
    </xdr:to>
    <xdr:sp macro="" textlink="">
      <xdr:nvSpPr>
        <xdr:cNvPr id="25" name="Text Box 180">
          <a:extLst>
            <a:ext uri="{FF2B5EF4-FFF2-40B4-BE49-F238E27FC236}">
              <a16:creationId xmlns:a16="http://schemas.microsoft.com/office/drawing/2014/main" id="{15C9EA9B-6866-4FF3-B2F8-7AD3F203AD3B}"/>
            </a:ext>
          </a:extLst>
        </xdr:cNvPr>
        <xdr:cNvSpPr txBox="1">
          <a:spLocks noChangeArrowheads="1"/>
        </xdr:cNvSpPr>
      </xdr:nvSpPr>
      <xdr:spPr bwMode="auto">
        <a:xfrm>
          <a:off x="2016444" y="764146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58</xdr:col>
      <xdr:colOff>133350</xdr:colOff>
      <xdr:row>17</xdr:row>
      <xdr:rowOff>11430</xdr:rowOff>
    </xdr:from>
    <xdr:to>
      <xdr:col>69</xdr:col>
      <xdr:colOff>92499</xdr:colOff>
      <xdr:row>19</xdr:row>
      <xdr:rowOff>237913</xdr:rowOff>
    </xdr:to>
    <xdr:sp macro="" textlink="">
      <xdr:nvSpPr>
        <xdr:cNvPr id="29" name="AutoShape 126">
          <a:extLst>
            <a:ext uri="{FF2B5EF4-FFF2-40B4-BE49-F238E27FC236}">
              <a16:creationId xmlns:a16="http://schemas.microsoft.com/office/drawing/2014/main" id="{7D9B9654-67D4-4133-80CD-0E2D4AF693F0}"/>
            </a:ext>
          </a:extLst>
        </xdr:cNvPr>
        <xdr:cNvSpPr>
          <a:spLocks noChangeArrowheads="1"/>
        </xdr:cNvSpPr>
      </xdr:nvSpPr>
      <xdr:spPr bwMode="auto">
        <a:xfrm>
          <a:off x="8420100" y="4040505"/>
          <a:ext cx="1530774" cy="7217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effectLst/>
              <a:latin typeface="ＭＳ 明朝" panose="02020609040205080304" pitchFamily="17" charset="-128"/>
              <a:ea typeface="ＭＳ 明朝" panose="02020609040205080304" pitchFamily="17" charset="-128"/>
              <a:cs typeface="+mn-cs"/>
            </a:rPr>
            <a:t>承認ルート表示・設定</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64</xdr:col>
      <xdr:colOff>9525</xdr:colOff>
      <xdr:row>20</xdr:row>
      <xdr:rowOff>0</xdr:rowOff>
    </xdr:from>
    <xdr:to>
      <xdr:col>64</xdr:col>
      <xdr:colOff>9525</xdr:colOff>
      <xdr:row>28</xdr:row>
      <xdr:rowOff>162560</xdr:rowOff>
    </xdr:to>
    <xdr:cxnSp macro="">
      <xdr:nvCxnSpPr>
        <xdr:cNvPr id="30" name="直線矢印コネクタ 29">
          <a:extLst>
            <a:ext uri="{FF2B5EF4-FFF2-40B4-BE49-F238E27FC236}">
              <a16:creationId xmlns:a16="http://schemas.microsoft.com/office/drawing/2014/main" id="{6A7DF5EE-CF64-43B4-A03E-8088A515E596}"/>
            </a:ext>
          </a:extLst>
        </xdr:cNvPr>
        <xdr:cNvCxnSpPr/>
      </xdr:nvCxnSpPr>
      <xdr:spPr bwMode="auto">
        <a:xfrm flipV="1">
          <a:off x="9153525" y="4772025"/>
          <a:ext cx="0" cy="21437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846</xdr:colOff>
      <xdr:row>20</xdr:row>
      <xdr:rowOff>9102</xdr:rowOff>
    </xdr:from>
    <xdr:to>
      <xdr:col>65</xdr:col>
      <xdr:colOff>846</xdr:colOff>
      <xdr:row>28</xdr:row>
      <xdr:rowOff>238760</xdr:rowOff>
    </xdr:to>
    <xdr:cxnSp macro="">
      <xdr:nvCxnSpPr>
        <xdr:cNvPr id="31" name="直線矢印コネクタ 30">
          <a:extLst>
            <a:ext uri="{FF2B5EF4-FFF2-40B4-BE49-F238E27FC236}">
              <a16:creationId xmlns:a16="http://schemas.microsoft.com/office/drawing/2014/main" id="{C8C1F4A4-65BE-4859-8F02-E3C3EA504D34}"/>
            </a:ext>
          </a:extLst>
        </xdr:cNvPr>
        <xdr:cNvCxnSpPr/>
      </xdr:nvCxnSpPr>
      <xdr:spPr bwMode="auto">
        <a:xfrm>
          <a:off x="9287721" y="4781127"/>
          <a:ext cx="0" cy="22108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3387</xdr:colOff>
      <xdr:row>11</xdr:row>
      <xdr:rowOff>89400</xdr:rowOff>
    </xdr:to>
    <xdr:pic>
      <xdr:nvPicPr>
        <xdr:cNvPr id="3" name="図 2">
          <a:extLst>
            <a:ext uri="{FF2B5EF4-FFF2-40B4-BE49-F238E27FC236}">
              <a16:creationId xmlns:a16="http://schemas.microsoft.com/office/drawing/2014/main" id="{03CBFBAB-68BB-4150-AAA8-85F1D4E61C82}"/>
            </a:ext>
          </a:extLst>
        </xdr:cNvPr>
        <xdr:cNvPicPr>
          <a:picLocks noChangeAspect="1"/>
        </xdr:cNvPicPr>
      </xdr:nvPicPr>
      <xdr:blipFill>
        <a:blip xmlns:r="http://schemas.openxmlformats.org/officeDocument/2006/relationships" r:embed="rId1"/>
        <a:stretch>
          <a:fillRect/>
        </a:stretch>
      </xdr:blipFill>
      <xdr:spPr>
        <a:xfrm>
          <a:off x="266700" y="1725084"/>
          <a:ext cx="1203537" cy="345516"/>
        </a:xfrm>
        <a:prstGeom prst="rect">
          <a:avLst/>
        </a:prstGeom>
      </xdr:spPr>
    </xdr:pic>
    <xdr:clientData/>
  </xdr:twoCellAnchor>
  <xdr:twoCellAnchor>
    <xdr:from>
      <xdr:col>11</xdr:col>
      <xdr:colOff>80069</xdr:colOff>
      <xdr:row>16</xdr:row>
      <xdr:rowOff>33128</xdr:rowOff>
    </xdr:from>
    <xdr:to>
      <xdr:col>15</xdr:col>
      <xdr:colOff>122669</xdr:colOff>
      <xdr:row>16</xdr:row>
      <xdr:rowOff>214103</xdr:rowOff>
    </xdr:to>
    <xdr:sp macro="" textlink="">
      <xdr:nvSpPr>
        <xdr:cNvPr id="6" name="正方形/長方形 5">
          <a:extLst>
            <a:ext uri="{FF2B5EF4-FFF2-40B4-BE49-F238E27FC236}">
              <a16:creationId xmlns:a16="http://schemas.microsoft.com/office/drawing/2014/main" id="{4DA3E2E8-4B3C-4368-A7A8-16D50E513465}"/>
            </a:ext>
          </a:extLst>
        </xdr:cNvPr>
        <xdr:cNvSpPr/>
      </xdr:nvSpPr>
      <xdr:spPr bwMode="auto">
        <a:xfrm>
          <a:off x="1546919" y="3252578"/>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115982</xdr:colOff>
      <xdr:row>22</xdr:row>
      <xdr:rowOff>39222</xdr:rowOff>
    </xdr:from>
    <xdr:to>
      <xdr:col>48</xdr:col>
      <xdr:colOff>102279</xdr:colOff>
      <xdr:row>22</xdr:row>
      <xdr:rowOff>224118</xdr:rowOff>
    </xdr:to>
    <xdr:sp macro="" textlink="">
      <xdr:nvSpPr>
        <xdr:cNvPr id="12" name="正方形/長方形 11">
          <a:extLst>
            <a:ext uri="{FF2B5EF4-FFF2-40B4-BE49-F238E27FC236}">
              <a16:creationId xmlns:a16="http://schemas.microsoft.com/office/drawing/2014/main" id="{A310DE4B-3A00-4741-997A-A6C5F530D808}"/>
            </a:ext>
          </a:extLst>
        </xdr:cNvPr>
        <xdr:cNvSpPr/>
      </xdr:nvSpPr>
      <xdr:spPr>
        <a:xfrm>
          <a:off x="5716682" y="4744572"/>
          <a:ext cx="786397" cy="184896"/>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35</xdr:col>
      <xdr:colOff>105696</xdr:colOff>
      <xdr:row>22</xdr:row>
      <xdr:rowOff>37541</xdr:rowOff>
    </xdr:from>
    <xdr:to>
      <xdr:col>41</xdr:col>
      <xdr:colOff>55993</xdr:colOff>
      <xdr:row>22</xdr:row>
      <xdr:rowOff>228041</xdr:rowOff>
    </xdr:to>
    <xdr:sp macro="" textlink="">
      <xdr:nvSpPr>
        <xdr:cNvPr id="13" name="正方形/長方形 12">
          <a:extLst>
            <a:ext uri="{FF2B5EF4-FFF2-40B4-BE49-F238E27FC236}">
              <a16:creationId xmlns:a16="http://schemas.microsoft.com/office/drawing/2014/main" id="{961EF473-0E2D-4ABA-98F3-2C601A5A698F}"/>
            </a:ext>
          </a:extLst>
        </xdr:cNvPr>
        <xdr:cNvSpPr/>
      </xdr:nvSpPr>
      <xdr:spPr>
        <a:xfrm>
          <a:off x="4772946" y="4742891"/>
          <a:ext cx="75039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11</xdr:col>
      <xdr:colOff>68863</xdr:colOff>
      <xdr:row>17</xdr:row>
      <xdr:rowOff>38734</xdr:rowOff>
    </xdr:from>
    <xdr:to>
      <xdr:col>15</xdr:col>
      <xdr:colOff>111463</xdr:colOff>
      <xdr:row>17</xdr:row>
      <xdr:rowOff>219709</xdr:rowOff>
    </xdr:to>
    <xdr:sp macro="" textlink="">
      <xdr:nvSpPr>
        <xdr:cNvPr id="4" name="正方形/長方形 3">
          <a:extLst>
            <a:ext uri="{FF2B5EF4-FFF2-40B4-BE49-F238E27FC236}">
              <a16:creationId xmlns:a16="http://schemas.microsoft.com/office/drawing/2014/main" id="{2FA64173-6275-4D70-B2F2-2B66AE58A454}"/>
            </a:ext>
          </a:extLst>
        </xdr:cNvPr>
        <xdr:cNvSpPr/>
      </xdr:nvSpPr>
      <xdr:spPr bwMode="auto">
        <a:xfrm>
          <a:off x="1535713" y="3505834"/>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64380</xdr:colOff>
      <xdr:row>18</xdr:row>
      <xdr:rowOff>45458</xdr:rowOff>
    </xdr:from>
    <xdr:to>
      <xdr:col>15</xdr:col>
      <xdr:colOff>106980</xdr:colOff>
      <xdr:row>18</xdr:row>
      <xdr:rowOff>226433</xdr:rowOff>
    </xdr:to>
    <xdr:sp macro="" textlink="">
      <xdr:nvSpPr>
        <xdr:cNvPr id="5" name="正方形/長方形 4">
          <a:extLst>
            <a:ext uri="{FF2B5EF4-FFF2-40B4-BE49-F238E27FC236}">
              <a16:creationId xmlns:a16="http://schemas.microsoft.com/office/drawing/2014/main" id="{784F6EDE-7789-4823-B820-EA7A5627570A}"/>
            </a:ext>
          </a:extLst>
        </xdr:cNvPr>
        <xdr:cNvSpPr/>
      </xdr:nvSpPr>
      <xdr:spPr bwMode="auto">
        <a:xfrm>
          <a:off x="1531230" y="3760208"/>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67742</xdr:colOff>
      <xdr:row>18</xdr:row>
      <xdr:rowOff>31451</xdr:rowOff>
    </xdr:from>
    <xdr:to>
      <xdr:col>69</xdr:col>
      <xdr:colOff>111463</xdr:colOff>
      <xdr:row>18</xdr:row>
      <xdr:rowOff>212426</xdr:rowOff>
    </xdr:to>
    <xdr:sp macro="" textlink="">
      <xdr:nvSpPr>
        <xdr:cNvPr id="9" name="正方形/長方形 8">
          <a:extLst>
            <a:ext uri="{FF2B5EF4-FFF2-40B4-BE49-F238E27FC236}">
              <a16:creationId xmlns:a16="http://schemas.microsoft.com/office/drawing/2014/main" id="{6878FEB4-B9A2-42B3-8F74-8D96B4AB37DA}"/>
            </a:ext>
          </a:extLst>
        </xdr:cNvPr>
        <xdr:cNvSpPr/>
      </xdr:nvSpPr>
      <xdr:spPr bwMode="auto">
        <a:xfrm>
          <a:off x="8735492" y="3746201"/>
          <a:ext cx="57712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68970</xdr:colOff>
      <xdr:row>17</xdr:row>
      <xdr:rowOff>15127</xdr:rowOff>
    </xdr:from>
    <xdr:to>
      <xdr:col>20</xdr:col>
      <xdr:colOff>3571</xdr:colOff>
      <xdr:row>17</xdr:row>
      <xdr:rowOff>205628</xdr:rowOff>
    </xdr:to>
    <xdr:sp macro="" textlink="">
      <xdr:nvSpPr>
        <xdr:cNvPr id="16" name="正方形/長方形 15">
          <a:extLst>
            <a:ext uri="{FF2B5EF4-FFF2-40B4-BE49-F238E27FC236}">
              <a16:creationId xmlns:a16="http://schemas.microsoft.com/office/drawing/2014/main" id="{8F49D383-78E1-4827-A329-D53B4E6C981D}"/>
            </a:ext>
          </a:extLst>
        </xdr:cNvPr>
        <xdr:cNvSpPr/>
      </xdr:nvSpPr>
      <xdr:spPr bwMode="auto">
        <a:xfrm>
          <a:off x="2202570" y="3482227"/>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71211</xdr:colOff>
      <xdr:row>16</xdr:row>
      <xdr:rowOff>28574</xdr:rowOff>
    </xdr:from>
    <xdr:to>
      <xdr:col>20</xdr:col>
      <xdr:colOff>5812</xdr:colOff>
      <xdr:row>16</xdr:row>
      <xdr:rowOff>219075</xdr:rowOff>
    </xdr:to>
    <xdr:sp macro="" textlink="">
      <xdr:nvSpPr>
        <xdr:cNvPr id="17" name="正方形/長方形 16">
          <a:extLst>
            <a:ext uri="{FF2B5EF4-FFF2-40B4-BE49-F238E27FC236}">
              <a16:creationId xmlns:a16="http://schemas.microsoft.com/office/drawing/2014/main" id="{95EAF686-02F9-4C4E-81F2-CB5E811957EA}"/>
            </a:ext>
          </a:extLst>
        </xdr:cNvPr>
        <xdr:cNvSpPr/>
      </xdr:nvSpPr>
      <xdr:spPr bwMode="auto">
        <a:xfrm>
          <a:off x="2204811" y="3248024"/>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120824</xdr:colOff>
      <xdr:row>22</xdr:row>
      <xdr:rowOff>26896</xdr:rowOff>
    </xdr:from>
    <xdr:to>
      <xdr:col>55</xdr:col>
      <xdr:colOff>70001</xdr:colOff>
      <xdr:row>22</xdr:row>
      <xdr:rowOff>217396</xdr:rowOff>
    </xdr:to>
    <xdr:sp macro="" textlink="">
      <xdr:nvSpPr>
        <xdr:cNvPr id="18" name="正方形/長方形 17">
          <a:extLst>
            <a:ext uri="{FF2B5EF4-FFF2-40B4-BE49-F238E27FC236}">
              <a16:creationId xmlns:a16="http://schemas.microsoft.com/office/drawing/2014/main" id="{E401C457-51F1-41B5-923F-F1038CBA2816}"/>
            </a:ext>
          </a:extLst>
        </xdr:cNvPr>
        <xdr:cNvSpPr/>
      </xdr:nvSpPr>
      <xdr:spPr>
        <a:xfrm>
          <a:off x="6654974" y="4732246"/>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51</xdr:col>
      <xdr:colOff>114299</xdr:colOff>
      <xdr:row>24</xdr:row>
      <xdr:rowOff>28574</xdr:rowOff>
    </xdr:from>
    <xdr:to>
      <xdr:col>54</xdr:col>
      <xdr:colOff>114299</xdr:colOff>
      <xdr:row>24</xdr:row>
      <xdr:rowOff>219075</xdr:rowOff>
    </xdr:to>
    <xdr:sp macro="" textlink="">
      <xdr:nvSpPr>
        <xdr:cNvPr id="34" name="正方形/長方形 33">
          <a:extLst>
            <a:ext uri="{FF2B5EF4-FFF2-40B4-BE49-F238E27FC236}">
              <a16:creationId xmlns:a16="http://schemas.microsoft.com/office/drawing/2014/main" id="{C68A5740-81E1-4EF9-921E-DE4CFD605CEA}"/>
            </a:ext>
          </a:extLst>
        </xdr:cNvPr>
        <xdr:cNvSpPr/>
      </xdr:nvSpPr>
      <xdr:spPr bwMode="auto">
        <a:xfrm>
          <a:off x="6915149" y="52292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108697</xdr:colOff>
      <xdr:row>24</xdr:row>
      <xdr:rowOff>38100</xdr:rowOff>
    </xdr:from>
    <xdr:to>
      <xdr:col>43</xdr:col>
      <xdr:colOff>21851</xdr:colOff>
      <xdr:row>24</xdr:row>
      <xdr:rowOff>228600</xdr:rowOff>
    </xdr:to>
    <xdr:sp macro="" textlink="">
      <xdr:nvSpPr>
        <xdr:cNvPr id="35" name="正方形/長方形 34">
          <a:extLst>
            <a:ext uri="{FF2B5EF4-FFF2-40B4-BE49-F238E27FC236}">
              <a16:creationId xmlns:a16="http://schemas.microsoft.com/office/drawing/2014/main" id="{6DCB4DA6-2A35-420E-BC2F-5208DD374CE9}"/>
            </a:ext>
          </a:extLst>
        </xdr:cNvPr>
        <xdr:cNvSpPr/>
      </xdr:nvSpPr>
      <xdr:spPr bwMode="auto">
        <a:xfrm>
          <a:off x="5621991" y="4733365"/>
          <a:ext cx="18209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76201</xdr:colOff>
      <xdr:row>24</xdr:row>
      <xdr:rowOff>38100</xdr:rowOff>
    </xdr:from>
    <xdr:to>
      <xdr:col>54</xdr:col>
      <xdr:colOff>123826</xdr:colOff>
      <xdr:row>24</xdr:row>
      <xdr:rowOff>219075</xdr:rowOff>
    </xdr:to>
    <xdr:sp macro="" textlink="">
      <xdr:nvSpPr>
        <xdr:cNvPr id="38" name="正方形/長方形 37">
          <a:extLst>
            <a:ext uri="{FF2B5EF4-FFF2-40B4-BE49-F238E27FC236}">
              <a16:creationId xmlns:a16="http://schemas.microsoft.com/office/drawing/2014/main" id="{ABF385CA-0C8B-4EC4-AF13-9EDF98472599}"/>
            </a:ext>
          </a:extLst>
        </xdr:cNvPr>
        <xdr:cNvSpPr/>
      </xdr:nvSpPr>
      <xdr:spPr bwMode="auto">
        <a:xfrm>
          <a:off x="7143751" y="52387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19051</xdr:colOff>
      <xdr:row>41</xdr:row>
      <xdr:rowOff>38100</xdr:rowOff>
    </xdr:from>
    <xdr:to>
      <xdr:col>53</xdr:col>
      <xdr:colOff>66676</xdr:colOff>
      <xdr:row>41</xdr:row>
      <xdr:rowOff>219075</xdr:rowOff>
    </xdr:to>
    <xdr:sp macro="" textlink="">
      <xdr:nvSpPr>
        <xdr:cNvPr id="41" name="正方形/長方形 40">
          <a:extLst>
            <a:ext uri="{FF2B5EF4-FFF2-40B4-BE49-F238E27FC236}">
              <a16:creationId xmlns:a16="http://schemas.microsoft.com/office/drawing/2014/main" id="{EEAC31A5-604D-401E-85A5-D362F3F3019F}"/>
            </a:ext>
          </a:extLst>
        </xdr:cNvPr>
        <xdr:cNvSpPr/>
      </xdr:nvSpPr>
      <xdr:spPr bwMode="auto">
        <a:xfrm>
          <a:off x="8420101" y="125920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51</xdr:col>
      <xdr:colOff>66674</xdr:colOff>
      <xdr:row>41</xdr:row>
      <xdr:rowOff>28574</xdr:rowOff>
    </xdr:from>
    <xdr:to>
      <xdr:col>54</xdr:col>
      <xdr:colOff>66674</xdr:colOff>
      <xdr:row>41</xdr:row>
      <xdr:rowOff>219075</xdr:rowOff>
    </xdr:to>
    <xdr:sp macro="" textlink="">
      <xdr:nvSpPr>
        <xdr:cNvPr id="42" name="正方形/長方形 41">
          <a:extLst>
            <a:ext uri="{FF2B5EF4-FFF2-40B4-BE49-F238E27FC236}">
              <a16:creationId xmlns:a16="http://schemas.microsoft.com/office/drawing/2014/main" id="{FA02340A-6AB0-46AA-89DE-33AA2A400703}"/>
            </a:ext>
          </a:extLst>
        </xdr:cNvPr>
        <xdr:cNvSpPr/>
      </xdr:nvSpPr>
      <xdr:spPr bwMode="auto">
        <a:xfrm>
          <a:off x="6867524" y="943927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52664</xdr:colOff>
      <xdr:row>41</xdr:row>
      <xdr:rowOff>38100</xdr:rowOff>
    </xdr:from>
    <xdr:to>
      <xdr:col>42</xdr:col>
      <xdr:colOff>100288</xdr:colOff>
      <xdr:row>41</xdr:row>
      <xdr:rowOff>228600</xdr:rowOff>
    </xdr:to>
    <xdr:sp macro="" textlink="">
      <xdr:nvSpPr>
        <xdr:cNvPr id="43" name="正方形/長方形 42">
          <a:extLst>
            <a:ext uri="{FF2B5EF4-FFF2-40B4-BE49-F238E27FC236}">
              <a16:creationId xmlns:a16="http://schemas.microsoft.com/office/drawing/2014/main" id="{AD503B86-6AFA-4C69-97AD-A52CC4C15E2C}"/>
            </a:ext>
          </a:extLst>
        </xdr:cNvPr>
        <xdr:cNvSpPr/>
      </xdr:nvSpPr>
      <xdr:spPr bwMode="auto">
        <a:xfrm>
          <a:off x="5565958" y="8924365"/>
          <a:ext cx="18209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28576</xdr:colOff>
      <xdr:row>41</xdr:row>
      <xdr:rowOff>38100</xdr:rowOff>
    </xdr:from>
    <xdr:to>
      <xdr:col>54</xdr:col>
      <xdr:colOff>76201</xdr:colOff>
      <xdr:row>41</xdr:row>
      <xdr:rowOff>219075</xdr:rowOff>
    </xdr:to>
    <xdr:sp macro="" textlink="">
      <xdr:nvSpPr>
        <xdr:cNvPr id="44" name="正方形/長方形 43">
          <a:extLst>
            <a:ext uri="{FF2B5EF4-FFF2-40B4-BE49-F238E27FC236}">
              <a16:creationId xmlns:a16="http://schemas.microsoft.com/office/drawing/2014/main" id="{8E469C12-9D3C-4ED2-85E3-F1EB12250ECE}"/>
            </a:ext>
          </a:extLst>
        </xdr:cNvPr>
        <xdr:cNvSpPr/>
      </xdr:nvSpPr>
      <xdr:spPr bwMode="auto">
        <a:xfrm>
          <a:off x="7096126" y="944880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xdr:col>
      <xdr:colOff>123823</xdr:colOff>
      <xdr:row>42</xdr:row>
      <xdr:rowOff>152400</xdr:rowOff>
    </xdr:from>
    <xdr:to>
      <xdr:col>8</xdr:col>
      <xdr:colOff>79723</xdr:colOff>
      <xdr:row>43</xdr:row>
      <xdr:rowOff>102750</xdr:rowOff>
    </xdr:to>
    <xdr:sp macro="" textlink="">
      <xdr:nvSpPr>
        <xdr:cNvPr id="50" name="正方形/長方形 117">
          <a:extLst>
            <a:ext uri="{FF2B5EF4-FFF2-40B4-BE49-F238E27FC236}">
              <a16:creationId xmlns:a16="http://schemas.microsoft.com/office/drawing/2014/main" id="{FCD7CB90-0693-4FC0-B0D7-DD618B5AF402}"/>
            </a:ext>
          </a:extLst>
        </xdr:cNvPr>
        <xdr:cNvSpPr/>
      </xdr:nvSpPr>
      <xdr:spPr>
        <a:xfrm>
          <a:off x="390523" y="9810750"/>
          <a:ext cx="7560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修正</a:t>
          </a:r>
        </a:p>
      </xdr:txBody>
    </xdr:sp>
    <xdr:clientData/>
  </xdr:twoCellAnchor>
  <xdr:twoCellAnchor>
    <xdr:from>
      <xdr:col>73</xdr:col>
      <xdr:colOff>4429</xdr:colOff>
      <xdr:row>18</xdr:row>
      <xdr:rowOff>29770</xdr:rowOff>
    </xdr:from>
    <xdr:to>
      <xdr:col>77</xdr:col>
      <xdr:colOff>47029</xdr:colOff>
      <xdr:row>18</xdr:row>
      <xdr:rowOff>210745</xdr:rowOff>
    </xdr:to>
    <xdr:sp macro="" textlink="">
      <xdr:nvSpPr>
        <xdr:cNvPr id="7" name="正方形/長方形 6">
          <a:extLst>
            <a:ext uri="{FF2B5EF4-FFF2-40B4-BE49-F238E27FC236}">
              <a16:creationId xmlns:a16="http://schemas.microsoft.com/office/drawing/2014/main" id="{DD04E0DD-A8FE-4734-9A85-59BCEF222A63}"/>
            </a:ext>
          </a:extLst>
        </xdr:cNvPr>
        <xdr:cNvSpPr/>
      </xdr:nvSpPr>
      <xdr:spPr bwMode="auto">
        <a:xfrm>
          <a:off x="9738979" y="3744520"/>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43703</xdr:colOff>
      <xdr:row>17</xdr:row>
      <xdr:rowOff>29207</xdr:rowOff>
    </xdr:from>
    <xdr:to>
      <xdr:col>48</xdr:col>
      <xdr:colOff>35603</xdr:colOff>
      <xdr:row>17</xdr:row>
      <xdr:rowOff>210182</xdr:rowOff>
    </xdr:to>
    <xdr:sp macro="" textlink="">
      <xdr:nvSpPr>
        <xdr:cNvPr id="14" name="正方形/長方形 13">
          <a:extLst>
            <a:ext uri="{FF2B5EF4-FFF2-40B4-BE49-F238E27FC236}">
              <a16:creationId xmlns:a16="http://schemas.microsoft.com/office/drawing/2014/main" id="{83716046-FDE7-4044-9749-BDAAE2003899}"/>
            </a:ext>
          </a:extLst>
        </xdr:cNvPr>
        <xdr:cNvSpPr/>
      </xdr:nvSpPr>
      <xdr:spPr bwMode="auto">
        <a:xfrm>
          <a:off x="5644403" y="3496307"/>
          <a:ext cx="792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124439</xdr:colOff>
      <xdr:row>17</xdr:row>
      <xdr:rowOff>38659</xdr:rowOff>
    </xdr:from>
    <xdr:to>
      <xdr:col>52</xdr:col>
      <xdr:colOff>59039</xdr:colOff>
      <xdr:row>17</xdr:row>
      <xdr:rowOff>229160</xdr:rowOff>
    </xdr:to>
    <xdr:sp macro="" textlink="">
      <xdr:nvSpPr>
        <xdr:cNvPr id="15" name="正方形/長方形 14">
          <a:extLst>
            <a:ext uri="{FF2B5EF4-FFF2-40B4-BE49-F238E27FC236}">
              <a16:creationId xmlns:a16="http://schemas.microsoft.com/office/drawing/2014/main" id="{DA387585-6665-4278-AC84-57BA9D4CEA09}"/>
            </a:ext>
          </a:extLst>
        </xdr:cNvPr>
        <xdr:cNvSpPr/>
      </xdr:nvSpPr>
      <xdr:spPr bwMode="auto">
        <a:xfrm>
          <a:off x="6525239" y="3505759"/>
          <a:ext cx="468000"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42</xdr:col>
      <xdr:colOff>48184</xdr:colOff>
      <xdr:row>18</xdr:row>
      <xdr:rowOff>48258</xdr:rowOff>
    </xdr:from>
    <xdr:to>
      <xdr:col>48</xdr:col>
      <xdr:colOff>40084</xdr:colOff>
      <xdr:row>18</xdr:row>
      <xdr:rowOff>229233</xdr:rowOff>
    </xdr:to>
    <xdr:sp macro="" textlink="">
      <xdr:nvSpPr>
        <xdr:cNvPr id="19" name="正方形/長方形 18">
          <a:extLst>
            <a:ext uri="{FF2B5EF4-FFF2-40B4-BE49-F238E27FC236}">
              <a16:creationId xmlns:a16="http://schemas.microsoft.com/office/drawing/2014/main" id="{D2B59E40-71EF-4BC0-BB22-A795EBAFDEB4}"/>
            </a:ext>
          </a:extLst>
        </xdr:cNvPr>
        <xdr:cNvSpPr/>
      </xdr:nvSpPr>
      <xdr:spPr bwMode="auto">
        <a:xfrm>
          <a:off x="5648884" y="3763008"/>
          <a:ext cx="792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77</xdr:col>
      <xdr:colOff>28576</xdr:colOff>
      <xdr:row>15</xdr:row>
      <xdr:rowOff>19051</xdr:rowOff>
    </xdr:from>
    <xdr:to>
      <xdr:col>81</xdr:col>
      <xdr:colOff>66676</xdr:colOff>
      <xdr:row>15</xdr:row>
      <xdr:rowOff>238125</xdr:rowOff>
    </xdr:to>
    <xdr:sp macro="" textlink="">
      <xdr:nvSpPr>
        <xdr:cNvPr id="20" name="正方形/長方形 19">
          <a:extLst>
            <a:ext uri="{FF2B5EF4-FFF2-40B4-BE49-F238E27FC236}">
              <a16:creationId xmlns:a16="http://schemas.microsoft.com/office/drawing/2014/main" id="{38C67B5E-0551-9494-9589-2788D201106B}"/>
            </a:ext>
          </a:extLst>
        </xdr:cNvPr>
        <xdr:cNvSpPr/>
      </xdr:nvSpPr>
      <xdr:spPr bwMode="auto">
        <a:xfrm>
          <a:off x="10296526" y="2990851"/>
          <a:ext cx="571500"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41274</xdr:colOff>
      <xdr:row>42</xdr:row>
      <xdr:rowOff>152400</xdr:rowOff>
    </xdr:from>
    <xdr:to>
      <xdr:col>23</xdr:col>
      <xdr:colOff>63500</xdr:colOff>
      <xdr:row>43</xdr:row>
      <xdr:rowOff>101600</xdr:rowOff>
    </xdr:to>
    <xdr:sp macro="" textlink="">
      <xdr:nvSpPr>
        <xdr:cNvPr id="33" name="正方形/長方形 32">
          <a:extLst>
            <a:ext uri="{FF2B5EF4-FFF2-40B4-BE49-F238E27FC236}">
              <a16:creationId xmlns:a16="http://schemas.microsoft.com/office/drawing/2014/main" id="{C5E7EABC-C61D-471B-A2A3-BE3527C45D39}"/>
            </a:ext>
          </a:extLst>
        </xdr:cNvPr>
        <xdr:cNvSpPr/>
      </xdr:nvSpPr>
      <xdr:spPr>
        <a:xfrm>
          <a:off x="2174874" y="9798050"/>
          <a:ext cx="955676" cy="1968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個別照会</a:t>
          </a:r>
        </a:p>
      </xdr:txBody>
    </xdr:sp>
    <xdr:clientData/>
  </xdr:twoCellAnchor>
  <xdr:twoCellAnchor>
    <xdr:from>
      <xdr:col>29</xdr:col>
      <xdr:colOff>114299</xdr:colOff>
      <xdr:row>22</xdr:row>
      <xdr:rowOff>28574</xdr:rowOff>
    </xdr:from>
    <xdr:to>
      <xdr:col>34</xdr:col>
      <xdr:colOff>123824</xdr:colOff>
      <xdr:row>22</xdr:row>
      <xdr:rowOff>228599</xdr:rowOff>
    </xdr:to>
    <xdr:sp macro="" textlink="">
      <xdr:nvSpPr>
        <xdr:cNvPr id="26" name="正方形/長方形 25">
          <a:extLst>
            <a:ext uri="{FF2B5EF4-FFF2-40B4-BE49-F238E27FC236}">
              <a16:creationId xmlns:a16="http://schemas.microsoft.com/office/drawing/2014/main" id="{5C87ABC3-B0E5-44F8-A43E-8B5A2A8F80D4}"/>
            </a:ext>
          </a:extLst>
        </xdr:cNvPr>
        <xdr:cNvSpPr/>
      </xdr:nvSpPr>
      <xdr:spPr>
        <a:xfrm>
          <a:off x="3981449" y="4733924"/>
          <a:ext cx="676275" cy="2000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104773</xdr:colOff>
      <xdr:row>42</xdr:row>
      <xdr:rowOff>152400</xdr:rowOff>
    </xdr:from>
    <xdr:to>
      <xdr:col>15</xdr:col>
      <xdr:colOff>60673</xdr:colOff>
      <xdr:row>43</xdr:row>
      <xdr:rowOff>102750</xdr:rowOff>
    </xdr:to>
    <xdr:sp macro="" textlink="">
      <xdr:nvSpPr>
        <xdr:cNvPr id="27" name="正方形/長方形 117">
          <a:extLst>
            <a:ext uri="{FF2B5EF4-FFF2-40B4-BE49-F238E27FC236}">
              <a16:creationId xmlns:a16="http://schemas.microsoft.com/office/drawing/2014/main" id="{AE080919-941A-492A-A2B6-78E21C222FC1}"/>
            </a:ext>
          </a:extLst>
        </xdr:cNvPr>
        <xdr:cNvSpPr/>
      </xdr:nvSpPr>
      <xdr:spPr>
        <a:xfrm>
          <a:off x="1304923" y="9810750"/>
          <a:ext cx="7560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削除</a:t>
          </a:r>
        </a:p>
      </xdr:txBody>
    </xdr:sp>
    <xdr:clientData/>
  </xdr:twoCellAnchor>
  <xdr:twoCellAnchor>
    <xdr:from>
      <xdr:col>11</xdr:col>
      <xdr:colOff>76200</xdr:colOff>
      <xdr:row>20</xdr:row>
      <xdr:rowOff>28575</xdr:rowOff>
    </xdr:from>
    <xdr:to>
      <xdr:col>21</xdr:col>
      <xdr:colOff>66675</xdr:colOff>
      <xdr:row>20</xdr:row>
      <xdr:rowOff>219075</xdr:rowOff>
    </xdr:to>
    <xdr:sp macro="" textlink="">
      <xdr:nvSpPr>
        <xdr:cNvPr id="11" name="正方形/長方形 10">
          <a:extLst>
            <a:ext uri="{FF2B5EF4-FFF2-40B4-BE49-F238E27FC236}">
              <a16:creationId xmlns:a16="http://schemas.microsoft.com/office/drawing/2014/main" id="{347FB09B-D4FD-4DF7-8B82-37061CE25EDB}"/>
            </a:ext>
          </a:extLst>
        </xdr:cNvPr>
        <xdr:cNvSpPr/>
      </xdr:nvSpPr>
      <xdr:spPr>
        <a:xfrm>
          <a:off x="1543050" y="4238625"/>
          <a:ext cx="132397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47625</xdr:colOff>
      <xdr:row>19</xdr:row>
      <xdr:rowOff>38100</xdr:rowOff>
    </xdr:from>
    <xdr:to>
      <xdr:col>59</xdr:col>
      <xdr:colOff>95250</xdr:colOff>
      <xdr:row>19</xdr:row>
      <xdr:rowOff>209550</xdr:rowOff>
    </xdr:to>
    <xdr:sp macro="" textlink="">
      <xdr:nvSpPr>
        <xdr:cNvPr id="23" name="正方形/長方形 22">
          <a:extLst>
            <a:ext uri="{FF2B5EF4-FFF2-40B4-BE49-F238E27FC236}">
              <a16:creationId xmlns:a16="http://schemas.microsoft.com/office/drawing/2014/main" id="{0D5D4A1D-F982-4D15-9882-EDFC4313C7B6}"/>
            </a:ext>
          </a:extLst>
        </xdr:cNvPr>
        <xdr:cNvSpPr/>
      </xdr:nvSpPr>
      <xdr:spPr>
        <a:xfrm>
          <a:off x="7115175" y="4000500"/>
          <a:ext cx="847725"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57150</xdr:colOff>
      <xdr:row>19</xdr:row>
      <xdr:rowOff>28575</xdr:rowOff>
    </xdr:from>
    <xdr:to>
      <xdr:col>49</xdr:col>
      <xdr:colOff>76201</xdr:colOff>
      <xdr:row>19</xdr:row>
      <xdr:rowOff>219074</xdr:rowOff>
    </xdr:to>
    <xdr:sp macro="" textlink="">
      <xdr:nvSpPr>
        <xdr:cNvPr id="25" name="正方形/長方形 24">
          <a:extLst>
            <a:ext uri="{FF2B5EF4-FFF2-40B4-BE49-F238E27FC236}">
              <a16:creationId xmlns:a16="http://schemas.microsoft.com/office/drawing/2014/main" id="{F7A8B57A-B9F1-4E6E-B0A6-3D828828FDEB}"/>
            </a:ext>
          </a:extLst>
        </xdr:cNvPr>
        <xdr:cNvSpPr/>
      </xdr:nvSpPr>
      <xdr:spPr>
        <a:xfrm>
          <a:off x="5657850" y="3990975"/>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24</xdr:col>
      <xdr:colOff>15875</xdr:colOff>
      <xdr:row>42</xdr:row>
      <xdr:rowOff>158750</xdr:rowOff>
    </xdr:from>
    <xdr:to>
      <xdr:col>32</xdr:col>
      <xdr:colOff>17900</xdr:colOff>
      <xdr:row>43</xdr:row>
      <xdr:rowOff>109100</xdr:rowOff>
    </xdr:to>
    <xdr:sp macro="" textlink="">
      <xdr:nvSpPr>
        <xdr:cNvPr id="2" name="正方形/長方形 1">
          <a:extLst>
            <a:ext uri="{FF2B5EF4-FFF2-40B4-BE49-F238E27FC236}">
              <a16:creationId xmlns:a16="http://schemas.microsoft.com/office/drawing/2014/main" id="{306763A1-44FA-4C45-8662-169A26FF70C0}"/>
            </a:ext>
          </a:extLst>
        </xdr:cNvPr>
        <xdr:cNvSpPr/>
      </xdr:nvSpPr>
      <xdr:spPr bwMode="auto">
        <a:xfrm>
          <a:off x="2911475" y="9804400"/>
          <a:ext cx="967225"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89535</xdr:colOff>
      <xdr:row>19</xdr:row>
      <xdr:rowOff>32385</xdr:rowOff>
    </xdr:from>
    <xdr:to>
      <xdr:col>21</xdr:col>
      <xdr:colOff>115530</xdr:colOff>
      <xdr:row>19</xdr:row>
      <xdr:rowOff>230505</xdr:rowOff>
    </xdr:to>
    <xdr:sp macro="" textlink="">
      <xdr:nvSpPr>
        <xdr:cNvPr id="10" name="正方形/長方形 9">
          <a:extLst>
            <a:ext uri="{FF2B5EF4-FFF2-40B4-BE49-F238E27FC236}">
              <a16:creationId xmlns:a16="http://schemas.microsoft.com/office/drawing/2014/main" id="{5EBD4B33-1DF1-4A4F-B552-BC1B62BBB31E}"/>
            </a:ext>
          </a:extLst>
        </xdr:cNvPr>
        <xdr:cNvSpPr/>
      </xdr:nvSpPr>
      <xdr:spPr bwMode="auto">
        <a:xfrm>
          <a:off x="2421255" y="3926205"/>
          <a:ext cx="41461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11</xdr:col>
      <xdr:colOff>91440</xdr:colOff>
      <xdr:row>19</xdr:row>
      <xdr:rowOff>22860</xdr:rowOff>
    </xdr:from>
    <xdr:to>
      <xdr:col>18</xdr:col>
      <xdr:colOff>32100</xdr:colOff>
      <xdr:row>19</xdr:row>
      <xdr:rowOff>224460</xdr:rowOff>
    </xdr:to>
    <xdr:sp macro="" textlink="">
      <xdr:nvSpPr>
        <xdr:cNvPr id="21" name="正方形/長方形 20">
          <a:extLst>
            <a:ext uri="{FF2B5EF4-FFF2-40B4-BE49-F238E27FC236}">
              <a16:creationId xmlns:a16="http://schemas.microsoft.com/office/drawing/2014/main" id="{70DFA006-475E-4E58-B63C-B9845B6C81F8}"/>
            </a:ext>
          </a:extLst>
        </xdr:cNvPr>
        <xdr:cNvSpPr/>
      </xdr:nvSpPr>
      <xdr:spPr bwMode="auto">
        <a:xfrm>
          <a:off x="1516380" y="3916680"/>
          <a:ext cx="84744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3387</xdr:colOff>
      <xdr:row>11</xdr:row>
      <xdr:rowOff>93210</xdr:rowOff>
    </xdr:to>
    <xdr:pic>
      <xdr:nvPicPr>
        <xdr:cNvPr id="2" name="図 1">
          <a:extLst>
            <a:ext uri="{FF2B5EF4-FFF2-40B4-BE49-F238E27FC236}">
              <a16:creationId xmlns:a16="http://schemas.microsoft.com/office/drawing/2014/main" id="{C59A719D-D410-44A7-BD6E-801DEC6F1272}"/>
            </a:ext>
          </a:extLst>
        </xdr:cNvPr>
        <xdr:cNvPicPr>
          <a:picLocks noChangeAspect="1"/>
        </xdr:cNvPicPr>
      </xdr:nvPicPr>
      <xdr:blipFill>
        <a:blip xmlns:r="http://schemas.openxmlformats.org/officeDocument/2006/relationships" r:embed="rId1"/>
        <a:stretch>
          <a:fillRect/>
        </a:stretch>
      </xdr:blipFill>
      <xdr:spPr>
        <a:xfrm>
          <a:off x="266700" y="1725084"/>
          <a:ext cx="1203537" cy="345516"/>
        </a:xfrm>
        <a:prstGeom prst="rect">
          <a:avLst/>
        </a:prstGeom>
      </xdr:spPr>
    </xdr:pic>
    <xdr:clientData/>
  </xdr:twoCellAnchor>
  <xdr:twoCellAnchor>
    <xdr:from>
      <xdr:col>3</xdr:col>
      <xdr:colOff>18489</xdr:colOff>
      <xdr:row>61</xdr:row>
      <xdr:rowOff>210109</xdr:rowOff>
    </xdr:from>
    <xdr:to>
      <xdr:col>9</xdr:col>
      <xdr:colOff>82389</xdr:colOff>
      <xdr:row>62</xdr:row>
      <xdr:rowOff>178459</xdr:rowOff>
    </xdr:to>
    <xdr:sp macro="" textlink="">
      <xdr:nvSpPr>
        <xdr:cNvPr id="29" name="正方形/長方形 28">
          <a:extLst>
            <a:ext uri="{FF2B5EF4-FFF2-40B4-BE49-F238E27FC236}">
              <a16:creationId xmlns:a16="http://schemas.microsoft.com/office/drawing/2014/main" id="{60390D4B-4F3B-465E-BD65-522EE490A3A8}"/>
            </a:ext>
          </a:extLst>
        </xdr:cNvPr>
        <xdr:cNvSpPr/>
      </xdr:nvSpPr>
      <xdr:spPr>
        <a:xfrm>
          <a:off x="418539" y="12840259"/>
          <a:ext cx="864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47625</xdr:colOff>
      <xdr:row>61</xdr:row>
      <xdr:rowOff>238125</xdr:rowOff>
    </xdr:from>
    <xdr:to>
      <xdr:col>80</xdr:col>
      <xdr:colOff>111525</xdr:colOff>
      <xdr:row>62</xdr:row>
      <xdr:rowOff>206475</xdr:rowOff>
    </xdr:to>
    <xdr:sp macro="" textlink="">
      <xdr:nvSpPr>
        <xdr:cNvPr id="30" name="正方形/長方形 29">
          <a:extLst>
            <a:ext uri="{FF2B5EF4-FFF2-40B4-BE49-F238E27FC236}">
              <a16:creationId xmlns:a16="http://schemas.microsoft.com/office/drawing/2014/main" id="{80A29206-324E-4A32-9BE8-BE2D92690F80}"/>
            </a:ext>
          </a:extLst>
        </xdr:cNvPr>
        <xdr:cNvSpPr/>
      </xdr:nvSpPr>
      <xdr:spPr>
        <a:xfrm>
          <a:off x="9915525" y="12868275"/>
          <a:ext cx="864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87960</xdr:colOff>
      <xdr:row>22</xdr:row>
      <xdr:rowOff>29136</xdr:rowOff>
    </xdr:from>
    <xdr:to>
      <xdr:col>18</xdr:col>
      <xdr:colOff>66676</xdr:colOff>
      <xdr:row>22</xdr:row>
      <xdr:rowOff>219075</xdr:rowOff>
    </xdr:to>
    <xdr:sp macro="" textlink="">
      <xdr:nvSpPr>
        <xdr:cNvPr id="4" name="正方形/長方形 3">
          <a:extLst>
            <a:ext uri="{FF2B5EF4-FFF2-40B4-BE49-F238E27FC236}">
              <a16:creationId xmlns:a16="http://schemas.microsoft.com/office/drawing/2014/main" id="{8AE5C014-6D53-4B8B-9920-C5600E3617E2}"/>
            </a:ext>
          </a:extLst>
        </xdr:cNvPr>
        <xdr:cNvSpPr/>
      </xdr:nvSpPr>
      <xdr:spPr bwMode="auto">
        <a:xfrm>
          <a:off x="1021410" y="4734486"/>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15242</xdr:colOff>
      <xdr:row>61</xdr:row>
      <xdr:rowOff>238124</xdr:rowOff>
    </xdr:from>
    <xdr:to>
      <xdr:col>43</xdr:col>
      <xdr:colOff>79142</xdr:colOff>
      <xdr:row>62</xdr:row>
      <xdr:rowOff>206474</xdr:rowOff>
    </xdr:to>
    <xdr:sp macro="" textlink="">
      <xdr:nvSpPr>
        <xdr:cNvPr id="70" name="正方形/長方形 69">
          <a:extLst>
            <a:ext uri="{FF2B5EF4-FFF2-40B4-BE49-F238E27FC236}">
              <a16:creationId xmlns:a16="http://schemas.microsoft.com/office/drawing/2014/main" id="{3D97A79C-7293-4D4E-A6B2-7A4746B68076}"/>
            </a:ext>
          </a:extLst>
        </xdr:cNvPr>
        <xdr:cNvSpPr/>
      </xdr:nvSpPr>
      <xdr:spPr bwMode="auto">
        <a:xfrm>
          <a:off x="4949192" y="13115924"/>
          <a:ext cx="864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oneCellAnchor>
    <xdr:from>
      <xdr:col>2</xdr:col>
      <xdr:colOff>0</xdr:colOff>
      <xdr:row>66</xdr:row>
      <xdr:rowOff>105834</xdr:rowOff>
    </xdr:from>
    <xdr:ext cx="1203537" cy="345516"/>
    <xdr:pic>
      <xdr:nvPicPr>
        <xdr:cNvPr id="71" name="図 70">
          <a:extLst>
            <a:ext uri="{FF2B5EF4-FFF2-40B4-BE49-F238E27FC236}">
              <a16:creationId xmlns:a16="http://schemas.microsoft.com/office/drawing/2014/main" id="{7499C7BB-DF52-4F45-92A6-3AC925F6D578}"/>
            </a:ext>
          </a:extLst>
        </xdr:cNvPr>
        <xdr:cNvPicPr>
          <a:picLocks noChangeAspect="1"/>
        </xdr:cNvPicPr>
      </xdr:nvPicPr>
      <xdr:blipFill>
        <a:blip xmlns:r="http://schemas.openxmlformats.org/officeDocument/2006/relationships" r:embed="rId1"/>
        <a:stretch>
          <a:fillRect/>
        </a:stretch>
      </xdr:blipFill>
      <xdr:spPr>
        <a:xfrm>
          <a:off x="266700" y="1725084"/>
          <a:ext cx="1203537" cy="345516"/>
        </a:xfrm>
        <a:prstGeom prst="rect">
          <a:avLst/>
        </a:prstGeom>
      </xdr:spPr>
    </xdr:pic>
    <xdr:clientData/>
  </xdr:oneCellAnchor>
  <xdr:twoCellAnchor>
    <xdr:from>
      <xdr:col>3</xdr:col>
      <xdr:colOff>18489</xdr:colOff>
      <xdr:row>118</xdr:row>
      <xdr:rowOff>210109</xdr:rowOff>
    </xdr:from>
    <xdr:to>
      <xdr:col>9</xdr:col>
      <xdr:colOff>82389</xdr:colOff>
      <xdr:row>119</xdr:row>
      <xdr:rowOff>178459</xdr:rowOff>
    </xdr:to>
    <xdr:sp macro="" textlink="">
      <xdr:nvSpPr>
        <xdr:cNvPr id="73" name="正方形/長方形 72">
          <a:extLst>
            <a:ext uri="{FF2B5EF4-FFF2-40B4-BE49-F238E27FC236}">
              <a16:creationId xmlns:a16="http://schemas.microsoft.com/office/drawing/2014/main" id="{86B506F3-CD86-4FE5-AF18-BA27B0F4FD44}"/>
            </a:ext>
          </a:extLst>
        </xdr:cNvPr>
        <xdr:cNvSpPr/>
      </xdr:nvSpPr>
      <xdr:spPr>
        <a:xfrm>
          <a:off x="418539" y="12840259"/>
          <a:ext cx="864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57150</xdr:colOff>
      <xdr:row>118</xdr:row>
      <xdr:rowOff>238125</xdr:rowOff>
    </xdr:from>
    <xdr:to>
      <xdr:col>80</xdr:col>
      <xdr:colOff>121050</xdr:colOff>
      <xdr:row>119</xdr:row>
      <xdr:rowOff>206475</xdr:rowOff>
    </xdr:to>
    <xdr:sp macro="" textlink="">
      <xdr:nvSpPr>
        <xdr:cNvPr id="74" name="正方形/長方形 73">
          <a:extLst>
            <a:ext uri="{FF2B5EF4-FFF2-40B4-BE49-F238E27FC236}">
              <a16:creationId xmlns:a16="http://schemas.microsoft.com/office/drawing/2014/main" id="{8D84B904-4694-4D29-819B-991F19A4324F}"/>
            </a:ext>
          </a:extLst>
        </xdr:cNvPr>
        <xdr:cNvSpPr/>
      </xdr:nvSpPr>
      <xdr:spPr>
        <a:xfrm>
          <a:off x="9925050" y="25460325"/>
          <a:ext cx="864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120017</xdr:colOff>
      <xdr:row>118</xdr:row>
      <xdr:rowOff>247649</xdr:rowOff>
    </xdr:from>
    <xdr:to>
      <xdr:col>43</xdr:col>
      <xdr:colOff>50567</xdr:colOff>
      <xdr:row>119</xdr:row>
      <xdr:rowOff>215999</xdr:rowOff>
    </xdr:to>
    <xdr:sp macro="" textlink="">
      <xdr:nvSpPr>
        <xdr:cNvPr id="139" name="正方形/長方形 138">
          <a:extLst>
            <a:ext uri="{FF2B5EF4-FFF2-40B4-BE49-F238E27FC236}">
              <a16:creationId xmlns:a16="http://schemas.microsoft.com/office/drawing/2014/main" id="{CD18CD9C-0EDB-4FE2-BF1E-C381FDCB0045}"/>
            </a:ext>
          </a:extLst>
        </xdr:cNvPr>
        <xdr:cNvSpPr/>
      </xdr:nvSpPr>
      <xdr:spPr bwMode="auto">
        <a:xfrm>
          <a:off x="4920617" y="25469849"/>
          <a:ext cx="864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11</xdr:col>
      <xdr:colOff>95250</xdr:colOff>
      <xdr:row>16</xdr:row>
      <xdr:rowOff>19050</xdr:rowOff>
    </xdr:from>
    <xdr:to>
      <xdr:col>14</xdr:col>
      <xdr:colOff>123825</xdr:colOff>
      <xdr:row>16</xdr:row>
      <xdr:rowOff>219075</xdr:rowOff>
    </xdr:to>
    <xdr:sp macro="" textlink="">
      <xdr:nvSpPr>
        <xdr:cNvPr id="140" name="正方形/長方形 139">
          <a:extLst>
            <a:ext uri="{FF2B5EF4-FFF2-40B4-BE49-F238E27FC236}">
              <a16:creationId xmlns:a16="http://schemas.microsoft.com/office/drawing/2014/main" id="{35673587-CC91-4799-85AE-50E2806C794E}"/>
            </a:ext>
          </a:extLst>
        </xdr:cNvPr>
        <xdr:cNvSpPr/>
      </xdr:nvSpPr>
      <xdr:spPr>
        <a:xfrm>
          <a:off x="1562100" y="3238500"/>
          <a:ext cx="42862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15</xdr:col>
      <xdr:colOff>38100</xdr:colOff>
      <xdr:row>16</xdr:row>
      <xdr:rowOff>28575</xdr:rowOff>
    </xdr:from>
    <xdr:to>
      <xdr:col>19</xdr:col>
      <xdr:colOff>34528</xdr:colOff>
      <xdr:row>16</xdr:row>
      <xdr:rowOff>219075</xdr:rowOff>
    </xdr:to>
    <xdr:sp macro="" textlink="">
      <xdr:nvSpPr>
        <xdr:cNvPr id="141" name="正方形/長方形 140">
          <a:extLst>
            <a:ext uri="{FF2B5EF4-FFF2-40B4-BE49-F238E27FC236}">
              <a16:creationId xmlns:a16="http://schemas.microsoft.com/office/drawing/2014/main" id="{C269822C-3F9A-4A5B-B92D-22540BF63532}"/>
            </a:ext>
          </a:extLst>
        </xdr:cNvPr>
        <xdr:cNvSpPr/>
      </xdr:nvSpPr>
      <xdr:spPr>
        <a:xfrm>
          <a:off x="2038350" y="324802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65</xdr:col>
      <xdr:colOff>57150</xdr:colOff>
      <xdr:row>16</xdr:row>
      <xdr:rowOff>19050</xdr:rowOff>
    </xdr:from>
    <xdr:to>
      <xdr:col>68</xdr:col>
      <xdr:colOff>85725</xdr:colOff>
      <xdr:row>16</xdr:row>
      <xdr:rowOff>219075</xdr:rowOff>
    </xdr:to>
    <xdr:sp macro="" textlink="">
      <xdr:nvSpPr>
        <xdr:cNvPr id="142" name="正方形/長方形 141">
          <a:extLst>
            <a:ext uri="{FF2B5EF4-FFF2-40B4-BE49-F238E27FC236}">
              <a16:creationId xmlns:a16="http://schemas.microsoft.com/office/drawing/2014/main" id="{B59A365E-6083-4596-A3D9-6EE7ABF116BA}"/>
            </a:ext>
          </a:extLst>
        </xdr:cNvPr>
        <xdr:cNvSpPr/>
      </xdr:nvSpPr>
      <xdr:spPr>
        <a:xfrm>
          <a:off x="8724900" y="3238500"/>
          <a:ext cx="42862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68</xdr:col>
      <xdr:colOff>123825</xdr:colOff>
      <xdr:row>16</xdr:row>
      <xdr:rowOff>28575</xdr:rowOff>
    </xdr:from>
    <xdr:to>
      <xdr:col>72</xdr:col>
      <xdr:colOff>120253</xdr:colOff>
      <xdr:row>16</xdr:row>
      <xdr:rowOff>219075</xdr:rowOff>
    </xdr:to>
    <xdr:sp macro="" textlink="">
      <xdr:nvSpPr>
        <xdr:cNvPr id="143" name="正方形/長方形 142">
          <a:extLst>
            <a:ext uri="{FF2B5EF4-FFF2-40B4-BE49-F238E27FC236}">
              <a16:creationId xmlns:a16="http://schemas.microsoft.com/office/drawing/2014/main" id="{A017A91F-EBDB-4BA1-BBE7-A236448B3C1E}"/>
            </a:ext>
          </a:extLst>
        </xdr:cNvPr>
        <xdr:cNvSpPr/>
      </xdr:nvSpPr>
      <xdr:spPr>
        <a:xfrm>
          <a:off x="9191625" y="324802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11</xdr:col>
      <xdr:colOff>95250</xdr:colOff>
      <xdr:row>17</xdr:row>
      <xdr:rowOff>19051</xdr:rowOff>
    </xdr:from>
    <xdr:to>
      <xdr:col>16</xdr:col>
      <xdr:colOff>85725</xdr:colOff>
      <xdr:row>17</xdr:row>
      <xdr:rowOff>209551</xdr:rowOff>
    </xdr:to>
    <xdr:sp macro="" textlink="">
      <xdr:nvSpPr>
        <xdr:cNvPr id="144" name="正方形/長方形 143">
          <a:extLst>
            <a:ext uri="{FF2B5EF4-FFF2-40B4-BE49-F238E27FC236}">
              <a16:creationId xmlns:a16="http://schemas.microsoft.com/office/drawing/2014/main" id="{0650A215-58DE-4976-9F4B-C79C2C57FAF4}"/>
            </a:ext>
          </a:extLst>
        </xdr:cNvPr>
        <xdr:cNvSpPr/>
      </xdr:nvSpPr>
      <xdr:spPr>
        <a:xfrm>
          <a:off x="1562100" y="3486151"/>
          <a:ext cx="65722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17</xdr:col>
      <xdr:colOff>19050</xdr:colOff>
      <xdr:row>17</xdr:row>
      <xdr:rowOff>9525</xdr:rowOff>
    </xdr:from>
    <xdr:to>
      <xdr:col>21</xdr:col>
      <xdr:colOff>15478</xdr:colOff>
      <xdr:row>17</xdr:row>
      <xdr:rowOff>200025</xdr:rowOff>
    </xdr:to>
    <xdr:sp macro="" textlink="">
      <xdr:nvSpPr>
        <xdr:cNvPr id="145" name="正方形/長方形 144">
          <a:extLst>
            <a:ext uri="{FF2B5EF4-FFF2-40B4-BE49-F238E27FC236}">
              <a16:creationId xmlns:a16="http://schemas.microsoft.com/office/drawing/2014/main" id="{5E82D634-B1FC-44D8-A15D-920094764498}"/>
            </a:ext>
          </a:extLst>
        </xdr:cNvPr>
        <xdr:cNvSpPr/>
      </xdr:nvSpPr>
      <xdr:spPr>
        <a:xfrm>
          <a:off x="2286000" y="347662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57150</xdr:colOff>
      <xdr:row>17</xdr:row>
      <xdr:rowOff>28575</xdr:rowOff>
    </xdr:from>
    <xdr:to>
      <xdr:col>41</xdr:col>
      <xdr:colOff>85725</xdr:colOff>
      <xdr:row>17</xdr:row>
      <xdr:rowOff>228600</xdr:rowOff>
    </xdr:to>
    <xdr:sp macro="" textlink="">
      <xdr:nvSpPr>
        <xdr:cNvPr id="146" name="正方形/長方形 145">
          <a:extLst>
            <a:ext uri="{FF2B5EF4-FFF2-40B4-BE49-F238E27FC236}">
              <a16:creationId xmlns:a16="http://schemas.microsoft.com/office/drawing/2014/main" id="{3B4EDCE6-05F9-45FF-9CA6-8AC70B2A1E32}"/>
            </a:ext>
          </a:extLst>
        </xdr:cNvPr>
        <xdr:cNvSpPr/>
      </xdr:nvSpPr>
      <xdr:spPr>
        <a:xfrm>
          <a:off x="4991100" y="3495675"/>
          <a:ext cx="42862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65</xdr:col>
      <xdr:colOff>57151</xdr:colOff>
      <xdr:row>17</xdr:row>
      <xdr:rowOff>28575</xdr:rowOff>
    </xdr:from>
    <xdr:to>
      <xdr:col>67</xdr:col>
      <xdr:colOff>76201</xdr:colOff>
      <xdr:row>17</xdr:row>
      <xdr:rowOff>228600</xdr:rowOff>
    </xdr:to>
    <xdr:sp macro="" textlink="">
      <xdr:nvSpPr>
        <xdr:cNvPr id="147" name="正方形/長方形 146">
          <a:extLst>
            <a:ext uri="{FF2B5EF4-FFF2-40B4-BE49-F238E27FC236}">
              <a16:creationId xmlns:a16="http://schemas.microsoft.com/office/drawing/2014/main" id="{2D54B434-E6E1-4D35-989D-B297BE75D4AC}"/>
            </a:ext>
          </a:extLst>
        </xdr:cNvPr>
        <xdr:cNvSpPr/>
      </xdr:nvSpPr>
      <xdr:spPr>
        <a:xfrm>
          <a:off x="8724901" y="3495675"/>
          <a:ext cx="285750"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11</xdr:col>
      <xdr:colOff>95250</xdr:colOff>
      <xdr:row>18</xdr:row>
      <xdr:rowOff>19051</xdr:rowOff>
    </xdr:from>
    <xdr:to>
      <xdr:col>16</xdr:col>
      <xdr:colOff>85725</xdr:colOff>
      <xdr:row>18</xdr:row>
      <xdr:rowOff>209551</xdr:rowOff>
    </xdr:to>
    <xdr:sp macro="" textlink="">
      <xdr:nvSpPr>
        <xdr:cNvPr id="148" name="正方形/長方形 147">
          <a:extLst>
            <a:ext uri="{FF2B5EF4-FFF2-40B4-BE49-F238E27FC236}">
              <a16:creationId xmlns:a16="http://schemas.microsoft.com/office/drawing/2014/main" id="{D0A3B66C-3F73-4CF9-89D2-4C9357ED0317}"/>
            </a:ext>
          </a:extLst>
        </xdr:cNvPr>
        <xdr:cNvSpPr/>
      </xdr:nvSpPr>
      <xdr:spPr>
        <a:xfrm>
          <a:off x="1562100" y="3733801"/>
          <a:ext cx="65722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42</xdr:col>
      <xdr:colOff>0</xdr:colOff>
      <xdr:row>19</xdr:row>
      <xdr:rowOff>19050</xdr:rowOff>
    </xdr:from>
    <xdr:to>
      <xdr:col>47</xdr:col>
      <xdr:colOff>82527</xdr:colOff>
      <xdr:row>19</xdr:row>
      <xdr:rowOff>209550</xdr:rowOff>
    </xdr:to>
    <xdr:sp macro="" textlink="">
      <xdr:nvSpPr>
        <xdr:cNvPr id="72" name="正方形/長方形 71">
          <a:extLst>
            <a:ext uri="{FF2B5EF4-FFF2-40B4-BE49-F238E27FC236}">
              <a16:creationId xmlns:a16="http://schemas.microsoft.com/office/drawing/2014/main" id="{78079E2A-E47B-4E99-8F1C-169926C565BA}"/>
            </a:ext>
          </a:extLst>
        </xdr:cNvPr>
        <xdr:cNvSpPr/>
      </xdr:nvSpPr>
      <xdr:spPr>
        <a:xfrm>
          <a:off x="5600700" y="3981450"/>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7</xdr:col>
      <xdr:colOff>66675</xdr:colOff>
      <xdr:row>23</xdr:row>
      <xdr:rowOff>28575</xdr:rowOff>
    </xdr:from>
    <xdr:to>
      <xdr:col>18</xdr:col>
      <xdr:colOff>45391</xdr:colOff>
      <xdr:row>23</xdr:row>
      <xdr:rowOff>218514</xdr:rowOff>
    </xdr:to>
    <xdr:sp macro="" textlink="">
      <xdr:nvSpPr>
        <xdr:cNvPr id="5" name="正方形/長方形 4">
          <a:extLst>
            <a:ext uri="{FF2B5EF4-FFF2-40B4-BE49-F238E27FC236}">
              <a16:creationId xmlns:a16="http://schemas.microsoft.com/office/drawing/2014/main" id="{BF556C93-60E9-4755-BA9F-F8DC9F91CDB1}"/>
            </a:ext>
          </a:extLst>
        </xdr:cNvPr>
        <xdr:cNvSpPr/>
      </xdr:nvSpPr>
      <xdr:spPr bwMode="auto">
        <a:xfrm>
          <a:off x="1000125" y="49815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24</xdr:row>
      <xdr:rowOff>28575</xdr:rowOff>
    </xdr:from>
    <xdr:to>
      <xdr:col>18</xdr:col>
      <xdr:colOff>35866</xdr:colOff>
      <xdr:row>24</xdr:row>
      <xdr:rowOff>218514</xdr:rowOff>
    </xdr:to>
    <xdr:sp macro="" textlink="">
      <xdr:nvSpPr>
        <xdr:cNvPr id="6" name="正方形/長方形 5">
          <a:extLst>
            <a:ext uri="{FF2B5EF4-FFF2-40B4-BE49-F238E27FC236}">
              <a16:creationId xmlns:a16="http://schemas.microsoft.com/office/drawing/2014/main" id="{DB2DEFCA-EBF0-476F-ACEA-086A879134E5}"/>
            </a:ext>
          </a:extLst>
        </xdr:cNvPr>
        <xdr:cNvSpPr/>
      </xdr:nvSpPr>
      <xdr:spPr bwMode="auto">
        <a:xfrm>
          <a:off x="990600" y="52292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25</xdr:row>
      <xdr:rowOff>38100</xdr:rowOff>
    </xdr:from>
    <xdr:to>
      <xdr:col>18</xdr:col>
      <xdr:colOff>26341</xdr:colOff>
      <xdr:row>25</xdr:row>
      <xdr:rowOff>228039</xdr:rowOff>
    </xdr:to>
    <xdr:sp macro="" textlink="">
      <xdr:nvSpPr>
        <xdr:cNvPr id="7" name="正方形/長方形 6">
          <a:extLst>
            <a:ext uri="{FF2B5EF4-FFF2-40B4-BE49-F238E27FC236}">
              <a16:creationId xmlns:a16="http://schemas.microsoft.com/office/drawing/2014/main" id="{0AFE71C3-28E7-42BE-9159-D359DA22EB99}"/>
            </a:ext>
          </a:extLst>
        </xdr:cNvPr>
        <xdr:cNvSpPr/>
      </xdr:nvSpPr>
      <xdr:spPr bwMode="auto">
        <a:xfrm>
          <a:off x="981075" y="54864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26</xdr:row>
      <xdr:rowOff>28575</xdr:rowOff>
    </xdr:from>
    <xdr:to>
      <xdr:col>18</xdr:col>
      <xdr:colOff>45391</xdr:colOff>
      <xdr:row>26</xdr:row>
      <xdr:rowOff>218514</xdr:rowOff>
    </xdr:to>
    <xdr:sp macro="" textlink="">
      <xdr:nvSpPr>
        <xdr:cNvPr id="8" name="正方形/長方形 7">
          <a:extLst>
            <a:ext uri="{FF2B5EF4-FFF2-40B4-BE49-F238E27FC236}">
              <a16:creationId xmlns:a16="http://schemas.microsoft.com/office/drawing/2014/main" id="{EB9739EE-65A3-4D2B-823E-6778C1849237}"/>
            </a:ext>
          </a:extLst>
        </xdr:cNvPr>
        <xdr:cNvSpPr/>
      </xdr:nvSpPr>
      <xdr:spPr bwMode="auto">
        <a:xfrm>
          <a:off x="1000125" y="57245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27</xdr:row>
      <xdr:rowOff>28575</xdr:rowOff>
    </xdr:from>
    <xdr:to>
      <xdr:col>18</xdr:col>
      <xdr:colOff>45391</xdr:colOff>
      <xdr:row>27</xdr:row>
      <xdr:rowOff>218514</xdr:rowOff>
    </xdr:to>
    <xdr:sp macro="" textlink="">
      <xdr:nvSpPr>
        <xdr:cNvPr id="9" name="正方形/長方形 8">
          <a:extLst>
            <a:ext uri="{FF2B5EF4-FFF2-40B4-BE49-F238E27FC236}">
              <a16:creationId xmlns:a16="http://schemas.microsoft.com/office/drawing/2014/main" id="{B5BFC770-2888-4A1A-8F37-1B7A223683E9}"/>
            </a:ext>
          </a:extLst>
        </xdr:cNvPr>
        <xdr:cNvSpPr/>
      </xdr:nvSpPr>
      <xdr:spPr bwMode="auto">
        <a:xfrm>
          <a:off x="1000125" y="5972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28</xdr:row>
      <xdr:rowOff>38100</xdr:rowOff>
    </xdr:from>
    <xdr:to>
      <xdr:col>18</xdr:col>
      <xdr:colOff>45391</xdr:colOff>
      <xdr:row>28</xdr:row>
      <xdr:rowOff>228039</xdr:rowOff>
    </xdr:to>
    <xdr:sp macro="" textlink="">
      <xdr:nvSpPr>
        <xdr:cNvPr id="10" name="正方形/長方形 9">
          <a:extLst>
            <a:ext uri="{FF2B5EF4-FFF2-40B4-BE49-F238E27FC236}">
              <a16:creationId xmlns:a16="http://schemas.microsoft.com/office/drawing/2014/main" id="{A586C3E8-08EC-4610-80AC-646D2C446640}"/>
            </a:ext>
          </a:extLst>
        </xdr:cNvPr>
        <xdr:cNvSpPr/>
      </xdr:nvSpPr>
      <xdr:spPr bwMode="auto">
        <a:xfrm>
          <a:off x="1000125" y="62293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29</xdr:row>
      <xdr:rowOff>38100</xdr:rowOff>
    </xdr:from>
    <xdr:to>
      <xdr:col>18</xdr:col>
      <xdr:colOff>54916</xdr:colOff>
      <xdr:row>29</xdr:row>
      <xdr:rowOff>228039</xdr:rowOff>
    </xdr:to>
    <xdr:sp macro="" textlink="">
      <xdr:nvSpPr>
        <xdr:cNvPr id="11" name="正方形/長方形 10">
          <a:extLst>
            <a:ext uri="{FF2B5EF4-FFF2-40B4-BE49-F238E27FC236}">
              <a16:creationId xmlns:a16="http://schemas.microsoft.com/office/drawing/2014/main" id="{7BAAC382-9643-4526-B9E4-0F88DD36CDF5}"/>
            </a:ext>
          </a:extLst>
        </xdr:cNvPr>
        <xdr:cNvSpPr/>
      </xdr:nvSpPr>
      <xdr:spPr bwMode="auto">
        <a:xfrm>
          <a:off x="1009650" y="6477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30</xdr:row>
      <xdr:rowOff>28575</xdr:rowOff>
    </xdr:from>
    <xdr:to>
      <xdr:col>18</xdr:col>
      <xdr:colOff>64441</xdr:colOff>
      <xdr:row>30</xdr:row>
      <xdr:rowOff>218514</xdr:rowOff>
    </xdr:to>
    <xdr:sp macro="" textlink="">
      <xdr:nvSpPr>
        <xdr:cNvPr id="12" name="正方形/長方形 11">
          <a:extLst>
            <a:ext uri="{FF2B5EF4-FFF2-40B4-BE49-F238E27FC236}">
              <a16:creationId xmlns:a16="http://schemas.microsoft.com/office/drawing/2014/main" id="{81CF031A-CBE6-4A23-90F4-6EE9C4E4ABD2}"/>
            </a:ext>
          </a:extLst>
        </xdr:cNvPr>
        <xdr:cNvSpPr/>
      </xdr:nvSpPr>
      <xdr:spPr bwMode="auto">
        <a:xfrm>
          <a:off x="1019175" y="67151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31</xdr:row>
      <xdr:rowOff>19050</xdr:rowOff>
    </xdr:from>
    <xdr:to>
      <xdr:col>18</xdr:col>
      <xdr:colOff>64441</xdr:colOff>
      <xdr:row>31</xdr:row>
      <xdr:rowOff>208989</xdr:rowOff>
    </xdr:to>
    <xdr:sp macro="" textlink="">
      <xdr:nvSpPr>
        <xdr:cNvPr id="13" name="正方形/長方形 12">
          <a:extLst>
            <a:ext uri="{FF2B5EF4-FFF2-40B4-BE49-F238E27FC236}">
              <a16:creationId xmlns:a16="http://schemas.microsoft.com/office/drawing/2014/main" id="{6EA518A4-5F47-458A-986B-6458C4FCD4B3}"/>
            </a:ext>
          </a:extLst>
        </xdr:cNvPr>
        <xdr:cNvSpPr/>
      </xdr:nvSpPr>
      <xdr:spPr bwMode="auto">
        <a:xfrm>
          <a:off x="1019175" y="69532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32</xdr:row>
      <xdr:rowOff>38100</xdr:rowOff>
    </xdr:from>
    <xdr:to>
      <xdr:col>18</xdr:col>
      <xdr:colOff>35866</xdr:colOff>
      <xdr:row>32</xdr:row>
      <xdr:rowOff>228039</xdr:rowOff>
    </xdr:to>
    <xdr:sp macro="" textlink="">
      <xdr:nvSpPr>
        <xdr:cNvPr id="14" name="正方形/長方形 13">
          <a:extLst>
            <a:ext uri="{FF2B5EF4-FFF2-40B4-BE49-F238E27FC236}">
              <a16:creationId xmlns:a16="http://schemas.microsoft.com/office/drawing/2014/main" id="{4AFAF5B6-32BE-489E-A054-8C4F71C49BF3}"/>
            </a:ext>
          </a:extLst>
        </xdr:cNvPr>
        <xdr:cNvSpPr/>
      </xdr:nvSpPr>
      <xdr:spPr bwMode="auto">
        <a:xfrm>
          <a:off x="990600" y="72199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33</xdr:row>
      <xdr:rowOff>38100</xdr:rowOff>
    </xdr:from>
    <xdr:to>
      <xdr:col>18</xdr:col>
      <xdr:colOff>45391</xdr:colOff>
      <xdr:row>33</xdr:row>
      <xdr:rowOff>228039</xdr:rowOff>
    </xdr:to>
    <xdr:sp macro="" textlink="">
      <xdr:nvSpPr>
        <xdr:cNvPr id="15" name="正方形/長方形 14">
          <a:extLst>
            <a:ext uri="{FF2B5EF4-FFF2-40B4-BE49-F238E27FC236}">
              <a16:creationId xmlns:a16="http://schemas.microsoft.com/office/drawing/2014/main" id="{40058DEC-09BD-4888-951A-F229476A69EB}"/>
            </a:ext>
          </a:extLst>
        </xdr:cNvPr>
        <xdr:cNvSpPr/>
      </xdr:nvSpPr>
      <xdr:spPr bwMode="auto">
        <a:xfrm>
          <a:off x="1000125" y="7467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34</xdr:row>
      <xdr:rowOff>38100</xdr:rowOff>
    </xdr:from>
    <xdr:to>
      <xdr:col>18</xdr:col>
      <xdr:colOff>35866</xdr:colOff>
      <xdr:row>34</xdr:row>
      <xdr:rowOff>228039</xdr:rowOff>
    </xdr:to>
    <xdr:sp macro="" textlink="">
      <xdr:nvSpPr>
        <xdr:cNvPr id="16" name="正方形/長方形 15">
          <a:extLst>
            <a:ext uri="{FF2B5EF4-FFF2-40B4-BE49-F238E27FC236}">
              <a16:creationId xmlns:a16="http://schemas.microsoft.com/office/drawing/2014/main" id="{A0D33146-E2A2-4156-9A09-9B9DC95A6326}"/>
            </a:ext>
          </a:extLst>
        </xdr:cNvPr>
        <xdr:cNvSpPr/>
      </xdr:nvSpPr>
      <xdr:spPr bwMode="auto">
        <a:xfrm>
          <a:off x="990600" y="77152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35</xdr:row>
      <xdr:rowOff>28575</xdr:rowOff>
    </xdr:from>
    <xdr:to>
      <xdr:col>18</xdr:col>
      <xdr:colOff>26341</xdr:colOff>
      <xdr:row>35</xdr:row>
      <xdr:rowOff>218514</xdr:rowOff>
    </xdr:to>
    <xdr:sp macro="" textlink="">
      <xdr:nvSpPr>
        <xdr:cNvPr id="17" name="正方形/長方形 16">
          <a:extLst>
            <a:ext uri="{FF2B5EF4-FFF2-40B4-BE49-F238E27FC236}">
              <a16:creationId xmlns:a16="http://schemas.microsoft.com/office/drawing/2014/main" id="{7227A6B6-B1DD-4F95-8D2F-90AA61D341F0}"/>
            </a:ext>
          </a:extLst>
        </xdr:cNvPr>
        <xdr:cNvSpPr/>
      </xdr:nvSpPr>
      <xdr:spPr bwMode="auto">
        <a:xfrm>
          <a:off x="981075" y="79533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36</xdr:row>
      <xdr:rowOff>38100</xdr:rowOff>
    </xdr:from>
    <xdr:to>
      <xdr:col>18</xdr:col>
      <xdr:colOff>35866</xdr:colOff>
      <xdr:row>36</xdr:row>
      <xdr:rowOff>228039</xdr:rowOff>
    </xdr:to>
    <xdr:sp macro="" textlink="">
      <xdr:nvSpPr>
        <xdr:cNvPr id="18" name="正方形/長方形 17">
          <a:extLst>
            <a:ext uri="{FF2B5EF4-FFF2-40B4-BE49-F238E27FC236}">
              <a16:creationId xmlns:a16="http://schemas.microsoft.com/office/drawing/2014/main" id="{BCF254D8-7AAA-493C-BB38-13A7E817FD36}"/>
            </a:ext>
          </a:extLst>
        </xdr:cNvPr>
        <xdr:cNvSpPr/>
      </xdr:nvSpPr>
      <xdr:spPr bwMode="auto">
        <a:xfrm>
          <a:off x="990600" y="82105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37</xdr:row>
      <xdr:rowOff>38100</xdr:rowOff>
    </xdr:from>
    <xdr:to>
      <xdr:col>18</xdr:col>
      <xdr:colOff>45391</xdr:colOff>
      <xdr:row>37</xdr:row>
      <xdr:rowOff>228039</xdr:rowOff>
    </xdr:to>
    <xdr:sp macro="" textlink="">
      <xdr:nvSpPr>
        <xdr:cNvPr id="20" name="正方形/長方形 19">
          <a:extLst>
            <a:ext uri="{FF2B5EF4-FFF2-40B4-BE49-F238E27FC236}">
              <a16:creationId xmlns:a16="http://schemas.microsoft.com/office/drawing/2014/main" id="{FB51BF93-2EA7-49B3-8012-979174D3A199}"/>
            </a:ext>
          </a:extLst>
        </xdr:cNvPr>
        <xdr:cNvSpPr/>
      </xdr:nvSpPr>
      <xdr:spPr bwMode="auto">
        <a:xfrm>
          <a:off x="1000125" y="84582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38</xdr:row>
      <xdr:rowOff>38100</xdr:rowOff>
    </xdr:from>
    <xdr:to>
      <xdr:col>18</xdr:col>
      <xdr:colOff>35866</xdr:colOff>
      <xdr:row>38</xdr:row>
      <xdr:rowOff>228039</xdr:rowOff>
    </xdr:to>
    <xdr:sp macro="" textlink="">
      <xdr:nvSpPr>
        <xdr:cNvPr id="21" name="正方形/長方形 20">
          <a:extLst>
            <a:ext uri="{FF2B5EF4-FFF2-40B4-BE49-F238E27FC236}">
              <a16:creationId xmlns:a16="http://schemas.microsoft.com/office/drawing/2014/main" id="{996468D0-96C6-4532-B3CF-ED8ACE266254}"/>
            </a:ext>
          </a:extLst>
        </xdr:cNvPr>
        <xdr:cNvSpPr/>
      </xdr:nvSpPr>
      <xdr:spPr bwMode="auto">
        <a:xfrm>
          <a:off x="990600" y="87058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39</xdr:row>
      <xdr:rowOff>28575</xdr:rowOff>
    </xdr:from>
    <xdr:to>
      <xdr:col>18</xdr:col>
      <xdr:colOff>35866</xdr:colOff>
      <xdr:row>39</xdr:row>
      <xdr:rowOff>218514</xdr:rowOff>
    </xdr:to>
    <xdr:sp macro="" textlink="">
      <xdr:nvSpPr>
        <xdr:cNvPr id="22" name="正方形/長方形 21">
          <a:extLst>
            <a:ext uri="{FF2B5EF4-FFF2-40B4-BE49-F238E27FC236}">
              <a16:creationId xmlns:a16="http://schemas.microsoft.com/office/drawing/2014/main" id="{F1696BAE-6A0D-4D8E-A0BE-3601B7BA67E7}"/>
            </a:ext>
          </a:extLst>
        </xdr:cNvPr>
        <xdr:cNvSpPr/>
      </xdr:nvSpPr>
      <xdr:spPr bwMode="auto">
        <a:xfrm>
          <a:off x="990600" y="89439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40</xdr:row>
      <xdr:rowOff>28575</xdr:rowOff>
    </xdr:from>
    <xdr:to>
      <xdr:col>18</xdr:col>
      <xdr:colOff>45391</xdr:colOff>
      <xdr:row>40</xdr:row>
      <xdr:rowOff>218514</xdr:rowOff>
    </xdr:to>
    <xdr:sp macro="" textlink="">
      <xdr:nvSpPr>
        <xdr:cNvPr id="23" name="正方形/長方形 22">
          <a:extLst>
            <a:ext uri="{FF2B5EF4-FFF2-40B4-BE49-F238E27FC236}">
              <a16:creationId xmlns:a16="http://schemas.microsoft.com/office/drawing/2014/main" id="{D3DF21CF-B983-4526-BF9E-3BD61FDB1450}"/>
            </a:ext>
          </a:extLst>
        </xdr:cNvPr>
        <xdr:cNvSpPr/>
      </xdr:nvSpPr>
      <xdr:spPr bwMode="auto">
        <a:xfrm>
          <a:off x="1000125" y="91916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41</xdr:row>
      <xdr:rowOff>28575</xdr:rowOff>
    </xdr:from>
    <xdr:to>
      <xdr:col>18</xdr:col>
      <xdr:colOff>45391</xdr:colOff>
      <xdr:row>41</xdr:row>
      <xdr:rowOff>218514</xdr:rowOff>
    </xdr:to>
    <xdr:sp macro="" textlink="">
      <xdr:nvSpPr>
        <xdr:cNvPr id="24" name="正方形/長方形 23">
          <a:extLst>
            <a:ext uri="{FF2B5EF4-FFF2-40B4-BE49-F238E27FC236}">
              <a16:creationId xmlns:a16="http://schemas.microsoft.com/office/drawing/2014/main" id="{24CE8CA2-B562-432F-96BB-E29699087736}"/>
            </a:ext>
          </a:extLst>
        </xdr:cNvPr>
        <xdr:cNvSpPr/>
      </xdr:nvSpPr>
      <xdr:spPr bwMode="auto">
        <a:xfrm>
          <a:off x="1000125" y="94392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42</xdr:row>
      <xdr:rowOff>28575</xdr:rowOff>
    </xdr:from>
    <xdr:to>
      <xdr:col>18</xdr:col>
      <xdr:colOff>45391</xdr:colOff>
      <xdr:row>42</xdr:row>
      <xdr:rowOff>218514</xdr:rowOff>
    </xdr:to>
    <xdr:sp macro="" textlink="">
      <xdr:nvSpPr>
        <xdr:cNvPr id="25" name="正方形/長方形 24">
          <a:extLst>
            <a:ext uri="{FF2B5EF4-FFF2-40B4-BE49-F238E27FC236}">
              <a16:creationId xmlns:a16="http://schemas.microsoft.com/office/drawing/2014/main" id="{F0812A23-CBF9-48EA-A940-B70DAEF4509A}"/>
            </a:ext>
          </a:extLst>
        </xdr:cNvPr>
        <xdr:cNvSpPr/>
      </xdr:nvSpPr>
      <xdr:spPr bwMode="auto">
        <a:xfrm>
          <a:off x="1000125" y="96869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43</xdr:row>
      <xdr:rowOff>38100</xdr:rowOff>
    </xdr:from>
    <xdr:to>
      <xdr:col>18</xdr:col>
      <xdr:colOff>45391</xdr:colOff>
      <xdr:row>43</xdr:row>
      <xdr:rowOff>228039</xdr:rowOff>
    </xdr:to>
    <xdr:sp macro="" textlink="">
      <xdr:nvSpPr>
        <xdr:cNvPr id="26" name="正方形/長方形 25">
          <a:extLst>
            <a:ext uri="{FF2B5EF4-FFF2-40B4-BE49-F238E27FC236}">
              <a16:creationId xmlns:a16="http://schemas.microsoft.com/office/drawing/2014/main" id="{CAD98993-C9B8-455F-A80C-7A2AD566105E}"/>
            </a:ext>
          </a:extLst>
        </xdr:cNvPr>
        <xdr:cNvSpPr/>
      </xdr:nvSpPr>
      <xdr:spPr bwMode="auto">
        <a:xfrm>
          <a:off x="1000125" y="99441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44</xdr:row>
      <xdr:rowOff>38100</xdr:rowOff>
    </xdr:from>
    <xdr:to>
      <xdr:col>18</xdr:col>
      <xdr:colOff>35866</xdr:colOff>
      <xdr:row>44</xdr:row>
      <xdr:rowOff>228039</xdr:rowOff>
    </xdr:to>
    <xdr:sp macro="" textlink="">
      <xdr:nvSpPr>
        <xdr:cNvPr id="27" name="正方形/長方形 26">
          <a:extLst>
            <a:ext uri="{FF2B5EF4-FFF2-40B4-BE49-F238E27FC236}">
              <a16:creationId xmlns:a16="http://schemas.microsoft.com/office/drawing/2014/main" id="{5D8995EE-C592-4AF4-9956-8FFE840668D8}"/>
            </a:ext>
          </a:extLst>
        </xdr:cNvPr>
        <xdr:cNvSpPr/>
      </xdr:nvSpPr>
      <xdr:spPr bwMode="auto">
        <a:xfrm>
          <a:off x="990600" y="101917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45</xdr:row>
      <xdr:rowOff>28575</xdr:rowOff>
    </xdr:from>
    <xdr:to>
      <xdr:col>18</xdr:col>
      <xdr:colOff>26341</xdr:colOff>
      <xdr:row>45</xdr:row>
      <xdr:rowOff>218514</xdr:rowOff>
    </xdr:to>
    <xdr:sp macro="" textlink="">
      <xdr:nvSpPr>
        <xdr:cNvPr id="31" name="正方形/長方形 30">
          <a:extLst>
            <a:ext uri="{FF2B5EF4-FFF2-40B4-BE49-F238E27FC236}">
              <a16:creationId xmlns:a16="http://schemas.microsoft.com/office/drawing/2014/main" id="{B22C6B1A-12FA-480F-AD8D-346D947F1FAC}"/>
            </a:ext>
          </a:extLst>
        </xdr:cNvPr>
        <xdr:cNvSpPr/>
      </xdr:nvSpPr>
      <xdr:spPr bwMode="auto">
        <a:xfrm>
          <a:off x="981075" y="104298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38100</xdr:colOff>
      <xdr:row>46</xdr:row>
      <xdr:rowOff>38100</xdr:rowOff>
    </xdr:from>
    <xdr:to>
      <xdr:col>18</xdr:col>
      <xdr:colOff>16816</xdr:colOff>
      <xdr:row>46</xdr:row>
      <xdr:rowOff>228039</xdr:rowOff>
    </xdr:to>
    <xdr:sp macro="" textlink="">
      <xdr:nvSpPr>
        <xdr:cNvPr id="32" name="正方形/長方形 31">
          <a:extLst>
            <a:ext uri="{FF2B5EF4-FFF2-40B4-BE49-F238E27FC236}">
              <a16:creationId xmlns:a16="http://schemas.microsoft.com/office/drawing/2014/main" id="{16E1F5A0-DA02-41BB-AFB0-3E7A5876C89C}"/>
            </a:ext>
          </a:extLst>
        </xdr:cNvPr>
        <xdr:cNvSpPr/>
      </xdr:nvSpPr>
      <xdr:spPr bwMode="auto">
        <a:xfrm>
          <a:off x="971550" y="10687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47</xdr:row>
      <xdr:rowOff>28575</xdr:rowOff>
    </xdr:from>
    <xdr:to>
      <xdr:col>18</xdr:col>
      <xdr:colOff>26341</xdr:colOff>
      <xdr:row>47</xdr:row>
      <xdr:rowOff>218514</xdr:rowOff>
    </xdr:to>
    <xdr:sp macro="" textlink="">
      <xdr:nvSpPr>
        <xdr:cNvPr id="33" name="正方形/長方形 32">
          <a:extLst>
            <a:ext uri="{FF2B5EF4-FFF2-40B4-BE49-F238E27FC236}">
              <a16:creationId xmlns:a16="http://schemas.microsoft.com/office/drawing/2014/main" id="{789B7D6C-AEAA-4A91-9201-6E5A224E3212}"/>
            </a:ext>
          </a:extLst>
        </xdr:cNvPr>
        <xdr:cNvSpPr/>
      </xdr:nvSpPr>
      <xdr:spPr bwMode="auto">
        <a:xfrm>
          <a:off x="981075" y="10925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48</xdr:row>
      <xdr:rowOff>28575</xdr:rowOff>
    </xdr:from>
    <xdr:to>
      <xdr:col>18</xdr:col>
      <xdr:colOff>26341</xdr:colOff>
      <xdr:row>48</xdr:row>
      <xdr:rowOff>218514</xdr:rowOff>
    </xdr:to>
    <xdr:sp macro="" textlink="">
      <xdr:nvSpPr>
        <xdr:cNvPr id="34" name="正方形/長方形 33">
          <a:extLst>
            <a:ext uri="{FF2B5EF4-FFF2-40B4-BE49-F238E27FC236}">
              <a16:creationId xmlns:a16="http://schemas.microsoft.com/office/drawing/2014/main" id="{255E751B-4642-49A2-B10E-D2EA45E4A037}"/>
            </a:ext>
          </a:extLst>
        </xdr:cNvPr>
        <xdr:cNvSpPr/>
      </xdr:nvSpPr>
      <xdr:spPr bwMode="auto">
        <a:xfrm>
          <a:off x="981075" y="111728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49</xdr:row>
      <xdr:rowOff>38100</xdr:rowOff>
    </xdr:from>
    <xdr:to>
      <xdr:col>18</xdr:col>
      <xdr:colOff>35866</xdr:colOff>
      <xdr:row>49</xdr:row>
      <xdr:rowOff>228039</xdr:rowOff>
    </xdr:to>
    <xdr:sp macro="" textlink="">
      <xdr:nvSpPr>
        <xdr:cNvPr id="35" name="正方形/長方形 34">
          <a:extLst>
            <a:ext uri="{FF2B5EF4-FFF2-40B4-BE49-F238E27FC236}">
              <a16:creationId xmlns:a16="http://schemas.microsoft.com/office/drawing/2014/main" id="{64DE9202-5124-497D-8AD4-AF3C70EF11F3}"/>
            </a:ext>
          </a:extLst>
        </xdr:cNvPr>
        <xdr:cNvSpPr/>
      </xdr:nvSpPr>
      <xdr:spPr bwMode="auto">
        <a:xfrm>
          <a:off x="990600" y="11430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50</xdr:row>
      <xdr:rowOff>28575</xdr:rowOff>
    </xdr:from>
    <xdr:to>
      <xdr:col>18</xdr:col>
      <xdr:colOff>35866</xdr:colOff>
      <xdr:row>50</xdr:row>
      <xdr:rowOff>218514</xdr:rowOff>
    </xdr:to>
    <xdr:sp macro="" textlink="">
      <xdr:nvSpPr>
        <xdr:cNvPr id="36" name="正方形/長方形 35">
          <a:extLst>
            <a:ext uri="{FF2B5EF4-FFF2-40B4-BE49-F238E27FC236}">
              <a16:creationId xmlns:a16="http://schemas.microsoft.com/office/drawing/2014/main" id="{1AEC9EAF-89B7-43B6-B482-E3AEE938AB2C}"/>
            </a:ext>
          </a:extLst>
        </xdr:cNvPr>
        <xdr:cNvSpPr/>
      </xdr:nvSpPr>
      <xdr:spPr bwMode="auto">
        <a:xfrm>
          <a:off x="990600" y="116681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51</xdr:row>
      <xdr:rowOff>28575</xdr:rowOff>
    </xdr:from>
    <xdr:to>
      <xdr:col>18</xdr:col>
      <xdr:colOff>54916</xdr:colOff>
      <xdr:row>51</xdr:row>
      <xdr:rowOff>218514</xdr:rowOff>
    </xdr:to>
    <xdr:sp macro="" textlink="">
      <xdr:nvSpPr>
        <xdr:cNvPr id="37" name="正方形/長方形 36">
          <a:extLst>
            <a:ext uri="{FF2B5EF4-FFF2-40B4-BE49-F238E27FC236}">
              <a16:creationId xmlns:a16="http://schemas.microsoft.com/office/drawing/2014/main" id="{93D1CB4B-2C4E-4109-AD7D-15E91AC60391}"/>
            </a:ext>
          </a:extLst>
        </xdr:cNvPr>
        <xdr:cNvSpPr/>
      </xdr:nvSpPr>
      <xdr:spPr bwMode="auto">
        <a:xfrm>
          <a:off x="1009650" y="119157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52</xdr:row>
      <xdr:rowOff>19050</xdr:rowOff>
    </xdr:from>
    <xdr:to>
      <xdr:col>18</xdr:col>
      <xdr:colOff>64441</xdr:colOff>
      <xdr:row>52</xdr:row>
      <xdr:rowOff>208989</xdr:rowOff>
    </xdr:to>
    <xdr:sp macro="" textlink="">
      <xdr:nvSpPr>
        <xdr:cNvPr id="38" name="正方形/長方形 37">
          <a:extLst>
            <a:ext uri="{FF2B5EF4-FFF2-40B4-BE49-F238E27FC236}">
              <a16:creationId xmlns:a16="http://schemas.microsoft.com/office/drawing/2014/main" id="{DA6239D1-F2CA-41EC-A60A-12EB485A3616}"/>
            </a:ext>
          </a:extLst>
        </xdr:cNvPr>
        <xdr:cNvSpPr/>
      </xdr:nvSpPr>
      <xdr:spPr bwMode="auto">
        <a:xfrm>
          <a:off x="1019175" y="121539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68910</xdr:colOff>
      <xdr:row>22</xdr:row>
      <xdr:rowOff>29136</xdr:rowOff>
    </xdr:from>
    <xdr:to>
      <xdr:col>30</xdr:col>
      <xdr:colOff>47626</xdr:colOff>
      <xdr:row>22</xdr:row>
      <xdr:rowOff>219075</xdr:rowOff>
    </xdr:to>
    <xdr:sp macro="" textlink="">
      <xdr:nvSpPr>
        <xdr:cNvPr id="39" name="正方形/長方形 38">
          <a:extLst>
            <a:ext uri="{FF2B5EF4-FFF2-40B4-BE49-F238E27FC236}">
              <a16:creationId xmlns:a16="http://schemas.microsoft.com/office/drawing/2014/main" id="{42CE4E6D-5726-435E-B90C-663FB1493191}"/>
            </a:ext>
          </a:extLst>
        </xdr:cNvPr>
        <xdr:cNvSpPr/>
      </xdr:nvSpPr>
      <xdr:spPr bwMode="auto">
        <a:xfrm>
          <a:off x="2602560" y="4734486"/>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23</xdr:row>
      <xdr:rowOff>19050</xdr:rowOff>
    </xdr:from>
    <xdr:to>
      <xdr:col>30</xdr:col>
      <xdr:colOff>35866</xdr:colOff>
      <xdr:row>23</xdr:row>
      <xdr:rowOff>208989</xdr:rowOff>
    </xdr:to>
    <xdr:sp macro="" textlink="">
      <xdr:nvSpPr>
        <xdr:cNvPr id="40" name="正方形/長方形 39">
          <a:extLst>
            <a:ext uri="{FF2B5EF4-FFF2-40B4-BE49-F238E27FC236}">
              <a16:creationId xmlns:a16="http://schemas.microsoft.com/office/drawing/2014/main" id="{C63726E4-0177-48BC-92CD-E133C6B9622E}"/>
            </a:ext>
          </a:extLst>
        </xdr:cNvPr>
        <xdr:cNvSpPr/>
      </xdr:nvSpPr>
      <xdr:spPr bwMode="auto">
        <a:xfrm>
          <a:off x="2590800" y="4972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24</xdr:row>
      <xdr:rowOff>19050</xdr:rowOff>
    </xdr:from>
    <xdr:to>
      <xdr:col>30</xdr:col>
      <xdr:colOff>26341</xdr:colOff>
      <xdr:row>24</xdr:row>
      <xdr:rowOff>208989</xdr:rowOff>
    </xdr:to>
    <xdr:sp macro="" textlink="">
      <xdr:nvSpPr>
        <xdr:cNvPr id="41" name="正方形/長方形 40">
          <a:extLst>
            <a:ext uri="{FF2B5EF4-FFF2-40B4-BE49-F238E27FC236}">
              <a16:creationId xmlns:a16="http://schemas.microsoft.com/office/drawing/2014/main" id="{4018B1D8-20A5-44D1-AB88-9A6E59287120}"/>
            </a:ext>
          </a:extLst>
        </xdr:cNvPr>
        <xdr:cNvSpPr/>
      </xdr:nvSpPr>
      <xdr:spPr bwMode="auto">
        <a:xfrm>
          <a:off x="2581275" y="52197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38100</xdr:colOff>
      <xdr:row>25</xdr:row>
      <xdr:rowOff>57150</xdr:rowOff>
    </xdr:from>
    <xdr:to>
      <xdr:col>30</xdr:col>
      <xdr:colOff>16816</xdr:colOff>
      <xdr:row>25</xdr:row>
      <xdr:rowOff>247089</xdr:rowOff>
    </xdr:to>
    <xdr:sp macro="" textlink="">
      <xdr:nvSpPr>
        <xdr:cNvPr id="42" name="正方形/長方形 41">
          <a:extLst>
            <a:ext uri="{FF2B5EF4-FFF2-40B4-BE49-F238E27FC236}">
              <a16:creationId xmlns:a16="http://schemas.microsoft.com/office/drawing/2014/main" id="{7E09286E-577D-4E3B-B433-4BB1D75BAF6B}"/>
            </a:ext>
          </a:extLst>
        </xdr:cNvPr>
        <xdr:cNvSpPr/>
      </xdr:nvSpPr>
      <xdr:spPr bwMode="auto">
        <a:xfrm>
          <a:off x="2571750" y="55054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26</xdr:row>
      <xdr:rowOff>38100</xdr:rowOff>
    </xdr:from>
    <xdr:to>
      <xdr:col>30</xdr:col>
      <xdr:colOff>26341</xdr:colOff>
      <xdr:row>26</xdr:row>
      <xdr:rowOff>228039</xdr:rowOff>
    </xdr:to>
    <xdr:sp macro="" textlink="">
      <xdr:nvSpPr>
        <xdr:cNvPr id="43" name="正方形/長方形 42">
          <a:extLst>
            <a:ext uri="{FF2B5EF4-FFF2-40B4-BE49-F238E27FC236}">
              <a16:creationId xmlns:a16="http://schemas.microsoft.com/office/drawing/2014/main" id="{FFB7059C-2EF8-47F7-B86F-FE4EEAEC12B0}"/>
            </a:ext>
          </a:extLst>
        </xdr:cNvPr>
        <xdr:cNvSpPr/>
      </xdr:nvSpPr>
      <xdr:spPr bwMode="auto">
        <a:xfrm>
          <a:off x="2581275" y="5734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27</xdr:row>
      <xdr:rowOff>28575</xdr:rowOff>
    </xdr:from>
    <xdr:to>
      <xdr:col>30</xdr:col>
      <xdr:colOff>35866</xdr:colOff>
      <xdr:row>27</xdr:row>
      <xdr:rowOff>218514</xdr:rowOff>
    </xdr:to>
    <xdr:sp macro="" textlink="">
      <xdr:nvSpPr>
        <xdr:cNvPr id="44" name="正方形/長方形 43">
          <a:extLst>
            <a:ext uri="{FF2B5EF4-FFF2-40B4-BE49-F238E27FC236}">
              <a16:creationId xmlns:a16="http://schemas.microsoft.com/office/drawing/2014/main" id="{221CF087-93DE-4545-AA89-BB5F69B5E02E}"/>
            </a:ext>
          </a:extLst>
        </xdr:cNvPr>
        <xdr:cNvSpPr/>
      </xdr:nvSpPr>
      <xdr:spPr bwMode="auto">
        <a:xfrm>
          <a:off x="2590800" y="5972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28</xdr:row>
      <xdr:rowOff>57150</xdr:rowOff>
    </xdr:from>
    <xdr:to>
      <xdr:col>30</xdr:col>
      <xdr:colOff>35866</xdr:colOff>
      <xdr:row>28</xdr:row>
      <xdr:rowOff>247089</xdr:rowOff>
    </xdr:to>
    <xdr:sp macro="" textlink="">
      <xdr:nvSpPr>
        <xdr:cNvPr id="45" name="正方形/長方形 44">
          <a:extLst>
            <a:ext uri="{FF2B5EF4-FFF2-40B4-BE49-F238E27FC236}">
              <a16:creationId xmlns:a16="http://schemas.microsoft.com/office/drawing/2014/main" id="{109E6667-CC04-4836-9156-0434FEE34A8C}"/>
            </a:ext>
          </a:extLst>
        </xdr:cNvPr>
        <xdr:cNvSpPr/>
      </xdr:nvSpPr>
      <xdr:spPr bwMode="auto">
        <a:xfrm>
          <a:off x="2590800" y="62484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29</xdr:row>
      <xdr:rowOff>57150</xdr:rowOff>
    </xdr:from>
    <xdr:to>
      <xdr:col>30</xdr:col>
      <xdr:colOff>45391</xdr:colOff>
      <xdr:row>29</xdr:row>
      <xdr:rowOff>247089</xdr:rowOff>
    </xdr:to>
    <xdr:sp macro="" textlink="">
      <xdr:nvSpPr>
        <xdr:cNvPr id="46" name="正方形/長方形 45">
          <a:extLst>
            <a:ext uri="{FF2B5EF4-FFF2-40B4-BE49-F238E27FC236}">
              <a16:creationId xmlns:a16="http://schemas.microsoft.com/office/drawing/2014/main" id="{D5D5C86B-BFAD-412D-BAD2-A47F6631297A}"/>
            </a:ext>
          </a:extLst>
        </xdr:cNvPr>
        <xdr:cNvSpPr/>
      </xdr:nvSpPr>
      <xdr:spPr bwMode="auto">
        <a:xfrm>
          <a:off x="2600325" y="6496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30</xdr:row>
      <xdr:rowOff>19050</xdr:rowOff>
    </xdr:from>
    <xdr:to>
      <xdr:col>30</xdr:col>
      <xdr:colOff>54916</xdr:colOff>
      <xdr:row>30</xdr:row>
      <xdr:rowOff>208989</xdr:rowOff>
    </xdr:to>
    <xdr:sp macro="" textlink="">
      <xdr:nvSpPr>
        <xdr:cNvPr id="47" name="正方形/長方形 46">
          <a:extLst>
            <a:ext uri="{FF2B5EF4-FFF2-40B4-BE49-F238E27FC236}">
              <a16:creationId xmlns:a16="http://schemas.microsoft.com/office/drawing/2014/main" id="{ED348806-5C51-4407-AFC1-69F5CA36404B}"/>
            </a:ext>
          </a:extLst>
        </xdr:cNvPr>
        <xdr:cNvSpPr/>
      </xdr:nvSpPr>
      <xdr:spPr bwMode="auto">
        <a:xfrm>
          <a:off x="2609850" y="6705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31</xdr:row>
      <xdr:rowOff>38100</xdr:rowOff>
    </xdr:from>
    <xdr:to>
      <xdr:col>30</xdr:col>
      <xdr:colOff>54916</xdr:colOff>
      <xdr:row>31</xdr:row>
      <xdr:rowOff>228039</xdr:rowOff>
    </xdr:to>
    <xdr:sp macro="" textlink="">
      <xdr:nvSpPr>
        <xdr:cNvPr id="48" name="正方形/長方形 47">
          <a:extLst>
            <a:ext uri="{FF2B5EF4-FFF2-40B4-BE49-F238E27FC236}">
              <a16:creationId xmlns:a16="http://schemas.microsoft.com/office/drawing/2014/main" id="{AFB616F8-CBC1-42D1-AE6D-61743B7EF62E}"/>
            </a:ext>
          </a:extLst>
        </xdr:cNvPr>
        <xdr:cNvSpPr/>
      </xdr:nvSpPr>
      <xdr:spPr bwMode="auto">
        <a:xfrm>
          <a:off x="2609850" y="69723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78435</xdr:colOff>
      <xdr:row>32</xdr:row>
      <xdr:rowOff>19611</xdr:rowOff>
    </xdr:from>
    <xdr:to>
      <xdr:col>30</xdr:col>
      <xdr:colOff>57151</xdr:colOff>
      <xdr:row>32</xdr:row>
      <xdr:rowOff>209550</xdr:rowOff>
    </xdr:to>
    <xdr:sp macro="" textlink="">
      <xdr:nvSpPr>
        <xdr:cNvPr id="49" name="正方形/長方形 48">
          <a:extLst>
            <a:ext uri="{FF2B5EF4-FFF2-40B4-BE49-F238E27FC236}">
              <a16:creationId xmlns:a16="http://schemas.microsoft.com/office/drawing/2014/main" id="{AF7C29EA-9FCB-4BFF-B903-1BA5560B08F8}"/>
            </a:ext>
          </a:extLst>
        </xdr:cNvPr>
        <xdr:cNvSpPr/>
      </xdr:nvSpPr>
      <xdr:spPr bwMode="auto">
        <a:xfrm>
          <a:off x="2612085" y="7201461"/>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33</xdr:row>
      <xdr:rowOff>19050</xdr:rowOff>
    </xdr:from>
    <xdr:to>
      <xdr:col>30</xdr:col>
      <xdr:colOff>35866</xdr:colOff>
      <xdr:row>33</xdr:row>
      <xdr:rowOff>208989</xdr:rowOff>
    </xdr:to>
    <xdr:sp macro="" textlink="">
      <xdr:nvSpPr>
        <xdr:cNvPr id="50" name="正方形/長方形 49">
          <a:extLst>
            <a:ext uri="{FF2B5EF4-FFF2-40B4-BE49-F238E27FC236}">
              <a16:creationId xmlns:a16="http://schemas.microsoft.com/office/drawing/2014/main" id="{C0D9EB49-5E0F-46AF-8F3F-458F2B012BF8}"/>
            </a:ext>
          </a:extLst>
        </xdr:cNvPr>
        <xdr:cNvSpPr/>
      </xdr:nvSpPr>
      <xdr:spPr bwMode="auto">
        <a:xfrm>
          <a:off x="2590800" y="74485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34</xdr:row>
      <xdr:rowOff>19050</xdr:rowOff>
    </xdr:from>
    <xdr:to>
      <xdr:col>30</xdr:col>
      <xdr:colOff>26341</xdr:colOff>
      <xdr:row>34</xdr:row>
      <xdr:rowOff>208989</xdr:rowOff>
    </xdr:to>
    <xdr:sp macro="" textlink="">
      <xdr:nvSpPr>
        <xdr:cNvPr id="51" name="正方形/長方形 50">
          <a:extLst>
            <a:ext uri="{FF2B5EF4-FFF2-40B4-BE49-F238E27FC236}">
              <a16:creationId xmlns:a16="http://schemas.microsoft.com/office/drawing/2014/main" id="{C03E189D-89FD-4726-8AC8-3AB9A2D84FA4}"/>
            </a:ext>
          </a:extLst>
        </xdr:cNvPr>
        <xdr:cNvSpPr/>
      </xdr:nvSpPr>
      <xdr:spPr bwMode="auto">
        <a:xfrm>
          <a:off x="2581275" y="76962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38100</xdr:colOff>
      <xdr:row>35</xdr:row>
      <xdr:rowOff>28575</xdr:rowOff>
    </xdr:from>
    <xdr:to>
      <xdr:col>30</xdr:col>
      <xdr:colOff>16816</xdr:colOff>
      <xdr:row>35</xdr:row>
      <xdr:rowOff>218514</xdr:rowOff>
    </xdr:to>
    <xdr:sp macro="" textlink="">
      <xdr:nvSpPr>
        <xdr:cNvPr id="52" name="正方形/長方形 51">
          <a:extLst>
            <a:ext uri="{FF2B5EF4-FFF2-40B4-BE49-F238E27FC236}">
              <a16:creationId xmlns:a16="http://schemas.microsoft.com/office/drawing/2014/main" id="{F7D14F23-FA13-4F48-9ECB-FB7D431E2A78}"/>
            </a:ext>
          </a:extLst>
        </xdr:cNvPr>
        <xdr:cNvSpPr/>
      </xdr:nvSpPr>
      <xdr:spPr bwMode="auto">
        <a:xfrm>
          <a:off x="2571750" y="79533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36</xdr:row>
      <xdr:rowOff>19050</xdr:rowOff>
    </xdr:from>
    <xdr:to>
      <xdr:col>30</xdr:col>
      <xdr:colOff>35866</xdr:colOff>
      <xdr:row>36</xdr:row>
      <xdr:rowOff>208989</xdr:rowOff>
    </xdr:to>
    <xdr:sp macro="" textlink="">
      <xdr:nvSpPr>
        <xdr:cNvPr id="53" name="正方形/長方形 52">
          <a:extLst>
            <a:ext uri="{FF2B5EF4-FFF2-40B4-BE49-F238E27FC236}">
              <a16:creationId xmlns:a16="http://schemas.microsoft.com/office/drawing/2014/main" id="{09F390A1-E851-4384-AF9A-7E9AB999134B}"/>
            </a:ext>
          </a:extLst>
        </xdr:cNvPr>
        <xdr:cNvSpPr/>
      </xdr:nvSpPr>
      <xdr:spPr bwMode="auto">
        <a:xfrm>
          <a:off x="2590800" y="81915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37</xdr:row>
      <xdr:rowOff>19050</xdr:rowOff>
    </xdr:from>
    <xdr:to>
      <xdr:col>30</xdr:col>
      <xdr:colOff>35866</xdr:colOff>
      <xdr:row>37</xdr:row>
      <xdr:rowOff>208989</xdr:rowOff>
    </xdr:to>
    <xdr:sp macro="" textlink="">
      <xdr:nvSpPr>
        <xdr:cNvPr id="54" name="正方形/長方形 53">
          <a:extLst>
            <a:ext uri="{FF2B5EF4-FFF2-40B4-BE49-F238E27FC236}">
              <a16:creationId xmlns:a16="http://schemas.microsoft.com/office/drawing/2014/main" id="{243222BD-596A-4826-8426-B7F07FFDC1DE}"/>
            </a:ext>
          </a:extLst>
        </xdr:cNvPr>
        <xdr:cNvSpPr/>
      </xdr:nvSpPr>
      <xdr:spPr bwMode="auto">
        <a:xfrm>
          <a:off x="2590800" y="84391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38</xdr:row>
      <xdr:rowOff>28575</xdr:rowOff>
    </xdr:from>
    <xdr:to>
      <xdr:col>30</xdr:col>
      <xdr:colOff>35866</xdr:colOff>
      <xdr:row>38</xdr:row>
      <xdr:rowOff>218514</xdr:rowOff>
    </xdr:to>
    <xdr:sp macro="" textlink="">
      <xdr:nvSpPr>
        <xdr:cNvPr id="55" name="正方形/長方形 54">
          <a:extLst>
            <a:ext uri="{FF2B5EF4-FFF2-40B4-BE49-F238E27FC236}">
              <a16:creationId xmlns:a16="http://schemas.microsoft.com/office/drawing/2014/main" id="{0DDD4920-F5E2-4EC9-8391-401A913342B6}"/>
            </a:ext>
          </a:extLst>
        </xdr:cNvPr>
        <xdr:cNvSpPr/>
      </xdr:nvSpPr>
      <xdr:spPr bwMode="auto">
        <a:xfrm>
          <a:off x="2590800" y="86963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39</xdr:row>
      <xdr:rowOff>28575</xdr:rowOff>
    </xdr:from>
    <xdr:to>
      <xdr:col>30</xdr:col>
      <xdr:colOff>45391</xdr:colOff>
      <xdr:row>39</xdr:row>
      <xdr:rowOff>218514</xdr:rowOff>
    </xdr:to>
    <xdr:sp macro="" textlink="">
      <xdr:nvSpPr>
        <xdr:cNvPr id="56" name="正方形/長方形 55">
          <a:extLst>
            <a:ext uri="{FF2B5EF4-FFF2-40B4-BE49-F238E27FC236}">
              <a16:creationId xmlns:a16="http://schemas.microsoft.com/office/drawing/2014/main" id="{EFBF7379-FDB5-4146-B1DF-005EAF477804}"/>
            </a:ext>
          </a:extLst>
        </xdr:cNvPr>
        <xdr:cNvSpPr/>
      </xdr:nvSpPr>
      <xdr:spPr bwMode="auto">
        <a:xfrm>
          <a:off x="2600325" y="89439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40</xdr:row>
      <xdr:rowOff>19050</xdr:rowOff>
    </xdr:from>
    <xdr:to>
      <xdr:col>30</xdr:col>
      <xdr:colOff>54916</xdr:colOff>
      <xdr:row>40</xdr:row>
      <xdr:rowOff>208989</xdr:rowOff>
    </xdr:to>
    <xdr:sp macro="" textlink="">
      <xdr:nvSpPr>
        <xdr:cNvPr id="57" name="正方形/長方形 56">
          <a:extLst>
            <a:ext uri="{FF2B5EF4-FFF2-40B4-BE49-F238E27FC236}">
              <a16:creationId xmlns:a16="http://schemas.microsoft.com/office/drawing/2014/main" id="{C6C0947F-E223-4A63-9EFB-06D037179CBA}"/>
            </a:ext>
          </a:extLst>
        </xdr:cNvPr>
        <xdr:cNvSpPr/>
      </xdr:nvSpPr>
      <xdr:spPr bwMode="auto">
        <a:xfrm>
          <a:off x="2609850" y="91821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41</xdr:row>
      <xdr:rowOff>28575</xdr:rowOff>
    </xdr:from>
    <xdr:to>
      <xdr:col>30</xdr:col>
      <xdr:colOff>54916</xdr:colOff>
      <xdr:row>41</xdr:row>
      <xdr:rowOff>218514</xdr:rowOff>
    </xdr:to>
    <xdr:sp macro="" textlink="">
      <xdr:nvSpPr>
        <xdr:cNvPr id="58" name="正方形/長方形 57">
          <a:extLst>
            <a:ext uri="{FF2B5EF4-FFF2-40B4-BE49-F238E27FC236}">
              <a16:creationId xmlns:a16="http://schemas.microsoft.com/office/drawing/2014/main" id="{83015DB0-C251-4027-A635-C395C3F5E404}"/>
            </a:ext>
          </a:extLst>
        </xdr:cNvPr>
        <xdr:cNvSpPr/>
      </xdr:nvSpPr>
      <xdr:spPr bwMode="auto">
        <a:xfrm>
          <a:off x="2609850" y="94392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97485</xdr:colOff>
      <xdr:row>42</xdr:row>
      <xdr:rowOff>19611</xdr:rowOff>
    </xdr:from>
    <xdr:to>
      <xdr:col>30</xdr:col>
      <xdr:colOff>76201</xdr:colOff>
      <xdr:row>42</xdr:row>
      <xdr:rowOff>209550</xdr:rowOff>
    </xdr:to>
    <xdr:sp macro="" textlink="">
      <xdr:nvSpPr>
        <xdr:cNvPr id="59" name="正方形/長方形 58">
          <a:extLst>
            <a:ext uri="{FF2B5EF4-FFF2-40B4-BE49-F238E27FC236}">
              <a16:creationId xmlns:a16="http://schemas.microsoft.com/office/drawing/2014/main" id="{B3B99DF5-77A6-48BD-A555-1858BF2A741C}"/>
            </a:ext>
          </a:extLst>
        </xdr:cNvPr>
        <xdr:cNvSpPr/>
      </xdr:nvSpPr>
      <xdr:spPr bwMode="auto">
        <a:xfrm>
          <a:off x="2631135" y="9677961"/>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43</xdr:row>
      <xdr:rowOff>19050</xdr:rowOff>
    </xdr:from>
    <xdr:to>
      <xdr:col>30</xdr:col>
      <xdr:colOff>54916</xdr:colOff>
      <xdr:row>43</xdr:row>
      <xdr:rowOff>208989</xdr:rowOff>
    </xdr:to>
    <xdr:sp macro="" textlink="">
      <xdr:nvSpPr>
        <xdr:cNvPr id="60" name="正方形/長方形 59">
          <a:extLst>
            <a:ext uri="{FF2B5EF4-FFF2-40B4-BE49-F238E27FC236}">
              <a16:creationId xmlns:a16="http://schemas.microsoft.com/office/drawing/2014/main" id="{263803C6-45A3-4036-B844-ABE80405EF65}"/>
            </a:ext>
          </a:extLst>
        </xdr:cNvPr>
        <xdr:cNvSpPr/>
      </xdr:nvSpPr>
      <xdr:spPr bwMode="auto">
        <a:xfrm>
          <a:off x="2609850" y="9925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44</xdr:row>
      <xdr:rowOff>19050</xdr:rowOff>
    </xdr:from>
    <xdr:to>
      <xdr:col>30</xdr:col>
      <xdr:colOff>45391</xdr:colOff>
      <xdr:row>44</xdr:row>
      <xdr:rowOff>208989</xdr:rowOff>
    </xdr:to>
    <xdr:sp macro="" textlink="">
      <xdr:nvSpPr>
        <xdr:cNvPr id="61" name="正方形/長方形 60">
          <a:extLst>
            <a:ext uri="{FF2B5EF4-FFF2-40B4-BE49-F238E27FC236}">
              <a16:creationId xmlns:a16="http://schemas.microsoft.com/office/drawing/2014/main" id="{51176BC7-37A5-4D5C-93AB-4332875D4CFD}"/>
            </a:ext>
          </a:extLst>
        </xdr:cNvPr>
        <xdr:cNvSpPr/>
      </xdr:nvSpPr>
      <xdr:spPr bwMode="auto">
        <a:xfrm>
          <a:off x="2600325" y="101727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45</xdr:row>
      <xdr:rowOff>28575</xdr:rowOff>
    </xdr:from>
    <xdr:to>
      <xdr:col>30</xdr:col>
      <xdr:colOff>35866</xdr:colOff>
      <xdr:row>45</xdr:row>
      <xdr:rowOff>218514</xdr:rowOff>
    </xdr:to>
    <xdr:sp macro="" textlink="">
      <xdr:nvSpPr>
        <xdr:cNvPr id="62" name="正方形/長方形 61">
          <a:extLst>
            <a:ext uri="{FF2B5EF4-FFF2-40B4-BE49-F238E27FC236}">
              <a16:creationId xmlns:a16="http://schemas.microsoft.com/office/drawing/2014/main" id="{8714E930-C5DB-49E4-AE00-FC8B813EE049}"/>
            </a:ext>
          </a:extLst>
        </xdr:cNvPr>
        <xdr:cNvSpPr/>
      </xdr:nvSpPr>
      <xdr:spPr bwMode="auto">
        <a:xfrm>
          <a:off x="2590800" y="104298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46</xdr:row>
      <xdr:rowOff>19050</xdr:rowOff>
    </xdr:from>
    <xdr:to>
      <xdr:col>30</xdr:col>
      <xdr:colOff>54916</xdr:colOff>
      <xdr:row>46</xdr:row>
      <xdr:rowOff>208989</xdr:rowOff>
    </xdr:to>
    <xdr:sp macro="" textlink="">
      <xdr:nvSpPr>
        <xdr:cNvPr id="63" name="正方形/長方形 62">
          <a:extLst>
            <a:ext uri="{FF2B5EF4-FFF2-40B4-BE49-F238E27FC236}">
              <a16:creationId xmlns:a16="http://schemas.microsoft.com/office/drawing/2014/main" id="{34B96867-8022-406A-9582-913B2E8D5D53}"/>
            </a:ext>
          </a:extLst>
        </xdr:cNvPr>
        <xdr:cNvSpPr/>
      </xdr:nvSpPr>
      <xdr:spPr bwMode="auto">
        <a:xfrm>
          <a:off x="2609850" y="10668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47</xdr:row>
      <xdr:rowOff>19050</xdr:rowOff>
    </xdr:from>
    <xdr:to>
      <xdr:col>30</xdr:col>
      <xdr:colOff>54916</xdr:colOff>
      <xdr:row>47</xdr:row>
      <xdr:rowOff>208989</xdr:rowOff>
    </xdr:to>
    <xdr:sp macro="" textlink="">
      <xdr:nvSpPr>
        <xdr:cNvPr id="64" name="正方形/長方形 63">
          <a:extLst>
            <a:ext uri="{FF2B5EF4-FFF2-40B4-BE49-F238E27FC236}">
              <a16:creationId xmlns:a16="http://schemas.microsoft.com/office/drawing/2014/main" id="{4202B37C-2C0B-487D-A0DC-BC8836B08EF9}"/>
            </a:ext>
          </a:extLst>
        </xdr:cNvPr>
        <xdr:cNvSpPr/>
      </xdr:nvSpPr>
      <xdr:spPr bwMode="auto">
        <a:xfrm>
          <a:off x="2609850" y="109156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48</xdr:row>
      <xdr:rowOff>28575</xdr:rowOff>
    </xdr:from>
    <xdr:to>
      <xdr:col>30</xdr:col>
      <xdr:colOff>54916</xdr:colOff>
      <xdr:row>48</xdr:row>
      <xdr:rowOff>218514</xdr:rowOff>
    </xdr:to>
    <xdr:sp macro="" textlink="">
      <xdr:nvSpPr>
        <xdr:cNvPr id="65" name="正方形/長方形 64">
          <a:extLst>
            <a:ext uri="{FF2B5EF4-FFF2-40B4-BE49-F238E27FC236}">
              <a16:creationId xmlns:a16="http://schemas.microsoft.com/office/drawing/2014/main" id="{E88A5AF5-7570-46C0-B3EF-104F341D0C48}"/>
            </a:ext>
          </a:extLst>
        </xdr:cNvPr>
        <xdr:cNvSpPr/>
      </xdr:nvSpPr>
      <xdr:spPr bwMode="auto">
        <a:xfrm>
          <a:off x="2609850" y="111728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49</xdr:row>
      <xdr:rowOff>28575</xdr:rowOff>
    </xdr:from>
    <xdr:to>
      <xdr:col>30</xdr:col>
      <xdr:colOff>64441</xdr:colOff>
      <xdr:row>49</xdr:row>
      <xdr:rowOff>218514</xdr:rowOff>
    </xdr:to>
    <xdr:sp macro="" textlink="">
      <xdr:nvSpPr>
        <xdr:cNvPr id="66" name="正方形/長方形 65">
          <a:extLst>
            <a:ext uri="{FF2B5EF4-FFF2-40B4-BE49-F238E27FC236}">
              <a16:creationId xmlns:a16="http://schemas.microsoft.com/office/drawing/2014/main" id="{B901D97A-94B8-4A69-A889-FB9D45ABD43F}"/>
            </a:ext>
          </a:extLst>
        </xdr:cNvPr>
        <xdr:cNvSpPr/>
      </xdr:nvSpPr>
      <xdr:spPr bwMode="auto">
        <a:xfrm>
          <a:off x="2619375" y="114204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50</xdr:row>
      <xdr:rowOff>19050</xdr:rowOff>
    </xdr:from>
    <xdr:to>
      <xdr:col>30</xdr:col>
      <xdr:colOff>73966</xdr:colOff>
      <xdr:row>50</xdr:row>
      <xdr:rowOff>208989</xdr:rowOff>
    </xdr:to>
    <xdr:sp macro="" textlink="">
      <xdr:nvSpPr>
        <xdr:cNvPr id="67" name="正方形/長方形 66">
          <a:extLst>
            <a:ext uri="{FF2B5EF4-FFF2-40B4-BE49-F238E27FC236}">
              <a16:creationId xmlns:a16="http://schemas.microsoft.com/office/drawing/2014/main" id="{1AFAD24A-6FC4-4014-ABDE-951BDE8BB0CA}"/>
            </a:ext>
          </a:extLst>
        </xdr:cNvPr>
        <xdr:cNvSpPr/>
      </xdr:nvSpPr>
      <xdr:spPr bwMode="auto">
        <a:xfrm>
          <a:off x="2628900" y="11658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51</xdr:row>
      <xdr:rowOff>28575</xdr:rowOff>
    </xdr:from>
    <xdr:to>
      <xdr:col>30</xdr:col>
      <xdr:colOff>64441</xdr:colOff>
      <xdr:row>51</xdr:row>
      <xdr:rowOff>218514</xdr:rowOff>
    </xdr:to>
    <xdr:sp macro="" textlink="">
      <xdr:nvSpPr>
        <xdr:cNvPr id="68" name="正方形/長方形 67">
          <a:extLst>
            <a:ext uri="{FF2B5EF4-FFF2-40B4-BE49-F238E27FC236}">
              <a16:creationId xmlns:a16="http://schemas.microsoft.com/office/drawing/2014/main" id="{23BD0884-A1AB-4D1A-B74D-E5E5731DB748}"/>
            </a:ext>
          </a:extLst>
        </xdr:cNvPr>
        <xdr:cNvSpPr/>
      </xdr:nvSpPr>
      <xdr:spPr bwMode="auto">
        <a:xfrm>
          <a:off x="2619375" y="119157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52</xdr:row>
      <xdr:rowOff>28575</xdr:rowOff>
    </xdr:from>
    <xdr:to>
      <xdr:col>30</xdr:col>
      <xdr:colOff>64441</xdr:colOff>
      <xdr:row>52</xdr:row>
      <xdr:rowOff>218514</xdr:rowOff>
    </xdr:to>
    <xdr:sp macro="" textlink="">
      <xdr:nvSpPr>
        <xdr:cNvPr id="158" name="正方形/長方形 157">
          <a:extLst>
            <a:ext uri="{FF2B5EF4-FFF2-40B4-BE49-F238E27FC236}">
              <a16:creationId xmlns:a16="http://schemas.microsoft.com/office/drawing/2014/main" id="{F142A693-5891-4AC7-97AF-17026FC122D1}"/>
            </a:ext>
          </a:extLst>
        </xdr:cNvPr>
        <xdr:cNvSpPr/>
      </xdr:nvSpPr>
      <xdr:spPr bwMode="auto">
        <a:xfrm>
          <a:off x="2619375" y="121634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38100</xdr:colOff>
      <xdr:row>54</xdr:row>
      <xdr:rowOff>28575</xdr:rowOff>
    </xdr:from>
    <xdr:to>
      <xdr:col>45</xdr:col>
      <xdr:colOff>120627</xdr:colOff>
      <xdr:row>54</xdr:row>
      <xdr:rowOff>219075</xdr:rowOff>
    </xdr:to>
    <xdr:sp macro="" textlink="">
      <xdr:nvSpPr>
        <xdr:cNvPr id="159" name="正方形/長方形 158">
          <a:extLst>
            <a:ext uri="{FF2B5EF4-FFF2-40B4-BE49-F238E27FC236}">
              <a16:creationId xmlns:a16="http://schemas.microsoft.com/office/drawing/2014/main" id="{3F6613A5-DC2D-4EB0-B3D5-AF2B1E149BE6}"/>
            </a:ext>
          </a:extLst>
        </xdr:cNvPr>
        <xdr:cNvSpPr/>
      </xdr:nvSpPr>
      <xdr:spPr>
        <a:xfrm>
          <a:off x="5372100" y="3990975"/>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7</xdr:col>
      <xdr:colOff>87960</xdr:colOff>
      <xdr:row>79</xdr:row>
      <xdr:rowOff>29136</xdr:rowOff>
    </xdr:from>
    <xdr:to>
      <xdr:col>18</xdr:col>
      <xdr:colOff>66676</xdr:colOff>
      <xdr:row>79</xdr:row>
      <xdr:rowOff>219075</xdr:rowOff>
    </xdr:to>
    <xdr:sp macro="" textlink="">
      <xdr:nvSpPr>
        <xdr:cNvPr id="160" name="正方形/長方形 159">
          <a:extLst>
            <a:ext uri="{FF2B5EF4-FFF2-40B4-BE49-F238E27FC236}">
              <a16:creationId xmlns:a16="http://schemas.microsoft.com/office/drawing/2014/main" id="{98C1613E-0CCC-457F-87B2-9BF6472C2289}"/>
            </a:ext>
          </a:extLst>
        </xdr:cNvPr>
        <xdr:cNvSpPr/>
      </xdr:nvSpPr>
      <xdr:spPr bwMode="auto">
        <a:xfrm>
          <a:off x="1021410" y="4734486"/>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80</xdr:row>
      <xdr:rowOff>28575</xdr:rowOff>
    </xdr:from>
    <xdr:to>
      <xdr:col>18</xdr:col>
      <xdr:colOff>45391</xdr:colOff>
      <xdr:row>80</xdr:row>
      <xdr:rowOff>218514</xdr:rowOff>
    </xdr:to>
    <xdr:sp macro="" textlink="">
      <xdr:nvSpPr>
        <xdr:cNvPr id="161" name="正方形/長方形 160">
          <a:extLst>
            <a:ext uri="{FF2B5EF4-FFF2-40B4-BE49-F238E27FC236}">
              <a16:creationId xmlns:a16="http://schemas.microsoft.com/office/drawing/2014/main" id="{39C05795-40E1-4B81-8546-2DCC1614F8D2}"/>
            </a:ext>
          </a:extLst>
        </xdr:cNvPr>
        <xdr:cNvSpPr/>
      </xdr:nvSpPr>
      <xdr:spPr bwMode="auto">
        <a:xfrm>
          <a:off x="1000125" y="49815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81</xdr:row>
      <xdr:rowOff>28575</xdr:rowOff>
    </xdr:from>
    <xdr:to>
      <xdr:col>18</xdr:col>
      <xdr:colOff>35866</xdr:colOff>
      <xdr:row>81</xdr:row>
      <xdr:rowOff>218514</xdr:rowOff>
    </xdr:to>
    <xdr:sp macro="" textlink="">
      <xdr:nvSpPr>
        <xdr:cNvPr id="162" name="正方形/長方形 161">
          <a:extLst>
            <a:ext uri="{FF2B5EF4-FFF2-40B4-BE49-F238E27FC236}">
              <a16:creationId xmlns:a16="http://schemas.microsoft.com/office/drawing/2014/main" id="{C471BF2F-E1AB-46D7-B4DB-3E18BE65943F}"/>
            </a:ext>
          </a:extLst>
        </xdr:cNvPr>
        <xdr:cNvSpPr/>
      </xdr:nvSpPr>
      <xdr:spPr bwMode="auto">
        <a:xfrm>
          <a:off x="990600" y="52292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82</xdr:row>
      <xdr:rowOff>38100</xdr:rowOff>
    </xdr:from>
    <xdr:to>
      <xdr:col>18</xdr:col>
      <xdr:colOff>26341</xdr:colOff>
      <xdr:row>82</xdr:row>
      <xdr:rowOff>228039</xdr:rowOff>
    </xdr:to>
    <xdr:sp macro="" textlink="">
      <xdr:nvSpPr>
        <xdr:cNvPr id="163" name="正方形/長方形 162">
          <a:extLst>
            <a:ext uri="{FF2B5EF4-FFF2-40B4-BE49-F238E27FC236}">
              <a16:creationId xmlns:a16="http://schemas.microsoft.com/office/drawing/2014/main" id="{A60CDCC6-6B59-424F-9FA4-79A6DD31CBBD}"/>
            </a:ext>
          </a:extLst>
        </xdr:cNvPr>
        <xdr:cNvSpPr/>
      </xdr:nvSpPr>
      <xdr:spPr bwMode="auto">
        <a:xfrm>
          <a:off x="981075" y="54864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83</xdr:row>
      <xdr:rowOff>28575</xdr:rowOff>
    </xdr:from>
    <xdr:to>
      <xdr:col>18</xdr:col>
      <xdr:colOff>45391</xdr:colOff>
      <xdr:row>83</xdr:row>
      <xdr:rowOff>218514</xdr:rowOff>
    </xdr:to>
    <xdr:sp macro="" textlink="">
      <xdr:nvSpPr>
        <xdr:cNvPr id="164" name="正方形/長方形 163">
          <a:extLst>
            <a:ext uri="{FF2B5EF4-FFF2-40B4-BE49-F238E27FC236}">
              <a16:creationId xmlns:a16="http://schemas.microsoft.com/office/drawing/2014/main" id="{2927F4B3-7610-40EF-BCC9-61B55ABB817D}"/>
            </a:ext>
          </a:extLst>
        </xdr:cNvPr>
        <xdr:cNvSpPr/>
      </xdr:nvSpPr>
      <xdr:spPr bwMode="auto">
        <a:xfrm>
          <a:off x="1000125" y="57245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84</xdr:row>
      <xdr:rowOff>28575</xdr:rowOff>
    </xdr:from>
    <xdr:to>
      <xdr:col>18</xdr:col>
      <xdr:colOff>45391</xdr:colOff>
      <xdr:row>84</xdr:row>
      <xdr:rowOff>218514</xdr:rowOff>
    </xdr:to>
    <xdr:sp macro="" textlink="">
      <xdr:nvSpPr>
        <xdr:cNvPr id="165" name="正方形/長方形 164">
          <a:extLst>
            <a:ext uri="{FF2B5EF4-FFF2-40B4-BE49-F238E27FC236}">
              <a16:creationId xmlns:a16="http://schemas.microsoft.com/office/drawing/2014/main" id="{40F5F994-FCD9-491C-B179-C7A6F9F6D313}"/>
            </a:ext>
          </a:extLst>
        </xdr:cNvPr>
        <xdr:cNvSpPr/>
      </xdr:nvSpPr>
      <xdr:spPr bwMode="auto">
        <a:xfrm>
          <a:off x="1000125" y="5972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85</xdr:row>
      <xdr:rowOff>38100</xdr:rowOff>
    </xdr:from>
    <xdr:to>
      <xdr:col>18</xdr:col>
      <xdr:colOff>45391</xdr:colOff>
      <xdr:row>85</xdr:row>
      <xdr:rowOff>228039</xdr:rowOff>
    </xdr:to>
    <xdr:sp macro="" textlink="">
      <xdr:nvSpPr>
        <xdr:cNvPr id="166" name="正方形/長方形 165">
          <a:extLst>
            <a:ext uri="{FF2B5EF4-FFF2-40B4-BE49-F238E27FC236}">
              <a16:creationId xmlns:a16="http://schemas.microsoft.com/office/drawing/2014/main" id="{C7096C59-4E52-4484-80B6-2568B6590E41}"/>
            </a:ext>
          </a:extLst>
        </xdr:cNvPr>
        <xdr:cNvSpPr/>
      </xdr:nvSpPr>
      <xdr:spPr bwMode="auto">
        <a:xfrm>
          <a:off x="1000125" y="62293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86</xdr:row>
      <xdr:rowOff>38100</xdr:rowOff>
    </xdr:from>
    <xdr:to>
      <xdr:col>18</xdr:col>
      <xdr:colOff>54916</xdr:colOff>
      <xdr:row>86</xdr:row>
      <xdr:rowOff>228039</xdr:rowOff>
    </xdr:to>
    <xdr:sp macro="" textlink="">
      <xdr:nvSpPr>
        <xdr:cNvPr id="167" name="正方形/長方形 166">
          <a:extLst>
            <a:ext uri="{FF2B5EF4-FFF2-40B4-BE49-F238E27FC236}">
              <a16:creationId xmlns:a16="http://schemas.microsoft.com/office/drawing/2014/main" id="{4A8D324F-4F56-4BDB-B7C4-4B77ED947F2C}"/>
            </a:ext>
          </a:extLst>
        </xdr:cNvPr>
        <xdr:cNvSpPr/>
      </xdr:nvSpPr>
      <xdr:spPr bwMode="auto">
        <a:xfrm>
          <a:off x="1009650" y="6477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87</xdr:row>
      <xdr:rowOff>28575</xdr:rowOff>
    </xdr:from>
    <xdr:to>
      <xdr:col>18</xdr:col>
      <xdr:colOff>64441</xdr:colOff>
      <xdr:row>87</xdr:row>
      <xdr:rowOff>218514</xdr:rowOff>
    </xdr:to>
    <xdr:sp macro="" textlink="">
      <xdr:nvSpPr>
        <xdr:cNvPr id="168" name="正方形/長方形 167">
          <a:extLst>
            <a:ext uri="{FF2B5EF4-FFF2-40B4-BE49-F238E27FC236}">
              <a16:creationId xmlns:a16="http://schemas.microsoft.com/office/drawing/2014/main" id="{1BAB84AA-5027-47A9-8BC7-7B6C4D060C54}"/>
            </a:ext>
          </a:extLst>
        </xdr:cNvPr>
        <xdr:cNvSpPr/>
      </xdr:nvSpPr>
      <xdr:spPr bwMode="auto">
        <a:xfrm>
          <a:off x="1019175" y="67151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88</xdr:row>
      <xdr:rowOff>19050</xdr:rowOff>
    </xdr:from>
    <xdr:to>
      <xdr:col>18</xdr:col>
      <xdr:colOff>64441</xdr:colOff>
      <xdr:row>88</xdr:row>
      <xdr:rowOff>208989</xdr:rowOff>
    </xdr:to>
    <xdr:sp macro="" textlink="">
      <xdr:nvSpPr>
        <xdr:cNvPr id="169" name="正方形/長方形 168">
          <a:extLst>
            <a:ext uri="{FF2B5EF4-FFF2-40B4-BE49-F238E27FC236}">
              <a16:creationId xmlns:a16="http://schemas.microsoft.com/office/drawing/2014/main" id="{4559C69F-94ED-4C1B-8531-1957FB61A9F1}"/>
            </a:ext>
          </a:extLst>
        </xdr:cNvPr>
        <xdr:cNvSpPr/>
      </xdr:nvSpPr>
      <xdr:spPr bwMode="auto">
        <a:xfrm>
          <a:off x="1019175" y="69532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89</xdr:row>
      <xdr:rowOff>38100</xdr:rowOff>
    </xdr:from>
    <xdr:to>
      <xdr:col>18</xdr:col>
      <xdr:colOff>35866</xdr:colOff>
      <xdr:row>89</xdr:row>
      <xdr:rowOff>228039</xdr:rowOff>
    </xdr:to>
    <xdr:sp macro="" textlink="">
      <xdr:nvSpPr>
        <xdr:cNvPr id="170" name="正方形/長方形 169">
          <a:extLst>
            <a:ext uri="{FF2B5EF4-FFF2-40B4-BE49-F238E27FC236}">
              <a16:creationId xmlns:a16="http://schemas.microsoft.com/office/drawing/2014/main" id="{F042FD56-AE46-451F-B5C3-36FF08B92405}"/>
            </a:ext>
          </a:extLst>
        </xdr:cNvPr>
        <xdr:cNvSpPr/>
      </xdr:nvSpPr>
      <xdr:spPr bwMode="auto">
        <a:xfrm>
          <a:off x="990600" y="72199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90</xdr:row>
      <xdr:rowOff>38100</xdr:rowOff>
    </xdr:from>
    <xdr:to>
      <xdr:col>18</xdr:col>
      <xdr:colOff>45391</xdr:colOff>
      <xdr:row>90</xdr:row>
      <xdr:rowOff>228039</xdr:rowOff>
    </xdr:to>
    <xdr:sp macro="" textlink="">
      <xdr:nvSpPr>
        <xdr:cNvPr id="171" name="正方形/長方形 170">
          <a:extLst>
            <a:ext uri="{FF2B5EF4-FFF2-40B4-BE49-F238E27FC236}">
              <a16:creationId xmlns:a16="http://schemas.microsoft.com/office/drawing/2014/main" id="{93129E81-92E7-4CF4-A3A6-55E195C7A47E}"/>
            </a:ext>
          </a:extLst>
        </xdr:cNvPr>
        <xdr:cNvSpPr/>
      </xdr:nvSpPr>
      <xdr:spPr bwMode="auto">
        <a:xfrm>
          <a:off x="1000125" y="7467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91</xdr:row>
      <xdr:rowOff>38100</xdr:rowOff>
    </xdr:from>
    <xdr:to>
      <xdr:col>18</xdr:col>
      <xdr:colOff>35866</xdr:colOff>
      <xdr:row>91</xdr:row>
      <xdr:rowOff>228039</xdr:rowOff>
    </xdr:to>
    <xdr:sp macro="" textlink="">
      <xdr:nvSpPr>
        <xdr:cNvPr id="172" name="正方形/長方形 171">
          <a:extLst>
            <a:ext uri="{FF2B5EF4-FFF2-40B4-BE49-F238E27FC236}">
              <a16:creationId xmlns:a16="http://schemas.microsoft.com/office/drawing/2014/main" id="{75A20CB3-142D-4854-BDD9-A836997F3994}"/>
            </a:ext>
          </a:extLst>
        </xdr:cNvPr>
        <xdr:cNvSpPr/>
      </xdr:nvSpPr>
      <xdr:spPr bwMode="auto">
        <a:xfrm>
          <a:off x="990600" y="77152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92</xdr:row>
      <xdr:rowOff>28575</xdr:rowOff>
    </xdr:from>
    <xdr:to>
      <xdr:col>18</xdr:col>
      <xdr:colOff>26341</xdr:colOff>
      <xdr:row>92</xdr:row>
      <xdr:rowOff>218514</xdr:rowOff>
    </xdr:to>
    <xdr:sp macro="" textlink="">
      <xdr:nvSpPr>
        <xdr:cNvPr id="173" name="正方形/長方形 172">
          <a:extLst>
            <a:ext uri="{FF2B5EF4-FFF2-40B4-BE49-F238E27FC236}">
              <a16:creationId xmlns:a16="http://schemas.microsoft.com/office/drawing/2014/main" id="{7A29E05F-2C62-49DE-8086-DDA01B8CF1E2}"/>
            </a:ext>
          </a:extLst>
        </xdr:cNvPr>
        <xdr:cNvSpPr/>
      </xdr:nvSpPr>
      <xdr:spPr bwMode="auto">
        <a:xfrm>
          <a:off x="981075" y="79533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93</xdr:row>
      <xdr:rowOff>38100</xdr:rowOff>
    </xdr:from>
    <xdr:to>
      <xdr:col>18</xdr:col>
      <xdr:colOff>35866</xdr:colOff>
      <xdr:row>93</xdr:row>
      <xdr:rowOff>228039</xdr:rowOff>
    </xdr:to>
    <xdr:sp macro="" textlink="">
      <xdr:nvSpPr>
        <xdr:cNvPr id="174" name="正方形/長方形 173">
          <a:extLst>
            <a:ext uri="{FF2B5EF4-FFF2-40B4-BE49-F238E27FC236}">
              <a16:creationId xmlns:a16="http://schemas.microsoft.com/office/drawing/2014/main" id="{D4652E79-6C3C-4CF5-ADFA-E50B2DC8A7AA}"/>
            </a:ext>
          </a:extLst>
        </xdr:cNvPr>
        <xdr:cNvSpPr/>
      </xdr:nvSpPr>
      <xdr:spPr bwMode="auto">
        <a:xfrm>
          <a:off x="990600" y="82105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94</xdr:row>
      <xdr:rowOff>38100</xdr:rowOff>
    </xdr:from>
    <xdr:to>
      <xdr:col>18</xdr:col>
      <xdr:colOff>45391</xdr:colOff>
      <xdr:row>94</xdr:row>
      <xdr:rowOff>228039</xdr:rowOff>
    </xdr:to>
    <xdr:sp macro="" textlink="">
      <xdr:nvSpPr>
        <xdr:cNvPr id="175" name="正方形/長方形 174">
          <a:extLst>
            <a:ext uri="{FF2B5EF4-FFF2-40B4-BE49-F238E27FC236}">
              <a16:creationId xmlns:a16="http://schemas.microsoft.com/office/drawing/2014/main" id="{8785EB38-66A1-40BF-A565-80636F050177}"/>
            </a:ext>
          </a:extLst>
        </xdr:cNvPr>
        <xdr:cNvSpPr/>
      </xdr:nvSpPr>
      <xdr:spPr bwMode="auto">
        <a:xfrm>
          <a:off x="1000125" y="84582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95</xdr:row>
      <xdr:rowOff>38100</xdr:rowOff>
    </xdr:from>
    <xdr:to>
      <xdr:col>18</xdr:col>
      <xdr:colOff>35866</xdr:colOff>
      <xdr:row>95</xdr:row>
      <xdr:rowOff>228039</xdr:rowOff>
    </xdr:to>
    <xdr:sp macro="" textlink="">
      <xdr:nvSpPr>
        <xdr:cNvPr id="176" name="正方形/長方形 175">
          <a:extLst>
            <a:ext uri="{FF2B5EF4-FFF2-40B4-BE49-F238E27FC236}">
              <a16:creationId xmlns:a16="http://schemas.microsoft.com/office/drawing/2014/main" id="{0012407D-4A17-4062-8F6C-4CE88BEA635C}"/>
            </a:ext>
          </a:extLst>
        </xdr:cNvPr>
        <xdr:cNvSpPr/>
      </xdr:nvSpPr>
      <xdr:spPr bwMode="auto">
        <a:xfrm>
          <a:off x="990600" y="87058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96</xdr:row>
      <xdr:rowOff>28575</xdr:rowOff>
    </xdr:from>
    <xdr:to>
      <xdr:col>18</xdr:col>
      <xdr:colOff>35866</xdr:colOff>
      <xdr:row>96</xdr:row>
      <xdr:rowOff>218514</xdr:rowOff>
    </xdr:to>
    <xdr:sp macro="" textlink="">
      <xdr:nvSpPr>
        <xdr:cNvPr id="177" name="正方形/長方形 176">
          <a:extLst>
            <a:ext uri="{FF2B5EF4-FFF2-40B4-BE49-F238E27FC236}">
              <a16:creationId xmlns:a16="http://schemas.microsoft.com/office/drawing/2014/main" id="{0393AB2D-A2F1-42C8-9DA3-8CCF6493B570}"/>
            </a:ext>
          </a:extLst>
        </xdr:cNvPr>
        <xdr:cNvSpPr/>
      </xdr:nvSpPr>
      <xdr:spPr bwMode="auto">
        <a:xfrm>
          <a:off x="990600" y="89439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97</xdr:row>
      <xdr:rowOff>28575</xdr:rowOff>
    </xdr:from>
    <xdr:to>
      <xdr:col>18</xdr:col>
      <xdr:colOff>45391</xdr:colOff>
      <xdr:row>97</xdr:row>
      <xdr:rowOff>218514</xdr:rowOff>
    </xdr:to>
    <xdr:sp macro="" textlink="">
      <xdr:nvSpPr>
        <xdr:cNvPr id="178" name="正方形/長方形 177">
          <a:extLst>
            <a:ext uri="{FF2B5EF4-FFF2-40B4-BE49-F238E27FC236}">
              <a16:creationId xmlns:a16="http://schemas.microsoft.com/office/drawing/2014/main" id="{90CC17A8-D7A4-4FAC-ADDD-3132F2180D44}"/>
            </a:ext>
          </a:extLst>
        </xdr:cNvPr>
        <xdr:cNvSpPr/>
      </xdr:nvSpPr>
      <xdr:spPr bwMode="auto">
        <a:xfrm>
          <a:off x="1000125" y="91916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98</xdr:row>
      <xdr:rowOff>28575</xdr:rowOff>
    </xdr:from>
    <xdr:to>
      <xdr:col>18</xdr:col>
      <xdr:colOff>45391</xdr:colOff>
      <xdr:row>98</xdr:row>
      <xdr:rowOff>218514</xdr:rowOff>
    </xdr:to>
    <xdr:sp macro="" textlink="">
      <xdr:nvSpPr>
        <xdr:cNvPr id="179" name="正方形/長方形 178">
          <a:extLst>
            <a:ext uri="{FF2B5EF4-FFF2-40B4-BE49-F238E27FC236}">
              <a16:creationId xmlns:a16="http://schemas.microsoft.com/office/drawing/2014/main" id="{A78921C1-7B32-4467-A7BC-E654429AAF80}"/>
            </a:ext>
          </a:extLst>
        </xdr:cNvPr>
        <xdr:cNvSpPr/>
      </xdr:nvSpPr>
      <xdr:spPr bwMode="auto">
        <a:xfrm>
          <a:off x="1000125" y="94392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99</xdr:row>
      <xdr:rowOff>28575</xdr:rowOff>
    </xdr:from>
    <xdr:to>
      <xdr:col>18</xdr:col>
      <xdr:colOff>45391</xdr:colOff>
      <xdr:row>99</xdr:row>
      <xdr:rowOff>218514</xdr:rowOff>
    </xdr:to>
    <xdr:sp macro="" textlink="">
      <xdr:nvSpPr>
        <xdr:cNvPr id="180" name="正方形/長方形 179">
          <a:extLst>
            <a:ext uri="{FF2B5EF4-FFF2-40B4-BE49-F238E27FC236}">
              <a16:creationId xmlns:a16="http://schemas.microsoft.com/office/drawing/2014/main" id="{A0D7FA8C-D41A-4196-8677-A4416D141AC3}"/>
            </a:ext>
          </a:extLst>
        </xdr:cNvPr>
        <xdr:cNvSpPr/>
      </xdr:nvSpPr>
      <xdr:spPr bwMode="auto">
        <a:xfrm>
          <a:off x="1000125" y="96869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100</xdr:row>
      <xdr:rowOff>38100</xdr:rowOff>
    </xdr:from>
    <xdr:to>
      <xdr:col>18</xdr:col>
      <xdr:colOff>45391</xdr:colOff>
      <xdr:row>100</xdr:row>
      <xdr:rowOff>228039</xdr:rowOff>
    </xdr:to>
    <xdr:sp macro="" textlink="">
      <xdr:nvSpPr>
        <xdr:cNvPr id="181" name="正方形/長方形 180">
          <a:extLst>
            <a:ext uri="{FF2B5EF4-FFF2-40B4-BE49-F238E27FC236}">
              <a16:creationId xmlns:a16="http://schemas.microsoft.com/office/drawing/2014/main" id="{051C0BE6-7116-4F79-8187-B66DBC5689E6}"/>
            </a:ext>
          </a:extLst>
        </xdr:cNvPr>
        <xdr:cNvSpPr/>
      </xdr:nvSpPr>
      <xdr:spPr bwMode="auto">
        <a:xfrm>
          <a:off x="1000125" y="99441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101</xdr:row>
      <xdr:rowOff>38100</xdr:rowOff>
    </xdr:from>
    <xdr:to>
      <xdr:col>18</xdr:col>
      <xdr:colOff>35866</xdr:colOff>
      <xdr:row>101</xdr:row>
      <xdr:rowOff>228039</xdr:rowOff>
    </xdr:to>
    <xdr:sp macro="" textlink="">
      <xdr:nvSpPr>
        <xdr:cNvPr id="182" name="正方形/長方形 181">
          <a:extLst>
            <a:ext uri="{FF2B5EF4-FFF2-40B4-BE49-F238E27FC236}">
              <a16:creationId xmlns:a16="http://schemas.microsoft.com/office/drawing/2014/main" id="{C4AFF024-B33C-4083-9874-41F97809A963}"/>
            </a:ext>
          </a:extLst>
        </xdr:cNvPr>
        <xdr:cNvSpPr/>
      </xdr:nvSpPr>
      <xdr:spPr bwMode="auto">
        <a:xfrm>
          <a:off x="990600" y="101917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102</xdr:row>
      <xdr:rowOff>28575</xdr:rowOff>
    </xdr:from>
    <xdr:to>
      <xdr:col>18</xdr:col>
      <xdr:colOff>26341</xdr:colOff>
      <xdr:row>102</xdr:row>
      <xdr:rowOff>218514</xdr:rowOff>
    </xdr:to>
    <xdr:sp macro="" textlink="">
      <xdr:nvSpPr>
        <xdr:cNvPr id="183" name="正方形/長方形 182">
          <a:extLst>
            <a:ext uri="{FF2B5EF4-FFF2-40B4-BE49-F238E27FC236}">
              <a16:creationId xmlns:a16="http://schemas.microsoft.com/office/drawing/2014/main" id="{D5139A2B-DA2D-478A-BDC3-B71B1AAEC517}"/>
            </a:ext>
          </a:extLst>
        </xdr:cNvPr>
        <xdr:cNvSpPr/>
      </xdr:nvSpPr>
      <xdr:spPr bwMode="auto">
        <a:xfrm>
          <a:off x="981075" y="104298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38100</xdr:colOff>
      <xdr:row>103</xdr:row>
      <xdr:rowOff>38100</xdr:rowOff>
    </xdr:from>
    <xdr:to>
      <xdr:col>18</xdr:col>
      <xdr:colOff>16816</xdr:colOff>
      <xdr:row>103</xdr:row>
      <xdr:rowOff>228039</xdr:rowOff>
    </xdr:to>
    <xdr:sp macro="" textlink="">
      <xdr:nvSpPr>
        <xdr:cNvPr id="184" name="正方形/長方形 183">
          <a:extLst>
            <a:ext uri="{FF2B5EF4-FFF2-40B4-BE49-F238E27FC236}">
              <a16:creationId xmlns:a16="http://schemas.microsoft.com/office/drawing/2014/main" id="{E55BF30E-8CAD-4836-A558-217D6E192048}"/>
            </a:ext>
          </a:extLst>
        </xdr:cNvPr>
        <xdr:cNvSpPr/>
      </xdr:nvSpPr>
      <xdr:spPr bwMode="auto">
        <a:xfrm>
          <a:off x="971550" y="10687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104</xdr:row>
      <xdr:rowOff>28575</xdr:rowOff>
    </xdr:from>
    <xdr:to>
      <xdr:col>18</xdr:col>
      <xdr:colOff>26341</xdr:colOff>
      <xdr:row>104</xdr:row>
      <xdr:rowOff>218514</xdr:rowOff>
    </xdr:to>
    <xdr:sp macro="" textlink="">
      <xdr:nvSpPr>
        <xdr:cNvPr id="185" name="正方形/長方形 184">
          <a:extLst>
            <a:ext uri="{FF2B5EF4-FFF2-40B4-BE49-F238E27FC236}">
              <a16:creationId xmlns:a16="http://schemas.microsoft.com/office/drawing/2014/main" id="{85103D23-E19F-4226-8473-0A182F1D5F9F}"/>
            </a:ext>
          </a:extLst>
        </xdr:cNvPr>
        <xdr:cNvSpPr/>
      </xdr:nvSpPr>
      <xdr:spPr bwMode="auto">
        <a:xfrm>
          <a:off x="981075" y="10925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105</xdr:row>
      <xdr:rowOff>28575</xdr:rowOff>
    </xdr:from>
    <xdr:to>
      <xdr:col>18</xdr:col>
      <xdr:colOff>26341</xdr:colOff>
      <xdr:row>105</xdr:row>
      <xdr:rowOff>218514</xdr:rowOff>
    </xdr:to>
    <xdr:sp macro="" textlink="">
      <xdr:nvSpPr>
        <xdr:cNvPr id="186" name="正方形/長方形 185">
          <a:extLst>
            <a:ext uri="{FF2B5EF4-FFF2-40B4-BE49-F238E27FC236}">
              <a16:creationId xmlns:a16="http://schemas.microsoft.com/office/drawing/2014/main" id="{19E90640-7DA0-41A0-81AF-C18F73E05670}"/>
            </a:ext>
          </a:extLst>
        </xdr:cNvPr>
        <xdr:cNvSpPr/>
      </xdr:nvSpPr>
      <xdr:spPr bwMode="auto">
        <a:xfrm>
          <a:off x="981075" y="111728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106</xdr:row>
      <xdr:rowOff>38100</xdr:rowOff>
    </xdr:from>
    <xdr:to>
      <xdr:col>18</xdr:col>
      <xdr:colOff>35866</xdr:colOff>
      <xdr:row>106</xdr:row>
      <xdr:rowOff>228039</xdr:rowOff>
    </xdr:to>
    <xdr:sp macro="" textlink="">
      <xdr:nvSpPr>
        <xdr:cNvPr id="187" name="正方形/長方形 186">
          <a:extLst>
            <a:ext uri="{FF2B5EF4-FFF2-40B4-BE49-F238E27FC236}">
              <a16:creationId xmlns:a16="http://schemas.microsoft.com/office/drawing/2014/main" id="{487DE1AC-BC2C-4BE0-ADF9-95C1DA2BD37B}"/>
            </a:ext>
          </a:extLst>
        </xdr:cNvPr>
        <xdr:cNvSpPr/>
      </xdr:nvSpPr>
      <xdr:spPr bwMode="auto">
        <a:xfrm>
          <a:off x="990600" y="11430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107</xdr:row>
      <xdr:rowOff>28575</xdr:rowOff>
    </xdr:from>
    <xdr:to>
      <xdr:col>18</xdr:col>
      <xdr:colOff>35866</xdr:colOff>
      <xdr:row>107</xdr:row>
      <xdr:rowOff>218514</xdr:rowOff>
    </xdr:to>
    <xdr:sp macro="" textlink="">
      <xdr:nvSpPr>
        <xdr:cNvPr id="188" name="正方形/長方形 187">
          <a:extLst>
            <a:ext uri="{FF2B5EF4-FFF2-40B4-BE49-F238E27FC236}">
              <a16:creationId xmlns:a16="http://schemas.microsoft.com/office/drawing/2014/main" id="{87A8D977-6BBA-4ECA-989B-502BB5C860B9}"/>
            </a:ext>
          </a:extLst>
        </xdr:cNvPr>
        <xdr:cNvSpPr/>
      </xdr:nvSpPr>
      <xdr:spPr bwMode="auto">
        <a:xfrm>
          <a:off x="990600" y="116681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108</xdr:row>
      <xdr:rowOff>28575</xdr:rowOff>
    </xdr:from>
    <xdr:to>
      <xdr:col>18</xdr:col>
      <xdr:colOff>54916</xdr:colOff>
      <xdr:row>108</xdr:row>
      <xdr:rowOff>218514</xdr:rowOff>
    </xdr:to>
    <xdr:sp macro="" textlink="">
      <xdr:nvSpPr>
        <xdr:cNvPr id="189" name="正方形/長方形 188">
          <a:extLst>
            <a:ext uri="{FF2B5EF4-FFF2-40B4-BE49-F238E27FC236}">
              <a16:creationId xmlns:a16="http://schemas.microsoft.com/office/drawing/2014/main" id="{95F68A6E-584D-4B3B-A945-5AE3C34CAE89}"/>
            </a:ext>
          </a:extLst>
        </xdr:cNvPr>
        <xdr:cNvSpPr/>
      </xdr:nvSpPr>
      <xdr:spPr bwMode="auto">
        <a:xfrm>
          <a:off x="1009650" y="119157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109</xdr:row>
      <xdr:rowOff>19050</xdr:rowOff>
    </xdr:from>
    <xdr:to>
      <xdr:col>18</xdr:col>
      <xdr:colOff>64441</xdr:colOff>
      <xdr:row>109</xdr:row>
      <xdr:rowOff>208989</xdr:rowOff>
    </xdr:to>
    <xdr:sp macro="" textlink="">
      <xdr:nvSpPr>
        <xdr:cNvPr id="190" name="正方形/長方形 189">
          <a:extLst>
            <a:ext uri="{FF2B5EF4-FFF2-40B4-BE49-F238E27FC236}">
              <a16:creationId xmlns:a16="http://schemas.microsoft.com/office/drawing/2014/main" id="{559DD350-675F-44C8-91FD-5F25A169F700}"/>
            </a:ext>
          </a:extLst>
        </xdr:cNvPr>
        <xdr:cNvSpPr/>
      </xdr:nvSpPr>
      <xdr:spPr bwMode="auto">
        <a:xfrm>
          <a:off x="1019175" y="121539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68910</xdr:colOff>
      <xdr:row>79</xdr:row>
      <xdr:rowOff>29136</xdr:rowOff>
    </xdr:from>
    <xdr:to>
      <xdr:col>30</xdr:col>
      <xdr:colOff>47626</xdr:colOff>
      <xdr:row>79</xdr:row>
      <xdr:rowOff>219075</xdr:rowOff>
    </xdr:to>
    <xdr:sp macro="" textlink="">
      <xdr:nvSpPr>
        <xdr:cNvPr id="191" name="正方形/長方形 190">
          <a:extLst>
            <a:ext uri="{FF2B5EF4-FFF2-40B4-BE49-F238E27FC236}">
              <a16:creationId xmlns:a16="http://schemas.microsoft.com/office/drawing/2014/main" id="{D06E76A0-AC03-4777-BD80-ADE3896D36EF}"/>
            </a:ext>
          </a:extLst>
        </xdr:cNvPr>
        <xdr:cNvSpPr/>
      </xdr:nvSpPr>
      <xdr:spPr bwMode="auto">
        <a:xfrm>
          <a:off x="2602560" y="4734486"/>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80</xdr:row>
      <xdr:rowOff>19050</xdr:rowOff>
    </xdr:from>
    <xdr:to>
      <xdr:col>30</xdr:col>
      <xdr:colOff>35866</xdr:colOff>
      <xdr:row>80</xdr:row>
      <xdr:rowOff>208989</xdr:rowOff>
    </xdr:to>
    <xdr:sp macro="" textlink="">
      <xdr:nvSpPr>
        <xdr:cNvPr id="192" name="正方形/長方形 191">
          <a:extLst>
            <a:ext uri="{FF2B5EF4-FFF2-40B4-BE49-F238E27FC236}">
              <a16:creationId xmlns:a16="http://schemas.microsoft.com/office/drawing/2014/main" id="{F82791AE-66EF-4F34-A261-F1D03922AFE3}"/>
            </a:ext>
          </a:extLst>
        </xdr:cNvPr>
        <xdr:cNvSpPr/>
      </xdr:nvSpPr>
      <xdr:spPr bwMode="auto">
        <a:xfrm>
          <a:off x="2590800" y="4972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81</xdr:row>
      <xdr:rowOff>19050</xdr:rowOff>
    </xdr:from>
    <xdr:to>
      <xdr:col>30</xdr:col>
      <xdr:colOff>26341</xdr:colOff>
      <xdr:row>81</xdr:row>
      <xdr:rowOff>208989</xdr:rowOff>
    </xdr:to>
    <xdr:sp macro="" textlink="">
      <xdr:nvSpPr>
        <xdr:cNvPr id="193" name="正方形/長方形 192">
          <a:extLst>
            <a:ext uri="{FF2B5EF4-FFF2-40B4-BE49-F238E27FC236}">
              <a16:creationId xmlns:a16="http://schemas.microsoft.com/office/drawing/2014/main" id="{5654AC23-ABCC-4CC7-ACC5-3CDA3A0F8A26}"/>
            </a:ext>
          </a:extLst>
        </xdr:cNvPr>
        <xdr:cNvSpPr/>
      </xdr:nvSpPr>
      <xdr:spPr bwMode="auto">
        <a:xfrm>
          <a:off x="2581275" y="52197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38100</xdr:colOff>
      <xdr:row>82</xdr:row>
      <xdr:rowOff>57150</xdr:rowOff>
    </xdr:from>
    <xdr:to>
      <xdr:col>30</xdr:col>
      <xdr:colOff>16816</xdr:colOff>
      <xdr:row>82</xdr:row>
      <xdr:rowOff>247089</xdr:rowOff>
    </xdr:to>
    <xdr:sp macro="" textlink="">
      <xdr:nvSpPr>
        <xdr:cNvPr id="194" name="正方形/長方形 193">
          <a:extLst>
            <a:ext uri="{FF2B5EF4-FFF2-40B4-BE49-F238E27FC236}">
              <a16:creationId xmlns:a16="http://schemas.microsoft.com/office/drawing/2014/main" id="{E27D6D8C-8CCD-4076-835F-0C6E35315AFE}"/>
            </a:ext>
          </a:extLst>
        </xdr:cNvPr>
        <xdr:cNvSpPr/>
      </xdr:nvSpPr>
      <xdr:spPr bwMode="auto">
        <a:xfrm>
          <a:off x="2571750" y="55054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86</xdr:row>
      <xdr:rowOff>47625</xdr:rowOff>
    </xdr:from>
    <xdr:to>
      <xdr:col>30</xdr:col>
      <xdr:colOff>45391</xdr:colOff>
      <xdr:row>86</xdr:row>
      <xdr:rowOff>237564</xdr:rowOff>
    </xdr:to>
    <xdr:sp macro="" textlink="">
      <xdr:nvSpPr>
        <xdr:cNvPr id="195" name="正方形/長方形 194">
          <a:extLst>
            <a:ext uri="{FF2B5EF4-FFF2-40B4-BE49-F238E27FC236}">
              <a16:creationId xmlns:a16="http://schemas.microsoft.com/office/drawing/2014/main" id="{C14E27E8-5443-453F-B2BF-831F8B494158}"/>
            </a:ext>
          </a:extLst>
        </xdr:cNvPr>
        <xdr:cNvSpPr/>
      </xdr:nvSpPr>
      <xdr:spPr bwMode="auto">
        <a:xfrm>
          <a:off x="2600325" y="188309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84</xdr:row>
      <xdr:rowOff>28575</xdr:rowOff>
    </xdr:from>
    <xdr:to>
      <xdr:col>30</xdr:col>
      <xdr:colOff>35866</xdr:colOff>
      <xdr:row>84</xdr:row>
      <xdr:rowOff>218514</xdr:rowOff>
    </xdr:to>
    <xdr:sp macro="" textlink="">
      <xdr:nvSpPr>
        <xdr:cNvPr id="196" name="正方形/長方形 195">
          <a:extLst>
            <a:ext uri="{FF2B5EF4-FFF2-40B4-BE49-F238E27FC236}">
              <a16:creationId xmlns:a16="http://schemas.microsoft.com/office/drawing/2014/main" id="{0710836F-3693-47EB-859E-68E91FE5051A}"/>
            </a:ext>
          </a:extLst>
        </xdr:cNvPr>
        <xdr:cNvSpPr/>
      </xdr:nvSpPr>
      <xdr:spPr bwMode="auto">
        <a:xfrm>
          <a:off x="2590800" y="5972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85</xdr:row>
      <xdr:rowOff>57150</xdr:rowOff>
    </xdr:from>
    <xdr:to>
      <xdr:col>30</xdr:col>
      <xdr:colOff>35866</xdr:colOff>
      <xdr:row>85</xdr:row>
      <xdr:rowOff>247089</xdr:rowOff>
    </xdr:to>
    <xdr:sp macro="" textlink="">
      <xdr:nvSpPr>
        <xdr:cNvPr id="197" name="正方形/長方形 196">
          <a:extLst>
            <a:ext uri="{FF2B5EF4-FFF2-40B4-BE49-F238E27FC236}">
              <a16:creationId xmlns:a16="http://schemas.microsoft.com/office/drawing/2014/main" id="{B78894CD-AF75-41DF-A868-05A5828FFD3F}"/>
            </a:ext>
          </a:extLst>
        </xdr:cNvPr>
        <xdr:cNvSpPr/>
      </xdr:nvSpPr>
      <xdr:spPr bwMode="auto">
        <a:xfrm>
          <a:off x="2590800" y="62484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83</xdr:row>
      <xdr:rowOff>28575</xdr:rowOff>
    </xdr:from>
    <xdr:to>
      <xdr:col>30</xdr:col>
      <xdr:colOff>26341</xdr:colOff>
      <xdr:row>83</xdr:row>
      <xdr:rowOff>218514</xdr:rowOff>
    </xdr:to>
    <xdr:sp macro="" textlink="">
      <xdr:nvSpPr>
        <xdr:cNvPr id="198" name="正方形/長方形 197">
          <a:extLst>
            <a:ext uri="{FF2B5EF4-FFF2-40B4-BE49-F238E27FC236}">
              <a16:creationId xmlns:a16="http://schemas.microsoft.com/office/drawing/2014/main" id="{E46B2ECF-5A0F-4C6B-8744-C0E524398FBA}"/>
            </a:ext>
          </a:extLst>
        </xdr:cNvPr>
        <xdr:cNvSpPr/>
      </xdr:nvSpPr>
      <xdr:spPr bwMode="auto">
        <a:xfrm>
          <a:off x="2581275" y="180689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87</xdr:row>
      <xdr:rowOff>19050</xdr:rowOff>
    </xdr:from>
    <xdr:to>
      <xdr:col>30</xdr:col>
      <xdr:colOff>54916</xdr:colOff>
      <xdr:row>87</xdr:row>
      <xdr:rowOff>208989</xdr:rowOff>
    </xdr:to>
    <xdr:sp macro="" textlink="">
      <xdr:nvSpPr>
        <xdr:cNvPr id="199" name="正方形/長方形 198">
          <a:extLst>
            <a:ext uri="{FF2B5EF4-FFF2-40B4-BE49-F238E27FC236}">
              <a16:creationId xmlns:a16="http://schemas.microsoft.com/office/drawing/2014/main" id="{175DFBD3-7903-4C41-A4BB-645ABA86ABAC}"/>
            </a:ext>
          </a:extLst>
        </xdr:cNvPr>
        <xdr:cNvSpPr/>
      </xdr:nvSpPr>
      <xdr:spPr bwMode="auto">
        <a:xfrm>
          <a:off x="2609850" y="6705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88</xdr:row>
      <xdr:rowOff>38100</xdr:rowOff>
    </xdr:from>
    <xdr:to>
      <xdr:col>30</xdr:col>
      <xdr:colOff>54916</xdr:colOff>
      <xdr:row>88</xdr:row>
      <xdr:rowOff>228039</xdr:rowOff>
    </xdr:to>
    <xdr:sp macro="" textlink="">
      <xdr:nvSpPr>
        <xdr:cNvPr id="200" name="正方形/長方形 199">
          <a:extLst>
            <a:ext uri="{FF2B5EF4-FFF2-40B4-BE49-F238E27FC236}">
              <a16:creationId xmlns:a16="http://schemas.microsoft.com/office/drawing/2014/main" id="{51AA7D91-3A43-4CD1-9B70-3FA961BE6192}"/>
            </a:ext>
          </a:extLst>
        </xdr:cNvPr>
        <xdr:cNvSpPr/>
      </xdr:nvSpPr>
      <xdr:spPr bwMode="auto">
        <a:xfrm>
          <a:off x="2609850" y="69723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78435</xdr:colOff>
      <xdr:row>89</xdr:row>
      <xdr:rowOff>19611</xdr:rowOff>
    </xdr:from>
    <xdr:to>
      <xdr:col>30</xdr:col>
      <xdr:colOff>57151</xdr:colOff>
      <xdr:row>89</xdr:row>
      <xdr:rowOff>209550</xdr:rowOff>
    </xdr:to>
    <xdr:sp macro="" textlink="">
      <xdr:nvSpPr>
        <xdr:cNvPr id="201" name="正方形/長方形 200">
          <a:extLst>
            <a:ext uri="{FF2B5EF4-FFF2-40B4-BE49-F238E27FC236}">
              <a16:creationId xmlns:a16="http://schemas.microsoft.com/office/drawing/2014/main" id="{ACF81CCE-2D11-4555-8A22-748526C6A37D}"/>
            </a:ext>
          </a:extLst>
        </xdr:cNvPr>
        <xdr:cNvSpPr/>
      </xdr:nvSpPr>
      <xdr:spPr bwMode="auto">
        <a:xfrm>
          <a:off x="2612085" y="7201461"/>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90</xdr:row>
      <xdr:rowOff>19050</xdr:rowOff>
    </xdr:from>
    <xdr:to>
      <xdr:col>30</xdr:col>
      <xdr:colOff>35866</xdr:colOff>
      <xdr:row>90</xdr:row>
      <xdr:rowOff>208989</xdr:rowOff>
    </xdr:to>
    <xdr:sp macro="" textlink="">
      <xdr:nvSpPr>
        <xdr:cNvPr id="202" name="正方形/長方形 201">
          <a:extLst>
            <a:ext uri="{FF2B5EF4-FFF2-40B4-BE49-F238E27FC236}">
              <a16:creationId xmlns:a16="http://schemas.microsoft.com/office/drawing/2014/main" id="{870FC42B-6EEE-473F-8E38-7A0761487586}"/>
            </a:ext>
          </a:extLst>
        </xdr:cNvPr>
        <xdr:cNvSpPr/>
      </xdr:nvSpPr>
      <xdr:spPr bwMode="auto">
        <a:xfrm>
          <a:off x="2590800" y="74485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91</xdr:row>
      <xdr:rowOff>19050</xdr:rowOff>
    </xdr:from>
    <xdr:to>
      <xdr:col>30</xdr:col>
      <xdr:colOff>26341</xdr:colOff>
      <xdr:row>91</xdr:row>
      <xdr:rowOff>208989</xdr:rowOff>
    </xdr:to>
    <xdr:sp macro="" textlink="">
      <xdr:nvSpPr>
        <xdr:cNvPr id="203" name="正方形/長方形 202">
          <a:extLst>
            <a:ext uri="{FF2B5EF4-FFF2-40B4-BE49-F238E27FC236}">
              <a16:creationId xmlns:a16="http://schemas.microsoft.com/office/drawing/2014/main" id="{44A93F2E-A70B-48C8-85D8-25AD0D1BEE71}"/>
            </a:ext>
          </a:extLst>
        </xdr:cNvPr>
        <xdr:cNvSpPr/>
      </xdr:nvSpPr>
      <xdr:spPr bwMode="auto">
        <a:xfrm>
          <a:off x="2581275" y="76962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38100</xdr:colOff>
      <xdr:row>92</xdr:row>
      <xdr:rowOff>28575</xdr:rowOff>
    </xdr:from>
    <xdr:to>
      <xdr:col>30</xdr:col>
      <xdr:colOff>16816</xdr:colOff>
      <xdr:row>92</xdr:row>
      <xdr:rowOff>218514</xdr:rowOff>
    </xdr:to>
    <xdr:sp macro="" textlink="">
      <xdr:nvSpPr>
        <xdr:cNvPr id="204" name="正方形/長方形 203">
          <a:extLst>
            <a:ext uri="{FF2B5EF4-FFF2-40B4-BE49-F238E27FC236}">
              <a16:creationId xmlns:a16="http://schemas.microsoft.com/office/drawing/2014/main" id="{EE7C39B6-4755-4AE6-B818-C0883F93DFC0}"/>
            </a:ext>
          </a:extLst>
        </xdr:cNvPr>
        <xdr:cNvSpPr/>
      </xdr:nvSpPr>
      <xdr:spPr bwMode="auto">
        <a:xfrm>
          <a:off x="2571750" y="79533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93</xdr:row>
      <xdr:rowOff>19050</xdr:rowOff>
    </xdr:from>
    <xdr:to>
      <xdr:col>30</xdr:col>
      <xdr:colOff>35866</xdr:colOff>
      <xdr:row>93</xdr:row>
      <xdr:rowOff>208989</xdr:rowOff>
    </xdr:to>
    <xdr:sp macro="" textlink="">
      <xdr:nvSpPr>
        <xdr:cNvPr id="205" name="正方形/長方形 204">
          <a:extLst>
            <a:ext uri="{FF2B5EF4-FFF2-40B4-BE49-F238E27FC236}">
              <a16:creationId xmlns:a16="http://schemas.microsoft.com/office/drawing/2014/main" id="{844B89D4-751F-4438-9F10-2C0A0569C05B}"/>
            </a:ext>
          </a:extLst>
        </xdr:cNvPr>
        <xdr:cNvSpPr/>
      </xdr:nvSpPr>
      <xdr:spPr bwMode="auto">
        <a:xfrm>
          <a:off x="2590800" y="81915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94</xdr:row>
      <xdr:rowOff>19050</xdr:rowOff>
    </xdr:from>
    <xdr:to>
      <xdr:col>30</xdr:col>
      <xdr:colOff>35866</xdr:colOff>
      <xdr:row>94</xdr:row>
      <xdr:rowOff>208989</xdr:rowOff>
    </xdr:to>
    <xdr:sp macro="" textlink="">
      <xdr:nvSpPr>
        <xdr:cNvPr id="206" name="正方形/長方形 205">
          <a:extLst>
            <a:ext uri="{FF2B5EF4-FFF2-40B4-BE49-F238E27FC236}">
              <a16:creationId xmlns:a16="http://schemas.microsoft.com/office/drawing/2014/main" id="{D7C303A2-D7A9-4787-9008-D0CF90A2C9F0}"/>
            </a:ext>
          </a:extLst>
        </xdr:cNvPr>
        <xdr:cNvSpPr/>
      </xdr:nvSpPr>
      <xdr:spPr bwMode="auto">
        <a:xfrm>
          <a:off x="2590800" y="84391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95</xdr:row>
      <xdr:rowOff>28575</xdr:rowOff>
    </xdr:from>
    <xdr:to>
      <xdr:col>30</xdr:col>
      <xdr:colOff>35866</xdr:colOff>
      <xdr:row>95</xdr:row>
      <xdr:rowOff>218514</xdr:rowOff>
    </xdr:to>
    <xdr:sp macro="" textlink="">
      <xdr:nvSpPr>
        <xdr:cNvPr id="207" name="正方形/長方形 206">
          <a:extLst>
            <a:ext uri="{FF2B5EF4-FFF2-40B4-BE49-F238E27FC236}">
              <a16:creationId xmlns:a16="http://schemas.microsoft.com/office/drawing/2014/main" id="{F9897A3D-FFE4-47EB-92CD-9ED2C7546728}"/>
            </a:ext>
          </a:extLst>
        </xdr:cNvPr>
        <xdr:cNvSpPr/>
      </xdr:nvSpPr>
      <xdr:spPr bwMode="auto">
        <a:xfrm>
          <a:off x="2590800" y="86963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96</xdr:row>
      <xdr:rowOff>28575</xdr:rowOff>
    </xdr:from>
    <xdr:to>
      <xdr:col>30</xdr:col>
      <xdr:colOff>45391</xdr:colOff>
      <xdr:row>96</xdr:row>
      <xdr:rowOff>218514</xdr:rowOff>
    </xdr:to>
    <xdr:sp macro="" textlink="">
      <xdr:nvSpPr>
        <xdr:cNvPr id="208" name="正方形/長方形 207">
          <a:extLst>
            <a:ext uri="{FF2B5EF4-FFF2-40B4-BE49-F238E27FC236}">
              <a16:creationId xmlns:a16="http://schemas.microsoft.com/office/drawing/2014/main" id="{2B1EDE7B-3203-42A7-BF3B-83D15A24590A}"/>
            </a:ext>
          </a:extLst>
        </xdr:cNvPr>
        <xdr:cNvSpPr/>
      </xdr:nvSpPr>
      <xdr:spPr bwMode="auto">
        <a:xfrm>
          <a:off x="2600325" y="89439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97</xdr:row>
      <xdr:rowOff>19050</xdr:rowOff>
    </xdr:from>
    <xdr:to>
      <xdr:col>30</xdr:col>
      <xdr:colOff>54916</xdr:colOff>
      <xdr:row>97</xdr:row>
      <xdr:rowOff>208989</xdr:rowOff>
    </xdr:to>
    <xdr:sp macro="" textlink="">
      <xdr:nvSpPr>
        <xdr:cNvPr id="209" name="正方形/長方形 208">
          <a:extLst>
            <a:ext uri="{FF2B5EF4-FFF2-40B4-BE49-F238E27FC236}">
              <a16:creationId xmlns:a16="http://schemas.microsoft.com/office/drawing/2014/main" id="{407465CA-F545-4286-8334-CA7A4EFC1D62}"/>
            </a:ext>
          </a:extLst>
        </xdr:cNvPr>
        <xdr:cNvSpPr/>
      </xdr:nvSpPr>
      <xdr:spPr bwMode="auto">
        <a:xfrm>
          <a:off x="2609850" y="91821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98</xdr:row>
      <xdr:rowOff>28575</xdr:rowOff>
    </xdr:from>
    <xdr:to>
      <xdr:col>30</xdr:col>
      <xdr:colOff>54916</xdr:colOff>
      <xdr:row>98</xdr:row>
      <xdr:rowOff>218514</xdr:rowOff>
    </xdr:to>
    <xdr:sp macro="" textlink="">
      <xdr:nvSpPr>
        <xdr:cNvPr id="210" name="正方形/長方形 209">
          <a:extLst>
            <a:ext uri="{FF2B5EF4-FFF2-40B4-BE49-F238E27FC236}">
              <a16:creationId xmlns:a16="http://schemas.microsoft.com/office/drawing/2014/main" id="{6BCA5D67-6AF1-4193-A818-1EB88AFEB104}"/>
            </a:ext>
          </a:extLst>
        </xdr:cNvPr>
        <xdr:cNvSpPr/>
      </xdr:nvSpPr>
      <xdr:spPr bwMode="auto">
        <a:xfrm>
          <a:off x="2609850" y="94392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97485</xdr:colOff>
      <xdr:row>99</xdr:row>
      <xdr:rowOff>19611</xdr:rowOff>
    </xdr:from>
    <xdr:to>
      <xdr:col>30</xdr:col>
      <xdr:colOff>76201</xdr:colOff>
      <xdr:row>99</xdr:row>
      <xdr:rowOff>209550</xdr:rowOff>
    </xdr:to>
    <xdr:sp macro="" textlink="">
      <xdr:nvSpPr>
        <xdr:cNvPr id="211" name="正方形/長方形 210">
          <a:extLst>
            <a:ext uri="{FF2B5EF4-FFF2-40B4-BE49-F238E27FC236}">
              <a16:creationId xmlns:a16="http://schemas.microsoft.com/office/drawing/2014/main" id="{7B6CC159-20E8-41B9-AAC6-D1083C2321A4}"/>
            </a:ext>
          </a:extLst>
        </xdr:cNvPr>
        <xdr:cNvSpPr/>
      </xdr:nvSpPr>
      <xdr:spPr bwMode="auto">
        <a:xfrm>
          <a:off x="2631135" y="9677961"/>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100</xdr:row>
      <xdr:rowOff>19050</xdr:rowOff>
    </xdr:from>
    <xdr:to>
      <xdr:col>30</xdr:col>
      <xdr:colOff>54916</xdr:colOff>
      <xdr:row>100</xdr:row>
      <xdr:rowOff>208989</xdr:rowOff>
    </xdr:to>
    <xdr:sp macro="" textlink="">
      <xdr:nvSpPr>
        <xdr:cNvPr id="212" name="正方形/長方形 211">
          <a:extLst>
            <a:ext uri="{FF2B5EF4-FFF2-40B4-BE49-F238E27FC236}">
              <a16:creationId xmlns:a16="http://schemas.microsoft.com/office/drawing/2014/main" id="{AF167A12-5DB9-4564-B3B7-E4AADFCF8629}"/>
            </a:ext>
          </a:extLst>
        </xdr:cNvPr>
        <xdr:cNvSpPr/>
      </xdr:nvSpPr>
      <xdr:spPr bwMode="auto">
        <a:xfrm>
          <a:off x="2609850" y="9925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101</xdr:row>
      <xdr:rowOff>19050</xdr:rowOff>
    </xdr:from>
    <xdr:to>
      <xdr:col>30</xdr:col>
      <xdr:colOff>45391</xdr:colOff>
      <xdr:row>101</xdr:row>
      <xdr:rowOff>208989</xdr:rowOff>
    </xdr:to>
    <xdr:sp macro="" textlink="">
      <xdr:nvSpPr>
        <xdr:cNvPr id="213" name="正方形/長方形 212">
          <a:extLst>
            <a:ext uri="{FF2B5EF4-FFF2-40B4-BE49-F238E27FC236}">
              <a16:creationId xmlns:a16="http://schemas.microsoft.com/office/drawing/2014/main" id="{28E000A1-70EE-452D-9A60-97AF46FDFDB5}"/>
            </a:ext>
          </a:extLst>
        </xdr:cNvPr>
        <xdr:cNvSpPr/>
      </xdr:nvSpPr>
      <xdr:spPr bwMode="auto">
        <a:xfrm>
          <a:off x="2600325" y="101727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102</xdr:row>
      <xdr:rowOff>28575</xdr:rowOff>
    </xdr:from>
    <xdr:to>
      <xdr:col>30</xdr:col>
      <xdr:colOff>35866</xdr:colOff>
      <xdr:row>102</xdr:row>
      <xdr:rowOff>218514</xdr:rowOff>
    </xdr:to>
    <xdr:sp macro="" textlink="">
      <xdr:nvSpPr>
        <xdr:cNvPr id="214" name="正方形/長方形 213">
          <a:extLst>
            <a:ext uri="{FF2B5EF4-FFF2-40B4-BE49-F238E27FC236}">
              <a16:creationId xmlns:a16="http://schemas.microsoft.com/office/drawing/2014/main" id="{AF79258E-1CE7-4D86-8238-5D84DB1274A2}"/>
            </a:ext>
          </a:extLst>
        </xdr:cNvPr>
        <xdr:cNvSpPr/>
      </xdr:nvSpPr>
      <xdr:spPr bwMode="auto">
        <a:xfrm>
          <a:off x="2590800" y="104298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103</xdr:row>
      <xdr:rowOff>19050</xdr:rowOff>
    </xdr:from>
    <xdr:to>
      <xdr:col>30</xdr:col>
      <xdr:colOff>54916</xdr:colOff>
      <xdr:row>103</xdr:row>
      <xdr:rowOff>208989</xdr:rowOff>
    </xdr:to>
    <xdr:sp macro="" textlink="">
      <xdr:nvSpPr>
        <xdr:cNvPr id="215" name="正方形/長方形 214">
          <a:extLst>
            <a:ext uri="{FF2B5EF4-FFF2-40B4-BE49-F238E27FC236}">
              <a16:creationId xmlns:a16="http://schemas.microsoft.com/office/drawing/2014/main" id="{A8705673-57C5-45D4-B728-AEA283236B66}"/>
            </a:ext>
          </a:extLst>
        </xdr:cNvPr>
        <xdr:cNvSpPr/>
      </xdr:nvSpPr>
      <xdr:spPr bwMode="auto">
        <a:xfrm>
          <a:off x="2609850" y="10668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104</xdr:row>
      <xdr:rowOff>19050</xdr:rowOff>
    </xdr:from>
    <xdr:to>
      <xdr:col>30</xdr:col>
      <xdr:colOff>54916</xdr:colOff>
      <xdr:row>104</xdr:row>
      <xdr:rowOff>208989</xdr:rowOff>
    </xdr:to>
    <xdr:sp macro="" textlink="">
      <xdr:nvSpPr>
        <xdr:cNvPr id="216" name="正方形/長方形 215">
          <a:extLst>
            <a:ext uri="{FF2B5EF4-FFF2-40B4-BE49-F238E27FC236}">
              <a16:creationId xmlns:a16="http://schemas.microsoft.com/office/drawing/2014/main" id="{E789460D-E56F-4289-93AE-EC0D2230A94C}"/>
            </a:ext>
          </a:extLst>
        </xdr:cNvPr>
        <xdr:cNvSpPr/>
      </xdr:nvSpPr>
      <xdr:spPr bwMode="auto">
        <a:xfrm>
          <a:off x="2609850" y="109156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105</xdr:row>
      <xdr:rowOff>28575</xdr:rowOff>
    </xdr:from>
    <xdr:to>
      <xdr:col>30</xdr:col>
      <xdr:colOff>54916</xdr:colOff>
      <xdr:row>105</xdr:row>
      <xdr:rowOff>218514</xdr:rowOff>
    </xdr:to>
    <xdr:sp macro="" textlink="">
      <xdr:nvSpPr>
        <xdr:cNvPr id="217" name="正方形/長方形 216">
          <a:extLst>
            <a:ext uri="{FF2B5EF4-FFF2-40B4-BE49-F238E27FC236}">
              <a16:creationId xmlns:a16="http://schemas.microsoft.com/office/drawing/2014/main" id="{10A2A84A-A8A5-4DBE-819E-949C614F17CB}"/>
            </a:ext>
          </a:extLst>
        </xdr:cNvPr>
        <xdr:cNvSpPr/>
      </xdr:nvSpPr>
      <xdr:spPr bwMode="auto">
        <a:xfrm>
          <a:off x="2609850" y="111728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106</xdr:row>
      <xdr:rowOff>28575</xdr:rowOff>
    </xdr:from>
    <xdr:to>
      <xdr:col>30</xdr:col>
      <xdr:colOff>64441</xdr:colOff>
      <xdr:row>106</xdr:row>
      <xdr:rowOff>218514</xdr:rowOff>
    </xdr:to>
    <xdr:sp macro="" textlink="">
      <xdr:nvSpPr>
        <xdr:cNvPr id="218" name="正方形/長方形 217">
          <a:extLst>
            <a:ext uri="{FF2B5EF4-FFF2-40B4-BE49-F238E27FC236}">
              <a16:creationId xmlns:a16="http://schemas.microsoft.com/office/drawing/2014/main" id="{118B4D9F-FC95-4DDD-A2AB-E9D12139C05E}"/>
            </a:ext>
          </a:extLst>
        </xdr:cNvPr>
        <xdr:cNvSpPr/>
      </xdr:nvSpPr>
      <xdr:spPr bwMode="auto">
        <a:xfrm>
          <a:off x="2619375" y="114204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107</xdr:row>
      <xdr:rowOff>19050</xdr:rowOff>
    </xdr:from>
    <xdr:to>
      <xdr:col>30</xdr:col>
      <xdr:colOff>73966</xdr:colOff>
      <xdr:row>107</xdr:row>
      <xdr:rowOff>208989</xdr:rowOff>
    </xdr:to>
    <xdr:sp macro="" textlink="">
      <xdr:nvSpPr>
        <xdr:cNvPr id="219" name="正方形/長方形 218">
          <a:extLst>
            <a:ext uri="{FF2B5EF4-FFF2-40B4-BE49-F238E27FC236}">
              <a16:creationId xmlns:a16="http://schemas.microsoft.com/office/drawing/2014/main" id="{FE923126-89E2-445C-BFBF-D23983085E7F}"/>
            </a:ext>
          </a:extLst>
        </xdr:cNvPr>
        <xdr:cNvSpPr/>
      </xdr:nvSpPr>
      <xdr:spPr bwMode="auto">
        <a:xfrm>
          <a:off x="2628900" y="11658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108</xdr:row>
      <xdr:rowOff>28575</xdr:rowOff>
    </xdr:from>
    <xdr:to>
      <xdr:col>30</xdr:col>
      <xdr:colOff>64441</xdr:colOff>
      <xdr:row>108</xdr:row>
      <xdr:rowOff>218514</xdr:rowOff>
    </xdr:to>
    <xdr:sp macro="" textlink="">
      <xdr:nvSpPr>
        <xdr:cNvPr id="220" name="正方形/長方形 219">
          <a:extLst>
            <a:ext uri="{FF2B5EF4-FFF2-40B4-BE49-F238E27FC236}">
              <a16:creationId xmlns:a16="http://schemas.microsoft.com/office/drawing/2014/main" id="{DA7C9DE8-8EE9-47E2-8002-4620C65535A6}"/>
            </a:ext>
          </a:extLst>
        </xdr:cNvPr>
        <xdr:cNvSpPr/>
      </xdr:nvSpPr>
      <xdr:spPr bwMode="auto">
        <a:xfrm>
          <a:off x="2619375" y="119157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109</xdr:row>
      <xdr:rowOff>28575</xdr:rowOff>
    </xdr:from>
    <xdr:to>
      <xdr:col>30</xdr:col>
      <xdr:colOff>64441</xdr:colOff>
      <xdr:row>109</xdr:row>
      <xdr:rowOff>218514</xdr:rowOff>
    </xdr:to>
    <xdr:sp macro="" textlink="">
      <xdr:nvSpPr>
        <xdr:cNvPr id="221" name="正方形/長方形 220">
          <a:extLst>
            <a:ext uri="{FF2B5EF4-FFF2-40B4-BE49-F238E27FC236}">
              <a16:creationId xmlns:a16="http://schemas.microsoft.com/office/drawing/2014/main" id="{E3A0BBD4-1D07-433B-85EA-00F0F5C172B1}"/>
            </a:ext>
          </a:extLst>
        </xdr:cNvPr>
        <xdr:cNvSpPr/>
      </xdr:nvSpPr>
      <xdr:spPr bwMode="auto">
        <a:xfrm>
          <a:off x="2619375" y="121634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38100</xdr:colOff>
      <xdr:row>111</xdr:row>
      <xdr:rowOff>28575</xdr:rowOff>
    </xdr:from>
    <xdr:to>
      <xdr:col>45</xdr:col>
      <xdr:colOff>120627</xdr:colOff>
      <xdr:row>111</xdr:row>
      <xdr:rowOff>219075</xdr:rowOff>
    </xdr:to>
    <xdr:sp macro="" textlink="">
      <xdr:nvSpPr>
        <xdr:cNvPr id="222" name="正方形/長方形 221">
          <a:extLst>
            <a:ext uri="{FF2B5EF4-FFF2-40B4-BE49-F238E27FC236}">
              <a16:creationId xmlns:a16="http://schemas.microsoft.com/office/drawing/2014/main" id="{1671C7C5-0308-4826-AC47-C50CE6047890}"/>
            </a:ext>
          </a:extLst>
        </xdr:cNvPr>
        <xdr:cNvSpPr/>
      </xdr:nvSpPr>
      <xdr:spPr>
        <a:xfrm>
          <a:off x="5372100" y="12658725"/>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34</xdr:col>
      <xdr:colOff>19050</xdr:colOff>
      <xdr:row>19</xdr:row>
      <xdr:rowOff>28575</xdr:rowOff>
    </xdr:from>
    <xdr:to>
      <xdr:col>39</xdr:col>
      <xdr:colOff>101577</xdr:colOff>
      <xdr:row>19</xdr:row>
      <xdr:rowOff>219075</xdr:rowOff>
    </xdr:to>
    <xdr:sp macro="" textlink="">
      <xdr:nvSpPr>
        <xdr:cNvPr id="19" name="正方形/長方形 18">
          <a:extLst>
            <a:ext uri="{FF2B5EF4-FFF2-40B4-BE49-F238E27FC236}">
              <a16:creationId xmlns:a16="http://schemas.microsoft.com/office/drawing/2014/main" id="{295FDB38-ACE6-4D59-805B-C5175B910BEF}"/>
            </a:ext>
          </a:extLst>
        </xdr:cNvPr>
        <xdr:cNvSpPr/>
      </xdr:nvSpPr>
      <xdr:spPr>
        <a:xfrm>
          <a:off x="4552950" y="3990975"/>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39</xdr:col>
      <xdr:colOff>20955</xdr:colOff>
      <xdr:row>76</xdr:row>
      <xdr:rowOff>17145</xdr:rowOff>
    </xdr:from>
    <xdr:to>
      <xdr:col>44</xdr:col>
      <xdr:colOff>105387</xdr:colOff>
      <xdr:row>76</xdr:row>
      <xdr:rowOff>207645</xdr:rowOff>
    </xdr:to>
    <xdr:sp macro="" textlink="">
      <xdr:nvSpPr>
        <xdr:cNvPr id="76" name="正方形/長方形 75">
          <a:extLst>
            <a:ext uri="{FF2B5EF4-FFF2-40B4-BE49-F238E27FC236}">
              <a16:creationId xmlns:a16="http://schemas.microsoft.com/office/drawing/2014/main" id="{D7821530-448B-47B8-B17C-0D7AED13288F}"/>
            </a:ext>
          </a:extLst>
        </xdr:cNvPr>
        <xdr:cNvSpPr/>
      </xdr:nvSpPr>
      <xdr:spPr>
        <a:xfrm>
          <a:off x="4850130" y="16285845"/>
          <a:ext cx="70355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127000</xdr:colOff>
      <xdr:row>18</xdr:row>
      <xdr:rowOff>22225</xdr:rowOff>
    </xdr:from>
    <xdr:to>
      <xdr:col>46</xdr:col>
      <xdr:colOff>89512</xdr:colOff>
      <xdr:row>18</xdr:row>
      <xdr:rowOff>212725</xdr:rowOff>
    </xdr:to>
    <xdr:sp macro="" textlink="">
      <xdr:nvSpPr>
        <xdr:cNvPr id="69" name="正方形/長方形 68">
          <a:extLst>
            <a:ext uri="{FF2B5EF4-FFF2-40B4-BE49-F238E27FC236}">
              <a16:creationId xmlns:a16="http://schemas.microsoft.com/office/drawing/2014/main" id="{1D44DD87-D430-4ED2-AB7C-EABE1E8011AD}"/>
            </a:ext>
          </a:extLst>
        </xdr:cNvPr>
        <xdr:cNvSpPr/>
      </xdr:nvSpPr>
      <xdr:spPr>
        <a:xfrm>
          <a:off x="5461000" y="3724275"/>
          <a:ext cx="76261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66675</xdr:colOff>
      <xdr:row>18</xdr:row>
      <xdr:rowOff>28576</xdr:rowOff>
    </xdr:from>
    <xdr:to>
      <xdr:col>80</xdr:col>
      <xdr:colOff>104774</xdr:colOff>
      <xdr:row>18</xdr:row>
      <xdr:rowOff>219076</xdr:rowOff>
    </xdr:to>
    <xdr:sp macro="" textlink="">
      <xdr:nvSpPr>
        <xdr:cNvPr id="78" name="正方形/長方形 77">
          <a:extLst>
            <a:ext uri="{FF2B5EF4-FFF2-40B4-BE49-F238E27FC236}">
              <a16:creationId xmlns:a16="http://schemas.microsoft.com/office/drawing/2014/main" id="{E7573E81-BC84-41F0-8C21-3516016DCB44}"/>
            </a:ext>
          </a:extLst>
        </xdr:cNvPr>
        <xdr:cNvSpPr/>
      </xdr:nvSpPr>
      <xdr:spPr>
        <a:xfrm>
          <a:off x="8734425" y="3743326"/>
          <a:ext cx="2038349"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42</xdr:col>
      <xdr:colOff>6350</xdr:colOff>
      <xdr:row>75</xdr:row>
      <xdr:rowOff>34925</xdr:rowOff>
    </xdr:from>
    <xdr:to>
      <xdr:col>47</xdr:col>
      <xdr:colOff>102212</xdr:colOff>
      <xdr:row>75</xdr:row>
      <xdr:rowOff>225425</xdr:rowOff>
    </xdr:to>
    <xdr:sp macro="" textlink="">
      <xdr:nvSpPr>
        <xdr:cNvPr id="77" name="正方形/長方形 76">
          <a:extLst>
            <a:ext uri="{FF2B5EF4-FFF2-40B4-BE49-F238E27FC236}">
              <a16:creationId xmlns:a16="http://schemas.microsoft.com/office/drawing/2014/main" id="{B5738161-BE08-4C06-8DF9-572B70C9B659}"/>
            </a:ext>
          </a:extLst>
        </xdr:cNvPr>
        <xdr:cNvSpPr/>
      </xdr:nvSpPr>
      <xdr:spPr>
        <a:xfrm>
          <a:off x="5607050" y="17459325"/>
          <a:ext cx="76261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66675</xdr:colOff>
      <xdr:row>75</xdr:row>
      <xdr:rowOff>28576</xdr:rowOff>
    </xdr:from>
    <xdr:to>
      <xdr:col>80</xdr:col>
      <xdr:colOff>104774</xdr:colOff>
      <xdr:row>75</xdr:row>
      <xdr:rowOff>219076</xdr:rowOff>
    </xdr:to>
    <xdr:sp macro="" textlink="">
      <xdr:nvSpPr>
        <xdr:cNvPr id="79" name="正方形/長方形 78">
          <a:extLst>
            <a:ext uri="{FF2B5EF4-FFF2-40B4-BE49-F238E27FC236}">
              <a16:creationId xmlns:a16="http://schemas.microsoft.com/office/drawing/2014/main" id="{02FCA28A-4089-4BE0-B3CE-C35D2C83DDC8}"/>
            </a:ext>
          </a:extLst>
        </xdr:cNvPr>
        <xdr:cNvSpPr/>
      </xdr:nvSpPr>
      <xdr:spPr>
        <a:xfrm>
          <a:off x="8734425" y="3743326"/>
          <a:ext cx="2038349"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43</xdr:col>
      <xdr:colOff>95250</xdr:colOff>
      <xdr:row>119</xdr:row>
      <xdr:rowOff>9525</xdr:rowOff>
    </xdr:from>
    <xdr:to>
      <xdr:col>50</xdr:col>
      <xdr:colOff>25800</xdr:colOff>
      <xdr:row>119</xdr:row>
      <xdr:rowOff>225525</xdr:rowOff>
    </xdr:to>
    <xdr:sp macro="" textlink="">
      <xdr:nvSpPr>
        <xdr:cNvPr id="80" name="正方形/長方形 79">
          <a:extLst>
            <a:ext uri="{FF2B5EF4-FFF2-40B4-BE49-F238E27FC236}">
              <a16:creationId xmlns:a16="http://schemas.microsoft.com/office/drawing/2014/main" id="{9D5B2D97-EE4A-4E76-AFD7-6D45B901A0FB}"/>
            </a:ext>
          </a:extLst>
        </xdr:cNvPr>
        <xdr:cNvSpPr/>
      </xdr:nvSpPr>
      <xdr:spPr bwMode="auto">
        <a:xfrm>
          <a:off x="5829300" y="25479375"/>
          <a:ext cx="864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28575</xdr:colOff>
      <xdr:row>62</xdr:row>
      <xdr:rowOff>0</xdr:rowOff>
    </xdr:from>
    <xdr:to>
      <xdr:col>50</xdr:col>
      <xdr:colOff>92475</xdr:colOff>
      <xdr:row>62</xdr:row>
      <xdr:rowOff>216000</xdr:rowOff>
    </xdr:to>
    <xdr:sp macro="" textlink="">
      <xdr:nvSpPr>
        <xdr:cNvPr id="81" name="正方形/長方形 80">
          <a:extLst>
            <a:ext uri="{FF2B5EF4-FFF2-40B4-BE49-F238E27FC236}">
              <a16:creationId xmlns:a16="http://schemas.microsoft.com/office/drawing/2014/main" id="{8221DDB7-FB33-47CB-B8AF-F2275E5E462E}"/>
            </a:ext>
          </a:extLst>
        </xdr:cNvPr>
        <xdr:cNvSpPr/>
      </xdr:nvSpPr>
      <xdr:spPr bwMode="auto">
        <a:xfrm>
          <a:off x="5895975" y="13125450"/>
          <a:ext cx="864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38100</xdr:colOff>
      <xdr:row>56</xdr:row>
      <xdr:rowOff>7620</xdr:rowOff>
    </xdr:from>
    <xdr:to>
      <xdr:col>80</xdr:col>
      <xdr:colOff>48445</xdr:colOff>
      <xdr:row>57</xdr:row>
      <xdr:rowOff>18471</xdr:rowOff>
    </xdr:to>
    <xdr:sp macro="" textlink="">
      <xdr:nvSpPr>
        <xdr:cNvPr id="3" name="テキスト ボックス 2">
          <a:extLst>
            <a:ext uri="{FF2B5EF4-FFF2-40B4-BE49-F238E27FC236}">
              <a16:creationId xmlns:a16="http://schemas.microsoft.com/office/drawing/2014/main" id="{68246FE3-B7E2-45E4-B75F-C407F0F8EB3D}"/>
            </a:ext>
          </a:extLst>
        </xdr:cNvPr>
        <xdr:cNvSpPr txBox="1"/>
      </xdr:nvSpPr>
      <xdr:spPr>
        <a:xfrm>
          <a:off x="10439400" y="27052270"/>
          <a:ext cx="273870"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38100</xdr:colOff>
      <xdr:row>113</xdr:row>
      <xdr:rowOff>7620</xdr:rowOff>
    </xdr:from>
    <xdr:to>
      <xdr:col>80</xdr:col>
      <xdr:colOff>48445</xdr:colOff>
      <xdr:row>114</xdr:row>
      <xdr:rowOff>18471</xdr:rowOff>
    </xdr:to>
    <xdr:sp macro="" textlink="">
      <xdr:nvSpPr>
        <xdr:cNvPr id="28" name="テキスト ボックス 27">
          <a:extLst>
            <a:ext uri="{FF2B5EF4-FFF2-40B4-BE49-F238E27FC236}">
              <a16:creationId xmlns:a16="http://schemas.microsoft.com/office/drawing/2014/main" id="{56E03AB1-A792-47AE-9D02-2E3A1F8E21D8}"/>
            </a:ext>
          </a:extLst>
        </xdr:cNvPr>
        <xdr:cNvSpPr txBox="1"/>
      </xdr:nvSpPr>
      <xdr:spPr>
        <a:xfrm>
          <a:off x="10439400" y="13307695"/>
          <a:ext cx="273870"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38</xdr:col>
      <xdr:colOff>82550</xdr:colOff>
      <xdr:row>16</xdr:row>
      <xdr:rowOff>25400</xdr:rowOff>
    </xdr:from>
    <xdr:to>
      <xdr:col>50</xdr:col>
      <xdr:colOff>103533</xdr:colOff>
      <xdr:row>16</xdr:row>
      <xdr:rowOff>215900</xdr:rowOff>
    </xdr:to>
    <xdr:sp macro="" textlink="">
      <xdr:nvSpPr>
        <xdr:cNvPr id="75" name="正方形/長方形 74">
          <a:extLst>
            <a:ext uri="{FF2B5EF4-FFF2-40B4-BE49-F238E27FC236}">
              <a16:creationId xmlns:a16="http://schemas.microsoft.com/office/drawing/2014/main" id="{6362E83A-C250-4D11-B295-2F6ED2CE1F64}"/>
            </a:ext>
          </a:extLst>
        </xdr:cNvPr>
        <xdr:cNvSpPr/>
      </xdr:nvSpPr>
      <xdr:spPr>
        <a:xfrm>
          <a:off x="5149850" y="3232150"/>
          <a:ext cx="1621183"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kern="1200">
              <a:solidFill>
                <a:sysClr val="windowText" lastClr="000000"/>
              </a:solidFill>
              <a:latin typeface="ＭＳ ゴシック" panose="020B0609070205080204" pitchFamily="49" charset="-128"/>
              <a:ea typeface="ＭＳ ゴシック" panose="020B0609070205080204" pitchFamily="49" charset="-128"/>
            </a:rPr>
            <a:t>全道共計</a:t>
          </a:r>
          <a:endPar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19050</xdr:colOff>
      <xdr:row>16</xdr:row>
      <xdr:rowOff>44450</xdr:rowOff>
    </xdr:from>
    <xdr:to>
      <xdr:col>50</xdr:col>
      <xdr:colOff>92472</xdr:colOff>
      <xdr:row>16</xdr:row>
      <xdr:rowOff>226931</xdr:rowOff>
    </xdr:to>
    <xdr:sp macro="" textlink="">
      <xdr:nvSpPr>
        <xdr:cNvPr id="82" name="正方形/長方形 81">
          <a:extLst>
            <a:ext uri="{FF2B5EF4-FFF2-40B4-BE49-F238E27FC236}">
              <a16:creationId xmlns:a16="http://schemas.microsoft.com/office/drawing/2014/main" id="{282BFEA0-840C-40C9-97F8-5C2E7FB65CE4}"/>
            </a:ext>
          </a:extLst>
        </xdr:cNvPr>
        <xdr:cNvSpPr/>
      </xdr:nvSpPr>
      <xdr:spPr bwMode="auto">
        <a:xfrm>
          <a:off x="6553200" y="3251200"/>
          <a:ext cx="206772" cy="1824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10</xdr:row>
      <xdr:rowOff>105834</xdr:rowOff>
    </xdr:from>
    <xdr:to>
      <xdr:col>11</xdr:col>
      <xdr:colOff>3387</xdr:colOff>
      <xdr:row>12</xdr:row>
      <xdr:rowOff>93211</xdr:rowOff>
    </xdr:to>
    <xdr:pic>
      <xdr:nvPicPr>
        <xdr:cNvPr id="2" name="図 1">
          <a:extLst>
            <a:ext uri="{FF2B5EF4-FFF2-40B4-BE49-F238E27FC236}">
              <a16:creationId xmlns:a16="http://schemas.microsoft.com/office/drawing/2014/main" id="{ADBD0F63-921E-4795-8179-B0015201B539}"/>
            </a:ext>
          </a:extLst>
        </xdr:cNvPr>
        <xdr:cNvPicPr>
          <a:picLocks noChangeAspect="1"/>
        </xdr:cNvPicPr>
      </xdr:nvPicPr>
      <xdr:blipFill>
        <a:blip xmlns:r="http://schemas.openxmlformats.org/officeDocument/2006/relationships" r:embed="rId1"/>
        <a:stretch>
          <a:fillRect/>
        </a:stretch>
      </xdr:blipFill>
      <xdr:spPr>
        <a:xfrm>
          <a:off x="266700" y="1725084"/>
          <a:ext cx="1203537" cy="345516"/>
        </a:xfrm>
        <a:prstGeom prst="rect">
          <a:avLst/>
        </a:prstGeom>
      </xdr:spPr>
    </xdr:pic>
    <xdr:clientData/>
  </xdr:twoCellAnchor>
  <xdr:twoCellAnchor>
    <xdr:from>
      <xdr:col>2</xdr:col>
      <xdr:colOff>123264</xdr:colOff>
      <xdr:row>62</xdr:row>
      <xdr:rowOff>67234</xdr:rowOff>
    </xdr:from>
    <xdr:to>
      <xdr:col>8</xdr:col>
      <xdr:colOff>79164</xdr:colOff>
      <xdr:row>63</xdr:row>
      <xdr:rowOff>35584</xdr:rowOff>
    </xdr:to>
    <xdr:sp macro="" textlink="">
      <xdr:nvSpPr>
        <xdr:cNvPr id="4" name="正方形/長方形 3">
          <a:extLst>
            <a:ext uri="{FF2B5EF4-FFF2-40B4-BE49-F238E27FC236}">
              <a16:creationId xmlns:a16="http://schemas.microsoft.com/office/drawing/2014/main" id="{7BABEE7F-F332-428F-9F4D-299FB6523E18}"/>
            </a:ext>
          </a:extLst>
        </xdr:cNvPr>
        <xdr:cNvSpPr/>
      </xdr:nvSpPr>
      <xdr:spPr>
        <a:xfrm>
          <a:off x="389964" y="12964084"/>
          <a:ext cx="756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訂正</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28575</xdr:colOff>
      <xdr:row>61</xdr:row>
      <xdr:rowOff>235322</xdr:rowOff>
    </xdr:from>
    <xdr:to>
      <xdr:col>80</xdr:col>
      <xdr:colOff>117825</xdr:colOff>
      <xdr:row>62</xdr:row>
      <xdr:rowOff>203672</xdr:rowOff>
    </xdr:to>
    <xdr:sp macro="" textlink="">
      <xdr:nvSpPr>
        <xdr:cNvPr id="5" name="正方形/長方形 4">
          <a:extLst>
            <a:ext uri="{FF2B5EF4-FFF2-40B4-BE49-F238E27FC236}">
              <a16:creationId xmlns:a16="http://schemas.microsoft.com/office/drawing/2014/main" id="{F03BFDA4-4504-420E-A7FC-6DF46EF76A91}"/>
            </a:ext>
          </a:extLst>
        </xdr:cNvPr>
        <xdr:cNvSpPr/>
      </xdr:nvSpPr>
      <xdr:spPr>
        <a:xfrm>
          <a:off x="10029825" y="12884522"/>
          <a:ext cx="756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申請</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67</xdr:row>
      <xdr:rowOff>105834</xdr:rowOff>
    </xdr:from>
    <xdr:ext cx="1241637" cy="347210"/>
    <xdr:pic>
      <xdr:nvPicPr>
        <xdr:cNvPr id="6" name="図 5">
          <a:extLst>
            <a:ext uri="{FF2B5EF4-FFF2-40B4-BE49-F238E27FC236}">
              <a16:creationId xmlns:a16="http://schemas.microsoft.com/office/drawing/2014/main" id="{1A32D76C-1C1B-4211-BB83-A095F0D237C6}"/>
            </a:ext>
          </a:extLst>
        </xdr:cNvPr>
        <xdr:cNvPicPr>
          <a:picLocks noChangeAspect="1"/>
        </xdr:cNvPicPr>
      </xdr:nvPicPr>
      <xdr:blipFill>
        <a:blip xmlns:r="http://schemas.openxmlformats.org/officeDocument/2006/relationships" r:embed="rId1"/>
        <a:stretch>
          <a:fillRect/>
        </a:stretch>
      </xdr:blipFill>
      <xdr:spPr>
        <a:xfrm>
          <a:off x="275167" y="1936751"/>
          <a:ext cx="1241637" cy="347210"/>
        </a:xfrm>
        <a:prstGeom prst="rect">
          <a:avLst/>
        </a:prstGeom>
      </xdr:spPr>
    </xdr:pic>
    <xdr:clientData/>
  </xdr:oneCellAnchor>
  <xdr:twoCellAnchor>
    <xdr:from>
      <xdr:col>3</xdr:col>
      <xdr:colOff>2614</xdr:colOff>
      <xdr:row>118</xdr:row>
      <xdr:rowOff>229158</xdr:rowOff>
    </xdr:from>
    <xdr:to>
      <xdr:col>10</xdr:col>
      <xdr:colOff>114300</xdr:colOff>
      <xdr:row>119</xdr:row>
      <xdr:rowOff>209549</xdr:rowOff>
    </xdr:to>
    <xdr:sp macro="" textlink="">
      <xdr:nvSpPr>
        <xdr:cNvPr id="7" name="正方形/長方形 6">
          <a:extLst>
            <a:ext uri="{FF2B5EF4-FFF2-40B4-BE49-F238E27FC236}">
              <a16:creationId xmlns:a16="http://schemas.microsoft.com/office/drawing/2014/main" id="{607AE12D-AC63-44C9-96EE-132FF9443462}"/>
            </a:ext>
          </a:extLst>
        </xdr:cNvPr>
        <xdr:cNvSpPr/>
      </xdr:nvSpPr>
      <xdr:spPr>
        <a:xfrm>
          <a:off x="364564" y="25419608"/>
          <a:ext cx="956236" cy="228041"/>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kern="1200">
              <a:latin typeface="ＭＳ ゴシック" panose="020B0609070205080204" pitchFamily="49" charset="-128"/>
              <a:ea typeface="ＭＳ ゴシック" panose="020B0609070205080204" pitchFamily="49" charset="-128"/>
            </a:rPr>
            <a:t>キャンセル</a:t>
          </a:r>
          <a:endParaRPr kumimoji="1" lang="en-US" altLang="ja-JP" sz="1050" kern="12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28575</xdr:colOff>
      <xdr:row>118</xdr:row>
      <xdr:rowOff>235322</xdr:rowOff>
    </xdr:from>
    <xdr:to>
      <xdr:col>80</xdr:col>
      <xdr:colOff>117825</xdr:colOff>
      <xdr:row>119</xdr:row>
      <xdr:rowOff>203672</xdr:rowOff>
    </xdr:to>
    <xdr:sp macro="" textlink="">
      <xdr:nvSpPr>
        <xdr:cNvPr id="8" name="正方形/長方形 7">
          <a:extLst>
            <a:ext uri="{FF2B5EF4-FFF2-40B4-BE49-F238E27FC236}">
              <a16:creationId xmlns:a16="http://schemas.microsoft.com/office/drawing/2014/main" id="{3108CCF4-3036-4CED-897B-2417DA5BD595}"/>
            </a:ext>
          </a:extLst>
        </xdr:cNvPr>
        <xdr:cNvSpPr/>
      </xdr:nvSpPr>
      <xdr:spPr>
        <a:xfrm>
          <a:off x="10347325" y="12914155"/>
          <a:ext cx="777167" cy="2117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kern="1200">
              <a:latin typeface="ＭＳ ゴシック" panose="020B0609070205080204" pitchFamily="49" charset="-128"/>
              <a:ea typeface="ＭＳ ゴシック" panose="020B0609070205080204" pitchFamily="49" charset="-128"/>
            </a:rPr>
            <a:t>削除</a:t>
          </a:r>
          <a:endParaRPr kumimoji="1" lang="en-US" altLang="ja-JP" sz="1050" kern="1200">
            <a:latin typeface="ＭＳ ゴシック" panose="020B0609070205080204" pitchFamily="49" charset="-128"/>
            <a:ea typeface="ＭＳ ゴシック" panose="020B0609070205080204" pitchFamily="49" charset="-128"/>
          </a:endParaRPr>
        </a:p>
        <a:p>
          <a:pPr algn="ctr"/>
          <a:endParaRPr kumimoji="1" lang="en-US" altLang="ja-JP" sz="1050" kern="12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38100</xdr:colOff>
      <xdr:row>112</xdr:row>
      <xdr:rowOff>7620</xdr:rowOff>
    </xdr:from>
    <xdr:to>
      <xdr:col>80</xdr:col>
      <xdr:colOff>48445</xdr:colOff>
      <xdr:row>113</xdr:row>
      <xdr:rowOff>18471</xdr:rowOff>
    </xdr:to>
    <xdr:sp macro="" textlink="">
      <xdr:nvSpPr>
        <xdr:cNvPr id="3" name="テキスト ボックス 2">
          <a:extLst>
            <a:ext uri="{FF2B5EF4-FFF2-40B4-BE49-F238E27FC236}">
              <a16:creationId xmlns:a16="http://schemas.microsoft.com/office/drawing/2014/main" id="{5020E7EC-DCF9-41CD-8FAC-F79DC160794B}"/>
            </a:ext>
          </a:extLst>
        </xdr:cNvPr>
        <xdr:cNvSpPr txBox="1"/>
      </xdr:nvSpPr>
      <xdr:spPr>
        <a:xfrm>
          <a:off x="10439400" y="26804620"/>
          <a:ext cx="277045"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38100</xdr:colOff>
      <xdr:row>55</xdr:row>
      <xdr:rowOff>7620</xdr:rowOff>
    </xdr:from>
    <xdr:to>
      <xdr:col>80</xdr:col>
      <xdr:colOff>48445</xdr:colOff>
      <xdr:row>56</xdr:row>
      <xdr:rowOff>18471</xdr:rowOff>
    </xdr:to>
    <xdr:sp macro="" textlink="">
      <xdr:nvSpPr>
        <xdr:cNvPr id="9" name="テキスト ボックス 8">
          <a:extLst>
            <a:ext uri="{FF2B5EF4-FFF2-40B4-BE49-F238E27FC236}">
              <a16:creationId xmlns:a16="http://schemas.microsoft.com/office/drawing/2014/main" id="{16DA4878-2664-4580-8668-83382E827024}"/>
            </a:ext>
          </a:extLst>
        </xdr:cNvPr>
        <xdr:cNvSpPr txBox="1"/>
      </xdr:nvSpPr>
      <xdr:spPr>
        <a:xfrm>
          <a:off x="10439400" y="26645870"/>
          <a:ext cx="277045"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66</xdr:col>
      <xdr:colOff>50074</xdr:colOff>
      <xdr:row>61</xdr:row>
      <xdr:rowOff>237853</xdr:rowOff>
    </xdr:from>
    <xdr:to>
      <xdr:col>74</xdr:col>
      <xdr:colOff>84635</xdr:colOff>
      <xdr:row>62</xdr:row>
      <xdr:rowOff>198583</xdr:rowOff>
    </xdr:to>
    <xdr:sp macro="" textlink="">
      <xdr:nvSpPr>
        <xdr:cNvPr id="10" name="正方形/長方形 9">
          <a:extLst>
            <a:ext uri="{FF2B5EF4-FFF2-40B4-BE49-F238E27FC236}">
              <a16:creationId xmlns:a16="http://schemas.microsoft.com/office/drawing/2014/main" id="{DF3252E9-ECAF-48DA-98D3-773790F8A528}"/>
            </a:ext>
          </a:extLst>
        </xdr:cNvPr>
        <xdr:cNvSpPr/>
      </xdr:nvSpPr>
      <xdr:spPr>
        <a:xfrm>
          <a:off x="8851174" y="14477728"/>
          <a:ext cx="1101361" cy="20838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承認ルート表示</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93345</xdr:colOff>
      <xdr:row>118</xdr:row>
      <xdr:rowOff>238125</xdr:rowOff>
    </xdr:from>
    <xdr:to>
      <xdr:col>74</xdr:col>
      <xdr:colOff>122191</xdr:colOff>
      <xdr:row>119</xdr:row>
      <xdr:rowOff>202665</xdr:rowOff>
    </xdr:to>
    <xdr:sp macro="" textlink="">
      <xdr:nvSpPr>
        <xdr:cNvPr id="11" name="正方形/長方形 10">
          <a:extLst>
            <a:ext uri="{FF2B5EF4-FFF2-40B4-BE49-F238E27FC236}">
              <a16:creationId xmlns:a16="http://schemas.microsoft.com/office/drawing/2014/main" id="{6E6ECA60-9CF3-400E-B1EC-95869257C517}"/>
            </a:ext>
          </a:extLst>
        </xdr:cNvPr>
        <xdr:cNvSpPr/>
      </xdr:nvSpPr>
      <xdr:spPr>
        <a:xfrm>
          <a:off x="8894445" y="28184475"/>
          <a:ext cx="1095646" cy="21219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承認ルート表示</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000" baseline="0">
            <a:latin typeface="ＭＳ ゴシック" panose="020B0609070205080204" pitchFamily="49" charset="-128"/>
            <a:ea typeface="ＭＳ ゴシック" panose="020B0609070205080204" pitchFamily="49" charset="-128"/>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08984375" style="50" customWidth="1"/>
    <col min="63" max="159" width="1.90625" style="50" customWidth="1"/>
    <col min="160" max="16384" width="9" style="50"/>
  </cols>
  <sheetData>
    <row r="1" spans="1:63" s="36" customFormat="1" ht="18" customHeight="1">
      <c r="A1" s="36" t="s">
        <v>0</v>
      </c>
      <c r="BJ1" s="37" t="s">
        <v>1</v>
      </c>
    </row>
    <row r="2" spans="1:63" s="38" customFormat="1" ht="18" customHeight="1">
      <c r="A2" s="272" t="s">
        <v>2</v>
      </c>
      <c r="B2" s="273"/>
      <c r="C2" s="273"/>
      <c r="D2" s="273"/>
      <c r="E2" s="273"/>
      <c r="F2" s="273"/>
      <c r="G2" s="273"/>
      <c r="H2" s="273"/>
      <c r="I2" s="273"/>
      <c r="J2" s="273"/>
      <c r="K2" s="273"/>
      <c r="L2" s="273"/>
      <c r="M2" s="273"/>
      <c r="N2" s="273"/>
      <c r="O2" s="273"/>
      <c r="P2" s="273"/>
      <c r="Q2" s="273"/>
      <c r="R2" s="273"/>
      <c r="S2" s="273"/>
      <c r="T2" s="273"/>
      <c r="U2" s="273"/>
      <c r="V2" s="273"/>
      <c r="W2" s="273"/>
      <c r="X2" s="273"/>
      <c r="Y2" s="273"/>
      <c r="Z2" s="273"/>
      <c r="AA2" s="273"/>
      <c r="AB2" s="273"/>
      <c r="AC2" s="273"/>
      <c r="AD2" s="273"/>
      <c r="AE2" s="273"/>
      <c r="AF2" s="273"/>
      <c r="AG2" s="273"/>
      <c r="AH2" s="273"/>
      <c r="AI2" s="273"/>
      <c r="AJ2" s="273"/>
      <c r="AK2" s="273"/>
      <c r="AL2" s="273"/>
      <c r="AM2" s="273"/>
      <c r="AN2" s="273"/>
      <c r="AO2" s="273"/>
      <c r="AP2" s="273"/>
      <c r="AQ2" s="273"/>
      <c r="AR2" s="273"/>
      <c r="AS2" s="273"/>
      <c r="AT2" s="273"/>
      <c r="AU2" s="274"/>
      <c r="AV2" s="267" t="s">
        <v>3</v>
      </c>
      <c r="AW2" s="268"/>
      <c r="AX2" s="268"/>
      <c r="AY2" s="269"/>
      <c r="AZ2" s="267" t="s">
        <v>4</v>
      </c>
      <c r="BA2" s="268"/>
      <c r="BB2" s="268"/>
      <c r="BC2" s="269"/>
      <c r="BD2" s="267" t="s">
        <v>5</v>
      </c>
      <c r="BE2" s="268"/>
      <c r="BF2" s="268"/>
      <c r="BG2" s="269"/>
      <c r="BH2" s="268"/>
      <c r="BI2" s="268"/>
      <c r="BJ2" s="269"/>
    </row>
    <row r="3" spans="1:63" s="36" customFormat="1" ht="18" customHeight="1">
      <c r="A3" s="270" t="s">
        <v>6</v>
      </c>
      <c r="B3" s="270"/>
      <c r="C3" s="270"/>
      <c r="D3" s="270"/>
      <c r="E3" s="270"/>
      <c r="F3" s="270"/>
      <c r="G3" s="270"/>
      <c r="H3" s="271" t="s">
        <v>314</v>
      </c>
      <c r="I3" s="271"/>
      <c r="J3" s="271"/>
      <c r="K3" s="271"/>
      <c r="L3" s="271"/>
      <c r="M3" s="271"/>
      <c r="N3" s="271"/>
      <c r="O3" s="271"/>
      <c r="P3" s="271"/>
      <c r="Q3" s="271"/>
      <c r="R3" s="271"/>
      <c r="S3" s="271"/>
      <c r="T3" s="271"/>
      <c r="U3" s="271"/>
      <c r="V3" s="271"/>
      <c r="W3" s="271"/>
      <c r="X3" s="271"/>
      <c r="Y3" s="271"/>
      <c r="Z3" s="271"/>
      <c r="AA3" s="271"/>
      <c r="AB3" s="271"/>
      <c r="AC3" s="271"/>
      <c r="AD3" s="271"/>
      <c r="AE3" s="271"/>
      <c r="AF3" s="271"/>
      <c r="AG3" s="271"/>
      <c r="AH3" s="271"/>
      <c r="AI3" s="271"/>
      <c r="AJ3" s="271"/>
      <c r="AK3" s="271"/>
      <c r="AL3" s="271"/>
      <c r="AM3" s="271"/>
      <c r="AN3" s="271"/>
      <c r="AO3" s="271"/>
      <c r="AP3" s="271"/>
      <c r="AQ3" s="271"/>
      <c r="AR3" s="271"/>
      <c r="AS3" s="271"/>
      <c r="AT3" s="271"/>
      <c r="AU3" s="271"/>
      <c r="AV3" s="267" t="s">
        <v>7</v>
      </c>
      <c r="AW3" s="268"/>
      <c r="AX3" s="268"/>
      <c r="AY3" s="269"/>
      <c r="AZ3" s="257" t="s">
        <v>308</v>
      </c>
      <c r="BA3" s="258"/>
      <c r="BB3" s="258"/>
      <c r="BC3" s="258"/>
      <c r="BD3" s="258"/>
      <c r="BE3" s="258"/>
      <c r="BF3" s="258"/>
      <c r="BG3" s="258"/>
      <c r="BH3" s="258"/>
      <c r="BI3" s="258"/>
      <c r="BJ3" s="259"/>
    </row>
    <row r="4" spans="1:63" s="36" customFormat="1" ht="18" customHeight="1">
      <c r="A4" s="270" t="s">
        <v>8</v>
      </c>
      <c r="B4" s="270"/>
      <c r="C4" s="270"/>
      <c r="D4" s="270"/>
      <c r="E4" s="270"/>
      <c r="F4" s="270"/>
      <c r="G4" s="270"/>
      <c r="H4" s="271" t="s">
        <v>65</v>
      </c>
      <c r="I4" s="271"/>
      <c r="J4" s="271"/>
      <c r="K4" s="271"/>
      <c r="L4" s="271"/>
      <c r="M4" s="271"/>
      <c r="N4" s="271"/>
      <c r="O4" s="271"/>
      <c r="P4" s="271"/>
      <c r="Q4" s="271"/>
      <c r="R4" s="271"/>
      <c r="S4" s="271"/>
      <c r="T4" s="271"/>
      <c r="U4" s="271"/>
      <c r="V4" s="271"/>
      <c r="W4" s="271"/>
      <c r="X4" s="271"/>
      <c r="Y4" s="271"/>
      <c r="Z4" s="271"/>
      <c r="AA4" s="271"/>
      <c r="AB4" s="271"/>
      <c r="AC4" s="271"/>
      <c r="AD4" s="271"/>
      <c r="AE4" s="271"/>
      <c r="AF4" s="271"/>
      <c r="AG4" s="271"/>
      <c r="AH4" s="271"/>
      <c r="AI4" s="271"/>
      <c r="AJ4" s="271"/>
      <c r="AK4" s="271"/>
      <c r="AL4" s="271"/>
      <c r="AM4" s="271"/>
      <c r="AN4" s="271"/>
      <c r="AO4" s="271"/>
      <c r="AP4" s="271"/>
      <c r="AQ4" s="271"/>
      <c r="AR4" s="271"/>
      <c r="AS4" s="271"/>
      <c r="AT4" s="271"/>
      <c r="AU4" s="271"/>
      <c r="AV4" s="267" t="s">
        <v>9</v>
      </c>
      <c r="AW4" s="268"/>
      <c r="AX4" s="268"/>
      <c r="AY4" s="269"/>
      <c r="AZ4" s="267"/>
      <c r="BA4" s="268"/>
      <c r="BB4" s="268"/>
      <c r="BC4" s="268"/>
      <c r="BD4" s="268"/>
      <c r="BE4" s="268"/>
      <c r="BF4" s="268"/>
      <c r="BG4" s="268"/>
      <c r="BH4" s="268"/>
      <c r="BI4" s="268"/>
      <c r="BJ4" s="269"/>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10</v>
      </c>
      <c r="B6" s="258"/>
      <c r="C6" s="258"/>
      <c r="D6" s="258"/>
      <c r="E6" s="258"/>
      <c r="F6" s="258"/>
      <c r="G6" s="259"/>
      <c r="H6" s="260" t="s">
        <v>83</v>
      </c>
      <c r="I6" s="261"/>
      <c r="J6" s="261"/>
      <c r="K6" s="261"/>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2"/>
      <c r="AV6" s="266" t="s">
        <v>11</v>
      </c>
      <c r="AW6" s="266"/>
      <c r="AX6" s="266"/>
      <c r="AY6" s="266"/>
      <c r="AZ6" s="266"/>
      <c r="BA6" s="266"/>
      <c r="BB6" s="266"/>
      <c r="BC6" s="266"/>
      <c r="BD6" s="266"/>
      <c r="BE6" s="266"/>
      <c r="BF6" s="266"/>
      <c r="BG6" s="266"/>
      <c r="BH6" s="266"/>
      <c r="BI6" s="266"/>
      <c r="BJ6" s="266"/>
      <c r="BK6" s="26"/>
    </row>
    <row r="7" spans="1:63" s="39" customFormat="1" ht="9" customHeight="1"/>
    <row r="8" spans="1:63" s="30" customFormat="1" ht="15.75" customHeight="1">
      <c r="A8" s="263" t="s">
        <v>12</v>
      </c>
      <c r="B8" s="264"/>
      <c r="C8" s="264"/>
      <c r="D8" s="264"/>
      <c r="E8" s="264"/>
      <c r="F8" s="264"/>
      <c r="G8" s="265"/>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63" t="s">
        <v>396</v>
      </c>
      <c r="C10" s="36"/>
      <c r="D10" s="36"/>
      <c r="E10" s="36"/>
      <c r="F10" s="36"/>
      <c r="G10" s="36"/>
      <c r="H10" s="44"/>
      <c r="I10" s="30" t="s">
        <v>397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3"/>
      <c r="H60" s="43"/>
      <c r="BJ60" s="46"/>
    </row>
    <row r="61" spans="1:62" s="30" customFormat="1" ht="20.25" customHeight="1">
      <c r="A61" s="43"/>
      <c r="H61" s="43"/>
      <c r="BJ61" s="46"/>
    </row>
    <row r="62" spans="1:62" s="30" customFormat="1" ht="20.25" customHeight="1">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90625" defaultRowHeight="14"/>
  <cols>
    <col min="1" max="95" width="2.08984375" style="2" customWidth="1"/>
    <col min="96" max="16384" width="1.90625" style="2"/>
  </cols>
  <sheetData>
    <row r="1" spans="1:107" s="3" customFormat="1" ht="18" customHeight="1">
      <c r="A1" s="3" t="s">
        <v>14</v>
      </c>
      <c r="CQ1" s="27" t="s">
        <v>1</v>
      </c>
    </row>
    <row r="2" spans="1:107" s="4" customFormat="1" ht="18" customHeight="1">
      <c r="A2" s="275" t="s">
        <v>15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6"/>
      <c r="AV2" s="276"/>
      <c r="AW2" s="276"/>
      <c r="AX2" s="276"/>
      <c r="AY2" s="276"/>
      <c r="AZ2" s="276"/>
      <c r="BA2" s="276"/>
      <c r="BB2" s="276"/>
      <c r="BC2" s="276"/>
      <c r="BD2" s="276"/>
      <c r="BE2" s="276"/>
      <c r="BF2" s="276"/>
      <c r="BG2" s="276"/>
      <c r="BH2" s="276"/>
      <c r="BI2" s="276"/>
      <c r="BJ2" s="276"/>
      <c r="BK2" s="276"/>
      <c r="BL2" s="276"/>
      <c r="BM2" s="276"/>
      <c r="BN2" s="276"/>
      <c r="BO2" s="276"/>
      <c r="BP2" s="276"/>
      <c r="BQ2" s="276"/>
      <c r="BR2" s="276"/>
      <c r="BS2" s="276"/>
      <c r="BT2" s="276"/>
      <c r="BU2" s="276"/>
      <c r="BV2" s="276"/>
      <c r="BW2" s="276"/>
      <c r="BX2" s="277"/>
      <c r="BY2" s="257" t="s">
        <v>3</v>
      </c>
      <c r="BZ2" s="258"/>
      <c r="CA2" s="258"/>
      <c r="CB2" s="258"/>
      <c r="CC2" s="258"/>
      <c r="CD2" s="258"/>
      <c r="CE2" s="259"/>
      <c r="CF2" s="257" t="s">
        <v>16</v>
      </c>
      <c r="CG2" s="258"/>
      <c r="CH2" s="258"/>
      <c r="CI2" s="259"/>
      <c r="CJ2" s="257" t="s">
        <v>5</v>
      </c>
      <c r="CK2" s="258"/>
      <c r="CL2" s="258"/>
      <c r="CM2" s="259"/>
      <c r="CN2" s="258"/>
      <c r="CO2" s="258"/>
      <c r="CP2" s="258"/>
      <c r="CQ2" s="259"/>
    </row>
    <row r="3" spans="1:107" s="3" customFormat="1" ht="18" customHeight="1">
      <c r="A3" s="257" t="s">
        <v>6</v>
      </c>
      <c r="B3" s="258"/>
      <c r="C3" s="258"/>
      <c r="D3" s="258"/>
      <c r="E3" s="258"/>
      <c r="F3" s="258"/>
      <c r="G3" s="258"/>
      <c r="H3" s="258"/>
      <c r="I3" s="259"/>
      <c r="J3" s="260" t="s">
        <v>315</v>
      </c>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1"/>
      <c r="BP3" s="261"/>
      <c r="BQ3" s="261"/>
      <c r="BR3" s="261"/>
      <c r="BS3" s="261"/>
      <c r="BT3" s="261"/>
      <c r="BU3" s="261"/>
      <c r="BV3" s="261"/>
      <c r="BW3" s="261"/>
      <c r="BX3" s="262"/>
      <c r="BY3" s="257" t="s">
        <v>7</v>
      </c>
      <c r="BZ3" s="258"/>
      <c r="CA3" s="258"/>
      <c r="CB3" s="258"/>
      <c r="CC3" s="258"/>
      <c r="CD3" s="258"/>
      <c r="CE3" s="259"/>
      <c r="CF3" s="257" t="s">
        <v>317</v>
      </c>
      <c r="CG3" s="258"/>
      <c r="CH3" s="258"/>
      <c r="CI3" s="258"/>
      <c r="CJ3" s="258"/>
      <c r="CK3" s="258"/>
      <c r="CL3" s="258"/>
      <c r="CM3" s="258"/>
      <c r="CN3" s="258"/>
      <c r="CO3" s="258"/>
      <c r="CP3" s="258"/>
      <c r="CQ3" s="259"/>
    </row>
    <row r="4" spans="1:107" s="3" customFormat="1" ht="18" customHeight="1">
      <c r="A4" s="257" t="s">
        <v>8</v>
      </c>
      <c r="B4" s="258"/>
      <c r="C4" s="258"/>
      <c r="D4" s="258"/>
      <c r="E4" s="258"/>
      <c r="F4" s="258"/>
      <c r="G4" s="258"/>
      <c r="H4" s="258"/>
      <c r="I4" s="259"/>
      <c r="J4" s="260" t="str">
        <f>変更履歴!H4</f>
        <v>共計</v>
      </c>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8"/>
      <c r="BP4" s="278"/>
      <c r="BQ4" s="278"/>
      <c r="BR4" s="278"/>
      <c r="BS4" s="278"/>
      <c r="BT4" s="278"/>
      <c r="BU4" s="278"/>
      <c r="BV4" s="278"/>
      <c r="BW4" s="278"/>
      <c r="BX4" s="279"/>
      <c r="BY4" s="257" t="s">
        <v>9</v>
      </c>
      <c r="BZ4" s="258"/>
      <c r="CA4" s="258"/>
      <c r="CB4" s="258"/>
      <c r="CC4" s="258"/>
      <c r="CD4" s="258"/>
      <c r="CE4" s="259"/>
      <c r="CF4" s="257"/>
      <c r="CG4" s="258"/>
      <c r="CH4" s="258"/>
      <c r="CI4" s="258"/>
      <c r="CJ4" s="258"/>
      <c r="CK4" s="258"/>
      <c r="CL4" s="258"/>
      <c r="CM4" s="258"/>
      <c r="CN4" s="258"/>
      <c r="CO4" s="258"/>
      <c r="CP4" s="258"/>
      <c r="CQ4" s="259"/>
    </row>
    <row r="5" spans="1:107" s="5" customFormat="1" ht="4.5" customHeight="1"/>
    <row r="6" spans="1:107" ht="30.75" customHeight="1">
      <c r="A6" s="257" t="s">
        <v>17</v>
      </c>
      <c r="B6" s="258"/>
      <c r="C6" s="258"/>
      <c r="D6" s="258"/>
      <c r="E6" s="258"/>
      <c r="F6" s="258"/>
      <c r="G6" s="258"/>
      <c r="H6" s="258"/>
      <c r="I6" s="259"/>
      <c r="J6" s="281" t="s">
        <v>177</v>
      </c>
      <c r="K6" s="258"/>
      <c r="L6" s="258"/>
      <c r="M6" s="258"/>
      <c r="N6" s="258"/>
      <c r="O6" s="258"/>
      <c r="P6" s="258"/>
      <c r="Q6" s="258"/>
      <c r="R6" s="258"/>
      <c r="S6" s="258"/>
      <c r="T6" s="259"/>
      <c r="U6" s="257" t="s">
        <v>10</v>
      </c>
      <c r="V6" s="258"/>
      <c r="W6" s="258"/>
      <c r="X6" s="258"/>
      <c r="Y6" s="258"/>
      <c r="Z6" s="258"/>
      <c r="AA6" s="258"/>
      <c r="AB6" s="258"/>
      <c r="AC6" s="259"/>
      <c r="AD6" s="260" t="str">
        <f>変更履歴!H6</f>
        <v>滞留立替金利補正入力</v>
      </c>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8"/>
      <c r="BK6" s="278"/>
      <c r="BL6" s="278"/>
      <c r="BM6" s="278"/>
      <c r="BN6" s="278"/>
      <c r="BO6" s="278"/>
      <c r="BP6" s="278"/>
      <c r="BQ6" s="278"/>
      <c r="BR6" s="278"/>
      <c r="BS6" s="278"/>
      <c r="BT6" s="278"/>
      <c r="BU6" s="278"/>
      <c r="BV6" s="278"/>
      <c r="BW6" s="278"/>
      <c r="BX6" s="279"/>
      <c r="BY6" s="280" t="s">
        <v>18</v>
      </c>
      <c r="BZ6" s="280"/>
      <c r="CA6" s="280"/>
      <c r="CB6" s="280"/>
      <c r="CC6" s="280"/>
      <c r="CD6" s="280"/>
      <c r="CE6" s="280"/>
      <c r="CF6" s="266"/>
      <c r="CG6" s="266"/>
      <c r="CH6" s="266"/>
      <c r="CI6" s="266"/>
      <c r="CJ6" s="266"/>
      <c r="CK6" s="266"/>
      <c r="CL6" s="266"/>
      <c r="CM6" s="266"/>
      <c r="CN6" s="266"/>
      <c r="CO6" s="266"/>
      <c r="CP6" s="266"/>
      <c r="CQ6" s="2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293</v>
      </c>
      <c r="L11" s="62"/>
      <c r="M11" s="62"/>
      <c r="N11" s="62"/>
      <c r="Q11" s="62"/>
      <c r="R11" s="62"/>
      <c r="S11" s="62"/>
      <c r="AE11" s="62"/>
      <c r="AF11" s="62"/>
      <c r="AG11" s="62"/>
      <c r="AH11" s="62"/>
      <c r="AI11" s="62"/>
      <c r="AJ11" s="62"/>
      <c r="AK11" s="62"/>
      <c r="AL11" s="62"/>
      <c r="AM11" s="62"/>
      <c r="AN11" s="62"/>
      <c r="AO11" s="62"/>
      <c r="AS11" s="62"/>
      <c r="AW11" s="62"/>
      <c r="AX11" s="62"/>
      <c r="AY11" s="62"/>
      <c r="AZ11" s="62"/>
      <c r="BA11" s="62"/>
      <c r="BB11" s="62"/>
      <c r="BC11" s="62"/>
      <c r="BD11" s="62"/>
      <c r="BE11" s="62"/>
      <c r="BF11" s="62"/>
      <c r="BG11" s="62"/>
      <c r="BL11" s="62"/>
      <c r="BQ11" s="62"/>
      <c r="BR11" s="62"/>
      <c r="BS11" s="62"/>
      <c r="BT11" s="62"/>
      <c r="BU11" s="62"/>
      <c r="BV11" s="62"/>
      <c r="BW11" s="62"/>
      <c r="BX11" s="62"/>
      <c r="BY11" s="62"/>
      <c r="BZ11" s="62"/>
      <c r="CA11" s="62"/>
      <c r="CQ11" s="51"/>
    </row>
    <row r="12" spans="1:107" ht="30.75" customHeight="1">
      <c r="A12" s="33"/>
      <c r="L12" s="62"/>
      <c r="M12" s="62"/>
      <c r="N12" s="62"/>
      <c r="O12" s="62"/>
      <c r="P12" s="62"/>
      <c r="Q12" s="62"/>
      <c r="R12" s="62"/>
      <c r="S12" s="62"/>
      <c r="V12" s="62"/>
      <c r="W12" s="62"/>
      <c r="X12" s="62"/>
      <c r="Y12" s="62"/>
      <c r="Z12" s="62"/>
      <c r="AA12" s="62"/>
      <c r="AB12" s="62"/>
      <c r="AE12" s="62"/>
      <c r="AF12" s="62"/>
      <c r="AG12" s="62"/>
      <c r="AH12" s="62"/>
      <c r="AI12" s="62"/>
      <c r="AJ12" s="62"/>
      <c r="AK12" s="62"/>
      <c r="AL12" s="62"/>
      <c r="AM12" s="62"/>
      <c r="AN12" s="62"/>
      <c r="AO12" s="62"/>
      <c r="AS12" s="62"/>
      <c r="AW12" s="62"/>
      <c r="AX12" s="62"/>
      <c r="AY12" s="62"/>
      <c r="AZ12" s="62"/>
      <c r="BA12" s="62"/>
      <c r="BB12" s="62"/>
      <c r="BC12" s="62"/>
      <c r="BD12" s="62"/>
      <c r="BE12" s="62"/>
      <c r="BF12" s="62"/>
      <c r="BG12" s="62"/>
      <c r="BK12" s="62"/>
      <c r="BQ12" s="62"/>
      <c r="BR12" s="62"/>
      <c r="BS12" s="62"/>
      <c r="BT12" s="62"/>
      <c r="BU12" s="62"/>
      <c r="BV12" s="62"/>
      <c r="BW12" s="62"/>
      <c r="BX12" s="62"/>
      <c r="BY12" s="62"/>
      <c r="BZ12" s="62"/>
      <c r="CA12" s="62"/>
      <c r="CQ12" s="51"/>
    </row>
    <row r="13" spans="1:107" ht="30.75" customHeight="1">
      <c r="A13" s="33"/>
      <c r="L13" s="62"/>
      <c r="M13" s="62"/>
      <c r="N13" s="62"/>
      <c r="O13" s="62"/>
      <c r="Q13" s="62"/>
      <c r="R13" s="62"/>
      <c r="S13" s="62"/>
      <c r="V13" s="62"/>
      <c r="W13" s="62"/>
      <c r="X13" s="62"/>
      <c r="Y13" s="62"/>
      <c r="Z13" s="62"/>
      <c r="AA13" s="62"/>
      <c r="AB13" s="62"/>
      <c r="AE13" s="62"/>
      <c r="AF13" s="62"/>
      <c r="AG13" s="62"/>
      <c r="AH13" s="62"/>
      <c r="AI13" s="62"/>
      <c r="AJ13" s="62"/>
      <c r="AK13" s="62"/>
      <c r="AL13" s="62"/>
      <c r="AM13" s="62"/>
      <c r="AN13" s="62"/>
      <c r="AO13" s="62"/>
      <c r="AS13" s="62"/>
      <c r="AW13" s="62"/>
      <c r="AX13" s="62"/>
      <c r="AY13" s="62"/>
      <c r="AZ13" s="62"/>
      <c r="BA13" s="62"/>
      <c r="BB13" s="62"/>
      <c r="BC13" s="62"/>
      <c r="BD13" s="62"/>
      <c r="BE13" s="62"/>
      <c r="BF13" s="62"/>
      <c r="BG13" s="62"/>
      <c r="BK13" s="62"/>
      <c r="BQ13" s="3"/>
      <c r="BR13" s="3"/>
      <c r="BS13" s="3"/>
      <c r="BT13" s="3"/>
      <c r="BU13" s="3"/>
      <c r="BV13" s="3"/>
      <c r="BW13" s="3"/>
      <c r="BX13" s="3"/>
      <c r="BY13" s="3"/>
      <c r="BZ13" s="3"/>
      <c r="CA13" s="3"/>
      <c r="CB13" s="3"/>
      <c r="CC13" s="3"/>
      <c r="CQ13" s="51"/>
      <c r="DB13" s="62"/>
      <c r="DC13" s="62"/>
    </row>
    <row r="14" spans="1:107" ht="30.75" customHeight="1">
      <c r="A14" s="33"/>
      <c r="L14" s="62"/>
      <c r="M14" s="62"/>
      <c r="N14" s="62"/>
      <c r="O14" s="62"/>
      <c r="Q14" s="62"/>
      <c r="R14" s="62"/>
      <c r="S14" s="62"/>
      <c r="V14" s="62"/>
      <c r="W14" s="62"/>
      <c r="X14" s="62"/>
      <c r="Y14" s="62"/>
      <c r="Z14" s="62"/>
      <c r="AA14" s="62"/>
      <c r="AB14" s="62"/>
      <c r="AE14" s="62"/>
      <c r="AF14" s="62"/>
      <c r="AG14" s="62"/>
      <c r="AH14" s="62"/>
      <c r="AI14" s="62"/>
      <c r="AJ14" s="62"/>
      <c r="AK14" s="62"/>
      <c r="AL14" s="62"/>
      <c r="AM14" s="62"/>
      <c r="AN14" s="62"/>
      <c r="AO14" s="62"/>
      <c r="AS14" s="62"/>
      <c r="AW14" s="62"/>
      <c r="AX14" s="62"/>
      <c r="AY14" s="62"/>
      <c r="AZ14" s="62"/>
      <c r="BA14" s="62"/>
      <c r="BB14" s="62"/>
      <c r="BC14" s="62"/>
      <c r="BD14" s="62"/>
      <c r="BE14" s="62"/>
      <c r="BF14" s="62"/>
      <c r="BG14" s="62"/>
      <c r="BK14" s="62"/>
      <c r="CQ14" s="51"/>
      <c r="DB14" s="62"/>
      <c r="DC14" s="62"/>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1"/>
      <c r="DC15" s="61"/>
    </row>
    <row r="16" spans="1:107" s="9" customFormat="1" ht="20.25" customHeight="1">
      <c r="A16" s="10"/>
      <c r="CQ16" s="11"/>
      <c r="DB16" s="61"/>
      <c r="DC16" s="61"/>
    </row>
    <row r="17" spans="1:107" ht="20.25" customHeight="1">
      <c r="A17" s="33"/>
      <c r="G17" s="56"/>
      <c r="H17" s="56"/>
      <c r="I17" s="56"/>
      <c r="Y17" s="56"/>
      <c r="Z17" s="56"/>
      <c r="AA17" s="56"/>
      <c r="AB17" s="56"/>
      <c r="AC17" s="56"/>
      <c r="AD17" s="56"/>
      <c r="AE17" s="56"/>
      <c r="AF17" s="56"/>
      <c r="AG17" s="56"/>
      <c r="AH17" s="56"/>
      <c r="AI17" s="56"/>
      <c r="AJ17" s="56"/>
      <c r="AK17" s="56"/>
      <c r="AL17" s="56"/>
      <c r="AM17" s="56"/>
      <c r="AN17" s="56"/>
      <c r="AO17" s="56"/>
      <c r="AP17" s="56"/>
      <c r="AQ17" s="56"/>
      <c r="AR17" s="55"/>
      <c r="AS17" s="56"/>
      <c r="BD17" s="56"/>
      <c r="BE17" s="56"/>
      <c r="BF17" s="56"/>
      <c r="BG17" s="56"/>
      <c r="BH17" s="56"/>
      <c r="BI17" s="56"/>
      <c r="BJ17" s="56"/>
      <c r="BK17" s="56"/>
      <c r="BL17" s="56"/>
      <c r="BM17" s="56"/>
      <c r="BN17" s="56"/>
      <c r="BO17" s="56"/>
      <c r="BP17" s="56"/>
      <c r="BQ17" s="56"/>
      <c r="BR17" s="56"/>
      <c r="BS17" s="55"/>
      <c r="BT17" s="56"/>
      <c r="BY17" s="56"/>
      <c r="BZ17" s="56"/>
      <c r="CI17" s="56"/>
      <c r="CJ17" s="56"/>
      <c r="CK17" s="56"/>
      <c r="CL17" s="56"/>
      <c r="CQ17" s="51"/>
      <c r="DB17" s="61"/>
      <c r="DC17" s="61"/>
    </row>
    <row r="18" spans="1:107" ht="20.25" customHeight="1">
      <c r="A18" s="33"/>
      <c r="G18" s="56"/>
      <c r="H18" s="56"/>
      <c r="I18" s="56"/>
      <c r="Y18" s="56"/>
      <c r="Z18" s="56"/>
      <c r="AA18" s="56"/>
      <c r="AB18" s="56"/>
      <c r="AC18" s="56"/>
      <c r="AD18" s="56"/>
      <c r="AE18" s="56"/>
      <c r="AF18" s="56"/>
      <c r="AG18" s="56"/>
      <c r="AH18" s="56"/>
      <c r="AI18" s="56"/>
      <c r="AJ18" s="56"/>
      <c r="AK18" s="56"/>
      <c r="AL18" s="56"/>
      <c r="AM18" s="56"/>
      <c r="AN18" s="56"/>
      <c r="AO18" s="56"/>
      <c r="AQ18" s="56"/>
      <c r="AR18" s="56"/>
      <c r="AS18" s="56"/>
      <c r="BD18" s="56"/>
      <c r="BE18" s="58"/>
      <c r="BF18" s="58"/>
      <c r="BG18" s="58"/>
      <c r="BH18" s="56"/>
      <c r="BI18" s="58"/>
      <c r="BJ18" s="58"/>
      <c r="BK18" s="55"/>
      <c r="BL18" s="55"/>
      <c r="BM18" s="56"/>
      <c r="BN18" s="56"/>
      <c r="BO18" s="56"/>
      <c r="BP18" s="56"/>
      <c r="BQ18" s="56"/>
      <c r="BR18" s="56"/>
      <c r="BS18" s="56"/>
      <c r="BT18" s="56"/>
      <c r="BY18" s="56"/>
      <c r="BZ18" s="56"/>
      <c r="CI18" s="56"/>
      <c r="CJ18" s="56"/>
      <c r="CK18" s="56"/>
      <c r="CL18" s="56"/>
      <c r="CQ18" s="51"/>
      <c r="DB18" s="61"/>
      <c r="DC18" s="61"/>
    </row>
    <row r="19" spans="1:107" ht="20.25" customHeight="1">
      <c r="A19" s="33"/>
      <c r="G19" s="56"/>
      <c r="H19" s="56"/>
      <c r="I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Y19" s="56"/>
      <c r="BZ19" s="56"/>
      <c r="CI19" s="56"/>
      <c r="CJ19" s="56"/>
      <c r="CK19" s="56"/>
      <c r="CL19" s="56"/>
      <c r="CQ19" s="51"/>
      <c r="DB19" s="61"/>
      <c r="DC19" s="61"/>
    </row>
    <row r="20" spans="1:107" ht="20.25" customHeight="1">
      <c r="A20" s="33"/>
      <c r="G20" s="56"/>
      <c r="H20" s="56"/>
      <c r="I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Y20" s="56"/>
      <c r="BZ20" s="56"/>
      <c r="CI20" s="56"/>
      <c r="CJ20" s="56"/>
      <c r="CK20" s="56"/>
      <c r="CL20" s="56"/>
      <c r="CQ20" s="51"/>
      <c r="DB20" s="61"/>
      <c r="DC20" s="61"/>
    </row>
    <row r="21" spans="1:107" ht="20.25" customHeight="1">
      <c r="A21" s="33"/>
      <c r="G21" s="56"/>
      <c r="H21" s="56"/>
      <c r="I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Y21" s="56"/>
      <c r="BZ21" s="56"/>
      <c r="CI21" s="56"/>
      <c r="CJ21" s="56"/>
      <c r="CK21" s="56"/>
      <c r="CL21" s="56"/>
      <c r="CQ21" s="51"/>
      <c r="DB21" s="61"/>
      <c r="DC21" s="61"/>
    </row>
    <row r="22" spans="1:107" ht="20.25" customHeight="1">
      <c r="A22" s="33"/>
      <c r="G22" s="56"/>
      <c r="H22" s="56"/>
      <c r="I22" s="56"/>
      <c r="Y22" s="56" t="s">
        <v>84</v>
      </c>
      <c r="Z22" s="56"/>
      <c r="AA22" s="56"/>
      <c r="AB22" s="56"/>
      <c r="AC22" s="56" t="s">
        <v>85</v>
      </c>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t="s">
        <v>410</v>
      </c>
      <c r="BF22" s="56"/>
      <c r="BG22" s="56"/>
      <c r="BH22" s="56"/>
      <c r="BI22" s="56"/>
      <c r="BJ22" s="56"/>
      <c r="BK22" s="56"/>
      <c r="BL22" s="56"/>
      <c r="BM22" s="56"/>
      <c r="BN22" s="56"/>
      <c r="BO22" s="56" t="s">
        <v>411</v>
      </c>
      <c r="BP22" s="56"/>
      <c r="BQ22" s="56"/>
      <c r="BR22" s="56"/>
      <c r="BS22" s="56"/>
      <c r="BT22" s="56"/>
      <c r="BY22" s="56"/>
      <c r="BZ22" s="56"/>
      <c r="CI22" s="56"/>
      <c r="CJ22" s="56"/>
      <c r="CK22" s="56"/>
      <c r="CL22" s="56"/>
      <c r="CQ22" s="51"/>
      <c r="DB22" s="61"/>
      <c r="DC22" s="61"/>
    </row>
    <row r="23" spans="1:107" ht="20.25" customHeight="1">
      <c r="A23" s="33"/>
      <c r="G23" s="54"/>
      <c r="H23" s="54"/>
      <c r="I23" s="54"/>
      <c r="O23" s="9"/>
      <c r="P23" s="9"/>
      <c r="Q23" s="9"/>
      <c r="R23" s="9"/>
      <c r="S23" s="9"/>
      <c r="T23" s="9"/>
      <c r="U23" s="9"/>
      <c r="V23" s="9"/>
      <c r="W23" s="9"/>
      <c r="X23" s="9"/>
      <c r="Y23" s="54"/>
      <c r="Z23" s="54"/>
      <c r="AA23" s="54"/>
      <c r="AB23" s="56"/>
      <c r="AC23" s="54"/>
      <c r="AD23" s="54"/>
      <c r="AE23" s="54"/>
      <c r="AF23" s="56"/>
      <c r="AG23" s="56"/>
      <c r="AH23" s="54"/>
      <c r="AI23" s="54"/>
      <c r="AJ23" s="54"/>
      <c r="AK23" s="54"/>
      <c r="AL23" s="54"/>
      <c r="AM23" s="54"/>
      <c r="AN23" s="54"/>
      <c r="AO23" s="54"/>
      <c r="AP23" s="54"/>
      <c r="AQ23" s="54"/>
      <c r="AR23" s="56"/>
      <c r="AS23" s="54"/>
      <c r="AT23" s="54"/>
      <c r="AU23" s="54"/>
      <c r="AV23" s="54"/>
      <c r="AW23" s="54"/>
      <c r="AX23" s="54"/>
      <c r="AY23" s="54"/>
      <c r="AZ23" s="54"/>
      <c r="BA23" s="54"/>
      <c r="BB23" s="54"/>
      <c r="BC23" s="54"/>
      <c r="BD23" s="54"/>
      <c r="BE23" s="54"/>
      <c r="BF23" s="54"/>
      <c r="BG23" s="54"/>
      <c r="BH23" s="54"/>
      <c r="BI23" s="56"/>
      <c r="BJ23" s="54"/>
      <c r="BK23" s="54"/>
      <c r="BL23" s="54"/>
      <c r="BM23" s="54"/>
      <c r="BN23" s="54"/>
      <c r="BO23" s="54"/>
      <c r="BP23" s="54"/>
      <c r="BQ23" s="54"/>
      <c r="BR23" s="54"/>
      <c r="BS23" s="54"/>
      <c r="BT23" s="54"/>
      <c r="BY23" s="56"/>
      <c r="BZ23" s="56"/>
      <c r="CA23" s="56"/>
      <c r="CB23" s="56"/>
      <c r="CC23" s="56"/>
      <c r="CD23" s="56"/>
      <c r="CE23" s="56"/>
      <c r="CF23" s="56"/>
      <c r="CG23" s="56"/>
      <c r="CH23" s="56"/>
      <c r="CI23" s="56"/>
      <c r="CJ23" s="56"/>
      <c r="CK23" s="56"/>
      <c r="CL23" s="56"/>
      <c r="CQ23" s="51"/>
    </row>
    <row r="24" spans="1:107" s="9" customFormat="1" ht="20.25" customHeight="1">
      <c r="A24" s="10"/>
      <c r="B24" s="2"/>
      <c r="G24" s="2"/>
      <c r="H24" s="2"/>
      <c r="I24" s="2"/>
      <c r="J24" s="2"/>
      <c r="K24" s="2"/>
      <c r="L24" s="2"/>
      <c r="M24" s="2"/>
      <c r="N24" s="2"/>
      <c r="O24" s="2"/>
      <c r="P24" s="2"/>
      <c r="Q24" s="56"/>
      <c r="R24" s="56"/>
      <c r="S24" s="56"/>
      <c r="T24" s="56"/>
      <c r="U24" s="56"/>
      <c r="V24" s="56"/>
      <c r="W24" s="56"/>
      <c r="X24" s="56"/>
      <c r="Y24" s="56"/>
      <c r="Z24" s="56"/>
      <c r="AA24" s="56"/>
      <c r="AB24" s="56"/>
      <c r="AC24" s="56"/>
      <c r="AD24" s="56"/>
      <c r="AE24" s="56"/>
      <c r="AF24" s="56" t="s">
        <v>202</v>
      </c>
      <c r="AG24" s="56"/>
      <c r="AH24" s="56"/>
      <c r="AI24" s="56"/>
      <c r="AJ24" s="55"/>
      <c r="AK24" s="56"/>
      <c r="AL24" s="2"/>
      <c r="AM24" s="2"/>
      <c r="AN24" s="2"/>
      <c r="AO24" s="2"/>
      <c r="AP24" s="2"/>
      <c r="AQ24" s="2"/>
      <c r="AR24" s="2"/>
      <c r="AS24" s="2"/>
      <c r="AT24" s="2"/>
      <c r="AU24" s="2"/>
      <c r="AV24" s="56"/>
      <c r="AW24" s="58"/>
      <c r="AX24" s="58"/>
      <c r="AY24" s="58"/>
      <c r="AZ24" s="56"/>
      <c r="BA24" s="58"/>
      <c r="BB24" s="58"/>
      <c r="BC24" s="58"/>
      <c r="BD24" s="56"/>
      <c r="BE24" s="56"/>
      <c r="BF24" s="56"/>
      <c r="BG24" s="56"/>
      <c r="BH24" s="56"/>
      <c r="BI24" s="56"/>
      <c r="BJ24" s="56"/>
      <c r="BK24" s="56"/>
      <c r="BL24" s="56"/>
      <c r="BM24" s="2"/>
      <c r="BN24" s="2"/>
      <c r="BO24" s="2"/>
      <c r="BP24" s="2"/>
      <c r="BQ24" s="2"/>
      <c r="BR24" s="2"/>
      <c r="BS24" s="2"/>
      <c r="BT24" s="2"/>
      <c r="BU24" s="2"/>
      <c r="BV24" s="56"/>
      <c r="BW24" s="56"/>
      <c r="BX24" s="56"/>
      <c r="BY24" s="56"/>
      <c r="BZ24" s="56"/>
      <c r="CA24" s="2"/>
      <c r="CB24" s="2"/>
      <c r="CC24" s="2"/>
      <c r="CD24" s="2"/>
      <c r="CE24" s="2"/>
      <c r="CF24" s="2"/>
      <c r="CG24" s="2"/>
      <c r="CH24" s="2"/>
      <c r="CI24" s="56"/>
      <c r="CJ24" s="56"/>
      <c r="CK24" s="56"/>
      <c r="CL24" s="56"/>
      <c r="CM24" s="2"/>
      <c r="CN24" s="2"/>
      <c r="CO24" s="2"/>
      <c r="CQ24" s="11"/>
      <c r="DB24" s="61"/>
      <c r="DC24" s="61"/>
    </row>
    <row r="25" spans="1:107" ht="20.25" customHeight="1">
      <c r="A25" s="33"/>
      <c r="G25" s="56"/>
      <c r="H25" s="56"/>
      <c r="I25" s="56"/>
      <c r="N25" s="9"/>
      <c r="AA25" s="56"/>
      <c r="AB25" s="56"/>
      <c r="AC25" s="56"/>
      <c r="AD25" s="56"/>
      <c r="AE25" s="56"/>
      <c r="AF25" s="2" t="s">
        <v>200</v>
      </c>
      <c r="AG25" s="56"/>
      <c r="AH25" s="57"/>
      <c r="AI25" s="57"/>
      <c r="AJ25" s="57"/>
      <c r="AK25" s="57"/>
      <c r="AL25" s="57"/>
      <c r="AM25" s="57"/>
      <c r="AN25" s="57"/>
      <c r="AO25" s="57"/>
      <c r="AP25" s="57"/>
      <c r="AQ25" s="56"/>
      <c r="AR25" s="56"/>
      <c r="AS25" s="56"/>
      <c r="BD25" s="56"/>
      <c r="BE25" s="56"/>
      <c r="BF25" s="56"/>
      <c r="BG25" s="57"/>
      <c r="BH25" s="55"/>
      <c r="BI25" s="57"/>
      <c r="BJ25" s="57"/>
      <c r="BK25" s="57"/>
      <c r="BL25" s="57"/>
      <c r="BM25" s="57"/>
      <c r="BN25" s="57"/>
      <c r="BO25" s="57"/>
      <c r="BP25" s="57"/>
      <c r="BQ25" s="57"/>
      <c r="BR25" s="56"/>
      <c r="BS25" s="56"/>
      <c r="BT25" s="56"/>
      <c r="BY25" s="56"/>
      <c r="BZ25" s="56"/>
      <c r="CI25" s="56"/>
      <c r="CJ25" s="56"/>
      <c r="CK25" s="56"/>
      <c r="CL25" s="56"/>
      <c r="CQ25" s="51"/>
      <c r="DB25" s="61"/>
      <c r="DC25" s="61"/>
    </row>
    <row r="26" spans="1:107" ht="20.25" customHeight="1">
      <c r="A26" s="33"/>
      <c r="G26" s="56"/>
      <c r="H26" s="56"/>
      <c r="I26" s="56"/>
      <c r="Y26" s="56"/>
      <c r="Z26" s="56"/>
      <c r="AA26" s="56"/>
      <c r="AB26" s="56"/>
      <c r="AC26" s="56"/>
      <c r="AD26" s="56"/>
      <c r="AE26" s="56"/>
      <c r="AF26" s="56" t="s">
        <v>205</v>
      </c>
      <c r="AG26" s="54"/>
      <c r="AH26" s="56"/>
      <c r="AQ26" s="56"/>
      <c r="AR26" s="55"/>
      <c r="AS26" s="57"/>
      <c r="AT26" s="56"/>
      <c r="AU26" s="56"/>
      <c r="AW26" s="56"/>
      <c r="AX26" s="56"/>
      <c r="AY26" s="56"/>
      <c r="BD26" s="56"/>
      <c r="BE26" s="56"/>
      <c r="BF26" s="56"/>
      <c r="BG26" s="56"/>
      <c r="BH26" s="56"/>
      <c r="BI26" s="56"/>
      <c r="BJ26" s="56"/>
      <c r="BK26" s="56"/>
      <c r="BL26" s="56"/>
      <c r="BM26" s="56"/>
      <c r="BN26" s="56"/>
      <c r="BO26" s="56"/>
      <c r="BP26" s="56"/>
      <c r="BQ26" s="56"/>
      <c r="BR26" s="56"/>
      <c r="BS26" s="56"/>
      <c r="BT26" s="56"/>
      <c r="BY26" s="56"/>
      <c r="BZ26" s="56"/>
      <c r="CI26" s="56"/>
      <c r="CJ26" s="56"/>
      <c r="CK26" s="56"/>
      <c r="CL26" s="56"/>
      <c r="CQ26" s="51"/>
    </row>
    <row r="27" spans="1:107" ht="20.25" customHeight="1">
      <c r="A27" s="33"/>
      <c r="G27" s="56"/>
      <c r="H27" s="56"/>
      <c r="I27" s="56"/>
      <c r="K27" s="57"/>
      <c r="Y27" s="56"/>
      <c r="Z27" s="56"/>
      <c r="AA27" s="56"/>
      <c r="AB27" s="56"/>
      <c r="AC27" s="56"/>
      <c r="AD27" s="56"/>
      <c r="AE27" s="56"/>
      <c r="AF27" s="56"/>
      <c r="AG27" s="56"/>
      <c r="AH27" s="56"/>
      <c r="AI27" s="56"/>
      <c r="AJ27" s="56"/>
      <c r="AK27" s="56"/>
      <c r="AL27" s="56"/>
      <c r="AM27" s="56"/>
      <c r="AN27" s="56"/>
      <c r="AO27" s="56"/>
      <c r="AP27" s="56"/>
      <c r="AQ27" s="56"/>
      <c r="AR27" s="56"/>
      <c r="AS27" s="56"/>
      <c r="BD27" s="56"/>
      <c r="BE27" s="56"/>
      <c r="BF27" s="56"/>
      <c r="BG27" s="56"/>
      <c r="BH27" s="56"/>
      <c r="BI27" s="56"/>
      <c r="BJ27" s="56"/>
      <c r="BK27" s="56"/>
      <c r="BL27" s="56"/>
      <c r="BM27" s="56"/>
      <c r="BN27" s="56"/>
      <c r="BO27" s="56"/>
      <c r="BP27" s="56"/>
      <c r="BQ27" s="56"/>
      <c r="BR27" s="56"/>
      <c r="BS27" s="56"/>
      <c r="BT27" s="56"/>
      <c r="BY27" s="56"/>
      <c r="BZ27" s="56"/>
      <c r="CI27" s="56"/>
      <c r="CJ27" s="56"/>
      <c r="CK27" s="56"/>
      <c r="CL27" s="56"/>
      <c r="CQ27" s="51"/>
    </row>
    <row r="28" spans="1:107" ht="20.25" customHeight="1">
      <c r="A28" s="33"/>
      <c r="G28" s="56"/>
      <c r="H28" s="56"/>
      <c r="I28" s="56"/>
      <c r="Y28" s="56"/>
      <c r="Z28" s="56"/>
      <c r="AA28" s="56"/>
      <c r="AB28" s="56"/>
      <c r="AC28" s="56"/>
      <c r="AD28" s="56"/>
      <c r="AE28" s="56"/>
      <c r="AF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Y28" s="56"/>
      <c r="BZ28" s="56"/>
      <c r="CI28" s="56"/>
      <c r="CJ28" s="56"/>
      <c r="CK28" s="56"/>
      <c r="CL28" s="56"/>
      <c r="CQ28" s="51"/>
      <c r="DB28" s="61"/>
      <c r="DC28" s="61"/>
    </row>
    <row r="29" spans="1:107" ht="20.25" customHeight="1">
      <c r="A29" s="33"/>
      <c r="G29" s="56"/>
      <c r="H29" s="56"/>
      <c r="I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Y29" s="56"/>
      <c r="BZ29" s="56"/>
      <c r="CI29" s="56"/>
      <c r="CJ29" s="56"/>
      <c r="CK29" s="56"/>
      <c r="CL29" s="56"/>
      <c r="CQ29" s="51"/>
    </row>
    <row r="30" spans="1:107" ht="20.25" customHeight="1">
      <c r="A30" s="33"/>
      <c r="G30" s="56"/>
      <c r="H30" s="56"/>
      <c r="I30" s="56"/>
      <c r="P30" s="2" t="s">
        <v>88</v>
      </c>
      <c r="Y30" s="56"/>
      <c r="Z30" s="56"/>
      <c r="AA30" s="56"/>
      <c r="AB30" s="56"/>
      <c r="AC30" s="56"/>
      <c r="AD30" s="56"/>
      <c r="AE30" s="56"/>
      <c r="AF30" s="56"/>
      <c r="AG30" s="56"/>
      <c r="AH30" s="56"/>
      <c r="AI30" s="56"/>
      <c r="AJ30" s="56" t="s">
        <v>269</v>
      </c>
      <c r="AK30" s="56"/>
      <c r="AL30" s="56"/>
      <c r="AM30" s="56"/>
      <c r="AN30" s="56"/>
      <c r="AO30" s="56"/>
      <c r="AP30" s="56"/>
      <c r="AQ30" s="56"/>
      <c r="AR30" s="56"/>
      <c r="AS30" s="56"/>
      <c r="AT30" s="56"/>
      <c r="AU30" s="56"/>
      <c r="AV30" s="56"/>
      <c r="AW30" s="56"/>
      <c r="AX30" s="56"/>
      <c r="AY30" s="56"/>
      <c r="AZ30" s="56"/>
      <c r="BA30" s="56"/>
      <c r="BB30" s="56" t="s">
        <v>310</v>
      </c>
      <c r="BC30" s="56"/>
      <c r="BD30" s="56"/>
      <c r="BE30" s="56"/>
      <c r="BF30" s="56"/>
      <c r="BG30" s="56"/>
      <c r="BH30" s="56"/>
      <c r="BI30" s="56"/>
      <c r="BJ30" s="56"/>
      <c r="BK30" s="56"/>
      <c r="BL30" s="56"/>
      <c r="BM30" s="56"/>
      <c r="BN30" s="56"/>
      <c r="BO30" s="56"/>
      <c r="BP30" s="56"/>
      <c r="BQ30" s="56"/>
      <c r="BR30" s="56"/>
      <c r="BS30" s="56"/>
      <c r="BT30" s="56"/>
      <c r="BY30" s="56"/>
      <c r="BZ30" s="56"/>
      <c r="CI30" s="56"/>
      <c r="CJ30" s="56"/>
      <c r="CK30" s="56"/>
      <c r="CL30" s="56"/>
      <c r="CQ30" s="51"/>
    </row>
    <row r="31" spans="1:107" ht="20.25" customHeight="1">
      <c r="A31" s="33"/>
      <c r="G31" s="56"/>
      <c r="H31" s="56"/>
      <c r="I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Y31" s="56"/>
      <c r="BZ31" s="56"/>
      <c r="CI31" s="56"/>
      <c r="CJ31" s="56"/>
      <c r="CK31" s="56"/>
      <c r="CL31" s="56"/>
      <c r="CQ31" s="51"/>
    </row>
    <row r="32" spans="1:107" ht="20.25" customHeight="1">
      <c r="A32" s="33"/>
      <c r="G32" s="94"/>
      <c r="H32" s="94"/>
      <c r="I32" s="94"/>
      <c r="Y32" s="56"/>
      <c r="Z32" s="56"/>
      <c r="AA32" s="56"/>
      <c r="AB32" s="56"/>
      <c r="AC32" s="56"/>
      <c r="AD32" s="56"/>
      <c r="AE32" s="56"/>
      <c r="AF32" s="56"/>
      <c r="AG32" s="56"/>
      <c r="AH32" s="56"/>
      <c r="AI32" s="56"/>
      <c r="AJ32" s="56"/>
      <c r="AK32" s="56" t="s">
        <v>303</v>
      </c>
      <c r="AL32" s="56"/>
      <c r="AM32" s="56"/>
      <c r="AN32" s="56"/>
      <c r="AO32" s="56"/>
      <c r="AP32" s="56"/>
      <c r="AQ32" s="56"/>
      <c r="AR32" s="56"/>
      <c r="AS32" s="56"/>
      <c r="AT32" s="56"/>
      <c r="AU32" s="56"/>
      <c r="AV32" s="56"/>
      <c r="AW32" s="56"/>
      <c r="AX32" s="56"/>
      <c r="AY32" s="56"/>
      <c r="AZ32" s="56"/>
      <c r="BA32" s="56"/>
      <c r="BB32" s="56" t="s">
        <v>304</v>
      </c>
      <c r="BC32" s="56"/>
      <c r="BD32" s="56"/>
      <c r="BE32" s="56"/>
      <c r="BF32" s="56"/>
      <c r="BG32" s="56"/>
      <c r="BH32" s="56"/>
      <c r="BI32" s="56"/>
      <c r="BJ32" s="56"/>
      <c r="BK32" s="56"/>
      <c r="BL32" s="56"/>
      <c r="BM32" s="56"/>
      <c r="BN32" s="56"/>
      <c r="BO32" s="56"/>
      <c r="BP32" s="56"/>
      <c r="BQ32" s="56"/>
      <c r="BR32" s="94"/>
      <c r="BS32" s="94"/>
      <c r="BT32" s="94"/>
      <c r="BY32" s="56"/>
      <c r="BZ32" s="56"/>
      <c r="CI32" s="56"/>
      <c r="CJ32" s="56"/>
      <c r="CK32" s="56"/>
      <c r="CL32" s="56"/>
      <c r="CQ32" s="51"/>
    </row>
    <row r="33" spans="1:95" ht="20.25" customHeight="1">
      <c r="A33" s="33"/>
      <c r="G33" s="94"/>
      <c r="H33" s="94"/>
      <c r="I33" s="94"/>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94"/>
      <c r="BS33" s="94"/>
      <c r="BT33" s="94"/>
      <c r="BY33" s="56"/>
      <c r="BZ33" s="56"/>
      <c r="CI33" s="56"/>
      <c r="CJ33" s="56"/>
      <c r="CK33" s="56"/>
      <c r="CL33" s="56"/>
      <c r="CQ33" s="51"/>
    </row>
    <row r="34" spans="1:95" ht="20.25" customHeight="1">
      <c r="A34" s="33"/>
      <c r="G34" s="94"/>
      <c r="H34" s="94"/>
      <c r="I34" s="94"/>
      <c r="Y34" s="56"/>
      <c r="Z34" s="56"/>
      <c r="AA34" s="56"/>
      <c r="AB34" s="56"/>
      <c r="AC34" s="56"/>
      <c r="AD34" s="56"/>
      <c r="AE34" s="56"/>
      <c r="AF34" s="56"/>
      <c r="AG34" s="56"/>
      <c r="AH34" s="56" t="s">
        <v>214</v>
      </c>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94"/>
      <c r="BS34" s="94"/>
      <c r="BT34" s="94"/>
      <c r="BY34" s="56"/>
      <c r="BZ34" s="56"/>
      <c r="CI34" s="56"/>
      <c r="CJ34" s="56"/>
      <c r="CK34" s="56"/>
      <c r="CL34" s="56"/>
      <c r="CQ34" s="51"/>
    </row>
    <row r="35" spans="1:95" ht="20.25" customHeight="1">
      <c r="A35" s="33"/>
      <c r="G35" s="94"/>
      <c r="H35" s="94"/>
      <c r="I35" s="94"/>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94"/>
      <c r="BS35" s="94"/>
      <c r="BT35" s="94"/>
      <c r="BY35" s="56"/>
      <c r="BZ35" s="56"/>
      <c r="CI35" s="56"/>
      <c r="CJ35" s="56"/>
      <c r="CK35" s="56"/>
      <c r="CL35" s="56"/>
      <c r="CQ35" s="51"/>
    </row>
    <row r="36" spans="1:95" ht="20.25" customHeight="1">
      <c r="A36" s="33"/>
      <c r="G36" s="94"/>
      <c r="H36" s="94"/>
      <c r="I36" s="94"/>
      <c r="Y36" s="56"/>
      <c r="Z36" s="56"/>
      <c r="AA36" s="56"/>
      <c r="AB36" s="56"/>
      <c r="AC36" s="56"/>
      <c r="AD36" s="56" t="s">
        <v>311</v>
      </c>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D36" s="56"/>
      <c r="BE36" s="56"/>
      <c r="BF36" s="56"/>
      <c r="BG36" s="56"/>
      <c r="BH36" s="56"/>
      <c r="BI36" s="56"/>
      <c r="BJ36" s="56"/>
      <c r="BK36" s="56"/>
      <c r="BL36" s="56"/>
      <c r="BM36" s="56"/>
      <c r="BN36" s="56"/>
      <c r="BO36" s="56"/>
      <c r="BP36" s="56"/>
      <c r="BQ36" s="56"/>
      <c r="BR36" s="94"/>
      <c r="BS36" s="94"/>
      <c r="BT36" s="94"/>
      <c r="BY36" s="56"/>
      <c r="BZ36" s="56"/>
      <c r="CI36" s="56"/>
      <c r="CJ36" s="56"/>
      <c r="CK36" s="56"/>
      <c r="CL36" s="56"/>
      <c r="CQ36" s="51"/>
    </row>
    <row r="37" spans="1:95" ht="20.25" customHeight="1">
      <c r="A37" s="33"/>
      <c r="G37" s="56"/>
      <c r="H37" s="56"/>
      <c r="I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5"/>
      <c r="BD37" s="56"/>
      <c r="BE37" s="56"/>
      <c r="BF37" s="56"/>
      <c r="BG37" s="56"/>
      <c r="BH37" s="56"/>
      <c r="BI37" s="56"/>
      <c r="BJ37" s="56"/>
      <c r="BK37" s="56"/>
      <c r="BL37" s="56"/>
      <c r="BM37" s="56"/>
      <c r="BN37" s="56"/>
      <c r="BO37" s="56"/>
      <c r="BP37" s="56"/>
      <c r="BQ37" s="56"/>
      <c r="BR37" s="56"/>
      <c r="BS37" s="56"/>
      <c r="BT37" s="56"/>
      <c r="BY37" s="56"/>
      <c r="BZ37" s="56"/>
      <c r="CI37" s="56"/>
      <c r="CJ37" s="56"/>
      <c r="CK37" s="56"/>
      <c r="CL37" s="56"/>
      <c r="CQ37" s="51"/>
    </row>
    <row r="38" spans="1:95" ht="20.25" customHeight="1">
      <c r="A38" s="33"/>
      <c r="B38" s="9"/>
      <c r="C38" s="9"/>
      <c r="D38" s="9"/>
      <c r="E38" s="9"/>
      <c r="F38" s="9"/>
      <c r="G38" s="9"/>
      <c r="H38" s="9"/>
      <c r="I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56"/>
      <c r="BZ38" s="56"/>
      <c r="CA38" s="54"/>
      <c r="CB38" s="54"/>
      <c r="CC38" s="9"/>
      <c r="CD38" s="9"/>
      <c r="CE38" s="9"/>
      <c r="CF38" s="9"/>
      <c r="CG38" s="9"/>
      <c r="CH38" s="9"/>
      <c r="CI38" s="9"/>
      <c r="CJ38" s="9"/>
      <c r="CK38" s="9"/>
      <c r="CL38" s="9"/>
      <c r="CM38" s="9"/>
      <c r="CN38" s="9"/>
      <c r="CO38" s="9"/>
      <c r="CQ38" s="51"/>
    </row>
    <row r="39" spans="1:95" ht="20.25" customHeight="1">
      <c r="A39" s="33"/>
      <c r="G39" s="54"/>
      <c r="H39" s="54"/>
      <c r="I39" s="54"/>
      <c r="O39" s="9"/>
      <c r="P39" s="9"/>
      <c r="Q39" s="9"/>
      <c r="R39" s="9"/>
      <c r="S39" s="9"/>
      <c r="T39" s="9"/>
      <c r="U39" s="9"/>
      <c r="V39" s="9"/>
      <c r="W39" s="9"/>
      <c r="X39" s="9"/>
      <c r="Y39" s="54"/>
      <c r="Z39" s="54"/>
      <c r="AA39" s="54"/>
      <c r="AB39" s="56"/>
      <c r="AC39" s="54"/>
      <c r="AD39" s="54"/>
      <c r="AE39" s="54"/>
      <c r="AF39" s="54"/>
      <c r="AG39" s="54"/>
      <c r="AH39" s="54"/>
      <c r="AI39" s="54"/>
      <c r="AJ39" s="54"/>
      <c r="AK39" s="54"/>
      <c r="AL39" s="54"/>
      <c r="AM39" s="54"/>
      <c r="AN39" s="54"/>
      <c r="AO39" s="54"/>
      <c r="AP39" s="54"/>
      <c r="AQ39" s="54"/>
      <c r="AR39" s="56"/>
      <c r="AS39" s="54"/>
      <c r="AT39" s="54"/>
      <c r="AU39" s="54"/>
      <c r="AV39" s="9"/>
      <c r="AW39" s="54"/>
      <c r="AX39" s="54"/>
      <c r="AY39" s="54"/>
      <c r="AZ39" s="54"/>
      <c r="BA39" s="54"/>
      <c r="BB39" s="56"/>
      <c r="BD39" s="54"/>
      <c r="BE39" s="54"/>
      <c r="BF39" s="54"/>
      <c r="BG39" s="54"/>
      <c r="BH39" s="56" t="s">
        <v>313</v>
      </c>
      <c r="BJ39" s="54"/>
      <c r="BK39" s="54"/>
      <c r="BL39" s="54"/>
      <c r="BM39" s="54"/>
      <c r="BN39" s="54"/>
      <c r="BO39" s="54"/>
      <c r="BP39" s="54"/>
      <c r="BQ39" s="54"/>
      <c r="BR39" s="54"/>
      <c r="BS39" s="54"/>
      <c r="BT39" s="54"/>
      <c r="BY39" s="56"/>
      <c r="BZ39" s="56"/>
      <c r="CA39" s="56"/>
      <c r="CB39" s="56"/>
      <c r="CC39" s="56"/>
      <c r="CD39" s="56"/>
      <c r="CE39" s="56"/>
      <c r="CF39" s="56"/>
      <c r="CG39" s="56"/>
      <c r="CH39" s="56"/>
      <c r="CI39" s="56"/>
      <c r="CJ39" s="56"/>
      <c r="CK39" s="56"/>
      <c r="CL39" s="56"/>
      <c r="CQ39" s="51"/>
    </row>
    <row r="40" spans="1:95" ht="20.25" customHeight="1">
      <c r="A40" s="33"/>
      <c r="W40" s="56"/>
      <c r="X40" s="56"/>
      <c r="CI40" s="56"/>
      <c r="CJ40" s="56"/>
      <c r="CK40" s="56"/>
      <c r="CL40" s="56"/>
      <c r="CQ40" s="51"/>
    </row>
    <row r="41" spans="1:95" s="9" customFormat="1" ht="20.25" customHeight="1">
      <c r="A41" s="10"/>
      <c r="O41" s="54"/>
      <c r="P41" s="54"/>
      <c r="Q41" s="54"/>
      <c r="R41" s="54"/>
      <c r="S41" s="54"/>
      <c r="T41" s="2"/>
      <c r="U41" s="2"/>
      <c r="V41" s="57"/>
      <c r="W41" s="2"/>
      <c r="X41" s="2"/>
      <c r="Y41" s="2"/>
      <c r="Z41" s="2"/>
      <c r="AA41" s="2"/>
      <c r="AB41" s="2"/>
      <c r="AC41" s="2"/>
      <c r="AD41" s="2"/>
      <c r="AE41" s="2"/>
      <c r="AF41" s="2"/>
      <c r="AG41" s="2"/>
      <c r="AH41" s="56"/>
      <c r="AI41" s="56"/>
      <c r="AJ41" s="56"/>
      <c r="AK41" s="56"/>
      <c r="AL41" s="56"/>
      <c r="AM41" s="56"/>
      <c r="AN41" s="56"/>
      <c r="AO41" s="57"/>
      <c r="AP41" s="55"/>
      <c r="AQ41" s="57"/>
      <c r="AR41" s="57"/>
      <c r="AS41" s="57"/>
      <c r="AT41" s="57"/>
      <c r="AU41" s="57"/>
      <c r="AV41" s="57"/>
      <c r="AW41" s="57"/>
      <c r="AX41" s="57"/>
      <c r="AY41" s="56"/>
      <c r="AZ41" s="56"/>
      <c r="BA41" s="57"/>
      <c r="BB41" s="57"/>
      <c r="BC41" s="57"/>
      <c r="BD41" s="57"/>
      <c r="BE41" s="2"/>
      <c r="BF41" s="2"/>
      <c r="BG41" s="2"/>
      <c r="BH41" s="2"/>
      <c r="BI41" s="2"/>
      <c r="BJ41" s="2"/>
      <c r="BK41" s="2"/>
      <c r="BL41" s="2"/>
      <c r="BM41" s="2"/>
      <c r="BN41" s="2"/>
      <c r="BO41" s="56"/>
      <c r="BP41" s="57"/>
      <c r="BQ41" s="55"/>
      <c r="BR41" s="57"/>
      <c r="BS41" s="57"/>
      <c r="BT41" s="57"/>
      <c r="BU41" s="57"/>
      <c r="BV41" s="57"/>
      <c r="BW41" s="57"/>
      <c r="BX41" s="57"/>
      <c r="BY41" s="57"/>
      <c r="BZ41" s="57"/>
      <c r="CA41" s="56"/>
      <c r="CB41" s="56"/>
      <c r="CC41" s="56"/>
      <c r="CD41" s="56"/>
      <c r="CE41" s="56"/>
      <c r="CF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938C-CEFD-45D1-8650-429F85118ACD}">
  <sheetPr codeName="Sheet3"/>
  <dimension ref="A1:DN324"/>
  <sheetViews>
    <sheetView view="pageBreakPreview" zoomScaleNormal="100" zoomScaleSheetLayoutView="100" workbookViewId="0"/>
  </sheetViews>
  <sheetFormatPr defaultColWidth="1.90625" defaultRowHeight="11"/>
  <cols>
    <col min="1" max="85" width="1.90625" style="1" customWidth="1"/>
    <col min="86" max="16384" width="1.90625" style="1"/>
  </cols>
  <sheetData>
    <row r="1" spans="1:90" s="2" customFormat="1" ht="19.5" customHeight="1">
      <c r="A1" s="194" t="s">
        <v>14</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313"/>
      <c r="AU1" s="313"/>
      <c r="AV1" s="313"/>
      <c r="AW1" s="313"/>
      <c r="AX1" s="313"/>
      <c r="AY1" s="313"/>
      <c r="AZ1" s="313"/>
      <c r="BA1" s="313"/>
      <c r="BB1" s="313"/>
      <c r="BC1" s="313"/>
      <c r="BD1" s="313"/>
      <c r="BE1" s="313"/>
      <c r="BF1" s="313"/>
      <c r="BG1" s="194"/>
      <c r="BH1" s="194"/>
      <c r="BI1" s="194"/>
      <c r="BJ1" s="194"/>
      <c r="BK1" s="194"/>
      <c r="BL1" s="194"/>
      <c r="BM1" s="194"/>
      <c r="BN1" s="194"/>
      <c r="BO1" s="194"/>
      <c r="BP1" s="194"/>
      <c r="BQ1" s="194"/>
      <c r="BR1" s="194"/>
      <c r="BS1" s="194"/>
      <c r="BT1" s="194"/>
      <c r="BU1" s="194"/>
      <c r="BV1" s="194"/>
      <c r="BW1" s="194"/>
      <c r="BX1" s="194"/>
      <c r="BY1" s="194"/>
      <c r="BZ1" s="194"/>
      <c r="CA1" s="194"/>
      <c r="CB1" s="194"/>
      <c r="CC1" s="194"/>
      <c r="CD1" s="194"/>
      <c r="CE1" s="194"/>
      <c r="CF1" s="194"/>
      <c r="CG1" s="195" t="s">
        <v>1</v>
      </c>
      <c r="CH1" s="194"/>
      <c r="CI1" s="194"/>
      <c r="CJ1" s="194"/>
      <c r="CK1" s="194"/>
      <c r="CL1" s="3"/>
    </row>
    <row r="2" spans="1:90" ht="19.5" customHeight="1">
      <c r="A2" s="314" t="s">
        <v>22</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5"/>
      <c r="BO2" s="316"/>
      <c r="BP2" s="291" t="s">
        <v>3</v>
      </c>
      <c r="BQ2" s="292"/>
      <c r="BR2" s="292"/>
      <c r="BS2" s="292"/>
      <c r="BT2" s="292"/>
      <c r="BU2" s="293"/>
      <c r="BV2" s="196" t="s">
        <v>23</v>
      </c>
      <c r="BW2" s="197"/>
      <c r="BX2" s="198"/>
      <c r="BY2" s="196"/>
      <c r="BZ2" s="198"/>
      <c r="CA2" s="291" t="s">
        <v>5</v>
      </c>
      <c r="CB2" s="292"/>
      <c r="CC2" s="293"/>
      <c r="CD2" s="291"/>
      <c r="CE2" s="292"/>
      <c r="CF2" s="292"/>
      <c r="CG2" s="293"/>
      <c r="CH2" s="199"/>
      <c r="CI2" s="199"/>
      <c r="CJ2" s="199"/>
      <c r="CK2" s="199"/>
      <c r="CL2" s="4"/>
    </row>
    <row r="3" spans="1:90" s="2" customFormat="1" ht="19.5" customHeight="1">
      <c r="A3" s="291" t="s">
        <v>6</v>
      </c>
      <c r="B3" s="292"/>
      <c r="C3" s="292"/>
      <c r="D3" s="292"/>
      <c r="E3" s="292"/>
      <c r="F3" s="292"/>
      <c r="G3" s="292"/>
      <c r="H3" s="292"/>
      <c r="I3" s="292"/>
      <c r="J3" s="292"/>
      <c r="K3" s="293"/>
      <c r="L3" s="294" t="s">
        <v>316</v>
      </c>
      <c r="M3" s="317"/>
      <c r="N3" s="317"/>
      <c r="O3" s="317"/>
      <c r="P3" s="317"/>
      <c r="Q3" s="317"/>
      <c r="R3" s="317"/>
      <c r="S3" s="317"/>
      <c r="T3" s="317"/>
      <c r="U3" s="317"/>
      <c r="V3" s="317"/>
      <c r="W3" s="317"/>
      <c r="X3" s="317"/>
      <c r="Y3" s="317"/>
      <c r="Z3" s="317"/>
      <c r="AA3" s="317"/>
      <c r="AB3" s="317"/>
      <c r="AC3" s="317"/>
      <c r="AD3" s="317"/>
      <c r="AE3" s="317"/>
      <c r="AF3" s="317"/>
      <c r="AG3" s="317"/>
      <c r="AH3" s="317"/>
      <c r="AI3" s="317"/>
      <c r="AJ3" s="317"/>
      <c r="AK3" s="317"/>
      <c r="AL3" s="317"/>
      <c r="AM3" s="317"/>
      <c r="AN3" s="317"/>
      <c r="AO3" s="317"/>
      <c r="AP3" s="317"/>
      <c r="AQ3" s="317"/>
      <c r="AR3" s="317"/>
      <c r="AS3" s="317"/>
      <c r="AT3" s="317"/>
      <c r="AU3" s="317"/>
      <c r="AV3" s="317"/>
      <c r="AW3" s="317"/>
      <c r="AX3" s="317"/>
      <c r="AY3" s="317"/>
      <c r="AZ3" s="317"/>
      <c r="BA3" s="317"/>
      <c r="BB3" s="317"/>
      <c r="BC3" s="317"/>
      <c r="BD3" s="317"/>
      <c r="BE3" s="317"/>
      <c r="BF3" s="317"/>
      <c r="BG3" s="317"/>
      <c r="BH3" s="317"/>
      <c r="BI3" s="317"/>
      <c r="BJ3" s="317"/>
      <c r="BK3" s="317"/>
      <c r="BL3" s="317"/>
      <c r="BM3" s="317"/>
      <c r="BN3" s="317"/>
      <c r="BO3" s="318"/>
      <c r="BP3" s="291" t="s">
        <v>7</v>
      </c>
      <c r="BQ3" s="292"/>
      <c r="BR3" s="292"/>
      <c r="BS3" s="292"/>
      <c r="BT3" s="292"/>
      <c r="BU3" s="293"/>
      <c r="BV3" s="291" t="s">
        <v>309</v>
      </c>
      <c r="BW3" s="292"/>
      <c r="BX3" s="292"/>
      <c r="BY3" s="292"/>
      <c r="BZ3" s="292"/>
      <c r="CA3" s="292"/>
      <c r="CB3" s="292"/>
      <c r="CC3" s="292"/>
      <c r="CD3" s="292"/>
      <c r="CE3" s="292"/>
      <c r="CF3" s="292"/>
      <c r="CG3" s="293"/>
      <c r="CH3" s="194"/>
      <c r="CI3" s="194"/>
      <c r="CJ3" s="194"/>
      <c r="CK3" s="194"/>
      <c r="CL3" s="3"/>
    </row>
    <row r="4" spans="1:90" s="2" customFormat="1" ht="19.5" customHeight="1">
      <c r="A4" s="291" t="s">
        <v>8</v>
      </c>
      <c r="B4" s="292"/>
      <c r="C4" s="292"/>
      <c r="D4" s="292"/>
      <c r="E4" s="292"/>
      <c r="F4" s="292"/>
      <c r="G4" s="292"/>
      <c r="H4" s="292"/>
      <c r="I4" s="292"/>
      <c r="J4" s="292"/>
      <c r="K4" s="293"/>
      <c r="L4" s="294" t="str">
        <f>変更履歴!H4</f>
        <v>共計</v>
      </c>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6"/>
      <c r="BP4" s="291" t="s">
        <v>9</v>
      </c>
      <c r="BQ4" s="292"/>
      <c r="BR4" s="292"/>
      <c r="BS4" s="292"/>
      <c r="BT4" s="292"/>
      <c r="BU4" s="293"/>
      <c r="BV4" s="291"/>
      <c r="BW4" s="292"/>
      <c r="BX4" s="292"/>
      <c r="BY4" s="292"/>
      <c r="BZ4" s="292"/>
      <c r="CA4" s="292"/>
      <c r="CB4" s="292"/>
      <c r="CC4" s="292"/>
      <c r="CD4" s="292"/>
      <c r="CE4" s="292"/>
      <c r="CF4" s="292"/>
      <c r="CG4" s="293"/>
      <c r="CH4" s="194"/>
      <c r="CI4" s="194"/>
      <c r="CJ4" s="194"/>
      <c r="CK4" s="194"/>
      <c r="CL4" s="3"/>
    </row>
    <row r="5" spans="1:90" ht="6.75" customHeight="1">
      <c r="A5" s="200"/>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5"/>
    </row>
    <row r="6" spans="1:90" ht="6.75" customHeight="1">
      <c r="A6" s="201"/>
      <c r="B6" s="201"/>
      <c r="C6" s="201"/>
      <c r="D6" s="201"/>
      <c r="E6" s="201"/>
      <c r="F6" s="201"/>
      <c r="G6" s="201"/>
      <c r="H6" s="201"/>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1"/>
      <c r="BK6" s="201"/>
      <c r="BL6" s="201"/>
      <c r="BM6" s="201"/>
      <c r="BN6" s="201"/>
      <c r="BO6" s="201"/>
      <c r="BP6" s="201"/>
      <c r="BQ6" s="201"/>
      <c r="BR6" s="201"/>
      <c r="BS6" s="201"/>
      <c r="BT6" s="201"/>
      <c r="BU6" s="201"/>
      <c r="BV6" s="201"/>
      <c r="BW6" s="201"/>
      <c r="BX6" s="201"/>
      <c r="BY6" s="201"/>
      <c r="BZ6" s="201"/>
      <c r="CA6" s="201"/>
      <c r="CB6" s="201"/>
      <c r="CC6" s="201"/>
      <c r="CD6" s="201"/>
      <c r="CE6" s="201"/>
      <c r="CF6" s="201"/>
      <c r="CG6" s="201"/>
      <c r="CH6" s="201"/>
      <c r="CI6" s="201"/>
      <c r="CJ6" s="201"/>
      <c r="CK6" s="201"/>
    </row>
    <row r="7" spans="1:90" s="3" customFormat="1" ht="19.5" customHeight="1">
      <c r="A7" s="291" t="s">
        <v>24</v>
      </c>
      <c r="B7" s="292"/>
      <c r="C7" s="292"/>
      <c r="D7" s="292"/>
      <c r="E7" s="292"/>
      <c r="F7" s="292"/>
      <c r="G7" s="292"/>
      <c r="H7" s="292"/>
      <c r="I7" s="292"/>
      <c r="J7" s="292"/>
      <c r="K7" s="293"/>
      <c r="L7" s="294" t="str">
        <f>変更履歴!H6</f>
        <v>滞留立替金利補正入力</v>
      </c>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6"/>
      <c r="CH7" s="202"/>
      <c r="CI7" s="194"/>
      <c r="CJ7" s="194"/>
      <c r="CK7" s="194"/>
    </row>
    <row r="8" spans="1:90" ht="9" customHeight="1">
      <c r="A8" s="201"/>
      <c r="B8" s="201"/>
      <c r="C8" s="201"/>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201"/>
      <c r="AD8" s="201"/>
      <c r="AE8" s="201"/>
      <c r="AF8" s="201"/>
      <c r="AG8" s="201"/>
      <c r="AH8" s="201"/>
      <c r="AI8" s="201"/>
      <c r="AJ8" s="201"/>
      <c r="AK8" s="201"/>
      <c r="AL8" s="201"/>
      <c r="AM8" s="201"/>
      <c r="AN8" s="201"/>
      <c r="AO8" s="201"/>
      <c r="AP8" s="201"/>
      <c r="AQ8" s="201"/>
      <c r="AR8" s="201"/>
      <c r="AS8" s="201"/>
      <c r="AT8" s="201"/>
      <c r="AU8" s="201"/>
      <c r="AV8" s="201"/>
      <c r="AW8" s="201"/>
      <c r="AX8" s="201"/>
      <c r="AY8" s="201"/>
      <c r="AZ8" s="201"/>
      <c r="BA8" s="201"/>
      <c r="BB8" s="201"/>
      <c r="BC8" s="201"/>
      <c r="BD8" s="201"/>
      <c r="BE8" s="201"/>
      <c r="BF8" s="201"/>
      <c r="BG8" s="201"/>
      <c r="BH8" s="201"/>
      <c r="BI8" s="201"/>
      <c r="BJ8" s="201"/>
      <c r="BK8" s="201"/>
      <c r="BL8" s="201"/>
      <c r="BM8" s="201"/>
      <c r="BN8" s="201"/>
      <c r="BO8" s="201"/>
      <c r="BP8" s="201"/>
      <c r="BQ8" s="201"/>
      <c r="BR8" s="201"/>
      <c r="BS8" s="201"/>
      <c r="BT8" s="201"/>
      <c r="BU8" s="201"/>
      <c r="BV8" s="201"/>
      <c r="BW8" s="201"/>
      <c r="BX8" s="201"/>
      <c r="BY8" s="201"/>
      <c r="BZ8" s="201"/>
      <c r="CA8" s="201"/>
      <c r="CB8" s="201"/>
      <c r="CC8" s="201"/>
      <c r="CD8" s="201"/>
      <c r="CE8" s="201"/>
      <c r="CF8" s="201"/>
      <c r="CG8" s="201"/>
      <c r="CH8" s="201"/>
      <c r="CI8" s="201"/>
      <c r="CJ8" s="201"/>
      <c r="CK8" s="201"/>
    </row>
    <row r="9" spans="1:90" ht="7.5" customHeight="1" thickBot="1">
      <c r="A9" s="203"/>
      <c r="B9" s="204"/>
      <c r="C9" s="204"/>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c r="BF9" s="204"/>
      <c r="BG9" s="204"/>
      <c r="BH9" s="204"/>
      <c r="BI9" s="204"/>
      <c r="BJ9" s="204"/>
      <c r="BK9" s="204"/>
      <c r="BL9" s="204"/>
      <c r="BM9" s="204"/>
      <c r="BN9" s="204"/>
      <c r="BO9" s="204"/>
      <c r="BP9" s="204"/>
      <c r="BQ9" s="204"/>
      <c r="BR9" s="204"/>
      <c r="BS9" s="204"/>
      <c r="BT9" s="204"/>
      <c r="BU9" s="204"/>
      <c r="BV9" s="204"/>
      <c r="BW9" s="204"/>
      <c r="BX9" s="204"/>
      <c r="BY9" s="204"/>
      <c r="BZ9" s="204"/>
      <c r="CA9" s="204"/>
      <c r="CB9" s="204"/>
      <c r="CC9" s="204"/>
      <c r="CD9" s="204"/>
      <c r="CE9" s="204"/>
      <c r="CF9" s="204"/>
      <c r="CG9" s="205"/>
      <c r="CH9" s="201"/>
      <c r="CI9" s="201"/>
      <c r="CJ9" s="201"/>
      <c r="CK9" s="201"/>
    </row>
    <row r="10" spans="1:90" ht="14.25" customHeight="1">
      <c r="A10" s="252"/>
      <c r="B10" s="67"/>
      <c r="C10" s="68"/>
      <c r="D10" s="68"/>
      <c r="E10" s="68"/>
      <c r="F10" s="68"/>
      <c r="G10" s="68"/>
      <c r="H10" s="68"/>
      <c r="I10" s="68"/>
      <c r="J10" s="68"/>
      <c r="K10" s="68"/>
      <c r="L10" s="297" t="s">
        <v>86</v>
      </c>
      <c r="M10" s="297"/>
      <c r="N10" s="297"/>
      <c r="O10" s="297"/>
      <c r="P10" s="297"/>
      <c r="Q10" s="297"/>
      <c r="R10" s="297"/>
      <c r="S10" s="297"/>
      <c r="T10" s="297"/>
      <c r="U10" s="297"/>
      <c r="V10" s="297"/>
      <c r="W10" s="297"/>
      <c r="X10" s="297"/>
      <c r="Y10" s="297"/>
      <c r="Z10" s="297"/>
      <c r="AA10" s="297"/>
      <c r="AB10" s="297"/>
      <c r="AC10" s="297"/>
      <c r="AD10" s="297"/>
      <c r="AE10" s="297"/>
      <c r="AF10" s="297"/>
      <c r="AG10" s="297"/>
      <c r="AH10" s="297"/>
      <c r="AI10" s="297"/>
      <c r="AJ10" s="297"/>
      <c r="AK10" s="297"/>
      <c r="AL10" s="297"/>
      <c r="AM10" s="297"/>
      <c r="AN10" s="297"/>
      <c r="AO10" s="297"/>
      <c r="AP10" s="297"/>
      <c r="AQ10" s="297"/>
      <c r="AR10" s="297"/>
      <c r="AS10" s="297"/>
      <c r="AT10" s="297"/>
      <c r="AU10" s="297"/>
      <c r="AV10" s="297"/>
      <c r="AW10" s="297"/>
      <c r="AX10" s="297"/>
      <c r="AY10" s="297"/>
      <c r="AZ10" s="297"/>
      <c r="BA10" s="297"/>
      <c r="BB10" s="297"/>
      <c r="BC10" s="297"/>
      <c r="BD10" s="297"/>
      <c r="BE10" s="297"/>
      <c r="BF10" s="297"/>
      <c r="BG10" s="297"/>
      <c r="BH10" s="297"/>
      <c r="BI10" s="297"/>
      <c r="BJ10" s="297"/>
      <c r="BK10" s="297"/>
      <c r="BL10" s="297"/>
      <c r="BM10" s="297"/>
      <c r="BN10" s="297"/>
      <c r="BO10" s="297"/>
      <c r="BP10" s="297"/>
      <c r="BQ10" s="297"/>
      <c r="BR10" s="297"/>
      <c r="BS10" s="297"/>
      <c r="BT10" s="297"/>
      <c r="BU10" s="297"/>
      <c r="BV10" s="300" t="s">
        <v>62</v>
      </c>
      <c r="BW10" s="300"/>
      <c r="BX10" s="300"/>
      <c r="BY10" s="300"/>
      <c r="BZ10" s="300"/>
      <c r="CA10" s="300"/>
      <c r="CB10" s="300"/>
      <c r="CC10" s="300"/>
      <c r="CD10" s="300"/>
      <c r="CE10" s="300"/>
      <c r="CF10" s="301"/>
      <c r="CG10" s="220"/>
      <c r="CH10" s="201"/>
      <c r="CI10" s="201"/>
      <c r="CJ10" s="201"/>
    </row>
    <row r="11" spans="1:90" ht="14.25" customHeight="1">
      <c r="A11" s="252"/>
      <c r="B11" s="69"/>
      <c r="C11" s="128"/>
      <c r="D11" s="128"/>
      <c r="E11" s="128"/>
      <c r="F11" s="128"/>
      <c r="G11" s="128"/>
      <c r="H11" s="128"/>
      <c r="I11" s="128"/>
      <c r="J11" s="128"/>
      <c r="K11" s="128"/>
      <c r="L11" s="298"/>
      <c r="M11" s="298"/>
      <c r="N11" s="298"/>
      <c r="O11" s="298"/>
      <c r="P11" s="298"/>
      <c r="Q11" s="298"/>
      <c r="R11" s="298"/>
      <c r="S11" s="298"/>
      <c r="T11" s="298"/>
      <c r="U11" s="298"/>
      <c r="V11" s="298"/>
      <c r="W11" s="298"/>
      <c r="X11" s="298"/>
      <c r="Y11" s="298"/>
      <c r="Z11" s="298"/>
      <c r="AA11" s="298"/>
      <c r="AB11" s="298"/>
      <c r="AC11" s="298"/>
      <c r="AD11" s="298"/>
      <c r="AE11" s="298"/>
      <c r="AF11" s="298"/>
      <c r="AG11" s="298"/>
      <c r="AH11" s="298"/>
      <c r="AI11" s="298"/>
      <c r="AJ11" s="298"/>
      <c r="AK11" s="298"/>
      <c r="AL11" s="298"/>
      <c r="AM11" s="298"/>
      <c r="AN11" s="298"/>
      <c r="AO11" s="298"/>
      <c r="AP11" s="298"/>
      <c r="AQ11" s="298"/>
      <c r="AR11" s="298"/>
      <c r="AS11" s="298"/>
      <c r="AT11" s="298"/>
      <c r="AU11" s="298"/>
      <c r="AV11" s="298"/>
      <c r="AW11" s="298"/>
      <c r="AX11" s="298"/>
      <c r="AY11" s="298"/>
      <c r="AZ11" s="298"/>
      <c r="BA11" s="298"/>
      <c r="BB11" s="298"/>
      <c r="BC11" s="298"/>
      <c r="BD11" s="298"/>
      <c r="BE11" s="298"/>
      <c r="BF11" s="298"/>
      <c r="BG11" s="298"/>
      <c r="BH11" s="298"/>
      <c r="BI11" s="298"/>
      <c r="BJ11" s="298"/>
      <c r="BK11" s="298"/>
      <c r="BL11" s="298"/>
      <c r="BM11" s="298"/>
      <c r="BN11" s="298"/>
      <c r="BO11" s="298"/>
      <c r="BP11" s="298"/>
      <c r="BQ11" s="298"/>
      <c r="BR11" s="298"/>
      <c r="BS11" s="298"/>
      <c r="BT11" s="298"/>
      <c r="BU11" s="298"/>
      <c r="BV11" s="302"/>
      <c r="BW11" s="302"/>
      <c r="BX11" s="302"/>
      <c r="BY11" s="302"/>
      <c r="BZ11" s="302"/>
      <c r="CA11" s="302"/>
      <c r="CB11" s="302"/>
      <c r="CC11" s="302"/>
      <c r="CD11" s="302"/>
      <c r="CE11" s="302"/>
      <c r="CF11" s="303"/>
      <c r="CG11" s="220"/>
      <c r="CH11" s="201"/>
      <c r="CI11" s="201"/>
      <c r="CJ11" s="201"/>
    </row>
    <row r="12" spans="1:90" s="3" customFormat="1" ht="19.5" customHeight="1" thickBot="1">
      <c r="A12" s="207"/>
      <c r="B12" s="70"/>
      <c r="C12" s="71"/>
      <c r="D12" s="71"/>
      <c r="E12" s="71"/>
      <c r="F12" s="71"/>
      <c r="G12" s="71"/>
      <c r="H12" s="71"/>
      <c r="I12" s="71"/>
      <c r="J12" s="71"/>
      <c r="K12" s="71"/>
      <c r="L12" s="299"/>
      <c r="M12" s="299"/>
      <c r="N12" s="299"/>
      <c r="O12" s="299"/>
      <c r="P12" s="299"/>
      <c r="Q12" s="299"/>
      <c r="R12" s="299"/>
      <c r="S12" s="299"/>
      <c r="T12" s="299"/>
      <c r="U12" s="299"/>
      <c r="V12" s="299"/>
      <c r="W12" s="299"/>
      <c r="X12" s="299"/>
      <c r="Y12" s="299"/>
      <c r="Z12" s="299"/>
      <c r="AA12" s="299"/>
      <c r="AB12" s="299"/>
      <c r="AC12" s="299"/>
      <c r="AD12" s="299"/>
      <c r="AE12" s="299"/>
      <c r="AF12" s="299"/>
      <c r="AG12" s="299"/>
      <c r="AH12" s="299"/>
      <c r="AI12" s="299"/>
      <c r="AJ12" s="299"/>
      <c r="AK12" s="299"/>
      <c r="AL12" s="299"/>
      <c r="AM12" s="299"/>
      <c r="AN12" s="299"/>
      <c r="AO12" s="299"/>
      <c r="AP12" s="299"/>
      <c r="AQ12" s="299"/>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304"/>
      <c r="BW12" s="304"/>
      <c r="BX12" s="304"/>
      <c r="BY12" s="304"/>
      <c r="BZ12" s="304"/>
      <c r="CA12" s="304"/>
      <c r="CB12" s="304"/>
      <c r="CC12" s="304"/>
      <c r="CD12" s="304"/>
      <c r="CE12" s="304"/>
      <c r="CF12" s="305"/>
      <c r="CG12" s="210"/>
      <c r="CH12" s="194"/>
      <c r="CI12" s="194"/>
      <c r="CJ12" s="194"/>
    </row>
    <row r="13" spans="1:90" s="3" customFormat="1" ht="19.5" customHeight="1" thickTop="1">
      <c r="A13" s="207"/>
      <c r="B13" s="78"/>
      <c r="C13" s="179"/>
      <c r="D13" s="180" t="s">
        <v>84</v>
      </c>
      <c r="E13" s="181"/>
      <c r="F13" s="181"/>
      <c r="G13" s="179"/>
      <c r="H13" s="179"/>
      <c r="I13" s="179"/>
      <c r="J13" s="179"/>
      <c r="K13" s="179"/>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2"/>
      <c r="BD13" s="182"/>
      <c r="BE13" s="182"/>
      <c r="BF13" s="182"/>
      <c r="BG13" s="182"/>
      <c r="BH13" s="182"/>
      <c r="BI13" s="182"/>
      <c r="BJ13" s="182"/>
      <c r="BK13" s="182"/>
      <c r="BL13" s="182"/>
      <c r="BM13" s="182"/>
      <c r="BN13" s="182"/>
      <c r="BO13" s="182"/>
      <c r="BP13" s="182"/>
      <c r="BQ13" s="182"/>
      <c r="BR13" s="182"/>
      <c r="BS13" s="182"/>
      <c r="BT13" s="182"/>
      <c r="BU13" s="182"/>
      <c r="BV13" s="182"/>
      <c r="BW13" s="182"/>
      <c r="BX13" s="182"/>
      <c r="BY13" s="182"/>
      <c r="BZ13" s="182"/>
      <c r="CA13" s="182"/>
      <c r="CB13" s="182"/>
      <c r="CC13" s="182"/>
      <c r="CD13" s="182"/>
      <c r="CE13" s="72"/>
      <c r="CF13" s="73"/>
      <c r="CG13" s="210"/>
      <c r="CH13" s="194"/>
      <c r="CI13" s="194"/>
      <c r="CJ13" s="194"/>
    </row>
    <row r="14" spans="1:90" s="3" customFormat="1" ht="19.5" customHeight="1">
      <c r="A14" s="207"/>
      <c r="B14" s="80"/>
      <c r="C14" s="129"/>
      <c r="D14" s="306" t="s">
        <v>126</v>
      </c>
      <c r="E14" s="307"/>
      <c r="F14" s="307"/>
      <c r="G14" s="307"/>
      <c r="H14" s="307"/>
      <c r="I14" s="307"/>
      <c r="J14" s="307"/>
      <c r="K14" s="307"/>
      <c r="L14" s="307"/>
      <c r="M14" s="307"/>
      <c r="N14" s="307"/>
      <c r="O14" s="307"/>
      <c r="P14" s="307"/>
      <c r="Q14" s="307"/>
      <c r="R14" s="307"/>
      <c r="S14" s="307"/>
      <c r="T14" s="307"/>
      <c r="U14" s="307"/>
      <c r="V14" s="307"/>
      <c r="W14" s="307"/>
      <c r="X14" s="307"/>
      <c r="Y14" s="307"/>
      <c r="Z14" s="307"/>
      <c r="AA14" s="307"/>
      <c r="AB14" s="307"/>
      <c r="AC14" s="307"/>
      <c r="AD14" s="307"/>
      <c r="AE14" s="307"/>
      <c r="AF14" s="307"/>
      <c r="AG14" s="307"/>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7"/>
      <c r="BD14" s="307"/>
      <c r="BE14" s="307"/>
      <c r="BF14" s="307"/>
      <c r="BG14" s="307"/>
      <c r="BH14" s="307"/>
      <c r="BI14" s="307"/>
      <c r="BJ14" s="307"/>
      <c r="BK14" s="307"/>
      <c r="BL14" s="307"/>
      <c r="BM14" s="307"/>
      <c r="BN14" s="307"/>
      <c r="BO14" s="307"/>
      <c r="BP14" s="307"/>
      <c r="BQ14" s="307"/>
      <c r="BR14" s="307"/>
      <c r="BS14" s="307"/>
      <c r="BT14" s="307"/>
      <c r="BU14" s="307"/>
      <c r="BV14" s="307"/>
      <c r="BW14" s="307"/>
      <c r="BX14" s="307"/>
      <c r="BY14" s="307"/>
      <c r="BZ14" s="307"/>
      <c r="CA14" s="307"/>
      <c r="CB14" s="307"/>
      <c r="CC14" s="308"/>
      <c r="CD14" s="129"/>
      <c r="CE14" s="93"/>
      <c r="CF14" s="74"/>
      <c r="CG14" s="210"/>
      <c r="CH14" s="194"/>
      <c r="CI14" s="194"/>
      <c r="CJ14" s="194"/>
    </row>
    <row r="15" spans="1:90" s="3" customFormat="1" ht="19.5" customHeight="1">
      <c r="A15" s="207"/>
      <c r="B15" s="80"/>
      <c r="C15" s="129"/>
      <c r="D15" s="129"/>
      <c r="E15" s="129"/>
      <c r="F15" s="129"/>
      <c r="G15" s="129"/>
      <c r="H15" s="129"/>
      <c r="I15" s="129"/>
      <c r="J15" s="129"/>
      <c r="K15" s="129"/>
      <c r="L15" s="129"/>
      <c r="M15" s="129"/>
      <c r="N15" s="129"/>
      <c r="O15" s="129"/>
      <c r="P15" s="129"/>
      <c r="Q15" s="129"/>
      <c r="R15" s="129"/>
      <c r="S15" s="129"/>
      <c r="T15" s="129"/>
      <c r="U15" s="129"/>
      <c r="V15" s="129"/>
      <c r="W15" s="95"/>
      <c r="X15" s="95"/>
      <c r="Y15" s="95"/>
      <c r="Z15" s="95"/>
      <c r="AA15" s="95"/>
      <c r="AB15" s="95"/>
      <c r="AC15" s="95"/>
      <c r="AD15" s="95"/>
      <c r="AE15" s="95"/>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01"/>
      <c r="BZ15" s="129"/>
      <c r="CA15" s="129"/>
      <c r="CB15" s="101"/>
      <c r="CC15" s="129"/>
      <c r="CD15" s="129"/>
      <c r="CE15" s="93"/>
      <c r="CF15" s="74"/>
      <c r="CG15" s="210"/>
      <c r="CH15" s="194"/>
      <c r="CI15" s="194"/>
      <c r="CJ15" s="194"/>
    </row>
    <row r="16" spans="1:90" s="3" customFormat="1" ht="19.5" customHeight="1">
      <c r="A16" s="207"/>
      <c r="B16" s="80"/>
      <c r="C16" s="129"/>
      <c r="D16" s="309" t="s">
        <v>87</v>
      </c>
      <c r="E16" s="310"/>
      <c r="F16" s="310"/>
      <c r="G16" s="310"/>
      <c r="H16" s="310"/>
      <c r="I16" s="310"/>
      <c r="J16" s="310"/>
      <c r="K16" s="310"/>
      <c r="L16" s="310"/>
      <c r="M16" s="310"/>
      <c r="N16" s="310"/>
      <c r="O16" s="310"/>
      <c r="P16" s="310"/>
      <c r="Q16" s="310"/>
      <c r="R16" s="310"/>
      <c r="S16" s="310"/>
      <c r="T16" s="310"/>
      <c r="U16" s="310"/>
      <c r="V16" s="310"/>
      <c r="W16" s="310"/>
      <c r="X16" s="310"/>
      <c r="Y16" s="310"/>
      <c r="Z16" s="310"/>
      <c r="AA16" s="310"/>
      <c r="AB16" s="310"/>
      <c r="AC16" s="310"/>
      <c r="AD16" s="310"/>
      <c r="AE16" s="310"/>
      <c r="AF16" s="310"/>
      <c r="AG16" s="310"/>
      <c r="AH16" s="310"/>
      <c r="AI16" s="310"/>
      <c r="AJ16" s="310"/>
      <c r="AK16" s="310"/>
      <c r="AL16" s="310"/>
      <c r="AM16" s="310"/>
      <c r="AN16" s="310"/>
      <c r="AO16" s="310"/>
      <c r="AP16" s="310"/>
      <c r="AQ16" s="310"/>
      <c r="AR16" s="310"/>
      <c r="AS16" s="310"/>
      <c r="AT16" s="310"/>
      <c r="AU16" s="310"/>
      <c r="AV16" s="310"/>
      <c r="AW16" s="310"/>
      <c r="AX16" s="310"/>
      <c r="AY16" s="310"/>
      <c r="AZ16" s="310"/>
      <c r="BA16" s="310"/>
      <c r="BB16" s="310"/>
      <c r="BC16" s="310"/>
      <c r="BD16" s="310"/>
      <c r="BE16" s="310"/>
      <c r="BF16" s="310"/>
      <c r="BG16" s="310"/>
      <c r="BH16" s="310"/>
      <c r="BI16" s="310"/>
      <c r="BJ16" s="310"/>
      <c r="BK16" s="310"/>
      <c r="BL16" s="310"/>
      <c r="BM16" s="310"/>
      <c r="BN16" s="310"/>
      <c r="BO16" s="310"/>
      <c r="BP16" s="310"/>
      <c r="BQ16" s="310"/>
      <c r="BR16" s="310"/>
      <c r="BS16" s="310"/>
      <c r="BT16" s="310"/>
      <c r="BU16" s="310"/>
      <c r="BV16" s="310"/>
      <c r="BW16" s="310"/>
      <c r="BX16" s="310"/>
      <c r="BY16" s="310"/>
      <c r="BZ16" s="310"/>
      <c r="CA16" s="310"/>
      <c r="CB16" s="310"/>
      <c r="CC16" s="311"/>
      <c r="CD16" s="129"/>
      <c r="CE16" s="93"/>
      <c r="CF16" s="74"/>
      <c r="CG16" s="210"/>
      <c r="CH16" s="194"/>
      <c r="CI16" s="194"/>
      <c r="CJ16" s="194"/>
    </row>
    <row r="17" spans="1:118" s="3" customFormat="1" ht="19.5" customHeight="1">
      <c r="A17" s="207"/>
      <c r="B17" s="80"/>
      <c r="C17" s="129"/>
      <c r="D17" s="96" t="s">
        <v>89</v>
      </c>
      <c r="E17" s="97"/>
      <c r="F17" s="97"/>
      <c r="G17" s="97"/>
      <c r="H17" s="97"/>
      <c r="I17" s="97"/>
      <c r="J17" s="97"/>
      <c r="K17" s="99"/>
      <c r="L17" s="97"/>
      <c r="M17" s="97"/>
      <c r="N17" s="97"/>
      <c r="O17" s="97"/>
      <c r="P17" s="97"/>
      <c r="Q17" s="97"/>
      <c r="R17" s="97"/>
      <c r="S17" s="97"/>
      <c r="T17" s="97"/>
      <c r="U17" s="97"/>
      <c r="V17" s="97"/>
      <c r="W17" s="98"/>
      <c r="X17" s="97"/>
      <c r="Y17" s="97"/>
      <c r="Z17" s="97"/>
      <c r="AA17" s="97"/>
      <c r="AB17" s="97"/>
      <c r="AC17" s="97"/>
      <c r="AD17" s="97"/>
      <c r="AE17" s="97"/>
      <c r="AF17" s="97"/>
      <c r="AG17" s="97"/>
      <c r="AH17" s="97"/>
      <c r="AI17" s="96" t="s">
        <v>90</v>
      </c>
      <c r="AJ17" s="97"/>
      <c r="AK17" s="97"/>
      <c r="AL17" s="97"/>
      <c r="AM17" s="97"/>
      <c r="AN17" s="97"/>
      <c r="AO17" s="97"/>
      <c r="AP17" s="99"/>
      <c r="AQ17" s="97" t="s">
        <v>297</v>
      </c>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8"/>
      <c r="BX17" s="98"/>
      <c r="BY17" s="98"/>
      <c r="BZ17" s="97"/>
      <c r="CA17" s="97"/>
      <c r="CB17" s="97"/>
      <c r="CC17" s="99"/>
      <c r="CD17" s="129"/>
      <c r="CE17" s="93"/>
      <c r="CF17" s="74"/>
      <c r="CG17" s="210"/>
      <c r="CH17" s="194"/>
      <c r="CI17" s="194"/>
      <c r="CJ17" s="194"/>
    </row>
    <row r="18" spans="1:118" s="3" customFormat="1" ht="19.5" customHeight="1">
      <c r="A18" s="207"/>
      <c r="B18" s="80"/>
      <c r="C18" s="101"/>
      <c r="D18" s="108" t="s">
        <v>91</v>
      </c>
      <c r="E18" s="98"/>
      <c r="F18" s="98"/>
      <c r="G18" s="98"/>
      <c r="H18" s="98"/>
      <c r="I18" s="98"/>
      <c r="J18" s="98"/>
      <c r="K18" s="107"/>
      <c r="L18" s="98"/>
      <c r="M18" s="98"/>
      <c r="N18" s="98"/>
      <c r="O18" s="98"/>
      <c r="P18" s="98"/>
      <c r="Q18" s="98"/>
      <c r="R18" s="98"/>
      <c r="S18" s="98"/>
      <c r="T18" s="98"/>
      <c r="U18" s="98"/>
      <c r="V18" s="98"/>
      <c r="W18" s="105"/>
      <c r="X18" s="105"/>
      <c r="Y18" s="105"/>
      <c r="Z18" s="105"/>
      <c r="AA18" s="105"/>
      <c r="AB18" s="105"/>
      <c r="AC18" s="105"/>
      <c r="AD18" s="105"/>
      <c r="AE18" s="105"/>
      <c r="AF18" s="98"/>
      <c r="AG18" s="98"/>
      <c r="AH18" s="98"/>
      <c r="AI18" s="108" t="s">
        <v>77</v>
      </c>
      <c r="AJ18" s="98"/>
      <c r="AK18" s="98"/>
      <c r="AL18" s="98"/>
      <c r="AM18" s="98"/>
      <c r="AN18" s="98"/>
      <c r="AO18" s="98"/>
      <c r="AP18" s="107"/>
      <c r="AQ18" s="98"/>
      <c r="AR18" s="98"/>
      <c r="AS18" s="98"/>
      <c r="AT18" s="98"/>
      <c r="AU18" s="98"/>
      <c r="AV18" s="98"/>
      <c r="AW18" s="98"/>
      <c r="AX18" s="98"/>
      <c r="AY18" s="98"/>
      <c r="AZ18" s="98"/>
      <c r="BA18" s="98"/>
      <c r="BB18" s="98"/>
      <c r="BC18" s="98"/>
      <c r="BD18" s="98"/>
      <c r="BE18" s="98"/>
      <c r="BF18" s="98"/>
      <c r="BG18" s="98"/>
      <c r="BH18" s="98"/>
      <c r="BI18" s="98"/>
      <c r="BJ18" s="98"/>
      <c r="BK18" s="98"/>
      <c r="BL18" s="98"/>
      <c r="BM18" s="98"/>
      <c r="BN18" s="98"/>
      <c r="BO18" s="98"/>
      <c r="BP18" s="98"/>
      <c r="BQ18" s="98"/>
      <c r="BR18" s="98"/>
      <c r="BS18" s="98"/>
      <c r="BT18" s="98"/>
      <c r="BU18" s="98"/>
      <c r="BV18" s="98"/>
      <c r="BW18" s="98"/>
      <c r="BX18" s="98"/>
      <c r="BY18" s="98"/>
      <c r="BZ18" s="98"/>
      <c r="CA18" s="98"/>
      <c r="CB18" s="98"/>
      <c r="CC18" s="107"/>
      <c r="CD18" s="101"/>
      <c r="CE18" s="93"/>
      <c r="CF18" s="74"/>
      <c r="CG18" s="210"/>
      <c r="CH18" s="194"/>
      <c r="CI18" s="194"/>
      <c r="CJ18" s="194"/>
      <c r="DN18" s="147"/>
    </row>
    <row r="19" spans="1:118" s="3" customFormat="1" ht="19.5" customHeight="1">
      <c r="A19" s="207"/>
      <c r="B19" s="80"/>
      <c r="C19" s="101"/>
      <c r="D19" s="108" t="s">
        <v>73</v>
      </c>
      <c r="E19" s="106"/>
      <c r="F19" s="106"/>
      <c r="G19" s="106"/>
      <c r="H19" s="106"/>
      <c r="I19" s="98"/>
      <c r="J19" s="98"/>
      <c r="K19" s="107"/>
      <c r="L19" s="98"/>
      <c r="M19" s="98"/>
      <c r="N19" s="98"/>
      <c r="O19" s="98"/>
      <c r="P19" s="98"/>
      <c r="Q19" s="98"/>
      <c r="R19" s="98"/>
      <c r="S19" s="98"/>
      <c r="T19" s="98"/>
      <c r="U19" s="98"/>
      <c r="V19" s="98"/>
      <c r="W19" s="105"/>
      <c r="X19" s="105"/>
      <c r="Y19" s="105"/>
      <c r="Z19" s="105"/>
      <c r="AA19" s="105"/>
      <c r="AB19" s="105"/>
      <c r="AC19" s="105"/>
      <c r="AD19" s="105"/>
      <c r="AE19" s="105"/>
      <c r="AF19" s="98"/>
      <c r="AG19" s="98"/>
      <c r="AH19" s="98"/>
      <c r="AI19" s="108" t="s">
        <v>74</v>
      </c>
      <c r="AJ19" s="98"/>
      <c r="AK19" s="98"/>
      <c r="AL19" s="98"/>
      <c r="AM19" s="98"/>
      <c r="AN19" s="98"/>
      <c r="AO19" s="98"/>
      <c r="AP19" s="107"/>
      <c r="AQ19" s="98"/>
      <c r="AR19" s="98"/>
      <c r="AS19" s="98"/>
      <c r="AT19" s="98"/>
      <c r="AU19" s="98"/>
      <c r="AV19" s="98"/>
      <c r="AW19" s="98"/>
      <c r="AX19" s="98"/>
      <c r="AY19" s="98"/>
      <c r="AZ19" s="98"/>
      <c r="BA19" s="98"/>
      <c r="BB19" s="106"/>
      <c r="BC19" s="98"/>
      <c r="BD19" s="98"/>
      <c r="BE19" s="108" t="s">
        <v>92</v>
      </c>
      <c r="BF19" s="106"/>
      <c r="BG19" s="106"/>
      <c r="BH19" s="106"/>
      <c r="BI19" s="106"/>
      <c r="BJ19" s="98"/>
      <c r="BK19" s="107"/>
      <c r="BL19" s="98"/>
      <c r="BM19" s="98"/>
      <c r="BN19" s="98"/>
      <c r="BO19" s="98"/>
      <c r="BP19" s="98"/>
      <c r="BQ19" s="98"/>
      <c r="BR19" s="98"/>
      <c r="BS19" s="98"/>
      <c r="BT19" s="98" t="s">
        <v>118</v>
      </c>
      <c r="BU19" s="98"/>
      <c r="BV19" s="98"/>
      <c r="BW19" s="98"/>
      <c r="BX19" s="98"/>
      <c r="BY19" s="98"/>
      <c r="BZ19" s="98"/>
      <c r="CA19" s="98"/>
      <c r="CB19" s="98"/>
      <c r="CC19" s="107"/>
      <c r="CD19" s="101"/>
      <c r="CE19" s="93"/>
      <c r="CF19" s="74"/>
      <c r="CG19" s="210"/>
      <c r="CH19" s="194"/>
      <c r="CI19" s="194"/>
      <c r="CJ19" s="194"/>
    </row>
    <row r="20" spans="1:118" s="3" customFormat="1" ht="19.5" customHeight="1">
      <c r="A20" s="207"/>
      <c r="B20" s="80"/>
      <c r="C20" s="129"/>
      <c r="D20" s="108" t="s">
        <v>236</v>
      </c>
      <c r="E20" s="98"/>
      <c r="F20" s="98"/>
      <c r="G20" s="98"/>
      <c r="H20" s="98"/>
      <c r="I20" s="98"/>
      <c r="J20" s="98"/>
      <c r="K20" s="107"/>
      <c r="L20" s="97"/>
      <c r="M20" s="97"/>
      <c r="N20" s="97"/>
      <c r="O20" s="97"/>
      <c r="P20" s="97"/>
      <c r="Q20" s="97"/>
      <c r="R20" s="97"/>
      <c r="S20" s="97"/>
      <c r="T20" s="97"/>
      <c r="U20" s="97"/>
      <c r="V20" s="97"/>
      <c r="W20" s="97"/>
      <c r="X20" s="97"/>
      <c r="Y20" s="312"/>
      <c r="Z20" s="312"/>
      <c r="AA20" s="312"/>
      <c r="AB20" s="312"/>
      <c r="AC20" s="312"/>
      <c r="AD20" s="312"/>
      <c r="AE20" s="312"/>
      <c r="AF20" s="312"/>
      <c r="AG20" s="312"/>
      <c r="AH20" s="176"/>
      <c r="AI20" s="120" t="s">
        <v>245</v>
      </c>
      <c r="AJ20" s="121"/>
      <c r="AK20" s="121"/>
      <c r="AL20" s="121"/>
      <c r="AM20" s="121"/>
      <c r="AN20" s="121"/>
      <c r="AO20" s="121"/>
      <c r="AP20" s="122"/>
      <c r="AQ20" s="121"/>
      <c r="AR20" s="121"/>
      <c r="AS20" s="121"/>
      <c r="AT20" s="121"/>
      <c r="AU20" s="121"/>
      <c r="AV20" s="123"/>
      <c r="AW20" s="251"/>
      <c r="AX20" s="121"/>
      <c r="AY20" s="251"/>
      <c r="AZ20" s="121" t="s">
        <v>118</v>
      </c>
      <c r="BA20" s="121"/>
      <c r="BB20" s="121"/>
      <c r="BC20" s="121"/>
      <c r="BD20" s="121"/>
      <c r="BE20" s="121"/>
      <c r="BF20" s="121"/>
      <c r="BG20" s="121"/>
      <c r="BH20" s="121"/>
      <c r="BI20" s="121"/>
      <c r="BJ20" s="121"/>
      <c r="BK20" s="121"/>
      <c r="BL20" s="121"/>
      <c r="BM20" s="98"/>
      <c r="BN20" s="98"/>
      <c r="BO20" s="98"/>
      <c r="BP20" s="98"/>
      <c r="BQ20" s="98"/>
      <c r="BR20" s="98"/>
      <c r="BS20" s="98"/>
      <c r="BT20" s="98"/>
      <c r="BU20" s="98"/>
      <c r="BV20" s="98"/>
      <c r="BW20" s="98"/>
      <c r="BX20" s="98"/>
      <c r="BY20" s="98"/>
      <c r="BZ20" s="98"/>
      <c r="CA20" s="98"/>
      <c r="CB20" s="98"/>
      <c r="CC20" s="107"/>
      <c r="CD20" s="101"/>
      <c r="CE20" s="93"/>
      <c r="CF20" s="74"/>
      <c r="CG20" s="210"/>
      <c r="CH20" s="194"/>
      <c r="CI20" s="194"/>
      <c r="CJ20" s="194"/>
    </row>
    <row r="21" spans="1:118" s="3" customFormat="1" ht="19.5" customHeight="1">
      <c r="A21" s="207"/>
      <c r="B21" s="80"/>
      <c r="C21" s="129"/>
      <c r="D21" s="148" t="s">
        <v>237</v>
      </c>
      <c r="E21" s="251"/>
      <c r="F21" s="251"/>
      <c r="G21" s="251"/>
      <c r="H21" s="251"/>
      <c r="I21" s="251"/>
      <c r="J21" s="121"/>
      <c r="K21" s="183"/>
      <c r="L21" s="120"/>
      <c r="M21" s="184"/>
      <c r="N21" s="251"/>
      <c r="O21" s="251"/>
      <c r="P21" s="185"/>
      <c r="Q21" s="185"/>
      <c r="R21" s="185"/>
      <c r="S21" s="185"/>
      <c r="T21" s="185"/>
      <c r="U21" s="185"/>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3"/>
      <c r="BD21" s="123"/>
      <c r="BE21" s="123"/>
      <c r="BF21" s="123"/>
      <c r="BG21" s="251"/>
      <c r="BH21" s="251"/>
      <c r="BI21" s="251"/>
      <c r="BJ21" s="121"/>
      <c r="BK21" s="251"/>
      <c r="BL21" s="251"/>
      <c r="BM21" s="251"/>
      <c r="BN21" s="251"/>
      <c r="BO21" s="121"/>
      <c r="BP21" s="251"/>
      <c r="BQ21" s="251"/>
      <c r="BR21" s="251"/>
      <c r="BS21" s="251"/>
      <c r="BT21" s="251"/>
      <c r="BU21" s="251"/>
      <c r="BV21" s="251"/>
      <c r="BW21" s="121"/>
      <c r="BX21" s="251"/>
      <c r="BY21" s="251"/>
      <c r="BZ21" s="121"/>
      <c r="CA21" s="121"/>
      <c r="CB21" s="121"/>
      <c r="CC21" s="122"/>
      <c r="CD21" s="101"/>
      <c r="CE21" s="93"/>
      <c r="CF21" s="74"/>
      <c r="CG21" s="210"/>
      <c r="CH21" s="194"/>
      <c r="CI21" s="194"/>
      <c r="CJ21" s="194"/>
      <c r="CL21" s="174"/>
      <c r="CM21" s="174"/>
      <c r="CN21" s="174"/>
    </row>
    <row r="22" spans="1:118" s="3" customFormat="1" ht="19.5" customHeight="1">
      <c r="A22" s="207"/>
      <c r="B22" s="80"/>
      <c r="C22" s="129"/>
      <c r="D22" s="120" t="s">
        <v>295</v>
      </c>
      <c r="E22" s="121"/>
      <c r="F22" s="121"/>
      <c r="G22" s="121"/>
      <c r="H22" s="121"/>
      <c r="I22" s="121"/>
      <c r="J22" s="123"/>
      <c r="K22" s="123"/>
      <c r="L22" s="148"/>
      <c r="M22" s="123" t="s">
        <v>301</v>
      </c>
      <c r="N22" s="251"/>
      <c r="O22" s="251"/>
      <c r="P22" s="251"/>
      <c r="Q22" s="121"/>
      <c r="R22" s="121"/>
      <c r="S22" s="121"/>
      <c r="T22" s="121"/>
      <c r="U22" s="121"/>
      <c r="V22" s="121"/>
      <c r="W22" s="121"/>
      <c r="X22" s="123"/>
      <c r="Y22" s="123"/>
      <c r="Z22" s="251"/>
      <c r="AA22" s="251"/>
      <c r="AB22" s="251"/>
      <c r="AC22" s="121"/>
      <c r="AD22" s="123"/>
      <c r="AE22" s="121"/>
      <c r="AF22" s="121"/>
      <c r="AG22" s="121"/>
      <c r="AH22" s="123"/>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3"/>
      <c r="BF22" s="25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2"/>
      <c r="CD22" s="101"/>
      <c r="CE22" s="93"/>
      <c r="CF22" s="74"/>
      <c r="CG22" s="210"/>
      <c r="CH22" s="194"/>
      <c r="CI22" s="194"/>
      <c r="CJ22" s="194"/>
    </row>
    <row r="23" spans="1:118" s="3" customFormat="1" ht="19.5" customHeight="1">
      <c r="A23" s="207"/>
      <c r="B23" s="80"/>
      <c r="C23" s="101"/>
      <c r="D23" s="288"/>
      <c r="E23" s="289"/>
      <c r="F23" s="289"/>
      <c r="G23" s="289"/>
      <c r="H23" s="289"/>
      <c r="I23" s="289"/>
      <c r="J23" s="289"/>
      <c r="K23" s="289"/>
      <c r="L23" s="289"/>
      <c r="M23" s="289"/>
      <c r="N23" s="289"/>
      <c r="O23" s="289"/>
      <c r="P23" s="289"/>
      <c r="Q23" s="289"/>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89"/>
      <c r="BK23" s="289"/>
      <c r="BL23" s="289"/>
      <c r="BM23" s="289"/>
      <c r="BN23" s="289"/>
      <c r="BO23" s="289"/>
      <c r="BP23" s="289"/>
      <c r="BQ23" s="289"/>
      <c r="BR23" s="289"/>
      <c r="BS23" s="289"/>
      <c r="BT23" s="289"/>
      <c r="BU23" s="289"/>
      <c r="BV23" s="289"/>
      <c r="BW23" s="289"/>
      <c r="BX23" s="289"/>
      <c r="BY23" s="289"/>
      <c r="BZ23" s="289"/>
      <c r="CA23" s="289"/>
      <c r="CB23" s="289"/>
      <c r="CC23" s="290"/>
      <c r="CD23" s="101"/>
      <c r="CE23" s="93"/>
      <c r="CF23" s="74"/>
      <c r="CG23" s="210"/>
      <c r="CH23" s="194"/>
      <c r="CI23" s="194"/>
      <c r="CJ23" s="194"/>
    </row>
    <row r="24" spans="1:118" s="3" customFormat="1" ht="19.5" customHeight="1">
      <c r="A24" s="207"/>
      <c r="B24" s="80"/>
      <c r="C24" s="129"/>
      <c r="D24" s="100"/>
      <c r="E24" s="100"/>
      <c r="F24" s="100"/>
      <c r="G24" s="100"/>
      <c r="H24" s="100"/>
      <c r="I24" s="101"/>
      <c r="J24" s="101"/>
      <c r="K24" s="101"/>
      <c r="L24" s="101"/>
      <c r="M24" s="101"/>
      <c r="N24" s="101"/>
      <c r="O24" s="101"/>
      <c r="P24" s="101"/>
      <c r="Q24" s="101"/>
      <c r="R24" s="101"/>
      <c r="S24" s="101"/>
      <c r="T24" s="101"/>
      <c r="U24" s="101"/>
      <c r="V24" s="101"/>
      <c r="W24" s="95"/>
      <c r="X24" s="95"/>
      <c r="Y24" s="95"/>
      <c r="Z24" s="95"/>
      <c r="AA24" s="95"/>
      <c r="AB24" s="95"/>
      <c r="AC24" s="95"/>
      <c r="AD24" s="95"/>
      <c r="AE24" s="95"/>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2"/>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93"/>
      <c r="CF24" s="74"/>
      <c r="CG24" s="210"/>
      <c r="CH24" s="194"/>
      <c r="CI24" s="194"/>
      <c r="CJ24" s="194"/>
    </row>
    <row r="25" spans="1:118" s="3" customFormat="1" ht="19.5" customHeight="1">
      <c r="A25" s="207"/>
      <c r="B25" s="80"/>
      <c r="C25" s="101"/>
      <c r="D25" s="319" t="s">
        <v>302</v>
      </c>
      <c r="E25" s="320"/>
      <c r="F25" s="320"/>
      <c r="G25" s="320"/>
      <c r="H25" s="320"/>
      <c r="I25" s="320"/>
      <c r="J25" s="320"/>
      <c r="K25" s="320"/>
      <c r="L25" s="320"/>
      <c r="M25" s="320"/>
      <c r="N25" s="320"/>
      <c r="O25" s="320"/>
      <c r="P25" s="320"/>
      <c r="Q25" s="320"/>
      <c r="R25" s="320"/>
      <c r="S25" s="320"/>
      <c r="T25" s="320"/>
      <c r="U25" s="320"/>
      <c r="V25" s="320"/>
      <c r="W25" s="320"/>
      <c r="X25" s="320"/>
      <c r="Y25" s="320"/>
      <c r="Z25" s="320"/>
      <c r="AA25" s="320"/>
      <c r="AB25" s="320"/>
      <c r="AC25" s="320"/>
      <c r="AD25" s="320"/>
      <c r="AE25" s="320"/>
      <c r="AF25" s="320"/>
      <c r="AG25" s="320"/>
      <c r="AH25" s="320"/>
      <c r="AI25" s="320"/>
      <c r="AJ25" s="320"/>
      <c r="AK25" s="320"/>
      <c r="AL25" s="320"/>
      <c r="AM25" s="320"/>
      <c r="AN25" s="320"/>
      <c r="AO25" s="320"/>
      <c r="AP25" s="320"/>
      <c r="AQ25" s="320"/>
      <c r="AR25" s="320"/>
      <c r="AS25" s="320"/>
      <c r="AT25" s="320"/>
      <c r="AU25" s="320"/>
      <c r="AV25" s="320"/>
      <c r="AW25" s="320"/>
      <c r="AX25" s="320"/>
      <c r="AY25" s="320"/>
      <c r="AZ25" s="320"/>
      <c r="BA25" s="320"/>
      <c r="BB25" s="320"/>
      <c r="BC25" s="320"/>
      <c r="BD25" s="320"/>
      <c r="BE25" s="320"/>
      <c r="BF25" s="320"/>
      <c r="BG25" s="320"/>
      <c r="BH25" s="320"/>
      <c r="BI25" s="320"/>
      <c r="BJ25" s="320"/>
      <c r="BK25" s="320"/>
      <c r="BL25" s="320"/>
      <c r="BM25" s="320"/>
      <c r="BN25" s="320"/>
      <c r="BO25" s="320"/>
      <c r="BP25" s="320"/>
      <c r="BQ25" s="320"/>
      <c r="BR25" s="320"/>
      <c r="BS25" s="320"/>
      <c r="BT25" s="320"/>
      <c r="BU25" s="320"/>
      <c r="BV25" s="320"/>
      <c r="BW25" s="320"/>
      <c r="BX25" s="320"/>
      <c r="BY25" s="320"/>
      <c r="BZ25" s="320"/>
      <c r="CA25" s="320"/>
      <c r="CB25" s="320"/>
      <c r="CC25" s="321"/>
      <c r="CD25" s="101"/>
      <c r="CE25" s="93"/>
      <c r="CF25" s="74"/>
      <c r="CG25" s="210"/>
      <c r="CH25" s="194"/>
      <c r="CI25" s="194"/>
      <c r="CJ25" s="194"/>
    </row>
    <row r="26" spans="1:118" s="3" customFormat="1" ht="19.5" customHeight="1">
      <c r="A26" s="207"/>
      <c r="B26" s="80"/>
      <c r="C26" s="101"/>
      <c r="D26" s="356" t="s">
        <v>85</v>
      </c>
      <c r="E26" s="357"/>
      <c r="F26" s="358"/>
      <c r="G26" s="189"/>
      <c r="H26" s="190" t="s">
        <v>295</v>
      </c>
      <c r="I26" s="190"/>
      <c r="J26" s="190"/>
      <c r="K26" s="190"/>
      <c r="L26" s="190"/>
      <c r="M26" s="190"/>
      <c r="N26" s="190"/>
      <c r="O26" s="191"/>
      <c r="P26" s="189" t="s">
        <v>89</v>
      </c>
      <c r="Q26" s="190"/>
      <c r="R26" s="190"/>
      <c r="S26" s="190"/>
      <c r="T26" s="190"/>
      <c r="U26" s="190"/>
      <c r="V26" s="190"/>
      <c r="W26" s="190"/>
      <c r="X26" s="190"/>
      <c r="Y26" s="190"/>
      <c r="Z26" s="192"/>
      <c r="AA26" s="189" t="s">
        <v>189</v>
      </c>
      <c r="AB26" s="190"/>
      <c r="AC26" s="190"/>
      <c r="AD26" s="190"/>
      <c r="AE26" s="190"/>
      <c r="AF26" s="192"/>
      <c r="AG26" s="189" t="s">
        <v>190</v>
      </c>
      <c r="AH26" s="190"/>
      <c r="AI26" s="190"/>
      <c r="AJ26" s="190"/>
      <c r="AK26" s="190"/>
      <c r="AL26" s="190"/>
      <c r="AM26" s="190"/>
      <c r="AN26" s="190"/>
      <c r="AO26" s="190"/>
      <c r="AP26" s="190"/>
      <c r="AQ26" s="190"/>
      <c r="AR26" s="190"/>
      <c r="AS26" s="192"/>
      <c r="AT26" s="190" t="s">
        <v>191</v>
      </c>
      <c r="AU26" s="190"/>
      <c r="AV26" s="190"/>
      <c r="AW26" s="190"/>
      <c r="AX26" s="190"/>
      <c r="AY26" s="190"/>
      <c r="AZ26" s="190"/>
      <c r="BA26" s="190"/>
      <c r="BB26" s="190"/>
      <c r="BC26" s="190"/>
      <c r="BD26" s="190"/>
      <c r="BE26" s="190"/>
      <c r="BF26" s="246"/>
      <c r="BG26" s="190"/>
      <c r="BH26" s="190"/>
      <c r="BI26" s="190"/>
      <c r="BJ26" s="246"/>
      <c r="BK26" s="190"/>
      <c r="BL26" s="190"/>
      <c r="BM26" s="192"/>
      <c r="BN26" s="245"/>
      <c r="BO26" s="190" t="s">
        <v>73</v>
      </c>
      <c r="BP26" s="190"/>
      <c r="BQ26" s="190"/>
      <c r="BR26" s="189"/>
      <c r="BS26" s="190" t="s">
        <v>74</v>
      </c>
      <c r="BT26" s="190"/>
      <c r="BU26" s="190"/>
      <c r="BV26" s="190"/>
      <c r="BW26" s="190"/>
      <c r="BX26" s="189"/>
      <c r="BY26" s="190" t="s">
        <v>92</v>
      </c>
      <c r="BZ26" s="190"/>
      <c r="CA26" s="190"/>
      <c r="CB26" s="190"/>
      <c r="CC26" s="247"/>
      <c r="CD26" s="101"/>
      <c r="CE26" s="93"/>
      <c r="CF26" s="74"/>
      <c r="CG26" s="210"/>
      <c r="CH26" s="194"/>
      <c r="CI26" s="194"/>
      <c r="CJ26" s="194"/>
    </row>
    <row r="27" spans="1:118" s="3" customFormat="1" ht="19.5" customHeight="1">
      <c r="A27" s="207"/>
      <c r="B27" s="80"/>
      <c r="C27" s="101"/>
      <c r="D27" s="359" t="s">
        <v>206</v>
      </c>
      <c r="E27" s="360"/>
      <c r="F27" s="361"/>
      <c r="G27" s="161"/>
      <c r="H27" s="162" t="s">
        <v>178</v>
      </c>
      <c r="I27" s="163"/>
      <c r="J27" s="163"/>
      <c r="K27" s="163"/>
      <c r="L27" s="163"/>
      <c r="M27" s="163"/>
      <c r="N27" s="163"/>
      <c r="O27" s="164"/>
      <c r="P27" s="154" t="s">
        <v>96</v>
      </c>
      <c r="Q27" s="155"/>
      <c r="R27" s="155"/>
      <c r="S27" s="249"/>
      <c r="T27" s="156"/>
      <c r="U27" s="156"/>
      <c r="V27" s="156"/>
      <c r="W27" s="156"/>
      <c r="X27" s="156"/>
      <c r="Y27" s="249"/>
      <c r="Z27" s="157"/>
      <c r="AA27" s="156"/>
      <c r="AB27" s="156" t="s">
        <v>145</v>
      </c>
      <c r="AC27" s="249"/>
      <c r="AD27" s="249"/>
      <c r="AE27" s="156"/>
      <c r="AF27" s="156"/>
      <c r="AG27" s="248"/>
      <c r="AH27" s="156" t="s">
        <v>94</v>
      </c>
      <c r="AI27" s="156"/>
      <c r="AJ27" s="156"/>
      <c r="AK27" s="156"/>
      <c r="AL27" s="249"/>
      <c r="AM27" s="249"/>
      <c r="AN27" s="156"/>
      <c r="AO27" s="249"/>
      <c r="AP27" s="249"/>
      <c r="AQ27" s="155"/>
      <c r="AR27" s="156"/>
      <c r="AS27" s="158"/>
      <c r="AT27" s="249"/>
      <c r="AU27" s="155" t="s">
        <v>70</v>
      </c>
      <c r="AV27" s="156"/>
      <c r="AW27" s="156"/>
      <c r="AX27" s="156"/>
      <c r="AY27" s="156"/>
      <c r="AZ27" s="156"/>
      <c r="BA27" s="156"/>
      <c r="BB27" s="156"/>
      <c r="BC27" s="156"/>
      <c r="BD27" s="156"/>
      <c r="BE27" s="249"/>
      <c r="BF27" s="249"/>
      <c r="BG27" s="156"/>
      <c r="BH27" s="156"/>
      <c r="BI27" s="156"/>
      <c r="BJ27" s="249"/>
      <c r="BK27" s="156"/>
      <c r="BL27" s="156"/>
      <c r="BM27" s="157"/>
      <c r="BN27" s="248" t="s">
        <v>117</v>
      </c>
      <c r="BO27" s="156" t="s">
        <v>71</v>
      </c>
      <c r="BP27" s="156"/>
      <c r="BQ27" s="156"/>
      <c r="BR27" s="248"/>
      <c r="BS27" s="156" t="s">
        <v>72</v>
      </c>
      <c r="BT27" s="249"/>
      <c r="BU27" s="156"/>
      <c r="BV27" s="156"/>
      <c r="BW27" s="249"/>
      <c r="BX27" s="159"/>
      <c r="BY27" s="155" t="s">
        <v>102</v>
      </c>
      <c r="BZ27" s="160"/>
      <c r="CA27" s="156"/>
      <c r="CB27" s="156"/>
      <c r="CC27" s="157"/>
      <c r="CD27" s="129"/>
      <c r="CE27" s="93"/>
      <c r="CF27" s="74"/>
      <c r="CG27" s="210"/>
      <c r="CH27" s="194"/>
      <c r="CI27" s="194"/>
      <c r="CJ27" s="194"/>
    </row>
    <row r="28" spans="1:118" s="3" customFormat="1" ht="19.5" customHeight="1">
      <c r="A28" s="207"/>
      <c r="B28" s="80"/>
      <c r="C28" s="129"/>
      <c r="D28" s="346" t="s">
        <v>78</v>
      </c>
      <c r="E28" s="347"/>
      <c r="F28" s="348"/>
      <c r="G28" s="108"/>
      <c r="H28" s="149" t="s">
        <v>214</v>
      </c>
      <c r="I28" s="98"/>
      <c r="J28" s="98"/>
      <c r="K28" s="98"/>
      <c r="L28" s="98"/>
      <c r="M28" s="98"/>
      <c r="N28" s="98"/>
      <c r="O28" s="107"/>
      <c r="P28" s="148" t="s">
        <v>96</v>
      </c>
      <c r="Q28" s="123"/>
      <c r="R28" s="123"/>
      <c r="S28" s="251"/>
      <c r="T28" s="121"/>
      <c r="U28" s="121"/>
      <c r="V28" s="121"/>
      <c r="W28" s="121"/>
      <c r="X28" s="121"/>
      <c r="Y28" s="251"/>
      <c r="Z28" s="122"/>
      <c r="AA28" s="121"/>
      <c r="AB28" s="121" t="s">
        <v>145</v>
      </c>
      <c r="AC28" s="251"/>
      <c r="AD28" s="251"/>
      <c r="AE28" s="121"/>
      <c r="AF28" s="121"/>
      <c r="AG28" s="250"/>
      <c r="AH28" s="121" t="s">
        <v>94</v>
      </c>
      <c r="AI28" s="121"/>
      <c r="AJ28" s="121"/>
      <c r="AK28" s="121"/>
      <c r="AL28" s="251"/>
      <c r="AM28" s="251"/>
      <c r="AN28" s="121"/>
      <c r="AO28" s="251"/>
      <c r="AP28" s="251"/>
      <c r="AQ28" s="121"/>
      <c r="AR28" s="121"/>
      <c r="AS28" s="152"/>
      <c r="AT28" s="251"/>
      <c r="AU28" s="121" t="s">
        <v>119</v>
      </c>
      <c r="AV28" s="121"/>
      <c r="AW28" s="121"/>
      <c r="AX28" s="121"/>
      <c r="AY28" s="121"/>
      <c r="AZ28" s="121"/>
      <c r="BA28" s="121"/>
      <c r="BB28" s="121"/>
      <c r="BC28" s="121"/>
      <c r="BD28" s="121"/>
      <c r="BE28" s="251"/>
      <c r="BF28" s="251"/>
      <c r="BG28" s="121"/>
      <c r="BH28" s="121"/>
      <c r="BI28" s="121"/>
      <c r="BJ28" s="251"/>
      <c r="BK28" s="121"/>
      <c r="BL28" s="121"/>
      <c r="BM28" s="122"/>
      <c r="BN28" s="250"/>
      <c r="BO28" s="121" t="s">
        <v>71</v>
      </c>
      <c r="BP28" s="121"/>
      <c r="BQ28" s="121"/>
      <c r="BR28" s="250"/>
      <c r="BS28" s="121" t="s">
        <v>72</v>
      </c>
      <c r="BT28" s="251"/>
      <c r="BU28" s="121"/>
      <c r="BV28" s="121"/>
      <c r="BW28" s="251"/>
      <c r="BX28" s="120"/>
      <c r="BY28" s="123" t="s">
        <v>102</v>
      </c>
      <c r="BZ28" s="124"/>
      <c r="CA28" s="121"/>
      <c r="CB28" s="121"/>
      <c r="CC28" s="122"/>
      <c r="CD28" s="101"/>
      <c r="CE28" s="93"/>
      <c r="CF28" s="74"/>
      <c r="CG28" s="210"/>
      <c r="CH28" s="194"/>
      <c r="CI28" s="194"/>
      <c r="CJ28" s="194"/>
    </row>
    <row r="29" spans="1:118" s="3" customFormat="1" ht="19.5" customHeight="1">
      <c r="A29" s="207"/>
      <c r="B29" s="80"/>
      <c r="C29" s="129"/>
      <c r="D29" s="346" t="s">
        <v>78</v>
      </c>
      <c r="E29" s="347"/>
      <c r="F29" s="348"/>
      <c r="G29" s="108"/>
      <c r="H29" s="149" t="s">
        <v>214</v>
      </c>
      <c r="I29" s="98"/>
      <c r="J29" s="98"/>
      <c r="K29" s="98"/>
      <c r="L29" s="98"/>
      <c r="M29" s="98"/>
      <c r="N29" s="98"/>
      <c r="O29" s="107"/>
      <c r="P29" s="148" t="s">
        <v>96</v>
      </c>
      <c r="Q29" s="123"/>
      <c r="R29" s="123"/>
      <c r="S29" s="251"/>
      <c r="T29" s="98"/>
      <c r="U29" s="121"/>
      <c r="V29" s="98"/>
      <c r="W29" s="98"/>
      <c r="X29" s="121"/>
      <c r="Y29" s="251"/>
      <c r="Z29" s="107"/>
      <c r="AA29" s="98"/>
      <c r="AB29" s="121" t="s">
        <v>145</v>
      </c>
      <c r="AC29" s="98"/>
      <c r="AD29" s="98"/>
      <c r="AE29" s="98"/>
      <c r="AF29" s="98"/>
      <c r="AG29" s="108"/>
      <c r="AH29" s="121" t="s">
        <v>94</v>
      </c>
      <c r="AI29" s="98"/>
      <c r="AJ29" s="105"/>
      <c r="AK29" s="121"/>
      <c r="AL29" s="105"/>
      <c r="AM29" s="105"/>
      <c r="AN29" s="105"/>
      <c r="AO29" s="105"/>
      <c r="AP29" s="105"/>
      <c r="AQ29" s="121"/>
      <c r="AR29" s="121"/>
      <c r="AS29" s="152"/>
      <c r="AT29" s="105"/>
      <c r="AU29" s="121" t="s">
        <v>120</v>
      </c>
      <c r="AV29" s="121"/>
      <c r="AW29" s="121"/>
      <c r="AX29" s="121"/>
      <c r="AY29" s="121"/>
      <c r="AZ29" s="121"/>
      <c r="BA29" s="121"/>
      <c r="BB29" s="121"/>
      <c r="BC29" s="121"/>
      <c r="BD29" s="121"/>
      <c r="BE29" s="251"/>
      <c r="BF29" s="251"/>
      <c r="BG29" s="121"/>
      <c r="BH29" s="121"/>
      <c r="BI29" s="121"/>
      <c r="BJ29" s="251"/>
      <c r="BK29" s="121"/>
      <c r="BL29" s="121"/>
      <c r="BM29" s="122"/>
      <c r="BN29" s="250"/>
      <c r="BO29" s="121" t="s">
        <v>71</v>
      </c>
      <c r="BP29" s="121"/>
      <c r="BQ29" s="121"/>
      <c r="BR29" s="250"/>
      <c r="BS29" s="121" t="s">
        <v>72</v>
      </c>
      <c r="BT29" s="251"/>
      <c r="BU29" s="98"/>
      <c r="BV29" s="98"/>
      <c r="BW29" s="98"/>
      <c r="BX29" s="108"/>
      <c r="BY29" s="123" t="s">
        <v>102</v>
      </c>
      <c r="BZ29" s="98"/>
      <c r="CA29" s="98"/>
      <c r="CB29" s="98"/>
      <c r="CC29" s="122"/>
      <c r="CD29" s="101"/>
      <c r="CE29" s="93"/>
      <c r="CF29" s="74"/>
      <c r="CG29" s="210"/>
      <c r="CH29" s="194"/>
      <c r="CI29" s="194"/>
      <c r="CJ29" s="194"/>
    </row>
    <row r="30" spans="1:118" s="3" customFormat="1" ht="19.5" customHeight="1">
      <c r="A30" s="207"/>
      <c r="B30" s="80"/>
      <c r="C30" s="129"/>
      <c r="D30" s="346" t="s">
        <v>78</v>
      </c>
      <c r="E30" s="347"/>
      <c r="F30" s="348"/>
      <c r="G30" s="108"/>
      <c r="H30" s="149" t="s">
        <v>214</v>
      </c>
      <c r="I30" s="98"/>
      <c r="J30" s="98"/>
      <c r="K30" s="98"/>
      <c r="L30" s="98"/>
      <c r="M30" s="98"/>
      <c r="N30" s="98"/>
      <c r="O30" s="107"/>
      <c r="P30" s="148" t="s">
        <v>187</v>
      </c>
      <c r="Q30" s="123"/>
      <c r="R30" s="123"/>
      <c r="S30" s="251"/>
      <c r="T30" s="98"/>
      <c r="U30" s="121"/>
      <c r="V30" s="98"/>
      <c r="W30" s="98"/>
      <c r="X30" s="121"/>
      <c r="Y30" s="251"/>
      <c r="Z30" s="107"/>
      <c r="AA30" s="98"/>
      <c r="AB30" s="121" t="s">
        <v>145</v>
      </c>
      <c r="AC30" s="98"/>
      <c r="AD30" s="98"/>
      <c r="AE30" s="98"/>
      <c r="AF30" s="98"/>
      <c r="AG30" s="108"/>
      <c r="AH30" s="121" t="s">
        <v>188</v>
      </c>
      <c r="AI30" s="98"/>
      <c r="AJ30" s="105"/>
      <c r="AK30" s="121"/>
      <c r="AL30" s="105"/>
      <c r="AM30" s="105"/>
      <c r="AN30" s="105"/>
      <c r="AO30" s="105"/>
      <c r="AP30" s="105"/>
      <c r="AQ30" s="121"/>
      <c r="AR30" s="121"/>
      <c r="AS30" s="152"/>
      <c r="AT30" s="105"/>
      <c r="AU30" s="121" t="s">
        <v>121</v>
      </c>
      <c r="AV30" s="121"/>
      <c r="AW30" s="121"/>
      <c r="AX30" s="121"/>
      <c r="AY30" s="121"/>
      <c r="AZ30" s="121"/>
      <c r="BA30" s="121"/>
      <c r="BB30" s="121"/>
      <c r="BC30" s="121"/>
      <c r="BD30" s="121"/>
      <c r="BE30" s="251"/>
      <c r="BF30" s="251"/>
      <c r="BG30" s="121"/>
      <c r="BH30" s="121"/>
      <c r="BI30" s="121"/>
      <c r="BJ30" s="251"/>
      <c r="BK30" s="121"/>
      <c r="BL30" s="121"/>
      <c r="BM30" s="122"/>
      <c r="BN30" s="250"/>
      <c r="BO30" s="121" t="s">
        <v>71</v>
      </c>
      <c r="BP30" s="121"/>
      <c r="BQ30" s="121"/>
      <c r="BR30" s="250"/>
      <c r="BS30" s="121" t="s">
        <v>72</v>
      </c>
      <c r="BT30" s="251"/>
      <c r="BU30" s="98"/>
      <c r="BV30" s="98"/>
      <c r="BW30" s="98"/>
      <c r="BX30" s="108"/>
      <c r="BY30" s="123" t="s">
        <v>102</v>
      </c>
      <c r="BZ30" s="98"/>
      <c r="CA30" s="98"/>
      <c r="CB30" s="98"/>
      <c r="CC30" s="122"/>
      <c r="CD30" s="101"/>
      <c r="CE30" s="93"/>
      <c r="CF30" s="74"/>
      <c r="CG30" s="210"/>
      <c r="CH30" s="194"/>
      <c r="CI30" s="194"/>
      <c r="CJ30" s="194"/>
    </row>
    <row r="31" spans="1:118" s="3" customFormat="1" ht="19.5" customHeight="1">
      <c r="A31" s="207"/>
      <c r="B31" s="80"/>
      <c r="C31" s="129"/>
      <c r="D31" s="346" t="s">
        <v>78</v>
      </c>
      <c r="E31" s="347"/>
      <c r="F31" s="348"/>
      <c r="G31" s="108"/>
      <c r="H31" s="149" t="s">
        <v>214</v>
      </c>
      <c r="I31" s="98"/>
      <c r="J31" s="98"/>
      <c r="K31" s="98"/>
      <c r="L31" s="98"/>
      <c r="M31" s="98"/>
      <c r="N31" s="98"/>
      <c r="O31" s="107"/>
      <c r="P31" s="148" t="s">
        <v>187</v>
      </c>
      <c r="Q31" s="123"/>
      <c r="R31" s="123"/>
      <c r="S31" s="251"/>
      <c r="T31" s="98"/>
      <c r="U31" s="121"/>
      <c r="V31" s="98"/>
      <c r="W31" s="98"/>
      <c r="X31" s="121"/>
      <c r="Y31" s="251"/>
      <c r="Z31" s="107"/>
      <c r="AA31" s="98"/>
      <c r="AB31" s="121" t="s">
        <v>145</v>
      </c>
      <c r="AC31" s="98"/>
      <c r="AD31" s="98"/>
      <c r="AE31" s="98"/>
      <c r="AF31" s="98"/>
      <c r="AG31" s="108"/>
      <c r="AH31" s="121" t="s">
        <v>188</v>
      </c>
      <c r="AI31" s="98"/>
      <c r="AJ31" s="105"/>
      <c r="AK31" s="121"/>
      <c r="AL31" s="105"/>
      <c r="AM31" s="105"/>
      <c r="AN31" s="105"/>
      <c r="AO31" s="105"/>
      <c r="AP31" s="105"/>
      <c r="AQ31" s="121"/>
      <c r="AR31" s="121"/>
      <c r="AS31" s="152"/>
      <c r="AT31" s="105"/>
      <c r="AU31" s="121" t="s">
        <v>121</v>
      </c>
      <c r="AV31" s="121"/>
      <c r="AW31" s="121"/>
      <c r="AX31" s="121"/>
      <c r="AY31" s="121"/>
      <c r="AZ31" s="121"/>
      <c r="BA31" s="121"/>
      <c r="BB31" s="121"/>
      <c r="BC31" s="121"/>
      <c r="BD31" s="121"/>
      <c r="BE31" s="251"/>
      <c r="BF31" s="251"/>
      <c r="BG31" s="121"/>
      <c r="BH31" s="121"/>
      <c r="BI31" s="121"/>
      <c r="BJ31" s="251"/>
      <c r="BK31" s="121"/>
      <c r="BL31" s="121"/>
      <c r="BM31" s="122"/>
      <c r="BN31" s="250"/>
      <c r="BO31" s="121" t="s">
        <v>71</v>
      </c>
      <c r="BP31" s="121"/>
      <c r="BQ31" s="121"/>
      <c r="BR31" s="250"/>
      <c r="BS31" s="121" t="s">
        <v>72</v>
      </c>
      <c r="BT31" s="251"/>
      <c r="BU31" s="98"/>
      <c r="BV31" s="98"/>
      <c r="BW31" s="98"/>
      <c r="BX31" s="108"/>
      <c r="BY31" s="123" t="s">
        <v>102</v>
      </c>
      <c r="BZ31" s="98"/>
      <c r="CA31" s="98"/>
      <c r="CB31" s="98"/>
      <c r="CC31" s="122"/>
      <c r="CD31" s="101"/>
      <c r="CE31" s="93"/>
      <c r="CF31" s="74"/>
      <c r="CG31" s="210"/>
      <c r="CH31" s="194"/>
      <c r="CI31" s="194"/>
      <c r="CJ31" s="194"/>
    </row>
    <row r="32" spans="1:118" s="3" customFormat="1" ht="19.5" customHeight="1">
      <c r="A32" s="207"/>
      <c r="B32" s="80"/>
      <c r="C32" s="129"/>
      <c r="D32" s="346" t="s">
        <v>78</v>
      </c>
      <c r="E32" s="347"/>
      <c r="F32" s="348"/>
      <c r="G32" s="108"/>
      <c r="H32" s="149" t="s">
        <v>214</v>
      </c>
      <c r="I32" s="98"/>
      <c r="J32" s="98"/>
      <c r="K32" s="98"/>
      <c r="L32" s="98"/>
      <c r="M32" s="98"/>
      <c r="N32" s="98"/>
      <c r="O32" s="107"/>
      <c r="P32" s="148" t="s">
        <v>187</v>
      </c>
      <c r="Q32" s="123"/>
      <c r="R32" s="123"/>
      <c r="S32" s="251"/>
      <c r="T32" s="98"/>
      <c r="U32" s="121"/>
      <c r="V32" s="98"/>
      <c r="W32" s="98"/>
      <c r="X32" s="121"/>
      <c r="Y32" s="251"/>
      <c r="Z32" s="107"/>
      <c r="AA32" s="98"/>
      <c r="AB32" s="121" t="s">
        <v>145</v>
      </c>
      <c r="AC32" s="98"/>
      <c r="AD32" s="98"/>
      <c r="AE32" s="98"/>
      <c r="AF32" s="98"/>
      <c r="AG32" s="108"/>
      <c r="AH32" s="121" t="s">
        <v>188</v>
      </c>
      <c r="AI32" s="98"/>
      <c r="AJ32" s="105"/>
      <c r="AK32" s="121"/>
      <c r="AL32" s="105"/>
      <c r="AM32" s="105"/>
      <c r="AN32" s="105"/>
      <c r="AO32" s="105"/>
      <c r="AP32" s="105"/>
      <c r="AQ32" s="121"/>
      <c r="AR32" s="121"/>
      <c r="AS32" s="152"/>
      <c r="AT32" s="105"/>
      <c r="AU32" s="121" t="s">
        <v>121</v>
      </c>
      <c r="AV32" s="121"/>
      <c r="AW32" s="121"/>
      <c r="AX32" s="121"/>
      <c r="AY32" s="121"/>
      <c r="AZ32" s="121"/>
      <c r="BA32" s="121"/>
      <c r="BB32" s="121"/>
      <c r="BC32" s="121"/>
      <c r="BD32" s="121"/>
      <c r="BE32" s="251"/>
      <c r="BF32" s="251"/>
      <c r="BG32" s="121"/>
      <c r="BH32" s="121"/>
      <c r="BI32" s="121"/>
      <c r="BJ32" s="251"/>
      <c r="BK32" s="121"/>
      <c r="BL32" s="121"/>
      <c r="BM32" s="122"/>
      <c r="BN32" s="250"/>
      <c r="BO32" s="121" t="s">
        <v>71</v>
      </c>
      <c r="BP32" s="121"/>
      <c r="BQ32" s="121"/>
      <c r="BR32" s="250"/>
      <c r="BS32" s="121" t="s">
        <v>72</v>
      </c>
      <c r="BT32" s="251"/>
      <c r="BU32" s="98"/>
      <c r="BV32" s="98"/>
      <c r="BW32" s="98"/>
      <c r="BX32" s="108"/>
      <c r="BY32" s="123" t="s">
        <v>102</v>
      </c>
      <c r="BZ32" s="98"/>
      <c r="CA32" s="98"/>
      <c r="CB32" s="98"/>
      <c r="CC32" s="122"/>
      <c r="CD32" s="101"/>
      <c r="CE32" s="93"/>
      <c r="CF32" s="74"/>
      <c r="CG32" s="210"/>
      <c r="CH32" s="194"/>
      <c r="CI32" s="194"/>
      <c r="CJ32" s="194"/>
    </row>
    <row r="33" spans="1:88" s="3" customFormat="1" ht="19.5" customHeight="1">
      <c r="A33" s="207"/>
      <c r="B33" s="80"/>
      <c r="C33" s="129"/>
      <c r="D33" s="346" t="s">
        <v>78</v>
      </c>
      <c r="E33" s="347"/>
      <c r="F33" s="348"/>
      <c r="G33" s="108"/>
      <c r="H33" s="149" t="s">
        <v>214</v>
      </c>
      <c r="I33" s="98"/>
      <c r="J33" s="98"/>
      <c r="K33" s="98"/>
      <c r="L33" s="98"/>
      <c r="M33" s="98"/>
      <c r="N33" s="98"/>
      <c r="O33" s="107"/>
      <c r="P33" s="148" t="s">
        <v>187</v>
      </c>
      <c r="Q33" s="123"/>
      <c r="R33" s="123"/>
      <c r="S33" s="251"/>
      <c r="T33" s="98"/>
      <c r="U33" s="121"/>
      <c r="V33" s="98"/>
      <c r="W33" s="98"/>
      <c r="X33" s="121"/>
      <c r="Y33" s="251"/>
      <c r="Z33" s="107"/>
      <c r="AA33" s="98"/>
      <c r="AB33" s="121" t="s">
        <v>145</v>
      </c>
      <c r="AC33" s="98"/>
      <c r="AD33" s="98"/>
      <c r="AE33" s="98"/>
      <c r="AF33" s="98"/>
      <c r="AG33" s="108"/>
      <c r="AH33" s="121" t="s">
        <v>188</v>
      </c>
      <c r="AI33" s="98"/>
      <c r="AJ33" s="105"/>
      <c r="AK33" s="121"/>
      <c r="AL33" s="105"/>
      <c r="AM33" s="105"/>
      <c r="AN33" s="105"/>
      <c r="AO33" s="105"/>
      <c r="AP33" s="105"/>
      <c r="AQ33" s="121"/>
      <c r="AR33" s="121"/>
      <c r="AS33" s="152"/>
      <c r="AT33" s="105"/>
      <c r="AU33" s="121" t="s">
        <v>121</v>
      </c>
      <c r="AV33" s="121"/>
      <c r="AW33" s="121"/>
      <c r="AX33" s="121"/>
      <c r="AY33" s="121"/>
      <c r="AZ33" s="121"/>
      <c r="BA33" s="121"/>
      <c r="BB33" s="121"/>
      <c r="BC33" s="121"/>
      <c r="BD33" s="121"/>
      <c r="BE33" s="251"/>
      <c r="BF33" s="251"/>
      <c r="BG33" s="121"/>
      <c r="BH33" s="121"/>
      <c r="BI33" s="121"/>
      <c r="BJ33" s="251"/>
      <c r="BK33" s="121"/>
      <c r="BL33" s="121"/>
      <c r="BM33" s="122"/>
      <c r="BN33" s="250"/>
      <c r="BO33" s="121" t="s">
        <v>71</v>
      </c>
      <c r="BP33" s="121"/>
      <c r="BQ33" s="121"/>
      <c r="BR33" s="250"/>
      <c r="BS33" s="121" t="s">
        <v>72</v>
      </c>
      <c r="BT33" s="251"/>
      <c r="BU33" s="98"/>
      <c r="BV33" s="98"/>
      <c r="BW33" s="98"/>
      <c r="BX33" s="108"/>
      <c r="BY33" s="123" t="s">
        <v>102</v>
      </c>
      <c r="BZ33" s="98"/>
      <c r="CA33" s="98"/>
      <c r="CB33" s="98"/>
      <c r="CC33" s="122"/>
      <c r="CD33" s="101"/>
      <c r="CE33" s="93"/>
      <c r="CF33" s="74"/>
      <c r="CG33" s="210"/>
      <c r="CH33" s="194"/>
      <c r="CI33" s="194"/>
      <c r="CJ33" s="194"/>
    </row>
    <row r="34" spans="1:88" s="3" customFormat="1" ht="19.5" customHeight="1">
      <c r="A34" s="207"/>
      <c r="B34" s="80"/>
      <c r="C34" s="129"/>
      <c r="D34" s="346" t="s">
        <v>78</v>
      </c>
      <c r="E34" s="347"/>
      <c r="F34" s="348"/>
      <c r="G34" s="108"/>
      <c r="H34" s="149" t="s">
        <v>214</v>
      </c>
      <c r="I34" s="98"/>
      <c r="J34" s="98"/>
      <c r="K34" s="98"/>
      <c r="L34" s="98"/>
      <c r="M34" s="98"/>
      <c r="N34" s="98"/>
      <c r="O34" s="107"/>
      <c r="P34" s="148" t="s">
        <v>187</v>
      </c>
      <c r="Q34" s="123"/>
      <c r="R34" s="123"/>
      <c r="S34" s="251"/>
      <c r="T34" s="98"/>
      <c r="U34" s="121"/>
      <c r="V34" s="98"/>
      <c r="W34" s="98"/>
      <c r="X34" s="121"/>
      <c r="Y34" s="251"/>
      <c r="Z34" s="107"/>
      <c r="AA34" s="98"/>
      <c r="AB34" s="121" t="s">
        <v>145</v>
      </c>
      <c r="AC34" s="98"/>
      <c r="AD34" s="98"/>
      <c r="AE34" s="98"/>
      <c r="AF34" s="98"/>
      <c r="AG34" s="108"/>
      <c r="AH34" s="121" t="s">
        <v>188</v>
      </c>
      <c r="AI34" s="98"/>
      <c r="AJ34" s="105"/>
      <c r="AK34" s="121"/>
      <c r="AL34" s="105"/>
      <c r="AM34" s="105"/>
      <c r="AN34" s="105"/>
      <c r="AO34" s="105"/>
      <c r="AP34" s="105"/>
      <c r="AQ34" s="121"/>
      <c r="AR34" s="121"/>
      <c r="AS34" s="152"/>
      <c r="AT34" s="105"/>
      <c r="AU34" s="121" t="s">
        <v>121</v>
      </c>
      <c r="AV34" s="121"/>
      <c r="AW34" s="121"/>
      <c r="AX34" s="121"/>
      <c r="AY34" s="121"/>
      <c r="AZ34" s="121"/>
      <c r="BA34" s="121"/>
      <c r="BB34" s="121"/>
      <c r="BC34" s="121"/>
      <c r="BD34" s="121"/>
      <c r="BE34" s="251"/>
      <c r="BF34" s="251"/>
      <c r="BG34" s="121"/>
      <c r="BH34" s="121"/>
      <c r="BI34" s="121"/>
      <c r="BJ34" s="251"/>
      <c r="BK34" s="121"/>
      <c r="BL34" s="121"/>
      <c r="BM34" s="122"/>
      <c r="BN34" s="250"/>
      <c r="BO34" s="121" t="s">
        <v>71</v>
      </c>
      <c r="BP34" s="121"/>
      <c r="BQ34" s="121"/>
      <c r="BR34" s="250"/>
      <c r="BS34" s="121" t="s">
        <v>72</v>
      </c>
      <c r="BT34" s="251"/>
      <c r="BU34" s="98"/>
      <c r="BV34" s="98"/>
      <c r="BW34" s="98"/>
      <c r="BX34" s="108"/>
      <c r="BY34" s="123" t="s">
        <v>102</v>
      </c>
      <c r="BZ34" s="98"/>
      <c r="CA34" s="98"/>
      <c r="CB34" s="98"/>
      <c r="CC34" s="122"/>
      <c r="CD34" s="129"/>
      <c r="CE34" s="93"/>
      <c r="CF34" s="74"/>
      <c r="CG34" s="210"/>
      <c r="CH34" s="194"/>
      <c r="CI34" s="194"/>
      <c r="CJ34" s="194"/>
    </row>
    <row r="35" spans="1:88" s="3" customFormat="1" ht="19.5" customHeight="1">
      <c r="A35" s="207"/>
      <c r="B35" s="80"/>
      <c r="C35" s="129"/>
      <c r="D35" s="346" t="s">
        <v>78</v>
      </c>
      <c r="E35" s="347"/>
      <c r="F35" s="348"/>
      <c r="G35" s="108"/>
      <c r="H35" s="149" t="s">
        <v>214</v>
      </c>
      <c r="I35" s="98"/>
      <c r="J35" s="98"/>
      <c r="K35" s="98"/>
      <c r="L35" s="98"/>
      <c r="M35" s="98"/>
      <c r="N35" s="98"/>
      <c r="O35" s="107"/>
      <c r="P35" s="148" t="s">
        <v>187</v>
      </c>
      <c r="Q35" s="123"/>
      <c r="R35" s="123"/>
      <c r="S35" s="251"/>
      <c r="T35" s="98"/>
      <c r="U35" s="121"/>
      <c r="V35" s="98"/>
      <c r="W35" s="98"/>
      <c r="X35" s="121"/>
      <c r="Y35" s="251"/>
      <c r="Z35" s="107"/>
      <c r="AA35" s="98"/>
      <c r="AB35" s="121" t="s">
        <v>145</v>
      </c>
      <c r="AC35" s="98"/>
      <c r="AD35" s="98"/>
      <c r="AE35" s="98"/>
      <c r="AF35" s="98"/>
      <c r="AG35" s="108"/>
      <c r="AH35" s="121" t="s">
        <v>188</v>
      </c>
      <c r="AI35" s="98"/>
      <c r="AJ35" s="105"/>
      <c r="AK35" s="121"/>
      <c r="AL35" s="105"/>
      <c r="AM35" s="105"/>
      <c r="AN35" s="105"/>
      <c r="AO35" s="105"/>
      <c r="AP35" s="105"/>
      <c r="AQ35" s="121"/>
      <c r="AR35" s="121"/>
      <c r="AS35" s="152"/>
      <c r="AT35" s="105"/>
      <c r="AU35" s="121" t="s">
        <v>121</v>
      </c>
      <c r="AV35" s="121"/>
      <c r="AW35" s="121"/>
      <c r="AX35" s="121"/>
      <c r="AY35" s="121"/>
      <c r="AZ35" s="121"/>
      <c r="BA35" s="121"/>
      <c r="BB35" s="121"/>
      <c r="BC35" s="121"/>
      <c r="BD35" s="121"/>
      <c r="BE35" s="251"/>
      <c r="BF35" s="251"/>
      <c r="BG35" s="121"/>
      <c r="BH35" s="121"/>
      <c r="BI35" s="121"/>
      <c r="BJ35" s="251"/>
      <c r="BK35" s="121"/>
      <c r="BL35" s="121"/>
      <c r="BM35" s="122"/>
      <c r="BN35" s="250"/>
      <c r="BO35" s="121" t="s">
        <v>71</v>
      </c>
      <c r="BP35" s="121"/>
      <c r="BQ35" s="121"/>
      <c r="BR35" s="250"/>
      <c r="BS35" s="121" t="s">
        <v>72</v>
      </c>
      <c r="BT35" s="251"/>
      <c r="BU35" s="98"/>
      <c r="BV35" s="98"/>
      <c r="BW35" s="98"/>
      <c r="BX35" s="108"/>
      <c r="BY35" s="123" t="s">
        <v>102</v>
      </c>
      <c r="BZ35" s="98"/>
      <c r="CA35" s="98"/>
      <c r="CB35" s="98"/>
      <c r="CC35" s="122"/>
      <c r="CD35" s="129"/>
      <c r="CE35" s="93"/>
      <c r="CF35" s="74"/>
      <c r="CG35" s="210"/>
      <c r="CH35" s="194"/>
      <c r="CI35" s="194"/>
      <c r="CJ35" s="194"/>
    </row>
    <row r="36" spans="1:88" s="3" customFormat="1" ht="19.5" customHeight="1">
      <c r="A36" s="207"/>
      <c r="B36" s="80"/>
      <c r="C36" s="101"/>
      <c r="D36" s="346" t="s">
        <v>78</v>
      </c>
      <c r="E36" s="347"/>
      <c r="F36" s="348"/>
      <c r="G36" s="108"/>
      <c r="H36" s="149" t="s">
        <v>214</v>
      </c>
      <c r="I36" s="98"/>
      <c r="J36" s="98"/>
      <c r="K36" s="98"/>
      <c r="L36" s="98"/>
      <c r="M36" s="98"/>
      <c r="N36" s="98"/>
      <c r="O36" s="107"/>
      <c r="P36" s="148" t="s">
        <v>187</v>
      </c>
      <c r="Q36" s="123"/>
      <c r="R36" s="123"/>
      <c r="S36" s="251"/>
      <c r="T36" s="98"/>
      <c r="U36" s="121"/>
      <c r="V36" s="98"/>
      <c r="W36" s="98"/>
      <c r="X36" s="121"/>
      <c r="Y36" s="251"/>
      <c r="Z36" s="107"/>
      <c r="AA36" s="98"/>
      <c r="AB36" s="121" t="s">
        <v>145</v>
      </c>
      <c r="AC36" s="98"/>
      <c r="AD36" s="98"/>
      <c r="AE36" s="98"/>
      <c r="AF36" s="98"/>
      <c r="AG36" s="108"/>
      <c r="AH36" s="121" t="s">
        <v>188</v>
      </c>
      <c r="AI36" s="98"/>
      <c r="AJ36" s="105"/>
      <c r="AK36" s="121"/>
      <c r="AL36" s="105"/>
      <c r="AM36" s="105"/>
      <c r="AN36" s="105"/>
      <c r="AO36" s="105"/>
      <c r="AP36" s="105"/>
      <c r="AQ36" s="121"/>
      <c r="AR36" s="121"/>
      <c r="AS36" s="152"/>
      <c r="AT36" s="105"/>
      <c r="AU36" s="121" t="s">
        <v>121</v>
      </c>
      <c r="AV36" s="121"/>
      <c r="AW36" s="121"/>
      <c r="AX36" s="121"/>
      <c r="AY36" s="121"/>
      <c r="AZ36" s="121"/>
      <c r="BA36" s="121"/>
      <c r="BB36" s="121"/>
      <c r="BC36" s="121"/>
      <c r="BD36" s="121"/>
      <c r="BE36" s="251"/>
      <c r="BF36" s="251"/>
      <c r="BG36" s="121"/>
      <c r="BH36" s="121"/>
      <c r="BI36" s="121"/>
      <c r="BJ36" s="251"/>
      <c r="BK36" s="121"/>
      <c r="BL36" s="121"/>
      <c r="BM36" s="122"/>
      <c r="BN36" s="250"/>
      <c r="BO36" s="121" t="s">
        <v>71</v>
      </c>
      <c r="BP36" s="121"/>
      <c r="BQ36" s="121"/>
      <c r="BR36" s="250"/>
      <c r="BS36" s="121" t="s">
        <v>72</v>
      </c>
      <c r="BT36" s="251"/>
      <c r="BU36" s="98"/>
      <c r="BV36" s="98"/>
      <c r="BW36" s="98"/>
      <c r="BX36" s="108"/>
      <c r="BY36" s="123" t="s">
        <v>102</v>
      </c>
      <c r="BZ36" s="98"/>
      <c r="CA36" s="98"/>
      <c r="CB36" s="98"/>
      <c r="CC36" s="122"/>
      <c r="CD36" s="101"/>
      <c r="CE36" s="93"/>
      <c r="CF36" s="74"/>
      <c r="CG36" s="210"/>
      <c r="CH36" s="194"/>
      <c r="CI36" s="194"/>
      <c r="CJ36" s="194"/>
    </row>
    <row r="37" spans="1:88" s="3" customFormat="1" ht="19.5" customHeight="1">
      <c r="A37" s="207"/>
      <c r="B37" s="80"/>
      <c r="C37" s="101"/>
      <c r="D37" s="346" t="s">
        <v>78</v>
      </c>
      <c r="E37" s="347"/>
      <c r="F37" s="348"/>
      <c r="G37" s="108"/>
      <c r="H37" s="149" t="s">
        <v>214</v>
      </c>
      <c r="I37" s="98"/>
      <c r="J37" s="98"/>
      <c r="K37" s="98"/>
      <c r="L37" s="98"/>
      <c r="M37" s="98"/>
      <c r="N37" s="98"/>
      <c r="O37" s="107"/>
      <c r="P37" s="148" t="s">
        <v>187</v>
      </c>
      <c r="Q37" s="123"/>
      <c r="R37" s="123"/>
      <c r="S37" s="251"/>
      <c r="T37" s="98"/>
      <c r="U37" s="121"/>
      <c r="V37" s="98"/>
      <c r="W37" s="98"/>
      <c r="X37" s="98"/>
      <c r="Y37" s="98"/>
      <c r="Z37" s="107"/>
      <c r="AA37" s="98"/>
      <c r="AB37" s="121" t="s">
        <v>145</v>
      </c>
      <c r="AC37" s="98"/>
      <c r="AD37" s="98"/>
      <c r="AE37" s="98"/>
      <c r="AF37" s="98"/>
      <c r="AG37" s="108"/>
      <c r="AH37" s="121" t="s">
        <v>188</v>
      </c>
      <c r="AI37" s="98"/>
      <c r="AJ37" s="105"/>
      <c r="AK37" s="98"/>
      <c r="AL37" s="105"/>
      <c r="AM37" s="105"/>
      <c r="AN37" s="105"/>
      <c r="AO37" s="105"/>
      <c r="AP37" s="105"/>
      <c r="AQ37" s="121"/>
      <c r="AR37" s="121"/>
      <c r="AS37" s="152"/>
      <c r="AT37" s="105"/>
      <c r="AU37" s="121" t="s">
        <v>121</v>
      </c>
      <c r="AV37" s="121"/>
      <c r="AW37" s="121"/>
      <c r="AX37" s="121"/>
      <c r="AY37" s="121"/>
      <c r="AZ37" s="121"/>
      <c r="BA37" s="121"/>
      <c r="BB37" s="121"/>
      <c r="BC37" s="121"/>
      <c r="BD37" s="121"/>
      <c r="BE37" s="98"/>
      <c r="BF37" s="98"/>
      <c r="BG37" s="121"/>
      <c r="BH37" s="98"/>
      <c r="BI37" s="98"/>
      <c r="BJ37" s="98"/>
      <c r="BK37" s="121"/>
      <c r="BL37" s="98"/>
      <c r="BM37" s="107"/>
      <c r="BN37" s="108"/>
      <c r="BO37" s="121" t="s">
        <v>71</v>
      </c>
      <c r="BP37" s="98"/>
      <c r="BQ37" s="98"/>
      <c r="BR37" s="108"/>
      <c r="BS37" s="121" t="s">
        <v>72</v>
      </c>
      <c r="BT37" s="98"/>
      <c r="BU37" s="98"/>
      <c r="BV37" s="98"/>
      <c r="BW37" s="98"/>
      <c r="BX37" s="108"/>
      <c r="BY37" s="123" t="s">
        <v>102</v>
      </c>
      <c r="BZ37" s="98"/>
      <c r="CA37" s="98"/>
      <c r="CB37" s="98"/>
      <c r="CC37" s="107"/>
      <c r="CD37" s="101"/>
      <c r="CE37" s="93"/>
      <c r="CF37" s="74"/>
      <c r="CG37" s="210"/>
      <c r="CH37" s="194"/>
      <c r="CI37" s="194"/>
      <c r="CJ37" s="194"/>
    </row>
    <row r="38" spans="1:88" s="3" customFormat="1" ht="19.5" customHeight="1">
      <c r="A38" s="207"/>
      <c r="B38" s="80"/>
      <c r="C38" s="101"/>
      <c r="D38" s="346" t="s">
        <v>78</v>
      </c>
      <c r="E38" s="347"/>
      <c r="F38" s="348"/>
      <c r="G38" s="108"/>
      <c r="H38" s="149" t="s">
        <v>214</v>
      </c>
      <c r="I38" s="98"/>
      <c r="J38" s="98"/>
      <c r="K38" s="98"/>
      <c r="L38" s="98"/>
      <c r="M38" s="98"/>
      <c r="N38" s="98"/>
      <c r="O38" s="107"/>
      <c r="P38" s="148" t="s">
        <v>187</v>
      </c>
      <c r="Q38" s="123"/>
      <c r="R38" s="123"/>
      <c r="S38" s="251"/>
      <c r="T38" s="98"/>
      <c r="U38" s="121"/>
      <c r="V38" s="98"/>
      <c r="W38" s="98"/>
      <c r="X38" s="98"/>
      <c r="Y38" s="98"/>
      <c r="Z38" s="107"/>
      <c r="AA38" s="98"/>
      <c r="AB38" s="121" t="s">
        <v>145</v>
      </c>
      <c r="AC38" s="98"/>
      <c r="AD38" s="98"/>
      <c r="AE38" s="98"/>
      <c r="AF38" s="98"/>
      <c r="AG38" s="108"/>
      <c r="AH38" s="121" t="s">
        <v>188</v>
      </c>
      <c r="AI38" s="98"/>
      <c r="AJ38" s="105"/>
      <c r="AK38" s="98"/>
      <c r="AL38" s="105"/>
      <c r="AM38" s="105"/>
      <c r="AN38" s="105"/>
      <c r="AO38" s="105"/>
      <c r="AP38" s="105"/>
      <c r="AQ38" s="121"/>
      <c r="AR38" s="112"/>
      <c r="AS38" s="99"/>
      <c r="AT38" s="105"/>
      <c r="AU38" s="121" t="s">
        <v>121</v>
      </c>
      <c r="AV38" s="112"/>
      <c r="AW38" s="98"/>
      <c r="AX38" s="98"/>
      <c r="AY38" s="98"/>
      <c r="AZ38" s="98"/>
      <c r="BA38" s="98"/>
      <c r="BB38" s="98"/>
      <c r="BC38" s="98"/>
      <c r="BD38" s="98"/>
      <c r="BE38" s="98"/>
      <c r="BF38" s="98"/>
      <c r="BG38" s="121"/>
      <c r="BH38" s="98"/>
      <c r="BI38" s="98"/>
      <c r="BJ38" s="98"/>
      <c r="BK38" s="121"/>
      <c r="BL38" s="98"/>
      <c r="BM38" s="107"/>
      <c r="BN38" s="108"/>
      <c r="BO38" s="121" t="s">
        <v>71</v>
      </c>
      <c r="BP38" s="98"/>
      <c r="BQ38" s="98"/>
      <c r="BR38" s="108"/>
      <c r="BS38" s="121" t="s">
        <v>72</v>
      </c>
      <c r="BT38" s="98"/>
      <c r="BU38" s="98"/>
      <c r="BV38" s="98"/>
      <c r="BW38" s="98"/>
      <c r="BX38" s="108"/>
      <c r="BY38" s="123" t="s">
        <v>102</v>
      </c>
      <c r="BZ38" s="98"/>
      <c r="CA38" s="98"/>
      <c r="CB38" s="98"/>
      <c r="CC38" s="107"/>
      <c r="CD38" s="101"/>
      <c r="CE38" s="93"/>
      <c r="CF38" s="74"/>
      <c r="CG38" s="210"/>
      <c r="CH38" s="194"/>
      <c r="CI38" s="194"/>
      <c r="CJ38" s="194"/>
    </row>
    <row r="39" spans="1:88" s="3" customFormat="1" ht="19.5" customHeight="1">
      <c r="A39" s="207"/>
      <c r="B39" s="80"/>
      <c r="C39" s="101"/>
      <c r="D39" s="346" t="s">
        <v>78</v>
      </c>
      <c r="E39" s="347"/>
      <c r="F39" s="348"/>
      <c r="G39" s="108"/>
      <c r="H39" s="149" t="s">
        <v>214</v>
      </c>
      <c r="I39" s="98"/>
      <c r="J39" s="98"/>
      <c r="K39" s="98"/>
      <c r="L39" s="98"/>
      <c r="M39" s="98"/>
      <c r="N39" s="98"/>
      <c r="O39" s="107"/>
      <c r="P39" s="148" t="s">
        <v>187</v>
      </c>
      <c r="Q39" s="123"/>
      <c r="R39" s="123"/>
      <c r="S39" s="251"/>
      <c r="T39" s="98"/>
      <c r="U39" s="121"/>
      <c r="V39" s="98"/>
      <c r="W39" s="98"/>
      <c r="X39" s="98"/>
      <c r="Y39" s="98"/>
      <c r="Z39" s="107"/>
      <c r="AA39" s="98"/>
      <c r="AB39" s="121" t="s">
        <v>145</v>
      </c>
      <c r="AC39" s="98"/>
      <c r="AD39" s="98"/>
      <c r="AE39" s="98"/>
      <c r="AF39" s="98"/>
      <c r="AG39" s="108"/>
      <c r="AH39" s="121" t="s">
        <v>188</v>
      </c>
      <c r="AI39" s="98"/>
      <c r="AJ39" s="105"/>
      <c r="AK39" s="98"/>
      <c r="AL39" s="105"/>
      <c r="AM39" s="105"/>
      <c r="AN39" s="105"/>
      <c r="AO39" s="105"/>
      <c r="AP39" s="105"/>
      <c r="AQ39" s="121"/>
      <c r="AR39" s="112"/>
      <c r="AS39" s="99"/>
      <c r="AT39" s="105"/>
      <c r="AU39" s="121" t="s">
        <v>121</v>
      </c>
      <c r="AV39" s="112"/>
      <c r="AW39" s="98"/>
      <c r="AX39" s="98"/>
      <c r="AY39" s="98"/>
      <c r="AZ39" s="98"/>
      <c r="BA39" s="98"/>
      <c r="BB39" s="98"/>
      <c r="BC39" s="98"/>
      <c r="BD39" s="98"/>
      <c r="BE39" s="98"/>
      <c r="BF39" s="98"/>
      <c r="BG39" s="121"/>
      <c r="BH39" s="98"/>
      <c r="BI39" s="98"/>
      <c r="BJ39" s="98"/>
      <c r="BK39" s="121"/>
      <c r="BL39" s="98"/>
      <c r="BM39" s="107"/>
      <c r="BN39" s="108"/>
      <c r="BO39" s="121" t="s">
        <v>71</v>
      </c>
      <c r="BP39" s="98"/>
      <c r="BQ39" s="98"/>
      <c r="BR39" s="108"/>
      <c r="BS39" s="121" t="s">
        <v>72</v>
      </c>
      <c r="BT39" s="98"/>
      <c r="BU39" s="98"/>
      <c r="BV39" s="98"/>
      <c r="BW39" s="98"/>
      <c r="BX39" s="108"/>
      <c r="BY39" s="123" t="s">
        <v>102</v>
      </c>
      <c r="BZ39" s="98"/>
      <c r="CA39" s="98"/>
      <c r="CB39" s="98"/>
      <c r="CC39" s="107"/>
      <c r="CD39" s="101"/>
      <c r="CE39" s="93"/>
      <c r="CF39" s="74"/>
      <c r="CG39" s="210"/>
      <c r="CH39" s="194"/>
      <c r="CI39" s="194"/>
      <c r="CJ39" s="194"/>
    </row>
    <row r="40" spans="1:88" s="3" customFormat="1" ht="19.5" customHeight="1">
      <c r="A40" s="207"/>
      <c r="B40" s="80"/>
      <c r="C40" s="101"/>
      <c r="D40" s="346" t="s">
        <v>78</v>
      </c>
      <c r="E40" s="347"/>
      <c r="F40" s="348"/>
      <c r="G40" s="108"/>
      <c r="H40" s="149" t="s">
        <v>214</v>
      </c>
      <c r="I40" s="98"/>
      <c r="J40" s="98"/>
      <c r="K40" s="98"/>
      <c r="L40" s="98"/>
      <c r="M40" s="98"/>
      <c r="N40" s="98"/>
      <c r="O40" s="107"/>
      <c r="P40" s="148" t="s">
        <v>187</v>
      </c>
      <c r="Q40" s="123"/>
      <c r="R40" s="123"/>
      <c r="S40" s="251"/>
      <c r="T40" s="98"/>
      <c r="U40" s="121"/>
      <c r="V40" s="98"/>
      <c r="W40" s="98"/>
      <c r="X40" s="98"/>
      <c r="Y40" s="98"/>
      <c r="Z40" s="107"/>
      <c r="AA40" s="98"/>
      <c r="AB40" s="121" t="s">
        <v>145</v>
      </c>
      <c r="AC40" s="98"/>
      <c r="AD40" s="98"/>
      <c r="AE40" s="98"/>
      <c r="AF40" s="98"/>
      <c r="AG40" s="108"/>
      <c r="AH40" s="121" t="s">
        <v>188</v>
      </c>
      <c r="AI40" s="98"/>
      <c r="AJ40" s="105"/>
      <c r="AK40" s="98"/>
      <c r="AL40" s="105"/>
      <c r="AM40" s="105"/>
      <c r="AN40" s="105"/>
      <c r="AO40" s="105"/>
      <c r="AP40" s="105"/>
      <c r="AQ40" s="121"/>
      <c r="AR40" s="112"/>
      <c r="AS40" s="99"/>
      <c r="AT40" s="105"/>
      <c r="AU40" s="121" t="s">
        <v>121</v>
      </c>
      <c r="AV40" s="112"/>
      <c r="AW40" s="98"/>
      <c r="AX40" s="98"/>
      <c r="AY40" s="98"/>
      <c r="AZ40" s="98"/>
      <c r="BA40" s="98"/>
      <c r="BB40" s="98"/>
      <c r="BC40" s="98"/>
      <c r="BD40" s="98"/>
      <c r="BE40" s="98"/>
      <c r="BF40" s="98"/>
      <c r="BG40" s="121"/>
      <c r="BH40" s="98"/>
      <c r="BI40" s="98"/>
      <c r="BJ40" s="98"/>
      <c r="BK40" s="121"/>
      <c r="BL40" s="98"/>
      <c r="BM40" s="107"/>
      <c r="BN40" s="108"/>
      <c r="BO40" s="121" t="s">
        <v>71</v>
      </c>
      <c r="BP40" s="98"/>
      <c r="BQ40" s="98"/>
      <c r="BR40" s="108"/>
      <c r="BS40" s="121" t="s">
        <v>72</v>
      </c>
      <c r="BT40" s="98"/>
      <c r="BU40" s="98"/>
      <c r="BV40" s="98"/>
      <c r="BW40" s="98"/>
      <c r="BX40" s="108"/>
      <c r="BY40" s="123" t="s">
        <v>102</v>
      </c>
      <c r="BZ40" s="98"/>
      <c r="CA40" s="98"/>
      <c r="CB40" s="98"/>
      <c r="CC40" s="107"/>
      <c r="CD40" s="101"/>
      <c r="CE40" s="93"/>
      <c r="CF40" s="74"/>
      <c r="CG40" s="210"/>
      <c r="CH40" s="194"/>
      <c r="CI40" s="194"/>
      <c r="CJ40" s="194"/>
    </row>
    <row r="41" spans="1:88" s="3" customFormat="1" ht="19.5" customHeight="1">
      <c r="A41" s="207"/>
      <c r="B41" s="80"/>
      <c r="C41" s="101"/>
      <c r="D41" s="346" t="s">
        <v>78</v>
      </c>
      <c r="E41" s="347"/>
      <c r="F41" s="348"/>
      <c r="G41" s="96"/>
      <c r="H41" s="149" t="s">
        <v>214</v>
      </c>
      <c r="I41" s="97"/>
      <c r="J41" s="97"/>
      <c r="K41" s="98"/>
      <c r="L41" s="97"/>
      <c r="M41" s="98"/>
      <c r="N41" s="97"/>
      <c r="O41" s="99"/>
      <c r="P41" s="148" t="s">
        <v>187</v>
      </c>
      <c r="Q41" s="123"/>
      <c r="R41" s="123"/>
      <c r="S41" s="251"/>
      <c r="T41" s="97"/>
      <c r="U41" s="121"/>
      <c r="V41" s="97"/>
      <c r="W41" s="97"/>
      <c r="X41" s="97"/>
      <c r="Y41" s="97"/>
      <c r="Z41" s="99"/>
      <c r="AA41" s="97"/>
      <c r="AB41" s="121" t="s">
        <v>145</v>
      </c>
      <c r="AC41" s="97"/>
      <c r="AD41" s="97"/>
      <c r="AE41" s="97"/>
      <c r="AF41" s="97"/>
      <c r="AG41" s="96"/>
      <c r="AH41" s="121" t="s">
        <v>188</v>
      </c>
      <c r="AI41" s="97"/>
      <c r="AJ41" s="105"/>
      <c r="AK41" s="97"/>
      <c r="AL41" s="105"/>
      <c r="AM41" s="105"/>
      <c r="AN41" s="105"/>
      <c r="AO41" s="105"/>
      <c r="AP41" s="105"/>
      <c r="AQ41" s="121"/>
      <c r="AR41" s="112"/>
      <c r="AS41" s="107"/>
      <c r="AT41" s="105"/>
      <c r="AU41" s="121" t="s">
        <v>121</v>
      </c>
      <c r="AV41" s="112"/>
      <c r="AW41" s="97"/>
      <c r="AX41" s="97"/>
      <c r="AY41" s="97"/>
      <c r="AZ41" s="97"/>
      <c r="BA41" s="97"/>
      <c r="BB41" s="97"/>
      <c r="BC41" s="97"/>
      <c r="BD41" s="97"/>
      <c r="BE41" s="97"/>
      <c r="BF41" s="97"/>
      <c r="BG41" s="121"/>
      <c r="BH41" s="97"/>
      <c r="BI41" s="97"/>
      <c r="BJ41" s="97"/>
      <c r="BK41" s="121"/>
      <c r="BL41" s="97"/>
      <c r="BM41" s="99"/>
      <c r="BN41" s="96"/>
      <c r="BO41" s="121" t="s">
        <v>71</v>
      </c>
      <c r="BP41" s="97"/>
      <c r="BQ41" s="97"/>
      <c r="BR41" s="96"/>
      <c r="BS41" s="121" t="s">
        <v>72</v>
      </c>
      <c r="BT41" s="97"/>
      <c r="BU41" s="97"/>
      <c r="BV41" s="97"/>
      <c r="BW41" s="97"/>
      <c r="BX41" s="96"/>
      <c r="BY41" s="123" t="s">
        <v>102</v>
      </c>
      <c r="BZ41" s="97"/>
      <c r="CA41" s="97"/>
      <c r="CB41" s="97"/>
      <c r="CC41" s="99"/>
      <c r="CD41" s="129"/>
      <c r="CE41" s="93"/>
      <c r="CF41" s="74"/>
      <c r="CG41" s="210"/>
      <c r="CH41" s="194"/>
      <c r="CI41" s="194"/>
      <c r="CJ41" s="194"/>
    </row>
    <row r="42" spans="1:88" s="3" customFormat="1" ht="19.5" customHeight="1">
      <c r="A42" s="207"/>
      <c r="B42" s="80"/>
      <c r="C42" s="129"/>
      <c r="D42" s="349" t="s">
        <v>302</v>
      </c>
      <c r="E42" s="350"/>
      <c r="F42" s="350"/>
      <c r="G42" s="350"/>
      <c r="H42" s="350"/>
      <c r="I42" s="350"/>
      <c r="J42" s="350"/>
      <c r="K42" s="350"/>
      <c r="L42" s="350"/>
      <c r="M42" s="350"/>
      <c r="N42" s="350"/>
      <c r="O42" s="350"/>
      <c r="P42" s="350"/>
      <c r="Q42" s="350"/>
      <c r="R42" s="350"/>
      <c r="S42" s="350"/>
      <c r="T42" s="350"/>
      <c r="U42" s="350"/>
      <c r="V42" s="350"/>
      <c r="W42" s="350"/>
      <c r="X42" s="350"/>
      <c r="Y42" s="350"/>
      <c r="Z42" s="350"/>
      <c r="AA42" s="350"/>
      <c r="AB42" s="350"/>
      <c r="AC42" s="350"/>
      <c r="AD42" s="350"/>
      <c r="AE42" s="350"/>
      <c r="AF42" s="350"/>
      <c r="AG42" s="350"/>
      <c r="AH42" s="350"/>
      <c r="AI42" s="350"/>
      <c r="AJ42" s="350"/>
      <c r="AK42" s="350"/>
      <c r="AL42" s="350"/>
      <c r="AM42" s="350"/>
      <c r="AN42" s="350"/>
      <c r="AO42" s="350"/>
      <c r="AP42" s="350"/>
      <c r="AQ42" s="350"/>
      <c r="AR42" s="350"/>
      <c r="AS42" s="350"/>
      <c r="AT42" s="350"/>
      <c r="AU42" s="350"/>
      <c r="AV42" s="350"/>
      <c r="AW42" s="350"/>
      <c r="AX42" s="350"/>
      <c r="AY42" s="350"/>
      <c r="AZ42" s="350"/>
      <c r="BA42" s="350"/>
      <c r="BB42" s="350"/>
      <c r="BC42" s="350"/>
      <c r="BD42" s="350"/>
      <c r="BE42" s="350"/>
      <c r="BF42" s="350"/>
      <c r="BG42" s="350"/>
      <c r="BH42" s="350"/>
      <c r="BI42" s="350"/>
      <c r="BJ42" s="350"/>
      <c r="BK42" s="350"/>
      <c r="BL42" s="350"/>
      <c r="BM42" s="350"/>
      <c r="BN42" s="350"/>
      <c r="BO42" s="350"/>
      <c r="BP42" s="350"/>
      <c r="BQ42" s="350"/>
      <c r="BR42" s="350"/>
      <c r="BS42" s="350"/>
      <c r="BT42" s="350"/>
      <c r="BU42" s="350"/>
      <c r="BV42" s="350"/>
      <c r="BW42" s="350"/>
      <c r="BX42" s="350"/>
      <c r="BY42" s="350"/>
      <c r="BZ42" s="350"/>
      <c r="CA42" s="350"/>
      <c r="CB42" s="350"/>
      <c r="CC42" s="351"/>
      <c r="CD42" s="129"/>
      <c r="CE42" s="93"/>
      <c r="CF42" s="74"/>
      <c r="CG42" s="210"/>
      <c r="CH42" s="194"/>
      <c r="CI42" s="194"/>
      <c r="CJ42" s="194"/>
    </row>
    <row r="43" spans="1:88" s="3" customFormat="1" ht="19.5" customHeight="1">
      <c r="A43" s="207"/>
      <c r="B43" s="80"/>
      <c r="C43" s="129"/>
      <c r="D43" s="193"/>
      <c r="E43" s="193"/>
      <c r="F43" s="193"/>
      <c r="G43" s="193"/>
      <c r="H43" s="193"/>
      <c r="I43" s="193"/>
      <c r="J43" s="193"/>
      <c r="K43" s="193"/>
      <c r="L43" s="193"/>
      <c r="M43" s="193"/>
      <c r="N43" s="193"/>
      <c r="O43" s="193"/>
      <c r="P43" s="193"/>
      <c r="Q43" s="193"/>
      <c r="R43" s="193"/>
      <c r="S43" s="193"/>
      <c r="T43" s="193"/>
      <c r="U43" s="193"/>
      <c r="V43" s="193"/>
      <c r="W43" s="193"/>
      <c r="X43" s="193"/>
      <c r="Y43" s="193"/>
      <c r="Z43" s="193"/>
      <c r="AA43" s="193"/>
      <c r="AB43" s="193"/>
      <c r="AC43" s="193"/>
      <c r="AD43" s="193"/>
      <c r="AE43" s="193"/>
      <c r="AF43" s="193"/>
      <c r="AG43" s="193"/>
      <c r="AH43" s="193"/>
      <c r="AI43" s="193"/>
      <c r="AJ43" s="193"/>
      <c r="AK43" s="193"/>
      <c r="AL43" s="193"/>
      <c r="AM43" s="193"/>
      <c r="AN43" s="193"/>
      <c r="AO43" s="193"/>
      <c r="AP43" s="193"/>
      <c r="AQ43" s="193"/>
      <c r="AR43" s="193"/>
      <c r="AS43" s="193"/>
      <c r="AT43" s="193"/>
      <c r="AU43" s="193"/>
      <c r="AV43" s="193"/>
      <c r="AW43" s="193"/>
      <c r="AX43" s="193"/>
      <c r="AY43" s="193"/>
      <c r="AZ43" s="193"/>
      <c r="BA43" s="193"/>
      <c r="BB43" s="193"/>
      <c r="BC43" s="193"/>
      <c r="BD43" s="193"/>
      <c r="BE43" s="193"/>
      <c r="BF43" s="193"/>
      <c r="BG43" s="193"/>
      <c r="BH43" s="193"/>
      <c r="BI43" s="193"/>
      <c r="BJ43" s="193"/>
      <c r="BK43" s="193"/>
      <c r="BL43" s="193"/>
      <c r="BM43" s="193"/>
      <c r="BN43" s="193"/>
      <c r="BO43" s="193"/>
      <c r="BP43" s="193"/>
      <c r="BQ43" s="193"/>
      <c r="BR43" s="193"/>
      <c r="BS43" s="193"/>
      <c r="BT43" s="193"/>
      <c r="BU43" s="193"/>
      <c r="BV43" s="193"/>
      <c r="BW43" s="193"/>
      <c r="BX43" s="193"/>
      <c r="BY43" s="193"/>
      <c r="BZ43" s="193"/>
      <c r="CA43" s="193"/>
      <c r="CB43" s="193"/>
      <c r="CC43" s="193"/>
      <c r="CD43" s="129"/>
      <c r="CE43" s="93"/>
      <c r="CF43" s="74"/>
      <c r="CG43" s="210"/>
      <c r="CH43" s="194"/>
      <c r="CI43" s="194"/>
      <c r="CJ43" s="194"/>
    </row>
    <row r="44" spans="1:88" s="3" customFormat="1" ht="19.5" customHeight="1">
      <c r="A44" s="207"/>
      <c r="B44" s="80"/>
      <c r="C44" s="129"/>
      <c r="D44" s="178"/>
      <c r="E44" s="186"/>
      <c r="F44" s="186"/>
      <c r="G44" s="186"/>
      <c r="H44" s="186"/>
      <c r="I44" s="186"/>
      <c r="J44" s="186"/>
      <c r="K44" s="186"/>
      <c r="L44" s="186"/>
      <c r="M44" s="186"/>
      <c r="N44" s="186"/>
      <c r="O44" s="186"/>
      <c r="P44" s="186"/>
      <c r="Q44" s="186"/>
      <c r="R44" s="186"/>
      <c r="S44" s="186"/>
      <c r="T44" s="186"/>
      <c r="U44" s="186"/>
      <c r="V44" s="186"/>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29"/>
      <c r="CE44" s="93"/>
      <c r="CF44" s="74"/>
      <c r="CG44" s="210"/>
      <c r="CH44" s="194"/>
      <c r="CI44" s="194"/>
      <c r="CJ44" s="194"/>
    </row>
    <row r="45" spans="1:88" s="3" customFormat="1" ht="19.5" customHeight="1" thickBot="1">
      <c r="A45" s="207"/>
      <c r="B45" s="81"/>
      <c r="C45" s="82"/>
      <c r="D45" s="82"/>
      <c r="E45" s="82"/>
      <c r="F45" s="82"/>
      <c r="G45" s="82"/>
      <c r="H45" s="82"/>
      <c r="I45" s="82"/>
      <c r="J45" s="82"/>
      <c r="K45" s="82"/>
      <c r="L45" s="75"/>
      <c r="M45" s="75"/>
      <c r="N45" s="75"/>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5"/>
      <c r="CA45" s="75"/>
      <c r="CB45" s="76"/>
      <c r="CC45" s="76"/>
      <c r="CD45" s="76"/>
      <c r="CE45" s="76"/>
      <c r="CF45" s="77"/>
      <c r="CG45" s="210"/>
      <c r="CH45" s="194"/>
      <c r="CI45" s="194"/>
      <c r="CJ45" s="194"/>
    </row>
    <row r="46" spans="1:88" s="3" customFormat="1" ht="19.5" customHeight="1">
      <c r="A46" s="207"/>
      <c r="B46" s="253"/>
      <c r="C46" s="253"/>
      <c r="D46" s="254"/>
      <c r="E46" s="254"/>
      <c r="F46" s="254"/>
      <c r="G46" s="254"/>
      <c r="H46" s="254"/>
      <c r="I46" s="254"/>
      <c r="J46" s="255"/>
      <c r="K46" s="255"/>
      <c r="L46" s="255"/>
      <c r="M46" s="255"/>
      <c r="N46" s="255"/>
      <c r="O46" s="255"/>
      <c r="P46" s="255"/>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c r="AN46" s="255"/>
      <c r="AO46" s="255"/>
      <c r="AP46" s="255"/>
      <c r="AQ46" s="255"/>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5"/>
      <c r="BY46" s="254"/>
      <c r="BZ46" s="254"/>
      <c r="CA46" s="254"/>
      <c r="CB46" s="255"/>
      <c r="CC46" s="255"/>
      <c r="CD46" s="254"/>
      <c r="CE46" s="254"/>
      <c r="CF46" s="194"/>
      <c r="CG46" s="210"/>
      <c r="CH46" s="194"/>
      <c r="CI46" s="194"/>
      <c r="CJ46" s="194"/>
    </row>
    <row r="47" spans="1:88" ht="8.25" customHeight="1">
      <c r="A47" s="252"/>
      <c r="B47" s="201"/>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201"/>
      <c r="AU47" s="201"/>
      <c r="AV47" s="201"/>
      <c r="AW47" s="201"/>
      <c r="AX47" s="201"/>
      <c r="AY47" s="201"/>
      <c r="AZ47" s="201"/>
      <c r="BA47" s="201"/>
      <c r="BB47" s="201"/>
      <c r="BC47" s="201"/>
      <c r="BD47" s="201"/>
      <c r="BE47" s="201"/>
      <c r="BF47" s="201"/>
      <c r="BG47" s="201"/>
      <c r="BH47" s="201"/>
      <c r="BI47" s="201"/>
      <c r="BJ47" s="201"/>
      <c r="BK47" s="201"/>
      <c r="BL47" s="201"/>
      <c r="BM47" s="201"/>
      <c r="BN47" s="201"/>
      <c r="BO47" s="201"/>
      <c r="BP47" s="201"/>
      <c r="BQ47" s="201"/>
      <c r="BR47" s="201"/>
      <c r="BS47" s="201"/>
      <c r="BT47" s="201"/>
      <c r="BU47" s="201"/>
      <c r="BV47" s="201"/>
      <c r="BW47" s="201"/>
      <c r="BX47" s="201"/>
      <c r="BY47" s="201"/>
      <c r="BZ47" s="201"/>
      <c r="CA47" s="201"/>
      <c r="CB47" s="201"/>
      <c r="CC47" s="201"/>
      <c r="CD47" s="201"/>
      <c r="CE47" s="201"/>
      <c r="CF47" s="201"/>
      <c r="CG47" s="211"/>
      <c r="CH47" s="201"/>
      <c r="CI47" s="201"/>
      <c r="CJ47" s="201"/>
    </row>
    <row r="48" spans="1:88" s="2" customFormat="1" ht="19.5" customHeight="1">
      <c r="A48" s="206"/>
      <c r="B48" s="212" t="s">
        <v>25</v>
      </c>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3"/>
      <c r="CH48" s="216"/>
      <c r="CI48" s="216"/>
      <c r="CJ48" s="216"/>
    </row>
    <row r="49" spans="1:88" s="3" customFormat="1" ht="19.5" customHeight="1">
      <c r="A49" s="207"/>
      <c r="B49" s="291" t="s">
        <v>26</v>
      </c>
      <c r="C49" s="292"/>
      <c r="D49" s="292"/>
      <c r="E49" s="292"/>
      <c r="F49" s="292"/>
      <c r="G49" s="292"/>
      <c r="H49" s="292"/>
      <c r="I49" s="292"/>
      <c r="J49" s="292"/>
      <c r="K49" s="292"/>
      <c r="L49" s="292"/>
      <c r="M49" s="292"/>
      <c r="N49" s="292"/>
      <c r="O49" s="292"/>
      <c r="P49" s="293"/>
      <c r="Q49" s="291" t="s">
        <v>27</v>
      </c>
      <c r="R49" s="292"/>
      <c r="S49" s="292"/>
      <c r="T49" s="292"/>
      <c r="U49" s="292"/>
      <c r="V49" s="292"/>
      <c r="W49" s="292"/>
      <c r="X49" s="292"/>
      <c r="Y49" s="292"/>
      <c r="Z49" s="292"/>
      <c r="AA49" s="292"/>
      <c r="AB49" s="292"/>
      <c r="AC49" s="292"/>
      <c r="AD49" s="292"/>
      <c r="AE49" s="292"/>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3"/>
      <c r="BN49" s="291" t="s">
        <v>28</v>
      </c>
      <c r="BO49" s="292"/>
      <c r="BP49" s="292"/>
      <c r="BQ49" s="292"/>
      <c r="BR49" s="292"/>
      <c r="BS49" s="292"/>
      <c r="BT49" s="292"/>
      <c r="BU49" s="292"/>
      <c r="BV49" s="292"/>
      <c r="BW49" s="292"/>
      <c r="BX49" s="292"/>
      <c r="BY49" s="292"/>
      <c r="BZ49" s="292"/>
      <c r="CA49" s="292"/>
      <c r="CB49" s="292"/>
      <c r="CC49" s="292"/>
      <c r="CD49" s="292"/>
      <c r="CE49" s="292"/>
      <c r="CF49" s="293"/>
      <c r="CG49" s="210"/>
      <c r="CH49" s="194"/>
      <c r="CI49" s="194"/>
      <c r="CJ49" s="194"/>
    </row>
    <row r="50" spans="1:88" s="3" customFormat="1" ht="30.75" customHeight="1">
      <c r="A50" s="207"/>
      <c r="B50" s="362" t="s">
        <v>198</v>
      </c>
      <c r="C50" s="363"/>
      <c r="D50" s="363"/>
      <c r="E50" s="363"/>
      <c r="F50" s="363"/>
      <c r="G50" s="363"/>
      <c r="H50" s="363"/>
      <c r="I50" s="363"/>
      <c r="J50" s="363"/>
      <c r="K50" s="363"/>
      <c r="L50" s="363"/>
      <c r="M50" s="363"/>
      <c r="N50" s="363"/>
      <c r="O50" s="363"/>
      <c r="P50" s="364"/>
      <c r="Q50" s="291"/>
      <c r="R50" s="292"/>
      <c r="S50" s="292"/>
      <c r="T50" s="292"/>
      <c r="U50" s="292"/>
      <c r="V50" s="292"/>
      <c r="W50" s="292"/>
      <c r="X50" s="292"/>
      <c r="Y50" s="292"/>
      <c r="Z50" s="292"/>
      <c r="AA50" s="292"/>
      <c r="AB50" s="292"/>
      <c r="AC50" s="292"/>
      <c r="AD50" s="292"/>
      <c r="AE50" s="292"/>
      <c r="AF50" s="292"/>
      <c r="AG50" s="292"/>
      <c r="AH50" s="292"/>
      <c r="AI50" s="292"/>
      <c r="AJ50" s="292"/>
      <c r="AK50" s="292"/>
      <c r="AL50" s="292"/>
      <c r="AM50" s="292"/>
      <c r="AN50" s="292"/>
      <c r="AO50" s="292"/>
      <c r="AP50" s="292"/>
      <c r="AQ50" s="292"/>
      <c r="AR50" s="292"/>
      <c r="AS50" s="292"/>
      <c r="AT50" s="292"/>
      <c r="AU50" s="292"/>
      <c r="AV50" s="292"/>
      <c r="AW50" s="292"/>
      <c r="AX50" s="292"/>
      <c r="AY50" s="292"/>
      <c r="AZ50" s="292"/>
      <c r="BA50" s="292"/>
      <c r="BB50" s="292"/>
      <c r="BC50" s="292"/>
      <c r="BD50" s="292"/>
      <c r="BE50" s="292"/>
      <c r="BF50" s="292"/>
      <c r="BG50" s="292"/>
      <c r="BH50" s="292"/>
      <c r="BI50" s="292"/>
      <c r="BJ50" s="292"/>
      <c r="BK50" s="292"/>
      <c r="BL50" s="292"/>
      <c r="BM50" s="293"/>
      <c r="BN50" s="328"/>
      <c r="BO50" s="329"/>
      <c r="BP50" s="329"/>
      <c r="BQ50" s="329"/>
      <c r="BR50" s="329"/>
      <c r="BS50" s="329"/>
      <c r="BT50" s="329"/>
      <c r="BU50" s="329"/>
      <c r="BV50" s="329"/>
      <c r="BW50" s="329"/>
      <c r="BX50" s="329"/>
      <c r="BY50" s="329"/>
      <c r="BZ50" s="329"/>
      <c r="CA50" s="329"/>
      <c r="CB50" s="329"/>
      <c r="CC50" s="329"/>
      <c r="CD50" s="329"/>
      <c r="CE50" s="329"/>
      <c r="CF50" s="330"/>
      <c r="CG50" s="210"/>
      <c r="CH50" s="194"/>
      <c r="CI50" s="194"/>
      <c r="CJ50" s="194"/>
    </row>
    <row r="51" spans="1:88" s="2" customFormat="1" ht="30.75" customHeight="1">
      <c r="A51" s="208"/>
      <c r="B51" s="294" t="s">
        <v>97</v>
      </c>
      <c r="C51" s="317"/>
      <c r="D51" s="317"/>
      <c r="E51" s="317"/>
      <c r="F51" s="317"/>
      <c r="G51" s="317"/>
      <c r="H51" s="317"/>
      <c r="I51" s="317"/>
      <c r="J51" s="317"/>
      <c r="K51" s="317"/>
      <c r="L51" s="317"/>
      <c r="M51" s="317"/>
      <c r="N51" s="317"/>
      <c r="O51" s="317"/>
      <c r="P51" s="318"/>
      <c r="Q51" s="331" t="s">
        <v>465</v>
      </c>
      <c r="R51" s="332"/>
      <c r="S51" s="332"/>
      <c r="T51" s="332"/>
      <c r="U51" s="332"/>
      <c r="V51" s="332"/>
      <c r="W51" s="332"/>
      <c r="X51" s="332"/>
      <c r="Y51" s="332"/>
      <c r="Z51" s="332"/>
      <c r="AA51" s="332"/>
      <c r="AB51" s="332"/>
      <c r="AC51" s="332"/>
      <c r="AD51" s="332"/>
      <c r="AE51" s="332"/>
      <c r="AF51" s="332"/>
      <c r="AG51" s="332"/>
      <c r="AH51" s="332"/>
      <c r="AI51" s="332"/>
      <c r="AJ51" s="332"/>
      <c r="AK51" s="332"/>
      <c r="AL51" s="332"/>
      <c r="AM51" s="332"/>
      <c r="AN51" s="332"/>
      <c r="AO51" s="332"/>
      <c r="AP51" s="332"/>
      <c r="AQ51" s="332"/>
      <c r="AR51" s="332"/>
      <c r="AS51" s="332"/>
      <c r="AT51" s="332"/>
      <c r="AU51" s="332"/>
      <c r="AV51" s="332"/>
      <c r="AW51" s="332"/>
      <c r="AX51" s="332"/>
      <c r="AY51" s="332"/>
      <c r="AZ51" s="332"/>
      <c r="BA51" s="332"/>
      <c r="BB51" s="332"/>
      <c r="BC51" s="332"/>
      <c r="BD51" s="332"/>
      <c r="BE51" s="332"/>
      <c r="BF51" s="332"/>
      <c r="BG51" s="332"/>
      <c r="BH51" s="332"/>
      <c r="BI51" s="332"/>
      <c r="BJ51" s="332"/>
      <c r="BK51" s="332"/>
      <c r="BL51" s="332"/>
      <c r="BM51" s="333"/>
      <c r="BN51" s="328"/>
      <c r="BO51" s="329"/>
      <c r="BP51" s="329"/>
      <c r="BQ51" s="329"/>
      <c r="BR51" s="329"/>
      <c r="BS51" s="329"/>
      <c r="BT51" s="329"/>
      <c r="BU51" s="329"/>
      <c r="BV51" s="329"/>
      <c r="BW51" s="329"/>
      <c r="BX51" s="329"/>
      <c r="BY51" s="329"/>
      <c r="BZ51" s="329"/>
      <c r="CA51" s="329"/>
      <c r="CB51" s="329"/>
      <c r="CC51" s="329"/>
      <c r="CD51" s="329"/>
      <c r="CE51" s="329"/>
      <c r="CF51" s="330"/>
      <c r="CG51" s="214"/>
      <c r="CH51" s="216"/>
      <c r="CI51" s="216"/>
      <c r="CJ51" s="216"/>
    </row>
    <row r="52" spans="1:88" s="2" customFormat="1" ht="30.75" customHeight="1">
      <c r="A52" s="208"/>
      <c r="B52" s="294" t="s">
        <v>98</v>
      </c>
      <c r="C52" s="317"/>
      <c r="D52" s="317"/>
      <c r="E52" s="317"/>
      <c r="F52" s="317"/>
      <c r="G52" s="317"/>
      <c r="H52" s="317"/>
      <c r="I52" s="317"/>
      <c r="J52" s="317"/>
      <c r="K52" s="317"/>
      <c r="L52" s="317"/>
      <c r="M52" s="317"/>
      <c r="N52" s="317"/>
      <c r="O52" s="317"/>
      <c r="P52" s="318"/>
      <c r="Q52" s="331" t="s">
        <v>466</v>
      </c>
      <c r="R52" s="332"/>
      <c r="S52" s="332"/>
      <c r="T52" s="332"/>
      <c r="U52" s="332"/>
      <c r="V52" s="332"/>
      <c r="W52" s="332"/>
      <c r="X52" s="332"/>
      <c r="Y52" s="332"/>
      <c r="Z52" s="332"/>
      <c r="AA52" s="332"/>
      <c r="AB52" s="332"/>
      <c r="AC52" s="332"/>
      <c r="AD52" s="332"/>
      <c r="AE52" s="332"/>
      <c r="AF52" s="332"/>
      <c r="AG52" s="332"/>
      <c r="AH52" s="332"/>
      <c r="AI52" s="332"/>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2"/>
      <c r="BF52" s="332"/>
      <c r="BG52" s="332"/>
      <c r="BH52" s="332"/>
      <c r="BI52" s="332"/>
      <c r="BJ52" s="332"/>
      <c r="BK52" s="332"/>
      <c r="BL52" s="332"/>
      <c r="BM52" s="333"/>
      <c r="BN52" s="328"/>
      <c r="BO52" s="329"/>
      <c r="BP52" s="329"/>
      <c r="BQ52" s="329"/>
      <c r="BR52" s="329"/>
      <c r="BS52" s="329"/>
      <c r="BT52" s="329"/>
      <c r="BU52" s="329"/>
      <c r="BV52" s="329"/>
      <c r="BW52" s="329"/>
      <c r="BX52" s="329"/>
      <c r="BY52" s="329"/>
      <c r="BZ52" s="329"/>
      <c r="CA52" s="329"/>
      <c r="CB52" s="329"/>
      <c r="CC52" s="329"/>
      <c r="CD52" s="329"/>
      <c r="CE52" s="329"/>
      <c r="CF52" s="330"/>
      <c r="CG52" s="214"/>
      <c r="CH52" s="216"/>
      <c r="CI52" s="216"/>
      <c r="CJ52" s="216"/>
    </row>
    <row r="53" spans="1:88" s="2" customFormat="1" ht="30.75" customHeight="1">
      <c r="A53" s="208"/>
      <c r="B53" s="294" t="s">
        <v>66</v>
      </c>
      <c r="C53" s="317"/>
      <c r="D53" s="317"/>
      <c r="E53" s="317"/>
      <c r="F53" s="317"/>
      <c r="G53" s="317"/>
      <c r="H53" s="317"/>
      <c r="I53" s="317"/>
      <c r="J53" s="317"/>
      <c r="K53" s="317"/>
      <c r="L53" s="317"/>
      <c r="M53" s="317"/>
      <c r="N53" s="317"/>
      <c r="O53" s="317"/>
      <c r="P53" s="318"/>
      <c r="Q53" s="331" t="s">
        <v>467</v>
      </c>
      <c r="R53" s="332"/>
      <c r="S53" s="332"/>
      <c r="T53" s="332"/>
      <c r="U53" s="332"/>
      <c r="V53" s="332"/>
      <c r="W53" s="332"/>
      <c r="X53" s="332"/>
      <c r="Y53" s="332"/>
      <c r="Z53" s="332"/>
      <c r="AA53" s="332"/>
      <c r="AB53" s="332"/>
      <c r="AC53" s="332"/>
      <c r="AD53" s="332"/>
      <c r="AE53" s="332"/>
      <c r="AF53" s="332"/>
      <c r="AG53" s="332"/>
      <c r="AH53" s="332"/>
      <c r="AI53" s="332"/>
      <c r="AJ53" s="332"/>
      <c r="AK53" s="332"/>
      <c r="AL53" s="332"/>
      <c r="AM53" s="332"/>
      <c r="AN53" s="332"/>
      <c r="AO53" s="332"/>
      <c r="AP53" s="332"/>
      <c r="AQ53" s="332"/>
      <c r="AR53" s="332"/>
      <c r="AS53" s="332"/>
      <c r="AT53" s="332"/>
      <c r="AU53" s="332"/>
      <c r="AV53" s="332"/>
      <c r="AW53" s="332"/>
      <c r="AX53" s="332"/>
      <c r="AY53" s="332"/>
      <c r="AZ53" s="332"/>
      <c r="BA53" s="332"/>
      <c r="BB53" s="332"/>
      <c r="BC53" s="332"/>
      <c r="BD53" s="332"/>
      <c r="BE53" s="332"/>
      <c r="BF53" s="332"/>
      <c r="BG53" s="332"/>
      <c r="BH53" s="332"/>
      <c r="BI53" s="332"/>
      <c r="BJ53" s="332"/>
      <c r="BK53" s="332"/>
      <c r="BL53" s="332"/>
      <c r="BM53" s="333"/>
      <c r="BN53" s="328"/>
      <c r="BO53" s="329"/>
      <c r="BP53" s="329"/>
      <c r="BQ53" s="329"/>
      <c r="BR53" s="329"/>
      <c r="BS53" s="329"/>
      <c r="BT53" s="329"/>
      <c r="BU53" s="329"/>
      <c r="BV53" s="329"/>
      <c r="BW53" s="329"/>
      <c r="BX53" s="329"/>
      <c r="BY53" s="329"/>
      <c r="BZ53" s="329"/>
      <c r="CA53" s="329"/>
      <c r="CB53" s="329"/>
      <c r="CC53" s="329"/>
      <c r="CD53" s="329"/>
      <c r="CE53" s="329"/>
      <c r="CF53" s="330"/>
      <c r="CG53" s="214"/>
      <c r="CH53" s="216"/>
      <c r="CI53" s="216"/>
      <c r="CJ53" s="216"/>
    </row>
    <row r="54" spans="1:88" s="2" customFormat="1" ht="30.75" customHeight="1">
      <c r="A54" s="208"/>
      <c r="B54" s="294" t="s">
        <v>409</v>
      </c>
      <c r="C54" s="317"/>
      <c r="D54" s="317"/>
      <c r="E54" s="317"/>
      <c r="F54" s="317"/>
      <c r="G54" s="317"/>
      <c r="H54" s="317"/>
      <c r="I54" s="317"/>
      <c r="J54" s="317"/>
      <c r="K54" s="317"/>
      <c r="L54" s="317"/>
      <c r="M54" s="317"/>
      <c r="N54" s="317"/>
      <c r="O54" s="317"/>
      <c r="P54" s="318"/>
      <c r="Q54" s="331" t="s">
        <v>468</v>
      </c>
      <c r="R54" s="332"/>
      <c r="S54" s="332"/>
      <c r="T54" s="332"/>
      <c r="U54" s="332"/>
      <c r="V54" s="332"/>
      <c r="W54" s="332"/>
      <c r="X54" s="332"/>
      <c r="Y54" s="332"/>
      <c r="Z54" s="332"/>
      <c r="AA54" s="332"/>
      <c r="AB54" s="332"/>
      <c r="AC54" s="332"/>
      <c r="AD54" s="332"/>
      <c r="AE54" s="332"/>
      <c r="AF54" s="332"/>
      <c r="AG54" s="332"/>
      <c r="AH54" s="332"/>
      <c r="AI54" s="332"/>
      <c r="AJ54" s="332"/>
      <c r="AK54" s="332"/>
      <c r="AL54" s="332"/>
      <c r="AM54" s="332"/>
      <c r="AN54" s="332"/>
      <c r="AO54" s="332"/>
      <c r="AP54" s="332"/>
      <c r="AQ54" s="332"/>
      <c r="AR54" s="332"/>
      <c r="AS54" s="332"/>
      <c r="AT54" s="332"/>
      <c r="AU54" s="332"/>
      <c r="AV54" s="332"/>
      <c r="AW54" s="332"/>
      <c r="AX54" s="332"/>
      <c r="AY54" s="332"/>
      <c r="AZ54" s="332"/>
      <c r="BA54" s="332"/>
      <c r="BB54" s="332"/>
      <c r="BC54" s="332"/>
      <c r="BD54" s="332"/>
      <c r="BE54" s="332"/>
      <c r="BF54" s="332"/>
      <c r="BG54" s="332"/>
      <c r="BH54" s="332"/>
      <c r="BI54" s="332"/>
      <c r="BJ54" s="332"/>
      <c r="BK54" s="332"/>
      <c r="BL54" s="332"/>
      <c r="BM54" s="333"/>
      <c r="BN54" s="328"/>
      <c r="BO54" s="329"/>
      <c r="BP54" s="329"/>
      <c r="BQ54" s="329"/>
      <c r="BR54" s="329"/>
      <c r="BS54" s="329"/>
      <c r="BT54" s="329"/>
      <c r="BU54" s="329"/>
      <c r="BV54" s="329"/>
      <c r="BW54" s="329"/>
      <c r="BX54" s="329"/>
      <c r="BY54" s="329"/>
      <c r="BZ54" s="329"/>
      <c r="CA54" s="329"/>
      <c r="CB54" s="329"/>
      <c r="CC54" s="329"/>
      <c r="CD54" s="329"/>
      <c r="CE54" s="329"/>
      <c r="CF54" s="330"/>
      <c r="CG54" s="214"/>
      <c r="CH54" s="216"/>
      <c r="CI54" s="216"/>
      <c r="CJ54" s="216"/>
    </row>
    <row r="55" spans="1:88" s="2" customFormat="1" ht="30.75" customHeight="1">
      <c r="A55" s="208"/>
      <c r="B55" s="294" t="s">
        <v>212</v>
      </c>
      <c r="C55" s="317"/>
      <c r="D55" s="317"/>
      <c r="E55" s="317"/>
      <c r="F55" s="317"/>
      <c r="G55" s="317"/>
      <c r="H55" s="317"/>
      <c r="I55" s="317"/>
      <c r="J55" s="317"/>
      <c r="K55" s="317"/>
      <c r="L55" s="317"/>
      <c r="M55" s="317"/>
      <c r="N55" s="317"/>
      <c r="O55" s="317"/>
      <c r="P55" s="318"/>
      <c r="Q55" s="331" t="s">
        <v>204</v>
      </c>
      <c r="R55" s="332"/>
      <c r="S55" s="332"/>
      <c r="T55" s="332"/>
      <c r="U55" s="332"/>
      <c r="V55" s="332"/>
      <c r="W55" s="332"/>
      <c r="X55" s="332"/>
      <c r="Y55" s="332"/>
      <c r="Z55" s="332"/>
      <c r="AA55" s="332"/>
      <c r="AB55" s="332"/>
      <c r="AC55" s="332"/>
      <c r="AD55" s="332"/>
      <c r="AE55" s="332"/>
      <c r="AF55" s="332"/>
      <c r="AG55" s="332"/>
      <c r="AH55" s="332"/>
      <c r="AI55" s="332"/>
      <c r="AJ55" s="332"/>
      <c r="AK55" s="332"/>
      <c r="AL55" s="332"/>
      <c r="AM55" s="332"/>
      <c r="AN55" s="332"/>
      <c r="AO55" s="332"/>
      <c r="AP55" s="332"/>
      <c r="AQ55" s="332"/>
      <c r="AR55" s="332"/>
      <c r="AS55" s="332"/>
      <c r="AT55" s="332"/>
      <c r="AU55" s="332"/>
      <c r="AV55" s="332"/>
      <c r="AW55" s="332"/>
      <c r="AX55" s="332"/>
      <c r="AY55" s="332"/>
      <c r="AZ55" s="332"/>
      <c r="BA55" s="332"/>
      <c r="BB55" s="332"/>
      <c r="BC55" s="332"/>
      <c r="BD55" s="332"/>
      <c r="BE55" s="332"/>
      <c r="BF55" s="332"/>
      <c r="BG55" s="332"/>
      <c r="BH55" s="332"/>
      <c r="BI55" s="332"/>
      <c r="BJ55" s="332"/>
      <c r="BK55" s="332"/>
      <c r="BL55" s="332"/>
      <c r="BM55" s="333"/>
      <c r="BN55" s="328"/>
      <c r="BO55" s="329"/>
      <c r="BP55" s="329"/>
      <c r="BQ55" s="329"/>
      <c r="BR55" s="329"/>
      <c r="BS55" s="329"/>
      <c r="BT55" s="329"/>
      <c r="BU55" s="329"/>
      <c r="BV55" s="329"/>
      <c r="BW55" s="329"/>
      <c r="BX55" s="329"/>
      <c r="BY55" s="329"/>
      <c r="BZ55" s="329"/>
      <c r="CA55" s="329"/>
      <c r="CB55" s="329"/>
      <c r="CC55" s="329"/>
      <c r="CD55" s="329"/>
      <c r="CE55" s="329"/>
      <c r="CF55" s="330"/>
      <c r="CG55" s="214"/>
      <c r="CH55" s="216"/>
      <c r="CI55" s="216"/>
      <c r="CJ55" s="216"/>
    </row>
    <row r="56" spans="1:88" s="2" customFormat="1" ht="30.75" customHeight="1">
      <c r="A56" s="208"/>
      <c r="B56" s="294" t="s">
        <v>99</v>
      </c>
      <c r="C56" s="317"/>
      <c r="D56" s="317"/>
      <c r="E56" s="317"/>
      <c r="F56" s="317"/>
      <c r="G56" s="317"/>
      <c r="H56" s="317"/>
      <c r="I56" s="317"/>
      <c r="J56" s="317"/>
      <c r="K56" s="317"/>
      <c r="L56" s="317"/>
      <c r="M56" s="317"/>
      <c r="N56" s="317"/>
      <c r="O56" s="317"/>
      <c r="P56" s="318"/>
      <c r="Q56" s="331" t="s">
        <v>398</v>
      </c>
      <c r="R56" s="332"/>
      <c r="S56" s="332"/>
      <c r="T56" s="332"/>
      <c r="U56" s="332"/>
      <c r="V56" s="332"/>
      <c r="W56" s="332"/>
      <c r="X56" s="332"/>
      <c r="Y56" s="332"/>
      <c r="Z56" s="332"/>
      <c r="AA56" s="332"/>
      <c r="AB56" s="332"/>
      <c r="AC56" s="332"/>
      <c r="AD56" s="332"/>
      <c r="AE56" s="332"/>
      <c r="AF56" s="332"/>
      <c r="AG56" s="332"/>
      <c r="AH56" s="332"/>
      <c r="AI56" s="332"/>
      <c r="AJ56" s="332"/>
      <c r="AK56" s="332"/>
      <c r="AL56" s="332"/>
      <c r="AM56" s="332"/>
      <c r="AN56" s="332"/>
      <c r="AO56" s="332"/>
      <c r="AP56" s="332"/>
      <c r="AQ56" s="332"/>
      <c r="AR56" s="332"/>
      <c r="AS56" s="332"/>
      <c r="AT56" s="332"/>
      <c r="AU56" s="332"/>
      <c r="AV56" s="332"/>
      <c r="AW56" s="332"/>
      <c r="AX56" s="332"/>
      <c r="AY56" s="332"/>
      <c r="AZ56" s="332"/>
      <c r="BA56" s="332"/>
      <c r="BB56" s="332"/>
      <c r="BC56" s="332"/>
      <c r="BD56" s="332"/>
      <c r="BE56" s="332"/>
      <c r="BF56" s="332"/>
      <c r="BG56" s="332"/>
      <c r="BH56" s="332"/>
      <c r="BI56" s="332"/>
      <c r="BJ56" s="332"/>
      <c r="BK56" s="332"/>
      <c r="BL56" s="332"/>
      <c r="BM56" s="333"/>
      <c r="BN56" s="328"/>
      <c r="BO56" s="329"/>
      <c r="BP56" s="329"/>
      <c r="BQ56" s="329"/>
      <c r="BR56" s="329"/>
      <c r="BS56" s="329"/>
      <c r="BT56" s="329"/>
      <c r="BU56" s="329"/>
      <c r="BV56" s="329"/>
      <c r="BW56" s="329"/>
      <c r="BX56" s="329"/>
      <c r="BY56" s="329"/>
      <c r="BZ56" s="329"/>
      <c r="CA56" s="329"/>
      <c r="CB56" s="329"/>
      <c r="CC56" s="329"/>
      <c r="CD56" s="329"/>
      <c r="CE56" s="329"/>
      <c r="CF56" s="330"/>
      <c r="CG56" s="214"/>
      <c r="CH56" s="216"/>
      <c r="CI56" s="216"/>
      <c r="CJ56" s="216"/>
    </row>
    <row r="57" spans="1:88" s="2" customFormat="1" ht="33.75" customHeight="1">
      <c r="A57" s="208"/>
      <c r="B57" s="294" t="s">
        <v>67</v>
      </c>
      <c r="C57" s="317"/>
      <c r="D57" s="317"/>
      <c r="E57" s="317"/>
      <c r="F57" s="317"/>
      <c r="G57" s="317"/>
      <c r="H57" s="317"/>
      <c r="I57" s="317"/>
      <c r="J57" s="317"/>
      <c r="K57" s="317"/>
      <c r="L57" s="317"/>
      <c r="M57" s="317"/>
      <c r="N57" s="317"/>
      <c r="O57" s="317"/>
      <c r="P57" s="318"/>
      <c r="Q57" s="331" t="s">
        <v>69</v>
      </c>
      <c r="R57" s="332"/>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c r="AP57" s="332"/>
      <c r="AQ57" s="332"/>
      <c r="AR57" s="332"/>
      <c r="AS57" s="332"/>
      <c r="AT57" s="332"/>
      <c r="AU57" s="332"/>
      <c r="AV57" s="332"/>
      <c r="AW57" s="332"/>
      <c r="AX57" s="332"/>
      <c r="AY57" s="332"/>
      <c r="AZ57" s="332"/>
      <c r="BA57" s="332"/>
      <c r="BB57" s="332"/>
      <c r="BC57" s="332"/>
      <c r="BD57" s="332"/>
      <c r="BE57" s="332"/>
      <c r="BF57" s="332"/>
      <c r="BG57" s="332"/>
      <c r="BH57" s="332"/>
      <c r="BI57" s="332"/>
      <c r="BJ57" s="332"/>
      <c r="BK57" s="332"/>
      <c r="BL57" s="332"/>
      <c r="BM57" s="333"/>
      <c r="BN57" s="331"/>
      <c r="BO57" s="329"/>
      <c r="BP57" s="329"/>
      <c r="BQ57" s="329"/>
      <c r="BR57" s="329"/>
      <c r="BS57" s="329"/>
      <c r="BT57" s="329"/>
      <c r="BU57" s="329"/>
      <c r="BV57" s="329"/>
      <c r="BW57" s="329"/>
      <c r="BX57" s="329"/>
      <c r="BY57" s="329"/>
      <c r="BZ57" s="329"/>
      <c r="CA57" s="329"/>
      <c r="CB57" s="329"/>
      <c r="CC57" s="329"/>
      <c r="CD57" s="329"/>
      <c r="CE57" s="329"/>
      <c r="CF57" s="330"/>
      <c r="CG57" s="214"/>
      <c r="CH57" s="216"/>
      <c r="CI57" s="216"/>
      <c r="CJ57" s="216"/>
    </row>
    <row r="58" spans="1:88" s="2" customFormat="1" ht="30.75" customHeight="1">
      <c r="A58" s="208"/>
      <c r="B58" s="294" t="s">
        <v>68</v>
      </c>
      <c r="C58" s="317"/>
      <c r="D58" s="317"/>
      <c r="E58" s="317"/>
      <c r="F58" s="317"/>
      <c r="G58" s="317"/>
      <c r="H58" s="317"/>
      <c r="I58" s="317"/>
      <c r="J58" s="317"/>
      <c r="K58" s="317"/>
      <c r="L58" s="317"/>
      <c r="M58" s="317"/>
      <c r="N58" s="317"/>
      <c r="O58" s="317"/>
      <c r="P58" s="318"/>
      <c r="Q58" s="325" t="s">
        <v>464</v>
      </c>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6"/>
      <c r="AZ58" s="326"/>
      <c r="BA58" s="326"/>
      <c r="BB58" s="326"/>
      <c r="BC58" s="326"/>
      <c r="BD58" s="326"/>
      <c r="BE58" s="326"/>
      <c r="BF58" s="326"/>
      <c r="BG58" s="326"/>
      <c r="BH58" s="326"/>
      <c r="BI58" s="326"/>
      <c r="BJ58" s="326"/>
      <c r="BK58" s="326"/>
      <c r="BL58" s="326"/>
      <c r="BM58" s="327"/>
      <c r="BN58" s="328"/>
      <c r="BO58" s="329"/>
      <c r="BP58" s="329"/>
      <c r="BQ58" s="329"/>
      <c r="BR58" s="329"/>
      <c r="BS58" s="329"/>
      <c r="BT58" s="329"/>
      <c r="BU58" s="329"/>
      <c r="BV58" s="329"/>
      <c r="BW58" s="329"/>
      <c r="BX58" s="329"/>
      <c r="BY58" s="329"/>
      <c r="BZ58" s="329"/>
      <c r="CA58" s="329"/>
      <c r="CB58" s="329"/>
      <c r="CC58" s="329"/>
      <c r="CD58" s="329"/>
      <c r="CE58" s="329"/>
      <c r="CF58" s="330"/>
      <c r="CG58" s="214"/>
      <c r="CH58" s="216"/>
      <c r="CI58" s="216"/>
      <c r="CJ58" s="216"/>
    </row>
    <row r="59" spans="1:88" s="3" customFormat="1" ht="30.75" customHeight="1">
      <c r="A59" s="207"/>
      <c r="B59" s="352" t="s">
        <v>199</v>
      </c>
      <c r="C59" s="353"/>
      <c r="D59" s="353"/>
      <c r="E59" s="353"/>
      <c r="F59" s="353"/>
      <c r="G59" s="353"/>
      <c r="H59" s="353"/>
      <c r="I59" s="353"/>
      <c r="J59" s="353"/>
      <c r="K59" s="353"/>
      <c r="L59" s="353"/>
      <c r="M59" s="353"/>
      <c r="N59" s="353"/>
      <c r="O59" s="353"/>
      <c r="P59" s="354"/>
      <c r="Q59" s="291"/>
      <c r="R59" s="292"/>
      <c r="S59" s="292"/>
      <c r="T59" s="292"/>
      <c r="U59" s="292"/>
      <c r="V59" s="292"/>
      <c r="W59" s="292"/>
      <c r="X59" s="292"/>
      <c r="Y59" s="292"/>
      <c r="Z59" s="292"/>
      <c r="AA59" s="292"/>
      <c r="AB59" s="292"/>
      <c r="AC59" s="292"/>
      <c r="AD59" s="292"/>
      <c r="AE59" s="292"/>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3"/>
      <c r="BN59" s="328"/>
      <c r="BO59" s="329"/>
      <c r="BP59" s="329"/>
      <c r="BQ59" s="329"/>
      <c r="BR59" s="329"/>
      <c r="BS59" s="329"/>
      <c r="BT59" s="329"/>
      <c r="BU59" s="329"/>
      <c r="BV59" s="329"/>
      <c r="BW59" s="329"/>
      <c r="BX59" s="329"/>
      <c r="BY59" s="329"/>
      <c r="BZ59" s="329"/>
      <c r="CA59" s="329"/>
      <c r="CB59" s="329"/>
      <c r="CC59" s="329"/>
      <c r="CD59" s="329"/>
      <c r="CE59" s="329"/>
      <c r="CF59" s="330"/>
      <c r="CG59" s="210"/>
      <c r="CH59" s="194"/>
      <c r="CI59" s="194"/>
      <c r="CJ59" s="194"/>
    </row>
    <row r="60" spans="1:88" s="2" customFormat="1" ht="69" customHeight="1">
      <c r="A60" s="208"/>
      <c r="B60" s="294" t="s">
        <v>192</v>
      </c>
      <c r="C60" s="317"/>
      <c r="D60" s="317"/>
      <c r="E60" s="317"/>
      <c r="F60" s="317"/>
      <c r="G60" s="317"/>
      <c r="H60" s="317"/>
      <c r="I60" s="317"/>
      <c r="J60" s="317"/>
      <c r="K60" s="317"/>
      <c r="L60" s="317"/>
      <c r="M60" s="317"/>
      <c r="N60" s="317"/>
      <c r="O60" s="317"/>
      <c r="P60" s="318"/>
      <c r="Q60" s="285" t="s">
        <v>400</v>
      </c>
      <c r="R60" s="286"/>
      <c r="S60" s="286"/>
      <c r="T60" s="286"/>
      <c r="U60" s="286"/>
      <c r="V60" s="286"/>
      <c r="W60" s="286"/>
      <c r="X60" s="286"/>
      <c r="Y60" s="286"/>
      <c r="Z60" s="286"/>
      <c r="AA60" s="286"/>
      <c r="AB60" s="286"/>
      <c r="AC60" s="286"/>
      <c r="AD60" s="286"/>
      <c r="AE60" s="286"/>
      <c r="AF60" s="286"/>
      <c r="AG60" s="286"/>
      <c r="AH60" s="286"/>
      <c r="AI60" s="286"/>
      <c r="AJ60" s="286"/>
      <c r="AK60" s="286"/>
      <c r="AL60" s="286"/>
      <c r="AM60" s="286"/>
      <c r="AN60" s="286"/>
      <c r="AO60" s="286"/>
      <c r="AP60" s="286"/>
      <c r="AQ60" s="286"/>
      <c r="AR60" s="286"/>
      <c r="AS60" s="286"/>
      <c r="AT60" s="286"/>
      <c r="AU60" s="286"/>
      <c r="AV60" s="286"/>
      <c r="AW60" s="286"/>
      <c r="AX60" s="286"/>
      <c r="AY60" s="286"/>
      <c r="AZ60" s="286"/>
      <c r="BA60" s="286"/>
      <c r="BB60" s="286"/>
      <c r="BC60" s="286"/>
      <c r="BD60" s="286"/>
      <c r="BE60" s="286"/>
      <c r="BF60" s="286"/>
      <c r="BG60" s="286"/>
      <c r="BH60" s="286"/>
      <c r="BI60" s="286"/>
      <c r="BJ60" s="286"/>
      <c r="BK60" s="286"/>
      <c r="BL60" s="286"/>
      <c r="BM60" s="287"/>
      <c r="BN60" s="328"/>
      <c r="BO60" s="329"/>
      <c r="BP60" s="329"/>
      <c r="BQ60" s="329"/>
      <c r="BR60" s="329"/>
      <c r="BS60" s="329"/>
      <c r="BT60" s="329"/>
      <c r="BU60" s="329"/>
      <c r="BV60" s="329"/>
      <c r="BW60" s="329"/>
      <c r="BX60" s="329"/>
      <c r="BY60" s="329"/>
      <c r="BZ60" s="329"/>
      <c r="CA60" s="329"/>
      <c r="CB60" s="329"/>
      <c r="CC60" s="329"/>
      <c r="CD60" s="329"/>
      <c r="CE60" s="329"/>
      <c r="CF60" s="330"/>
      <c r="CG60" s="214"/>
      <c r="CH60" s="216"/>
      <c r="CI60" s="216"/>
      <c r="CJ60" s="216"/>
    </row>
    <row r="61" spans="1:88" s="2" customFormat="1" ht="65.25" customHeight="1">
      <c r="A61" s="208"/>
      <c r="B61" s="294" t="s">
        <v>213</v>
      </c>
      <c r="C61" s="317"/>
      <c r="D61" s="317"/>
      <c r="E61" s="317"/>
      <c r="F61" s="317"/>
      <c r="G61" s="317"/>
      <c r="H61" s="317"/>
      <c r="I61" s="317"/>
      <c r="J61" s="317"/>
      <c r="K61" s="317"/>
      <c r="L61" s="317"/>
      <c r="M61" s="317"/>
      <c r="N61" s="317"/>
      <c r="O61" s="317"/>
      <c r="P61" s="318"/>
      <c r="Q61" s="285" t="s">
        <v>401</v>
      </c>
      <c r="R61" s="286"/>
      <c r="S61" s="286"/>
      <c r="T61" s="286"/>
      <c r="U61" s="286"/>
      <c r="V61" s="286"/>
      <c r="W61" s="286"/>
      <c r="X61" s="286"/>
      <c r="Y61" s="286"/>
      <c r="Z61" s="286"/>
      <c r="AA61" s="286"/>
      <c r="AB61" s="286"/>
      <c r="AC61" s="286"/>
      <c r="AD61" s="286"/>
      <c r="AE61" s="286"/>
      <c r="AF61" s="286"/>
      <c r="AG61" s="286"/>
      <c r="AH61" s="286"/>
      <c r="AI61" s="286"/>
      <c r="AJ61" s="286"/>
      <c r="AK61" s="286"/>
      <c r="AL61" s="286"/>
      <c r="AM61" s="286"/>
      <c r="AN61" s="286"/>
      <c r="AO61" s="286"/>
      <c r="AP61" s="286"/>
      <c r="AQ61" s="286"/>
      <c r="AR61" s="286"/>
      <c r="AS61" s="286"/>
      <c r="AT61" s="286"/>
      <c r="AU61" s="286"/>
      <c r="AV61" s="286"/>
      <c r="AW61" s="286"/>
      <c r="AX61" s="286"/>
      <c r="AY61" s="286"/>
      <c r="AZ61" s="286"/>
      <c r="BA61" s="286"/>
      <c r="BB61" s="286"/>
      <c r="BC61" s="286"/>
      <c r="BD61" s="286"/>
      <c r="BE61" s="286"/>
      <c r="BF61" s="286"/>
      <c r="BG61" s="286"/>
      <c r="BH61" s="286"/>
      <c r="BI61" s="286"/>
      <c r="BJ61" s="286"/>
      <c r="BK61" s="286"/>
      <c r="BL61" s="286"/>
      <c r="BM61" s="287"/>
      <c r="BN61" s="328"/>
      <c r="BO61" s="329"/>
      <c r="BP61" s="329"/>
      <c r="BQ61" s="329"/>
      <c r="BR61" s="329"/>
      <c r="BS61" s="329"/>
      <c r="BT61" s="329"/>
      <c r="BU61" s="329"/>
      <c r="BV61" s="329"/>
      <c r="BW61" s="329"/>
      <c r="BX61" s="329"/>
      <c r="BY61" s="329"/>
      <c r="BZ61" s="329"/>
      <c r="CA61" s="329"/>
      <c r="CB61" s="329"/>
      <c r="CC61" s="329"/>
      <c r="CD61" s="329"/>
      <c r="CE61" s="329"/>
      <c r="CF61" s="330"/>
      <c r="CG61" s="214"/>
      <c r="CH61" s="216"/>
      <c r="CI61" s="216"/>
      <c r="CJ61" s="216"/>
    </row>
    <row r="62" spans="1:88" s="2" customFormat="1" ht="51.75" customHeight="1">
      <c r="A62" s="208"/>
      <c r="B62" s="294" t="s">
        <v>312</v>
      </c>
      <c r="C62" s="317"/>
      <c r="D62" s="317"/>
      <c r="E62" s="317"/>
      <c r="F62" s="317"/>
      <c r="G62" s="317"/>
      <c r="H62" s="317"/>
      <c r="I62" s="317"/>
      <c r="J62" s="317"/>
      <c r="K62" s="317"/>
      <c r="L62" s="317"/>
      <c r="M62" s="317"/>
      <c r="N62" s="317"/>
      <c r="O62" s="317"/>
      <c r="P62" s="318"/>
      <c r="Q62" s="285" t="s">
        <v>402</v>
      </c>
      <c r="R62" s="286"/>
      <c r="S62" s="286"/>
      <c r="T62" s="286"/>
      <c r="U62" s="286"/>
      <c r="V62" s="286"/>
      <c r="W62" s="286"/>
      <c r="X62" s="286"/>
      <c r="Y62" s="286"/>
      <c r="Z62" s="286"/>
      <c r="AA62" s="286"/>
      <c r="AB62" s="286"/>
      <c r="AC62" s="286"/>
      <c r="AD62" s="286"/>
      <c r="AE62" s="286"/>
      <c r="AF62" s="286"/>
      <c r="AG62" s="286"/>
      <c r="AH62" s="286"/>
      <c r="AI62" s="286"/>
      <c r="AJ62" s="286"/>
      <c r="AK62" s="286"/>
      <c r="AL62" s="286"/>
      <c r="AM62" s="286"/>
      <c r="AN62" s="286"/>
      <c r="AO62" s="286"/>
      <c r="AP62" s="286"/>
      <c r="AQ62" s="286"/>
      <c r="AR62" s="286"/>
      <c r="AS62" s="286"/>
      <c r="AT62" s="286"/>
      <c r="AU62" s="286"/>
      <c r="AV62" s="286"/>
      <c r="AW62" s="286"/>
      <c r="AX62" s="286"/>
      <c r="AY62" s="286"/>
      <c r="AZ62" s="286"/>
      <c r="BA62" s="286"/>
      <c r="BB62" s="286"/>
      <c r="BC62" s="286"/>
      <c r="BD62" s="286"/>
      <c r="BE62" s="286"/>
      <c r="BF62" s="286"/>
      <c r="BG62" s="286"/>
      <c r="BH62" s="286"/>
      <c r="BI62" s="286"/>
      <c r="BJ62" s="286"/>
      <c r="BK62" s="286"/>
      <c r="BL62" s="286"/>
      <c r="BM62" s="287"/>
      <c r="BN62" s="328"/>
      <c r="BO62" s="329"/>
      <c r="BP62" s="329"/>
      <c r="BQ62" s="329"/>
      <c r="BR62" s="329"/>
      <c r="BS62" s="329"/>
      <c r="BT62" s="329"/>
      <c r="BU62" s="329"/>
      <c r="BV62" s="329"/>
      <c r="BW62" s="329"/>
      <c r="BX62" s="329"/>
      <c r="BY62" s="329"/>
      <c r="BZ62" s="329"/>
      <c r="CA62" s="329"/>
      <c r="CB62" s="329"/>
      <c r="CC62" s="329"/>
      <c r="CD62" s="329"/>
      <c r="CE62" s="329"/>
      <c r="CF62" s="330"/>
      <c r="CG62" s="214"/>
      <c r="CH62" s="216"/>
      <c r="CI62" s="216"/>
      <c r="CJ62" s="216"/>
    </row>
    <row r="63" spans="1:88" s="30" customFormat="1" ht="40.5" customHeight="1">
      <c r="A63" s="209"/>
      <c r="B63" s="282" t="s">
        <v>306</v>
      </c>
      <c r="C63" s="283"/>
      <c r="D63" s="283"/>
      <c r="E63" s="283"/>
      <c r="F63" s="283"/>
      <c r="G63" s="283"/>
      <c r="H63" s="283"/>
      <c r="I63" s="283"/>
      <c r="J63" s="283"/>
      <c r="K63" s="283"/>
      <c r="L63" s="283"/>
      <c r="M63" s="283"/>
      <c r="N63" s="283"/>
      <c r="O63" s="283"/>
      <c r="P63" s="284"/>
      <c r="Q63" s="285" t="s">
        <v>403</v>
      </c>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7"/>
      <c r="BN63" s="285"/>
      <c r="BO63" s="286"/>
      <c r="BP63" s="286"/>
      <c r="BQ63" s="286"/>
      <c r="BR63" s="286"/>
      <c r="BS63" s="286"/>
      <c r="BT63" s="286"/>
      <c r="BU63" s="286"/>
      <c r="BV63" s="286"/>
      <c r="BW63" s="286"/>
      <c r="BX63" s="286"/>
      <c r="BY63" s="286"/>
      <c r="BZ63" s="286"/>
      <c r="CA63" s="286"/>
      <c r="CB63" s="286"/>
      <c r="CC63" s="286"/>
      <c r="CD63" s="286"/>
      <c r="CE63" s="286"/>
      <c r="CF63" s="287"/>
      <c r="CG63" s="215"/>
      <c r="CH63" s="221"/>
      <c r="CI63" s="221"/>
      <c r="CJ63" s="221"/>
    </row>
    <row r="64" spans="1:88" s="2" customFormat="1" ht="23.25" customHeight="1">
      <c r="A64" s="208"/>
      <c r="B64" s="216" t="s">
        <v>29</v>
      </c>
      <c r="C64" s="216"/>
      <c r="D64" s="216"/>
      <c r="E64" s="216"/>
      <c r="F64" s="216"/>
      <c r="G64" s="216"/>
      <c r="H64" s="216"/>
      <c r="I64" s="216"/>
      <c r="J64" s="216"/>
      <c r="K64" s="216"/>
      <c r="L64" s="216"/>
      <c r="M64" s="216"/>
      <c r="N64" s="216"/>
      <c r="O64" s="216"/>
      <c r="P64" s="216"/>
      <c r="Q64" s="216"/>
      <c r="R64" s="216" t="s">
        <v>30</v>
      </c>
      <c r="S64" s="216"/>
      <c r="T64" s="216"/>
      <c r="U64" s="216"/>
      <c r="V64" s="216"/>
      <c r="W64" s="216"/>
      <c r="X64" s="216"/>
      <c r="Y64" s="216"/>
      <c r="Z64" s="216"/>
      <c r="AA64" s="216"/>
      <c r="AB64" s="216"/>
      <c r="AC64" s="216"/>
      <c r="AD64" s="216"/>
      <c r="AE64" s="216"/>
      <c r="AF64" s="216"/>
      <c r="AG64" s="216"/>
      <c r="AH64" s="216"/>
      <c r="AI64" s="216"/>
      <c r="AJ64" s="216"/>
      <c r="AK64" s="216"/>
      <c r="AL64" s="216"/>
      <c r="AM64" s="216"/>
      <c r="AN64" s="216"/>
      <c r="AO64" s="216"/>
      <c r="AP64" s="216"/>
      <c r="AQ64" s="216"/>
      <c r="AR64" s="216"/>
      <c r="AS64" s="216"/>
      <c r="AT64" s="216"/>
      <c r="AU64" s="216"/>
      <c r="AV64" s="216"/>
      <c r="AW64" s="216"/>
      <c r="AX64" s="216"/>
      <c r="AY64" s="216"/>
      <c r="AZ64" s="216"/>
      <c r="BA64" s="216"/>
      <c r="BB64" s="216"/>
      <c r="BC64" s="216"/>
      <c r="BD64" s="216"/>
      <c r="BE64" s="216"/>
      <c r="BF64" s="216"/>
      <c r="BG64" s="216"/>
      <c r="BH64" s="216"/>
      <c r="BI64" s="216"/>
      <c r="BJ64" s="216"/>
      <c r="BK64" s="216"/>
      <c r="BL64" s="216"/>
      <c r="BM64" s="216"/>
      <c r="BN64" s="216"/>
      <c r="BO64" s="216"/>
      <c r="BP64" s="216"/>
      <c r="BQ64" s="216"/>
      <c r="BR64" s="216"/>
      <c r="BS64" s="216"/>
      <c r="BT64" s="216"/>
      <c r="BU64" s="216"/>
      <c r="BV64" s="216"/>
      <c r="BW64" s="216"/>
      <c r="BX64" s="216"/>
      <c r="BY64" s="216"/>
      <c r="BZ64" s="216"/>
      <c r="CA64" s="216"/>
      <c r="CB64" s="216"/>
      <c r="CC64" s="216"/>
      <c r="CD64" s="216"/>
      <c r="CE64" s="216"/>
      <c r="CF64" s="216"/>
      <c r="CG64" s="214"/>
      <c r="CH64" s="216"/>
      <c r="CI64" s="216"/>
      <c r="CJ64" s="216"/>
    </row>
    <row r="65" spans="1:88" s="3" customFormat="1" ht="19.5" customHeight="1">
      <c r="A65" s="207"/>
      <c r="B65" s="291" t="s">
        <v>31</v>
      </c>
      <c r="C65" s="292"/>
      <c r="D65" s="292"/>
      <c r="E65" s="292"/>
      <c r="F65" s="292"/>
      <c r="G65" s="292"/>
      <c r="H65" s="292"/>
      <c r="I65" s="292"/>
      <c r="J65" s="292"/>
      <c r="K65" s="292"/>
      <c r="L65" s="292"/>
      <c r="M65" s="292"/>
      <c r="N65" s="292"/>
      <c r="O65" s="292"/>
      <c r="P65" s="293"/>
      <c r="Q65" s="291" t="s">
        <v>32</v>
      </c>
      <c r="R65" s="292"/>
      <c r="S65" s="292"/>
      <c r="T65" s="292"/>
      <c r="U65" s="292"/>
      <c r="V65" s="292"/>
      <c r="W65" s="292"/>
      <c r="X65" s="292"/>
      <c r="Y65" s="292"/>
      <c r="Z65" s="292"/>
      <c r="AA65" s="292"/>
      <c r="AB65" s="292"/>
      <c r="AC65" s="292"/>
      <c r="AD65" s="292"/>
      <c r="AE65" s="292"/>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3"/>
      <c r="BN65" s="291" t="s">
        <v>28</v>
      </c>
      <c r="BO65" s="292"/>
      <c r="BP65" s="292"/>
      <c r="BQ65" s="292"/>
      <c r="BR65" s="292"/>
      <c r="BS65" s="292"/>
      <c r="BT65" s="292"/>
      <c r="BU65" s="292"/>
      <c r="BV65" s="292"/>
      <c r="BW65" s="292"/>
      <c r="BX65" s="292"/>
      <c r="BY65" s="292"/>
      <c r="BZ65" s="292"/>
      <c r="CA65" s="292"/>
      <c r="CB65" s="292"/>
      <c r="CC65" s="292"/>
      <c r="CD65" s="292"/>
      <c r="CE65" s="292"/>
      <c r="CF65" s="293"/>
      <c r="CG65" s="210"/>
      <c r="CH65" s="194"/>
      <c r="CI65" s="194"/>
      <c r="CJ65" s="194"/>
    </row>
    <row r="66" spans="1:88" s="2" customFormat="1" ht="30.75" customHeight="1">
      <c r="A66" s="208"/>
      <c r="B66" s="334" t="s">
        <v>63</v>
      </c>
      <c r="C66" s="335"/>
      <c r="D66" s="335"/>
      <c r="E66" s="335"/>
      <c r="F66" s="335"/>
      <c r="G66" s="335"/>
      <c r="H66" s="335"/>
      <c r="I66" s="335"/>
      <c r="J66" s="335"/>
      <c r="K66" s="335"/>
      <c r="L66" s="335"/>
      <c r="M66" s="335"/>
      <c r="N66" s="335"/>
      <c r="O66" s="335"/>
      <c r="P66" s="336"/>
      <c r="Q66" s="322" t="s">
        <v>144</v>
      </c>
      <c r="R66" s="323"/>
      <c r="S66" s="323"/>
      <c r="T66" s="323"/>
      <c r="U66" s="323"/>
      <c r="V66" s="323"/>
      <c r="W66" s="323"/>
      <c r="X66" s="323"/>
      <c r="Y66" s="323"/>
      <c r="Z66" s="323"/>
      <c r="AA66" s="323"/>
      <c r="AB66" s="323"/>
      <c r="AC66" s="323"/>
      <c r="AD66" s="323"/>
      <c r="AE66" s="323"/>
      <c r="AF66" s="323"/>
      <c r="AG66" s="323"/>
      <c r="AH66" s="323"/>
      <c r="AI66" s="323"/>
      <c r="AJ66" s="323"/>
      <c r="AK66" s="323"/>
      <c r="AL66" s="323"/>
      <c r="AM66" s="323"/>
      <c r="AN66" s="323"/>
      <c r="AO66" s="323"/>
      <c r="AP66" s="323"/>
      <c r="AQ66" s="323"/>
      <c r="AR66" s="323"/>
      <c r="AS66" s="323"/>
      <c r="AT66" s="323"/>
      <c r="AU66" s="323"/>
      <c r="AV66" s="323"/>
      <c r="AW66" s="323"/>
      <c r="AX66" s="323"/>
      <c r="AY66" s="323"/>
      <c r="AZ66" s="323"/>
      <c r="BA66" s="323"/>
      <c r="BB66" s="323"/>
      <c r="BC66" s="323"/>
      <c r="BD66" s="323"/>
      <c r="BE66" s="323"/>
      <c r="BF66" s="323"/>
      <c r="BG66" s="323"/>
      <c r="BH66" s="323"/>
      <c r="BI66" s="323"/>
      <c r="BJ66" s="323"/>
      <c r="BK66" s="323"/>
      <c r="BL66" s="323"/>
      <c r="BM66" s="324"/>
      <c r="BN66" s="322"/>
      <c r="BO66" s="323"/>
      <c r="BP66" s="323"/>
      <c r="BQ66" s="323"/>
      <c r="BR66" s="323"/>
      <c r="BS66" s="323"/>
      <c r="BT66" s="323"/>
      <c r="BU66" s="323"/>
      <c r="BV66" s="323"/>
      <c r="BW66" s="323"/>
      <c r="BX66" s="323"/>
      <c r="BY66" s="323"/>
      <c r="BZ66" s="323"/>
      <c r="CA66" s="323"/>
      <c r="CB66" s="323"/>
      <c r="CC66" s="323"/>
      <c r="CD66" s="323"/>
      <c r="CE66" s="323"/>
      <c r="CF66" s="324"/>
      <c r="CG66" s="214"/>
      <c r="CH66" s="216"/>
      <c r="CI66" s="216"/>
      <c r="CJ66" s="216"/>
    </row>
    <row r="67" spans="1:88" s="2" customFormat="1" ht="30.75" customHeight="1">
      <c r="A67" s="208"/>
      <c r="B67" s="282" t="s">
        <v>193</v>
      </c>
      <c r="C67" s="283"/>
      <c r="D67" s="283"/>
      <c r="E67" s="283"/>
      <c r="F67" s="283"/>
      <c r="G67" s="283"/>
      <c r="H67" s="283"/>
      <c r="I67" s="283"/>
      <c r="J67" s="283"/>
      <c r="K67" s="283"/>
      <c r="L67" s="283"/>
      <c r="M67" s="283"/>
      <c r="N67" s="283"/>
      <c r="O67" s="283"/>
      <c r="P67" s="284"/>
      <c r="Q67" s="285" t="s">
        <v>197</v>
      </c>
      <c r="R67" s="337"/>
      <c r="S67" s="337"/>
      <c r="T67" s="337"/>
      <c r="U67" s="337"/>
      <c r="V67" s="337"/>
      <c r="W67" s="337"/>
      <c r="X67" s="337"/>
      <c r="Y67" s="337"/>
      <c r="Z67" s="337"/>
      <c r="AA67" s="337"/>
      <c r="AB67" s="337"/>
      <c r="AC67" s="337"/>
      <c r="AD67" s="337"/>
      <c r="AE67" s="337"/>
      <c r="AF67" s="337"/>
      <c r="AG67" s="337"/>
      <c r="AH67" s="337"/>
      <c r="AI67" s="337"/>
      <c r="AJ67" s="337"/>
      <c r="AK67" s="337"/>
      <c r="AL67" s="337"/>
      <c r="AM67" s="337"/>
      <c r="AN67" s="337"/>
      <c r="AO67" s="337"/>
      <c r="AP67" s="337"/>
      <c r="AQ67" s="337"/>
      <c r="AR67" s="337"/>
      <c r="AS67" s="337"/>
      <c r="AT67" s="337"/>
      <c r="AU67" s="337"/>
      <c r="AV67" s="337"/>
      <c r="AW67" s="337"/>
      <c r="AX67" s="337"/>
      <c r="AY67" s="337"/>
      <c r="AZ67" s="337"/>
      <c r="BA67" s="337"/>
      <c r="BB67" s="337"/>
      <c r="BC67" s="337"/>
      <c r="BD67" s="337"/>
      <c r="BE67" s="337"/>
      <c r="BF67" s="337"/>
      <c r="BG67" s="337"/>
      <c r="BH67" s="337"/>
      <c r="BI67" s="337"/>
      <c r="BJ67" s="337"/>
      <c r="BK67" s="337"/>
      <c r="BL67" s="337"/>
      <c r="BM67" s="338"/>
      <c r="BN67" s="339"/>
      <c r="BO67" s="337"/>
      <c r="BP67" s="337"/>
      <c r="BQ67" s="337"/>
      <c r="BR67" s="337"/>
      <c r="BS67" s="337"/>
      <c r="BT67" s="337"/>
      <c r="BU67" s="337"/>
      <c r="BV67" s="337"/>
      <c r="BW67" s="337"/>
      <c r="BX67" s="337"/>
      <c r="BY67" s="337"/>
      <c r="BZ67" s="337"/>
      <c r="CA67" s="337"/>
      <c r="CB67" s="337"/>
      <c r="CC67" s="337"/>
      <c r="CD67" s="337"/>
      <c r="CE67" s="337"/>
      <c r="CF67" s="338"/>
      <c r="CG67" s="214"/>
      <c r="CH67" s="216"/>
      <c r="CI67" s="216"/>
      <c r="CJ67" s="216"/>
    </row>
    <row r="68" spans="1:88" s="2" customFormat="1" ht="30.75" customHeight="1">
      <c r="A68" s="208"/>
      <c r="B68" s="340" t="s">
        <v>194</v>
      </c>
      <c r="C68" s="341"/>
      <c r="D68" s="341"/>
      <c r="E68" s="341"/>
      <c r="F68" s="341"/>
      <c r="G68" s="341"/>
      <c r="H68" s="341"/>
      <c r="I68" s="341"/>
      <c r="J68" s="341"/>
      <c r="K68" s="341"/>
      <c r="L68" s="341"/>
      <c r="M68" s="341"/>
      <c r="N68" s="341"/>
      <c r="O68" s="341"/>
      <c r="P68" s="342"/>
      <c r="Q68" s="343" t="s">
        <v>195</v>
      </c>
      <c r="R68" s="344"/>
      <c r="S68" s="344"/>
      <c r="T68" s="344"/>
      <c r="U68" s="344"/>
      <c r="V68" s="344"/>
      <c r="W68" s="344"/>
      <c r="X68" s="344"/>
      <c r="Y68" s="344"/>
      <c r="Z68" s="344"/>
      <c r="AA68" s="344"/>
      <c r="AB68" s="344"/>
      <c r="AC68" s="344"/>
      <c r="AD68" s="344"/>
      <c r="AE68" s="344"/>
      <c r="AF68" s="344"/>
      <c r="AG68" s="344"/>
      <c r="AH68" s="344"/>
      <c r="AI68" s="344"/>
      <c r="AJ68" s="344"/>
      <c r="AK68" s="344"/>
      <c r="AL68" s="344"/>
      <c r="AM68" s="344"/>
      <c r="AN68" s="344"/>
      <c r="AO68" s="344"/>
      <c r="AP68" s="344"/>
      <c r="AQ68" s="344"/>
      <c r="AR68" s="344"/>
      <c r="AS68" s="344"/>
      <c r="AT68" s="344"/>
      <c r="AU68" s="344"/>
      <c r="AV68" s="344"/>
      <c r="AW68" s="344"/>
      <c r="AX68" s="344"/>
      <c r="AY68" s="344"/>
      <c r="AZ68" s="344"/>
      <c r="BA68" s="344"/>
      <c r="BB68" s="344"/>
      <c r="BC68" s="344"/>
      <c r="BD68" s="344"/>
      <c r="BE68" s="344"/>
      <c r="BF68" s="344"/>
      <c r="BG68" s="344"/>
      <c r="BH68" s="344"/>
      <c r="BI68" s="344"/>
      <c r="BJ68" s="344"/>
      <c r="BK68" s="344"/>
      <c r="BL68" s="344"/>
      <c r="BM68" s="345"/>
      <c r="BN68" s="355" t="s">
        <v>196</v>
      </c>
      <c r="BO68" s="344"/>
      <c r="BP68" s="344"/>
      <c r="BQ68" s="344"/>
      <c r="BR68" s="344"/>
      <c r="BS68" s="344"/>
      <c r="BT68" s="344"/>
      <c r="BU68" s="344"/>
      <c r="BV68" s="344"/>
      <c r="BW68" s="344"/>
      <c r="BX68" s="344"/>
      <c r="BY68" s="344"/>
      <c r="BZ68" s="344"/>
      <c r="CA68" s="344"/>
      <c r="CB68" s="344"/>
      <c r="CC68" s="344"/>
      <c r="CD68" s="344"/>
      <c r="CE68" s="344"/>
      <c r="CF68" s="345"/>
      <c r="CG68" s="214"/>
      <c r="CH68" s="216"/>
      <c r="CI68" s="216"/>
      <c r="CJ68" s="216"/>
    </row>
    <row r="69" spans="1:88" s="9" customFormat="1" ht="4.5" customHeight="1">
      <c r="A69" s="217"/>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c r="AY69" s="218"/>
      <c r="AZ69" s="218"/>
      <c r="BA69" s="218"/>
      <c r="BB69" s="218"/>
      <c r="BC69" s="218"/>
      <c r="BD69" s="218"/>
      <c r="BE69" s="218"/>
      <c r="BF69" s="218"/>
      <c r="BG69" s="218"/>
      <c r="BH69" s="218"/>
      <c r="BI69" s="218"/>
      <c r="BJ69" s="218"/>
      <c r="BK69" s="218"/>
      <c r="BL69" s="218"/>
      <c r="BM69" s="218"/>
      <c r="BN69" s="218"/>
      <c r="BO69" s="218"/>
      <c r="BP69" s="218"/>
      <c r="BQ69" s="218"/>
      <c r="BR69" s="218"/>
      <c r="BS69" s="218"/>
      <c r="BT69" s="218"/>
      <c r="BU69" s="218"/>
      <c r="BV69" s="218"/>
      <c r="BW69" s="218"/>
      <c r="BX69" s="218"/>
      <c r="BY69" s="218"/>
      <c r="BZ69" s="218"/>
      <c r="CA69" s="218"/>
      <c r="CB69" s="218"/>
      <c r="CC69" s="218"/>
      <c r="CD69" s="218"/>
      <c r="CE69" s="218"/>
      <c r="CF69" s="218"/>
      <c r="CG69" s="219"/>
      <c r="CH69" s="222"/>
      <c r="CI69" s="222"/>
      <c r="CJ69" s="222"/>
    </row>
    <row r="70" spans="1:88" s="18" customFormat="1" ht="3" customHeight="1"/>
    <row r="71" spans="1:88" s="18" customFormat="1" ht="19.5" customHeight="1"/>
    <row r="72" spans="1:88" s="18" customFormat="1" ht="19.5" customHeight="1"/>
    <row r="73" spans="1:88" s="18" customFormat="1" ht="19.5" customHeight="1"/>
    <row r="74" spans="1:88" ht="19.5" customHeight="1"/>
    <row r="75" spans="1:88" ht="19.5" customHeight="1"/>
    <row r="76" spans="1:88" ht="19.5" customHeight="1"/>
    <row r="77" spans="1:88" ht="19.5" customHeight="1"/>
    <row r="78" spans="1:88" ht="19.5" customHeight="1"/>
    <row r="79" spans="1:88" ht="19.5" customHeight="1"/>
    <row r="80" spans="1:88"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7.149999999999999"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sheetData>
  <mergeCells count="96">
    <mergeCell ref="B54:P54"/>
    <mergeCell ref="Q54:BM54"/>
    <mergeCell ref="BN54:CF54"/>
    <mergeCell ref="B49:P49"/>
    <mergeCell ref="Q49:BM49"/>
    <mergeCell ref="B50:P50"/>
    <mergeCell ref="Q50:BM50"/>
    <mergeCell ref="BN50:CF50"/>
    <mergeCell ref="Q55:BM55"/>
    <mergeCell ref="BN55:CF55"/>
    <mergeCell ref="BN49:CF49"/>
    <mergeCell ref="Q53:BM53"/>
    <mergeCell ref="BN53:CF53"/>
    <mergeCell ref="D26:F26"/>
    <mergeCell ref="D27:F27"/>
    <mergeCell ref="D28:F28"/>
    <mergeCell ref="D37:F37"/>
    <mergeCell ref="D38:F38"/>
    <mergeCell ref="D34:F34"/>
    <mergeCell ref="D35:F35"/>
    <mergeCell ref="D36:F36"/>
    <mergeCell ref="D29:F29"/>
    <mergeCell ref="D30:F30"/>
    <mergeCell ref="D31:F31"/>
    <mergeCell ref="D32:F32"/>
    <mergeCell ref="D33:F33"/>
    <mergeCell ref="B68:P68"/>
    <mergeCell ref="Q68:BM68"/>
    <mergeCell ref="D39:F39"/>
    <mergeCell ref="Q56:BM56"/>
    <mergeCell ref="D42:CC42"/>
    <mergeCell ref="D40:F40"/>
    <mergeCell ref="D41:F41"/>
    <mergeCell ref="B59:P59"/>
    <mergeCell ref="Q59:BM59"/>
    <mergeCell ref="BN59:CF59"/>
    <mergeCell ref="B57:P57"/>
    <mergeCell ref="BN68:CF68"/>
    <mergeCell ref="B65:P65"/>
    <mergeCell ref="Q57:BM57"/>
    <mergeCell ref="BN57:CF57"/>
    <mergeCell ref="B55:P55"/>
    <mergeCell ref="Q65:BM65"/>
    <mergeCell ref="BN65:CF65"/>
    <mergeCell ref="B66:P66"/>
    <mergeCell ref="Q66:BM66"/>
    <mergeCell ref="B67:P67"/>
    <mergeCell ref="Q67:BM67"/>
    <mergeCell ref="BN67:CF67"/>
    <mergeCell ref="BN62:CF62"/>
    <mergeCell ref="B60:P60"/>
    <mergeCell ref="Q60:BM60"/>
    <mergeCell ref="BN60:CF60"/>
    <mergeCell ref="B61:P61"/>
    <mergeCell ref="Q61:BM61"/>
    <mergeCell ref="BN61:CF61"/>
    <mergeCell ref="D25:CC25"/>
    <mergeCell ref="BN66:CF66"/>
    <mergeCell ref="B62:P62"/>
    <mergeCell ref="Q62:BM62"/>
    <mergeCell ref="B58:P58"/>
    <mergeCell ref="Q58:BM58"/>
    <mergeCell ref="B53:P53"/>
    <mergeCell ref="BN58:CF58"/>
    <mergeCell ref="B52:P52"/>
    <mergeCell ref="Q52:BM52"/>
    <mergeCell ref="BN52:CF52"/>
    <mergeCell ref="B51:P51"/>
    <mergeCell ref="Q51:BM51"/>
    <mergeCell ref="BN51:CF51"/>
    <mergeCell ref="B56:P56"/>
    <mergeCell ref="BN56:CF56"/>
    <mergeCell ref="BV4:CG4"/>
    <mergeCell ref="Y20:AG20"/>
    <mergeCell ref="AT1:BF1"/>
    <mergeCell ref="A2:BO2"/>
    <mergeCell ref="BP2:BU2"/>
    <mergeCell ref="A3:K3"/>
    <mergeCell ref="L3:BO3"/>
    <mergeCell ref="BP3:BU3"/>
    <mergeCell ref="B63:P63"/>
    <mergeCell ref="Q63:BM63"/>
    <mergeCell ref="BN63:CF63"/>
    <mergeCell ref="D23:CC23"/>
    <mergeCell ref="CA2:CC2"/>
    <mergeCell ref="CD2:CG2"/>
    <mergeCell ref="A7:K7"/>
    <mergeCell ref="L7:CG7"/>
    <mergeCell ref="BV3:CG3"/>
    <mergeCell ref="L10:BU12"/>
    <mergeCell ref="BV10:CF12"/>
    <mergeCell ref="D14:CC14"/>
    <mergeCell ref="D16:CC16"/>
    <mergeCell ref="A4:K4"/>
    <mergeCell ref="L4:BO4"/>
    <mergeCell ref="BP4:BU4"/>
  </mergeCells>
  <phoneticPr fontId="2"/>
  <pageMargins left="0.45" right="0.23" top="0.51" bottom="0.19685039370078741" header="0.7" footer="0.27559055118110237"/>
  <pageSetup paperSize="9" scale="58"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BK72"/>
  <sheetViews>
    <sheetView view="pageBreakPreview" zoomScaleNormal="100" zoomScaleSheetLayoutView="100" workbookViewId="0"/>
  </sheetViews>
  <sheetFormatPr defaultColWidth="1.90625" defaultRowHeight="14"/>
  <cols>
    <col min="1" max="62" width="2.08984375" style="22" customWidth="1"/>
    <col min="63"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33</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332</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8</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66" t="s">
        <v>34</v>
      </c>
      <c r="B9" s="266"/>
      <c r="C9" s="266"/>
      <c r="D9" s="397" t="s">
        <v>239</v>
      </c>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7"/>
      <c r="AH9" s="397"/>
      <c r="AI9" s="397"/>
      <c r="AJ9" s="397"/>
      <c r="AK9" s="397"/>
      <c r="AL9" s="397"/>
      <c r="AM9" s="397"/>
      <c r="AN9" s="397"/>
      <c r="AO9" s="397"/>
      <c r="AP9" s="397"/>
      <c r="AQ9" s="397"/>
      <c r="AR9" s="397"/>
      <c r="AS9" s="397"/>
      <c r="AT9" s="257" t="s">
        <v>240</v>
      </c>
      <c r="AU9" s="258"/>
      <c r="AV9" s="258"/>
      <c r="AW9" s="258"/>
      <c r="AX9" s="258"/>
      <c r="AY9" s="258"/>
      <c r="AZ9" s="258"/>
      <c r="BA9" s="258"/>
      <c r="BB9" s="258"/>
      <c r="BC9" s="258"/>
      <c r="BD9" s="258"/>
      <c r="BE9" s="258"/>
      <c r="BF9" s="258"/>
      <c r="BG9" s="258"/>
      <c r="BH9" s="258"/>
      <c r="BI9" s="258"/>
      <c r="BJ9" s="259"/>
      <c r="BK9" s="188"/>
    </row>
    <row r="10" spans="1:63" ht="25.5" customHeight="1">
      <c r="A10" s="398" t="s">
        <v>95</v>
      </c>
      <c r="B10" s="398"/>
      <c r="C10" s="398"/>
      <c r="D10" s="399" t="s">
        <v>307</v>
      </c>
      <c r="E10" s="399"/>
      <c r="F10" s="399"/>
      <c r="G10" s="399"/>
      <c r="H10" s="399"/>
      <c r="I10" s="399"/>
      <c r="J10" s="399"/>
      <c r="K10" s="399"/>
      <c r="L10" s="399"/>
      <c r="M10" s="399"/>
      <c r="N10" s="399"/>
      <c r="O10" s="399"/>
      <c r="P10" s="399"/>
      <c r="Q10" s="399"/>
      <c r="R10" s="399"/>
      <c r="S10" s="399"/>
      <c r="T10" s="399"/>
      <c r="U10" s="399"/>
      <c r="V10" s="399"/>
      <c r="W10" s="399"/>
      <c r="X10" s="399"/>
      <c r="Y10" s="399"/>
      <c r="Z10" s="399"/>
      <c r="AA10" s="399"/>
      <c r="AB10" s="399"/>
      <c r="AC10" s="399"/>
      <c r="AD10" s="399"/>
      <c r="AE10" s="399"/>
      <c r="AF10" s="399"/>
      <c r="AG10" s="399"/>
      <c r="AH10" s="399"/>
      <c r="AI10" s="399"/>
      <c r="AJ10" s="399"/>
      <c r="AK10" s="399"/>
      <c r="AL10" s="399"/>
      <c r="AM10" s="399"/>
      <c r="AN10" s="399"/>
      <c r="AO10" s="399"/>
      <c r="AP10" s="399"/>
      <c r="AQ10" s="399"/>
      <c r="AR10" s="399"/>
      <c r="AS10" s="399"/>
      <c r="AT10" s="400" t="s">
        <v>241</v>
      </c>
      <c r="AU10" s="401"/>
      <c r="AV10" s="401"/>
      <c r="AW10" s="401"/>
      <c r="AX10" s="401"/>
      <c r="AY10" s="401"/>
      <c r="AZ10" s="401"/>
      <c r="BA10" s="401"/>
      <c r="BB10" s="401"/>
      <c r="BC10" s="401"/>
      <c r="BD10" s="401"/>
      <c r="BE10" s="401"/>
      <c r="BF10" s="401"/>
      <c r="BG10" s="401"/>
      <c r="BH10" s="401"/>
      <c r="BI10" s="401"/>
      <c r="BJ10" s="402"/>
      <c r="BK10" s="3"/>
    </row>
    <row r="11" spans="1:63" ht="25.5" customHeight="1">
      <c r="A11" s="403" t="s">
        <v>64</v>
      </c>
      <c r="B11" s="403"/>
      <c r="C11" s="403"/>
      <c r="D11" s="404" t="s">
        <v>237</v>
      </c>
      <c r="E11" s="404"/>
      <c r="F11" s="404"/>
      <c r="G11" s="404"/>
      <c r="H11" s="404"/>
      <c r="I11" s="404"/>
      <c r="J11" s="404"/>
      <c r="K11" s="404"/>
      <c r="L11" s="404"/>
      <c r="M11" s="404"/>
      <c r="N11" s="404"/>
      <c r="O11" s="404"/>
      <c r="P11" s="404"/>
      <c r="Q11" s="404"/>
      <c r="R11" s="404"/>
      <c r="S11" s="404"/>
      <c r="T11" s="404"/>
      <c r="U11" s="404"/>
      <c r="V11" s="404"/>
      <c r="W11" s="404"/>
      <c r="X11" s="404"/>
      <c r="Y11" s="404"/>
      <c r="Z11" s="404"/>
      <c r="AA11" s="404"/>
      <c r="AB11" s="404"/>
      <c r="AC11" s="404"/>
      <c r="AD11" s="404"/>
      <c r="AE11" s="404"/>
      <c r="AF11" s="404"/>
      <c r="AG11" s="404"/>
      <c r="AH11" s="404"/>
      <c r="AI11" s="404"/>
      <c r="AJ11" s="404"/>
      <c r="AK11" s="404"/>
      <c r="AL11" s="404"/>
      <c r="AM11" s="404"/>
      <c r="AN11" s="404"/>
      <c r="AO11" s="404"/>
      <c r="AP11" s="404"/>
      <c r="AQ11" s="404"/>
      <c r="AR11" s="404"/>
      <c r="AS11" s="404"/>
      <c r="AT11" s="414" t="s">
        <v>241</v>
      </c>
      <c r="AU11" s="415"/>
      <c r="AV11" s="415"/>
      <c r="AW11" s="415"/>
      <c r="AX11" s="415"/>
      <c r="AY11" s="415"/>
      <c r="AZ11" s="415"/>
      <c r="BA11" s="415"/>
      <c r="BB11" s="415"/>
      <c r="BC11" s="415"/>
      <c r="BD11" s="415"/>
      <c r="BE11" s="415"/>
      <c r="BF11" s="415"/>
      <c r="BG11" s="415"/>
      <c r="BH11" s="415"/>
      <c r="BI11" s="415"/>
      <c r="BJ11" s="416"/>
      <c r="BK11" s="18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408" t="s">
        <v>34</v>
      </c>
      <c r="B13" s="409"/>
      <c r="C13" s="410"/>
      <c r="D13" s="408" t="s">
        <v>35</v>
      </c>
      <c r="E13" s="409"/>
      <c r="F13" s="409"/>
      <c r="G13" s="409"/>
      <c r="H13" s="409"/>
      <c r="I13" s="409"/>
      <c r="J13" s="409"/>
      <c r="K13" s="409"/>
      <c r="L13" s="409"/>
      <c r="M13" s="409"/>
      <c r="N13" s="409"/>
      <c r="O13" s="409"/>
      <c r="P13" s="409"/>
      <c r="Q13" s="409"/>
      <c r="R13" s="410"/>
      <c r="S13" s="408" t="s">
        <v>36</v>
      </c>
      <c r="T13" s="409"/>
      <c r="U13" s="410"/>
      <c r="V13" s="405" t="s">
        <v>37</v>
      </c>
      <c r="W13" s="406"/>
      <c r="X13" s="406"/>
      <c r="Y13" s="407"/>
      <c r="Z13" s="408" t="s">
        <v>38</v>
      </c>
      <c r="AA13" s="409"/>
      <c r="AB13" s="409"/>
      <c r="AC13" s="410"/>
      <c r="AD13" s="391" t="s">
        <v>39</v>
      </c>
      <c r="AE13" s="392"/>
      <c r="AF13" s="393"/>
      <c r="AG13" s="391" t="s">
        <v>40</v>
      </c>
      <c r="AH13" s="392"/>
      <c r="AI13" s="393"/>
      <c r="AJ13" s="391" t="s">
        <v>41</v>
      </c>
      <c r="AK13" s="392"/>
      <c r="AL13" s="393"/>
      <c r="AM13" s="408" t="s">
        <v>42</v>
      </c>
      <c r="AN13" s="409"/>
      <c r="AO13" s="409"/>
      <c r="AP13" s="409"/>
      <c r="AQ13" s="409"/>
      <c r="AR13" s="409"/>
      <c r="AS13" s="409"/>
      <c r="AT13" s="409"/>
      <c r="AU13" s="409"/>
      <c r="AV13" s="409"/>
      <c r="AW13" s="409"/>
      <c r="AX13" s="409"/>
      <c r="AY13" s="409"/>
      <c r="AZ13" s="409"/>
      <c r="BA13" s="409"/>
      <c r="BB13" s="409"/>
      <c r="BC13" s="409"/>
      <c r="BD13" s="409"/>
      <c r="BE13" s="409"/>
      <c r="BF13" s="409"/>
      <c r="BG13" s="409"/>
      <c r="BH13" s="409"/>
      <c r="BI13" s="409"/>
      <c r="BJ13" s="410"/>
    </row>
    <row r="14" spans="1:63" s="23" customFormat="1" ht="20.25" customHeight="1">
      <c r="A14" s="411"/>
      <c r="B14" s="412"/>
      <c r="C14" s="413"/>
      <c r="D14" s="411"/>
      <c r="E14" s="412"/>
      <c r="F14" s="412"/>
      <c r="G14" s="412"/>
      <c r="H14" s="412"/>
      <c r="I14" s="412"/>
      <c r="J14" s="412"/>
      <c r="K14" s="412"/>
      <c r="L14" s="412"/>
      <c r="M14" s="412"/>
      <c r="N14" s="412"/>
      <c r="O14" s="412"/>
      <c r="P14" s="412"/>
      <c r="Q14" s="412"/>
      <c r="R14" s="413"/>
      <c r="S14" s="411"/>
      <c r="T14" s="412"/>
      <c r="U14" s="413"/>
      <c r="V14" s="428" t="s">
        <v>43</v>
      </c>
      <c r="W14" s="429"/>
      <c r="X14" s="429" t="s">
        <v>44</v>
      </c>
      <c r="Y14" s="430"/>
      <c r="Z14" s="411"/>
      <c r="AA14" s="412"/>
      <c r="AB14" s="412"/>
      <c r="AC14" s="413"/>
      <c r="AD14" s="394"/>
      <c r="AE14" s="395"/>
      <c r="AF14" s="396"/>
      <c r="AG14" s="394"/>
      <c r="AH14" s="395"/>
      <c r="AI14" s="396"/>
      <c r="AJ14" s="394"/>
      <c r="AK14" s="395"/>
      <c r="AL14" s="396"/>
      <c r="AM14" s="411"/>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3"/>
    </row>
    <row r="15" spans="1:63" ht="30.75" customHeight="1">
      <c r="A15" s="367">
        <f>ROW()-14</f>
        <v>1</v>
      </c>
      <c r="B15" s="368"/>
      <c r="C15" s="369"/>
      <c r="D15" s="417" t="s">
        <v>242</v>
      </c>
      <c r="E15" s="418"/>
      <c r="F15" s="418"/>
      <c r="G15" s="418"/>
      <c r="H15" s="418"/>
      <c r="I15" s="418"/>
      <c r="J15" s="418"/>
      <c r="K15" s="418"/>
      <c r="L15" s="418"/>
      <c r="M15" s="418"/>
      <c r="N15" s="418"/>
      <c r="O15" s="418"/>
      <c r="P15" s="418"/>
      <c r="Q15" s="418"/>
      <c r="R15" s="419"/>
      <c r="S15" s="420"/>
      <c r="T15" s="421"/>
      <c r="U15" s="422"/>
      <c r="V15" s="420" t="s">
        <v>470</v>
      </c>
      <c r="W15" s="421"/>
      <c r="X15" s="423" t="s">
        <v>470</v>
      </c>
      <c r="Y15" s="424"/>
      <c r="Z15" s="420"/>
      <c r="AA15" s="377"/>
      <c r="AB15" s="377"/>
      <c r="AC15" s="378"/>
      <c r="AD15" s="376"/>
      <c r="AE15" s="377"/>
      <c r="AF15" s="378"/>
      <c r="AG15" s="376"/>
      <c r="AH15" s="377"/>
      <c r="AI15" s="378"/>
      <c r="AJ15" s="376"/>
      <c r="AK15" s="377"/>
      <c r="AL15" s="378"/>
      <c r="AM15" s="425"/>
      <c r="AN15" s="426"/>
      <c r="AO15" s="426"/>
      <c r="AP15" s="426"/>
      <c r="AQ15" s="426"/>
      <c r="AR15" s="426"/>
      <c r="AS15" s="426"/>
      <c r="AT15" s="426"/>
      <c r="AU15" s="426"/>
      <c r="AV15" s="426"/>
      <c r="AW15" s="426"/>
      <c r="AX15" s="426"/>
      <c r="AY15" s="426"/>
      <c r="AZ15" s="426"/>
      <c r="BA15" s="426"/>
      <c r="BB15" s="426"/>
      <c r="BC15" s="426"/>
      <c r="BD15" s="426"/>
      <c r="BE15" s="426"/>
      <c r="BF15" s="426"/>
      <c r="BG15" s="426"/>
      <c r="BH15" s="426"/>
      <c r="BI15" s="426"/>
      <c r="BJ15" s="427"/>
    </row>
    <row r="16" spans="1:63" ht="30.75" customHeight="1">
      <c r="A16" s="367">
        <f t="shared" ref="A16:A44" si="0">ROW()-14</f>
        <v>2</v>
      </c>
      <c r="B16" s="368"/>
      <c r="C16" s="369"/>
      <c r="D16" s="379" t="s">
        <v>89</v>
      </c>
      <c r="E16" s="380"/>
      <c r="F16" s="380"/>
      <c r="G16" s="380"/>
      <c r="H16" s="380"/>
      <c r="I16" s="380"/>
      <c r="J16" s="380"/>
      <c r="K16" s="380"/>
      <c r="L16" s="380"/>
      <c r="M16" s="380"/>
      <c r="N16" s="380"/>
      <c r="O16" s="380"/>
      <c r="P16" s="380"/>
      <c r="Q16" s="380"/>
      <c r="R16" s="381"/>
      <c r="S16" s="376" t="s">
        <v>132</v>
      </c>
      <c r="T16" s="377"/>
      <c r="U16" s="378"/>
      <c r="V16" s="382" t="s">
        <v>64</v>
      </c>
      <c r="W16" s="371"/>
      <c r="X16" s="365" t="s">
        <v>64</v>
      </c>
      <c r="Y16" s="366"/>
      <c r="Z16" s="382" t="s">
        <v>473</v>
      </c>
      <c r="AA16" s="371"/>
      <c r="AB16" s="371"/>
      <c r="AC16" s="366"/>
      <c r="AD16" s="382"/>
      <c r="AE16" s="371"/>
      <c r="AF16" s="366"/>
      <c r="AG16" s="382"/>
      <c r="AH16" s="371"/>
      <c r="AI16" s="366"/>
      <c r="AJ16" s="372" t="s">
        <v>78</v>
      </c>
      <c r="AK16" s="373"/>
      <c r="AL16" s="375"/>
      <c r="AM16" s="390" t="s">
        <v>381</v>
      </c>
      <c r="AN16" s="380"/>
      <c r="AO16" s="380"/>
      <c r="AP16" s="380"/>
      <c r="AQ16" s="380"/>
      <c r="AR16" s="380"/>
      <c r="AS16" s="380"/>
      <c r="AT16" s="380"/>
      <c r="AU16" s="380"/>
      <c r="AV16" s="380"/>
      <c r="AW16" s="380"/>
      <c r="AX16" s="380"/>
      <c r="AY16" s="380"/>
      <c r="AZ16" s="380"/>
      <c r="BA16" s="380"/>
      <c r="BB16" s="380"/>
      <c r="BC16" s="380"/>
      <c r="BD16" s="380"/>
      <c r="BE16" s="380"/>
      <c r="BF16" s="380"/>
      <c r="BG16" s="380"/>
      <c r="BH16" s="380"/>
      <c r="BI16" s="380"/>
      <c r="BJ16" s="381"/>
    </row>
    <row r="17" spans="1:62" ht="30.75" customHeight="1">
      <c r="A17" s="367">
        <f t="shared" si="0"/>
        <v>3</v>
      </c>
      <c r="B17" s="368"/>
      <c r="C17" s="369"/>
      <c r="D17" s="379" t="s">
        <v>256</v>
      </c>
      <c r="E17" s="380"/>
      <c r="F17" s="380"/>
      <c r="G17" s="380"/>
      <c r="H17" s="380"/>
      <c r="I17" s="380"/>
      <c r="J17" s="380"/>
      <c r="K17" s="380"/>
      <c r="L17" s="380"/>
      <c r="M17" s="380"/>
      <c r="N17" s="380"/>
      <c r="O17" s="380"/>
      <c r="P17" s="380"/>
      <c r="Q17" s="380"/>
      <c r="R17" s="381"/>
      <c r="S17" s="382" t="s">
        <v>130</v>
      </c>
      <c r="T17" s="371"/>
      <c r="U17" s="366"/>
      <c r="V17" s="370" t="s">
        <v>118</v>
      </c>
      <c r="W17" s="371"/>
      <c r="X17" s="365" t="s">
        <v>108</v>
      </c>
      <c r="Y17" s="366"/>
      <c r="Z17" s="383" t="s">
        <v>344</v>
      </c>
      <c r="AA17" s="384"/>
      <c r="AB17" s="384"/>
      <c r="AC17" s="385"/>
      <c r="AD17" s="382"/>
      <c r="AE17" s="371"/>
      <c r="AF17" s="366"/>
      <c r="AG17" s="382"/>
      <c r="AH17" s="371"/>
      <c r="AI17" s="366"/>
      <c r="AJ17" s="372" t="s">
        <v>78</v>
      </c>
      <c r="AK17" s="373"/>
      <c r="AL17" s="375"/>
      <c r="AM17" s="390"/>
      <c r="AN17" s="380"/>
      <c r="AO17" s="380"/>
      <c r="AP17" s="380"/>
      <c r="AQ17" s="380"/>
      <c r="AR17" s="380"/>
      <c r="AS17" s="380"/>
      <c r="AT17" s="380"/>
      <c r="AU17" s="380"/>
      <c r="AV17" s="380"/>
      <c r="AW17" s="380"/>
      <c r="AX17" s="380"/>
      <c r="AY17" s="380"/>
      <c r="AZ17" s="380"/>
      <c r="BA17" s="380"/>
      <c r="BB17" s="380"/>
      <c r="BC17" s="380"/>
      <c r="BD17" s="380"/>
      <c r="BE17" s="380"/>
      <c r="BF17" s="380"/>
      <c r="BG17" s="380"/>
      <c r="BH17" s="380"/>
      <c r="BI17" s="380"/>
      <c r="BJ17" s="381"/>
    </row>
    <row r="18" spans="1:62" ht="41.15" customHeight="1">
      <c r="A18" s="367">
        <f t="shared" si="0"/>
        <v>4</v>
      </c>
      <c r="B18" s="368"/>
      <c r="C18" s="369"/>
      <c r="D18" s="379" t="s">
        <v>90</v>
      </c>
      <c r="E18" s="380"/>
      <c r="F18" s="380"/>
      <c r="G18" s="380"/>
      <c r="H18" s="380"/>
      <c r="I18" s="380"/>
      <c r="J18" s="380"/>
      <c r="K18" s="380"/>
      <c r="L18" s="380"/>
      <c r="M18" s="380"/>
      <c r="N18" s="380"/>
      <c r="O18" s="380"/>
      <c r="P18" s="380"/>
      <c r="Q18" s="380"/>
      <c r="R18" s="381"/>
      <c r="S18" s="376" t="s">
        <v>132</v>
      </c>
      <c r="T18" s="377"/>
      <c r="U18" s="378"/>
      <c r="V18" s="370" t="s">
        <v>118</v>
      </c>
      <c r="W18" s="371"/>
      <c r="X18" s="446" t="s">
        <v>118</v>
      </c>
      <c r="Y18" s="366"/>
      <c r="Z18" s="386" t="s">
        <v>244</v>
      </c>
      <c r="AA18" s="387"/>
      <c r="AB18" s="387"/>
      <c r="AC18" s="388"/>
      <c r="AD18" s="382"/>
      <c r="AE18" s="371"/>
      <c r="AF18" s="366"/>
      <c r="AG18" s="382" t="s">
        <v>78</v>
      </c>
      <c r="AH18" s="371"/>
      <c r="AI18" s="366"/>
      <c r="AJ18" s="372" t="s">
        <v>78</v>
      </c>
      <c r="AK18" s="373"/>
      <c r="AL18" s="375"/>
      <c r="AM18" s="390" t="s">
        <v>298</v>
      </c>
      <c r="AN18" s="380"/>
      <c r="AO18" s="380"/>
      <c r="AP18" s="380"/>
      <c r="AQ18" s="380"/>
      <c r="AR18" s="380"/>
      <c r="AS18" s="380"/>
      <c r="AT18" s="380"/>
      <c r="AU18" s="380"/>
      <c r="AV18" s="380"/>
      <c r="AW18" s="380"/>
      <c r="AX18" s="380"/>
      <c r="AY18" s="380"/>
      <c r="AZ18" s="380"/>
      <c r="BA18" s="380"/>
      <c r="BB18" s="380"/>
      <c r="BC18" s="380"/>
      <c r="BD18" s="380"/>
      <c r="BE18" s="380"/>
      <c r="BF18" s="380"/>
      <c r="BG18" s="380"/>
      <c r="BH18" s="380"/>
      <c r="BI18" s="380"/>
      <c r="BJ18" s="381"/>
    </row>
    <row r="19" spans="1:62" ht="30.75" customHeight="1">
      <c r="A19" s="367">
        <f t="shared" si="0"/>
        <v>5</v>
      </c>
      <c r="B19" s="368"/>
      <c r="C19" s="369"/>
      <c r="D19" s="379" t="s">
        <v>91</v>
      </c>
      <c r="E19" s="380"/>
      <c r="F19" s="380"/>
      <c r="G19" s="380"/>
      <c r="H19" s="380"/>
      <c r="I19" s="380"/>
      <c r="J19" s="380"/>
      <c r="K19" s="380"/>
      <c r="L19" s="380"/>
      <c r="M19" s="380"/>
      <c r="N19" s="380"/>
      <c r="O19" s="380"/>
      <c r="P19" s="380"/>
      <c r="Q19" s="380"/>
      <c r="R19" s="381"/>
      <c r="S19" s="376" t="s">
        <v>132</v>
      </c>
      <c r="T19" s="377"/>
      <c r="U19" s="378"/>
      <c r="V19" s="382" t="s">
        <v>76</v>
      </c>
      <c r="W19" s="371"/>
      <c r="X19" s="365" t="s">
        <v>76</v>
      </c>
      <c r="Y19" s="366"/>
      <c r="Z19" s="177" t="s">
        <v>474</v>
      </c>
      <c r="AA19" s="145"/>
      <c r="AB19" s="145"/>
      <c r="AC19" s="146"/>
      <c r="AD19" s="382"/>
      <c r="AE19" s="371"/>
      <c r="AF19" s="366"/>
      <c r="AG19" s="382"/>
      <c r="AH19" s="371"/>
      <c r="AI19" s="366"/>
      <c r="AJ19" s="372" t="s">
        <v>78</v>
      </c>
      <c r="AK19" s="373"/>
      <c r="AL19" s="375"/>
      <c r="AM19" s="390"/>
      <c r="AN19" s="380"/>
      <c r="AO19" s="380"/>
      <c r="AP19" s="380"/>
      <c r="AQ19" s="380"/>
      <c r="AR19" s="380"/>
      <c r="AS19" s="380"/>
      <c r="AT19" s="380"/>
      <c r="AU19" s="380"/>
      <c r="AV19" s="380"/>
      <c r="AW19" s="380"/>
      <c r="AX19" s="380"/>
      <c r="AY19" s="380"/>
      <c r="AZ19" s="380"/>
      <c r="BA19" s="380"/>
      <c r="BB19" s="380"/>
      <c r="BC19" s="380"/>
      <c r="BD19" s="380"/>
      <c r="BE19" s="380"/>
      <c r="BF19" s="380"/>
      <c r="BG19" s="380"/>
      <c r="BH19" s="380"/>
      <c r="BI19" s="380"/>
      <c r="BJ19" s="381"/>
    </row>
    <row r="20" spans="1:62" ht="30.75" customHeight="1">
      <c r="A20" s="367">
        <f t="shared" si="0"/>
        <v>6</v>
      </c>
      <c r="B20" s="368"/>
      <c r="C20" s="369"/>
      <c r="D20" s="379" t="s">
        <v>258</v>
      </c>
      <c r="E20" s="380"/>
      <c r="F20" s="380"/>
      <c r="G20" s="380"/>
      <c r="H20" s="380"/>
      <c r="I20" s="380"/>
      <c r="J20" s="380"/>
      <c r="K20" s="380"/>
      <c r="L20" s="380"/>
      <c r="M20" s="380"/>
      <c r="N20" s="380"/>
      <c r="O20" s="380"/>
      <c r="P20" s="380"/>
      <c r="Q20" s="380"/>
      <c r="R20" s="381"/>
      <c r="S20" s="382" t="s">
        <v>130</v>
      </c>
      <c r="T20" s="371"/>
      <c r="U20" s="366"/>
      <c r="V20" s="370" t="s">
        <v>118</v>
      </c>
      <c r="W20" s="371"/>
      <c r="X20" s="365" t="s">
        <v>113</v>
      </c>
      <c r="Y20" s="366"/>
      <c r="Z20" s="383" t="s">
        <v>344</v>
      </c>
      <c r="AA20" s="384"/>
      <c r="AB20" s="384"/>
      <c r="AC20" s="385"/>
      <c r="AD20" s="382"/>
      <c r="AE20" s="371"/>
      <c r="AF20" s="366"/>
      <c r="AG20" s="382"/>
      <c r="AH20" s="371"/>
      <c r="AI20" s="366"/>
      <c r="AJ20" s="372" t="s">
        <v>78</v>
      </c>
      <c r="AK20" s="373"/>
      <c r="AL20" s="375"/>
      <c r="AM20" s="390"/>
      <c r="AN20" s="380"/>
      <c r="AO20" s="380"/>
      <c r="AP20" s="380"/>
      <c r="AQ20" s="380"/>
      <c r="AR20" s="380"/>
      <c r="AS20" s="380"/>
      <c r="AT20" s="380"/>
      <c r="AU20" s="380"/>
      <c r="AV20" s="380"/>
      <c r="AW20" s="380"/>
      <c r="AX20" s="380"/>
      <c r="AY20" s="380"/>
      <c r="AZ20" s="380"/>
      <c r="BA20" s="380"/>
      <c r="BB20" s="380"/>
      <c r="BC20" s="380"/>
      <c r="BD20" s="380"/>
      <c r="BE20" s="380"/>
      <c r="BF20" s="380"/>
      <c r="BG20" s="380"/>
      <c r="BH20" s="380"/>
      <c r="BI20" s="380"/>
      <c r="BJ20" s="381"/>
    </row>
    <row r="21" spans="1:62" ht="30.75" customHeight="1">
      <c r="A21" s="367">
        <f t="shared" si="0"/>
        <v>7</v>
      </c>
      <c r="B21" s="368"/>
      <c r="C21" s="369"/>
      <c r="D21" s="379" t="s">
        <v>93</v>
      </c>
      <c r="E21" s="380"/>
      <c r="F21" s="380"/>
      <c r="G21" s="380"/>
      <c r="H21" s="380"/>
      <c r="I21" s="380"/>
      <c r="J21" s="380"/>
      <c r="K21" s="380"/>
      <c r="L21" s="380"/>
      <c r="M21" s="380"/>
      <c r="N21" s="380"/>
      <c r="O21" s="380"/>
      <c r="P21" s="380"/>
      <c r="Q21" s="380"/>
      <c r="R21" s="381"/>
      <c r="S21" s="376" t="s">
        <v>132</v>
      </c>
      <c r="T21" s="377"/>
      <c r="U21" s="378"/>
      <c r="V21" s="372" t="s">
        <v>75</v>
      </c>
      <c r="W21" s="373"/>
      <c r="X21" s="374" t="s">
        <v>75</v>
      </c>
      <c r="Y21" s="375"/>
      <c r="Z21" s="177" t="s">
        <v>474</v>
      </c>
      <c r="AA21" s="145"/>
      <c r="AB21" s="145"/>
      <c r="AC21" s="146"/>
      <c r="AD21" s="382"/>
      <c r="AE21" s="371"/>
      <c r="AF21" s="366"/>
      <c r="AG21" s="382"/>
      <c r="AH21" s="371"/>
      <c r="AI21" s="366"/>
      <c r="AJ21" s="372" t="s">
        <v>78</v>
      </c>
      <c r="AK21" s="373"/>
      <c r="AL21" s="375"/>
      <c r="AM21" s="390"/>
      <c r="AN21" s="380"/>
      <c r="AO21" s="380"/>
      <c r="AP21" s="380"/>
      <c r="AQ21" s="380"/>
      <c r="AR21" s="380"/>
      <c r="AS21" s="380"/>
      <c r="AT21" s="380"/>
      <c r="AU21" s="380"/>
      <c r="AV21" s="380"/>
      <c r="AW21" s="380"/>
      <c r="AX21" s="380"/>
      <c r="AY21" s="380"/>
      <c r="AZ21" s="380"/>
      <c r="BA21" s="380"/>
      <c r="BB21" s="380"/>
      <c r="BC21" s="380"/>
      <c r="BD21" s="380"/>
      <c r="BE21" s="380"/>
      <c r="BF21" s="380"/>
      <c r="BG21" s="380"/>
      <c r="BH21" s="380"/>
      <c r="BI21" s="380"/>
      <c r="BJ21" s="381"/>
    </row>
    <row r="22" spans="1:62" ht="30.75" customHeight="1">
      <c r="A22" s="367">
        <f t="shared" si="0"/>
        <v>8</v>
      </c>
      <c r="B22" s="368"/>
      <c r="C22" s="369"/>
      <c r="D22" s="379" t="s">
        <v>259</v>
      </c>
      <c r="E22" s="380"/>
      <c r="F22" s="380"/>
      <c r="G22" s="380"/>
      <c r="H22" s="380"/>
      <c r="I22" s="380"/>
      <c r="J22" s="380"/>
      <c r="K22" s="380"/>
      <c r="L22" s="380"/>
      <c r="M22" s="380"/>
      <c r="N22" s="380"/>
      <c r="O22" s="380"/>
      <c r="P22" s="380"/>
      <c r="Q22" s="380"/>
      <c r="R22" s="381"/>
      <c r="S22" s="144" t="s">
        <v>250</v>
      </c>
      <c r="T22" s="145"/>
      <c r="U22" s="146"/>
      <c r="V22" s="370" t="s">
        <v>118</v>
      </c>
      <c r="W22" s="371"/>
      <c r="X22" s="365" t="s">
        <v>154</v>
      </c>
      <c r="Y22" s="366"/>
      <c r="Z22" s="383" t="s">
        <v>344</v>
      </c>
      <c r="AA22" s="384"/>
      <c r="AB22" s="384"/>
      <c r="AC22" s="385"/>
      <c r="AD22" s="382"/>
      <c r="AE22" s="371"/>
      <c r="AF22" s="366"/>
      <c r="AG22" s="382"/>
      <c r="AH22" s="371"/>
      <c r="AI22" s="366"/>
      <c r="AJ22" s="372" t="s">
        <v>78</v>
      </c>
      <c r="AK22" s="373"/>
      <c r="AL22" s="375"/>
      <c r="AM22" s="440"/>
      <c r="AN22" s="441"/>
      <c r="AO22" s="441"/>
      <c r="AP22" s="441"/>
      <c r="AQ22" s="441"/>
      <c r="AR22" s="441"/>
      <c r="AS22" s="441"/>
      <c r="AT22" s="441"/>
      <c r="AU22" s="441"/>
      <c r="AV22" s="441"/>
      <c r="AW22" s="441"/>
      <c r="AX22" s="441"/>
      <c r="AY22" s="441"/>
      <c r="AZ22" s="441"/>
      <c r="BA22" s="441"/>
      <c r="BB22" s="441"/>
      <c r="BC22" s="441"/>
      <c r="BD22" s="441"/>
      <c r="BE22" s="441"/>
      <c r="BF22" s="441"/>
      <c r="BG22" s="441"/>
      <c r="BH22" s="441"/>
      <c r="BI22" s="441"/>
      <c r="BJ22" s="442"/>
    </row>
    <row r="23" spans="1:62" ht="30.75" customHeight="1">
      <c r="A23" s="367">
        <f t="shared" si="0"/>
        <v>9</v>
      </c>
      <c r="B23" s="368"/>
      <c r="C23" s="369"/>
      <c r="D23" s="379" t="s">
        <v>73</v>
      </c>
      <c r="E23" s="380"/>
      <c r="F23" s="380"/>
      <c r="G23" s="380"/>
      <c r="H23" s="380"/>
      <c r="I23" s="380"/>
      <c r="J23" s="380"/>
      <c r="K23" s="380"/>
      <c r="L23" s="380"/>
      <c r="M23" s="380"/>
      <c r="N23" s="380"/>
      <c r="O23" s="380"/>
      <c r="P23" s="380"/>
      <c r="Q23" s="380"/>
      <c r="R23" s="381"/>
      <c r="S23" s="376" t="s">
        <v>132</v>
      </c>
      <c r="T23" s="377"/>
      <c r="U23" s="378"/>
      <c r="V23" s="382" t="s">
        <v>76</v>
      </c>
      <c r="W23" s="371"/>
      <c r="X23" s="365" t="s">
        <v>76</v>
      </c>
      <c r="Y23" s="366"/>
      <c r="Z23" s="382" t="s">
        <v>253</v>
      </c>
      <c r="AA23" s="371"/>
      <c r="AB23" s="371"/>
      <c r="AC23" s="366"/>
      <c r="AD23" s="382"/>
      <c r="AE23" s="371"/>
      <c r="AF23" s="366"/>
      <c r="AG23" s="382"/>
      <c r="AH23" s="371"/>
      <c r="AI23" s="366"/>
      <c r="AJ23" s="372" t="s">
        <v>78</v>
      </c>
      <c r="AK23" s="373"/>
      <c r="AL23" s="375"/>
      <c r="AM23" s="390"/>
      <c r="AN23" s="380"/>
      <c r="AO23" s="380"/>
      <c r="AP23" s="380"/>
      <c r="AQ23" s="380"/>
      <c r="AR23" s="380"/>
      <c r="AS23" s="380"/>
      <c r="AT23" s="380"/>
      <c r="AU23" s="380"/>
      <c r="AV23" s="380"/>
      <c r="AW23" s="380"/>
      <c r="AX23" s="380"/>
      <c r="AY23" s="380"/>
      <c r="AZ23" s="380"/>
      <c r="BA23" s="380"/>
      <c r="BB23" s="380"/>
      <c r="BC23" s="380"/>
      <c r="BD23" s="380"/>
      <c r="BE23" s="380"/>
      <c r="BF23" s="380"/>
      <c r="BG23" s="380"/>
      <c r="BH23" s="380"/>
      <c r="BI23" s="380"/>
      <c r="BJ23" s="381"/>
    </row>
    <row r="24" spans="1:62" ht="30.75" customHeight="1">
      <c r="A24" s="367">
        <f t="shared" si="0"/>
        <v>10</v>
      </c>
      <c r="B24" s="368"/>
      <c r="C24" s="369"/>
      <c r="D24" s="379" t="s">
        <v>74</v>
      </c>
      <c r="E24" s="380"/>
      <c r="F24" s="380"/>
      <c r="G24" s="380"/>
      <c r="H24" s="380"/>
      <c r="I24" s="380"/>
      <c r="J24" s="380"/>
      <c r="K24" s="380"/>
      <c r="L24" s="380"/>
      <c r="M24" s="380"/>
      <c r="N24" s="380"/>
      <c r="O24" s="380"/>
      <c r="P24" s="380"/>
      <c r="Q24" s="380"/>
      <c r="R24" s="381"/>
      <c r="S24" s="376" t="s">
        <v>132</v>
      </c>
      <c r="T24" s="377"/>
      <c r="U24" s="378"/>
      <c r="V24" s="382" t="s">
        <v>64</v>
      </c>
      <c r="W24" s="371"/>
      <c r="X24" s="365" t="s">
        <v>64</v>
      </c>
      <c r="Y24" s="366"/>
      <c r="Z24" s="382" t="s">
        <v>253</v>
      </c>
      <c r="AA24" s="371"/>
      <c r="AB24" s="371"/>
      <c r="AC24" s="366"/>
      <c r="AD24" s="382"/>
      <c r="AE24" s="371"/>
      <c r="AF24" s="366"/>
      <c r="AG24" s="382"/>
      <c r="AH24" s="371"/>
      <c r="AI24" s="366"/>
      <c r="AJ24" s="372" t="s">
        <v>78</v>
      </c>
      <c r="AK24" s="373"/>
      <c r="AL24" s="375"/>
      <c r="AM24" s="390"/>
      <c r="AN24" s="380"/>
      <c r="AO24" s="380"/>
      <c r="AP24" s="380"/>
      <c r="AQ24" s="380"/>
      <c r="AR24" s="380"/>
      <c r="AS24" s="380"/>
      <c r="AT24" s="380"/>
      <c r="AU24" s="380"/>
      <c r="AV24" s="380"/>
      <c r="AW24" s="380"/>
      <c r="AX24" s="380"/>
      <c r="AY24" s="380"/>
      <c r="AZ24" s="380"/>
      <c r="BA24" s="380"/>
      <c r="BB24" s="380"/>
      <c r="BC24" s="380"/>
      <c r="BD24" s="380"/>
      <c r="BE24" s="380"/>
      <c r="BF24" s="380"/>
      <c r="BG24" s="380"/>
      <c r="BH24" s="380"/>
      <c r="BI24" s="380"/>
      <c r="BJ24" s="381"/>
    </row>
    <row r="25" spans="1:62" ht="30.75" customHeight="1">
      <c r="A25" s="367">
        <f t="shared" si="0"/>
        <v>11</v>
      </c>
      <c r="B25" s="368"/>
      <c r="C25" s="369"/>
      <c r="D25" s="379" t="s">
        <v>127</v>
      </c>
      <c r="E25" s="380"/>
      <c r="F25" s="380"/>
      <c r="G25" s="380"/>
      <c r="H25" s="380"/>
      <c r="I25" s="380"/>
      <c r="J25" s="380"/>
      <c r="K25" s="380"/>
      <c r="L25" s="380"/>
      <c r="M25" s="380"/>
      <c r="N25" s="380"/>
      <c r="O25" s="380"/>
      <c r="P25" s="380"/>
      <c r="Q25" s="380"/>
      <c r="R25" s="381"/>
      <c r="S25" s="376" t="s">
        <v>132</v>
      </c>
      <c r="T25" s="377"/>
      <c r="U25" s="378"/>
      <c r="V25" s="382" t="s">
        <v>75</v>
      </c>
      <c r="W25" s="371"/>
      <c r="X25" s="365" t="s">
        <v>106</v>
      </c>
      <c r="Y25" s="366"/>
      <c r="Z25" s="382" t="s">
        <v>253</v>
      </c>
      <c r="AA25" s="371"/>
      <c r="AB25" s="371"/>
      <c r="AC25" s="366"/>
      <c r="AD25" s="382"/>
      <c r="AE25" s="371"/>
      <c r="AF25" s="366"/>
      <c r="AG25" s="382"/>
      <c r="AH25" s="371"/>
      <c r="AI25" s="366"/>
      <c r="AJ25" s="372" t="s">
        <v>78</v>
      </c>
      <c r="AK25" s="373"/>
      <c r="AL25" s="375"/>
      <c r="AM25" s="390"/>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1"/>
    </row>
    <row r="26" spans="1:62" ht="30.75" customHeight="1">
      <c r="A26" s="367">
        <f t="shared" si="0"/>
        <v>12</v>
      </c>
      <c r="B26" s="368"/>
      <c r="C26" s="369"/>
      <c r="D26" s="379" t="s">
        <v>81</v>
      </c>
      <c r="E26" s="380"/>
      <c r="F26" s="380"/>
      <c r="G26" s="380"/>
      <c r="H26" s="380"/>
      <c r="I26" s="380"/>
      <c r="J26" s="380"/>
      <c r="K26" s="380"/>
      <c r="L26" s="380"/>
      <c r="M26" s="380"/>
      <c r="N26" s="380"/>
      <c r="O26" s="380"/>
      <c r="P26" s="380"/>
      <c r="Q26" s="380"/>
      <c r="R26" s="381"/>
      <c r="S26" s="376" t="s">
        <v>132</v>
      </c>
      <c r="T26" s="377"/>
      <c r="U26" s="378"/>
      <c r="V26" s="382" t="s">
        <v>75</v>
      </c>
      <c r="W26" s="371"/>
      <c r="X26" s="365" t="s">
        <v>106</v>
      </c>
      <c r="Y26" s="366"/>
      <c r="Z26" s="382" t="s">
        <v>253</v>
      </c>
      <c r="AA26" s="371"/>
      <c r="AB26" s="371"/>
      <c r="AC26" s="366"/>
      <c r="AD26" s="382"/>
      <c r="AE26" s="371"/>
      <c r="AF26" s="366"/>
      <c r="AG26" s="382"/>
      <c r="AH26" s="371"/>
      <c r="AI26" s="366"/>
      <c r="AJ26" s="372" t="s">
        <v>78</v>
      </c>
      <c r="AK26" s="373"/>
      <c r="AL26" s="375"/>
      <c r="AM26" s="390"/>
      <c r="AN26" s="380"/>
      <c r="AO26" s="380"/>
      <c r="AP26" s="380"/>
      <c r="AQ26" s="380"/>
      <c r="AR26" s="380"/>
      <c r="AS26" s="380"/>
      <c r="AT26" s="380"/>
      <c r="AU26" s="380"/>
      <c r="AV26" s="380"/>
      <c r="AW26" s="380"/>
      <c r="AX26" s="380"/>
      <c r="AY26" s="380"/>
      <c r="AZ26" s="380"/>
      <c r="BA26" s="380"/>
      <c r="BB26" s="380"/>
      <c r="BC26" s="380"/>
      <c r="BD26" s="380"/>
      <c r="BE26" s="380"/>
      <c r="BF26" s="380"/>
      <c r="BG26" s="380"/>
      <c r="BH26" s="380"/>
      <c r="BI26" s="380"/>
      <c r="BJ26" s="381"/>
    </row>
    <row r="27" spans="1:62" ht="33" customHeight="1">
      <c r="A27" s="367">
        <f t="shared" si="0"/>
        <v>13</v>
      </c>
      <c r="B27" s="368"/>
      <c r="C27" s="369"/>
      <c r="D27" s="451" t="s">
        <v>412</v>
      </c>
      <c r="E27" s="452"/>
      <c r="F27" s="452"/>
      <c r="G27" s="452"/>
      <c r="H27" s="452"/>
      <c r="I27" s="452"/>
      <c r="J27" s="452"/>
      <c r="K27" s="452"/>
      <c r="L27" s="452"/>
      <c r="M27" s="452"/>
      <c r="N27" s="452"/>
      <c r="O27" s="452"/>
      <c r="P27" s="452"/>
      <c r="Q27" s="452"/>
      <c r="R27" s="453"/>
      <c r="S27" s="376" t="s">
        <v>132</v>
      </c>
      <c r="T27" s="377"/>
      <c r="U27" s="378"/>
      <c r="V27" s="376" t="s">
        <v>149</v>
      </c>
      <c r="W27" s="454"/>
      <c r="X27" s="455" t="s">
        <v>149</v>
      </c>
      <c r="Y27" s="378"/>
      <c r="Z27" s="383" t="s">
        <v>344</v>
      </c>
      <c r="AA27" s="384"/>
      <c r="AB27" s="384"/>
      <c r="AC27" s="385"/>
      <c r="AD27" s="376"/>
      <c r="AE27" s="377"/>
      <c r="AF27" s="378"/>
      <c r="AG27" s="376" t="s">
        <v>413</v>
      </c>
      <c r="AH27" s="377"/>
      <c r="AI27" s="378"/>
      <c r="AJ27" s="376" t="s">
        <v>413</v>
      </c>
      <c r="AK27" s="377"/>
      <c r="AL27" s="378"/>
      <c r="AM27" s="443" t="s">
        <v>414</v>
      </c>
      <c r="AN27" s="444"/>
      <c r="AO27" s="444"/>
      <c r="AP27" s="444"/>
      <c r="AQ27" s="444"/>
      <c r="AR27" s="444"/>
      <c r="AS27" s="444"/>
      <c r="AT27" s="444"/>
      <c r="AU27" s="444"/>
      <c r="AV27" s="444"/>
      <c r="AW27" s="444"/>
      <c r="AX27" s="444"/>
      <c r="AY27" s="444"/>
      <c r="AZ27" s="444"/>
      <c r="BA27" s="444"/>
      <c r="BB27" s="444"/>
      <c r="BC27" s="444"/>
      <c r="BD27" s="444"/>
      <c r="BE27" s="444"/>
      <c r="BF27" s="444"/>
      <c r="BG27" s="444"/>
      <c r="BH27" s="444"/>
      <c r="BI27" s="444"/>
      <c r="BJ27" s="445"/>
    </row>
    <row r="28" spans="1:62" ht="30.75" customHeight="1">
      <c r="A28" s="367">
        <f t="shared" si="0"/>
        <v>14</v>
      </c>
      <c r="B28" s="368"/>
      <c r="C28" s="369"/>
      <c r="D28" s="379" t="s">
        <v>246</v>
      </c>
      <c r="E28" s="380"/>
      <c r="F28" s="380"/>
      <c r="G28" s="380"/>
      <c r="H28" s="380"/>
      <c r="I28" s="380"/>
      <c r="J28" s="380"/>
      <c r="K28" s="380"/>
      <c r="L28" s="380"/>
      <c r="M28" s="380"/>
      <c r="N28" s="380"/>
      <c r="O28" s="380"/>
      <c r="P28" s="380"/>
      <c r="Q28" s="380"/>
      <c r="R28" s="381"/>
      <c r="S28" s="376" t="s">
        <v>132</v>
      </c>
      <c r="T28" s="377"/>
      <c r="U28" s="378"/>
      <c r="V28" s="382" t="s">
        <v>80</v>
      </c>
      <c r="W28" s="371"/>
      <c r="X28" s="365" t="s">
        <v>108</v>
      </c>
      <c r="Y28" s="366"/>
      <c r="Z28" s="382" t="s">
        <v>253</v>
      </c>
      <c r="AA28" s="371"/>
      <c r="AB28" s="371"/>
      <c r="AC28" s="366"/>
      <c r="AD28" s="382"/>
      <c r="AE28" s="371"/>
      <c r="AF28" s="366"/>
      <c r="AG28" s="382"/>
      <c r="AH28" s="371"/>
      <c r="AI28" s="366"/>
      <c r="AJ28" s="372" t="s">
        <v>78</v>
      </c>
      <c r="AK28" s="373"/>
      <c r="AL28" s="375"/>
      <c r="AM28" s="390"/>
      <c r="AN28" s="380"/>
      <c r="AO28" s="380"/>
      <c r="AP28" s="380"/>
      <c r="AQ28" s="380"/>
      <c r="AR28" s="380"/>
      <c r="AS28" s="380"/>
      <c r="AT28" s="380"/>
      <c r="AU28" s="380"/>
      <c r="AV28" s="380"/>
      <c r="AW28" s="380"/>
      <c r="AX28" s="380"/>
      <c r="AY28" s="380"/>
      <c r="AZ28" s="380"/>
      <c r="BA28" s="380"/>
      <c r="BB28" s="380"/>
      <c r="BC28" s="380"/>
      <c r="BD28" s="380"/>
      <c r="BE28" s="380"/>
      <c r="BF28" s="380"/>
      <c r="BG28" s="380"/>
      <c r="BH28" s="380"/>
      <c r="BI28" s="380"/>
      <c r="BJ28" s="381"/>
    </row>
    <row r="29" spans="1:62" ht="30.75" customHeight="1">
      <c r="A29" s="367">
        <f t="shared" si="0"/>
        <v>15</v>
      </c>
      <c r="B29" s="368"/>
      <c r="C29" s="369"/>
      <c r="D29" s="379" t="s">
        <v>247</v>
      </c>
      <c r="E29" s="380"/>
      <c r="F29" s="380"/>
      <c r="G29" s="380"/>
      <c r="H29" s="380"/>
      <c r="I29" s="380"/>
      <c r="J29" s="380"/>
      <c r="K29" s="380"/>
      <c r="L29" s="380"/>
      <c r="M29" s="380"/>
      <c r="N29" s="380"/>
      <c r="O29" s="380"/>
      <c r="P29" s="380"/>
      <c r="Q29" s="380"/>
      <c r="R29" s="381"/>
      <c r="S29" s="376" t="s">
        <v>132</v>
      </c>
      <c r="T29" s="377"/>
      <c r="U29" s="378"/>
      <c r="V29" s="382" t="s">
        <v>80</v>
      </c>
      <c r="W29" s="371"/>
      <c r="X29" s="365" t="s">
        <v>108</v>
      </c>
      <c r="Y29" s="366"/>
      <c r="Z29" s="382" t="s">
        <v>253</v>
      </c>
      <c r="AA29" s="371"/>
      <c r="AB29" s="371"/>
      <c r="AC29" s="366"/>
      <c r="AD29" s="382"/>
      <c r="AE29" s="371"/>
      <c r="AF29" s="366"/>
      <c r="AG29" s="382"/>
      <c r="AH29" s="371"/>
      <c r="AI29" s="366"/>
      <c r="AJ29" s="372" t="s">
        <v>78</v>
      </c>
      <c r="AK29" s="373"/>
      <c r="AL29" s="375"/>
      <c r="AM29" s="390"/>
      <c r="AN29" s="380"/>
      <c r="AO29" s="380"/>
      <c r="AP29" s="380"/>
      <c r="AQ29" s="380"/>
      <c r="AR29" s="380"/>
      <c r="AS29" s="380"/>
      <c r="AT29" s="380"/>
      <c r="AU29" s="380"/>
      <c r="AV29" s="380"/>
      <c r="AW29" s="380"/>
      <c r="AX29" s="380"/>
      <c r="AY29" s="380"/>
      <c r="AZ29" s="380"/>
      <c r="BA29" s="380"/>
      <c r="BB29" s="380"/>
      <c r="BC29" s="380"/>
      <c r="BD29" s="380"/>
      <c r="BE29" s="380"/>
      <c r="BF29" s="380"/>
      <c r="BG29" s="380"/>
      <c r="BH29" s="380"/>
      <c r="BI29" s="380"/>
      <c r="BJ29" s="381"/>
    </row>
    <row r="30" spans="1:62" ht="30.75" customHeight="1">
      <c r="A30" s="367">
        <f t="shared" si="0"/>
        <v>16</v>
      </c>
      <c r="B30" s="368"/>
      <c r="C30" s="369"/>
      <c r="D30" s="379" t="s">
        <v>237</v>
      </c>
      <c r="E30" s="380"/>
      <c r="F30" s="380"/>
      <c r="G30" s="380"/>
      <c r="H30" s="380"/>
      <c r="I30" s="380"/>
      <c r="J30" s="380"/>
      <c r="K30" s="380"/>
      <c r="L30" s="380"/>
      <c r="M30" s="380"/>
      <c r="N30" s="380"/>
      <c r="O30" s="380"/>
      <c r="P30" s="380"/>
      <c r="Q30" s="380"/>
      <c r="R30" s="381"/>
      <c r="S30" s="376" t="s">
        <v>132</v>
      </c>
      <c r="T30" s="377"/>
      <c r="U30" s="378"/>
      <c r="V30" s="382" t="s">
        <v>110</v>
      </c>
      <c r="W30" s="371"/>
      <c r="X30" s="365" t="s">
        <v>110</v>
      </c>
      <c r="Y30" s="366"/>
      <c r="Z30" s="144" t="s">
        <v>474</v>
      </c>
      <c r="AA30" s="145"/>
      <c r="AB30" s="145"/>
      <c r="AC30" s="146"/>
      <c r="AD30" s="382"/>
      <c r="AE30" s="371"/>
      <c r="AF30" s="366"/>
      <c r="AG30" s="382"/>
      <c r="AH30" s="371"/>
      <c r="AI30" s="366"/>
      <c r="AJ30" s="382" t="s">
        <v>78</v>
      </c>
      <c r="AK30" s="371"/>
      <c r="AL30" s="366"/>
      <c r="AM30" s="390"/>
      <c r="AN30" s="380"/>
      <c r="AO30" s="380"/>
      <c r="AP30" s="380"/>
      <c r="AQ30" s="380"/>
      <c r="AR30" s="380"/>
      <c r="AS30" s="380"/>
      <c r="AT30" s="380"/>
      <c r="AU30" s="380"/>
      <c r="AV30" s="380"/>
      <c r="AW30" s="380"/>
      <c r="AX30" s="380"/>
      <c r="AY30" s="380"/>
      <c r="AZ30" s="380"/>
      <c r="BA30" s="380"/>
      <c r="BB30" s="380"/>
      <c r="BC30" s="380"/>
      <c r="BD30" s="380"/>
      <c r="BE30" s="380"/>
      <c r="BF30" s="380"/>
      <c r="BG30" s="380"/>
      <c r="BH30" s="380"/>
      <c r="BI30" s="380"/>
      <c r="BJ30" s="381"/>
    </row>
    <row r="31" spans="1:62" ht="40.5" customHeight="1">
      <c r="A31" s="367">
        <f t="shared" si="0"/>
        <v>17</v>
      </c>
      <c r="B31" s="368"/>
      <c r="C31" s="369"/>
      <c r="D31" s="379" t="s">
        <v>295</v>
      </c>
      <c r="E31" s="380"/>
      <c r="F31" s="380"/>
      <c r="G31" s="380"/>
      <c r="H31" s="380"/>
      <c r="I31" s="380"/>
      <c r="J31" s="380"/>
      <c r="K31" s="380"/>
      <c r="L31" s="380"/>
      <c r="M31" s="380"/>
      <c r="N31" s="380"/>
      <c r="O31" s="380"/>
      <c r="P31" s="380"/>
      <c r="Q31" s="380"/>
      <c r="R31" s="381"/>
      <c r="S31" s="376" t="s">
        <v>132</v>
      </c>
      <c r="T31" s="377"/>
      <c r="U31" s="378"/>
      <c r="V31" s="370" t="s">
        <v>118</v>
      </c>
      <c r="W31" s="371"/>
      <c r="X31" s="446" t="s">
        <v>118</v>
      </c>
      <c r="Y31" s="366"/>
      <c r="Z31" s="386" t="s">
        <v>244</v>
      </c>
      <c r="AA31" s="387"/>
      <c r="AB31" s="387"/>
      <c r="AC31" s="388"/>
      <c r="AD31" s="382"/>
      <c r="AE31" s="371"/>
      <c r="AF31" s="366"/>
      <c r="AG31" s="382" t="s">
        <v>78</v>
      </c>
      <c r="AH31" s="371"/>
      <c r="AI31" s="366"/>
      <c r="AJ31" s="372" t="s">
        <v>78</v>
      </c>
      <c r="AK31" s="373"/>
      <c r="AL31" s="375"/>
      <c r="AM31" s="379" t="s">
        <v>260</v>
      </c>
      <c r="AN31" s="380"/>
      <c r="AO31" s="380"/>
      <c r="AP31" s="380"/>
      <c r="AQ31" s="380"/>
      <c r="AR31" s="380"/>
      <c r="AS31" s="380"/>
      <c r="AT31" s="380"/>
      <c r="AU31" s="380"/>
      <c r="AV31" s="380"/>
      <c r="AW31" s="380"/>
      <c r="AX31" s="380"/>
      <c r="AY31" s="380"/>
      <c r="AZ31" s="380"/>
      <c r="BA31" s="380"/>
      <c r="BB31" s="380"/>
      <c r="BC31" s="380"/>
      <c r="BD31" s="380"/>
      <c r="BE31" s="380"/>
      <c r="BF31" s="380"/>
      <c r="BG31" s="380"/>
      <c r="BH31" s="380"/>
      <c r="BI31" s="380"/>
      <c r="BJ31" s="381"/>
    </row>
    <row r="32" spans="1:62" ht="30.75" customHeight="1">
      <c r="A32" s="367">
        <f t="shared" si="0"/>
        <v>18</v>
      </c>
      <c r="B32" s="368"/>
      <c r="C32" s="369"/>
      <c r="D32" s="417" t="s">
        <v>248</v>
      </c>
      <c r="E32" s="418"/>
      <c r="F32" s="418"/>
      <c r="G32" s="418"/>
      <c r="H32" s="418"/>
      <c r="I32" s="418"/>
      <c r="J32" s="418"/>
      <c r="K32" s="418"/>
      <c r="L32" s="418"/>
      <c r="M32" s="418"/>
      <c r="N32" s="418"/>
      <c r="O32" s="418"/>
      <c r="P32" s="418"/>
      <c r="Q32" s="418"/>
      <c r="R32" s="419"/>
      <c r="S32" s="420"/>
      <c r="T32" s="421"/>
      <c r="U32" s="422"/>
      <c r="V32" s="420" t="s">
        <v>470</v>
      </c>
      <c r="W32" s="421"/>
      <c r="X32" s="447" t="s">
        <v>470</v>
      </c>
      <c r="Y32" s="422"/>
      <c r="Z32" s="420"/>
      <c r="AA32" s="377"/>
      <c r="AB32" s="377"/>
      <c r="AC32" s="378"/>
      <c r="AD32" s="376"/>
      <c r="AE32" s="377"/>
      <c r="AF32" s="378"/>
      <c r="AG32" s="376"/>
      <c r="AH32" s="377"/>
      <c r="AI32" s="378"/>
      <c r="AJ32" s="376"/>
      <c r="AK32" s="377"/>
      <c r="AL32" s="378"/>
      <c r="AM32" s="425"/>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0.75" customHeight="1">
      <c r="A33" s="367">
        <f t="shared" si="0"/>
        <v>19</v>
      </c>
      <c r="B33" s="368"/>
      <c r="C33" s="369"/>
      <c r="D33" s="448" t="s">
        <v>249</v>
      </c>
      <c r="E33" s="449"/>
      <c r="F33" s="449"/>
      <c r="G33" s="449"/>
      <c r="H33" s="449"/>
      <c r="I33" s="449"/>
      <c r="J33" s="449"/>
      <c r="K33" s="449"/>
      <c r="L33" s="449"/>
      <c r="M33" s="449"/>
      <c r="N33" s="449"/>
      <c r="O33" s="449"/>
      <c r="P33" s="449"/>
      <c r="Q33" s="449"/>
      <c r="R33" s="450"/>
      <c r="S33" s="144" t="s">
        <v>243</v>
      </c>
      <c r="T33" s="145"/>
      <c r="U33" s="146"/>
      <c r="V33" s="370" t="s">
        <v>118</v>
      </c>
      <c r="W33" s="371"/>
      <c r="X33" s="446" t="s">
        <v>118</v>
      </c>
      <c r="Y33" s="366"/>
      <c r="Z33" s="386" t="s">
        <v>251</v>
      </c>
      <c r="AA33" s="387"/>
      <c r="AB33" s="387"/>
      <c r="AC33" s="388"/>
      <c r="AD33" s="382"/>
      <c r="AE33" s="371"/>
      <c r="AF33" s="366"/>
      <c r="AG33" s="382"/>
      <c r="AH33" s="371"/>
      <c r="AI33" s="366"/>
      <c r="AJ33" s="372"/>
      <c r="AK33" s="373"/>
      <c r="AL33" s="375"/>
      <c r="AM33" s="379"/>
      <c r="AN33" s="380"/>
      <c r="AO33" s="380"/>
      <c r="AP33" s="380"/>
      <c r="AQ33" s="380"/>
      <c r="AR33" s="380"/>
      <c r="AS33" s="380"/>
      <c r="AT33" s="380"/>
      <c r="AU33" s="380"/>
      <c r="AV33" s="380"/>
      <c r="AW33" s="380"/>
      <c r="AX33" s="380"/>
      <c r="AY33" s="380"/>
      <c r="AZ33" s="380"/>
      <c r="BA33" s="380"/>
      <c r="BB33" s="380"/>
      <c r="BC33" s="380"/>
      <c r="BD33" s="380"/>
      <c r="BE33" s="380"/>
      <c r="BF33" s="380"/>
      <c r="BG33" s="380"/>
      <c r="BH33" s="380"/>
      <c r="BI33" s="380"/>
      <c r="BJ33" s="381"/>
    </row>
    <row r="34" spans="1:62" ht="30.75" customHeight="1">
      <c r="A34" s="367">
        <f t="shared" si="0"/>
        <v>20</v>
      </c>
      <c r="B34" s="368"/>
      <c r="C34" s="369"/>
      <c r="D34" s="379" t="s">
        <v>296</v>
      </c>
      <c r="E34" s="380"/>
      <c r="F34" s="380"/>
      <c r="G34" s="380"/>
      <c r="H34" s="380"/>
      <c r="I34" s="380"/>
      <c r="J34" s="380"/>
      <c r="K34" s="380"/>
      <c r="L34" s="380"/>
      <c r="M34" s="380"/>
      <c r="N34" s="380"/>
      <c r="O34" s="380"/>
      <c r="P34" s="380"/>
      <c r="Q34" s="380"/>
      <c r="R34" s="381"/>
      <c r="S34" s="382" t="s">
        <v>130</v>
      </c>
      <c r="T34" s="371"/>
      <c r="U34" s="366"/>
      <c r="V34" s="370" t="s">
        <v>118</v>
      </c>
      <c r="W34" s="371"/>
      <c r="X34" s="365" t="s">
        <v>105</v>
      </c>
      <c r="Y34" s="366"/>
      <c r="Z34" s="383" t="s">
        <v>344</v>
      </c>
      <c r="AA34" s="384"/>
      <c r="AB34" s="384"/>
      <c r="AC34" s="385"/>
      <c r="AD34" s="382"/>
      <c r="AE34" s="371"/>
      <c r="AF34" s="366"/>
      <c r="AG34" s="382"/>
      <c r="AH34" s="371"/>
      <c r="AI34" s="366"/>
      <c r="AJ34" s="382"/>
      <c r="AK34" s="371"/>
      <c r="AL34" s="366"/>
      <c r="AM34" s="390"/>
      <c r="AN34" s="380"/>
      <c r="AO34" s="380"/>
      <c r="AP34" s="380"/>
      <c r="AQ34" s="380"/>
      <c r="AR34" s="380"/>
      <c r="AS34" s="380"/>
      <c r="AT34" s="380"/>
      <c r="AU34" s="380"/>
      <c r="AV34" s="380"/>
      <c r="AW34" s="380"/>
      <c r="AX34" s="380"/>
      <c r="AY34" s="380"/>
      <c r="AZ34" s="380"/>
      <c r="BA34" s="380"/>
      <c r="BB34" s="380"/>
      <c r="BC34" s="380"/>
      <c r="BD34" s="380"/>
      <c r="BE34" s="380"/>
      <c r="BF34" s="380"/>
      <c r="BG34" s="380"/>
      <c r="BH34" s="380"/>
      <c r="BI34" s="380"/>
      <c r="BJ34" s="381"/>
    </row>
    <row r="35" spans="1:62" ht="30.75" customHeight="1">
      <c r="A35" s="367">
        <f t="shared" si="0"/>
        <v>21</v>
      </c>
      <c r="B35" s="368"/>
      <c r="C35" s="369"/>
      <c r="D35" s="379" t="s">
        <v>179</v>
      </c>
      <c r="E35" s="380"/>
      <c r="F35" s="380"/>
      <c r="G35" s="380"/>
      <c r="H35" s="380"/>
      <c r="I35" s="380"/>
      <c r="J35" s="380"/>
      <c r="K35" s="380"/>
      <c r="L35" s="380"/>
      <c r="M35" s="380"/>
      <c r="N35" s="380"/>
      <c r="O35" s="380"/>
      <c r="P35" s="380"/>
      <c r="Q35" s="380"/>
      <c r="R35" s="381"/>
      <c r="S35" s="382" t="s">
        <v>130</v>
      </c>
      <c r="T35" s="371"/>
      <c r="U35" s="366"/>
      <c r="V35" s="370" t="s">
        <v>118</v>
      </c>
      <c r="W35" s="371"/>
      <c r="X35" s="365" t="s">
        <v>64</v>
      </c>
      <c r="Y35" s="366"/>
      <c r="Z35" s="177" t="s">
        <v>474</v>
      </c>
      <c r="AA35" s="145"/>
      <c r="AB35" s="145"/>
      <c r="AC35" s="146"/>
      <c r="AD35" s="382"/>
      <c r="AE35" s="371"/>
      <c r="AF35" s="366"/>
      <c r="AG35" s="382"/>
      <c r="AH35" s="371"/>
      <c r="AI35" s="366"/>
      <c r="AJ35" s="382"/>
      <c r="AK35" s="371"/>
      <c r="AL35" s="366"/>
      <c r="AM35" s="390"/>
      <c r="AN35" s="380"/>
      <c r="AO35" s="380"/>
      <c r="AP35" s="380"/>
      <c r="AQ35" s="380"/>
      <c r="AR35" s="380"/>
      <c r="AS35" s="380"/>
      <c r="AT35" s="380"/>
      <c r="AU35" s="380"/>
      <c r="AV35" s="380"/>
      <c r="AW35" s="380"/>
      <c r="AX35" s="380"/>
      <c r="AY35" s="380"/>
      <c r="AZ35" s="380"/>
      <c r="BA35" s="380"/>
      <c r="BB35" s="380"/>
      <c r="BC35" s="380"/>
      <c r="BD35" s="380"/>
      <c r="BE35" s="380"/>
      <c r="BF35" s="380"/>
      <c r="BG35" s="380"/>
      <c r="BH35" s="380"/>
      <c r="BI35" s="380"/>
      <c r="BJ35" s="381"/>
    </row>
    <row r="36" spans="1:62" ht="30.75" customHeight="1">
      <c r="A36" s="367">
        <f t="shared" si="0"/>
        <v>22</v>
      </c>
      <c r="B36" s="368"/>
      <c r="C36" s="369"/>
      <c r="D36" s="379" t="s">
        <v>261</v>
      </c>
      <c r="E36" s="380"/>
      <c r="F36" s="380"/>
      <c r="G36" s="380"/>
      <c r="H36" s="380"/>
      <c r="I36" s="380"/>
      <c r="J36" s="380"/>
      <c r="K36" s="380"/>
      <c r="L36" s="380"/>
      <c r="M36" s="380"/>
      <c r="N36" s="380"/>
      <c r="O36" s="380"/>
      <c r="P36" s="380"/>
      <c r="Q36" s="380"/>
      <c r="R36" s="381"/>
      <c r="S36" s="382" t="s">
        <v>130</v>
      </c>
      <c r="T36" s="371"/>
      <c r="U36" s="366"/>
      <c r="V36" s="370" t="s">
        <v>118</v>
      </c>
      <c r="W36" s="371"/>
      <c r="X36" s="365" t="s">
        <v>108</v>
      </c>
      <c r="Y36" s="366"/>
      <c r="Z36" s="383" t="s">
        <v>344</v>
      </c>
      <c r="AA36" s="384"/>
      <c r="AB36" s="384"/>
      <c r="AC36" s="385"/>
      <c r="AD36" s="382"/>
      <c r="AE36" s="371"/>
      <c r="AF36" s="366"/>
      <c r="AG36" s="382"/>
      <c r="AH36" s="371"/>
      <c r="AI36" s="366"/>
      <c r="AJ36" s="382"/>
      <c r="AK36" s="371"/>
      <c r="AL36" s="366"/>
      <c r="AM36" s="390"/>
      <c r="AN36" s="380"/>
      <c r="AO36" s="380"/>
      <c r="AP36" s="380"/>
      <c r="AQ36" s="380"/>
      <c r="AR36" s="380"/>
      <c r="AS36" s="380"/>
      <c r="AT36" s="380"/>
      <c r="AU36" s="380"/>
      <c r="AV36" s="380"/>
      <c r="AW36" s="380"/>
      <c r="AX36" s="380"/>
      <c r="AY36" s="380"/>
      <c r="AZ36" s="380"/>
      <c r="BA36" s="380"/>
      <c r="BB36" s="380"/>
      <c r="BC36" s="380"/>
      <c r="BD36" s="380"/>
      <c r="BE36" s="380"/>
      <c r="BF36" s="380"/>
      <c r="BG36" s="380"/>
      <c r="BH36" s="380"/>
      <c r="BI36" s="380"/>
      <c r="BJ36" s="381"/>
    </row>
    <row r="37" spans="1:62" ht="30.75" customHeight="1">
      <c r="A37" s="367">
        <f t="shared" si="0"/>
        <v>23</v>
      </c>
      <c r="B37" s="368"/>
      <c r="C37" s="369"/>
      <c r="D37" s="379" t="s">
        <v>180</v>
      </c>
      <c r="E37" s="380"/>
      <c r="F37" s="380"/>
      <c r="G37" s="380"/>
      <c r="H37" s="380"/>
      <c r="I37" s="380"/>
      <c r="J37" s="380"/>
      <c r="K37" s="380"/>
      <c r="L37" s="380"/>
      <c r="M37" s="380"/>
      <c r="N37" s="380"/>
      <c r="O37" s="380"/>
      <c r="P37" s="380"/>
      <c r="Q37" s="380"/>
      <c r="R37" s="381"/>
      <c r="S37" s="382" t="s">
        <v>130</v>
      </c>
      <c r="T37" s="371"/>
      <c r="U37" s="366"/>
      <c r="V37" s="370" t="s">
        <v>118</v>
      </c>
      <c r="W37" s="371"/>
      <c r="X37" s="365" t="s">
        <v>76</v>
      </c>
      <c r="Y37" s="366"/>
      <c r="Z37" s="383" t="s">
        <v>344</v>
      </c>
      <c r="AA37" s="384"/>
      <c r="AB37" s="384"/>
      <c r="AC37" s="385"/>
      <c r="AD37" s="382"/>
      <c r="AE37" s="371"/>
      <c r="AF37" s="366"/>
      <c r="AG37" s="382"/>
      <c r="AH37" s="371"/>
      <c r="AI37" s="366"/>
      <c r="AJ37" s="382"/>
      <c r="AK37" s="371"/>
      <c r="AL37" s="366"/>
      <c r="AM37" s="390" t="s">
        <v>186</v>
      </c>
      <c r="AN37" s="380"/>
      <c r="AO37" s="380"/>
      <c r="AP37" s="380"/>
      <c r="AQ37" s="380"/>
      <c r="AR37" s="380"/>
      <c r="AS37" s="380"/>
      <c r="AT37" s="380"/>
      <c r="AU37" s="380"/>
      <c r="AV37" s="380"/>
      <c r="AW37" s="380"/>
      <c r="AX37" s="380"/>
      <c r="AY37" s="380"/>
      <c r="AZ37" s="380"/>
      <c r="BA37" s="380"/>
      <c r="BB37" s="380"/>
      <c r="BC37" s="380"/>
      <c r="BD37" s="380"/>
      <c r="BE37" s="380"/>
      <c r="BF37" s="380"/>
      <c r="BG37" s="380"/>
      <c r="BH37" s="380"/>
      <c r="BI37" s="380"/>
      <c r="BJ37" s="381"/>
    </row>
    <row r="38" spans="1:62" ht="30.75" customHeight="1">
      <c r="A38" s="367">
        <f t="shared" si="0"/>
        <v>24</v>
      </c>
      <c r="B38" s="368"/>
      <c r="C38" s="369"/>
      <c r="D38" s="379" t="s">
        <v>181</v>
      </c>
      <c r="E38" s="380"/>
      <c r="F38" s="380"/>
      <c r="G38" s="380"/>
      <c r="H38" s="380"/>
      <c r="I38" s="380"/>
      <c r="J38" s="380"/>
      <c r="K38" s="380"/>
      <c r="L38" s="380"/>
      <c r="M38" s="380"/>
      <c r="N38" s="380"/>
      <c r="O38" s="380"/>
      <c r="P38" s="380"/>
      <c r="Q38" s="380"/>
      <c r="R38" s="381"/>
      <c r="S38" s="382" t="s">
        <v>130</v>
      </c>
      <c r="T38" s="371"/>
      <c r="U38" s="366"/>
      <c r="V38" s="370" t="s">
        <v>118</v>
      </c>
      <c r="W38" s="371"/>
      <c r="X38" s="365" t="s">
        <v>76</v>
      </c>
      <c r="Y38" s="366"/>
      <c r="Z38" s="177" t="s">
        <v>474</v>
      </c>
      <c r="AA38" s="145"/>
      <c r="AB38" s="145"/>
      <c r="AC38" s="146"/>
      <c r="AD38" s="382"/>
      <c r="AE38" s="371"/>
      <c r="AF38" s="366"/>
      <c r="AG38" s="382"/>
      <c r="AH38" s="371"/>
      <c r="AI38" s="366"/>
      <c r="AJ38" s="382"/>
      <c r="AK38" s="371"/>
      <c r="AL38" s="366"/>
      <c r="AM38" s="390"/>
      <c r="AN38" s="380"/>
      <c r="AO38" s="380"/>
      <c r="AP38" s="380"/>
      <c r="AQ38" s="380"/>
      <c r="AR38" s="380"/>
      <c r="AS38" s="380"/>
      <c r="AT38" s="380"/>
      <c r="AU38" s="380"/>
      <c r="AV38" s="380"/>
      <c r="AW38" s="380"/>
      <c r="AX38" s="380"/>
      <c r="AY38" s="380"/>
      <c r="AZ38" s="380"/>
      <c r="BA38" s="380"/>
      <c r="BB38" s="380"/>
      <c r="BC38" s="380"/>
      <c r="BD38" s="380"/>
      <c r="BE38" s="380"/>
      <c r="BF38" s="380"/>
      <c r="BG38" s="380"/>
      <c r="BH38" s="380"/>
      <c r="BI38" s="380"/>
      <c r="BJ38" s="381"/>
    </row>
    <row r="39" spans="1:62" ht="30.75" customHeight="1">
      <c r="A39" s="367">
        <f t="shared" si="0"/>
        <v>25</v>
      </c>
      <c r="B39" s="368"/>
      <c r="C39" s="369"/>
      <c r="D39" s="379" t="s">
        <v>262</v>
      </c>
      <c r="E39" s="380"/>
      <c r="F39" s="380"/>
      <c r="G39" s="380"/>
      <c r="H39" s="380"/>
      <c r="I39" s="380"/>
      <c r="J39" s="380"/>
      <c r="K39" s="380"/>
      <c r="L39" s="380"/>
      <c r="M39" s="380"/>
      <c r="N39" s="380"/>
      <c r="O39" s="380"/>
      <c r="P39" s="380"/>
      <c r="Q39" s="380"/>
      <c r="R39" s="381"/>
      <c r="S39" s="382" t="s">
        <v>130</v>
      </c>
      <c r="T39" s="371"/>
      <c r="U39" s="366"/>
      <c r="V39" s="370" t="s">
        <v>118</v>
      </c>
      <c r="W39" s="371"/>
      <c r="X39" s="365" t="s">
        <v>113</v>
      </c>
      <c r="Y39" s="366"/>
      <c r="Z39" s="383" t="s">
        <v>344</v>
      </c>
      <c r="AA39" s="384"/>
      <c r="AB39" s="384"/>
      <c r="AC39" s="385"/>
      <c r="AD39" s="382"/>
      <c r="AE39" s="371"/>
      <c r="AF39" s="366"/>
      <c r="AG39" s="382"/>
      <c r="AH39" s="371"/>
      <c r="AI39" s="366"/>
      <c r="AJ39" s="382"/>
      <c r="AK39" s="371"/>
      <c r="AL39" s="366"/>
      <c r="AM39" s="390"/>
      <c r="AN39" s="380"/>
      <c r="AO39" s="380"/>
      <c r="AP39" s="380"/>
      <c r="AQ39" s="380"/>
      <c r="AR39" s="380"/>
      <c r="AS39" s="380"/>
      <c r="AT39" s="380"/>
      <c r="AU39" s="380"/>
      <c r="AV39" s="380"/>
      <c r="AW39" s="380"/>
      <c r="AX39" s="380"/>
      <c r="AY39" s="380"/>
      <c r="AZ39" s="380"/>
      <c r="BA39" s="380"/>
      <c r="BB39" s="380"/>
      <c r="BC39" s="380"/>
      <c r="BD39" s="380"/>
      <c r="BE39" s="380"/>
      <c r="BF39" s="380"/>
      <c r="BG39" s="380"/>
      <c r="BH39" s="380"/>
      <c r="BI39" s="380"/>
      <c r="BJ39" s="381"/>
    </row>
    <row r="40" spans="1:62" ht="30.75" customHeight="1">
      <c r="A40" s="367">
        <f t="shared" si="0"/>
        <v>26</v>
      </c>
      <c r="B40" s="368"/>
      <c r="C40" s="369"/>
      <c r="D40" s="379" t="s">
        <v>182</v>
      </c>
      <c r="E40" s="380"/>
      <c r="F40" s="380"/>
      <c r="G40" s="380"/>
      <c r="H40" s="380"/>
      <c r="I40" s="380"/>
      <c r="J40" s="380"/>
      <c r="K40" s="380"/>
      <c r="L40" s="380"/>
      <c r="M40" s="380"/>
      <c r="N40" s="380"/>
      <c r="O40" s="380"/>
      <c r="P40" s="380"/>
      <c r="Q40" s="380"/>
      <c r="R40" s="381"/>
      <c r="S40" s="382" t="s">
        <v>130</v>
      </c>
      <c r="T40" s="371"/>
      <c r="U40" s="366"/>
      <c r="V40" s="370" t="s">
        <v>118</v>
      </c>
      <c r="W40" s="371"/>
      <c r="X40" s="374" t="s">
        <v>75</v>
      </c>
      <c r="Y40" s="375"/>
      <c r="Z40" s="382" t="s">
        <v>474</v>
      </c>
      <c r="AA40" s="371"/>
      <c r="AB40" s="371"/>
      <c r="AC40" s="366"/>
      <c r="AD40" s="382"/>
      <c r="AE40" s="371"/>
      <c r="AF40" s="366"/>
      <c r="AG40" s="382"/>
      <c r="AH40" s="371"/>
      <c r="AI40" s="366"/>
      <c r="AJ40" s="382"/>
      <c r="AK40" s="371"/>
      <c r="AL40" s="366"/>
      <c r="AM40" s="390"/>
      <c r="AN40" s="380"/>
      <c r="AO40" s="380"/>
      <c r="AP40" s="380"/>
      <c r="AQ40" s="380"/>
      <c r="AR40" s="380"/>
      <c r="AS40" s="380"/>
      <c r="AT40" s="380"/>
      <c r="AU40" s="380"/>
      <c r="AV40" s="380"/>
      <c r="AW40" s="380"/>
      <c r="AX40" s="380"/>
      <c r="AY40" s="380"/>
      <c r="AZ40" s="380"/>
      <c r="BA40" s="380"/>
      <c r="BB40" s="380"/>
      <c r="BC40" s="380"/>
      <c r="BD40" s="380"/>
      <c r="BE40" s="380"/>
      <c r="BF40" s="380"/>
      <c r="BG40" s="380"/>
      <c r="BH40" s="380"/>
      <c r="BI40" s="380"/>
      <c r="BJ40" s="381"/>
    </row>
    <row r="41" spans="1:62" ht="30.75" customHeight="1">
      <c r="A41" s="367">
        <f t="shared" si="0"/>
        <v>27</v>
      </c>
      <c r="B41" s="368"/>
      <c r="C41" s="369"/>
      <c r="D41" s="379" t="s">
        <v>263</v>
      </c>
      <c r="E41" s="380"/>
      <c r="F41" s="380"/>
      <c r="G41" s="380"/>
      <c r="H41" s="380"/>
      <c r="I41" s="380"/>
      <c r="J41" s="380"/>
      <c r="K41" s="380"/>
      <c r="L41" s="380"/>
      <c r="M41" s="380"/>
      <c r="N41" s="380"/>
      <c r="O41" s="380"/>
      <c r="P41" s="380"/>
      <c r="Q41" s="380"/>
      <c r="R41" s="381"/>
      <c r="S41" s="382" t="s">
        <v>130</v>
      </c>
      <c r="T41" s="371"/>
      <c r="U41" s="366"/>
      <c r="V41" s="370" t="s">
        <v>118</v>
      </c>
      <c r="W41" s="371"/>
      <c r="X41" s="365" t="s">
        <v>154</v>
      </c>
      <c r="Y41" s="366"/>
      <c r="Z41" s="383" t="s">
        <v>344</v>
      </c>
      <c r="AA41" s="384"/>
      <c r="AB41" s="384"/>
      <c r="AC41" s="385"/>
      <c r="AD41" s="382"/>
      <c r="AE41" s="371"/>
      <c r="AF41" s="366"/>
      <c r="AG41" s="382"/>
      <c r="AH41" s="371"/>
      <c r="AI41" s="366"/>
      <c r="AJ41" s="382"/>
      <c r="AK41" s="371"/>
      <c r="AL41" s="366"/>
      <c r="AM41" s="390"/>
      <c r="AN41" s="380"/>
      <c r="AO41" s="380"/>
      <c r="AP41" s="380"/>
      <c r="AQ41" s="380"/>
      <c r="AR41" s="380"/>
      <c r="AS41" s="380"/>
      <c r="AT41" s="380"/>
      <c r="AU41" s="380"/>
      <c r="AV41" s="380"/>
      <c r="AW41" s="380"/>
      <c r="AX41" s="380"/>
      <c r="AY41" s="380"/>
      <c r="AZ41" s="380"/>
      <c r="BA41" s="380"/>
      <c r="BB41" s="380"/>
      <c r="BC41" s="380"/>
      <c r="BD41" s="380"/>
      <c r="BE41" s="380"/>
      <c r="BF41" s="380"/>
      <c r="BG41" s="380"/>
      <c r="BH41" s="380"/>
      <c r="BI41" s="380"/>
      <c r="BJ41" s="381"/>
    </row>
    <row r="42" spans="1:62" ht="30.75" customHeight="1">
      <c r="A42" s="367">
        <f t="shared" si="0"/>
        <v>28</v>
      </c>
      <c r="B42" s="368"/>
      <c r="C42" s="369"/>
      <c r="D42" s="379" t="s">
        <v>183</v>
      </c>
      <c r="E42" s="380"/>
      <c r="F42" s="380"/>
      <c r="G42" s="380"/>
      <c r="H42" s="380"/>
      <c r="I42" s="380"/>
      <c r="J42" s="380"/>
      <c r="K42" s="380"/>
      <c r="L42" s="380"/>
      <c r="M42" s="380"/>
      <c r="N42" s="380"/>
      <c r="O42" s="380"/>
      <c r="P42" s="380"/>
      <c r="Q42" s="380"/>
      <c r="R42" s="381"/>
      <c r="S42" s="382" t="s">
        <v>130</v>
      </c>
      <c r="T42" s="371"/>
      <c r="U42" s="366"/>
      <c r="V42" s="370" t="s">
        <v>118</v>
      </c>
      <c r="W42" s="371"/>
      <c r="X42" s="365" t="s">
        <v>76</v>
      </c>
      <c r="Y42" s="366"/>
      <c r="Z42" s="144" t="s">
        <v>253</v>
      </c>
      <c r="AA42" s="145"/>
      <c r="AB42" s="145"/>
      <c r="AC42" s="146"/>
      <c r="AD42" s="382"/>
      <c r="AE42" s="371"/>
      <c r="AF42" s="366"/>
      <c r="AG42" s="382"/>
      <c r="AH42" s="371"/>
      <c r="AI42" s="366"/>
      <c r="AJ42" s="382"/>
      <c r="AK42" s="371"/>
      <c r="AL42" s="366"/>
      <c r="AM42" s="390"/>
      <c r="AN42" s="380"/>
      <c r="AO42" s="380"/>
      <c r="AP42" s="380"/>
      <c r="AQ42" s="380"/>
      <c r="AR42" s="380"/>
      <c r="AS42" s="380"/>
      <c r="AT42" s="380"/>
      <c r="AU42" s="380"/>
      <c r="AV42" s="380"/>
      <c r="AW42" s="380"/>
      <c r="AX42" s="380"/>
      <c r="AY42" s="380"/>
      <c r="AZ42" s="380"/>
      <c r="BA42" s="380"/>
      <c r="BB42" s="380"/>
      <c r="BC42" s="380"/>
      <c r="BD42" s="380"/>
      <c r="BE42" s="380"/>
      <c r="BF42" s="380"/>
      <c r="BG42" s="380"/>
      <c r="BH42" s="380"/>
      <c r="BI42" s="380"/>
      <c r="BJ42" s="381"/>
    </row>
    <row r="43" spans="1:62" ht="30.75" customHeight="1">
      <c r="A43" s="367">
        <f t="shared" si="0"/>
        <v>29</v>
      </c>
      <c r="B43" s="368"/>
      <c r="C43" s="369"/>
      <c r="D43" s="379" t="s">
        <v>184</v>
      </c>
      <c r="E43" s="380"/>
      <c r="F43" s="380"/>
      <c r="G43" s="380"/>
      <c r="H43" s="380"/>
      <c r="I43" s="380"/>
      <c r="J43" s="380"/>
      <c r="K43" s="380"/>
      <c r="L43" s="380"/>
      <c r="M43" s="380"/>
      <c r="N43" s="380"/>
      <c r="O43" s="380"/>
      <c r="P43" s="380"/>
      <c r="Q43" s="380"/>
      <c r="R43" s="381"/>
      <c r="S43" s="382" t="s">
        <v>130</v>
      </c>
      <c r="T43" s="371"/>
      <c r="U43" s="366"/>
      <c r="V43" s="370" t="s">
        <v>118</v>
      </c>
      <c r="W43" s="371"/>
      <c r="X43" s="365" t="s">
        <v>64</v>
      </c>
      <c r="Y43" s="366"/>
      <c r="Z43" s="144" t="s">
        <v>253</v>
      </c>
      <c r="AA43" s="145"/>
      <c r="AB43" s="145"/>
      <c r="AC43" s="146"/>
      <c r="AD43" s="382"/>
      <c r="AE43" s="371"/>
      <c r="AF43" s="366"/>
      <c r="AG43" s="382"/>
      <c r="AH43" s="371"/>
      <c r="AI43" s="366"/>
      <c r="AJ43" s="382"/>
      <c r="AK43" s="371"/>
      <c r="AL43" s="366"/>
      <c r="AM43" s="390"/>
      <c r="AN43" s="380"/>
      <c r="AO43" s="380"/>
      <c r="AP43" s="380"/>
      <c r="AQ43" s="380"/>
      <c r="AR43" s="380"/>
      <c r="AS43" s="380"/>
      <c r="AT43" s="380"/>
      <c r="AU43" s="380"/>
      <c r="AV43" s="380"/>
      <c r="AW43" s="380"/>
      <c r="AX43" s="380"/>
      <c r="AY43" s="380"/>
      <c r="AZ43" s="380"/>
      <c r="BA43" s="380"/>
      <c r="BB43" s="380"/>
      <c r="BC43" s="380"/>
      <c r="BD43" s="380"/>
      <c r="BE43" s="380"/>
      <c r="BF43" s="380"/>
      <c r="BG43" s="380"/>
      <c r="BH43" s="380"/>
      <c r="BI43" s="380"/>
      <c r="BJ43" s="381"/>
    </row>
    <row r="44" spans="1:62" ht="30.75" customHeight="1">
      <c r="A44" s="367">
        <f t="shared" si="0"/>
        <v>30</v>
      </c>
      <c r="B44" s="368"/>
      <c r="C44" s="369"/>
      <c r="D44" s="379" t="s">
        <v>185</v>
      </c>
      <c r="E44" s="380"/>
      <c r="F44" s="380"/>
      <c r="G44" s="380"/>
      <c r="H44" s="380"/>
      <c r="I44" s="380"/>
      <c r="J44" s="380"/>
      <c r="K44" s="380"/>
      <c r="L44" s="380"/>
      <c r="M44" s="380"/>
      <c r="N44" s="380"/>
      <c r="O44" s="380"/>
      <c r="P44" s="380"/>
      <c r="Q44" s="380"/>
      <c r="R44" s="381"/>
      <c r="S44" s="382" t="s">
        <v>130</v>
      </c>
      <c r="T44" s="371"/>
      <c r="U44" s="366"/>
      <c r="V44" s="370" t="s">
        <v>118</v>
      </c>
      <c r="W44" s="371"/>
      <c r="X44" s="365" t="s">
        <v>106</v>
      </c>
      <c r="Y44" s="366"/>
      <c r="Z44" s="144" t="s">
        <v>253</v>
      </c>
      <c r="AA44" s="145"/>
      <c r="AB44" s="145"/>
      <c r="AC44" s="146"/>
      <c r="AD44" s="382"/>
      <c r="AE44" s="371"/>
      <c r="AF44" s="366"/>
      <c r="AG44" s="382"/>
      <c r="AH44" s="371"/>
      <c r="AI44" s="366"/>
      <c r="AJ44" s="382"/>
      <c r="AK44" s="371"/>
      <c r="AL44" s="366"/>
      <c r="AM44" s="390"/>
      <c r="AN44" s="380"/>
      <c r="AO44" s="380"/>
      <c r="AP44" s="380"/>
      <c r="AQ44" s="380"/>
      <c r="AR44" s="380"/>
      <c r="AS44" s="380"/>
      <c r="AT44" s="380"/>
      <c r="AU44" s="380"/>
      <c r="AV44" s="380"/>
      <c r="AW44" s="380"/>
      <c r="AX44" s="380"/>
      <c r="AY44" s="380"/>
      <c r="AZ44" s="380"/>
      <c r="BA44" s="380"/>
      <c r="BB44" s="380"/>
      <c r="BC44" s="380"/>
      <c r="BD44" s="380"/>
      <c r="BE44" s="380"/>
      <c r="BF44" s="380"/>
      <c r="BG44" s="380"/>
      <c r="BH44" s="380"/>
      <c r="BI44" s="380"/>
      <c r="BJ44" s="381"/>
    </row>
    <row r="45" spans="1:62" ht="30.75" customHeight="1">
      <c r="A45" s="367"/>
      <c r="B45" s="368"/>
      <c r="C45" s="369"/>
      <c r="D45" s="379"/>
      <c r="E45" s="380"/>
      <c r="F45" s="380"/>
      <c r="G45" s="380"/>
      <c r="H45" s="380"/>
      <c r="I45" s="380"/>
      <c r="J45" s="380"/>
      <c r="K45" s="380"/>
      <c r="L45" s="380"/>
      <c r="M45" s="380"/>
      <c r="N45" s="380"/>
      <c r="O45" s="380"/>
      <c r="P45" s="380"/>
      <c r="Q45" s="380"/>
      <c r="R45" s="381"/>
      <c r="S45" s="382"/>
      <c r="T45" s="371"/>
      <c r="U45" s="366"/>
      <c r="V45" s="382"/>
      <c r="W45" s="436"/>
      <c r="X45" s="365"/>
      <c r="Y45" s="366"/>
      <c r="Z45" s="382"/>
      <c r="AA45" s="371"/>
      <c r="AB45" s="371"/>
      <c r="AC45" s="366"/>
      <c r="AD45" s="382"/>
      <c r="AE45" s="371"/>
      <c r="AF45" s="366"/>
      <c r="AG45" s="382"/>
      <c r="AH45" s="371"/>
      <c r="AI45" s="366"/>
      <c r="AJ45" s="382"/>
      <c r="AK45" s="371"/>
      <c r="AL45" s="366"/>
      <c r="AM45" s="390"/>
      <c r="AN45" s="380"/>
      <c r="AO45" s="380"/>
      <c r="AP45" s="380"/>
      <c r="AQ45" s="380"/>
      <c r="AR45" s="380"/>
      <c r="AS45" s="380"/>
      <c r="AT45" s="380"/>
      <c r="AU45" s="380"/>
      <c r="AV45" s="380"/>
      <c r="AW45" s="380"/>
      <c r="AX45" s="380"/>
      <c r="AY45" s="380"/>
      <c r="AZ45" s="380"/>
      <c r="BA45" s="380"/>
      <c r="BB45" s="380"/>
      <c r="BC45" s="380"/>
      <c r="BD45" s="380"/>
      <c r="BE45" s="380"/>
      <c r="BF45" s="380"/>
      <c r="BG45" s="380"/>
      <c r="BH45" s="380"/>
      <c r="BI45" s="380"/>
      <c r="BJ45" s="381"/>
    </row>
    <row r="46" spans="1:62" ht="30.75" customHeight="1">
      <c r="A46" s="367"/>
      <c r="B46" s="368"/>
      <c r="C46" s="369"/>
      <c r="D46" s="379"/>
      <c r="E46" s="380"/>
      <c r="F46" s="380"/>
      <c r="G46" s="380"/>
      <c r="H46" s="380"/>
      <c r="I46" s="380"/>
      <c r="J46" s="380"/>
      <c r="K46" s="380"/>
      <c r="L46" s="380"/>
      <c r="M46" s="380"/>
      <c r="N46" s="380"/>
      <c r="O46" s="380"/>
      <c r="P46" s="380"/>
      <c r="Q46" s="380"/>
      <c r="R46" s="381"/>
      <c r="S46" s="382"/>
      <c r="T46" s="371"/>
      <c r="U46" s="366"/>
      <c r="V46" s="382"/>
      <c r="W46" s="436"/>
      <c r="X46" s="365"/>
      <c r="Y46" s="366"/>
      <c r="Z46" s="382"/>
      <c r="AA46" s="371"/>
      <c r="AB46" s="371"/>
      <c r="AC46" s="366"/>
      <c r="AD46" s="382"/>
      <c r="AE46" s="371"/>
      <c r="AF46" s="366"/>
      <c r="AG46" s="382"/>
      <c r="AH46" s="371"/>
      <c r="AI46" s="366"/>
      <c r="AJ46" s="382"/>
      <c r="AK46" s="371"/>
      <c r="AL46" s="366"/>
      <c r="AM46" s="390"/>
      <c r="AN46" s="380"/>
      <c r="AO46" s="380"/>
      <c r="AP46" s="380"/>
      <c r="AQ46" s="380"/>
      <c r="AR46" s="380"/>
      <c r="AS46" s="380"/>
      <c r="AT46" s="380"/>
      <c r="AU46" s="380"/>
      <c r="AV46" s="380"/>
      <c r="AW46" s="380"/>
      <c r="AX46" s="380"/>
      <c r="AY46" s="380"/>
      <c r="AZ46" s="380"/>
      <c r="BA46" s="380"/>
      <c r="BB46" s="380"/>
      <c r="BC46" s="380"/>
      <c r="BD46" s="380"/>
      <c r="BE46" s="380"/>
      <c r="BF46" s="380"/>
      <c r="BG46" s="380"/>
      <c r="BH46" s="380"/>
      <c r="BI46" s="380"/>
      <c r="BJ46" s="381"/>
    </row>
    <row r="47" spans="1:62" ht="30.75" customHeight="1">
      <c r="A47" s="367"/>
      <c r="B47" s="368"/>
      <c r="C47" s="369"/>
      <c r="D47" s="379"/>
      <c r="E47" s="380"/>
      <c r="F47" s="380"/>
      <c r="G47" s="380"/>
      <c r="H47" s="380"/>
      <c r="I47" s="380"/>
      <c r="J47" s="380"/>
      <c r="K47" s="380"/>
      <c r="L47" s="380"/>
      <c r="M47" s="380"/>
      <c r="N47" s="380"/>
      <c r="O47" s="380"/>
      <c r="P47" s="380"/>
      <c r="Q47" s="380"/>
      <c r="R47" s="381"/>
      <c r="S47" s="382"/>
      <c r="T47" s="371"/>
      <c r="U47" s="366"/>
      <c r="V47" s="382"/>
      <c r="W47" s="436"/>
      <c r="X47" s="365"/>
      <c r="Y47" s="366"/>
      <c r="Z47" s="382"/>
      <c r="AA47" s="371"/>
      <c r="AB47" s="371"/>
      <c r="AC47" s="366"/>
      <c r="AD47" s="382"/>
      <c r="AE47" s="371"/>
      <c r="AF47" s="366"/>
      <c r="AG47" s="382"/>
      <c r="AH47" s="371"/>
      <c r="AI47" s="366"/>
      <c r="AJ47" s="382"/>
      <c r="AK47" s="371"/>
      <c r="AL47" s="366"/>
      <c r="AM47" s="390"/>
      <c r="AN47" s="380"/>
      <c r="AO47" s="380"/>
      <c r="AP47" s="380"/>
      <c r="AQ47" s="380"/>
      <c r="AR47" s="380"/>
      <c r="AS47" s="380"/>
      <c r="AT47" s="380"/>
      <c r="AU47" s="380"/>
      <c r="AV47" s="380"/>
      <c r="AW47" s="380"/>
      <c r="AX47" s="380"/>
      <c r="AY47" s="380"/>
      <c r="AZ47" s="380"/>
      <c r="BA47" s="380"/>
      <c r="BB47" s="380"/>
      <c r="BC47" s="380"/>
      <c r="BD47" s="380"/>
      <c r="BE47" s="380"/>
      <c r="BF47" s="380"/>
      <c r="BG47" s="380"/>
      <c r="BH47" s="380"/>
      <c r="BI47" s="380"/>
      <c r="BJ47" s="381"/>
    </row>
    <row r="48" spans="1:62" ht="30.75" customHeight="1">
      <c r="A48" s="367"/>
      <c r="B48" s="368"/>
      <c r="C48" s="369"/>
      <c r="D48" s="379"/>
      <c r="E48" s="380"/>
      <c r="F48" s="380"/>
      <c r="G48" s="380"/>
      <c r="H48" s="380"/>
      <c r="I48" s="380"/>
      <c r="J48" s="380"/>
      <c r="K48" s="380"/>
      <c r="L48" s="380"/>
      <c r="M48" s="380"/>
      <c r="N48" s="380"/>
      <c r="O48" s="380"/>
      <c r="P48" s="380"/>
      <c r="Q48" s="380"/>
      <c r="R48" s="381"/>
      <c r="S48" s="382"/>
      <c r="T48" s="371"/>
      <c r="U48" s="366"/>
      <c r="V48" s="382"/>
      <c r="W48" s="436"/>
      <c r="X48" s="365"/>
      <c r="Y48" s="366"/>
      <c r="Z48" s="382"/>
      <c r="AA48" s="371"/>
      <c r="AB48" s="371"/>
      <c r="AC48" s="366"/>
      <c r="AD48" s="382"/>
      <c r="AE48" s="371"/>
      <c r="AF48" s="366"/>
      <c r="AG48" s="382"/>
      <c r="AH48" s="371"/>
      <c r="AI48" s="366"/>
      <c r="AJ48" s="382"/>
      <c r="AK48" s="371"/>
      <c r="AL48" s="366"/>
      <c r="AM48" s="390"/>
      <c r="AN48" s="380"/>
      <c r="AO48" s="380"/>
      <c r="AP48" s="380"/>
      <c r="AQ48" s="380"/>
      <c r="AR48" s="380"/>
      <c r="AS48" s="380"/>
      <c r="AT48" s="380"/>
      <c r="AU48" s="380"/>
      <c r="AV48" s="380"/>
      <c r="AW48" s="380"/>
      <c r="AX48" s="380"/>
      <c r="AY48" s="380"/>
      <c r="AZ48" s="380"/>
      <c r="BA48" s="380"/>
      <c r="BB48" s="380"/>
      <c r="BC48" s="380"/>
      <c r="BD48" s="380"/>
      <c r="BE48" s="380"/>
      <c r="BF48" s="380"/>
      <c r="BG48" s="380"/>
      <c r="BH48" s="380"/>
      <c r="BI48" s="380"/>
      <c r="BJ48" s="381"/>
    </row>
    <row r="49" spans="1:62" ht="30.75" customHeight="1">
      <c r="A49" s="367"/>
      <c r="B49" s="368"/>
      <c r="C49" s="369"/>
      <c r="D49" s="379"/>
      <c r="E49" s="380"/>
      <c r="F49" s="380"/>
      <c r="G49" s="380"/>
      <c r="H49" s="380"/>
      <c r="I49" s="380"/>
      <c r="J49" s="380"/>
      <c r="K49" s="380"/>
      <c r="L49" s="380"/>
      <c r="M49" s="380"/>
      <c r="N49" s="380"/>
      <c r="O49" s="380"/>
      <c r="P49" s="380"/>
      <c r="Q49" s="380"/>
      <c r="R49" s="381"/>
      <c r="S49" s="382"/>
      <c r="T49" s="371"/>
      <c r="U49" s="366"/>
      <c r="V49" s="382"/>
      <c r="W49" s="436"/>
      <c r="X49" s="365"/>
      <c r="Y49" s="366"/>
      <c r="Z49" s="382"/>
      <c r="AA49" s="371"/>
      <c r="AB49" s="371"/>
      <c r="AC49" s="366"/>
      <c r="AD49" s="382"/>
      <c r="AE49" s="371"/>
      <c r="AF49" s="366"/>
      <c r="AG49" s="382"/>
      <c r="AH49" s="371"/>
      <c r="AI49" s="366"/>
      <c r="AJ49" s="382"/>
      <c r="AK49" s="371"/>
      <c r="AL49" s="366"/>
      <c r="AM49" s="390"/>
      <c r="AN49" s="380"/>
      <c r="AO49" s="380"/>
      <c r="AP49" s="380"/>
      <c r="AQ49" s="380"/>
      <c r="AR49" s="380"/>
      <c r="AS49" s="380"/>
      <c r="AT49" s="380"/>
      <c r="AU49" s="380"/>
      <c r="AV49" s="380"/>
      <c r="AW49" s="380"/>
      <c r="AX49" s="380"/>
      <c r="AY49" s="380"/>
      <c r="AZ49" s="380"/>
      <c r="BA49" s="380"/>
      <c r="BB49" s="380"/>
      <c r="BC49" s="380"/>
      <c r="BD49" s="380"/>
      <c r="BE49" s="380"/>
      <c r="BF49" s="380"/>
      <c r="BG49" s="380"/>
      <c r="BH49" s="380"/>
      <c r="BI49" s="380"/>
      <c r="BJ49" s="381"/>
    </row>
    <row r="50" spans="1:62" ht="30.75" customHeight="1">
      <c r="A50" s="367"/>
      <c r="B50" s="368"/>
      <c r="C50" s="369"/>
      <c r="D50" s="379"/>
      <c r="E50" s="380"/>
      <c r="F50" s="380"/>
      <c r="G50" s="380"/>
      <c r="H50" s="380"/>
      <c r="I50" s="380"/>
      <c r="J50" s="380"/>
      <c r="K50" s="380"/>
      <c r="L50" s="380"/>
      <c r="M50" s="380"/>
      <c r="N50" s="380"/>
      <c r="O50" s="380"/>
      <c r="P50" s="380"/>
      <c r="Q50" s="380"/>
      <c r="R50" s="381"/>
      <c r="S50" s="382"/>
      <c r="T50" s="371"/>
      <c r="U50" s="366"/>
      <c r="V50" s="382"/>
      <c r="W50" s="436"/>
      <c r="X50" s="365"/>
      <c r="Y50" s="366"/>
      <c r="Z50" s="382"/>
      <c r="AA50" s="371"/>
      <c r="AB50" s="371"/>
      <c r="AC50" s="366"/>
      <c r="AD50" s="382"/>
      <c r="AE50" s="371"/>
      <c r="AF50" s="366"/>
      <c r="AG50" s="382"/>
      <c r="AH50" s="371"/>
      <c r="AI50" s="366"/>
      <c r="AJ50" s="382"/>
      <c r="AK50" s="371"/>
      <c r="AL50" s="366"/>
      <c r="AM50" s="390"/>
      <c r="AN50" s="380"/>
      <c r="AO50" s="380"/>
      <c r="AP50" s="380"/>
      <c r="AQ50" s="380"/>
      <c r="AR50" s="380"/>
      <c r="AS50" s="380"/>
      <c r="AT50" s="380"/>
      <c r="AU50" s="380"/>
      <c r="AV50" s="380"/>
      <c r="AW50" s="380"/>
      <c r="AX50" s="380"/>
      <c r="AY50" s="380"/>
      <c r="AZ50" s="380"/>
      <c r="BA50" s="380"/>
      <c r="BB50" s="380"/>
      <c r="BC50" s="380"/>
      <c r="BD50" s="380"/>
      <c r="BE50" s="380"/>
      <c r="BF50" s="380"/>
      <c r="BG50" s="380"/>
      <c r="BH50" s="380"/>
      <c r="BI50" s="380"/>
      <c r="BJ50" s="381"/>
    </row>
    <row r="51" spans="1:62" ht="30.75" customHeight="1">
      <c r="A51" s="367"/>
      <c r="B51" s="368"/>
      <c r="C51" s="369"/>
      <c r="D51" s="379"/>
      <c r="E51" s="380"/>
      <c r="F51" s="380"/>
      <c r="G51" s="380"/>
      <c r="H51" s="380"/>
      <c r="I51" s="380"/>
      <c r="J51" s="380"/>
      <c r="K51" s="380"/>
      <c r="L51" s="380"/>
      <c r="M51" s="380"/>
      <c r="N51" s="380"/>
      <c r="O51" s="380"/>
      <c r="P51" s="380"/>
      <c r="Q51" s="380"/>
      <c r="R51" s="381"/>
      <c r="S51" s="382"/>
      <c r="T51" s="371"/>
      <c r="U51" s="366"/>
      <c r="V51" s="382"/>
      <c r="W51" s="436"/>
      <c r="X51" s="365"/>
      <c r="Y51" s="366"/>
      <c r="Z51" s="382"/>
      <c r="AA51" s="371"/>
      <c r="AB51" s="371"/>
      <c r="AC51" s="366"/>
      <c r="AD51" s="382"/>
      <c r="AE51" s="371"/>
      <c r="AF51" s="366"/>
      <c r="AG51" s="382"/>
      <c r="AH51" s="371"/>
      <c r="AI51" s="366"/>
      <c r="AJ51" s="382"/>
      <c r="AK51" s="371"/>
      <c r="AL51" s="366"/>
      <c r="AM51" s="390"/>
      <c r="AN51" s="380"/>
      <c r="AO51" s="380"/>
      <c r="AP51" s="380"/>
      <c r="AQ51" s="380"/>
      <c r="AR51" s="380"/>
      <c r="AS51" s="380"/>
      <c r="AT51" s="380"/>
      <c r="AU51" s="380"/>
      <c r="AV51" s="380"/>
      <c r="AW51" s="380"/>
      <c r="AX51" s="380"/>
      <c r="AY51" s="380"/>
      <c r="AZ51" s="380"/>
      <c r="BA51" s="380"/>
      <c r="BB51" s="380"/>
      <c r="BC51" s="380"/>
      <c r="BD51" s="380"/>
      <c r="BE51" s="380"/>
      <c r="BF51" s="380"/>
      <c r="BG51" s="380"/>
      <c r="BH51" s="380"/>
      <c r="BI51" s="380"/>
      <c r="BJ51" s="381"/>
    </row>
    <row r="52" spans="1:62" ht="30.75" customHeight="1">
      <c r="A52" s="367"/>
      <c r="B52" s="368"/>
      <c r="C52" s="369"/>
      <c r="D52" s="379"/>
      <c r="E52" s="380"/>
      <c r="F52" s="380"/>
      <c r="G52" s="380"/>
      <c r="H52" s="380"/>
      <c r="I52" s="380"/>
      <c r="J52" s="380"/>
      <c r="K52" s="380"/>
      <c r="L52" s="380"/>
      <c r="M52" s="380"/>
      <c r="N52" s="380"/>
      <c r="O52" s="380"/>
      <c r="P52" s="380"/>
      <c r="Q52" s="380"/>
      <c r="R52" s="381"/>
      <c r="S52" s="382"/>
      <c r="T52" s="371"/>
      <c r="U52" s="366"/>
      <c r="V52" s="382"/>
      <c r="W52" s="436"/>
      <c r="X52" s="365"/>
      <c r="Y52" s="366"/>
      <c r="Z52" s="382"/>
      <c r="AA52" s="371"/>
      <c r="AB52" s="371"/>
      <c r="AC52" s="366"/>
      <c r="AD52" s="382"/>
      <c r="AE52" s="371"/>
      <c r="AF52" s="366"/>
      <c r="AG52" s="382"/>
      <c r="AH52" s="371"/>
      <c r="AI52" s="366"/>
      <c r="AJ52" s="382"/>
      <c r="AK52" s="371"/>
      <c r="AL52" s="366"/>
      <c r="AM52" s="390"/>
      <c r="AN52" s="380"/>
      <c r="AO52" s="380"/>
      <c r="AP52" s="380"/>
      <c r="AQ52" s="380"/>
      <c r="AR52" s="380"/>
      <c r="AS52" s="380"/>
      <c r="AT52" s="380"/>
      <c r="AU52" s="380"/>
      <c r="AV52" s="380"/>
      <c r="AW52" s="380"/>
      <c r="AX52" s="380"/>
      <c r="AY52" s="380"/>
      <c r="AZ52" s="380"/>
      <c r="BA52" s="380"/>
      <c r="BB52" s="380"/>
      <c r="BC52" s="380"/>
      <c r="BD52" s="380"/>
      <c r="BE52" s="380"/>
      <c r="BF52" s="380"/>
      <c r="BG52" s="380"/>
      <c r="BH52" s="380"/>
      <c r="BI52" s="380"/>
      <c r="BJ52" s="381"/>
    </row>
    <row r="53" spans="1:62" ht="30.75" customHeight="1">
      <c r="A53" s="431"/>
      <c r="B53" s="432"/>
      <c r="C53" s="433"/>
      <c r="D53" s="437"/>
      <c r="E53" s="438"/>
      <c r="F53" s="438"/>
      <c r="G53" s="438"/>
      <c r="H53" s="438"/>
      <c r="I53" s="438"/>
      <c r="J53" s="438"/>
      <c r="K53" s="438"/>
      <c r="L53" s="438"/>
      <c r="M53" s="438"/>
      <c r="N53" s="438"/>
      <c r="O53" s="438"/>
      <c r="P53" s="438"/>
      <c r="Q53" s="438"/>
      <c r="R53" s="439"/>
      <c r="S53" s="414"/>
      <c r="T53" s="415"/>
      <c r="U53" s="416"/>
      <c r="V53" s="414"/>
      <c r="W53" s="434"/>
      <c r="X53" s="435"/>
      <c r="Y53" s="416"/>
      <c r="Z53" s="414"/>
      <c r="AA53" s="415"/>
      <c r="AB53" s="415"/>
      <c r="AC53" s="416"/>
      <c r="AD53" s="414"/>
      <c r="AE53" s="415"/>
      <c r="AF53" s="416"/>
      <c r="AG53" s="414"/>
      <c r="AH53" s="415"/>
      <c r="AI53" s="416"/>
      <c r="AJ53" s="414"/>
      <c r="AK53" s="415"/>
      <c r="AL53" s="416"/>
      <c r="AM53" s="437"/>
      <c r="AN53" s="438"/>
      <c r="AO53" s="438"/>
      <c r="AP53" s="438"/>
      <c r="AQ53" s="438"/>
      <c r="AR53" s="438"/>
      <c r="AS53" s="438"/>
      <c r="AT53" s="438"/>
      <c r="AU53" s="438"/>
      <c r="AV53" s="438"/>
      <c r="AW53" s="438"/>
      <c r="AX53" s="438"/>
      <c r="AY53" s="438"/>
      <c r="AZ53" s="438"/>
      <c r="BA53" s="438"/>
      <c r="BB53" s="438"/>
      <c r="BC53" s="438"/>
      <c r="BD53" s="438"/>
      <c r="BE53" s="438"/>
      <c r="BF53" s="438"/>
      <c r="BG53" s="438"/>
      <c r="BH53" s="438"/>
      <c r="BI53" s="438"/>
      <c r="BJ53" s="439"/>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415">
    <mergeCell ref="A25:C25"/>
    <mergeCell ref="AJ24:AL24"/>
    <mergeCell ref="A22:C22"/>
    <mergeCell ref="D22:R22"/>
    <mergeCell ref="V22:W22"/>
    <mergeCell ref="X22:Y22"/>
    <mergeCell ref="AJ28:AL28"/>
    <mergeCell ref="AG28:AI28"/>
    <mergeCell ref="A27:C27"/>
    <mergeCell ref="D27:R27"/>
    <mergeCell ref="V27:W27"/>
    <mergeCell ref="X27:Y27"/>
    <mergeCell ref="AD27:AF27"/>
    <mergeCell ref="AG27:AI27"/>
    <mergeCell ref="AJ27:AL27"/>
    <mergeCell ref="S26:U26"/>
    <mergeCell ref="Z26:AC26"/>
    <mergeCell ref="A23:C23"/>
    <mergeCell ref="A24:C24"/>
    <mergeCell ref="A28:C28"/>
    <mergeCell ref="D28:R28"/>
    <mergeCell ref="S28:U28"/>
    <mergeCell ref="V28:W28"/>
    <mergeCell ref="X28:Y28"/>
    <mergeCell ref="D20:R20"/>
    <mergeCell ref="S20:U20"/>
    <mergeCell ref="V20:W20"/>
    <mergeCell ref="X20:Y20"/>
    <mergeCell ref="AD20:AF20"/>
    <mergeCell ref="AG20:AI20"/>
    <mergeCell ref="AJ20:AL20"/>
    <mergeCell ref="AM20:BJ20"/>
    <mergeCell ref="A17:C17"/>
    <mergeCell ref="D17:R17"/>
    <mergeCell ref="V17:W17"/>
    <mergeCell ref="X17:Y17"/>
    <mergeCell ref="AD17:AF17"/>
    <mergeCell ref="AG17:AI17"/>
    <mergeCell ref="AJ17:AL17"/>
    <mergeCell ref="S19:U19"/>
    <mergeCell ref="V18:W18"/>
    <mergeCell ref="X18:Y18"/>
    <mergeCell ref="A20:C20"/>
    <mergeCell ref="A19:C19"/>
    <mergeCell ref="A18:C18"/>
    <mergeCell ref="V19:W19"/>
    <mergeCell ref="D19:R19"/>
    <mergeCell ref="AG19:AI19"/>
    <mergeCell ref="A32:C32"/>
    <mergeCell ref="D32:R32"/>
    <mergeCell ref="S32:U32"/>
    <mergeCell ref="V32:W32"/>
    <mergeCell ref="X32:Y32"/>
    <mergeCell ref="Z32:AC32"/>
    <mergeCell ref="AM34:BJ34"/>
    <mergeCell ref="AG32:AI32"/>
    <mergeCell ref="AJ32:AL32"/>
    <mergeCell ref="A33:C33"/>
    <mergeCell ref="D33:R33"/>
    <mergeCell ref="V33:W33"/>
    <mergeCell ref="X33:Y33"/>
    <mergeCell ref="Z33:AC33"/>
    <mergeCell ref="AD33:AF33"/>
    <mergeCell ref="AG33:AI33"/>
    <mergeCell ref="AJ33:AL33"/>
    <mergeCell ref="AM33:BJ33"/>
    <mergeCell ref="A34:C34"/>
    <mergeCell ref="D34:R34"/>
    <mergeCell ref="AD34:AF34"/>
    <mergeCell ref="AG34:AI34"/>
    <mergeCell ref="AJ34:AL34"/>
    <mergeCell ref="AM32:BJ32"/>
    <mergeCell ref="Z52:AC52"/>
    <mergeCell ref="D53:R53"/>
    <mergeCell ref="S53:U53"/>
    <mergeCell ref="Z53:AC53"/>
    <mergeCell ref="D49:R49"/>
    <mergeCell ref="S49:U49"/>
    <mergeCell ref="Z49:AC49"/>
    <mergeCell ref="D50:R50"/>
    <mergeCell ref="S50:U50"/>
    <mergeCell ref="Z50:AC50"/>
    <mergeCell ref="D51:R51"/>
    <mergeCell ref="S51:U51"/>
    <mergeCell ref="Z51:AC51"/>
    <mergeCell ref="X51:Y51"/>
    <mergeCell ref="V52:W52"/>
    <mergeCell ref="X52:Y52"/>
    <mergeCell ref="D52:R52"/>
    <mergeCell ref="S52:U52"/>
    <mergeCell ref="D24:R24"/>
    <mergeCell ref="S24:U24"/>
    <mergeCell ref="X26:Y26"/>
    <mergeCell ref="V31:W31"/>
    <mergeCell ref="X30:Y30"/>
    <mergeCell ref="D29:R29"/>
    <mergeCell ref="S29:U29"/>
    <mergeCell ref="V29:W29"/>
    <mergeCell ref="X29:Y29"/>
    <mergeCell ref="S25:U25"/>
    <mergeCell ref="V24:W24"/>
    <mergeCell ref="X24:Y24"/>
    <mergeCell ref="S30:U30"/>
    <mergeCell ref="V30:W30"/>
    <mergeCell ref="D25:R25"/>
    <mergeCell ref="Z28:AC28"/>
    <mergeCell ref="Z29:AC29"/>
    <mergeCell ref="D26:R26"/>
    <mergeCell ref="X31:Y31"/>
    <mergeCell ref="V25:W25"/>
    <mergeCell ref="X25:Y25"/>
    <mergeCell ref="S34:U34"/>
    <mergeCell ref="V34:W34"/>
    <mergeCell ref="AJ46:AL46"/>
    <mergeCell ref="D46:R46"/>
    <mergeCell ref="S46:U46"/>
    <mergeCell ref="Z46:AC46"/>
    <mergeCell ref="V46:W46"/>
    <mergeCell ref="X46:Y46"/>
    <mergeCell ref="X36:Y36"/>
    <mergeCell ref="D36:R36"/>
    <mergeCell ref="S36:U36"/>
    <mergeCell ref="S43:U43"/>
    <mergeCell ref="D40:R40"/>
    <mergeCell ref="S40:U40"/>
    <mergeCell ref="X40:Y40"/>
    <mergeCell ref="D41:R41"/>
    <mergeCell ref="S41:U41"/>
    <mergeCell ref="AD38:AF38"/>
    <mergeCell ref="X43:Y43"/>
    <mergeCell ref="AD42:AF42"/>
    <mergeCell ref="D42:R42"/>
    <mergeCell ref="S42:U42"/>
    <mergeCell ref="X34:Y34"/>
    <mergeCell ref="Z47:AC47"/>
    <mergeCell ref="D48:R48"/>
    <mergeCell ref="S48:U48"/>
    <mergeCell ref="Z48:AC48"/>
    <mergeCell ref="V47:W47"/>
    <mergeCell ref="X47:Y47"/>
    <mergeCell ref="AD45:AF45"/>
    <mergeCell ref="V39:W39"/>
    <mergeCell ref="D43:R43"/>
    <mergeCell ref="D45:R45"/>
    <mergeCell ref="S45:U45"/>
    <mergeCell ref="Z45:AC45"/>
    <mergeCell ref="AD48:AF48"/>
    <mergeCell ref="AG48:AI48"/>
    <mergeCell ref="AD51:AF51"/>
    <mergeCell ref="AG51:AI51"/>
    <mergeCell ref="AJ51:AL51"/>
    <mergeCell ref="D47:R47"/>
    <mergeCell ref="S47:U47"/>
    <mergeCell ref="AM51:BJ51"/>
    <mergeCell ref="AJ48:AL48"/>
    <mergeCell ref="AM48:BJ48"/>
    <mergeCell ref="AD46:AF46"/>
    <mergeCell ref="AG46:AI46"/>
    <mergeCell ref="AM49:BJ49"/>
    <mergeCell ref="AD49:AF49"/>
    <mergeCell ref="AG49:AI49"/>
    <mergeCell ref="AJ49:AL49"/>
    <mergeCell ref="AJ30:AL30"/>
    <mergeCell ref="AD29:AF29"/>
    <mergeCell ref="AD19:AF19"/>
    <mergeCell ref="AJ19:AL19"/>
    <mergeCell ref="AD50:AF50"/>
    <mergeCell ref="AG50:AI50"/>
    <mergeCell ref="AJ50:AL50"/>
    <mergeCell ref="AM50:BJ50"/>
    <mergeCell ref="AM46:BJ46"/>
    <mergeCell ref="AD47:AF47"/>
    <mergeCell ref="AM47:BJ47"/>
    <mergeCell ref="AM43:BJ43"/>
    <mergeCell ref="AD43:AF43"/>
    <mergeCell ref="AG43:AI43"/>
    <mergeCell ref="AJ43:AL43"/>
    <mergeCell ref="AG42:AI42"/>
    <mergeCell ref="AD32:AF32"/>
    <mergeCell ref="AJ25:AL25"/>
    <mergeCell ref="AM27:BJ27"/>
    <mergeCell ref="AM23:BJ23"/>
    <mergeCell ref="AG22:AI22"/>
    <mergeCell ref="AG45:AI45"/>
    <mergeCell ref="AJ45:AL45"/>
    <mergeCell ref="Z20:AC20"/>
    <mergeCell ref="Z25:AC25"/>
    <mergeCell ref="AM44:BJ44"/>
    <mergeCell ref="AM45:BJ45"/>
    <mergeCell ref="AM17:BJ17"/>
    <mergeCell ref="AG29:AI29"/>
    <mergeCell ref="AJ29:AL29"/>
    <mergeCell ref="AM22:BJ22"/>
    <mergeCell ref="AD39:AF39"/>
    <mergeCell ref="AG39:AI39"/>
    <mergeCell ref="AD40:AF40"/>
    <mergeCell ref="AG40:AI40"/>
    <mergeCell ref="AJ40:AL40"/>
    <mergeCell ref="AD44:AF44"/>
    <mergeCell ref="AG44:AI44"/>
    <mergeCell ref="AJ44:AL44"/>
    <mergeCell ref="AD30:AF30"/>
    <mergeCell ref="AM37:BJ37"/>
    <mergeCell ref="AJ42:AL42"/>
    <mergeCell ref="AM30:BJ30"/>
    <mergeCell ref="AD21:AF21"/>
    <mergeCell ref="AG21:AI21"/>
    <mergeCell ref="AG23:AI23"/>
    <mergeCell ref="AD23:AF23"/>
    <mergeCell ref="Z24:AC24"/>
    <mergeCell ref="AD24:AF24"/>
    <mergeCell ref="AD28:AF28"/>
    <mergeCell ref="Z27:AC27"/>
    <mergeCell ref="Z22:AC22"/>
    <mergeCell ref="AM53:BJ53"/>
    <mergeCell ref="AM24:BJ24"/>
    <mergeCell ref="AM38:BJ38"/>
    <mergeCell ref="AM39:BJ39"/>
    <mergeCell ref="AM40:BJ40"/>
    <mergeCell ref="AM41:BJ41"/>
    <mergeCell ref="AJ53:AL53"/>
    <mergeCell ref="AG47:AI47"/>
    <mergeCell ref="AJ47:AL47"/>
    <mergeCell ref="AG38:AI38"/>
    <mergeCell ref="AG37:AI37"/>
    <mergeCell ref="AM25:BJ25"/>
    <mergeCell ref="AM26:BJ26"/>
    <mergeCell ref="AM31:BJ31"/>
    <mergeCell ref="AM35:BJ35"/>
    <mergeCell ref="AJ36:AL36"/>
    <mergeCell ref="AM36:BJ36"/>
    <mergeCell ref="AM42:BJ42"/>
    <mergeCell ref="AM52:BJ52"/>
    <mergeCell ref="AG52:AI52"/>
    <mergeCell ref="AJ52:AL52"/>
    <mergeCell ref="AJ31:AL31"/>
    <mergeCell ref="AJ35:AL35"/>
    <mergeCell ref="AG30:AI30"/>
    <mergeCell ref="A38:C38"/>
    <mergeCell ref="V38:W38"/>
    <mergeCell ref="A51:C51"/>
    <mergeCell ref="V51:W51"/>
    <mergeCell ref="A46:C46"/>
    <mergeCell ref="A45:C45"/>
    <mergeCell ref="V45:W45"/>
    <mergeCell ref="X45:Y45"/>
    <mergeCell ref="D44:R44"/>
    <mergeCell ref="S44:U44"/>
    <mergeCell ref="A49:C49"/>
    <mergeCell ref="V49:W49"/>
    <mergeCell ref="X49:Y49"/>
    <mergeCell ref="D38:R38"/>
    <mergeCell ref="S38:U38"/>
    <mergeCell ref="A40:C40"/>
    <mergeCell ref="V40:W40"/>
    <mergeCell ref="X39:Y39"/>
    <mergeCell ref="A39:C39"/>
    <mergeCell ref="A37:C37"/>
    <mergeCell ref="A36:C36"/>
    <mergeCell ref="AD36:AF36"/>
    <mergeCell ref="AG36:AI36"/>
    <mergeCell ref="AD35:AF35"/>
    <mergeCell ref="AG35:AI35"/>
    <mergeCell ref="V35:W35"/>
    <mergeCell ref="X35:Y35"/>
    <mergeCell ref="AD53:AF53"/>
    <mergeCell ref="AG53:AI53"/>
    <mergeCell ref="AD37:AF37"/>
    <mergeCell ref="AD52:AF52"/>
    <mergeCell ref="A53:C53"/>
    <mergeCell ref="A35:C35"/>
    <mergeCell ref="V53:W53"/>
    <mergeCell ref="X53:Y53"/>
    <mergeCell ref="A47:C47"/>
    <mergeCell ref="A48:C48"/>
    <mergeCell ref="V48:W48"/>
    <mergeCell ref="X48:Y48"/>
    <mergeCell ref="A50:C50"/>
    <mergeCell ref="V50:W50"/>
    <mergeCell ref="X50:Y50"/>
    <mergeCell ref="A52:C52"/>
    <mergeCell ref="D13:R14"/>
    <mergeCell ref="S13:U14"/>
    <mergeCell ref="V14:W14"/>
    <mergeCell ref="X14:Y14"/>
    <mergeCell ref="Z13:AC14"/>
    <mergeCell ref="AM13:BJ14"/>
    <mergeCell ref="V16:W16"/>
    <mergeCell ref="D16:R16"/>
    <mergeCell ref="S16:U16"/>
    <mergeCell ref="X16:Y16"/>
    <mergeCell ref="AD15:AF15"/>
    <mergeCell ref="AG15:AI15"/>
    <mergeCell ref="AJ15:AL15"/>
    <mergeCell ref="Z16:AC16"/>
    <mergeCell ref="A31:C31"/>
    <mergeCell ref="AD31:AF31"/>
    <mergeCell ref="AG31:AI31"/>
    <mergeCell ref="AD25:AF25"/>
    <mergeCell ref="AG25:AI25"/>
    <mergeCell ref="AD26:AF26"/>
    <mergeCell ref="AG26:AI26"/>
    <mergeCell ref="A26:C26"/>
    <mergeCell ref="AM15:BJ15"/>
    <mergeCell ref="D18:R18"/>
    <mergeCell ref="S17:U17"/>
    <mergeCell ref="Z18:AC18"/>
    <mergeCell ref="Z17:AC17"/>
    <mergeCell ref="AJ18:AL18"/>
    <mergeCell ref="AJ21:AL21"/>
    <mergeCell ref="AD22:AF22"/>
    <mergeCell ref="AJ22:AL22"/>
    <mergeCell ref="Z23:AC23"/>
    <mergeCell ref="AM28:BJ28"/>
    <mergeCell ref="AM29:BJ29"/>
    <mergeCell ref="AJ26:AL26"/>
    <mergeCell ref="AG24:AI24"/>
    <mergeCell ref="AM21:BJ21"/>
    <mergeCell ref="AJ23:AL23"/>
    <mergeCell ref="AZ2:BC2"/>
    <mergeCell ref="A21:C21"/>
    <mergeCell ref="AZ4:BJ4"/>
    <mergeCell ref="AV2:AY2"/>
    <mergeCell ref="BD2:BF2"/>
    <mergeCell ref="BG2:BJ2"/>
    <mergeCell ref="A2:AU2"/>
    <mergeCell ref="X19:Y19"/>
    <mergeCell ref="D21:R21"/>
    <mergeCell ref="S21:U21"/>
    <mergeCell ref="AT11:BJ11"/>
    <mergeCell ref="A15:C15"/>
    <mergeCell ref="D15:R15"/>
    <mergeCell ref="S15:U15"/>
    <mergeCell ref="V15:W15"/>
    <mergeCell ref="X15:Y15"/>
    <mergeCell ref="Z15:AC15"/>
    <mergeCell ref="A3:G3"/>
    <mergeCell ref="H3:AU3"/>
    <mergeCell ref="AV3:AY3"/>
    <mergeCell ref="A4:G4"/>
    <mergeCell ref="A6:G6"/>
    <mergeCell ref="AV4:AY4"/>
    <mergeCell ref="AD18:AF18"/>
    <mergeCell ref="AZ3:BJ3"/>
    <mergeCell ref="AM19:BJ19"/>
    <mergeCell ref="H6:BJ6"/>
    <mergeCell ref="A16:C16"/>
    <mergeCell ref="AM18:BJ18"/>
    <mergeCell ref="AD13:AF14"/>
    <mergeCell ref="AG13:AI14"/>
    <mergeCell ref="AJ13:AL14"/>
    <mergeCell ref="AG18:AI18"/>
    <mergeCell ref="A9:C9"/>
    <mergeCell ref="D9:AS9"/>
    <mergeCell ref="AT9:BJ9"/>
    <mergeCell ref="A10:C10"/>
    <mergeCell ref="D10:AS10"/>
    <mergeCell ref="AT10:BJ10"/>
    <mergeCell ref="A11:C11"/>
    <mergeCell ref="D11:AS11"/>
    <mergeCell ref="V13:Y13"/>
    <mergeCell ref="H4:AU4"/>
    <mergeCell ref="AM16:BJ16"/>
    <mergeCell ref="A13:C14"/>
    <mergeCell ref="AJ16:AL16"/>
    <mergeCell ref="AD16:AF16"/>
    <mergeCell ref="AG16:AI16"/>
    <mergeCell ref="V23:W23"/>
    <mergeCell ref="AD41:AF41"/>
    <mergeCell ref="AG41:AI41"/>
    <mergeCell ref="AJ41:AL41"/>
    <mergeCell ref="Z40:AC40"/>
    <mergeCell ref="D39:R39"/>
    <mergeCell ref="S39:U39"/>
    <mergeCell ref="Z39:AC39"/>
    <mergeCell ref="Z41:AC41"/>
    <mergeCell ref="AJ38:AL38"/>
    <mergeCell ref="AJ37:AL37"/>
    <mergeCell ref="AJ39:AL39"/>
    <mergeCell ref="Z36:AC36"/>
    <mergeCell ref="Z37:AC37"/>
    <mergeCell ref="Z34:AC34"/>
    <mergeCell ref="V36:W36"/>
    <mergeCell ref="D37:R37"/>
    <mergeCell ref="S37:U37"/>
    <mergeCell ref="X37:Y37"/>
    <mergeCell ref="Z31:AC31"/>
    <mergeCell ref="D31:R31"/>
    <mergeCell ref="D30:R30"/>
    <mergeCell ref="D35:R35"/>
    <mergeCell ref="S35:U35"/>
    <mergeCell ref="X23:Y23"/>
    <mergeCell ref="A44:C44"/>
    <mergeCell ref="V44:W44"/>
    <mergeCell ref="X44:Y44"/>
    <mergeCell ref="V21:W21"/>
    <mergeCell ref="X21:Y21"/>
    <mergeCell ref="S18:U18"/>
    <mergeCell ref="S31:U31"/>
    <mergeCell ref="A42:C42"/>
    <mergeCell ref="V42:W42"/>
    <mergeCell ref="X42:Y42"/>
    <mergeCell ref="X38:Y38"/>
    <mergeCell ref="A43:C43"/>
    <mergeCell ref="V43:W43"/>
    <mergeCell ref="V37:W37"/>
    <mergeCell ref="D23:R23"/>
    <mergeCell ref="S23:U23"/>
    <mergeCell ref="A41:C41"/>
    <mergeCell ref="V41:W41"/>
    <mergeCell ref="X41:Y41"/>
    <mergeCell ref="A30:C30"/>
    <mergeCell ref="A29:C29"/>
    <mergeCell ref="V26:W26"/>
    <mergeCell ref="S27:U27"/>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69F1-CD8B-4977-94A3-1F8BDA6ED909}">
  <sheetPr codeName="Sheet9"/>
  <dimension ref="A1:BK28"/>
  <sheetViews>
    <sheetView view="pageBreakPreview" zoomScaleNormal="100" zoomScaleSheetLayoutView="100" workbookViewId="0"/>
  </sheetViews>
  <sheetFormatPr defaultColWidth="1.90625" defaultRowHeight="14"/>
  <cols>
    <col min="1" max="89" width="2.08984375" style="22" customWidth="1"/>
    <col min="90"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45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46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7" t="s">
        <v>34</v>
      </c>
      <c r="B8" s="258"/>
      <c r="C8" s="259"/>
      <c r="D8" s="257" t="s">
        <v>35</v>
      </c>
      <c r="E8" s="258"/>
      <c r="F8" s="258"/>
      <c r="G8" s="258"/>
      <c r="H8" s="258"/>
      <c r="I8" s="258"/>
      <c r="J8" s="258"/>
      <c r="K8" s="258"/>
      <c r="L8" s="258"/>
      <c r="M8" s="258"/>
      <c r="N8" s="258"/>
      <c r="O8" s="258"/>
      <c r="P8" s="258"/>
      <c r="Q8" s="259"/>
      <c r="R8" s="459" t="s">
        <v>48</v>
      </c>
      <c r="S8" s="460"/>
      <c r="T8" s="461"/>
      <c r="U8" s="459" t="s">
        <v>49</v>
      </c>
      <c r="V8" s="460"/>
      <c r="W8" s="461"/>
      <c r="X8" s="459" t="s">
        <v>50</v>
      </c>
      <c r="Y8" s="460"/>
      <c r="Z8" s="461"/>
      <c r="AA8" s="459" t="s">
        <v>51</v>
      </c>
      <c r="AB8" s="460"/>
      <c r="AC8" s="461"/>
      <c r="AD8" s="459" t="s">
        <v>52</v>
      </c>
      <c r="AE8" s="460"/>
      <c r="AF8" s="461"/>
      <c r="AG8" s="257" t="s">
        <v>53</v>
      </c>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c r="BK8" s="22" t="s">
        <v>415</v>
      </c>
    </row>
    <row r="9" spans="1:63" ht="30" customHeight="1">
      <c r="A9" s="456">
        <f t="shared" ref="A9:A17" si="0">ROW()-8</f>
        <v>1</v>
      </c>
      <c r="B9" s="457"/>
      <c r="C9" s="458"/>
      <c r="D9" s="379" t="s">
        <v>89</v>
      </c>
      <c r="E9" s="380"/>
      <c r="F9" s="380"/>
      <c r="G9" s="380"/>
      <c r="H9" s="380"/>
      <c r="I9" s="380"/>
      <c r="J9" s="380"/>
      <c r="K9" s="380"/>
      <c r="L9" s="380"/>
      <c r="M9" s="380"/>
      <c r="N9" s="380"/>
      <c r="O9" s="380"/>
      <c r="P9" s="380"/>
      <c r="Q9" s="381"/>
      <c r="R9" s="465"/>
      <c r="S9" s="466"/>
      <c r="T9" s="467"/>
      <c r="U9" s="382"/>
      <c r="V9" s="371"/>
      <c r="W9" s="366"/>
      <c r="X9" s="382"/>
      <c r="Y9" s="371"/>
      <c r="Z9" s="366"/>
      <c r="AA9" s="382" t="s">
        <v>294</v>
      </c>
      <c r="AB9" s="371"/>
      <c r="AC9" s="366"/>
      <c r="AD9" s="382"/>
      <c r="AE9" s="371"/>
      <c r="AF9" s="366"/>
      <c r="AG9" s="468" t="s">
        <v>128</v>
      </c>
      <c r="AH9" s="469"/>
      <c r="AI9" s="469"/>
      <c r="AJ9" s="469"/>
      <c r="AK9" s="469"/>
      <c r="AL9" s="469"/>
      <c r="AM9" s="469"/>
      <c r="AN9" s="469"/>
      <c r="AO9" s="469"/>
      <c r="AP9" s="469"/>
      <c r="AQ9" s="469"/>
      <c r="AR9" s="469"/>
      <c r="AS9" s="469"/>
      <c r="AT9" s="469"/>
      <c r="AU9" s="469"/>
      <c r="AV9" s="469"/>
      <c r="AW9" s="469"/>
      <c r="AX9" s="469"/>
      <c r="AY9" s="469"/>
      <c r="AZ9" s="469"/>
      <c r="BA9" s="469"/>
      <c r="BB9" s="469"/>
      <c r="BC9" s="470"/>
      <c r="BD9" s="382"/>
      <c r="BE9" s="371"/>
      <c r="BF9" s="371"/>
      <c r="BG9" s="371"/>
      <c r="BH9" s="371"/>
      <c r="BI9" s="371"/>
      <c r="BJ9" s="366"/>
      <c r="BK9" s="22" t="s">
        <v>416</v>
      </c>
    </row>
    <row r="10" spans="1:63" ht="33" customHeight="1">
      <c r="A10" s="456">
        <f t="shared" si="0"/>
        <v>2</v>
      </c>
      <c r="B10" s="457"/>
      <c r="C10" s="458"/>
      <c r="D10" s="379" t="s">
        <v>91</v>
      </c>
      <c r="E10" s="380"/>
      <c r="F10" s="380"/>
      <c r="G10" s="380"/>
      <c r="H10" s="380"/>
      <c r="I10" s="380"/>
      <c r="J10" s="380"/>
      <c r="K10" s="380"/>
      <c r="L10" s="380"/>
      <c r="M10" s="380"/>
      <c r="N10" s="380"/>
      <c r="O10" s="380"/>
      <c r="P10" s="380"/>
      <c r="Q10" s="381"/>
      <c r="R10" s="382"/>
      <c r="S10" s="371"/>
      <c r="T10" s="366"/>
      <c r="U10" s="382"/>
      <c r="V10" s="371"/>
      <c r="W10" s="366"/>
      <c r="X10" s="382"/>
      <c r="Y10" s="371"/>
      <c r="Z10" s="366"/>
      <c r="AA10" s="382" t="s">
        <v>294</v>
      </c>
      <c r="AB10" s="371"/>
      <c r="AC10" s="366"/>
      <c r="AD10" s="382"/>
      <c r="AE10" s="371"/>
      <c r="AF10" s="366"/>
      <c r="AG10" s="468" t="s">
        <v>129</v>
      </c>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70"/>
      <c r="BD10" s="382"/>
      <c r="BE10" s="371"/>
      <c r="BF10" s="371"/>
      <c r="BG10" s="371"/>
      <c r="BH10" s="371"/>
      <c r="BI10" s="371"/>
      <c r="BJ10" s="366"/>
      <c r="BK10" s="22" t="s">
        <v>416</v>
      </c>
    </row>
    <row r="11" spans="1:63" ht="30" customHeight="1">
      <c r="A11" s="456">
        <f t="shared" ref="A11:A12" si="1">ROW()-8</f>
        <v>3</v>
      </c>
      <c r="B11" s="457"/>
      <c r="C11" s="458"/>
      <c r="D11" s="379" t="s">
        <v>93</v>
      </c>
      <c r="E11" s="380"/>
      <c r="F11" s="380"/>
      <c r="G11" s="380"/>
      <c r="H11" s="380"/>
      <c r="I11" s="380"/>
      <c r="J11" s="380"/>
      <c r="K11" s="380"/>
      <c r="L11" s="380"/>
      <c r="M11" s="380"/>
      <c r="N11" s="380"/>
      <c r="O11" s="380"/>
      <c r="P11" s="380"/>
      <c r="Q11" s="381"/>
      <c r="R11" s="382"/>
      <c r="S11" s="371"/>
      <c r="T11" s="366"/>
      <c r="U11" s="382"/>
      <c r="V11" s="371"/>
      <c r="W11" s="366"/>
      <c r="X11" s="382"/>
      <c r="Y11" s="371"/>
      <c r="Z11" s="366"/>
      <c r="AA11" s="382" t="s">
        <v>294</v>
      </c>
      <c r="AB11" s="371"/>
      <c r="AC11" s="366"/>
      <c r="AD11" s="382"/>
      <c r="AE11" s="371"/>
      <c r="AF11" s="366"/>
      <c r="AG11" s="468" t="s">
        <v>79</v>
      </c>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70"/>
      <c r="BD11" s="382"/>
      <c r="BE11" s="371"/>
      <c r="BF11" s="371"/>
      <c r="BG11" s="371"/>
      <c r="BH11" s="371"/>
      <c r="BI11" s="371"/>
      <c r="BJ11" s="366"/>
      <c r="BK11" s="22" t="s">
        <v>416</v>
      </c>
    </row>
    <row r="12" spans="1:63" ht="30" customHeight="1">
      <c r="A12" s="456">
        <f t="shared" si="1"/>
        <v>4</v>
      </c>
      <c r="B12" s="457"/>
      <c r="C12" s="458"/>
      <c r="D12" s="379" t="s">
        <v>73</v>
      </c>
      <c r="E12" s="380"/>
      <c r="F12" s="380"/>
      <c r="G12" s="380"/>
      <c r="H12" s="380"/>
      <c r="I12" s="380"/>
      <c r="J12" s="380"/>
      <c r="K12" s="380"/>
      <c r="L12" s="380"/>
      <c r="M12" s="380"/>
      <c r="N12" s="380"/>
      <c r="O12" s="380"/>
      <c r="P12" s="380"/>
      <c r="Q12" s="381"/>
      <c r="R12" s="382"/>
      <c r="S12" s="371"/>
      <c r="T12" s="366"/>
      <c r="U12" s="382"/>
      <c r="V12" s="371"/>
      <c r="W12" s="366"/>
      <c r="X12" s="376" t="s">
        <v>294</v>
      </c>
      <c r="Y12" s="377"/>
      <c r="Z12" s="378"/>
      <c r="AA12" s="376"/>
      <c r="AB12" s="377"/>
      <c r="AC12" s="378"/>
      <c r="AD12" s="376"/>
      <c r="AE12" s="377"/>
      <c r="AF12" s="378"/>
      <c r="AG12" s="468" t="s">
        <v>357</v>
      </c>
      <c r="AH12" s="469"/>
      <c r="AI12" s="469"/>
      <c r="AJ12" s="469"/>
      <c r="AK12" s="469"/>
      <c r="AL12" s="469"/>
      <c r="AM12" s="469"/>
      <c r="AN12" s="469"/>
      <c r="AO12" s="469"/>
      <c r="AP12" s="469"/>
      <c r="AQ12" s="469"/>
      <c r="AR12" s="469"/>
      <c r="AS12" s="469"/>
      <c r="AT12" s="469"/>
      <c r="AU12" s="469"/>
      <c r="AV12" s="469"/>
      <c r="AW12" s="469"/>
      <c r="AX12" s="469"/>
      <c r="AY12" s="469"/>
      <c r="AZ12" s="469"/>
      <c r="BA12" s="469"/>
      <c r="BB12" s="469"/>
      <c r="BC12" s="470"/>
      <c r="BD12" s="382"/>
      <c r="BE12" s="371"/>
      <c r="BF12" s="371"/>
      <c r="BG12" s="371"/>
      <c r="BH12" s="371"/>
      <c r="BI12" s="371"/>
      <c r="BJ12" s="366"/>
      <c r="BK12" s="22" t="s">
        <v>417</v>
      </c>
    </row>
    <row r="13" spans="1:63" ht="30" customHeight="1">
      <c r="A13" s="456">
        <f t="shared" si="0"/>
        <v>5</v>
      </c>
      <c r="B13" s="457"/>
      <c r="C13" s="458"/>
      <c r="D13" s="379" t="s">
        <v>299</v>
      </c>
      <c r="E13" s="380"/>
      <c r="F13" s="380"/>
      <c r="G13" s="380"/>
      <c r="H13" s="380"/>
      <c r="I13" s="380"/>
      <c r="J13" s="380"/>
      <c r="K13" s="380"/>
      <c r="L13" s="380"/>
      <c r="M13" s="380"/>
      <c r="N13" s="380"/>
      <c r="O13" s="380"/>
      <c r="P13" s="380"/>
      <c r="Q13" s="381"/>
      <c r="R13" s="382"/>
      <c r="S13" s="371"/>
      <c r="T13" s="366"/>
      <c r="U13" s="382"/>
      <c r="V13" s="371"/>
      <c r="W13" s="366"/>
      <c r="X13" s="382" t="s">
        <v>320</v>
      </c>
      <c r="Y13" s="371"/>
      <c r="Z13" s="366"/>
      <c r="AA13" s="382"/>
      <c r="AB13" s="371"/>
      <c r="AC13" s="366"/>
      <c r="AD13" s="382"/>
      <c r="AE13" s="371"/>
      <c r="AF13" s="366"/>
      <c r="AG13" s="468" t="s">
        <v>358</v>
      </c>
      <c r="AH13" s="469"/>
      <c r="AI13" s="469"/>
      <c r="AJ13" s="469"/>
      <c r="AK13" s="469"/>
      <c r="AL13" s="469"/>
      <c r="AM13" s="469"/>
      <c r="AN13" s="469"/>
      <c r="AO13" s="469"/>
      <c r="AP13" s="469"/>
      <c r="AQ13" s="469"/>
      <c r="AR13" s="469"/>
      <c r="AS13" s="469"/>
      <c r="AT13" s="469"/>
      <c r="AU13" s="469"/>
      <c r="AV13" s="469"/>
      <c r="AW13" s="469"/>
      <c r="AX13" s="469"/>
      <c r="AY13" s="469"/>
      <c r="AZ13" s="469"/>
      <c r="BA13" s="469"/>
      <c r="BB13" s="469"/>
      <c r="BC13" s="470"/>
      <c r="BD13" s="382"/>
      <c r="BE13" s="371"/>
      <c r="BF13" s="371"/>
      <c r="BG13" s="371"/>
      <c r="BH13" s="371"/>
      <c r="BI13" s="371"/>
      <c r="BJ13" s="366"/>
      <c r="BK13" s="22" t="s">
        <v>417</v>
      </c>
    </row>
    <row r="14" spans="1:63" ht="50.4" customHeight="1">
      <c r="A14" s="456">
        <f t="shared" si="0"/>
        <v>6</v>
      </c>
      <c r="B14" s="457"/>
      <c r="C14" s="458"/>
      <c r="D14" s="379" t="s">
        <v>127</v>
      </c>
      <c r="E14" s="380"/>
      <c r="F14" s="380"/>
      <c r="G14" s="380"/>
      <c r="H14" s="380"/>
      <c r="I14" s="380"/>
      <c r="J14" s="380"/>
      <c r="K14" s="380"/>
      <c r="L14" s="380"/>
      <c r="M14" s="380"/>
      <c r="N14" s="380"/>
      <c r="O14" s="380"/>
      <c r="P14" s="380"/>
      <c r="Q14" s="381"/>
      <c r="R14" s="376"/>
      <c r="S14" s="377"/>
      <c r="T14" s="378"/>
      <c r="U14" s="382" t="s">
        <v>320</v>
      </c>
      <c r="V14" s="371"/>
      <c r="W14" s="366"/>
      <c r="X14" s="376"/>
      <c r="Y14" s="377"/>
      <c r="Z14" s="378"/>
      <c r="AA14" s="382"/>
      <c r="AB14" s="371"/>
      <c r="AC14" s="366"/>
      <c r="AD14" s="376"/>
      <c r="AE14" s="377"/>
      <c r="AF14" s="378"/>
      <c r="AG14" s="468" t="s">
        <v>359</v>
      </c>
      <c r="AH14" s="474"/>
      <c r="AI14" s="474"/>
      <c r="AJ14" s="474"/>
      <c r="AK14" s="474"/>
      <c r="AL14" s="474"/>
      <c r="AM14" s="474"/>
      <c r="AN14" s="474"/>
      <c r="AO14" s="474"/>
      <c r="AP14" s="474"/>
      <c r="AQ14" s="474"/>
      <c r="AR14" s="474"/>
      <c r="AS14" s="474"/>
      <c r="AT14" s="474"/>
      <c r="AU14" s="474"/>
      <c r="AV14" s="474"/>
      <c r="AW14" s="474"/>
      <c r="AX14" s="474"/>
      <c r="AY14" s="474"/>
      <c r="AZ14" s="474"/>
      <c r="BA14" s="474"/>
      <c r="BB14" s="474"/>
      <c r="BC14" s="475"/>
      <c r="BD14" s="382"/>
      <c r="BE14" s="371"/>
      <c r="BF14" s="371"/>
      <c r="BG14" s="371"/>
      <c r="BH14" s="371"/>
      <c r="BI14" s="371"/>
      <c r="BJ14" s="366"/>
      <c r="BK14" s="22" t="s">
        <v>419</v>
      </c>
    </row>
    <row r="15" spans="1:63" ht="57.9" customHeight="1">
      <c r="A15" s="367">
        <f t="shared" ref="A15" si="2">ROW()-8</f>
        <v>7</v>
      </c>
      <c r="B15" s="368"/>
      <c r="C15" s="369"/>
      <c r="D15" s="379" t="s">
        <v>81</v>
      </c>
      <c r="E15" s="380"/>
      <c r="F15" s="380"/>
      <c r="G15" s="380"/>
      <c r="H15" s="380"/>
      <c r="I15" s="380"/>
      <c r="J15" s="380"/>
      <c r="K15" s="380"/>
      <c r="L15" s="380"/>
      <c r="M15" s="380"/>
      <c r="N15" s="380"/>
      <c r="O15" s="380"/>
      <c r="P15" s="380"/>
      <c r="Q15" s="381"/>
      <c r="R15" s="376"/>
      <c r="S15" s="377"/>
      <c r="T15" s="378"/>
      <c r="U15" s="382" t="s">
        <v>320</v>
      </c>
      <c r="V15" s="371"/>
      <c r="W15" s="366"/>
      <c r="X15" s="376"/>
      <c r="Y15" s="377"/>
      <c r="Z15" s="378"/>
      <c r="AA15" s="382"/>
      <c r="AB15" s="371"/>
      <c r="AC15" s="366"/>
      <c r="AD15" s="376"/>
      <c r="AE15" s="377"/>
      <c r="AF15" s="378"/>
      <c r="AG15" s="468" t="s">
        <v>359</v>
      </c>
      <c r="AH15" s="474"/>
      <c r="AI15" s="474"/>
      <c r="AJ15" s="474"/>
      <c r="AK15" s="474"/>
      <c r="AL15" s="474"/>
      <c r="AM15" s="474"/>
      <c r="AN15" s="474"/>
      <c r="AO15" s="474"/>
      <c r="AP15" s="474"/>
      <c r="AQ15" s="474"/>
      <c r="AR15" s="474"/>
      <c r="AS15" s="474"/>
      <c r="AT15" s="474"/>
      <c r="AU15" s="474"/>
      <c r="AV15" s="474"/>
      <c r="AW15" s="474"/>
      <c r="AX15" s="474"/>
      <c r="AY15" s="474"/>
      <c r="AZ15" s="474"/>
      <c r="BA15" s="474"/>
      <c r="BB15" s="474"/>
      <c r="BC15" s="475"/>
      <c r="BD15" s="382"/>
      <c r="BE15" s="371"/>
      <c r="BF15" s="371"/>
      <c r="BG15" s="371"/>
      <c r="BH15" s="371"/>
      <c r="BI15" s="371"/>
      <c r="BJ15" s="366"/>
      <c r="BK15" s="22" t="s">
        <v>419</v>
      </c>
    </row>
    <row r="16" spans="1:63" ht="44.15" customHeight="1">
      <c r="A16" s="367">
        <f t="shared" si="0"/>
        <v>8</v>
      </c>
      <c r="B16" s="368"/>
      <c r="C16" s="369"/>
      <c r="D16" s="379" t="s">
        <v>265</v>
      </c>
      <c r="E16" s="380"/>
      <c r="F16" s="380"/>
      <c r="G16" s="380"/>
      <c r="H16" s="380"/>
      <c r="I16" s="380"/>
      <c r="J16" s="380"/>
      <c r="K16" s="380"/>
      <c r="L16" s="380"/>
      <c r="M16" s="380"/>
      <c r="N16" s="380"/>
      <c r="O16" s="380"/>
      <c r="P16" s="380"/>
      <c r="Q16" s="381"/>
      <c r="R16" s="382"/>
      <c r="S16" s="371"/>
      <c r="T16" s="366"/>
      <c r="U16" s="382" t="s">
        <v>320</v>
      </c>
      <c r="V16" s="371"/>
      <c r="W16" s="366"/>
      <c r="X16" s="382"/>
      <c r="Y16" s="371"/>
      <c r="Z16" s="366"/>
      <c r="AA16" s="382"/>
      <c r="AB16" s="371"/>
      <c r="AC16" s="366"/>
      <c r="AD16" s="382"/>
      <c r="AE16" s="371"/>
      <c r="AF16" s="366"/>
      <c r="AG16" s="468" t="s">
        <v>421</v>
      </c>
      <c r="AH16" s="469"/>
      <c r="AI16" s="469"/>
      <c r="AJ16" s="469"/>
      <c r="AK16" s="469"/>
      <c r="AL16" s="469"/>
      <c r="AM16" s="469"/>
      <c r="AN16" s="469"/>
      <c r="AO16" s="469"/>
      <c r="AP16" s="469"/>
      <c r="AQ16" s="469"/>
      <c r="AR16" s="469"/>
      <c r="AS16" s="469"/>
      <c r="AT16" s="469"/>
      <c r="AU16" s="469"/>
      <c r="AV16" s="469"/>
      <c r="AW16" s="469"/>
      <c r="AX16" s="469"/>
      <c r="AY16" s="469"/>
      <c r="AZ16" s="469"/>
      <c r="BA16" s="469"/>
      <c r="BB16" s="469"/>
      <c r="BC16" s="470"/>
      <c r="BD16" s="382"/>
      <c r="BE16" s="371"/>
      <c r="BF16" s="371"/>
      <c r="BG16" s="371"/>
      <c r="BH16" s="371"/>
      <c r="BI16" s="371"/>
      <c r="BJ16" s="366"/>
      <c r="BK16" s="22" t="s">
        <v>420</v>
      </c>
    </row>
    <row r="17" spans="1:63" ht="40.5" customHeight="1">
      <c r="A17" s="456">
        <f t="shared" si="0"/>
        <v>9</v>
      </c>
      <c r="B17" s="457"/>
      <c r="C17" s="458"/>
      <c r="D17" s="379" t="s">
        <v>471</v>
      </c>
      <c r="E17" s="380"/>
      <c r="F17" s="380"/>
      <c r="G17" s="380"/>
      <c r="H17" s="380"/>
      <c r="I17" s="380"/>
      <c r="J17" s="380"/>
      <c r="K17" s="380"/>
      <c r="L17" s="380"/>
      <c r="M17" s="380"/>
      <c r="N17" s="380"/>
      <c r="O17" s="380"/>
      <c r="P17" s="380"/>
      <c r="Q17" s="381"/>
      <c r="R17" s="382"/>
      <c r="S17" s="371"/>
      <c r="T17" s="366"/>
      <c r="U17" s="382" t="s">
        <v>320</v>
      </c>
      <c r="V17" s="371"/>
      <c r="W17" s="366"/>
      <c r="X17" s="382"/>
      <c r="Y17" s="371"/>
      <c r="Z17" s="366"/>
      <c r="AA17" s="382"/>
      <c r="AB17" s="371"/>
      <c r="AC17" s="366"/>
      <c r="AD17" s="382"/>
      <c r="AE17" s="371"/>
      <c r="AF17" s="366"/>
      <c r="AG17" s="468" t="s">
        <v>421</v>
      </c>
      <c r="AH17" s="469"/>
      <c r="AI17" s="469"/>
      <c r="AJ17" s="469"/>
      <c r="AK17" s="469"/>
      <c r="AL17" s="469"/>
      <c r="AM17" s="469"/>
      <c r="AN17" s="469"/>
      <c r="AO17" s="469"/>
      <c r="AP17" s="469"/>
      <c r="AQ17" s="469"/>
      <c r="AR17" s="469"/>
      <c r="AS17" s="469"/>
      <c r="AT17" s="469"/>
      <c r="AU17" s="469"/>
      <c r="AV17" s="469"/>
      <c r="AW17" s="469"/>
      <c r="AX17" s="469"/>
      <c r="AY17" s="469"/>
      <c r="AZ17" s="469"/>
      <c r="BA17" s="469"/>
      <c r="BB17" s="469"/>
      <c r="BC17" s="470"/>
      <c r="BD17" s="382"/>
      <c r="BE17" s="371"/>
      <c r="BF17" s="371"/>
      <c r="BG17" s="371"/>
      <c r="BH17" s="371"/>
      <c r="BI17" s="371"/>
      <c r="BJ17" s="366"/>
      <c r="BK17" s="22" t="s">
        <v>420</v>
      </c>
    </row>
    <row r="18" spans="1:63" ht="30" customHeight="1">
      <c r="A18" s="471"/>
      <c r="B18" s="472"/>
      <c r="C18" s="473"/>
      <c r="D18" s="437"/>
      <c r="E18" s="438"/>
      <c r="F18" s="438"/>
      <c r="G18" s="438"/>
      <c r="H18" s="438"/>
      <c r="I18" s="438"/>
      <c r="J18" s="438"/>
      <c r="K18" s="438"/>
      <c r="L18" s="438"/>
      <c r="M18" s="438"/>
      <c r="N18" s="438"/>
      <c r="O18" s="438"/>
      <c r="P18" s="438"/>
      <c r="Q18" s="439"/>
      <c r="R18" s="414"/>
      <c r="S18" s="415"/>
      <c r="T18" s="416"/>
      <c r="U18" s="414"/>
      <c r="V18" s="415"/>
      <c r="W18" s="416"/>
      <c r="X18" s="414"/>
      <c r="Y18" s="415"/>
      <c r="Z18" s="416"/>
      <c r="AA18" s="414"/>
      <c r="AB18" s="415"/>
      <c r="AC18" s="416"/>
      <c r="AD18" s="414"/>
      <c r="AE18" s="415"/>
      <c r="AF18" s="416"/>
      <c r="AG18" s="437"/>
      <c r="AH18" s="438"/>
      <c r="AI18" s="438"/>
      <c r="AJ18" s="438"/>
      <c r="AK18" s="438"/>
      <c r="AL18" s="438"/>
      <c r="AM18" s="438"/>
      <c r="AN18" s="438"/>
      <c r="AO18" s="438"/>
      <c r="AP18" s="438"/>
      <c r="AQ18" s="438"/>
      <c r="AR18" s="438"/>
      <c r="AS18" s="438"/>
      <c r="AT18" s="438"/>
      <c r="AU18" s="438"/>
      <c r="AV18" s="438"/>
      <c r="AW18" s="438"/>
      <c r="AX18" s="438"/>
      <c r="AY18" s="438"/>
      <c r="AZ18" s="438"/>
      <c r="BA18" s="438"/>
      <c r="BB18" s="438"/>
      <c r="BC18" s="439"/>
      <c r="BD18" s="414"/>
      <c r="BE18" s="415"/>
      <c r="BF18" s="415"/>
      <c r="BG18" s="415"/>
      <c r="BH18" s="415"/>
      <c r="BI18" s="415"/>
      <c r="BJ18" s="416"/>
    </row>
    <row r="19" spans="1:63" s="24" customFormat="1" ht="5.25" customHeight="1">
      <c r="B19" s="25"/>
      <c r="C19" s="25"/>
      <c r="D19" s="25"/>
      <c r="E19" s="25"/>
      <c r="F19" s="25"/>
      <c r="G19" s="25"/>
      <c r="H19" s="25"/>
      <c r="I19" s="25"/>
      <c r="J19" s="25"/>
      <c r="K19" s="25"/>
      <c r="L19" s="25"/>
      <c r="M19" s="25"/>
      <c r="N19" s="25"/>
      <c r="O19" s="25"/>
      <c r="P19" s="25"/>
      <c r="Q19" s="25"/>
      <c r="R19" s="25"/>
      <c r="S19" s="25"/>
    </row>
    <row r="20" spans="1:63" ht="24" customHeight="1"/>
    <row r="21" spans="1:63" ht="24" customHeight="1"/>
    <row r="22" spans="1:63" ht="24" customHeight="1"/>
    <row r="23" spans="1:63" ht="24" customHeight="1"/>
    <row r="24" spans="1:63" ht="24" customHeight="1"/>
    <row r="25" spans="1:63" ht="17.149999999999999" customHeight="1"/>
    <row r="26" spans="1:63" ht="17.149999999999999" customHeight="1"/>
    <row r="27" spans="1:63" ht="17.149999999999999" customHeight="1"/>
    <row r="28" spans="1:63" ht="17.149999999999999" customHeight="1"/>
  </sheetData>
  <mergeCells count="114">
    <mergeCell ref="A15:C15"/>
    <mergeCell ref="D15:Q15"/>
    <mergeCell ref="R15:T15"/>
    <mergeCell ref="A12:C12"/>
    <mergeCell ref="D12:Q12"/>
    <mergeCell ref="R12:T12"/>
    <mergeCell ref="U12:W12"/>
    <mergeCell ref="X12:Z12"/>
    <mergeCell ref="AA12:AC12"/>
    <mergeCell ref="U15:W15"/>
    <mergeCell ref="X15:Z15"/>
    <mergeCell ref="AA15:AC15"/>
    <mergeCell ref="A14:C14"/>
    <mergeCell ref="D14:Q14"/>
    <mergeCell ref="R14:T14"/>
    <mergeCell ref="U14:W14"/>
    <mergeCell ref="X14:Z14"/>
    <mergeCell ref="A13:C13"/>
    <mergeCell ref="D13:Q13"/>
    <mergeCell ref="R13:T13"/>
    <mergeCell ref="U13:W13"/>
    <mergeCell ref="X13:Z13"/>
    <mergeCell ref="AA13:AC13"/>
    <mergeCell ref="AA14:AC14"/>
    <mergeCell ref="AD10:AF10"/>
    <mergeCell ref="AG10:BC10"/>
    <mergeCell ref="BD10:BJ10"/>
    <mergeCell ref="BD18:BJ18"/>
    <mergeCell ref="AG17:BC17"/>
    <mergeCell ref="BD17:BJ17"/>
    <mergeCell ref="BD16:BJ16"/>
    <mergeCell ref="AD18:AF18"/>
    <mergeCell ref="AG18:BC18"/>
    <mergeCell ref="AD17:AF17"/>
    <mergeCell ref="AD16:AF16"/>
    <mergeCell ref="AG16:BC16"/>
    <mergeCell ref="BD12:BJ12"/>
    <mergeCell ref="AD14:AF14"/>
    <mergeCell ref="AG14:BC14"/>
    <mergeCell ref="BD14:BJ14"/>
    <mergeCell ref="AD13:AF13"/>
    <mergeCell ref="AG13:BC13"/>
    <mergeCell ref="BD15:BJ15"/>
    <mergeCell ref="AD12:AF12"/>
    <mergeCell ref="AG12:BC12"/>
    <mergeCell ref="AD15:AF15"/>
    <mergeCell ref="AG15:BC15"/>
    <mergeCell ref="BD13:BJ13"/>
    <mergeCell ref="A11:C11"/>
    <mergeCell ref="D11:Q11"/>
    <mergeCell ref="R11:T11"/>
    <mergeCell ref="U11:W11"/>
    <mergeCell ref="X11:Z11"/>
    <mergeCell ref="AA11:AC11"/>
    <mergeCell ref="AD11:AF11"/>
    <mergeCell ref="AG11:BC11"/>
    <mergeCell ref="BD11:BJ11"/>
    <mergeCell ref="A16:C16"/>
    <mergeCell ref="D16:Q16"/>
    <mergeCell ref="R16:T16"/>
    <mergeCell ref="A18:C18"/>
    <mergeCell ref="D18:Q18"/>
    <mergeCell ref="R18:T18"/>
    <mergeCell ref="U18:W18"/>
    <mergeCell ref="X18:Z18"/>
    <mergeCell ref="AA18:AC18"/>
    <mergeCell ref="A17:C17"/>
    <mergeCell ref="D17:Q17"/>
    <mergeCell ref="R17:T17"/>
    <mergeCell ref="U17:W17"/>
    <mergeCell ref="X17:Z17"/>
    <mergeCell ref="AA17:AC17"/>
    <mergeCell ref="U16:W16"/>
    <mergeCell ref="X16:Z16"/>
    <mergeCell ref="AA16:AC16"/>
    <mergeCell ref="D10:Q10"/>
    <mergeCell ref="A10:C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R10:T10"/>
    <mergeCell ref="U10:W10"/>
    <mergeCell ref="X10:Z10"/>
    <mergeCell ref="AA10:AC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7872-E62C-4C8A-8F56-6359F2FB7F2E}">
  <sheetPr codeName="Sheet12"/>
  <dimension ref="A1:BK46"/>
  <sheetViews>
    <sheetView view="pageBreakPreview" zoomScaleNormal="100" zoomScaleSheetLayoutView="100" workbookViewId="0"/>
  </sheetViews>
  <sheetFormatPr defaultColWidth="1.90625" defaultRowHeight="14"/>
  <cols>
    <col min="1" max="74" width="2.08984375" style="22" customWidth="1"/>
    <col min="75" max="16384" width="1.9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55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56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7" t="s">
        <v>34</v>
      </c>
      <c r="B8" s="258"/>
      <c r="C8" s="259"/>
      <c r="D8" s="257" t="s">
        <v>57</v>
      </c>
      <c r="E8" s="258"/>
      <c r="F8" s="258"/>
      <c r="G8" s="258"/>
      <c r="H8" s="258"/>
      <c r="I8" s="258"/>
      <c r="J8" s="258"/>
      <c r="K8" s="258"/>
      <c r="L8" s="258"/>
      <c r="M8" s="258"/>
      <c r="N8" s="258"/>
      <c r="O8" s="258"/>
      <c r="P8" s="259"/>
      <c r="Q8" s="257" t="s">
        <v>58</v>
      </c>
      <c r="R8" s="258"/>
      <c r="S8" s="258"/>
      <c r="T8" s="258"/>
      <c r="U8" s="258"/>
      <c r="V8" s="258"/>
      <c r="W8" s="258"/>
      <c r="X8" s="258"/>
      <c r="Y8" s="258"/>
      <c r="Z8" s="258"/>
      <c r="AA8" s="258"/>
      <c r="AB8" s="258"/>
      <c r="AC8" s="258"/>
      <c r="AD8" s="258"/>
      <c r="AE8" s="258"/>
      <c r="AF8" s="258"/>
      <c r="AG8" s="258"/>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row>
    <row r="9" spans="1:63" ht="41.4" customHeight="1">
      <c r="A9" s="476">
        <f>ROW()-8</f>
        <v>1</v>
      </c>
      <c r="B9" s="457"/>
      <c r="C9" s="458"/>
      <c r="D9" s="477" t="s">
        <v>82</v>
      </c>
      <c r="E9" s="478"/>
      <c r="F9" s="478"/>
      <c r="G9" s="478"/>
      <c r="H9" s="478"/>
      <c r="I9" s="478"/>
      <c r="J9" s="478"/>
      <c r="K9" s="478"/>
      <c r="L9" s="478"/>
      <c r="M9" s="478"/>
      <c r="N9" s="478"/>
      <c r="O9" s="478"/>
      <c r="P9" s="479"/>
      <c r="Q9" s="480" t="s">
        <v>482</v>
      </c>
      <c r="R9" s="481"/>
      <c r="S9" s="481"/>
      <c r="T9" s="481"/>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1"/>
      <c r="AZ9" s="481"/>
      <c r="BA9" s="481"/>
      <c r="BB9" s="481"/>
      <c r="BC9" s="482"/>
      <c r="BD9" s="382"/>
      <c r="BE9" s="371"/>
      <c r="BF9" s="371"/>
      <c r="BG9" s="371"/>
      <c r="BH9" s="371"/>
      <c r="BI9" s="371"/>
      <c r="BJ9" s="366"/>
    </row>
    <row r="10" spans="1:63" ht="41.4" customHeight="1">
      <c r="A10" s="476">
        <f>ROW()-8</f>
        <v>2</v>
      </c>
      <c r="B10" s="457"/>
      <c r="C10" s="458"/>
      <c r="D10" s="477" t="s">
        <v>266</v>
      </c>
      <c r="E10" s="478"/>
      <c r="F10" s="478"/>
      <c r="G10" s="478"/>
      <c r="H10" s="478"/>
      <c r="I10" s="478"/>
      <c r="J10" s="478"/>
      <c r="K10" s="478"/>
      <c r="L10" s="478"/>
      <c r="M10" s="478"/>
      <c r="N10" s="478"/>
      <c r="O10" s="478"/>
      <c r="P10" s="479"/>
      <c r="Q10" s="480" t="s">
        <v>481</v>
      </c>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481"/>
      <c r="BA10" s="481"/>
      <c r="BB10" s="481"/>
      <c r="BC10" s="482"/>
      <c r="BD10" s="382"/>
      <c r="BE10" s="371"/>
      <c r="BF10" s="371"/>
      <c r="BG10" s="371"/>
      <c r="BH10" s="371"/>
      <c r="BI10" s="371"/>
      <c r="BJ10" s="366"/>
    </row>
    <row r="11" spans="1:63" ht="50.9" customHeight="1">
      <c r="A11" s="476">
        <f t="shared" ref="A11:A32" si="0">ROW()-8</f>
        <v>3</v>
      </c>
      <c r="B11" s="457"/>
      <c r="C11" s="458"/>
      <c r="D11" s="483" t="s">
        <v>393</v>
      </c>
      <c r="E11" s="484"/>
      <c r="F11" s="484"/>
      <c r="G11" s="484"/>
      <c r="H11" s="484"/>
      <c r="I11" s="484"/>
      <c r="J11" s="484"/>
      <c r="K11" s="484"/>
      <c r="L11" s="484"/>
      <c r="M11" s="484"/>
      <c r="N11" s="484"/>
      <c r="O11" s="484"/>
      <c r="P11" s="485"/>
      <c r="Q11" s="480" t="s">
        <v>394</v>
      </c>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c r="BB11" s="481"/>
      <c r="BC11" s="482"/>
      <c r="BD11" s="382"/>
      <c r="BE11" s="371"/>
      <c r="BF11" s="371"/>
      <c r="BG11" s="371"/>
      <c r="BH11" s="371"/>
      <c r="BI11" s="371"/>
      <c r="BJ11" s="366"/>
    </row>
    <row r="12" spans="1:63" ht="42" customHeight="1">
      <c r="A12" s="476">
        <f t="shared" si="0"/>
        <v>4</v>
      </c>
      <c r="B12" s="457"/>
      <c r="C12" s="458"/>
      <c r="D12" s="477" t="s">
        <v>382</v>
      </c>
      <c r="E12" s="478"/>
      <c r="F12" s="478"/>
      <c r="G12" s="478"/>
      <c r="H12" s="478"/>
      <c r="I12" s="478"/>
      <c r="J12" s="478"/>
      <c r="K12" s="478"/>
      <c r="L12" s="478"/>
      <c r="M12" s="478"/>
      <c r="N12" s="478"/>
      <c r="O12" s="478"/>
      <c r="P12" s="479"/>
      <c r="Q12" s="480" t="s">
        <v>458</v>
      </c>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481"/>
      <c r="BA12" s="481"/>
      <c r="BB12" s="481"/>
      <c r="BC12" s="482"/>
      <c r="BD12" s="382"/>
      <c r="BE12" s="371"/>
      <c r="BF12" s="371"/>
      <c r="BG12" s="371"/>
      <c r="BH12" s="371"/>
      <c r="BI12" s="371"/>
      <c r="BJ12" s="366"/>
    </row>
    <row r="13" spans="1:63" ht="50.9" customHeight="1">
      <c r="A13" s="476">
        <f t="shared" si="0"/>
        <v>5</v>
      </c>
      <c r="B13" s="457"/>
      <c r="C13" s="458"/>
      <c r="D13" s="480" t="s">
        <v>392</v>
      </c>
      <c r="E13" s="481"/>
      <c r="F13" s="481"/>
      <c r="G13" s="481"/>
      <c r="H13" s="481"/>
      <c r="I13" s="481"/>
      <c r="J13" s="481"/>
      <c r="K13" s="481"/>
      <c r="L13" s="481"/>
      <c r="M13" s="481"/>
      <c r="N13" s="481"/>
      <c r="O13" s="481"/>
      <c r="P13" s="482"/>
      <c r="Q13" s="480" t="s">
        <v>459</v>
      </c>
      <c r="R13" s="481"/>
      <c r="S13" s="481"/>
      <c r="T13" s="481"/>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c r="AU13" s="481"/>
      <c r="AV13" s="481"/>
      <c r="AW13" s="481"/>
      <c r="AX13" s="481"/>
      <c r="AY13" s="481"/>
      <c r="AZ13" s="481"/>
      <c r="BA13" s="481"/>
      <c r="BB13" s="481"/>
      <c r="BC13" s="482"/>
      <c r="BD13" s="382"/>
      <c r="BE13" s="371"/>
      <c r="BF13" s="371"/>
      <c r="BG13" s="371"/>
      <c r="BH13" s="371"/>
      <c r="BI13" s="371"/>
      <c r="BJ13" s="366"/>
    </row>
    <row r="14" spans="1:63" ht="49.4" customHeight="1">
      <c r="A14" s="476">
        <f t="shared" si="0"/>
        <v>6</v>
      </c>
      <c r="B14" s="457"/>
      <c r="C14" s="458"/>
      <c r="D14" s="480" t="s">
        <v>395</v>
      </c>
      <c r="E14" s="481"/>
      <c r="F14" s="481"/>
      <c r="G14" s="481"/>
      <c r="H14" s="481"/>
      <c r="I14" s="481"/>
      <c r="J14" s="481"/>
      <c r="K14" s="481"/>
      <c r="L14" s="481"/>
      <c r="M14" s="481"/>
      <c r="N14" s="481"/>
      <c r="O14" s="481"/>
      <c r="P14" s="482"/>
      <c r="Q14" s="480" t="s">
        <v>460</v>
      </c>
      <c r="R14" s="481"/>
      <c r="S14" s="481"/>
      <c r="T14" s="481"/>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c r="AU14" s="481"/>
      <c r="AV14" s="481"/>
      <c r="AW14" s="481"/>
      <c r="AX14" s="481"/>
      <c r="AY14" s="481"/>
      <c r="AZ14" s="481"/>
      <c r="BA14" s="481"/>
      <c r="BB14" s="481"/>
      <c r="BC14" s="482"/>
      <c r="BD14" s="382"/>
      <c r="BE14" s="371"/>
      <c r="BF14" s="371"/>
      <c r="BG14" s="371"/>
      <c r="BH14" s="371"/>
      <c r="BI14" s="371"/>
      <c r="BJ14" s="366"/>
    </row>
    <row r="15" spans="1:63" ht="50.9" customHeight="1">
      <c r="A15" s="476">
        <f t="shared" si="0"/>
        <v>7</v>
      </c>
      <c r="B15" s="457"/>
      <c r="C15" s="458"/>
      <c r="D15" s="480" t="s">
        <v>391</v>
      </c>
      <c r="E15" s="481"/>
      <c r="F15" s="481"/>
      <c r="G15" s="481"/>
      <c r="H15" s="481"/>
      <c r="I15" s="481"/>
      <c r="J15" s="481"/>
      <c r="K15" s="481"/>
      <c r="L15" s="481"/>
      <c r="M15" s="481"/>
      <c r="N15" s="481"/>
      <c r="O15" s="481"/>
      <c r="P15" s="482"/>
      <c r="Q15" s="480" t="s">
        <v>463</v>
      </c>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2"/>
      <c r="BD15" s="382"/>
      <c r="BE15" s="371"/>
      <c r="BF15" s="371"/>
      <c r="BG15" s="371"/>
      <c r="BH15" s="371"/>
      <c r="BI15" s="371"/>
      <c r="BJ15" s="366"/>
    </row>
    <row r="16" spans="1:63" ht="30" customHeight="1">
      <c r="A16" s="476">
        <f t="shared" si="0"/>
        <v>8</v>
      </c>
      <c r="B16" s="457"/>
      <c r="C16" s="458"/>
      <c r="D16" s="477" t="s">
        <v>318</v>
      </c>
      <c r="E16" s="478"/>
      <c r="F16" s="478"/>
      <c r="G16" s="478"/>
      <c r="H16" s="478"/>
      <c r="I16" s="478"/>
      <c r="J16" s="478"/>
      <c r="K16" s="478"/>
      <c r="L16" s="478"/>
      <c r="M16" s="478"/>
      <c r="N16" s="478"/>
      <c r="O16" s="478"/>
      <c r="P16" s="479"/>
      <c r="Q16" s="480" t="s">
        <v>319</v>
      </c>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481"/>
      <c r="AX16" s="481"/>
      <c r="AY16" s="481"/>
      <c r="AZ16" s="481"/>
      <c r="BA16" s="481"/>
      <c r="BB16" s="481"/>
      <c r="BC16" s="482"/>
      <c r="BD16" s="382"/>
      <c r="BE16" s="371"/>
      <c r="BF16" s="371"/>
      <c r="BG16" s="371"/>
      <c r="BH16" s="371"/>
      <c r="BI16" s="371"/>
      <c r="BJ16" s="366"/>
    </row>
    <row r="17" spans="1:62" ht="30" customHeight="1">
      <c r="A17" s="476">
        <f t="shared" si="0"/>
        <v>9</v>
      </c>
      <c r="B17" s="457"/>
      <c r="C17" s="458"/>
      <c r="D17" s="477" t="s">
        <v>362</v>
      </c>
      <c r="E17" s="478"/>
      <c r="F17" s="478"/>
      <c r="G17" s="478"/>
      <c r="H17" s="478"/>
      <c r="I17" s="478"/>
      <c r="J17" s="478"/>
      <c r="K17" s="478"/>
      <c r="L17" s="478"/>
      <c r="M17" s="478"/>
      <c r="N17" s="478"/>
      <c r="O17" s="478"/>
      <c r="P17" s="479"/>
      <c r="Q17" s="480" t="s">
        <v>363</v>
      </c>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1"/>
      <c r="AZ17" s="481"/>
      <c r="BA17" s="481"/>
      <c r="BB17" s="481"/>
      <c r="BC17" s="482"/>
      <c r="BD17" s="382"/>
      <c r="BE17" s="371"/>
      <c r="BF17" s="371"/>
      <c r="BG17" s="371"/>
      <c r="BH17" s="371"/>
      <c r="BI17" s="371"/>
      <c r="BJ17" s="366"/>
    </row>
    <row r="18" spans="1:62" ht="30" customHeight="1">
      <c r="A18" s="476">
        <f t="shared" si="0"/>
        <v>10</v>
      </c>
      <c r="B18" s="457"/>
      <c r="C18" s="458"/>
      <c r="D18" s="477" t="s">
        <v>364</v>
      </c>
      <c r="E18" s="478"/>
      <c r="F18" s="478"/>
      <c r="G18" s="478"/>
      <c r="H18" s="478"/>
      <c r="I18" s="478"/>
      <c r="J18" s="478"/>
      <c r="K18" s="478"/>
      <c r="L18" s="478"/>
      <c r="M18" s="478"/>
      <c r="N18" s="478"/>
      <c r="O18" s="478"/>
      <c r="P18" s="479"/>
      <c r="Q18" s="480" t="s">
        <v>365</v>
      </c>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1"/>
      <c r="AZ18" s="481"/>
      <c r="BA18" s="481"/>
      <c r="BB18" s="481"/>
      <c r="BC18" s="482"/>
      <c r="BD18" s="382"/>
      <c r="BE18" s="371"/>
      <c r="BF18" s="371"/>
      <c r="BG18" s="371"/>
      <c r="BH18" s="371"/>
      <c r="BI18" s="371"/>
      <c r="BJ18" s="366"/>
    </row>
    <row r="19" spans="1:62" ht="55.5" customHeight="1">
      <c r="A19" s="476">
        <f t="shared" si="0"/>
        <v>11</v>
      </c>
      <c r="B19" s="457"/>
      <c r="C19" s="458"/>
      <c r="D19" s="477" t="s">
        <v>366</v>
      </c>
      <c r="E19" s="478"/>
      <c r="F19" s="478"/>
      <c r="G19" s="478"/>
      <c r="H19" s="478"/>
      <c r="I19" s="478"/>
      <c r="J19" s="478"/>
      <c r="K19" s="478"/>
      <c r="L19" s="478"/>
      <c r="M19" s="478"/>
      <c r="N19" s="478"/>
      <c r="O19" s="478"/>
      <c r="P19" s="479"/>
      <c r="Q19" s="480" t="s">
        <v>431</v>
      </c>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1"/>
      <c r="AZ19" s="481"/>
      <c r="BA19" s="481"/>
      <c r="BB19" s="481"/>
      <c r="BC19" s="482"/>
      <c r="BD19" s="382"/>
      <c r="BE19" s="371"/>
      <c r="BF19" s="371"/>
      <c r="BG19" s="371"/>
      <c r="BH19" s="371"/>
      <c r="BI19" s="371"/>
      <c r="BJ19" s="366"/>
    </row>
    <row r="20" spans="1:62" ht="56.9" customHeight="1">
      <c r="A20" s="476">
        <f t="shared" si="0"/>
        <v>12</v>
      </c>
      <c r="B20" s="457"/>
      <c r="C20" s="458"/>
      <c r="D20" s="477" t="s">
        <v>367</v>
      </c>
      <c r="E20" s="478"/>
      <c r="F20" s="478"/>
      <c r="G20" s="478"/>
      <c r="H20" s="478"/>
      <c r="I20" s="478"/>
      <c r="J20" s="478"/>
      <c r="K20" s="478"/>
      <c r="L20" s="478"/>
      <c r="M20" s="478"/>
      <c r="N20" s="478"/>
      <c r="O20" s="478"/>
      <c r="P20" s="479"/>
      <c r="Q20" s="480" t="s">
        <v>432</v>
      </c>
      <c r="R20" s="481"/>
      <c r="S20" s="481"/>
      <c r="T20" s="481"/>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1"/>
      <c r="AZ20" s="481"/>
      <c r="BA20" s="481"/>
      <c r="BB20" s="481"/>
      <c r="BC20" s="482"/>
      <c r="BD20" s="382"/>
      <c r="BE20" s="371"/>
      <c r="BF20" s="371"/>
      <c r="BG20" s="371"/>
      <c r="BH20" s="371"/>
      <c r="BI20" s="371"/>
      <c r="BJ20" s="366"/>
    </row>
    <row r="21" spans="1:62" ht="30" customHeight="1">
      <c r="A21" s="476">
        <f t="shared" si="0"/>
        <v>13</v>
      </c>
      <c r="B21" s="457"/>
      <c r="C21" s="458"/>
      <c r="D21" s="477" t="s">
        <v>368</v>
      </c>
      <c r="E21" s="478"/>
      <c r="F21" s="478"/>
      <c r="G21" s="478"/>
      <c r="H21" s="478"/>
      <c r="I21" s="478"/>
      <c r="J21" s="478"/>
      <c r="K21" s="478"/>
      <c r="L21" s="478"/>
      <c r="M21" s="478"/>
      <c r="N21" s="478"/>
      <c r="O21" s="478"/>
      <c r="P21" s="479"/>
      <c r="Q21" s="480" t="s">
        <v>369</v>
      </c>
      <c r="R21" s="481"/>
      <c r="S21" s="481"/>
      <c r="T21" s="481"/>
      <c r="U21" s="481"/>
      <c r="V21" s="481"/>
      <c r="W21" s="481"/>
      <c r="X21" s="481"/>
      <c r="Y21" s="481"/>
      <c r="Z21" s="481"/>
      <c r="AA21" s="481"/>
      <c r="AB21" s="481"/>
      <c r="AC21" s="481"/>
      <c r="AD21" s="481"/>
      <c r="AE21" s="481"/>
      <c r="AF21" s="481"/>
      <c r="AG21" s="481"/>
      <c r="AH21" s="481"/>
      <c r="AI21" s="481"/>
      <c r="AJ21" s="481"/>
      <c r="AK21" s="481"/>
      <c r="AL21" s="481"/>
      <c r="AM21" s="481"/>
      <c r="AN21" s="481"/>
      <c r="AO21" s="481"/>
      <c r="AP21" s="481"/>
      <c r="AQ21" s="481"/>
      <c r="AR21" s="481"/>
      <c r="AS21" s="481"/>
      <c r="AT21" s="481"/>
      <c r="AU21" s="481"/>
      <c r="AV21" s="481"/>
      <c r="AW21" s="481"/>
      <c r="AX21" s="481"/>
      <c r="AY21" s="481"/>
      <c r="AZ21" s="481"/>
      <c r="BA21" s="481"/>
      <c r="BB21" s="481"/>
      <c r="BC21" s="482"/>
      <c r="BD21" s="382"/>
      <c r="BE21" s="371"/>
      <c r="BF21" s="371"/>
      <c r="BG21" s="371"/>
      <c r="BH21" s="371"/>
      <c r="BI21" s="371"/>
      <c r="BJ21" s="366"/>
    </row>
    <row r="22" spans="1:62" ht="51" customHeight="1">
      <c r="A22" s="476">
        <f t="shared" si="0"/>
        <v>14</v>
      </c>
      <c r="B22" s="457"/>
      <c r="C22" s="458"/>
      <c r="D22" s="477" t="s">
        <v>370</v>
      </c>
      <c r="E22" s="478"/>
      <c r="F22" s="478"/>
      <c r="G22" s="478"/>
      <c r="H22" s="478"/>
      <c r="I22" s="478"/>
      <c r="J22" s="478"/>
      <c r="K22" s="478"/>
      <c r="L22" s="478"/>
      <c r="M22" s="478"/>
      <c r="N22" s="478"/>
      <c r="O22" s="478"/>
      <c r="P22" s="479"/>
      <c r="Q22" s="480" t="s">
        <v>433</v>
      </c>
      <c r="R22" s="481"/>
      <c r="S22" s="481"/>
      <c r="T22" s="481"/>
      <c r="U22" s="481"/>
      <c r="V22" s="481"/>
      <c r="W22" s="481"/>
      <c r="X22" s="481"/>
      <c r="Y22" s="481"/>
      <c r="Z22" s="481"/>
      <c r="AA22" s="481"/>
      <c r="AB22" s="481"/>
      <c r="AC22" s="481"/>
      <c r="AD22" s="481"/>
      <c r="AE22" s="481"/>
      <c r="AF22" s="481"/>
      <c r="AG22" s="481"/>
      <c r="AH22" s="481"/>
      <c r="AI22" s="481"/>
      <c r="AJ22" s="481"/>
      <c r="AK22" s="481"/>
      <c r="AL22" s="481"/>
      <c r="AM22" s="481"/>
      <c r="AN22" s="481"/>
      <c r="AO22" s="481"/>
      <c r="AP22" s="481"/>
      <c r="AQ22" s="481"/>
      <c r="AR22" s="481"/>
      <c r="AS22" s="481"/>
      <c r="AT22" s="481"/>
      <c r="AU22" s="481"/>
      <c r="AV22" s="481"/>
      <c r="AW22" s="481"/>
      <c r="AX22" s="481"/>
      <c r="AY22" s="481"/>
      <c r="AZ22" s="481"/>
      <c r="BA22" s="481"/>
      <c r="BB22" s="481"/>
      <c r="BC22" s="482"/>
      <c r="BD22" s="382"/>
      <c r="BE22" s="371"/>
      <c r="BF22" s="371"/>
      <c r="BG22" s="371"/>
      <c r="BH22" s="371"/>
      <c r="BI22" s="371"/>
      <c r="BJ22" s="366"/>
    </row>
    <row r="23" spans="1:62" ht="30" customHeight="1">
      <c r="A23" s="476">
        <f t="shared" si="0"/>
        <v>15</v>
      </c>
      <c r="B23" s="457"/>
      <c r="C23" s="458"/>
      <c r="D23" s="477" t="s">
        <v>405</v>
      </c>
      <c r="E23" s="478"/>
      <c r="F23" s="478"/>
      <c r="G23" s="478"/>
      <c r="H23" s="478"/>
      <c r="I23" s="478"/>
      <c r="J23" s="478"/>
      <c r="K23" s="478"/>
      <c r="L23" s="478"/>
      <c r="M23" s="478"/>
      <c r="N23" s="478"/>
      <c r="O23" s="478"/>
      <c r="P23" s="479"/>
      <c r="Q23" s="480" t="s">
        <v>406</v>
      </c>
      <c r="R23" s="481"/>
      <c r="S23" s="481"/>
      <c r="T23" s="481"/>
      <c r="U23" s="481"/>
      <c r="V23" s="481"/>
      <c r="W23" s="481"/>
      <c r="X23" s="481"/>
      <c r="Y23" s="481"/>
      <c r="Z23" s="481"/>
      <c r="AA23" s="481"/>
      <c r="AB23" s="481"/>
      <c r="AC23" s="481"/>
      <c r="AD23" s="481"/>
      <c r="AE23" s="481"/>
      <c r="AF23" s="481"/>
      <c r="AG23" s="481"/>
      <c r="AH23" s="481"/>
      <c r="AI23" s="481"/>
      <c r="AJ23" s="481"/>
      <c r="AK23" s="481"/>
      <c r="AL23" s="481"/>
      <c r="AM23" s="481"/>
      <c r="AN23" s="481"/>
      <c r="AO23" s="481"/>
      <c r="AP23" s="481"/>
      <c r="AQ23" s="481"/>
      <c r="AR23" s="481"/>
      <c r="AS23" s="481"/>
      <c r="AT23" s="481"/>
      <c r="AU23" s="481"/>
      <c r="AV23" s="481"/>
      <c r="AW23" s="481"/>
      <c r="AX23" s="481"/>
      <c r="AY23" s="481"/>
      <c r="AZ23" s="481"/>
      <c r="BA23" s="481"/>
      <c r="BB23" s="481"/>
      <c r="BC23" s="482"/>
      <c r="BD23" s="382"/>
      <c r="BE23" s="371"/>
      <c r="BF23" s="371"/>
      <c r="BG23" s="371"/>
      <c r="BH23" s="371"/>
      <c r="BI23" s="371"/>
      <c r="BJ23" s="366"/>
    </row>
    <row r="24" spans="1:62" ht="45" customHeight="1">
      <c r="A24" s="476">
        <f t="shared" si="0"/>
        <v>16</v>
      </c>
      <c r="B24" s="457"/>
      <c r="C24" s="458"/>
      <c r="D24" s="477" t="s">
        <v>371</v>
      </c>
      <c r="E24" s="478"/>
      <c r="F24" s="478"/>
      <c r="G24" s="478"/>
      <c r="H24" s="478"/>
      <c r="I24" s="478"/>
      <c r="J24" s="478"/>
      <c r="K24" s="478"/>
      <c r="L24" s="478"/>
      <c r="M24" s="478"/>
      <c r="N24" s="478"/>
      <c r="O24" s="478"/>
      <c r="P24" s="479"/>
      <c r="Q24" s="480" t="s">
        <v>372</v>
      </c>
      <c r="R24" s="481"/>
      <c r="S24" s="481"/>
      <c r="T24" s="481"/>
      <c r="U24" s="481"/>
      <c r="V24" s="481"/>
      <c r="W24" s="481"/>
      <c r="X24" s="481"/>
      <c r="Y24" s="481"/>
      <c r="Z24" s="481"/>
      <c r="AA24" s="481"/>
      <c r="AB24" s="481"/>
      <c r="AC24" s="481"/>
      <c r="AD24" s="481"/>
      <c r="AE24" s="481"/>
      <c r="AF24" s="481"/>
      <c r="AG24" s="481"/>
      <c r="AH24" s="481"/>
      <c r="AI24" s="481"/>
      <c r="AJ24" s="481"/>
      <c r="AK24" s="481"/>
      <c r="AL24" s="481"/>
      <c r="AM24" s="481"/>
      <c r="AN24" s="481"/>
      <c r="AO24" s="481"/>
      <c r="AP24" s="481"/>
      <c r="AQ24" s="481"/>
      <c r="AR24" s="481"/>
      <c r="AS24" s="481"/>
      <c r="AT24" s="481"/>
      <c r="AU24" s="481"/>
      <c r="AV24" s="481"/>
      <c r="AW24" s="481"/>
      <c r="AX24" s="481"/>
      <c r="AY24" s="481"/>
      <c r="AZ24" s="481"/>
      <c r="BA24" s="481"/>
      <c r="BB24" s="481"/>
      <c r="BC24" s="482"/>
      <c r="BD24" s="382"/>
      <c r="BE24" s="371"/>
      <c r="BF24" s="371"/>
      <c r="BG24" s="371"/>
      <c r="BH24" s="371"/>
      <c r="BI24" s="371"/>
      <c r="BJ24" s="366"/>
    </row>
    <row r="25" spans="1:62" ht="30" customHeight="1">
      <c r="A25" s="476">
        <f t="shared" si="0"/>
        <v>17</v>
      </c>
      <c r="B25" s="457"/>
      <c r="C25" s="458"/>
      <c r="D25" s="477" t="s">
        <v>373</v>
      </c>
      <c r="E25" s="478"/>
      <c r="F25" s="478"/>
      <c r="G25" s="478"/>
      <c r="H25" s="478"/>
      <c r="I25" s="478"/>
      <c r="J25" s="478"/>
      <c r="K25" s="478"/>
      <c r="L25" s="478"/>
      <c r="M25" s="478"/>
      <c r="N25" s="478"/>
      <c r="O25" s="478"/>
      <c r="P25" s="479"/>
      <c r="Q25" s="480" t="s">
        <v>374</v>
      </c>
      <c r="R25" s="481"/>
      <c r="S25" s="481"/>
      <c r="T25" s="481"/>
      <c r="U25" s="481"/>
      <c r="V25" s="481"/>
      <c r="W25" s="481"/>
      <c r="X25" s="481"/>
      <c r="Y25" s="481"/>
      <c r="Z25" s="481"/>
      <c r="AA25" s="481"/>
      <c r="AB25" s="481"/>
      <c r="AC25" s="481"/>
      <c r="AD25" s="481"/>
      <c r="AE25" s="481"/>
      <c r="AF25" s="481"/>
      <c r="AG25" s="481"/>
      <c r="AH25" s="481"/>
      <c r="AI25" s="481"/>
      <c r="AJ25" s="481"/>
      <c r="AK25" s="481"/>
      <c r="AL25" s="481"/>
      <c r="AM25" s="481"/>
      <c r="AN25" s="481"/>
      <c r="AO25" s="481"/>
      <c r="AP25" s="481"/>
      <c r="AQ25" s="481"/>
      <c r="AR25" s="481"/>
      <c r="AS25" s="481"/>
      <c r="AT25" s="481"/>
      <c r="AU25" s="481"/>
      <c r="AV25" s="481"/>
      <c r="AW25" s="481"/>
      <c r="AX25" s="481"/>
      <c r="AY25" s="481"/>
      <c r="AZ25" s="481"/>
      <c r="BA25" s="481"/>
      <c r="BB25" s="481"/>
      <c r="BC25" s="482"/>
      <c r="BD25" s="382"/>
      <c r="BE25" s="371"/>
      <c r="BF25" s="371"/>
      <c r="BG25" s="371"/>
      <c r="BH25" s="371"/>
      <c r="BI25" s="371"/>
      <c r="BJ25" s="366"/>
    </row>
    <row r="26" spans="1:62" ht="30" customHeight="1">
      <c r="A26" s="476">
        <f t="shared" si="0"/>
        <v>18</v>
      </c>
      <c r="B26" s="457"/>
      <c r="C26" s="458"/>
      <c r="D26" s="477" t="s">
        <v>375</v>
      </c>
      <c r="E26" s="478"/>
      <c r="F26" s="478"/>
      <c r="G26" s="478"/>
      <c r="H26" s="478"/>
      <c r="I26" s="478"/>
      <c r="J26" s="478"/>
      <c r="K26" s="478"/>
      <c r="L26" s="478"/>
      <c r="M26" s="478"/>
      <c r="N26" s="478"/>
      <c r="O26" s="478"/>
      <c r="P26" s="479"/>
      <c r="Q26" s="480" t="s">
        <v>376</v>
      </c>
      <c r="R26" s="481"/>
      <c r="S26" s="481"/>
      <c r="T26" s="481"/>
      <c r="U26" s="481"/>
      <c r="V26" s="481"/>
      <c r="W26" s="481"/>
      <c r="X26" s="481"/>
      <c r="Y26" s="481"/>
      <c r="Z26" s="481"/>
      <c r="AA26" s="481"/>
      <c r="AB26" s="481"/>
      <c r="AC26" s="481"/>
      <c r="AD26" s="481"/>
      <c r="AE26" s="481"/>
      <c r="AF26" s="481"/>
      <c r="AG26" s="481"/>
      <c r="AH26" s="481"/>
      <c r="AI26" s="481"/>
      <c r="AJ26" s="481"/>
      <c r="AK26" s="481"/>
      <c r="AL26" s="481"/>
      <c r="AM26" s="481"/>
      <c r="AN26" s="481"/>
      <c r="AO26" s="481"/>
      <c r="AP26" s="481"/>
      <c r="AQ26" s="481"/>
      <c r="AR26" s="481"/>
      <c r="AS26" s="481"/>
      <c r="AT26" s="481"/>
      <c r="AU26" s="481"/>
      <c r="AV26" s="481"/>
      <c r="AW26" s="481"/>
      <c r="AX26" s="481"/>
      <c r="AY26" s="481"/>
      <c r="AZ26" s="481"/>
      <c r="BA26" s="481"/>
      <c r="BB26" s="481"/>
      <c r="BC26" s="482"/>
      <c r="BD26" s="382"/>
      <c r="BE26" s="371"/>
      <c r="BF26" s="371"/>
      <c r="BG26" s="371"/>
      <c r="BH26" s="371"/>
      <c r="BI26" s="371"/>
      <c r="BJ26" s="366"/>
    </row>
    <row r="27" spans="1:62" ht="49.4" customHeight="1">
      <c r="A27" s="476">
        <f t="shared" si="0"/>
        <v>19</v>
      </c>
      <c r="B27" s="457"/>
      <c r="C27" s="458"/>
      <c r="D27" s="477" t="s">
        <v>377</v>
      </c>
      <c r="E27" s="478"/>
      <c r="F27" s="478"/>
      <c r="G27" s="478"/>
      <c r="H27" s="478"/>
      <c r="I27" s="478"/>
      <c r="J27" s="478"/>
      <c r="K27" s="478"/>
      <c r="L27" s="478"/>
      <c r="M27" s="478"/>
      <c r="N27" s="478"/>
      <c r="O27" s="478"/>
      <c r="P27" s="479"/>
      <c r="Q27" s="480" t="s">
        <v>434</v>
      </c>
      <c r="R27" s="481"/>
      <c r="S27" s="481"/>
      <c r="T27" s="481"/>
      <c r="U27" s="481"/>
      <c r="V27" s="481"/>
      <c r="W27" s="481"/>
      <c r="X27" s="481"/>
      <c r="Y27" s="481"/>
      <c r="Z27" s="481"/>
      <c r="AA27" s="481"/>
      <c r="AB27" s="481"/>
      <c r="AC27" s="481"/>
      <c r="AD27" s="481"/>
      <c r="AE27" s="481"/>
      <c r="AF27" s="481"/>
      <c r="AG27" s="481"/>
      <c r="AH27" s="481"/>
      <c r="AI27" s="481"/>
      <c r="AJ27" s="481"/>
      <c r="AK27" s="481"/>
      <c r="AL27" s="481"/>
      <c r="AM27" s="481"/>
      <c r="AN27" s="481"/>
      <c r="AO27" s="481"/>
      <c r="AP27" s="481"/>
      <c r="AQ27" s="481"/>
      <c r="AR27" s="481"/>
      <c r="AS27" s="481"/>
      <c r="AT27" s="481"/>
      <c r="AU27" s="481"/>
      <c r="AV27" s="481"/>
      <c r="AW27" s="481"/>
      <c r="AX27" s="481"/>
      <c r="AY27" s="481"/>
      <c r="AZ27" s="481"/>
      <c r="BA27" s="481"/>
      <c r="BB27" s="481"/>
      <c r="BC27" s="482"/>
      <c r="BD27" s="382"/>
      <c r="BE27" s="371"/>
      <c r="BF27" s="371"/>
      <c r="BG27" s="371"/>
      <c r="BH27" s="371"/>
      <c r="BI27" s="371"/>
      <c r="BJ27" s="366"/>
    </row>
    <row r="28" spans="1:62" ht="45" customHeight="1">
      <c r="A28" s="476">
        <f t="shared" si="0"/>
        <v>20</v>
      </c>
      <c r="B28" s="457"/>
      <c r="C28" s="458"/>
      <c r="D28" s="477" t="s">
        <v>378</v>
      </c>
      <c r="E28" s="478"/>
      <c r="F28" s="478"/>
      <c r="G28" s="478"/>
      <c r="H28" s="478"/>
      <c r="I28" s="478"/>
      <c r="J28" s="478"/>
      <c r="K28" s="478"/>
      <c r="L28" s="478"/>
      <c r="M28" s="478"/>
      <c r="N28" s="478"/>
      <c r="O28" s="478"/>
      <c r="P28" s="479"/>
      <c r="Q28" s="480" t="s">
        <v>435</v>
      </c>
      <c r="R28" s="481"/>
      <c r="S28" s="481"/>
      <c r="T28" s="481"/>
      <c r="U28" s="481"/>
      <c r="V28" s="481"/>
      <c r="W28" s="481"/>
      <c r="X28" s="481"/>
      <c r="Y28" s="481"/>
      <c r="Z28" s="481"/>
      <c r="AA28" s="481"/>
      <c r="AB28" s="481"/>
      <c r="AC28" s="481"/>
      <c r="AD28" s="481"/>
      <c r="AE28" s="481"/>
      <c r="AF28" s="481"/>
      <c r="AG28" s="481"/>
      <c r="AH28" s="481"/>
      <c r="AI28" s="481"/>
      <c r="AJ28" s="481"/>
      <c r="AK28" s="481"/>
      <c r="AL28" s="481"/>
      <c r="AM28" s="481"/>
      <c r="AN28" s="481"/>
      <c r="AO28" s="481"/>
      <c r="AP28" s="481"/>
      <c r="AQ28" s="481"/>
      <c r="AR28" s="481"/>
      <c r="AS28" s="481"/>
      <c r="AT28" s="481"/>
      <c r="AU28" s="481"/>
      <c r="AV28" s="481"/>
      <c r="AW28" s="481"/>
      <c r="AX28" s="481"/>
      <c r="AY28" s="481"/>
      <c r="AZ28" s="481"/>
      <c r="BA28" s="481"/>
      <c r="BB28" s="481"/>
      <c r="BC28" s="482"/>
      <c r="BD28" s="382"/>
      <c r="BE28" s="371"/>
      <c r="BF28" s="371"/>
      <c r="BG28" s="371"/>
      <c r="BH28" s="371"/>
      <c r="BI28" s="371"/>
      <c r="BJ28" s="366"/>
    </row>
    <row r="29" spans="1:62" ht="58.75" customHeight="1">
      <c r="A29" s="476">
        <f t="shared" si="0"/>
        <v>21</v>
      </c>
      <c r="B29" s="457"/>
      <c r="C29" s="458"/>
      <c r="D29" s="477" t="s">
        <v>379</v>
      </c>
      <c r="E29" s="478"/>
      <c r="F29" s="478"/>
      <c r="G29" s="478"/>
      <c r="H29" s="478"/>
      <c r="I29" s="478"/>
      <c r="J29" s="478"/>
      <c r="K29" s="478"/>
      <c r="L29" s="478"/>
      <c r="M29" s="478"/>
      <c r="N29" s="478"/>
      <c r="O29" s="478"/>
      <c r="P29" s="479"/>
      <c r="Q29" s="480" t="s">
        <v>436</v>
      </c>
      <c r="R29" s="481"/>
      <c r="S29" s="481"/>
      <c r="T29" s="481"/>
      <c r="U29" s="481"/>
      <c r="V29" s="481"/>
      <c r="W29" s="481"/>
      <c r="X29" s="481"/>
      <c r="Y29" s="481"/>
      <c r="Z29" s="481"/>
      <c r="AA29" s="481"/>
      <c r="AB29" s="481"/>
      <c r="AC29" s="481"/>
      <c r="AD29" s="481"/>
      <c r="AE29" s="481"/>
      <c r="AF29" s="481"/>
      <c r="AG29" s="481"/>
      <c r="AH29" s="481"/>
      <c r="AI29" s="481"/>
      <c r="AJ29" s="481"/>
      <c r="AK29" s="481"/>
      <c r="AL29" s="481"/>
      <c r="AM29" s="481"/>
      <c r="AN29" s="481"/>
      <c r="AO29" s="481"/>
      <c r="AP29" s="481"/>
      <c r="AQ29" s="481"/>
      <c r="AR29" s="481"/>
      <c r="AS29" s="481"/>
      <c r="AT29" s="481"/>
      <c r="AU29" s="481"/>
      <c r="AV29" s="481"/>
      <c r="AW29" s="481"/>
      <c r="AX29" s="481"/>
      <c r="AY29" s="481"/>
      <c r="AZ29" s="481"/>
      <c r="BA29" s="481"/>
      <c r="BB29" s="481"/>
      <c r="BC29" s="482"/>
      <c r="BD29" s="382"/>
      <c r="BE29" s="371"/>
      <c r="BF29" s="371"/>
      <c r="BG29" s="371"/>
      <c r="BH29" s="371"/>
      <c r="BI29" s="371"/>
      <c r="BJ29" s="366"/>
    </row>
    <row r="30" spans="1:62" ht="45" customHeight="1">
      <c r="A30" s="476">
        <f t="shared" si="0"/>
        <v>22</v>
      </c>
      <c r="B30" s="457"/>
      <c r="C30" s="458"/>
      <c r="D30" s="477" t="s">
        <v>385</v>
      </c>
      <c r="E30" s="478"/>
      <c r="F30" s="478"/>
      <c r="G30" s="478"/>
      <c r="H30" s="478"/>
      <c r="I30" s="478"/>
      <c r="J30" s="478"/>
      <c r="K30" s="478"/>
      <c r="L30" s="478"/>
      <c r="M30" s="478"/>
      <c r="N30" s="478"/>
      <c r="O30" s="478"/>
      <c r="P30" s="479"/>
      <c r="Q30" s="480" t="s">
        <v>386</v>
      </c>
      <c r="R30" s="481"/>
      <c r="S30" s="481"/>
      <c r="T30" s="481"/>
      <c r="U30" s="481"/>
      <c r="V30" s="481"/>
      <c r="W30" s="481"/>
      <c r="X30" s="481"/>
      <c r="Y30" s="481"/>
      <c r="Z30" s="481"/>
      <c r="AA30" s="481"/>
      <c r="AB30" s="481"/>
      <c r="AC30" s="481"/>
      <c r="AD30" s="481"/>
      <c r="AE30" s="481"/>
      <c r="AF30" s="481"/>
      <c r="AG30" s="481"/>
      <c r="AH30" s="481"/>
      <c r="AI30" s="481"/>
      <c r="AJ30" s="481"/>
      <c r="AK30" s="481"/>
      <c r="AL30" s="481"/>
      <c r="AM30" s="481"/>
      <c r="AN30" s="481"/>
      <c r="AO30" s="481"/>
      <c r="AP30" s="481"/>
      <c r="AQ30" s="481"/>
      <c r="AR30" s="481"/>
      <c r="AS30" s="481"/>
      <c r="AT30" s="481"/>
      <c r="AU30" s="481"/>
      <c r="AV30" s="481"/>
      <c r="AW30" s="481"/>
      <c r="AX30" s="481"/>
      <c r="AY30" s="481"/>
      <c r="AZ30" s="481"/>
      <c r="BA30" s="481"/>
      <c r="BB30" s="481"/>
      <c r="BC30" s="482"/>
      <c r="BD30" s="495"/>
      <c r="BE30" s="496"/>
      <c r="BF30" s="496"/>
      <c r="BG30" s="496"/>
      <c r="BH30" s="496"/>
      <c r="BI30" s="496"/>
      <c r="BJ30" s="497"/>
    </row>
    <row r="31" spans="1:62" ht="45" customHeight="1">
      <c r="A31" s="476">
        <f t="shared" si="0"/>
        <v>23</v>
      </c>
      <c r="B31" s="457"/>
      <c r="C31" s="458"/>
      <c r="D31" s="477" t="s">
        <v>387</v>
      </c>
      <c r="E31" s="478"/>
      <c r="F31" s="478"/>
      <c r="G31" s="478"/>
      <c r="H31" s="478"/>
      <c r="I31" s="478"/>
      <c r="J31" s="478"/>
      <c r="K31" s="478"/>
      <c r="L31" s="478"/>
      <c r="M31" s="478"/>
      <c r="N31" s="478"/>
      <c r="O31" s="478"/>
      <c r="P31" s="479"/>
      <c r="Q31" s="480" t="s">
        <v>388</v>
      </c>
      <c r="R31" s="481"/>
      <c r="S31" s="481"/>
      <c r="T31" s="481"/>
      <c r="U31" s="481"/>
      <c r="V31" s="481"/>
      <c r="W31" s="481"/>
      <c r="X31" s="481"/>
      <c r="Y31" s="481"/>
      <c r="Z31" s="481"/>
      <c r="AA31" s="481"/>
      <c r="AB31" s="481"/>
      <c r="AC31" s="481"/>
      <c r="AD31" s="481"/>
      <c r="AE31" s="481"/>
      <c r="AF31" s="481"/>
      <c r="AG31" s="481"/>
      <c r="AH31" s="481"/>
      <c r="AI31" s="481"/>
      <c r="AJ31" s="481"/>
      <c r="AK31" s="481"/>
      <c r="AL31" s="481"/>
      <c r="AM31" s="481"/>
      <c r="AN31" s="481"/>
      <c r="AO31" s="481"/>
      <c r="AP31" s="481"/>
      <c r="AQ31" s="481"/>
      <c r="AR31" s="481"/>
      <c r="AS31" s="481"/>
      <c r="AT31" s="481"/>
      <c r="AU31" s="481"/>
      <c r="AV31" s="481"/>
      <c r="AW31" s="481"/>
      <c r="AX31" s="481"/>
      <c r="AY31" s="481"/>
      <c r="AZ31" s="481"/>
      <c r="BA31" s="481"/>
      <c r="BB31" s="481"/>
      <c r="BC31" s="482"/>
      <c r="BD31" s="495"/>
      <c r="BE31" s="496"/>
      <c r="BF31" s="496"/>
      <c r="BG31" s="496"/>
      <c r="BH31" s="496"/>
      <c r="BI31" s="496"/>
      <c r="BJ31" s="497"/>
    </row>
    <row r="32" spans="1:62" ht="45" customHeight="1">
      <c r="A32" s="471">
        <f t="shared" si="0"/>
        <v>24</v>
      </c>
      <c r="B32" s="472"/>
      <c r="C32" s="473"/>
      <c r="D32" s="486" t="s">
        <v>389</v>
      </c>
      <c r="E32" s="487"/>
      <c r="F32" s="487"/>
      <c r="G32" s="487"/>
      <c r="H32" s="487"/>
      <c r="I32" s="487"/>
      <c r="J32" s="487"/>
      <c r="K32" s="487"/>
      <c r="L32" s="487"/>
      <c r="M32" s="487"/>
      <c r="N32" s="487"/>
      <c r="O32" s="487"/>
      <c r="P32" s="488"/>
      <c r="Q32" s="489" t="s">
        <v>390</v>
      </c>
      <c r="R32" s="490"/>
      <c r="S32" s="490"/>
      <c r="T32" s="490"/>
      <c r="U32" s="490"/>
      <c r="V32" s="490"/>
      <c r="W32" s="490"/>
      <c r="X32" s="490"/>
      <c r="Y32" s="490"/>
      <c r="Z32" s="490"/>
      <c r="AA32" s="490"/>
      <c r="AB32" s="490"/>
      <c r="AC32" s="490"/>
      <c r="AD32" s="490"/>
      <c r="AE32" s="490"/>
      <c r="AF32" s="490"/>
      <c r="AG32" s="490"/>
      <c r="AH32" s="490"/>
      <c r="AI32" s="490"/>
      <c r="AJ32" s="490"/>
      <c r="AK32" s="490"/>
      <c r="AL32" s="490"/>
      <c r="AM32" s="490"/>
      <c r="AN32" s="490"/>
      <c r="AO32" s="490"/>
      <c r="AP32" s="490"/>
      <c r="AQ32" s="490"/>
      <c r="AR32" s="490"/>
      <c r="AS32" s="490"/>
      <c r="AT32" s="490"/>
      <c r="AU32" s="490"/>
      <c r="AV32" s="490"/>
      <c r="AW32" s="490"/>
      <c r="AX32" s="490"/>
      <c r="AY32" s="490"/>
      <c r="AZ32" s="490"/>
      <c r="BA32" s="490"/>
      <c r="BB32" s="490"/>
      <c r="BC32" s="491"/>
      <c r="BD32" s="492"/>
      <c r="BE32" s="493"/>
      <c r="BF32" s="493"/>
      <c r="BG32" s="493"/>
      <c r="BH32" s="493"/>
      <c r="BI32" s="493"/>
      <c r="BJ32" s="494"/>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49999999999999" customHeight="1"/>
    <row r="44" spans="2:17" ht="17.149999999999999" customHeight="1"/>
    <row r="45" spans="2:17" ht="17.149999999999999" customHeight="1"/>
    <row r="46" spans="2:17" ht="17.149999999999999" customHeight="1"/>
  </sheetData>
  <mergeCells count="115">
    <mergeCell ref="A11:C11"/>
    <mergeCell ref="D11:P11"/>
    <mergeCell ref="Q11:BC11"/>
    <mergeCell ref="BD11:BJ11"/>
    <mergeCell ref="A14:C14"/>
    <mergeCell ref="D14:P14"/>
    <mergeCell ref="Q14:BC14"/>
    <mergeCell ref="BD14:BJ14"/>
    <mergeCell ref="A32:C32"/>
    <mergeCell ref="D32:P32"/>
    <mergeCell ref="Q32:BC32"/>
    <mergeCell ref="BD32:BJ32"/>
    <mergeCell ref="A31:C31"/>
    <mergeCell ref="D31:P31"/>
    <mergeCell ref="Q31:BC31"/>
    <mergeCell ref="BD31:BJ31"/>
    <mergeCell ref="A30:C30"/>
    <mergeCell ref="D30:P30"/>
    <mergeCell ref="Q30:BC30"/>
    <mergeCell ref="BD30:BJ30"/>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1:C21"/>
    <mergeCell ref="D21:P21"/>
    <mergeCell ref="Q21:BC21"/>
    <mergeCell ref="BD21:BJ21"/>
    <mergeCell ref="A22:C22"/>
    <mergeCell ref="D22:P22"/>
    <mergeCell ref="Q22:BC22"/>
    <mergeCell ref="BD22:BJ22"/>
    <mergeCell ref="A23:C23"/>
    <mergeCell ref="D23:P23"/>
    <mergeCell ref="Q23:BC23"/>
    <mergeCell ref="BD23:BJ23"/>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0:C10"/>
    <mergeCell ref="D10:P10"/>
    <mergeCell ref="Q10:BC10"/>
    <mergeCell ref="BD10:BJ10"/>
    <mergeCell ref="A16:C16"/>
    <mergeCell ref="D16:P16"/>
    <mergeCell ref="Q16:BC16"/>
    <mergeCell ref="BD16:BJ16"/>
    <mergeCell ref="A9:C9"/>
    <mergeCell ref="D9:P9"/>
    <mergeCell ref="Q9:BC9"/>
    <mergeCell ref="BD9:BJ9"/>
    <mergeCell ref="A12:C12"/>
    <mergeCell ref="D12:P12"/>
    <mergeCell ref="Q12:BC12"/>
    <mergeCell ref="BD12:BJ12"/>
    <mergeCell ref="A15:C15"/>
    <mergeCell ref="D15:P15"/>
    <mergeCell ref="Q15:BC15"/>
    <mergeCell ref="BD15:BJ15"/>
    <mergeCell ref="A13:C13"/>
    <mergeCell ref="D13:P13"/>
    <mergeCell ref="Q13:BC13"/>
    <mergeCell ref="BD13:BJ13"/>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138E7-E438-47D3-AC2A-1DC7F5764ABC}">
  <sheetPr codeName="Sheet4"/>
  <dimension ref="A1:FO391"/>
  <sheetViews>
    <sheetView view="pageBreakPreview" zoomScaleNormal="100" zoomScaleSheetLayoutView="100" workbookViewId="0"/>
  </sheetViews>
  <sheetFormatPr defaultColWidth="1.90625" defaultRowHeight="11"/>
  <cols>
    <col min="1" max="85" width="1.90625" style="1" customWidth="1"/>
    <col min="86" max="16384" width="1.90625" style="1"/>
  </cols>
  <sheetData>
    <row r="1" spans="1:171"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12"/>
      <c r="AU1" s="512"/>
      <c r="AV1" s="512"/>
      <c r="AW1" s="512"/>
      <c r="AX1" s="512"/>
      <c r="AY1" s="512"/>
      <c r="AZ1" s="512"/>
      <c r="BA1" s="512"/>
      <c r="BB1" s="512"/>
      <c r="BC1" s="512"/>
      <c r="BD1" s="512"/>
      <c r="BE1" s="512"/>
      <c r="BF1" s="51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171" ht="19.5" customHeight="1">
      <c r="A2" s="275" t="s">
        <v>22</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6"/>
      <c r="AV2" s="276"/>
      <c r="AW2" s="276"/>
      <c r="AX2" s="276"/>
      <c r="AY2" s="276"/>
      <c r="AZ2" s="276"/>
      <c r="BA2" s="276"/>
      <c r="BB2" s="276"/>
      <c r="BC2" s="276"/>
      <c r="BD2" s="276"/>
      <c r="BE2" s="276"/>
      <c r="BF2" s="276"/>
      <c r="BG2" s="276"/>
      <c r="BH2" s="276"/>
      <c r="BI2" s="276"/>
      <c r="BJ2" s="276"/>
      <c r="BK2" s="276"/>
      <c r="BL2" s="276"/>
      <c r="BM2" s="276"/>
      <c r="BN2" s="276"/>
      <c r="BO2" s="277"/>
      <c r="BP2" s="257" t="s">
        <v>3</v>
      </c>
      <c r="BQ2" s="258"/>
      <c r="BR2" s="258"/>
      <c r="BS2" s="258"/>
      <c r="BT2" s="258"/>
      <c r="BU2" s="259"/>
      <c r="BV2" s="19" t="s">
        <v>23</v>
      </c>
      <c r="BW2" s="20"/>
      <c r="BX2" s="21"/>
      <c r="BY2" s="19"/>
      <c r="BZ2" s="21"/>
      <c r="CA2" s="257" t="s">
        <v>5</v>
      </c>
      <c r="CB2" s="258"/>
      <c r="CC2" s="259"/>
      <c r="CD2" s="257"/>
      <c r="CE2" s="258"/>
      <c r="CF2" s="258"/>
      <c r="CG2" s="259"/>
      <c r="CH2" s="4"/>
      <c r="CI2" s="4"/>
      <c r="CJ2" s="4"/>
      <c r="CK2" s="4"/>
      <c r="CL2" s="4"/>
    </row>
    <row r="3" spans="1:171" s="2" customFormat="1" ht="19.5" customHeight="1">
      <c r="A3" s="257" t="s">
        <v>6</v>
      </c>
      <c r="B3" s="258"/>
      <c r="C3" s="258"/>
      <c r="D3" s="258"/>
      <c r="E3" s="258"/>
      <c r="F3" s="258"/>
      <c r="G3" s="258"/>
      <c r="H3" s="258"/>
      <c r="I3" s="258"/>
      <c r="J3" s="258"/>
      <c r="K3" s="259"/>
      <c r="L3" s="260" t="s">
        <v>316</v>
      </c>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2"/>
      <c r="BP3" s="257" t="s">
        <v>7</v>
      </c>
      <c r="BQ3" s="258"/>
      <c r="BR3" s="258"/>
      <c r="BS3" s="258"/>
      <c r="BT3" s="258"/>
      <c r="BU3" s="259"/>
      <c r="BV3" s="257" t="s">
        <v>309</v>
      </c>
      <c r="BW3" s="258"/>
      <c r="BX3" s="258"/>
      <c r="BY3" s="258"/>
      <c r="BZ3" s="258"/>
      <c r="CA3" s="258"/>
      <c r="CB3" s="258"/>
      <c r="CC3" s="258"/>
      <c r="CD3" s="258"/>
      <c r="CE3" s="258"/>
      <c r="CF3" s="258"/>
      <c r="CG3" s="259"/>
      <c r="CH3" s="3"/>
      <c r="CI3" s="3"/>
      <c r="CJ3" s="3"/>
      <c r="CK3" s="3"/>
      <c r="CL3" s="3"/>
    </row>
    <row r="4" spans="1:171" s="2" customFormat="1" ht="19.5" customHeight="1">
      <c r="A4" s="257" t="s">
        <v>8</v>
      </c>
      <c r="B4" s="258"/>
      <c r="C4" s="258"/>
      <c r="D4" s="258"/>
      <c r="E4" s="258"/>
      <c r="F4" s="258"/>
      <c r="G4" s="258"/>
      <c r="H4" s="258"/>
      <c r="I4" s="258"/>
      <c r="J4" s="258"/>
      <c r="K4" s="259"/>
      <c r="L4" s="260" t="str">
        <f>変更履歴!H4</f>
        <v>共計</v>
      </c>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9"/>
      <c r="BP4" s="257" t="s">
        <v>9</v>
      </c>
      <c r="BQ4" s="258"/>
      <c r="BR4" s="258"/>
      <c r="BS4" s="258"/>
      <c r="BT4" s="258"/>
      <c r="BU4" s="259"/>
      <c r="BV4" s="257"/>
      <c r="BW4" s="258"/>
      <c r="BX4" s="258"/>
      <c r="BY4" s="258"/>
      <c r="BZ4" s="258"/>
      <c r="CA4" s="258"/>
      <c r="CB4" s="258"/>
      <c r="CC4" s="258"/>
      <c r="CD4" s="258"/>
      <c r="CE4" s="258"/>
      <c r="CF4" s="258"/>
      <c r="CG4" s="259"/>
      <c r="CH4" s="3"/>
      <c r="CI4" s="3"/>
      <c r="CJ4" s="3"/>
      <c r="CK4" s="3"/>
      <c r="CL4" s="3"/>
    </row>
    <row r="5" spans="1:171"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71" ht="6.75" customHeight="1"/>
    <row r="7" spans="1:171" s="3" customFormat="1" ht="19.5" customHeight="1">
      <c r="A7" s="257" t="s">
        <v>24</v>
      </c>
      <c r="B7" s="258"/>
      <c r="C7" s="258"/>
      <c r="D7" s="258"/>
      <c r="E7" s="258"/>
      <c r="F7" s="258"/>
      <c r="G7" s="258"/>
      <c r="H7" s="258"/>
      <c r="I7" s="258"/>
      <c r="J7" s="258"/>
      <c r="K7" s="259"/>
      <c r="L7" s="260" t="str">
        <f>変更履歴!H6</f>
        <v>滞留立替金利補正入力</v>
      </c>
      <c r="M7" s="278"/>
      <c r="N7" s="278"/>
      <c r="O7" s="278"/>
      <c r="P7" s="278"/>
      <c r="Q7" s="278"/>
      <c r="R7" s="278"/>
      <c r="S7" s="278"/>
      <c r="T7" s="278"/>
      <c r="U7" s="278"/>
      <c r="V7" s="278"/>
      <c r="W7" s="278"/>
      <c r="X7" s="278"/>
      <c r="Y7" s="278"/>
      <c r="Z7" s="278"/>
      <c r="AA7" s="278"/>
      <c r="AB7" s="278"/>
      <c r="AC7" s="278"/>
      <c r="AD7" s="278"/>
      <c r="AE7" s="278"/>
      <c r="AF7" s="278"/>
      <c r="AG7" s="278"/>
      <c r="AH7" s="278"/>
      <c r="AI7" s="278"/>
      <c r="AJ7" s="278"/>
      <c r="AK7" s="278"/>
      <c r="AL7" s="278"/>
      <c r="AM7" s="278"/>
      <c r="AN7" s="278"/>
      <c r="AO7" s="278"/>
      <c r="AP7" s="278"/>
      <c r="AQ7" s="278"/>
      <c r="AR7" s="278"/>
      <c r="AS7" s="278"/>
      <c r="AT7" s="278"/>
      <c r="AU7" s="278"/>
      <c r="AV7" s="278"/>
      <c r="AW7" s="278"/>
      <c r="AX7" s="278"/>
      <c r="AY7" s="278"/>
      <c r="AZ7" s="278"/>
      <c r="BA7" s="278"/>
      <c r="BB7" s="278"/>
      <c r="BC7" s="278"/>
      <c r="BD7" s="278"/>
      <c r="BE7" s="278"/>
      <c r="BF7" s="278"/>
      <c r="BG7" s="278"/>
      <c r="BH7" s="278"/>
      <c r="BI7" s="278"/>
      <c r="BJ7" s="278"/>
      <c r="BK7" s="278"/>
      <c r="BL7" s="278"/>
      <c r="BM7" s="278"/>
      <c r="BN7" s="278"/>
      <c r="BO7" s="278"/>
      <c r="BP7" s="278"/>
      <c r="BQ7" s="278"/>
      <c r="BR7" s="278"/>
      <c r="BS7" s="278"/>
      <c r="BT7" s="278"/>
      <c r="BU7" s="278"/>
      <c r="BV7" s="278"/>
      <c r="BW7" s="278"/>
      <c r="BX7" s="278"/>
      <c r="BY7" s="278"/>
      <c r="BZ7" s="278"/>
      <c r="CA7" s="278"/>
      <c r="CB7" s="278"/>
      <c r="CC7" s="278"/>
      <c r="CD7" s="278"/>
      <c r="CE7" s="278"/>
      <c r="CF7" s="278"/>
      <c r="CG7" s="279"/>
      <c r="CH7" s="26"/>
    </row>
    <row r="8" spans="1:171" ht="9" customHeight="1"/>
    <row r="9" spans="1:171"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171" ht="14.25" customHeight="1">
      <c r="A10" s="126"/>
      <c r="B10" s="67"/>
      <c r="C10" s="68"/>
      <c r="D10" s="68"/>
      <c r="E10" s="68"/>
      <c r="F10" s="68"/>
      <c r="G10" s="68"/>
      <c r="H10" s="68"/>
      <c r="I10" s="68"/>
      <c r="J10" s="68"/>
      <c r="K10" s="68"/>
      <c r="L10" s="513" t="s">
        <v>86</v>
      </c>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c r="AN10" s="514"/>
      <c r="AO10" s="514"/>
      <c r="AP10" s="514"/>
      <c r="AQ10" s="514"/>
      <c r="AR10" s="514"/>
      <c r="AS10" s="514"/>
      <c r="AT10" s="514"/>
      <c r="AU10" s="514"/>
      <c r="AV10" s="514"/>
      <c r="AW10" s="514"/>
      <c r="AX10" s="514"/>
      <c r="AY10" s="514"/>
      <c r="AZ10" s="514"/>
      <c r="BA10" s="514"/>
      <c r="BB10" s="514"/>
      <c r="BC10" s="514"/>
      <c r="BD10" s="514"/>
      <c r="BE10" s="514"/>
      <c r="BF10" s="514"/>
      <c r="BG10" s="514"/>
      <c r="BH10" s="514"/>
      <c r="BI10" s="514"/>
      <c r="BJ10" s="514"/>
      <c r="BK10" s="514"/>
      <c r="BL10" s="514"/>
      <c r="BM10" s="514"/>
      <c r="BN10" s="514"/>
      <c r="BO10" s="514"/>
      <c r="BP10" s="514"/>
      <c r="BQ10" s="514"/>
      <c r="BR10" s="514"/>
      <c r="BS10" s="514"/>
      <c r="BT10" s="514"/>
      <c r="BU10" s="514"/>
      <c r="BV10" s="300" t="s">
        <v>62</v>
      </c>
      <c r="BW10" s="300"/>
      <c r="BX10" s="300"/>
      <c r="BY10" s="300"/>
      <c r="BZ10" s="300"/>
      <c r="CA10" s="300"/>
      <c r="CB10" s="300"/>
      <c r="CC10" s="300"/>
      <c r="CD10" s="300"/>
      <c r="CE10" s="300"/>
      <c r="CF10" s="301"/>
      <c r="CG10" s="127"/>
      <c r="CR10" s="151"/>
      <c r="CS10" s="151"/>
      <c r="CT10" s="151"/>
      <c r="CU10" s="151"/>
      <c r="CV10" s="151"/>
      <c r="CW10" s="151"/>
      <c r="CX10" s="151"/>
      <c r="CY10" s="151"/>
      <c r="CZ10" s="151"/>
      <c r="DA10" s="151"/>
      <c r="DB10" s="151"/>
      <c r="DC10" s="151"/>
      <c r="DD10" s="151"/>
      <c r="DE10" s="151"/>
      <c r="DF10" s="151"/>
      <c r="DG10" s="151"/>
      <c r="DH10" s="151"/>
      <c r="DI10" s="151"/>
      <c r="DJ10" s="151"/>
      <c r="DK10" s="151"/>
      <c r="DL10" s="151"/>
      <c r="DM10" s="151"/>
      <c r="DN10" s="151"/>
      <c r="DO10" s="151"/>
      <c r="DP10" s="151"/>
      <c r="DQ10" s="151"/>
      <c r="DR10" s="151"/>
      <c r="DS10" s="151"/>
      <c r="DT10" s="151"/>
      <c r="DU10" s="151"/>
      <c r="DV10" s="151"/>
      <c r="DW10" s="151"/>
      <c r="DX10" s="151"/>
      <c r="DY10" s="151"/>
      <c r="DZ10" s="151"/>
      <c r="EA10" s="151"/>
      <c r="EB10" s="151"/>
      <c r="EC10" s="151"/>
      <c r="ED10" s="151"/>
      <c r="EE10" s="151"/>
      <c r="EF10" s="151"/>
      <c r="EG10" s="151"/>
      <c r="EH10" s="151"/>
      <c r="EI10" s="151"/>
      <c r="EJ10" s="151"/>
      <c r="EK10" s="151"/>
      <c r="EL10" s="151"/>
      <c r="EM10" s="151"/>
      <c r="EN10" s="151"/>
      <c r="EO10" s="151"/>
      <c r="EP10" s="151"/>
      <c r="EQ10" s="151"/>
      <c r="ER10" s="151"/>
      <c r="ES10" s="151"/>
      <c r="ET10" s="151"/>
      <c r="EU10" s="151"/>
      <c r="EV10" s="151"/>
      <c r="EW10" s="151"/>
      <c r="EX10" s="151"/>
      <c r="EY10" s="151"/>
      <c r="EZ10" s="151"/>
      <c r="FA10" s="151"/>
      <c r="FB10" s="151"/>
      <c r="FC10" s="151"/>
      <c r="FD10" s="151"/>
      <c r="FE10" s="151"/>
      <c r="FF10" s="151"/>
      <c r="FG10" s="151"/>
      <c r="FH10" s="151"/>
      <c r="FI10" s="151"/>
      <c r="FJ10" s="151"/>
      <c r="FK10" s="151"/>
      <c r="FL10" s="151"/>
      <c r="FM10" s="151"/>
      <c r="FN10" s="151"/>
      <c r="FO10" s="151"/>
    </row>
    <row r="11" spans="1:171" ht="14.25" customHeight="1">
      <c r="A11" s="126"/>
      <c r="B11" s="69"/>
      <c r="C11" s="128"/>
      <c r="D11" s="128"/>
      <c r="E11" s="128"/>
      <c r="F11" s="128"/>
      <c r="G11" s="128"/>
      <c r="H11" s="128"/>
      <c r="I11" s="128"/>
      <c r="J11" s="128"/>
      <c r="K11" s="128"/>
      <c r="L11" s="515"/>
      <c r="M11" s="515"/>
      <c r="N11" s="515"/>
      <c r="O11" s="515"/>
      <c r="P11" s="515"/>
      <c r="Q11" s="515"/>
      <c r="R11" s="515"/>
      <c r="S11" s="515"/>
      <c r="T11" s="515"/>
      <c r="U11" s="515"/>
      <c r="V11" s="515"/>
      <c r="W11" s="515"/>
      <c r="X11" s="515"/>
      <c r="Y11" s="515"/>
      <c r="Z11" s="515"/>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5"/>
      <c r="BD11" s="515"/>
      <c r="BE11" s="515"/>
      <c r="BF11" s="515"/>
      <c r="BG11" s="515"/>
      <c r="BH11" s="515"/>
      <c r="BI11" s="515"/>
      <c r="BJ11" s="515"/>
      <c r="BK11" s="515"/>
      <c r="BL11" s="515"/>
      <c r="BM11" s="515"/>
      <c r="BN11" s="515"/>
      <c r="BO11" s="515"/>
      <c r="BP11" s="515"/>
      <c r="BQ11" s="515"/>
      <c r="BR11" s="515"/>
      <c r="BS11" s="515"/>
      <c r="BT11" s="515"/>
      <c r="BU11" s="515"/>
      <c r="BV11" s="302"/>
      <c r="BW11" s="302"/>
      <c r="BX11" s="302"/>
      <c r="BY11" s="302"/>
      <c r="BZ11" s="302"/>
      <c r="CA11" s="302"/>
      <c r="CB11" s="302"/>
      <c r="CC11" s="302"/>
      <c r="CD11" s="302"/>
      <c r="CE11" s="302"/>
      <c r="CF11" s="303"/>
      <c r="CG11" s="127"/>
      <c r="CR11" s="151"/>
      <c r="CS11" s="151"/>
      <c r="CT11" s="151"/>
      <c r="CU11" s="151"/>
      <c r="CV11" s="151"/>
      <c r="CW11" s="151"/>
      <c r="CX11" s="151"/>
      <c r="CY11" s="151"/>
      <c r="CZ11" s="151"/>
      <c r="DA11" s="151"/>
      <c r="DB11" s="151"/>
      <c r="DC11" s="151"/>
      <c r="DD11" s="151"/>
      <c r="DE11" s="151"/>
      <c r="DF11" s="151"/>
      <c r="DG11" s="151"/>
      <c r="DH11" s="151"/>
      <c r="DI11" s="151"/>
      <c r="DJ11" s="151"/>
      <c r="DK11" s="151"/>
      <c r="DL11" s="151"/>
      <c r="DM11" s="151"/>
      <c r="DN11" s="151"/>
      <c r="DO11" s="151"/>
      <c r="DP11" s="151"/>
      <c r="DQ11" s="151"/>
      <c r="DR11" s="151"/>
      <c r="DS11" s="151"/>
      <c r="DT11" s="151"/>
      <c r="DU11" s="151"/>
      <c r="DV11" s="151"/>
      <c r="DW11" s="151"/>
      <c r="DX11" s="151"/>
      <c r="DY11" s="151"/>
      <c r="DZ11" s="151"/>
      <c r="EA11" s="151"/>
      <c r="EB11" s="151"/>
      <c r="EC11" s="151"/>
      <c r="ED11" s="151"/>
      <c r="EE11" s="151"/>
      <c r="EF11" s="151"/>
      <c r="EG11" s="151"/>
      <c r="EH11" s="151"/>
      <c r="EI11" s="151"/>
      <c r="EJ11" s="151"/>
      <c r="EK11" s="151"/>
      <c r="EL11" s="151"/>
      <c r="EM11" s="151"/>
      <c r="EN11" s="151"/>
      <c r="EO11" s="151"/>
      <c r="EP11" s="151"/>
      <c r="EQ11" s="151"/>
      <c r="ER11" s="151"/>
      <c r="ES11" s="151"/>
      <c r="ET11" s="151"/>
      <c r="EU11" s="151"/>
      <c r="EV11" s="151"/>
      <c r="EW11" s="151"/>
      <c r="EX11" s="151"/>
      <c r="EY11" s="151"/>
      <c r="EZ11" s="151"/>
      <c r="FA11" s="151"/>
      <c r="FB11" s="151"/>
      <c r="FC11" s="151"/>
      <c r="FD11" s="151"/>
      <c r="FE11" s="151"/>
      <c r="FF11" s="151"/>
      <c r="FG11" s="151"/>
      <c r="FH11" s="151"/>
      <c r="FI11" s="151"/>
      <c r="FJ11" s="151"/>
      <c r="FK11" s="151"/>
      <c r="FL11" s="151"/>
      <c r="FM11" s="151"/>
      <c r="FN11" s="151"/>
      <c r="FO11" s="151"/>
    </row>
    <row r="12" spans="1:171" s="3" customFormat="1" ht="19.5" customHeight="1" thickBot="1">
      <c r="A12" s="28"/>
      <c r="B12" s="70"/>
      <c r="C12" s="71"/>
      <c r="D12" s="71"/>
      <c r="E12" s="71"/>
      <c r="F12" s="71"/>
      <c r="G12" s="71"/>
      <c r="H12" s="71"/>
      <c r="I12" s="71"/>
      <c r="J12" s="71"/>
      <c r="K12" s="71"/>
      <c r="L12" s="516"/>
      <c r="M12" s="516"/>
      <c r="N12" s="516"/>
      <c r="O12" s="516"/>
      <c r="P12" s="516"/>
      <c r="Q12" s="516"/>
      <c r="R12" s="516"/>
      <c r="S12" s="516"/>
      <c r="T12" s="516"/>
      <c r="U12" s="516"/>
      <c r="V12" s="516"/>
      <c r="W12" s="516"/>
      <c r="X12" s="516"/>
      <c r="Y12" s="516"/>
      <c r="Z12" s="516"/>
      <c r="AA12" s="516"/>
      <c r="AB12" s="516"/>
      <c r="AC12" s="516"/>
      <c r="AD12" s="516"/>
      <c r="AE12" s="516"/>
      <c r="AF12" s="516"/>
      <c r="AG12" s="516"/>
      <c r="AH12" s="516"/>
      <c r="AI12" s="516"/>
      <c r="AJ12" s="516"/>
      <c r="AK12" s="516"/>
      <c r="AL12" s="516"/>
      <c r="AM12" s="516"/>
      <c r="AN12" s="516"/>
      <c r="AO12" s="516"/>
      <c r="AP12" s="516"/>
      <c r="AQ12" s="516"/>
      <c r="AR12" s="516"/>
      <c r="AS12" s="516"/>
      <c r="AT12" s="516"/>
      <c r="AU12" s="516"/>
      <c r="AV12" s="516"/>
      <c r="AW12" s="516"/>
      <c r="AX12" s="516"/>
      <c r="AY12" s="516"/>
      <c r="AZ12" s="516"/>
      <c r="BA12" s="516"/>
      <c r="BB12" s="516"/>
      <c r="BC12" s="516"/>
      <c r="BD12" s="516"/>
      <c r="BE12" s="516"/>
      <c r="BF12" s="516"/>
      <c r="BG12" s="516"/>
      <c r="BH12" s="516"/>
      <c r="BI12" s="516"/>
      <c r="BJ12" s="516"/>
      <c r="BK12" s="516"/>
      <c r="BL12" s="516"/>
      <c r="BM12" s="516"/>
      <c r="BN12" s="516"/>
      <c r="BO12" s="516"/>
      <c r="BP12" s="516"/>
      <c r="BQ12" s="516"/>
      <c r="BR12" s="516"/>
      <c r="BS12" s="516"/>
      <c r="BT12" s="516"/>
      <c r="BU12" s="516"/>
      <c r="BV12" s="304"/>
      <c r="BW12" s="304"/>
      <c r="BX12" s="304"/>
      <c r="BY12" s="304"/>
      <c r="BZ12" s="304"/>
      <c r="CA12" s="304"/>
      <c r="CB12" s="304"/>
      <c r="CC12" s="304"/>
      <c r="CD12" s="304"/>
      <c r="CE12" s="304"/>
      <c r="CF12" s="305"/>
      <c r="CG12" s="29"/>
      <c r="CR12" s="151"/>
      <c r="CS12" s="151"/>
      <c r="CT12" s="151"/>
      <c r="CU12" s="151"/>
      <c r="CV12" s="151"/>
      <c r="CW12" s="151"/>
      <c r="CX12" s="151"/>
      <c r="CY12" s="151"/>
      <c r="CZ12" s="151"/>
      <c r="DA12" s="151"/>
      <c r="DB12" s="151"/>
      <c r="DC12" s="151"/>
      <c r="DD12" s="151"/>
      <c r="DE12" s="151"/>
      <c r="DF12" s="151"/>
      <c r="DG12" s="151"/>
      <c r="DH12" s="151"/>
      <c r="DI12" s="151"/>
      <c r="DJ12" s="151"/>
      <c r="DK12" s="151"/>
      <c r="DL12" s="151"/>
      <c r="DM12" s="151"/>
      <c r="DN12" s="151"/>
      <c r="DO12" s="151"/>
      <c r="DP12" s="151"/>
      <c r="DQ12" s="151"/>
      <c r="DR12" s="151"/>
      <c r="DS12" s="151"/>
      <c r="DT12" s="151"/>
      <c r="DU12" s="151"/>
      <c r="DV12" s="151"/>
      <c r="DW12" s="151"/>
      <c r="DX12" s="151"/>
      <c r="DY12" s="151"/>
      <c r="DZ12" s="151"/>
      <c r="EA12" s="151"/>
      <c r="EB12" s="151"/>
      <c r="EC12" s="151"/>
      <c r="ED12" s="151"/>
      <c r="EE12" s="151"/>
      <c r="EF12" s="151"/>
      <c r="EG12" s="151"/>
      <c r="EH12" s="151"/>
      <c r="EI12" s="151"/>
      <c r="EJ12" s="151"/>
      <c r="EK12" s="151"/>
      <c r="EL12" s="151"/>
      <c r="EM12" s="151"/>
      <c r="EN12" s="151"/>
      <c r="EO12" s="151"/>
      <c r="EP12" s="151"/>
      <c r="EQ12" s="151"/>
      <c r="ER12" s="151"/>
      <c r="ES12" s="151"/>
      <c r="ET12" s="151"/>
      <c r="EU12" s="151"/>
      <c r="EV12" s="151"/>
      <c r="EW12" s="151"/>
      <c r="EX12" s="151"/>
      <c r="EY12" s="151"/>
      <c r="EZ12" s="151"/>
      <c r="FA12" s="151"/>
      <c r="FB12" s="151"/>
      <c r="FC12" s="151"/>
      <c r="FD12" s="151"/>
      <c r="FE12" s="151"/>
      <c r="FF12" s="151"/>
      <c r="FG12" s="151"/>
      <c r="FH12" s="151"/>
      <c r="FI12" s="151"/>
      <c r="FJ12" s="151"/>
      <c r="FK12" s="151"/>
      <c r="FL12" s="151"/>
      <c r="FM12" s="151"/>
      <c r="FN12" s="151"/>
      <c r="FO12" s="151"/>
    </row>
    <row r="13" spans="1:171" s="3" customFormat="1" ht="19.5" customHeight="1" thickTop="1">
      <c r="A13" s="28"/>
      <c r="B13" s="78"/>
      <c r="C13" s="79"/>
      <c r="D13" s="223" t="s">
        <v>475</v>
      </c>
      <c r="E13" s="79"/>
      <c r="F13" s="79"/>
      <c r="G13" s="79"/>
      <c r="H13" s="150"/>
      <c r="I13" s="150"/>
      <c r="J13" s="72"/>
      <c r="K13" s="79"/>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3"/>
      <c r="CG13" s="29"/>
    </row>
    <row r="14" spans="1:171" s="3" customFormat="1" ht="19.5" customHeight="1">
      <c r="A14" s="28"/>
      <c r="B14" s="80"/>
      <c r="C14" s="93"/>
      <c r="D14" s="306" t="s">
        <v>207</v>
      </c>
      <c r="E14" s="307"/>
      <c r="F14" s="307"/>
      <c r="G14" s="307"/>
      <c r="H14" s="307"/>
      <c r="I14" s="307"/>
      <c r="J14" s="307"/>
      <c r="K14" s="307"/>
      <c r="L14" s="307"/>
      <c r="M14" s="307"/>
      <c r="N14" s="307"/>
      <c r="O14" s="307"/>
      <c r="P14" s="307"/>
      <c r="Q14" s="307"/>
      <c r="R14" s="307"/>
      <c r="S14" s="307"/>
      <c r="T14" s="307"/>
      <c r="U14" s="307"/>
      <c r="V14" s="307"/>
      <c r="W14" s="307"/>
      <c r="X14" s="307"/>
      <c r="Y14" s="307"/>
      <c r="Z14" s="307"/>
      <c r="AA14" s="307"/>
      <c r="AB14" s="307"/>
      <c r="AC14" s="307"/>
      <c r="AD14" s="307"/>
      <c r="AE14" s="307"/>
      <c r="AF14" s="307"/>
      <c r="AG14" s="307"/>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7"/>
      <c r="BD14" s="307"/>
      <c r="BE14" s="307"/>
      <c r="BF14" s="307"/>
      <c r="BG14" s="307"/>
      <c r="BH14" s="307"/>
      <c r="BI14" s="307"/>
      <c r="BJ14" s="307"/>
      <c r="BK14" s="307"/>
      <c r="BL14" s="307"/>
      <c r="BM14" s="307"/>
      <c r="BN14" s="307"/>
      <c r="BO14" s="307"/>
      <c r="BP14" s="307"/>
      <c r="BQ14" s="307"/>
      <c r="BR14" s="307"/>
      <c r="BS14" s="307"/>
      <c r="BT14" s="307"/>
      <c r="BU14" s="307"/>
      <c r="BV14" s="307"/>
      <c r="BW14" s="307"/>
      <c r="BX14" s="307"/>
      <c r="BY14" s="307"/>
      <c r="BZ14" s="307"/>
      <c r="CA14" s="307"/>
      <c r="CB14" s="307"/>
      <c r="CC14" s="308"/>
      <c r="CD14" s="93"/>
      <c r="CE14" s="93"/>
      <c r="CF14" s="74"/>
      <c r="CG14" s="29"/>
    </row>
    <row r="15" spans="1:171" s="3" customFormat="1" ht="19.5" customHeight="1">
      <c r="A15" s="28"/>
      <c r="B15" s="80"/>
      <c r="C15" s="93"/>
      <c r="D15" s="129"/>
      <c r="E15" s="129"/>
      <c r="F15" s="129"/>
      <c r="G15" s="129"/>
      <c r="H15" s="129"/>
      <c r="I15" s="129"/>
      <c r="J15" s="129"/>
      <c r="K15" s="129"/>
      <c r="L15" s="129"/>
      <c r="M15" s="129"/>
      <c r="N15" s="129"/>
      <c r="O15" s="129"/>
      <c r="P15" s="129"/>
      <c r="Q15" s="129"/>
      <c r="R15" s="129"/>
      <c r="S15" s="129"/>
      <c r="T15" s="129"/>
      <c r="U15" s="129"/>
      <c r="V15" s="129"/>
      <c r="W15" s="95"/>
      <c r="X15" s="95"/>
      <c r="Y15" s="95"/>
      <c r="Z15" s="95"/>
      <c r="AA15" s="95"/>
      <c r="AB15" s="95"/>
      <c r="AC15" s="95"/>
      <c r="AD15" s="95"/>
      <c r="AE15" s="95"/>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01"/>
      <c r="BZ15" s="129"/>
      <c r="CA15" s="129"/>
      <c r="CB15" s="101"/>
      <c r="CC15" s="129"/>
      <c r="CD15" s="93"/>
      <c r="CE15" s="93"/>
      <c r="CF15" s="74"/>
      <c r="CG15" s="29"/>
    </row>
    <row r="16" spans="1:171" s="3" customFormat="1" ht="19.5" customHeight="1">
      <c r="A16" s="28"/>
      <c r="B16" s="80"/>
      <c r="C16" s="93"/>
      <c r="D16" s="288" t="s">
        <v>100</v>
      </c>
      <c r="E16" s="289"/>
      <c r="F16" s="289"/>
      <c r="G16" s="289"/>
      <c r="H16" s="289"/>
      <c r="I16" s="289"/>
      <c r="J16" s="289"/>
      <c r="K16" s="289"/>
      <c r="L16" s="289"/>
      <c r="M16" s="289"/>
      <c r="N16" s="289"/>
      <c r="O16" s="289"/>
      <c r="P16" s="289"/>
      <c r="Q16" s="289"/>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9"/>
      <c r="AS16" s="289"/>
      <c r="AT16" s="289"/>
      <c r="AU16" s="289"/>
      <c r="AV16" s="289"/>
      <c r="AW16" s="289"/>
      <c r="AX16" s="289"/>
      <c r="AY16" s="289"/>
      <c r="AZ16" s="289"/>
      <c r="BA16" s="289"/>
      <c r="BB16" s="289"/>
      <c r="BC16" s="289"/>
      <c r="BD16" s="289"/>
      <c r="BE16" s="289"/>
      <c r="BF16" s="289"/>
      <c r="BG16" s="289"/>
      <c r="BH16" s="289"/>
      <c r="BI16" s="289"/>
      <c r="BJ16" s="289"/>
      <c r="BK16" s="289"/>
      <c r="BL16" s="289"/>
      <c r="BM16" s="289"/>
      <c r="BN16" s="289"/>
      <c r="BO16" s="289"/>
      <c r="BP16" s="289"/>
      <c r="BQ16" s="289"/>
      <c r="BR16" s="289"/>
      <c r="BS16" s="289"/>
      <c r="BT16" s="289"/>
      <c r="BU16" s="289"/>
      <c r="BV16" s="289"/>
      <c r="BW16" s="289"/>
      <c r="BX16" s="289"/>
      <c r="BY16" s="289"/>
      <c r="BZ16" s="289"/>
      <c r="CA16" s="289"/>
      <c r="CB16" s="289"/>
      <c r="CC16" s="290"/>
      <c r="CD16" s="93"/>
      <c r="CE16" s="93"/>
      <c r="CF16" s="74"/>
      <c r="CG16" s="29"/>
    </row>
    <row r="17" spans="1:85" s="3" customFormat="1" ht="19.5" customHeight="1">
      <c r="A17" s="28"/>
      <c r="B17" s="80"/>
      <c r="C17" s="93"/>
      <c r="D17" s="96" t="s">
        <v>228</v>
      </c>
      <c r="E17" s="97"/>
      <c r="F17" s="97"/>
      <c r="G17" s="97"/>
      <c r="H17" s="97"/>
      <c r="I17" s="97"/>
      <c r="J17" s="97"/>
      <c r="K17" s="99"/>
      <c r="L17" s="97"/>
      <c r="M17" s="97"/>
      <c r="N17" s="97"/>
      <c r="O17" s="97"/>
      <c r="P17" s="97"/>
      <c r="Q17" s="97"/>
      <c r="R17" s="97"/>
      <c r="S17" s="97"/>
      <c r="T17" s="97"/>
      <c r="U17" s="97"/>
      <c r="V17" s="97"/>
      <c r="W17" s="98"/>
      <c r="X17" s="97"/>
      <c r="Y17" s="97"/>
      <c r="Z17" s="97"/>
      <c r="AA17" s="97"/>
      <c r="AB17" s="97"/>
      <c r="AC17" s="97"/>
      <c r="AD17" s="99"/>
      <c r="AE17" s="96" t="s">
        <v>229</v>
      </c>
      <c r="AF17" s="97"/>
      <c r="AG17" s="97"/>
      <c r="AH17" s="97"/>
      <c r="AI17" s="97"/>
      <c r="AJ17" s="97"/>
      <c r="AK17" s="97"/>
      <c r="AL17" s="99"/>
      <c r="AM17" s="97"/>
      <c r="AN17" s="97"/>
      <c r="AO17" s="97"/>
      <c r="AP17" s="97"/>
      <c r="AQ17" s="97"/>
      <c r="AR17" s="97"/>
      <c r="AS17" s="97"/>
      <c r="AT17" s="97"/>
      <c r="AU17" s="97"/>
      <c r="AV17" s="97"/>
      <c r="AW17" s="97"/>
      <c r="AX17" s="97"/>
      <c r="AY17" s="97"/>
      <c r="AZ17" s="97"/>
      <c r="BA17" s="97"/>
      <c r="BB17" s="97"/>
      <c r="BC17" s="97"/>
      <c r="BD17" s="97"/>
      <c r="BE17" s="97"/>
      <c r="BF17" s="99"/>
      <c r="BG17" s="96" t="s">
        <v>383</v>
      </c>
      <c r="BH17" s="97"/>
      <c r="BI17" s="97"/>
      <c r="BJ17" s="97"/>
      <c r="BK17" s="97"/>
      <c r="BL17" s="97"/>
      <c r="BM17" s="99"/>
      <c r="BN17" s="97"/>
      <c r="BO17" s="97"/>
      <c r="BP17" s="97"/>
      <c r="BQ17" s="97"/>
      <c r="BR17" s="97"/>
      <c r="BS17" s="97"/>
      <c r="BT17" s="97"/>
      <c r="BU17" s="97"/>
      <c r="BV17" s="97"/>
      <c r="BW17" s="98"/>
      <c r="BX17" s="98"/>
      <c r="BY17" s="98"/>
      <c r="BZ17" s="97"/>
      <c r="CA17" s="97"/>
      <c r="CB17" s="97"/>
      <c r="CC17" s="99"/>
      <c r="CD17" s="93"/>
      <c r="CE17" s="93"/>
      <c r="CF17" s="74"/>
      <c r="CG17" s="29"/>
    </row>
    <row r="18" spans="1:85" s="3" customFormat="1" ht="19.5" customHeight="1">
      <c r="A18" s="28"/>
      <c r="B18" s="80"/>
      <c r="C18" s="92"/>
      <c r="D18" s="108" t="s">
        <v>230</v>
      </c>
      <c r="E18" s="98"/>
      <c r="F18" s="98"/>
      <c r="G18" s="98"/>
      <c r="H18" s="98"/>
      <c r="I18" s="98"/>
      <c r="J18" s="98"/>
      <c r="K18" s="107"/>
      <c r="L18" s="98"/>
      <c r="M18" s="98"/>
      <c r="N18" s="98"/>
      <c r="O18" s="98"/>
      <c r="P18" s="98"/>
      <c r="Q18" s="98"/>
      <c r="R18" s="98"/>
      <c r="S18" s="98"/>
      <c r="T18" s="98"/>
      <c r="U18" s="98"/>
      <c r="V18" s="98"/>
      <c r="W18" s="105"/>
      <c r="X18" s="105"/>
      <c r="Y18" s="105"/>
      <c r="Z18" s="105"/>
      <c r="AA18" s="105"/>
      <c r="AB18" s="105"/>
      <c r="AC18" s="105"/>
      <c r="AD18" s="111"/>
      <c r="AE18" s="119" t="s">
        <v>233</v>
      </c>
      <c r="AF18" s="98"/>
      <c r="AG18" s="98"/>
      <c r="AH18" s="98"/>
      <c r="AI18" s="98"/>
      <c r="AJ18" s="98"/>
      <c r="AK18" s="98"/>
      <c r="AL18" s="107"/>
      <c r="AM18" s="98"/>
      <c r="AN18" s="98"/>
      <c r="AO18" s="98"/>
      <c r="AP18" s="98"/>
      <c r="AQ18" s="98"/>
      <c r="AR18" s="98"/>
      <c r="AS18" s="98"/>
      <c r="AT18" s="98"/>
      <c r="AU18" s="98"/>
      <c r="AV18" s="98"/>
      <c r="AW18" s="98"/>
      <c r="AX18" s="98"/>
      <c r="AY18" s="98"/>
      <c r="AZ18" s="98"/>
      <c r="BA18" s="98"/>
      <c r="BB18" s="98"/>
      <c r="BC18" s="98"/>
      <c r="BD18" s="98"/>
      <c r="BE18" s="98"/>
      <c r="BF18" s="98"/>
      <c r="BG18" s="108" t="s">
        <v>234</v>
      </c>
      <c r="BH18" s="98"/>
      <c r="BI18" s="98"/>
      <c r="BJ18" s="98"/>
      <c r="BK18" s="98"/>
      <c r="BL18" s="98"/>
      <c r="BM18" s="107"/>
      <c r="BN18" s="109"/>
      <c r="BO18" s="98"/>
      <c r="BP18" s="98"/>
      <c r="BQ18" s="98"/>
      <c r="BR18" s="98"/>
      <c r="BS18" s="98"/>
      <c r="BT18" s="98"/>
      <c r="BU18" s="103"/>
      <c r="BV18" s="103"/>
      <c r="BW18" s="103"/>
      <c r="BX18" s="103"/>
      <c r="BY18" s="103"/>
      <c r="BZ18" s="103"/>
      <c r="CA18" s="103"/>
      <c r="CB18" s="103"/>
      <c r="CC18" s="104"/>
      <c r="CD18" s="92"/>
      <c r="CE18" s="93"/>
      <c r="CF18" s="74"/>
      <c r="CG18" s="29"/>
    </row>
    <row r="19" spans="1:85" s="3" customFormat="1" ht="19.5" customHeight="1">
      <c r="A19" s="28"/>
      <c r="B19" s="80"/>
      <c r="C19" s="92"/>
      <c r="D19" s="173" t="s">
        <v>232</v>
      </c>
      <c r="E19" s="106"/>
      <c r="F19" s="106"/>
      <c r="G19" s="106"/>
      <c r="H19" s="106"/>
      <c r="I19" s="98"/>
      <c r="J19" s="98"/>
      <c r="K19" s="172"/>
      <c r="L19" s="98"/>
      <c r="M19" s="98"/>
      <c r="N19" s="98"/>
      <c r="O19" s="98"/>
      <c r="P19" s="98"/>
      <c r="Q19" s="98"/>
      <c r="R19" s="98"/>
      <c r="S19" s="98"/>
      <c r="T19" s="98"/>
      <c r="U19" s="98"/>
      <c r="V19" s="98"/>
      <c r="W19" s="105"/>
      <c r="X19" s="105"/>
      <c r="Y19" s="105"/>
      <c r="Z19" s="105"/>
      <c r="AA19" s="105"/>
      <c r="AB19" s="105"/>
      <c r="AC19" s="105"/>
      <c r="AD19" s="111"/>
      <c r="AE19" s="119" t="s">
        <v>226</v>
      </c>
      <c r="AF19" s="98"/>
      <c r="AG19" s="98"/>
      <c r="AH19" s="98"/>
      <c r="AI19" s="98"/>
      <c r="AJ19" s="98"/>
      <c r="AK19" s="98"/>
      <c r="AL19" s="107"/>
      <c r="AM19" s="98"/>
      <c r="AN19" s="98" t="s">
        <v>227</v>
      </c>
      <c r="AO19" s="98"/>
      <c r="AP19" s="98"/>
      <c r="AQ19" s="98"/>
      <c r="AR19" s="98"/>
      <c r="AS19" s="98"/>
      <c r="AT19" s="98"/>
      <c r="AU19" s="98"/>
      <c r="AV19" s="98"/>
      <c r="AW19" s="98"/>
      <c r="AX19" s="98"/>
      <c r="AY19" s="98"/>
      <c r="AZ19" s="98"/>
      <c r="BA19" s="98"/>
      <c r="BB19" s="98"/>
      <c r="BC19" s="98"/>
      <c r="BD19" s="98"/>
      <c r="BE19" s="98"/>
      <c r="BF19" s="98"/>
      <c r="BG19" s="108" t="s">
        <v>231</v>
      </c>
      <c r="BH19" s="98"/>
      <c r="BI19" s="98"/>
      <c r="BJ19" s="98"/>
      <c r="BK19" s="98"/>
      <c r="BL19" s="98"/>
      <c r="BM19" s="107"/>
      <c r="BN19" s="109"/>
      <c r="BO19" s="98"/>
      <c r="BP19" s="98"/>
      <c r="BQ19" s="98"/>
      <c r="BR19" s="98"/>
      <c r="BS19" s="98"/>
      <c r="BT19" s="98"/>
      <c r="BU19" s="98"/>
      <c r="BV19" s="98"/>
      <c r="BW19" s="98"/>
      <c r="BX19" s="98"/>
      <c r="BY19" s="98"/>
      <c r="BZ19" s="98"/>
      <c r="CA19" s="98"/>
      <c r="CB19" s="98"/>
      <c r="CC19" s="107"/>
      <c r="CD19" s="92"/>
      <c r="CE19" s="93"/>
      <c r="CF19" s="74"/>
      <c r="CG19" s="29"/>
    </row>
    <row r="20" spans="1:85" s="3" customFormat="1" ht="19.5" customHeight="1">
      <c r="A20" s="28"/>
      <c r="B20" s="80"/>
      <c r="C20" s="92"/>
      <c r="D20" s="504"/>
      <c r="E20" s="505"/>
      <c r="F20" s="505"/>
      <c r="G20" s="505"/>
      <c r="H20" s="505"/>
      <c r="I20" s="505"/>
      <c r="J20" s="505"/>
      <c r="K20" s="505"/>
      <c r="L20" s="505"/>
      <c r="M20" s="505"/>
      <c r="N20" s="505"/>
      <c r="O20" s="505"/>
      <c r="P20" s="505"/>
      <c r="Q20" s="505"/>
      <c r="R20" s="505"/>
      <c r="S20" s="505"/>
      <c r="T20" s="505"/>
      <c r="U20" s="505"/>
      <c r="V20" s="505"/>
      <c r="W20" s="505"/>
      <c r="X20" s="505"/>
      <c r="Y20" s="505"/>
      <c r="Z20" s="505"/>
      <c r="AA20" s="505"/>
      <c r="AB20" s="505"/>
      <c r="AC20" s="505"/>
      <c r="AD20" s="505"/>
      <c r="AE20" s="505"/>
      <c r="AF20" s="505"/>
      <c r="AG20" s="505"/>
      <c r="AH20" s="505"/>
      <c r="AI20" s="505"/>
      <c r="AJ20" s="505"/>
      <c r="AK20" s="505"/>
      <c r="AL20" s="505"/>
      <c r="AM20" s="505"/>
      <c r="AN20" s="505"/>
      <c r="AO20" s="505"/>
      <c r="AP20" s="505"/>
      <c r="AQ20" s="505"/>
      <c r="AR20" s="505"/>
      <c r="AS20" s="505"/>
      <c r="AT20" s="505"/>
      <c r="AU20" s="505"/>
      <c r="AV20" s="505"/>
      <c r="AW20" s="505"/>
      <c r="AX20" s="505"/>
      <c r="AY20" s="505"/>
      <c r="AZ20" s="505"/>
      <c r="BA20" s="505"/>
      <c r="BB20" s="505"/>
      <c r="BC20" s="505"/>
      <c r="BD20" s="505"/>
      <c r="BE20" s="505"/>
      <c r="BF20" s="505"/>
      <c r="BG20" s="505"/>
      <c r="BH20" s="505"/>
      <c r="BI20" s="505"/>
      <c r="BJ20" s="505"/>
      <c r="BK20" s="505"/>
      <c r="BL20" s="505"/>
      <c r="BM20" s="505"/>
      <c r="BN20" s="505"/>
      <c r="BO20" s="505"/>
      <c r="BP20" s="505"/>
      <c r="BQ20" s="505"/>
      <c r="BR20" s="505"/>
      <c r="BS20" s="505"/>
      <c r="BT20" s="505"/>
      <c r="BU20" s="505"/>
      <c r="BV20" s="505"/>
      <c r="BW20" s="505"/>
      <c r="BX20" s="505"/>
      <c r="BY20" s="505"/>
      <c r="BZ20" s="505"/>
      <c r="CA20" s="505"/>
      <c r="CB20" s="505"/>
      <c r="CC20" s="506"/>
      <c r="CD20" s="92"/>
      <c r="CE20" s="93"/>
      <c r="CF20" s="74"/>
      <c r="CG20" s="29"/>
    </row>
    <row r="21" spans="1:85" s="3" customFormat="1" ht="19.5" customHeight="1">
      <c r="A21" s="28"/>
      <c r="B21" s="80"/>
      <c r="C21" s="93"/>
      <c r="D21" s="100"/>
      <c r="E21" s="100"/>
      <c r="F21" s="100"/>
      <c r="G21" s="100"/>
      <c r="H21" s="100"/>
      <c r="I21" s="101"/>
      <c r="J21" s="101"/>
      <c r="K21" s="101"/>
      <c r="L21" s="101"/>
      <c r="M21" s="101"/>
      <c r="N21" s="101"/>
      <c r="O21" s="101"/>
      <c r="P21" s="101"/>
      <c r="Q21" s="101"/>
      <c r="R21" s="101"/>
      <c r="S21" s="101"/>
      <c r="T21" s="101"/>
      <c r="U21" s="101"/>
      <c r="V21" s="101"/>
      <c r="W21" s="95"/>
      <c r="X21" s="95"/>
      <c r="Y21" s="95"/>
      <c r="Z21" s="95"/>
      <c r="AA21" s="95"/>
      <c r="AB21" s="95"/>
      <c r="AC21" s="95"/>
      <c r="AD21" s="95"/>
      <c r="AE21" s="95"/>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2"/>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92"/>
      <c r="CE21" s="93"/>
      <c r="CF21" s="74"/>
      <c r="CG21" s="29"/>
    </row>
    <row r="22" spans="1:85" s="3" customFormat="1" ht="19.5" customHeight="1">
      <c r="A22" s="28"/>
      <c r="B22" s="80"/>
      <c r="C22" s="92"/>
      <c r="D22" s="517" t="s">
        <v>103</v>
      </c>
      <c r="E22" s="518"/>
      <c r="F22" s="518"/>
      <c r="G22" s="519"/>
      <c r="H22" s="517" t="s">
        <v>122</v>
      </c>
      <c r="I22" s="518"/>
      <c r="J22" s="518"/>
      <c r="K22" s="518"/>
      <c r="L22" s="518"/>
      <c r="M22" s="518"/>
      <c r="N22" s="518"/>
      <c r="O22" s="518"/>
      <c r="P22" s="518"/>
      <c r="Q22" s="518"/>
      <c r="R22" s="518"/>
      <c r="S22" s="519"/>
      <c r="T22" s="517" t="s">
        <v>216</v>
      </c>
      <c r="U22" s="518"/>
      <c r="V22" s="518"/>
      <c r="W22" s="518"/>
      <c r="X22" s="518"/>
      <c r="Y22" s="518"/>
      <c r="Z22" s="518"/>
      <c r="AA22" s="518"/>
      <c r="AB22" s="518"/>
      <c r="AC22" s="518"/>
      <c r="AD22" s="518"/>
      <c r="AE22" s="519"/>
      <c r="AF22" s="517" t="s">
        <v>123</v>
      </c>
      <c r="AG22" s="518"/>
      <c r="AH22" s="518"/>
      <c r="AI22" s="518"/>
      <c r="AJ22" s="518"/>
      <c r="AK22" s="518"/>
      <c r="AL22" s="518"/>
      <c r="AM22" s="518"/>
      <c r="AN22" s="518"/>
      <c r="AO22" s="518"/>
      <c r="AP22" s="518"/>
      <c r="AQ22" s="519"/>
      <c r="AR22" s="517" t="s">
        <v>124</v>
      </c>
      <c r="AS22" s="518"/>
      <c r="AT22" s="518"/>
      <c r="AU22" s="518"/>
      <c r="AV22" s="518"/>
      <c r="AW22" s="518"/>
      <c r="AX22" s="518"/>
      <c r="AY22" s="518"/>
      <c r="AZ22" s="518"/>
      <c r="BA22" s="518"/>
      <c r="BB22" s="518"/>
      <c r="BC22" s="519"/>
      <c r="BD22" s="517" t="s">
        <v>217</v>
      </c>
      <c r="BE22" s="518"/>
      <c r="BF22" s="518"/>
      <c r="BG22" s="518"/>
      <c r="BH22" s="518"/>
      <c r="BI22" s="518"/>
      <c r="BJ22" s="518"/>
      <c r="BK22" s="518"/>
      <c r="BL22" s="518"/>
      <c r="BM22" s="518"/>
      <c r="BN22" s="518"/>
      <c r="BO22" s="518"/>
      <c r="BP22" s="519"/>
      <c r="BQ22" s="517" t="s">
        <v>218</v>
      </c>
      <c r="BR22" s="518"/>
      <c r="BS22" s="518"/>
      <c r="BT22" s="518"/>
      <c r="BU22" s="518"/>
      <c r="BV22" s="518"/>
      <c r="BW22" s="518"/>
      <c r="BX22" s="518"/>
      <c r="BY22" s="518"/>
      <c r="BZ22" s="518"/>
      <c r="CA22" s="518"/>
      <c r="CB22" s="518"/>
      <c r="CC22" s="519"/>
      <c r="CD22" s="92"/>
      <c r="CE22" s="93"/>
      <c r="CF22" s="74"/>
      <c r="CG22" s="29"/>
    </row>
    <row r="23" spans="1:85" s="3" customFormat="1" ht="19.5" customHeight="1">
      <c r="A23" s="28"/>
      <c r="B23" s="80"/>
      <c r="C23" s="92"/>
      <c r="D23" s="507" t="s">
        <v>95</v>
      </c>
      <c r="E23" s="508"/>
      <c r="F23" s="508"/>
      <c r="G23" s="509"/>
      <c r="H23" s="168"/>
      <c r="I23" s="520"/>
      <c r="J23" s="520"/>
      <c r="K23" s="520"/>
      <c r="L23" s="520"/>
      <c r="M23" s="520"/>
      <c r="N23" s="520"/>
      <c r="O23" s="520"/>
      <c r="P23" s="520"/>
      <c r="Q23" s="520"/>
      <c r="R23" s="520"/>
      <c r="S23" s="169"/>
      <c r="T23" s="168"/>
      <c r="U23" s="520"/>
      <c r="V23" s="520"/>
      <c r="W23" s="520"/>
      <c r="X23" s="520"/>
      <c r="Y23" s="520"/>
      <c r="Z23" s="520"/>
      <c r="AA23" s="520"/>
      <c r="AB23" s="520"/>
      <c r="AC23" s="520"/>
      <c r="AD23" s="520"/>
      <c r="AE23" s="170"/>
      <c r="AF23" s="169"/>
      <c r="AG23" s="520"/>
      <c r="AH23" s="520"/>
      <c r="AI23" s="520"/>
      <c r="AJ23" s="520"/>
      <c r="AK23" s="520"/>
      <c r="AL23" s="520"/>
      <c r="AM23" s="520"/>
      <c r="AN23" s="520"/>
      <c r="AO23" s="520"/>
      <c r="AP23" s="520"/>
      <c r="AQ23" s="169"/>
      <c r="AR23" s="168"/>
      <c r="AS23" s="520"/>
      <c r="AT23" s="520"/>
      <c r="AU23" s="520"/>
      <c r="AV23" s="520"/>
      <c r="AW23" s="520"/>
      <c r="AX23" s="520"/>
      <c r="AY23" s="520"/>
      <c r="AZ23" s="520"/>
      <c r="BA23" s="520"/>
      <c r="BB23" s="520"/>
      <c r="BC23" s="170"/>
      <c r="BD23" s="169"/>
      <c r="BE23" s="520"/>
      <c r="BF23" s="520"/>
      <c r="BG23" s="520"/>
      <c r="BH23" s="520"/>
      <c r="BI23" s="520"/>
      <c r="BJ23" s="520"/>
      <c r="BK23" s="520"/>
      <c r="BL23" s="520"/>
      <c r="BM23" s="520"/>
      <c r="BN23" s="520"/>
      <c r="BO23" s="520"/>
      <c r="BP23" s="169"/>
      <c r="BQ23" s="168"/>
      <c r="BR23" s="520"/>
      <c r="BS23" s="520"/>
      <c r="BT23" s="520"/>
      <c r="BU23" s="520"/>
      <c r="BV23" s="520"/>
      <c r="BW23" s="520"/>
      <c r="BX23" s="520"/>
      <c r="BY23" s="520"/>
      <c r="BZ23" s="520"/>
      <c r="CA23" s="520"/>
      <c r="CB23" s="520"/>
      <c r="CC23" s="171"/>
      <c r="CD23" s="93"/>
      <c r="CE23" s="93"/>
      <c r="CF23" s="74"/>
      <c r="CG23" s="29"/>
    </row>
    <row r="24" spans="1:85" s="3" customFormat="1" ht="19.5" customHeight="1">
      <c r="A24" s="28"/>
      <c r="B24" s="80"/>
      <c r="C24" s="93"/>
      <c r="D24" s="507" t="s">
        <v>64</v>
      </c>
      <c r="E24" s="508"/>
      <c r="F24" s="508"/>
      <c r="G24" s="509"/>
      <c r="H24" s="168"/>
      <c r="I24" s="520"/>
      <c r="J24" s="520"/>
      <c r="K24" s="520"/>
      <c r="L24" s="520"/>
      <c r="M24" s="520"/>
      <c r="N24" s="520"/>
      <c r="O24" s="520"/>
      <c r="P24" s="520"/>
      <c r="Q24" s="520"/>
      <c r="R24" s="520"/>
      <c r="S24" s="169"/>
      <c r="T24" s="168"/>
      <c r="U24" s="520"/>
      <c r="V24" s="520"/>
      <c r="W24" s="520"/>
      <c r="X24" s="520"/>
      <c r="Y24" s="520"/>
      <c r="Z24" s="520"/>
      <c r="AA24" s="520"/>
      <c r="AB24" s="520"/>
      <c r="AC24" s="520"/>
      <c r="AD24" s="520"/>
      <c r="AE24" s="170"/>
      <c r="AF24" s="169"/>
      <c r="AG24" s="520"/>
      <c r="AH24" s="520"/>
      <c r="AI24" s="520"/>
      <c r="AJ24" s="520"/>
      <c r="AK24" s="520"/>
      <c r="AL24" s="520"/>
      <c r="AM24" s="520"/>
      <c r="AN24" s="520"/>
      <c r="AO24" s="520"/>
      <c r="AP24" s="520"/>
      <c r="AQ24" s="169"/>
      <c r="AR24" s="168"/>
      <c r="AS24" s="520"/>
      <c r="AT24" s="520"/>
      <c r="AU24" s="520"/>
      <c r="AV24" s="520"/>
      <c r="AW24" s="520"/>
      <c r="AX24" s="520"/>
      <c r="AY24" s="520"/>
      <c r="AZ24" s="520"/>
      <c r="BA24" s="520"/>
      <c r="BB24" s="520"/>
      <c r="BC24" s="170"/>
      <c r="BD24" s="169"/>
      <c r="BE24" s="520"/>
      <c r="BF24" s="520"/>
      <c r="BG24" s="520"/>
      <c r="BH24" s="520"/>
      <c r="BI24" s="520"/>
      <c r="BJ24" s="520"/>
      <c r="BK24" s="520"/>
      <c r="BL24" s="520"/>
      <c r="BM24" s="520"/>
      <c r="BN24" s="520"/>
      <c r="BO24" s="520"/>
      <c r="BP24" s="169"/>
      <c r="BQ24" s="168"/>
      <c r="BR24" s="520"/>
      <c r="BS24" s="520"/>
      <c r="BT24" s="520"/>
      <c r="BU24" s="520"/>
      <c r="BV24" s="520"/>
      <c r="BW24" s="520"/>
      <c r="BX24" s="520"/>
      <c r="BY24" s="520"/>
      <c r="BZ24" s="520"/>
      <c r="CA24" s="520"/>
      <c r="CB24" s="520"/>
      <c r="CC24" s="171"/>
      <c r="CD24" s="92"/>
      <c r="CE24" s="93"/>
      <c r="CF24" s="74"/>
      <c r="CG24" s="29"/>
    </row>
    <row r="25" spans="1:85" s="3" customFormat="1" ht="19.5" customHeight="1">
      <c r="A25" s="28"/>
      <c r="B25" s="80"/>
      <c r="C25" s="93"/>
      <c r="D25" s="507" t="s">
        <v>104</v>
      </c>
      <c r="E25" s="508"/>
      <c r="F25" s="508"/>
      <c r="G25" s="509"/>
      <c r="H25" s="168"/>
      <c r="I25" s="520"/>
      <c r="J25" s="520"/>
      <c r="K25" s="520"/>
      <c r="L25" s="520"/>
      <c r="M25" s="520"/>
      <c r="N25" s="520"/>
      <c r="O25" s="520"/>
      <c r="P25" s="520"/>
      <c r="Q25" s="520"/>
      <c r="R25" s="520"/>
      <c r="S25" s="169"/>
      <c r="T25" s="168"/>
      <c r="U25" s="520"/>
      <c r="V25" s="520"/>
      <c r="W25" s="520"/>
      <c r="X25" s="520"/>
      <c r="Y25" s="520"/>
      <c r="Z25" s="520"/>
      <c r="AA25" s="520"/>
      <c r="AB25" s="520"/>
      <c r="AC25" s="520"/>
      <c r="AD25" s="520"/>
      <c r="AE25" s="170"/>
      <c r="AF25" s="169"/>
      <c r="AG25" s="520"/>
      <c r="AH25" s="520"/>
      <c r="AI25" s="520"/>
      <c r="AJ25" s="520"/>
      <c r="AK25" s="520"/>
      <c r="AL25" s="520"/>
      <c r="AM25" s="520"/>
      <c r="AN25" s="520"/>
      <c r="AO25" s="520"/>
      <c r="AP25" s="520"/>
      <c r="AQ25" s="169"/>
      <c r="AR25" s="168"/>
      <c r="AS25" s="520"/>
      <c r="AT25" s="520"/>
      <c r="AU25" s="520"/>
      <c r="AV25" s="520"/>
      <c r="AW25" s="520"/>
      <c r="AX25" s="520"/>
      <c r="AY25" s="520"/>
      <c r="AZ25" s="520"/>
      <c r="BA25" s="520"/>
      <c r="BB25" s="520"/>
      <c r="BC25" s="170"/>
      <c r="BD25" s="169"/>
      <c r="BE25" s="520"/>
      <c r="BF25" s="520"/>
      <c r="BG25" s="520"/>
      <c r="BH25" s="520"/>
      <c r="BI25" s="520"/>
      <c r="BJ25" s="520"/>
      <c r="BK25" s="520"/>
      <c r="BL25" s="520"/>
      <c r="BM25" s="520"/>
      <c r="BN25" s="520"/>
      <c r="BO25" s="520"/>
      <c r="BP25" s="169"/>
      <c r="BQ25" s="168"/>
      <c r="BR25" s="520"/>
      <c r="BS25" s="520"/>
      <c r="BT25" s="520"/>
      <c r="BU25" s="520"/>
      <c r="BV25" s="520"/>
      <c r="BW25" s="520"/>
      <c r="BX25" s="520"/>
      <c r="BY25" s="520"/>
      <c r="BZ25" s="520"/>
      <c r="CA25" s="520"/>
      <c r="CB25" s="520"/>
      <c r="CC25" s="171"/>
      <c r="CD25" s="92"/>
      <c r="CE25" s="93"/>
      <c r="CF25" s="74"/>
      <c r="CG25" s="29"/>
    </row>
    <row r="26" spans="1:85" s="3" customFormat="1" ht="19.5" customHeight="1">
      <c r="A26" s="28"/>
      <c r="B26" s="80"/>
      <c r="C26" s="92"/>
      <c r="D26" s="507" t="s">
        <v>76</v>
      </c>
      <c r="E26" s="508"/>
      <c r="F26" s="508"/>
      <c r="G26" s="509"/>
      <c r="H26" s="168"/>
      <c r="I26" s="520"/>
      <c r="J26" s="520"/>
      <c r="K26" s="520"/>
      <c r="L26" s="520"/>
      <c r="M26" s="520"/>
      <c r="N26" s="520"/>
      <c r="O26" s="520"/>
      <c r="P26" s="520"/>
      <c r="Q26" s="520"/>
      <c r="R26" s="520"/>
      <c r="S26" s="169"/>
      <c r="T26" s="168"/>
      <c r="U26" s="520"/>
      <c r="V26" s="520"/>
      <c r="W26" s="520"/>
      <c r="X26" s="520"/>
      <c r="Y26" s="520"/>
      <c r="Z26" s="520"/>
      <c r="AA26" s="520"/>
      <c r="AB26" s="520"/>
      <c r="AC26" s="520"/>
      <c r="AD26" s="520"/>
      <c r="AE26" s="170"/>
      <c r="AF26" s="169"/>
      <c r="AG26" s="520"/>
      <c r="AH26" s="520"/>
      <c r="AI26" s="520"/>
      <c r="AJ26" s="520"/>
      <c r="AK26" s="520"/>
      <c r="AL26" s="520"/>
      <c r="AM26" s="520"/>
      <c r="AN26" s="520"/>
      <c r="AO26" s="520"/>
      <c r="AP26" s="520"/>
      <c r="AQ26" s="169"/>
      <c r="AR26" s="168"/>
      <c r="AS26" s="520"/>
      <c r="AT26" s="520"/>
      <c r="AU26" s="520"/>
      <c r="AV26" s="520"/>
      <c r="AW26" s="520"/>
      <c r="AX26" s="520"/>
      <c r="AY26" s="520"/>
      <c r="AZ26" s="520"/>
      <c r="BA26" s="520"/>
      <c r="BB26" s="520"/>
      <c r="BC26" s="170"/>
      <c r="BD26" s="169"/>
      <c r="BE26" s="520"/>
      <c r="BF26" s="520"/>
      <c r="BG26" s="520"/>
      <c r="BH26" s="520"/>
      <c r="BI26" s="520"/>
      <c r="BJ26" s="520"/>
      <c r="BK26" s="520"/>
      <c r="BL26" s="520"/>
      <c r="BM26" s="520"/>
      <c r="BN26" s="520"/>
      <c r="BO26" s="520"/>
      <c r="BP26" s="169"/>
      <c r="BQ26" s="168"/>
      <c r="BR26" s="520"/>
      <c r="BS26" s="520"/>
      <c r="BT26" s="520"/>
      <c r="BU26" s="520"/>
      <c r="BV26" s="520"/>
      <c r="BW26" s="520"/>
      <c r="BX26" s="520"/>
      <c r="BY26" s="520"/>
      <c r="BZ26" s="520"/>
      <c r="CA26" s="520"/>
      <c r="CB26" s="520"/>
      <c r="CC26" s="171"/>
      <c r="CD26" s="92"/>
      <c r="CE26" s="93"/>
      <c r="CF26" s="74"/>
      <c r="CG26" s="29"/>
    </row>
    <row r="27" spans="1:85" s="3" customFormat="1" ht="19.5" customHeight="1">
      <c r="A27" s="28"/>
      <c r="B27" s="80"/>
      <c r="C27" s="92"/>
      <c r="D27" s="507" t="s">
        <v>105</v>
      </c>
      <c r="E27" s="508"/>
      <c r="F27" s="508"/>
      <c r="G27" s="509"/>
      <c r="H27" s="168"/>
      <c r="I27" s="520"/>
      <c r="J27" s="520"/>
      <c r="K27" s="520"/>
      <c r="L27" s="520"/>
      <c r="M27" s="520"/>
      <c r="N27" s="520"/>
      <c r="O27" s="520"/>
      <c r="P27" s="520"/>
      <c r="Q27" s="520"/>
      <c r="R27" s="520"/>
      <c r="S27" s="169"/>
      <c r="T27" s="168"/>
      <c r="U27" s="520"/>
      <c r="V27" s="520"/>
      <c r="W27" s="520"/>
      <c r="X27" s="520"/>
      <c r="Y27" s="520"/>
      <c r="Z27" s="520"/>
      <c r="AA27" s="520"/>
      <c r="AB27" s="520"/>
      <c r="AC27" s="520"/>
      <c r="AD27" s="520"/>
      <c r="AE27" s="170"/>
      <c r="AF27" s="169"/>
      <c r="AG27" s="520"/>
      <c r="AH27" s="520"/>
      <c r="AI27" s="520"/>
      <c r="AJ27" s="520"/>
      <c r="AK27" s="520"/>
      <c r="AL27" s="520"/>
      <c r="AM27" s="520"/>
      <c r="AN27" s="520"/>
      <c r="AO27" s="520"/>
      <c r="AP27" s="520"/>
      <c r="AQ27" s="169"/>
      <c r="AR27" s="168"/>
      <c r="AS27" s="520"/>
      <c r="AT27" s="520"/>
      <c r="AU27" s="520"/>
      <c r="AV27" s="520"/>
      <c r="AW27" s="520"/>
      <c r="AX27" s="520"/>
      <c r="AY27" s="520"/>
      <c r="AZ27" s="520"/>
      <c r="BA27" s="520"/>
      <c r="BB27" s="520"/>
      <c r="BC27" s="170"/>
      <c r="BD27" s="169"/>
      <c r="BE27" s="520"/>
      <c r="BF27" s="520"/>
      <c r="BG27" s="520"/>
      <c r="BH27" s="520"/>
      <c r="BI27" s="520"/>
      <c r="BJ27" s="520"/>
      <c r="BK27" s="520"/>
      <c r="BL27" s="520"/>
      <c r="BM27" s="520"/>
      <c r="BN27" s="520"/>
      <c r="BO27" s="520"/>
      <c r="BP27" s="169"/>
      <c r="BQ27" s="168"/>
      <c r="BR27" s="520"/>
      <c r="BS27" s="520"/>
      <c r="BT27" s="520"/>
      <c r="BU27" s="520"/>
      <c r="BV27" s="520"/>
      <c r="BW27" s="520"/>
      <c r="BX27" s="520"/>
      <c r="BY27" s="520"/>
      <c r="BZ27" s="520"/>
      <c r="CA27" s="520"/>
      <c r="CB27" s="520"/>
      <c r="CC27" s="171"/>
      <c r="CD27" s="92"/>
      <c r="CE27" s="93"/>
      <c r="CF27" s="74"/>
      <c r="CG27" s="29"/>
    </row>
    <row r="28" spans="1:85" s="3" customFormat="1" ht="19.5" customHeight="1">
      <c r="A28" s="28"/>
      <c r="B28" s="80"/>
      <c r="C28" s="93"/>
      <c r="D28" s="507" t="s">
        <v>75</v>
      </c>
      <c r="E28" s="508"/>
      <c r="F28" s="508"/>
      <c r="G28" s="509"/>
      <c r="H28" s="168"/>
      <c r="I28" s="520"/>
      <c r="J28" s="520"/>
      <c r="K28" s="520"/>
      <c r="L28" s="520"/>
      <c r="M28" s="520"/>
      <c r="N28" s="520"/>
      <c r="O28" s="520"/>
      <c r="P28" s="520"/>
      <c r="Q28" s="520"/>
      <c r="R28" s="520"/>
      <c r="S28" s="169"/>
      <c r="T28" s="168"/>
      <c r="U28" s="520"/>
      <c r="V28" s="520"/>
      <c r="W28" s="520"/>
      <c r="X28" s="520"/>
      <c r="Y28" s="520"/>
      <c r="Z28" s="520"/>
      <c r="AA28" s="520"/>
      <c r="AB28" s="520"/>
      <c r="AC28" s="520"/>
      <c r="AD28" s="520"/>
      <c r="AE28" s="170"/>
      <c r="AF28" s="169"/>
      <c r="AG28" s="520"/>
      <c r="AH28" s="520"/>
      <c r="AI28" s="520"/>
      <c r="AJ28" s="520"/>
      <c r="AK28" s="520"/>
      <c r="AL28" s="520"/>
      <c r="AM28" s="520"/>
      <c r="AN28" s="520"/>
      <c r="AO28" s="520"/>
      <c r="AP28" s="520"/>
      <c r="AQ28" s="169"/>
      <c r="AR28" s="168"/>
      <c r="AS28" s="520"/>
      <c r="AT28" s="520"/>
      <c r="AU28" s="520"/>
      <c r="AV28" s="520"/>
      <c r="AW28" s="520"/>
      <c r="AX28" s="520"/>
      <c r="AY28" s="520"/>
      <c r="AZ28" s="520"/>
      <c r="BA28" s="520"/>
      <c r="BB28" s="520"/>
      <c r="BC28" s="170"/>
      <c r="BD28" s="169"/>
      <c r="BE28" s="520"/>
      <c r="BF28" s="520"/>
      <c r="BG28" s="520"/>
      <c r="BH28" s="520"/>
      <c r="BI28" s="520"/>
      <c r="BJ28" s="520"/>
      <c r="BK28" s="520"/>
      <c r="BL28" s="520"/>
      <c r="BM28" s="520"/>
      <c r="BN28" s="520"/>
      <c r="BO28" s="520"/>
      <c r="BP28" s="169"/>
      <c r="BQ28" s="168"/>
      <c r="BR28" s="520"/>
      <c r="BS28" s="520"/>
      <c r="BT28" s="520"/>
      <c r="BU28" s="520"/>
      <c r="BV28" s="520"/>
      <c r="BW28" s="520"/>
      <c r="BX28" s="520"/>
      <c r="BY28" s="520"/>
      <c r="BZ28" s="520"/>
      <c r="CA28" s="520"/>
      <c r="CB28" s="520"/>
      <c r="CC28" s="171"/>
      <c r="CD28" s="93"/>
      <c r="CE28" s="93"/>
      <c r="CF28" s="74"/>
      <c r="CG28" s="29"/>
    </row>
    <row r="29" spans="1:85" s="3" customFormat="1" ht="19.5" customHeight="1">
      <c r="A29" s="28"/>
      <c r="B29" s="80"/>
      <c r="C29" s="93"/>
      <c r="D29" s="507" t="s">
        <v>106</v>
      </c>
      <c r="E29" s="508"/>
      <c r="F29" s="508"/>
      <c r="G29" s="509"/>
      <c r="H29" s="168"/>
      <c r="I29" s="520"/>
      <c r="J29" s="520"/>
      <c r="K29" s="520"/>
      <c r="L29" s="520"/>
      <c r="M29" s="520"/>
      <c r="N29" s="520"/>
      <c r="O29" s="520"/>
      <c r="P29" s="520"/>
      <c r="Q29" s="520"/>
      <c r="R29" s="520"/>
      <c r="S29" s="169"/>
      <c r="T29" s="168"/>
      <c r="U29" s="520"/>
      <c r="V29" s="520"/>
      <c r="W29" s="520"/>
      <c r="X29" s="520"/>
      <c r="Y29" s="520"/>
      <c r="Z29" s="520"/>
      <c r="AA29" s="520"/>
      <c r="AB29" s="520"/>
      <c r="AC29" s="520"/>
      <c r="AD29" s="520"/>
      <c r="AE29" s="170"/>
      <c r="AF29" s="169"/>
      <c r="AG29" s="520"/>
      <c r="AH29" s="520"/>
      <c r="AI29" s="520"/>
      <c r="AJ29" s="520"/>
      <c r="AK29" s="520"/>
      <c r="AL29" s="520"/>
      <c r="AM29" s="520"/>
      <c r="AN29" s="520"/>
      <c r="AO29" s="520"/>
      <c r="AP29" s="520"/>
      <c r="AQ29" s="169"/>
      <c r="AR29" s="168"/>
      <c r="AS29" s="520"/>
      <c r="AT29" s="520"/>
      <c r="AU29" s="520"/>
      <c r="AV29" s="520"/>
      <c r="AW29" s="520"/>
      <c r="AX29" s="520"/>
      <c r="AY29" s="520"/>
      <c r="AZ29" s="520"/>
      <c r="BA29" s="520"/>
      <c r="BB29" s="520"/>
      <c r="BC29" s="170"/>
      <c r="BD29" s="169"/>
      <c r="BE29" s="520"/>
      <c r="BF29" s="520"/>
      <c r="BG29" s="520"/>
      <c r="BH29" s="520"/>
      <c r="BI29" s="520"/>
      <c r="BJ29" s="520"/>
      <c r="BK29" s="520"/>
      <c r="BL29" s="520"/>
      <c r="BM29" s="520"/>
      <c r="BN29" s="520"/>
      <c r="BO29" s="520"/>
      <c r="BP29" s="169"/>
      <c r="BQ29" s="168"/>
      <c r="BR29" s="520"/>
      <c r="BS29" s="520"/>
      <c r="BT29" s="520"/>
      <c r="BU29" s="520"/>
      <c r="BV29" s="520"/>
      <c r="BW29" s="520"/>
      <c r="BX29" s="520"/>
      <c r="BY29" s="520"/>
      <c r="BZ29" s="520"/>
      <c r="CA29" s="520"/>
      <c r="CB29" s="520"/>
      <c r="CC29" s="171"/>
      <c r="CD29" s="92"/>
      <c r="CE29" s="93"/>
      <c r="CF29" s="74"/>
      <c r="CG29" s="29"/>
    </row>
    <row r="30" spans="1:85" s="3" customFormat="1" ht="19.5" customHeight="1">
      <c r="A30" s="28"/>
      <c r="B30" s="80"/>
      <c r="C30" s="93"/>
      <c r="D30" s="507" t="s">
        <v>80</v>
      </c>
      <c r="E30" s="508"/>
      <c r="F30" s="508"/>
      <c r="G30" s="509"/>
      <c r="H30" s="168"/>
      <c r="I30" s="520"/>
      <c r="J30" s="520"/>
      <c r="K30" s="520"/>
      <c r="L30" s="520"/>
      <c r="M30" s="520"/>
      <c r="N30" s="520"/>
      <c r="O30" s="520"/>
      <c r="P30" s="520"/>
      <c r="Q30" s="520"/>
      <c r="R30" s="520"/>
      <c r="S30" s="169"/>
      <c r="T30" s="168"/>
      <c r="U30" s="520"/>
      <c r="V30" s="520"/>
      <c r="W30" s="520"/>
      <c r="X30" s="520"/>
      <c r="Y30" s="520"/>
      <c r="Z30" s="520"/>
      <c r="AA30" s="520"/>
      <c r="AB30" s="520"/>
      <c r="AC30" s="520"/>
      <c r="AD30" s="520"/>
      <c r="AE30" s="170"/>
      <c r="AF30" s="169"/>
      <c r="AG30" s="520"/>
      <c r="AH30" s="520"/>
      <c r="AI30" s="520"/>
      <c r="AJ30" s="520"/>
      <c r="AK30" s="520"/>
      <c r="AL30" s="520"/>
      <c r="AM30" s="520"/>
      <c r="AN30" s="520"/>
      <c r="AO30" s="520"/>
      <c r="AP30" s="520"/>
      <c r="AQ30" s="169"/>
      <c r="AR30" s="168"/>
      <c r="AS30" s="520"/>
      <c r="AT30" s="520"/>
      <c r="AU30" s="520"/>
      <c r="AV30" s="520"/>
      <c r="AW30" s="520"/>
      <c r="AX30" s="520"/>
      <c r="AY30" s="520"/>
      <c r="AZ30" s="520"/>
      <c r="BA30" s="520"/>
      <c r="BB30" s="520"/>
      <c r="BC30" s="170"/>
      <c r="BD30" s="169"/>
      <c r="BE30" s="520"/>
      <c r="BF30" s="520"/>
      <c r="BG30" s="520"/>
      <c r="BH30" s="520"/>
      <c r="BI30" s="520"/>
      <c r="BJ30" s="520"/>
      <c r="BK30" s="520"/>
      <c r="BL30" s="520"/>
      <c r="BM30" s="520"/>
      <c r="BN30" s="520"/>
      <c r="BO30" s="520"/>
      <c r="BP30" s="169"/>
      <c r="BQ30" s="168"/>
      <c r="BR30" s="520"/>
      <c r="BS30" s="520"/>
      <c r="BT30" s="520"/>
      <c r="BU30" s="520"/>
      <c r="BV30" s="520"/>
      <c r="BW30" s="520"/>
      <c r="BX30" s="520"/>
      <c r="BY30" s="520"/>
      <c r="BZ30" s="520"/>
      <c r="CA30" s="520"/>
      <c r="CB30" s="520"/>
      <c r="CC30" s="171"/>
      <c r="CD30" s="93"/>
      <c r="CE30" s="93"/>
      <c r="CF30" s="74"/>
      <c r="CG30" s="29"/>
    </row>
    <row r="31" spans="1:85" s="3" customFormat="1" ht="19.5" customHeight="1">
      <c r="A31" s="28"/>
      <c r="B31" s="80"/>
      <c r="C31" s="93"/>
      <c r="D31" s="507" t="s">
        <v>107</v>
      </c>
      <c r="E31" s="508"/>
      <c r="F31" s="508"/>
      <c r="G31" s="509"/>
      <c r="H31" s="168"/>
      <c r="I31" s="520"/>
      <c r="J31" s="520"/>
      <c r="K31" s="520"/>
      <c r="L31" s="520"/>
      <c r="M31" s="520"/>
      <c r="N31" s="520"/>
      <c r="O31" s="520"/>
      <c r="P31" s="520"/>
      <c r="Q31" s="520"/>
      <c r="R31" s="520"/>
      <c r="S31" s="169"/>
      <c r="T31" s="168"/>
      <c r="U31" s="520"/>
      <c r="V31" s="520"/>
      <c r="W31" s="520"/>
      <c r="X31" s="520"/>
      <c r="Y31" s="520"/>
      <c r="Z31" s="520"/>
      <c r="AA31" s="520"/>
      <c r="AB31" s="520"/>
      <c r="AC31" s="520"/>
      <c r="AD31" s="520"/>
      <c r="AE31" s="170"/>
      <c r="AF31" s="169"/>
      <c r="AG31" s="520"/>
      <c r="AH31" s="520"/>
      <c r="AI31" s="520"/>
      <c r="AJ31" s="520"/>
      <c r="AK31" s="520"/>
      <c r="AL31" s="520"/>
      <c r="AM31" s="520"/>
      <c r="AN31" s="520"/>
      <c r="AO31" s="520"/>
      <c r="AP31" s="520"/>
      <c r="AQ31" s="169"/>
      <c r="AR31" s="168"/>
      <c r="AS31" s="520"/>
      <c r="AT31" s="520"/>
      <c r="AU31" s="520"/>
      <c r="AV31" s="520"/>
      <c r="AW31" s="520"/>
      <c r="AX31" s="520"/>
      <c r="AY31" s="520"/>
      <c r="AZ31" s="520"/>
      <c r="BA31" s="520"/>
      <c r="BB31" s="520"/>
      <c r="BC31" s="170"/>
      <c r="BD31" s="169"/>
      <c r="BE31" s="520"/>
      <c r="BF31" s="520"/>
      <c r="BG31" s="520"/>
      <c r="BH31" s="520"/>
      <c r="BI31" s="520"/>
      <c r="BJ31" s="520"/>
      <c r="BK31" s="520"/>
      <c r="BL31" s="520"/>
      <c r="BM31" s="520"/>
      <c r="BN31" s="520"/>
      <c r="BO31" s="520"/>
      <c r="BP31" s="169"/>
      <c r="BQ31" s="168"/>
      <c r="BR31" s="520"/>
      <c r="BS31" s="520"/>
      <c r="BT31" s="520"/>
      <c r="BU31" s="520"/>
      <c r="BV31" s="520"/>
      <c r="BW31" s="520"/>
      <c r="BX31" s="520"/>
      <c r="BY31" s="520"/>
      <c r="BZ31" s="520"/>
      <c r="CA31" s="520"/>
      <c r="CB31" s="520"/>
      <c r="CC31" s="171"/>
      <c r="CD31" s="93"/>
      <c r="CE31" s="93"/>
      <c r="CF31" s="74"/>
      <c r="CG31" s="29"/>
    </row>
    <row r="32" spans="1:85" s="3" customFormat="1" ht="19.5" customHeight="1">
      <c r="A32" s="28"/>
      <c r="B32" s="80"/>
      <c r="C32" s="92"/>
      <c r="D32" s="507" t="s">
        <v>108</v>
      </c>
      <c r="E32" s="508"/>
      <c r="F32" s="508"/>
      <c r="G32" s="509"/>
      <c r="H32" s="168"/>
      <c r="I32" s="520"/>
      <c r="J32" s="520"/>
      <c r="K32" s="520"/>
      <c r="L32" s="520"/>
      <c r="M32" s="520"/>
      <c r="N32" s="520"/>
      <c r="O32" s="520"/>
      <c r="P32" s="520"/>
      <c r="Q32" s="520"/>
      <c r="R32" s="520"/>
      <c r="S32" s="169"/>
      <c r="T32" s="168"/>
      <c r="U32" s="520"/>
      <c r="V32" s="520"/>
      <c r="W32" s="520"/>
      <c r="X32" s="520"/>
      <c r="Y32" s="520"/>
      <c r="Z32" s="520"/>
      <c r="AA32" s="520"/>
      <c r="AB32" s="520"/>
      <c r="AC32" s="520"/>
      <c r="AD32" s="520"/>
      <c r="AE32" s="170"/>
      <c r="AF32" s="169"/>
      <c r="AG32" s="520"/>
      <c r="AH32" s="520"/>
      <c r="AI32" s="520"/>
      <c r="AJ32" s="520"/>
      <c r="AK32" s="520"/>
      <c r="AL32" s="520"/>
      <c r="AM32" s="520"/>
      <c r="AN32" s="520"/>
      <c r="AO32" s="520"/>
      <c r="AP32" s="520"/>
      <c r="AQ32" s="169"/>
      <c r="AR32" s="168"/>
      <c r="AS32" s="520"/>
      <c r="AT32" s="520"/>
      <c r="AU32" s="520"/>
      <c r="AV32" s="520"/>
      <c r="AW32" s="520"/>
      <c r="AX32" s="520"/>
      <c r="AY32" s="520"/>
      <c r="AZ32" s="520"/>
      <c r="BA32" s="520"/>
      <c r="BB32" s="520"/>
      <c r="BC32" s="170"/>
      <c r="BD32" s="169"/>
      <c r="BE32" s="520"/>
      <c r="BF32" s="520"/>
      <c r="BG32" s="520"/>
      <c r="BH32" s="520"/>
      <c r="BI32" s="520"/>
      <c r="BJ32" s="520"/>
      <c r="BK32" s="520"/>
      <c r="BL32" s="520"/>
      <c r="BM32" s="520"/>
      <c r="BN32" s="520"/>
      <c r="BO32" s="520"/>
      <c r="BP32" s="169"/>
      <c r="BQ32" s="168"/>
      <c r="BR32" s="520"/>
      <c r="BS32" s="520"/>
      <c r="BT32" s="520"/>
      <c r="BU32" s="520"/>
      <c r="BV32" s="520"/>
      <c r="BW32" s="520"/>
      <c r="BX32" s="520"/>
      <c r="BY32" s="520"/>
      <c r="BZ32" s="520"/>
      <c r="CA32" s="520"/>
      <c r="CB32" s="520"/>
      <c r="CC32" s="171"/>
      <c r="CD32" s="92"/>
      <c r="CE32" s="93"/>
      <c r="CF32" s="74"/>
      <c r="CG32" s="29"/>
    </row>
    <row r="33" spans="1:85" s="3" customFormat="1" ht="19.5" customHeight="1">
      <c r="A33" s="28"/>
      <c r="B33" s="80"/>
      <c r="C33" s="92"/>
      <c r="D33" s="507" t="s">
        <v>109</v>
      </c>
      <c r="E33" s="508"/>
      <c r="F33" s="508"/>
      <c r="G33" s="509"/>
      <c r="H33" s="168"/>
      <c r="I33" s="520"/>
      <c r="J33" s="520"/>
      <c r="K33" s="520"/>
      <c r="L33" s="520"/>
      <c r="M33" s="520"/>
      <c r="N33" s="520"/>
      <c r="O33" s="520"/>
      <c r="P33" s="520"/>
      <c r="Q33" s="520"/>
      <c r="R33" s="520"/>
      <c r="S33" s="169"/>
      <c r="T33" s="168"/>
      <c r="U33" s="520"/>
      <c r="V33" s="520"/>
      <c r="W33" s="520"/>
      <c r="X33" s="520"/>
      <c r="Y33" s="520"/>
      <c r="Z33" s="520"/>
      <c r="AA33" s="520"/>
      <c r="AB33" s="520"/>
      <c r="AC33" s="520"/>
      <c r="AD33" s="520"/>
      <c r="AE33" s="170"/>
      <c r="AF33" s="169"/>
      <c r="AG33" s="520"/>
      <c r="AH33" s="520"/>
      <c r="AI33" s="520"/>
      <c r="AJ33" s="520"/>
      <c r="AK33" s="520"/>
      <c r="AL33" s="520"/>
      <c r="AM33" s="520"/>
      <c r="AN33" s="520"/>
      <c r="AO33" s="520"/>
      <c r="AP33" s="520"/>
      <c r="AQ33" s="169"/>
      <c r="AR33" s="168"/>
      <c r="AS33" s="520"/>
      <c r="AT33" s="520"/>
      <c r="AU33" s="520"/>
      <c r="AV33" s="520"/>
      <c r="AW33" s="520"/>
      <c r="AX33" s="520"/>
      <c r="AY33" s="520"/>
      <c r="AZ33" s="520"/>
      <c r="BA33" s="520"/>
      <c r="BB33" s="520"/>
      <c r="BC33" s="170"/>
      <c r="BD33" s="169"/>
      <c r="BE33" s="520"/>
      <c r="BF33" s="520"/>
      <c r="BG33" s="520"/>
      <c r="BH33" s="520"/>
      <c r="BI33" s="520"/>
      <c r="BJ33" s="520"/>
      <c r="BK33" s="520"/>
      <c r="BL33" s="520"/>
      <c r="BM33" s="520"/>
      <c r="BN33" s="520"/>
      <c r="BO33" s="520"/>
      <c r="BP33" s="169"/>
      <c r="BQ33" s="168"/>
      <c r="BR33" s="520"/>
      <c r="BS33" s="520"/>
      <c r="BT33" s="520"/>
      <c r="BU33" s="520"/>
      <c r="BV33" s="520"/>
      <c r="BW33" s="520"/>
      <c r="BX33" s="520"/>
      <c r="BY33" s="520"/>
      <c r="BZ33" s="520"/>
      <c r="CA33" s="520"/>
      <c r="CB33" s="520"/>
      <c r="CC33" s="171"/>
      <c r="CD33" s="92"/>
      <c r="CE33" s="93"/>
      <c r="CF33" s="74"/>
      <c r="CG33" s="29"/>
    </row>
    <row r="34" spans="1:85" s="3" customFormat="1" ht="19.5" customHeight="1">
      <c r="A34" s="28"/>
      <c r="B34" s="80"/>
      <c r="C34" s="92"/>
      <c r="D34" s="507" t="s">
        <v>110</v>
      </c>
      <c r="E34" s="508"/>
      <c r="F34" s="508"/>
      <c r="G34" s="509"/>
      <c r="H34" s="168"/>
      <c r="I34" s="520"/>
      <c r="J34" s="520"/>
      <c r="K34" s="520"/>
      <c r="L34" s="520"/>
      <c r="M34" s="520"/>
      <c r="N34" s="520"/>
      <c r="O34" s="520"/>
      <c r="P34" s="520"/>
      <c r="Q34" s="520"/>
      <c r="R34" s="520"/>
      <c r="S34" s="169"/>
      <c r="T34" s="168"/>
      <c r="U34" s="520"/>
      <c r="V34" s="520"/>
      <c r="W34" s="520"/>
      <c r="X34" s="520"/>
      <c r="Y34" s="520"/>
      <c r="Z34" s="520"/>
      <c r="AA34" s="520"/>
      <c r="AB34" s="520"/>
      <c r="AC34" s="520"/>
      <c r="AD34" s="520"/>
      <c r="AE34" s="170"/>
      <c r="AF34" s="169"/>
      <c r="AG34" s="520"/>
      <c r="AH34" s="520"/>
      <c r="AI34" s="520"/>
      <c r="AJ34" s="520"/>
      <c r="AK34" s="520"/>
      <c r="AL34" s="520"/>
      <c r="AM34" s="520"/>
      <c r="AN34" s="520"/>
      <c r="AO34" s="520"/>
      <c r="AP34" s="520"/>
      <c r="AQ34" s="169"/>
      <c r="AR34" s="168"/>
      <c r="AS34" s="520"/>
      <c r="AT34" s="520"/>
      <c r="AU34" s="520"/>
      <c r="AV34" s="520"/>
      <c r="AW34" s="520"/>
      <c r="AX34" s="520"/>
      <c r="AY34" s="520"/>
      <c r="AZ34" s="520"/>
      <c r="BA34" s="520"/>
      <c r="BB34" s="520"/>
      <c r="BC34" s="170"/>
      <c r="BD34" s="169"/>
      <c r="BE34" s="520"/>
      <c r="BF34" s="520"/>
      <c r="BG34" s="520"/>
      <c r="BH34" s="520"/>
      <c r="BI34" s="520"/>
      <c r="BJ34" s="520"/>
      <c r="BK34" s="520"/>
      <c r="BL34" s="520"/>
      <c r="BM34" s="520"/>
      <c r="BN34" s="520"/>
      <c r="BO34" s="520"/>
      <c r="BP34" s="169"/>
      <c r="BQ34" s="168"/>
      <c r="BR34" s="520"/>
      <c r="BS34" s="520"/>
      <c r="BT34" s="520"/>
      <c r="BU34" s="520"/>
      <c r="BV34" s="520"/>
      <c r="BW34" s="520"/>
      <c r="BX34" s="520"/>
      <c r="BY34" s="520"/>
      <c r="BZ34" s="520"/>
      <c r="CA34" s="520"/>
      <c r="CB34" s="520"/>
      <c r="CC34" s="171"/>
      <c r="CD34" s="92"/>
      <c r="CE34" s="93"/>
      <c r="CF34" s="74"/>
      <c r="CG34" s="29"/>
    </row>
    <row r="35" spans="1:85" s="3" customFormat="1" ht="19.5" customHeight="1">
      <c r="A35" s="28"/>
      <c r="B35" s="80"/>
      <c r="C35" s="92"/>
      <c r="D35" s="507" t="s">
        <v>111</v>
      </c>
      <c r="E35" s="508"/>
      <c r="F35" s="508"/>
      <c r="G35" s="509"/>
      <c r="H35" s="168"/>
      <c r="I35" s="520"/>
      <c r="J35" s="520"/>
      <c r="K35" s="520"/>
      <c r="L35" s="520"/>
      <c r="M35" s="520"/>
      <c r="N35" s="520"/>
      <c r="O35" s="520"/>
      <c r="P35" s="520"/>
      <c r="Q35" s="520"/>
      <c r="R35" s="520"/>
      <c r="S35" s="169"/>
      <c r="T35" s="168"/>
      <c r="U35" s="520"/>
      <c r="V35" s="520"/>
      <c r="W35" s="520"/>
      <c r="X35" s="520"/>
      <c r="Y35" s="520"/>
      <c r="Z35" s="520"/>
      <c r="AA35" s="520"/>
      <c r="AB35" s="520"/>
      <c r="AC35" s="520"/>
      <c r="AD35" s="520"/>
      <c r="AE35" s="170"/>
      <c r="AF35" s="169"/>
      <c r="AG35" s="520"/>
      <c r="AH35" s="520"/>
      <c r="AI35" s="520"/>
      <c r="AJ35" s="520"/>
      <c r="AK35" s="520"/>
      <c r="AL35" s="520"/>
      <c r="AM35" s="520"/>
      <c r="AN35" s="520"/>
      <c r="AO35" s="520"/>
      <c r="AP35" s="520"/>
      <c r="AQ35" s="169"/>
      <c r="AR35" s="168"/>
      <c r="AS35" s="520"/>
      <c r="AT35" s="520"/>
      <c r="AU35" s="520"/>
      <c r="AV35" s="520"/>
      <c r="AW35" s="520"/>
      <c r="AX35" s="520"/>
      <c r="AY35" s="520"/>
      <c r="AZ35" s="520"/>
      <c r="BA35" s="520"/>
      <c r="BB35" s="520"/>
      <c r="BC35" s="170"/>
      <c r="BD35" s="169"/>
      <c r="BE35" s="520"/>
      <c r="BF35" s="520"/>
      <c r="BG35" s="520"/>
      <c r="BH35" s="520"/>
      <c r="BI35" s="520"/>
      <c r="BJ35" s="520"/>
      <c r="BK35" s="520"/>
      <c r="BL35" s="520"/>
      <c r="BM35" s="520"/>
      <c r="BN35" s="520"/>
      <c r="BO35" s="520"/>
      <c r="BP35" s="169"/>
      <c r="BQ35" s="168"/>
      <c r="BR35" s="520"/>
      <c r="BS35" s="520"/>
      <c r="BT35" s="520"/>
      <c r="BU35" s="520"/>
      <c r="BV35" s="520"/>
      <c r="BW35" s="520"/>
      <c r="BX35" s="520"/>
      <c r="BY35" s="520"/>
      <c r="BZ35" s="520"/>
      <c r="CA35" s="520"/>
      <c r="CB35" s="520"/>
      <c r="CC35" s="171"/>
      <c r="CD35" s="92"/>
      <c r="CE35" s="93"/>
      <c r="CF35" s="74"/>
      <c r="CG35" s="29"/>
    </row>
    <row r="36" spans="1:85" s="3" customFormat="1" ht="19.5" customHeight="1">
      <c r="A36" s="28"/>
      <c r="B36" s="80"/>
      <c r="C36" s="92"/>
      <c r="D36" s="507" t="s">
        <v>112</v>
      </c>
      <c r="E36" s="508"/>
      <c r="F36" s="508"/>
      <c r="G36" s="509"/>
      <c r="H36" s="168"/>
      <c r="I36" s="520"/>
      <c r="J36" s="520"/>
      <c r="K36" s="520"/>
      <c r="L36" s="520"/>
      <c r="M36" s="520"/>
      <c r="N36" s="520"/>
      <c r="O36" s="520"/>
      <c r="P36" s="520"/>
      <c r="Q36" s="520"/>
      <c r="R36" s="520"/>
      <c r="S36" s="169"/>
      <c r="T36" s="168"/>
      <c r="U36" s="520"/>
      <c r="V36" s="520"/>
      <c r="W36" s="520"/>
      <c r="X36" s="520"/>
      <c r="Y36" s="520"/>
      <c r="Z36" s="520"/>
      <c r="AA36" s="520"/>
      <c r="AB36" s="520"/>
      <c r="AC36" s="520"/>
      <c r="AD36" s="520"/>
      <c r="AE36" s="170"/>
      <c r="AF36" s="169"/>
      <c r="AG36" s="520"/>
      <c r="AH36" s="520"/>
      <c r="AI36" s="520"/>
      <c r="AJ36" s="520"/>
      <c r="AK36" s="520"/>
      <c r="AL36" s="520"/>
      <c r="AM36" s="520"/>
      <c r="AN36" s="520"/>
      <c r="AO36" s="520"/>
      <c r="AP36" s="520"/>
      <c r="AQ36" s="169"/>
      <c r="AR36" s="168"/>
      <c r="AS36" s="520"/>
      <c r="AT36" s="520"/>
      <c r="AU36" s="520"/>
      <c r="AV36" s="520"/>
      <c r="AW36" s="520"/>
      <c r="AX36" s="520"/>
      <c r="AY36" s="520"/>
      <c r="AZ36" s="520"/>
      <c r="BA36" s="520"/>
      <c r="BB36" s="520"/>
      <c r="BC36" s="170"/>
      <c r="BD36" s="169"/>
      <c r="BE36" s="520"/>
      <c r="BF36" s="520"/>
      <c r="BG36" s="520"/>
      <c r="BH36" s="520"/>
      <c r="BI36" s="520"/>
      <c r="BJ36" s="520"/>
      <c r="BK36" s="520"/>
      <c r="BL36" s="520"/>
      <c r="BM36" s="520"/>
      <c r="BN36" s="520"/>
      <c r="BO36" s="520"/>
      <c r="BP36" s="169"/>
      <c r="BQ36" s="168"/>
      <c r="BR36" s="520"/>
      <c r="BS36" s="520"/>
      <c r="BT36" s="520"/>
      <c r="BU36" s="520"/>
      <c r="BV36" s="520"/>
      <c r="BW36" s="520"/>
      <c r="BX36" s="520"/>
      <c r="BY36" s="520"/>
      <c r="BZ36" s="520"/>
      <c r="CA36" s="520"/>
      <c r="CB36" s="520"/>
      <c r="CC36" s="171"/>
      <c r="CD36" s="92"/>
      <c r="CE36" s="93"/>
      <c r="CF36" s="74"/>
      <c r="CG36" s="29"/>
    </row>
    <row r="37" spans="1:85" s="3" customFormat="1" ht="19.5" customHeight="1">
      <c r="A37" s="28"/>
      <c r="B37" s="80"/>
      <c r="C37" s="92"/>
      <c r="D37" s="507" t="s">
        <v>113</v>
      </c>
      <c r="E37" s="508"/>
      <c r="F37" s="508"/>
      <c r="G37" s="509"/>
      <c r="H37" s="168"/>
      <c r="I37" s="520"/>
      <c r="J37" s="520"/>
      <c r="K37" s="520"/>
      <c r="L37" s="520"/>
      <c r="M37" s="520"/>
      <c r="N37" s="520"/>
      <c r="O37" s="520"/>
      <c r="P37" s="520"/>
      <c r="Q37" s="520"/>
      <c r="R37" s="520"/>
      <c r="S37" s="169"/>
      <c r="T37" s="168"/>
      <c r="U37" s="520"/>
      <c r="V37" s="520"/>
      <c r="W37" s="520"/>
      <c r="X37" s="520"/>
      <c r="Y37" s="520"/>
      <c r="Z37" s="520"/>
      <c r="AA37" s="520"/>
      <c r="AB37" s="520"/>
      <c r="AC37" s="520"/>
      <c r="AD37" s="520"/>
      <c r="AE37" s="170"/>
      <c r="AF37" s="169"/>
      <c r="AG37" s="520"/>
      <c r="AH37" s="520"/>
      <c r="AI37" s="520"/>
      <c r="AJ37" s="520"/>
      <c r="AK37" s="520"/>
      <c r="AL37" s="520"/>
      <c r="AM37" s="520"/>
      <c r="AN37" s="520"/>
      <c r="AO37" s="520"/>
      <c r="AP37" s="520"/>
      <c r="AQ37" s="169"/>
      <c r="AR37" s="168"/>
      <c r="AS37" s="520"/>
      <c r="AT37" s="520"/>
      <c r="AU37" s="520"/>
      <c r="AV37" s="520"/>
      <c r="AW37" s="520"/>
      <c r="AX37" s="520"/>
      <c r="AY37" s="520"/>
      <c r="AZ37" s="520"/>
      <c r="BA37" s="520"/>
      <c r="BB37" s="520"/>
      <c r="BC37" s="170"/>
      <c r="BD37" s="169"/>
      <c r="BE37" s="520"/>
      <c r="BF37" s="520"/>
      <c r="BG37" s="520"/>
      <c r="BH37" s="520"/>
      <c r="BI37" s="520"/>
      <c r="BJ37" s="520"/>
      <c r="BK37" s="520"/>
      <c r="BL37" s="520"/>
      <c r="BM37" s="520"/>
      <c r="BN37" s="520"/>
      <c r="BO37" s="520"/>
      <c r="BP37" s="169"/>
      <c r="BQ37" s="168"/>
      <c r="BR37" s="520"/>
      <c r="BS37" s="520"/>
      <c r="BT37" s="520"/>
      <c r="BU37" s="520"/>
      <c r="BV37" s="520"/>
      <c r="BW37" s="520"/>
      <c r="BX37" s="520"/>
      <c r="BY37" s="520"/>
      <c r="BZ37" s="520"/>
      <c r="CA37" s="520"/>
      <c r="CB37" s="520"/>
      <c r="CC37" s="171"/>
      <c r="CD37" s="93"/>
      <c r="CE37" s="93"/>
      <c r="CF37" s="74"/>
      <c r="CG37" s="29"/>
    </row>
    <row r="38" spans="1:85" s="3" customFormat="1" ht="19.5" customHeight="1">
      <c r="A38" s="28"/>
      <c r="B38" s="80"/>
      <c r="C38" s="92"/>
      <c r="D38" s="507" t="s">
        <v>146</v>
      </c>
      <c r="E38" s="508"/>
      <c r="F38" s="508"/>
      <c r="G38" s="509"/>
      <c r="H38" s="168"/>
      <c r="I38" s="520"/>
      <c r="J38" s="520"/>
      <c r="K38" s="520"/>
      <c r="L38" s="520"/>
      <c r="M38" s="520"/>
      <c r="N38" s="520"/>
      <c r="O38" s="520"/>
      <c r="P38" s="520"/>
      <c r="Q38" s="520"/>
      <c r="R38" s="520"/>
      <c r="S38" s="169"/>
      <c r="T38" s="168"/>
      <c r="U38" s="520"/>
      <c r="V38" s="520"/>
      <c r="W38" s="520"/>
      <c r="X38" s="520"/>
      <c r="Y38" s="520"/>
      <c r="Z38" s="520"/>
      <c r="AA38" s="520"/>
      <c r="AB38" s="520"/>
      <c r="AC38" s="520"/>
      <c r="AD38" s="520"/>
      <c r="AE38" s="170"/>
      <c r="AF38" s="169"/>
      <c r="AG38" s="520"/>
      <c r="AH38" s="520"/>
      <c r="AI38" s="520"/>
      <c r="AJ38" s="520"/>
      <c r="AK38" s="520"/>
      <c r="AL38" s="520"/>
      <c r="AM38" s="520"/>
      <c r="AN38" s="520"/>
      <c r="AO38" s="520"/>
      <c r="AP38" s="520"/>
      <c r="AQ38" s="169"/>
      <c r="AR38" s="168"/>
      <c r="AS38" s="520"/>
      <c r="AT38" s="520"/>
      <c r="AU38" s="520"/>
      <c r="AV38" s="520"/>
      <c r="AW38" s="520"/>
      <c r="AX38" s="520"/>
      <c r="AY38" s="520"/>
      <c r="AZ38" s="520"/>
      <c r="BA38" s="520"/>
      <c r="BB38" s="520"/>
      <c r="BC38" s="170"/>
      <c r="BD38" s="169"/>
      <c r="BE38" s="520"/>
      <c r="BF38" s="520"/>
      <c r="BG38" s="520"/>
      <c r="BH38" s="520"/>
      <c r="BI38" s="520"/>
      <c r="BJ38" s="520"/>
      <c r="BK38" s="520"/>
      <c r="BL38" s="520"/>
      <c r="BM38" s="520"/>
      <c r="BN38" s="520"/>
      <c r="BO38" s="520"/>
      <c r="BP38" s="169"/>
      <c r="BQ38" s="168"/>
      <c r="BR38" s="520"/>
      <c r="BS38" s="520"/>
      <c r="BT38" s="520"/>
      <c r="BU38" s="520"/>
      <c r="BV38" s="520"/>
      <c r="BW38" s="520"/>
      <c r="BX38" s="520"/>
      <c r="BY38" s="520"/>
      <c r="BZ38" s="520"/>
      <c r="CA38" s="520"/>
      <c r="CB38" s="520"/>
      <c r="CC38" s="171"/>
      <c r="CD38" s="92"/>
      <c r="CE38" s="93"/>
      <c r="CF38" s="74"/>
      <c r="CG38" s="29"/>
    </row>
    <row r="39" spans="1:85" s="3" customFormat="1" ht="19.5" customHeight="1">
      <c r="A39" s="28"/>
      <c r="B39" s="80"/>
      <c r="C39" s="92"/>
      <c r="D39" s="507" t="s">
        <v>133</v>
      </c>
      <c r="E39" s="508"/>
      <c r="F39" s="508"/>
      <c r="G39" s="509"/>
      <c r="H39" s="168"/>
      <c r="I39" s="520"/>
      <c r="J39" s="520"/>
      <c r="K39" s="520"/>
      <c r="L39" s="520"/>
      <c r="M39" s="520"/>
      <c r="N39" s="520"/>
      <c r="O39" s="520"/>
      <c r="P39" s="520"/>
      <c r="Q39" s="520"/>
      <c r="R39" s="520"/>
      <c r="S39" s="169"/>
      <c r="T39" s="168"/>
      <c r="U39" s="520"/>
      <c r="V39" s="520"/>
      <c r="W39" s="520"/>
      <c r="X39" s="520"/>
      <c r="Y39" s="520"/>
      <c r="Z39" s="520"/>
      <c r="AA39" s="520"/>
      <c r="AB39" s="520"/>
      <c r="AC39" s="520"/>
      <c r="AD39" s="520"/>
      <c r="AE39" s="170"/>
      <c r="AF39" s="169"/>
      <c r="AG39" s="520"/>
      <c r="AH39" s="520"/>
      <c r="AI39" s="520"/>
      <c r="AJ39" s="520"/>
      <c r="AK39" s="520"/>
      <c r="AL39" s="520"/>
      <c r="AM39" s="520"/>
      <c r="AN39" s="520"/>
      <c r="AO39" s="520"/>
      <c r="AP39" s="520"/>
      <c r="AQ39" s="169"/>
      <c r="AR39" s="168"/>
      <c r="AS39" s="520"/>
      <c r="AT39" s="520"/>
      <c r="AU39" s="520"/>
      <c r="AV39" s="520"/>
      <c r="AW39" s="520"/>
      <c r="AX39" s="520"/>
      <c r="AY39" s="520"/>
      <c r="AZ39" s="520"/>
      <c r="BA39" s="520"/>
      <c r="BB39" s="520"/>
      <c r="BC39" s="170"/>
      <c r="BD39" s="169"/>
      <c r="BE39" s="520"/>
      <c r="BF39" s="520"/>
      <c r="BG39" s="520"/>
      <c r="BH39" s="520"/>
      <c r="BI39" s="520"/>
      <c r="BJ39" s="520"/>
      <c r="BK39" s="520"/>
      <c r="BL39" s="520"/>
      <c r="BM39" s="520"/>
      <c r="BN39" s="520"/>
      <c r="BO39" s="520"/>
      <c r="BP39" s="169"/>
      <c r="BQ39" s="168"/>
      <c r="BR39" s="520"/>
      <c r="BS39" s="520"/>
      <c r="BT39" s="520"/>
      <c r="BU39" s="520"/>
      <c r="BV39" s="520"/>
      <c r="BW39" s="520"/>
      <c r="BX39" s="520"/>
      <c r="BY39" s="520"/>
      <c r="BZ39" s="520"/>
      <c r="CA39" s="520"/>
      <c r="CB39" s="520"/>
      <c r="CC39" s="171"/>
      <c r="CD39" s="92"/>
      <c r="CE39" s="93"/>
      <c r="CF39" s="74"/>
      <c r="CG39" s="29"/>
    </row>
    <row r="40" spans="1:85" s="3" customFormat="1" ht="19.5" customHeight="1">
      <c r="A40" s="28"/>
      <c r="B40" s="80"/>
      <c r="C40" s="92"/>
      <c r="D40" s="507" t="s">
        <v>147</v>
      </c>
      <c r="E40" s="508"/>
      <c r="F40" s="508"/>
      <c r="G40" s="509"/>
      <c r="H40" s="168"/>
      <c r="I40" s="520"/>
      <c r="J40" s="520"/>
      <c r="K40" s="520"/>
      <c r="L40" s="520"/>
      <c r="M40" s="520"/>
      <c r="N40" s="520"/>
      <c r="O40" s="520"/>
      <c r="P40" s="520"/>
      <c r="Q40" s="520"/>
      <c r="R40" s="520"/>
      <c r="S40" s="169"/>
      <c r="T40" s="168"/>
      <c r="U40" s="520"/>
      <c r="V40" s="520"/>
      <c r="W40" s="520"/>
      <c r="X40" s="520"/>
      <c r="Y40" s="520"/>
      <c r="Z40" s="520"/>
      <c r="AA40" s="520"/>
      <c r="AB40" s="520"/>
      <c r="AC40" s="520"/>
      <c r="AD40" s="520"/>
      <c r="AE40" s="170"/>
      <c r="AF40" s="169"/>
      <c r="AG40" s="520"/>
      <c r="AH40" s="520"/>
      <c r="AI40" s="520"/>
      <c r="AJ40" s="520"/>
      <c r="AK40" s="520"/>
      <c r="AL40" s="520"/>
      <c r="AM40" s="520"/>
      <c r="AN40" s="520"/>
      <c r="AO40" s="520"/>
      <c r="AP40" s="520"/>
      <c r="AQ40" s="169"/>
      <c r="AR40" s="168"/>
      <c r="AS40" s="520"/>
      <c r="AT40" s="520"/>
      <c r="AU40" s="520"/>
      <c r="AV40" s="520"/>
      <c r="AW40" s="520"/>
      <c r="AX40" s="520"/>
      <c r="AY40" s="520"/>
      <c r="AZ40" s="520"/>
      <c r="BA40" s="520"/>
      <c r="BB40" s="520"/>
      <c r="BC40" s="170"/>
      <c r="BD40" s="169"/>
      <c r="BE40" s="520"/>
      <c r="BF40" s="520"/>
      <c r="BG40" s="520"/>
      <c r="BH40" s="520"/>
      <c r="BI40" s="520"/>
      <c r="BJ40" s="520"/>
      <c r="BK40" s="520"/>
      <c r="BL40" s="520"/>
      <c r="BM40" s="520"/>
      <c r="BN40" s="520"/>
      <c r="BO40" s="520"/>
      <c r="BP40" s="169"/>
      <c r="BQ40" s="168"/>
      <c r="BR40" s="520"/>
      <c r="BS40" s="520"/>
      <c r="BT40" s="520"/>
      <c r="BU40" s="520"/>
      <c r="BV40" s="520"/>
      <c r="BW40" s="520"/>
      <c r="BX40" s="520"/>
      <c r="BY40" s="520"/>
      <c r="BZ40" s="520"/>
      <c r="CA40" s="520"/>
      <c r="CB40" s="520"/>
      <c r="CC40" s="171"/>
      <c r="CD40" s="92"/>
      <c r="CE40" s="93"/>
      <c r="CF40" s="74"/>
      <c r="CG40" s="29"/>
    </row>
    <row r="41" spans="1:85" s="3" customFormat="1" ht="19.5" customHeight="1">
      <c r="A41" s="28"/>
      <c r="B41" s="80"/>
      <c r="C41" s="92"/>
      <c r="D41" s="507" t="s">
        <v>148</v>
      </c>
      <c r="E41" s="508"/>
      <c r="F41" s="508"/>
      <c r="G41" s="509"/>
      <c r="H41" s="168"/>
      <c r="I41" s="520"/>
      <c r="J41" s="520"/>
      <c r="K41" s="520"/>
      <c r="L41" s="520"/>
      <c r="M41" s="520"/>
      <c r="N41" s="520"/>
      <c r="O41" s="520"/>
      <c r="P41" s="520"/>
      <c r="Q41" s="520"/>
      <c r="R41" s="520"/>
      <c r="S41" s="169"/>
      <c r="T41" s="168"/>
      <c r="U41" s="520"/>
      <c r="V41" s="520"/>
      <c r="W41" s="520"/>
      <c r="X41" s="520"/>
      <c r="Y41" s="520"/>
      <c r="Z41" s="520"/>
      <c r="AA41" s="520"/>
      <c r="AB41" s="520"/>
      <c r="AC41" s="520"/>
      <c r="AD41" s="520"/>
      <c r="AE41" s="170"/>
      <c r="AF41" s="169"/>
      <c r="AG41" s="520"/>
      <c r="AH41" s="520"/>
      <c r="AI41" s="520"/>
      <c r="AJ41" s="520"/>
      <c r="AK41" s="520"/>
      <c r="AL41" s="520"/>
      <c r="AM41" s="520"/>
      <c r="AN41" s="520"/>
      <c r="AO41" s="520"/>
      <c r="AP41" s="520"/>
      <c r="AQ41" s="169"/>
      <c r="AR41" s="168"/>
      <c r="AS41" s="520"/>
      <c r="AT41" s="520"/>
      <c r="AU41" s="520"/>
      <c r="AV41" s="520"/>
      <c r="AW41" s="520"/>
      <c r="AX41" s="520"/>
      <c r="AY41" s="520"/>
      <c r="AZ41" s="520"/>
      <c r="BA41" s="520"/>
      <c r="BB41" s="520"/>
      <c r="BC41" s="170"/>
      <c r="BD41" s="169"/>
      <c r="BE41" s="520"/>
      <c r="BF41" s="520"/>
      <c r="BG41" s="520"/>
      <c r="BH41" s="520"/>
      <c r="BI41" s="520"/>
      <c r="BJ41" s="520"/>
      <c r="BK41" s="520"/>
      <c r="BL41" s="520"/>
      <c r="BM41" s="520"/>
      <c r="BN41" s="520"/>
      <c r="BO41" s="520"/>
      <c r="BP41" s="169"/>
      <c r="BQ41" s="168"/>
      <c r="BR41" s="520"/>
      <c r="BS41" s="520"/>
      <c r="BT41" s="520"/>
      <c r="BU41" s="520"/>
      <c r="BV41" s="520"/>
      <c r="BW41" s="520"/>
      <c r="BX41" s="520"/>
      <c r="BY41" s="520"/>
      <c r="BZ41" s="520"/>
      <c r="CA41" s="520"/>
      <c r="CB41" s="520"/>
      <c r="CC41" s="171"/>
      <c r="CD41" s="92"/>
      <c r="CE41" s="93"/>
      <c r="CF41" s="74"/>
      <c r="CG41" s="29"/>
    </row>
    <row r="42" spans="1:85" s="3" customFormat="1" ht="19.5" customHeight="1">
      <c r="A42" s="28"/>
      <c r="B42" s="80"/>
      <c r="C42" s="92"/>
      <c r="D42" s="507" t="s">
        <v>149</v>
      </c>
      <c r="E42" s="508"/>
      <c r="F42" s="508"/>
      <c r="G42" s="509"/>
      <c r="H42" s="168"/>
      <c r="I42" s="520"/>
      <c r="J42" s="520"/>
      <c r="K42" s="520"/>
      <c r="L42" s="520"/>
      <c r="M42" s="520"/>
      <c r="N42" s="520"/>
      <c r="O42" s="520"/>
      <c r="P42" s="520"/>
      <c r="Q42" s="520"/>
      <c r="R42" s="520"/>
      <c r="S42" s="169"/>
      <c r="T42" s="168"/>
      <c r="U42" s="520"/>
      <c r="V42" s="520"/>
      <c r="W42" s="520"/>
      <c r="X42" s="520"/>
      <c r="Y42" s="520"/>
      <c r="Z42" s="520"/>
      <c r="AA42" s="520"/>
      <c r="AB42" s="520"/>
      <c r="AC42" s="520"/>
      <c r="AD42" s="520"/>
      <c r="AE42" s="170"/>
      <c r="AF42" s="169"/>
      <c r="AG42" s="520"/>
      <c r="AH42" s="520"/>
      <c r="AI42" s="520"/>
      <c r="AJ42" s="520"/>
      <c r="AK42" s="520"/>
      <c r="AL42" s="520"/>
      <c r="AM42" s="520"/>
      <c r="AN42" s="520"/>
      <c r="AO42" s="520"/>
      <c r="AP42" s="520"/>
      <c r="AQ42" s="169"/>
      <c r="AR42" s="168"/>
      <c r="AS42" s="520"/>
      <c r="AT42" s="520"/>
      <c r="AU42" s="520"/>
      <c r="AV42" s="520"/>
      <c r="AW42" s="520"/>
      <c r="AX42" s="520"/>
      <c r="AY42" s="520"/>
      <c r="AZ42" s="520"/>
      <c r="BA42" s="520"/>
      <c r="BB42" s="520"/>
      <c r="BC42" s="170"/>
      <c r="BD42" s="169"/>
      <c r="BE42" s="520"/>
      <c r="BF42" s="520"/>
      <c r="BG42" s="520"/>
      <c r="BH42" s="520"/>
      <c r="BI42" s="520"/>
      <c r="BJ42" s="520"/>
      <c r="BK42" s="520"/>
      <c r="BL42" s="520"/>
      <c r="BM42" s="520"/>
      <c r="BN42" s="520"/>
      <c r="BO42" s="520"/>
      <c r="BP42" s="169"/>
      <c r="BQ42" s="168"/>
      <c r="BR42" s="520"/>
      <c r="BS42" s="520"/>
      <c r="BT42" s="520"/>
      <c r="BU42" s="520"/>
      <c r="BV42" s="520"/>
      <c r="BW42" s="520"/>
      <c r="BX42" s="520"/>
      <c r="BY42" s="520"/>
      <c r="BZ42" s="520"/>
      <c r="CA42" s="520"/>
      <c r="CB42" s="520"/>
      <c r="CC42" s="171"/>
      <c r="CD42" s="92"/>
      <c r="CE42" s="93"/>
      <c r="CF42" s="74"/>
      <c r="CG42" s="29"/>
    </row>
    <row r="43" spans="1:85" s="3" customFormat="1" ht="19.5" customHeight="1">
      <c r="A43" s="28"/>
      <c r="B43" s="80"/>
      <c r="C43" s="92"/>
      <c r="D43" s="507" t="s">
        <v>150</v>
      </c>
      <c r="E43" s="508"/>
      <c r="F43" s="508"/>
      <c r="G43" s="509"/>
      <c r="H43" s="168"/>
      <c r="I43" s="520"/>
      <c r="J43" s="520"/>
      <c r="K43" s="520"/>
      <c r="L43" s="520"/>
      <c r="M43" s="520"/>
      <c r="N43" s="520"/>
      <c r="O43" s="520"/>
      <c r="P43" s="520"/>
      <c r="Q43" s="520"/>
      <c r="R43" s="520"/>
      <c r="S43" s="169"/>
      <c r="T43" s="168"/>
      <c r="U43" s="520"/>
      <c r="V43" s="520"/>
      <c r="W43" s="520"/>
      <c r="X43" s="520"/>
      <c r="Y43" s="520"/>
      <c r="Z43" s="520"/>
      <c r="AA43" s="520"/>
      <c r="AB43" s="520"/>
      <c r="AC43" s="520"/>
      <c r="AD43" s="520"/>
      <c r="AE43" s="170"/>
      <c r="AF43" s="169"/>
      <c r="AG43" s="520"/>
      <c r="AH43" s="520"/>
      <c r="AI43" s="520"/>
      <c r="AJ43" s="520"/>
      <c r="AK43" s="520"/>
      <c r="AL43" s="520"/>
      <c r="AM43" s="520"/>
      <c r="AN43" s="520"/>
      <c r="AO43" s="520"/>
      <c r="AP43" s="520"/>
      <c r="AQ43" s="169"/>
      <c r="AR43" s="168"/>
      <c r="AS43" s="520"/>
      <c r="AT43" s="520"/>
      <c r="AU43" s="520"/>
      <c r="AV43" s="520"/>
      <c r="AW43" s="520"/>
      <c r="AX43" s="520"/>
      <c r="AY43" s="520"/>
      <c r="AZ43" s="520"/>
      <c r="BA43" s="520"/>
      <c r="BB43" s="520"/>
      <c r="BC43" s="170"/>
      <c r="BD43" s="169"/>
      <c r="BE43" s="520"/>
      <c r="BF43" s="520"/>
      <c r="BG43" s="520"/>
      <c r="BH43" s="520"/>
      <c r="BI43" s="520"/>
      <c r="BJ43" s="520"/>
      <c r="BK43" s="520"/>
      <c r="BL43" s="520"/>
      <c r="BM43" s="520"/>
      <c r="BN43" s="520"/>
      <c r="BO43" s="520"/>
      <c r="BP43" s="169"/>
      <c r="BQ43" s="168"/>
      <c r="BR43" s="520"/>
      <c r="BS43" s="520"/>
      <c r="BT43" s="520"/>
      <c r="BU43" s="520"/>
      <c r="BV43" s="520"/>
      <c r="BW43" s="520"/>
      <c r="BX43" s="520"/>
      <c r="BY43" s="520"/>
      <c r="BZ43" s="520"/>
      <c r="CA43" s="520"/>
      <c r="CB43" s="520"/>
      <c r="CC43" s="171"/>
      <c r="CD43" s="93"/>
      <c r="CE43" s="93"/>
      <c r="CF43" s="74"/>
      <c r="CG43" s="29"/>
    </row>
    <row r="44" spans="1:85" s="3" customFormat="1" ht="19.5" customHeight="1">
      <c r="A44" s="28"/>
      <c r="B44" s="80"/>
      <c r="C44" s="92"/>
      <c r="D44" s="507" t="s">
        <v>151</v>
      </c>
      <c r="E44" s="508"/>
      <c r="F44" s="508"/>
      <c r="G44" s="509"/>
      <c r="H44" s="168"/>
      <c r="I44" s="520"/>
      <c r="J44" s="520"/>
      <c r="K44" s="520"/>
      <c r="L44" s="520"/>
      <c r="M44" s="520"/>
      <c r="N44" s="520"/>
      <c r="O44" s="520"/>
      <c r="P44" s="520"/>
      <c r="Q44" s="520"/>
      <c r="R44" s="520"/>
      <c r="S44" s="169"/>
      <c r="T44" s="168"/>
      <c r="U44" s="520"/>
      <c r="V44" s="520"/>
      <c r="W44" s="520"/>
      <c r="X44" s="520"/>
      <c r="Y44" s="520"/>
      <c r="Z44" s="520"/>
      <c r="AA44" s="520"/>
      <c r="AB44" s="520"/>
      <c r="AC44" s="520"/>
      <c r="AD44" s="520"/>
      <c r="AE44" s="170"/>
      <c r="AF44" s="169"/>
      <c r="AG44" s="520"/>
      <c r="AH44" s="520"/>
      <c r="AI44" s="520"/>
      <c r="AJ44" s="520"/>
      <c r="AK44" s="520"/>
      <c r="AL44" s="520"/>
      <c r="AM44" s="520"/>
      <c r="AN44" s="520"/>
      <c r="AO44" s="520"/>
      <c r="AP44" s="520"/>
      <c r="AQ44" s="169"/>
      <c r="AR44" s="168"/>
      <c r="AS44" s="520"/>
      <c r="AT44" s="520"/>
      <c r="AU44" s="520"/>
      <c r="AV44" s="520"/>
      <c r="AW44" s="520"/>
      <c r="AX44" s="520"/>
      <c r="AY44" s="520"/>
      <c r="AZ44" s="520"/>
      <c r="BA44" s="520"/>
      <c r="BB44" s="520"/>
      <c r="BC44" s="170"/>
      <c r="BD44" s="169"/>
      <c r="BE44" s="520"/>
      <c r="BF44" s="520"/>
      <c r="BG44" s="520"/>
      <c r="BH44" s="520"/>
      <c r="BI44" s="520"/>
      <c r="BJ44" s="520"/>
      <c r="BK44" s="520"/>
      <c r="BL44" s="520"/>
      <c r="BM44" s="520"/>
      <c r="BN44" s="520"/>
      <c r="BO44" s="520"/>
      <c r="BP44" s="169"/>
      <c r="BQ44" s="168"/>
      <c r="BR44" s="520"/>
      <c r="BS44" s="520"/>
      <c r="BT44" s="520"/>
      <c r="BU44" s="520"/>
      <c r="BV44" s="520"/>
      <c r="BW44" s="520"/>
      <c r="BX44" s="520"/>
      <c r="BY44" s="520"/>
      <c r="BZ44" s="520"/>
      <c r="CA44" s="520"/>
      <c r="CB44" s="520"/>
      <c r="CC44" s="171"/>
      <c r="CD44" s="92"/>
      <c r="CE44" s="93"/>
      <c r="CF44" s="74"/>
      <c r="CG44" s="29"/>
    </row>
    <row r="45" spans="1:85" s="3" customFormat="1" ht="19.5" customHeight="1">
      <c r="A45" s="28"/>
      <c r="B45" s="80"/>
      <c r="C45" s="92"/>
      <c r="D45" s="507" t="s">
        <v>152</v>
      </c>
      <c r="E45" s="508"/>
      <c r="F45" s="508"/>
      <c r="G45" s="509"/>
      <c r="H45" s="168"/>
      <c r="I45" s="520"/>
      <c r="J45" s="520"/>
      <c r="K45" s="520"/>
      <c r="L45" s="520"/>
      <c r="M45" s="520"/>
      <c r="N45" s="520"/>
      <c r="O45" s="520"/>
      <c r="P45" s="520"/>
      <c r="Q45" s="520"/>
      <c r="R45" s="520"/>
      <c r="S45" s="169"/>
      <c r="T45" s="168"/>
      <c r="U45" s="520"/>
      <c r="V45" s="520"/>
      <c r="W45" s="520"/>
      <c r="X45" s="520"/>
      <c r="Y45" s="520"/>
      <c r="Z45" s="520"/>
      <c r="AA45" s="520"/>
      <c r="AB45" s="520"/>
      <c r="AC45" s="520"/>
      <c r="AD45" s="520"/>
      <c r="AE45" s="170"/>
      <c r="AF45" s="169"/>
      <c r="AG45" s="520"/>
      <c r="AH45" s="520"/>
      <c r="AI45" s="520"/>
      <c r="AJ45" s="520"/>
      <c r="AK45" s="520"/>
      <c r="AL45" s="520"/>
      <c r="AM45" s="520"/>
      <c r="AN45" s="520"/>
      <c r="AO45" s="520"/>
      <c r="AP45" s="520"/>
      <c r="AQ45" s="169"/>
      <c r="AR45" s="168"/>
      <c r="AS45" s="520"/>
      <c r="AT45" s="520"/>
      <c r="AU45" s="520"/>
      <c r="AV45" s="520"/>
      <c r="AW45" s="520"/>
      <c r="AX45" s="520"/>
      <c r="AY45" s="520"/>
      <c r="AZ45" s="520"/>
      <c r="BA45" s="520"/>
      <c r="BB45" s="520"/>
      <c r="BC45" s="170"/>
      <c r="BD45" s="169"/>
      <c r="BE45" s="520"/>
      <c r="BF45" s="520"/>
      <c r="BG45" s="520"/>
      <c r="BH45" s="520"/>
      <c r="BI45" s="520"/>
      <c r="BJ45" s="520"/>
      <c r="BK45" s="520"/>
      <c r="BL45" s="520"/>
      <c r="BM45" s="520"/>
      <c r="BN45" s="520"/>
      <c r="BO45" s="520"/>
      <c r="BP45" s="169"/>
      <c r="BQ45" s="168"/>
      <c r="BR45" s="520"/>
      <c r="BS45" s="520"/>
      <c r="BT45" s="520"/>
      <c r="BU45" s="520"/>
      <c r="BV45" s="520"/>
      <c r="BW45" s="520"/>
      <c r="BX45" s="520"/>
      <c r="BY45" s="520"/>
      <c r="BZ45" s="520"/>
      <c r="CA45" s="520"/>
      <c r="CB45" s="520"/>
      <c r="CC45" s="171"/>
      <c r="CD45" s="92"/>
      <c r="CE45" s="93"/>
      <c r="CF45" s="74"/>
      <c r="CG45" s="29"/>
    </row>
    <row r="46" spans="1:85" s="3" customFormat="1" ht="19.5" customHeight="1">
      <c r="A46" s="28"/>
      <c r="B46" s="80"/>
      <c r="C46" s="92"/>
      <c r="D46" s="507" t="s">
        <v>153</v>
      </c>
      <c r="E46" s="508"/>
      <c r="F46" s="508"/>
      <c r="G46" s="509"/>
      <c r="H46" s="168"/>
      <c r="I46" s="520"/>
      <c r="J46" s="520"/>
      <c r="K46" s="520"/>
      <c r="L46" s="520"/>
      <c r="M46" s="520"/>
      <c r="N46" s="520"/>
      <c r="O46" s="520"/>
      <c r="P46" s="520"/>
      <c r="Q46" s="520"/>
      <c r="R46" s="520"/>
      <c r="S46" s="169"/>
      <c r="T46" s="168"/>
      <c r="U46" s="520"/>
      <c r="V46" s="520"/>
      <c r="W46" s="520"/>
      <c r="X46" s="520"/>
      <c r="Y46" s="520"/>
      <c r="Z46" s="520"/>
      <c r="AA46" s="520"/>
      <c r="AB46" s="520"/>
      <c r="AC46" s="520"/>
      <c r="AD46" s="520"/>
      <c r="AE46" s="170"/>
      <c r="AF46" s="169"/>
      <c r="AG46" s="520"/>
      <c r="AH46" s="520"/>
      <c r="AI46" s="520"/>
      <c r="AJ46" s="520"/>
      <c r="AK46" s="520"/>
      <c r="AL46" s="520"/>
      <c r="AM46" s="520"/>
      <c r="AN46" s="520"/>
      <c r="AO46" s="520"/>
      <c r="AP46" s="520"/>
      <c r="AQ46" s="169"/>
      <c r="AR46" s="168"/>
      <c r="AS46" s="520"/>
      <c r="AT46" s="520"/>
      <c r="AU46" s="520"/>
      <c r="AV46" s="520"/>
      <c r="AW46" s="520"/>
      <c r="AX46" s="520"/>
      <c r="AY46" s="520"/>
      <c r="AZ46" s="520"/>
      <c r="BA46" s="520"/>
      <c r="BB46" s="520"/>
      <c r="BC46" s="170"/>
      <c r="BD46" s="169"/>
      <c r="BE46" s="520"/>
      <c r="BF46" s="520"/>
      <c r="BG46" s="520"/>
      <c r="BH46" s="520"/>
      <c r="BI46" s="520"/>
      <c r="BJ46" s="520"/>
      <c r="BK46" s="520"/>
      <c r="BL46" s="520"/>
      <c r="BM46" s="520"/>
      <c r="BN46" s="520"/>
      <c r="BO46" s="520"/>
      <c r="BP46" s="169"/>
      <c r="BQ46" s="168"/>
      <c r="BR46" s="520"/>
      <c r="BS46" s="520"/>
      <c r="BT46" s="520"/>
      <c r="BU46" s="520"/>
      <c r="BV46" s="520"/>
      <c r="BW46" s="520"/>
      <c r="BX46" s="520"/>
      <c r="BY46" s="520"/>
      <c r="BZ46" s="520"/>
      <c r="CA46" s="520"/>
      <c r="CB46" s="520"/>
      <c r="CC46" s="171"/>
      <c r="CD46" s="92"/>
      <c r="CE46" s="93"/>
      <c r="CF46" s="74"/>
      <c r="CG46" s="29"/>
    </row>
    <row r="47" spans="1:85" s="3" customFormat="1" ht="19.5" customHeight="1">
      <c r="A47" s="28"/>
      <c r="B47" s="80"/>
      <c r="C47" s="92"/>
      <c r="D47" s="507" t="s">
        <v>154</v>
      </c>
      <c r="E47" s="508"/>
      <c r="F47" s="508"/>
      <c r="G47" s="509"/>
      <c r="H47" s="168"/>
      <c r="I47" s="520"/>
      <c r="J47" s="520"/>
      <c r="K47" s="520"/>
      <c r="L47" s="520"/>
      <c r="M47" s="520"/>
      <c r="N47" s="520"/>
      <c r="O47" s="520"/>
      <c r="P47" s="520"/>
      <c r="Q47" s="520"/>
      <c r="R47" s="520"/>
      <c r="S47" s="169"/>
      <c r="T47" s="168"/>
      <c r="U47" s="520"/>
      <c r="V47" s="520"/>
      <c r="W47" s="520"/>
      <c r="X47" s="520"/>
      <c r="Y47" s="520"/>
      <c r="Z47" s="520"/>
      <c r="AA47" s="520"/>
      <c r="AB47" s="520"/>
      <c r="AC47" s="520"/>
      <c r="AD47" s="520"/>
      <c r="AE47" s="170"/>
      <c r="AF47" s="169"/>
      <c r="AG47" s="520"/>
      <c r="AH47" s="520"/>
      <c r="AI47" s="520"/>
      <c r="AJ47" s="520"/>
      <c r="AK47" s="520"/>
      <c r="AL47" s="520"/>
      <c r="AM47" s="520"/>
      <c r="AN47" s="520"/>
      <c r="AO47" s="520"/>
      <c r="AP47" s="520"/>
      <c r="AQ47" s="169"/>
      <c r="AR47" s="168"/>
      <c r="AS47" s="520"/>
      <c r="AT47" s="520"/>
      <c r="AU47" s="520"/>
      <c r="AV47" s="520"/>
      <c r="AW47" s="520"/>
      <c r="AX47" s="520"/>
      <c r="AY47" s="520"/>
      <c r="AZ47" s="520"/>
      <c r="BA47" s="520"/>
      <c r="BB47" s="520"/>
      <c r="BC47" s="170"/>
      <c r="BD47" s="169"/>
      <c r="BE47" s="520"/>
      <c r="BF47" s="520"/>
      <c r="BG47" s="520"/>
      <c r="BH47" s="520"/>
      <c r="BI47" s="520"/>
      <c r="BJ47" s="520"/>
      <c r="BK47" s="520"/>
      <c r="BL47" s="520"/>
      <c r="BM47" s="520"/>
      <c r="BN47" s="520"/>
      <c r="BO47" s="520"/>
      <c r="BP47" s="169"/>
      <c r="BQ47" s="168"/>
      <c r="BR47" s="520"/>
      <c r="BS47" s="520"/>
      <c r="BT47" s="520"/>
      <c r="BU47" s="520"/>
      <c r="BV47" s="520"/>
      <c r="BW47" s="520"/>
      <c r="BX47" s="520"/>
      <c r="BY47" s="520"/>
      <c r="BZ47" s="520"/>
      <c r="CA47" s="520"/>
      <c r="CB47" s="520"/>
      <c r="CC47" s="171"/>
      <c r="CD47" s="92"/>
      <c r="CE47" s="93"/>
      <c r="CF47" s="74"/>
      <c r="CG47" s="29"/>
    </row>
    <row r="48" spans="1:85" s="3" customFormat="1" ht="19.5" customHeight="1">
      <c r="A48" s="28"/>
      <c r="B48" s="80"/>
      <c r="C48" s="92"/>
      <c r="D48" s="507" t="s">
        <v>155</v>
      </c>
      <c r="E48" s="508"/>
      <c r="F48" s="508"/>
      <c r="G48" s="509"/>
      <c r="H48" s="168"/>
      <c r="I48" s="520"/>
      <c r="J48" s="520"/>
      <c r="K48" s="520"/>
      <c r="L48" s="520"/>
      <c r="M48" s="520"/>
      <c r="N48" s="520"/>
      <c r="O48" s="520"/>
      <c r="P48" s="520"/>
      <c r="Q48" s="520"/>
      <c r="R48" s="520"/>
      <c r="S48" s="169"/>
      <c r="T48" s="168"/>
      <c r="U48" s="520"/>
      <c r="V48" s="520"/>
      <c r="W48" s="520"/>
      <c r="X48" s="520"/>
      <c r="Y48" s="520"/>
      <c r="Z48" s="520"/>
      <c r="AA48" s="520"/>
      <c r="AB48" s="520"/>
      <c r="AC48" s="520"/>
      <c r="AD48" s="520"/>
      <c r="AE48" s="170"/>
      <c r="AF48" s="169"/>
      <c r="AG48" s="520"/>
      <c r="AH48" s="520"/>
      <c r="AI48" s="520"/>
      <c r="AJ48" s="520"/>
      <c r="AK48" s="520"/>
      <c r="AL48" s="520"/>
      <c r="AM48" s="520"/>
      <c r="AN48" s="520"/>
      <c r="AO48" s="520"/>
      <c r="AP48" s="520"/>
      <c r="AQ48" s="169"/>
      <c r="AR48" s="168"/>
      <c r="AS48" s="520"/>
      <c r="AT48" s="520"/>
      <c r="AU48" s="520"/>
      <c r="AV48" s="520"/>
      <c r="AW48" s="520"/>
      <c r="AX48" s="520"/>
      <c r="AY48" s="520"/>
      <c r="AZ48" s="520"/>
      <c r="BA48" s="520"/>
      <c r="BB48" s="520"/>
      <c r="BC48" s="170"/>
      <c r="BD48" s="169"/>
      <c r="BE48" s="520"/>
      <c r="BF48" s="520"/>
      <c r="BG48" s="520"/>
      <c r="BH48" s="520"/>
      <c r="BI48" s="520"/>
      <c r="BJ48" s="520"/>
      <c r="BK48" s="520"/>
      <c r="BL48" s="520"/>
      <c r="BM48" s="520"/>
      <c r="BN48" s="520"/>
      <c r="BO48" s="520"/>
      <c r="BP48" s="169"/>
      <c r="BQ48" s="168"/>
      <c r="BR48" s="520"/>
      <c r="BS48" s="520"/>
      <c r="BT48" s="520"/>
      <c r="BU48" s="520"/>
      <c r="BV48" s="520"/>
      <c r="BW48" s="520"/>
      <c r="BX48" s="520"/>
      <c r="BY48" s="520"/>
      <c r="BZ48" s="520"/>
      <c r="CA48" s="520"/>
      <c r="CB48" s="520"/>
      <c r="CC48" s="171"/>
      <c r="CD48" s="92"/>
      <c r="CE48" s="93"/>
      <c r="CF48" s="74"/>
      <c r="CG48" s="29"/>
    </row>
    <row r="49" spans="1:85" s="3" customFormat="1" ht="19.5" customHeight="1">
      <c r="A49" s="28"/>
      <c r="B49" s="80"/>
      <c r="C49" s="92"/>
      <c r="D49" s="507" t="s">
        <v>156</v>
      </c>
      <c r="E49" s="508"/>
      <c r="F49" s="508"/>
      <c r="G49" s="509"/>
      <c r="H49" s="168"/>
      <c r="I49" s="520"/>
      <c r="J49" s="520"/>
      <c r="K49" s="520"/>
      <c r="L49" s="520"/>
      <c r="M49" s="520"/>
      <c r="N49" s="520"/>
      <c r="O49" s="520"/>
      <c r="P49" s="520"/>
      <c r="Q49" s="520"/>
      <c r="R49" s="520"/>
      <c r="S49" s="169"/>
      <c r="T49" s="168"/>
      <c r="U49" s="520"/>
      <c r="V49" s="520"/>
      <c r="W49" s="520"/>
      <c r="X49" s="520"/>
      <c r="Y49" s="520"/>
      <c r="Z49" s="520"/>
      <c r="AA49" s="520"/>
      <c r="AB49" s="520"/>
      <c r="AC49" s="520"/>
      <c r="AD49" s="520"/>
      <c r="AE49" s="170"/>
      <c r="AF49" s="169"/>
      <c r="AG49" s="520"/>
      <c r="AH49" s="520"/>
      <c r="AI49" s="520"/>
      <c r="AJ49" s="520"/>
      <c r="AK49" s="520"/>
      <c r="AL49" s="520"/>
      <c r="AM49" s="520"/>
      <c r="AN49" s="520"/>
      <c r="AO49" s="520"/>
      <c r="AP49" s="520"/>
      <c r="AQ49" s="169"/>
      <c r="AR49" s="168"/>
      <c r="AS49" s="520"/>
      <c r="AT49" s="520"/>
      <c r="AU49" s="520"/>
      <c r="AV49" s="520"/>
      <c r="AW49" s="520"/>
      <c r="AX49" s="520"/>
      <c r="AY49" s="520"/>
      <c r="AZ49" s="520"/>
      <c r="BA49" s="520"/>
      <c r="BB49" s="520"/>
      <c r="BC49" s="170"/>
      <c r="BD49" s="169"/>
      <c r="BE49" s="520"/>
      <c r="BF49" s="520"/>
      <c r="BG49" s="520"/>
      <c r="BH49" s="520"/>
      <c r="BI49" s="520"/>
      <c r="BJ49" s="520"/>
      <c r="BK49" s="520"/>
      <c r="BL49" s="520"/>
      <c r="BM49" s="520"/>
      <c r="BN49" s="520"/>
      <c r="BO49" s="520"/>
      <c r="BP49" s="169"/>
      <c r="BQ49" s="168"/>
      <c r="BR49" s="520"/>
      <c r="BS49" s="520"/>
      <c r="BT49" s="520"/>
      <c r="BU49" s="520"/>
      <c r="BV49" s="520"/>
      <c r="BW49" s="520"/>
      <c r="BX49" s="520"/>
      <c r="BY49" s="520"/>
      <c r="BZ49" s="520"/>
      <c r="CA49" s="520"/>
      <c r="CB49" s="520"/>
      <c r="CC49" s="171"/>
      <c r="CD49" s="93"/>
      <c r="CE49" s="93"/>
      <c r="CF49" s="74"/>
      <c r="CG49" s="29"/>
    </row>
    <row r="50" spans="1:85" s="3" customFormat="1" ht="19.5" customHeight="1">
      <c r="A50" s="28"/>
      <c r="B50" s="80"/>
      <c r="C50" s="92"/>
      <c r="D50" s="507" t="s">
        <v>157</v>
      </c>
      <c r="E50" s="508"/>
      <c r="F50" s="508"/>
      <c r="G50" s="509"/>
      <c r="H50" s="168"/>
      <c r="I50" s="520"/>
      <c r="J50" s="520"/>
      <c r="K50" s="520"/>
      <c r="L50" s="520"/>
      <c r="M50" s="520"/>
      <c r="N50" s="520"/>
      <c r="O50" s="520"/>
      <c r="P50" s="520"/>
      <c r="Q50" s="520"/>
      <c r="R50" s="520"/>
      <c r="S50" s="169"/>
      <c r="T50" s="168"/>
      <c r="U50" s="520"/>
      <c r="V50" s="520"/>
      <c r="W50" s="520"/>
      <c r="X50" s="520"/>
      <c r="Y50" s="520"/>
      <c r="Z50" s="520"/>
      <c r="AA50" s="520"/>
      <c r="AB50" s="520"/>
      <c r="AC50" s="520"/>
      <c r="AD50" s="520"/>
      <c r="AE50" s="170"/>
      <c r="AF50" s="169"/>
      <c r="AG50" s="520"/>
      <c r="AH50" s="520"/>
      <c r="AI50" s="520"/>
      <c r="AJ50" s="520"/>
      <c r="AK50" s="520"/>
      <c r="AL50" s="520"/>
      <c r="AM50" s="520"/>
      <c r="AN50" s="520"/>
      <c r="AO50" s="520"/>
      <c r="AP50" s="520"/>
      <c r="AQ50" s="169"/>
      <c r="AR50" s="168"/>
      <c r="AS50" s="520"/>
      <c r="AT50" s="520"/>
      <c r="AU50" s="520"/>
      <c r="AV50" s="520"/>
      <c r="AW50" s="520"/>
      <c r="AX50" s="520"/>
      <c r="AY50" s="520"/>
      <c r="AZ50" s="520"/>
      <c r="BA50" s="520"/>
      <c r="BB50" s="520"/>
      <c r="BC50" s="170"/>
      <c r="BD50" s="169"/>
      <c r="BE50" s="520"/>
      <c r="BF50" s="520"/>
      <c r="BG50" s="520"/>
      <c r="BH50" s="520"/>
      <c r="BI50" s="520"/>
      <c r="BJ50" s="520"/>
      <c r="BK50" s="520"/>
      <c r="BL50" s="520"/>
      <c r="BM50" s="520"/>
      <c r="BN50" s="520"/>
      <c r="BO50" s="520"/>
      <c r="BP50" s="169"/>
      <c r="BQ50" s="168"/>
      <c r="BR50" s="520"/>
      <c r="BS50" s="520"/>
      <c r="BT50" s="520"/>
      <c r="BU50" s="520"/>
      <c r="BV50" s="520"/>
      <c r="BW50" s="520"/>
      <c r="BX50" s="520"/>
      <c r="BY50" s="520"/>
      <c r="BZ50" s="520"/>
      <c r="CA50" s="520"/>
      <c r="CB50" s="520"/>
      <c r="CC50" s="171"/>
      <c r="CD50" s="92"/>
      <c r="CE50" s="93"/>
      <c r="CF50" s="74"/>
      <c r="CG50" s="29"/>
    </row>
    <row r="51" spans="1:85" s="3" customFormat="1" ht="19.5" customHeight="1">
      <c r="A51" s="28"/>
      <c r="B51" s="80"/>
      <c r="C51" s="92"/>
      <c r="D51" s="507" t="s">
        <v>158</v>
      </c>
      <c r="E51" s="508"/>
      <c r="F51" s="508"/>
      <c r="G51" s="509"/>
      <c r="H51" s="168"/>
      <c r="I51" s="520"/>
      <c r="J51" s="520"/>
      <c r="K51" s="520"/>
      <c r="L51" s="520"/>
      <c r="M51" s="520"/>
      <c r="N51" s="520"/>
      <c r="O51" s="520"/>
      <c r="P51" s="520"/>
      <c r="Q51" s="520"/>
      <c r="R51" s="520"/>
      <c r="S51" s="169"/>
      <c r="T51" s="168"/>
      <c r="U51" s="520"/>
      <c r="V51" s="520"/>
      <c r="W51" s="520"/>
      <c r="X51" s="520"/>
      <c r="Y51" s="520"/>
      <c r="Z51" s="520"/>
      <c r="AA51" s="520"/>
      <c r="AB51" s="520"/>
      <c r="AC51" s="520"/>
      <c r="AD51" s="520"/>
      <c r="AE51" s="170"/>
      <c r="AF51" s="169"/>
      <c r="AG51" s="520"/>
      <c r="AH51" s="520"/>
      <c r="AI51" s="520"/>
      <c r="AJ51" s="520"/>
      <c r="AK51" s="520"/>
      <c r="AL51" s="520"/>
      <c r="AM51" s="520"/>
      <c r="AN51" s="520"/>
      <c r="AO51" s="520"/>
      <c r="AP51" s="520"/>
      <c r="AQ51" s="169"/>
      <c r="AR51" s="168"/>
      <c r="AS51" s="520"/>
      <c r="AT51" s="520"/>
      <c r="AU51" s="520"/>
      <c r="AV51" s="520"/>
      <c r="AW51" s="520"/>
      <c r="AX51" s="520"/>
      <c r="AY51" s="520"/>
      <c r="AZ51" s="520"/>
      <c r="BA51" s="520"/>
      <c r="BB51" s="520"/>
      <c r="BC51" s="170"/>
      <c r="BD51" s="169"/>
      <c r="BE51" s="520"/>
      <c r="BF51" s="520"/>
      <c r="BG51" s="520"/>
      <c r="BH51" s="520"/>
      <c r="BI51" s="520"/>
      <c r="BJ51" s="520"/>
      <c r="BK51" s="520"/>
      <c r="BL51" s="520"/>
      <c r="BM51" s="520"/>
      <c r="BN51" s="520"/>
      <c r="BO51" s="520"/>
      <c r="BP51" s="169"/>
      <c r="BQ51" s="168"/>
      <c r="BR51" s="520"/>
      <c r="BS51" s="520"/>
      <c r="BT51" s="520"/>
      <c r="BU51" s="520"/>
      <c r="BV51" s="520"/>
      <c r="BW51" s="520"/>
      <c r="BX51" s="520"/>
      <c r="BY51" s="520"/>
      <c r="BZ51" s="520"/>
      <c r="CA51" s="520"/>
      <c r="CB51" s="520"/>
      <c r="CC51" s="171"/>
      <c r="CD51" s="92"/>
      <c r="CE51" s="93"/>
      <c r="CF51" s="74"/>
      <c r="CG51" s="29"/>
    </row>
    <row r="52" spans="1:85" s="3" customFormat="1" ht="19.5" customHeight="1">
      <c r="A52" s="28"/>
      <c r="B52" s="80"/>
      <c r="C52" s="92"/>
      <c r="D52" s="507" t="s">
        <v>159</v>
      </c>
      <c r="E52" s="508"/>
      <c r="F52" s="508"/>
      <c r="G52" s="509"/>
      <c r="H52" s="168"/>
      <c r="I52" s="520"/>
      <c r="J52" s="520"/>
      <c r="K52" s="520"/>
      <c r="L52" s="520"/>
      <c r="M52" s="520"/>
      <c r="N52" s="520"/>
      <c r="O52" s="520"/>
      <c r="P52" s="520"/>
      <c r="Q52" s="520"/>
      <c r="R52" s="520"/>
      <c r="S52" s="169"/>
      <c r="T52" s="168"/>
      <c r="U52" s="520"/>
      <c r="V52" s="520"/>
      <c r="W52" s="520"/>
      <c r="X52" s="520"/>
      <c r="Y52" s="520"/>
      <c r="Z52" s="520"/>
      <c r="AA52" s="520"/>
      <c r="AB52" s="520"/>
      <c r="AC52" s="520"/>
      <c r="AD52" s="520"/>
      <c r="AE52" s="170"/>
      <c r="AF52" s="169"/>
      <c r="AG52" s="520"/>
      <c r="AH52" s="520"/>
      <c r="AI52" s="520"/>
      <c r="AJ52" s="520"/>
      <c r="AK52" s="520"/>
      <c r="AL52" s="520"/>
      <c r="AM52" s="520"/>
      <c r="AN52" s="520"/>
      <c r="AO52" s="520"/>
      <c r="AP52" s="520"/>
      <c r="AQ52" s="169"/>
      <c r="AR52" s="168"/>
      <c r="AS52" s="520"/>
      <c r="AT52" s="520"/>
      <c r="AU52" s="520"/>
      <c r="AV52" s="520"/>
      <c r="AW52" s="520"/>
      <c r="AX52" s="520"/>
      <c r="AY52" s="520"/>
      <c r="AZ52" s="520"/>
      <c r="BA52" s="520"/>
      <c r="BB52" s="520"/>
      <c r="BC52" s="170"/>
      <c r="BD52" s="169"/>
      <c r="BE52" s="520"/>
      <c r="BF52" s="520"/>
      <c r="BG52" s="520"/>
      <c r="BH52" s="520"/>
      <c r="BI52" s="520"/>
      <c r="BJ52" s="520"/>
      <c r="BK52" s="520"/>
      <c r="BL52" s="520"/>
      <c r="BM52" s="520"/>
      <c r="BN52" s="520"/>
      <c r="BO52" s="520"/>
      <c r="BP52" s="169"/>
      <c r="BQ52" s="168"/>
      <c r="BR52" s="520"/>
      <c r="BS52" s="520"/>
      <c r="BT52" s="520"/>
      <c r="BU52" s="520"/>
      <c r="BV52" s="520"/>
      <c r="BW52" s="520"/>
      <c r="BX52" s="520"/>
      <c r="BY52" s="520"/>
      <c r="BZ52" s="520"/>
      <c r="CA52" s="520"/>
      <c r="CB52" s="520"/>
      <c r="CC52" s="171"/>
      <c r="CD52" s="92"/>
      <c r="CE52" s="93"/>
      <c r="CF52" s="74"/>
      <c r="CG52" s="29"/>
    </row>
    <row r="53" spans="1:85" s="3" customFormat="1" ht="19.5" customHeight="1">
      <c r="A53" s="28"/>
      <c r="B53" s="80"/>
      <c r="C53" s="92"/>
      <c r="D53" s="507" t="s">
        <v>160</v>
      </c>
      <c r="E53" s="508"/>
      <c r="F53" s="508"/>
      <c r="G53" s="509"/>
      <c r="H53" s="168"/>
      <c r="I53" s="520"/>
      <c r="J53" s="520"/>
      <c r="K53" s="520"/>
      <c r="L53" s="520"/>
      <c r="M53" s="520"/>
      <c r="N53" s="520"/>
      <c r="O53" s="520"/>
      <c r="P53" s="520"/>
      <c r="Q53" s="520"/>
      <c r="R53" s="520"/>
      <c r="S53" s="169"/>
      <c r="T53" s="168"/>
      <c r="U53" s="520"/>
      <c r="V53" s="520"/>
      <c r="W53" s="520"/>
      <c r="X53" s="520"/>
      <c r="Y53" s="520"/>
      <c r="Z53" s="520"/>
      <c r="AA53" s="520"/>
      <c r="AB53" s="520"/>
      <c r="AC53" s="520"/>
      <c r="AD53" s="520"/>
      <c r="AE53" s="170"/>
      <c r="AF53" s="169"/>
      <c r="AG53" s="520"/>
      <c r="AH53" s="520"/>
      <c r="AI53" s="520"/>
      <c r="AJ53" s="520"/>
      <c r="AK53" s="520"/>
      <c r="AL53" s="520"/>
      <c r="AM53" s="520"/>
      <c r="AN53" s="520"/>
      <c r="AO53" s="520"/>
      <c r="AP53" s="520"/>
      <c r="AQ53" s="169"/>
      <c r="AR53" s="168"/>
      <c r="AS53" s="520"/>
      <c r="AT53" s="520"/>
      <c r="AU53" s="520"/>
      <c r="AV53" s="520"/>
      <c r="AW53" s="520"/>
      <c r="AX53" s="520"/>
      <c r="AY53" s="520"/>
      <c r="AZ53" s="520"/>
      <c r="BA53" s="520"/>
      <c r="BB53" s="520"/>
      <c r="BC53" s="170"/>
      <c r="BD53" s="169"/>
      <c r="BE53" s="520"/>
      <c r="BF53" s="520"/>
      <c r="BG53" s="520"/>
      <c r="BH53" s="520"/>
      <c r="BI53" s="520"/>
      <c r="BJ53" s="520"/>
      <c r="BK53" s="520"/>
      <c r="BL53" s="520"/>
      <c r="BM53" s="520"/>
      <c r="BN53" s="520"/>
      <c r="BO53" s="520"/>
      <c r="BP53" s="169"/>
      <c r="BQ53" s="168"/>
      <c r="BR53" s="520"/>
      <c r="BS53" s="520"/>
      <c r="BT53" s="520"/>
      <c r="BU53" s="520"/>
      <c r="BV53" s="520"/>
      <c r="BW53" s="520"/>
      <c r="BX53" s="520"/>
      <c r="BY53" s="520"/>
      <c r="BZ53" s="520"/>
      <c r="CA53" s="520"/>
      <c r="CB53" s="520"/>
      <c r="CC53" s="171"/>
      <c r="CD53" s="93"/>
      <c r="CE53" s="93"/>
      <c r="CF53" s="74"/>
      <c r="CG53" s="29"/>
    </row>
    <row r="54" spans="1:85" s="3" customFormat="1" ht="19.5" customHeight="1">
      <c r="A54" s="28"/>
      <c r="B54" s="80"/>
      <c r="C54" s="92"/>
      <c r="D54" s="507" t="s">
        <v>116</v>
      </c>
      <c r="E54" s="508"/>
      <c r="F54" s="508"/>
      <c r="G54" s="509"/>
      <c r="H54" s="168"/>
      <c r="I54" s="510">
        <f>SUM(I23:R53)</f>
        <v>0</v>
      </c>
      <c r="J54" s="510"/>
      <c r="K54" s="510"/>
      <c r="L54" s="510"/>
      <c r="M54" s="510"/>
      <c r="N54" s="510"/>
      <c r="O54" s="510"/>
      <c r="P54" s="510"/>
      <c r="Q54" s="510"/>
      <c r="R54" s="510"/>
      <c r="S54" s="224"/>
      <c r="T54" s="225"/>
      <c r="U54" s="510">
        <f>SUM(U23:AD53)</f>
        <v>0</v>
      </c>
      <c r="V54" s="510"/>
      <c r="W54" s="510"/>
      <c r="X54" s="510"/>
      <c r="Y54" s="510"/>
      <c r="Z54" s="510"/>
      <c r="AA54" s="510"/>
      <c r="AB54" s="510"/>
      <c r="AC54" s="510"/>
      <c r="AD54" s="510"/>
      <c r="AE54" s="226"/>
      <c r="AF54" s="224"/>
      <c r="AG54" s="510">
        <f>SUM(AG23:AP53)</f>
        <v>0</v>
      </c>
      <c r="AH54" s="510"/>
      <c r="AI54" s="510"/>
      <c r="AJ54" s="510"/>
      <c r="AK54" s="510"/>
      <c r="AL54" s="510"/>
      <c r="AM54" s="510"/>
      <c r="AN54" s="510"/>
      <c r="AO54" s="510"/>
      <c r="AP54" s="510"/>
      <c r="AQ54" s="224"/>
      <c r="AR54" s="225"/>
      <c r="AS54" s="510">
        <f>SUM(AS23:BB53)</f>
        <v>0</v>
      </c>
      <c r="AT54" s="510"/>
      <c r="AU54" s="510"/>
      <c r="AV54" s="510"/>
      <c r="AW54" s="510"/>
      <c r="AX54" s="510"/>
      <c r="AY54" s="510"/>
      <c r="AZ54" s="510"/>
      <c r="BA54" s="510"/>
      <c r="BB54" s="510"/>
      <c r="BC54" s="170"/>
      <c r="BD54" s="168"/>
      <c r="BE54" s="520"/>
      <c r="BF54" s="520"/>
      <c r="BG54" s="520"/>
      <c r="BH54" s="520"/>
      <c r="BI54" s="520"/>
      <c r="BJ54" s="520"/>
      <c r="BK54" s="520"/>
      <c r="BL54" s="520"/>
      <c r="BM54" s="520"/>
      <c r="BN54" s="520"/>
      <c r="BO54" s="520"/>
      <c r="BP54" s="169"/>
      <c r="BQ54" s="169"/>
      <c r="BR54" s="520"/>
      <c r="BS54" s="520"/>
      <c r="BT54" s="520"/>
      <c r="BU54" s="520"/>
      <c r="BV54" s="520"/>
      <c r="BW54" s="520"/>
      <c r="BX54" s="520"/>
      <c r="BY54" s="520"/>
      <c r="BZ54" s="520"/>
      <c r="CA54" s="520"/>
      <c r="CB54" s="520"/>
      <c r="CC54" s="171"/>
      <c r="CD54" s="93"/>
      <c r="CE54" s="93"/>
      <c r="CF54" s="74"/>
      <c r="CG54" s="29"/>
    </row>
    <row r="55" spans="1:85" s="3" customFormat="1" ht="19.5" customHeight="1">
      <c r="A55" s="28"/>
      <c r="B55" s="80"/>
      <c r="C55" s="92"/>
      <c r="D55" s="504"/>
      <c r="E55" s="505"/>
      <c r="F55" s="505"/>
      <c r="G55" s="505"/>
      <c r="H55" s="505"/>
      <c r="I55" s="505"/>
      <c r="J55" s="505"/>
      <c r="K55" s="505"/>
      <c r="L55" s="505"/>
      <c r="M55" s="505"/>
      <c r="N55" s="505"/>
      <c r="O55" s="505"/>
      <c r="P55" s="505"/>
      <c r="Q55" s="505"/>
      <c r="R55" s="505"/>
      <c r="S55" s="505"/>
      <c r="T55" s="505"/>
      <c r="U55" s="505"/>
      <c r="V55" s="505"/>
      <c r="W55" s="505"/>
      <c r="X55" s="505"/>
      <c r="Y55" s="505"/>
      <c r="Z55" s="505"/>
      <c r="AA55" s="505"/>
      <c r="AB55" s="505"/>
      <c r="AC55" s="505"/>
      <c r="AD55" s="505"/>
      <c r="AE55" s="505"/>
      <c r="AF55" s="505"/>
      <c r="AG55" s="505"/>
      <c r="AH55" s="505"/>
      <c r="AI55" s="505"/>
      <c r="AJ55" s="505"/>
      <c r="AK55" s="505"/>
      <c r="AL55" s="505"/>
      <c r="AM55" s="505"/>
      <c r="AN55" s="505"/>
      <c r="AO55" s="505"/>
      <c r="AP55" s="505"/>
      <c r="AQ55" s="505"/>
      <c r="AR55" s="505"/>
      <c r="AS55" s="505"/>
      <c r="AT55" s="505"/>
      <c r="AU55" s="505"/>
      <c r="AV55" s="505"/>
      <c r="AW55" s="505"/>
      <c r="AX55" s="505"/>
      <c r="AY55" s="505"/>
      <c r="AZ55" s="505"/>
      <c r="BA55" s="505"/>
      <c r="BB55" s="505"/>
      <c r="BC55" s="505"/>
      <c r="BD55" s="505"/>
      <c r="BE55" s="505"/>
      <c r="BF55" s="505"/>
      <c r="BG55" s="505"/>
      <c r="BH55" s="505"/>
      <c r="BI55" s="505"/>
      <c r="BJ55" s="505"/>
      <c r="BK55" s="505"/>
      <c r="BL55" s="505"/>
      <c r="BM55" s="505"/>
      <c r="BN55" s="505"/>
      <c r="BO55" s="505"/>
      <c r="BP55" s="505"/>
      <c r="BQ55" s="505"/>
      <c r="BR55" s="505"/>
      <c r="BS55" s="505"/>
      <c r="BT55" s="505"/>
      <c r="BU55" s="505"/>
      <c r="BV55" s="505"/>
      <c r="BW55" s="505"/>
      <c r="BX55" s="505"/>
      <c r="BY55" s="505"/>
      <c r="BZ55" s="505"/>
      <c r="CA55" s="505"/>
      <c r="CB55" s="505"/>
      <c r="CC55" s="506"/>
      <c r="CD55" s="92"/>
      <c r="CE55" s="93"/>
      <c r="CF55" s="74"/>
      <c r="CG55" s="29"/>
    </row>
    <row r="56" spans="1:85" s="59" customFormat="1" ht="16.5" customHeight="1">
      <c r="A56" s="240"/>
      <c r="B56" s="227"/>
      <c r="C56" s="241"/>
      <c r="D56" s="241"/>
      <c r="E56" s="241"/>
      <c r="F56" s="241"/>
      <c r="G56" s="241"/>
      <c r="H56" s="241"/>
      <c r="I56" s="241"/>
      <c r="J56" s="241"/>
      <c r="K56" s="241"/>
      <c r="L56" s="242"/>
      <c r="M56" s="242"/>
      <c r="N56" s="242"/>
      <c r="O56" s="242"/>
      <c r="P56" s="242"/>
      <c r="Q56" s="242"/>
      <c r="R56" s="242"/>
      <c r="S56" s="242"/>
      <c r="T56" s="242"/>
      <c r="U56" s="242"/>
      <c r="V56" s="242"/>
      <c r="W56" s="242"/>
      <c r="X56" s="242"/>
      <c r="Y56" s="242"/>
      <c r="Z56" s="242"/>
      <c r="AA56" s="242"/>
      <c r="AB56" s="242"/>
      <c r="AC56" s="242"/>
      <c r="AD56" s="242"/>
      <c r="AE56" s="242"/>
      <c r="AF56" s="242"/>
      <c r="AG56" s="242"/>
      <c r="AH56" s="242"/>
      <c r="AI56" s="242"/>
      <c r="AJ56" s="242"/>
      <c r="AK56" s="242"/>
      <c r="AL56" s="242"/>
      <c r="AM56" s="242"/>
      <c r="AN56" s="242"/>
      <c r="AO56" s="242"/>
      <c r="AP56" s="242"/>
      <c r="AQ56" s="242"/>
      <c r="AR56" s="242"/>
      <c r="AS56" s="242"/>
      <c r="AT56" s="242"/>
      <c r="AU56" s="242"/>
      <c r="AV56" s="242"/>
      <c r="AW56" s="242"/>
      <c r="AX56" s="242"/>
      <c r="AY56" s="242"/>
      <c r="AZ56" s="242"/>
      <c r="BA56" s="242"/>
      <c r="BB56" s="242"/>
      <c r="BC56" s="242"/>
      <c r="BD56" s="242"/>
      <c r="BE56" s="242"/>
      <c r="BF56" s="242"/>
      <c r="BG56" s="242"/>
      <c r="BH56" s="242"/>
      <c r="BI56" s="242"/>
      <c r="BJ56" s="242"/>
      <c r="BK56" s="242"/>
      <c r="BL56" s="242"/>
      <c r="BM56" s="242"/>
      <c r="BN56" s="242"/>
      <c r="BO56" s="242"/>
      <c r="BP56" s="242"/>
      <c r="BQ56" s="242"/>
      <c r="BR56" s="242"/>
      <c r="BS56" s="242"/>
      <c r="BT56" s="242"/>
      <c r="BU56" s="242"/>
      <c r="BV56" s="242"/>
      <c r="BW56" s="242"/>
      <c r="BX56" s="242"/>
      <c r="BY56" s="242"/>
      <c r="BZ56" s="242"/>
      <c r="CA56" s="242"/>
      <c r="CB56" s="242"/>
      <c r="CC56" s="243"/>
      <c r="CD56" s="243"/>
      <c r="CE56" s="243"/>
      <c r="CF56" s="228"/>
      <c r="CG56" s="244"/>
    </row>
    <row r="57" spans="1:85" s="59" customFormat="1" ht="18.649999999999999" customHeight="1">
      <c r="A57" s="240"/>
      <c r="B57" s="227"/>
      <c r="C57" s="241"/>
      <c r="D57" s="309" t="s">
        <v>335</v>
      </c>
      <c r="E57" s="310"/>
      <c r="F57" s="310"/>
      <c r="G57" s="310"/>
      <c r="H57" s="310"/>
      <c r="I57" s="310"/>
      <c r="J57" s="310"/>
      <c r="K57" s="310"/>
      <c r="L57" s="310"/>
      <c r="M57" s="310"/>
      <c r="N57" s="310"/>
      <c r="O57" s="310"/>
      <c r="P57" s="310"/>
      <c r="Q57" s="310"/>
      <c r="R57" s="310"/>
      <c r="S57" s="310"/>
      <c r="T57" s="310"/>
      <c r="U57" s="310"/>
      <c r="V57" s="310"/>
      <c r="W57" s="310"/>
      <c r="X57" s="310"/>
      <c r="Y57" s="310"/>
      <c r="Z57" s="310"/>
      <c r="AA57" s="310"/>
      <c r="AB57" s="310"/>
      <c r="AC57" s="310"/>
      <c r="AD57" s="310"/>
      <c r="AE57" s="310"/>
      <c r="AF57" s="310"/>
      <c r="AG57" s="310"/>
      <c r="AH57" s="310"/>
      <c r="AI57" s="310"/>
      <c r="AJ57" s="310"/>
      <c r="AK57" s="310"/>
      <c r="AL57" s="310"/>
      <c r="AM57" s="310"/>
      <c r="AN57" s="310"/>
      <c r="AO57" s="310"/>
      <c r="AP57" s="310"/>
      <c r="AQ57" s="310"/>
      <c r="AR57" s="310"/>
      <c r="AS57" s="310"/>
      <c r="AT57" s="310"/>
      <c r="AU57" s="310"/>
      <c r="AV57" s="310"/>
      <c r="AW57" s="310"/>
      <c r="AX57" s="310"/>
      <c r="AY57" s="310"/>
      <c r="AZ57" s="310"/>
      <c r="BA57" s="310"/>
      <c r="BB57" s="310"/>
      <c r="BC57" s="310"/>
      <c r="BD57" s="310"/>
      <c r="BE57" s="310"/>
      <c r="BF57" s="310"/>
      <c r="BG57" s="310"/>
      <c r="BH57" s="310"/>
      <c r="BI57" s="310"/>
      <c r="BJ57" s="310"/>
      <c r="BK57" s="310"/>
      <c r="BL57" s="310"/>
      <c r="BM57" s="310"/>
      <c r="BN57" s="310"/>
      <c r="BO57" s="310"/>
      <c r="BP57" s="310"/>
      <c r="BQ57" s="310"/>
      <c r="BR57" s="310"/>
      <c r="BS57" s="310"/>
      <c r="BT57" s="310"/>
      <c r="BU57" s="310"/>
      <c r="BV57" s="310"/>
      <c r="BW57" s="310"/>
      <c r="BX57" s="310"/>
      <c r="BY57" s="310"/>
      <c r="BZ57" s="310"/>
      <c r="CA57" s="310"/>
      <c r="CB57" s="310"/>
      <c r="CC57" s="311"/>
      <c r="CD57" s="243"/>
      <c r="CE57" s="243"/>
      <c r="CF57" s="228"/>
      <c r="CG57" s="244"/>
    </row>
    <row r="58" spans="1:85" s="59" customFormat="1" ht="18.649999999999999" customHeight="1">
      <c r="A58" s="240"/>
      <c r="B58" s="227"/>
      <c r="C58" s="241"/>
      <c r="D58" s="521" t="s">
        <v>336</v>
      </c>
      <c r="E58" s="521"/>
      <c r="F58" s="521"/>
      <c r="G58" s="521"/>
      <c r="H58" s="521"/>
      <c r="I58" s="521"/>
      <c r="J58" s="521"/>
      <c r="K58" s="521"/>
      <c r="L58" s="521"/>
      <c r="M58" s="521"/>
      <c r="N58" s="521"/>
      <c r="O58" s="521"/>
      <c r="P58" s="521"/>
      <c r="Q58" s="521" t="s">
        <v>337</v>
      </c>
      <c r="R58" s="521"/>
      <c r="S58" s="521"/>
      <c r="T58" s="521"/>
      <c r="U58" s="521"/>
      <c r="V58" s="521"/>
      <c r="W58" s="521"/>
      <c r="X58" s="521"/>
      <c r="Y58" s="521"/>
      <c r="Z58" s="521"/>
      <c r="AA58" s="521"/>
      <c r="AB58" s="521"/>
      <c r="AC58" s="521"/>
      <c r="AD58" s="521" t="s">
        <v>338</v>
      </c>
      <c r="AE58" s="521"/>
      <c r="AF58" s="521"/>
      <c r="AG58" s="521"/>
      <c r="AH58" s="521"/>
      <c r="AI58" s="521"/>
      <c r="AJ58" s="521"/>
      <c r="AK58" s="521"/>
      <c r="AL58" s="521"/>
      <c r="AM58" s="521"/>
      <c r="AN58" s="521"/>
      <c r="AO58" s="521"/>
      <c r="AP58" s="521"/>
      <c r="AQ58" s="521"/>
      <c r="AR58" s="521"/>
      <c r="AS58" s="521"/>
      <c r="AT58" s="521"/>
      <c r="AU58" s="521"/>
      <c r="AV58" s="521"/>
      <c r="AW58" s="521"/>
      <c r="AX58" s="521"/>
      <c r="AY58" s="521"/>
      <c r="AZ58" s="521"/>
      <c r="BA58" s="521"/>
      <c r="BB58" s="521"/>
      <c r="BC58" s="521"/>
      <c r="BD58" s="309" t="s">
        <v>339</v>
      </c>
      <c r="BE58" s="310"/>
      <c r="BF58" s="310"/>
      <c r="BG58" s="310"/>
      <c r="BH58" s="310"/>
      <c r="BI58" s="310"/>
      <c r="BJ58" s="310"/>
      <c r="BK58" s="310"/>
      <c r="BL58" s="310"/>
      <c r="BM58" s="310"/>
      <c r="BN58" s="310"/>
      <c r="BO58" s="310"/>
      <c r="BP58" s="310"/>
      <c r="BQ58" s="310"/>
      <c r="BR58" s="310"/>
      <c r="BS58" s="310"/>
      <c r="BT58" s="310"/>
      <c r="BU58" s="310"/>
      <c r="BV58" s="310"/>
      <c r="BW58" s="310"/>
      <c r="BX58" s="310"/>
      <c r="BY58" s="310"/>
      <c r="BZ58" s="310"/>
      <c r="CA58" s="310"/>
      <c r="CB58" s="310"/>
      <c r="CC58" s="311"/>
      <c r="CD58" s="243"/>
      <c r="CE58" s="243"/>
      <c r="CF58" s="228"/>
      <c r="CG58" s="244"/>
    </row>
    <row r="59" spans="1:85" s="59" customFormat="1" ht="18.649999999999999" customHeight="1">
      <c r="A59" s="240"/>
      <c r="B59" s="227"/>
      <c r="C59" s="241"/>
      <c r="D59" s="229"/>
      <c r="E59" s="230"/>
      <c r="F59" s="230"/>
      <c r="G59" s="230"/>
      <c r="H59" s="230"/>
      <c r="I59" s="230"/>
      <c r="J59" s="230"/>
      <c r="K59" s="231"/>
      <c r="L59" s="232"/>
      <c r="M59" s="232"/>
      <c r="N59" s="232"/>
      <c r="O59" s="232"/>
      <c r="P59" s="233"/>
      <c r="Q59" s="108"/>
      <c r="R59" s="98"/>
      <c r="S59" s="98"/>
      <c r="T59" s="97"/>
      <c r="U59" s="97"/>
      <c r="V59" s="97"/>
      <c r="W59" s="97"/>
      <c r="X59" s="97"/>
      <c r="Y59" s="97"/>
      <c r="Z59" s="97"/>
      <c r="AA59" s="97"/>
      <c r="AB59" s="97"/>
      <c r="AC59" s="97"/>
      <c r="AD59" s="96"/>
      <c r="AE59" s="98"/>
      <c r="AF59" s="98"/>
      <c r="AG59" s="98"/>
      <c r="AH59" s="98"/>
      <c r="AI59" s="98"/>
      <c r="AJ59" s="98"/>
      <c r="AK59" s="98"/>
      <c r="AL59" s="98"/>
      <c r="AM59" s="98"/>
      <c r="AN59" s="98"/>
      <c r="AO59" s="98"/>
      <c r="AP59" s="98"/>
      <c r="AQ59" s="98"/>
      <c r="AR59" s="98"/>
      <c r="AS59" s="98"/>
      <c r="AT59" s="98"/>
      <c r="AU59" s="98"/>
      <c r="AV59" s="98"/>
      <c r="AW59" s="98"/>
      <c r="AX59" s="97"/>
      <c r="AY59" s="97"/>
      <c r="AZ59" s="97"/>
      <c r="BA59" s="97"/>
      <c r="BB59" s="97"/>
      <c r="BC59" s="99"/>
      <c r="BD59" s="97"/>
      <c r="BE59" s="97"/>
      <c r="BF59" s="97"/>
      <c r="BG59" s="97"/>
      <c r="BH59" s="97"/>
      <c r="BI59" s="97"/>
      <c r="BJ59" s="97"/>
      <c r="BK59" s="97"/>
      <c r="BL59" s="97"/>
      <c r="BM59" s="97"/>
      <c r="BN59" s="97"/>
      <c r="BO59" s="97"/>
      <c r="BP59" s="97"/>
      <c r="BQ59" s="97"/>
      <c r="BR59" s="97"/>
      <c r="BS59" s="97"/>
      <c r="BT59" s="97"/>
      <c r="BU59" s="98"/>
      <c r="BV59" s="98"/>
      <c r="BW59" s="98"/>
      <c r="BX59" s="98"/>
      <c r="BY59" s="98"/>
      <c r="BZ59" s="98"/>
      <c r="CA59" s="98"/>
      <c r="CB59" s="98"/>
      <c r="CC59" s="107"/>
      <c r="CD59" s="243"/>
      <c r="CE59" s="243"/>
      <c r="CF59" s="228"/>
      <c r="CG59" s="244"/>
    </row>
    <row r="60" spans="1:85" s="59" customFormat="1" ht="18.649999999999999" customHeight="1">
      <c r="A60" s="240"/>
      <c r="B60" s="227"/>
      <c r="C60" s="241"/>
      <c r="D60" s="96"/>
      <c r="E60" s="97"/>
      <c r="F60" s="97"/>
      <c r="G60" s="97"/>
      <c r="H60" s="97"/>
      <c r="I60" s="97"/>
      <c r="J60" s="97"/>
      <c r="K60" s="234"/>
      <c r="L60" s="98"/>
      <c r="M60" s="98"/>
      <c r="N60" s="98"/>
      <c r="O60" s="98"/>
      <c r="P60" s="107"/>
      <c r="Q60" s="108"/>
      <c r="R60" s="98"/>
      <c r="S60" s="98"/>
      <c r="T60" s="97"/>
      <c r="U60" s="97"/>
      <c r="V60" s="97"/>
      <c r="W60" s="97"/>
      <c r="X60" s="97"/>
      <c r="Y60" s="97"/>
      <c r="Z60" s="97"/>
      <c r="AA60" s="97"/>
      <c r="AB60" s="98"/>
      <c r="AC60" s="107"/>
      <c r="AD60" s="96"/>
      <c r="AE60" s="98"/>
      <c r="AF60" s="98"/>
      <c r="AG60" s="98"/>
      <c r="AH60" s="98"/>
      <c r="AI60" s="98"/>
      <c r="AJ60" s="98"/>
      <c r="AK60" s="98"/>
      <c r="AL60" s="98"/>
      <c r="AM60" s="98"/>
      <c r="AN60" s="98"/>
      <c r="AO60" s="98"/>
      <c r="AP60" s="98"/>
      <c r="AQ60" s="98"/>
      <c r="AR60" s="98"/>
      <c r="AS60" s="98"/>
      <c r="AT60" s="98"/>
      <c r="AU60" s="98"/>
      <c r="AV60" s="98"/>
      <c r="AW60" s="98"/>
      <c r="AX60" s="98"/>
      <c r="AY60" s="98"/>
      <c r="AZ60" s="97"/>
      <c r="BA60" s="97"/>
      <c r="BB60" s="97"/>
      <c r="BC60" s="99"/>
      <c r="BD60" s="97"/>
      <c r="BE60" s="97"/>
      <c r="BF60" s="97"/>
      <c r="BG60" s="97"/>
      <c r="BH60" s="97"/>
      <c r="BI60" s="97"/>
      <c r="BJ60" s="97"/>
      <c r="BK60" s="97"/>
      <c r="BL60" s="97"/>
      <c r="BM60" s="97"/>
      <c r="BN60" s="97"/>
      <c r="BO60" s="97"/>
      <c r="BP60" s="97"/>
      <c r="BQ60" s="97"/>
      <c r="BR60" s="97"/>
      <c r="BS60" s="97"/>
      <c r="BT60" s="97"/>
      <c r="BU60" s="98"/>
      <c r="BV60" s="98"/>
      <c r="BW60" s="98"/>
      <c r="BX60" s="98"/>
      <c r="BY60" s="98"/>
      <c r="BZ60" s="98"/>
      <c r="CA60" s="98"/>
      <c r="CB60" s="98"/>
      <c r="CC60" s="107"/>
      <c r="CD60" s="243"/>
      <c r="CE60" s="243"/>
      <c r="CF60" s="228"/>
      <c r="CG60" s="244"/>
    </row>
    <row r="61" spans="1:85" s="59" customFormat="1" ht="18.649999999999999" customHeight="1">
      <c r="A61" s="240"/>
      <c r="B61" s="227"/>
      <c r="C61" s="241"/>
      <c r="D61" s="96"/>
      <c r="E61" s="97"/>
      <c r="F61" s="97"/>
      <c r="G61" s="97"/>
      <c r="H61" s="97"/>
      <c r="I61" s="97"/>
      <c r="J61" s="97"/>
      <c r="K61" s="234"/>
      <c r="L61" s="98"/>
      <c r="M61" s="98"/>
      <c r="N61" s="98"/>
      <c r="O61" s="98"/>
      <c r="P61" s="107"/>
      <c r="Q61" s="108"/>
      <c r="R61" s="234"/>
      <c r="S61" s="97"/>
      <c r="T61" s="97"/>
      <c r="U61" s="97"/>
      <c r="V61" s="97"/>
      <c r="W61" s="97"/>
      <c r="X61" s="98"/>
      <c r="Y61" s="98"/>
      <c r="Z61" s="98"/>
      <c r="AA61" s="98"/>
      <c r="AB61" s="97"/>
      <c r="AC61" s="97"/>
      <c r="AD61" s="96"/>
      <c r="AE61" s="98"/>
      <c r="AF61" s="98"/>
      <c r="AG61" s="98"/>
      <c r="AH61" s="98"/>
      <c r="AI61" s="98"/>
      <c r="AJ61" s="98"/>
      <c r="AK61" s="98"/>
      <c r="AL61" s="98"/>
      <c r="AM61" s="98"/>
      <c r="AN61" s="98"/>
      <c r="AO61" s="98"/>
      <c r="AP61" s="98"/>
      <c r="AQ61" s="98"/>
      <c r="AR61" s="98"/>
      <c r="AS61" s="98"/>
      <c r="AT61" s="98"/>
      <c r="AU61" s="98"/>
      <c r="AV61" s="98"/>
      <c r="AW61" s="98"/>
      <c r="AX61" s="98"/>
      <c r="AY61" s="98"/>
      <c r="AZ61" s="97"/>
      <c r="BA61" s="97"/>
      <c r="BB61" s="97"/>
      <c r="BC61" s="99"/>
      <c r="BD61" s="97"/>
      <c r="BE61" s="97"/>
      <c r="BF61" s="97"/>
      <c r="BG61" s="235"/>
      <c r="BH61" s="235"/>
      <c r="BI61" s="97"/>
      <c r="BJ61" s="97"/>
      <c r="BK61" s="97"/>
      <c r="BL61" s="97"/>
      <c r="BM61" s="97"/>
      <c r="BN61" s="97"/>
      <c r="BO61" s="97"/>
      <c r="BP61" s="97"/>
      <c r="BQ61" s="97"/>
      <c r="BR61" s="97"/>
      <c r="BS61" s="97"/>
      <c r="BT61" s="236"/>
      <c r="BU61" s="97"/>
      <c r="BV61" s="97"/>
      <c r="BW61" s="236"/>
      <c r="BX61" s="97"/>
      <c r="BY61" s="97"/>
      <c r="BZ61" s="97"/>
      <c r="CA61" s="97"/>
      <c r="CB61" s="97"/>
      <c r="CC61" s="99"/>
      <c r="CD61" s="243"/>
      <c r="CE61" s="243"/>
      <c r="CF61" s="228"/>
      <c r="CG61" s="244"/>
    </row>
    <row r="62" spans="1:85" s="36" customFormat="1" ht="19.5" customHeight="1">
      <c r="A62" s="44"/>
      <c r="B62" s="80"/>
      <c r="C62" s="92"/>
      <c r="D62" s="130"/>
      <c r="E62" s="130"/>
      <c r="F62" s="130"/>
      <c r="G62" s="130"/>
      <c r="H62" s="131"/>
      <c r="I62" s="115"/>
      <c r="J62" s="115"/>
      <c r="K62" s="131"/>
      <c r="L62" s="115"/>
      <c r="M62" s="115"/>
      <c r="N62" s="115"/>
      <c r="O62" s="141"/>
      <c r="P62" s="141"/>
      <c r="Q62" s="141"/>
      <c r="R62" s="141"/>
      <c r="S62" s="142"/>
      <c r="T62" s="142"/>
      <c r="U62" s="142"/>
      <c r="V62" s="142"/>
      <c r="W62" s="143"/>
      <c r="X62" s="143"/>
      <c r="Y62" s="143"/>
      <c r="Z62" s="143"/>
      <c r="AA62" s="143"/>
      <c r="AB62" s="143"/>
      <c r="AC62" s="143"/>
      <c r="AD62" s="143"/>
      <c r="AE62" s="143"/>
      <c r="AF62" s="143"/>
      <c r="AG62" s="141"/>
      <c r="AH62" s="143"/>
      <c r="AI62" s="143"/>
      <c r="AJ62" s="143"/>
      <c r="AK62" s="143"/>
      <c r="AL62" s="143"/>
      <c r="AM62" s="143"/>
      <c r="AN62" s="143"/>
      <c r="AO62" s="143"/>
      <c r="AP62" s="143"/>
      <c r="AQ62" s="143"/>
      <c r="AR62" s="143"/>
      <c r="AS62" s="143"/>
      <c r="AT62" s="143"/>
      <c r="AU62" s="143"/>
      <c r="AV62" s="143"/>
      <c r="AW62" s="143"/>
      <c r="AX62" s="143"/>
      <c r="AY62" s="143"/>
      <c r="AZ62" s="143"/>
      <c r="BA62" s="143"/>
      <c r="BB62" s="143"/>
      <c r="BC62" s="143"/>
      <c r="BD62" s="143"/>
      <c r="BE62" s="143"/>
      <c r="BF62" s="143"/>
      <c r="BG62" s="143"/>
      <c r="BH62" s="143"/>
      <c r="BI62" s="143"/>
      <c r="BJ62" s="143"/>
      <c r="BK62" s="143"/>
      <c r="BL62" s="143"/>
      <c r="BM62" s="143"/>
      <c r="BN62" s="143"/>
      <c r="BO62" s="143"/>
      <c r="BP62" s="143"/>
      <c r="BQ62" s="143"/>
      <c r="BR62" s="143"/>
      <c r="BS62" s="143"/>
      <c r="BT62" s="143"/>
      <c r="BU62" s="143"/>
      <c r="BV62" s="143"/>
      <c r="BW62" s="143"/>
      <c r="BX62" s="132"/>
      <c r="BY62" s="133"/>
      <c r="BZ62" s="133"/>
      <c r="CA62" s="134"/>
      <c r="CB62" s="133"/>
      <c r="CC62" s="133"/>
      <c r="CD62" s="133"/>
      <c r="CE62" s="93"/>
      <c r="CF62" s="74"/>
      <c r="CG62" s="125"/>
    </row>
    <row r="63" spans="1:85" s="3" customFormat="1" ht="19.5" customHeight="1">
      <c r="A63" s="28"/>
      <c r="B63" s="80"/>
      <c r="C63" s="92"/>
      <c r="D63" s="113"/>
      <c r="E63" s="113"/>
      <c r="F63" s="113"/>
      <c r="G63" s="113"/>
      <c r="H63" s="114"/>
      <c r="I63" s="115"/>
      <c r="J63" s="114"/>
      <c r="K63" s="114"/>
      <c r="L63" s="114"/>
      <c r="M63" s="114"/>
      <c r="N63" s="114"/>
      <c r="O63" s="115"/>
      <c r="P63" s="114"/>
      <c r="Q63" s="114"/>
      <c r="R63" s="114"/>
      <c r="S63" s="114"/>
      <c r="T63" s="114"/>
      <c r="U63" s="115"/>
      <c r="V63" s="114"/>
      <c r="W63" s="116"/>
      <c r="X63" s="116"/>
      <c r="Y63" s="116"/>
      <c r="Z63" s="116"/>
      <c r="AA63" s="116"/>
      <c r="AB63" s="116"/>
      <c r="AC63" s="116"/>
      <c r="AD63" s="117"/>
      <c r="AE63" s="117"/>
      <c r="AF63" s="118"/>
      <c r="AG63" s="118"/>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8"/>
      <c r="CA63" s="118"/>
      <c r="CB63" s="114"/>
      <c r="CC63" s="114"/>
      <c r="CD63" s="93"/>
      <c r="CE63" s="93"/>
      <c r="CF63" s="74"/>
      <c r="CG63" s="29"/>
    </row>
    <row r="64" spans="1:85" s="3" customFormat="1" ht="8.25" customHeight="1" thickBot="1">
      <c r="A64" s="28"/>
      <c r="B64" s="81"/>
      <c r="C64" s="82"/>
      <c r="D64" s="82"/>
      <c r="E64" s="82"/>
      <c r="F64" s="82"/>
      <c r="G64" s="82"/>
      <c r="H64" s="82"/>
      <c r="I64" s="82"/>
      <c r="J64" s="82"/>
      <c r="K64" s="82"/>
      <c r="L64" s="75"/>
      <c r="M64" s="75"/>
      <c r="N64" s="75"/>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5"/>
      <c r="CA64" s="75"/>
      <c r="CB64" s="76"/>
      <c r="CC64" s="76"/>
      <c r="CD64" s="76"/>
      <c r="CE64" s="76"/>
      <c r="CF64" s="77"/>
      <c r="CG64" s="29"/>
    </row>
    <row r="65" spans="1:160" s="3" customFormat="1" ht="19.5" customHeight="1">
      <c r="A65" s="135"/>
      <c r="B65" s="136"/>
      <c r="C65" s="136"/>
      <c r="D65" s="137"/>
      <c r="E65" s="137"/>
      <c r="F65" s="137"/>
      <c r="G65" s="137"/>
      <c r="H65" s="137"/>
      <c r="I65" s="137"/>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c r="AN65" s="138"/>
      <c r="AO65" s="138"/>
      <c r="AP65" s="138"/>
      <c r="AQ65" s="138"/>
      <c r="AR65" s="137"/>
      <c r="AS65" s="137"/>
      <c r="AT65" s="137"/>
      <c r="AU65" s="137"/>
      <c r="AV65" s="137"/>
      <c r="AW65" s="137"/>
      <c r="AX65" s="137"/>
      <c r="AY65" s="137"/>
      <c r="AZ65" s="137"/>
      <c r="BA65" s="137"/>
      <c r="BB65" s="137"/>
      <c r="BC65" s="137"/>
      <c r="BD65" s="137"/>
      <c r="BE65" s="137"/>
      <c r="BF65" s="137"/>
      <c r="BG65" s="137"/>
      <c r="BH65" s="137"/>
      <c r="BI65" s="137"/>
      <c r="BJ65" s="137"/>
      <c r="BK65" s="137"/>
      <c r="BL65" s="137"/>
      <c r="BM65" s="137"/>
      <c r="BN65" s="137"/>
      <c r="BO65" s="137"/>
      <c r="BP65" s="137"/>
      <c r="BQ65" s="137"/>
      <c r="BR65" s="137"/>
      <c r="BS65" s="137"/>
      <c r="BT65" s="137"/>
      <c r="BU65" s="137"/>
      <c r="BV65" s="137"/>
      <c r="BW65" s="137"/>
      <c r="BX65" s="138"/>
      <c r="BY65" s="137"/>
      <c r="BZ65" s="137"/>
      <c r="CA65" s="137"/>
      <c r="CB65" s="138"/>
      <c r="CC65" s="138"/>
      <c r="CD65" s="137"/>
      <c r="CE65" s="137"/>
      <c r="CF65" s="139"/>
      <c r="CG65" s="140"/>
    </row>
    <row r="66" spans="1:160" ht="7.5" customHeight="1" thickBot="1">
      <c r="A66" s="15"/>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7"/>
    </row>
    <row r="67" spans="1:160" ht="14.25" customHeight="1">
      <c r="A67" s="126"/>
      <c r="B67" s="67"/>
      <c r="C67" s="68"/>
      <c r="D67" s="68"/>
      <c r="E67" s="68"/>
      <c r="F67" s="68"/>
      <c r="G67" s="68"/>
      <c r="H67" s="68"/>
      <c r="I67" s="68"/>
      <c r="J67" s="68"/>
      <c r="K67" s="68"/>
      <c r="L67" s="513" t="s">
        <v>86</v>
      </c>
      <c r="M67" s="514"/>
      <c r="N67" s="514"/>
      <c r="O67" s="514"/>
      <c r="P67" s="514"/>
      <c r="Q67" s="514"/>
      <c r="R67" s="514"/>
      <c r="S67" s="514"/>
      <c r="T67" s="514"/>
      <c r="U67" s="514"/>
      <c r="V67" s="514"/>
      <c r="W67" s="514"/>
      <c r="X67" s="514"/>
      <c r="Y67" s="514"/>
      <c r="Z67" s="514"/>
      <c r="AA67" s="514"/>
      <c r="AB67" s="514"/>
      <c r="AC67" s="514"/>
      <c r="AD67" s="514"/>
      <c r="AE67" s="514"/>
      <c r="AF67" s="514"/>
      <c r="AG67" s="514"/>
      <c r="AH67" s="514"/>
      <c r="AI67" s="514"/>
      <c r="AJ67" s="514"/>
      <c r="AK67" s="514"/>
      <c r="AL67" s="514"/>
      <c r="AM67" s="514"/>
      <c r="AN67" s="514"/>
      <c r="AO67" s="514"/>
      <c r="AP67" s="514"/>
      <c r="AQ67" s="514"/>
      <c r="AR67" s="514"/>
      <c r="AS67" s="514"/>
      <c r="AT67" s="514"/>
      <c r="AU67" s="514"/>
      <c r="AV67" s="514"/>
      <c r="AW67" s="514"/>
      <c r="AX67" s="514"/>
      <c r="AY67" s="514"/>
      <c r="AZ67" s="514"/>
      <c r="BA67" s="514"/>
      <c r="BB67" s="514"/>
      <c r="BC67" s="514"/>
      <c r="BD67" s="514"/>
      <c r="BE67" s="514"/>
      <c r="BF67" s="514"/>
      <c r="BG67" s="514"/>
      <c r="BH67" s="514"/>
      <c r="BI67" s="514"/>
      <c r="BJ67" s="514"/>
      <c r="BK67" s="514"/>
      <c r="BL67" s="514"/>
      <c r="BM67" s="514"/>
      <c r="BN67" s="514"/>
      <c r="BO67" s="514"/>
      <c r="BP67" s="514"/>
      <c r="BQ67" s="514"/>
      <c r="BR67" s="514"/>
      <c r="BS67" s="514"/>
      <c r="BT67" s="514"/>
      <c r="BU67" s="514"/>
      <c r="BV67" s="300" t="s">
        <v>62</v>
      </c>
      <c r="BW67" s="300"/>
      <c r="BX67" s="300"/>
      <c r="BY67" s="300"/>
      <c r="BZ67" s="300"/>
      <c r="CA67" s="300"/>
      <c r="CB67" s="300"/>
      <c r="CC67" s="300"/>
      <c r="CD67" s="300"/>
      <c r="CE67" s="300"/>
      <c r="CF67" s="301"/>
      <c r="CG67" s="127"/>
    </row>
    <row r="68" spans="1:160" ht="14.25" customHeight="1">
      <c r="A68" s="126"/>
      <c r="B68" s="69"/>
      <c r="C68" s="128"/>
      <c r="D68" s="128"/>
      <c r="E68" s="128"/>
      <c r="F68" s="128"/>
      <c r="G68" s="128"/>
      <c r="H68" s="128"/>
      <c r="I68" s="128"/>
      <c r="J68" s="128"/>
      <c r="K68" s="128"/>
      <c r="L68" s="515"/>
      <c r="M68" s="515"/>
      <c r="N68" s="515"/>
      <c r="O68" s="515"/>
      <c r="P68" s="515"/>
      <c r="Q68" s="515"/>
      <c r="R68" s="515"/>
      <c r="S68" s="515"/>
      <c r="T68" s="515"/>
      <c r="U68" s="515"/>
      <c r="V68" s="515"/>
      <c r="W68" s="515"/>
      <c r="X68" s="515"/>
      <c r="Y68" s="515"/>
      <c r="Z68" s="515"/>
      <c r="AA68" s="515"/>
      <c r="AB68" s="515"/>
      <c r="AC68" s="515"/>
      <c r="AD68" s="515"/>
      <c r="AE68" s="515"/>
      <c r="AF68" s="515"/>
      <c r="AG68" s="515"/>
      <c r="AH68" s="515"/>
      <c r="AI68" s="515"/>
      <c r="AJ68" s="515"/>
      <c r="AK68" s="515"/>
      <c r="AL68" s="515"/>
      <c r="AM68" s="515"/>
      <c r="AN68" s="515"/>
      <c r="AO68" s="515"/>
      <c r="AP68" s="515"/>
      <c r="AQ68" s="515"/>
      <c r="AR68" s="515"/>
      <c r="AS68" s="515"/>
      <c r="AT68" s="515"/>
      <c r="AU68" s="515"/>
      <c r="AV68" s="515"/>
      <c r="AW68" s="515"/>
      <c r="AX68" s="515"/>
      <c r="AY68" s="515"/>
      <c r="AZ68" s="515"/>
      <c r="BA68" s="515"/>
      <c r="BB68" s="515"/>
      <c r="BC68" s="515"/>
      <c r="BD68" s="515"/>
      <c r="BE68" s="515"/>
      <c r="BF68" s="515"/>
      <c r="BG68" s="515"/>
      <c r="BH68" s="515"/>
      <c r="BI68" s="515"/>
      <c r="BJ68" s="515"/>
      <c r="BK68" s="515"/>
      <c r="BL68" s="515"/>
      <c r="BM68" s="515"/>
      <c r="BN68" s="515"/>
      <c r="BO68" s="515"/>
      <c r="BP68" s="515"/>
      <c r="BQ68" s="515"/>
      <c r="BR68" s="515"/>
      <c r="BS68" s="515"/>
      <c r="BT68" s="515"/>
      <c r="BU68" s="515"/>
      <c r="BV68" s="302"/>
      <c r="BW68" s="302"/>
      <c r="BX68" s="302"/>
      <c r="BY68" s="302"/>
      <c r="BZ68" s="302"/>
      <c r="CA68" s="302"/>
      <c r="CB68" s="302"/>
      <c r="CC68" s="302"/>
      <c r="CD68" s="302"/>
      <c r="CE68" s="302"/>
      <c r="CF68" s="303"/>
      <c r="CG68" s="127"/>
    </row>
    <row r="69" spans="1:160" s="3" customFormat="1" ht="19.5" customHeight="1" thickBot="1">
      <c r="A69" s="28"/>
      <c r="B69" s="70"/>
      <c r="C69" s="71"/>
      <c r="D69" s="71"/>
      <c r="E69" s="71"/>
      <c r="F69" s="71"/>
      <c r="G69" s="71"/>
      <c r="H69" s="71"/>
      <c r="I69" s="71"/>
      <c r="J69" s="71"/>
      <c r="K69" s="71"/>
      <c r="L69" s="516"/>
      <c r="M69" s="516"/>
      <c r="N69" s="516"/>
      <c r="O69" s="516"/>
      <c r="P69" s="516"/>
      <c r="Q69" s="516"/>
      <c r="R69" s="516"/>
      <c r="S69" s="516"/>
      <c r="T69" s="516"/>
      <c r="U69" s="516"/>
      <c r="V69" s="516"/>
      <c r="W69" s="516"/>
      <c r="X69" s="516"/>
      <c r="Y69" s="516"/>
      <c r="Z69" s="516"/>
      <c r="AA69" s="516"/>
      <c r="AB69" s="516"/>
      <c r="AC69" s="516"/>
      <c r="AD69" s="516"/>
      <c r="AE69" s="516"/>
      <c r="AF69" s="516"/>
      <c r="AG69" s="516"/>
      <c r="AH69" s="516"/>
      <c r="AI69" s="516"/>
      <c r="AJ69" s="516"/>
      <c r="AK69" s="516"/>
      <c r="AL69" s="516"/>
      <c r="AM69" s="516"/>
      <c r="AN69" s="516"/>
      <c r="AO69" s="516"/>
      <c r="AP69" s="516"/>
      <c r="AQ69" s="516"/>
      <c r="AR69" s="516"/>
      <c r="AS69" s="516"/>
      <c r="AT69" s="516"/>
      <c r="AU69" s="516"/>
      <c r="AV69" s="516"/>
      <c r="AW69" s="516"/>
      <c r="AX69" s="516"/>
      <c r="AY69" s="516"/>
      <c r="AZ69" s="516"/>
      <c r="BA69" s="516"/>
      <c r="BB69" s="516"/>
      <c r="BC69" s="516"/>
      <c r="BD69" s="516"/>
      <c r="BE69" s="516"/>
      <c r="BF69" s="516"/>
      <c r="BG69" s="516"/>
      <c r="BH69" s="516"/>
      <c r="BI69" s="516"/>
      <c r="BJ69" s="516"/>
      <c r="BK69" s="516"/>
      <c r="BL69" s="516"/>
      <c r="BM69" s="516"/>
      <c r="BN69" s="516"/>
      <c r="BO69" s="516"/>
      <c r="BP69" s="516"/>
      <c r="BQ69" s="516"/>
      <c r="BR69" s="516"/>
      <c r="BS69" s="516"/>
      <c r="BT69" s="516"/>
      <c r="BU69" s="516"/>
      <c r="BV69" s="304"/>
      <c r="BW69" s="304"/>
      <c r="BX69" s="304"/>
      <c r="BY69" s="304"/>
      <c r="BZ69" s="304"/>
      <c r="CA69" s="304"/>
      <c r="CB69" s="304"/>
      <c r="CC69" s="304"/>
      <c r="CD69" s="304"/>
      <c r="CE69" s="304"/>
      <c r="CF69" s="305"/>
      <c r="CG69" s="29"/>
    </row>
    <row r="70" spans="1:160" s="3" customFormat="1" ht="19.5" customHeight="1" thickTop="1">
      <c r="A70" s="28"/>
      <c r="B70" s="78"/>
      <c r="C70" s="79"/>
      <c r="D70" s="223" t="s">
        <v>476</v>
      </c>
      <c r="E70" s="79"/>
      <c r="F70" s="79"/>
      <c r="G70" s="79"/>
      <c r="H70" s="150"/>
      <c r="I70" s="150"/>
      <c r="J70" s="150"/>
      <c r="K70" s="79"/>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c r="BO70" s="72"/>
      <c r="BP70" s="72"/>
      <c r="BQ70" s="72"/>
      <c r="BR70" s="72"/>
      <c r="BS70" s="72"/>
      <c r="BT70" s="72"/>
      <c r="BU70" s="72"/>
      <c r="BV70" s="72"/>
      <c r="BW70" s="72"/>
      <c r="BX70" s="72"/>
      <c r="BY70" s="72"/>
      <c r="BZ70" s="72"/>
      <c r="CA70" s="72"/>
      <c r="CB70" s="72"/>
      <c r="CC70" s="72"/>
      <c r="CD70" s="72"/>
      <c r="CE70" s="72"/>
      <c r="CF70" s="73"/>
      <c r="CG70" s="29"/>
    </row>
    <row r="71" spans="1:160" s="3" customFormat="1" ht="19.5" customHeight="1">
      <c r="A71" s="28"/>
      <c r="B71" s="80"/>
      <c r="C71" s="93"/>
      <c r="D71" s="306" t="s">
        <v>208</v>
      </c>
      <c r="E71" s="307"/>
      <c r="F71" s="307"/>
      <c r="G71" s="307"/>
      <c r="H71" s="307"/>
      <c r="I71" s="307"/>
      <c r="J71" s="307"/>
      <c r="K71" s="307"/>
      <c r="L71" s="307"/>
      <c r="M71" s="307"/>
      <c r="N71" s="307"/>
      <c r="O71" s="307"/>
      <c r="P71" s="307"/>
      <c r="Q71" s="307"/>
      <c r="R71" s="307"/>
      <c r="S71" s="307"/>
      <c r="T71" s="307"/>
      <c r="U71" s="307"/>
      <c r="V71" s="307"/>
      <c r="W71" s="307"/>
      <c r="X71" s="307"/>
      <c r="Y71" s="307"/>
      <c r="Z71" s="307"/>
      <c r="AA71" s="307"/>
      <c r="AB71" s="307"/>
      <c r="AC71" s="307"/>
      <c r="AD71" s="307"/>
      <c r="AE71" s="307"/>
      <c r="AF71" s="307"/>
      <c r="AG71" s="307"/>
      <c r="AH71" s="307"/>
      <c r="AI71" s="307"/>
      <c r="AJ71" s="307"/>
      <c r="AK71" s="307"/>
      <c r="AL71" s="307"/>
      <c r="AM71" s="307"/>
      <c r="AN71" s="307"/>
      <c r="AO71" s="307"/>
      <c r="AP71" s="307"/>
      <c r="AQ71" s="307"/>
      <c r="AR71" s="307"/>
      <c r="AS71" s="307"/>
      <c r="AT71" s="307"/>
      <c r="AU71" s="307"/>
      <c r="AV71" s="307"/>
      <c r="AW71" s="307"/>
      <c r="AX71" s="307"/>
      <c r="AY71" s="307"/>
      <c r="AZ71" s="307"/>
      <c r="BA71" s="307"/>
      <c r="BB71" s="307"/>
      <c r="BC71" s="307"/>
      <c r="BD71" s="307"/>
      <c r="BE71" s="307"/>
      <c r="BF71" s="307"/>
      <c r="BG71" s="307"/>
      <c r="BH71" s="307"/>
      <c r="BI71" s="307"/>
      <c r="BJ71" s="307"/>
      <c r="BK71" s="307"/>
      <c r="BL71" s="307"/>
      <c r="BM71" s="307"/>
      <c r="BN71" s="307"/>
      <c r="BO71" s="307"/>
      <c r="BP71" s="307"/>
      <c r="BQ71" s="307"/>
      <c r="BR71" s="307"/>
      <c r="BS71" s="307"/>
      <c r="BT71" s="307"/>
      <c r="BU71" s="307"/>
      <c r="BV71" s="307"/>
      <c r="BW71" s="307"/>
      <c r="BX71" s="307"/>
      <c r="BY71" s="307"/>
      <c r="BZ71" s="307"/>
      <c r="CA71" s="307"/>
      <c r="CB71" s="307"/>
      <c r="CC71" s="308"/>
      <c r="CD71" s="93"/>
      <c r="CE71" s="93"/>
      <c r="CF71" s="74"/>
      <c r="CG71" s="29"/>
    </row>
    <row r="72" spans="1:160" s="3" customFormat="1" ht="19.5" customHeight="1">
      <c r="A72" s="28"/>
      <c r="B72" s="80"/>
      <c r="C72" s="93"/>
      <c r="D72" s="129"/>
      <c r="E72" s="129"/>
      <c r="F72" s="129"/>
      <c r="G72" s="129"/>
      <c r="H72" s="129"/>
      <c r="I72" s="129"/>
      <c r="J72" s="129"/>
      <c r="K72" s="129"/>
      <c r="L72" s="129"/>
      <c r="M72" s="129"/>
      <c r="N72" s="129"/>
      <c r="O72" s="129"/>
      <c r="P72" s="129"/>
      <c r="Q72" s="129"/>
      <c r="R72" s="129"/>
      <c r="S72" s="129"/>
      <c r="T72" s="129"/>
      <c r="U72" s="129"/>
      <c r="V72" s="129"/>
      <c r="W72" s="95"/>
      <c r="X72" s="95"/>
      <c r="Y72" s="95"/>
      <c r="Z72" s="95"/>
      <c r="AA72" s="95"/>
      <c r="AB72" s="95"/>
      <c r="AC72" s="95"/>
      <c r="AD72" s="95"/>
      <c r="AE72" s="95"/>
      <c r="AF72" s="129"/>
      <c r="AG72" s="129"/>
      <c r="AH72" s="129"/>
      <c r="AI72" s="129"/>
      <c r="AJ72" s="129"/>
      <c r="AK72" s="129"/>
      <c r="AL72" s="129"/>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29"/>
      <c r="BQ72" s="129"/>
      <c r="BR72" s="129"/>
      <c r="BS72" s="129"/>
      <c r="BT72" s="129"/>
      <c r="BU72" s="129"/>
      <c r="BV72" s="129"/>
      <c r="BW72" s="129"/>
      <c r="BX72" s="129"/>
      <c r="BY72" s="101"/>
      <c r="BZ72" s="129"/>
      <c r="CA72" s="129"/>
      <c r="CB72" s="101"/>
      <c r="CC72" s="129"/>
      <c r="CD72" s="93"/>
      <c r="CE72" s="93"/>
      <c r="CF72" s="74"/>
      <c r="CG72" s="29"/>
    </row>
    <row r="73" spans="1:160" s="3" customFormat="1" ht="19.5" customHeight="1">
      <c r="A73" s="28"/>
      <c r="B73" s="80"/>
      <c r="C73" s="93"/>
      <c r="D73" s="288" t="s">
        <v>100</v>
      </c>
      <c r="E73" s="289"/>
      <c r="F73" s="289"/>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89"/>
      <c r="AH73" s="289"/>
      <c r="AI73" s="289"/>
      <c r="AJ73" s="289"/>
      <c r="AK73" s="289"/>
      <c r="AL73" s="289"/>
      <c r="AM73" s="289"/>
      <c r="AN73" s="289"/>
      <c r="AO73" s="289"/>
      <c r="AP73" s="289"/>
      <c r="AQ73" s="289"/>
      <c r="AR73" s="289"/>
      <c r="AS73" s="289"/>
      <c r="AT73" s="289"/>
      <c r="AU73" s="289"/>
      <c r="AV73" s="289"/>
      <c r="AW73" s="289"/>
      <c r="AX73" s="289"/>
      <c r="AY73" s="289"/>
      <c r="AZ73" s="289"/>
      <c r="BA73" s="289"/>
      <c r="BB73" s="289"/>
      <c r="BC73" s="289"/>
      <c r="BD73" s="289"/>
      <c r="BE73" s="289"/>
      <c r="BF73" s="289"/>
      <c r="BG73" s="289"/>
      <c r="BH73" s="289"/>
      <c r="BI73" s="289"/>
      <c r="BJ73" s="289"/>
      <c r="BK73" s="289"/>
      <c r="BL73" s="289"/>
      <c r="BM73" s="289"/>
      <c r="BN73" s="289"/>
      <c r="BO73" s="289"/>
      <c r="BP73" s="289"/>
      <c r="BQ73" s="289"/>
      <c r="BR73" s="289"/>
      <c r="BS73" s="289"/>
      <c r="BT73" s="289"/>
      <c r="BU73" s="289"/>
      <c r="BV73" s="289"/>
      <c r="BW73" s="289"/>
      <c r="BX73" s="289"/>
      <c r="BY73" s="289"/>
      <c r="BZ73" s="289"/>
      <c r="CA73" s="289"/>
      <c r="CB73" s="289"/>
      <c r="CC73" s="290"/>
      <c r="CD73" s="93"/>
      <c r="CE73" s="93"/>
      <c r="CF73" s="74"/>
      <c r="CG73" s="29"/>
    </row>
    <row r="74" spans="1:160" s="3" customFormat="1" ht="19.5" customHeight="1">
      <c r="A74" s="28"/>
      <c r="B74" s="80"/>
      <c r="C74" s="93"/>
      <c r="D74" s="96" t="s">
        <v>89</v>
      </c>
      <c r="E74" s="97"/>
      <c r="F74" s="97"/>
      <c r="G74" s="97"/>
      <c r="H74" s="97"/>
      <c r="I74" s="97"/>
      <c r="J74" s="99"/>
      <c r="K74" s="97"/>
      <c r="L74" s="97" t="s">
        <v>108</v>
      </c>
      <c r="M74" s="97"/>
      <c r="N74" s="97"/>
      <c r="O74" s="97" t="s">
        <v>209</v>
      </c>
      <c r="P74" s="97"/>
      <c r="Q74" s="97"/>
      <c r="R74" s="97"/>
      <c r="S74" s="97"/>
      <c r="T74" s="97"/>
      <c r="U74" s="97"/>
      <c r="V74" s="97"/>
      <c r="W74" s="98"/>
      <c r="X74" s="97"/>
      <c r="Y74" s="97"/>
      <c r="Z74" s="97"/>
      <c r="AA74" s="97"/>
      <c r="AB74" s="97"/>
      <c r="AC74" s="97"/>
      <c r="AD74" s="99"/>
      <c r="AE74" s="96" t="s">
        <v>90</v>
      </c>
      <c r="AF74" s="97"/>
      <c r="AG74" s="97"/>
      <c r="AH74" s="97"/>
      <c r="AI74" s="97"/>
      <c r="AJ74" s="97"/>
      <c r="AK74" s="97"/>
      <c r="AL74" s="99"/>
      <c r="AM74" s="97" t="s">
        <v>223</v>
      </c>
      <c r="AN74" s="97"/>
      <c r="AO74" s="97"/>
      <c r="AP74" s="97"/>
      <c r="AQ74" s="97"/>
      <c r="AR74" s="97"/>
      <c r="AS74" s="97"/>
      <c r="AT74" s="97"/>
      <c r="AU74" s="97"/>
      <c r="AV74" s="97"/>
      <c r="AW74" s="97"/>
      <c r="AX74" s="97"/>
      <c r="AY74" s="97"/>
      <c r="AZ74" s="97"/>
      <c r="BA74" s="97"/>
      <c r="BB74" s="97"/>
      <c r="BC74" s="97"/>
      <c r="BD74" s="97"/>
      <c r="BE74" s="97"/>
      <c r="BF74" s="97"/>
      <c r="BG74" s="96" t="s">
        <v>91</v>
      </c>
      <c r="BH74" s="97"/>
      <c r="BI74" s="97"/>
      <c r="BJ74" s="97"/>
      <c r="BK74" s="97"/>
      <c r="BL74" s="97"/>
      <c r="BM74" s="99"/>
      <c r="BN74" s="97"/>
      <c r="BO74" s="97" t="s">
        <v>222</v>
      </c>
      <c r="BP74" s="97"/>
      <c r="BQ74" s="97"/>
      <c r="BR74" s="97"/>
      <c r="BS74" s="98" t="s">
        <v>210</v>
      </c>
      <c r="BT74" s="97"/>
      <c r="BU74" s="97"/>
      <c r="BV74" s="97"/>
      <c r="BW74" s="98"/>
      <c r="BX74" s="98"/>
      <c r="BY74" s="98"/>
      <c r="BZ74" s="97"/>
      <c r="CA74" s="97"/>
      <c r="CB74" s="97"/>
      <c r="CC74" s="99"/>
      <c r="CD74" s="93"/>
      <c r="CE74" s="93"/>
      <c r="CF74" s="74"/>
      <c r="CG74" s="29"/>
      <c r="CL74" s="151"/>
      <c r="CM74" s="151"/>
      <c r="CN74" s="151"/>
      <c r="CO74" s="151"/>
      <c r="CP74" s="151"/>
      <c r="CQ74" s="151"/>
      <c r="CR74" s="151"/>
      <c r="CS74" s="151"/>
      <c r="CT74" s="151"/>
      <c r="CU74" s="151"/>
      <c r="CV74" s="151"/>
      <c r="CW74" s="151"/>
      <c r="CX74" s="151"/>
      <c r="CY74" s="151"/>
      <c r="CZ74" s="151"/>
      <c r="DA74" s="151"/>
      <c r="DB74" s="151"/>
      <c r="DC74" s="151"/>
      <c r="DD74" s="151"/>
      <c r="DE74" s="151"/>
      <c r="DF74" s="151"/>
      <c r="DG74" s="151"/>
      <c r="DH74" s="151"/>
      <c r="DI74" s="151"/>
      <c r="DJ74" s="151"/>
      <c r="DK74" s="151"/>
      <c r="DL74" s="151"/>
      <c r="DM74" s="151"/>
      <c r="DN74" s="151"/>
      <c r="DO74" s="151"/>
      <c r="DP74" s="151"/>
      <c r="DQ74" s="151"/>
      <c r="DR74" s="151"/>
      <c r="DS74" s="151"/>
      <c r="DT74" s="151"/>
      <c r="DU74" s="151"/>
      <c r="DV74" s="151"/>
      <c r="DW74" s="151"/>
      <c r="DX74" s="151"/>
      <c r="DY74" s="151"/>
      <c r="DZ74" s="151"/>
      <c r="EA74" s="151"/>
      <c r="EB74" s="151"/>
      <c r="EC74" s="151"/>
      <c r="ED74" s="151"/>
      <c r="EE74" s="151"/>
      <c r="EF74" s="151"/>
      <c r="EG74" s="151"/>
      <c r="EH74" s="151"/>
      <c r="EI74" s="151"/>
      <c r="EJ74" s="151"/>
      <c r="EK74" s="151"/>
      <c r="EL74" s="151"/>
      <c r="EM74" s="151"/>
      <c r="EN74" s="151"/>
      <c r="EO74" s="151"/>
      <c r="EP74" s="151"/>
      <c r="EQ74" s="151"/>
      <c r="ER74" s="151"/>
      <c r="ES74" s="151"/>
      <c r="ET74" s="151"/>
      <c r="EU74" s="151"/>
      <c r="EV74" s="151"/>
      <c r="EW74" s="151"/>
      <c r="EX74" s="151"/>
      <c r="EY74" s="151"/>
      <c r="EZ74" s="151"/>
      <c r="FA74" s="151"/>
      <c r="FB74" s="151"/>
      <c r="FC74" s="151"/>
      <c r="FD74" s="151"/>
    </row>
    <row r="75" spans="1:160" s="3" customFormat="1" ht="19.5" customHeight="1">
      <c r="A75" s="28"/>
      <c r="B75" s="80"/>
      <c r="C75" s="92"/>
      <c r="D75" s="108" t="s">
        <v>93</v>
      </c>
      <c r="E75" s="98"/>
      <c r="F75" s="98"/>
      <c r="G75" s="98"/>
      <c r="H75" s="98"/>
      <c r="I75" s="98"/>
      <c r="J75" s="107"/>
      <c r="K75" s="98"/>
      <c r="L75" s="98" t="s">
        <v>221</v>
      </c>
      <c r="M75" s="98"/>
      <c r="N75" s="98"/>
      <c r="O75" s="98"/>
      <c r="P75" s="98"/>
      <c r="Q75" s="98"/>
      <c r="R75" s="153" t="s">
        <v>211</v>
      </c>
      <c r="S75" s="98"/>
      <c r="T75" s="98"/>
      <c r="U75" s="98"/>
      <c r="V75" s="153"/>
      <c r="W75" s="153"/>
      <c r="X75" s="105"/>
      <c r="Y75" s="105"/>
      <c r="Z75" s="105"/>
      <c r="AA75" s="105"/>
      <c r="AB75" s="105"/>
      <c r="AC75" s="105"/>
      <c r="AD75" s="111"/>
      <c r="AE75" s="119" t="s">
        <v>73</v>
      </c>
      <c r="AF75" s="98"/>
      <c r="AG75" s="98"/>
      <c r="AH75" s="98"/>
      <c r="AI75" s="98"/>
      <c r="AJ75" s="98"/>
      <c r="AK75" s="98"/>
      <c r="AL75" s="107"/>
      <c r="AM75" s="98"/>
      <c r="AN75" s="98" t="s">
        <v>71</v>
      </c>
      <c r="AO75" s="98"/>
      <c r="AP75" s="98"/>
      <c r="AQ75" s="98"/>
      <c r="AR75" s="98"/>
      <c r="AS75" s="98"/>
      <c r="AT75" s="98"/>
      <c r="AU75" s="98"/>
      <c r="AV75" s="98"/>
      <c r="AW75" s="98"/>
      <c r="AX75" s="98"/>
      <c r="AY75" s="98"/>
      <c r="AZ75" s="98"/>
      <c r="BA75" s="98"/>
      <c r="BB75" s="98"/>
      <c r="BC75" s="98"/>
      <c r="BD75" s="98"/>
      <c r="BE75" s="98"/>
      <c r="BF75" s="98"/>
      <c r="BG75" s="108" t="s">
        <v>74</v>
      </c>
      <c r="BH75" s="98"/>
      <c r="BI75" s="98"/>
      <c r="BJ75" s="98"/>
      <c r="BK75" s="98"/>
      <c r="BL75" s="98"/>
      <c r="BM75" s="107"/>
      <c r="BN75" s="109"/>
      <c r="BO75" s="98" t="s">
        <v>72</v>
      </c>
      <c r="BP75" s="98"/>
      <c r="BQ75" s="98"/>
      <c r="BR75" s="98"/>
      <c r="BS75" s="98"/>
      <c r="BT75" s="98"/>
      <c r="BU75" s="103"/>
      <c r="BV75" s="103"/>
      <c r="BW75" s="103"/>
      <c r="BX75" s="103"/>
      <c r="BY75" s="103"/>
      <c r="BZ75" s="103"/>
      <c r="CA75" s="103"/>
      <c r="CB75" s="103"/>
      <c r="CC75" s="104"/>
      <c r="CD75" s="92"/>
      <c r="CE75" s="93"/>
      <c r="CF75" s="74"/>
      <c r="CG75" s="29"/>
      <c r="CL75" s="151"/>
      <c r="CM75" s="151"/>
      <c r="CN75" s="151"/>
      <c r="CO75" s="151"/>
      <c r="CP75" s="151"/>
      <c r="CQ75" s="151"/>
      <c r="CR75" s="151"/>
      <c r="CS75" s="151"/>
      <c r="CT75" s="151"/>
      <c r="CU75" s="151"/>
      <c r="CV75" s="151"/>
      <c r="CW75" s="151"/>
      <c r="CX75" s="151"/>
      <c r="CY75" s="151"/>
      <c r="CZ75" s="151"/>
      <c r="DA75" s="151"/>
      <c r="DB75" s="151"/>
      <c r="DC75" s="151"/>
      <c r="DD75" s="151"/>
      <c r="DE75" s="151"/>
      <c r="DF75" s="151"/>
      <c r="DG75" s="151"/>
      <c r="DH75" s="151"/>
      <c r="DI75" s="151"/>
      <c r="DJ75" s="151"/>
      <c r="DK75" s="151"/>
      <c r="DL75" s="151"/>
      <c r="DM75" s="151"/>
      <c r="DN75" s="151"/>
      <c r="DO75" s="151"/>
      <c r="DP75" s="151"/>
      <c r="DQ75" s="151"/>
      <c r="DR75" s="151"/>
      <c r="DS75" s="151"/>
      <c r="DT75" s="151"/>
      <c r="DU75" s="151"/>
      <c r="DV75" s="151"/>
      <c r="DW75" s="151"/>
      <c r="DX75" s="151"/>
      <c r="DY75" s="151"/>
      <c r="DZ75" s="151"/>
      <c r="EA75" s="151"/>
      <c r="EB75" s="151"/>
      <c r="EC75" s="151"/>
      <c r="ED75" s="151"/>
      <c r="EE75" s="151"/>
      <c r="EF75" s="151"/>
      <c r="EG75" s="151"/>
      <c r="EH75" s="151"/>
      <c r="EI75" s="151"/>
      <c r="EJ75" s="151"/>
      <c r="EK75" s="151"/>
      <c r="EL75" s="151"/>
      <c r="EM75" s="151"/>
      <c r="EN75" s="151"/>
      <c r="EO75" s="151"/>
      <c r="EP75" s="151"/>
      <c r="EQ75" s="151"/>
      <c r="ER75" s="151"/>
      <c r="ES75" s="151"/>
      <c r="ET75" s="151"/>
      <c r="EU75" s="151"/>
      <c r="EV75" s="151"/>
      <c r="EW75" s="151"/>
      <c r="EX75" s="151"/>
      <c r="EY75" s="151"/>
      <c r="EZ75" s="151"/>
      <c r="FA75" s="151"/>
      <c r="FB75" s="151"/>
      <c r="FC75" s="151"/>
      <c r="FD75" s="151"/>
    </row>
    <row r="76" spans="1:160" s="3" customFormat="1" ht="19.5" customHeight="1">
      <c r="A76" s="28"/>
      <c r="B76" s="80"/>
      <c r="C76" s="92"/>
      <c r="D76" s="110" t="s">
        <v>92</v>
      </c>
      <c r="E76" s="106"/>
      <c r="F76" s="106"/>
      <c r="G76" s="106"/>
      <c r="H76" s="106"/>
      <c r="I76" s="98"/>
      <c r="J76" s="107"/>
      <c r="K76" s="109"/>
      <c r="L76" s="98" t="s">
        <v>102</v>
      </c>
      <c r="M76" s="98"/>
      <c r="N76" s="98"/>
      <c r="O76" s="98"/>
      <c r="P76" s="98"/>
      <c r="Q76" s="98"/>
      <c r="R76" s="98"/>
      <c r="S76" s="98"/>
      <c r="T76" s="98"/>
      <c r="U76" s="98"/>
      <c r="V76" s="98"/>
      <c r="W76" s="105"/>
      <c r="X76" s="105"/>
      <c r="Y76" s="105"/>
      <c r="Z76" s="105"/>
      <c r="AA76" s="105"/>
      <c r="AB76" s="105"/>
      <c r="AC76" s="105"/>
      <c r="AD76" s="111"/>
      <c r="AE76" s="119" t="s">
        <v>226</v>
      </c>
      <c r="AF76" s="98"/>
      <c r="AG76" s="98"/>
      <c r="AH76" s="98"/>
      <c r="AI76" s="98"/>
      <c r="AJ76" s="98"/>
      <c r="AK76" s="98"/>
      <c r="AL76" s="107"/>
      <c r="AM76" s="98"/>
      <c r="AN76" s="98" t="s">
        <v>227</v>
      </c>
      <c r="AO76" s="98"/>
      <c r="AP76" s="98"/>
      <c r="AQ76" s="98"/>
      <c r="AR76" s="98"/>
      <c r="AS76" s="98"/>
      <c r="AT76" s="98"/>
      <c r="AU76" s="98"/>
      <c r="AV76" s="98"/>
      <c r="AW76" s="98"/>
      <c r="AX76" s="98"/>
      <c r="AY76" s="98"/>
      <c r="AZ76" s="98"/>
      <c r="BA76" s="98"/>
      <c r="BB76" s="98"/>
      <c r="BC76" s="98"/>
      <c r="BD76" s="98"/>
      <c r="BE76" s="98"/>
      <c r="BF76" s="98"/>
      <c r="BG76" s="108" t="s">
        <v>231</v>
      </c>
      <c r="BH76" s="98"/>
      <c r="BI76" s="98"/>
      <c r="BJ76" s="98"/>
      <c r="BK76" s="98"/>
      <c r="BL76" s="98"/>
      <c r="BM76" s="107"/>
      <c r="BN76" s="109"/>
      <c r="BO76" s="98"/>
      <c r="BP76" s="98"/>
      <c r="BQ76" s="98"/>
      <c r="BR76" s="98"/>
      <c r="BS76" s="98"/>
      <c r="BT76" s="98"/>
      <c r="BU76" s="98"/>
      <c r="BV76" s="98"/>
      <c r="BW76" s="98"/>
      <c r="BX76" s="98"/>
      <c r="BY76" s="98"/>
      <c r="BZ76" s="98"/>
      <c r="CA76" s="98"/>
      <c r="CB76" s="98"/>
      <c r="CC76" s="107"/>
      <c r="CD76" s="92"/>
      <c r="CE76" s="93"/>
      <c r="CF76" s="74"/>
      <c r="CG76" s="29"/>
      <c r="CL76" s="151"/>
      <c r="CM76" s="151"/>
      <c r="CN76" s="151"/>
      <c r="CO76" s="151"/>
      <c r="CP76" s="151"/>
      <c r="CQ76" s="151"/>
      <c r="CR76" s="151"/>
      <c r="CS76" s="151"/>
      <c r="CT76" s="151"/>
      <c r="CU76" s="151"/>
      <c r="CV76" s="151"/>
      <c r="CW76" s="151"/>
      <c r="CX76" s="151"/>
      <c r="CY76" s="151"/>
      <c r="CZ76" s="151"/>
      <c r="DA76" s="151"/>
      <c r="DB76" s="151"/>
      <c r="DC76" s="151"/>
      <c r="DD76" s="151"/>
      <c r="DE76" s="151"/>
      <c r="DF76" s="151"/>
      <c r="DG76" s="151"/>
      <c r="DH76" s="151"/>
      <c r="DI76" s="151"/>
      <c r="DJ76" s="151"/>
      <c r="DK76" s="151"/>
      <c r="DL76" s="151"/>
      <c r="DM76" s="151"/>
      <c r="DN76" s="151"/>
      <c r="DO76" s="151"/>
      <c r="DP76" s="151"/>
      <c r="DQ76" s="151"/>
      <c r="DR76" s="151"/>
      <c r="DS76" s="151"/>
      <c r="DT76" s="151"/>
      <c r="DU76" s="151"/>
      <c r="DV76" s="151"/>
      <c r="DW76" s="151"/>
      <c r="DX76" s="151"/>
      <c r="DY76" s="151"/>
      <c r="DZ76" s="151"/>
      <c r="EA76" s="151"/>
      <c r="EB76" s="151"/>
      <c r="EC76" s="151"/>
      <c r="ED76" s="151"/>
      <c r="EE76" s="151"/>
      <c r="EF76" s="151"/>
      <c r="EG76" s="151"/>
      <c r="EH76" s="151"/>
      <c r="EI76" s="151"/>
      <c r="EJ76" s="151"/>
      <c r="EK76" s="151"/>
      <c r="EL76" s="151"/>
      <c r="EM76" s="151"/>
      <c r="EN76" s="151"/>
      <c r="EO76" s="151"/>
      <c r="EP76" s="151"/>
      <c r="EQ76" s="151"/>
      <c r="ER76" s="151"/>
      <c r="ES76" s="151"/>
      <c r="ET76" s="151"/>
      <c r="EU76" s="151"/>
      <c r="EV76" s="151"/>
      <c r="EW76" s="151"/>
      <c r="EX76" s="151"/>
      <c r="EY76" s="151"/>
      <c r="EZ76" s="151"/>
      <c r="FA76" s="151"/>
      <c r="FB76" s="151"/>
      <c r="FC76" s="151"/>
      <c r="FD76" s="151"/>
    </row>
    <row r="77" spans="1:160" s="3" customFormat="1" ht="19.5" customHeight="1">
      <c r="A77" s="28"/>
      <c r="B77" s="80"/>
      <c r="C77" s="92"/>
      <c r="D77" s="504"/>
      <c r="E77" s="505"/>
      <c r="F77" s="505"/>
      <c r="G77" s="505"/>
      <c r="H77" s="505"/>
      <c r="I77" s="505"/>
      <c r="J77" s="505"/>
      <c r="K77" s="505"/>
      <c r="L77" s="505"/>
      <c r="M77" s="505"/>
      <c r="N77" s="505"/>
      <c r="O77" s="505"/>
      <c r="P77" s="505"/>
      <c r="Q77" s="505"/>
      <c r="R77" s="505"/>
      <c r="S77" s="505"/>
      <c r="T77" s="505"/>
      <c r="U77" s="505"/>
      <c r="V77" s="505"/>
      <c r="W77" s="505"/>
      <c r="X77" s="505"/>
      <c r="Y77" s="505"/>
      <c r="Z77" s="505"/>
      <c r="AA77" s="505"/>
      <c r="AB77" s="505"/>
      <c r="AC77" s="505"/>
      <c r="AD77" s="505"/>
      <c r="AE77" s="505"/>
      <c r="AF77" s="505"/>
      <c r="AG77" s="505"/>
      <c r="AH77" s="505"/>
      <c r="AI77" s="505"/>
      <c r="AJ77" s="505"/>
      <c r="AK77" s="505"/>
      <c r="AL77" s="505"/>
      <c r="AM77" s="505"/>
      <c r="AN77" s="505"/>
      <c r="AO77" s="505"/>
      <c r="AP77" s="505"/>
      <c r="AQ77" s="505"/>
      <c r="AR77" s="505"/>
      <c r="AS77" s="505"/>
      <c r="AT77" s="505"/>
      <c r="AU77" s="505"/>
      <c r="AV77" s="505"/>
      <c r="AW77" s="505"/>
      <c r="AX77" s="505"/>
      <c r="AY77" s="505"/>
      <c r="AZ77" s="505"/>
      <c r="BA77" s="505"/>
      <c r="BB77" s="505"/>
      <c r="BC77" s="505"/>
      <c r="BD77" s="505"/>
      <c r="BE77" s="505"/>
      <c r="BF77" s="505"/>
      <c r="BG77" s="505"/>
      <c r="BH77" s="505"/>
      <c r="BI77" s="505"/>
      <c r="BJ77" s="505"/>
      <c r="BK77" s="505"/>
      <c r="BL77" s="505"/>
      <c r="BM77" s="505"/>
      <c r="BN77" s="505"/>
      <c r="BO77" s="505"/>
      <c r="BP77" s="505"/>
      <c r="BQ77" s="505"/>
      <c r="BR77" s="505"/>
      <c r="BS77" s="505"/>
      <c r="BT77" s="505"/>
      <c r="BU77" s="505"/>
      <c r="BV77" s="505"/>
      <c r="BW77" s="505"/>
      <c r="BX77" s="505"/>
      <c r="BY77" s="505"/>
      <c r="BZ77" s="505"/>
      <c r="CA77" s="505"/>
      <c r="CB77" s="505"/>
      <c r="CC77" s="506"/>
      <c r="CD77" s="92"/>
      <c r="CE77" s="93"/>
      <c r="CF77" s="74"/>
      <c r="CG77" s="29"/>
    </row>
    <row r="78" spans="1:160" s="3" customFormat="1" ht="10.5" customHeight="1">
      <c r="A78" s="28"/>
      <c r="B78" s="80"/>
      <c r="C78" s="93"/>
      <c r="D78" s="100"/>
      <c r="E78" s="100"/>
      <c r="F78" s="100"/>
      <c r="G78" s="100"/>
      <c r="H78" s="100"/>
      <c r="I78" s="101"/>
      <c r="J78" s="101"/>
      <c r="K78" s="101"/>
      <c r="L78" s="101"/>
      <c r="M78" s="101"/>
      <c r="N78" s="101"/>
      <c r="O78" s="101"/>
      <c r="P78" s="101"/>
      <c r="Q78" s="101"/>
      <c r="R78" s="101"/>
      <c r="S78" s="101"/>
      <c r="T78" s="101"/>
      <c r="U78" s="101"/>
      <c r="V78" s="101"/>
      <c r="W78" s="95"/>
      <c r="X78" s="95"/>
      <c r="Y78" s="95"/>
      <c r="Z78" s="95"/>
      <c r="AA78" s="95"/>
      <c r="AB78" s="95"/>
      <c r="AC78" s="95"/>
      <c r="AD78" s="95"/>
      <c r="AE78" s="95"/>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2"/>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92"/>
      <c r="CE78" s="93"/>
      <c r="CF78" s="74"/>
      <c r="CG78" s="29"/>
    </row>
    <row r="79" spans="1:160" s="3" customFormat="1" ht="19.5" customHeight="1">
      <c r="A79" s="28"/>
      <c r="B79" s="80"/>
      <c r="C79" s="92"/>
      <c r="D79" s="517" t="s">
        <v>103</v>
      </c>
      <c r="E79" s="518"/>
      <c r="F79" s="518"/>
      <c r="G79" s="519"/>
      <c r="H79" s="517" t="s">
        <v>122</v>
      </c>
      <c r="I79" s="518"/>
      <c r="J79" s="518"/>
      <c r="K79" s="518"/>
      <c r="L79" s="518"/>
      <c r="M79" s="518"/>
      <c r="N79" s="518"/>
      <c r="O79" s="518"/>
      <c r="P79" s="518"/>
      <c r="Q79" s="518"/>
      <c r="R79" s="518"/>
      <c r="S79" s="519"/>
      <c r="T79" s="517" t="s">
        <v>216</v>
      </c>
      <c r="U79" s="518"/>
      <c r="V79" s="518"/>
      <c r="W79" s="518"/>
      <c r="X79" s="518"/>
      <c r="Y79" s="518"/>
      <c r="Z79" s="518"/>
      <c r="AA79" s="518"/>
      <c r="AB79" s="518"/>
      <c r="AC79" s="518"/>
      <c r="AD79" s="518"/>
      <c r="AE79" s="519"/>
      <c r="AF79" s="517" t="s">
        <v>123</v>
      </c>
      <c r="AG79" s="518"/>
      <c r="AH79" s="518"/>
      <c r="AI79" s="518"/>
      <c r="AJ79" s="518"/>
      <c r="AK79" s="518"/>
      <c r="AL79" s="518"/>
      <c r="AM79" s="518"/>
      <c r="AN79" s="518"/>
      <c r="AO79" s="518"/>
      <c r="AP79" s="518"/>
      <c r="AQ79" s="519"/>
      <c r="AR79" s="517" t="s">
        <v>124</v>
      </c>
      <c r="AS79" s="518"/>
      <c r="AT79" s="518"/>
      <c r="AU79" s="518"/>
      <c r="AV79" s="518"/>
      <c r="AW79" s="518"/>
      <c r="AX79" s="518"/>
      <c r="AY79" s="518"/>
      <c r="AZ79" s="518"/>
      <c r="BA79" s="518"/>
      <c r="BB79" s="518"/>
      <c r="BC79" s="519"/>
      <c r="BD79" s="517" t="s">
        <v>217</v>
      </c>
      <c r="BE79" s="518"/>
      <c r="BF79" s="518"/>
      <c r="BG79" s="518"/>
      <c r="BH79" s="518"/>
      <c r="BI79" s="518"/>
      <c r="BJ79" s="518"/>
      <c r="BK79" s="518"/>
      <c r="BL79" s="518"/>
      <c r="BM79" s="518"/>
      <c r="BN79" s="518"/>
      <c r="BO79" s="518"/>
      <c r="BP79" s="519"/>
      <c r="BQ79" s="517" t="s">
        <v>218</v>
      </c>
      <c r="BR79" s="518"/>
      <c r="BS79" s="518"/>
      <c r="BT79" s="518"/>
      <c r="BU79" s="518"/>
      <c r="BV79" s="518"/>
      <c r="BW79" s="518"/>
      <c r="BX79" s="518"/>
      <c r="BY79" s="518"/>
      <c r="BZ79" s="518"/>
      <c r="CA79" s="518"/>
      <c r="CB79" s="518"/>
      <c r="CC79" s="519"/>
      <c r="CD79" s="92"/>
      <c r="CE79" s="93"/>
      <c r="CF79" s="74"/>
      <c r="CG79" s="29"/>
    </row>
    <row r="80" spans="1:160" s="3" customFormat="1" ht="19.5" customHeight="1">
      <c r="A80" s="28"/>
      <c r="B80" s="80"/>
      <c r="C80" s="92"/>
      <c r="D80" s="507" t="s">
        <v>95</v>
      </c>
      <c r="E80" s="508"/>
      <c r="F80" s="508"/>
      <c r="G80" s="509"/>
      <c r="H80" s="225"/>
      <c r="I80" s="510">
        <v>100</v>
      </c>
      <c r="J80" s="510"/>
      <c r="K80" s="510"/>
      <c r="L80" s="510"/>
      <c r="M80" s="510"/>
      <c r="N80" s="510"/>
      <c r="O80" s="510"/>
      <c r="P80" s="510"/>
      <c r="Q80" s="510"/>
      <c r="R80" s="510"/>
      <c r="S80" s="224"/>
      <c r="T80" s="225"/>
      <c r="U80" s="510">
        <v>300</v>
      </c>
      <c r="V80" s="510"/>
      <c r="W80" s="510"/>
      <c r="X80" s="510"/>
      <c r="Y80" s="510"/>
      <c r="Z80" s="510"/>
      <c r="AA80" s="510"/>
      <c r="AB80" s="510"/>
      <c r="AC80" s="510"/>
      <c r="AD80" s="510"/>
      <c r="AE80" s="226"/>
      <c r="AF80" s="224"/>
      <c r="AG80" s="510">
        <v>180000000</v>
      </c>
      <c r="AH80" s="510"/>
      <c r="AI80" s="510"/>
      <c r="AJ80" s="510"/>
      <c r="AK80" s="510"/>
      <c r="AL80" s="510"/>
      <c r="AM80" s="510"/>
      <c r="AN80" s="510"/>
      <c r="AO80" s="510"/>
      <c r="AP80" s="510"/>
      <c r="AQ80" s="224"/>
      <c r="AR80" s="225"/>
      <c r="AS80" s="510">
        <v>300000</v>
      </c>
      <c r="AT80" s="510"/>
      <c r="AU80" s="510"/>
      <c r="AV80" s="510"/>
      <c r="AW80" s="510"/>
      <c r="AX80" s="510"/>
      <c r="AY80" s="510"/>
      <c r="AZ80" s="510"/>
      <c r="BA80" s="510"/>
      <c r="BB80" s="510"/>
      <c r="BC80" s="226"/>
      <c r="BD80" s="224"/>
      <c r="BE80" s="510">
        <f>I80+AG80</f>
        <v>180000100</v>
      </c>
      <c r="BF80" s="510"/>
      <c r="BG80" s="510"/>
      <c r="BH80" s="510"/>
      <c r="BI80" s="510"/>
      <c r="BJ80" s="510"/>
      <c r="BK80" s="510"/>
      <c r="BL80" s="510"/>
      <c r="BM80" s="510"/>
      <c r="BN80" s="510"/>
      <c r="BO80" s="510"/>
      <c r="BP80" s="224"/>
      <c r="BQ80" s="225"/>
      <c r="BR80" s="510">
        <f>U80+AS80</f>
        <v>300300</v>
      </c>
      <c r="BS80" s="510"/>
      <c r="BT80" s="510"/>
      <c r="BU80" s="510"/>
      <c r="BV80" s="510"/>
      <c r="BW80" s="510"/>
      <c r="BX80" s="510"/>
      <c r="BY80" s="510"/>
      <c r="BZ80" s="510"/>
      <c r="CA80" s="510"/>
      <c r="CB80" s="510"/>
      <c r="CC80" s="171"/>
      <c r="CD80" s="93"/>
      <c r="CE80" s="93"/>
      <c r="CF80" s="74"/>
      <c r="CG80" s="29"/>
    </row>
    <row r="81" spans="1:85" s="3" customFormat="1" ht="19.5" customHeight="1">
      <c r="A81" s="28"/>
      <c r="B81" s="80"/>
      <c r="C81" s="93"/>
      <c r="D81" s="507" t="s">
        <v>64</v>
      </c>
      <c r="E81" s="508"/>
      <c r="F81" s="508"/>
      <c r="G81" s="509"/>
      <c r="H81" s="225"/>
      <c r="I81" s="510"/>
      <c r="J81" s="510"/>
      <c r="K81" s="510"/>
      <c r="L81" s="510"/>
      <c r="M81" s="510"/>
      <c r="N81" s="510"/>
      <c r="O81" s="510"/>
      <c r="P81" s="510"/>
      <c r="Q81" s="510"/>
      <c r="R81" s="510"/>
      <c r="S81" s="224"/>
      <c r="T81" s="225"/>
      <c r="U81" s="510"/>
      <c r="V81" s="510"/>
      <c r="W81" s="510"/>
      <c r="X81" s="510"/>
      <c r="Y81" s="510"/>
      <c r="Z81" s="510"/>
      <c r="AA81" s="510"/>
      <c r="AB81" s="510"/>
      <c r="AC81" s="510"/>
      <c r="AD81" s="510"/>
      <c r="AE81" s="226"/>
      <c r="AF81" s="224"/>
      <c r="AG81" s="510">
        <v>60000000</v>
      </c>
      <c r="AH81" s="510"/>
      <c r="AI81" s="510"/>
      <c r="AJ81" s="510"/>
      <c r="AK81" s="510"/>
      <c r="AL81" s="510"/>
      <c r="AM81" s="510"/>
      <c r="AN81" s="510"/>
      <c r="AO81" s="510"/>
      <c r="AP81" s="510"/>
      <c r="AQ81" s="224"/>
      <c r="AR81" s="225"/>
      <c r="AS81" s="510">
        <v>160000</v>
      </c>
      <c r="AT81" s="510"/>
      <c r="AU81" s="510"/>
      <c r="AV81" s="510"/>
      <c r="AW81" s="510"/>
      <c r="AX81" s="510"/>
      <c r="AY81" s="510"/>
      <c r="AZ81" s="510"/>
      <c r="BA81" s="510"/>
      <c r="BB81" s="510"/>
      <c r="BC81" s="226"/>
      <c r="BD81" s="224"/>
      <c r="BE81" s="510"/>
      <c r="BF81" s="510"/>
      <c r="BG81" s="510"/>
      <c r="BH81" s="510"/>
      <c r="BI81" s="510"/>
      <c r="BJ81" s="510"/>
      <c r="BK81" s="510"/>
      <c r="BL81" s="510"/>
      <c r="BM81" s="510"/>
      <c r="BN81" s="510"/>
      <c r="BO81" s="510"/>
      <c r="BP81" s="224"/>
      <c r="BQ81" s="225"/>
      <c r="BR81" s="510"/>
      <c r="BS81" s="510"/>
      <c r="BT81" s="510"/>
      <c r="BU81" s="510"/>
      <c r="BV81" s="510"/>
      <c r="BW81" s="510"/>
      <c r="BX81" s="510"/>
      <c r="BY81" s="510"/>
      <c r="BZ81" s="510"/>
      <c r="CA81" s="510"/>
      <c r="CB81" s="510"/>
      <c r="CC81" s="171"/>
      <c r="CD81" s="92"/>
      <c r="CE81" s="93"/>
      <c r="CF81" s="74"/>
      <c r="CG81" s="29"/>
    </row>
    <row r="82" spans="1:85" s="3" customFormat="1" ht="19.5" customHeight="1">
      <c r="A82" s="28"/>
      <c r="B82" s="80"/>
      <c r="C82" s="93"/>
      <c r="D82" s="507" t="s">
        <v>104</v>
      </c>
      <c r="E82" s="508"/>
      <c r="F82" s="508"/>
      <c r="G82" s="509"/>
      <c r="H82" s="225"/>
      <c r="I82" s="510">
        <v>300</v>
      </c>
      <c r="J82" s="510"/>
      <c r="K82" s="510"/>
      <c r="L82" s="510"/>
      <c r="M82" s="510"/>
      <c r="N82" s="510"/>
      <c r="O82" s="510"/>
      <c r="P82" s="510"/>
      <c r="Q82" s="510"/>
      <c r="R82" s="510"/>
      <c r="S82" s="224"/>
      <c r="T82" s="225"/>
      <c r="U82" s="510"/>
      <c r="V82" s="510"/>
      <c r="W82" s="510"/>
      <c r="X82" s="510"/>
      <c r="Y82" s="510"/>
      <c r="Z82" s="510"/>
      <c r="AA82" s="510"/>
      <c r="AB82" s="510"/>
      <c r="AC82" s="510"/>
      <c r="AD82" s="510"/>
      <c r="AE82" s="226"/>
      <c r="AF82" s="224"/>
      <c r="AG82" s="510">
        <v>60000000</v>
      </c>
      <c r="AH82" s="510"/>
      <c r="AI82" s="510"/>
      <c r="AJ82" s="510"/>
      <c r="AK82" s="510"/>
      <c r="AL82" s="510"/>
      <c r="AM82" s="510"/>
      <c r="AN82" s="510"/>
      <c r="AO82" s="510"/>
      <c r="AP82" s="510"/>
      <c r="AQ82" s="224"/>
      <c r="AR82" s="225"/>
      <c r="AS82" s="510">
        <v>70000</v>
      </c>
      <c r="AT82" s="510"/>
      <c r="AU82" s="510"/>
      <c r="AV82" s="510"/>
      <c r="AW82" s="510"/>
      <c r="AX82" s="510"/>
      <c r="AY82" s="510"/>
      <c r="AZ82" s="510"/>
      <c r="BA82" s="510"/>
      <c r="BB82" s="510"/>
      <c r="BC82" s="226"/>
      <c r="BD82" s="224"/>
      <c r="BE82" s="510">
        <f t="shared" ref="BE82" si="0">I82+AG82</f>
        <v>60000300</v>
      </c>
      <c r="BF82" s="510"/>
      <c r="BG82" s="510"/>
      <c r="BH82" s="510"/>
      <c r="BI82" s="510"/>
      <c r="BJ82" s="510"/>
      <c r="BK82" s="510"/>
      <c r="BL82" s="510"/>
      <c r="BM82" s="510"/>
      <c r="BN82" s="510"/>
      <c r="BO82" s="510"/>
      <c r="BP82" s="224"/>
      <c r="BQ82" s="225"/>
      <c r="BR82" s="510"/>
      <c r="BS82" s="510"/>
      <c r="BT82" s="510"/>
      <c r="BU82" s="510"/>
      <c r="BV82" s="510"/>
      <c r="BW82" s="510"/>
      <c r="BX82" s="510"/>
      <c r="BY82" s="510"/>
      <c r="BZ82" s="510"/>
      <c r="CA82" s="510"/>
      <c r="CB82" s="510"/>
      <c r="CC82" s="171"/>
      <c r="CD82" s="92"/>
      <c r="CE82" s="93"/>
      <c r="CF82" s="74"/>
      <c r="CG82" s="29"/>
    </row>
    <row r="83" spans="1:85" s="3" customFormat="1" ht="19.5" customHeight="1">
      <c r="A83" s="28"/>
      <c r="B83" s="80"/>
      <c r="C83" s="92"/>
      <c r="D83" s="507" t="s">
        <v>76</v>
      </c>
      <c r="E83" s="508"/>
      <c r="F83" s="508"/>
      <c r="G83" s="509"/>
      <c r="H83" s="225"/>
      <c r="I83" s="510"/>
      <c r="J83" s="510"/>
      <c r="K83" s="510"/>
      <c r="L83" s="510"/>
      <c r="M83" s="510"/>
      <c r="N83" s="510"/>
      <c r="O83" s="510"/>
      <c r="P83" s="510"/>
      <c r="Q83" s="510"/>
      <c r="R83" s="510"/>
      <c r="S83" s="224"/>
      <c r="T83" s="225"/>
      <c r="U83" s="510">
        <v>400</v>
      </c>
      <c r="V83" s="510"/>
      <c r="W83" s="510"/>
      <c r="X83" s="510"/>
      <c r="Y83" s="510"/>
      <c r="Z83" s="510"/>
      <c r="AA83" s="510"/>
      <c r="AB83" s="510"/>
      <c r="AC83" s="510"/>
      <c r="AD83" s="510"/>
      <c r="AE83" s="226"/>
      <c r="AF83" s="224"/>
      <c r="AG83" s="510">
        <v>60000000</v>
      </c>
      <c r="AH83" s="510"/>
      <c r="AI83" s="510"/>
      <c r="AJ83" s="510"/>
      <c r="AK83" s="510"/>
      <c r="AL83" s="510"/>
      <c r="AM83" s="510"/>
      <c r="AN83" s="510"/>
      <c r="AO83" s="510"/>
      <c r="AP83" s="510"/>
      <c r="AQ83" s="224"/>
      <c r="AR83" s="225"/>
      <c r="AS83" s="510">
        <v>170000</v>
      </c>
      <c r="AT83" s="510"/>
      <c r="AU83" s="510"/>
      <c r="AV83" s="510"/>
      <c r="AW83" s="510"/>
      <c r="AX83" s="510"/>
      <c r="AY83" s="510"/>
      <c r="AZ83" s="510"/>
      <c r="BA83" s="510"/>
      <c r="BB83" s="510"/>
      <c r="BC83" s="226"/>
      <c r="BD83" s="224"/>
      <c r="BE83" s="510"/>
      <c r="BF83" s="510"/>
      <c r="BG83" s="510"/>
      <c r="BH83" s="510"/>
      <c r="BI83" s="510"/>
      <c r="BJ83" s="510"/>
      <c r="BK83" s="510"/>
      <c r="BL83" s="510"/>
      <c r="BM83" s="510"/>
      <c r="BN83" s="510"/>
      <c r="BO83" s="510"/>
      <c r="BP83" s="224"/>
      <c r="BQ83" s="225"/>
      <c r="BR83" s="510">
        <f t="shared" ref="BR83" si="1">U83+AS83</f>
        <v>170400</v>
      </c>
      <c r="BS83" s="510"/>
      <c r="BT83" s="510"/>
      <c r="BU83" s="510"/>
      <c r="BV83" s="510"/>
      <c r="BW83" s="510"/>
      <c r="BX83" s="510"/>
      <c r="BY83" s="510"/>
      <c r="BZ83" s="510"/>
      <c r="CA83" s="510"/>
      <c r="CB83" s="510"/>
      <c r="CC83" s="171"/>
      <c r="CD83" s="92"/>
      <c r="CE83" s="93"/>
      <c r="CF83" s="74"/>
      <c r="CG83" s="29"/>
    </row>
    <row r="84" spans="1:85" s="3" customFormat="1" ht="19.5" customHeight="1">
      <c r="A84" s="28"/>
      <c r="B84" s="80"/>
      <c r="C84" s="92"/>
      <c r="D84" s="507" t="s">
        <v>105</v>
      </c>
      <c r="E84" s="508"/>
      <c r="F84" s="508"/>
      <c r="G84" s="509"/>
      <c r="H84" s="225"/>
      <c r="I84" s="511" t="s">
        <v>272</v>
      </c>
      <c r="J84" s="510"/>
      <c r="K84" s="510"/>
      <c r="L84" s="510"/>
      <c r="M84" s="510"/>
      <c r="N84" s="510"/>
      <c r="O84" s="510"/>
      <c r="P84" s="510"/>
      <c r="Q84" s="510"/>
      <c r="R84" s="510"/>
      <c r="S84" s="224"/>
      <c r="T84" s="225"/>
      <c r="U84" s="511" t="s">
        <v>273</v>
      </c>
      <c r="V84" s="510"/>
      <c r="W84" s="510"/>
      <c r="X84" s="510"/>
      <c r="Y84" s="510"/>
      <c r="Z84" s="510"/>
      <c r="AA84" s="510"/>
      <c r="AB84" s="510"/>
      <c r="AC84" s="510"/>
      <c r="AD84" s="510"/>
      <c r="AE84" s="226"/>
      <c r="AF84" s="224"/>
      <c r="AG84" s="510">
        <v>40000000</v>
      </c>
      <c r="AH84" s="510"/>
      <c r="AI84" s="510"/>
      <c r="AJ84" s="510"/>
      <c r="AK84" s="510"/>
      <c r="AL84" s="510"/>
      <c r="AM84" s="510"/>
      <c r="AN84" s="510"/>
      <c r="AO84" s="510"/>
      <c r="AP84" s="510"/>
      <c r="AQ84" s="224"/>
      <c r="AR84" s="225"/>
      <c r="AS84" s="510">
        <v>20000</v>
      </c>
      <c r="AT84" s="510"/>
      <c r="AU84" s="510"/>
      <c r="AV84" s="510"/>
      <c r="AW84" s="510"/>
      <c r="AX84" s="510"/>
      <c r="AY84" s="510"/>
      <c r="AZ84" s="510"/>
      <c r="BA84" s="510"/>
      <c r="BB84" s="510"/>
      <c r="BC84" s="226"/>
      <c r="BD84" s="224"/>
      <c r="BE84" s="510">
        <f t="shared" ref="BE84" si="2">I84+AG84</f>
        <v>39999000</v>
      </c>
      <c r="BF84" s="510"/>
      <c r="BG84" s="510"/>
      <c r="BH84" s="510"/>
      <c r="BI84" s="510"/>
      <c r="BJ84" s="510"/>
      <c r="BK84" s="510"/>
      <c r="BL84" s="510"/>
      <c r="BM84" s="510"/>
      <c r="BN84" s="510"/>
      <c r="BO84" s="510"/>
      <c r="BP84" s="224"/>
      <c r="BQ84" s="225"/>
      <c r="BR84" s="510">
        <f t="shared" ref="BR84" si="3">U84+AS84</f>
        <v>18000</v>
      </c>
      <c r="BS84" s="510"/>
      <c r="BT84" s="510"/>
      <c r="BU84" s="510"/>
      <c r="BV84" s="510"/>
      <c r="BW84" s="510"/>
      <c r="BX84" s="510"/>
      <c r="BY84" s="510"/>
      <c r="BZ84" s="510"/>
      <c r="CA84" s="510"/>
      <c r="CB84" s="510"/>
      <c r="CC84" s="171"/>
      <c r="CD84" s="92"/>
      <c r="CE84" s="93"/>
      <c r="CF84" s="74"/>
      <c r="CG84" s="29"/>
    </row>
    <row r="85" spans="1:85" s="3" customFormat="1" ht="19.5" customHeight="1">
      <c r="A85" s="28"/>
      <c r="B85" s="80"/>
      <c r="C85" s="93"/>
      <c r="D85" s="507" t="s">
        <v>75</v>
      </c>
      <c r="E85" s="508"/>
      <c r="F85" s="508"/>
      <c r="G85" s="509"/>
      <c r="H85" s="225"/>
      <c r="I85" s="510"/>
      <c r="J85" s="510"/>
      <c r="K85" s="510"/>
      <c r="L85" s="510"/>
      <c r="M85" s="510"/>
      <c r="N85" s="510"/>
      <c r="O85" s="510"/>
      <c r="P85" s="510"/>
      <c r="Q85" s="510"/>
      <c r="R85" s="510"/>
      <c r="S85" s="224"/>
      <c r="T85" s="225"/>
      <c r="U85" s="510"/>
      <c r="V85" s="510"/>
      <c r="W85" s="510"/>
      <c r="X85" s="510"/>
      <c r="Y85" s="510"/>
      <c r="Z85" s="510"/>
      <c r="AA85" s="510"/>
      <c r="AB85" s="510"/>
      <c r="AC85" s="510"/>
      <c r="AD85" s="510"/>
      <c r="AE85" s="226"/>
      <c r="AF85" s="224"/>
      <c r="AG85" s="510">
        <v>40000000</v>
      </c>
      <c r="AH85" s="510"/>
      <c r="AI85" s="510"/>
      <c r="AJ85" s="510"/>
      <c r="AK85" s="510"/>
      <c r="AL85" s="510"/>
      <c r="AM85" s="510"/>
      <c r="AN85" s="510"/>
      <c r="AO85" s="510"/>
      <c r="AP85" s="510"/>
      <c r="AQ85" s="224"/>
      <c r="AR85" s="225"/>
      <c r="AS85" s="510">
        <v>110000</v>
      </c>
      <c r="AT85" s="510"/>
      <c r="AU85" s="510"/>
      <c r="AV85" s="510"/>
      <c r="AW85" s="510"/>
      <c r="AX85" s="510"/>
      <c r="AY85" s="510"/>
      <c r="AZ85" s="510"/>
      <c r="BA85" s="510"/>
      <c r="BB85" s="510"/>
      <c r="BC85" s="226"/>
      <c r="BD85" s="224"/>
      <c r="BE85" s="510"/>
      <c r="BF85" s="510"/>
      <c r="BG85" s="510"/>
      <c r="BH85" s="510"/>
      <c r="BI85" s="510"/>
      <c r="BJ85" s="510"/>
      <c r="BK85" s="510"/>
      <c r="BL85" s="510"/>
      <c r="BM85" s="510"/>
      <c r="BN85" s="510"/>
      <c r="BO85" s="510"/>
      <c r="BP85" s="224"/>
      <c r="BQ85" s="225"/>
      <c r="BR85" s="510"/>
      <c r="BS85" s="510"/>
      <c r="BT85" s="510"/>
      <c r="BU85" s="510"/>
      <c r="BV85" s="510"/>
      <c r="BW85" s="510"/>
      <c r="BX85" s="510"/>
      <c r="BY85" s="510"/>
      <c r="BZ85" s="510"/>
      <c r="CA85" s="510"/>
      <c r="CB85" s="510"/>
      <c r="CC85" s="171"/>
      <c r="CD85" s="93"/>
      <c r="CE85" s="93"/>
      <c r="CF85" s="74"/>
      <c r="CG85" s="29"/>
    </row>
    <row r="86" spans="1:85" s="3" customFormat="1" ht="19.5" customHeight="1">
      <c r="A86" s="28"/>
      <c r="B86" s="80"/>
      <c r="C86" s="93"/>
      <c r="D86" s="507" t="s">
        <v>106</v>
      </c>
      <c r="E86" s="508"/>
      <c r="F86" s="508"/>
      <c r="G86" s="509"/>
      <c r="H86" s="225"/>
      <c r="I86" s="510"/>
      <c r="J86" s="510"/>
      <c r="K86" s="510"/>
      <c r="L86" s="510"/>
      <c r="M86" s="510"/>
      <c r="N86" s="510"/>
      <c r="O86" s="510"/>
      <c r="P86" s="510"/>
      <c r="Q86" s="510"/>
      <c r="R86" s="510"/>
      <c r="S86" s="224"/>
      <c r="T86" s="225"/>
      <c r="U86" s="510"/>
      <c r="V86" s="510"/>
      <c r="W86" s="510"/>
      <c r="X86" s="510"/>
      <c r="Y86" s="510"/>
      <c r="Z86" s="510"/>
      <c r="AA86" s="510"/>
      <c r="AB86" s="510"/>
      <c r="AC86" s="510"/>
      <c r="AD86" s="510"/>
      <c r="AE86" s="226"/>
      <c r="AF86" s="224"/>
      <c r="AG86" s="510">
        <v>50000000</v>
      </c>
      <c r="AH86" s="510"/>
      <c r="AI86" s="510"/>
      <c r="AJ86" s="510"/>
      <c r="AK86" s="510"/>
      <c r="AL86" s="510"/>
      <c r="AM86" s="510"/>
      <c r="AN86" s="510"/>
      <c r="AO86" s="510"/>
      <c r="AP86" s="510"/>
      <c r="AQ86" s="224"/>
      <c r="AR86" s="225"/>
      <c r="AS86" s="510">
        <v>170000</v>
      </c>
      <c r="AT86" s="510"/>
      <c r="AU86" s="510"/>
      <c r="AV86" s="510"/>
      <c r="AW86" s="510"/>
      <c r="AX86" s="510"/>
      <c r="AY86" s="510"/>
      <c r="AZ86" s="510"/>
      <c r="BA86" s="510"/>
      <c r="BB86" s="510"/>
      <c r="BC86" s="226"/>
      <c r="BD86" s="224"/>
      <c r="BE86" s="510"/>
      <c r="BF86" s="510"/>
      <c r="BG86" s="510"/>
      <c r="BH86" s="510"/>
      <c r="BI86" s="510"/>
      <c r="BJ86" s="510"/>
      <c r="BK86" s="510"/>
      <c r="BL86" s="510"/>
      <c r="BM86" s="510"/>
      <c r="BN86" s="510"/>
      <c r="BO86" s="510"/>
      <c r="BP86" s="224"/>
      <c r="BQ86" s="225"/>
      <c r="BR86" s="510"/>
      <c r="BS86" s="510"/>
      <c r="BT86" s="510"/>
      <c r="BU86" s="510"/>
      <c r="BV86" s="510"/>
      <c r="BW86" s="510"/>
      <c r="BX86" s="510"/>
      <c r="BY86" s="510"/>
      <c r="BZ86" s="510"/>
      <c r="CA86" s="510"/>
      <c r="CB86" s="510"/>
      <c r="CC86" s="171"/>
      <c r="CD86" s="92"/>
      <c r="CE86" s="93"/>
      <c r="CF86" s="74"/>
      <c r="CG86" s="29"/>
    </row>
    <row r="87" spans="1:85" s="3" customFormat="1" ht="19.5" customHeight="1">
      <c r="A87" s="28"/>
      <c r="B87" s="80"/>
      <c r="C87" s="93"/>
      <c r="D87" s="507" t="s">
        <v>80</v>
      </c>
      <c r="E87" s="508"/>
      <c r="F87" s="508"/>
      <c r="G87" s="509"/>
      <c r="H87" s="225"/>
      <c r="I87" s="510"/>
      <c r="J87" s="510"/>
      <c r="K87" s="510"/>
      <c r="L87" s="510"/>
      <c r="M87" s="510"/>
      <c r="N87" s="510"/>
      <c r="O87" s="510"/>
      <c r="P87" s="510"/>
      <c r="Q87" s="510"/>
      <c r="R87" s="510"/>
      <c r="S87" s="224"/>
      <c r="T87" s="225"/>
      <c r="U87" s="510"/>
      <c r="V87" s="510"/>
      <c r="W87" s="510"/>
      <c r="X87" s="510"/>
      <c r="Y87" s="510"/>
      <c r="Z87" s="510"/>
      <c r="AA87" s="510"/>
      <c r="AB87" s="510"/>
      <c r="AC87" s="510"/>
      <c r="AD87" s="510"/>
      <c r="AE87" s="226"/>
      <c r="AF87" s="224"/>
      <c r="AG87" s="510"/>
      <c r="AH87" s="510"/>
      <c r="AI87" s="510"/>
      <c r="AJ87" s="510"/>
      <c r="AK87" s="510"/>
      <c r="AL87" s="510"/>
      <c r="AM87" s="510"/>
      <c r="AN87" s="510"/>
      <c r="AO87" s="510"/>
      <c r="AP87" s="510"/>
      <c r="AQ87" s="224"/>
      <c r="AR87" s="225"/>
      <c r="AS87" s="510"/>
      <c r="AT87" s="510"/>
      <c r="AU87" s="510"/>
      <c r="AV87" s="510"/>
      <c r="AW87" s="510"/>
      <c r="AX87" s="510"/>
      <c r="AY87" s="510"/>
      <c r="AZ87" s="510"/>
      <c r="BA87" s="510"/>
      <c r="BB87" s="510"/>
      <c r="BC87" s="226"/>
      <c r="BD87" s="224"/>
      <c r="BE87" s="510"/>
      <c r="BF87" s="510"/>
      <c r="BG87" s="510"/>
      <c r="BH87" s="510"/>
      <c r="BI87" s="510"/>
      <c r="BJ87" s="510"/>
      <c r="BK87" s="510"/>
      <c r="BL87" s="510"/>
      <c r="BM87" s="510"/>
      <c r="BN87" s="510"/>
      <c r="BO87" s="510"/>
      <c r="BP87" s="224"/>
      <c r="BQ87" s="225"/>
      <c r="BR87" s="510"/>
      <c r="BS87" s="510"/>
      <c r="BT87" s="510"/>
      <c r="BU87" s="510"/>
      <c r="BV87" s="510"/>
      <c r="BW87" s="510"/>
      <c r="BX87" s="510"/>
      <c r="BY87" s="510"/>
      <c r="BZ87" s="510"/>
      <c r="CA87" s="510"/>
      <c r="CB87" s="510"/>
      <c r="CC87" s="171"/>
      <c r="CD87" s="93"/>
      <c r="CE87" s="93"/>
      <c r="CF87" s="74"/>
      <c r="CG87" s="29"/>
    </row>
    <row r="88" spans="1:85" s="3" customFormat="1" ht="19.5" customHeight="1">
      <c r="A88" s="28"/>
      <c r="B88" s="80"/>
      <c r="C88" s="93"/>
      <c r="D88" s="507" t="s">
        <v>107</v>
      </c>
      <c r="E88" s="508"/>
      <c r="F88" s="508"/>
      <c r="G88" s="509"/>
      <c r="H88" s="225"/>
      <c r="I88" s="510"/>
      <c r="J88" s="510"/>
      <c r="K88" s="510"/>
      <c r="L88" s="510"/>
      <c r="M88" s="510"/>
      <c r="N88" s="510"/>
      <c r="O88" s="510"/>
      <c r="P88" s="510"/>
      <c r="Q88" s="510"/>
      <c r="R88" s="510"/>
      <c r="S88" s="224"/>
      <c r="T88" s="225"/>
      <c r="U88" s="510"/>
      <c r="V88" s="510"/>
      <c r="W88" s="510"/>
      <c r="X88" s="510"/>
      <c r="Y88" s="510"/>
      <c r="Z88" s="510"/>
      <c r="AA88" s="510"/>
      <c r="AB88" s="510"/>
      <c r="AC88" s="510"/>
      <c r="AD88" s="510"/>
      <c r="AE88" s="226"/>
      <c r="AF88" s="224"/>
      <c r="AG88" s="510"/>
      <c r="AH88" s="510"/>
      <c r="AI88" s="510"/>
      <c r="AJ88" s="510"/>
      <c r="AK88" s="510"/>
      <c r="AL88" s="510"/>
      <c r="AM88" s="510"/>
      <c r="AN88" s="510"/>
      <c r="AO88" s="510"/>
      <c r="AP88" s="510"/>
      <c r="AQ88" s="224"/>
      <c r="AR88" s="225"/>
      <c r="AS88" s="510"/>
      <c r="AT88" s="510"/>
      <c r="AU88" s="510"/>
      <c r="AV88" s="510"/>
      <c r="AW88" s="510"/>
      <c r="AX88" s="510"/>
      <c r="AY88" s="510"/>
      <c r="AZ88" s="510"/>
      <c r="BA88" s="510"/>
      <c r="BB88" s="510"/>
      <c r="BC88" s="226"/>
      <c r="BD88" s="224"/>
      <c r="BE88" s="510"/>
      <c r="BF88" s="510"/>
      <c r="BG88" s="510"/>
      <c r="BH88" s="510"/>
      <c r="BI88" s="510"/>
      <c r="BJ88" s="510"/>
      <c r="BK88" s="510"/>
      <c r="BL88" s="510"/>
      <c r="BM88" s="510"/>
      <c r="BN88" s="510"/>
      <c r="BO88" s="510"/>
      <c r="BP88" s="224"/>
      <c r="BQ88" s="225"/>
      <c r="BR88" s="510"/>
      <c r="BS88" s="510"/>
      <c r="BT88" s="510"/>
      <c r="BU88" s="510"/>
      <c r="BV88" s="510"/>
      <c r="BW88" s="510"/>
      <c r="BX88" s="510"/>
      <c r="BY88" s="510"/>
      <c r="BZ88" s="510"/>
      <c r="CA88" s="510"/>
      <c r="CB88" s="510"/>
      <c r="CC88" s="171"/>
      <c r="CD88" s="93"/>
      <c r="CE88" s="93"/>
      <c r="CF88" s="74"/>
      <c r="CG88" s="29"/>
    </row>
    <row r="89" spans="1:85" s="3" customFormat="1" ht="19.5" customHeight="1">
      <c r="A89" s="28"/>
      <c r="B89" s="80"/>
      <c r="C89" s="92"/>
      <c r="D89" s="507" t="s">
        <v>108</v>
      </c>
      <c r="E89" s="508"/>
      <c r="F89" s="508"/>
      <c r="G89" s="509"/>
      <c r="H89" s="225"/>
      <c r="I89" s="510"/>
      <c r="J89" s="510"/>
      <c r="K89" s="510"/>
      <c r="L89" s="510"/>
      <c r="M89" s="510"/>
      <c r="N89" s="510"/>
      <c r="O89" s="510"/>
      <c r="P89" s="510"/>
      <c r="Q89" s="510"/>
      <c r="R89" s="510"/>
      <c r="S89" s="224"/>
      <c r="T89" s="225"/>
      <c r="U89" s="510"/>
      <c r="V89" s="510"/>
      <c r="W89" s="510"/>
      <c r="X89" s="510"/>
      <c r="Y89" s="510"/>
      <c r="Z89" s="510"/>
      <c r="AA89" s="510"/>
      <c r="AB89" s="510"/>
      <c r="AC89" s="510"/>
      <c r="AD89" s="510"/>
      <c r="AE89" s="226"/>
      <c r="AF89" s="224"/>
      <c r="AG89" s="510"/>
      <c r="AH89" s="510"/>
      <c r="AI89" s="510"/>
      <c r="AJ89" s="510"/>
      <c r="AK89" s="510"/>
      <c r="AL89" s="510"/>
      <c r="AM89" s="510"/>
      <c r="AN89" s="510"/>
      <c r="AO89" s="510"/>
      <c r="AP89" s="510"/>
      <c r="AQ89" s="224"/>
      <c r="AR89" s="225"/>
      <c r="AS89" s="510"/>
      <c r="AT89" s="510"/>
      <c r="AU89" s="510"/>
      <c r="AV89" s="510"/>
      <c r="AW89" s="510"/>
      <c r="AX89" s="510"/>
      <c r="AY89" s="510"/>
      <c r="AZ89" s="510"/>
      <c r="BA89" s="510"/>
      <c r="BB89" s="510"/>
      <c r="BC89" s="226"/>
      <c r="BD89" s="224"/>
      <c r="BE89" s="510"/>
      <c r="BF89" s="510"/>
      <c r="BG89" s="510"/>
      <c r="BH89" s="510"/>
      <c r="BI89" s="510"/>
      <c r="BJ89" s="510"/>
      <c r="BK89" s="510"/>
      <c r="BL89" s="510"/>
      <c r="BM89" s="510"/>
      <c r="BN89" s="510"/>
      <c r="BO89" s="510"/>
      <c r="BP89" s="224"/>
      <c r="BQ89" s="225"/>
      <c r="BR89" s="510"/>
      <c r="BS89" s="510"/>
      <c r="BT89" s="510"/>
      <c r="BU89" s="510"/>
      <c r="BV89" s="510"/>
      <c r="BW89" s="510"/>
      <c r="BX89" s="510"/>
      <c r="BY89" s="510"/>
      <c r="BZ89" s="510"/>
      <c r="CA89" s="510"/>
      <c r="CB89" s="510"/>
      <c r="CC89" s="171"/>
      <c r="CD89" s="92"/>
      <c r="CE89" s="93"/>
      <c r="CF89" s="74"/>
      <c r="CG89" s="29"/>
    </row>
    <row r="90" spans="1:85" s="3" customFormat="1" ht="19.5" customHeight="1">
      <c r="A90" s="28"/>
      <c r="B90" s="80"/>
      <c r="C90" s="92"/>
      <c r="D90" s="507" t="s">
        <v>109</v>
      </c>
      <c r="E90" s="508"/>
      <c r="F90" s="508"/>
      <c r="G90" s="509"/>
      <c r="H90" s="225"/>
      <c r="I90" s="510"/>
      <c r="J90" s="510"/>
      <c r="K90" s="510"/>
      <c r="L90" s="510"/>
      <c r="M90" s="510"/>
      <c r="N90" s="510"/>
      <c r="O90" s="510"/>
      <c r="P90" s="510"/>
      <c r="Q90" s="510"/>
      <c r="R90" s="510"/>
      <c r="S90" s="224"/>
      <c r="T90" s="225"/>
      <c r="U90" s="510"/>
      <c r="V90" s="510"/>
      <c r="W90" s="510"/>
      <c r="X90" s="510"/>
      <c r="Y90" s="510"/>
      <c r="Z90" s="510"/>
      <c r="AA90" s="510"/>
      <c r="AB90" s="510"/>
      <c r="AC90" s="510"/>
      <c r="AD90" s="510"/>
      <c r="AE90" s="226"/>
      <c r="AF90" s="224"/>
      <c r="AG90" s="510"/>
      <c r="AH90" s="510"/>
      <c r="AI90" s="510"/>
      <c r="AJ90" s="510"/>
      <c r="AK90" s="510"/>
      <c r="AL90" s="510"/>
      <c r="AM90" s="510"/>
      <c r="AN90" s="510"/>
      <c r="AO90" s="510"/>
      <c r="AP90" s="510"/>
      <c r="AQ90" s="224"/>
      <c r="AR90" s="225"/>
      <c r="AS90" s="510"/>
      <c r="AT90" s="510"/>
      <c r="AU90" s="510"/>
      <c r="AV90" s="510"/>
      <c r="AW90" s="510"/>
      <c r="AX90" s="510"/>
      <c r="AY90" s="510"/>
      <c r="AZ90" s="510"/>
      <c r="BA90" s="510"/>
      <c r="BB90" s="510"/>
      <c r="BC90" s="226"/>
      <c r="BD90" s="224"/>
      <c r="BE90" s="510"/>
      <c r="BF90" s="510"/>
      <c r="BG90" s="510"/>
      <c r="BH90" s="510"/>
      <c r="BI90" s="510"/>
      <c r="BJ90" s="510"/>
      <c r="BK90" s="510"/>
      <c r="BL90" s="510"/>
      <c r="BM90" s="510"/>
      <c r="BN90" s="510"/>
      <c r="BO90" s="510"/>
      <c r="BP90" s="224"/>
      <c r="BQ90" s="225"/>
      <c r="BR90" s="510"/>
      <c r="BS90" s="510"/>
      <c r="BT90" s="510"/>
      <c r="BU90" s="510"/>
      <c r="BV90" s="510"/>
      <c r="BW90" s="510"/>
      <c r="BX90" s="510"/>
      <c r="BY90" s="510"/>
      <c r="BZ90" s="510"/>
      <c r="CA90" s="510"/>
      <c r="CB90" s="510"/>
      <c r="CC90" s="171"/>
      <c r="CD90" s="92"/>
      <c r="CE90" s="93"/>
      <c r="CF90" s="74"/>
      <c r="CG90" s="29"/>
    </row>
    <row r="91" spans="1:85" s="3" customFormat="1" ht="19.5" customHeight="1">
      <c r="A91" s="28"/>
      <c r="B91" s="80"/>
      <c r="C91" s="92"/>
      <c r="D91" s="507" t="s">
        <v>110</v>
      </c>
      <c r="E91" s="508"/>
      <c r="F91" s="508"/>
      <c r="G91" s="509"/>
      <c r="H91" s="225"/>
      <c r="I91" s="510"/>
      <c r="J91" s="510"/>
      <c r="K91" s="510"/>
      <c r="L91" s="510"/>
      <c r="M91" s="510"/>
      <c r="N91" s="510"/>
      <c r="O91" s="510"/>
      <c r="P91" s="510"/>
      <c r="Q91" s="510"/>
      <c r="R91" s="510"/>
      <c r="S91" s="224"/>
      <c r="T91" s="225"/>
      <c r="U91" s="510"/>
      <c r="V91" s="510"/>
      <c r="W91" s="510"/>
      <c r="X91" s="510"/>
      <c r="Y91" s="510"/>
      <c r="Z91" s="510"/>
      <c r="AA91" s="510"/>
      <c r="AB91" s="510"/>
      <c r="AC91" s="510"/>
      <c r="AD91" s="510"/>
      <c r="AE91" s="226"/>
      <c r="AF91" s="224"/>
      <c r="AG91" s="510"/>
      <c r="AH91" s="510"/>
      <c r="AI91" s="510"/>
      <c r="AJ91" s="510"/>
      <c r="AK91" s="510"/>
      <c r="AL91" s="510"/>
      <c r="AM91" s="510"/>
      <c r="AN91" s="510"/>
      <c r="AO91" s="510"/>
      <c r="AP91" s="510"/>
      <c r="AQ91" s="224"/>
      <c r="AR91" s="225"/>
      <c r="AS91" s="510"/>
      <c r="AT91" s="510"/>
      <c r="AU91" s="510"/>
      <c r="AV91" s="510"/>
      <c r="AW91" s="510"/>
      <c r="AX91" s="510"/>
      <c r="AY91" s="510"/>
      <c r="AZ91" s="510"/>
      <c r="BA91" s="510"/>
      <c r="BB91" s="510"/>
      <c r="BC91" s="226"/>
      <c r="BD91" s="224"/>
      <c r="BE91" s="510"/>
      <c r="BF91" s="510"/>
      <c r="BG91" s="510"/>
      <c r="BH91" s="510"/>
      <c r="BI91" s="510"/>
      <c r="BJ91" s="510"/>
      <c r="BK91" s="510"/>
      <c r="BL91" s="510"/>
      <c r="BM91" s="510"/>
      <c r="BN91" s="510"/>
      <c r="BO91" s="510"/>
      <c r="BP91" s="224"/>
      <c r="BQ91" s="225"/>
      <c r="BR91" s="510"/>
      <c r="BS91" s="510"/>
      <c r="BT91" s="510"/>
      <c r="BU91" s="510"/>
      <c r="BV91" s="510"/>
      <c r="BW91" s="510"/>
      <c r="BX91" s="510"/>
      <c r="BY91" s="510"/>
      <c r="BZ91" s="510"/>
      <c r="CA91" s="510"/>
      <c r="CB91" s="510"/>
      <c r="CC91" s="171"/>
      <c r="CD91" s="92"/>
      <c r="CE91" s="93"/>
      <c r="CF91" s="74"/>
      <c r="CG91" s="29"/>
    </row>
    <row r="92" spans="1:85" s="3" customFormat="1" ht="19.5" customHeight="1">
      <c r="A92" s="28"/>
      <c r="B92" s="80"/>
      <c r="C92" s="92"/>
      <c r="D92" s="507" t="s">
        <v>111</v>
      </c>
      <c r="E92" s="508"/>
      <c r="F92" s="508"/>
      <c r="G92" s="509"/>
      <c r="H92" s="225"/>
      <c r="I92" s="510"/>
      <c r="J92" s="510"/>
      <c r="K92" s="510"/>
      <c r="L92" s="510"/>
      <c r="M92" s="510"/>
      <c r="N92" s="510"/>
      <c r="O92" s="510"/>
      <c r="P92" s="510"/>
      <c r="Q92" s="510"/>
      <c r="R92" s="510"/>
      <c r="S92" s="224"/>
      <c r="T92" s="225"/>
      <c r="U92" s="510"/>
      <c r="V92" s="510"/>
      <c r="W92" s="510"/>
      <c r="X92" s="510"/>
      <c r="Y92" s="510"/>
      <c r="Z92" s="510"/>
      <c r="AA92" s="510"/>
      <c r="AB92" s="510"/>
      <c r="AC92" s="510"/>
      <c r="AD92" s="510"/>
      <c r="AE92" s="226"/>
      <c r="AF92" s="224"/>
      <c r="AG92" s="510"/>
      <c r="AH92" s="510"/>
      <c r="AI92" s="510"/>
      <c r="AJ92" s="510"/>
      <c r="AK92" s="510"/>
      <c r="AL92" s="510"/>
      <c r="AM92" s="510"/>
      <c r="AN92" s="510"/>
      <c r="AO92" s="510"/>
      <c r="AP92" s="510"/>
      <c r="AQ92" s="224"/>
      <c r="AR92" s="225"/>
      <c r="AS92" s="510"/>
      <c r="AT92" s="510"/>
      <c r="AU92" s="510"/>
      <c r="AV92" s="510"/>
      <c r="AW92" s="510"/>
      <c r="AX92" s="510"/>
      <c r="AY92" s="510"/>
      <c r="AZ92" s="510"/>
      <c r="BA92" s="510"/>
      <c r="BB92" s="510"/>
      <c r="BC92" s="226"/>
      <c r="BD92" s="224"/>
      <c r="BE92" s="510"/>
      <c r="BF92" s="510"/>
      <c r="BG92" s="510"/>
      <c r="BH92" s="510"/>
      <c r="BI92" s="510"/>
      <c r="BJ92" s="510"/>
      <c r="BK92" s="510"/>
      <c r="BL92" s="510"/>
      <c r="BM92" s="510"/>
      <c r="BN92" s="510"/>
      <c r="BO92" s="510"/>
      <c r="BP92" s="224"/>
      <c r="BQ92" s="225"/>
      <c r="BR92" s="510"/>
      <c r="BS92" s="510"/>
      <c r="BT92" s="510"/>
      <c r="BU92" s="510"/>
      <c r="BV92" s="510"/>
      <c r="BW92" s="510"/>
      <c r="BX92" s="510"/>
      <c r="BY92" s="510"/>
      <c r="BZ92" s="510"/>
      <c r="CA92" s="510"/>
      <c r="CB92" s="510"/>
      <c r="CC92" s="171"/>
      <c r="CD92" s="92"/>
      <c r="CE92" s="93"/>
      <c r="CF92" s="74"/>
      <c r="CG92" s="29"/>
    </row>
    <row r="93" spans="1:85" s="3" customFormat="1" ht="19.5" customHeight="1">
      <c r="A93" s="28"/>
      <c r="B93" s="80"/>
      <c r="C93" s="92"/>
      <c r="D93" s="507" t="s">
        <v>112</v>
      </c>
      <c r="E93" s="508"/>
      <c r="F93" s="508"/>
      <c r="G93" s="509"/>
      <c r="H93" s="225"/>
      <c r="I93" s="510"/>
      <c r="J93" s="510"/>
      <c r="K93" s="510"/>
      <c r="L93" s="510"/>
      <c r="M93" s="510"/>
      <c r="N93" s="510"/>
      <c r="O93" s="510"/>
      <c r="P93" s="510"/>
      <c r="Q93" s="510"/>
      <c r="R93" s="510"/>
      <c r="S93" s="224"/>
      <c r="T93" s="225"/>
      <c r="U93" s="510"/>
      <c r="V93" s="510"/>
      <c r="W93" s="510"/>
      <c r="X93" s="510"/>
      <c r="Y93" s="510"/>
      <c r="Z93" s="510"/>
      <c r="AA93" s="510"/>
      <c r="AB93" s="510"/>
      <c r="AC93" s="510"/>
      <c r="AD93" s="510"/>
      <c r="AE93" s="226"/>
      <c r="AF93" s="224"/>
      <c r="AG93" s="510"/>
      <c r="AH93" s="510"/>
      <c r="AI93" s="510"/>
      <c r="AJ93" s="510"/>
      <c r="AK93" s="510"/>
      <c r="AL93" s="510"/>
      <c r="AM93" s="510"/>
      <c r="AN93" s="510"/>
      <c r="AO93" s="510"/>
      <c r="AP93" s="510"/>
      <c r="AQ93" s="224"/>
      <c r="AR93" s="225"/>
      <c r="AS93" s="510"/>
      <c r="AT93" s="510"/>
      <c r="AU93" s="510"/>
      <c r="AV93" s="510"/>
      <c r="AW93" s="510"/>
      <c r="AX93" s="510"/>
      <c r="AY93" s="510"/>
      <c r="AZ93" s="510"/>
      <c r="BA93" s="510"/>
      <c r="BB93" s="510"/>
      <c r="BC93" s="226"/>
      <c r="BD93" s="224"/>
      <c r="BE93" s="510"/>
      <c r="BF93" s="510"/>
      <c r="BG93" s="510"/>
      <c r="BH93" s="510"/>
      <c r="BI93" s="510"/>
      <c r="BJ93" s="510"/>
      <c r="BK93" s="510"/>
      <c r="BL93" s="510"/>
      <c r="BM93" s="510"/>
      <c r="BN93" s="510"/>
      <c r="BO93" s="510"/>
      <c r="BP93" s="224"/>
      <c r="BQ93" s="225"/>
      <c r="BR93" s="510"/>
      <c r="BS93" s="510"/>
      <c r="BT93" s="510"/>
      <c r="BU93" s="510"/>
      <c r="BV93" s="510"/>
      <c r="BW93" s="510"/>
      <c r="BX93" s="510"/>
      <c r="BY93" s="510"/>
      <c r="BZ93" s="510"/>
      <c r="CA93" s="510"/>
      <c r="CB93" s="510"/>
      <c r="CC93" s="171"/>
      <c r="CD93" s="92"/>
      <c r="CE93" s="93"/>
      <c r="CF93" s="74"/>
      <c r="CG93" s="29"/>
    </row>
    <row r="94" spans="1:85" s="3" customFormat="1" ht="19.5" customHeight="1">
      <c r="A94" s="28"/>
      <c r="B94" s="80"/>
      <c r="C94" s="92"/>
      <c r="D94" s="507" t="s">
        <v>113</v>
      </c>
      <c r="E94" s="508"/>
      <c r="F94" s="508"/>
      <c r="G94" s="509"/>
      <c r="H94" s="225"/>
      <c r="I94" s="510"/>
      <c r="J94" s="510"/>
      <c r="K94" s="510"/>
      <c r="L94" s="510"/>
      <c r="M94" s="510"/>
      <c r="N94" s="510"/>
      <c r="O94" s="510"/>
      <c r="P94" s="510"/>
      <c r="Q94" s="510"/>
      <c r="R94" s="510"/>
      <c r="S94" s="224"/>
      <c r="T94" s="225"/>
      <c r="U94" s="510"/>
      <c r="V94" s="510"/>
      <c r="W94" s="510"/>
      <c r="X94" s="510"/>
      <c r="Y94" s="510"/>
      <c r="Z94" s="510"/>
      <c r="AA94" s="510"/>
      <c r="AB94" s="510"/>
      <c r="AC94" s="510"/>
      <c r="AD94" s="510"/>
      <c r="AE94" s="226"/>
      <c r="AF94" s="224"/>
      <c r="AG94" s="510"/>
      <c r="AH94" s="510"/>
      <c r="AI94" s="510"/>
      <c r="AJ94" s="510"/>
      <c r="AK94" s="510"/>
      <c r="AL94" s="510"/>
      <c r="AM94" s="510"/>
      <c r="AN94" s="510"/>
      <c r="AO94" s="510"/>
      <c r="AP94" s="510"/>
      <c r="AQ94" s="224"/>
      <c r="AR94" s="225"/>
      <c r="AS94" s="510"/>
      <c r="AT94" s="510"/>
      <c r="AU94" s="510"/>
      <c r="AV94" s="510"/>
      <c r="AW94" s="510"/>
      <c r="AX94" s="510"/>
      <c r="AY94" s="510"/>
      <c r="AZ94" s="510"/>
      <c r="BA94" s="510"/>
      <c r="BB94" s="510"/>
      <c r="BC94" s="226"/>
      <c r="BD94" s="224"/>
      <c r="BE94" s="510"/>
      <c r="BF94" s="510"/>
      <c r="BG94" s="510"/>
      <c r="BH94" s="510"/>
      <c r="BI94" s="510"/>
      <c r="BJ94" s="510"/>
      <c r="BK94" s="510"/>
      <c r="BL94" s="510"/>
      <c r="BM94" s="510"/>
      <c r="BN94" s="510"/>
      <c r="BO94" s="510"/>
      <c r="BP94" s="224"/>
      <c r="BQ94" s="225"/>
      <c r="BR94" s="510"/>
      <c r="BS94" s="510"/>
      <c r="BT94" s="510"/>
      <c r="BU94" s="510"/>
      <c r="BV94" s="510"/>
      <c r="BW94" s="510"/>
      <c r="BX94" s="510"/>
      <c r="BY94" s="510"/>
      <c r="BZ94" s="510"/>
      <c r="CA94" s="510"/>
      <c r="CB94" s="510"/>
      <c r="CC94" s="171"/>
      <c r="CD94" s="93"/>
      <c r="CE94" s="93"/>
      <c r="CF94" s="74"/>
      <c r="CG94" s="29"/>
    </row>
    <row r="95" spans="1:85" s="3" customFormat="1" ht="19.5" customHeight="1">
      <c r="A95" s="28"/>
      <c r="B95" s="80"/>
      <c r="C95" s="92"/>
      <c r="D95" s="507" t="s">
        <v>146</v>
      </c>
      <c r="E95" s="508"/>
      <c r="F95" s="508"/>
      <c r="G95" s="509"/>
      <c r="H95" s="225"/>
      <c r="I95" s="510"/>
      <c r="J95" s="510"/>
      <c r="K95" s="510"/>
      <c r="L95" s="510"/>
      <c r="M95" s="510"/>
      <c r="N95" s="510"/>
      <c r="O95" s="510"/>
      <c r="P95" s="510"/>
      <c r="Q95" s="510"/>
      <c r="R95" s="510"/>
      <c r="S95" s="224"/>
      <c r="T95" s="225"/>
      <c r="U95" s="510"/>
      <c r="V95" s="510"/>
      <c r="W95" s="510"/>
      <c r="X95" s="510"/>
      <c r="Y95" s="510"/>
      <c r="Z95" s="510"/>
      <c r="AA95" s="510"/>
      <c r="AB95" s="510"/>
      <c r="AC95" s="510"/>
      <c r="AD95" s="510"/>
      <c r="AE95" s="226"/>
      <c r="AF95" s="224"/>
      <c r="AG95" s="510"/>
      <c r="AH95" s="510"/>
      <c r="AI95" s="510"/>
      <c r="AJ95" s="510"/>
      <c r="AK95" s="510"/>
      <c r="AL95" s="510"/>
      <c r="AM95" s="510"/>
      <c r="AN95" s="510"/>
      <c r="AO95" s="510"/>
      <c r="AP95" s="510"/>
      <c r="AQ95" s="224"/>
      <c r="AR95" s="225"/>
      <c r="AS95" s="510"/>
      <c r="AT95" s="510"/>
      <c r="AU95" s="510"/>
      <c r="AV95" s="510"/>
      <c r="AW95" s="510"/>
      <c r="AX95" s="510"/>
      <c r="AY95" s="510"/>
      <c r="AZ95" s="510"/>
      <c r="BA95" s="510"/>
      <c r="BB95" s="510"/>
      <c r="BC95" s="226"/>
      <c r="BD95" s="224"/>
      <c r="BE95" s="510"/>
      <c r="BF95" s="510"/>
      <c r="BG95" s="510"/>
      <c r="BH95" s="510"/>
      <c r="BI95" s="510"/>
      <c r="BJ95" s="510"/>
      <c r="BK95" s="510"/>
      <c r="BL95" s="510"/>
      <c r="BM95" s="510"/>
      <c r="BN95" s="510"/>
      <c r="BO95" s="510"/>
      <c r="BP95" s="224"/>
      <c r="BQ95" s="225"/>
      <c r="BR95" s="510"/>
      <c r="BS95" s="510"/>
      <c r="BT95" s="510"/>
      <c r="BU95" s="510"/>
      <c r="BV95" s="510"/>
      <c r="BW95" s="510"/>
      <c r="BX95" s="510"/>
      <c r="BY95" s="510"/>
      <c r="BZ95" s="510"/>
      <c r="CA95" s="510"/>
      <c r="CB95" s="510"/>
      <c r="CC95" s="171"/>
      <c r="CD95" s="92"/>
      <c r="CE95" s="93"/>
      <c r="CF95" s="74"/>
      <c r="CG95" s="29"/>
    </row>
    <row r="96" spans="1:85" s="3" customFormat="1" ht="19.5" customHeight="1">
      <c r="A96" s="28"/>
      <c r="B96" s="80"/>
      <c r="C96" s="92"/>
      <c r="D96" s="507" t="s">
        <v>133</v>
      </c>
      <c r="E96" s="508"/>
      <c r="F96" s="508"/>
      <c r="G96" s="509"/>
      <c r="H96" s="225"/>
      <c r="I96" s="510"/>
      <c r="J96" s="510"/>
      <c r="K96" s="510"/>
      <c r="L96" s="510"/>
      <c r="M96" s="510"/>
      <c r="N96" s="510"/>
      <c r="O96" s="510"/>
      <c r="P96" s="510"/>
      <c r="Q96" s="510"/>
      <c r="R96" s="510"/>
      <c r="S96" s="224"/>
      <c r="T96" s="225"/>
      <c r="U96" s="510"/>
      <c r="V96" s="510"/>
      <c r="W96" s="510"/>
      <c r="X96" s="510"/>
      <c r="Y96" s="510"/>
      <c r="Z96" s="510"/>
      <c r="AA96" s="510"/>
      <c r="AB96" s="510"/>
      <c r="AC96" s="510"/>
      <c r="AD96" s="510"/>
      <c r="AE96" s="226"/>
      <c r="AF96" s="224"/>
      <c r="AG96" s="510"/>
      <c r="AH96" s="510"/>
      <c r="AI96" s="510"/>
      <c r="AJ96" s="510"/>
      <c r="AK96" s="510"/>
      <c r="AL96" s="510"/>
      <c r="AM96" s="510"/>
      <c r="AN96" s="510"/>
      <c r="AO96" s="510"/>
      <c r="AP96" s="510"/>
      <c r="AQ96" s="224"/>
      <c r="AR96" s="225"/>
      <c r="AS96" s="510"/>
      <c r="AT96" s="510"/>
      <c r="AU96" s="510"/>
      <c r="AV96" s="510"/>
      <c r="AW96" s="510"/>
      <c r="AX96" s="510"/>
      <c r="AY96" s="510"/>
      <c r="AZ96" s="510"/>
      <c r="BA96" s="510"/>
      <c r="BB96" s="510"/>
      <c r="BC96" s="226"/>
      <c r="BD96" s="224"/>
      <c r="BE96" s="510"/>
      <c r="BF96" s="510"/>
      <c r="BG96" s="510"/>
      <c r="BH96" s="510"/>
      <c r="BI96" s="510"/>
      <c r="BJ96" s="510"/>
      <c r="BK96" s="510"/>
      <c r="BL96" s="510"/>
      <c r="BM96" s="510"/>
      <c r="BN96" s="510"/>
      <c r="BO96" s="510"/>
      <c r="BP96" s="224"/>
      <c r="BQ96" s="225"/>
      <c r="BR96" s="510"/>
      <c r="BS96" s="510"/>
      <c r="BT96" s="510"/>
      <c r="BU96" s="510"/>
      <c r="BV96" s="510"/>
      <c r="BW96" s="510"/>
      <c r="BX96" s="510"/>
      <c r="BY96" s="510"/>
      <c r="BZ96" s="510"/>
      <c r="CA96" s="510"/>
      <c r="CB96" s="510"/>
      <c r="CC96" s="171"/>
      <c r="CD96" s="92"/>
      <c r="CE96" s="93"/>
      <c r="CF96" s="74"/>
      <c r="CG96" s="29"/>
    </row>
    <row r="97" spans="1:85" s="3" customFormat="1" ht="19.5" customHeight="1">
      <c r="A97" s="28"/>
      <c r="B97" s="80"/>
      <c r="C97" s="92"/>
      <c r="D97" s="507" t="s">
        <v>147</v>
      </c>
      <c r="E97" s="508"/>
      <c r="F97" s="508"/>
      <c r="G97" s="509"/>
      <c r="H97" s="225"/>
      <c r="I97" s="510"/>
      <c r="J97" s="510"/>
      <c r="K97" s="510"/>
      <c r="L97" s="510"/>
      <c r="M97" s="510"/>
      <c r="N97" s="510"/>
      <c r="O97" s="510"/>
      <c r="P97" s="510"/>
      <c r="Q97" s="510"/>
      <c r="R97" s="510"/>
      <c r="S97" s="224"/>
      <c r="T97" s="225"/>
      <c r="U97" s="510"/>
      <c r="V97" s="510"/>
      <c r="W97" s="510"/>
      <c r="X97" s="510"/>
      <c r="Y97" s="510"/>
      <c r="Z97" s="510"/>
      <c r="AA97" s="510"/>
      <c r="AB97" s="510"/>
      <c r="AC97" s="510"/>
      <c r="AD97" s="510"/>
      <c r="AE97" s="226"/>
      <c r="AF97" s="224"/>
      <c r="AG97" s="510"/>
      <c r="AH97" s="510"/>
      <c r="AI97" s="510"/>
      <c r="AJ97" s="510"/>
      <c r="AK97" s="510"/>
      <c r="AL97" s="510"/>
      <c r="AM97" s="510"/>
      <c r="AN97" s="510"/>
      <c r="AO97" s="510"/>
      <c r="AP97" s="510"/>
      <c r="AQ97" s="224"/>
      <c r="AR97" s="225"/>
      <c r="AS97" s="510"/>
      <c r="AT97" s="510"/>
      <c r="AU97" s="510"/>
      <c r="AV97" s="510"/>
      <c r="AW97" s="510"/>
      <c r="AX97" s="510"/>
      <c r="AY97" s="510"/>
      <c r="AZ97" s="510"/>
      <c r="BA97" s="510"/>
      <c r="BB97" s="510"/>
      <c r="BC97" s="226"/>
      <c r="BD97" s="224"/>
      <c r="BE97" s="510"/>
      <c r="BF97" s="510"/>
      <c r="BG97" s="510"/>
      <c r="BH97" s="510"/>
      <c r="BI97" s="510"/>
      <c r="BJ97" s="510"/>
      <c r="BK97" s="510"/>
      <c r="BL97" s="510"/>
      <c r="BM97" s="510"/>
      <c r="BN97" s="510"/>
      <c r="BO97" s="510"/>
      <c r="BP97" s="224"/>
      <c r="BQ97" s="225"/>
      <c r="BR97" s="510"/>
      <c r="BS97" s="510"/>
      <c r="BT97" s="510"/>
      <c r="BU97" s="510"/>
      <c r="BV97" s="510"/>
      <c r="BW97" s="510"/>
      <c r="BX97" s="510"/>
      <c r="BY97" s="510"/>
      <c r="BZ97" s="510"/>
      <c r="CA97" s="510"/>
      <c r="CB97" s="510"/>
      <c r="CC97" s="171"/>
      <c r="CD97" s="92"/>
      <c r="CE97" s="93"/>
      <c r="CF97" s="74"/>
      <c r="CG97" s="29"/>
    </row>
    <row r="98" spans="1:85" s="3" customFormat="1" ht="19.5" customHeight="1">
      <c r="A98" s="28"/>
      <c r="B98" s="80"/>
      <c r="C98" s="92"/>
      <c r="D98" s="507" t="s">
        <v>148</v>
      </c>
      <c r="E98" s="508"/>
      <c r="F98" s="508"/>
      <c r="G98" s="509"/>
      <c r="H98" s="225"/>
      <c r="I98" s="510"/>
      <c r="J98" s="510"/>
      <c r="K98" s="510"/>
      <c r="L98" s="510"/>
      <c r="M98" s="510"/>
      <c r="N98" s="510"/>
      <c r="O98" s="510"/>
      <c r="P98" s="510"/>
      <c r="Q98" s="510"/>
      <c r="R98" s="510"/>
      <c r="S98" s="224"/>
      <c r="T98" s="225"/>
      <c r="U98" s="510"/>
      <c r="V98" s="510"/>
      <c r="W98" s="510"/>
      <c r="X98" s="510"/>
      <c r="Y98" s="510"/>
      <c r="Z98" s="510"/>
      <c r="AA98" s="510"/>
      <c r="AB98" s="510"/>
      <c r="AC98" s="510"/>
      <c r="AD98" s="510"/>
      <c r="AE98" s="226"/>
      <c r="AF98" s="224"/>
      <c r="AG98" s="510"/>
      <c r="AH98" s="510"/>
      <c r="AI98" s="510"/>
      <c r="AJ98" s="510"/>
      <c r="AK98" s="510"/>
      <c r="AL98" s="510"/>
      <c r="AM98" s="510"/>
      <c r="AN98" s="510"/>
      <c r="AO98" s="510"/>
      <c r="AP98" s="510"/>
      <c r="AQ98" s="224"/>
      <c r="AR98" s="225"/>
      <c r="AS98" s="510"/>
      <c r="AT98" s="510"/>
      <c r="AU98" s="510"/>
      <c r="AV98" s="510"/>
      <c r="AW98" s="510"/>
      <c r="AX98" s="510"/>
      <c r="AY98" s="510"/>
      <c r="AZ98" s="510"/>
      <c r="BA98" s="510"/>
      <c r="BB98" s="510"/>
      <c r="BC98" s="226"/>
      <c r="BD98" s="224"/>
      <c r="BE98" s="510"/>
      <c r="BF98" s="510"/>
      <c r="BG98" s="510"/>
      <c r="BH98" s="510"/>
      <c r="BI98" s="510"/>
      <c r="BJ98" s="510"/>
      <c r="BK98" s="510"/>
      <c r="BL98" s="510"/>
      <c r="BM98" s="510"/>
      <c r="BN98" s="510"/>
      <c r="BO98" s="510"/>
      <c r="BP98" s="224"/>
      <c r="BQ98" s="225"/>
      <c r="BR98" s="510"/>
      <c r="BS98" s="510"/>
      <c r="BT98" s="510"/>
      <c r="BU98" s="510"/>
      <c r="BV98" s="510"/>
      <c r="BW98" s="510"/>
      <c r="BX98" s="510"/>
      <c r="BY98" s="510"/>
      <c r="BZ98" s="510"/>
      <c r="CA98" s="510"/>
      <c r="CB98" s="510"/>
      <c r="CC98" s="171"/>
      <c r="CD98" s="92"/>
      <c r="CE98" s="93"/>
      <c r="CF98" s="74"/>
      <c r="CG98" s="29"/>
    </row>
    <row r="99" spans="1:85" s="3" customFormat="1" ht="19.5" customHeight="1">
      <c r="A99" s="28"/>
      <c r="B99" s="80"/>
      <c r="C99" s="92"/>
      <c r="D99" s="507" t="s">
        <v>149</v>
      </c>
      <c r="E99" s="508"/>
      <c r="F99" s="508"/>
      <c r="G99" s="509"/>
      <c r="H99" s="225"/>
      <c r="I99" s="510"/>
      <c r="J99" s="510"/>
      <c r="K99" s="510"/>
      <c r="L99" s="510"/>
      <c r="M99" s="510"/>
      <c r="N99" s="510"/>
      <c r="O99" s="510"/>
      <c r="P99" s="510"/>
      <c r="Q99" s="510"/>
      <c r="R99" s="510"/>
      <c r="S99" s="224"/>
      <c r="T99" s="225"/>
      <c r="U99" s="510"/>
      <c r="V99" s="510"/>
      <c r="W99" s="510"/>
      <c r="X99" s="510"/>
      <c r="Y99" s="510"/>
      <c r="Z99" s="510"/>
      <c r="AA99" s="510"/>
      <c r="AB99" s="510"/>
      <c r="AC99" s="510"/>
      <c r="AD99" s="510"/>
      <c r="AE99" s="226"/>
      <c r="AF99" s="224"/>
      <c r="AG99" s="510"/>
      <c r="AH99" s="510"/>
      <c r="AI99" s="510"/>
      <c r="AJ99" s="510"/>
      <c r="AK99" s="510"/>
      <c r="AL99" s="510"/>
      <c r="AM99" s="510"/>
      <c r="AN99" s="510"/>
      <c r="AO99" s="510"/>
      <c r="AP99" s="510"/>
      <c r="AQ99" s="224"/>
      <c r="AR99" s="225"/>
      <c r="AS99" s="510"/>
      <c r="AT99" s="510"/>
      <c r="AU99" s="510"/>
      <c r="AV99" s="510"/>
      <c r="AW99" s="510"/>
      <c r="AX99" s="510"/>
      <c r="AY99" s="510"/>
      <c r="AZ99" s="510"/>
      <c r="BA99" s="510"/>
      <c r="BB99" s="510"/>
      <c r="BC99" s="226"/>
      <c r="BD99" s="224"/>
      <c r="BE99" s="510"/>
      <c r="BF99" s="510"/>
      <c r="BG99" s="510"/>
      <c r="BH99" s="510"/>
      <c r="BI99" s="510"/>
      <c r="BJ99" s="510"/>
      <c r="BK99" s="510"/>
      <c r="BL99" s="510"/>
      <c r="BM99" s="510"/>
      <c r="BN99" s="510"/>
      <c r="BO99" s="510"/>
      <c r="BP99" s="224"/>
      <c r="BQ99" s="225"/>
      <c r="BR99" s="510"/>
      <c r="BS99" s="510"/>
      <c r="BT99" s="510"/>
      <c r="BU99" s="510"/>
      <c r="BV99" s="510"/>
      <c r="BW99" s="510"/>
      <c r="BX99" s="510"/>
      <c r="BY99" s="510"/>
      <c r="BZ99" s="510"/>
      <c r="CA99" s="510"/>
      <c r="CB99" s="510"/>
      <c r="CC99" s="171"/>
      <c r="CD99" s="92"/>
      <c r="CE99" s="93"/>
      <c r="CF99" s="74"/>
      <c r="CG99" s="29"/>
    </row>
    <row r="100" spans="1:85" s="3" customFormat="1" ht="19.5" customHeight="1">
      <c r="A100" s="28"/>
      <c r="B100" s="80"/>
      <c r="C100" s="92"/>
      <c r="D100" s="507" t="s">
        <v>150</v>
      </c>
      <c r="E100" s="508"/>
      <c r="F100" s="508"/>
      <c r="G100" s="509"/>
      <c r="H100" s="225"/>
      <c r="I100" s="510"/>
      <c r="J100" s="510"/>
      <c r="K100" s="510"/>
      <c r="L100" s="510"/>
      <c r="M100" s="510"/>
      <c r="N100" s="510"/>
      <c r="O100" s="510"/>
      <c r="P100" s="510"/>
      <c r="Q100" s="510"/>
      <c r="R100" s="510"/>
      <c r="S100" s="224"/>
      <c r="T100" s="225"/>
      <c r="U100" s="510"/>
      <c r="V100" s="510"/>
      <c r="W100" s="510"/>
      <c r="X100" s="510"/>
      <c r="Y100" s="510"/>
      <c r="Z100" s="510"/>
      <c r="AA100" s="510"/>
      <c r="AB100" s="510"/>
      <c r="AC100" s="510"/>
      <c r="AD100" s="510"/>
      <c r="AE100" s="226"/>
      <c r="AF100" s="224"/>
      <c r="AG100" s="510"/>
      <c r="AH100" s="510"/>
      <c r="AI100" s="510"/>
      <c r="AJ100" s="510"/>
      <c r="AK100" s="510"/>
      <c r="AL100" s="510"/>
      <c r="AM100" s="510"/>
      <c r="AN100" s="510"/>
      <c r="AO100" s="510"/>
      <c r="AP100" s="510"/>
      <c r="AQ100" s="224"/>
      <c r="AR100" s="225"/>
      <c r="AS100" s="510"/>
      <c r="AT100" s="510"/>
      <c r="AU100" s="510"/>
      <c r="AV100" s="510"/>
      <c r="AW100" s="510"/>
      <c r="AX100" s="510"/>
      <c r="AY100" s="510"/>
      <c r="AZ100" s="510"/>
      <c r="BA100" s="510"/>
      <c r="BB100" s="510"/>
      <c r="BC100" s="226"/>
      <c r="BD100" s="224"/>
      <c r="BE100" s="510"/>
      <c r="BF100" s="510"/>
      <c r="BG100" s="510"/>
      <c r="BH100" s="510"/>
      <c r="BI100" s="510"/>
      <c r="BJ100" s="510"/>
      <c r="BK100" s="510"/>
      <c r="BL100" s="510"/>
      <c r="BM100" s="510"/>
      <c r="BN100" s="510"/>
      <c r="BO100" s="510"/>
      <c r="BP100" s="224"/>
      <c r="BQ100" s="225"/>
      <c r="BR100" s="510"/>
      <c r="BS100" s="510"/>
      <c r="BT100" s="510"/>
      <c r="BU100" s="510"/>
      <c r="BV100" s="510"/>
      <c r="BW100" s="510"/>
      <c r="BX100" s="510"/>
      <c r="BY100" s="510"/>
      <c r="BZ100" s="510"/>
      <c r="CA100" s="510"/>
      <c r="CB100" s="510"/>
      <c r="CC100" s="171"/>
      <c r="CD100" s="93"/>
      <c r="CE100" s="93"/>
      <c r="CF100" s="74"/>
      <c r="CG100" s="29"/>
    </row>
    <row r="101" spans="1:85" s="3" customFormat="1" ht="19.5" customHeight="1">
      <c r="A101" s="28"/>
      <c r="B101" s="80"/>
      <c r="C101" s="92"/>
      <c r="D101" s="507" t="s">
        <v>151</v>
      </c>
      <c r="E101" s="508"/>
      <c r="F101" s="508"/>
      <c r="G101" s="509"/>
      <c r="H101" s="225"/>
      <c r="I101" s="510"/>
      <c r="J101" s="510"/>
      <c r="K101" s="510"/>
      <c r="L101" s="510"/>
      <c r="M101" s="510"/>
      <c r="N101" s="510"/>
      <c r="O101" s="510"/>
      <c r="P101" s="510"/>
      <c r="Q101" s="510"/>
      <c r="R101" s="510"/>
      <c r="S101" s="224"/>
      <c r="T101" s="225"/>
      <c r="U101" s="510"/>
      <c r="V101" s="510"/>
      <c r="W101" s="510"/>
      <c r="X101" s="510"/>
      <c r="Y101" s="510"/>
      <c r="Z101" s="510"/>
      <c r="AA101" s="510"/>
      <c r="AB101" s="510"/>
      <c r="AC101" s="510"/>
      <c r="AD101" s="510"/>
      <c r="AE101" s="226"/>
      <c r="AF101" s="224"/>
      <c r="AG101" s="510"/>
      <c r="AH101" s="510"/>
      <c r="AI101" s="510"/>
      <c r="AJ101" s="510"/>
      <c r="AK101" s="510"/>
      <c r="AL101" s="510"/>
      <c r="AM101" s="510"/>
      <c r="AN101" s="510"/>
      <c r="AO101" s="510"/>
      <c r="AP101" s="510"/>
      <c r="AQ101" s="224"/>
      <c r="AR101" s="225"/>
      <c r="AS101" s="510"/>
      <c r="AT101" s="510"/>
      <c r="AU101" s="510"/>
      <c r="AV101" s="510"/>
      <c r="AW101" s="510"/>
      <c r="AX101" s="510"/>
      <c r="AY101" s="510"/>
      <c r="AZ101" s="510"/>
      <c r="BA101" s="510"/>
      <c r="BB101" s="510"/>
      <c r="BC101" s="226"/>
      <c r="BD101" s="224"/>
      <c r="BE101" s="510"/>
      <c r="BF101" s="510"/>
      <c r="BG101" s="510"/>
      <c r="BH101" s="510"/>
      <c r="BI101" s="510"/>
      <c r="BJ101" s="510"/>
      <c r="BK101" s="510"/>
      <c r="BL101" s="510"/>
      <c r="BM101" s="510"/>
      <c r="BN101" s="510"/>
      <c r="BO101" s="510"/>
      <c r="BP101" s="224"/>
      <c r="BQ101" s="225"/>
      <c r="BR101" s="510"/>
      <c r="BS101" s="510"/>
      <c r="BT101" s="510"/>
      <c r="BU101" s="510"/>
      <c r="BV101" s="510"/>
      <c r="BW101" s="510"/>
      <c r="BX101" s="510"/>
      <c r="BY101" s="510"/>
      <c r="BZ101" s="510"/>
      <c r="CA101" s="510"/>
      <c r="CB101" s="510"/>
      <c r="CC101" s="171"/>
      <c r="CD101" s="92"/>
      <c r="CE101" s="93"/>
      <c r="CF101" s="74"/>
      <c r="CG101" s="29"/>
    </row>
    <row r="102" spans="1:85" s="3" customFormat="1" ht="19.5" customHeight="1">
      <c r="A102" s="28"/>
      <c r="B102" s="80"/>
      <c r="C102" s="92"/>
      <c r="D102" s="507" t="s">
        <v>152</v>
      </c>
      <c r="E102" s="508"/>
      <c r="F102" s="508"/>
      <c r="G102" s="509"/>
      <c r="H102" s="225"/>
      <c r="I102" s="510"/>
      <c r="J102" s="510"/>
      <c r="K102" s="510"/>
      <c r="L102" s="510"/>
      <c r="M102" s="510"/>
      <c r="N102" s="510"/>
      <c r="O102" s="510"/>
      <c r="P102" s="510"/>
      <c r="Q102" s="510"/>
      <c r="R102" s="510"/>
      <c r="S102" s="224"/>
      <c r="T102" s="225"/>
      <c r="U102" s="510"/>
      <c r="V102" s="510"/>
      <c r="W102" s="510"/>
      <c r="X102" s="510"/>
      <c r="Y102" s="510"/>
      <c r="Z102" s="510"/>
      <c r="AA102" s="510"/>
      <c r="AB102" s="510"/>
      <c r="AC102" s="510"/>
      <c r="AD102" s="510"/>
      <c r="AE102" s="226"/>
      <c r="AF102" s="224"/>
      <c r="AG102" s="510"/>
      <c r="AH102" s="510"/>
      <c r="AI102" s="510"/>
      <c r="AJ102" s="510"/>
      <c r="AK102" s="510"/>
      <c r="AL102" s="510"/>
      <c r="AM102" s="510"/>
      <c r="AN102" s="510"/>
      <c r="AO102" s="510"/>
      <c r="AP102" s="510"/>
      <c r="AQ102" s="224"/>
      <c r="AR102" s="225"/>
      <c r="AS102" s="510"/>
      <c r="AT102" s="510"/>
      <c r="AU102" s="510"/>
      <c r="AV102" s="510"/>
      <c r="AW102" s="510"/>
      <c r="AX102" s="510"/>
      <c r="AY102" s="510"/>
      <c r="AZ102" s="510"/>
      <c r="BA102" s="510"/>
      <c r="BB102" s="510"/>
      <c r="BC102" s="226"/>
      <c r="BD102" s="224"/>
      <c r="BE102" s="510"/>
      <c r="BF102" s="510"/>
      <c r="BG102" s="510"/>
      <c r="BH102" s="510"/>
      <c r="BI102" s="510"/>
      <c r="BJ102" s="510"/>
      <c r="BK102" s="510"/>
      <c r="BL102" s="510"/>
      <c r="BM102" s="510"/>
      <c r="BN102" s="510"/>
      <c r="BO102" s="510"/>
      <c r="BP102" s="224"/>
      <c r="BQ102" s="225"/>
      <c r="BR102" s="510"/>
      <c r="BS102" s="510"/>
      <c r="BT102" s="510"/>
      <c r="BU102" s="510"/>
      <c r="BV102" s="510"/>
      <c r="BW102" s="510"/>
      <c r="BX102" s="510"/>
      <c r="BY102" s="510"/>
      <c r="BZ102" s="510"/>
      <c r="CA102" s="510"/>
      <c r="CB102" s="510"/>
      <c r="CC102" s="171"/>
      <c r="CD102" s="92"/>
      <c r="CE102" s="93"/>
      <c r="CF102" s="74"/>
      <c r="CG102" s="29"/>
    </row>
    <row r="103" spans="1:85" s="3" customFormat="1" ht="19.5" customHeight="1">
      <c r="A103" s="28"/>
      <c r="B103" s="80"/>
      <c r="C103" s="92"/>
      <c r="D103" s="507" t="s">
        <v>153</v>
      </c>
      <c r="E103" s="508"/>
      <c r="F103" s="508"/>
      <c r="G103" s="509"/>
      <c r="H103" s="225"/>
      <c r="I103" s="510"/>
      <c r="J103" s="510"/>
      <c r="K103" s="510"/>
      <c r="L103" s="510"/>
      <c r="M103" s="510"/>
      <c r="N103" s="510"/>
      <c r="O103" s="510"/>
      <c r="P103" s="510"/>
      <c r="Q103" s="510"/>
      <c r="R103" s="510"/>
      <c r="S103" s="224"/>
      <c r="T103" s="225"/>
      <c r="U103" s="510"/>
      <c r="V103" s="510"/>
      <c r="W103" s="510"/>
      <c r="X103" s="510"/>
      <c r="Y103" s="510"/>
      <c r="Z103" s="510"/>
      <c r="AA103" s="510"/>
      <c r="AB103" s="510"/>
      <c r="AC103" s="510"/>
      <c r="AD103" s="510"/>
      <c r="AE103" s="226"/>
      <c r="AF103" s="224"/>
      <c r="AG103" s="510"/>
      <c r="AH103" s="510"/>
      <c r="AI103" s="510"/>
      <c r="AJ103" s="510"/>
      <c r="AK103" s="510"/>
      <c r="AL103" s="510"/>
      <c r="AM103" s="510"/>
      <c r="AN103" s="510"/>
      <c r="AO103" s="510"/>
      <c r="AP103" s="510"/>
      <c r="AQ103" s="224"/>
      <c r="AR103" s="225"/>
      <c r="AS103" s="510"/>
      <c r="AT103" s="510"/>
      <c r="AU103" s="510"/>
      <c r="AV103" s="510"/>
      <c r="AW103" s="510"/>
      <c r="AX103" s="510"/>
      <c r="AY103" s="510"/>
      <c r="AZ103" s="510"/>
      <c r="BA103" s="510"/>
      <c r="BB103" s="510"/>
      <c r="BC103" s="226"/>
      <c r="BD103" s="224"/>
      <c r="BE103" s="510"/>
      <c r="BF103" s="510"/>
      <c r="BG103" s="510"/>
      <c r="BH103" s="510"/>
      <c r="BI103" s="510"/>
      <c r="BJ103" s="510"/>
      <c r="BK103" s="510"/>
      <c r="BL103" s="510"/>
      <c r="BM103" s="510"/>
      <c r="BN103" s="510"/>
      <c r="BO103" s="510"/>
      <c r="BP103" s="224"/>
      <c r="BQ103" s="225"/>
      <c r="BR103" s="510"/>
      <c r="BS103" s="510"/>
      <c r="BT103" s="510"/>
      <c r="BU103" s="510"/>
      <c r="BV103" s="510"/>
      <c r="BW103" s="510"/>
      <c r="BX103" s="510"/>
      <c r="BY103" s="510"/>
      <c r="BZ103" s="510"/>
      <c r="CA103" s="510"/>
      <c r="CB103" s="510"/>
      <c r="CC103" s="171"/>
      <c r="CD103" s="92"/>
      <c r="CE103" s="93"/>
      <c r="CF103" s="74"/>
      <c r="CG103" s="29"/>
    </row>
    <row r="104" spans="1:85" s="3" customFormat="1" ht="19.5" customHeight="1">
      <c r="A104" s="28"/>
      <c r="B104" s="80"/>
      <c r="C104" s="92"/>
      <c r="D104" s="507" t="s">
        <v>154</v>
      </c>
      <c r="E104" s="508"/>
      <c r="F104" s="508"/>
      <c r="G104" s="509"/>
      <c r="H104" s="225"/>
      <c r="I104" s="510"/>
      <c r="J104" s="510"/>
      <c r="K104" s="510"/>
      <c r="L104" s="510"/>
      <c r="M104" s="510"/>
      <c r="N104" s="510"/>
      <c r="O104" s="510"/>
      <c r="P104" s="510"/>
      <c r="Q104" s="510"/>
      <c r="R104" s="510"/>
      <c r="S104" s="224"/>
      <c r="T104" s="225"/>
      <c r="U104" s="510"/>
      <c r="V104" s="510"/>
      <c r="W104" s="510"/>
      <c r="X104" s="510"/>
      <c r="Y104" s="510"/>
      <c r="Z104" s="510"/>
      <c r="AA104" s="510"/>
      <c r="AB104" s="510"/>
      <c r="AC104" s="510"/>
      <c r="AD104" s="510"/>
      <c r="AE104" s="226"/>
      <c r="AF104" s="224"/>
      <c r="AG104" s="510"/>
      <c r="AH104" s="510"/>
      <c r="AI104" s="510"/>
      <c r="AJ104" s="510"/>
      <c r="AK104" s="510"/>
      <c r="AL104" s="510"/>
      <c r="AM104" s="510"/>
      <c r="AN104" s="510"/>
      <c r="AO104" s="510"/>
      <c r="AP104" s="510"/>
      <c r="AQ104" s="224"/>
      <c r="AR104" s="225"/>
      <c r="AS104" s="510"/>
      <c r="AT104" s="510"/>
      <c r="AU104" s="510"/>
      <c r="AV104" s="510"/>
      <c r="AW104" s="510"/>
      <c r="AX104" s="510"/>
      <c r="AY104" s="510"/>
      <c r="AZ104" s="510"/>
      <c r="BA104" s="510"/>
      <c r="BB104" s="510"/>
      <c r="BC104" s="226"/>
      <c r="BD104" s="224"/>
      <c r="BE104" s="510"/>
      <c r="BF104" s="510"/>
      <c r="BG104" s="510"/>
      <c r="BH104" s="510"/>
      <c r="BI104" s="510"/>
      <c r="BJ104" s="510"/>
      <c r="BK104" s="510"/>
      <c r="BL104" s="510"/>
      <c r="BM104" s="510"/>
      <c r="BN104" s="510"/>
      <c r="BO104" s="510"/>
      <c r="BP104" s="224"/>
      <c r="BQ104" s="225"/>
      <c r="BR104" s="510"/>
      <c r="BS104" s="510"/>
      <c r="BT104" s="510"/>
      <c r="BU104" s="510"/>
      <c r="BV104" s="510"/>
      <c r="BW104" s="510"/>
      <c r="BX104" s="510"/>
      <c r="BY104" s="510"/>
      <c r="BZ104" s="510"/>
      <c r="CA104" s="510"/>
      <c r="CB104" s="510"/>
      <c r="CC104" s="171"/>
      <c r="CD104" s="92"/>
      <c r="CE104" s="93"/>
      <c r="CF104" s="74"/>
      <c r="CG104" s="29"/>
    </row>
    <row r="105" spans="1:85" s="3" customFormat="1" ht="19.5" customHeight="1">
      <c r="A105" s="28"/>
      <c r="B105" s="80"/>
      <c r="C105" s="92"/>
      <c r="D105" s="507" t="s">
        <v>155</v>
      </c>
      <c r="E105" s="508"/>
      <c r="F105" s="508"/>
      <c r="G105" s="509"/>
      <c r="H105" s="225"/>
      <c r="I105" s="510"/>
      <c r="J105" s="510"/>
      <c r="K105" s="510"/>
      <c r="L105" s="510"/>
      <c r="M105" s="510"/>
      <c r="N105" s="510"/>
      <c r="O105" s="510"/>
      <c r="P105" s="510"/>
      <c r="Q105" s="510"/>
      <c r="R105" s="510"/>
      <c r="S105" s="224"/>
      <c r="T105" s="225"/>
      <c r="U105" s="510"/>
      <c r="V105" s="510"/>
      <c r="W105" s="510"/>
      <c r="X105" s="510"/>
      <c r="Y105" s="510"/>
      <c r="Z105" s="510"/>
      <c r="AA105" s="510"/>
      <c r="AB105" s="510"/>
      <c r="AC105" s="510"/>
      <c r="AD105" s="510"/>
      <c r="AE105" s="226"/>
      <c r="AF105" s="224"/>
      <c r="AG105" s="510"/>
      <c r="AH105" s="510"/>
      <c r="AI105" s="510"/>
      <c r="AJ105" s="510"/>
      <c r="AK105" s="510"/>
      <c r="AL105" s="510"/>
      <c r="AM105" s="510"/>
      <c r="AN105" s="510"/>
      <c r="AO105" s="510"/>
      <c r="AP105" s="510"/>
      <c r="AQ105" s="224"/>
      <c r="AR105" s="225"/>
      <c r="AS105" s="510"/>
      <c r="AT105" s="510"/>
      <c r="AU105" s="510"/>
      <c r="AV105" s="510"/>
      <c r="AW105" s="510"/>
      <c r="AX105" s="510"/>
      <c r="AY105" s="510"/>
      <c r="AZ105" s="510"/>
      <c r="BA105" s="510"/>
      <c r="BB105" s="510"/>
      <c r="BC105" s="226"/>
      <c r="BD105" s="224"/>
      <c r="BE105" s="510"/>
      <c r="BF105" s="510"/>
      <c r="BG105" s="510"/>
      <c r="BH105" s="510"/>
      <c r="BI105" s="510"/>
      <c r="BJ105" s="510"/>
      <c r="BK105" s="510"/>
      <c r="BL105" s="510"/>
      <c r="BM105" s="510"/>
      <c r="BN105" s="510"/>
      <c r="BO105" s="510"/>
      <c r="BP105" s="224"/>
      <c r="BQ105" s="225"/>
      <c r="BR105" s="510"/>
      <c r="BS105" s="510"/>
      <c r="BT105" s="510"/>
      <c r="BU105" s="510"/>
      <c r="BV105" s="510"/>
      <c r="BW105" s="510"/>
      <c r="BX105" s="510"/>
      <c r="BY105" s="510"/>
      <c r="BZ105" s="510"/>
      <c r="CA105" s="510"/>
      <c r="CB105" s="510"/>
      <c r="CC105" s="171"/>
      <c r="CD105" s="92"/>
      <c r="CE105" s="93"/>
      <c r="CF105" s="74"/>
      <c r="CG105" s="29"/>
    </row>
    <row r="106" spans="1:85" s="3" customFormat="1" ht="19.5" customHeight="1">
      <c r="A106" s="28"/>
      <c r="B106" s="80"/>
      <c r="C106" s="92"/>
      <c r="D106" s="507" t="s">
        <v>156</v>
      </c>
      <c r="E106" s="508"/>
      <c r="F106" s="508"/>
      <c r="G106" s="509"/>
      <c r="H106" s="225"/>
      <c r="I106" s="510"/>
      <c r="J106" s="510"/>
      <c r="K106" s="510"/>
      <c r="L106" s="510"/>
      <c r="M106" s="510"/>
      <c r="N106" s="510"/>
      <c r="O106" s="510"/>
      <c r="P106" s="510"/>
      <c r="Q106" s="510"/>
      <c r="R106" s="510"/>
      <c r="S106" s="224"/>
      <c r="T106" s="225"/>
      <c r="U106" s="510"/>
      <c r="V106" s="510"/>
      <c r="W106" s="510"/>
      <c r="X106" s="510"/>
      <c r="Y106" s="510"/>
      <c r="Z106" s="510"/>
      <c r="AA106" s="510"/>
      <c r="AB106" s="510"/>
      <c r="AC106" s="510"/>
      <c r="AD106" s="510"/>
      <c r="AE106" s="226"/>
      <c r="AF106" s="224"/>
      <c r="AG106" s="510"/>
      <c r="AH106" s="510"/>
      <c r="AI106" s="510"/>
      <c r="AJ106" s="510"/>
      <c r="AK106" s="510"/>
      <c r="AL106" s="510"/>
      <c r="AM106" s="510"/>
      <c r="AN106" s="510"/>
      <c r="AO106" s="510"/>
      <c r="AP106" s="510"/>
      <c r="AQ106" s="224"/>
      <c r="AR106" s="225"/>
      <c r="AS106" s="510"/>
      <c r="AT106" s="510"/>
      <c r="AU106" s="510"/>
      <c r="AV106" s="510"/>
      <c r="AW106" s="510"/>
      <c r="AX106" s="510"/>
      <c r="AY106" s="510"/>
      <c r="AZ106" s="510"/>
      <c r="BA106" s="510"/>
      <c r="BB106" s="510"/>
      <c r="BC106" s="226"/>
      <c r="BD106" s="224"/>
      <c r="BE106" s="510"/>
      <c r="BF106" s="510"/>
      <c r="BG106" s="510"/>
      <c r="BH106" s="510"/>
      <c r="BI106" s="510"/>
      <c r="BJ106" s="510"/>
      <c r="BK106" s="510"/>
      <c r="BL106" s="510"/>
      <c r="BM106" s="510"/>
      <c r="BN106" s="510"/>
      <c r="BO106" s="510"/>
      <c r="BP106" s="224"/>
      <c r="BQ106" s="225"/>
      <c r="BR106" s="510"/>
      <c r="BS106" s="510"/>
      <c r="BT106" s="510"/>
      <c r="BU106" s="510"/>
      <c r="BV106" s="510"/>
      <c r="BW106" s="510"/>
      <c r="BX106" s="510"/>
      <c r="BY106" s="510"/>
      <c r="BZ106" s="510"/>
      <c r="CA106" s="510"/>
      <c r="CB106" s="510"/>
      <c r="CC106" s="171"/>
      <c r="CD106" s="93"/>
      <c r="CE106" s="93"/>
      <c r="CF106" s="74"/>
      <c r="CG106" s="29"/>
    </row>
    <row r="107" spans="1:85" s="3" customFormat="1" ht="19.5" customHeight="1">
      <c r="A107" s="28"/>
      <c r="B107" s="80"/>
      <c r="C107" s="92"/>
      <c r="D107" s="507" t="s">
        <v>157</v>
      </c>
      <c r="E107" s="508"/>
      <c r="F107" s="508"/>
      <c r="G107" s="509"/>
      <c r="H107" s="225"/>
      <c r="I107" s="510"/>
      <c r="J107" s="510"/>
      <c r="K107" s="510"/>
      <c r="L107" s="510"/>
      <c r="M107" s="510"/>
      <c r="N107" s="510"/>
      <c r="O107" s="510"/>
      <c r="P107" s="510"/>
      <c r="Q107" s="510"/>
      <c r="R107" s="510"/>
      <c r="S107" s="224"/>
      <c r="T107" s="225"/>
      <c r="U107" s="510"/>
      <c r="V107" s="510"/>
      <c r="W107" s="510"/>
      <c r="X107" s="510"/>
      <c r="Y107" s="510"/>
      <c r="Z107" s="510"/>
      <c r="AA107" s="510"/>
      <c r="AB107" s="510"/>
      <c r="AC107" s="510"/>
      <c r="AD107" s="510"/>
      <c r="AE107" s="226"/>
      <c r="AF107" s="224"/>
      <c r="AG107" s="510"/>
      <c r="AH107" s="510"/>
      <c r="AI107" s="510"/>
      <c r="AJ107" s="510"/>
      <c r="AK107" s="510"/>
      <c r="AL107" s="510"/>
      <c r="AM107" s="510"/>
      <c r="AN107" s="510"/>
      <c r="AO107" s="510"/>
      <c r="AP107" s="510"/>
      <c r="AQ107" s="224"/>
      <c r="AR107" s="225"/>
      <c r="AS107" s="510"/>
      <c r="AT107" s="510"/>
      <c r="AU107" s="510"/>
      <c r="AV107" s="510"/>
      <c r="AW107" s="510"/>
      <c r="AX107" s="510"/>
      <c r="AY107" s="510"/>
      <c r="AZ107" s="510"/>
      <c r="BA107" s="510"/>
      <c r="BB107" s="510"/>
      <c r="BC107" s="226"/>
      <c r="BD107" s="224"/>
      <c r="BE107" s="510"/>
      <c r="BF107" s="510"/>
      <c r="BG107" s="510"/>
      <c r="BH107" s="510"/>
      <c r="BI107" s="510"/>
      <c r="BJ107" s="510"/>
      <c r="BK107" s="510"/>
      <c r="BL107" s="510"/>
      <c r="BM107" s="510"/>
      <c r="BN107" s="510"/>
      <c r="BO107" s="510"/>
      <c r="BP107" s="224"/>
      <c r="BQ107" s="225"/>
      <c r="BR107" s="510"/>
      <c r="BS107" s="510"/>
      <c r="BT107" s="510"/>
      <c r="BU107" s="510"/>
      <c r="BV107" s="510"/>
      <c r="BW107" s="510"/>
      <c r="BX107" s="510"/>
      <c r="BY107" s="510"/>
      <c r="BZ107" s="510"/>
      <c r="CA107" s="510"/>
      <c r="CB107" s="510"/>
      <c r="CC107" s="171"/>
      <c r="CD107" s="92"/>
      <c r="CE107" s="93"/>
      <c r="CF107" s="74"/>
      <c r="CG107" s="29"/>
    </row>
    <row r="108" spans="1:85" s="3" customFormat="1" ht="19.5" customHeight="1">
      <c r="A108" s="28"/>
      <c r="B108" s="80"/>
      <c r="C108" s="92"/>
      <c r="D108" s="507" t="s">
        <v>158</v>
      </c>
      <c r="E108" s="508"/>
      <c r="F108" s="508"/>
      <c r="G108" s="509"/>
      <c r="H108" s="225"/>
      <c r="I108" s="510"/>
      <c r="J108" s="510"/>
      <c r="K108" s="510"/>
      <c r="L108" s="510"/>
      <c r="M108" s="510"/>
      <c r="N108" s="510"/>
      <c r="O108" s="510"/>
      <c r="P108" s="510"/>
      <c r="Q108" s="510"/>
      <c r="R108" s="510"/>
      <c r="S108" s="224"/>
      <c r="T108" s="225"/>
      <c r="U108" s="510"/>
      <c r="V108" s="510"/>
      <c r="W108" s="510"/>
      <c r="X108" s="510"/>
      <c r="Y108" s="510"/>
      <c r="Z108" s="510"/>
      <c r="AA108" s="510"/>
      <c r="AB108" s="510"/>
      <c r="AC108" s="510"/>
      <c r="AD108" s="510"/>
      <c r="AE108" s="226"/>
      <c r="AF108" s="224"/>
      <c r="AG108" s="510"/>
      <c r="AH108" s="510"/>
      <c r="AI108" s="510"/>
      <c r="AJ108" s="510"/>
      <c r="AK108" s="510"/>
      <c r="AL108" s="510"/>
      <c r="AM108" s="510"/>
      <c r="AN108" s="510"/>
      <c r="AO108" s="510"/>
      <c r="AP108" s="510"/>
      <c r="AQ108" s="224"/>
      <c r="AR108" s="225"/>
      <c r="AS108" s="510"/>
      <c r="AT108" s="510"/>
      <c r="AU108" s="510"/>
      <c r="AV108" s="510"/>
      <c r="AW108" s="510"/>
      <c r="AX108" s="510"/>
      <c r="AY108" s="510"/>
      <c r="AZ108" s="510"/>
      <c r="BA108" s="510"/>
      <c r="BB108" s="510"/>
      <c r="BC108" s="226"/>
      <c r="BD108" s="224"/>
      <c r="BE108" s="510"/>
      <c r="BF108" s="510"/>
      <c r="BG108" s="510"/>
      <c r="BH108" s="510"/>
      <c r="BI108" s="510"/>
      <c r="BJ108" s="510"/>
      <c r="BK108" s="510"/>
      <c r="BL108" s="510"/>
      <c r="BM108" s="510"/>
      <c r="BN108" s="510"/>
      <c r="BO108" s="510"/>
      <c r="BP108" s="224"/>
      <c r="BQ108" s="225"/>
      <c r="BR108" s="510"/>
      <c r="BS108" s="510"/>
      <c r="BT108" s="510"/>
      <c r="BU108" s="510"/>
      <c r="BV108" s="510"/>
      <c r="BW108" s="510"/>
      <c r="BX108" s="510"/>
      <c r="BY108" s="510"/>
      <c r="BZ108" s="510"/>
      <c r="CA108" s="510"/>
      <c r="CB108" s="510"/>
      <c r="CC108" s="171"/>
      <c r="CD108" s="92"/>
      <c r="CE108" s="93"/>
      <c r="CF108" s="74"/>
      <c r="CG108" s="29"/>
    </row>
    <row r="109" spans="1:85" s="3" customFormat="1" ht="19.5" customHeight="1">
      <c r="A109" s="28"/>
      <c r="B109" s="80"/>
      <c r="C109" s="92"/>
      <c r="D109" s="507" t="s">
        <v>159</v>
      </c>
      <c r="E109" s="508"/>
      <c r="F109" s="508"/>
      <c r="G109" s="509"/>
      <c r="H109" s="225"/>
      <c r="I109" s="510"/>
      <c r="J109" s="510"/>
      <c r="K109" s="510"/>
      <c r="L109" s="510"/>
      <c r="M109" s="510"/>
      <c r="N109" s="510"/>
      <c r="O109" s="510"/>
      <c r="P109" s="510"/>
      <c r="Q109" s="510"/>
      <c r="R109" s="510"/>
      <c r="S109" s="224"/>
      <c r="T109" s="225"/>
      <c r="U109" s="510"/>
      <c r="V109" s="510"/>
      <c r="W109" s="510"/>
      <c r="X109" s="510"/>
      <c r="Y109" s="510"/>
      <c r="Z109" s="510"/>
      <c r="AA109" s="510"/>
      <c r="AB109" s="510"/>
      <c r="AC109" s="510"/>
      <c r="AD109" s="510"/>
      <c r="AE109" s="226"/>
      <c r="AF109" s="224"/>
      <c r="AG109" s="510"/>
      <c r="AH109" s="510"/>
      <c r="AI109" s="510"/>
      <c r="AJ109" s="510"/>
      <c r="AK109" s="510"/>
      <c r="AL109" s="510"/>
      <c r="AM109" s="510"/>
      <c r="AN109" s="510"/>
      <c r="AO109" s="510"/>
      <c r="AP109" s="510"/>
      <c r="AQ109" s="224"/>
      <c r="AR109" s="225"/>
      <c r="AS109" s="510"/>
      <c r="AT109" s="510"/>
      <c r="AU109" s="510"/>
      <c r="AV109" s="510"/>
      <c r="AW109" s="510"/>
      <c r="AX109" s="510"/>
      <c r="AY109" s="510"/>
      <c r="AZ109" s="510"/>
      <c r="BA109" s="510"/>
      <c r="BB109" s="510"/>
      <c r="BC109" s="226"/>
      <c r="BD109" s="224"/>
      <c r="BE109" s="510"/>
      <c r="BF109" s="510"/>
      <c r="BG109" s="510"/>
      <c r="BH109" s="510"/>
      <c r="BI109" s="510"/>
      <c r="BJ109" s="510"/>
      <c r="BK109" s="510"/>
      <c r="BL109" s="510"/>
      <c r="BM109" s="510"/>
      <c r="BN109" s="510"/>
      <c r="BO109" s="510"/>
      <c r="BP109" s="224"/>
      <c r="BQ109" s="225"/>
      <c r="BR109" s="510"/>
      <c r="BS109" s="510"/>
      <c r="BT109" s="510"/>
      <c r="BU109" s="510"/>
      <c r="BV109" s="510"/>
      <c r="BW109" s="510"/>
      <c r="BX109" s="510"/>
      <c r="BY109" s="510"/>
      <c r="BZ109" s="510"/>
      <c r="CA109" s="510"/>
      <c r="CB109" s="510"/>
      <c r="CC109" s="171"/>
      <c r="CD109" s="92"/>
      <c r="CE109" s="93"/>
      <c r="CF109" s="74"/>
      <c r="CG109" s="29"/>
    </row>
    <row r="110" spans="1:85" s="3" customFormat="1" ht="19.5" customHeight="1">
      <c r="A110" s="28"/>
      <c r="B110" s="80"/>
      <c r="C110" s="92"/>
      <c r="D110" s="507" t="s">
        <v>160</v>
      </c>
      <c r="E110" s="508"/>
      <c r="F110" s="508"/>
      <c r="G110" s="509"/>
      <c r="H110" s="225"/>
      <c r="I110" s="510"/>
      <c r="J110" s="510"/>
      <c r="K110" s="510"/>
      <c r="L110" s="510"/>
      <c r="M110" s="510"/>
      <c r="N110" s="510"/>
      <c r="O110" s="510"/>
      <c r="P110" s="510"/>
      <c r="Q110" s="510"/>
      <c r="R110" s="510"/>
      <c r="S110" s="224"/>
      <c r="T110" s="225"/>
      <c r="U110" s="510"/>
      <c r="V110" s="510"/>
      <c r="W110" s="510"/>
      <c r="X110" s="510"/>
      <c r="Y110" s="510"/>
      <c r="Z110" s="510"/>
      <c r="AA110" s="510"/>
      <c r="AB110" s="510"/>
      <c r="AC110" s="510"/>
      <c r="AD110" s="510"/>
      <c r="AE110" s="226"/>
      <c r="AF110" s="224"/>
      <c r="AG110" s="510"/>
      <c r="AH110" s="510"/>
      <c r="AI110" s="510"/>
      <c r="AJ110" s="510"/>
      <c r="AK110" s="510"/>
      <c r="AL110" s="510"/>
      <c r="AM110" s="510"/>
      <c r="AN110" s="510"/>
      <c r="AO110" s="510"/>
      <c r="AP110" s="510"/>
      <c r="AQ110" s="224"/>
      <c r="AR110" s="225"/>
      <c r="AS110" s="510"/>
      <c r="AT110" s="510"/>
      <c r="AU110" s="510"/>
      <c r="AV110" s="510"/>
      <c r="AW110" s="510"/>
      <c r="AX110" s="510"/>
      <c r="AY110" s="510"/>
      <c r="AZ110" s="510"/>
      <c r="BA110" s="510"/>
      <c r="BB110" s="510"/>
      <c r="BC110" s="226"/>
      <c r="BD110" s="224"/>
      <c r="BE110" s="510"/>
      <c r="BF110" s="510"/>
      <c r="BG110" s="510"/>
      <c r="BH110" s="510"/>
      <c r="BI110" s="510"/>
      <c r="BJ110" s="510"/>
      <c r="BK110" s="510"/>
      <c r="BL110" s="510"/>
      <c r="BM110" s="510"/>
      <c r="BN110" s="510"/>
      <c r="BO110" s="510"/>
      <c r="BP110" s="224"/>
      <c r="BQ110" s="225"/>
      <c r="BR110" s="510"/>
      <c r="BS110" s="510"/>
      <c r="BT110" s="510"/>
      <c r="BU110" s="510"/>
      <c r="BV110" s="510"/>
      <c r="BW110" s="510"/>
      <c r="BX110" s="510"/>
      <c r="BY110" s="510"/>
      <c r="BZ110" s="510"/>
      <c r="CA110" s="510"/>
      <c r="CB110" s="510"/>
      <c r="CC110" s="171"/>
      <c r="CD110" s="93"/>
      <c r="CE110" s="93"/>
      <c r="CF110" s="74"/>
      <c r="CG110" s="29"/>
    </row>
    <row r="111" spans="1:85" s="3" customFormat="1" ht="19.5" customHeight="1">
      <c r="A111" s="28"/>
      <c r="B111" s="80"/>
      <c r="C111" s="92"/>
      <c r="D111" s="507" t="s">
        <v>116</v>
      </c>
      <c r="E111" s="508"/>
      <c r="F111" s="508"/>
      <c r="G111" s="509"/>
      <c r="H111" s="225"/>
      <c r="I111" s="522">
        <v>-600</v>
      </c>
      <c r="J111" s="522"/>
      <c r="K111" s="522"/>
      <c r="L111" s="522"/>
      <c r="M111" s="522"/>
      <c r="N111" s="522"/>
      <c r="O111" s="522"/>
      <c r="P111" s="522"/>
      <c r="Q111" s="522"/>
      <c r="R111" s="522"/>
      <c r="S111" s="224"/>
      <c r="T111" s="225"/>
      <c r="U111" s="522">
        <v>-1300</v>
      </c>
      <c r="V111" s="522"/>
      <c r="W111" s="522"/>
      <c r="X111" s="522"/>
      <c r="Y111" s="522"/>
      <c r="Z111" s="522"/>
      <c r="AA111" s="522"/>
      <c r="AB111" s="522"/>
      <c r="AC111" s="522"/>
      <c r="AD111" s="522"/>
      <c r="AE111" s="226"/>
      <c r="AF111" s="224"/>
      <c r="AG111" s="510">
        <f>SUM(AG80:AP110)</f>
        <v>490000000</v>
      </c>
      <c r="AH111" s="510"/>
      <c r="AI111" s="510"/>
      <c r="AJ111" s="510"/>
      <c r="AK111" s="510"/>
      <c r="AL111" s="510"/>
      <c r="AM111" s="510"/>
      <c r="AN111" s="510"/>
      <c r="AO111" s="510"/>
      <c r="AP111" s="510"/>
      <c r="AQ111" s="224"/>
      <c r="AR111" s="225"/>
      <c r="AS111" s="510">
        <f>SUM(AS80:BB110)</f>
        <v>1000000</v>
      </c>
      <c r="AT111" s="510"/>
      <c r="AU111" s="510"/>
      <c r="AV111" s="510"/>
      <c r="AW111" s="510"/>
      <c r="AX111" s="510"/>
      <c r="AY111" s="510"/>
      <c r="AZ111" s="510"/>
      <c r="BA111" s="510"/>
      <c r="BB111" s="510"/>
      <c r="BC111" s="226"/>
      <c r="BD111" s="224"/>
      <c r="BE111" s="510"/>
      <c r="BF111" s="510"/>
      <c r="BG111" s="510"/>
      <c r="BH111" s="510"/>
      <c r="BI111" s="510"/>
      <c r="BJ111" s="510"/>
      <c r="BK111" s="510"/>
      <c r="BL111" s="510"/>
      <c r="BM111" s="510"/>
      <c r="BN111" s="510"/>
      <c r="BO111" s="510"/>
      <c r="BP111" s="224"/>
      <c r="BQ111" s="224"/>
      <c r="BR111" s="510"/>
      <c r="BS111" s="510"/>
      <c r="BT111" s="510"/>
      <c r="BU111" s="510"/>
      <c r="BV111" s="510"/>
      <c r="BW111" s="510"/>
      <c r="BX111" s="510"/>
      <c r="BY111" s="510"/>
      <c r="BZ111" s="510"/>
      <c r="CA111" s="510"/>
      <c r="CB111" s="510"/>
      <c r="CC111" s="171"/>
      <c r="CD111" s="93"/>
      <c r="CE111" s="93"/>
      <c r="CF111" s="74"/>
      <c r="CG111" s="29"/>
    </row>
    <row r="112" spans="1:85" s="3" customFormat="1" ht="19.5" customHeight="1">
      <c r="A112" s="28"/>
      <c r="B112" s="80"/>
      <c r="C112" s="92"/>
      <c r="D112" s="504"/>
      <c r="E112" s="505"/>
      <c r="F112" s="505"/>
      <c r="G112" s="505"/>
      <c r="H112" s="505"/>
      <c r="I112" s="505"/>
      <c r="J112" s="505"/>
      <c r="K112" s="505"/>
      <c r="L112" s="505"/>
      <c r="M112" s="505"/>
      <c r="N112" s="505"/>
      <c r="O112" s="505"/>
      <c r="P112" s="505"/>
      <c r="Q112" s="505"/>
      <c r="R112" s="505"/>
      <c r="S112" s="505"/>
      <c r="T112" s="505"/>
      <c r="U112" s="505"/>
      <c r="V112" s="505"/>
      <c r="W112" s="505"/>
      <c r="X112" s="505"/>
      <c r="Y112" s="505"/>
      <c r="Z112" s="505"/>
      <c r="AA112" s="505"/>
      <c r="AB112" s="505"/>
      <c r="AC112" s="505"/>
      <c r="AD112" s="505"/>
      <c r="AE112" s="505"/>
      <c r="AF112" s="505"/>
      <c r="AG112" s="505"/>
      <c r="AH112" s="505"/>
      <c r="AI112" s="505"/>
      <c r="AJ112" s="505"/>
      <c r="AK112" s="505"/>
      <c r="AL112" s="505"/>
      <c r="AM112" s="505"/>
      <c r="AN112" s="505"/>
      <c r="AO112" s="505"/>
      <c r="AP112" s="505"/>
      <c r="AQ112" s="505"/>
      <c r="AR112" s="505"/>
      <c r="AS112" s="505"/>
      <c r="AT112" s="505"/>
      <c r="AU112" s="505"/>
      <c r="AV112" s="505"/>
      <c r="AW112" s="505"/>
      <c r="AX112" s="505"/>
      <c r="AY112" s="505"/>
      <c r="AZ112" s="505"/>
      <c r="BA112" s="505"/>
      <c r="BB112" s="505"/>
      <c r="BC112" s="505"/>
      <c r="BD112" s="505"/>
      <c r="BE112" s="505"/>
      <c r="BF112" s="505"/>
      <c r="BG112" s="505"/>
      <c r="BH112" s="505"/>
      <c r="BI112" s="505"/>
      <c r="BJ112" s="505"/>
      <c r="BK112" s="505"/>
      <c r="BL112" s="505"/>
      <c r="BM112" s="505"/>
      <c r="BN112" s="505"/>
      <c r="BO112" s="505"/>
      <c r="BP112" s="505"/>
      <c r="BQ112" s="505"/>
      <c r="BR112" s="505"/>
      <c r="BS112" s="505"/>
      <c r="BT112" s="505"/>
      <c r="BU112" s="505"/>
      <c r="BV112" s="505"/>
      <c r="BW112" s="505"/>
      <c r="BX112" s="505"/>
      <c r="BY112" s="505"/>
      <c r="BZ112" s="505"/>
      <c r="CA112" s="505"/>
      <c r="CB112" s="505"/>
      <c r="CC112" s="506"/>
      <c r="CD112" s="93"/>
      <c r="CE112" s="93"/>
      <c r="CF112" s="74"/>
      <c r="CG112" s="29"/>
    </row>
    <row r="113" spans="1:85" s="59" customFormat="1" ht="16.5" customHeight="1">
      <c r="A113" s="240"/>
      <c r="B113" s="227"/>
      <c r="C113" s="241"/>
      <c r="D113" s="241"/>
      <c r="E113" s="241"/>
      <c r="F113" s="241"/>
      <c r="G113" s="241"/>
      <c r="H113" s="241"/>
      <c r="I113" s="241"/>
      <c r="J113" s="241"/>
      <c r="K113" s="241"/>
      <c r="L113" s="242"/>
      <c r="M113" s="242"/>
      <c r="N113" s="242"/>
      <c r="O113" s="242"/>
      <c r="P113" s="242"/>
      <c r="Q113" s="242"/>
      <c r="R113" s="242"/>
      <c r="S113" s="242"/>
      <c r="T113" s="242"/>
      <c r="U113" s="242"/>
      <c r="V113" s="242"/>
      <c r="W113" s="242"/>
      <c r="X113" s="242"/>
      <c r="Y113" s="242"/>
      <c r="Z113" s="242"/>
      <c r="AA113" s="242"/>
      <c r="AB113" s="242"/>
      <c r="AC113" s="242"/>
      <c r="AD113" s="242"/>
      <c r="AE113" s="242"/>
      <c r="AF113" s="242"/>
      <c r="AG113" s="242"/>
      <c r="AH113" s="242"/>
      <c r="AI113" s="242"/>
      <c r="AJ113" s="242"/>
      <c r="AK113" s="242"/>
      <c r="AL113" s="242"/>
      <c r="AM113" s="242"/>
      <c r="AN113" s="242"/>
      <c r="AO113" s="242"/>
      <c r="AP113" s="242"/>
      <c r="AQ113" s="242"/>
      <c r="AR113" s="242"/>
      <c r="AS113" s="242"/>
      <c r="AT113" s="242"/>
      <c r="AU113" s="242"/>
      <c r="AV113" s="242"/>
      <c r="AW113" s="242"/>
      <c r="AX113" s="242"/>
      <c r="AY113" s="242"/>
      <c r="AZ113" s="242"/>
      <c r="BA113" s="242"/>
      <c r="BB113" s="242"/>
      <c r="BC113" s="242"/>
      <c r="BD113" s="242"/>
      <c r="BE113" s="242"/>
      <c r="BF113" s="242"/>
      <c r="BG113" s="242"/>
      <c r="BH113" s="242"/>
      <c r="BI113" s="242"/>
      <c r="BJ113" s="242"/>
      <c r="BK113" s="242"/>
      <c r="BL113" s="242"/>
      <c r="BM113" s="242"/>
      <c r="BN113" s="242"/>
      <c r="BO113" s="242"/>
      <c r="BP113" s="242"/>
      <c r="BQ113" s="242"/>
      <c r="BR113" s="242"/>
      <c r="BS113" s="242"/>
      <c r="BT113" s="242"/>
      <c r="BU113" s="242"/>
      <c r="BV113" s="242"/>
      <c r="BW113" s="242"/>
      <c r="BX113" s="242"/>
      <c r="BY113" s="242"/>
      <c r="BZ113" s="242"/>
      <c r="CA113" s="242"/>
      <c r="CB113" s="242"/>
      <c r="CC113" s="243"/>
      <c r="CD113" s="243"/>
      <c r="CE113" s="243"/>
      <c r="CF113" s="228"/>
      <c r="CG113" s="244"/>
    </row>
    <row r="114" spans="1:85" s="59" customFormat="1" ht="18.649999999999999" customHeight="1">
      <c r="A114" s="240"/>
      <c r="B114" s="227"/>
      <c r="C114" s="241"/>
      <c r="D114" s="309" t="s">
        <v>335</v>
      </c>
      <c r="E114" s="310"/>
      <c r="F114" s="310"/>
      <c r="G114" s="310"/>
      <c r="H114" s="310"/>
      <c r="I114" s="310"/>
      <c r="J114" s="310"/>
      <c r="K114" s="310"/>
      <c r="L114" s="310"/>
      <c r="M114" s="310"/>
      <c r="N114" s="310"/>
      <c r="O114" s="310"/>
      <c r="P114" s="310"/>
      <c r="Q114" s="310"/>
      <c r="R114" s="310"/>
      <c r="S114" s="310"/>
      <c r="T114" s="310"/>
      <c r="U114" s="310"/>
      <c r="V114" s="310"/>
      <c r="W114" s="310"/>
      <c r="X114" s="310"/>
      <c r="Y114" s="310"/>
      <c r="Z114" s="310"/>
      <c r="AA114" s="310"/>
      <c r="AB114" s="310"/>
      <c r="AC114" s="310"/>
      <c r="AD114" s="310"/>
      <c r="AE114" s="310"/>
      <c r="AF114" s="310"/>
      <c r="AG114" s="310"/>
      <c r="AH114" s="310"/>
      <c r="AI114" s="310"/>
      <c r="AJ114" s="310"/>
      <c r="AK114" s="310"/>
      <c r="AL114" s="310"/>
      <c r="AM114" s="310"/>
      <c r="AN114" s="310"/>
      <c r="AO114" s="310"/>
      <c r="AP114" s="310"/>
      <c r="AQ114" s="310"/>
      <c r="AR114" s="310"/>
      <c r="AS114" s="310"/>
      <c r="AT114" s="310"/>
      <c r="AU114" s="310"/>
      <c r="AV114" s="310"/>
      <c r="AW114" s="310"/>
      <c r="AX114" s="310"/>
      <c r="AY114" s="310"/>
      <c r="AZ114" s="310"/>
      <c r="BA114" s="310"/>
      <c r="BB114" s="310"/>
      <c r="BC114" s="310"/>
      <c r="BD114" s="310"/>
      <c r="BE114" s="310"/>
      <c r="BF114" s="310"/>
      <c r="BG114" s="310"/>
      <c r="BH114" s="310"/>
      <c r="BI114" s="310"/>
      <c r="BJ114" s="310"/>
      <c r="BK114" s="310"/>
      <c r="BL114" s="310"/>
      <c r="BM114" s="310"/>
      <c r="BN114" s="310"/>
      <c r="BO114" s="310"/>
      <c r="BP114" s="310"/>
      <c r="BQ114" s="310"/>
      <c r="BR114" s="310"/>
      <c r="BS114" s="310"/>
      <c r="BT114" s="310"/>
      <c r="BU114" s="310"/>
      <c r="BV114" s="310"/>
      <c r="BW114" s="310"/>
      <c r="BX114" s="310"/>
      <c r="BY114" s="310"/>
      <c r="BZ114" s="310"/>
      <c r="CA114" s="310"/>
      <c r="CB114" s="310"/>
      <c r="CC114" s="311"/>
      <c r="CD114" s="243"/>
      <c r="CE114" s="243"/>
      <c r="CF114" s="228"/>
      <c r="CG114" s="244"/>
    </row>
    <row r="115" spans="1:85" s="59" customFormat="1" ht="18.649999999999999" customHeight="1">
      <c r="A115" s="240"/>
      <c r="B115" s="227"/>
      <c r="C115" s="241"/>
      <c r="D115" s="521" t="s">
        <v>336</v>
      </c>
      <c r="E115" s="521"/>
      <c r="F115" s="521"/>
      <c r="G115" s="521"/>
      <c r="H115" s="521"/>
      <c r="I115" s="521"/>
      <c r="J115" s="521"/>
      <c r="K115" s="521"/>
      <c r="L115" s="521"/>
      <c r="M115" s="521"/>
      <c r="N115" s="521"/>
      <c r="O115" s="521"/>
      <c r="P115" s="521"/>
      <c r="Q115" s="521" t="s">
        <v>337</v>
      </c>
      <c r="R115" s="521"/>
      <c r="S115" s="521"/>
      <c r="T115" s="521"/>
      <c r="U115" s="521"/>
      <c r="V115" s="521"/>
      <c r="W115" s="521"/>
      <c r="X115" s="521"/>
      <c r="Y115" s="521"/>
      <c r="Z115" s="521"/>
      <c r="AA115" s="521"/>
      <c r="AB115" s="521"/>
      <c r="AC115" s="521"/>
      <c r="AD115" s="521" t="s">
        <v>338</v>
      </c>
      <c r="AE115" s="521"/>
      <c r="AF115" s="521"/>
      <c r="AG115" s="521"/>
      <c r="AH115" s="521"/>
      <c r="AI115" s="521"/>
      <c r="AJ115" s="521"/>
      <c r="AK115" s="521"/>
      <c r="AL115" s="521"/>
      <c r="AM115" s="521"/>
      <c r="AN115" s="521"/>
      <c r="AO115" s="521"/>
      <c r="AP115" s="521"/>
      <c r="AQ115" s="521"/>
      <c r="AR115" s="521"/>
      <c r="AS115" s="521"/>
      <c r="AT115" s="521"/>
      <c r="AU115" s="521"/>
      <c r="AV115" s="521"/>
      <c r="AW115" s="521"/>
      <c r="AX115" s="521"/>
      <c r="AY115" s="521"/>
      <c r="AZ115" s="521"/>
      <c r="BA115" s="521"/>
      <c r="BB115" s="521"/>
      <c r="BC115" s="521"/>
      <c r="BD115" s="309" t="s">
        <v>339</v>
      </c>
      <c r="BE115" s="310"/>
      <c r="BF115" s="310"/>
      <c r="BG115" s="310"/>
      <c r="BH115" s="310"/>
      <c r="BI115" s="310"/>
      <c r="BJ115" s="310"/>
      <c r="BK115" s="310"/>
      <c r="BL115" s="310"/>
      <c r="BM115" s="310"/>
      <c r="BN115" s="310"/>
      <c r="BO115" s="310"/>
      <c r="BP115" s="310"/>
      <c r="BQ115" s="310"/>
      <c r="BR115" s="310"/>
      <c r="BS115" s="310"/>
      <c r="BT115" s="310"/>
      <c r="BU115" s="310"/>
      <c r="BV115" s="310"/>
      <c r="BW115" s="310"/>
      <c r="BX115" s="310"/>
      <c r="BY115" s="310"/>
      <c r="BZ115" s="310"/>
      <c r="CA115" s="310"/>
      <c r="CB115" s="310"/>
      <c r="CC115" s="311"/>
      <c r="CD115" s="243"/>
      <c r="CE115" s="243"/>
      <c r="CF115" s="228"/>
      <c r="CG115" s="244"/>
    </row>
    <row r="116" spans="1:85" s="59" customFormat="1" ht="18.649999999999999" customHeight="1">
      <c r="A116" s="240"/>
      <c r="B116" s="227"/>
      <c r="C116" s="241"/>
      <c r="D116" s="229"/>
      <c r="E116" s="230"/>
      <c r="F116" s="230"/>
      <c r="G116" s="230"/>
      <c r="H116" s="230"/>
      <c r="I116" s="230"/>
      <c r="J116" s="230"/>
      <c r="K116" s="231"/>
      <c r="L116" s="232"/>
      <c r="M116" s="232"/>
      <c r="N116" s="232"/>
      <c r="O116" s="232"/>
      <c r="P116" s="233"/>
      <c r="Q116" s="108"/>
      <c r="R116" s="98"/>
      <c r="S116" s="98"/>
      <c r="T116" s="97"/>
      <c r="U116" s="97"/>
      <c r="V116" s="97"/>
      <c r="W116" s="97"/>
      <c r="X116" s="97"/>
      <c r="Y116" s="97"/>
      <c r="Z116" s="97"/>
      <c r="AA116" s="97"/>
      <c r="AB116" s="97"/>
      <c r="AC116" s="97"/>
      <c r="AD116" s="96"/>
      <c r="AE116" s="98"/>
      <c r="AF116" s="98"/>
      <c r="AG116" s="98"/>
      <c r="AH116" s="98"/>
      <c r="AI116" s="98"/>
      <c r="AJ116" s="98"/>
      <c r="AK116" s="98"/>
      <c r="AL116" s="98"/>
      <c r="AM116" s="98"/>
      <c r="AN116" s="98"/>
      <c r="AO116" s="98"/>
      <c r="AP116" s="98"/>
      <c r="AQ116" s="98"/>
      <c r="AR116" s="98"/>
      <c r="AS116" s="98"/>
      <c r="AT116" s="98"/>
      <c r="AU116" s="98"/>
      <c r="AV116" s="98"/>
      <c r="AW116" s="98"/>
      <c r="AX116" s="97"/>
      <c r="AY116" s="97"/>
      <c r="AZ116" s="97"/>
      <c r="BA116" s="97"/>
      <c r="BB116" s="97"/>
      <c r="BC116" s="99"/>
      <c r="BD116" s="97"/>
      <c r="BE116" s="97"/>
      <c r="BF116" s="97"/>
      <c r="BG116" s="97"/>
      <c r="BH116" s="97"/>
      <c r="BI116" s="97"/>
      <c r="BJ116" s="97"/>
      <c r="BK116" s="97"/>
      <c r="BL116" s="97"/>
      <c r="BM116" s="97"/>
      <c r="BN116" s="97"/>
      <c r="BO116" s="97"/>
      <c r="BP116" s="97"/>
      <c r="BQ116" s="97"/>
      <c r="BR116" s="97"/>
      <c r="BS116" s="97"/>
      <c r="BT116" s="97"/>
      <c r="BU116" s="98"/>
      <c r="BV116" s="98"/>
      <c r="BW116" s="98"/>
      <c r="BX116" s="98"/>
      <c r="BY116" s="98"/>
      <c r="BZ116" s="98"/>
      <c r="CA116" s="98"/>
      <c r="CB116" s="98"/>
      <c r="CC116" s="107"/>
      <c r="CD116" s="243"/>
      <c r="CE116" s="243"/>
      <c r="CF116" s="228"/>
      <c r="CG116" s="244"/>
    </row>
    <row r="117" spans="1:85" s="59" customFormat="1" ht="18.649999999999999" customHeight="1">
      <c r="A117" s="240"/>
      <c r="B117" s="227"/>
      <c r="C117" s="241"/>
      <c r="D117" s="96"/>
      <c r="E117" s="97"/>
      <c r="F117" s="97"/>
      <c r="G117" s="97"/>
      <c r="H117" s="97"/>
      <c r="I117" s="97"/>
      <c r="J117" s="97"/>
      <c r="K117" s="234"/>
      <c r="L117" s="98"/>
      <c r="M117" s="98"/>
      <c r="N117" s="98"/>
      <c r="O117" s="98"/>
      <c r="P117" s="107"/>
      <c r="Q117" s="108"/>
      <c r="R117" s="98"/>
      <c r="S117" s="98"/>
      <c r="T117" s="97"/>
      <c r="U117" s="97"/>
      <c r="V117" s="97"/>
      <c r="W117" s="97"/>
      <c r="X117" s="97"/>
      <c r="Y117" s="97"/>
      <c r="Z117" s="97"/>
      <c r="AA117" s="97"/>
      <c r="AB117" s="98"/>
      <c r="AC117" s="107"/>
      <c r="AD117" s="96"/>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7"/>
      <c r="BA117" s="97"/>
      <c r="BB117" s="97"/>
      <c r="BC117" s="99"/>
      <c r="BD117" s="97"/>
      <c r="BE117" s="97"/>
      <c r="BF117" s="97"/>
      <c r="BG117" s="97"/>
      <c r="BH117" s="97"/>
      <c r="BI117" s="97"/>
      <c r="BJ117" s="97"/>
      <c r="BK117" s="97"/>
      <c r="BL117" s="97"/>
      <c r="BM117" s="97"/>
      <c r="BN117" s="97"/>
      <c r="BO117" s="97"/>
      <c r="BP117" s="97"/>
      <c r="BQ117" s="97"/>
      <c r="BR117" s="97"/>
      <c r="BS117" s="97"/>
      <c r="BT117" s="97"/>
      <c r="BU117" s="98"/>
      <c r="BV117" s="98"/>
      <c r="BW117" s="98"/>
      <c r="BX117" s="98"/>
      <c r="BY117" s="98"/>
      <c r="BZ117" s="98"/>
      <c r="CA117" s="98"/>
      <c r="CB117" s="98"/>
      <c r="CC117" s="107"/>
      <c r="CD117" s="243"/>
      <c r="CE117" s="243"/>
      <c r="CF117" s="228"/>
      <c r="CG117" s="244"/>
    </row>
    <row r="118" spans="1:85" s="59" customFormat="1" ht="18.649999999999999" customHeight="1">
      <c r="A118" s="240"/>
      <c r="B118" s="227"/>
      <c r="C118" s="241"/>
      <c r="D118" s="96"/>
      <c r="E118" s="97"/>
      <c r="F118" s="97"/>
      <c r="G118" s="97"/>
      <c r="H118" s="97"/>
      <c r="I118" s="97"/>
      <c r="J118" s="97"/>
      <c r="K118" s="234"/>
      <c r="L118" s="98"/>
      <c r="M118" s="98"/>
      <c r="N118" s="98"/>
      <c r="O118" s="98"/>
      <c r="P118" s="107"/>
      <c r="Q118" s="108"/>
      <c r="R118" s="234"/>
      <c r="S118" s="97"/>
      <c r="T118" s="97"/>
      <c r="U118" s="97"/>
      <c r="V118" s="97"/>
      <c r="W118" s="97"/>
      <c r="X118" s="98"/>
      <c r="Y118" s="98"/>
      <c r="Z118" s="98"/>
      <c r="AA118" s="98"/>
      <c r="AB118" s="97"/>
      <c r="AC118" s="97"/>
      <c r="AD118" s="96"/>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7"/>
      <c r="BA118" s="97"/>
      <c r="BB118" s="97"/>
      <c r="BC118" s="99"/>
      <c r="BD118" s="97"/>
      <c r="BE118" s="97"/>
      <c r="BF118" s="97"/>
      <c r="BG118" s="235"/>
      <c r="BH118" s="235"/>
      <c r="BI118" s="97"/>
      <c r="BJ118" s="97"/>
      <c r="BK118" s="97"/>
      <c r="BL118" s="97"/>
      <c r="BM118" s="97"/>
      <c r="BN118" s="97"/>
      <c r="BO118" s="97"/>
      <c r="BP118" s="97"/>
      <c r="BQ118" s="97"/>
      <c r="BR118" s="97"/>
      <c r="BS118" s="97"/>
      <c r="BT118" s="236"/>
      <c r="BU118" s="97"/>
      <c r="BV118" s="97"/>
      <c r="BW118" s="236"/>
      <c r="BX118" s="97"/>
      <c r="BY118" s="97"/>
      <c r="BZ118" s="97"/>
      <c r="CA118" s="97"/>
      <c r="CB118" s="97"/>
      <c r="CC118" s="99"/>
      <c r="CD118" s="243"/>
      <c r="CE118" s="243"/>
      <c r="CF118" s="228"/>
      <c r="CG118" s="244"/>
    </row>
    <row r="119" spans="1:85" s="36" customFormat="1" ht="19.5" customHeight="1">
      <c r="A119" s="44"/>
      <c r="B119" s="80"/>
      <c r="C119" s="92"/>
      <c r="D119" s="130"/>
      <c r="E119" s="130"/>
      <c r="F119" s="130"/>
      <c r="G119" s="130"/>
      <c r="H119" s="131"/>
      <c r="I119" s="115"/>
      <c r="J119" s="115"/>
      <c r="K119" s="131"/>
      <c r="L119" s="115"/>
      <c r="M119" s="115"/>
      <c r="N119" s="115"/>
      <c r="O119" s="141"/>
      <c r="P119" s="141"/>
      <c r="Q119" s="141"/>
      <c r="R119" s="141"/>
      <c r="S119" s="142"/>
      <c r="T119" s="142"/>
      <c r="U119" s="142"/>
      <c r="V119" s="142"/>
      <c r="W119" s="143"/>
      <c r="X119" s="143"/>
      <c r="Y119" s="143"/>
      <c r="Z119" s="143"/>
      <c r="AA119" s="143"/>
      <c r="AB119" s="143"/>
      <c r="AC119" s="143"/>
      <c r="AD119" s="143"/>
      <c r="AE119" s="143"/>
      <c r="AF119" s="143"/>
      <c r="AG119" s="141"/>
      <c r="AH119" s="143"/>
      <c r="AI119" s="143"/>
      <c r="AJ119" s="143"/>
      <c r="AK119" s="143"/>
      <c r="AL119" s="143"/>
      <c r="AM119" s="143"/>
      <c r="AN119" s="143"/>
      <c r="AO119" s="143"/>
      <c r="AP119" s="143"/>
      <c r="AQ119" s="143"/>
      <c r="AR119" s="143"/>
      <c r="AS119" s="143"/>
      <c r="AT119" s="143"/>
      <c r="AU119" s="143"/>
      <c r="AV119" s="143"/>
      <c r="AW119" s="143"/>
      <c r="AX119" s="143"/>
      <c r="AY119" s="143"/>
      <c r="AZ119" s="143"/>
      <c r="BA119" s="143"/>
      <c r="BB119" s="143"/>
      <c r="BC119" s="143"/>
      <c r="BD119" s="143"/>
      <c r="BE119" s="143"/>
      <c r="BF119" s="143"/>
      <c r="BG119" s="143"/>
      <c r="BH119" s="143"/>
      <c r="BI119" s="143"/>
      <c r="BJ119" s="143"/>
      <c r="BK119" s="143"/>
      <c r="BL119" s="143"/>
      <c r="BM119" s="143"/>
      <c r="BN119" s="143"/>
      <c r="BO119" s="143"/>
      <c r="BP119" s="143"/>
      <c r="BQ119" s="143"/>
      <c r="BR119" s="143"/>
      <c r="BS119" s="143"/>
      <c r="BT119" s="143"/>
      <c r="BU119" s="143"/>
      <c r="BV119" s="143"/>
      <c r="BW119" s="143"/>
      <c r="BX119" s="132"/>
      <c r="BY119" s="133"/>
      <c r="BZ119" s="133"/>
      <c r="CA119" s="134"/>
      <c r="CB119" s="133"/>
      <c r="CC119" s="133"/>
      <c r="CD119" s="133"/>
      <c r="CE119" s="93"/>
      <c r="CF119" s="74"/>
      <c r="CG119" s="125"/>
    </row>
    <row r="120" spans="1:85" s="3" customFormat="1" ht="19.5" customHeight="1">
      <c r="A120" s="28"/>
      <c r="B120" s="80"/>
      <c r="C120" s="92"/>
      <c r="D120" s="113"/>
      <c r="E120" s="113"/>
      <c r="F120" s="113"/>
      <c r="G120" s="113"/>
      <c r="H120" s="114"/>
      <c r="I120" s="115"/>
      <c r="J120" s="114"/>
      <c r="K120" s="114"/>
      <c r="L120" s="114"/>
      <c r="M120" s="114"/>
      <c r="N120" s="114"/>
      <c r="O120" s="115"/>
      <c r="P120" s="114"/>
      <c r="Q120" s="114"/>
      <c r="R120" s="114"/>
      <c r="S120" s="114"/>
      <c r="T120" s="114"/>
      <c r="U120" s="115"/>
      <c r="V120" s="114"/>
      <c r="W120" s="116"/>
      <c r="X120" s="116"/>
      <c r="Y120" s="116"/>
      <c r="Z120" s="116"/>
      <c r="AA120" s="116"/>
      <c r="AB120" s="116"/>
      <c r="AC120" s="116"/>
      <c r="AD120" s="117"/>
      <c r="AE120" s="117"/>
      <c r="AF120" s="118"/>
      <c r="AG120" s="118"/>
      <c r="AH120" s="114"/>
      <c r="AI120" s="114"/>
      <c r="AJ120" s="114"/>
      <c r="AK120" s="114"/>
      <c r="AL120" s="114"/>
      <c r="AM120" s="114"/>
      <c r="AN120" s="114"/>
      <c r="AO120" s="114"/>
      <c r="AP120" s="114"/>
      <c r="AQ120" s="114"/>
      <c r="AR120" s="114"/>
      <c r="AS120" s="114"/>
      <c r="AT120" s="114"/>
      <c r="AU120" s="114"/>
      <c r="AV120" s="114"/>
      <c r="AW120" s="114"/>
      <c r="AX120" s="114"/>
      <c r="AY120" s="114"/>
      <c r="AZ120" s="114"/>
      <c r="BA120" s="114"/>
      <c r="BB120" s="114"/>
      <c r="BC120" s="114"/>
      <c r="BD120" s="114"/>
      <c r="BE120" s="114"/>
      <c r="BF120" s="114"/>
      <c r="BG120" s="114"/>
      <c r="BH120" s="114"/>
      <c r="BI120" s="114"/>
      <c r="BJ120" s="114"/>
      <c r="BK120" s="114"/>
      <c r="BL120" s="114"/>
      <c r="BM120" s="114"/>
      <c r="BN120" s="114"/>
      <c r="BO120" s="114"/>
      <c r="BP120" s="114"/>
      <c r="BQ120" s="114"/>
      <c r="BR120" s="114"/>
      <c r="BS120" s="114"/>
      <c r="BT120" s="114"/>
      <c r="BU120" s="114"/>
      <c r="BV120" s="114"/>
      <c r="BW120" s="114"/>
      <c r="BX120" s="114"/>
      <c r="BY120" s="114"/>
      <c r="BZ120" s="118"/>
      <c r="CA120" s="118"/>
      <c r="CB120" s="114"/>
      <c r="CC120" s="114"/>
      <c r="CD120" s="93"/>
      <c r="CE120" s="93"/>
      <c r="CF120" s="74"/>
      <c r="CG120" s="29"/>
    </row>
    <row r="121" spans="1:85" s="3" customFormat="1" ht="11.25" customHeight="1" thickBot="1">
      <c r="A121" s="28"/>
      <c r="B121" s="81"/>
      <c r="C121" s="82"/>
      <c r="D121" s="82"/>
      <c r="E121" s="82"/>
      <c r="F121" s="82"/>
      <c r="G121" s="82"/>
      <c r="H121" s="82"/>
      <c r="I121" s="82"/>
      <c r="J121" s="82"/>
      <c r="K121" s="82"/>
      <c r="L121" s="75"/>
      <c r="M121" s="75"/>
      <c r="N121" s="75"/>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c r="BQ121" s="76"/>
      <c r="BR121" s="76"/>
      <c r="BS121" s="76"/>
      <c r="BT121" s="76"/>
      <c r="BU121" s="76"/>
      <c r="BV121" s="76"/>
      <c r="BW121" s="76"/>
      <c r="BX121" s="76"/>
      <c r="BY121" s="76"/>
      <c r="BZ121" s="75"/>
      <c r="CA121" s="75"/>
      <c r="CB121" s="76"/>
      <c r="CC121" s="76"/>
      <c r="CD121" s="76"/>
      <c r="CE121" s="76"/>
      <c r="CF121" s="77"/>
      <c r="CG121" s="29"/>
    </row>
    <row r="122" spans="1:85" s="3" customFormat="1" ht="19.5" customHeight="1">
      <c r="A122" s="135"/>
      <c r="B122" s="136"/>
      <c r="C122" s="136"/>
      <c r="D122" s="137"/>
      <c r="E122" s="137"/>
      <c r="F122" s="137"/>
      <c r="G122" s="137"/>
      <c r="H122" s="137"/>
      <c r="I122" s="137"/>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7"/>
      <c r="AS122" s="137"/>
      <c r="AT122" s="137"/>
      <c r="AU122" s="137"/>
      <c r="AV122" s="137"/>
      <c r="AW122" s="137"/>
      <c r="AX122" s="137"/>
      <c r="AY122" s="137"/>
      <c r="AZ122" s="137"/>
      <c r="BA122" s="137"/>
      <c r="BB122" s="137"/>
      <c r="BC122" s="137"/>
      <c r="BD122" s="137"/>
      <c r="BE122" s="137"/>
      <c r="BF122" s="137"/>
      <c r="BG122" s="137"/>
      <c r="BH122" s="137"/>
      <c r="BI122" s="137"/>
      <c r="BJ122" s="137"/>
      <c r="BK122" s="137"/>
      <c r="BL122" s="137"/>
      <c r="BM122" s="137"/>
      <c r="BN122" s="137"/>
      <c r="BO122" s="137"/>
      <c r="BP122" s="137"/>
      <c r="BQ122" s="137"/>
      <c r="BR122" s="137"/>
      <c r="BS122" s="137"/>
      <c r="BT122" s="137"/>
      <c r="BU122" s="137"/>
      <c r="BV122" s="137"/>
      <c r="BW122" s="137"/>
      <c r="BX122" s="138"/>
      <c r="BY122" s="137"/>
      <c r="BZ122" s="137"/>
      <c r="CA122" s="137"/>
      <c r="CB122" s="138"/>
      <c r="CC122" s="138"/>
      <c r="CD122" s="137"/>
      <c r="CE122" s="137"/>
      <c r="CF122" s="139"/>
      <c r="CG122" s="140"/>
    </row>
    <row r="123" spans="1:85" ht="8.25" customHeight="1">
      <c r="A123" s="126"/>
      <c r="CG123" s="127"/>
    </row>
    <row r="124" spans="1:85" s="2" customFormat="1" ht="19.5" customHeight="1">
      <c r="A124" s="31"/>
      <c r="B124" s="32" t="s">
        <v>25</v>
      </c>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53"/>
    </row>
    <row r="125" spans="1:85" s="3" customFormat="1" ht="19.5" customHeight="1">
      <c r="A125" s="28"/>
      <c r="B125" s="257" t="s">
        <v>26</v>
      </c>
      <c r="C125" s="258"/>
      <c r="D125" s="258"/>
      <c r="E125" s="258"/>
      <c r="F125" s="258"/>
      <c r="G125" s="258"/>
      <c r="H125" s="258"/>
      <c r="I125" s="258"/>
      <c r="J125" s="258"/>
      <c r="K125" s="258"/>
      <c r="L125" s="258"/>
      <c r="M125" s="258"/>
      <c r="N125" s="258"/>
      <c r="O125" s="258"/>
      <c r="P125" s="259"/>
      <c r="Q125" s="257" t="s">
        <v>27</v>
      </c>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c r="BM125" s="259"/>
      <c r="BN125" s="257" t="s">
        <v>28</v>
      </c>
      <c r="BO125" s="258"/>
      <c r="BP125" s="258"/>
      <c r="BQ125" s="258"/>
      <c r="BR125" s="258"/>
      <c r="BS125" s="258"/>
      <c r="BT125" s="258"/>
      <c r="BU125" s="258"/>
      <c r="BV125" s="258"/>
      <c r="BW125" s="258"/>
      <c r="BX125" s="258"/>
      <c r="BY125" s="258"/>
      <c r="BZ125" s="258"/>
      <c r="CA125" s="258"/>
      <c r="CB125" s="258"/>
      <c r="CC125" s="258"/>
      <c r="CD125" s="258"/>
      <c r="CE125" s="258"/>
      <c r="CF125" s="259"/>
      <c r="CG125" s="29"/>
    </row>
    <row r="126" spans="1:85" s="2" customFormat="1" ht="30.75" customHeight="1">
      <c r="A126" s="33"/>
      <c r="B126" s="260" t="s">
        <v>99</v>
      </c>
      <c r="C126" s="261"/>
      <c r="D126" s="261"/>
      <c r="E126" s="261"/>
      <c r="F126" s="261"/>
      <c r="G126" s="261"/>
      <c r="H126" s="261"/>
      <c r="I126" s="261"/>
      <c r="J126" s="261"/>
      <c r="K126" s="261"/>
      <c r="L126" s="261"/>
      <c r="M126" s="261"/>
      <c r="N126" s="261"/>
      <c r="O126" s="261"/>
      <c r="P126" s="262"/>
      <c r="Q126" s="498" t="s">
        <v>399</v>
      </c>
      <c r="R126" s="499"/>
      <c r="S126" s="499"/>
      <c r="T126" s="499"/>
      <c r="U126" s="499"/>
      <c r="V126" s="499"/>
      <c r="W126" s="499"/>
      <c r="X126" s="499"/>
      <c r="Y126" s="499"/>
      <c r="Z126" s="499"/>
      <c r="AA126" s="499"/>
      <c r="AB126" s="499"/>
      <c r="AC126" s="499"/>
      <c r="AD126" s="499"/>
      <c r="AE126" s="499"/>
      <c r="AF126" s="499"/>
      <c r="AG126" s="499"/>
      <c r="AH126" s="499"/>
      <c r="AI126" s="499"/>
      <c r="AJ126" s="499"/>
      <c r="AK126" s="499"/>
      <c r="AL126" s="499"/>
      <c r="AM126" s="499"/>
      <c r="AN126" s="499"/>
      <c r="AO126" s="499"/>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500"/>
      <c r="BN126" s="501"/>
      <c r="BO126" s="502"/>
      <c r="BP126" s="502"/>
      <c r="BQ126" s="502"/>
      <c r="BR126" s="502"/>
      <c r="BS126" s="502"/>
      <c r="BT126" s="502"/>
      <c r="BU126" s="502"/>
      <c r="BV126" s="502"/>
      <c r="BW126" s="502"/>
      <c r="BX126" s="502"/>
      <c r="BY126" s="502"/>
      <c r="BZ126" s="502"/>
      <c r="CA126" s="502"/>
      <c r="CB126" s="502"/>
      <c r="CC126" s="502"/>
      <c r="CD126" s="502"/>
      <c r="CE126" s="502"/>
      <c r="CF126" s="503"/>
      <c r="CG126" s="51"/>
    </row>
    <row r="127" spans="1:85" s="2" customFormat="1" ht="51" customHeight="1">
      <c r="A127" s="33"/>
      <c r="B127" s="260" t="s">
        <v>44</v>
      </c>
      <c r="C127" s="261"/>
      <c r="D127" s="261"/>
      <c r="E127" s="261"/>
      <c r="F127" s="261"/>
      <c r="G127" s="261"/>
      <c r="H127" s="261"/>
      <c r="I127" s="261"/>
      <c r="J127" s="261"/>
      <c r="K127" s="261"/>
      <c r="L127" s="261"/>
      <c r="M127" s="261"/>
      <c r="N127" s="261"/>
      <c r="O127" s="261"/>
      <c r="P127" s="262"/>
      <c r="Q127" s="498" t="s">
        <v>469</v>
      </c>
      <c r="R127" s="499"/>
      <c r="S127" s="499"/>
      <c r="T127" s="499"/>
      <c r="U127" s="499"/>
      <c r="V127" s="499"/>
      <c r="W127" s="499"/>
      <c r="X127" s="499"/>
      <c r="Y127" s="499"/>
      <c r="Z127" s="499"/>
      <c r="AA127" s="499"/>
      <c r="AB127" s="499"/>
      <c r="AC127" s="499"/>
      <c r="AD127" s="499"/>
      <c r="AE127" s="499"/>
      <c r="AF127" s="499"/>
      <c r="AG127" s="499"/>
      <c r="AH127" s="499"/>
      <c r="AI127" s="499"/>
      <c r="AJ127" s="499"/>
      <c r="AK127" s="499"/>
      <c r="AL127" s="499"/>
      <c r="AM127" s="499"/>
      <c r="AN127" s="499"/>
      <c r="AO127" s="499"/>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500"/>
      <c r="BN127" s="501"/>
      <c r="BO127" s="502"/>
      <c r="BP127" s="502"/>
      <c r="BQ127" s="502"/>
      <c r="BR127" s="502"/>
      <c r="BS127" s="502"/>
      <c r="BT127" s="502"/>
      <c r="BU127" s="502"/>
      <c r="BV127" s="502"/>
      <c r="BW127" s="502"/>
      <c r="BX127" s="502"/>
      <c r="BY127" s="502"/>
      <c r="BZ127" s="502"/>
      <c r="CA127" s="502"/>
      <c r="CB127" s="502"/>
      <c r="CC127" s="502"/>
      <c r="CD127" s="502"/>
      <c r="CE127" s="502"/>
      <c r="CF127" s="503"/>
      <c r="CG127" s="51"/>
    </row>
    <row r="128" spans="1:85" s="2" customFormat="1" ht="30.75" customHeight="1">
      <c r="A128" s="33"/>
      <c r="B128" s="260" t="s">
        <v>303</v>
      </c>
      <c r="C128" s="261"/>
      <c r="D128" s="261"/>
      <c r="E128" s="261"/>
      <c r="F128" s="261"/>
      <c r="G128" s="261"/>
      <c r="H128" s="261"/>
      <c r="I128" s="261"/>
      <c r="J128" s="261"/>
      <c r="K128" s="261"/>
      <c r="L128" s="261"/>
      <c r="M128" s="261"/>
      <c r="N128" s="261"/>
      <c r="O128" s="261"/>
      <c r="P128" s="262"/>
      <c r="Q128" s="498" t="s">
        <v>215</v>
      </c>
      <c r="R128" s="499"/>
      <c r="S128" s="499"/>
      <c r="T128" s="499"/>
      <c r="U128" s="499"/>
      <c r="V128" s="499"/>
      <c r="W128" s="499"/>
      <c r="X128" s="499"/>
      <c r="Y128" s="499"/>
      <c r="Z128" s="499"/>
      <c r="AA128" s="499"/>
      <c r="AB128" s="499"/>
      <c r="AC128" s="499"/>
      <c r="AD128" s="499"/>
      <c r="AE128" s="499"/>
      <c r="AF128" s="499"/>
      <c r="AG128" s="499"/>
      <c r="AH128" s="499"/>
      <c r="AI128" s="499"/>
      <c r="AJ128" s="499"/>
      <c r="AK128" s="499"/>
      <c r="AL128" s="499"/>
      <c r="AM128" s="499"/>
      <c r="AN128" s="499"/>
      <c r="AO128" s="499"/>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500"/>
      <c r="BN128" s="501"/>
      <c r="BO128" s="502"/>
      <c r="BP128" s="502"/>
      <c r="BQ128" s="502"/>
      <c r="BR128" s="502"/>
      <c r="BS128" s="502"/>
      <c r="BT128" s="502"/>
      <c r="BU128" s="502"/>
      <c r="BV128" s="502"/>
      <c r="BW128" s="502"/>
      <c r="BX128" s="502"/>
      <c r="BY128" s="502"/>
      <c r="BZ128" s="502"/>
      <c r="CA128" s="502"/>
      <c r="CB128" s="502"/>
      <c r="CC128" s="502"/>
      <c r="CD128" s="502"/>
      <c r="CE128" s="502"/>
      <c r="CF128" s="503"/>
      <c r="CG128" s="51"/>
    </row>
    <row r="129" spans="1:85" s="2" customFormat="1" ht="30.75" customHeight="1">
      <c r="A129" s="33"/>
      <c r="B129" s="260" t="s">
        <v>200</v>
      </c>
      <c r="C129" s="261"/>
      <c r="D129" s="261"/>
      <c r="E129" s="261"/>
      <c r="F129" s="261"/>
      <c r="G129" s="261"/>
      <c r="H129" s="261"/>
      <c r="I129" s="261"/>
      <c r="J129" s="261"/>
      <c r="K129" s="261"/>
      <c r="L129" s="261"/>
      <c r="M129" s="261"/>
      <c r="N129" s="261"/>
      <c r="O129" s="261"/>
      <c r="P129" s="262"/>
      <c r="Q129" s="498" t="s">
        <v>201</v>
      </c>
      <c r="R129" s="499"/>
      <c r="S129" s="499"/>
      <c r="T129" s="499"/>
      <c r="U129" s="499"/>
      <c r="V129" s="499"/>
      <c r="W129" s="499"/>
      <c r="X129" s="499"/>
      <c r="Y129" s="499"/>
      <c r="Z129" s="499"/>
      <c r="AA129" s="499"/>
      <c r="AB129" s="499"/>
      <c r="AC129" s="499"/>
      <c r="AD129" s="499"/>
      <c r="AE129" s="499"/>
      <c r="AF129" s="499"/>
      <c r="AG129" s="499"/>
      <c r="AH129" s="499"/>
      <c r="AI129" s="499"/>
      <c r="AJ129" s="499"/>
      <c r="AK129" s="499"/>
      <c r="AL129" s="499"/>
      <c r="AM129" s="499"/>
      <c r="AN129" s="499"/>
      <c r="AO129" s="499"/>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500"/>
      <c r="BN129" s="501"/>
      <c r="BO129" s="502"/>
      <c r="BP129" s="502"/>
      <c r="BQ129" s="502"/>
      <c r="BR129" s="502"/>
      <c r="BS129" s="502"/>
      <c r="BT129" s="502"/>
      <c r="BU129" s="502"/>
      <c r="BV129" s="502"/>
      <c r="BW129" s="502"/>
      <c r="BX129" s="502"/>
      <c r="BY129" s="502"/>
      <c r="BZ129" s="502"/>
      <c r="CA129" s="502"/>
      <c r="CB129" s="502"/>
      <c r="CC129" s="502"/>
      <c r="CD129" s="502"/>
      <c r="CE129" s="502"/>
      <c r="CF129" s="503"/>
      <c r="CG129" s="51"/>
    </row>
    <row r="130" spans="1:85" s="2" customFormat="1" ht="30.75" customHeight="1">
      <c r="A130" s="33"/>
      <c r="B130" s="260" t="s">
        <v>214</v>
      </c>
      <c r="C130" s="261"/>
      <c r="D130" s="261"/>
      <c r="E130" s="261"/>
      <c r="F130" s="261"/>
      <c r="G130" s="261"/>
      <c r="H130" s="261"/>
      <c r="I130" s="261"/>
      <c r="J130" s="261"/>
      <c r="K130" s="261"/>
      <c r="L130" s="261"/>
      <c r="M130" s="261"/>
      <c r="N130" s="261"/>
      <c r="O130" s="261"/>
      <c r="P130" s="262"/>
      <c r="Q130" s="498" t="s">
        <v>404</v>
      </c>
      <c r="R130" s="499"/>
      <c r="S130" s="499"/>
      <c r="T130" s="499"/>
      <c r="U130" s="499"/>
      <c r="V130" s="499"/>
      <c r="W130" s="499"/>
      <c r="X130" s="499"/>
      <c r="Y130" s="499"/>
      <c r="Z130" s="499"/>
      <c r="AA130" s="499"/>
      <c r="AB130" s="499"/>
      <c r="AC130" s="499"/>
      <c r="AD130" s="499"/>
      <c r="AE130" s="499"/>
      <c r="AF130" s="499"/>
      <c r="AG130" s="499"/>
      <c r="AH130" s="499"/>
      <c r="AI130" s="499"/>
      <c r="AJ130" s="499"/>
      <c r="AK130" s="499"/>
      <c r="AL130" s="499"/>
      <c r="AM130" s="499"/>
      <c r="AN130" s="499"/>
      <c r="AO130" s="499"/>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500"/>
      <c r="BN130" s="501"/>
      <c r="BO130" s="502"/>
      <c r="BP130" s="502"/>
      <c r="BQ130" s="502"/>
      <c r="BR130" s="502"/>
      <c r="BS130" s="502"/>
      <c r="BT130" s="502"/>
      <c r="BU130" s="502"/>
      <c r="BV130" s="502"/>
      <c r="BW130" s="502"/>
      <c r="BX130" s="502"/>
      <c r="BY130" s="502"/>
      <c r="BZ130" s="502"/>
      <c r="CA130" s="502"/>
      <c r="CB130" s="502"/>
      <c r="CC130" s="502"/>
      <c r="CD130" s="502"/>
      <c r="CE130" s="502"/>
      <c r="CF130" s="503"/>
      <c r="CG130" s="51"/>
    </row>
    <row r="131" spans="1:85" s="2" customFormat="1" ht="30.75" customHeight="1">
      <c r="A131" s="33"/>
      <c r="B131" s="260" t="s">
        <v>310</v>
      </c>
      <c r="C131" s="261"/>
      <c r="D131" s="261"/>
      <c r="E131" s="261"/>
      <c r="F131" s="261"/>
      <c r="G131" s="261"/>
      <c r="H131" s="261"/>
      <c r="I131" s="261"/>
      <c r="J131" s="261"/>
      <c r="K131" s="261"/>
      <c r="L131" s="261"/>
      <c r="M131" s="261"/>
      <c r="N131" s="261"/>
      <c r="O131" s="261"/>
      <c r="P131" s="262"/>
      <c r="Q131" s="498" t="s">
        <v>334</v>
      </c>
      <c r="R131" s="499"/>
      <c r="S131" s="499"/>
      <c r="T131" s="499"/>
      <c r="U131" s="499"/>
      <c r="V131" s="499"/>
      <c r="W131" s="499"/>
      <c r="X131" s="499"/>
      <c r="Y131" s="499"/>
      <c r="Z131" s="499"/>
      <c r="AA131" s="499"/>
      <c r="AB131" s="499"/>
      <c r="AC131" s="499"/>
      <c r="AD131" s="499"/>
      <c r="AE131" s="499"/>
      <c r="AF131" s="499"/>
      <c r="AG131" s="499"/>
      <c r="AH131" s="499"/>
      <c r="AI131" s="499"/>
      <c r="AJ131" s="499"/>
      <c r="AK131" s="499"/>
      <c r="AL131" s="499"/>
      <c r="AM131" s="499"/>
      <c r="AN131" s="499"/>
      <c r="AO131" s="499"/>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500"/>
      <c r="BN131" s="501"/>
      <c r="BO131" s="502"/>
      <c r="BP131" s="502"/>
      <c r="BQ131" s="502"/>
      <c r="BR131" s="502"/>
      <c r="BS131" s="502"/>
      <c r="BT131" s="502"/>
      <c r="BU131" s="502"/>
      <c r="BV131" s="502"/>
      <c r="BW131" s="502"/>
      <c r="BX131" s="502"/>
      <c r="BY131" s="502"/>
      <c r="BZ131" s="502"/>
      <c r="CA131" s="502"/>
      <c r="CB131" s="502"/>
      <c r="CC131" s="502"/>
      <c r="CD131" s="502"/>
      <c r="CE131" s="502"/>
      <c r="CF131" s="503"/>
      <c r="CG131" s="51"/>
    </row>
    <row r="132" spans="1:85" s="2" customFormat="1" ht="23.25" customHeight="1">
      <c r="A132" s="33"/>
      <c r="B132" s="2" t="s">
        <v>29</v>
      </c>
      <c r="R132" s="2" t="s">
        <v>30</v>
      </c>
      <c r="CG132" s="51"/>
    </row>
    <row r="133" spans="1:85" s="3" customFormat="1" ht="19.5" customHeight="1">
      <c r="A133" s="28"/>
      <c r="B133" s="257" t="s">
        <v>31</v>
      </c>
      <c r="C133" s="258"/>
      <c r="D133" s="258"/>
      <c r="E133" s="258"/>
      <c r="F133" s="258"/>
      <c r="G133" s="258"/>
      <c r="H133" s="258"/>
      <c r="I133" s="258"/>
      <c r="J133" s="258"/>
      <c r="K133" s="258"/>
      <c r="L133" s="258"/>
      <c r="M133" s="258"/>
      <c r="N133" s="258"/>
      <c r="O133" s="258"/>
      <c r="P133" s="259"/>
      <c r="Q133" s="257" t="s">
        <v>32</v>
      </c>
      <c r="R133" s="258"/>
      <c r="S133" s="258"/>
      <c r="T133" s="258"/>
      <c r="U133" s="258"/>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c r="BD133" s="258"/>
      <c r="BE133" s="258"/>
      <c r="BF133" s="258"/>
      <c r="BG133" s="258"/>
      <c r="BH133" s="258"/>
      <c r="BI133" s="258"/>
      <c r="BJ133" s="258"/>
      <c r="BK133" s="258"/>
      <c r="BL133" s="258"/>
      <c r="BM133" s="259"/>
      <c r="BN133" s="257" t="s">
        <v>28</v>
      </c>
      <c r="BO133" s="258"/>
      <c r="BP133" s="258"/>
      <c r="BQ133" s="258"/>
      <c r="BR133" s="258"/>
      <c r="BS133" s="258"/>
      <c r="BT133" s="258"/>
      <c r="BU133" s="258"/>
      <c r="BV133" s="258"/>
      <c r="BW133" s="258"/>
      <c r="BX133" s="258"/>
      <c r="BY133" s="258"/>
      <c r="BZ133" s="258"/>
      <c r="CA133" s="258"/>
      <c r="CB133" s="258"/>
      <c r="CC133" s="258"/>
      <c r="CD133" s="258"/>
      <c r="CE133" s="258"/>
      <c r="CF133" s="259"/>
      <c r="CG133" s="29"/>
    </row>
    <row r="134" spans="1:85" s="2" customFormat="1" ht="30.75" customHeight="1">
      <c r="A134" s="33"/>
      <c r="B134" s="260" t="s">
        <v>63</v>
      </c>
      <c r="C134" s="261"/>
      <c r="D134" s="261"/>
      <c r="E134" s="261"/>
      <c r="F134" s="261"/>
      <c r="G134" s="261"/>
      <c r="H134" s="261"/>
      <c r="I134" s="261"/>
      <c r="J134" s="261"/>
      <c r="K134" s="261"/>
      <c r="L134" s="261"/>
      <c r="M134" s="261"/>
      <c r="N134" s="261"/>
      <c r="O134" s="261"/>
      <c r="P134" s="262"/>
      <c r="Q134" s="501" t="s">
        <v>115</v>
      </c>
      <c r="R134" s="502"/>
      <c r="S134" s="502"/>
      <c r="T134" s="502"/>
      <c r="U134" s="502"/>
      <c r="V134" s="502"/>
      <c r="W134" s="502"/>
      <c r="X134" s="502"/>
      <c r="Y134" s="502"/>
      <c r="Z134" s="502"/>
      <c r="AA134" s="502"/>
      <c r="AB134" s="502"/>
      <c r="AC134" s="502"/>
      <c r="AD134" s="502"/>
      <c r="AE134" s="502"/>
      <c r="AF134" s="502"/>
      <c r="AG134" s="502"/>
      <c r="AH134" s="502"/>
      <c r="AI134" s="502"/>
      <c r="AJ134" s="502"/>
      <c r="AK134" s="502"/>
      <c r="AL134" s="502"/>
      <c r="AM134" s="502"/>
      <c r="AN134" s="502"/>
      <c r="AO134" s="502"/>
      <c r="AP134" s="502"/>
      <c r="AQ134" s="502"/>
      <c r="AR134" s="502"/>
      <c r="AS134" s="502"/>
      <c r="AT134" s="502"/>
      <c r="AU134" s="502"/>
      <c r="AV134" s="502"/>
      <c r="AW134" s="502"/>
      <c r="AX134" s="502"/>
      <c r="AY134" s="502"/>
      <c r="AZ134" s="502"/>
      <c r="BA134" s="502"/>
      <c r="BB134" s="502"/>
      <c r="BC134" s="502"/>
      <c r="BD134" s="502"/>
      <c r="BE134" s="502"/>
      <c r="BF134" s="502"/>
      <c r="BG134" s="502"/>
      <c r="BH134" s="502"/>
      <c r="BI134" s="502"/>
      <c r="BJ134" s="502"/>
      <c r="BK134" s="502"/>
      <c r="BL134" s="502"/>
      <c r="BM134" s="503"/>
      <c r="BN134" s="501"/>
      <c r="BO134" s="502"/>
      <c r="BP134" s="502"/>
      <c r="BQ134" s="502"/>
      <c r="BR134" s="502"/>
      <c r="BS134" s="502"/>
      <c r="BT134" s="502"/>
      <c r="BU134" s="502"/>
      <c r="BV134" s="502"/>
      <c r="BW134" s="502"/>
      <c r="BX134" s="502"/>
      <c r="BY134" s="502"/>
      <c r="BZ134" s="502"/>
      <c r="CA134" s="502"/>
      <c r="CB134" s="502"/>
      <c r="CC134" s="502"/>
      <c r="CD134" s="502"/>
      <c r="CE134" s="502"/>
      <c r="CF134" s="503"/>
      <c r="CG134" s="51"/>
    </row>
    <row r="135" spans="1:85" s="2" customFormat="1" ht="30.75" customHeight="1">
      <c r="A135" s="33"/>
      <c r="B135" s="260"/>
      <c r="C135" s="261"/>
      <c r="D135" s="261"/>
      <c r="E135" s="261"/>
      <c r="F135" s="261"/>
      <c r="G135" s="261"/>
      <c r="H135" s="261"/>
      <c r="I135" s="261"/>
      <c r="J135" s="261"/>
      <c r="K135" s="261"/>
      <c r="L135" s="261"/>
      <c r="M135" s="261"/>
      <c r="N135" s="261"/>
      <c r="O135" s="261"/>
      <c r="P135" s="262"/>
      <c r="Q135" s="501"/>
      <c r="R135" s="502"/>
      <c r="S135" s="502"/>
      <c r="T135" s="502"/>
      <c r="U135" s="502"/>
      <c r="V135" s="502"/>
      <c r="W135" s="502"/>
      <c r="X135" s="502"/>
      <c r="Y135" s="502"/>
      <c r="Z135" s="502"/>
      <c r="AA135" s="502"/>
      <c r="AB135" s="502"/>
      <c r="AC135" s="502"/>
      <c r="AD135" s="502"/>
      <c r="AE135" s="502"/>
      <c r="AF135" s="502"/>
      <c r="AG135" s="502"/>
      <c r="AH135" s="502"/>
      <c r="AI135" s="502"/>
      <c r="AJ135" s="502"/>
      <c r="AK135" s="502"/>
      <c r="AL135" s="502"/>
      <c r="AM135" s="502"/>
      <c r="AN135" s="502"/>
      <c r="AO135" s="502"/>
      <c r="AP135" s="502"/>
      <c r="AQ135" s="502"/>
      <c r="AR135" s="502"/>
      <c r="AS135" s="502"/>
      <c r="AT135" s="502"/>
      <c r="AU135" s="502"/>
      <c r="AV135" s="502"/>
      <c r="AW135" s="502"/>
      <c r="AX135" s="502"/>
      <c r="AY135" s="502"/>
      <c r="AZ135" s="502"/>
      <c r="BA135" s="502"/>
      <c r="BB135" s="502"/>
      <c r="BC135" s="502"/>
      <c r="BD135" s="502"/>
      <c r="BE135" s="502"/>
      <c r="BF135" s="502"/>
      <c r="BG135" s="502"/>
      <c r="BH135" s="502"/>
      <c r="BI135" s="502"/>
      <c r="BJ135" s="502"/>
      <c r="BK135" s="502"/>
      <c r="BL135" s="502"/>
      <c r="BM135" s="503"/>
      <c r="BN135" s="501"/>
      <c r="BO135" s="502"/>
      <c r="BP135" s="502"/>
      <c r="BQ135" s="502"/>
      <c r="BR135" s="502"/>
      <c r="BS135" s="502"/>
      <c r="BT135" s="502"/>
      <c r="BU135" s="502"/>
      <c r="BV135" s="502"/>
      <c r="BW135" s="502"/>
      <c r="BX135" s="502"/>
      <c r="BY135" s="502"/>
      <c r="BZ135" s="502"/>
      <c r="CA135" s="502"/>
      <c r="CB135" s="502"/>
      <c r="CC135" s="502"/>
      <c r="CD135" s="502"/>
      <c r="CE135" s="502"/>
      <c r="CF135" s="503"/>
      <c r="CG135" s="51"/>
    </row>
    <row r="136" spans="1:85" s="9" customFormat="1" ht="4.5" customHeight="1">
      <c r="A136" s="1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4"/>
    </row>
    <row r="137" spans="1:85" s="18" customFormat="1" ht="3" customHeight="1"/>
    <row r="138" spans="1:85" s="18" customFormat="1" ht="19.5" customHeight="1"/>
    <row r="139" spans="1:85" s="18" customFormat="1" ht="19.5" customHeight="1"/>
    <row r="140" spans="1:85" s="18" customFormat="1"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sheetData>
  <mergeCells count="529">
    <mergeCell ref="D57:CC57"/>
    <mergeCell ref="D58:P58"/>
    <mergeCell ref="Q58:AC58"/>
    <mergeCell ref="AD58:BC58"/>
    <mergeCell ref="BD58:CC58"/>
    <mergeCell ref="D114:CC114"/>
    <mergeCell ref="D115:P115"/>
    <mergeCell ref="Q115:AC115"/>
    <mergeCell ref="AD115:BC115"/>
    <mergeCell ref="BD115:CC115"/>
    <mergeCell ref="I111:R111"/>
    <mergeCell ref="U111:AD111"/>
    <mergeCell ref="AG111:AP111"/>
    <mergeCell ref="AS111:BB111"/>
    <mergeCell ref="BE111:BO111"/>
    <mergeCell ref="BR111:CB111"/>
    <mergeCell ref="U108:AD108"/>
    <mergeCell ref="AG108:AP108"/>
    <mergeCell ref="AS108:BB108"/>
    <mergeCell ref="BE108:BO108"/>
    <mergeCell ref="BR108:CB108"/>
    <mergeCell ref="I105:R105"/>
    <mergeCell ref="U105:AD105"/>
    <mergeCell ref="AG105:AP105"/>
    <mergeCell ref="D55:CC55"/>
    <mergeCell ref="D112:CC112"/>
    <mergeCell ref="B127:P127"/>
    <mergeCell ref="Q127:BM127"/>
    <mergeCell ref="BN127:CF127"/>
    <mergeCell ref="I109:R109"/>
    <mergeCell ref="U109:AD109"/>
    <mergeCell ref="AG109:AP109"/>
    <mergeCell ref="AS109:BB109"/>
    <mergeCell ref="BE109:BO109"/>
    <mergeCell ref="BR109:CB109"/>
    <mergeCell ref="I110:R110"/>
    <mergeCell ref="U110:AD110"/>
    <mergeCell ref="AG110:AP110"/>
    <mergeCell ref="AS110:BB110"/>
    <mergeCell ref="BE110:BO110"/>
    <mergeCell ref="BR110:CB110"/>
    <mergeCell ref="I107:R107"/>
    <mergeCell ref="U107:AD107"/>
    <mergeCell ref="AG107:AP107"/>
    <mergeCell ref="AS107:BB107"/>
    <mergeCell ref="BE107:BO107"/>
    <mergeCell ref="BR107:CB107"/>
    <mergeCell ref="I108:R108"/>
    <mergeCell ref="AS105:BB105"/>
    <mergeCell ref="BE105:BO105"/>
    <mergeCell ref="BR105:CB105"/>
    <mergeCell ref="I106:R106"/>
    <mergeCell ref="U106:AD106"/>
    <mergeCell ref="AG106:AP106"/>
    <mergeCell ref="AS106:BB106"/>
    <mergeCell ref="BE106:BO106"/>
    <mergeCell ref="BR106:CB106"/>
    <mergeCell ref="I81:R81"/>
    <mergeCell ref="U81:AD81"/>
    <mergeCell ref="AG81:AP81"/>
    <mergeCell ref="AS81:BB81"/>
    <mergeCell ref="BE81:BO81"/>
    <mergeCell ref="BR81:CB81"/>
    <mergeCell ref="I82:R82"/>
    <mergeCell ref="U82:AD82"/>
    <mergeCell ref="AG82:AP82"/>
    <mergeCell ref="AS82:BB82"/>
    <mergeCell ref="BE82:BO82"/>
    <mergeCell ref="BR82:CB82"/>
    <mergeCell ref="H79:S79"/>
    <mergeCell ref="T79:AE79"/>
    <mergeCell ref="AF79:AQ79"/>
    <mergeCell ref="AR79:BC79"/>
    <mergeCell ref="BD79:BP79"/>
    <mergeCell ref="BQ79:CC79"/>
    <mergeCell ref="I80:R80"/>
    <mergeCell ref="U80:AD80"/>
    <mergeCell ref="AG80:AP80"/>
    <mergeCell ref="AS80:BB80"/>
    <mergeCell ref="BE80:BO80"/>
    <mergeCell ref="BR80:CB80"/>
    <mergeCell ref="I53:R53"/>
    <mergeCell ref="U53:AD53"/>
    <mergeCell ref="AG53:AP53"/>
    <mergeCell ref="AS53:BB53"/>
    <mergeCell ref="BE53:BO53"/>
    <mergeCell ref="BR53:CB53"/>
    <mergeCell ref="I54:R54"/>
    <mergeCell ref="U54:AD54"/>
    <mergeCell ref="AG54:AP54"/>
    <mergeCell ref="AS54:BB54"/>
    <mergeCell ref="BE54:BO54"/>
    <mergeCell ref="BR54:CB54"/>
    <mergeCell ref="I51:R51"/>
    <mergeCell ref="U51:AD51"/>
    <mergeCell ref="AG51:AP51"/>
    <mergeCell ref="AS51:BB51"/>
    <mergeCell ref="BE51:BO51"/>
    <mergeCell ref="BR51:CB51"/>
    <mergeCell ref="I52:R52"/>
    <mergeCell ref="U52:AD52"/>
    <mergeCell ref="AG52:AP52"/>
    <mergeCell ref="AS52:BB52"/>
    <mergeCell ref="BE52:BO52"/>
    <mergeCell ref="BR52:CB52"/>
    <mergeCell ref="I49:R49"/>
    <mergeCell ref="U49:AD49"/>
    <mergeCell ref="AG49:AP49"/>
    <mergeCell ref="AS49:BB49"/>
    <mergeCell ref="BE49:BO49"/>
    <mergeCell ref="BR49:CB49"/>
    <mergeCell ref="I50:R50"/>
    <mergeCell ref="U50:AD50"/>
    <mergeCell ref="AG50:AP50"/>
    <mergeCell ref="AS50:BB50"/>
    <mergeCell ref="BE50:BO50"/>
    <mergeCell ref="BR50:CB50"/>
    <mergeCell ref="I47:R47"/>
    <mergeCell ref="U47:AD47"/>
    <mergeCell ref="AG47:AP47"/>
    <mergeCell ref="AS47:BB47"/>
    <mergeCell ref="BE47:BO47"/>
    <mergeCell ref="BR47:CB47"/>
    <mergeCell ref="I48:R48"/>
    <mergeCell ref="U48:AD48"/>
    <mergeCell ref="AG48:AP48"/>
    <mergeCell ref="AS48:BB48"/>
    <mergeCell ref="BE48:BO48"/>
    <mergeCell ref="BR48:CB48"/>
    <mergeCell ref="I45:R45"/>
    <mergeCell ref="U45:AD45"/>
    <mergeCell ref="AG45:AP45"/>
    <mergeCell ref="AS45:BB45"/>
    <mergeCell ref="BE45:BO45"/>
    <mergeCell ref="BR45:CB45"/>
    <mergeCell ref="I46:R46"/>
    <mergeCell ref="U46:AD46"/>
    <mergeCell ref="AG46:AP46"/>
    <mergeCell ref="AS46:BB46"/>
    <mergeCell ref="BE46:BO46"/>
    <mergeCell ref="BR46:CB46"/>
    <mergeCell ref="I43:R43"/>
    <mergeCell ref="U43:AD43"/>
    <mergeCell ref="AG43:AP43"/>
    <mergeCell ref="AS43:BB43"/>
    <mergeCell ref="BE43:BO43"/>
    <mergeCell ref="BR43:CB43"/>
    <mergeCell ref="I44:R44"/>
    <mergeCell ref="U44:AD44"/>
    <mergeCell ref="AG44:AP44"/>
    <mergeCell ref="AS44:BB44"/>
    <mergeCell ref="BE44:BO44"/>
    <mergeCell ref="BR44:CB44"/>
    <mergeCell ref="AS41:BB41"/>
    <mergeCell ref="BE41:BO41"/>
    <mergeCell ref="BR41:CB41"/>
    <mergeCell ref="I42:R42"/>
    <mergeCell ref="U42:AD42"/>
    <mergeCell ref="AG42:AP42"/>
    <mergeCell ref="AS42:BB42"/>
    <mergeCell ref="BE42:BO42"/>
    <mergeCell ref="BR42:CB42"/>
    <mergeCell ref="I37:R37"/>
    <mergeCell ref="U37:AD37"/>
    <mergeCell ref="AG37:AP37"/>
    <mergeCell ref="AS37:BB37"/>
    <mergeCell ref="BE37:BO37"/>
    <mergeCell ref="BR37:CB37"/>
    <mergeCell ref="I38:R38"/>
    <mergeCell ref="U38:AD38"/>
    <mergeCell ref="AG38:AP38"/>
    <mergeCell ref="AS38:BB38"/>
    <mergeCell ref="BE38:BO38"/>
    <mergeCell ref="BR38:CB38"/>
    <mergeCell ref="I35:R35"/>
    <mergeCell ref="U35:AD35"/>
    <mergeCell ref="AG35:AP35"/>
    <mergeCell ref="AS35:BB35"/>
    <mergeCell ref="BE35:BO35"/>
    <mergeCell ref="BR35:CB35"/>
    <mergeCell ref="I36:R36"/>
    <mergeCell ref="U36:AD36"/>
    <mergeCell ref="AG36:AP36"/>
    <mergeCell ref="AS36:BB36"/>
    <mergeCell ref="BE36:BO36"/>
    <mergeCell ref="BR36:CB36"/>
    <mergeCell ref="I33:R33"/>
    <mergeCell ref="U33:AD33"/>
    <mergeCell ref="AG33:AP33"/>
    <mergeCell ref="AS33:BB33"/>
    <mergeCell ref="BE33:BO33"/>
    <mergeCell ref="BR33:CB33"/>
    <mergeCell ref="I34:R34"/>
    <mergeCell ref="U34:AD34"/>
    <mergeCell ref="AG34:AP34"/>
    <mergeCell ref="AS34:BB34"/>
    <mergeCell ref="BE34:BO34"/>
    <mergeCell ref="BR34:CB34"/>
    <mergeCell ref="BE28:BO28"/>
    <mergeCell ref="BR28:CB28"/>
    <mergeCell ref="I29:R29"/>
    <mergeCell ref="U29:AD29"/>
    <mergeCell ref="AG29:AP29"/>
    <mergeCell ref="AS29:BB29"/>
    <mergeCell ref="BE29:BO29"/>
    <mergeCell ref="BR29:CB29"/>
    <mergeCell ref="I30:R30"/>
    <mergeCell ref="U30:AD30"/>
    <mergeCell ref="AG30:AP30"/>
    <mergeCell ref="AS30:BB30"/>
    <mergeCell ref="BE30:BO30"/>
    <mergeCell ref="BR30:CB30"/>
    <mergeCell ref="BR25:CB25"/>
    <mergeCell ref="I26:R26"/>
    <mergeCell ref="U26:AD26"/>
    <mergeCell ref="AG26:AP26"/>
    <mergeCell ref="AS26:BB26"/>
    <mergeCell ref="BE26:BO26"/>
    <mergeCell ref="BR26:CB26"/>
    <mergeCell ref="I27:R27"/>
    <mergeCell ref="U27:AD27"/>
    <mergeCell ref="AG27:AP27"/>
    <mergeCell ref="AS27:BB27"/>
    <mergeCell ref="BE27:BO27"/>
    <mergeCell ref="BR27:CB27"/>
    <mergeCell ref="BR23:CB23"/>
    <mergeCell ref="H22:S22"/>
    <mergeCell ref="T22:AE22"/>
    <mergeCell ref="AF22:AQ22"/>
    <mergeCell ref="AR22:BC22"/>
    <mergeCell ref="BD22:BP22"/>
    <mergeCell ref="BQ22:CC22"/>
    <mergeCell ref="I24:R24"/>
    <mergeCell ref="U24:AD24"/>
    <mergeCell ref="AG24:AP24"/>
    <mergeCell ref="AS24:BB24"/>
    <mergeCell ref="BE24:BO24"/>
    <mergeCell ref="BR24:CB24"/>
    <mergeCell ref="BN128:CF128"/>
    <mergeCell ref="B131:P131"/>
    <mergeCell ref="Q131:BM131"/>
    <mergeCell ref="BN131:CF131"/>
    <mergeCell ref="D40:G40"/>
    <mergeCell ref="D38:G38"/>
    <mergeCell ref="D41:G41"/>
    <mergeCell ref="D42:G42"/>
    <mergeCell ref="D43:G43"/>
    <mergeCell ref="D44:G44"/>
    <mergeCell ref="D45:G45"/>
    <mergeCell ref="D46:G46"/>
    <mergeCell ref="D47:G47"/>
    <mergeCell ref="D48:G48"/>
    <mergeCell ref="D49:G49"/>
    <mergeCell ref="D50:G50"/>
    <mergeCell ref="D53:G53"/>
    <mergeCell ref="D51:G51"/>
    <mergeCell ref="D52:G52"/>
    <mergeCell ref="I39:R39"/>
    <mergeCell ref="U39:AD39"/>
    <mergeCell ref="AG39:AP39"/>
    <mergeCell ref="AS39:BB39"/>
    <mergeCell ref="BE39:BO39"/>
    <mergeCell ref="B135:P135"/>
    <mergeCell ref="Q135:BM135"/>
    <mergeCell ref="BN135:CF135"/>
    <mergeCell ref="B133:P133"/>
    <mergeCell ref="Q133:BM133"/>
    <mergeCell ref="BN133:CF133"/>
    <mergeCell ref="B129:P129"/>
    <mergeCell ref="Q129:BM129"/>
    <mergeCell ref="BN129:CF129"/>
    <mergeCell ref="B134:P134"/>
    <mergeCell ref="Q134:BM134"/>
    <mergeCell ref="BN134:CF134"/>
    <mergeCell ref="B130:P130"/>
    <mergeCell ref="Q130:BM130"/>
    <mergeCell ref="BN130:CF130"/>
    <mergeCell ref="BN125:CF125"/>
    <mergeCell ref="B125:P125"/>
    <mergeCell ref="Q125:BM125"/>
    <mergeCell ref="D39:G39"/>
    <mergeCell ref="D54:G54"/>
    <mergeCell ref="D81:G81"/>
    <mergeCell ref="BR39:CB39"/>
    <mergeCell ref="I40:R40"/>
    <mergeCell ref="U40:AD40"/>
    <mergeCell ref="AG40:AP40"/>
    <mergeCell ref="AS40:BB40"/>
    <mergeCell ref="BE40:BO40"/>
    <mergeCell ref="BR40:CB40"/>
    <mergeCell ref="I41:R41"/>
    <mergeCell ref="U41:AD41"/>
    <mergeCell ref="AG41:AP41"/>
    <mergeCell ref="D80:G80"/>
    <mergeCell ref="D83:G83"/>
    <mergeCell ref="I83:R83"/>
    <mergeCell ref="U83:AD83"/>
    <mergeCell ref="AG83:AP83"/>
    <mergeCell ref="AS83:BB83"/>
    <mergeCell ref="BE83:BO83"/>
    <mergeCell ref="BR83:CB83"/>
    <mergeCell ref="D29:G29"/>
    <mergeCell ref="D30:G30"/>
    <mergeCell ref="D31:G31"/>
    <mergeCell ref="D32:G32"/>
    <mergeCell ref="D33:G33"/>
    <mergeCell ref="D34:G34"/>
    <mergeCell ref="D35:G35"/>
    <mergeCell ref="D36:G36"/>
    <mergeCell ref="D37:G37"/>
    <mergeCell ref="I31:R31"/>
    <mergeCell ref="U31:AD31"/>
    <mergeCell ref="AG31:AP31"/>
    <mergeCell ref="AS31:BB31"/>
    <mergeCell ref="BE31:BO31"/>
    <mergeCell ref="BR31:CB31"/>
    <mergeCell ref="I32:R32"/>
    <mergeCell ref="U32:AD32"/>
    <mergeCell ref="AG32:AP32"/>
    <mergeCell ref="AS32:BB32"/>
    <mergeCell ref="BE32:BO32"/>
    <mergeCell ref="BR32:CB32"/>
    <mergeCell ref="D23:G23"/>
    <mergeCell ref="D24:G24"/>
    <mergeCell ref="D25:G25"/>
    <mergeCell ref="D26:G26"/>
    <mergeCell ref="D27:G27"/>
    <mergeCell ref="D22:G22"/>
    <mergeCell ref="B128:P128"/>
    <mergeCell ref="D79:G79"/>
    <mergeCell ref="Q128:BM128"/>
    <mergeCell ref="I23:R23"/>
    <mergeCell ref="U23:AD23"/>
    <mergeCell ref="AG23:AP23"/>
    <mergeCell ref="AS23:BB23"/>
    <mergeCell ref="BE23:BO23"/>
    <mergeCell ref="I25:R25"/>
    <mergeCell ref="U25:AD25"/>
    <mergeCell ref="AG25:AP25"/>
    <mergeCell ref="AS25:BB25"/>
    <mergeCell ref="BE25:BO25"/>
    <mergeCell ref="I28:R28"/>
    <mergeCell ref="U28:AD28"/>
    <mergeCell ref="AG28:AP28"/>
    <mergeCell ref="AS28:BB28"/>
    <mergeCell ref="D82:G82"/>
    <mergeCell ref="AT1:BF1"/>
    <mergeCell ref="A2:BO2"/>
    <mergeCell ref="BP2:BU2"/>
    <mergeCell ref="CA2:CC2"/>
    <mergeCell ref="L67:BU69"/>
    <mergeCell ref="BV67:CF69"/>
    <mergeCell ref="D71:CC71"/>
    <mergeCell ref="D73:CC73"/>
    <mergeCell ref="CD2:CG2"/>
    <mergeCell ref="A4:K4"/>
    <mergeCell ref="L4:BO4"/>
    <mergeCell ref="BP4:BU4"/>
    <mergeCell ref="BV4:CG4"/>
    <mergeCell ref="A7:K7"/>
    <mergeCell ref="L7:CG7"/>
    <mergeCell ref="A3:K3"/>
    <mergeCell ref="L3:BO3"/>
    <mergeCell ref="BP3:BU3"/>
    <mergeCell ref="BV3:CG3"/>
    <mergeCell ref="D28:G28"/>
    <mergeCell ref="L10:BU12"/>
    <mergeCell ref="BV10:CF12"/>
    <mergeCell ref="D14:CC14"/>
    <mergeCell ref="D16:CC16"/>
    <mergeCell ref="D84:G84"/>
    <mergeCell ref="D85:G85"/>
    <mergeCell ref="I84:R84"/>
    <mergeCell ref="U84:AD84"/>
    <mergeCell ref="AG84:AP84"/>
    <mergeCell ref="AS84:BB84"/>
    <mergeCell ref="BE84:BO84"/>
    <mergeCell ref="BR84:CB84"/>
    <mergeCell ref="I85:R85"/>
    <mergeCell ref="U85:AD85"/>
    <mergeCell ref="AG85:AP85"/>
    <mergeCell ref="AS85:BB85"/>
    <mergeCell ref="BE85:BO85"/>
    <mergeCell ref="BR85:CB85"/>
    <mergeCell ref="D86:G86"/>
    <mergeCell ref="D87:G87"/>
    <mergeCell ref="I86:R86"/>
    <mergeCell ref="U86:AD86"/>
    <mergeCell ref="AG86:AP86"/>
    <mergeCell ref="AS86:BB86"/>
    <mergeCell ref="BE86:BO86"/>
    <mergeCell ref="BR86:CB86"/>
    <mergeCell ref="I87:R87"/>
    <mergeCell ref="U87:AD87"/>
    <mergeCell ref="AG87:AP87"/>
    <mergeCell ref="AS87:BB87"/>
    <mergeCell ref="BE87:BO87"/>
    <mergeCell ref="BR87:CB87"/>
    <mergeCell ref="D88:G88"/>
    <mergeCell ref="D89:G89"/>
    <mergeCell ref="I88:R88"/>
    <mergeCell ref="U88:AD88"/>
    <mergeCell ref="AG88:AP88"/>
    <mergeCell ref="AS88:BB88"/>
    <mergeCell ref="BE88:BO88"/>
    <mergeCell ref="BR88:CB88"/>
    <mergeCell ref="I89:R89"/>
    <mergeCell ref="U89:AD89"/>
    <mergeCell ref="AG89:AP89"/>
    <mergeCell ref="AS89:BB89"/>
    <mergeCell ref="BE89:BO89"/>
    <mergeCell ref="BR89:CB89"/>
    <mergeCell ref="D90:G90"/>
    <mergeCell ref="D91:G91"/>
    <mergeCell ref="I90:R90"/>
    <mergeCell ref="U90:AD90"/>
    <mergeCell ref="AG90:AP90"/>
    <mergeCell ref="AS90:BB90"/>
    <mergeCell ref="BE90:BO90"/>
    <mergeCell ref="BR90:CB90"/>
    <mergeCell ref="I91:R91"/>
    <mergeCell ref="U91:AD91"/>
    <mergeCell ref="AG91:AP91"/>
    <mergeCell ref="AS91:BB91"/>
    <mergeCell ref="BE91:BO91"/>
    <mergeCell ref="BR91:CB91"/>
    <mergeCell ref="D92:G92"/>
    <mergeCell ref="D93:G93"/>
    <mergeCell ref="I92:R92"/>
    <mergeCell ref="U92:AD92"/>
    <mergeCell ref="AG92:AP92"/>
    <mergeCell ref="AS92:BB92"/>
    <mergeCell ref="BE92:BO92"/>
    <mergeCell ref="BR92:CB92"/>
    <mergeCell ref="I93:R93"/>
    <mergeCell ref="U93:AD93"/>
    <mergeCell ref="AG93:AP93"/>
    <mergeCell ref="AS93:BB93"/>
    <mergeCell ref="BE93:BO93"/>
    <mergeCell ref="BR93:CB93"/>
    <mergeCell ref="D94:G94"/>
    <mergeCell ref="D95:G95"/>
    <mergeCell ref="I94:R94"/>
    <mergeCell ref="U94:AD94"/>
    <mergeCell ref="AG94:AP94"/>
    <mergeCell ref="AS94:BB94"/>
    <mergeCell ref="BE94:BO94"/>
    <mergeCell ref="BR94:CB94"/>
    <mergeCell ref="I95:R95"/>
    <mergeCell ref="U95:AD95"/>
    <mergeCell ref="AG95:AP95"/>
    <mergeCell ref="AS95:BB95"/>
    <mergeCell ref="BE95:BO95"/>
    <mergeCell ref="BR95:CB95"/>
    <mergeCell ref="D96:G96"/>
    <mergeCell ref="D97:G97"/>
    <mergeCell ref="I96:R96"/>
    <mergeCell ref="U96:AD96"/>
    <mergeCell ref="AG96:AP96"/>
    <mergeCell ref="AS96:BB96"/>
    <mergeCell ref="BE96:BO96"/>
    <mergeCell ref="BR96:CB96"/>
    <mergeCell ref="I97:R97"/>
    <mergeCell ref="U97:AD97"/>
    <mergeCell ref="AG97:AP97"/>
    <mergeCell ref="AS97:BB97"/>
    <mergeCell ref="BE97:BO97"/>
    <mergeCell ref="BR97:CB97"/>
    <mergeCell ref="D98:G98"/>
    <mergeCell ref="D99:G99"/>
    <mergeCell ref="I98:R98"/>
    <mergeCell ref="U98:AD98"/>
    <mergeCell ref="AG98:AP98"/>
    <mergeCell ref="AS98:BB98"/>
    <mergeCell ref="BE98:BO98"/>
    <mergeCell ref="BR98:CB98"/>
    <mergeCell ref="I99:R99"/>
    <mergeCell ref="U99:AD99"/>
    <mergeCell ref="AG99:AP99"/>
    <mergeCell ref="AS99:BB99"/>
    <mergeCell ref="BE99:BO99"/>
    <mergeCell ref="BR99:CB99"/>
    <mergeCell ref="D100:G100"/>
    <mergeCell ref="D101:G101"/>
    <mergeCell ref="I100:R100"/>
    <mergeCell ref="U100:AD100"/>
    <mergeCell ref="AG100:AP100"/>
    <mergeCell ref="AS100:BB100"/>
    <mergeCell ref="BE100:BO100"/>
    <mergeCell ref="BR100:CB100"/>
    <mergeCell ref="I101:R101"/>
    <mergeCell ref="U101:AD101"/>
    <mergeCell ref="AG101:AP101"/>
    <mergeCell ref="AS101:BB101"/>
    <mergeCell ref="BE101:BO101"/>
    <mergeCell ref="BR101:CB101"/>
    <mergeCell ref="AS102:BB102"/>
    <mergeCell ref="BE102:BO102"/>
    <mergeCell ref="BR102:CB102"/>
    <mergeCell ref="I103:R103"/>
    <mergeCell ref="U103:AD103"/>
    <mergeCell ref="AG103:AP103"/>
    <mergeCell ref="AS103:BB103"/>
    <mergeCell ref="BE103:BO103"/>
    <mergeCell ref="BR103:CB103"/>
    <mergeCell ref="B126:P126"/>
    <mergeCell ref="Q126:BM126"/>
    <mergeCell ref="BN126:CF126"/>
    <mergeCell ref="D20:CC20"/>
    <mergeCell ref="D77:CC77"/>
    <mergeCell ref="D108:G108"/>
    <mergeCell ref="D111:G111"/>
    <mergeCell ref="D109:G109"/>
    <mergeCell ref="D110:G110"/>
    <mergeCell ref="D106:G106"/>
    <mergeCell ref="D107:G107"/>
    <mergeCell ref="D104:G104"/>
    <mergeCell ref="D105:G105"/>
    <mergeCell ref="I104:R104"/>
    <mergeCell ref="U104:AD104"/>
    <mergeCell ref="AG104:AP104"/>
    <mergeCell ref="AS104:BB104"/>
    <mergeCell ref="BE104:BO104"/>
    <mergeCell ref="BR104:CB104"/>
    <mergeCell ref="D102:G102"/>
    <mergeCell ref="D103:G103"/>
    <mergeCell ref="I102:R102"/>
    <mergeCell ref="U102:AD102"/>
    <mergeCell ref="AG102:AP102"/>
  </mergeCells>
  <phoneticPr fontId="2"/>
  <pageMargins left="0.45" right="0.23" top="0.51" bottom="0.19685039370078741" header="0.7" footer="0.27559055118110237"/>
  <pageSetup paperSize="9" scale="61" orientation="portrait" horizontalDpi="360" verticalDpi="360" r:id="rId1"/>
  <headerFooter>
    <oddHeader xml:space="preserve">&amp;R&amp;P    </oddHeader>
  </headerFooter>
  <rowBreaks count="1" manualBreakCount="1">
    <brk id="6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5E29-D029-41C9-9DE5-573E67E36BAC}">
  <sheetPr codeName="Sheet7"/>
  <dimension ref="A1:BU67"/>
  <sheetViews>
    <sheetView view="pageBreakPreview" zoomScaleNormal="100" zoomScaleSheetLayoutView="100" workbookViewId="0"/>
  </sheetViews>
  <sheetFormatPr defaultColWidth="1.90625" defaultRowHeight="14"/>
  <cols>
    <col min="1" max="62" width="2.08984375" style="36" customWidth="1"/>
    <col min="63" max="16384" width="1.90625" style="3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33</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332</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8</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66" t="s">
        <v>34</v>
      </c>
      <c r="B9" s="266"/>
      <c r="C9" s="266"/>
      <c r="D9" s="397" t="s">
        <v>239</v>
      </c>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7"/>
      <c r="AH9" s="397"/>
      <c r="AI9" s="397"/>
      <c r="AJ9" s="397"/>
      <c r="AK9" s="397"/>
      <c r="AL9" s="397"/>
      <c r="AM9" s="397"/>
      <c r="AN9" s="397"/>
      <c r="AO9" s="397"/>
      <c r="AP9" s="397"/>
      <c r="AQ9" s="397"/>
      <c r="AR9" s="397"/>
      <c r="AS9" s="397"/>
      <c r="AT9" s="257" t="s">
        <v>240</v>
      </c>
      <c r="AU9" s="258"/>
      <c r="AV9" s="258"/>
      <c r="AW9" s="258"/>
      <c r="AX9" s="258"/>
      <c r="AY9" s="258"/>
      <c r="AZ9" s="258"/>
      <c r="BA9" s="258"/>
      <c r="BB9" s="258"/>
      <c r="BC9" s="258"/>
      <c r="BD9" s="258"/>
      <c r="BE9" s="258"/>
      <c r="BF9" s="258"/>
      <c r="BG9" s="258"/>
      <c r="BH9" s="258"/>
      <c r="BI9" s="258"/>
      <c r="BJ9" s="259"/>
      <c r="BK9" s="175"/>
    </row>
    <row r="10" spans="1:63" ht="25.5" customHeight="1">
      <c r="A10" s="266" t="s">
        <v>95</v>
      </c>
      <c r="B10" s="266"/>
      <c r="C10" s="266"/>
      <c r="D10" s="397" t="s">
        <v>103</v>
      </c>
      <c r="E10" s="397"/>
      <c r="F10" s="397"/>
      <c r="G10" s="397"/>
      <c r="H10" s="397"/>
      <c r="I10" s="397"/>
      <c r="J10" s="397"/>
      <c r="K10" s="397"/>
      <c r="L10" s="397"/>
      <c r="M10" s="397"/>
      <c r="N10" s="397"/>
      <c r="O10" s="397"/>
      <c r="P10" s="397"/>
      <c r="Q10" s="397"/>
      <c r="R10" s="397"/>
      <c r="S10" s="397"/>
      <c r="T10" s="397"/>
      <c r="U10" s="397"/>
      <c r="V10" s="397"/>
      <c r="W10" s="397"/>
      <c r="X10" s="397"/>
      <c r="Y10" s="397"/>
      <c r="Z10" s="397"/>
      <c r="AA10" s="397"/>
      <c r="AB10" s="397"/>
      <c r="AC10" s="397"/>
      <c r="AD10" s="397"/>
      <c r="AE10" s="397"/>
      <c r="AF10" s="397"/>
      <c r="AG10" s="397"/>
      <c r="AH10" s="397"/>
      <c r="AI10" s="397"/>
      <c r="AJ10" s="397"/>
      <c r="AK10" s="397"/>
      <c r="AL10" s="397"/>
      <c r="AM10" s="397"/>
      <c r="AN10" s="397"/>
      <c r="AO10" s="397"/>
      <c r="AP10" s="397"/>
      <c r="AQ10" s="397"/>
      <c r="AR10" s="397"/>
      <c r="AS10" s="397"/>
      <c r="AT10" s="257"/>
      <c r="AU10" s="258"/>
      <c r="AV10" s="258"/>
      <c r="AW10" s="258"/>
      <c r="AX10" s="258"/>
      <c r="AY10" s="258"/>
      <c r="AZ10" s="258"/>
      <c r="BA10" s="258"/>
      <c r="BB10" s="258"/>
      <c r="BC10" s="258"/>
      <c r="BD10" s="258"/>
      <c r="BE10" s="258"/>
      <c r="BF10" s="258"/>
      <c r="BG10" s="258"/>
      <c r="BH10" s="258"/>
      <c r="BI10" s="258"/>
      <c r="BJ10" s="259"/>
      <c r="BK10" s="3"/>
    </row>
    <row r="11" spans="1:63" ht="9" customHeight="1">
      <c r="A11" s="188"/>
      <c r="B11" s="188"/>
      <c r="C11" s="188"/>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188"/>
      <c r="AU11" s="188"/>
      <c r="AV11" s="188"/>
      <c r="AW11" s="188"/>
      <c r="AX11" s="188"/>
      <c r="AY11" s="188"/>
      <c r="AZ11" s="188"/>
      <c r="BA11" s="188"/>
      <c r="BB11" s="188"/>
      <c r="BC11" s="188"/>
      <c r="BD11" s="188"/>
      <c r="BE11" s="188"/>
      <c r="BF11" s="188"/>
      <c r="BG11" s="188"/>
      <c r="BH11" s="188"/>
      <c r="BI11" s="188"/>
      <c r="BJ11" s="188"/>
      <c r="BK11" s="18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408" t="s">
        <v>34</v>
      </c>
      <c r="B13" s="409"/>
      <c r="C13" s="410"/>
      <c r="D13" s="408" t="s">
        <v>35</v>
      </c>
      <c r="E13" s="409"/>
      <c r="F13" s="409"/>
      <c r="G13" s="409"/>
      <c r="H13" s="409"/>
      <c r="I13" s="409"/>
      <c r="J13" s="409"/>
      <c r="K13" s="409"/>
      <c r="L13" s="409"/>
      <c r="M13" s="409"/>
      <c r="N13" s="409"/>
      <c r="O13" s="409"/>
      <c r="P13" s="409"/>
      <c r="Q13" s="409"/>
      <c r="R13" s="410"/>
      <c r="S13" s="408" t="s">
        <v>36</v>
      </c>
      <c r="T13" s="409"/>
      <c r="U13" s="410"/>
      <c r="V13" s="405" t="s">
        <v>37</v>
      </c>
      <c r="W13" s="406"/>
      <c r="X13" s="406"/>
      <c r="Y13" s="407"/>
      <c r="Z13" s="408" t="s">
        <v>38</v>
      </c>
      <c r="AA13" s="409"/>
      <c r="AB13" s="409"/>
      <c r="AC13" s="410"/>
      <c r="AD13" s="391" t="s">
        <v>39</v>
      </c>
      <c r="AE13" s="392"/>
      <c r="AF13" s="393"/>
      <c r="AG13" s="391" t="s">
        <v>40</v>
      </c>
      <c r="AH13" s="392"/>
      <c r="AI13" s="393"/>
      <c r="AJ13" s="391" t="s">
        <v>41</v>
      </c>
      <c r="AK13" s="392"/>
      <c r="AL13" s="393"/>
      <c r="AM13" s="408" t="s">
        <v>42</v>
      </c>
      <c r="AN13" s="409"/>
      <c r="AO13" s="409"/>
      <c r="AP13" s="409"/>
      <c r="AQ13" s="409"/>
      <c r="AR13" s="409"/>
      <c r="AS13" s="409"/>
      <c r="AT13" s="409"/>
      <c r="AU13" s="409"/>
      <c r="AV13" s="409"/>
      <c r="AW13" s="409"/>
      <c r="AX13" s="409"/>
      <c r="AY13" s="409"/>
      <c r="AZ13" s="409"/>
      <c r="BA13" s="409"/>
      <c r="BB13" s="409"/>
      <c r="BC13" s="409"/>
      <c r="BD13" s="409"/>
      <c r="BE13" s="409"/>
      <c r="BF13" s="409"/>
      <c r="BG13" s="409"/>
      <c r="BH13" s="409"/>
      <c r="BI13" s="409"/>
      <c r="BJ13" s="410"/>
    </row>
    <row r="14" spans="1:63" s="187" customFormat="1" ht="20.25" customHeight="1">
      <c r="A14" s="411"/>
      <c r="B14" s="412"/>
      <c r="C14" s="413"/>
      <c r="D14" s="411"/>
      <c r="E14" s="412"/>
      <c r="F14" s="412"/>
      <c r="G14" s="412"/>
      <c r="H14" s="412"/>
      <c r="I14" s="412"/>
      <c r="J14" s="412"/>
      <c r="K14" s="412"/>
      <c r="L14" s="412"/>
      <c r="M14" s="412"/>
      <c r="N14" s="412"/>
      <c r="O14" s="412"/>
      <c r="P14" s="412"/>
      <c r="Q14" s="412"/>
      <c r="R14" s="413"/>
      <c r="S14" s="411"/>
      <c r="T14" s="412"/>
      <c r="U14" s="413"/>
      <c r="V14" s="428" t="s">
        <v>43</v>
      </c>
      <c r="W14" s="429"/>
      <c r="X14" s="429" t="s">
        <v>44</v>
      </c>
      <c r="Y14" s="430"/>
      <c r="Z14" s="411"/>
      <c r="AA14" s="412"/>
      <c r="AB14" s="412"/>
      <c r="AC14" s="413"/>
      <c r="AD14" s="394"/>
      <c r="AE14" s="395"/>
      <c r="AF14" s="396"/>
      <c r="AG14" s="394"/>
      <c r="AH14" s="395"/>
      <c r="AI14" s="396"/>
      <c r="AJ14" s="394"/>
      <c r="AK14" s="395"/>
      <c r="AL14" s="396"/>
      <c r="AM14" s="411"/>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3"/>
    </row>
    <row r="15" spans="1:63" ht="30.75" customHeight="1">
      <c r="A15" s="367">
        <f>ROW()-14</f>
        <v>1</v>
      </c>
      <c r="B15" s="368"/>
      <c r="C15" s="369"/>
      <c r="D15" s="417" t="s">
        <v>254</v>
      </c>
      <c r="E15" s="418"/>
      <c r="F15" s="418"/>
      <c r="G15" s="418"/>
      <c r="H15" s="418"/>
      <c r="I15" s="418"/>
      <c r="J15" s="418"/>
      <c r="K15" s="418"/>
      <c r="L15" s="418"/>
      <c r="M15" s="418"/>
      <c r="N15" s="418"/>
      <c r="O15" s="418"/>
      <c r="P15" s="418"/>
      <c r="Q15" s="418"/>
      <c r="R15" s="419"/>
      <c r="S15" s="420"/>
      <c r="T15" s="421"/>
      <c r="U15" s="422"/>
      <c r="V15" s="420" t="s">
        <v>470</v>
      </c>
      <c r="W15" s="523"/>
      <c r="X15" s="447" t="s">
        <v>470</v>
      </c>
      <c r="Y15" s="422"/>
      <c r="Z15" s="420"/>
      <c r="AA15" s="421"/>
      <c r="AB15" s="421"/>
      <c r="AC15" s="422"/>
      <c r="AD15" s="376"/>
      <c r="AE15" s="377"/>
      <c r="AF15" s="378"/>
      <c r="AG15" s="376"/>
      <c r="AH15" s="377"/>
      <c r="AI15" s="378"/>
      <c r="AJ15" s="376"/>
      <c r="AK15" s="377"/>
      <c r="AL15" s="378"/>
      <c r="AM15" s="425"/>
      <c r="AN15" s="426"/>
      <c r="AO15" s="426"/>
      <c r="AP15" s="426"/>
      <c r="AQ15" s="426"/>
      <c r="AR15" s="426"/>
      <c r="AS15" s="426"/>
      <c r="AT15" s="426"/>
      <c r="AU15" s="426"/>
      <c r="AV15" s="426"/>
      <c r="AW15" s="426"/>
      <c r="AX15" s="426"/>
      <c r="AY15" s="426"/>
      <c r="AZ15" s="426"/>
      <c r="BA15" s="426"/>
      <c r="BB15" s="426"/>
      <c r="BC15" s="426"/>
      <c r="BD15" s="426"/>
      <c r="BE15" s="426"/>
      <c r="BF15" s="426"/>
      <c r="BG15" s="426"/>
      <c r="BH15" s="426"/>
      <c r="BI15" s="426"/>
      <c r="BJ15" s="427"/>
    </row>
    <row r="16" spans="1:63" ht="30.75" customHeight="1">
      <c r="A16" s="367">
        <f>ROW()-14</f>
        <v>2</v>
      </c>
      <c r="B16" s="368"/>
      <c r="C16" s="369"/>
      <c r="D16" s="379" t="s">
        <v>89</v>
      </c>
      <c r="E16" s="380"/>
      <c r="F16" s="380"/>
      <c r="G16" s="380"/>
      <c r="H16" s="380"/>
      <c r="I16" s="380"/>
      <c r="J16" s="380"/>
      <c r="K16" s="380"/>
      <c r="L16" s="380"/>
      <c r="M16" s="380"/>
      <c r="N16" s="380"/>
      <c r="O16" s="380"/>
      <c r="P16" s="380"/>
      <c r="Q16" s="380"/>
      <c r="R16" s="381"/>
      <c r="S16" s="144" t="s">
        <v>36</v>
      </c>
      <c r="T16" s="145"/>
      <c r="U16" s="146"/>
      <c r="V16" s="382" t="s">
        <v>64</v>
      </c>
      <c r="W16" s="436"/>
      <c r="X16" s="365" t="s">
        <v>64</v>
      </c>
      <c r="Y16" s="366"/>
      <c r="Z16" s="144" t="s">
        <v>473</v>
      </c>
      <c r="AA16" s="145"/>
      <c r="AB16" s="145"/>
      <c r="AC16" s="146"/>
      <c r="AD16" s="382"/>
      <c r="AE16" s="371"/>
      <c r="AF16" s="366"/>
      <c r="AG16" s="382"/>
      <c r="AH16" s="371"/>
      <c r="AI16" s="366"/>
      <c r="AJ16" s="372"/>
      <c r="AK16" s="373"/>
      <c r="AL16" s="375"/>
      <c r="AM16" s="390" t="s">
        <v>270</v>
      </c>
      <c r="AN16" s="380"/>
      <c r="AO16" s="380"/>
      <c r="AP16" s="380"/>
      <c r="AQ16" s="380"/>
      <c r="AR16" s="380"/>
      <c r="AS16" s="380"/>
      <c r="AT16" s="380"/>
      <c r="AU16" s="380"/>
      <c r="AV16" s="380"/>
      <c r="AW16" s="380"/>
      <c r="AX16" s="380"/>
      <c r="AY16" s="380"/>
      <c r="AZ16" s="380"/>
      <c r="BA16" s="380"/>
      <c r="BB16" s="380"/>
      <c r="BC16" s="380"/>
      <c r="BD16" s="380"/>
      <c r="BE16" s="380"/>
      <c r="BF16" s="380"/>
      <c r="BG16" s="380"/>
      <c r="BH16" s="380"/>
      <c r="BI16" s="380"/>
      <c r="BJ16" s="381"/>
    </row>
    <row r="17" spans="1:62" ht="30.75" customHeight="1">
      <c r="A17" s="367">
        <f t="shared" ref="A17:A47" si="0">ROW()-14</f>
        <v>3</v>
      </c>
      <c r="B17" s="368"/>
      <c r="C17" s="369"/>
      <c r="D17" s="379" t="s">
        <v>256</v>
      </c>
      <c r="E17" s="380"/>
      <c r="F17" s="380"/>
      <c r="G17" s="380"/>
      <c r="H17" s="380"/>
      <c r="I17" s="380"/>
      <c r="J17" s="380"/>
      <c r="K17" s="380"/>
      <c r="L17" s="380"/>
      <c r="M17" s="380"/>
      <c r="N17" s="380"/>
      <c r="O17" s="380"/>
      <c r="P17" s="380"/>
      <c r="Q17" s="380"/>
      <c r="R17" s="381"/>
      <c r="S17" s="144" t="s">
        <v>250</v>
      </c>
      <c r="T17" s="145"/>
      <c r="U17" s="146"/>
      <c r="V17" s="382" t="s">
        <v>118</v>
      </c>
      <c r="W17" s="436"/>
      <c r="X17" s="365" t="s">
        <v>108</v>
      </c>
      <c r="Y17" s="366"/>
      <c r="Z17" s="383" t="s">
        <v>344</v>
      </c>
      <c r="AA17" s="384"/>
      <c r="AB17" s="384"/>
      <c r="AC17" s="385"/>
      <c r="AD17" s="382"/>
      <c r="AE17" s="371"/>
      <c r="AF17" s="366"/>
      <c r="AG17" s="382"/>
      <c r="AH17" s="371"/>
      <c r="AI17" s="366"/>
      <c r="AJ17" s="372"/>
      <c r="AK17" s="373"/>
      <c r="AL17" s="375"/>
      <c r="AM17" s="390"/>
      <c r="AN17" s="380"/>
      <c r="AO17" s="380"/>
      <c r="AP17" s="380"/>
      <c r="AQ17" s="380"/>
      <c r="AR17" s="380"/>
      <c r="AS17" s="380"/>
      <c r="AT17" s="380"/>
      <c r="AU17" s="380"/>
      <c r="AV17" s="380"/>
      <c r="AW17" s="380"/>
      <c r="AX17" s="380"/>
      <c r="AY17" s="380"/>
      <c r="AZ17" s="380"/>
      <c r="BA17" s="380"/>
      <c r="BB17" s="380"/>
      <c r="BC17" s="380"/>
      <c r="BD17" s="380"/>
      <c r="BE17" s="380"/>
      <c r="BF17" s="380"/>
      <c r="BG17" s="380"/>
      <c r="BH17" s="380"/>
      <c r="BI17" s="380"/>
      <c r="BJ17" s="381"/>
    </row>
    <row r="18" spans="1:62" ht="121.5" customHeight="1">
      <c r="A18" s="367">
        <f t="shared" si="0"/>
        <v>4</v>
      </c>
      <c r="B18" s="368"/>
      <c r="C18" s="369"/>
      <c r="D18" s="379" t="s">
        <v>90</v>
      </c>
      <c r="E18" s="380"/>
      <c r="F18" s="380"/>
      <c r="G18" s="380"/>
      <c r="H18" s="380"/>
      <c r="I18" s="380"/>
      <c r="J18" s="380"/>
      <c r="K18" s="380"/>
      <c r="L18" s="380"/>
      <c r="M18" s="380"/>
      <c r="N18" s="380"/>
      <c r="O18" s="380"/>
      <c r="P18" s="380"/>
      <c r="Q18" s="380"/>
      <c r="R18" s="381"/>
      <c r="S18" s="144" t="s">
        <v>36</v>
      </c>
      <c r="T18" s="145"/>
      <c r="U18" s="146"/>
      <c r="V18" s="370" t="s">
        <v>118</v>
      </c>
      <c r="W18" s="371"/>
      <c r="X18" s="446" t="s">
        <v>118</v>
      </c>
      <c r="Y18" s="366"/>
      <c r="Z18" s="383" t="s">
        <v>344</v>
      </c>
      <c r="AA18" s="384"/>
      <c r="AB18" s="384"/>
      <c r="AC18" s="385"/>
      <c r="AD18" s="382"/>
      <c r="AE18" s="371"/>
      <c r="AF18" s="366"/>
      <c r="AG18" s="382" t="s">
        <v>78</v>
      </c>
      <c r="AH18" s="371"/>
      <c r="AI18" s="366"/>
      <c r="AJ18" s="372"/>
      <c r="AK18" s="373"/>
      <c r="AL18" s="375"/>
      <c r="AM18" s="390" t="s">
        <v>384</v>
      </c>
      <c r="AN18" s="380"/>
      <c r="AO18" s="380"/>
      <c r="AP18" s="380"/>
      <c r="AQ18" s="380"/>
      <c r="AR18" s="380"/>
      <c r="AS18" s="380"/>
      <c r="AT18" s="380"/>
      <c r="AU18" s="380"/>
      <c r="AV18" s="380"/>
      <c r="AW18" s="380"/>
      <c r="AX18" s="380"/>
      <c r="AY18" s="380"/>
      <c r="AZ18" s="380"/>
      <c r="BA18" s="380"/>
      <c r="BB18" s="380"/>
      <c r="BC18" s="380"/>
      <c r="BD18" s="380"/>
      <c r="BE18" s="380"/>
      <c r="BF18" s="380"/>
      <c r="BG18" s="380"/>
      <c r="BH18" s="380"/>
      <c r="BI18" s="380"/>
      <c r="BJ18" s="381"/>
    </row>
    <row r="19" spans="1:62" ht="30.75" customHeight="1">
      <c r="A19" s="367">
        <f t="shared" si="0"/>
        <v>5</v>
      </c>
      <c r="B19" s="368"/>
      <c r="C19" s="369"/>
      <c r="D19" s="379" t="s">
        <v>91</v>
      </c>
      <c r="E19" s="380"/>
      <c r="F19" s="380"/>
      <c r="G19" s="380"/>
      <c r="H19" s="380"/>
      <c r="I19" s="380"/>
      <c r="J19" s="380"/>
      <c r="K19" s="380"/>
      <c r="L19" s="380"/>
      <c r="M19" s="380"/>
      <c r="N19" s="380"/>
      <c r="O19" s="380"/>
      <c r="P19" s="380"/>
      <c r="Q19" s="380"/>
      <c r="R19" s="381"/>
      <c r="S19" s="144" t="s">
        <v>36</v>
      </c>
      <c r="T19" s="145"/>
      <c r="U19" s="146"/>
      <c r="V19" s="382" t="s">
        <v>76</v>
      </c>
      <c r="W19" s="436"/>
      <c r="X19" s="365" t="s">
        <v>76</v>
      </c>
      <c r="Y19" s="366"/>
      <c r="Z19" s="177" t="s">
        <v>474</v>
      </c>
      <c r="AA19" s="145"/>
      <c r="AB19" s="145"/>
      <c r="AC19" s="146"/>
      <c r="AD19" s="382"/>
      <c r="AE19" s="371"/>
      <c r="AF19" s="366"/>
      <c r="AG19" s="382"/>
      <c r="AH19" s="371"/>
      <c r="AI19" s="366"/>
      <c r="AJ19" s="372"/>
      <c r="AK19" s="373"/>
      <c r="AL19" s="375"/>
      <c r="AM19" s="379"/>
      <c r="AN19" s="380"/>
      <c r="AO19" s="380"/>
      <c r="AP19" s="380"/>
      <c r="AQ19" s="380"/>
      <c r="AR19" s="380"/>
      <c r="AS19" s="380"/>
      <c r="AT19" s="380"/>
      <c r="AU19" s="380"/>
      <c r="AV19" s="380"/>
      <c r="AW19" s="380"/>
      <c r="AX19" s="380"/>
      <c r="AY19" s="380"/>
      <c r="AZ19" s="380"/>
      <c r="BA19" s="380"/>
      <c r="BB19" s="380"/>
      <c r="BC19" s="380"/>
      <c r="BD19" s="380"/>
      <c r="BE19" s="380"/>
      <c r="BF19" s="380"/>
      <c r="BG19" s="380"/>
      <c r="BH19" s="380"/>
      <c r="BI19" s="380"/>
      <c r="BJ19" s="381"/>
    </row>
    <row r="20" spans="1:62" ht="30.75" customHeight="1">
      <c r="A20" s="367">
        <f t="shared" si="0"/>
        <v>6</v>
      </c>
      <c r="B20" s="368"/>
      <c r="C20" s="369"/>
      <c r="D20" s="379" t="s">
        <v>258</v>
      </c>
      <c r="E20" s="380"/>
      <c r="F20" s="380"/>
      <c r="G20" s="380"/>
      <c r="H20" s="380"/>
      <c r="I20" s="380"/>
      <c r="J20" s="380"/>
      <c r="K20" s="380"/>
      <c r="L20" s="380"/>
      <c r="M20" s="380"/>
      <c r="N20" s="380"/>
      <c r="O20" s="380"/>
      <c r="P20" s="380"/>
      <c r="Q20" s="380"/>
      <c r="R20" s="381"/>
      <c r="S20" s="144" t="s">
        <v>250</v>
      </c>
      <c r="T20" s="145"/>
      <c r="U20" s="146"/>
      <c r="V20" s="382" t="s">
        <v>118</v>
      </c>
      <c r="W20" s="436"/>
      <c r="X20" s="365" t="s">
        <v>113</v>
      </c>
      <c r="Y20" s="366"/>
      <c r="Z20" s="383" t="s">
        <v>344</v>
      </c>
      <c r="AA20" s="384"/>
      <c r="AB20" s="384"/>
      <c r="AC20" s="385"/>
      <c r="AD20" s="382"/>
      <c r="AE20" s="371"/>
      <c r="AF20" s="366"/>
      <c r="AG20" s="382"/>
      <c r="AH20" s="371"/>
      <c r="AI20" s="366"/>
      <c r="AJ20" s="372"/>
      <c r="AK20" s="373"/>
      <c r="AL20" s="375"/>
      <c r="AM20" s="379"/>
      <c r="AN20" s="380"/>
      <c r="AO20" s="380"/>
      <c r="AP20" s="380"/>
      <c r="AQ20" s="380"/>
      <c r="AR20" s="380"/>
      <c r="AS20" s="380"/>
      <c r="AT20" s="380"/>
      <c r="AU20" s="380"/>
      <c r="AV20" s="380"/>
      <c r="AW20" s="380"/>
      <c r="AX20" s="380"/>
      <c r="AY20" s="380"/>
      <c r="AZ20" s="380"/>
      <c r="BA20" s="380"/>
      <c r="BB20" s="380"/>
      <c r="BC20" s="380"/>
      <c r="BD20" s="380"/>
      <c r="BE20" s="380"/>
      <c r="BF20" s="380"/>
      <c r="BG20" s="380"/>
      <c r="BH20" s="380"/>
      <c r="BI20" s="380"/>
      <c r="BJ20" s="381"/>
    </row>
    <row r="21" spans="1:62" ht="30.75" customHeight="1">
      <c r="A21" s="367">
        <f t="shared" si="0"/>
        <v>7</v>
      </c>
      <c r="B21" s="368"/>
      <c r="C21" s="369"/>
      <c r="D21" s="379" t="s">
        <v>93</v>
      </c>
      <c r="E21" s="380"/>
      <c r="F21" s="380"/>
      <c r="G21" s="380"/>
      <c r="H21" s="380"/>
      <c r="I21" s="380"/>
      <c r="J21" s="380"/>
      <c r="K21" s="380"/>
      <c r="L21" s="380"/>
      <c r="M21" s="380"/>
      <c r="N21" s="380"/>
      <c r="O21" s="380"/>
      <c r="P21" s="380"/>
      <c r="Q21" s="380"/>
      <c r="R21" s="381"/>
      <c r="S21" s="144" t="s">
        <v>36</v>
      </c>
      <c r="T21" s="145"/>
      <c r="U21" s="146"/>
      <c r="V21" s="372" t="s">
        <v>75</v>
      </c>
      <c r="W21" s="529"/>
      <c r="X21" s="374" t="s">
        <v>75</v>
      </c>
      <c r="Y21" s="375"/>
      <c r="Z21" s="382" t="s">
        <v>474</v>
      </c>
      <c r="AA21" s="371"/>
      <c r="AB21" s="371"/>
      <c r="AC21" s="366"/>
      <c r="AD21" s="382"/>
      <c r="AE21" s="371"/>
      <c r="AF21" s="366"/>
      <c r="AG21" s="382"/>
      <c r="AH21" s="371"/>
      <c r="AI21" s="366"/>
      <c r="AJ21" s="372"/>
      <c r="AK21" s="373"/>
      <c r="AL21" s="375"/>
      <c r="AM21" s="390"/>
      <c r="AN21" s="380"/>
      <c r="AO21" s="380"/>
      <c r="AP21" s="380"/>
      <c r="AQ21" s="380"/>
      <c r="AR21" s="380"/>
      <c r="AS21" s="380"/>
      <c r="AT21" s="380"/>
      <c r="AU21" s="380"/>
      <c r="AV21" s="380"/>
      <c r="AW21" s="380"/>
      <c r="AX21" s="380"/>
      <c r="AY21" s="380"/>
      <c r="AZ21" s="380"/>
      <c r="BA21" s="380"/>
      <c r="BB21" s="380"/>
      <c r="BC21" s="380"/>
      <c r="BD21" s="380"/>
      <c r="BE21" s="380"/>
      <c r="BF21" s="380"/>
      <c r="BG21" s="380"/>
      <c r="BH21" s="380"/>
      <c r="BI21" s="380"/>
      <c r="BJ21" s="381"/>
    </row>
    <row r="22" spans="1:62" ht="30.75" customHeight="1">
      <c r="A22" s="367">
        <f t="shared" si="0"/>
        <v>8</v>
      </c>
      <c r="B22" s="368"/>
      <c r="C22" s="369"/>
      <c r="D22" s="379" t="s">
        <v>264</v>
      </c>
      <c r="E22" s="380"/>
      <c r="F22" s="380"/>
      <c r="G22" s="380"/>
      <c r="H22" s="380"/>
      <c r="I22" s="380"/>
      <c r="J22" s="380"/>
      <c r="K22" s="380"/>
      <c r="L22" s="380"/>
      <c r="M22" s="380"/>
      <c r="N22" s="380"/>
      <c r="O22" s="380"/>
      <c r="P22" s="380"/>
      <c r="Q22" s="380"/>
      <c r="R22" s="381"/>
      <c r="S22" s="144" t="s">
        <v>250</v>
      </c>
      <c r="T22" s="145"/>
      <c r="U22" s="146"/>
      <c r="V22" s="382" t="s">
        <v>118</v>
      </c>
      <c r="W22" s="436"/>
      <c r="X22" s="371" t="s">
        <v>154</v>
      </c>
      <c r="Y22" s="366"/>
      <c r="Z22" s="144" t="s">
        <v>257</v>
      </c>
      <c r="AA22" s="145"/>
      <c r="AB22" s="145"/>
      <c r="AC22" s="146"/>
      <c r="AD22" s="382"/>
      <c r="AE22" s="371"/>
      <c r="AF22" s="366"/>
      <c r="AG22" s="382"/>
      <c r="AH22" s="371"/>
      <c r="AI22" s="366"/>
      <c r="AJ22" s="372"/>
      <c r="AK22" s="373"/>
      <c r="AL22" s="375"/>
      <c r="AM22" s="390"/>
      <c r="AN22" s="380"/>
      <c r="AO22" s="380"/>
      <c r="AP22" s="380"/>
      <c r="AQ22" s="380"/>
      <c r="AR22" s="380"/>
      <c r="AS22" s="380"/>
      <c r="AT22" s="380"/>
      <c r="AU22" s="380"/>
      <c r="AV22" s="380"/>
      <c r="AW22" s="380"/>
      <c r="AX22" s="380"/>
      <c r="AY22" s="380"/>
      <c r="AZ22" s="380"/>
      <c r="BA22" s="380"/>
      <c r="BB22" s="380"/>
      <c r="BC22" s="380"/>
      <c r="BD22" s="380"/>
      <c r="BE22" s="380"/>
      <c r="BF22" s="380"/>
      <c r="BG22" s="380"/>
      <c r="BH22" s="380"/>
      <c r="BI22" s="380"/>
      <c r="BJ22" s="381"/>
    </row>
    <row r="23" spans="1:62" ht="30.75" customHeight="1">
      <c r="A23" s="367">
        <f t="shared" si="0"/>
        <v>9</v>
      </c>
      <c r="B23" s="368"/>
      <c r="C23" s="369"/>
      <c r="D23" s="379" t="s">
        <v>73</v>
      </c>
      <c r="E23" s="380"/>
      <c r="F23" s="380"/>
      <c r="G23" s="380"/>
      <c r="H23" s="380"/>
      <c r="I23" s="380"/>
      <c r="J23" s="380"/>
      <c r="K23" s="380"/>
      <c r="L23" s="380"/>
      <c r="M23" s="380"/>
      <c r="N23" s="380"/>
      <c r="O23" s="380"/>
      <c r="P23" s="380"/>
      <c r="Q23" s="380"/>
      <c r="R23" s="381"/>
      <c r="S23" s="144" t="s">
        <v>36</v>
      </c>
      <c r="T23" s="145"/>
      <c r="U23" s="146"/>
      <c r="V23" s="382" t="s">
        <v>76</v>
      </c>
      <c r="W23" s="436"/>
      <c r="X23" s="365" t="s">
        <v>76</v>
      </c>
      <c r="Y23" s="366"/>
      <c r="Z23" s="144" t="s">
        <v>253</v>
      </c>
      <c r="AA23" s="145"/>
      <c r="AB23" s="145"/>
      <c r="AC23" s="146"/>
      <c r="AD23" s="382"/>
      <c r="AE23" s="371"/>
      <c r="AF23" s="366"/>
      <c r="AG23" s="382"/>
      <c r="AH23" s="371"/>
      <c r="AI23" s="366"/>
      <c r="AJ23" s="382"/>
      <c r="AK23" s="371"/>
      <c r="AL23" s="366"/>
      <c r="AM23" s="390"/>
      <c r="AN23" s="380"/>
      <c r="AO23" s="380"/>
      <c r="AP23" s="380"/>
      <c r="AQ23" s="380"/>
      <c r="AR23" s="380"/>
      <c r="AS23" s="380"/>
      <c r="AT23" s="380"/>
      <c r="AU23" s="380"/>
      <c r="AV23" s="380"/>
      <c r="AW23" s="380"/>
      <c r="AX23" s="380"/>
      <c r="AY23" s="380"/>
      <c r="AZ23" s="380"/>
      <c r="BA23" s="380"/>
      <c r="BB23" s="380"/>
      <c r="BC23" s="380"/>
      <c r="BD23" s="380"/>
      <c r="BE23" s="380"/>
      <c r="BF23" s="380"/>
      <c r="BG23" s="380"/>
      <c r="BH23" s="380"/>
      <c r="BI23" s="380"/>
      <c r="BJ23" s="381"/>
    </row>
    <row r="24" spans="1:62" ht="30.75" customHeight="1">
      <c r="A24" s="367">
        <f t="shared" si="0"/>
        <v>10</v>
      </c>
      <c r="B24" s="368"/>
      <c r="C24" s="369"/>
      <c r="D24" s="379" t="s">
        <v>74</v>
      </c>
      <c r="E24" s="380"/>
      <c r="F24" s="380"/>
      <c r="G24" s="380"/>
      <c r="H24" s="380"/>
      <c r="I24" s="380"/>
      <c r="J24" s="380"/>
      <c r="K24" s="380"/>
      <c r="L24" s="380"/>
      <c r="M24" s="380"/>
      <c r="N24" s="380"/>
      <c r="O24" s="380"/>
      <c r="P24" s="380"/>
      <c r="Q24" s="380"/>
      <c r="R24" s="381"/>
      <c r="S24" s="144" t="s">
        <v>36</v>
      </c>
      <c r="T24" s="145"/>
      <c r="U24" s="146"/>
      <c r="V24" s="382" t="s">
        <v>64</v>
      </c>
      <c r="W24" s="436"/>
      <c r="X24" s="365" t="s">
        <v>64</v>
      </c>
      <c r="Y24" s="366"/>
      <c r="Z24" s="144" t="s">
        <v>253</v>
      </c>
      <c r="AA24" s="145"/>
      <c r="AB24" s="145"/>
      <c r="AC24" s="146"/>
      <c r="AD24" s="382"/>
      <c r="AE24" s="371"/>
      <c r="AF24" s="366"/>
      <c r="AG24" s="382"/>
      <c r="AH24" s="371"/>
      <c r="AI24" s="366"/>
      <c r="AJ24" s="382"/>
      <c r="AK24" s="371"/>
      <c r="AL24" s="366"/>
      <c r="AM24" s="390"/>
      <c r="AN24" s="380"/>
      <c r="AO24" s="380"/>
      <c r="AP24" s="380"/>
      <c r="AQ24" s="380"/>
      <c r="AR24" s="380"/>
      <c r="AS24" s="380"/>
      <c r="AT24" s="380"/>
      <c r="AU24" s="380"/>
      <c r="AV24" s="380"/>
      <c r="AW24" s="380"/>
      <c r="AX24" s="380"/>
      <c r="AY24" s="380"/>
      <c r="AZ24" s="380"/>
      <c r="BA24" s="380"/>
      <c r="BB24" s="380"/>
      <c r="BC24" s="380"/>
      <c r="BD24" s="380"/>
      <c r="BE24" s="380"/>
      <c r="BF24" s="380"/>
      <c r="BG24" s="380"/>
      <c r="BH24" s="380"/>
      <c r="BI24" s="380"/>
      <c r="BJ24" s="381"/>
    </row>
    <row r="25" spans="1:62" ht="30.75" customHeight="1">
      <c r="A25" s="367">
        <f t="shared" si="0"/>
        <v>11</v>
      </c>
      <c r="B25" s="368"/>
      <c r="C25" s="369"/>
      <c r="D25" s="379" t="s">
        <v>92</v>
      </c>
      <c r="E25" s="380"/>
      <c r="F25" s="380"/>
      <c r="G25" s="380"/>
      <c r="H25" s="380"/>
      <c r="I25" s="380"/>
      <c r="J25" s="380"/>
      <c r="K25" s="380"/>
      <c r="L25" s="380"/>
      <c r="M25" s="380"/>
      <c r="N25" s="380"/>
      <c r="O25" s="380"/>
      <c r="P25" s="380"/>
      <c r="Q25" s="380"/>
      <c r="R25" s="381"/>
      <c r="S25" s="144" t="s">
        <v>36</v>
      </c>
      <c r="T25" s="145"/>
      <c r="U25" s="146"/>
      <c r="V25" s="382" t="s">
        <v>75</v>
      </c>
      <c r="W25" s="436"/>
      <c r="X25" s="365" t="s">
        <v>106</v>
      </c>
      <c r="Y25" s="366"/>
      <c r="Z25" s="144" t="s">
        <v>253</v>
      </c>
      <c r="AA25" s="145"/>
      <c r="AB25" s="145"/>
      <c r="AC25" s="146"/>
      <c r="AD25" s="382"/>
      <c r="AE25" s="371"/>
      <c r="AF25" s="366"/>
      <c r="AG25" s="382"/>
      <c r="AH25" s="371"/>
      <c r="AI25" s="366"/>
      <c r="AJ25" s="382"/>
      <c r="AK25" s="371"/>
      <c r="AL25" s="366"/>
      <c r="AM25" s="390"/>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1"/>
    </row>
    <row r="26" spans="1:62" ht="30.75" customHeight="1">
      <c r="A26" s="367">
        <f t="shared" si="0"/>
        <v>12</v>
      </c>
      <c r="B26" s="368"/>
      <c r="C26" s="369"/>
      <c r="D26" s="526" t="s">
        <v>252</v>
      </c>
      <c r="E26" s="527"/>
      <c r="F26" s="527"/>
      <c r="G26" s="527"/>
      <c r="H26" s="527"/>
      <c r="I26" s="527"/>
      <c r="J26" s="527"/>
      <c r="K26" s="527"/>
      <c r="L26" s="527"/>
      <c r="M26" s="527"/>
      <c r="N26" s="527"/>
      <c r="O26" s="527"/>
      <c r="P26" s="527"/>
      <c r="Q26" s="527"/>
      <c r="R26" s="528"/>
      <c r="S26" s="144" t="s">
        <v>250</v>
      </c>
      <c r="T26" s="145"/>
      <c r="U26" s="146"/>
      <c r="V26" s="382" t="s">
        <v>118</v>
      </c>
      <c r="W26" s="436"/>
      <c r="X26" s="371" t="s">
        <v>64</v>
      </c>
      <c r="Y26" s="436"/>
      <c r="Z26" s="177" t="s">
        <v>253</v>
      </c>
      <c r="AA26" s="145"/>
      <c r="AB26" s="145"/>
      <c r="AC26" s="146"/>
      <c r="AD26" s="382"/>
      <c r="AE26" s="371"/>
      <c r="AF26" s="366"/>
      <c r="AG26" s="382"/>
      <c r="AH26" s="371"/>
      <c r="AI26" s="366"/>
      <c r="AJ26" s="382"/>
      <c r="AK26" s="371"/>
      <c r="AL26" s="366"/>
      <c r="AM26" s="390"/>
      <c r="AN26" s="524"/>
      <c r="AO26" s="524"/>
      <c r="AP26" s="524"/>
      <c r="AQ26" s="524"/>
      <c r="AR26" s="524"/>
      <c r="AS26" s="524"/>
      <c r="AT26" s="524"/>
      <c r="AU26" s="524"/>
      <c r="AV26" s="524"/>
      <c r="AW26" s="524"/>
      <c r="AX26" s="524"/>
      <c r="AY26" s="524"/>
      <c r="AZ26" s="524"/>
      <c r="BA26" s="524"/>
      <c r="BB26" s="524"/>
      <c r="BC26" s="524"/>
      <c r="BD26" s="524"/>
      <c r="BE26" s="524"/>
      <c r="BF26" s="524"/>
      <c r="BG26" s="524"/>
      <c r="BH26" s="524"/>
      <c r="BI26" s="524"/>
      <c r="BJ26" s="525"/>
    </row>
    <row r="27" spans="1:62" ht="30.75" customHeight="1">
      <c r="A27" s="367">
        <f t="shared" si="0"/>
        <v>13</v>
      </c>
      <c r="B27" s="368"/>
      <c r="C27" s="369"/>
      <c r="D27" s="526" t="s">
        <v>231</v>
      </c>
      <c r="E27" s="527"/>
      <c r="F27" s="527"/>
      <c r="G27" s="527"/>
      <c r="H27" s="527"/>
      <c r="I27" s="527"/>
      <c r="J27" s="527"/>
      <c r="K27" s="527"/>
      <c r="L27" s="527"/>
      <c r="M27" s="527"/>
      <c r="N27" s="527"/>
      <c r="O27" s="527"/>
      <c r="P27" s="527"/>
      <c r="Q27" s="527"/>
      <c r="R27" s="528"/>
      <c r="S27" s="144" t="s">
        <v>36</v>
      </c>
      <c r="T27" s="145"/>
      <c r="U27" s="146"/>
      <c r="V27" s="382" t="s">
        <v>271</v>
      </c>
      <c r="W27" s="436"/>
      <c r="X27" s="371" t="s">
        <v>271</v>
      </c>
      <c r="Y27" s="366"/>
      <c r="Z27" s="177" t="s">
        <v>474</v>
      </c>
      <c r="AA27" s="145"/>
      <c r="AB27" s="145"/>
      <c r="AC27" s="146"/>
      <c r="AD27" s="382"/>
      <c r="AE27" s="371"/>
      <c r="AF27" s="366"/>
      <c r="AG27" s="382"/>
      <c r="AH27" s="371"/>
      <c r="AI27" s="366"/>
      <c r="AJ27" s="382"/>
      <c r="AK27" s="371"/>
      <c r="AL27" s="366"/>
      <c r="AM27" s="390"/>
      <c r="AN27" s="524"/>
      <c r="AO27" s="524"/>
      <c r="AP27" s="524"/>
      <c r="AQ27" s="524"/>
      <c r="AR27" s="524"/>
      <c r="AS27" s="524"/>
      <c r="AT27" s="524"/>
      <c r="AU27" s="524"/>
      <c r="AV27" s="524"/>
      <c r="AW27" s="524"/>
      <c r="AX27" s="524"/>
      <c r="AY27" s="524"/>
      <c r="AZ27" s="524"/>
      <c r="BA27" s="524"/>
      <c r="BB27" s="524"/>
      <c r="BC27" s="524"/>
      <c r="BD27" s="524"/>
      <c r="BE27" s="524"/>
      <c r="BF27" s="524"/>
      <c r="BG27" s="524"/>
      <c r="BH27" s="524"/>
      <c r="BI27" s="524"/>
      <c r="BJ27" s="525"/>
    </row>
    <row r="28" spans="1:62" ht="30.75" customHeight="1">
      <c r="A28" s="367">
        <f t="shared" si="0"/>
        <v>14</v>
      </c>
      <c r="B28" s="368"/>
      <c r="C28" s="369"/>
      <c r="D28" s="417" t="s">
        <v>255</v>
      </c>
      <c r="E28" s="418"/>
      <c r="F28" s="418"/>
      <c r="G28" s="418"/>
      <c r="H28" s="418"/>
      <c r="I28" s="418"/>
      <c r="J28" s="418"/>
      <c r="K28" s="418"/>
      <c r="L28" s="418"/>
      <c r="M28" s="418"/>
      <c r="N28" s="418"/>
      <c r="O28" s="418"/>
      <c r="P28" s="418"/>
      <c r="Q28" s="418"/>
      <c r="R28" s="419"/>
      <c r="S28" s="420"/>
      <c r="T28" s="421"/>
      <c r="U28" s="422"/>
      <c r="V28" s="420" t="s">
        <v>470</v>
      </c>
      <c r="W28" s="523"/>
      <c r="X28" s="447" t="s">
        <v>470</v>
      </c>
      <c r="Y28" s="422"/>
      <c r="Z28" s="420"/>
      <c r="AA28" s="421"/>
      <c r="AB28" s="421"/>
      <c r="AC28" s="422"/>
      <c r="AD28" s="376"/>
      <c r="AE28" s="377"/>
      <c r="AF28" s="378"/>
      <c r="AG28" s="376"/>
      <c r="AH28" s="377"/>
      <c r="AI28" s="378"/>
      <c r="AJ28" s="376"/>
      <c r="AK28" s="377"/>
      <c r="AL28" s="378"/>
      <c r="AM28" s="425"/>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30.75" customHeight="1">
      <c r="A29" s="367">
        <f t="shared" si="0"/>
        <v>15</v>
      </c>
      <c r="B29" s="368"/>
      <c r="C29" s="369"/>
      <c r="D29" s="379" t="s">
        <v>131</v>
      </c>
      <c r="E29" s="380"/>
      <c r="F29" s="380"/>
      <c r="G29" s="380"/>
      <c r="H29" s="380"/>
      <c r="I29" s="380"/>
      <c r="J29" s="380"/>
      <c r="K29" s="380"/>
      <c r="L29" s="380"/>
      <c r="M29" s="380"/>
      <c r="N29" s="380"/>
      <c r="O29" s="380"/>
      <c r="P29" s="380"/>
      <c r="Q29" s="380"/>
      <c r="R29" s="381"/>
      <c r="S29" s="382" t="s">
        <v>130</v>
      </c>
      <c r="T29" s="371"/>
      <c r="U29" s="366"/>
      <c r="V29" s="382" t="s">
        <v>118</v>
      </c>
      <c r="W29" s="436"/>
      <c r="X29" s="365" t="s">
        <v>64</v>
      </c>
      <c r="Y29" s="366"/>
      <c r="Z29" s="144" t="s">
        <v>253</v>
      </c>
      <c r="AA29" s="145"/>
      <c r="AB29" s="145"/>
      <c r="AC29" s="146"/>
      <c r="AD29" s="382"/>
      <c r="AE29" s="371"/>
      <c r="AF29" s="366"/>
      <c r="AG29" s="382"/>
      <c r="AH29" s="371"/>
      <c r="AI29" s="366"/>
      <c r="AJ29" s="382"/>
      <c r="AK29" s="371"/>
      <c r="AL29" s="366"/>
      <c r="AM29" s="390" t="s">
        <v>142</v>
      </c>
      <c r="AN29" s="380"/>
      <c r="AO29" s="380"/>
      <c r="AP29" s="380"/>
      <c r="AQ29" s="380"/>
      <c r="AR29" s="380"/>
      <c r="AS29" s="380"/>
      <c r="AT29" s="380"/>
      <c r="AU29" s="380"/>
      <c r="AV29" s="380"/>
      <c r="AW29" s="380"/>
      <c r="AX29" s="380"/>
      <c r="AY29" s="380"/>
      <c r="AZ29" s="380"/>
      <c r="BA29" s="380"/>
      <c r="BB29" s="380"/>
      <c r="BC29" s="380"/>
      <c r="BD29" s="380"/>
      <c r="BE29" s="380"/>
      <c r="BF29" s="380"/>
      <c r="BG29" s="380"/>
      <c r="BH29" s="380"/>
      <c r="BI29" s="380"/>
      <c r="BJ29" s="381"/>
    </row>
    <row r="30" spans="1:62" ht="48.75" customHeight="1">
      <c r="A30" s="367">
        <f t="shared" si="0"/>
        <v>16</v>
      </c>
      <c r="B30" s="368"/>
      <c r="C30" s="369"/>
      <c r="D30" s="379" t="s">
        <v>134</v>
      </c>
      <c r="E30" s="380"/>
      <c r="F30" s="380"/>
      <c r="G30" s="380"/>
      <c r="H30" s="380"/>
      <c r="I30" s="380"/>
      <c r="J30" s="380"/>
      <c r="K30" s="380"/>
      <c r="L30" s="380"/>
      <c r="M30" s="380"/>
      <c r="N30" s="380"/>
      <c r="O30" s="380"/>
      <c r="P30" s="380"/>
      <c r="Q30" s="380"/>
      <c r="R30" s="381"/>
      <c r="S30" s="382" t="s">
        <v>132</v>
      </c>
      <c r="T30" s="371"/>
      <c r="U30" s="366"/>
      <c r="V30" s="382" t="s">
        <v>112</v>
      </c>
      <c r="W30" s="436"/>
      <c r="X30" s="365" t="s">
        <v>147</v>
      </c>
      <c r="Y30" s="366"/>
      <c r="Z30" s="177" t="s">
        <v>253</v>
      </c>
      <c r="AA30" s="145"/>
      <c r="AB30" s="145"/>
      <c r="AC30" s="146"/>
      <c r="AD30" s="382" t="s">
        <v>78</v>
      </c>
      <c r="AE30" s="371"/>
      <c r="AF30" s="366"/>
      <c r="AG30" s="382"/>
      <c r="AH30" s="371"/>
      <c r="AI30" s="366"/>
      <c r="AJ30" s="382"/>
      <c r="AK30" s="371"/>
      <c r="AL30" s="366"/>
      <c r="AM30" s="390" t="s">
        <v>322</v>
      </c>
      <c r="AN30" s="380"/>
      <c r="AO30" s="380"/>
      <c r="AP30" s="380"/>
      <c r="AQ30" s="380"/>
      <c r="AR30" s="380"/>
      <c r="AS30" s="380"/>
      <c r="AT30" s="380"/>
      <c r="AU30" s="380"/>
      <c r="AV30" s="380"/>
      <c r="AW30" s="380"/>
      <c r="AX30" s="380"/>
      <c r="AY30" s="380"/>
      <c r="AZ30" s="380"/>
      <c r="BA30" s="380"/>
      <c r="BB30" s="380"/>
      <c r="BC30" s="380"/>
      <c r="BD30" s="380"/>
      <c r="BE30" s="380"/>
      <c r="BF30" s="380"/>
      <c r="BG30" s="380"/>
      <c r="BH30" s="380"/>
      <c r="BI30" s="380"/>
      <c r="BJ30" s="381"/>
    </row>
    <row r="31" spans="1:62" ht="57" customHeight="1">
      <c r="A31" s="367">
        <f t="shared" si="0"/>
        <v>17</v>
      </c>
      <c r="B31" s="368"/>
      <c r="C31" s="369"/>
      <c r="D31" s="379" t="s">
        <v>135</v>
      </c>
      <c r="E31" s="380"/>
      <c r="F31" s="380"/>
      <c r="G31" s="380"/>
      <c r="H31" s="380"/>
      <c r="I31" s="380"/>
      <c r="J31" s="380"/>
      <c r="K31" s="380"/>
      <c r="L31" s="380"/>
      <c r="M31" s="380"/>
      <c r="N31" s="380"/>
      <c r="O31" s="380"/>
      <c r="P31" s="380"/>
      <c r="Q31" s="380"/>
      <c r="R31" s="381"/>
      <c r="S31" s="382" t="s">
        <v>132</v>
      </c>
      <c r="T31" s="371"/>
      <c r="U31" s="366"/>
      <c r="V31" s="382" t="s">
        <v>112</v>
      </c>
      <c r="W31" s="436"/>
      <c r="X31" s="365" t="s">
        <v>147</v>
      </c>
      <c r="Y31" s="366"/>
      <c r="Z31" s="177" t="s">
        <v>253</v>
      </c>
      <c r="AA31" s="145"/>
      <c r="AB31" s="145"/>
      <c r="AC31" s="146"/>
      <c r="AD31" s="382" t="s">
        <v>78</v>
      </c>
      <c r="AE31" s="371"/>
      <c r="AF31" s="366"/>
      <c r="AG31" s="382"/>
      <c r="AH31" s="371"/>
      <c r="AI31" s="366"/>
      <c r="AJ31" s="382"/>
      <c r="AK31" s="371"/>
      <c r="AL31" s="366"/>
      <c r="AM31" s="390" t="s">
        <v>321</v>
      </c>
      <c r="AN31" s="380"/>
      <c r="AO31" s="380"/>
      <c r="AP31" s="380"/>
      <c r="AQ31" s="380"/>
      <c r="AR31" s="380"/>
      <c r="AS31" s="380"/>
      <c r="AT31" s="380"/>
      <c r="AU31" s="380"/>
      <c r="AV31" s="380"/>
      <c r="AW31" s="380"/>
      <c r="AX31" s="380"/>
      <c r="AY31" s="380"/>
      <c r="AZ31" s="380"/>
      <c r="BA31" s="380"/>
      <c r="BB31" s="380"/>
      <c r="BC31" s="380"/>
      <c r="BD31" s="380"/>
      <c r="BE31" s="380"/>
      <c r="BF31" s="380"/>
      <c r="BG31" s="380"/>
      <c r="BH31" s="380"/>
      <c r="BI31" s="380"/>
      <c r="BJ31" s="381"/>
    </row>
    <row r="32" spans="1:62" ht="30.75" customHeight="1">
      <c r="A32" s="367">
        <f t="shared" si="0"/>
        <v>18</v>
      </c>
      <c r="B32" s="368"/>
      <c r="C32" s="369"/>
      <c r="D32" s="379" t="s">
        <v>136</v>
      </c>
      <c r="E32" s="380"/>
      <c r="F32" s="380"/>
      <c r="G32" s="380"/>
      <c r="H32" s="380"/>
      <c r="I32" s="380"/>
      <c r="J32" s="380"/>
      <c r="K32" s="380"/>
      <c r="L32" s="380"/>
      <c r="M32" s="380"/>
      <c r="N32" s="380"/>
      <c r="O32" s="380"/>
      <c r="P32" s="380"/>
      <c r="Q32" s="380"/>
      <c r="R32" s="381"/>
      <c r="S32" s="382" t="s">
        <v>130</v>
      </c>
      <c r="T32" s="371"/>
      <c r="U32" s="366"/>
      <c r="V32" s="382" t="s">
        <v>118</v>
      </c>
      <c r="W32" s="436"/>
      <c r="X32" s="365" t="s">
        <v>147</v>
      </c>
      <c r="Y32" s="366"/>
      <c r="Z32" s="177" t="s">
        <v>253</v>
      </c>
      <c r="AA32" s="145"/>
      <c r="AB32" s="145"/>
      <c r="AC32" s="146"/>
      <c r="AD32" s="382" t="s">
        <v>78</v>
      </c>
      <c r="AE32" s="371"/>
      <c r="AF32" s="366"/>
      <c r="AG32" s="382"/>
      <c r="AH32" s="371"/>
      <c r="AI32" s="366"/>
      <c r="AJ32" s="382"/>
      <c r="AK32" s="371"/>
      <c r="AL32" s="366"/>
      <c r="AM32" s="390" t="s">
        <v>274</v>
      </c>
      <c r="AN32" s="380"/>
      <c r="AO32" s="380"/>
      <c r="AP32" s="380"/>
      <c r="AQ32" s="380"/>
      <c r="AR32" s="380"/>
      <c r="AS32" s="380"/>
      <c r="AT32" s="380"/>
      <c r="AU32" s="380"/>
      <c r="AV32" s="380"/>
      <c r="AW32" s="380"/>
      <c r="AX32" s="380"/>
      <c r="AY32" s="380"/>
      <c r="AZ32" s="380"/>
      <c r="BA32" s="380"/>
      <c r="BB32" s="380"/>
      <c r="BC32" s="380"/>
      <c r="BD32" s="380"/>
      <c r="BE32" s="380"/>
      <c r="BF32" s="380"/>
      <c r="BG32" s="380"/>
      <c r="BH32" s="380"/>
      <c r="BI32" s="380"/>
      <c r="BJ32" s="381"/>
    </row>
    <row r="33" spans="1:73" ht="30.75" customHeight="1">
      <c r="A33" s="367">
        <f t="shared" si="0"/>
        <v>19</v>
      </c>
      <c r="B33" s="368"/>
      <c r="C33" s="369"/>
      <c r="D33" s="379" t="s">
        <v>137</v>
      </c>
      <c r="E33" s="380"/>
      <c r="F33" s="380"/>
      <c r="G33" s="380"/>
      <c r="H33" s="380"/>
      <c r="I33" s="380"/>
      <c r="J33" s="380"/>
      <c r="K33" s="380"/>
      <c r="L33" s="380"/>
      <c r="M33" s="380"/>
      <c r="N33" s="380"/>
      <c r="O33" s="380"/>
      <c r="P33" s="380"/>
      <c r="Q33" s="380"/>
      <c r="R33" s="381"/>
      <c r="S33" s="382" t="s">
        <v>130</v>
      </c>
      <c r="T33" s="371"/>
      <c r="U33" s="366"/>
      <c r="V33" s="382" t="s">
        <v>118</v>
      </c>
      <c r="W33" s="436"/>
      <c r="X33" s="365" t="s">
        <v>147</v>
      </c>
      <c r="Y33" s="366"/>
      <c r="Z33" s="177" t="s">
        <v>253</v>
      </c>
      <c r="AA33" s="145"/>
      <c r="AB33" s="145"/>
      <c r="AC33" s="146"/>
      <c r="AD33" s="382" t="s">
        <v>78</v>
      </c>
      <c r="AE33" s="371"/>
      <c r="AF33" s="366"/>
      <c r="AG33" s="382"/>
      <c r="AH33" s="371"/>
      <c r="AI33" s="366"/>
      <c r="AJ33" s="382"/>
      <c r="AK33" s="371"/>
      <c r="AL33" s="366"/>
      <c r="AM33" s="390" t="s">
        <v>275</v>
      </c>
      <c r="AN33" s="380"/>
      <c r="AO33" s="380"/>
      <c r="AP33" s="380"/>
      <c r="AQ33" s="380"/>
      <c r="AR33" s="380"/>
      <c r="AS33" s="380"/>
      <c r="AT33" s="380"/>
      <c r="AU33" s="380"/>
      <c r="AV33" s="380"/>
      <c r="AW33" s="380"/>
      <c r="AX33" s="380"/>
      <c r="AY33" s="380"/>
      <c r="AZ33" s="380"/>
      <c r="BA33" s="380"/>
      <c r="BB33" s="380"/>
      <c r="BC33" s="380"/>
      <c r="BD33" s="380"/>
      <c r="BE33" s="380"/>
      <c r="BF33" s="380"/>
      <c r="BG33" s="380"/>
      <c r="BH33" s="380"/>
      <c r="BI33" s="380"/>
      <c r="BJ33" s="381"/>
    </row>
    <row r="34" spans="1:73" ht="30.75" customHeight="1">
      <c r="A34" s="367">
        <f t="shared" si="0"/>
        <v>20</v>
      </c>
      <c r="B34" s="368"/>
      <c r="C34" s="369"/>
      <c r="D34" s="379" t="s">
        <v>219</v>
      </c>
      <c r="E34" s="380"/>
      <c r="F34" s="380"/>
      <c r="G34" s="380"/>
      <c r="H34" s="380"/>
      <c r="I34" s="380"/>
      <c r="J34" s="380"/>
      <c r="K34" s="380"/>
      <c r="L34" s="380"/>
      <c r="M34" s="380"/>
      <c r="N34" s="380"/>
      <c r="O34" s="380"/>
      <c r="P34" s="380"/>
      <c r="Q34" s="380"/>
      <c r="R34" s="381"/>
      <c r="S34" s="382" t="s">
        <v>130</v>
      </c>
      <c r="T34" s="371"/>
      <c r="U34" s="366"/>
      <c r="V34" s="382" t="s">
        <v>118</v>
      </c>
      <c r="W34" s="436"/>
      <c r="X34" s="365" t="s">
        <v>147</v>
      </c>
      <c r="Y34" s="366"/>
      <c r="Z34" s="177" t="s">
        <v>253</v>
      </c>
      <c r="AA34" s="145"/>
      <c r="AB34" s="145"/>
      <c r="AC34" s="146"/>
      <c r="AD34" s="382" t="s">
        <v>78</v>
      </c>
      <c r="AE34" s="371"/>
      <c r="AF34" s="366"/>
      <c r="AG34" s="382"/>
      <c r="AH34" s="371"/>
      <c r="AI34" s="366"/>
      <c r="AJ34" s="382"/>
      <c r="AK34" s="371"/>
      <c r="AL34" s="366"/>
      <c r="AM34" s="390" t="s">
        <v>276</v>
      </c>
      <c r="AN34" s="380"/>
      <c r="AO34" s="380"/>
      <c r="AP34" s="380"/>
      <c r="AQ34" s="380"/>
      <c r="AR34" s="380"/>
      <c r="AS34" s="380"/>
      <c r="AT34" s="380"/>
      <c r="AU34" s="380"/>
      <c r="AV34" s="380"/>
      <c r="AW34" s="380"/>
      <c r="AX34" s="380"/>
      <c r="AY34" s="380"/>
      <c r="AZ34" s="380"/>
      <c r="BA34" s="380"/>
      <c r="BB34" s="380"/>
      <c r="BC34" s="380"/>
      <c r="BD34" s="380"/>
      <c r="BE34" s="380"/>
      <c r="BF34" s="380"/>
      <c r="BG34" s="380"/>
      <c r="BH34" s="380"/>
      <c r="BI34" s="380"/>
      <c r="BJ34" s="381"/>
    </row>
    <row r="35" spans="1:73" ht="30.75" customHeight="1">
      <c r="A35" s="367">
        <f t="shared" si="0"/>
        <v>21</v>
      </c>
      <c r="B35" s="368"/>
      <c r="C35" s="369"/>
      <c r="D35" s="379" t="s">
        <v>220</v>
      </c>
      <c r="E35" s="380"/>
      <c r="F35" s="380"/>
      <c r="G35" s="380"/>
      <c r="H35" s="380"/>
      <c r="I35" s="380"/>
      <c r="J35" s="380"/>
      <c r="K35" s="380"/>
      <c r="L35" s="380"/>
      <c r="M35" s="380"/>
      <c r="N35" s="380"/>
      <c r="O35" s="380"/>
      <c r="P35" s="380"/>
      <c r="Q35" s="380"/>
      <c r="R35" s="381"/>
      <c r="S35" s="382" t="s">
        <v>130</v>
      </c>
      <c r="T35" s="371"/>
      <c r="U35" s="366"/>
      <c r="V35" s="382" t="s">
        <v>118</v>
      </c>
      <c r="W35" s="436"/>
      <c r="X35" s="365" t="s">
        <v>147</v>
      </c>
      <c r="Y35" s="366"/>
      <c r="Z35" s="177" t="s">
        <v>253</v>
      </c>
      <c r="AA35" s="145"/>
      <c r="AB35" s="145"/>
      <c r="AC35" s="146"/>
      <c r="AD35" s="382" t="s">
        <v>78</v>
      </c>
      <c r="AE35" s="371"/>
      <c r="AF35" s="366"/>
      <c r="AG35" s="382"/>
      <c r="AH35" s="371"/>
      <c r="AI35" s="366"/>
      <c r="AJ35" s="382"/>
      <c r="AK35" s="371"/>
      <c r="AL35" s="366"/>
      <c r="AM35" s="390" t="s">
        <v>277</v>
      </c>
      <c r="AN35" s="380"/>
      <c r="AO35" s="380"/>
      <c r="AP35" s="380"/>
      <c r="AQ35" s="380"/>
      <c r="AR35" s="380"/>
      <c r="AS35" s="380"/>
      <c r="AT35" s="380"/>
      <c r="AU35" s="380"/>
      <c r="AV35" s="380"/>
      <c r="AW35" s="380"/>
      <c r="AX35" s="380"/>
      <c r="AY35" s="380"/>
      <c r="AZ35" s="380"/>
      <c r="BA35" s="380"/>
      <c r="BB35" s="380"/>
      <c r="BC35" s="380"/>
      <c r="BD35" s="380"/>
      <c r="BE35" s="380"/>
      <c r="BF35" s="380"/>
      <c r="BG35" s="380"/>
      <c r="BH35" s="380"/>
      <c r="BI35" s="380"/>
      <c r="BJ35" s="381"/>
    </row>
    <row r="36" spans="1:73" ht="30.75" customHeight="1">
      <c r="A36" s="367">
        <f t="shared" si="0"/>
        <v>22</v>
      </c>
      <c r="B36" s="368"/>
      <c r="C36" s="369"/>
      <c r="D36" s="379" t="s">
        <v>138</v>
      </c>
      <c r="E36" s="380"/>
      <c r="F36" s="380"/>
      <c r="G36" s="380"/>
      <c r="H36" s="380"/>
      <c r="I36" s="380"/>
      <c r="J36" s="380"/>
      <c r="K36" s="380"/>
      <c r="L36" s="380"/>
      <c r="M36" s="380"/>
      <c r="N36" s="380"/>
      <c r="O36" s="380"/>
      <c r="P36" s="380"/>
      <c r="Q36" s="380"/>
      <c r="R36" s="381"/>
      <c r="S36" s="382" t="s">
        <v>130</v>
      </c>
      <c r="T36" s="371"/>
      <c r="U36" s="366"/>
      <c r="V36" s="382" t="s">
        <v>118</v>
      </c>
      <c r="W36" s="436"/>
      <c r="X36" s="365" t="s">
        <v>147</v>
      </c>
      <c r="Y36" s="366"/>
      <c r="Z36" s="177" t="s">
        <v>253</v>
      </c>
      <c r="AA36" s="145"/>
      <c r="AB36" s="145"/>
      <c r="AC36" s="146"/>
      <c r="AD36" s="382" t="s">
        <v>78</v>
      </c>
      <c r="AE36" s="371"/>
      <c r="AF36" s="366"/>
      <c r="AG36" s="382"/>
      <c r="AH36" s="371"/>
      <c r="AI36" s="366"/>
      <c r="AJ36" s="382"/>
      <c r="AK36" s="371"/>
      <c r="AL36" s="366"/>
      <c r="AM36" s="390" t="s">
        <v>278</v>
      </c>
      <c r="AN36" s="380"/>
      <c r="AO36" s="380"/>
      <c r="AP36" s="380"/>
      <c r="AQ36" s="380"/>
      <c r="AR36" s="380"/>
      <c r="AS36" s="380"/>
      <c r="AT36" s="380"/>
      <c r="AU36" s="380"/>
      <c r="AV36" s="380"/>
      <c r="AW36" s="380"/>
      <c r="AX36" s="380"/>
      <c r="AY36" s="380"/>
      <c r="AZ36" s="380"/>
      <c r="BA36" s="380"/>
      <c r="BB36" s="380"/>
      <c r="BC36" s="380"/>
      <c r="BD36" s="380"/>
      <c r="BE36" s="380"/>
      <c r="BF36" s="380"/>
      <c r="BG36" s="380"/>
      <c r="BH36" s="380"/>
      <c r="BI36" s="380"/>
      <c r="BJ36" s="381"/>
    </row>
    <row r="37" spans="1:73" ht="30.75" customHeight="1">
      <c r="A37" s="367">
        <f t="shared" si="0"/>
        <v>23</v>
      </c>
      <c r="B37" s="368"/>
      <c r="C37" s="369"/>
      <c r="D37" s="379" t="s">
        <v>139</v>
      </c>
      <c r="E37" s="380"/>
      <c r="F37" s="380"/>
      <c r="G37" s="380"/>
      <c r="H37" s="380"/>
      <c r="I37" s="380"/>
      <c r="J37" s="380"/>
      <c r="K37" s="380"/>
      <c r="L37" s="380"/>
      <c r="M37" s="380"/>
      <c r="N37" s="380"/>
      <c r="O37" s="380"/>
      <c r="P37" s="380"/>
      <c r="Q37" s="380"/>
      <c r="R37" s="381"/>
      <c r="S37" s="382" t="s">
        <v>130</v>
      </c>
      <c r="T37" s="371"/>
      <c r="U37" s="366"/>
      <c r="V37" s="382" t="s">
        <v>118</v>
      </c>
      <c r="W37" s="436"/>
      <c r="X37" s="365" t="s">
        <v>147</v>
      </c>
      <c r="Y37" s="366"/>
      <c r="Z37" s="177" t="s">
        <v>253</v>
      </c>
      <c r="AA37" s="145"/>
      <c r="AB37" s="145"/>
      <c r="AC37" s="146"/>
      <c r="AD37" s="382" t="s">
        <v>78</v>
      </c>
      <c r="AE37" s="371"/>
      <c r="AF37" s="366"/>
      <c r="AG37" s="382"/>
      <c r="AH37" s="371"/>
      <c r="AI37" s="366"/>
      <c r="AJ37" s="382"/>
      <c r="AK37" s="371"/>
      <c r="AL37" s="366"/>
      <c r="AM37" s="390" t="s">
        <v>279</v>
      </c>
      <c r="AN37" s="380"/>
      <c r="AO37" s="380"/>
      <c r="AP37" s="380"/>
      <c r="AQ37" s="380"/>
      <c r="AR37" s="380"/>
      <c r="AS37" s="380"/>
      <c r="AT37" s="380"/>
      <c r="AU37" s="380"/>
      <c r="AV37" s="380"/>
      <c r="AW37" s="380"/>
      <c r="AX37" s="380"/>
      <c r="AY37" s="380"/>
      <c r="AZ37" s="380"/>
      <c r="BA37" s="380"/>
      <c r="BB37" s="380"/>
      <c r="BC37" s="380"/>
      <c r="BD37" s="380"/>
      <c r="BE37" s="380"/>
      <c r="BF37" s="380"/>
      <c r="BG37" s="380"/>
      <c r="BH37" s="380"/>
      <c r="BI37" s="380"/>
      <c r="BJ37" s="381"/>
    </row>
    <row r="38" spans="1:73" ht="30.75" customHeight="1">
      <c r="A38" s="367">
        <f t="shared" si="0"/>
        <v>24</v>
      </c>
      <c r="B38" s="368"/>
      <c r="C38" s="369"/>
      <c r="D38" s="379" t="s">
        <v>140</v>
      </c>
      <c r="E38" s="380"/>
      <c r="F38" s="380"/>
      <c r="G38" s="380"/>
      <c r="H38" s="380"/>
      <c r="I38" s="380"/>
      <c r="J38" s="380"/>
      <c r="K38" s="380"/>
      <c r="L38" s="380"/>
      <c r="M38" s="380"/>
      <c r="N38" s="380"/>
      <c r="O38" s="380"/>
      <c r="P38" s="380"/>
      <c r="Q38" s="380"/>
      <c r="R38" s="381"/>
      <c r="S38" s="382" t="s">
        <v>130</v>
      </c>
      <c r="T38" s="371"/>
      <c r="U38" s="366"/>
      <c r="V38" s="382" t="s">
        <v>118</v>
      </c>
      <c r="W38" s="436"/>
      <c r="X38" s="365" t="s">
        <v>147</v>
      </c>
      <c r="Y38" s="366"/>
      <c r="Z38" s="177" t="s">
        <v>253</v>
      </c>
      <c r="AA38" s="145"/>
      <c r="AB38" s="145"/>
      <c r="AC38" s="146"/>
      <c r="AD38" s="382" t="s">
        <v>78</v>
      </c>
      <c r="AE38" s="371"/>
      <c r="AF38" s="366"/>
      <c r="AG38" s="382"/>
      <c r="AH38" s="371"/>
      <c r="AI38" s="366"/>
      <c r="AJ38" s="382"/>
      <c r="AK38" s="371"/>
      <c r="AL38" s="366"/>
      <c r="AM38" s="390" t="s">
        <v>280</v>
      </c>
      <c r="AN38" s="380"/>
      <c r="AO38" s="380"/>
      <c r="AP38" s="380"/>
      <c r="AQ38" s="380"/>
      <c r="AR38" s="380"/>
      <c r="AS38" s="380"/>
      <c r="AT38" s="380"/>
      <c r="AU38" s="380"/>
      <c r="AV38" s="380"/>
      <c r="AW38" s="380"/>
      <c r="AX38" s="380"/>
      <c r="AY38" s="380"/>
      <c r="AZ38" s="380"/>
      <c r="BA38" s="380"/>
      <c r="BB38" s="380"/>
      <c r="BC38" s="380"/>
      <c r="BD38" s="380"/>
      <c r="BE38" s="380"/>
      <c r="BF38" s="380"/>
      <c r="BG38" s="380"/>
      <c r="BH38" s="380"/>
      <c r="BI38" s="380"/>
      <c r="BJ38" s="381"/>
    </row>
    <row r="39" spans="1:73" ht="30.75" customHeight="1">
      <c r="A39" s="367">
        <f t="shared" si="0"/>
        <v>25</v>
      </c>
      <c r="B39" s="368"/>
      <c r="C39" s="369"/>
      <c r="D39" s="379" t="s">
        <v>141</v>
      </c>
      <c r="E39" s="380"/>
      <c r="F39" s="380"/>
      <c r="G39" s="380"/>
      <c r="H39" s="380"/>
      <c r="I39" s="380"/>
      <c r="J39" s="380"/>
      <c r="K39" s="380"/>
      <c r="L39" s="380"/>
      <c r="M39" s="380"/>
      <c r="N39" s="380"/>
      <c r="O39" s="380"/>
      <c r="P39" s="380"/>
      <c r="Q39" s="380"/>
      <c r="R39" s="381"/>
      <c r="S39" s="382" t="s">
        <v>130</v>
      </c>
      <c r="T39" s="371"/>
      <c r="U39" s="366"/>
      <c r="V39" s="382" t="s">
        <v>118</v>
      </c>
      <c r="W39" s="436"/>
      <c r="X39" s="365" t="s">
        <v>147</v>
      </c>
      <c r="Y39" s="366"/>
      <c r="Z39" s="177" t="s">
        <v>253</v>
      </c>
      <c r="AA39" s="145"/>
      <c r="AB39" s="145"/>
      <c r="AC39" s="146"/>
      <c r="AD39" s="382" t="s">
        <v>78</v>
      </c>
      <c r="AE39" s="371"/>
      <c r="AF39" s="366"/>
      <c r="AG39" s="382"/>
      <c r="AH39" s="371"/>
      <c r="AI39" s="366"/>
      <c r="AJ39" s="382"/>
      <c r="AK39" s="371"/>
      <c r="AL39" s="366"/>
      <c r="AM39" s="390" t="s">
        <v>281</v>
      </c>
      <c r="AN39" s="380"/>
      <c r="AO39" s="380"/>
      <c r="AP39" s="380"/>
      <c r="AQ39" s="380"/>
      <c r="AR39" s="380"/>
      <c r="AS39" s="380"/>
      <c r="AT39" s="380"/>
      <c r="AU39" s="380"/>
      <c r="AV39" s="380"/>
      <c r="AW39" s="380"/>
      <c r="AX39" s="380"/>
      <c r="AY39" s="380"/>
      <c r="AZ39" s="380"/>
      <c r="BA39" s="380"/>
      <c r="BB39" s="380"/>
      <c r="BC39" s="380"/>
      <c r="BD39" s="380"/>
      <c r="BE39" s="380"/>
      <c r="BF39" s="380"/>
      <c r="BG39" s="380"/>
      <c r="BH39" s="380"/>
      <c r="BI39" s="380"/>
      <c r="BJ39" s="381"/>
    </row>
    <row r="40" spans="1:73" s="22" customFormat="1" ht="30.75" customHeight="1">
      <c r="A40" s="367">
        <f t="shared" si="0"/>
        <v>26</v>
      </c>
      <c r="B40" s="368"/>
      <c r="C40" s="369"/>
      <c r="D40" s="532" t="s">
        <v>340</v>
      </c>
      <c r="E40" s="533"/>
      <c r="F40" s="533"/>
      <c r="G40" s="533"/>
      <c r="H40" s="533"/>
      <c r="I40" s="533"/>
      <c r="J40" s="533"/>
      <c r="K40" s="533"/>
      <c r="L40" s="533"/>
      <c r="M40" s="533"/>
      <c r="N40" s="533"/>
      <c r="O40" s="533"/>
      <c r="P40" s="533"/>
      <c r="Q40" s="533"/>
      <c r="R40" s="534"/>
      <c r="S40" s="376"/>
      <c r="T40" s="377"/>
      <c r="U40" s="378"/>
      <c r="V40" s="376" t="s">
        <v>470</v>
      </c>
      <c r="W40" s="454"/>
      <c r="X40" s="455" t="s">
        <v>470</v>
      </c>
      <c r="Y40" s="378"/>
      <c r="Z40" s="376"/>
      <c r="AA40" s="377"/>
      <c r="AB40" s="377"/>
      <c r="AC40" s="378"/>
      <c r="AD40" s="376"/>
      <c r="AE40" s="377"/>
      <c r="AF40" s="378"/>
      <c r="AG40" s="376"/>
      <c r="AH40" s="377"/>
      <c r="AI40" s="378"/>
      <c r="AJ40" s="376"/>
      <c r="AK40" s="377"/>
      <c r="AL40" s="378"/>
      <c r="AM40" s="425"/>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73" s="22" customFormat="1" ht="30" customHeight="1">
      <c r="A41" s="367">
        <f t="shared" si="0"/>
        <v>27</v>
      </c>
      <c r="B41" s="368"/>
      <c r="C41" s="369"/>
      <c r="D41" s="379" t="s">
        <v>341</v>
      </c>
      <c r="E41" s="380"/>
      <c r="F41" s="380"/>
      <c r="G41" s="380"/>
      <c r="H41" s="380"/>
      <c r="I41" s="380"/>
      <c r="J41" s="380"/>
      <c r="K41" s="380"/>
      <c r="L41" s="380"/>
      <c r="M41" s="380"/>
      <c r="N41" s="380"/>
      <c r="O41" s="380"/>
      <c r="P41" s="380"/>
      <c r="Q41" s="380"/>
      <c r="R41" s="381"/>
      <c r="S41" s="144" t="s">
        <v>130</v>
      </c>
      <c r="T41" s="145"/>
      <c r="U41" s="146"/>
      <c r="V41" s="382" t="s">
        <v>118</v>
      </c>
      <c r="W41" s="436"/>
      <c r="X41" s="365" t="s">
        <v>148</v>
      </c>
      <c r="Y41" s="366"/>
      <c r="Z41" s="144" t="s">
        <v>253</v>
      </c>
      <c r="AA41" s="145"/>
      <c r="AB41" s="145"/>
      <c r="AC41" s="146"/>
      <c r="AD41" s="382"/>
      <c r="AE41" s="371"/>
      <c r="AF41" s="366"/>
      <c r="AG41" s="382"/>
      <c r="AH41" s="371"/>
      <c r="AI41" s="366"/>
      <c r="AJ41" s="382"/>
      <c r="AK41" s="371"/>
      <c r="AL41" s="366"/>
      <c r="AM41" s="390" t="s">
        <v>342</v>
      </c>
      <c r="AN41" s="530"/>
      <c r="AO41" s="530"/>
      <c r="AP41" s="530"/>
      <c r="AQ41" s="530"/>
      <c r="AR41" s="530"/>
      <c r="AS41" s="530"/>
      <c r="AT41" s="530"/>
      <c r="AU41" s="530"/>
      <c r="AV41" s="530"/>
      <c r="AW41" s="530"/>
      <c r="AX41" s="530"/>
      <c r="AY41" s="530"/>
      <c r="AZ41" s="530"/>
      <c r="BA41" s="530"/>
      <c r="BB41" s="530"/>
      <c r="BC41" s="530"/>
      <c r="BD41" s="530"/>
      <c r="BE41" s="530"/>
      <c r="BF41" s="530"/>
      <c r="BG41" s="530"/>
      <c r="BH41" s="530"/>
      <c r="BI41" s="530"/>
      <c r="BJ41" s="531"/>
      <c r="BR41" s="535"/>
      <c r="BS41" s="535"/>
      <c r="BT41" s="535"/>
      <c r="BU41" s="237"/>
    </row>
    <row r="42" spans="1:73" s="22" customFormat="1" ht="30" customHeight="1">
      <c r="A42" s="367">
        <f t="shared" si="0"/>
        <v>28</v>
      </c>
      <c r="B42" s="368"/>
      <c r="C42" s="369"/>
      <c r="D42" s="379" t="s">
        <v>343</v>
      </c>
      <c r="E42" s="380"/>
      <c r="F42" s="380"/>
      <c r="G42" s="380"/>
      <c r="H42" s="380"/>
      <c r="I42" s="380"/>
      <c r="J42" s="380"/>
      <c r="K42" s="380"/>
      <c r="L42" s="380"/>
      <c r="M42" s="380"/>
      <c r="N42" s="380"/>
      <c r="O42" s="380"/>
      <c r="P42" s="380"/>
      <c r="Q42" s="380"/>
      <c r="R42" s="381"/>
      <c r="S42" s="144" t="s">
        <v>130</v>
      </c>
      <c r="T42" s="145"/>
      <c r="U42" s="146"/>
      <c r="V42" s="382" t="s">
        <v>118</v>
      </c>
      <c r="W42" s="436"/>
      <c r="X42" s="365" t="s">
        <v>113</v>
      </c>
      <c r="Y42" s="366"/>
      <c r="Z42" s="383" t="s">
        <v>344</v>
      </c>
      <c r="AA42" s="384"/>
      <c r="AB42" s="384"/>
      <c r="AC42" s="385"/>
      <c r="AD42" s="382"/>
      <c r="AE42" s="371"/>
      <c r="AF42" s="366"/>
      <c r="AG42" s="382"/>
      <c r="AH42" s="371"/>
      <c r="AI42" s="366"/>
      <c r="AJ42" s="382"/>
      <c r="AK42" s="371"/>
      <c r="AL42" s="366"/>
      <c r="AM42" s="390" t="s">
        <v>345</v>
      </c>
      <c r="AN42" s="530"/>
      <c r="AO42" s="530"/>
      <c r="AP42" s="530"/>
      <c r="AQ42" s="530"/>
      <c r="AR42" s="530"/>
      <c r="AS42" s="530"/>
      <c r="AT42" s="530"/>
      <c r="AU42" s="530"/>
      <c r="AV42" s="530"/>
      <c r="AW42" s="530"/>
      <c r="AX42" s="530"/>
      <c r="AY42" s="530"/>
      <c r="AZ42" s="530"/>
      <c r="BA42" s="530"/>
      <c r="BB42" s="530"/>
      <c r="BC42" s="530"/>
      <c r="BD42" s="530"/>
      <c r="BE42" s="530"/>
      <c r="BF42" s="530"/>
      <c r="BG42" s="530"/>
      <c r="BH42" s="530"/>
      <c r="BI42" s="530"/>
      <c r="BJ42" s="531"/>
      <c r="BR42" s="535"/>
      <c r="BS42" s="535"/>
      <c r="BT42" s="535"/>
      <c r="BU42" s="237"/>
    </row>
    <row r="43" spans="1:73" s="22" customFormat="1" ht="30" customHeight="1">
      <c r="A43" s="367">
        <f t="shared" si="0"/>
        <v>29</v>
      </c>
      <c r="B43" s="368"/>
      <c r="C43" s="369"/>
      <c r="D43" s="379" t="s">
        <v>346</v>
      </c>
      <c r="E43" s="380"/>
      <c r="F43" s="380"/>
      <c r="G43" s="380"/>
      <c r="H43" s="380"/>
      <c r="I43" s="380"/>
      <c r="J43" s="380"/>
      <c r="K43" s="380"/>
      <c r="L43" s="380"/>
      <c r="M43" s="380"/>
      <c r="N43" s="380"/>
      <c r="O43" s="380"/>
      <c r="P43" s="380"/>
      <c r="Q43" s="380"/>
      <c r="R43" s="381"/>
      <c r="S43" s="144" t="s">
        <v>130</v>
      </c>
      <c r="T43" s="145"/>
      <c r="U43" s="146"/>
      <c r="V43" s="382" t="s">
        <v>118</v>
      </c>
      <c r="W43" s="436"/>
      <c r="X43" s="365" t="s">
        <v>149</v>
      </c>
      <c r="Y43" s="366"/>
      <c r="Z43" s="383" t="s">
        <v>344</v>
      </c>
      <c r="AA43" s="384"/>
      <c r="AB43" s="384"/>
      <c r="AC43" s="385"/>
      <c r="AD43" s="382"/>
      <c r="AE43" s="371"/>
      <c r="AF43" s="366"/>
      <c r="AG43" s="382"/>
      <c r="AH43" s="371"/>
      <c r="AI43" s="366"/>
      <c r="AJ43" s="382"/>
      <c r="AK43" s="371"/>
      <c r="AL43" s="366"/>
      <c r="AM43" s="390" t="s">
        <v>347</v>
      </c>
      <c r="AN43" s="530"/>
      <c r="AO43" s="530"/>
      <c r="AP43" s="530"/>
      <c r="AQ43" s="530"/>
      <c r="AR43" s="530"/>
      <c r="AS43" s="530"/>
      <c r="AT43" s="530"/>
      <c r="AU43" s="530"/>
      <c r="AV43" s="530"/>
      <c r="AW43" s="530"/>
      <c r="AX43" s="530"/>
      <c r="AY43" s="530"/>
      <c r="AZ43" s="530"/>
      <c r="BA43" s="530"/>
      <c r="BB43" s="530"/>
      <c r="BC43" s="530"/>
      <c r="BD43" s="530"/>
      <c r="BE43" s="530"/>
      <c r="BF43" s="530"/>
      <c r="BG43" s="530"/>
      <c r="BH43" s="530"/>
      <c r="BI43" s="530"/>
      <c r="BJ43" s="531"/>
      <c r="BR43" s="535"/>
      <c r="BS43" s="535"/>
      <c r="BT43" s="535"/>
      <c r="BU43" s="237"/>
    </row>
    <row r="44" spans="1:73" s="22" customFormat="1" ht="30" customHeight="1">
      <c r="A44" s="367">
        <f t="shared" si="0"/>
        <v>30</v>
      </c>
      <c r="B44" s="368"/>
      <c r="C44" s="369"/>
      <c r="D44" s="379" t="s">
        <v>348</v>
      </c>
      <c r="E44" s="380"/>
      <c r="F44" s="380"/>
      <c r="G44" s="380"/>
      <c r="H44" s="380"/>
      <c r="I44" s="380"/>
      <c r="J44" s="380"/>
      <c r="K44" s="380"/>
      <c r="L44" s="380"/>
      <c r="M44" s="380"/>
      <c r="N44" s="380"/>
      <c r="O44" s="380"/>
      <c r="P44" s="380"/>
      <c r="Q44" s="380"/>
      <c r="R44" s="381"/>
      <c r="S44" s="144" t="s">
        <v>130</v>
      </c>
      <c r="T44" s="145"/>
      <c r="U44" s="146"/>
      <c r="V44" s="382" t="s">
        <v>118</v>
      </c>
      <c r="W44" s="436"/>
      <c r="X44" s="365" t="s">
        <v>148</v>
      </c>
      <c r="Y44" s="366"/>
      <c r="Z44" s="144" t="s">
        <v>253</v>
      </c>
      <c r="AA44" s="145"/>
      <c r="AB44" s="145"/>
      <c r="AC44" s="146"/>
      <c r="AD44" s="382"/>
      <c r="AE44" s="371"/>
      <c r="AF44" s="366"/>
      <c r="AG44" s="382"/>
      <c r="AH44" s="371"/>
      <c r="AI44" s="366"/>
      <c r="AJ44" s="382"/>
      <c r="AK44" s="371"/>
      <c r="AL44" s="366"/>
      <c r="AM44" s="390" t="s">
        <v>349</v>
      </c>
      <c r="AN44" s="530"/>
      <c r="AO44" s="530"/>
      <c r="AP44" s="530"/>
      <c r="AQ44" s="530"/>
      <c r="AR44" s="530"/>
      <c r="AS44" s="530"/>
      <c r="AT44" s="530"/>
      <c r="AU44" s="530"/>
      <c r="AV44" s="530"/>
      <c r="AW44" s="530"/>
      <c r="AX44" s="530"/>
      <c r="AY44" s="530"/>
      <c r="AZ44" s="530"/>
      <c r="BA44" s="530"/>
      <c r="BB44" s="530"/>
      <c r="BC44" s="530"/>
      <c r="BD44" s="530"/>
      <c r="BE44" s="530"/>
      <c r="BF44" s="530"/>
      <c r="BG44" s="530"/>
      <c r="BH44" s="530"/>
      <c r="BI44" s="530"/>
      <c r="BJ44" s="531"/>
      <c r="BR44" s="535"/>
      <c r="BS44" s="535"/>
      <c r="BT44" s="535"/>
      <c r="BU44" s="237"/>
    </row>
    <row r="45" spans="1:73" s="22" customFormat="1" ht="30" customHeight="1">
      <c r="A45" s="367">
        <f t="shared" si="0"/>
        <v>31</v>
      </c>
      <c r="B45" s="368"/>
      <c r="C45" s="369"/>
      <c r="D45" s="379" t="s">
        <v>350</v>
      </c>
      <c r="E45" s="380"/>
      <c r="F45" s="380"/>
      <c r="G45" s="380"/>
      <c r="H45" s="380"/>
      <c r="I45" s="380"/>
      <c r="J45" s="380"/>
      <c r="K45" s="380"/>
      <c r="L45" s="380"/>
      <c r="M45" s="380"/>
      <c r="N45" s="380"/>
      <c r="O45" s="380"/>
      <c r="P45" s="380"/>
      <c r="Q45" s="380"/>
      <c r="R45" s="381"/>
      <c r="S45" s="144" t="s">
        <v>130</v>
      </c>
      <c r="T45" s="145"/>
      <c r="U45" s="146"/>
      <c r="V45" s="382" t="s">
        <v>118</v>
      </c>
      <c r="W45" s="436"/>
      <c r="X45" s="365" t="s">
        <v>113</v>
      </c>
      <c r="Y45" s="366"/>
      <c r="Z45" s="383" t="s">
        <v>344</v>
      </c>
      <c r="AA45" s="384"/>
      <c r="AB45" s="384"/>
      <c r="AC45" s="385"/>
      <c r="AD45" s="382"/>
      <c r="AE45" s="371"/>
      <c r="AF45" s="366"/>
      <c r="AG45" s="382"/>
      <c r="AH45" s="371"/>
      <c r="AI45" s="366"/>
      <c r="AJ45" s="382"/>
      <c r="AK45" s="371"/>
      <c r="AL45" s="366"/>
      <c r="AM45" s="390" t="s">
        <v>351</v>
      </c>
      <c r="AN45" s="530"/>
      <c r="AO45" s="530"/>
      <c r="AP45" s="530"/>
      <c r="AQ45" s="530"/>
      <c r="AR45" s="530"/>
      <c r="AS45" s="530"/>
      <c r="AT45" s="530"/>
      <c r="AU45" s="530"/>
      <c r="AV45" s="530"/>
      <c r="AW45" s="530"/>
      <c r="AX45" s="530"/>
      <c r="AY45" s="530"/>
      <c r="AZ45" s="530"/>
      <c r="BA45" s="530"/>
      <c r="BB45" s="530"/>
      <c r="BC45" s="530"/>
      <c r="BD45" s="530"/>
      <c r="BE45" s="530"/>
      <c r="BF45" s="530"/>
      <c r="BG45" s="530"/>
      <c r="BH45" s="530"/>
      <c r="BI45" s="530"/>
      <c r="BJ45" s="531"/>
      <c r="BR45" s="535"/>
      <c r="BS45" s="535"/>
      <c r="BT45" s="535"/>
      <c r="BU45" s="237"/>
    </row>
    <row r="46" spans="1:73" s="22" customFormat="1" ht="30" customHeight="1">
      <c r="A46" s="367">
        <f t="shared" si="0"/>
        <v>32</v>
      </c>
      <c r="B46" s="368"/>
      <c r="C46" s="369"/>
      <c r="D46" s="379" t="s">
        <v>352</v>
      </c>
      <c r="E46" s="380"/>
      <c r="F46" s="380"/>
      <c r="G46" s="380"/>
      <c r="H46" s="380"/>
      <c r="I46" s="380"/>
      <c r="J46" s="380"/>
      <c r="K46" s="380"/>
      <c r="L46" s="380"/>
      <c r="M46" s="380"/>
      <c r="N46" s="380"/>
      <c r="O46" s="380"/>
      <c r="P46" s="380"/>
      <c r="Q46" s="380"/>
      <c r="R46" s="381"/>
      <c r="S46" s="144" t="s">
        <v>130</v>
      </c>
      <c r="T46" s="145"/>
      <c r="U46" s="146"/>
      <c r="V46" s="382" t="s">
        <v>118</v>
      </c>
      <c r="W46" s="436"/>
      <c r="X46" s="365" t="s">
        <v>149</v>
      </c>
      <c r="Y46" s="366"/>
      <c r="Z46" s="383" t="s">
        <v>344</v>
      </c>
      <c r="AA46" s="384"/>
      <c r="AB46" s="384"/>
      <c r="AC46" s="385"/>
      <c r="AD46" s="382"/>
      <c r="AE46" s="371"/>
      <c r="AF46" s="366"/>
      <c r="AG46" s="382"/>
      <c r="AH46" s="371"/>
      <c r="AI46" s="366"/>
      <c r="AJ46" s="382"/>
      <c r="AK46" s="371"/>
      <c r="AL46" s="366"/>
      <c r="AM46" s="390" t="s">
        <v>353</v>
      </c>
      <c r="AN46" s="530"/>
      <c r="AO46" s="530"/>
      <c r="AP46" s="530"/>
      <c r="AQ46" s="530"/>
      <c r="AR46" s="530"/>
      <c r="AS46" s="530"/>
      <c r="AT46" s="530"/>
      <c r="AU46" s="530"/>
      <c r="AV46" s="530"/>
      <c r="AW46" s="530"/>
      <c r="AX46" s="530"/>
      <c r="AY46" s="530"/>
      <c r="AZ46" s="530"/>
      <c r="BA46" s="530"/>
      <c r="BB46" s="530"/>
      <c r="BC46" s="530"/>
      <c r="BD46" s="530"/>
      <c r="BE46" s="530"/>
      <c r="BF46" s="530"/>
      <c r="BG46" s="530"/>
      <c r="BH46" s="530"/>
      <c r="BI46" s="530"/>
      <c r="BJ46" s="531"/>
      <c r="BR46" s="535"/>
      <c r="BS46" s="535"/>
      <c r="BT46" s="535"/>
      <c r="BU46" s="237"/>
    </row>
    <row r="47" spans="1:73" s="22" customFormat="1" ht="30" customHeight="1">
      <c r="A47" s="367">
        <f t="shared" si="0"/>
        <v>33</v>
      </c>
      <c r="B47" s="368"/>
      <c r="C47" s="369"/>
      <c r="D47" s="379" t="s">
        <v>354</v>
      </c>
      <c r="E47" s="380"/>
      <c r="F47" s="380"/>
      <c r="G47" s="380"/>
      <c r="H47" s="380"/>
      <c r="I47" s="380"/>
      <c r="J47" s="380"/>
      <c r="K47" s="380"/>
      <c r="L47" s="380"/>
      <c r="M47" s="380"/>
      <c r="N47" s="380"/>
      <c r="O47" s="380"/>
      <c r="P47" s="380"/>
      <c r="Q47" s="380"/>
      <c r="R47" s="381"/>
      <c r="S47" s="144" t="s">
        <v>130</v>
      </c>
      <c r="T47" s="145"/>
      <c r="U47" s="146"/>
      <c r="V47" s="382" t="s">
        <v>118</v>
      </c>
      <c r="W47" s="436"/>
      <c r="X47" s="365" t="s">
        <v>355</v>
      </c>
      <c r="Y47" s="366"/>
      <c r="Z47" s="383" t="s">
        <v>344</v>
      </c>
      <c r="AA47" s="384"/>
      <c r="AB47" s="384"/>
      <c r="AC47" s="385"/>
      <c r="AD47" s="382"/>
      <c r="AE47" s="371"/>
      <c r="AF47" s="366"/>
      <c r="AG47" s="382"/>
      <c r="AH47" s="371"/>
      <c r="AI47" s="366"/>
      <c r="AJ47" s="382"/>
      <c r="AK47" s="371"/>
      <c r="AL47" s="366"/>
      <c r="AM47" s="390" t="s">
        <v>356</v>
      </c>
      <c r="AN47" s="530"/>
      <c r="AO47" s="530"/>
      <c r="AP47" s="530"/>
      <c r="AQ47" s="530"/>
      <c r="AR47" s="530"/>
      <c r="AS47" s="530"/>
      <c r="AT47" s="530"/>
      <c r="AU47" s="530"/>
      <c r="AV47" s="530"/>
      <c r="AW47" s="530"/>
      <c r="AX47" s="530"/>
      <c r="AY47" s="530"/>
      <c r="AZ47" s="530"/>
      <c r="BA47" s="530"/>
      <c r="BB47" s="530"/>
      <c r="BC47" s="530"/>
      <c r="BD47" s="530"/>
      <c r="BE47" s="530"/>
      <c r="BF47" s="530"/>
      <c r="BG47" s="530"/>
      <c r="BH47" s="530"/>
      <c r="BI47" s="530"/>
      <c r="BJ47" s="531"/>
      <c r="BR47" s="535"/>
      <c r="BS47" s="535"/>
      <c r="BT47" s="535"/>
      <c r="BU47" s="237"/>
    </row>
    <row r="48" spans="1:73" ht="30.75" customHeight="1">
      <c r="A48" s="431"/>
      <c r="B48" s="432"/>
      <c r="C48" s="433"/>
      <c r="D48" s="437"/>
      <c r="E48" s="438"/>
      <c r="F48" s="438"/>
      <c r="G48" s="438"/>
      <c r="H48" s="438"/>
      <c r="I48" s="438"/>
      <c r="J48" s="438"/>
      <c r="K48" s="438"/>
      <c r="L48" s="438"/>
      <c r="M48" s="438"/>
      <c r="N48" s="438"/>
      <c r="O48" s="438"/>
      <c r="P48" s="438"/>
      <c r="Q48" s="438"/>
      <c r="R48" s="439"/>
      <c r="S48" s="414"/>
      <c r="T48" s="415"/>
      <c r="U48" s="416"/>
      <c r="V48" s="414"/>
      <c r="W48" s="434"/>
      <c r="X48" s="435"/>
      <c r="Y48" s="416"/>
      <c r="Z48" s="414"/>
      <c r="AA48" s="415"/>
      <c r="AB48" s="415"/>
      <c r="AC48" s="416"/>
      <c r="AD48" s="414"/>
      <c r="AE48" s="415"/>
      <c r="AF48" s="416"/>
      <c r="AG48" s="414"/>
      <c r="AH48" s="415"/>
      <c r="AI48" s="416"/>
      <c r="AJ48" s="414"/>
      <c r="AK48" s="415"/>
      <c r="AL48" s="416"/>
      <c r="AM48" s="437"/>
      <c r="AN48" s="438"/>
      <c r="AO48" s="438"/>
      <c r="AP48" s="438"/>
      <c r="AQ48" s="438"/>
      <c r="AR48" s="438"/>
      <c r="AS48" s="438"/>
      <c r="AT48" s="438"/>
      <c r="AU48" s="438"/>
      <c r="AV48" s="438"/>
      <c r="AW48" s="438"/>
      <c r="AX48" s="438"/>
      <c r="AY48" s="438"/>
      <c r="AZ48" s="438"/>
      <c r="BA48" s="438"/>
      <c r="BB48" s="438"/>
      <c r="BC48" s="438"/>
      <c r="BD48" s="438"/>
      <c r="BE48" s="438"/>
      <c r="BF48" s="438"/>
      <c r="BG48" s="438"/>
      <c r="BH48" s="438"/>
      <c r="BI48" s="438"/>
      <c r="BJ48" s="439"/>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39">
    <mergeCell ref="BR47:BT47"/>
    <mergeCell ref="A47:C47"/>
    <mergeCell ref="D47:R47"/>
    <mergeCell ref="V47:W47"/>
    <mergeCell ref="X47:Y47"/>
    <mergeCell ref="Z47:AC47"/>
    <mergeCell ref="AD47:AF47"/>
    <mergeCell ref="AG47:AI47"/>
    <mergeCell ref="AJ47:AL47"/>
    <mergeCell ref="AM47:BJ47"/>
    <mergeCell ref="BR45:BT45"/>
    <mergeCell ref="A46:C46"/>
    <mergeCell ref="D46:R46"/>
    <mergeCell ref="V46:W46"/>
    <mergeCell ref="X46:Y46"/>
    <mergeCell ref="Z46:AC46"/>
    <mergeCell ref="AD46:AF46"/>
    <mergeCell ref="AG46:AI46"/>
    <mergeCell ref="AJ46:AL46"/>
    <mergeCell ref="AM46:BJ46"/>
    <mergeCell ref="BR46:BT46"/>
    <mergeCell ref="A45:C45"/>
    <mergeCell ref="D45:R45"/>
    <mergeCell ref="V45:W45"/>
    <mergeCell ref="X45:Y45"/>
    <mergeCell ref="Z45:AC45"/>
    <mergeCell ref="AD45:AF45"/>
    <mergeCell ref="AG45:AI45"/>
    <mergeCell ref="AJ45:AL45"/>
    <mergeCell ref="AM45:BJ45"/>
    <mergeCell ref="BR43:BT43"/>
    <mergeCell ref="A44:C44"/>
    <mergeCell ref="D44:R44"/>
    <mergeCell ref="V44:W44"/>
    <mergeCell ref="X44:Y44"/>
    <mergeCell ref="AD44:AF44"/>
    <mergeCell ref="AG44:AI44"/>
    <mergeCell ref="AJ44:AL44"/>
    <mergeCell ref="AM44:BJ44"/>
    <mergeCell ref="BR44:BT44"/>
    <mergeCell ref="A43:C43"/>
    <mergeCell ref="D43:R43"/>
    <mergeCell ref="V43:W43"/>
    <mergeCell ref="X43:Y43"/>
    <mergeCell ref="Z43:AC43"/>
    <mergeCell ref="AD43:AF43"/>
    <mergeCell ref="AG43:AI43"/>
    <mergeCell ref="AJ43:AL43"/>
    <mergeCell ref="AM43:BJ43"/>
    <mergeCell ref="BR41:BT41"/>
    <mergeCell ref="A42:C42"/>
    <mergeCell ref="D42:R42"/>
    <mergeCell ref="V42:W42"/>
    <mergeCell ref="X42:Y42"/>
    <mergeCell ref="Z42:AC42"/>
    <mergeCell ref="AD42:AF42"/>
    <mergeCell ref="AG42:AI42"/>
    <mergeCell ref="AJ42:AL42"/>
    <mergeCell ref="AM42:BJ42"/>
    <mergeCell ref="BR42:BT42"/>
    <mergeCell ref="AM40:BJ40"/>
    <mergeCell ref="A41:C41"/>
    <mergeCell ref="D41:R41"/>
    <mergeCell ref="V41:W41"/>
    <mergeCell ref="X41:Y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9:C9"/>
    <mergeCell ref="D9:AS9"/>
    <mergeCell ref="AT9:BJ9"/>
    <mergeCell ref="A10:C10"/>
    <mergeCell ref="D10:AS10"/>
    <mergeCell ref="AT10:BJ10"/>
    <mergeCell ref="AM21:BJ21"/>
    <mergeCell ref="A22:C22"/>
    <mergeCell ref="D22:R22"/>
    <mergeCell ref="V22:W22"/>
    <mergeCell ref="X22:Y22"/>
    <mergeCell ref="AD22:AF22"/>
    <mergeCell ref="AG22:AI22"/>
    <mergeCell ref="AJ22:AL22"/>
    <mergeCell ref="AM22:BJ22"/>
    <mergeCell ref="A21:C21"/>
    <mergeCell ref="D21:R21"/>
    <mergeCell ref="V21:W21"/>
    <mergeCell ref="X21:Y21"/>
    <mergeCell ref="Z21:AC21"/>
    <mergeCell ref="AD21:AF21"/>
    <mergeCell ref="AG21:AI21"/>
    <mergeCell ref="AJ21:AL21"/>
    <mergeCell ref="A19:C19"/>
    <mergeCell ref="D19:R19"/>
    <mergeCell ref="V19:W19"/>
    <mergeCell ref="X19:Y19"/>
    <mergeCell ref="AD19:AF19"/>
    <mergeCell ref="AG19:AI19"/>
    <mergeCell ref="AJ19:AL19"/>
    <mergeCell ref="AM19:BJ19"/>
    <mergeCell ref="A20:C20"/>
    <mergeCell ref="D20:R20"/>
    <mergeCell ref="V20:W20"/>
    <mergeCell ref="X20:Y20"/>
    <mergeCell ref="AD20:AF20"/>
    <mergeCell ref="AG20:AI20"/>
    <mergeCell ref="AJ20:AL20"/>
    <mergeCell ref="AM20:BJ20"/>
    <mergeCell ref="Z20:AC20"/>
    <mergeCell ref="A18:C18"/>
    <mergeCell ref="D18:R18"/>
    <mergeCell ref="V18:W18"/>
    <mergeCell ref="X18:Y18"/>
    <mergeCell ref="AD18:AF18"/>
    <mergeCell ref="AG18:AI18"/>
    <mergeCell ref="AJ18:AL18"/>
    <mergeCell ref="AM18:BJ18"/>
    <mergeCell ref="V16:W16"/>
    <mergeCell ref="X16:Y16"/>
    <mergeCell ref="AD16:AF16"/>
    <mergeCell ref="AG16:AI16"/>
    <mergeCell ref="AJ16:AL16"/>
    <mergeCell ref="AM16:BJ16"/>
    <mergeCell ref="A17:C17"/>
    <mergeCell ref="D17:R17"/>
    <mergeCell ref="V17:W17"/>
    <mergeCell ref="X17:Y17"/>
    <mergeCell ref="AD17:AF17"/>
    <mergeCell ref="AG17:AI17"/>
    <mergeCell ref="AJ17:AL17"/>
    <mergeCell ref="AM17:BJ17"/>
    <mergeCell ref="Z18:AC18"/>
    <mergeCell ref="Z17:AC17"/>
    <mergeCell ref="Z15:AC15"/>
    <mergeCell ref="AD15:AF15"/>
    <mergeCell ref="AG15:AI15"/>
    <mergeCell ref="AJ15:AL15"/>
    <mergeCell ref="AM15:BJ15"/>
    <mergeCell ref="A28:C28"/>
    <mergeCell ref="D28:R28"/>
    <mergeCell ref="S28:U28"/>
    <mergeCell ref="V28:W28"/>
    <mergeCell ref="X28:Y28"/>
    <mergeCell ref="Z28:AC28"/>
    <mergeCell ref="AD28:AF28"/>
    <mergeCell ref="AG28:AI28"/>
    <mergeCell ref="AJ28:AL28"/>
    <mergeCell ref="AM28:BJ28"/>
    <mergeCell ref="A26:C26"/>
    <mergeCell ref="D26:R26"/>
    <mergeCell ref="V26:W26"/>
    <mergeCell ref="X26:Y26"/>
    <mergeCell ref="AD26:AF26"/>
    <mergeCell ref="AG26:AI26"/>
    <mergeCell ref="AJ26:AL26"/>
    <mergeCell ref="A16:C16"/>
    <mergeCell ref="D16:R16"/>
    <mergeCell ref="AM26:BJ26"/>
    <mergeCell ref="A27:C27"/>
    <mergeCell ref="D27:R27"/>
    <mergeCell ref="V27:W27"/>
    <mergeCell ref="X27:Y27"/>
    <mergeCell ref="AD27:AF27"/>
    <mergeCell ref="AG27:AI27"/>
    <mergeCell ref="AJ27:AL27"/>
    <mergeCell ref="AM27:BJ27"/>
    <mergeCell ref="AM34:BJ34"/>
    <mergeCell ref="A35:C35"/>
    <mergeCell ref="D35:R35"/>
    <mergeCell ref="S35:U35"/>
    <mergeCell ref="V35:W35"/>
    <mergeCell ref="X35:Y35"/>
    <mergeCell ref="AD35:AF35"/>
    <mergeCell ref="AG35:AI35"/>
    <mergeCell ref="AJ35:AL35"/>
    <mergeCell ref="AM35:BJ35"/>
    <mergeCell ref="A34:C34"/>
    <mergeCell ref="D34:R34"/>
    <mergeCell ref="S34:U34"/>
    <mergeCell ref="V34:W34"/>
    <mergeCell ref="X34:Y34"/>
    <mergeCell ref="AD34:AF34"/>
    <mergeCell ref="AG34:AI34"/>
    <mergeCell ref="AJ34:AL34"/>
    <mergeCell ref="AM48:BJ48"/>
    <mergeCell ref="A48:C48"/>
    <mergeCell ref="D48:R48"/>
    <mergeCell ref="S48:U48"/>
    <mergeCell ref="V48:W48"/>
    <mergeCell ref="X48:Y48"/>
    <mergeCell ref="Z48:AC48"/>
    <mergeCell ref="AD48:AF48"/>
    <mergeCell ref="AG48:AI48"/>
    <mergeCell ref="AJ48:AL48"/>
    <mergeCell ref="AM38:BJ38"/>
    <mergeCell ref="A39:C39"/>
    <mergeCell ref="D39:R39"/>
    <mergeCell ref="S39:U39"/>
    <mergeCell ref="V39:W39"/>
    <mergeCell ref="X39:Y39"/>
    <mergeCell ref="AD39:AF39"/>
    <mergeCell ref="AG39:AI39"/>
    <mergeCell ref="AJ39:AL39"/>
    <mergeCell ref="AM39:BJ39"/>
    <mergeCell ref="A38:C38"/>
    <mergeCell ref="D38:R38"/>
    <mergeCell ref="S38:U38"/>
    <mergeCell ref="V38:W38"/>
    <mergeCell ref="X38:Y38"/>
    <mergeCell ref="AD38:AF38"/>
    <mergeCell ref="AG38:AI38"/>
    <mergeCell ref="AJ38:AL38"/>
    <mergeCell ref="AM36:BJ36"/>
    <mergeCell ref="A37:C37"/>
    <mergeCell ref="D37:R37"/>
    <mergeCell ref="S37:U37"/>
    <mergeCell ref="V37:W37"/>
    <mergeCell ref="X37:Y37"/>
    <mergeCell ref="AD37:AF37"/>
    <mergeCell ref="AG37:AI37"/>
    <mergeCell ref="AJ37:AL37"/>
    <mergeCell ref="AM37:BJ37"/>
    <mergeCell ref="A36:C36"/>
    <mergeCell ref="D36:R36"/>
    <mergeCell ref="S36:U36"/>
    <mergeCell ref="V36:W36"/>
    <mergeCell ref="X36:Y36"/>
    <mergeCell ref="AD36:AF36"/>
    <mergeCell ref="AG36:AI36"/>
    <mergeCell ref="AJ36:AL36"/>
    <mergeCell ref="X29:Y29"/>
    <mergeCell ref="AM32:BJ32"/>
    <mergeCell ref="A33:C33"/>
    <mergeCell ref="D33:R33"/>
    <mergeCell ref="S33:U33"/>
    <mergeCell ref="V33:W33"/>
    <mergeCell ref="X33:Y33"/>
    <mergeCell ref="AD33:AF33"/>
    <mergeCell ref="AG33:AI33"/>
    <mergeCell ref="AJ33:AL33"/>
    <mergeCell ref="AM33:BJ33"/>
    <mergeCell ref="A32:C32"/>
    <mergeCell ref="D32:R32"/>
    <mergeCell ref="S32:U32"/>
    <mergeCell ref="V32:W32"/>
    <mergeCell ref="X32:Y32"/>
    <mergeCell ref="AD32:AF32"/>
    <mergeCell ref="AG32:AI32"/>
    <mergeCell ref="AJ32:AL32"/>
    <mergeCell ref="AM30:BJ30"/>
    <mergeCell ref="A31:C31"/>
    <mergeCell ref="D31:R31"/>
    <mergeCell ref="S31:U31"/>
    <mergeCell ref="V31:W31"/>
    <mergeCell ref="X31:Y31"/>
    <mergeCell ref="AD31:AF31"/>
    <mergeCell ref="AG31:AI31"/>
    <mergeCell ref="AJ31:AL31"/>
    <mergeCell ref="AM31:BJ31"/>
    <mergeCell ref="A30:C30"/>
    <mergeCell ref="D30:R30"/>
    <mergeCell ref="S30:U30"/>
    <mergeCell ref="V30:W30"/>
    <mergeCell ref="X30:Y30"/>
    <mergeCell ref="AD30:AF30"/>
    <mergeCell ref="AG30:AI30"/>
    <mergeCell ref="AJ30:AL30"/>
    <mergeCell ref="AD29:AF29"/>
    <mergeCell ref="AG29:AI29"/>
    <mergeCell ref="AJ29:AL29"/>
    <mergeCell ref="AM24:BJ24"/>
    <mergeCell ref="A25:C25"/>
    <mergeCell ref="D25:R25"/>
    <mergeCell ref="V25:W25"/>
    <mergeCell ref="X25:Y25"/>
    <mergeCell ref="AD25:AF25"/>
    <mergeCell ref="AG25:AI25"/>
    <mergeCell ref="AJ25:AL25"/>
    <mergeCell ref="AM25:BJ25"/>
    <mergeCell ref="A24:C24"/>
    <mergeCell ref="D24:R24"/>
    <mergeCell ref="V24:W24"/>
    <mergeCell ref="X24:Y24"/>
    <mergeCell ref="AD24:AF24"/>
    <mergeCell ref="AG24:AI24"/>
    <mergeCell ref="AJ24:AL24"/>
    <mergeCell ref="AM29:BJ29"/>
    <mergeCell ref="A29:C29"/>
    <mergeCell ref="D29:R29"/>
    <mergeCell ref="S29:U29"/>
    <mergeCell ref="V29:W29"/>
    <mergeCell ref="A23:C23"/>
    <mergeCell ref="D23:R23"/>
    <mergeCell ref="V23:W23"/>
    <mergeCell ref="X23:Y23"/>
    <mergeCell ref="AD23:AF23"/>
    <mergeCell ref="AG23:AI23"/>
    <mergeCell ref="AJ23:AL23"/>
    <mergeCell ref="AM23:BJ23"/>
    <mergeCell ref="AG13:AI14"/>
    <mergeCell ref="AJ13:AL14"/>
    <mergeCell ref="AM13:BJ14"/>
    <mergeCell ref="V14:W14"/>
    <mergeCell ref="X14:Y14"/>
    <mergeCell ref="A13:C14"/>
    <mergeCell ref="D13:R14"/>
    <mergeCell ref="S13:U14"/>
    <mergeCell ref="V13:Y13"/>
    <mergeCell ref="Z13:AC14"/>
    <mergeCell ref="AD13:AF14"/>
    <mergeCell ref="A15:C15"/>
    <mergeCell ref="D15:R15"/>
    <mergeCell ref="S15:U15"/>
    <mergeCell ref="V15:W15"/>
    <mergeCell ref="X15:Y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10"/>
  <dimension ref="A1:BK38"/>
  <sheetViews>
    <sheetView view="pageBreakPreview" zoomScaleNormal="100" zoomScaleSheetLayoutView="100" workbookViewId="0"/>
  </sheetViews>
  <sheetFormatPr defaultColWidth="1.90625" defaultRowHeight="14"/>
  <cols>
    <col min="1" max="89" width="2.08984375" style="22" customWidth="1"/>
    <col min="90"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45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46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7" t="s">
        <v>34</v>
      </c>
      <c r="B8" s="258"/>
      <c r="C8" s="259"/>
      <c r="D8" s="257" t="s">
        <v>35</v>
      </c>
      <c r="E8" s="258"/>
      <c r="F8" s="258"/>
      <c r="G8" s="258"/>
      <c r="H8" s="258"/>
      <c r="I8" s="258"/>
      <c r="J8" s="258"/>
      <c r="K8" s="258"/>
      <c r="L8" s="258"/>
      <c r="M8" s="258"/>
      <c r="N8" s="258"/>
      <c r="O8" s="258"/>
      <c r="P8" s="258"/>
      <c r="Q8" s="259"/>
      <c r="R8" s="459" t="s">
        <v>48</v>
      </c>
      <c r="S8" s="460"/>
      <c r="T8" s="461"/>
      <c r="U8" s="459" t="s">
        <v>49</v>
      </c>
      <c r="V8" s="460"/>
      <c r="W8" s="461"/>
      <c r="X8" s="459" t="s">
        <v>50</v>
      </c>
      <c r="Y8" s="460"/>
      <c r="Z8" s="461"/>
      <c r="AA8" s="459" t="s">
        <v>51</v>
      </c>
      <c r="AB8" s="460"/>
      <c r="AC8" s="461"/>
      <c r="AD8" s="459" t="s">
        <v>52</v>
      </c>
      <c r="AE8" s="460"/>
      <c r="AF8" s="461"/>
      <c r="AG8" s="257" t="s">
        <v>53</v>
      </c>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c r="BK8" s="22" t="s">
        <v>415</v>
      </c>
    </row>
    <row r="9" spans="1:63" ht="30" customHeight="1">
      <c r="A9" s="456">
        <f t="shared" ref="A9:A24" si="0">ROW()-8</f>
        <v>1</v>
      </c>
      <c r="B9" s="457"/>
      <c r="C9" s="458"/>
      <c r="D9" s="379" t="s">
        <v>89</v>
      </c>
      <c r="E9" s="380"/>
      <c r="F9" s="380"/>
      <c r="G9" s="380"/>
      <c r="H9" s="380"/>
      <c r="I9" s="380"/>
      <c r="J9" s="380"/>
      <c r="K9" s="380"/>
      <c r="L9" s="380"/>
      <c r="M9" s="380"/>
      <c r="N9" s="380"/>
      <c r="O9" s="380"/>
      <c r="P9" s="380"/>
      <c r="Q9" s="381"/>
      <c r="R9" s="465" t="s">
        <v>294</v>
      </c>
      <c r="S9" s="466"/>
      <c r="T9" s="467"/>
      <c r="U9" s="382"/>
      <c r="V9" s="371"/>
      <c r="W9" s="366"/>
      <c r="X9" s="382"/>
      <c r="Y9" s="371"/>
      <c r="Z9" s="366"/>
      <c r="AA9" s="382"/>
      <c r="AB9" s="371"/>
      <c r="AC9" s="366"/>
      <c r="AD9" s="382"/>
      <c r="AE9" s="371"/>
      <c r="AF9" s="366"/>
      <c r="AG9" s="468" t="s">
        <v>424</v>
      </c>
      <c r="AH9" s="469"/>
      <c r="AI9" s="469"/>
      <c r="AJ9" s="469"/>
      <c r="AK9" s="469"/>
      <c r="AL9" s="469"/>
      <c r="AM9" s="469"/>
      <c r="AN9" s="469"/>
      <c r="AO9" s="469"/>
      <c r="AP9" s="469"/>
      <c r="AQ9" s="469"/>
      <c r="AR9" s="469"/>
      <c r="AS9" s="469"/>
      <c r="AT9" s="469"/>
      <c r="AU9" s="469"/>
      <c r="AV9" s="469"/>
      <c r="AW9" s="469"/>
      <c r="AX9" s="469"/>
      <c r="AY9" s="469"/>
      <c r="AZ9" s="469"/>
      <c r="BA9" s="469"/>
      <c r="BB9" s="469"/>
      <c r="BC9" s="470"/>
      <c r="BD9" s="382"/>
      <c r="BE9" s="371"/>
      <c r="BF9" s="371"/>
      <c r="BG9" s="371"/>
      <c r="BH9" s="371"/>
      <c r="BI9" s="371"/>
      <c r="BJ9" s="366"/>
      <c r="BK9" s="22" t="s">
        <v>422</v>
      </c>
    </row>
    <row r="10" spans="1:63" ht="30" customHeight="1">
      <c r="A10" s="456">
        <f t="shared" si="0"/>
        <v>2</v>
      </c>
      <c r="B10" s="457"/>
      <c r="C10" s="458"/>
      <c r="D10" s="379"/>
      <c r="E10" s="380"/>
      <c r="F10" s="380"/>
      <c r="G10" s="380"/>
      <c r="H10" s="380"/>
      <c r="I10" s="380"/>
      <c r="J10" s="380"/>
      <c r="K10" s="380"/>
      <c r="L10" s="380"/>
      <c r="M10" s="380"/>
      <c r="N10" s="380"/>
      <c r="O10" s="380"/>
      <c r="P10" s="380"/>
      <c r="Q10" s="381"/>
      <c r="R10" s="465"/>
      <c r="S10" s="466"/>
      <c r="T10" s="467"/>
      <c r="U10" s="382"/>
      <c r="V10" s="371"/>
      <c r="W10" s="366"/>
      <c r="X10" s="382"/>
      <c r="Y10" s="371"/>
      <c r="Z10" s="366"/>
      <c r="AA10" s="382" t="s">
        <v>294</v>
      </c>
      <c r="AB10" s="371"/>
      <c r="AC10" s="366"/>
      <c r="AD10" s="382"/>
      <c r="AE10" s="371"/>
      <c r="AF10" s="366"/>
      <c r="AG10" s="468" t="s">
        <v>128</v>
      </c>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70"/>
      <c r="BD10" s="382"/>
      <c r="BE10" s="371"/>
      <c r="BF10" s="371"/>
      <c r="BG10" s="371"/>
      <c r="BH10" s="371"/>
      <c r="BI10" s="371"/>
      <c r="BJ10" s="366"/>
      <c r="BK10" s="22" t="s">
        <v>416</v>
      </c>
    </row>
    <row r="11" spans="1:63" ht="30" customHeight="1">
      <c r="A11" s="456">
        <f>ROW()-8</f>
        <v>3</v>
      </c>
      <c r="B11" s="457"/>
      <c r="C11" s="458"/>
      <c r="D11" s="379" t="s">
        <v>91</v>
      </c>
      <c r="E11" s="380"/>
      <c r="F11" s="380"/>
      <c r="G11" s="380"/>
      <c r="H11" s="380"/>
      <c r="I11" s="380"/>
      <c r="J11" s="380"/>
      <c r="K11" s="380"/>
      <c r="L11" s="380"/>
      <c r="M11" s="380"/>
      <c r="N11" s="380"/>
      <c r="O11" s="380"/>
      <c r="P11" s="380"/>
      <c r="Q11" s="381"/>
      <c r="R11" s="382" t="s">
        <v>294</v>
      </c>
      <c r="S11" s="371"/>
      <c r="T11" s="366"/>
      <c r="U11" s="382"/>
      <c r="V11" s="371"/>
      <c r="W11" s="366"/>
      <c r="X11" s="382"/>
      <c r="Y11" s="371"/>
      <c r="Z11" s="366"/>
      <c r="AA11" s="382"/>
      <c r="AB11" s="371"/>
      <c r="AC11" s="366"/>
      <c r="AD11" s="382"/>
      <c r="AE11" s="371"/>
      <c r="AF11" s="366"/>
      <c r="AG11" s="468" t="s">
        <v>425</v>
      </c>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70"/>
      <c r="BD11" s="382"/>
      <c r="BE11" s="371"/>
      <c r="BF11" s="371"/>
      <c r="BG11" s="371"/>
      <c r="BH11" s="371"/>
      <c r="BI11" s="371"/>
      <c r="BJ11" s="366"/>
      <c r="BK11" s="22" t="s">
        <v>422</v>
      </c>
    </row>
    <row r="12" spans="1:63" ht="30" customHeight="1">
      <c r="A12" s="456">
        <f>ROW()-8</f>
        <v>4</v>
      </c>
      <c r="B12" s="457"/>
      <c r="C12" s="458"/>
      <c r="D12" s="379"/>
      <c r="E12" s="380"/>
      <c r="F12" s="380"/>
      <c r="G12" s="380"/>
      <c r="H12" s="380"/>
      <c r="I12" s="380"/>
      <c r="J12" s="380"/>
      <c r="K12" s="380"/>
      <c r="L12" s="380"/>
      <c r="M12" s="380"/>
      <c r="N12" s="380"/>
      <c r="O12" s="380"/>
      <c r="P12" s="380"/>
      <c r="Q12" s="381"/>
      <c r="R12" s="382"/>
      <c r="S12" s="371"/>
      <c r="T12" s="366"/>
      <c r="U12" s="382"/>
      <c r="V12" s="371"/>
      <c r="W12" s="366"/>
      <c r="X12" s="382"/>
      <c r="Y12" s="371"/>
      <c r="Z12" s="366"/>
      <c r="AA12" s="382" t="s">
        <v>294</v>
      </c>
      <c r="AB12" s="371"/>
      <c r="AC12" s="366"/>
      <c r="AD12" s="382"/>
      <c r="AE12" s="371"/>
      <c r="AF12" s="366"/>
      <c r="AG12" s="468" t="s">
        <v>129</v>
      </c>
      <c r="AH12" s="469"/>
      <c r="AI12" s="469"/>
      <c r="AJ12" s="469"/>
      <c r="AK12" s="469"/>
      <c r="AL12" s="469"/>
      <c r="AM12" s="469"/>
      <c r="AN12" s="469"/>
      <c r="AO12" s="469"/>
      <c r="AP12" s="469"/>
      <c r="AQ12" s="469"/>
      <c r="AR12" s="469"/>
      <c r="AS12" s="469"/>
      <c r="AT12" s="469"/>
      <c r="AU12" s="469"/>
      <c r="AV12" s="469"/>
      <c r="AW12" s="469"/>
      <c r="AX12" s="469"/>
      <c r="AY12" s="469"/>
      <c r="AZ12" s="469"/>
      <c r="BA12" s="469"/>
      <c r="BB12" s="469"/>
      <c r="BC12" s="470"/>
      <c r="BD12" s="382"/>
      <c r="BE12" s="371"/>
      <c r="BF12" s="371"/>
      <c r="BG12" s="371"/>
      <c r="BH12" s="371"/>
      <c r="BI12" s="371"/>
      <c r="BJ12" s="366"/>
      <c r="BK12" s="22" t="s">
        <v>416</v>
      </c>
    </row>
    <row r="13" spans="1:63" ht="30" customHeight="1">
      <c r="A13" s="367">
        <f t="shared" ref="A13" si="1">ROW()-8</f>
        <v>5</v>
      </c>
      <c r="B13" s="368"/>
      <c r="C13" s="369"/>
      <c r="D13" s="379" t="s">
        <v>93</v>
      </c>
      <c r="E13" s="380"/>
      <c r="F13" s="380"/>
      <c r="G13" s="380"/>
      <c r="H13" s="380"/>
      <c r="I13" s="380"/>
      <c r="J13" s="380"/>
      <c r="K13" s="380"/>
      <c r="L13" s="380"/>
      <c r="M13" s="380"/>
      <c r="N13" s="380"/>
      <c r="O13" s="380"/>
      <c r="P13" s="380"/>
      <c r="Q13" s="381"/>
      <c r="R13" s="382" t="s">
        <v>294</v>
      </c>
      <c r="S13" s="371"/>
      <c r="T13" s="366"/>
      <c r="U13" s="382"/>
      <c r="V13" s="371"/>
      <c r="W13" s="366"/>
      <c r="X13" s="382"/>
      <c r="Y13" s="371"/>
      <c r="Z13" s="366"/>
      <c r="AA13" s="382"/>
      <c r="AB13" s="371"/>
      <c r="AC13" s="366"/>
      <c r="AD13" s="382"/>
      <c r="AE13" s="371"/>
      <c r="AF13" s="366"/>
      <c r="AG13" s="468" t="s">
        <v>426</v>
      </c>
      <c r="AH13" s="469"/>
      <c r="AI13" s="469"/>
      <c r="AJ13" s="469"/>
      <c r="AK13" s="469"/>
      <c r="AL13" s="469"/>
      <c r="AM13" s="469"/>
      <c r="AN13" s="469"/>
      <c r="AO13" s="469"/>
      <c r="AP13" s="469"/>
      <c r="AQ13" s="469"/>
      <c r="AR13" s="469"/>
      <c r="AS13" s="469"/>
      <c r="AT13" s="469"/>
      <c r="AU13" s="469"/>
      <c r="AV13" s="469"/>
      <c r="AW13" s="469"/>
      <c r="AX13" s="469"/>
      <c r="AY13" s="469"/>
      <c r="AZ13" s="469"/>
      <c r="BA13" s="469"/>
      <c r="BB13" s="469"/>
      <c r="BC13" s="470"/>
      <c r="BD13" s="382"/>
      <c r="BE13" s="371"/>
      <c r="BF13" s="371"/>
      <c r="BG13" s="371"/>
      <c r="BH13" s="371"/>
      <c r="BI13" s="371"/>
      <c r="BJ13" s="366"/>
      <c r="BK13" s="22" t="s">
        <v>422</v>
      </c>
    </row>
    <row r="14" spans="1:63" ht="30" customHeight="1">
      <c r="A14" s="456">
        <f t="shared" si="0"/>
        <v>6</v>
      </c>
      <c r="B14" s="457"/>
      <c r="C14" s="458"/>
      <c r="D14" s="379"/>
      <c r="E14" s="380"/>
      <c r="F14" s="380"/>
      <c r="G14" s="380"/>
      <c r="H14" s="380"/>
      <c r="I14" s="380"/>
      <c r="J14" s="380"/>
      <c r="K14" s="380"/>
      <c r="L14" s="380"/>
      <c r="M14" s="380"/>
      <c r="N14" s="380"/>
      <c r="O14" s="380"/>
      <c r="P14" s="380"/>
      <c r="Q14" s="381"/>
      <c r="R14" s="382"/>
      <c r="S14" s="371"/>
      <c r="T14" s="366"/>
      <c r="U14" s="382"/>
      <c r="V14" s="371"/>
      <c r="W14" s="366"/>
      <c r="X14" s="382"/>
      <c r="Y14" s="371"/>
      <c r="Z14" s="366"/>
      <c r="AA14" s="382" t="s">
        <v>294</v>
      </c>
      <c r="AB14" s="371"/>
      <c r="AC14" s="366"/>
      <c r="AD14" s="382"/>
      <c r="AE14" s="371"/>
      <c r="AF14" s="366"/>
      <c r="AG14" s="468" t="s">
        <v>79</v>
      </c>
      <c r="AH14" s="469"/>
      <c r="AI14" s="469"/>
      <c r="AJ14" s="469"/>
      <c r="AK14" s="469"/>
      <c r="AL14" s="469"/>
      <c r="AM14" s="469"/>
      <c r="AN14" s="469"/>
      <c r="AO14" s="469"/>
      <c r="AP14" s="469"/>
      <c r="AQ14" s="469"/>
      <c r="AR14" s="469"/>
      <c r="AS14" s="469"/>
      <c r="AT14" s="469"/>
      <c r="AU14" s="469"/>
      <c r="AV14" s="469"/>
      <c r="AW14" s="469"/>
      <c r="AX14" s="469"/>
      <c r="AY14" s="469"/>
      <c r="AZ14" s="469"/>
      <c r="BA14" s="469"/>
      <c r="BB14" s="469"/>
      <c r="BC14" s="470"/>
      <c r="BD14" s="382"/>
      <c r="BE14" s="371"/>
      <c r="BF14" s="371"/>
      <c r="BG14" s="371"/>
      <c r="BH14" s="371"/>
      <c r="BI14" s="371"/>
      <c r="BJ14" s="366"/>
      <c r="BK14" s="22" t="s">
        <v>416</v>
      </c>
    </row>
    <row r="15" spans="1:63" ht="30" customHeight="1">
      <c r="A15" s="367">
        <f t="shared" si="0"/>
        <v>7</v>
      </c>
      <c r="B15" s="368"/>
      <c r="C15" s="369"/>
      <c r="D15" s="379" t="s">
        <v>73</v>
      </c>
      <c r="E15" s="380"/>
      <c r="F15" s="380"/>
      <c r="G15" s="380"/>
      <c r="H15" s="380"/>
      <c r="I15" s="380"/>
      <c r="J15" s="380"/>
      <c r="K15" s="380"/>
      <c r="L15" s="380"/>
      <c r="M15" s="380"/>
      <c r="N15" s="380"/>
      <c r="O15" s="380"/>
      <c r="P15" s="380"/>
      <c r="Q15" s="381"/>
      <c r="R15" s="382" t="s">
        <v>294</v>
      </c>
      <c r="S15" s="371"/>
      <c r="T15" s="366"/>
      <c r="U15" s="382"/>
      <c r="V15" s="371"/>
      <c r="W15" s="366"/>
      <c r="X15" s="382"/>
      <c r="Y15" s="371"/>
      <c r="Z15" s="366"/>
      <c r="AA15" s="382"/>
      <c r="AB15" s="371"/>
      <c r="AC15" s="366"/>
      <c r="AD15" s="382"/>
      <c r="AE15" s="371"/>
      <c r="AF15" s="366"/>
      <c r="AG15" s="468" t="s">
        <v>427</v>
      </c>
      <c r="AH15" s="469"/>
      <c r="AI15" s="469"/>
      <c r="AJ15" s="469"/>
      <c r="AK15" s="469"/>
      <c r="AL15" s="469"/>
      <c r="AM15" s="469"/>
      <c r="AN15" s="469"/>
      <c r="AO15" s="469"/>
      <c r="AP15" s="469"/>
      <c r="AQ15" s="469"/>
      <c r="AR15" s="469"/>
      <c r="AS15" s="469"/>
      <c r="AT15" s="469"/>
      <c r="AU15" s="469"/>
      <c r="AV15" s="469"/>
      <c r="AW15" s="469"/>
      <c r="AX15" s="469"/>
      <c r="AY15" s="469"/>
      <c r="AZ15" s="469"/>
      <c r="BA15" s="469"/>
      <c r="BB15" s="469"/>
      <c r="BC15" s="470"/>
      <c r="BD15" s="382"/>
      <c r="BE15" s="371"/>
      <c r="BF15" s="371"/>
      <c r="BG15" s="371"/>
      <c r="BH15" s="371"/>
      <c r="BI15" s="371"/>
      <c r="BJ15" s="366"/>
      <c r="BK15" s="22" t="s">
        <v>422</v>
      </c>
    </row>
    <row r="16" spans="1:63" ht="30" customHeight="1">
      <c r="A16" s="456">
        <f t="shared" si="0"/>
        <v>8</v>
      </c>
      <c r="B16" s="457"/>
      <c r="C16" s="458"/>
      <c r="D16" s="379"/>
      <c r="E16" s="380"/>
      <c r="F16" s="380"/>
      <c r="G16" s="380"/>
      <c r="H16" s="380"/>
      <c r="I16" s="380"/>
      <c r="J16" s="380"/>
      <c r="K16" s="380"/>
      <c r="L16" s="380"/>
      <c r="M16" s="380"/>
      <c r="N16" s="380"/>
      <c r="O16" s="380"/>
      <c r="P16" s="380"/>
      <c r="Q16" s="381"/>
      <c r="R16" s="382"/>
      <c r="S16" s="371"/>
      <c r="T16" s="366"/>
      <c r="U16" s="382"/>
      <c r="V16" s="371"/>
      <c r="W16" s="366"/>
      <c r="X16" s="376" t="s">
        <v>294</v>
      </c>
      <c r="Y16" s="377"/>
      <c r="Z16" s="378"/>
      <c r="AA16" s="376"/>
      <c r="AB16" s="377"/>
      <c r="AC16" s="378"/>
      <c r="AD16" s="376"/>
      <c r="AE16" s="377"/>
      <c r="AF16" s="378"/>
      <c r="AG16" s="468" t="s">
        <v>357</v>
      </c>
      <c r="AH16" s="469"/>
      <c r="AI16" s="469"/>
      <c r="AJ16" s="469"/>
      <c r="AK16" s="469"/>
      <c r="AL16" s="469"/>
      <c r="AM16" s="469"/>
      <c r="AN16" s="469"/>
      <c r="AO16" s="469"/>
      <c r="AP16" s="469"/>
      <c r="AQ16" s="469"/>
      <c r="AR16" s="469"/>
      <c r="AS16" s="469"/>
      <c r="AT16" s="469"/>
      <c r="AU16" s="469"/>
      <c r="AV16" s="469"/>
      <c r="AW16" s="469"/>
      <c r="AX16" s="469"/>
      <c r="AY16" s="469"/>
      <c r="AZ16" s="469"/>
      <c r="BA16" s="469"/>
      <c r="BB16" s="469"/>
      <c r="BC16" s="470"/>
      <c r="BD16" s="382"/>
      <c r="BE16" s="371"/>
      <c r="BF16" s="371"/>
      <c r="BG16" s="371"/>
      <c r="BH16" s="371"/>
      <c r="BI16" s="371"/>
      <c r="BJ16" s="366"/>
      <c r="BK16" s="22" t="s">
        <v>417</v>
      </c>
    </row>
    <row r="17" spans="1:63" ht="30" customHeight="1">
      <c r="A17" s="456">
        <f t="shared" si="0"/>
        <v>9</v>
      </c>
      <c r="B17" s="457"/>
      <c r="C17" s="458"/>
      <c r="D17" s="379" t="s">
        <v>300</v>
      </c>
      <c r="E17" s="380"/>
      <c r="F17" s="380"/>
      <c r="G17" s="380"/>
      <c r="H17" s="380"/>
      <c r="I17" s="380"/>
      <c r="J17" s="380"/>
      <c r="K17" s="380"/>
      <c r="L17" s="380"/>
      <c r="M17" s="380"/>
      <c r="N17" s="380"/>
      <c r="O17" s="380"/>
      <c r="P17" s="380"/>
      <c r="Q17" s="381"/>
      <c r="R17" s="382" t="s">
        <v>294</v>
      </c>
      <c r="S17" s="371"/>
      <c r="T17" s="366"/>
      <c r="U17" s="382"/>
      <c r="V17" s="371"/>
      <c r="W17" s="366"/>
      <c r="X17" s="382"/>
      <c r="Y17" s="371"/>
      <c r="Z17" s="366"/>
      <c r="AA17" s="382"/>
      <c r="AB17" s="371"/>
      <c r="AC17" s="366"/>
      <c r="AD17" s="382"/>
      <c r="AE17" s="371"/>
      <c r="AF17" s="366"/>
      <c r="AG17" s="468" t="s">
        <v>428</v>
      </c>
      <c r="AH17" s="469"/>
      <c r="AI17" s="469"/>
      <c r="AJ17" s="469"/>
      <c r="AK17" s="469"/>
      <c r="AL17" s="469"/>
      <c r="AM17" s="469"/>
      <c r="AN17" s="469"/>
      <c r="AO17" s="469"/>
      <c r="AP17" s="469"/>
      <c r="AQ17" s="469"/>
      <c r="AR17" s="469"/>
      <c r="AS17" s="469"/>
      <c r="AT17" s="469"/>
      <c r="AU17" s="469"/>
      <c r="AV17" s="469"/>
      <c r="AW17" s="469"/>
      <c r="AX17" s="469"/>
      <c r="AY17" s="469"/>
      <c r="AZ17" s="469"/>
      <c r="BA17" s="469"/>
      <c r="BB17" s="469"/>
      <c r="BC17" s="470"/>
      <c r="BD17" s="382"/>
      <c r="BE17" s="371"/>
      <c r="BF17" s="371"/>
      <c r="BG17" s="371"/>
      <c r="BH17" s="371"/>
      <c r="BI17" s="371"/>
      <c r="BJ17" s="366"/>
      <c r="BK17" s="22" t="s">
        <v>422</v>
      </c>
    </row>
    <row r="18" spans="1:63" s="23" customFormat="1" ht="30" customHeight="1">
      <c r="A18" s="456">
        <f t="shared" si="0"/>
        <v>10</v>
      </c>
      <c r="B18" s="457"/>
      <c r="C18" s="458"/>
      <c r="D18" s="539"/>
      <c r="E18" s="540"/>
      <c r="F18" s="540"/>
      <c r="G18" s="540"/>
      <c r="H18" s="540"/>
      <c r="I18" s="540"/>
      <c r="J18" s="540"/>
      <c r="K18" s="540"/>
      <c r="L18" s="540"/>
      <c r="M18" s="540"/>
      <c r="N18" s="540"/>
      <c r="O18" s="540"/>
      <c r="P18" s="540"/>
      <c r="Q18" s="541"/>
      <c r="R18" s="382"/>
      <c r="S18" s="371"/>
      <c r="T18" s="366"/>
      <c r="U18" s="382"/>
      <c r="V18" s="371"/>
      <c r="W18" s="366"/>
      <c r="X18" s="382" t="s">
        <v>320</v>
      </c>
      <c r="Y18" s="371"/>
      <c r="Z18" s="366"/>
      <c r="AA18" s="382"/>
      <c r="AB18" s="371"/>
      <c r="AC18" s="366"/>
      <c r="AD18" s="382"/>
      <c r="AE18" s="371"/>
      <c r="AF18" s="366"/>
      <c r="AG18" s="468" t="s">
        <v>358</v>
      </c>
      <c r="AH18" s="469"/>
      <c r="AI18" s="469"/>
      <c r="AJ18" s="469"/>
      <c r="AK18" s="469"/>
      <c r="AL18" s="469"/>
      <c r="AM18" s="469"/>
      <c r="AN18" s="469"/>
      <c r="AO18" s="469"/>
      <c r="AP18" s="469"/>
      <c r="AQ18" s="469"/>
      <c r="AR18" s="469"/>
      <c r="AS18" s="469"/>
      <c r="AT18" s="469"/>
      <c r="AU18" s="469"/>
      <c r="AV18" s="469"/>
      <c r="AW18" s="469"/>
      <c r="AX18" s="469"/>
      <c r="AY18" s="469"/>
      <c r="AZ18" s="469"/>
      <c r="BA18" s="469"/>
      <c r="BB18" s="469"/>
      <c r="BC18" s="470"/>
      <c r="BD18" s="382"/>
      <c r="BE18" s="371"/>
      <c r="BF18" s="371"/>
      <c r="BG18" s="371"/>
      <c r="BH18" s="371"/>
      <c r="BI18" s="371"/>
      <c r="BJ18" s="366"/>
      <c r="BK18" s="23" t="s">
        <v>417</v>
      </c>
    </row>
    <row r="19" spans="1:63" ht="26.9" customHeight="1">
      <c r="A19" s="367">
        <f t="shared" si="0"/>
        <v>11</v>
      </c>
      <c r="B19" s="368"/>
      <c r="C19" s="369"/>
      <c r="D19" s="379" t="s">
        <v>92</v>
      </c>
      <c r="E19" s="380"/>
      <c r="F19" s="380"/>
      <c r="G19" s="380"/>
      <c r="H19" s="380"/>
      <c r="I19" s="380"/>
      <c r="J19" s="380"/>
      <c r="K19" s="380"/>
      <c r="L19" s="380"/>
      <c r="M19" s="380"/>
      <c r="N19" s="380"/>
      <c r="O19" s="380"/>
      <c r="P19" s="380"/>
      <c r="Q19" s="381"/>
      <c r="R19" s="465" t="s">
        <v>294</v>
      </c>
      <c r="S19" s="466"/>
      <c r="T19" s="467"/>
      <c r="U19" s="382"/>
      <c r="V19" s="371"/>
      <c r="W19" s="366"/>
      <c r="X19" s="382"/>
      <c r="Y19" s="371"/>
      <c r="Z19" s="366"/>
      <c r="AA19" s="382"/>
      <c r="AB19" s="371"/>
      <c r="AC19" s="366"/>
      <c r="AD19" s="382"/>
      <c r="AE19" s="371"/>
      <c r="AF19" s="366"/>
      <c r="AG19" s="468" t="s">
        <v>472</v>
      </c>
      <c r="AH19" s="469"/>
      <c r="AI19" s="469"/>
      <c r="AJ19" s="469"/>
      <c r="AK19" s="469"/>
      <c r="AL19" s="469"/>
      <c r="AM19" s="469"/>
      <c r="AN19" s="469"/>
      <c r="AO19" s="469"/>
      <c r="AP19" s="469"/>
      <c r="AQ19" s="469"/>
      <c r="AR19" s="469"/>
      <c r="AS19" s="469"/>
      <c r="AT19" s="469"/>
      <c r="AU19" s="469"/>
      <c r="AV19" s="469"/>
      <c r="AW19" s="469"/>
      <c r="AX19" s="469"/>
      <c r="AY19" s="469"/>
      <c r="AZ19" s="469"/>
      <c r="BA19" s="469"/>
      <c r="BB19" s="469"/>
      <c r="BC19" s="470"/>
      <c r="BD19" s="382"/>
      <c r="BE19" s="371"/>
      <c r="BF19" s="371"/>
      <c r="BG19" s="371"/>
      <c r="BH19" s="371"/>
      <c r="BI19" s="371"/>
      <c r="BJ19" s="366"/>
      <c r="BK19" s="22" t="s">
        <v>422</v>
      </c>
    </row>
    <row r="20" spans="1:63" ht="58.5" customHeight="1">
      <c r="A20" s="367">
        <f t="shared" si="0"/>
        <v>12</v>
      </c>
      <c r="B20" s="368"/>
      <c r="C20" s="369"/>
      <c r="D20" s="539"/>
      <c r="E20" s="540"/>
      <c r="F20" s="540"/>
      <c r="G20" s="540"/>
      <c r="H20" s="540"/>
      <c r="I20" s="540"/>
      <c r="J20" s="540"/>
      <c r="K20" s="540"/>
      <c r="L20" s="540"/>
      <c r="M20" s="540"/>
      <c r="N20" s="540"/>
      <c r="O20" s="540"/>
      <c r="P20" s="540"/>
      <c r="Q20" s="541"/>
      <c r="R20" s="376"/>
      <c r="S20" s="377"/>
      <c r="T20" s="378"/>
      <c r="U20" s="376" t="s">
        <v>320</v>
      </c>
      <c r="V20" s="377"/>
      <c r="W20" s="378"/>
      <c r="X20" s="376"/>
      <c r="Y20" s="377"/>
      <c r="Z20" s="378"/>
      <c r="AA20" s="376"/>
      <c r="AB20" s="377"/>
      <c r="AC20" s="378"/>
      <c r="AD20" s="376"/>
      <c r="AE20" s="377"/>
      <c r="AF20" s="378"/>
      <c r="AG20" s="468" t="s">
        <v>359</v>
      </c>
      <c r="AH20" s="474"/>
      <c r="AI20" s="474"/>
      <c r="AJ20" s="474"/>
      <c r="AK20" s="474"/>
      <c r="AL20" s="474"/>
      <c r="AM20" s="474"/>
      <c r="AN20" s="474"/>
      <c r="AO20" s="474"/>
      <c r="AP20" s="474"/>
      <c r="AQ20" s="474"/>
      <c r="AR20" s="474"/>
      <c r="AS20" s="474"/>
      <c r="AT20" s="474"/>
      <c r="AU20" s="474"/>
      <c r="AV20" s="474"/>
      <c r="AW20" s="474"/>
      <c r="AX20" s="474"/>
      <c r="AY20" s="474"/>
      <c r="AZ20" s="474"/>
      <c r="BA20" s="474"/>
      <c r="BB20" s="474"/>
      <c r="BC20" s="475"/>
      <c r="BD20" s="382"/>
      <c r="BE20" s="371"/>
      <c r="BF20" s="371"/>
      <c r="BG20" s="371"/>
      <c r="BH20" s="371"/>
      <c r="BI20" s="371"/>
      <c r="BJ20" s="366"/>
      <c r="BK20" s="22" t="s">
        <v>419</v>
      </c>
    </row>
    <row r="21" spans="1:63" ht="30" customHeight="1">
      <c r="A21" s="456">
        <f t="shared" si="0"/>
        <v>13</v>
      </c>
      <c r="B21" s="457"/>
      <c r="C21" s="458"/>
      <c r="D21" s="379" t="s">
        <v>122</v>
      </c>
      <c r="E21" s="380"/>
      <c r="F21" s="380"/>
      <c r="G21" s="380"/>
      <c r="H21" s="380"/>
      <c r="I21" s="380"/>
      <c r="J21" s="380"/>
      <c r="K21" s="380"/>
      <c r="L21" s="380"/>
      <c r="M21" s="380"/>
      <c r="N21" s="380"/>
      <c r="O21" s="380"/>
      <c r="P21" s="380"/>
      <c r="Q21" s="381"/>
      <c r="R21" s="382"/>
      <c r="S21" s="371"/>
      <c r="T21" s="366"/>
      <c r="U21" s="382" t="s">
        <v>294</v>
      </c>
      <c r="V21" s="371"/>
      <c r="W21" s="366"/>
      <c r="X21" s="382"/>
      <c r="Y21" s="371"/>
      <c r="Z21" s="366"/>
      <c r="AA21" s="382"/>
      <c r="AB21" s="371"/>
      <c r="AC21" s="366"/>
      <c r="AD21" s="382"/>
      <c r="AE21" s="371"/>
      <c r="AF21" s="366"/>
      <c r="AG21" s="468" t="s">
        <v>429</v>
      </c>
      <c r="AH21" s="469"/>
      <c r="AI21" s="469"/>
      <c r="AJ21" s="469"/>
      <c r="AK21" s="469"/>
      <c r="AL21" s="469"/>
      <c r="AM21" s="469"/>
      <c r="AN21" s="469"/>
      <c r="AO21" s="469"/>
      <c r="AP21" s="469"/>
      <c r="AQ21" s="469"/>
      <c r="AR21" s="469"/>
      <c r="AS21" s="469"/>
      <c r="AT21" s="469"/>
      <c r="AU21" s="469"/>
      <c r="AV21" s="469"/>
      <c r="AW21" s="469"/>
      <c r="AX21" s="469"/>
      <c r="AY21" s="469"/>
      <c r="AZ21" s="469"/>
      <c r="BA21" s="469"/>
      <c r="BB21" s="469"/>
      <c r="BC21" s="470"/>
      <c r="BD21" s="382"/>
      <c r="BE21" s="371"/>
      <c r="BF21" s="371"/>
      <c r="BG21" s="371"/>
      <c r="BH21" s="371"/>
      <c r="BI21" s="371"/>
      <c r="BJ21" s="366"/>
      <c r="BK21" s="22" t="s">
        <v>418</v>
      </c>
    </row>
    <row r="22" spans="1:63" ht="84.65" customHeight="1">
      <c r="A22" s="367">
        <f t="shared" si="0"/>
        <v>14</v>
      </c>
      <c r="B22" s="368"/>
      <c r="C22" s="369"/>
      <c r="D22" s="536"/>
      <c r="E22" s="537"/>
      <c r="F22" s="537"/>
      <c r="G22" s="537"/>
      <c r="H22" s="537"/>
      <c r="I22" s="537"/>
      <c r="J22" s="537"/>
      <c r="K22" s="537"/>
      <c r="L22" s="537"/>
      <c r="M22" s="537"/>
      <c r="N22" s="537"/>
      <c r="O22" s="537"/>
      <c r="P22" s="537"/>
      <c r="Q22" s="538"/>
      <c r="R22" s="376"/>
      <c r="S22" s="377"/>
      <c r="T22" s="378"/>
      <c r="U22" s="376"/>
      <c r="V22" s="377"/>
      <c r="W22" s="378"/>
      <c r="X22" s="376" t="s">
        <v>294</v>
      </c>
      <c r="Y22" s="377"/>
      <c r="Z22" s="378"/>
      <c r="AA22" s="376"/>
      <c r="AB22" s="377"/>
      <c r="AC22" s="378"/>
      <c r="AD22" s="376"/>
      <c r="AE22" s="377"/>
      <c r="AF22" s="378"/>
      <c r="AG22" s="468" t="s">
        <v>360</v>
      </c>
      <c r="AH22" s="469"/>
      <c r="AI22" s="469"/>
      <c r="AJ22" s="469"/>
      <c r="AK22" s="469"/>
      <c r="AL22" s="469"/>
      <c r="AM22" s="469"/>
      <c r="AN22" s="469"/>
      <c r="AO22" s="469"/>
      <c r="AP22" s="469"/>
      <c r="AQ22" s="469"/>
      <c r="AR22" s="469"/>
      <c r="AS22" s="469"/>
      <c r="AT22" s="469"/>
      <c r="AU22" s="469"/>
      <c r="AV22" s="469"/>
      <c r="AW22" s="469"/>
      <c r="AX22" s="469"/>
      <c r="AY22" s="469"/>
      <c r="AZ22" s="469"/>
      <c r="BA22" s="469"/>
      <c r="BB22" s="469"/>
      <c r="BC22" s="470"/>
      <c r="BD22" s="382"/>
      <c r="BE22" s="371"/>
      <c r="BF22" s="371"/>
      <c r="BG22" s="371"/>
      <c r="BH22" s="371"/>
      <c r="BI22" s="371"/>
      <c r="BJ22" s="366"/>
      <c r="BK22" s="22" t="s">
        <v>423</v>
      </c>
    </row>
    <row r="23" spans="1:63" ht="30" customHeight="1">
      <c r="A23" s="456">
        <f t="shared" si="0"/>
        <v>15</v>
      </c>
      <c r="B23" s="457"/>
      <c r="C23" s="458"/>
      <c r="D23" s="526" t="s">
        <v>235</v>
      </c>
      <c r="E23" s="527"/>
      <c r="F23" s="527"/>
      <c r="G23" s="527"/>
      <c r="H23" s="527"/>
      <c r="I23" s="527"/>
      <c r="J23" s="527"/>
      <c r="K23" s="527"/>
      <c r="L23" s="527"/>
      <c r="M23" s="527"/>
      <c r="N23" s="527"/>
      <c r="O23" s="527"/>
      <c r="P23" s="527"/>
      <c r="Q23" s="528"/>
      <c r="R23" s="85"/>
      <c r="S23" s="86"/>
      <c r="T23" s="87"/>
      <c r="U23" s="382" t="s">
        <v>294</v>
      </c>
      <c r="V23" s="371"/>
      <c r="W23" s="366"/>
      <c r="X23" s="85"/>
      <c r="Y23" s="86"/>
      <c r="Z23" s="87"/>
      <c r="AA23" s="85"/>
      <c r="AB23" s="86"/>
      <c r="AC23" s="87"/>
      <c r="AD23" s="85"/>
      <c r="AE23" s="86"/>
      <c r="AF23" s="87"/>
      <c r="AG23" s="468" t="s">
        <v>430</v>
      </c>
      <c r="AH23" s="469"/>
      <c r="AI23" s="469"/>
      <c r="AJ23" s="469"/>
      <c r="AK23" s="469"/>
      <c r="AL23" s="469"/>
      <c r="AM23" s="469"/>
      <c r="AN23" s="469"/>
      <c r="AO23" s="469"/>
      <c r="AP23" s="469"/>
      <c r="AQ23" s="469"/>
      <c r="AR23" s="469"/>
      <c r="AS23" s="469"/>
      <c r="AT23" s="469"/>
      <c r="AU23" s="469"/>
      <c r="AV23" s="469"/>
      <c r="AW23" s="469"/>
      <c r="AX23" s="469"/>
      <c r="AY23" s="469"/>
      <c r="AZ23" s="469"/>
      <c r="BA23" s="469"/>
      <c r="BB23" s="469"/>
      <c r="BC23" s="470"/>
      <c r="BD23" s="382"/>
      <c r="BE23" s="371"/>
      <c r="BF23" s="371"/>
      <c r="BG23" s="371"/>
      <c r="BH23" s="371"/>
      <c r="BI23" s="371"/>
      <c r="BJ23" s="366"/>
      <c r="BK23" s="22" t="s">
        <v>418</v>
      </c>
    </row>
    <row r="24" spans="1:63" ht="84.65" customHeight="1">
      <c r="A24" s="367">
        <f t="shared" si="0"/>
        <v>16</v>
      </c>
      <c r="B24" s="368"/>
      <c r="C24" s="369"/>
      <c r="D24" s="536"/>
      <c r="E24" s="537"/>
      <c r="F24" s="537"/>
      <c r="G24" s="537"/>
      <c r="H24" s="537"/>
      <c r="I24" s="537"/>
      <c r="J24" s="537"/>
      <c r="K24" s="537"/>
      <c r="L24" s="537"/>
      <c r="M24" s="537"/>
      <c r="N24" s="537"/>
      <c r="O24" s="537"/>
      <c r="P24" s="537"/>
      <c r="Q24" s="538"/>
      <c r="R24" s="376"/>
      <c r="S24" s="377"/>
      <c r="T24" s="378"/>
      <c r="U24" s="376"/>
      <c r="V24" s="377"/>
      <c r="W24" s="378"/>
      <c r="X24" s="376" t="s">
        <v>294</v>
      </c>
      <c r="Y24" s="377"/>
      <c r="Z24" s="378"/>
      <c r="AA24" s="376"/>
      <c r="AB24" s="377"/>
      <c r="AC24" s="378"/>
      <c r="AD24" s="376"/>
      <c r="AE24" s="377"/>
      <c r="AF24" s="378"/>
      <c r="AG24" s="468" t="s">
        <v>361</v>
      </c>
      <c r="AH24" s="469"/>
      <c r="AI24" s="469"/>
      <c r="AJ24" s="469"/>
      <c r="AK24" s="469"/>
      <c r="AL24" s="469"/>
      <c r="AM24" s="469"/>
      <c r="AN24" s="469"/>
      <c r="AO24" s="469"/>
      <c r="AP24" s="469"/>
      <c r="AQ24" s="469"/>
      <c r="AR24" s="469"/>
      <c r="AS24" s="469"/>
      <c r="AT24" s="469"/>
      <c r="AU24" s="469"/>
      <c r="AV24" s="469"/>
      <c r="AW24" s="469"/>
      <c r="AX24" s="469"/>
      <c r="AY24" s="469"/>
      <c r="AZ24" s="469"/>
      <c r="BA24" s="469"/>
      <c r="BB24" s="469"/>
      <c r="BC24" s="470"/>
      <c r="BD24" s="382"/>
      <c r="BE24" s="371"/>
      <c r="BF24" s="371"/>
      <c r="BG24" s="371"/>
      <c r="BH24" s="371"/>
      <c r="BI24" s="371"/>
      <c r="BJ24" s="366"/>
      <c r="BK24" s="22" t="s">
        <v>423</v>
      </c>
    </row>
    <row r="25" spans="1:63" ht="30" customHeight="1">
      <c r="A25" s="456"/>
      <c r="B25" s="457"/>
      <c r="C25" s="458"/>
      <c r="D25" s="379"/>
      <c r="E25" s="380"/>
      <c r="F25" s="380"/>
      <c r="G25" s="380"/>
      <c r="H25" s="380"/>
      <c r="I25" s="380"/>
      <c r="J25" s="380"/>
      <c r="K25" s="380"/>
      <c r="L25" s="380"/>
      <c r="M25" s="380"/>
      <c r="N25" s="380"/>
      <c r="O25" s="380"/>
      <c r="P25" s="380"/>
      <c r="Q25" s="381"/>
      <c r="R25" s="382"/>
      <c r="S25" s="371"/>
      <c r="T25" s="366"/>
      <c r="U25" s="382"/>
      <c r="V25" s="371"/>
      <c r="W25" s="366"/>
      <c r="X25" s="382"/>
      <c r="Y25" s="371"/>
      <c r="Z25" s="366"/>
      <c r="AA25" s="382"/>
      <c r="AB25" s="371"/>
      <c r="AC25" s="366"/>
      <c r="AD25" s="382"/>
      <c r="AE25" s="371"/>
      <c r="AF25" s="366"/>
      <c r="AG25" s="468"/>
      <c r="AH25" s="469"/>
      <c r="AI25" s="469"/>
      <c r="AJ25" s="469"/>
      <c r="AK25" s="469"/>
      <c r="AL25" s="469"/>
      <c r="AM25" s="469"/>
      <c r="AN25" s="469"/>
      <c r="AO25" s="469"/>
      <c r="AP25" s="469"/>
      <c r="AQ25" s="469"/>
      <c r="AR25" s="469"/>
      <c r="AS25" s="469"/>
      <c r="AT25" s="469"/>
      <c r="AU25" s="469"/>
      <c r="AV25" s="469"/>
      <c r="AW25" s="469"/>
      <c r="AX25" s="469"/>
      <c r="AY25" s="469"/>
      <c r="AZ25" s="469"/>
      <c r="BA25" s="469"/>
      <c r="BB25" s="469"/>
      <c r="BC25" s="470"/>
      <c r="BD25" s="382"/>
      <c r="BE25" s="371"/>
      <c r="BF25" s="371"/>
      <c r="BG25" s="371"/>
      <c r="BH25" s="371"/>
      <c r="BI25" s="371"/>
      <c r="BJ25" s="366"/>
    </row>
    <row r="26" spans="1:63" ht="30" customHeight="1">
      <c r="A26" s="456"/>
      <c r="B26" s="457"/>
      <c r="C26" s="458"/>
      <c r="D26" s="379"/>
      <c r="E26" s="380"/>
      <c r="F26" s="380"/>
      <c r="G26" s="380"/>
      <c r="H26" s="380"/>
      <c r="I26" s="380"/>
      <c r="J26" s="380"/>
      <c r="K26" s="380"/>
      <c r="L26" s="380"/>
      <c r="M26" s="380"/>
      <c r="N26" s="380"/>
      <c r="O26" s="380"/>
      <c r="P26" s="380"/>
      <c r="Q26" s="381"/>
      <c r="R26" s="382"/>
      <c r="S26" s="371"/>
      <c r="T26" s="366"/>
      <c r="U26" s="382"/>
      <c r="V26" s="371"/>
      <c r="W26" s="366"/>
      <c r="X26" s="382"/>
      <c r="Y26" s="371"/>
      <c r="Z26" s="366"/>
      <c r="AA26" s="382"/>
      <c r="AB26" s="371"/>
      <c r="AC26" s="366"/>
      <c r="AD26" s="382"/>
      <c r="AE26" s="371"/>
      <c r="AF26" s="366"/>
      <c r="AG26" s="468"/>
      <c r="AH26" s="469"/>
      <c r="AI26" s="469"/>
      <c r="AJ26" s="469"/>
      <c r="AK26" s="469"/>
      <c r="AL26" s="469"/>
      <c r="AM26" s="469"/>
      <c r="AN26" s="469"/>
      <c r="AO26" s="469"/>
      <c r="AP26" s="469"/>
      <c r="AQ26" s="469"/>
      <c r="AR26" s="469"/>
      <c r="AS26" s="469"/>
      <c r="AT26" s="469"/>
      <c r="AU26" s="469"/>
      <c r="AV26" s="469"/>
      <c r="AW26" s="469"/>
      <c r="AX26" s="469"/>
      <c r="AY26" s="469"/>
      <c r="AZ26" s="469"/>
      <c r="BA26" s="469"/>
      <c r="BB26" s="469"/>
      <c r="BC26" s="470"/>
      <c r="BD26" s="382"/>
      <c r="BE26" s="371"/>
      <c r="BF26" s="371"/>
      <c r="BG26" s="371"/>
      <c r="BH26" s="371"/>
      <c r="BI26" s="371"/>
      <c r="BJ26" s="366"/>
    </row>
    <row r="27" spans="1:63" ht="30" customHeight="1">
      <c r="A27" s="456"/>
      <c r="B27" s="457"/>
      <c r="C27" s="458"/>
      <c r="D27" s="379"/>
      <c r="E27" s="380"/>
      <c r="F27" s="380"/>
      <c r="G27" s="380"/>
      <c r="H27" s="380"/>
      <c r="I27" s="380"/>
      <c r="J27" s="380"/>
      <c r="K27" s="380"/>
      <c r="L27" s="380"/>
      <c r="M27" s="380"/>
      <c r="N27" s="380"/>
      <c r="O27" s="380"/>
      <c r="P27" s="380"/>
      <c r="Q27" s="381"/>
      <c r="R27" s="382"/>
      <c r="S27" s="371"/>
      <c r="T27" s="366"/>
      <c r="U27" s="382"/>
      <c r="V27" s="371"/>
      <c r="W27" s="366"/>
      <c r="X27" s="382"/>
      <c r="Y27" s="371"/>
      <c r="Z27" s="366"/>
      <c r="AA27" s="382"/>
      <c r="AB27" s="371"/>
      <c r="AC27" s="366"/>
      <c r="AD27" s="382"/>
      <c r="AE27" s="371"/>
      <c r="AF27" s="366"/>
      <c r="AG27" s="468"/>
      <c r="AH27" s="469"/>
      <c r="AI27" s="469"/>
      <c r="AJ27" s="469"/>
      <c r="AK27" s="469"/>
      <c r="AL27" s="469"/>
      <c r="AM27" s="469"/>
      <c r="AN27" s="469"/>
      <c r="AO27" s="469"/>
      <c r="AP27" s="469"/>
      <c r="AQ27" s="469"/>
      <c r="AR27" s="469"/>
      <c r="AS27" s="469"/>
      <c r="AT27" s="469"/>
      <c r="AU27" s="469"/>
      <c r="AV27" s="469"/>
      <c r="AW27" s="469"/>
      <c r="AX27" s="469"/>
      <c r="AY27" s="469"/>
      <c r="AZ27" s="469"/>
      <c r="BA27" s="469"/>
      <c r="BB27" s="469"/>
      <c r="BC27" s="470"/>
      <c r="BD27" s="382"/>
      <c r="BE27" s="371"/>
      <c r="BF27" s="371"/>
      <c r="BG27" s="371"/>
      <c r="BH27" s="371"/>
      <c r="BI27" s="371"/>
      <c r="BJ27" s="366"/>
    </row>
    <row r="28" spans="1:63" ht="30" customHeight="1">
      <c r="A28" s="471"/>
      <c r="B28" s="472"/>
      <c r="C28" s="473"/>
      <c r="D28" s="437"/>
      <c r="E28" s="438"/>
      <c r="F28" s="438"/>
      <c r="G28" s="438"/>
      <c r="H28" s="438"/>
      <c r="I28" s="438"/>
      <c r="J28" s="438"/>
      <c r="K28" s="438"/>
      <c r="L28" s="438"/>
      <c r="M28" s="438"/>
      <c r="N28" s="438"/>
      <c r="O28" s="438"/>
      <c r="P28" s="438"/>
      <c r="Q28" s="439"/>
      <c r="R28" s="414"/>
      <c r="S28" s="415"/>
      <c r="T28" s="416"/>
      <c r="U28" s="414"/>
      <c r="V28" s="415"/>
      <c r="W28" s="416"/>
      <c r="X28" s="414"/>
      <c r="Y28" s="415"/>
      <c r="Z28" s="416"/>
      <c r="AA28" s="414"/>
      <c r="AB28" s="415"/>
      <c r="AC28" s="416"/>
      <c r="AD28" s="414"/>
      <c r="AE28" s="415"/>
      <c r="AF28" s="416"/>
      <c r="AG28" s="437"/>
      <c r="AH28" s="438"/>
      <c r="AI28" s="438"/>
      <c r="AJ28" s="438"/>
      <c r="AK28" s="438"/>
      <c r="AL28" s="438"/>
      <c r="AM28" s="438"/>
      <c r="AN28" s="438"/>
      <c r="AO28" s="438"/>
      <c r="AP28" s="438"/>
      <c r="AQ28" s="438"/>
      <c r="AR28" s="438"/>
      <c r="AS28" s="438"/>
      <c r="AT28" s="438"/>
      <c r="AU28" s="438"/>
      <c r="AV28" s="438"/>
      <c r="AW28" s="438"/>
      <c r="AX28" s="438"/>
      <c r="AY28" s="438"/>
      <c r="AZ28" s="438"/>
      <c r="BA28" s="438"/>
      <c r="BB28" s="438"/>
      <c r="BC28" s="439"/>
      <c r="BD28" s="414"/>
      <c r="BE28" s="415"/>
      <c r="BF28" s="415"/>
      <c r="BG28" s="415"/>
      <c r="BH28" s="415"/>
      <c r="BI28" s="415"/>
      <c r="BJ28" s="416"/>
    </row>
    <row r="29" spans="1:63" s="24" customFormat="1" ht="5.25" customHeight="1">
      <c r="B29" s="25"/>
      <c r="C29" s="25"/>
      <c r="D29" s="25"/>
      <c r="E29" s="25"/>
      <c r="F29" s="25"/>
      <c r="G29" s="25"/>
      <c r="H29" s="25"/>
      <c r="I29" s="25"/>
      <c r="J29" s="25"/>
      <c r="K29" s="25"/>
      <c r="L29" s="25"/>
      <c r="M29" s="25"/>
      <c r="N29" s="25"/>
      <c r="O29" s="25"/>
      <c r="P29" s="25"/>
      <c r="Q29" s="25"/>
      <c r="R29" s="25"/>
      <c r="S29" s="25"/>
    </row>
    <row r="30" spans="1:63" ht="24" customHeight="1"/>
    <row r="31" spans="1:63" ht="24" customHeight="1"/>
    <row r="32" spans="1:63" ht="24" customHeight="1"/>
    <row r="33" ht="24" customHeight="1"/>
    <row r="34" ht="24" customHeight="1"/>
    <row r="35" ht="17.149999999999999" customHeight="1"/>
    <row r="36" ht="17.149999999999999" customHeight="1"/>
    <row r="37" ht="17.149999999999999" customHeight="1"/>
    <row r="38" ht="17.149999999999999" customHeight="1"/>
  </sheetData>
  <mergeCells count="200">
    <mergeCell ref="A13:C13"/>
    <mergeCell ref="D13:Q13"/>
    <mergeCell ref="R13:T13"/>
    <mergeCell ref="U13:W13"/>
    <mergeCell ref="A14:C14"/>
    <mergeCell ref="A15:C15"/>
    <mergeCell ref="D14:Q14"/>
    <mergeCell ref="BD14:BJ14"/>
    <mergeCell ref="D18:Q18"/>
    <mergeCell ref="U18:W18"/>
    <mergeCell ref="AG18:BC18"/>
    <mergeCell ref="D15:Q15"/>
    <mergeCell ref="X13:Z13"/>
    <mergeCell ref="AA13:AC13"/>
    <mergeCell ref="AD13:AF13"/>
    <mergeCell ref="AG13:BC13"/>
    <mergeCell ref="R14:T14"/>
    <mergeCell ref="BD13:BJ13"/>
    <mergeCell ref="R15:T15"/>
    <mergeCell ref="U14:W14"/>
    <mergeCell ref="X14:Z14"/>
    <mergeCell ref="AA14:AC14"/>
    <mergeCell ref="AD14:AF14"/>
    <mergeCell ref="U15:W15"/>
    <mergeCell ref="BD15:BJ15"/>
    <mergeCell ref="AG19:BC19"/>
    <mergeCell ref="BD19:BJ19"/>
    <mergeCell ref="BD18:BJ18"/>
    <mergeCell ref="R18:T18"/>
    <mergeCell ref="X18:Z18"/>
    <mergeCell ref="AA18:AC18"/>
    <mergeCell ref="AD18:AF18"/>
    <mergeCell ref="U16:W16"/>
    <mergeCell ref="X16:Z16"/>
    <mergeCell ref="AG16:BC16"/>
    <mergeCell ref="BD17:BJ17"/>
    <mergeCell ref="AG17:BC17"/>
    <mergeCell ref="AA17:AC17"/>
    <mergeCell ref="AD17:AF17"/>
    <mergeCell ref="BD16:BJ16"/>
    <mergeCell ref="AA19:AC19"/>
    <mergeCell ref="AD19:AF19"/>
    <mergeCell ref="X15:Z15"/>
    <mergeCell ref="AA15:AC15"/>
    <mergeCell ref="AD15:AF15"/>
    <mergeCell ref="R8:T8"/>
    <mergeCell ref="U8:W8"/>
    <mergeCell ref="X8:Z8"/>
    <mergeCell ref="AA8:AC8"/>
    <mergeCell ref="D28:Q28"/>
    <mergeCell ref="D20:Q20"/>
    <mergeCell ref="D21:Q21"/>
    <mergeCell ref="D22:Q22"/>
    <mergeCell ref="D23:Q23"/>
    <mergeCell ref="D19:Q19"/>
    <mergeCell ref="U22:W22"/>
    <mergeCell ref="X22:Z22"/>
    <mergeCell ref="R19:T19"/>
    <mergeCell ref="U19:W19"/>
    <mergeCell ref="X19:Z19"/>
    <mergeCell ref="R25:T25"/>
    <mergeCell ref="X24:Z24"/>
    <mergeCell ref="R9:T9"/>
    <mergeCell ref="U9:W9"/>
    <mergeCell ref="X9:Z9"/>
    <mergeCell ref="D11:Q11"/>
    <mergeCell ref="AA24:AC24"/>
    <mergeCell ref="A2:AU2"/>
    <mergeCell ref="AV2:AY2"/>
    <mergeCell ref="AZ2:BC2"/>
    <mergeCell ref="BD2:BF2"/>
    <mergeCell ref="BG2:BJ2"/>
    <mergeCell ref="A3:G3"/>
    <mergeCell ref="H3:AU3"/>
    <mergeCell ref="AV3:AY3"/>
    <mergeCell ref="AZ3:BJ3"/>
    <mergeCell ref="A4:G4"/>
    <mergeCell ref="H4:AU4"/>
    <mergeCell ref="AD8:AF8"/>
    <mergeCell ref="AA9:AC9"/>
    <mergeCell ref="AD9:AF9"/>
    <mergeCell ref="AA10:AC10"/>
    <mergeCell ref="BD10:BJ10"/>
    <mergeCell ref="AD10:AF10"/>
    <mergeCell ref="AG10:BC10"/>
    <mergeCell ref="AG9:BC9"/>
    <mergeCell ref="D9:Q9"/>
    <mergeCell ref="AV4:AY4"/>
    <mergeCell ref="AZ4:BJ4"/>
    <mergeCell ref="A6:G6"/>
    <mergeCell ref="H6:BJ6"/>
    <mergeCell ref="BD8:BJ8"/>
    <mergeCell ref="A10:C10"/>
    <mergeCell ref="D10:Q10"/>
    <mergeCell ref="R10:T10"/>
    <mergeCell ref="U10:W10"/>
    <mergeCell ref="X10:Z10"/>
    <mergeCell ref="AG8:BC8"/>
    <mergeCell ref="A8:C8"/>
    <mergeCell ref="D8:Q8"/>
    <mergeCell ref="BD12:BJ12"/>
    <mergeCell ref="A12:C12"/>
    <mergeCell ref="D12:Q12"/>
    <mergeCell ref="R12:T12"/>
    <mergeCell ref="U12:W12"/>
    <mergeCell ref="X12:Z12"/>
    <mergeCell ref="AA12:AC12"/>
    <mergeCell ref="AD12:AF12"/>
    <mergeCell ref="AG12:BC12"/>
    <mergeCell ref="BD9:BJ9"/>
    <mergeCell ref="A11:C11"/>
    <mergeCell ref="R11:T11"/>
    <mergeCell ref="U11:W11"/>
    <mergeCell ref="X11:Z11"/>
    <mergeCell ref="A9:C9"/>
    <mergeCell ref="AA11:AC11"/>
    <mergeCell ref="AD11:AF11"/>
    <mergeCell ref="BD11:BJ11"/>
    <mergeCell ref="AG11:BC11"/>
    <mergeCell ref="AD24:AF24"/>
    <mergeCell ref="D25:Q25"/>
    <mergeCell ref="AG14:BC14"/>
    <mergeCell ref="A16:C16"/>
    <mergeCell ref="R16:T16"/>
    <mergeCell ref="D16:Q16"/>
    <mergeCell ref="D17:Q17"/>
    <mergeCell ref="R17:T17"/>
    <mergeCell ref="AA16:AC16"/>
    <mergeCell ref="AD16:AF16"/>
    <mergeCell ref="U17:W17"/>
    <mergeCell ref="X17:Z17"/>
    <mergeCell ref="A17:C17"/>
    <mergeCell ref="A18:C18"/>
    <mergeCell ref="A19:C19"/>
    <mergeCell ref="AG15:BC15"/>
    <mergeCell ref="R22:T22"/>
    <mergeCell ref="AA22:AC22"/>
    <mergeCell ref="AD22:AF22"/>
    <mergeCell ref="BD22:BJ22"/>
    <mergeCell ref="A21:C21"/>
    <mergeCell ref="R21:T21"/>
    <mergeCell ref="U21:W21"/>
    <mergeCell ref="X21:Z21"/>
    <mergeCell ref="AA21:AC21"/>
    <mergeCell ref="AD21:AF21"/>
    <mergeCell ref="A20:C20"/>
    <mergeCell ref="R20:T20"/>
    <mergeCell ref="U20:W20"/>
    <mergeCell ref="X20:Z20"/>
    <mergeCell ref="AA20:AC20"/>
    <mergeCell ref="AD20:AF20"/>
    <mergeCell ref="BD20:BJ20"/>
    <mergeCell ref="AG28:BC28"/>
    <mergeCell ref="AG20:BC20"/>
    <mergeCell ref="AG21:BC21"/>
    <mergeCell ref="AG22:BC22"/>
    <mergeCell ref="AG23:BC23"/>
    <mergeCell ref="BD23:BJ23"/>
    <mergeCell ref="A24:C24"/>
    <mergeCell ref="R24:T24"/>
    <mergeCell ref="U24:W24"/>
    <mergeCell ref="BD24:BJ24"/>
    <mergeCell ref="A23:C23"/>
    <mergeCell ref="U23:W23"/>
    <mergeCell ref="AG24:BC24"/>
    <mergeCell ref="D24:Q24"/>
    <mergeCell ref="BD28:BJ28"/>
    <mergeCell ref="BD21:BJ21"/>
    <mergeCell ref="A22:C22"/>
    <mergeCell ref="A28:C28"/>
    <mergeCell ref="R28:T28"/>
    <mergeCell ref="U28:W28"/>
    <mergeCell ref="X28:Z28"/>
    <mergeCell ref="AA28:AC28"/>
    <mergeCell ref="AD28:AF28"/>
    <mergeCell ref="BD27:BJ27"/>
    <mergeCell ref="A27:C27"/>
    <mergeCell ref="R27:T27"/>
    <mergeCell ref="U27:W27"/>
    <mergeCell ref="X27:Z27"/>
    <mergeCell ref="AA27:AC27"/>
    <mergeCell ref="AD27:AF27"/>
    <mergeCell ref="AG27:BC27"/>
    <mergeCell ref="D27:Q27"/>
    <mergeCell ref="BD25:BJ25"/>
    <mergeCell ref="BD26:BJ26"/>
    <mergeCell ref="A26:C26"/>
    <mergeCell ref="R26:T26"/>
    <mergeCell ref="U26:W26"/>
    <mergeCell ref="X26:Z26"/>
    <mergeCell ref="AA26:AC26"/>
    <mergeCell ref="AD26:AF26"/>
    <mergeCell ref="AG26:BC26"/>
    <mergeCell ref="U25:W25"/>
    <mergeCell ref="X25:Z25"/>
    <mergeCell ref="AA25:AC25"/>
    <mergeCell ref="AD25:AF25"/>
    <mergeCell ref="AG25:BC25"/>
    <mergeCell ref="A25:C25"/>
    <mergeCell ref="D26:Q26"/>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BK49"/>
  <sheetViews>
    <sheetView view="pageBreakPreview" zoomScaleNormal="100" zoomScaleSheetLayoutView="100" workbookViewId="0"/>
  </sheetViews>
  <sheetFormatPr defaultColWidth="1.90625" defaultRowHeight="14"/>
  <cols>
    <col min="1" max="74" width="2.08984375" style="22" customWidth="1"/>
    <col min="75" max="16384" width="1.9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55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56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7" t="s">
        <v>34</v>
      </c>
      <c r="B8" s="258"/>
      <c r="C8" s="259"/>
      <c r="D8" s="257" t="s">
        <v>57</v>
      </c>
      <c r="E8" s="258"/>
      <c r="F8" s="258"/>
      <c r="G8" s="258"/>
      <c r="H8" s="258"/>
      <c r="I8" s="258"/>
      <c r="J8" s="258"/>
      <c r="K8" s="258"/>
      <c r="L8" s="258"/>
      <c r="M8" s="258"/>
      <c r="N8" s="258"/>
      <c r="O8" s="258"/>
      <c r="P8" s="259"/>
      <c r="Q8" s="257" t="s">
        <v>58</v>
      </c>
      <c r="R8" s="258"/>
      <c r="S8" s="258"/>
      <c r="T8" s="258"/>
      <c r="U8" s="258"/>
      <c r="V8" s="258"/>
      <c r="W8" s="258"/>
      <c r="X8" s="258"/>
      <c r="Y8" s="258"/>
      <c r="Z8" s="258"/>
      <c r="AA8" s="258"/>
      <c r="AB8" s="258"/>
      <c r="AC8" s="258"/>
      <c r="AD8" s="258"/>
      <c r="AE8" s="258"/>
      <c r="AF8" s="258"/>
      <c r="AG8" s="258"/>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row>
    <row r="9" spans="1:63" ht="37.4" customHeight="1">
      <c r="A9" s="476">
        <f>ROW()-8</f>
        <v>1</v>
      </c>
      <c r="B9" s="457"/>
      <c r="C9" s="458"/>
      <c r="D9" s="477" t="s">
        <v>326</v>
      </c>
      <c r="E9" s="478"/>
      <c r="F9" s="478"/>
      <c r="G9" s="478"/>
      <c r="H9" s="478"/>
      <c r="I9" s="478"/>
      <c r="J9" s="478"/>
      <c r="K9" s="478"/>
      <c r="L9" s="478"/>
      <c r="M9" s="478"/>
      <c r="N9" s="478"/>
      <c r="O9" s="478"/>
      <c r="P9" s="479"/>
      <c r="Q9" s="480" t="s">
        <v>328</v>
      </c>
      <c r="R9" s="481"/>
      <c r="S9" s="481"/>
      <c r="T9" s="481"/>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1"/>
      <c r="AZ9" s="481"/>
      <c r="BA9" s="481"/>
      <c r="BB9" s="481"/>
      <c r="BC9" s="482"/>
      <c r="BD9" s="382"/>
      <c r="BE9" s="371"/>
      <c r="BF9" s="371"/>
      <c r="BG9" s="371"/>
      <c r="BH9" s="371"/>
      <c r="BI9" s="371"/>
      <c r="BJ9" s="366"/>
    </row>
    <row r="10" spans="1:63" ht="50.15" customHeight="1">
      <c r="A10" s="476">
        <f>ROW()-8</f>
        <v>2</v>
      </c>
      <c r="B10" s="457"/>
      <c r="C10" s="458"/>
      <c r="D10" s="477" t="s">
        <v>333</v>
      </c>
      <c r="E10" s="484"/>
      <c r="F10" s="484"/>
      <c r="G10" s="484"/>
      <c r="H10" s="484"/>
      <c r="I10" s="484"/>
      <c r="J10" s="484"/>
      <c r="K10" s="484"/>
      <c r="L10" s="484"/>
      <c r="M10" s="484"/>
      <c r="N10" s="484"/>
      <c r="O10" s="484"/>
      <c r="P10" s="485"/>
      <c r="Q10" s="480" t="s">
        <v>437</v>
      </c>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481"/>
      <c r="BA10" s="481"/>
      <c r="BB10" s="481"/>
      <c r="BC10" s="482"/>
      <c r="BD10" s="382"/>
      <c r="BE10" s="371"/>
      <c r="BF10" s="371"/>
      <c r="BG10" s="371"/>
      <c r="BH10" s="371"/>
      <c r="BI10" s="371"/>
      <c r="BJ10" s="366"/>
    </row>
    <row r="11" spans="1:63" ht="50.15" customHeight="1">
      <c r="A11" s="476">
        <f>ROW()-8</f>
        <v>3</v>
      </c>
      <c r="B11" s="457"/>
      <c r="C11" s="458"/>
      <c r="D11" s="483" t="s">
        <v>325</v>
      </c>
      <c r="E11" s="484"/>
      <c r="F11" s="484"/>
      <c r="G11" s="484"/>
      <c r="H11" s="484"/>
      <c r="I11" s="484"/>
      <c r="J11" s="484"/>
      <c r="K11" s="484"/>
      <c r="L11" s="484"/>
      <c r="M11" s="484"/>
      <c r="N11" s="484"/>
      <c r="O11" s="484"/>
      <c r="P11" s="485"/>
      <c r="Q11" s="480" t="s">
        <v>329</v>
      </c>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c r="BB11" s="481"/>
      <c r="BC11" s="482"/>
      <c r="BD11" s="382"/>
      <c r="BE11" s="371"/>
      <c r="BF11" s="371"/>
      <c r="BG11" s="371"/>
      <c r="BH11" s="371"/>
      <c r="BI11" s="371"/>
      <c r="BJ11" s="366"/>
    </row>
    <row r="12" spans="1:63" ht="57" customHeight="1">
      <c r="A12" s="476">
        <f t="shared" ref="A12:A16" si="0">ROW()-8</f>
        <v>4</v>
      </c>
      <c r="B12" s="457"/>
      <c r="C12" s="458"/>
      <c r="D12" s="477" t="s">
        <v>327</v>
      </c>
      <c r="E12" s="478"/>
      <c r="F12" s="478"/>
      <c r="G12" s="478"/>
      <c r="H12" s="478"/>
      <c r="I12" s="478"/>
      <c r="J12" s="478"/>
      <c r="K12" s="478"/>
      <c r="L12" s="478"/>
      <c r="M12" s="478"/>
      <c r="N12" s="478"/>
      <c r="O12" s="478"/>
      <c r="P12" s="479"/>
      <c r="Q12" s="480" t="s">
        <v>330</v>
      </c>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481"/>
      <c r="BA12" s="481"/>
      <c r="BB12" s="481"/>
      <c r="BC12" s="482"/>
      <c r="BD12" s="382"/>
      <c r="BE12" s="371"/>
      <c r="BF12" s="371"/>
      <c r="BG12" s="371"/>
      <c r="BH12" s="371"/>
      <c r="BI12" s="371"/>
      <c r="BJ12" s="366"/>
    </row>
    <row r="13" spans="1:63" ht="57" customHeight="1">
      <c r="A13" s="476">
        <f t="shared" si="0"/>
        <v>5</v>
      </c>
      <c r="B13" s="457"/>
      <c r="C13" s="458"/>
      <c r="D13" s="477" t="s">
        <v>327</v>
      </c>
      <c r="E13" s="478"/>
      <c r="F13" s="478"/>
      <c r="G13" s="478"/>
      <c r="H13" s="478"/>
      <c r="I13" s="478"/>
      <c r="J13" s="478"/>
      <c r="K13" s="478"/>
      <c r="L13" s="478"/>
      <c r="M13" s="478"/>
      <c r="N13" s="478"/>
      <c r="O13" s="478"/>
      <c r="P13" s="479"/>
      <c r="Q13" s="480" t="s">
        <v>331</v>
      </c>
      <c r="R13" s="481"/>
      <c r="S13" s="481"/>
      <c r="T13" s="481"/>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c r="AU13" s="481"/>
      <c r="AV13" s="481"/>
      <c r="AW13" s="481"/>
      <c r="AX13" s="481"/>
      <c r="AY13" s="481"/>
      <c r="AZ13" s="481"/>
      <c r="BA13" s="481"/>
      <c r="BB13" s="481"/>
      <c r="BC13" s="482"/>
      <c r="BD13" s="382"/>
      <c r="BE13" s="371"/>
      <c r="BF13" s="371"/>
      <c r="BG13" s="371"/>
      <c r="BH13" s="371"/>
      <c r="BI13" s="371"/>
      <c r="BJ13" s="366"/>
    </row>
    <row r="14" spans="1:63" ht="53.9" customHeight="1">
      <c r="A14" s="476">
        <f t="shared" si="0"/>
        <v>6</v>
      </c>
      <c r="B14" s="457"/>
      <c r="C14" s="458"/>
      <c r="D14" s="477" t="s">
        <v>323</v>
      </c>
      <c r="E14" s="478"/>
      <c r="F14" s="478"/>
      <c r="G14" s="478"/>
      <c r="H14" s="478"/>
      <c r="I14" s="478"/>
      <c r="J14" s="478"/>
      <c r="K14" s="478"/>
      <c r="L14" s="478"/>
      <c r="M14" s="478"/>
      <c r="N14" s="478"/>
      <c r="O14" s="478"/>
      <c r="P14" s="479"/>
      <c r="Q14" s="480" t="s">
        <v>462</v>
      </c>
      <c r="R14" s="481"/>
      <c r="S14" s="481"/>
      <c r="T14" s="481"/>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c r="AU14" s="481"/>
      <c r="AV14" s="481"/>
      <c r="AW14" s="481"/>
      <c r="AX14" s="481"/>
      <c r="AY14" s="481"/>
      <c r="AZ14" s="481"/>
      <c r="BA14" s="481"/>
      <c r="BB14" s="481"/>
      <c r="BC14" s="482"/>
      <c r="BD14" s="382"/>
      <c r="BE14" s="371"/>
      <c r="BF14" s="371"/>
      <c r="BG14" s="371"/>
      <c r="BH14" s="371"/>
      <c r="BI14" s="371"/>
      <c r="BJ14" s="366"/>
    </row>
    <row r="15" spans="1:63" ht="43.5" customHeight="1">
      <c r="A15" s="476">
        <f t="shared" si="0"/>
        <v>7</v>
      </c>
      <c r="B15" s="457"/>
      <c r="C15" s="458"/>
      <c r="D15" s="477" t="s">
        <v>324</v>
      </c>
      <c r="E15" s="478"/>
      <c r="F15" s="478"/>
      <c r="G15" s="478"/>
      <c r="H15" s="478"/>
      <c r="I15" s="478"/>
      <c r="J15" s="478"/>
      <c r="K15" s="478"/>
      <c r="L15" s="478"/>
      <c r="M15" s="478"/>
      <c r="N15" s="478"/>
      <c r="O15" s="478"/>
      <c r="P15" s="479"/>
      <c r="Q15" s="480" t="s">
        <v>461</v>
      </c>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2"/>
      <c r="BD15" s="382"/>
      <c r="BE15" s="371"/>
      <c r="BF15" s="371"/>
      <c r="BG15" s="371"/>
      <c r="BH15" s="371"/>
      <c r="BI15" s="371"/>
      <c r="BJ15" s="366"/>
    </row>
    <row r="16" spans="1:63" ht="40.5" customHeight="1">
      <c r="A16" s="476">
        <f t="shared" si="0"/>
        <v>8</v>
      </c>
      <c r="B16" s="457"/>
      <c r="C16" s="458"/>
      <c r="D16" s="477" t="s">
        <v>318</v>
      </c>
      <c r="E16" s="478"/>
      <c r="F16" s="478"/>
      <c r="G16" s="478"/>
      <c r="H16" s="478"/>
      <c r="I16" s="478"/>
      <c r="J16" s="478"/>
      <c r="K16" s="478"/>
      <c r="L16" s="478"/>
      <c r="M16" s="478"/>
      <c r="N16" s="478"/>
      <c r="O16" s="478"/>
      <c r="P16" s="479"/>
      <c r="Q16" s="480" t="s">
        <v>319</v>
      </c>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481"/>
      <c r="AX16" s="481"/>
      <c r="AY16" s="481"/>
      <c r="AZ16" s="481"/>
      <c r="BA16" s="481"/>
      <c r="BB16" s="481"/>
      <c r="BC16" s="482"/>
      <c r="BD16" s="382"/>
      <c r="BE16" s="371"/>
      <c r="BF16" s="371"/>
      <c r="BG16" s="371"/>
      <c r="BH16" s="371"/>
      <c r="BI16" s="371"/>
      <c r="BJ16" s="366"/>
    </row>
    <row r="17" spans="1:62" ht="30" customHeight="1">
      <c r="A17" s="476"/>
      <c r="B17" s="457"/>
      <c r="C17" s="458"/>
      <c r="D17" s="542"/>
      <c r="E17" s="543"/>
      <c r="F17" s="543"/>
      <c r="G17" s="543"/>
      <c r="H17" s="543"/>
      <c r="I17" s="543"/>
      <c r="J17" s="543"/>
      <c r="K17" s="543"/>
      <c r="L17" s="543"/>
      <c r="M17" s="543"/>
      <c r="N17" s="543"/>
      <c r="O17" s="543"/>
      <c r="P17" s="544"/>
      <c r="Q17" s="480"/>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1"/>
      <c r="AZ17" s="481"/>
      <c r="BA17" s="481"/>
      <c r="BB17" s="481"/>
      <c r="BC17" s="482"/>
      <c r="BD17" s="382"/>
      <c r="BE17" s="371"/>
      <c r="BF17" s="371"/>
      <c r="BG17" s="371"/>
      <c r="BH17" s="371"/>
      <c r="BI17" s="371"/>
      <c r="BJ17" s="366"/>
    </row>
    <row r="18" spans="1:62" ht="30" customHeight="1">
      <c r="A18" s="476"/>
      <c r="B18" s="457"/>
      <c r="C18" s="458"/>
      <c r="D18" s="542"/>
      <c r="E18" s="543"/>
      <c r="F18" s="543"/>
      <c r="G18" s="543"/>
      <c r="H18" s="543"/>
      <c r="I18" s="543"/>
      <c r="J18" s="543"/>
      <c r="K18" s="543"/>
      <c r="L18" s="543"/>
      <c r="M18" s="543"/>
      <c r="N18" s="543"/>
      <c r="O18" s="543"/>
      <c r="P18" s="544"/>
      <c r="Q18" s="480"/>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1"/>
      <c r="AZ18" s="481"/>
      <c r="BA18" s="481"/>
      <c r="BB18" s="481"/>
      <c r="BC18" s="482"/>
      <c r="BD18" s="382"/>
      <c r="BE18" s="371"/>
      <c r="BF18" s="371"/>
      <c r="BG18" s="371"/>
      <c r="BH18" s="371"/>
      <c r="BI18" s="371"/>
      <c r="BJ18" s="366"/>
    </row>
    <row r="19" spans="1:62" ht="30" customHeight="1">
      <c r="A19" s="476"/>
      <c r="B19" s="457"/>
      <c r="C19" s="458"/>
      <c r="D19" s="542"/>
      <c r="E19" s="543"/>
      <c r="F19" s="543"/>
      <c r="G19" s="543"/>
      <c r="H19" s="543"/>
      <c r="I19" s="543"/>
      <c r="J19" s="543"/>
      <c r="K19" s="543"/>
      <c r="L19" s="543"/>
      <c r="M19" s="543"/>
      <c r="N19" s="543"/>
      <c r="O19" s="543"/>
      <c r="P19" s="544"/>
      <c r="Q19" s="480"/>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1"/>
      <c r="AZ19" s="481"/>
      <c r="BA19" s="481"/>
      <c r="BB19" s="481"/>
      <c r="BC19" s="482"/>
      <c r="BD19" s="382"/>
      <c r="BE19" s="371"/>
      <c r="BF19" s="371"/>
      <c r="BG19" s="371"/>
      <c r="BH19" s="371"/>
      <c r="BI19" s="371"/>
      <c r="BJ19" s="366"/>
    </row>
    <row r="20" spans="1:62" ht="30" customHeight="1">
      <c r="A20" s="476"/>
      <c r="B20" s="457"/>
      <c r="C20" s="458"/>
      <c r="D20" s="542"/>
      <c r="E20" s="543"/>
      <c r="F20" s="543"/>
      <c r="G20" s="543"/>
      <c r="H20" s="543"/>
      <c r="I20" s="543"/>
      <c r="J20" s="543"/>
      <c r="K20" s="543"/>
      <c r="L20" s="543"/>
      <c r="M20" s="543"/>
      <c r="N20" s="543"/>
      <c r="O20" s="543"/>
      <c r="P20" s="544"/>
      <c r="Q20" s="480"/>
      <c r="R20" s="481"/>
      <c r="S20" s="481"/>
      <c r="T20" s="481"/>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1"/>
      <c r="AZ20" s="481"/>
      <c r="BA20" s="481"/>
      <c r="BB20" s="481"/>
      <c r="BC20" s="482"/>
      <c r="BD20" s="382"/>
      <c r="BE20" s="371"/>
      <c r="BF20" s="371"/>
      <c r="BG20" s="371"/>
      <c r="BH20" s="371"/>
      <c r="BI20" s="371"/>
      <c r="BJ20" s="366"/>
    </row>
    <row r="21" spans="1:62" ht="30" customHeight="1">
      <c r="A21" s="476"/>
      <c r="B21" s="457"/>
      <c r="C21" s="458"/>
      <c r="D21" s="379"/>
      <c r="E21" s="380"/>
      <c r="F21" s="380"/>
      <c r="G21" s="380"/>
      <c r="H21" s="380"/>
      <c r="I21" s="380"/>
      <c r="J21" s="380"/>
      <c r="K21" s="380"/>
      <c r="L21" s="380"/>
      <c r="M21" s="380"/>
      <c r="N21" s="380"/>
      <c r="O21" s="380"/>
      <c r="P21" s="381"/>
      <c r="Q21" s="390"/>
      <c r="R21" s="524"/>
      <c r="S21" s="524"/>
      <c r="T21" s="524"/>
      <c r="U21" s="524"/>
      <c r="V21" s="524"/>
      <c r="W21" s="524"/>
      <c r="X21" s="524"/>
      <c r="Y21" s="524"/>
      <c r="Z21" s="524"/>
      <c r="AA21" s="524"/>
      <c r="AB21" s="524"/>
      <c r="AC21" s="524"/>
      <c r="AD21" s="524"/>
      <c r="AE21" s="524"/>
      <c r="AF21" s="524"/>
      <c r="AG21" s="524"/>
      <c r="AH21" s="524"/>
      <c r="AI21" s="524"/>
      <c r="AJ21" s="524"/>
      <c r="AK21" s="524"/>
      <c r="AL21" s="524"/>
      <c r="AM21" s="524"/>
      <c r="AN21" s="524"/>
      <c r="AO21" s="524"/>
      <c r="AP21" s="524"/>
      <c r="AQ21" s="524"/>
      <c r="AR21" s="524"/>
      <c r="AS21" s="524"/>
      <c r="AT21" s="524"/>
      <c r="AU21" s="524"/>
      <c r="AV21" s="524"/>
      <c r="AW21" s="524"/>
      <c r="AX21" s="524"/>
      <c r="AY21" s="524"/>
      <c r="AZ21" s="524"/>
      <c r="BA21" s="524"/>
      <c r="BB21" s="524"/>
      <c r="BC21" s="525"/>
      <c r="BD21" s="382"/>
      <c r="BE21" s="371"/>
      <c r="BF21" s="371"/>
      <c r="BG21" s="371"/>
      <c r="BH21" s="371"/>
      <c r="BI21" s="371"/>
      <c r="BJ21" s="366"/>
    </row>
    <row r="22" spans="1:62" ht="30" customHeight="1">
      <c r="A22" s="476"/>
      <c r="B22" s="457"/>
      <c r="C22" s="458"/>
      <c r="D22" s="379"/>
      <c r="E22" s="380"/>
      <c r="F22" s="380"/>
      <c r="G22" s="380"/>
      <c r="H22" s="380"/>
      <c r="I22" s="380"/>
      <c r="J22" s="380"/>
      <c r="K22" s="380"/>
      <c r="L22" s="380"/>
      <c r="M22" s="380"/>
      <c r="N22" s="380"/>
      <c r="O22" s="380"/>
      <c r="P22" s="381"/>
      <c r="Q22" s="390"/>
      <c r="R22" s="524"/>
      <c r="S22" s="524"/>
      <c r="T22" s="524"/>
      <c r="U22" s="524"/>
      <c r="V22" s="524"/>
      <c r="W22" s="524"/>
      <c r="X22" s="524"/>
      <c r="Y22" s="524"/>
      <c r="Z22" s="524"/>
      <c r="AA22" s="524"/>
      <c r="AB22" s="524"/>
      <c r="AC22" s="524"/>
      <c r="AD22" s="524"/>
      <c r="AE22" s="524"/>
      <c r="AF22" s="524"/>
      <c r="AG22" s="524"/>
      <c r="AH22" s="524"/>
      <c r="AI22" s="524"/>
      <c r="AJ22" s="524"/>
      <c r="AK22" s="524"/>
      <c r="AL22" s="524"/>
      <c r="AM22" s="524"/>
      <c r="AN22" s="524"/>
      <c r="AO22" s="524"/>
      <c r="AP22" s="524"/>
      <c r="AQ22" s="524"/>
      <c r="AR22" s="524"/>
      <c r="AS22" s="524"/>
      <c r="AT22" s="524"/>
      <c r="AU22" s="524"/>
      <c r="AV22" s="524"/>
      <c r="AW22" s="524"/>
      <c r="AX22" s="524"/>
      <c r="AY22" s="524"/>
      <c r="AZ22" s="524"/>
      <c r="BA22" s="524"/>
      <c r="BB22" s="524"/>
      <c r="BC22" s="525"/>
      <c r="BD22" s="382"/>
      <c r="BE22" s="371"/>
      <c r="BF22" s="371"/>
      <c r="BG22" s="371"/>
      <c r="BH22" s="371"/>
      <c r="BI22" s="371"/>
      <c r="BJ22" s="366"/>
    </row>
    <row r="23" spans="1:62" ht="30" customHeight="1">
      <c r="A23" s="476"/>
      <c r="B23" s="457"/>
      <c r="C23" s="458"/>
      <c r="D23" s="379"/>
      <c r="E23" s="380"/>
      <c r="F23" s="380"/>
      <c r="G23" s="380"/>
      <c r="H23" s="380"/>
      <c r="I23" s="380"/>
      <c r="J23" s="380"/>
      <c r="K23" s="380"/>
      <c r="L23" s="380"/>
      <c r="M23" s="380"/>
      <c r="N23" s="380"/>
      <c r="O23" s="380"/>
      <c r="P23" s="381"/>
      <c r="Q23" s="390"/>
      <c r="R23" s="524"/>
      <c r="S23" s="524"/>
      <c r="T23" s="524"/>
      <c r="U23" s="524"/>
      <c r="V23" s="524"/>
      <c r="W23" s="524"/>
      <c r="X23" s="524"/>
      <c r="Y23" s="524"/>
      <c r="Z23" s="524"/>
      <c r="AA23" s="524"/>
      <c r="AB23" s="524"/>
      <c r="AC23" s="524"/>
      <c r="AD23" s="524"/>
      <c r="AE23" s="524"/>
      <c r="AF23" s="524"/>
      <c r="AG23" s="524"/>
      <c r="AH23" s="524"/>
      <c r="AI23" s="524"/>
      <c r="AJ23" s="524"/>
      <c r="AK23" s="524"/>
      <c r="AL23" s="524"/>
      <c r="AM23" s="524"/>
      <c r="AN23" s="524"/>
      <c r="AO23" s="524"/>
      <c r="AP23" s="524"/>
      <c r="AQ23" s="524"/>
      <c r="AR23" s="524"/>
      <c r="AS23" s="524"/>
      <c r="AT23" s="524"/>
      <c r="AU23" s="524"/>
      <c r="AV23" s="524"/>
      <c r="AW23" s="524"/>
      <c r="AX23" s="524"/>
      <c r="AY23" s="524"/>
      <c r="AZ23" s="524"/>
      <c r="BA23" s="524"/>
      <c r="BB23" s="524"/>
      <c r="BC23" s="525"/>
      <c r="BD23" s="382"/>
      <c r="BE23" s="371"/>
      <c r="BF23" s="371"/>
      <c r="BG23" s="371"/>
      <c r="BH23" s="371"/>
      <c r="BI23" s="371"/>
      <c r="BJ23" s="366"/>
    </row>
    <row r="24" spans="1:62" ht="30" customHeight="1">
      <c r="A24" s="476"/>
      <c r="B24" s="457"/>
      <c r="C24" s="458"/>
      <c r="D24" s="379"/>
      <c r="E24" s="380"/>
      <c r="F24" s="380"/>
      <c r="G24" s="380"/>
      <c r="H24" s="380"/>
      <c r="I24" s="380"/>
      <c r="J24" s="380"/>
      <c r="K24" s="380"/>
      <c r="L24" s="380"/>
      <c r="M24" s="380"/>
      <c r="N24" s="380"/>
      <c r="O24" s="380"/>
      <c r="P24" s="381"/>
      <c r="Q24" s="390"/>
      <c r="R24" s="524"/>
      <c r="S24" s="524"/>
      <c r="T24" s="524"/>
      <c r="U24" s="524"/>
      <c r="V24" s="524"/>
      <c r="W24" s="524"/>
      <c r="X24" s="524"/>
      <c r="Y24" s="524"/>
      <c r="Z24" s="524"/>
      <c r="AA24" s="524"/>
      <c r="AB24" s="524"/>
      <c r="AC24" s="524"/>
      <c r="AD24" s="524"/>
      <c r="AE24" s="524"/>
      <c r="AF24" s="524"/>
      <c r="AG24" s="524"/>
      <c r="AH24" s="524"/>
      <c r="AI24" s="524"/>
      <c r="AJ24" s="524"/>
      <c r="AK24" s="524"/>
      <c r="AL24" s="524"/>
      <c r="AM24" s="524"/>
      <c r="AN24" s="524"/>
      <c r="AO24" s="524"/>
      <c r="AP24" s="524"/>
      <c r="AQ24" s="524"/>
      <c r="AR24" s="524"/>
      <c r="AS24" s="524"/>
      <c r="AT24" s="524"/>
      <c r="AU24" s="524"/>
      <c r="AV24" s="524"/>
      <c r="AW24" s="524"/>
      <c r="AX24" s="524"/>
      <c r="AY24" s="524"/>
      <c r="AZ24" s="524"/>
      <c r="BA24" s="524"/>
      <c r="BB24" s="524"/>
      <c r="BC24" s="525"/>
      <c r="BD24" s="382"/>
      <c r="BE24" s="371"/>
      <c r="BF24" s="371"/>
      <c r="BG24" s="371"/>
      <c r="BH24" s="371"/>
      <c r="BI24" s="371"/>
      <c r="BJ24" s="366"/>
    </row>
    <row r="25" spans="1:62" ht="30" customHeight="1">
      <c r="A25" s="476"/>
      <c r="B25" s="457"/>
      <c r="C25" s="458"/>
      <c r="D25" s="379"/>
      <c r="E25" s="380"/>
      <c r="F25" s="380"/>
      <c r="G25" s="380"/>
      <c r="H25" s="380"/>
      <c r="I25" s="380"/>
      <c r="J25" s="380"/>
      <c r="K25" s="380"/>
      <c r="L25" s="380"/>
      <c r="M25" s="380"/>
      <c r="N25" s="380"/>
      <c r="O25" s="380"/>
      <c r="P25" s="381"/>
      <c r="Q25" s="390"/>
      <c r="R25" s="524"/>
      <c r="S25" s="524"/>
      <c r="T25" s="524"/>
      <c r="U25" s="524"/>
      <c r="V25" s="524"/>
      <c r="W25" s="524"/>
      <c r="X25" s="524"/>
      <c r="Y25" s="524"/>
      <c r="Z25" s="524"/>
      <c r="AA25" s="524"/>
      <c r="AB25" s="524"/>
      <c r="AC25" s="524"/>
      <c r="AD25" s="524"/>
      <c r="AE25" s="524"/>
      <c r="AF25" s="524"/>
      <c r="AG25" s="524"/>
      <c r="AH25" s="524"/>
      <c r="AI25" s="524"/>
      <c r="AJ25" s="524"/>
      <c r="AK25" s="524"/>
      <c r="AL25" s="524"/>
      <c r="AM25" s="524"/>
      <c r="AN25" s="524"/>
      <c r="AO25" s="524"/>
      <c r="AP25" s="524"/>
      <c r="AQ25" s="524"/>
      <c r="AR25" s="524"/>
      <c r="AS25" s="524"/>
      <c r="AT25" s="524"/>
      <c r="AU25" s="524"/>
      <c r="AV25" s="524"/>
      <c r="AW25" s="524"/>
      <c r="AX25" s="524"/>
      <c r="AY25" s="524"/>
      <c r="AZ25" s="524"/>
      <c r="BA25" s="524"/>
      <c r="BB25" s="524"/>
      <c r="BC25" s="525"/>
      <c r="BD25" s="382"/>
      <c r="BE25" s="371"/>
      <c r="BF25" s="371"/>
      <c r="BG25" s="371"/>
      <c r="BH25" s="371"/>
      <c r="BI25" s="371"/>
      <c r="BJ25" s="366"/>
    </row>
    <row r="26" spans="1:62" ht="30" customHeight="1">
      <c r="A26" s="476"/>
      <c r="B26" s="457"/>
      <c r="C26" s="458"/>
      <c r="D26" s="379"/>
      <c r="E26" s="380"/>
      <c r="F26" s="380"/>
      <c r="G26" s="380"/>
      <c r="H26" s="380"/>
      <c r="I26" s="380"/>
      <c r="J26" s="380"/>
      <c r="K26" s="380"/>
      <c r="L26" s="380"/>
      <c r="M26" s="380"/>
      <c r="N26" s="380"/>
      <c r="O26" s="380"/>
      <c r="P26" s="381"/>
      <c r="Q26" s="390"/>
      <c r="R26" s="524"/>
      <c r="S26" s="524"/>
      <c r="T26" s="524"/>
      <c r="U26" s="524"/>
      <c r="V26" s="524"/>
      <c r="W26" s="524"/>
      <c r="X26" s="524"/>
      <c r="Y26" s="524"/>
      <c r="Z26" s="524"/>
      <c r="AA26" s="524"/>
      <c r="AB26" s="524"/>
      <c r="AC26" s="524"/>
      <c r="AD26" s="524"/>
      <c r="AE26" s="524"/>
      <c r="AF26" s="524"/>
      <c r="AG26" s="524"/>
      <c r="AH26" s="524"/>
      <c r="AI26" s="524"/>
      <c r="AJ26" s="524"/>
      <c r="AK26" s="524"/>
      <c r="AL26" s="524"/>
      <c r="AM26" s="524"/>
      <c r="AN26" s="524"/>
      <c r="AO26" s="524"/>
      <c r="AP26" s="524"/>
      <c r="AQ26" s="524"/>
      <c r="AR26" s="524"/>
      <c r="AS26" s="524"/>
      <c r="AT26" s="524"/>
      <c r="AU26" s="524"/>
      <c r="AV26" s="524"/>
      <c r="AW26" s="524"/>
      <c r="AX26" s="524"/>
      <c r="AY26" s="524"/>
      <c r="AZ26" s="524"/>
      <c r="BA26" s="524"/>
      <c r="BB26" s="524"/>
      <c r="BC26" s="525"/>
      <c r="BD26" s="382"/>
      <c r="BE26" s="371"/>
      <c r="BF26" s="371"/>
      <c r="BG26" s="371"/>
      <c r="BH26" s="371"/>
      <c r="BI26" s="371"/>
      <c r="BJ26" s="366"/>
    </row>
    <row r="27" spans="1:62" ht="30" customHeight="1">
      <c r="A27" s="476"/>
      <c r="B27" s="457"/>
      <c r="C27" s="458"/>
      <c r="D27" s="379"/>
      <c r="E27" s="380"/>
      <c r="F27" s="380"/>
      <c r="G27" s="380"/>
      <c r="H27" s="380"/>
      <c r="I27" s="380"/>
      <c r="J27" s="380"/>
      <c r="K27" s="380"/>
      <c r="L27" s="380"/>
      <c r="M27" s="380"/>
      <c r="N27" s="380"/>
      <c r="O27" s="380"/>
      <c r="P27" s="381"/>
      <c r="Q27" s="390"/>
      <c r="R27" s="524"/>
      <c r="S27" s="524"/>
      <c r="T27" s="524"/>
      <c r="U27" s="524"/>
      <c r="V27" s="524"/>
      <c r="W27" s="524"/>
      <c r="X27" s="524"/>
      <c r="Y27" s="524"/>
      <c r="Z27" s="524"/>
      <c r="AA27" s="524"/>
      <c r="AB27" s="524"/>
      <c r="AC27" s="524"/>
      <c r="AD27" s="524"/>
      <c r="AE27" s="524"/>
      <c r="AF27" s="524"/>
      <c r="AG27" s="524"/>
      <c r="AH27" s="524"/>
      <c r="AI27" s="524"/>
      <c r="AJ27" s="524"/>
      <c r="AK27" s="524"/>
      <c r="AL27" s="524"/>
      <c r="AM27" s="524"/>
      <c r="AN27" s="524"/>
      <c r="AO27" s="524"/>
      <c r="AP27" s="524"/>
      <c r="AQ27" s="524"/>
      <c r="AR27" s="524"/>
      <c r="AS27" s="524"/>
      <c r="AT27" s="524"/>
      <c r="AU27" s="524"/>
      <c r="AV27" s="524"/>
      <c r="AW27" s="524"/>
      <c r="AX27" s="524"/>
      <c r="AY27" s="524"/>
      <c r="AZ27" s="524"/>
      <c r="BA27" s="524"/>
      <c r="BB27" s="524"/>
      <c r="BC27" s="525"/>
      <c r="BD27" s="382"/>
      <c r="BE27" s="371"/>
      <c r="BF27" s="371"/>
      <c r="BG27" s="371"/>
      <c r="BH27" s="371"/>
      <c r="BI27" s="371"/>
      <c r="BJ27" s="366"/>
    </row>
    <row r="28" spans="1:62" ht="30" customHeight="1">
      <c r="A28" s="476"/>
      <c r="B28" s="457"/>
      <c r="C28" s="458"/>
      <c r="D28" s="379"/>
      <c r="E28" s="380"/>
      <c r="F28" s="380"/>
      <c r="G28" s="380"/>
      <c r="H28" s="380"/>
      <c r="I28" s="380"/>
      <c r="J28" s="380"/>
      <c r="K28" s="380"/>
      <c r="L28" s="380"/>
      <c r="M28" s="380"/>
      <c r="N28" s="380"/>
      <c r="O28" s="380"/>
      <c r="P28" s="381"/>
      <c r="Q28" s="390"/>
      <c r="R28" s="524"/>
      <c r="S28" s="524"/>
      <c r="T28" s="524"/>
      <c r="U28" s="524"/>
      <c r="V28" s="524"/>
      <c r="W28" s="524"/>
      <c r="X28" s="524"/>
      <c r="Y28" s="524"/>
      <c r="Z28" s="524"/>
      <c r="AA28" s="524"/>
      <c r="AB28" s="524"/>
      <c r="AC28" s="524"/>
      <c r="AD28" s="524"/>
      <c r="AE28" s="524"/>
      <c r="AF28" s="524"/>
      <c r="AG28" s="524"/>
      <c r="AH28" s="524"/>
      <c r="AI28" s="524"/>
      <c r="AJ28" s="524"/>
      <c r="AK28" s="524"/>
      <c r="AL28" s="524"/>
      <c r="AM28" s="524"/>
      <c r="AN28" s="524"/>
      <c r="AO28" s="524"/>
      <c r="AP28" s="524"/>
      <c r="AQ28" s="524"/>
      <c r="AR28" s="524"/>
      <c r="AS28" s="524"/>
      <c r="AT28" s="524"/>
      <c r="AU28" s="524"/>
      <c r="AV28" s="524"/>
      <c r="AW28" s="524"/>
      <c r="AX28" s="524"/>
      <c r="AY28" s="524"/>
      <c r="AZ28" s="524"/>
      <c r="BA28" s="524"/>
      <c r="BB28" s="524"/>
      <c r="BC28" s="525"/>
      <c r="BD28" s="382"/>
      <c r="BE28" s="371"/>
      <c r="BF28" s="371"/>
      <c r="BG28" s="371"/>
      <c r="BH28" s="371"/>
      <c r="BI28" s="371"/>
      <c r="BJ28" s="366"/>
    </row>
    <row r="29" spans="1:62" ht="30" customHeight="1">
      <c r="A29" s="476"/>
      <c r="B29" s="457"/>
      <c r="C29" s="458"/>
      <c r="D29" s="379"/>
      <c r="E29" s="380"/>
      <c r="F29" s="380"/>
      <c r="G29" s="380"/>
      <c r="H29" s="380"/>
      <c r="I29" s="380"/>
      <c r="J29" s="380"/>
      <c r="K29" s="380"/>
      <c r="L29" s="380"/>
      <c r="M29" s="380"/>
      <c r="N29" s="380"/>
      <c r="O29" s="380"/>
      <c r="P29" s="381"/>
      <c r="Q29" s="390"/>
      <c r="R29" s="524"/>
      <c r="S29" s="524"/>
      <c r="T29" s="524"/>
      <c r="U29" s="524"/>
      <c r="V29" s="524"/>
      <c r="W29" s="524"/>
      <c r="X29" s="524"/>
      <c r="Y29" s="524"/>
      <c r="Z29" s="524"/>
      <c r="AA29" s="524"/>
      <c r="AB29" s="524"/>
      <c r="AC29" s="524"/>
      <c r="AD29" s="524"/>
      <c r="AE29" s="524"/>
      <c r="AF29" s="524"/>
      <c r="AG29" s="524"/>
      <c r="AH29" s="524"/>
      <c r="AI29" s="524"/>
      <c r="AJ29" s="524"/>
      <c r="AK29" s="524"/>
      <c r="AL29" s="524"/>
      <c r="AM29" s="524"/>
      <c r="AN29" s="524"/>
      <c r="AO29" s="524"/>
      <c r="AP29" s="524"/>
      <c r="AQ29" s="524"/>
      <c r="AR29" s="524"/>
      <c r="AS29" s="524"/>
      <c r="AT29" s="524"/>
      <c r="AU29" s="524"/>
      <c r="AV29" s="524"/>
      <c r="AW29" s="524"/>
      <c r="AX29" s="524"/>
      <c r="AY29" s="524"/>
      <c r="AZ29" s="524"/>
      <c r="BA29" s="524"/>
      <c r="BB29" s="524"/>
      <c r="BC29" s="525"/>
      <c r="BD29" s="382"/>
      <c r="BE29" s="371"/>
      <c r="BF29" s="371"/>
      <c r="BG29" s="371"/>
      <c r="BH29" s="371"/>
      <c r="BI29" s="371"/>
      <c r="BJ29" s="366"/>
    </row>
    <row r="30" spans="1:62" ht="30" customHeight="1">
      <c r="A30" s="476"/>
      <c r="B30" s="457"/>
      <c r="C30" s="458"/>
      <c r="D30" s="379"/>
      <c r="E30" s="380"/>
      <c r="F30" s="380"/>
      <c r="G30" s="380"/>
      <c r="H30" s="380"/>
      <c r="I30" s="380"/>
      <c r="J30" s="380"/>
      <c r="K30" s="380"/>
      <c r="L30" s="380"/>
      <c r="M30" s="380"/>
      <c r="N30" s="380"/>
      <c r="O30" s="380"/>
      <c r="P30" s="381"/>
      <c r="Q30" s="390"/>
      <c r="R30" s="524"/>
      <c r="S30" s="524"/>
      <c r="T30" s="524"/>
      <c r="U30" s="524"/>
      <c r="V30" s="524"/>
      <c r="W30" s="524"/>
      <c r="X30" s="524"/>
      <c r="Y30" s="524"/>
      <c r="Z30" s="524"/>
      <c r="AA30" s="524"/>
      <c r="AB30" s="524"/>
      <c r="AC30" s="524"/>
      <c r="AD30" s="524"/>
      <c r="AE30" s="524"/>
      <c r="AF30" s="524"/>
      <c r="AG30" s="524"/>
      <c r="AH30" s="524"/>
      <c r="AI30" s="524"/>
      <c r="AJ30" s="524"/>
      <c r="AK30" s="524"/>
      <c r="AL30" s="524"/>
      <c r="AM30" s="524"/>
      <c r="AN30" s="524"/>
      <c r="AO30" s="524"/>
      <c r="AP30" s="524"/>
      <c r="AQ30" s="524"/>
      <c r="AR30" s="524"/>
      <c r="AS30" s="524"/>
      <c r="AT30" s="524"/>
      <c r="AU30" s="524"/>
      <c r="AV30" s="524"/>
      <c r="AW30" s="524"/>
      <c r="AX30" s="524"/>
      <c r="AY30" s="524"/>
      <c r="AZ30" s="524"/>
      <c r="BA30" s="524"/>
      <c r="BB30" s="524"/>
      <c r="BC30" s="525"/>
      <c r="BD30" s="382"/>
      <c r="BE30" s="371"/>
      <c r="BF30" s="371"/>
      <c r="BG30" s="371"/>
      <c r="BH30" s="371"/>
      <c r="BI30" s="371"/>
      <c r="BJ30" s="366"/>
    </row>
    <row r="31" spans="1:62" ht="30" customHeight="1">
      <c r="A31" s="476"/>
      <c r="B31" s="457"/>
      <c r="C31" s="458"/>
      <c r="D31" s="379"/>
      <c r="E31" s="380"/>
      <c r="F31" s="380"/>
      <c r="G31" s="380"/>
      <c r="H31" s="380"/>
      <c r="I31" s="380"/>
      <c r="J31" s="380"/>
      <c r="K31" s="380"/>
      <c r="L31" s="380"/>
      <c r="M31" s="380"/>
      <c r="N31" s="380"/>
      <c r="O31" s="380"/>
      <c r="P31" s="381"/>
      <c r="Q31" s="390"/>
      <c r="R31" s="524"/>
      <c r="S31" s="524"/>
      <c r="T31" s="524"/>
      <c r="U31" s="524"/>
      <c r="V31" s="524"/>
      <c r="W31" s="524"/>
      <c r="X31" s="524"/>
      <c r="Y31" s="524"/>
      <c r="Z31" s="524"/>
      <c r="AA31" s="524"/>
      <c r="AB31" s="524"/>
      <c r="AC31" s="524"/>
      <c r="AD31" s="524"/>
      <c r="AE31" s="524"/>
      <c r="AF31" s="524"/>
      <c r="AG31" s="524"/>
      <c r="AH31" s="524"/>
      <c r="AI31" s="524"/>
      <c r="AJ31" s="524"/>
      <c r="AK31" s="524"/>
      <c r="AL31" s="524"/>
      <c r="AM31" s="524"/>
      <c r="AN31" s="524"/>
      <c r="AO31" s="524"/>
      <c r="AP31" s="524"/>
      <c r="AQ31" s="524"/>
      <c r="AR31" s="524"/>
      <c r="AS31" s="524"/>
      <c r="AT31" s="524"/>
      <c r="AU31" s="524"/>
      <c r="AV31" s="524"/>
      <c r="AW31" s="524"/>
      <c r="AX31" s="524"/>
      <c r="AY31" s="524"/>
      <c r="AZ31" s="524"/>
      <c r="BA31" s="524"/>
      <c r="BB31" s="524"/>
      <c r="BC31" s="525"/>
      <c r="BD31" s="382"/>
      <c r="BE31" s="371"/>
      <c r="BF31" s="371"/>
      <c r="BG31" s="371"/>
      <c r="BH31" s="371"/>
      <c r="BI31" s="371"/>
      <c r="BJ31" s="366"/>
    </row>
    <row r="32" spans="1:62" ht="30" customHeight="1">
      <c r="A32" s="476"/>
      <c r="B32" s="457"/>
      <c r="C32" s="458"/>
      <c r="D32" s="379"/>
      <c r="E32" s="380"/>
      <c r="F32" s="380"/>
      <c r="G32" s="380"/>
      <c r="H32" s="380"/>
      <c r="I32" s="380"/>
      <c r="J32" s="380"/>
      <c r="K32" s="380"/>
      <c r="L32" s="380"/>
      <c r="M32" s="380"/>
      <c r="N32" s="380"/>
      <c r="O32" s="380"/>
      <c r="P32" s="381"/>
      <c r="Q32" s="390"/>
      <c r="R32" s="524"/>
      <c r="S32" s="524"/>
      <c r="T32" s="524"/>
      <c r="U32" s="524"/>
      <c r="V32" s="524"/>
      <c r="W32" s="524"/>
      <c r="X32" s="524"/>
      <c r="Y32" s="524"/>
      <c r="Z32" s="524"/>
      <c r="AA32" s="524"/>
      <c r="AB32" s="524"/>
      <c r="AC32" s="524"/>
      <c r="AD32" s="524"/>
      <c r="AE32" s="524"/>
      <c r="AF32" s="524"/>
      <c r="AG32" s="524"/>
      <c r="AH32" s="524"/>
      <c r="AI32" s="524"/>
      <c r="AJ32" s="524"/>
      <c r="AK32" s="524"/>
      <c r="AL32" s="524"/>
      <c r="AM32" s="524"/>
      <c r="AN32" s="524"/>
      <c r="AO32" s="524"/>
      <c r="AP32" s="524"/>
      <c r="AQ32" s="524"/>
      <c r="AR32" s="524"/>
      <c r="AS32" s="524"/>
      <c r="AT32" s="524"/>
      <c r="AU32" s="524"/>
      <c r="AV32" s="524"/>
      <c r="AW32" s="524"/>
      <c r="AX32" s="524"/>
      <c r="AY32" s="524"/>
      <c r="AZ32" s="524"/>
      <c r="BA32" s="524"/>
      <c r="BB32" s="524"/>
      <c r="BC32" s="525"/>
      <c r="BD32" s="382"/>
      <c r="BE32" s="371"/>
      <c r="BF32" s="371"/>
      <c r="BG32" s="371"/>
      <c r="BH32" s="371"/>
      <c r="BI32" s="371"/>
      <c r="BJ32" s="366"/>
    </row>
    <row r="33" spans="1:62" ht="30" customHeight="1">
      <c r="A33" s="476"/>
      <c r="B33" s="457"/>
      <c r="C33" s="458"/>
      <c r="D33" s="379"/>
      <c r="E33" s="380"/>
      <c r="F33" s="380"/>
      <c r="G33" s="380"/>
      <c r="H33" s="380"/>
      <c r="I33" s="380"/>
      <c r="J33" s="380"/>
      <c r="K33" s="380"/>
      <c r="L33" s="380"/>
      <c r="M33" s="380"/>
      <c r="N33" s="380"/>
      <c r="O33" s="380"/>
      <c r="P33" s="381"/>
      <c r="Q33" s="390"/>
      <c r="R33" s="524"/>
      <c r="S33" s="524"/>
      <c r="T33" s="524"/>
      <c r="U33" s="524"/>
      <c r="V33" s="524"/>
      <c r="W33" s="524"/>
      <c r="X33" s="524"/>
      <c r="Y33" s="524"/>
      <c r="Z33" s="524"/>
      <c r="AA33" s="524"/>
      <c r="AB33" s="524"/>
      <c r="AC33" s="524"/>
      <c r="AD33" s="524"/>
      <c r="AE33" s="524"/>
      <c r="AF33" s="524"/>
      <c r="AG33" s="524"/>
      <c r="AH33" s="524"/>
      <c r="AI33" s="524"/>
      <c r="AJ33" s="524"/>
      <c r="AK33" s="524"/>
      <c r="AL33" s="524"/>
      <c r="AM33" s="524"/>
      <c r="AN33" s="524"/>
      <c r="AO33" s="524"/>
      <c r="AP33" s="524"/>
      <c r="AQ33" s="524"/>
      <c r="AR33" s="524"/>
      <c r="AS33" s="524"/>
      <c r="AT33" s="524"/>
      <c r="AU33" s="524"/>
      <c r="AV33" s="524"/>
      <c r="AW33" s="524"/>
      <c r="AX33" s="524"/>
      <c r="AY33" s="524"/>
      <c r="AZ33" s="524"/>
      <c r="BA33" s="524"/>
      <c r="BB33" s="524"/>
      <c r="BC33" s="525"/>
      <c r="BD33" s="382"/>
      <c r="BE33" s="371"/>
      <c r="BF33" s="371"/>
      <c r="BG33" s="371"/>
      <c r="BH33" s="371"/>
      <c r="BI33" s="371"/>
      <c r="BJ33" s="366"/>
    </row>
    <row r="34" spans="1:62" ht="30" customHeight="1">
      <c r="A34" s="476"/>
      <c r="B34" s="457"/>
      <c r="C34" s="458"/>
      <c r="D34" s="379"/>
      <c r="E34" s="380"/>
      <c r="F34" s="380"/>
      <c r="G34" s="380"/>
      <c r="H34" s="380"/>
      <c r="I34" s="380"/>
      <c r="J34" s="380"/>
      <c r="K34" s="380"/>
      <c r="L34" s="380"/>
      <c r="M34" s="380"/>
      <c r="N34" s="380"/>
      <c r="O34" s="380"/>
      <c r="P34" s="381"/>
      <c r="Q34" s="390"/>
      <c r="R34" s="524"/>
      <c r="S34" s="524"/>
      <c r="T34" s="524"/>
      <c r="U34" s="524"/>
      <c r="V34" s="524"/>
      <c r="W34" s="524"/>
      <c r="X34" s="524"/>
      <c r="Y34" s="524"/>
      <c r="Z34" s="524"/>
      <c r="AA34" s="524"/>
      <c r="AB34" s="524"/>
      <c r="AC34" s="524"/>
      <c r="AD34" s="524"/>
      <c r="AE34" s="524"/>
      <c r="AF34" s="524"/>
      <c r="AG34" s="524"/>
      <c r="AH34" s="524"/>
      <c r="AI34" s="524"/>
      <c r="AJ34" s="524"/>
      <c r="AK34" s="524"/>
      <c r="AL34" s="524"/>
      <c r="AM34" s="524"/>
      <c r="AN34" s="524"/>
      <c r="AO34" s="524"/>
      <c r="AP34" s="524"/>
      <c r="AQ34" s="524"/>
      <c r="AR34" s="524"/>
      <c r="AS34" s="524"/>
      <c r="AT34" s="524"/>
      <c r="AU34" s="524"/>
      <c r="AV34" s="524"/>
      <c r="AW34" s="524"/>
      <c r="AX34" s="524"/>
      <c r="AY34" s="524"/>
      <c r="AZ34" s="524"/>
      <c r="BA34" s="524"/>
      <c r="BB34" s="524"/>
      <c r="BC34" s="525"/>
      <c r="BD34" s="382"/>
      <c r="BE34" s="371"/>
      <c r="BF34" s="371"/>
      <c r="BG34" s="371"/>
      <c r="BH34" s="371"/>
      <c r="BI34" s="371"/>
      <c r="BJ34" s="366"/>
    </row>
    <row r="35" spans="1:62" ht="30" customHeight="1">
      <c r="A35" s="471"/>
      <c r="B35" s="472"/>
      <c r="C35" s="473"/>
      <c r="D35" s="437"/>
      <c r="E35" s="438"/>
      <c r="F35" s="438"/>
      <c r="G35" s="438"/>
      <c r="H35" s="438"/>
      <c r="I35" s="438"/>
      <c r="J35" s="438"/>
      <c r="K35" s="438"/>
      <c r="L35" s="438"/>
      <c r="M35" s="438"/>
      <c r="N35" s="438"/>
      <c r="O35" s="438"/>
      <c r="P35" s="439"/>
      <c r="Q35" s="545"/>
      <c r="R35" s="546"/>
      <c r="S35" s="546"/>
      <c r="T35" s="546"/>
      <c r="U35" s="546"/>
      <c r="V35" s="546"/>
      <c r="W35" s="546"/>
      <c r="X35" s="546"/>
      <c r="Y35" s="546"/>
      <c r="Z35" s="546"/>
      <c r="AA35" s="546"/>
      <c r="AB35" s="546"/>
      <c r="AC35" s="546"/>
      <c r="AD35" s="546"/>
      <c r="AE35" s="546"/>
      <c r="AF35" s="546"/>
      <c r="AG35" s="546"/>
      <c r="AH35" s="546"/>
      <c r="AI35" s="546"/>
      <c r="AJ35" s="546"/>
      <c r="AK35" s="546"/>
      <c r="AL35" s="546"/>
      <c r="AM35" s="546"/>
      <c r="AN35" s="546"/>
      <c r="AO35" s="546"/>
      <c r="AP35" s="546"/>
      <c r="AQ35" s="546"/>
      <c r="AR35" s="546"/>
      <c r="AS35" s="546"/>
      <c r="AT35" s="546"/>
      <c r="AU35" s="546"/>
      <c r="AV35" s="546"/>
      <c r="AW35" s="546"/>
      <c r="AX35" s="546"/>
      <c r="AY35" s="546"/>
      <c r="AZ35" s="546"/>
      <c r="BA35" s="546"/>
      <c r="BB35" s="546"/>
      <c r="BC35" s="547"/>
      <c r="BD35" s="414"/>
      <c r="BE35" s="415"/>
      <c r="BF35" s="415"/>
      <c r="BG35" s="415"/>
      <c r="BH35" s="415"/>
      <c r="BI35" s="415"/>
      <c r="BJ35" s="416"/>
    </row>
    <row r="36" spans="1:62" s="24" customFormat="1" ht="3"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127">
    <mergeCell ref="A31:C31"/>
    <mergeCell ref="D31:P31"/>
    <mergeCell ref="Q31:BC31"/>
    <mergeCell ref="BD31:BJ31"/>
    <mergeCell ref="A32:C32"/>
    <mergeCell ref="D32:P32"/>
    <mergeCell ref="Q32:BC32"/>
    <mergeCell ref="BD32:BJ32"/>
    <mergeCell ref="A35:C35"/>
    <mergeCell ref="D35:P35"/>
    <mergeCell ref="Q35:BC35"/>
    <mergeCell ref="BD35:BJ35"/>
    <mergeCell ref="A33:C33"/>
    <mergeCell ref="D33:P33"/>
    <mergeCell ref="Q33:BC33"/>
    <mergeCell ref="BD33:BJ33"/>
    <mergeCell ref="A34:C34"/>
    <mergeCell ref="D34:P34"/>
    <mergeCell ref="Q34:BC34"/>
    <mergeCell ref="BD34:BJ3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0:C20"/>
    <mergeCell ref="D20:P20"/>
    <mergeCell ref="Q20:BC20"/>
    <mergeCell ref="BD20:BJ20"/>
    <mergeCell ref="A17:C17"/>
    <mergeCell ref="D17:P17"/>
    <mergeCell ref="Q17:BC17"/>
    <mergeCell ref="BD17:BJ17"/>
    <mergeCell ref="A18:C18"/>
    <mergeCell ref="D18:P18"/>
    <mergeCell ref="Q18:BC18"/>
    <mergeCell ref="BD18:BJ18"/>
    <mergeCell ref="A19:C19"/>
    <mergeCell ref="D19:P19"/>
    <mergeCell ref="Q19:BC19"/>
    <mergeCell ref="BD19:BJ19"/>
    <mergeCell ref="A16:C16"/>
    <mergeCell ref="D16:P16"/>
    <mergeCell ref="Q16:BC16"/>
    <mergeCell ref="BD16:BJ16"/>
    <mergeCell ref="A9:C9"/>
    <mergeCell ref="D9:P9"/>
    <mergeCell ref="Q9:BC9"/>
    <mergeCell ref="BD9:BJ9"/>
    <mergeCell ref="A11:C11"/>
    <mergeCell ref="D11:P11"/>
    <mergeCell ref="Q11:BC11"/>
    <mergeCell ref="BD11:BJ11"/>
    <mergeCell ref="A14:C14"/>
    <mergeCell ref="D14:P14"/>
    <mergeCell ref="Q14:BC14"/>
    <mergeCell ref="BD14:BJ14"/>
    <mergeCell ref="A15:C15"/>
    <mergeCell ref="D15:P15"/>
    <mergeCell ref="Q15:BC15"/>
    <mergeCell ref="BD15:BJ15"/>
    <mergeCell ref="A13:C13"/>
    <mergeCell ref="D13:P13"/>
    <mergeCell ref="Q13:BC13"/>
    <mergeCell ref="BD13:BJ13"/>
    <mergeCell ref="A2:AU2"/>
    <mergeCell ref="AV2:AY2"/>
    <mergeCell ref="BD2:BF2"/>
    <mergeCell ref="BG2:BJ2"/>
    <mergeCell ref="A3:G3"/>
    <mergeCell ref="H3:AU3"/>
    <mergeCell ref="AV3:AY3"/>
    <mergeCell ref="AZ3:BJ3"/>
    <mergeCell ref="AZ2:BC2"/>
    <mergeCell ref="D12:P12"/>
    <mergeCell ref="A12:C12"/>
    <mergeCell ref="BD12:BJ12"/>
    <mergeCell ref="Q12:BC12"/>
    <mergeCell ref="A4:G4"/>
    <mergeCell ref="H4:AU4"/>
    <mergeCell ref="AV4:AY4"/>
    <mergeCell ref="AZ4:BJ4"/>
    <mergeCell ref="A6:G6"/>
    <mergeCell ref="Q8:BC8"/>
    <mergeCell ref="H6:BJ6"/>
    <mergeCell ref="BD8:BJ8"/>
    <mergeCell ref="D8:P8"/>
    <mergeCell ref="A8:C8"/>
    <mergeCell ref="A10:C10"/>
    <mergeCell ref="D10:P10"/>
    <mergeCell ref="Q10:BC10"/>
    <mergeCell ref="BD10:BJ10"/>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8D53C-F82F-46B6-84D7-1135DBB98213}">
  <sheetPr codeName="Sheet5"/>
  <dimension ref="A1:DK395"/>
  <sheetViews>
    <sheetView view="pageBreakPreview" zoomScaleNormal="100" zoomScaleSheetLayoutView="100" workbookViewId="0"/>
  </sheetViews>
  <sheetFormatPr defaultColWidth="1.90625" defaultRowHeight="11"/>
  <cols>
    <col min="1" max="85" width="1.90625" style="1" customWidth="1"/>
    <col min="86" max="16384" width="1.9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12"/>
      <c r="AU1" s="512"/>
      <c r="AV1" s="512"/>
      <c r="AW1" s="512"/>
      <c r="AX1" s="512"/>
      <c r="AY1" s="512"/>
      <c r="AZ1" s="512"/>
      <c r="BA1" s="512"/>
      <c r="BB1" s="512"/>
      <c r="BC1" s="512"/>
      <c r="BD1" s="512"/>
      <c r="BE1" s="512"/>
      <c r="BF1" s="51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75" t="s">
        <v>22</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6"/>
      <c r="AV2" s="276"/>
      <c r="AW2" s="276"/>
      <c r="AX2" s="276"/>
      <c r="AY2" s="276"/>
      <c r="AZ2" s="276"/>
      <c r="BA2" s="276"/>
      <c r="BB2" s="276"/>
      <c r="BC2" s="276"/>
      <c r="BD2" s="276"/>
      <c r="BE2" s="276"/>
      <c r="BF2" s="276"/>
      <c r="BG2" s="276"/>
      <c r="BH2" s="276"/>
      <c r="BI2" s="276"/>
      <c r="BJ2" s="276"/>
      <c r="BK2" s="276"/>
      <c r="BL2" s="276"/>
      <c r="BM2" s="276"/>
      <c r="BN2" s="276"/>
      <c r="BO2" s="277"/>
      <c r="BP2" s="257" t="s">
        <v>3</v>
      </c>
      <c r="BQ2" s="258"/>
      <c r="BR2" s="258"/>
      <c r="BS2" s="258"/>
      <c r="BT2" s="258"/>
      <c r="BU2" s="259"/>
      <c r="BV2" s="19" t="s">
        <v>23</v>
      </c>
      <c r="BW2" s="20"/>
      <c r="BX2" s="21"/>
      <c r="BY2" s="19"/>
      <c r="BZ2" s="21"/>
      <c r="CA2" s="257" t="s">
        <v>5</v>
      </c>
      <c r="CB2" s="258"/>
      <c r="CC2" s="259"/>
      <c r="CD2" s="257"/>
      <c r="CE2" s="258"/>
      <c r="CF2" s="258"/>
      <c r="CG2" s="259"/>
      <c r="CH2" s="4"/>
      <c r="CI2" s="4"/>
      <c r="CJ2" s="4"/>
      <c r="CK2" s="4"/>
      <c r="CL2" s="4"/>
    </row>
    <row r="3" spans="1:90" s="2" customFormat="1" ht="19.5" customHeight="1">
      <c r="A3" s="257" t="s">
        <v>6</v>
      </c>
      <c r="B3" s="258"/>
      <c r="C3" s="258"/>
      <c r="D3" s="258"/>
      <c r="E3" s="258"/>
      <c r="F3" s="258"/>
      <c r="G3" s="258"/>
      <c r="H3" s="258"/>
      <c r="I3" s="258"/>
      <c r="J3" s="258"/>
      <c r="K3" s="259"/>
      <c r="L3" s="260" t="s">
        <v>316</v>
      </c>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2"/>
      <c r="BP3" s="257" t="s">
        <v>7</v>
      </c>
      <c r="BQ3" s="258"/>
      <c r="BR3" s="258"/>
      <c r="BS3" s="258"/>
      <c r="BT3" s="258"/>
      <c r="BU3" s="259"/>
      <c r="BV3" s="257" t="s">
        <v>309</v>
      </c>
      <c r="BW3" s="258"/>
      <c r="BX3" s="258"/>
      <c r="BY3" s="258"/>
      <c r="BZ3" s="258"/>
      <c r="CA3" s="258"/>
      <c r="CB3" s="258"/>
      <c r="CC3" s="258"/>
      <c r="CD3" s="258"/>
      <c r="CE3" s="258"/>
      <c r="CF3" s="258"/>
      <c r="CG3" s="259"/>
      <c r="CH3" s="3"/>
      <c r="CI3" s="3"/>
      <c r="CJ3" s="3"/>
      <c r="CK3" s="3"/>
      <c r="CL3" s="3"/>
    </row>
    <row r="4" spans="1:90" s="2" customFormat="1" ht="19.5" customHeight="1">
      <c r="A4" s="257" t="s">
        <v>8</v>
      </c>
      <c r="B4" s="258"/>
      <c r="C4" s="258"/>
      <c r="D4" s="258"/>
      <c r="E4" s="258"/>
      <c r="F4" s="258"/>
      <c r="G4" s="258"/>
      <c r="H4" s="258"/>
      <c r="I4" s="258"/>
      <c r="J4" s="258"/>
      <c r="K4" s="259"/>
      <c r="L4" s="260" t="str">
        <f>変更履歴!H4</f>
        <v>共計</v>
      </c>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9"/>
      <c r="BP4" s="257" t="s">
        <v>9</v>
      </c>
      <c r="BQ4" s="258"/>
      <c r="BR4" s="258"/>
      <c r="BS4" s="258"/>
      <c r="BT4" s="258"/>
      <c r="BU4" s="259"/>
      <c r="BV4" s="257"/>
      <c r="BW4" s="258"/>
      <c r="BX4" s="258"/>
      <c r="BY4" s="258"/>
      <c r="BZ4" s="258"/>
      <c r="CA4" s="258"/>
      <c r="CB4" s="258"/>
      <c r="CC4" s="258"/>
      <c r="CD4" s="258"/>
      <c r="CE4" s="258"/>
      <c r="CF4" s="258"/>
      <c r="CG4" s="25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7" t="s">
        <v>24</v>
      </c>
      <c r="B7" s="258"/>
      <c r="C7" s="258"/>
      <c r="D7" s="258"/>
      <c r="E7" s="258"/>
      <c r="F7" s="258"/>
      <c r="G7" s="258"/>
      <c r="H7" s="258"/>
      <c r="I7" s="258"/>
      <c r="J7" s="258"/>
      <c r="K7" s="259"/>
      <c r="L7" s="260" t="str">
        <f>変更履歴!H6</f>
        <v>滞留立替金利補正入力</v>
      </c>
      <c r="M7" s="278"/>
      <c r="N7" s="278"/>
      <c r="O7" s="278"/>
      <c r="P7" s="278"/>
      <c r="Q7" s="278"/>
      <c r="R7" s="278"/>
      <c r="S7" s="278"/>
      <c r="T7" s="278"/>
      <c r="U7" s="278"/>
      <c r="V7" s="278"/>
      <c r="W7" s="278"/>
      <c r="X7" s="278"/>
      <c r="Y7" s="278"/>
      <c r="Z7" s="278"/>
      <c r="AA7" s="278"/>
      <c r="AB7" s="278"/>
      <c r="AC7" s="278"/>
      <c r="AD7" s="278"/>
      <c r="AE7" s="278"/>
      <c r="AF7" s="278"/>
      <c r="AG7" s="278"/>
      <c r="AH7" s="278"/>
      <c r="AI7" s="278"/>
      <c r="AJ7" s="278"/>
      <c r="AK7" s="278"/>
      <c r="AL7" s="278"/>
      <c r="AM7" s="278"/>
      <c r="AN7" s="278"/>
      <c r="AO7" s="278"/>
      <c r="AP7" s="278"/>
      <c r="AQ7" s="278"/>
      <c r="AR7" s="278"/>
      <c r="AS7" s="278"/>
      <c r="AT7" s="278"/>
      <c r="AU7" s="278"/>
      <c r="AV7" s="278"/>
      <c r="AW7" s="278"/>
      <c r="AX7" s="278"/>
      <c r="AY7" s="278"/>
      <c r="AZ7" s="278"/>
      <c r="BA7" s="278"/>
      <c r="BB7" s="278"/>
      <c r="BC7" s="278"/>
      <c r="BD7" s="278"/>
      <c r="BE7" s="278"/>
      <c r="BF7" s="278"/>
      <c r="BG7" s="278"/>
      <c r="BH7" s="278"/>
      <c r="BI7" s="278"/>
      <c r="BJ7" s="278"/>
      <c r="BK7" s="278"/>
      <c r="BL7" s="278"/>
      <c r="BM7" s="278"/>
      <c r="BN7" s="278"/>
      <c r="BO7" s="278"/>
      <c r="BP7" s="278"/>
      <c r="BQ7" s="278"/>
      <c r="BR7" s="278"/>
      <c r="BS7" s="278"/>
      <c r="BT7" s="278"/>
      <c r="BU7" s="278"/>
      <c r="BV7" s="278"/>
      <c r="BW7" s="278"/>
      <c r="BX7" s="278"/>
      <c r="BY7" s="278"/>
      <c r="BZ7" s="278"/>
      <c r="CA7" s="278"/>
      <c r="CB7" s="278"/>
      <c r="CC7" s="278"/>
      <c r="CD7" s="278"/>
      <c r="CE7" s="278"/>
      <c r="CF7" s="278"/>
      <c r="CG7" s="279"/>
      <c r="CH7" s="26"/>
    </row>
    <row r="8" spans="1:90" ht="9" customHeight="1"/>
    <row r="9" spans="1:90" ht="18" customHeight="1">
      <c r="B9" s="2" t="s">
        <v>288</v>
      </c>
    </row>
    <row r="10" spans="1:90" ht="7.5" customHeight="1" thickBo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4.25" customHeight="1">
      <c r="A11" s="126"/>
      <c r="B11" s="67"/>
      <c r="C11" s="68"/>
      <c r="D11" s="68"/>
      <c r="E11" s="68"/>
      <c r="F11" s="68"/>
      <c r="G11" s="68"/>
      <c r="H11" s="68"/>
      <c r="I11" s="68"/>
      <c r="J11" s="68"/>
      <c r="K11" s="68"/>
      <c r="L11" s="513" t="s">
        <v>86</v>
      </c>
      <c r="M11" s="514"/>
      <c r="N11" s="514"/>
      <c r="O11" s="514"/>
      <c r="P11" s="514"/>
      <c r="Q11" s="514"/>
      <c r="R11" s="514"/>
      <c r="S11" s="514"/>
      <c r="T11" s="514"/>
      <c r="U11" s="514"/>
      <c r="V11" s="514"/>
      <c r="W11" s="514"/>
      <c r="X11" s="514"/>
      <c r="Y11" s="514"/>
      <c r="Z11" s="514"/>
      <c r="AA11" s="514"/>
      <c r="AB11" s="514"/>
      <c r="AC11" s="514"/>
      <c r="AD11" s="514"/>
      <c r="AE11" s="514"/>
      <c r="AF11" s="514"/>
      <c r="AG11" s="514"/>
      <c r="AH11" s="514"/>
      <c r="AI11" s="514"/>
      <c r="AJ11" s="514"/>
      <c r="AK11" s="514"/>
      <c r="AL11" s="514"/>
      <c r="AM11" s="514"/>
      <c r="AN11" s="514"/>
      <c r="AO11" s="514"/>
      <c r="AP11" s="514"/>
      <c r="AQ11" s="514"/>
      <c r="AR11" s="514"/>
      <c r="AS11" s="514"/>
      <c r="AT11" s="514"/>
      <c r="AU11" s="514"/>
      <c r="AV11" s="514"/>
      <c r="AW11" s="514"/>
      <c r="AX11" s="514"/>
      <c r="AY11" s="514"/>
      <c r="AZ11" s="514"/>
      <c r="BA11" s="514"/>
      <c r="BB11" s="514"/>
      <c r="BC11" s="514"/>
      <c r="BD11" s="514"/>
      <c r="BE11" s="514"/>
      <c r="BF11" s="514"/>
      <c r="BG11" s="514"/>
      <c r="BH11" s="514"/>
      <c r="BI11" s="514"/>
      <c r="BJ11" s="514"/>
      <c r="BK11" s="514"/>
      <c r="BL11" s="514"/>
      <c r="BM11" s="514"/>
      <c r="BN11" s="514"/>
      <c r="BO11" s="514"/>
      <c r="BP11" s="514"/>
      <c r="BQ11" s="514"/>
      <c r="BR11" s="514"/>
      <c r="BS11" s="514"/>
      <c r="BT11" s="514"/>
      <c r="BU11" s="514"/>
      <c r="BV11" s="300" t="s">
        <v>62</v>
      </c>
      <c r="BW11" s="300"/>
      <c r="BX11" s="300"/>
      <c r="BY11" s="300"/>
      <c r="BZ11" s="300"/>
      <c r="CA11" s="300"/>
      <c r="CB11" s="300"/>
      <c r="CC11" s="300"/>
      <c r="CD11" s="300"/>
      <c r="CE11" s="300"/>
      <c r="CF11" s="301"/>
      <c r="CG11" s="127"/>
    </row>
    <row r="12" spans="1:90" ht="14.25" customHeight="1">
      <c r="A12" s="126"/>
      <c r="B12" s="69"/>
      <c r="C12" s="128"/>
      <c r="D12" s="128"/>
      <c r="E12" s="128"/>
      <c r="F12" s="128"/>
      <c r="G12" s="128"/>
      <c r="H12" s="128"/>
      <c r="I12" s="128"/>
      <c r="J12" s="128"/>
      <c r="K12" s="128"/>
      <c r="L12" s="515"/>
      <c r="M12" s="515"/>
      <c r="N12" s="515"/>
      <c r="O12" s="515"/>
      <c r="P12" s="515"/>
      <c r="Q12" s="515"/>
      <c r="R12" s="515"/>
      <c r="S12" s="515"/>
      <c r="T12" s="515"/>
      <c r="U12" s="515"/>
      <c r="V12" s="515"/>
      <c r="W12" s="515"/>
      <c r="X12" s="515"/>
      <c r="Y12" s="515"/>
      <c r="Z12" s="515"/>
      <c r="AA12" s="515"/>
      <c r="AB12" s="515"/>
      <c r="AC12" s="515"/>
      <c r="AD12" s="515"/>
      <c r="AE12" s="515"/>
      <c r="AF12" s="515"/>
      <c r="AG12" s="515"/>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5"/>
      <c r="BD12" s="515"/>
      <c r="BE12" s="515"/>
      <c r="BF12" s="515"/>
      <c r="BG12" s="515"/>
      <c r="BH12" s="515"/>
      <c r="BI12" s="515"/>
      <c r="BJ12" s="515"/>
      <c r="BK12" s="515"/>
      <c r="BL12" s="515"/>
      <c r="BM12" s="515"/>
      <c r="BN12" s="515"/>
      <c r="BO12" s="515"/>
      <c r="BP12" s="515"/>
      <c r="BQ12" s="515"/>
      <c r="BR12" s="515"/>
      <c r="BS12" s="515"/>
      <c r="BT12" s="515"/>
      <c r="BU12" s="515"/>
      <c r="BV12" s="302"/>
      <c r="BW12" s="302"/>
      <c r="BX12" s="302"/>
      <c r="BY12" s="302"/>
      <c r="BZ12" s="302"/>
      <c r="CA12" s="302"/>
      <c r="CB12" s="302"/>
      <c r="CC12" s="302"/>
      <c r="CD12" s="302"/>
      <c r="CE12" s="302"/>
      <c r="CF12" s="303"/>
      <c r="CG12" s="127"/>
    </row>
    <row r="13" spans="1:90" s="3" customFormat="1" ht="19.5" customHeight="1" thickBot="1">
      <c r="A13" s="28"/>
      <c r="B13" s="70"/>
      <c r="C13" s="71"/>
      <c r="D13" s="71"/>
      <c r="E13" s="71"/>
      <c r="F13" s="71"/>
      <c r="G13" s="71"/>
      <c r="H13" s="71"/>
      <c r="I13" s="71"/>
      <c r="J13" s="71"/>
      <c r="K13" s="71"/>
      <c r="L13" s="516"/>
      <c r="M13" s="516"/>
      <c r="N13" s="516"/>
      <c r="O13" s="516"/>
      <c r="P13" s="516"/>
      <c r="Q13" s="516"/>
      <c r="R13" s="516"/>
      <c r="S13" s="516"/>
      <c r="T13" s="516"/>
      <c r="U13" s="516"/>
      <c r="V13" s="516"/>
      <c r="W13" s="516"/>
      <c r="X13" s="516"/>
      <c r="Y13" s="516"/>
      <c r="Z13" s="516"/>
      <c r="AA13" s="516"/>
      <c r="AB13" s="516"/>
      <c r="AC13" s="516"/>
      <c r="AD13" s="516"/>
      <c r="AE13" s="516"/>
      <c r="AF13" s="516"/>
      <c r="AG13" s="516"/>
      <c r="AH13" s="516"/>
      <c r="AI13" s="516"/>
      <c r="AJ13" s="516"/>
      <c r="AK13" s="516"/>
      <c r="AL13" s="516"/>
      <c r="AM13" s="516"/>
      <c r="AN13" s="516"/>
      <c r="AO13" s="516"/>
      <c r="AP13" s="516"/>
      <c r="AQ13" s="516"/>
      <c r="AR13" s="516"/>
      <c r="AS13" s="516"/>
      <c r="AT13" s="516"/>
      <c r="AU13" s="516"/>
      <c r="AV13" s="516"/>
      <c r="AW13" s="516"/>
      <c r="AX13" s="516"/>
      <c r="AY13" s="516"/>
      <c r="AZ13" s="516"/>
      <c r="BA13" s="516"/>
      <c r="BB13" s="516"/>
      <c r="BC13" s="516"/>
      <c r="BD13" s="516"/>
      <c r="BE13" s="516"/>
      <c r="BF13" s="516"/>
      <c r="BG13" s="516"/>
      <c r="BH13" s="516"/>
      <c r="BI13" s="516"/>
      <c r="BJ13" s="516"/>
      <c r="BK13" s="516"/>
      <c r="BL13" s="516"/>
      <c r="BM13" s="516"/>
      <c r="BN13" s="516"/>
      <c r="BO13" s="516"/>
      <c r="BP13" s="516"/>
      <c r="BQ13" s="516"/>
      <c r="BR13" s="516"/>
      <c r="BS13" s="516"/>
      <c r="BT13" s="516"/>
      <c r="BU13" s="516"/>
      <c r="BV13" s="304"/>
      <c r="BW13" s="304"/>
      <c r="BX13" s="304"/>
      <c r="BY13" s="304"/>
      <c r="BZ13" s="304"/>
      <c r="CA13" s="304"/>
      <c r="CB13" s="304"/>
      <c r="CC13" s="304"/>
      <c r="CD13" s="304"/>
      <c r="CE13" s="304"/>
      <c r="CF13" s="305"/>
      <c r="CG13" s="29"/>
    </row>
    <row r="14" spans="1:90" s="3" customFormat="1" ht="19.5" customHeight="1" thickTop="1">
      <c r="A14" s="28"/>
      <c r="B14" s="78"/>
      <c r="C14" s="79"/>
      <c r="D14" s="129" t="s">
        <v>477</v>
      </c>
      <c r="E14" s="129"/>
      <c r="F14" s="129"/>
      <c r="G14" s="129" t="s">
        <v>203</v>
      </c>
      <c r="H14" s="238" t="s">
        <v>114</v>
      </c>
      <c r="I14" s="239"/>
      <c r="J14" s="239"/>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3"/>
      <c r="CG14" s="29"/>
    </row>
    <row r="15" spans="1:90" s="3" customFormat="1" ht="19.5" customHeight="1">
      <c r="A15" s="28"/>
      <c r="B15" s="80"/>
      <c r="C15" s="93"/>
      <c r="D15" s="306" t="s">
        <v>125</v>
      </c>
      <c r="E15" s="307"/>
      <c r="F15" s="307"/>
      <c r="G15" s="307"/>
      <c r="H15" s="307"/>
      <c r="I15" s="307"/>
      <c r="J15" s="307"/>
      <c r="K15" s="307"/>
      <c r="L15" s="307"/>
      <c r="M15" s="307"/>
      <c r="N15" s="307"/>
      <c r="O15" s="307"/>
      <c r="P15" s="307"/>
      <c r="Q15" s="307"/>
      <c r="R15" s="307"/>
      <c r="S15" s="307"/>
      <c r="T15" s="307"/>
      <c r="U15" s="307"/>
      <c r="V15" s="307"/>
      <c r="W15" s="307"/>
      <c r="X15" s="307"/>
      <c r="Y15" s="307"/>
      <c r="Z15" s="307"/>
      <c r="AA15" s="307"/>
      <c r="AB15" s="307"/>
      <c r="AC15" s="307"/>
      <c r="AD15" s="307"/>
      <c r="AE15" s="307"/>
      <c r="AF15" s="307"/>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7"/>
      <c r="BD15" s="307"/>
      <c r="BE15" s="307"/>
      <c r="BF15" s="307"/>
      <c r="BG15" s="307"/>
      <c r="BH15" s="307"/>
      <c r="BI15" s="307"/>
      <c r="BJ15" s="307"/>
      <c r="BK15" s="307"/>
      <c r="BL15" s="307"/>
      <c r="BM15" s="307"/>
      <c r="BN15" s="307"/>
      <c r="BO15" s="307"/>
      <c r="BP15" s="307"/>
      <c r="BQ15" s="307"/>
      <c r="BR15" s="307"/>
      <c r="BS15" s="307"/>
      <c r="BT15" s="307"/>
      <c r="BU15" s="307"/>
      <c r="BV15" s="307"/>
      <c r="BW15" s="307"/>
      <c r="BX15" s="307"/>
      <c r="BY15" s="307"/>
      <c r="BZ15" s="307"/>
      <c r="CA15" s="307"/>
      <c r="CB15" s="307"/>
      <c r="CC15" s="308"/>
      <c r="CD15" s="93"/>
      <c r="CE15" s="93"/>
      <c r="CF15" s="74"/>
      <c r="CG15" s="29"/>
    </row>
    <row r="16" spans="1:90" s="3" customFormat="1" ht="19.5" customHeight="1">
      <c r="A16" s="28"/>
      <c r="B16" s="80"/>
      <c r="C16" s="93"/>
      <c r="D16" s="129"/>
      <c r="E16" s="129"/>
      <c r="F16" s="129"/>
      <c r="G16" s="129"/>
      <c r="H16" s="129"/>
      <c r="I16" s="129"/>
      <c r="J16" s="129"/>
      <c r="K16" s="129"/>
      <c r="L16" s="129"/>
      <c r="M16" s="129"/>
      <c r="N16" s="129"/>
      <c r="O16" s="129"/>
      <c r="P16" s="129"/>
      <c r="Q16" s="129"/>
      <c r="R16" s="129"/>
      <c r="S16" s="129"/>
      <c r="T16" s="129"/>
      <c r="U16" s="129"/>
      <c r="V16" s="129"/>
      <c r="W16" s="95"/>
      <c r="X16" s="95"/>
      <c r="Y16" s="95"/>
      <c r="Z16" s="95"/>
      <c r="AA16" s="95"/>
      <c r="AB16" s="95"/>
      <c r="AC16" s="95"/>
      <c r="AD16" s="95"/>
      <c r="AE16" s="95"/>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29"/>
      <c r="BQ16" s="129"/>
      <c r="BR16" s="129"/>
      <c r="BS16" s="129"/>
      <c r="BT16" s="129"/>
      <c r="BU16" s="129"/>
      <c r="BV16" s="129"/>
      <c r="BW16" s="129"/>
      <c r="BX16" s="129"/>
      <c r="BY16" s="101"/>
      <c r="BZ16" s="129"/>
      <c r="CA16" s="129"/>
      <c r="CB16" s="101"/>
      <c r="CC16" s="129"/>
      <c r="CD16" s="93"/>
      <c r="CE16" s="93"/>
      <c r="CF16" s="74"/>
      <c r="CG16" s="29"/>
    </row>
    <row r="17" spans="1:115" s="3" customFormat="1" ht="19.5" customHeight="1">
      <c r="A17" s="28"/>
      <c r="B17" s="80"/>
      <c r="C17" s="93"/>
      <c r="D17" s="288" t="s">
        <v>100</v>
      </c>
      <c r="E17" s="289"/>
      <c r="F17" s="289"/>
      <c r="G17" s="289"/>
      <c r="H17" s="289"/>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89"/>
      <c r="AM17" s="289"/>
      <c r="AN17" s="289"/>
      <c r="AO17" s="289"/>
      <c r="AP17" s="289"/>
      <c r="AQ17" s="289"/>
      <c r="AR17" s="289"/>
      <c r="AS17" s="289"/>
      <c r="AT17" s="289"/>
      <c r="AU17" s="289"/>
      <c r="AV17" s="289"/>
      <c r="AW17" s="289"/>
      <c r="AX17" s="289"/>
      <c r="AY17" s="289"/>
      <c r="AZ17" s="289"/>
      <c r="BA17" s="289"/>
      <c r="BB17" s="289"/>
      <c r="BC17" s="289"/>
      <c r="BD17" s="289"/>
      <c r="BE17" s="289"/>
      <c r="BF17" s="289"/>
      <c r="BG17" s="289"/>
      <c r="BH17" s="289"/>
      <c r="BI17" s="289"/>
      <c r="BJ17" s="289"/>
      <c r="BK17" s="289"/>
      <c r="BL17" s="289"/>
      <c r="BM17" s="289"/>
      <c r="BN17" s="289"/>
      <c r="BO17" s="289"/>
      <c r="BP17" s="289"/>
      <c r="BQ17" s="289"/>
      <c r="BR17" s="289"/>
      <c r="BS17" s="289"/>
      <c r="BT17" s="289"/>
      <c r="BU17" s="289"/>
      <c r="BV17" s="289"/>
      <c r="BW17" s="289"/>
      <c r="BX17" s="289"/>
      <c r="BY17" s="289"/>
      <c r="BZ17" s="289"/>
      <c r="CA17" s="289"/>
      <c r="CB17" s="289"/>
      <c r="CC17" s="290"/>
      <c r="CD17" s="93"/>
      <c r="CE17" s="93"/>
      <c r="CF17" s="74"/>
      <c r="CG17" s="29"/>
    </row>
    <row r="18" spans="1:115" s="3" customFormat="1" ht="19.5" customHeight="1">
      <c r="A18" s="28"/>
      <c r="B18" s="80"/>
      <c r="C18" s="93"/>
      <c r="D18" s="96" t="s">
        <v>89</v>
      </c>
      <c r="E18" s="97"/>
      <c r="F18" s="97"/>
      <c r="G18" s="97"/>
      <c r="H18" s="97"/>
      <c r="I18" s="97"/>
      <c r="J18" s="99"/>
      <c r="K18" s="97" t="s">
        <v>96</v>
      </c>
      <c r="L18" s="97"/>
      <c r="M18" s="97"/>
      <c r="N18" s="97"/>
      <c r="O18" s="97"/>
      <c r="P18" s="97"/>
      <c r="Q18" s="97"/>
      <c r="R18" s="97"/>
      <c r="S18" s="97"/>
      <c r="T18" s="97"/>
      <c r="U18" s="97"/>
      <c r="V18" s="97"/>
      <c r="W18" s="98"/>
      <c r="X18" s="97"/>
      <c r="Y18" s="97"/>
      <c r="Z18" s="97"/>
      <c r="AA18" s="97"/>
      <c r="AB18" s="97"/>
      <c r="AC18" s="97"/>
      <c r="AD18" s="99"/>
      <c r="AE18" s="96" t="s">
        <v>90</v>
      </c>
      <c r="AF18" s="97"/>
      <c r="AG18" s="97"/>
      <c r="AH18" s="97"/>
      <c r="AI18" s="97"/>
      <c r="AJ18" s="97"/>
      <c r="AK18" s="97"/>
      <c r="AL18" s="99"/>
      <c r="AM18" s="97" t="s">
        <v>380</v>
      </c>
      <c r="AN18" s="97"/>
      <c r="AO18" s="97"/>
      <c r="AP18" s="97"/>
      <c r="AQ18" s="97"/>
      <c r="AR18" s="97"/>
      <c r="AS18" s="97"/>
      <c r="AT18" s="97"/>
      <c r="AU18" s="97"/>
      <c r="AV18" s="97"/>
      <c r="AW18" s="97"/>
      <c r="AX18" s="97"/>
      <c r="AY18" s="97"/>
      <c r="AZ18" s="97"/>
      <c r="BA18" s="97"/>
      <c r="BB18" s="97"/>
      <c r="BC18" s="97"/>
      <c r="BD18" s="99"/>
      <c r="BE18" s="96" t="s">
        <v>91</v>
      </c>
      <c r="BF18" s="97"/>
      <c r="BG18" s="97"/>
      <c r="BH18" s="97"/>
      <c r="BI18" s="97"/>
      <c r="BJ18" s="97"/>
      <c r="BK18" s="99"/>
      <c r="BL18" s="97" t="s">
        <v>94</v>
      </c>
      <c r="BM18" s="97"/>
      <c r="BN18" s="97"/>
      <c r="BO18" s="97"/>
      <c r="BP18" s="97"/>
      <c r="BQ18" s="97"/>
      <c r="BR18" s="97"/>
      <c r="BS18" s="97"/>
      <c r="BT18" s="97"/>
      <c r="BU18" s="97"/>
      <c r="BV18" s="97"/>
      <c r="BW18" s="98"/>
      <c r="BX18" s="98"/>
      <c r="BY18" s="98"/>
      <c r="BZ18" s="97"/>
      <c r="CA18" s="97"/>
      <c r="CB18" s="97"/>
      <c r="CC18" s="99"/>
      <c r="CD18" s="93"/>
      <c r="CE18" s="93"/>
      <c r="CF18" s="74"/>
      <c r="CG18" s="29"/>
    </row>
    <row r="19" spans="1:115" s="3" customFormat="1" ht="19.5" customHeight="1">
      <c r="A19" s="28"/>
      <c r="B19" s="80"/>
      <c r="C19" s="92"/>
      <c r="D19" s="108" t="s">
        <v>93</v>
      </c>
      <c r="E19" s="98"/>
      <c r="F19" s="98"/>
      <c r="G19" s="98"/>
      <c r="H19" s="98"/>
      <c r="I19" s="98"/>
      <c r="J19" s="107"/>
      <c r="K19" s="98" t="s">
        <v>101</v>
      </c>
      <c r="L19" s="98"/>
      <c r="M19" s="98"/>
      <c r="N19" s="98"/>
      <c r="O19" s="98"/>
      <c r="P19" s="98"/>
      <c r="Q19" s="98"/>
      <c r="R19" s="98"/>
      <c r="S19" s="98"/>
      <c r="T19" s="98"/>
      <c r="U19" s="98"/>
      <c r="V19" s="98"/>
      <c r="W19" s="105"/>
      <c r="X19" s="105"/>
      <c r="Y19" s="105"/>
      <c r="Z19" s="105"/>
      <c r="AA19" s="105"/>
      <c r="AB19" s="105"/>
      <c r="AC19" s="105"/>
      <c r="AD19" s="111"/>
      <c r="AE19" s="119" t="s">
        <v>73</v>
      </c>
      <c r="AF19" s="98"/>
      <c r="AG19" s="98"/>
      <c r="AH19" s="98"/>
      <c r="AI19" s="98"/>
      <c r="AJ19" s="98"/>
      <c r="AK19" s="98"/>
      <c r="AL19" s="107"/>
      <c r="AM19" s="98"/>
      <c r="AN19" s="98" t="s">
        <v>71</v>
      </c>
      <c r="AO19" s="98"/>
      <c r="AP19" s="98"/>
      <c r="AQ19" s="98"/>
      <c r="AR19" s="98"/>
      <c r="AS19" s="98"/>
      <c r="AT19" s="98"/>
      <c r="AU19" s="98"/>
      <c r="AV19" s="98"/>
      <c r="AW19" s="98"/>
      <c r="AX19" s="98"/>
      <c r="AY19" s="98"/>
      <c r="AZ19" s="98"/>
      <c r="BA19" s="98"/>
      <c r="BB19" s="98"/>
      <c r="BC19" s="98"/>
      <c r="BD19" s="107"/>
      <c r="BE19" s="108" t="s">
        <v>74</v>
      </c>
      <c r="BF19" s="98"/>
      <c r="BG19" s="98"/>
      <c r="BH19" s="98"/>
      <c r="BI19" s="98"/>
      <c r="BJ19" s="98"/>
      <c r="BK19" s="107"/>
      <c r="BL19" s="109" t="s">
        <v>72</v>
      </c>
      <c r="BM19" s="98"/>
      <c r="BN19" s="98"/>
      <c r="BO19" s="98"/>
      <c r="BP19" s="98"/>
      <c r="BQ19" s="98"/>
      <c r="BR19" s="103"/>
      <c r="BS19" s="103"/>
      <c r="BT19" s="103"/>
      <c r="BU19" s="103"/>
      <c r="BV19" s="103"/>
      <c r="BW19" s="103"/>
      <c r="BX19" s="103"/>
      <c r="BY19" s="103"/>
      <c r="BZ19" s="103"/>
      <c r="CA19" s="103"/>
      <c r="CB19" s="103"/>
      <c r="CC19" s="104"/>
      <c r="CD19" s="92"/>
      <c r="CE19" s="93"/>
      <c r="CF19" s="74"/>
      <c r="CG19" s="29"/>
    </row>
    <row r="20" spans="1:115" s="3" customFormat="1" ht="19.5" customHeight="1">
      <c r="A20" s="28"/>
      <c r="B20" s="80"/>
      <c r="C20" s="92"/>
      <c r="D20" s="110" t="s">
        <v>92</v>
      </c>
      <c r="E20" s="106"/>
      <c r="F20" s="106"/>
      <c r="G20" s="106"/>
      <c r="H20" s="106"/>
      <c r="I20" s="98"/>
      <c r="J20" s="107"/>
      <c r="K20" s="109" t="s">
        <v>102</v>
      </c>
      <c r="L20" s="98"/>
      <c r="M20" s="98"/>
      <c r="N20" s="98"/>
      <c r="O20" s="98"/>
      <c r="P20" s="98"/>
      <c r="Q20" s="98"/>
      <c r="R20" s="98"/>
      <c r="S20" s="98"/>
      <c r="T20" s="98"/>
      <c r="U20" s="98"/>
      <c r="V20" s="98"/>
      <c r="W20" s="105"/>
      <c r="X20" s="105"/>
      <c r="Y20" s="105"/>
      <c r="Z20" s="105"/>
      <c r="AA20" s="105"/>
      <c r="AB20" s="105"/>
      <c r="AC20" s="105"/>
      <c r="AD20" s="111"/>
      <c r="AE20" s="119" t="s">
        <v>226</v>
      </c>
      <c r="AF20" s="98"/>
      <c r="AG20" s="98"/>
      <c r="AH20" s="98"/>
      <c r="AI20" s="98"/>
      <c r="AJ20" s="98"/>
      <c r="AK20" s="98"/>
      <c r="AL20" s="107"/>
      <c r="AM20" s="98"/>
      <c r="AN20" s="98" t="s">
        <v>227</v>
      </c>
      <c r="AO20" s="98"/>
      <c r="AP20" s="98"/>
      <c r="AQ20" s="98"/>
      <c r="AR20" s="98"/>
      <c r="AS20" s="98"/>
      <c r="AT20" s="98"/>
      <c r="AU20" s="98"/>
      <c r="AV20" s="98"/>
      <c r="AW20" s="98"/>
      <c r="AX20" s="98"/>
      <c r="AY20" s="98"/>
      <c r="AZ20" s="98"/>
      <c r="BA20" s="98"/>
      <c r="BB20" s="98"/>
      <c r="BC20" s="98"/>
      <c r="BD20" s="98"/>
      <c r="BE20" s="108" t="s">
        <v>231</v>
      </c>
      <c r="BF20" s="98"/>
      <c r="BG20" s="98"/>
      <c r="BH20" s="98"/>
      <c r="BI20" s="98"/>
      <c r="BJ20" s="98"/>
      <c r="BK20" s="107"/>
      <c r="BL20" s="109"/>
      <c r="BM20" s="98"/>
      <c r="BN20" s="98"/>
      <c r="BO20" s="98"/>
      <c r="BP20" s="98"/>
      <c r="BQ20" s="98"/>
      <c r="BR20" s="98"/>
      <c r="BS20" s="98"/>
      <c r="BT20" s="98"/>
      <c r="BU20" s="98"/>
      <c r="BV20" s="98"/>
      <c r="BW20" s="98"/>
      <c r="BX20" s="98"/>
      <c r="BY20" s="98"/>
      <c r="BZ20" s="98"/>
      <c r="CA20" s="98"/>
      <c r="CB20" s="98"/>
      <c r="CC20" s="107"/>
      <c r="CD20" s="92"/>
      <c r="CE20" s="93"/>
      <c r="CF20" s="74"/>
      <c r="CG20" s="29"/>
    </row>
    <row r="21" spans="1:115" s="3" customFormat="1" ht="19.5" customHeight="1">
      <c r="A21" s="28"/>
      <c r="B21" s="80"/>
      <c r="C21" s="93"/>
      <c r="D21" s="100"/>
      <c r="E21" s="100"/>
      <c r="F21" s="100"/>
      <c r="G21" s="100"/>
      <c r="H21" s="100"/>
      <c r="I21" s="101"/>
      <c r="J21" s="101"/>
      <c r="K21" s="101"/>
      <c r="L21" s="101"/>
      <c r="M21" s="101"/>
      <c r="N21" s="101"/>
      <c r="O21" s="101"/>
      <c r="P21" s="101"/>
      <c r="Q21" s="101"/>
      <c r="R21" s="101"/>
      <c r="S21" s="101"/>
      <c r="T21" s="101"/>
      <c r="U21" s="101"/>
      <c r="V21" s="101"/>
      <c r="W21" s="95"/>
      <c r="X21" s="95"/>
      <c r="Y21" s="95"/>
      <c r="Z21" s="95"/>
      <c r="AA21" s="95"/>
      <c r="AB21" s="95"/>
      <c r="AC21" s="95"/>
      <c r="AD21" s="95"/>
      <c r="AE21" s="95"/>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2"/>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92"/>
      <c r="CE21" s="93"/>
      <c r="CF21" s="74"/>
      <c r="CG21" s="29"/>
    </row>
    <row r="22" spans="1:115" s="3" customFormat="1" ht="19.5" customHeight="1">
      <c r="A22" s="28"/>
      <c r="B22" s="80"/>
      <c r="C22" s="92"/>
      <c r="D22" s="517" t="s">
        <v>103</v>
      </c>
      <c r="E22" s="518"/>
      <c r="F22" s="518"/>
      <c r="G22" s="519"/>
      <c r="H22" s="517" t="s">
        <v>122</v>
      </c>
      <c r="I22" s="518"/>
      <c r="J22" s="518"/>
      <c r="K22" s="518"/>
      <c r="L22" s="518"/>
      <c r="M22" s="518"/>
      <c r="N22" s="518"/>
      <c r="O22" s="518"/>
      <c r="P22" s="518"/>
      <c r="Q22" s="518"/>
      <c r="R22" s="518"/>
      <c r="S22" s="519"/>
      <c r="T22" s="517" t="s">
        <v>216</v>
      </c>
      <c r="U22" s="518"/>
      <c r="V22" s="518"/>
      <c r="W22" s="518"/>
      <c r="X22" s="518"/>
      <c r="Y22" s="518"/>
      <c r="Z22" s="518"/>
      <c r="AA22" s="518"/>
      <c r="AB22" s="518"/>
      <c r="AC22" s="518"/>
      <c r="AD22" s="518"/>
      <c r="AE22" s="519"/>
      <c r="AF22" s="517" t="s">
        <v>123</v>
      </c>
      <c r="AG22" s="518"/>
      <c r="AH22" s="518"/>
      <c r="AI22" s="518"/>
      <c r="AJ22" s="518"/>
      <c r="AK22" s="518"/>
      <c r="AL22" s="518"/>
      <c r="AM22" s="518"/>
      <c r="AN22" s="518"/>
      <c r="AO22" s="518"/>
      <c r="AP22" s="518"/>
      <c r="AQ22" s="519"/>
      <c r="AR22" s="517" t="s">
        <v>124</v>
      </c>
      <c r="AS22" s="518"/>
      <c r="AT22" s="518"/>
      <c r="AU22" s="518"/>
      <c r="AV22" s="518"/>
      <c r="AW22" s="518"/>
      <c r="AX22" s="518"/>
      <c r="AY22" s="518"/>
      <c r="AZ22" s="518"/>
      <c r="BA22" s="518"/>
      <c r="BB22" s="518"/>
      <c r="BC22" s="519"/>
      <c r="BD22" s="517" t="s">
        <v>217</v>
      </c>
      <c r="BE22" s="518"/>
      <c r="BF22" s="518"/>
      <c r="BG22" s="518"/>
      <c r="BH22" s="518"/>
      <c r="BI22" s="518"/>
      <c r="BJ22" s="518"/>
      <c r="BK22" s="518"/>
      <c r="BL22" s="518"/>
      <c r="BM22" s="518"/>
      <c r="BN22" s="518"/>
      <c r="BO22" s="518"/>
      <c r="BP22" s="519"/>
      <c r="BQ22" s="517" t="s">
        <v>218</v>
      </c>
      <c r="BR22" s="518"/>
      <c r="BS22" s="518"/>
      <c r="BT22" s="518"/>
      <c r="BU22" s="518"/>
      <c r="BV22" s="518"/>
      <c r="BW22" s="518"/>
      <c r="BX22" s="518"/>
      <c r="BY22" s="518"/>
      <c r="BZ22" s="518"/>
      <c r="CA22" s="518"/>
      <c r="CB22" s="518"/>
      <c r="CC22" s="519"/>
      <c r="CD22" s="92"/>
      <c r="CE22" s="93"/>
      <c r="CF22" s="74"/>
      <c r="CG22" s="167"/>
      <c r="CH22" s="165"/>
      <c r="CI22" s="165"/>
      <c r="CJ22" s="165"/>
      <c r="CK22" s="165"/>
      <c r="CL22" s="165"/>
      <c r="CM22" s="165"/>
      <c r="CN22" s="165"/>
      <c r="CO22" s="165"/>
      <c r="CP22" s="165"/>
      <c r="CQ22" s="165"/>
      <c r="CR22" s="165"/>
      <c r="CS22" s="165"/>
      <c r="CT22" s="165"/>
      <c r="CU22" s="166"/>
      <c r="CV22" s="165"/>
      <c r="CW22" s="165"/>
      <c r="CX22" s="165"/>
      <c r="CY22" s="165"/>
      <c r="CZ22" s="165"/>
      <c r="DA22" s="165"/>
      <c r="DB22" s="165"/>
      <c r="DC22" s="165"/>
      <c r="DD22" s="165"/>
      <c r="DE22" s="165"/>
      <c r="DF22" s="165"/>
      <c r="DG22" s="165"/>
      <c r="DH22" s="165"/>
      <c r="DI22" s="165"/>
      <c r="DJ22" s="165"/>
      <c r="DK22" s="165"/>
    </row>
    <row r="23" spans="1:115" s="3" customFormat="1" ht="19.5" customHeight="1">
      <c r="A23" s="28"/>
      <c r="B23" s="80"/>
      <c r="C23" s="92"/>
      <c r="D23" s="507" t="s">
        <v>95</v>
      </c>
      <c r="E23" s="508"/>
      <c r="F23" s="508"/>
      <c r="G23" s="509"/>
      <c r="H23" s="225"/>
      <c r="I23" s="510">
        <v>100</v>
      </c>
      <c r="J23" s="510"/>
      <c r="K23" s="510"/>
      <c r="L23" s="510"/>
      <c r="M23" s="510"/>
      <c r="N23" s="510"/>
      <c r="O23" s="510"/>
      <c r="P23" s="510"/>
      <c r="Q23" s="510"/>
      <c r="R23" s="510"/>
      <c r="S23" s="224"/>
      <c r="T23" s="225"/>
      <c r="U23" s="510">
        <v>300</v>
      </c>
      <c r="V23" s="510"/>
      <c r="W23" s="510"/>
      <c r="X23" s="510"/>
      <c r="Y23" s="510"/>
      <c r="Z23" s="510"/>
      <c r="AA23" s="510"/>
      <c r="AB23" s="510"/>
      <c r="AC23" s="510"/>
      <c r="AD23" s="510"/>
      <c r="AE23" s="226"/>
      <c r="AF23" s="224"/>
      <c r="AG23" s="510">
        <v>180000000</v>
      </c>
      <c r="AH23" s="510"/>
      <c r="AI23" s="510"/>
      <c r="AJ23" s="510"/>
      <c r="AK23" s="510"/>
      <c r="AL23" s="510"/>
      <c r="AM23" s="510"/>
      <c r="AN23" s="510"/>
      <c r="AO23" s="510"/>
      <c r="AP23" s="510"/>
      <c r="AQ23" s="224"/>
      <c r="AR23" s="225"/>
      <c r="AS23" s="510">
        <v>300000</v>
      </c>
      <c r="AT23" s="510"/>
      <c r="AU23" s="510"/>
      <c r="AV23" s="510"/>
      <c r="AW23" s="510"/>
      <c r="AX23" s="510"/>
      <c r="AY23" s="510"/>
      <c r="AZ23" s="510"/>
      <c r="BA23" s="510"/>
      <c r="BB23" s="510"/>
      <c r="BC23" s="226"/>
      <c r="BD23" s="224"/>
      <c r="BE23" s="510">
        <f>I23+AG23</f>
        <v>180000100</v>
      </c>
      <c r="BF23" s="510"/>
      <c r="BG23" s="510"/>
      <c r="BH23" s="510"/>
      <c r="BI23" s="510"/>
      <c r="BJ23" s="510"/>
      <c r="BK23" s="510"/>
      <c r="BL23" s="510"/>
      <c r="BM23" s="510"/>
      <c r="BN23" s="510"/>
      <c r="BO23" s="510"/>
      <c r="BP23" s="224"/>
      <c r="BQ23" s="225"/>
      <c r="BR23" s="510">
        <f>U23+AS23</f>
        <v>300300</v>
      </c>
      <c r="BS23" s="510"/>
      <c r="BT23" s="510"/>
      <c r="BU23" s="510"/>
      <c r="BV23" s="510"/>
      <c r="BW23" s="510"/>
      <c r="BX23" s="510"/>
      <c r="BY23" s="510"/>
      <c r="BZ23" s="510"/>
      <c r="CA23" s="510"/>
      <c r="CB23" s="510"/>
      <c r="CC23" s="171"/>
      <c r="CD23" s="93"/>
      <c r="CE23" s="93"/>
      <c r="CF23" s="74"/>
      <c r="CG23" s="29"/>
    </row>
    <row r="24" spans="1:115" s="3" customFormat="1" ht="19.5" customHeight="1">
      <c r="A24" s="28"/>
      <c r="B24" s="80"/>
      <c r="C24" s="93"/>
      <c r="D24" s="507" t="s">
        <v>64</v>
      </c>
      <c r="E24" s="508"/>
      <c r="F24" s="508"/>
      <c r="G24" s="509"/>
      <c r="H24" s="225"/>
      <c r="I24" s="510"/>
      <c r="J24" s="510"/>
      <c r="K24" s="510"/>
      <c r="L24" s="510"/>
      <c r="M24" s="510"/>
      <c r="N24" s="510"/>
      <c r="O24" s="510"/>
      <c r="P24" s="510"/>
      <c r="Q24" s="510"/>
      <c r="R24" s="510"/>
      <c r="S24" s="224"/>
      <c r="T24" s="225"/>
      <c r="U24" s="510"/>
      <c r="V24" s="510"/>
      <c r="W24" s="510"/>
      <c r="X24" s="510"/>
      <c r="Y24" s="510"/>
      <c r="Z24" s="510"/>
      <c r="AA24" s="510"/>
      <c r="AB24" s="510"/>
      <c r="AC24" s="510"/>
      <c r="AD24" s="510"/>
      <c r="AE24" s="226"/>
      <c r="AF24" s="224"/>
      <c r="AG24" s="510">
        <v>60000000</v>
      </c>
      <c r="AH24" s="510"/>
      <c r="AI24" s="510"/>
      <c r="AJ24" s="510"/>
      <c r="AK24" s="510"/>
      <c r="AL24" s="510"/>
      <c r="AM24" s="510"/>
      <c r="AN24" s="510"/>
      <c r="AO24" s="510"/>
      <c r="AP24" s="510"/>
      <c r="AQ24" s="224"/>
      <c r="AR24" s="225"/>
      <c r="AS24" s="510">
        <v>160000</v>
      </c>
      <c r="AT24" s="510"/>
      <c r="AU24" s="510"/>
      <c r="AV24" s="510"/>
      <c r="AW24" s="510"/>
      <c r="AX24" s="510"/>
      <c r="AY24" s="510"/>
      <c r="AZ24" s="510"/>
      <c r="BA24" s="510"/>
      <c r="BB24" s="510"/>
      <c r="BC24" s="226"/>
      <c r="BD24" s="224"/>
      <c r="BE24" s="510"/>
      <c r="BF24" s="510"/>
      <c r="BG24" s="510"/>
      <c r="BH24" s="510"/>
      <c r="BI24" s="510"/>
      <c r="BJ24" s="510"/>
      <c r="BK24" s="510"/>
      <c r="BL24" s="510"/>
      <c r="BM24" s="510"/>
      <c r="BN24" s="510"/>
      <c r="BO24" s="510"/>
      <c r="BP24" s="224"/>
      <c r="BQ24" s="225"/>
      <c r="BR24" s="510"/>
      <c r="BS24" s="510"/>
      <c r="BT24" s="510"/>
      <c r="BU24" s="510"/>
      <c r="BV24" s="510"/>
      <c r="BW24" s="510"/>
      <c r="BX24" s="510"/>
      <c r="BY24" s="510"/>
      <c r="BZ24" s="510"/>
      <c r="CA24" s="510"/>
      <c r="CB24" s="510"/>
      <c r="CC24" s="171"/>
      <c r="CD24" s="92"/>
      <c r="CE24" s="93"/>
      <c r="CF24" s="74"/>
      <c r="CG24" s="29"/>
    </row>
    <row r="25" spans="1:115" s="3" customFormat="1" ht="19.5" customHeight="1">
      <c r="A25" s="28"/>
      <c r="B25" s="80"/>
      <c r="C25" s="93"/>
      <c r="D25" s="507" t="s">
        <v>104</v>
      </c>
      <c r="E25" s="508"/>
      <c r="F25" s="508"/>
      <c r="G25" s="509"/>
      <c r="H25" s="225"/>
      <c r="I25" s="510">
        <v>300</v>
      </c>
      <c r="J25" s="510"/>
      <c r="K25" s="510"/>
      <c r="L25" s="510"/>
      <c r="M25" s="510"/>
      <c r="N25" s="510"/>
      <c r="O25" s="510"/>
      <c r="P25" s="510"/>
      <c r="Q25" s="510"/>
      <c r="R25" s="510"/>
      <c r="S25" s="224"/>
      <c r="T25" s="225"/>
      <c r="U25" s="510"/>
      <c r="V25" s="510"/>
      <c r="W25" s="510"/>
      <c r="X25" s="510"/>
      <c r="Y25" s="510"/>
      <c r="Z25" s="510"/>
      <c r="AA25" s="510"/>
      <c r="AB25" s="510"/>
      <c r="AC25" s="510"/>
      <c r="AD25" s="510"/>
      <c r="AE25" s="226"/>
      <c r="AF25" s="224"/>
      <c r="AG25" s="510">
        <v>60000000</v>
      </c>
      <c r="AH25" s="510"/>
      <c r="AI25" s="510"/>
      <c r="AJ25" s="510"/>
      <c r="AK25" s="510"/>
      <c r="AL25" s="510"/>
      <c r="AM25" s="510"/>
      <c r="AN25" s="510"/>
      <c r="AO25" s="510"/>
      <c r="AP25" s="510"/>
      <c r="AQ25" s="224"/>
      <c r="AR25" s="225"/>
      <c r="AS25" s="510">
        <v>70000</v>
      </c>
      <c r="AT25" s="510"/>
      <c r="AU25" s="510"/>
      <c r="AV25" s="510"/>
      <c r="AW25" s="510"/>
      <c r="AX25" s="510"/>
      <c r="AY25" s="510"/>
      <c r="AZ25" s="510"/>
      <c r="BA25" s="510"/>
      <c r="BB25" s="510"/>
      <c r="BC25" s="226"/>
      <c r="BD25" s="224"/>
      <c r="BE25" s="510">
        <f t="shared" ref="BE25" si="0">I25+AG25</f>
        <v>60000300</v>
      </c>
      <c r="BF25" s="510"/>
      <c r="BG25" s="510"/>
      <c r="BH25" s="510"/>
      <c r="BI25" s="510"/>
      <c r="BJ25" s="510"/>
      <c r="BK25" s="510"/>
      <c r="BL25" s="510"/>
      <c r="BM25" s="510"/>
      <c r="BN25" s="510"/>
      <c r="BO25" s="510"/>
      <c r="BP25" s="224"/>
      <c r="BQ25" s="225"/>
      <c r="BR25" s="510"/>
      <c r="BS25" s="510"/>
      <c r="BT25" s="510"/>
      <c r="BU25" s="510"/>
      <c r="BV25" s="510"/>
      <c r="BW25" s="510"/>
      <c r="BX25" s="510"/>
      <c r="BY25" s="510"/>
      <c r="BZ25" s="510"/>
      <c r="CA25" s="510"/>
      <c r="CB25" s="510"/>
      <c r="CC25" s="171"/>
      <c r="CD25" s="92"/>
      <c r="CE25" s="93"/>
      <c r="CF25" s="74"/>
      <c r="CG25" s="29"/>
    </row>
    <row r="26" spans="1:115" s="3" customFormat="1" ht="19.5" customHeight="1">
      <c r="A26" s="28"/>
      <c r="B26" s="80"/>
      <c r="C26" s="92"/>
      <c r="D26" s="507" t="s">
        <v>76</v>
      </c>
      <c r="E26" s="508"/>
      <c r="F26" s="508"/>
      <c r="G26" s="509"/>
      <c r="H26" s="225"/>
      <c r="I26" s="510"/>
      <c r="J26" s="510"/>
      <c r="K26" s="510"/>
      <c r="L26" s="510"/>
      <c r="M26" s="510"/>
      <c r="N26" s="510"/>
      <c r="O26" s="510"/>
      <c r="P26" s="510"/>
      <c r="Q26" s="510"/>
      <c r="R26" s="510"/>
      <c r="S26" s="224"/>
      <c r="T26" s="225"/>
      <c r="U26" s="510">
        <v>400</v>
      </c>
      <c r="V26" s="510"/>
      <c r="W26" s="510"/>
      <c r="X26" s="510"/>
      <c r="Y26" s="510"/>
      <c r="Z26" s="510"/>
      <c r="AA26" s="510"/>
      <c r="AB26" s="510"/>
      <c r="AC26" s="510"/>
      <c r="AD26" s="510"/>
      <c r="AE26" s="226"/>
      <c r="AF26" s="224"/>
      <c r="AG26" s="510">
        <v>60000000</v>
      </c>
      <c r="AH26" s="510"/>
      <c r="AI26" s="510"/>
      <c r="AJ26" s="510"/>
      <c r="AK26" s="510"/>
      <c r="AL26" s="510"/>
      <c r="AM26" s="510"/>
      <c r="AN26" s="510"/>
      <c r="AO26" s="510"/>
      <c r="AP26" s="510"/>
      <c r="AQ26" s="224"/>
      <c r="AR26" s="225"/>
      <c r="AS26" s="510">
        <v>170000</v>
      </c>
      <c r="AT26" s="510"/>
      <c r="AU26" s="510"/>
      <c r="AV26" s="510"/>
      <c r="AW26" s="510"/>
      <c r="AX26" s="510"/>
      <c r="AY26" s="510"/>
      <c r="AZ26" s="510"/>
      <c r="BA26" s="510"/>
      <c r="BB26" s="510"/>
      <c r="BC26" s="226"/>
      <c r="BD26" s="224"/>
      <c r="BE26" s="510"/>
      <c r="BF26" s="510"/>
      <c r="BG26" s="510"/>
      <c r="BH26" s="510"/>
      <c r="BI26" s="510"/>
      <c r="BJ26" s="510"/>
      <c r="BK26" s="510"/>
      <c r="BL26" s="510"/>
      <c r="BM26" s="510"/>
      <c r="BN26" s="510"/>
      <c r="BO26" s="510"/>
      <c r="BP26" s="224"/>
      <c r="BQ26" s="225"/>
      <c r="BR26" s="510">
        <f t="shared" ref="BR26:BR27" si="1">U26+AS26</f>
        <v>170400</v>
      </c>
      <c r="BS26" s="510"/>
      <c r="BT26" s="510"/>
      <c r="BU26" s="510"/>
      <c r="BV26" s="510"/>
      <c r="BW26" s="510"/>
      <c r="BX26" s="510"/>
      <c r="BY26" s="510"/>
      <c r="BZ26" s="510"/>
      <c r="CA26" s="510"/>
      <c r="CB26" s="510"/>
      <c r="CC26" s="171"/>
      <c r="CD26" s="92"/>
      <c r="CE26" s="93"/>
      <c r="CF26" s="74"/>
      <c r="CG26" s="29"/>
    </row>
    <row r="27" spans="1:115" s="3" customFormat="1" ht="19.5" customHeight="1">
      <c r="A27" s="28"/>
      <c r="B27" s="80"/>
      <c r="C27" s="92"/>
      <c r="D27" s="507" t="s">
        <v>105</v>
      </c>
      <c r="E27" s="508"/>
      <c r="F27" s="508"/>
      <c r="G27" s="509"/>
      <c r="H27" s="225"/>
      <c r="I27" s="511" t="s">
        <v>224</v>
      </c>
      <c r="J27" s="510"/>
      <c r="K27" s="510"/>
      <c r="L27" s="510"/>
      <c r="M27" s="510"/>
      <c r="N27" s="510"/>
      <c r="O27" s="510"/>
      <c r="P27" s="510"/>
      <c r="Q27" s="510"/>
      <c r="R27" s="510"/>
      <c r="S27" s="224"/>
      <c r="T27" s="225"/>
      <c r="U27" s="511" t="s">
        <v>225</v>
      </c>
      <c r="V27" s="510"/>
      <c r="W27" s="510"/>
      <c r="X27" s="510"/>
      <c r="Y27" s="510"/>
      <c r="Z27" s="510"/>
      <c r="AA27" s="510"/>
      <c r="AB27" s="510"/>
      <c r="AC27" s="510"/>
      <c r="AD27" s="510"/>
      <c r="AE27" s="226"/>
      <c r="AF27" s="224"/>
      <c r="AG27" s="510">
        <v>40000000</v>
      </c>
      <c r="AH27" s="510"/>
      <c r="AI27" s="510"/>
      <c r="AJ27" s="510"/>
      <c r="AK27" s="510"/>
      <c r="AL27" s="510"/>
      <c r="AM27" s="510"/>
      <c r="AN27" s="510"/>
      <c r="AO27" s="510"/>
      <c r="AP27" s="510"/>
      <c r="AQ27" s="224"/>
      <c r="AR27" s="225"/>
      <c r="AS27" s="510">
        <v>20000</v>
      </c>
      <c r="AT27" s="510"/>
      <c r="AU27" s="510"/>
      <c r="AV27" s="510"/>
      <c r="AW27" s="510"/>
      <c r="AX27" s="510"/>
      <c r="AY27" s="510"/>
      <c r="AZ27" s="510"/>
      <c r="BA27" s="510"/>
      <c r="BB27" s="510"/>
      <c r="BC27" s="226"/>
      <c r="BD27" s="224"/>
      <c r="BE27" s="510">
        <f t="shared" ref="BE27" si="2">I27+AG27</f>
        <v>39999000</v>
      </c>
      <c r="BF27" s="510"/>
      <c r="BG27" s="510"/>
      <c r="BH27" s="510"/>
      <c r="BI27" s="510"/>
      <c r="BJ27" s="510"/>
      <c r="BK27" s="510"/>
      <c r="BL27" s="510"/>
      <c r="BM27" s="510"/>
      <c r="BN27" s="510"/>
      <c r="BO27" s="510"/>
      <c r="BP27" s="224"/>
      <c r="BQ27" s="225"/>
      <c r="BR27" s="510">
        <f t="shared" si="1"/>
        <v>18000</v>
      </c>
      <c r="BS27" s="510"/>
      <c r="BT27" s="510"/>
      <c r="BU27" s="510"/>
      <c r="BV27" s="510"/>
      <c r="BW27" s="510"/>
      <c r="BX27" s="510"/>
      <c r="BY27" s="510"/>
      <c r="BZ27" s="510"/>
      <c r="CA27" s="510"/>
      <c r="CB27" s="510"/>
      <c r="CC27" s="171"/>
      <c r="CD27" s="92"/>
      <c r="CE27" s="93"/>
      <c r="CF27" s="74"/>
      <c r="CG27" s="29"/>
    </row>
    <row r="28" spans="1:115" s="3" customFormat="1" ht="19.5" customHeight="1">
      <c r="A28" s="28"/>
      <c r="B28" s="80"/>
      <c r="C28" s="93"/>
      <c r="D28" s="507" t="s">
        <v>75</v>
      </c>
      <c r="E28" s="508"/>
      <c r="F28" s="508"/>
      <c r="G28" s="509"/>
      <c r="H28" s="225"/>
      <c r="I28" s="510"/>
      <c r="J28" s="510"/>
      <c r="K28" s="510"/>
      <c r="L28" s="510"/>
      <c r="M28" s="510"/>
      <c r="N28" s="510"/>
      <c r="O28" s="510"/>
      <c r="P28" s="510"/>
      <c r="Q28" s="510"/>
      <c r="R28" s="510"/>
      <c r="S28" s="224"/>
      <c r="T28" s="225"/>
      <c r="U28" s="510"/>
      <c r="V28" s="510"/>
      <c r="W28" s="510"/>
      <c r="X28" s="510"/>
      <c r="Y28" s="510"/>
      <c r="Z28" s="510"/>
      <c r="AA28" s="510"/>
      <c r="AB28" s="510"/>
      <c r="AC28" s="510"/>
      <c r="AD28" s="510"/>
      <c r="AE28" s="226"/>
      <c r="AF28" s="224"/>
      <c r="AG28" s="510">
        <v>40000000</v>
      </c>
      <c r="AH28" s="510"/>
      <c r="AI28" s="510"/>
      <c r="AJ28" s="510"/>
      <c r="AK28" s="510"/>
      <c r="AL28" s="510"/>
      <c r="AM28" s="510"/>
      <c r="AN28" s="510"/>
      <c r="AO28" s="510"/>
      <c r="AP28" s="510"/>
      <c r="AQ28" s="224"/>
      <c r="AR28" s="225"/>
      <c r="AS28" s="510">
        <v>110000</v>
      </c>
      <c r="AT28" s="510"/>
      <c r="AU28" s="510"/>
      <c r="AV28" s="510"/>
      <c r="AW28" s="510"/>
      <c r="AX28" s="510"/>
      <c r="AY28" s="510"/>
      <c r="AZ28" s="510"/>
      <c r="BA28" s="510"/>
      <c r="BB28" s="510"/>
      <c r="BC28" s="226"/>
      <c r="BD28" s="224"/>
      <c r="BE28" s="510"/>
      <c r="BF28" s="510"/>
      <c r="BG28" s="510"/>
      <c r="BH28" s="510"/>
      <c r="BI28" s="510"/>
      <c r="BJ28" s="510"/>
      <c r="BK28" s="510"/>
      <c r="BL28" s="510"/>
      <c r="BM28" s="510"/>
      <c r="BN28" s="510"/>
      <c r="BO28" s="510"/>
      <c r="BP28" s="224"/>
      <c r="BQ28" s="225"/>
      <c r="BR28" s="510"/>
      <c r="BS28" s="510"/>
      <c r="BT28" s="510"/>
      <c r="BU28" s="510"/>
      <c r="BV28" s="510"/>
      <c r="BW28" s="510"/>
      <c r="BX28" s="510"/>
      <c r="BY28" s="510"/>
      <c r="BZ28" s="510"/>
      <c r="CA28" s="510"/>
      <c r="CB28" s="510"/>
      <c r="CC28" s="171"/>
      <c r="CD28" s="93"/>
      <c r="CE28" s="93"/>
      <c r="CF28" s="74"/>
      <c r="CG28" s="29"/>
    </row>
    <row r="29" spans="1:115" s="3" customFormat="1" ht="19.5" customHeight="1">
      <c r="A29" s="28"/>
      <c r="B29" s="80"/>
      <c r="C29" s="93"/>
      <c r="D29" s="507" t="s">
        <v>106</v>
      </c>
      <c r="E29" s="508"/>
      <c r="F29" s="508"/>
      <c r="G29" s="509"/>
      <c r="H29" s="225"/>
      <c r="I29" s="510"/>
      <c r="J29" s="510"/>
      <c r="K29" s="510"/>
      <c r="L29" s="510"/>
      <c r="M29" s="510"/>
      <c r="N29" s="510"/>
      <c r="O29" s="510"/>
      <c r="P29" s="510"/>
      <c r="Q29" s="510"/>
      <c r="R29" s="510"/>
      <c r="S29" s="224"/>
      <c r="T29" s="225"/>
      <c r="U29" s="510"/>
      <c r="V29" s="510"/>
      <c r="W29" s="510"/>
      <c r="X29" s="510"/>
      <c r="Y29" s="510"/>
      <c r="Z29" s="510"/>
      <c r="AA29" s="510"/>
      <c r="AB29" s="510"/>
      <c r="AC29" s="510"/>
      <c r="AD29" s="510"/>
      <c r="AE29" s="226"/>
      <c r="AF29" s="224"/>
      <c r="AG29" s="510">
        <v>50000000</v>
      </c>
      <c r="AH29" s="510"/>
      <c r="AI29" s="510"/>
      <c r="AJ29" s="510"/>
      <c r="AK29" s="510"/>
      <c r="AL29" s="510"/>
      <c r="AM29" s="510"/>
      <c r="AN29" s="510"/>
      <c r="AO29" s="510"/>
      <c r="AP29" s="510"/>
      <c r="AQ29" s="224"/>
      <c r="AR29" s="225"/>
      <c r="AS29" s="510">
        <v>170000</v>
      </c>
      <c r="AT29" s="510"/>
      <c r="AU29" s="510"/>
      <c r="AV29" s="510"/>
      <c r="AW29" s="510"/>
      <c r="AX29" s="510"/>
      <c r="AY29" s="510"/>
      <c r="AZ29" s="510"/>
      <c r="BA29" s="510"/>
      <c r="BB29" s="510"/>
      <c r="BC29" s="226"/>
      <c r="BD29" s="224"/>
      <c r="BE29" s="510"/>
      <c r="BF29" s="510"/>
      <c r="BG29" s="510"/>
      <c r="BH29" s="510"/>
      <c r="BI29" s="510"/>
      <c r="BJ29" s="510"/>
      <c r="BK29" s="510"/>
      <c r="BL29" s="510"/>
      <c r="BM29" s="510"/>
      <c r="BN29" s="510"/>
      <c r="BO29" s="510"/>
      <c r="BP29" s="224"/>
      <c r="BQ29" s="225"/>
      <c r="BR29" s="510"/>
      <c r="BS29" s="510"/>
      <c r="BT29" s="510"/>
      <c r="BU29" s="510"/>
      <c r="BV29" s="510"/>
      <c r="BW29" s="510"/>
      <c r="BX29" s="510"/>
      <c r="BY29" s="510"/>
      <c r="BZ29" s="510"/>
      <c r="CA29" s="510"/>
      <c r="CB29" s="510"/>
      <c r="CC29" s="171"/>
      <c r="CD29" s="92"/>
      <c r="CE29" s="93"/>
      <c r="CF29" s="74"/>
      <c r="CG29" s="29"/>
    </row>
    <row r="30" spans="1:115" s="3" customFormat="1" ht="19.5" customHeight="1">
      <c r="A30" s="28"/>
      <c r="B30" s="80"/>
      <c r="C30" s="93"/>
      <c r="D30" s="507" t="s">
        <v>80</v>
      </c>
      <c r="E30" s="508"/>
      <c r="F30" s="508"/>
      <c r="G30" s="509"/>
      <c r="H30" s="225"/>
      <c r="I30" s="510"/>
      <c r="J30" s="510"/>
      <c r="K30" s="510"/>
      <c r="L30" s="510"/>
      <c r="M30" s="510"/>
      <c r="N30" s="510"/>
      <c r="O30" s="510"/>
      <c r="P30" s="510"/>
      <c r="Q30" s="510"/>
      <c r="R30" s="510"/>
      <c r="S30" s="224"/>
      <c r="T30" s="225"/>
      <c r="U30" s="510"/>
      <c r="V30" s="510"/>
      <c r="W30" s="510"/>
      <c r="X30" s="510"/>
      <c r="Y30" s="510"/>
      <c r="Z30" s="510"/>
      <c r="AA30" s="510"/>
      <c r="AB30" s="510"/>
      <c r="AC30" s="510"/>
      <c r="AD30" s="510"/>
      <c r="AE30" s="226"/>
      <c r="AF30" s="224"/>
      <c r="AG30" s="510"/>
      <c r="AH30" s="510"/>
      <c r="AI30" s="510"/>
      <c r="AJ30" s="510"/>
      <c r="AK30" s="510"/>
      <c r="AL30" s="510"/>
      <c r="AM30" s="510"/>
      <c r="AN30" s="510"/>
      <c r="AO30" s="510"/>
      <c r="AP30" s="510"/>
      <c r="AQ30" s="224"/>
      <c r="AR30" s="225"/>
      <c r="AS30" s="510"/>
      <c r="AT30" s="510"/>
      <c r="AU30" s="510"/>
      <c r="AV30" s="510"/>
      <c r="AW30" s="510"/>
      <c r="AX30" s="510"/>
      <c r="AY30" s="510"/>
      <c r="AZ30" s="510"/>
      <c r="BA30" s="510"/>
      <c r="BB30" s="510"/>
      <c r="BC30" s="226"/>
      <c r="BD30" s="224"/>
      <c r="BE30" s="510"/>
      <c r="BF30" s="510"/>
      <c r="BG30" s="510"/>
      <c r="BH30" s="510"/>
      <c r="BI30" s="510"/>
      <c r="BJ30" s="510"/>
      <c r="BK30" s="510"/>
      <c r="BL30" s="510"/>
      <c r="BM30" s="510"/>
      <c r="BN30" s="510"/>
      <c r="BO30" s="510"/>
      <c r="BP30" s="224"/>
      <c r="BQ30" s="225"/>
      <c r="BR30" s="510"/>
      <c r="BS30" s="510"/>
      <c r="BT30" s="510"/>
      <c r="BU30" s="510"/>
      <c r="BV30" s="510"/>
      <c r="BW30" s="510"/>
      <c r="BX30" s="510"/>
      <c r="BY30" s="510"/>
      <c r="BZ30" s="510"/>
      <c r="CA30" s="510"/>
      <c r="CB30" s="510"/>
      <c r="CC30" s="171"/>
      <c r="CD30" s="93"/>
      <c r="CE30" s="93"/>
      <c r="CF30" s="74"/>
      <c r="CG30" s="29"/>
    </row>
    <row r="31" spans="1:115" s="3" customFormat="1" ht="19.5" customHeight="1">
      <c r="A31" s="28"/>
      <c r="B31" s="80"/>
      <c r="C31" s="93"/>
      <c r="D31" s="507" t="s">
        <v>107</v>
      </c>
      <c r="E31" s="508"/>
      <c r="F31" s="508"/>
      <c r="G31" s="509"/>
      <c r="H31" s="225"/>
      <c r="I31" s="510"/>
      <c r="J31" s="510"/>
      <c r="K31" s="510"/>
      <c r="L31" s="510"/>
      <c r="M31" s="510"/>
      <c r="N31" s="510"/>
      <c r="O31" s="510"/>
      <c r="P31" s="510"/>
      <c r="Q31" s="510"/>
      <c r="R31" s="510"/>
      <c r="S31" s="224"/>
      <c r="T31" s="225"/>
      <c r="U31" s="510"/>
      <c r="V31" s="510"/>
      <c r="W31" s="510"/>
      <c r="X31" s="510"/>
      <c r="Y31" s="510"/>
      <c r="Z31" s="510"/>
      <c r="AA31" s="510"/>
      <c r="AB31" s="510"/>
      <c r="AC31" s="510"/>
      <c r="AD31" s="510"/>
      <c r="AE31" s="226"/>
      <c r="AF31" s="224"/>
      <c r="AG31" s="510"/>
      <c r="AH31" s="510"/>
      <c r="AI31" s="510"/>
      <c r="AJ31" s="510"/>
      <c r="AK31" s="510"/>
      <c r="AL31" s="510"/>
      <c r="AM31" s="510"/>
      <c r="AN31" s="510"/>
      <c r="AO31" s="510"/>
      <c r="AP31" s="510"/>
      <c r="AQ31" s="224"/>
      <c r="AR31" s="225"/>
      <c r="AS31" s="510"/>
      <c r="AT31" s="510"/>
      <c r="AU31" s="510"/>
      <c r="AV31" s="510"/>
      <c r="AW31" s="510"/>
      <c r="AX31" s="510"/>
      <c r="AY31" s="510"/>
      <c r="AZ31" s="510"/>
      <c r="BA31" s="510"/>
      <c r="BB31" s="510"/>
      <c r="BC31" s="226"/>
      <c r="BD31" s="224"/>
      <c r="BE31" s="510"/>
      <c r="BF31" s="510"/>
      <c r="BG31" s="510"/>
      <c r="BH31" s="510"/>
      <c r="BI31" s="510"/>
      <c r="BJ31" s="510"/>
      <c r="BK31" s="510"/>
      <c r="BL31" s="510"/>
      <c r="BM31" s="510"/>
      <c r="BN31" s="510"/>
      <c r="BO31" s="510"/>
      <c r="BP31" s="224"/>
      <c r="BQ31" s="225"/>
      <c r="BR31" s="510"/>
      <c r="BS31" s="510"/>
      <c r="BT31" s="510"/>
      <c r="BU31" s="510"/>
      <c r="BV31" s="510"/>
      <c r="BW31" s="510"/>
      <c r="BX31" s="510"/>
      <c r="BY31" s="510"/>
      <c r="BZ31" s="510"/>
      <c r="CA31" s="510"/>
      <c r="CB31" s="510"/>
      <c r="CC31" s="171"/>
      <c r="CD31" s="93"/>
      <c r="CE31" s="93"/>
      <c r="CF31" s="74"/>
      <c r="CG31" s="29"/>
    </row>
    <row r="32" spans="1:115" s="3" customFormat="1" ht="19.5" customHeight="1">
      <c r="A32" s="28"/>
      <c r="B32" s="80"/>
      <c r="C32" s="92"/>
      <c r="D32" s="507" t="s">
        <v>108</v>
      </c>
      <c r="E32" s="508"/>
      <c r="F32" s="508"/>
      <c r="G32" s="509"/>
      <c r="H32" s="225"/>
      <c r="I32" s="510"/>
      <c r="J32" s="510"/>
      <c r="K32" s="510"/>
      <c r="L32" s="510"/>
      <c r="M32" s="510"/>
      <c r="N32" s="510"/>
      <c r="O32" s="510"/>
      <c r="P32" s="510"/>
      <c r="Q32" s="510"/>
      <c r="R32" s="510"/>
      <c r="S32" s="224"/>
      <c r="T32" s="225"/>
      <c r="U32" s="510"/>
      <c r="V32" s="510"/>
      <c r="W32" s="510"/>
      <c r="X32" s="510"/>
      <c r="Y32" s="510"/>
      <c r="Z32" s="510"/>
      <c r="AA32" s="510"/>
      <c r="AB32" s="510"/>
      <c r="AC32" s="510"/>
      <c r="AD32" s="510"/>
      <c r="AE32" s="226"/>
      <c r="AF32" s="224"/>
      <c r="AG32" s="510"/>
      <c r="AH32" s="510"/>
      <c r="AI32" s="510"/>
      <c r="AJ32" s="510"/>
      <c r="AK32" s="510"/>
      <c r="AL32" s="510"/>
      <c r="AM32" s="510"/>
      <c r="AN32" s="510"/>
      <c r="AO32" s="510"/>
      <c r="AP32" s="510"/>
      <c r="AQ32" s="224"/>
      <c r="AR32" s="225"/>
      <c r="AS32" s="510"/>
      <c r="AT32" s="510"/>
      <c r="AU32" s="510"/>
      <c r="AV32" s="510"/>
      <c r="AW32" s="510"/>
      <c r="AX32" s="510"/>
      <c r="AY32" s="510"/>
      <c r="AZ32" s="510"/>
      <c r="BA32" s="510"/>
      <c r="BB32" s="510"/>
      <c r="BC32" s="226"/>
      <c r="BD32" s="224"/>
      <c r="BE32" s="510"/>
      <c r="BF32" s="510"/>
      <c r="BG32" s="510"/>
      <c r="BH32" s="510"/>
      <c r="BI32" s="510"/>
      <c r="BJ32" s="510"/>
      <c r="BK32" s="510"/>
      <c r="BL32" s="510"/>
      <c r="BM32" s="510"/>
      <c r="BN32" s="510"/>
      <c r="BO32" s="510"/>
      <c r="BP32" s="224"/>
      <c r="BQ32" s="225"/>
      <c r="BR32" s="510"/>
      <c r="BS32" s="510"/>
      <c r="BT32" s="510"/>
      <c r="BU32" s="510"/>
      <c r="BV32" s="510"/>
      <c r="BW32" s="510"/>
      <c r="BX32" s="510"/>
      <c r="BY32" s="510"/>
      <c r="BZ32" s="510"/>
      <c r="CA32" s="510"/>
      <c r="CB32" s="510"/>
      <c r="CC32" s="171"/>
      <c r="CD32" s="92"/>
      <c r="CE32" s="93"/>
      <c r="CF32" s="74"/>
      <c r="CG32" s="29"/>
    </row>
    <row r="33" spans="1:85" s="3" customFormat="1" ht="19.5" customHeight="1">
      <c r="A33" s="28"/>
      <c r="B33" s="80"/>
      <c r="C33" s="92"/>
      <c r="D33" s="507" t="s">
        <v>109</v>
      </c>
      <c r="E33" s="508"/>
      <c r="F33" s="508"/>
      <c r="G33" s="509"/>
      <c r="H33" s="225"/>
      <c r="I33" s="510"/>
      <c r="J33" s="510"/>
      <c r="K33" s="510"/>
      <c r="L33" s="510"/>
      <c r="M33" s="510"/>
      <c r="N33" s="510"/>
      <c r="O33" s="510"/>
      <c r="P33" s="510"/>
      <c r="Q33" s="510"/>
      <c r="R33" s="510"/>
      <c r="S33" s="224"/>
      <c r="T33" s="225"/>
      <c r="U33" s="510"/>
      <c r="V33" s="510"/>
      <c r="W33" s="510"/>
      <c r="X33" s="510"/>
      <c r="Y33" s="510"/>
      <c r="Z33" s="510"/>
      <c r="AA33" s="510"/>
      <c r="AB33" s="510"/>
      <c r="AC33" s="510"/>
      <c r="AD33" s="510"/>
      <c r="AE33" s="226"/>
      <c r="AF33" s="224"/>
      <c r="AG33" s="510"/>
      <c r="AH33" s="510"/>
      <c r="AI33" s="510"/>
      <c r="AJ33" s="510"/>
      <c r="AK33" s="510"/>
      <c r="AL33" s="510"/>
      <c r="AM33" s="510"/>
      <c r="AN33" s="510"/>
      <c r="AO33" s="510"/>
      <c r="AP33" s="510"/>
      <c r="AQ33" s="224"/>
      <c r="AR33" s="225"/>
      <c r="AS33" s="510"/>
      <c r="AT33" s="510"/>
      <c r="AU33" s="510"/>
      <c r="AV33" s="510"/>
      <c r="AW33" s="510"/>
      <c r="AX33" s="510"/>
      <c r="AY33" s="510"/>
      <c r="AZ33" s="510"/>
      <c r="BA33" s="510"/>
      <c r="BB33" s="510"/>
      <c r="BC33" s="226"/>
      <c r="BD33" s="224"/>
      <c r="BE33" s="510"/>
      <c r="BF33" s="510"/>
      <c r="BG33" s="510"/>
      <c r="BH33" s="510"/>
      <c r="BI33" s="510"/>
      <c r="BJ33" s="510"/>
      <c r="BK33" s="510"/>
      <c r="BL33" s="510"/>
      <c r="BM33" s="510"/>
      <c r="BN33" s="510"/>
      <c r="BO33" s="510"/>
      <c r="BP33" s="224"/>
      <c r="BQ33" s="225"/>
      <c r="BR33" s="510"/>
      <c r="BS33" s="510"/>
      <c r="BT33" s="510"/>
      <c r="BU33" s="510"/>
      <c r="BV33" s="510"/>
      <c r="BW33" s="510"/>
      <c r="BX33" s="510"/>
      <c r="BY33" s="510"/>
      <c r="BZ33" s="510"/>
      <c r="CA33" s="510"/>
      <c r="CB33" s="510"/>
      <c r="CC33" s="171"/>
      <c r="CD33" s="92"/>
      <c r="CE33" s="93"/>
      <c r="CF33" s="74"/>
      <c r="CG33" s="29"/>
    </row>
    <row r="34" spans="1:85" s="3" customFormat="1" ht="19.5" customHeight="1">
      <c r="A34" s="28"/>
      <c r="B34" s="80"/>
      <c r="C34" s="92"/>
      <c r="D34" s="507" t="s">
        <v>110</v>
      </c>
      <c r="E34" s="508"/>
      <c r="F34" s="508"/>
      <c r="G34" s="509"/>
      <c r="H34" s="225"/>
      <c r="I34" s="510"/>
      <c r="J34" s="510"/>
      <c r="K34" s="510"/>
      <c r="L34" s="510"/>
      <c r="M34" s="510"/>
      <c r="N34" s="510"/>
      <c r="O34" s="510"/>
      <c r="P34" s="510"/>
      <c r="Q34" s="510"/>
      <c r="R34" s="510"/>
      <c r="S34" s="224"/>
      <c r="T34" s="225"/>
      <c r="U34" s="510"/>
      <c r="V34" s="510"/>
      <c r="W34" s="510"/>
      <c r="X34" s="510"/>
      <c r="Y34" s="510"/>
      <c r="Z34" s="510"/>
      <c r="AA34" s="510"/>
      <c r="AB34" s="510"/>
      <c r="AC34" s="510"/>
      <c r="AD34" s="510"/>
      <c r="AE34" s="226"/>
      <c r="AF34" s="224"/>
      <c r="AG34" s="510"/>
      <c r="AH34" s="510"/>
      <c r="AI34" s="510"/>
      <c r="AJ34" s="510"/>
      <c r="AK34" s="510"/>
      <c r="AL34" s="510"/>
      <c r="AM34" s="510"/>
      <c r="AN34" s="510"/>
      <c r="AO34" s="510"/>
      <c r="AP34" s="510"/>
      <c r="AQ34" s="224"/>
      <c r="AR34" s="225"/>
      <c r="AS34" s="510"/>
      <c r="AT34" s="510"/>
      <c r="AU34" s="510"/>
      <c r="AV34" s="510"/>
      <c r="AW34" s="510"/>
      <c r="AX34" s="510"/>
      <c r="AY34" s="510"/>
      <c r="AZ34" s="510"/>
      <c r="BA34" s="510"/>
      <c r="BB34" s="510"/>
      <c r="BC34" s="226"/>
      <c r="BD34" s="224"/>
      <c r="BE34" s="510"/>
      <c r="BF34" s="510"/>
      <c r="BG34" s="510"/>
      <c r="BH34" s="510"/>
      <c r="BI34" s="510"/>
      <c r="BJ34" s="510"/>
      <c r="BK34" s="510"/>
      <c r="BL34" s="510"/>
      <c r="BM34" s="510"/>
      <c r="BN34" s="510"/>
      <c r="BO34" s="510"/>
      <c r="BP34" s="224"/>
      <c r="BQ34" s="225"/>
      <c r="BR34" s="510"/>
      <c r="BS34" s="510"/>
      <c r="BT34" s="510"/>
      <c r="BU34" s="510"/>
      <c r="BV34" s="510"/>
      <c r="BW34" s="510"/>
      <c r="BX34" s="510"/>
      <c r="BY34" s="510"/>
      <c r="BZ34" s="510"/>
      <c r="CA34" s="510"/>
      <c r="CB34" s="510"/>
      <c r="CC34" s="171"/>
      <c r="CD34" s="92"/>
      <c r="CE34" s="93"/>
      <c r="CF34" s="74"/>
      <c r="CG34" s="29"/>
    </row>
    <row r="35" spans="1:85" s="3" customFormat="1" ht="19.5" customHeight="1">
      <c r="A35" s="28"/>
      <c r="B35" s="80"/>
      <c r="C35" s="92"/>
      <c r="D35" s="507" t="s">
        <v>111</v>
      </c>
      <c r="E35" s="508"/>
      <c r="F35" s="508"/>
      <c r="G35" s="509"/>
      <c r="H35" s="225"/>
      <c r="I35" s="510"/>
      <c r="J35" s="510"/>
      <c r="K35" s="510"/>
      <c r="L35" s="510"/>
      <c r="M35" s="510"/>
      <c r="N35" s="510"/>
      <c r="O35" s="510"/>
      <c r="P35" s="510"/>
      <c r="Q35" s="510"/>
      <c r="R35" s="510"/>
      <c r="S35" s="224"/>
      <c r="T35" s="225"/>
      <c r="U35" s="510"/>
      <c r="V35" s="510"/>
      <c r="W35" s="510"/>
      <c r="X35" s="510"/>
      <c r="Y35" s="510"/>
      <c r="Z35" s="510"/>
      <c r="AA35" s="510"/>
      <c r="AB35" s="510"/>
      <c r="AC35" s="510"/>
      <c r="AD35" s="510"/>
      <c r="AE35" s="226"/>
      <c r="AF35" s="224"/>
      <c r="AG35" s="510"/>
      <c r="AH35" s="510"/>
      <c r="AI35" s="510"/>
      <c r="AJ35" s="510"/>
      <c r="AK35" s="510"/>
      <c r="AL35" s="510"/>
      <c r="AM35" s="510"/>
      <c r="AN35" s="510"/>
      <c r="AO35" s="510"/>
      <c r="AP35" s="510"/>
      <c r="AQ35" s="224"/>
      <c r="AR35" s="225"/>
      <c r="AS35" s="510"/>
      <c r="AT35" s="510"/>
      <c r="AU35" s="510"/>
      <c r="AV35" s="510"/>
      <c r="AW35" s="510"/>
      <c r="AX35" s="510"/>
      <c r="AY35" s="510"/>
      <c r="AZ35" s="510"/>
      <c r="BA35" s="510"/>
      <c r="BB35" s="510"/>
      <c r="BC35" s="226"/>
      <c r="BD35" s="224"/>
      <c r="BE35" s="510"/>
      <c r="BF35" s="510"/>
      <c r="BG35" s="510"/>
      <c r="BH35" s="510"/>
      <c r="BI35" s="510"/>
      <c r="BJ35" s="510"/>
      <c r="BK35" s="510"/>
      <c r="BL35" s="510"/>
      <c r="BM35" s="510"/>
      <c r="BN35" s="510"/>
      <c r="BO35" s="510"/>
      <c r="BP35" s="224"/>
      <c r="BQ35" s="225"/>
      <c r="BR35" s="510"/>
      <c r="BS35" s="510"/>
      <c r="BT35" s="510"/>
      <c r="BU35" s="510"/>
      <c r="BV35" s="510"/>
      <c r="BW35" s="510"/>
      <c r="BX35" s="510"/>
      <c r="BY35" s="510"/>
      <c r="BZ35" s="510"/>
      <c r="CA35" s="510"/>
      <c r="CB35" s="510"/>
      <c r="CC35" s="171"/>
      <c r="CD35" s="92"/>
      <c r="CE35" s="93"/>
      <c r="CF35" s="74"/>
      <c r="CG35" s="29"/>
    </row>
    <row r="36" spans="1:85" s="3" customFormat="1" ht="19.5" customHeight="1">
      <c r="A36" s="28"/>
      <c r="B36" s="80"/>
      <c r="C36" s="92"/>
      <c r="D36" s="507" t="s">
        <v>112</v>
      </c>
      <c r="E36" s="508"/>
      <c r="F36" s="508"/>
      <c r="G36" s="509"/>
      <c r="H36" s="225"/>
      <c r="I36" s="510"/>
      <c r="J36" s="510"/>
      <c r="K36" s="510"/>
      <c r="L36" s="510"/>
      <c r="M36" s="510"/>
      <c r="N36" s="510"/>
      <c r="O36" s="510"/>
      <c r="P36" s="510"/>
      <c r="Q36" s="510"/>
      <c r="R36" s="510"/>
      <c r="S36" s="224"/>
      <c r="T36" s="225"/>
      <c r="U36" s="510"/>
      <c r="V36" s="510"/>
      <c r="W36" s="510"/>
      <c r="X36" s="510"/>
      <c r="Y36" s="510"/>
      <c r="Z36" s="510"/>
      <c r="AA36" s="510"/>
      <c r="AB36" s="510"/>
      <c r="AC36" s="510"/>
      <c r="AD36" s="510"/>
      <c r="AE36" s="226"/>
      <c r="AF36" s="224"/>
      <c r="AG36" s="510"/>
      <c r="AH36" s="510"/>
      <c r="AI36" s="510"/>
      <c r="AJ36" s="510"/>
      <c r="AK36" s="510"/>
      <c r="AL36" s="510"/>
      <c r="AM36" s="510"/>
      <c r="AN36" s="510"/>
      <c r="AO36" s="510"/>
      <c r="AP36" s="510"/>
      <c r="AQ36" s="224"/>
      <c r="AR36" s="225"/>
      <c r="AS36" s="510"/>
      <c r="AT36" s="510"/>
      <c r="AU36" s="510"/>
      <c r="AV36" s="510"/>
      <c r="AW36" s="510"/>
      <c r="AX36" s="510"/>
      <c r="AY36" s="510"/>
      <c r="AZ36" s="510"/>
      <c r="BA36" s="510"/>
      <c r="BB36" s="510"/>
      <c r="BC36" s="226"/>
      <c r="BD36" s="224"/>
      <c r="BE36" s="510"/>
      <c r="BF36" s="510"/>
      <c r="BG36" s="510"/>
      <c r="BH36" s="510"/>
      <c r="BI36" s="510"/>
      <c r="BJ36" s="510"/>
      <c r="BK36" s="510"/>
      <c r="BL36" s="510"/>
      <c r="BM36" s="510"/>
      <c r="BN36" s="510"/>
      <c r="BO36" s="510"/>
      <c r="BP36" s="224"/>
      <c r="BQ36" s="225"/>
      <c r="BR36" s="510"/>
      <c r="BS36" s="510"/>
      <c r="BT36" s="510"/>
      <c r="BU36" s="510"/>
      <c r="BV36" s="510"/>
      <c r="BW36" s="510"/>
      <c r="BX36" s="510"/>
      <c r="BY36" s="510"/>
      <c r="BZ36" s="510"/>
      <c r="CA36" s="510"/>
      <c r="CB36" s="510"/>
      <c r="CC36" s="171"/>
      <c r="CD36" s="92"/>
      <c r="CE36" s="93"/>
      <c r="CF36" s="74"/>
      <c r="CG36" s="29"/>
    </row>
    <row r="37" spans="1:85" s="3" customFormat="1" ht="19.5" customHeight="1">
      <c r="A37" s="28"/>
      <c r="B37" s="80"/>
      <c r="C37" s="92"/>
      <c r="D37" s="507" t="s">
        <v>113</v>
      </c>
      <c r="E37" s="508"/>
      <c r="F37" s="508"/>
      <c r="G37" s="509"/>
      <c r="H37" s="225"/>
      <c r="I37" s="510"/>
      <c r="J37" s="510"/>
      <c r="K37" s="510"/>
      <c r="L37" s="510"/>
      <c r="M37" s="510"/>
      <c r="N37" s="510"/>
      <c r="O37" s="510"/>
      <c r="P37" s="510"/>
      <c r="Q37" s="510"/>
      <c r="R37" s="510"/>
      <c r="S37" s="224"/>
      <c r="T37" s="225"/>
      <c r="U37" s="510"/>
      <c r="V37" s="510"/>
      <c r="W37" s="510"/>
      <c r="X37" s="510"/>
      <c r="Y37" s="510"/>
      <c r="Z37" s="510"/>
      <c r="AA37" s="510"/>
      <c r="AB37" s="510"/>
      <c r="AC37" s="510"/>
      <c r="AD37" s="510"/>
      <c r="AE37" s="226"/>
      <c r="AF37" s="224"/>
      <c r="AG37" s="510"/>
      <c r="AH37" s="510"/>
      <c r="AI37" s="510"/>
      <c r="AJ37" s="510"/>
      <c r="AK37" s="510"/>
      <c r="AL37" s="510"/>
      <c r="AM37" s="510"/>
      <c r="AN37" s="510"/>
      <c r="AO37" s="510"/>
      <c r="AP37" s="510"/>
      <c r="AQ37" s="224"/>
      <c r="AR37" s="225"/>
      <c r="AS37" s="510"/>
      <c r="AT37" s="510"/>
      <c r="AU37" s="510"/>
      <c r="AV37" s="510"/>
      <c r="AW37" s="510"/>
      <c r="AX37" s="510"/>
      <c r="AY37" s="510"/>
      <c r="AZ37" s="510"/>
      <c r="BA37" s="510"/>
      <c r="BB37" s="510"/>
      <c r="BC37" s="226"/>
      <c r="BD37" s="224"/>
      <c r="BE37" s="510"/>
      <c r="BF37" s="510"/>
      <c r="BG37" s="510"/>
      <c r="BH37" s="510"/>
      <c r="BI37" s="510"/>
      <c r="BJ37" s="510"/>
      <c r="BK37" s="510"/>
      <c r="BL37" s="510"/>
      <c r="BM37" s="510"/>
      <c r="BN37" s="510"/>
      <c r="BO37" s="510"/>
      <c r="BP37" s="224"/>
      <c r="BQ37" s="225"/>
      <c r="BR37" s="510"/>
      <c r="BS37" s="510"/>
      <c r="BT37" s="510"/>
      <c r="BU37" s="510"/>
      <c r="BV37" s="510"/>
      <c r="BW37" s="510"/>
      <c r="BX37" s="510"/>
      <c r="BY37" s="510"/>
      <c r="BZ37" s="510"/>
      <c r="CA37" s="510"/>
      <c r="CB37" s="510"/>
      <c r="CC37" s="171"/>
      <c r="CD37" s="93"/>
      <c r="CE37" s="93"/>
      <c r="CF37" s="74"/>
      <c r="CG37" s="29"/>
    </row>
    <row r="38" spans="1:85" s="3" customFormat="1" ht="19.5" customHeight="1">
      <c r="A38" s="28"/>
      <c r="B38" s="80"/>
      <c r="C38" s="93"/>
      <c r="D38" s="507" t="s">
        <v>161</v>
      </c>
      <c r="E38" s="508"/>
      <c r="F38" s="508"/>
      <c r="G38" s="509"/>
      <c r="H38" s="225"/>
      <c r="I38" s="510"/>
      <c r="J38" s="510"/>
      <c r="K38" s="510"/>
      <c r="L38" s="510"/>
      <c r="M38" s="510"/>
      <c r="N38" s="510"/>
      <c r="O38" s="510"/>
      <c r="P38" s="510"/>
      <c r="Q38" s="510"/>
      <c r="R38" s="510"/>
      <c r="S38" s="224"/>
      <c r="T38" s="225"/>
      <c r="U38" s="510"/>
      <c r="V38" s="510"/>
      <c r="W38" s="510"/>
      <c r="X38" s="510"/>
      <c r="Y38" s="510"/>
      <c r="Z38" s="510"/>
      <c r="AA38" s="510"/>
      <c r="AB38" s="510"/>
      <c r="AC38" s="510"/>
      <c r="AD38" s="510"/>
      <c r="AE38" s="226"/>
      <c r="AF38" s="224"/>
      <c r="AG38" s="510"/>
      <c r="AH38" s="510"/>
      <c r="AI38" s="510"/>
      <c r="AJ38" s="510"/>
      <c r="AK38" s="510"/>
      <c r="AL38" s="510"/>
      <c r="AM38" s="510"/>
      <c r="AN38" s="510"/>
      <c r="AO38" s="510"/>
      <c r="AP38" s="510"/>
      <c r="AQ38" s="224"/>
      <c r="AR38" s="225"/>
      <c r="AS38" s="510"/>
      <c r="AT38" s="510"/>
      <c r="AU38" s="510"/>
      <c r="AV38" s="510"/>
      <c r="AW38" s="510"/>
      <c r="AX38" s="510"/>
      <c r="AY38" s="510"/>
      <c r="AZ38" s="510"/>
      <c r="BA38" s="510"/>
      <c r="BB38" s="510"/>
      <c r="BC38" s="226"/>
      <c r="BD38" s="224"/>
      <c r="BE38" s="510"/>
      <c r="BF38" s="510"/>
      <c r="BG38" s="510"/>
      <c r="BH38" s="510"/>
      <c r="BI38" s="510"/>
      <c r="BJ38" s="510"/>
      <c r="BK38" s="510"/>
      <c r="BL38" s="510"/>
      <c r="BM38" s="510"/>
      <c r="BN38" s="510"/>
      <c r="BO38" s="510"/>
      <c r="BP38" s="224"/>
      <c r="BQ38" s="225"/>
      <c r="BR38" s="510"/>
      <c r="BS38" s="510"/>
      <c r="BT38" s="510"/>
      <c r="BU38" s="510"/>
      <c r="BV38" s="510"/>
      <c r="BW38" s="510"/>
      <c r="BX38" s="510"/>
      <c r="BY38" s="510"/>
      <c r="BZ38" s="510"/>
      <c r="CA38" s="510"/>
      <c r="CB38" s="510"/>
      <c r="CC38" s="171"/>
      <c r="CD38" s="92"/>
      <c r="CE38" s="93"/>
      <c r="CF38" s="74"/>
      <c r="CG38" s="29"/>
    </row>
    <row r="39" spans="1:85" s="3" customFormat="1" ht="19.5" customHeight="1">
      <c r="A39" s="28"/>
      <c r="B39" s="80"/>
      <c r="C39" s="93"/>
      <c r="D39" s="507" t="s">
        <v>162</v>
      </c>
      <c r="E39" s="508"/>
      <c r="F39" s="508"/>
      <c r="G39" s="509"/>
      <c r="H39" s="225"/>
      <c r="I39" s="510"/>
      <c r="J39" s="510"/>
      <c r="K39" s="510"/>
      <c r="L39" s="510"/>
      <c r="M39" s="510"/>
      <c r="N39" s="510"/>
      <c r="O39" s="510"/>
      <c r="P39" s="510"/>
      <c r="Q39" s="510"/>
      <c r="R39" s="510"/>
      <c r="S39" s="224"/>
      <c r="T39" s="225"/>
      <c r="U39" s="510"/>
      <c r="V39" s="510"/>
      <c r="W39" s="510"/>
      <c r="X39" s="510"/>
      <c r="Y39" s="510"/>
      <c r="Z39" s="510"/>
      <c r="AA39" s="510"/>
      <c r="AB39" s="510"/>
      <c r="AC39" s="510"/>
      <c r="AD39" s="510"/>
      <c r="AE39" s="226"/>
      <c r="AF39" s="224"/>
      <c r="AG39" s="510"/>
      <c r="AH39" s="510"/>
      <c r="AI39" s="510"/>
      <c r="AJ39" s="510"/>
      <c r="AK39" s="510"/>
      <c r="AL39" s="510"/>
      <c r="AM39" s="510"/>
      <c r="AN39" s="510"/>
      <c r="AO39" s="510"/>
      <c r="AP39" s="510"/>
      <c r="AQ39" s="224"/>
      <c r="AR39" s="225"/>
      <c r="AS39" s="510"/>
      <c r="AT39" s="510"/>
      <c r="AU39" s="510"/>
      <c r="AV39" s="510"/>
      <c r="AW39" s="510"/>
      <c r="AX39" s="510"/>
      <c r="AY39" s="510"/>
      <c r="AZ39" s="510"/>
      <c r="BA39" s="510"/>
      <c r="BB39" s="510"/>
      <c r="BC39" s="226"/>
      <c r="BD39" s="224"/>
      <c r="BE39" s="510"/>
      <c r="BF39" s="510"/>
      <c r="BG39" s="510"/>
      <c r="BH39" s="510"/>
      <c r="BI39" s="510"/>
      <c r="BJ39" s="510"/>
      <c r="BK39" s="510"/>
      <c r="BL39" s="510"/>
      <c r="BM39" s="510"/>
      <c r="BN39" s="510"/>
      <c r="BO39" s="510"/>
      <c r="BP39" s="224"/>
      <c r="BQ39" s="225"/>
      <c r="BR39" s="510"/>
      <c r="BS39" s="510"/>
      <c r="BT39" s="510"/>
      <c r="BU39" s="510"/>
      <c r="BV39" s="510"/>
      <c r="BW39" s="510"/>
      <c r="BX39" s="510"/>
      <c r="BY39" s="510"/>
      <c r="BZ39" s="510"/>
      <c r="CA39" s="510"/>
      <c r="CB39" s="510"/>
      <c r="CC39" s="171"/>
      <c r="CD39" s="92"/>
      <c r="CE39" s="93"/>
      <c r="CF39" s="74"/>
      <c r="CG39" s="29"/>
    </row>
    <row r="40" spans="1:85" s="3" customFormat="1" ht="19.5" customHeight="1">
      <c r="A40" s="28"/>
      <c r="B40" s="80"/>
      <c r="C40" s="93"/>
      <c r="D40" s="507" t="s">
        <v>163</v>
      </c>
      <c r="E40" s="508"/>
      <c r="F40" s="508"/>
      <c r="G40" s="509"/>
      <c r="H40" s="225"/>
      <c r="I40" s="510"/>
      <c r="J40" s="510"/>
      <c r="K40" s="510"/>
      <c r="L40" s="510"/>
      <c r="M40" s="510"/>
      <c r="N40" s="510"/>
      <c r="O40" s="510"/>
      <c r="P40" s="510"/>
      <c r="Q40" s="510"/>
      <c r="R40" s="510"/>
      <c r="S40" s="224"/>
      <c r="T40" s="225"/>
      <c r="U40" s="510"/>
      <c r="V40" s="510"/>
      <c r="W40" s="510"/>
      <c r="X40" s="510"/>
      <c r="Y40" s="510"/>
      <c r="Z40" s="510"/>
      <c r="AA40" s="510"/>
      <c r="AB40" s="510"/>
      <c r="AC40" s="510"/>
      <c r="AD40" s="510"/>
      <c r="AE40" s="226"/>
      <c r="AF40" s="224"/>
      <c r="AG40" s="510"/>
      <c r="AH40" s="510"/>
      <c r="AI40" s="510"/>
      <c r="AJ40" s="510"/>
      <c r="AK40" s="510"/>
      <c r="AL40" s="510"/>
      <c r="AM40" s="510"/>
      <c r="AN40" s="510"/>
      <c r="AO40" s="510"/>
      <c r="AP40" s="510"/>
      <c r="AQ40" s="224"/>
      <c r="AR40" s="225"/>
      <c r="AS40" s="510"/>
      <c r="AT40" s="510"/>
      <c r="AU40" s="510"/>
      <c r="AV40" s="510"/>
      <c r="AW40" s="510"/>
      <c r="AX40" s="510"/>
      <c r="AY40" s="510"/>
      <c r="AZ40" s="510"/>
      <c r="BA40" s="510"/>
      <c r="BB40" s="510"/>
      <c r="BC40" s="226"/>
      <c r="BD40" s="224"/>
      <c r="BE40" s="510"/>
      <c r="BF40" s="510"/>
      <c r="BG40" s="510"/>
      <c r="BH40" s="510"/>
      <c r="BI40" s="510"/>
      <c r="BJ40" s="510"/>
      <c r="BK40" s="510"/>
      <c r="BL40" s="510"/>
      <c r="BM40" s="510"/>
      <c r="BN40" s="510"/>
      <c r="BO40" s="510"/>
      <c r="BP40" s="224"/>
      <c r="BQ40" s="225"/>
      <c r="BR40" s="510"/>
      <c r="BS40" s="510"/>
      <c r="BT40" s="510"/>
      <c r="BU40" s="510"/>
      <c r="BV40" s="510"/>
      <c r="BW40" s="510"/>
      <c r="BX40" s="510"/>
      <c r="BY40" s="510"/>
      <c r="BZ40" s="510"/>
      <c r="CA40" s="510"/>
      <c r="CB40" s="510"/>
      <c r="CC40" s="171"/>
      <c r="CD40" s="92"/>
      <c r="CE40" s="93"/>
      <c r="CF40" s="74"/>
      <c r="CG40" s="29"/>
    </row>
    <row r="41" spans="1:85" s="3" customFormat="1" ht="19.5" customHeight="1">
      <c r="A41" s="28"/>
      <c r="B41" s="80"/>
      <c r="C41" s="92"/>
      <c r="D41" s="507" t="s">
        <v>164</v>
      </c>
      <c r="E41" s="508"/>
      <c r="F41" s="508"/>
      <c r="G41" s="509"/>
      <c r="H41" s="225"/>
      <c r="I41" s="510"/>
      <c r="J41" s="510"/>
      <c r="K41" s="510"/>
      <c r="L41" s="510"/>
      <c r="M41" s="510"/>
      <c r="N41" s="510"/>
      <c r="O41" s="510"/>
      <c r="P41" s="510"/>
      <c r="Q41" s="510"/>
      <c r="R41" s="510"/>
      <c r="S41" s="224"/>
      <c r="T41" s="225"/>
      <c r="U41" s="510"/>
      <c r="V41" s="510"/>
      <c r="W41" s="510"/>
      <c r="X41" s="510"/>
      <c r="Y41" s="510"/>
      <c r="Z41" s="510"/>
      <c r="AA41" s="510"/>
      <c r="AB41" s="510"/>
      <c r="AC41" s="510"/>
      <c r="AD41" s="510"/>
      <c r="AE41" s="226"/>
      <c r="AF41" s="224"/>
      <c r="AG41" s="510"/>
      <c r="AH41" s="510"/>
      <c r="AI41" s="510"/>
      <c r="AJ41" s="510"/>
      <c r="AK41" s="510"/>
      <c r="AL41" s="510"/>
      <c r="AM41" s="510"/>
      <c r="AN41" s="510"/>
      <c r="AO41" s="510"/>
      <c r="AP41" s="510"/>
      <c r="AQ41" s="224"/>
      <c r="AR41" s="225"/>
      <c r="AS41" s="510"/>
      <c r="AT41" s="510"/>
      <c r="AU41" s="510"/>
      <c r="AV41" s="510"/>
      <c r="AW41" s="510"/>
      <c r="AX41" s="510"/>
      <c r="AY41" s="510"/>
      <c r="AZ41" s="510"/>
      <c r="BA41" s="510"/>
      <c r="BB41" s="510"/>
      <c r="BC41" s="226"/>
      <c r="BD41" s="224"/>
      <c r="BE41" s="510"/>
      <c r="BF41" s="510"/>
      <c r="BG41" s="510"/>
      <c r="BH41" s="510"/>
      <c r="BI41" s="510"/>
      <c r="BJ41" s="510"/>
      <c r="BK41" s="510"/>
      <c r="BL41" s="510"/>
      <c r="BM41" s="510"/>
      <c r="BN41" s="510"/>
      <c r="BO41" s="510"/>
      <c r="BP41" s="224"/>
      <c r="BQ41" s="225"/>
      <c r="BR41" s="510"/>
      <c r="BS41" s="510"/>
      <c r="BT41" s="510"/>
      <c r="BU41" s="510"/>
      <c r="BV41" s="510"/>
      <c r="BW41" s="510"/>
      <c r="BX41" s="510"/>
      <c r="BY41" s="510"/>
      <c r="BZ41" s="510"/>
      <c r="CA41" s="510"/>
      <c r="CB41" s="510"/>
      <c r="CC41" s="171"/>
      <c r="CD41" s="92"/>
      <c r="CE41" s="93"/>
      <c r="CF41" s="74"/>
      <c r="CG41" s="29"/>
    </row>
    <row r="42" spans="1:85" s="3" customFormat="1" ht="19.5" customHeight="1">
      <c r="A42" s="28"/>
      <c r="B42" s="80"/>
      <c r="C42" s="92"/>
      <c r="D42" s="507" t="s">
        <v>165</v>
      </c>
      <c r="E42" s="508"/>
      <c r="F42" s="508"/>
      <c r="G42" s="509"/>
      <c r="H42" s="225"/>
      <c r="I42" s="510"/>
      <c r="J42" s="510"/>
      <c r="K42" s="510"/>
      <c r="L42" s="510"/>
      <c r="M42" s="510"/>
      <c r="N42" s="510"/>
      <c r="O42" s="510"/>
      <c r="P42" s="510"/>
      <c r="Q42" s="510"/>
      <c r="R42" s="510"/>
      <c r="S42" s="224"/>
      <c r="T42" s="225"/>
      <c r="U42" s="510"/>
      <c r="V42" s="510"/>
      <c r="W42" s="510"/>
      <c r="X42" s="510"/>
      <c r="Y42" s="510"/>
      <c r="Z42" s="510"/>
      <c r="AA42" s="510"/>
      <c r="AB42" s="510"/>
      <c r="AC42" s="510"/>
      <c r="AD42" s="510"/>
      <c r="AE42" s="226"/>
      <c r="AF42" s="224"/>
      <c r="AG42" s="510"/>
      <c r="AH42" s="510"/>
      <c r="AI42" s="510"/>
      <c r="AJ42" s="510"/>
      <c r="AK42" s="510"/>
      <c r="AL42" s="510"/>
      <c r="AM42" s="510"/>
      <c r="AN42" s="510"/>
      <c r="AO42" s="510"/>
      <c r="AP42" s="510"/>
      <c r="AQ42" s="224"/>
      <c r="AR42" s="225"/>
      <c r="AS42" s="510"/>
      <c r="AT42" s="510"/>
      <c r="AU42" s="510"/>
      <c r="AV42" s="510"/>
      <c r="AW42" s="510"/>
      <c r="AX42" s="510"/>
      <c r="AY42" s="510"/>
      <c r="AZ42" s="510"/>
      <c r="BA42" s="510"/>
      <c r="BB42" s="510"/>
      <c r="BC42" s="226"/>
      <c r="BD42" s="224"/>
      <c r="BE42" s="510"/>
      <c r="BF42" s="510"/>
      <c r="BG42" s="510"/>
      <c r="BH42" s="510"/>
      <c r="BI42" s="510"/>
      <c r="BJ42" s="510"/>
      <c r="BK42" s="510"/>
      <c r="BL42" s="510"/>
      <c r="BM42" s="510"/>
      <c r="BN42" s="510"/>
      <c r="BO42" s="510"/>
      <c r="BP42" s="224"/>
      <c r="BQ42" s="225"/>
      <c r="BR42" s="510"/>
      <c r="BS42" s="510"/>
      <c r="BT42" s="510"/>
      <c r="BU42" s="510"/>
      <c r="BV42" s="510"/>
      <c r="BW42" s="510"/>
      <c r="BX42" s="510"/>
      <c r="BY42" s="510"/>
      <c r="BZ42" s="510"/>
      <c r="CA42" s="510"/>
      <c r="CB42" s="510"/>
      <c r="CC42" s="171"/>
      <c r="CD42" s="92"/>
      <c r="CE42" s="93"/>
      <c r="CF42" s="74"/>
      <c r="CG42" s="29"/>
    </row>
    <row r="43" spans="1:85" s="3" customFormat="1" ht="19.5" customHeight="1">
      <c r="A43" s="28"/>
      <c r="B43" s="80"/>
      <c r="C43" s="92"/>
      <c r="D43" s="507" t="s">
        <v>166</v>
      </c>
      <c r="E43" s="508"/>
      <c r="F43" s="508"/>
      <c r="G43" s="509"/>
      <c r="H43" s="225"/>
      <c r="I43" s="510"/>
      <c r="J43" s="510"/>
      <c r="K43" s="510"/>
      <c r="L43" s="510"/>
      <c r="M43" s="510"/>
      <c r="N43" s="510"/>
      <c r="O43" s="510"/>
      <c r="P43" s="510"/>
      <c r="Q43" s="510"/>
      <c r="R43" s="510"/>
      <c r="S43" s="224"/>
      <c r="T43" s="225"/>
      <c r="U43" s="510"/>
      <c r="V43" s="510"/>
      <c r="W43" s="510"/>
      <c r="X43" s="510"/>
      <c r="Y43" s="510"/>
      <c r="Z43" s="510"/>
      <c r="AA43" s="510"/>
      <c r="AB43" s="510"/>
      <c r="AC43" s="510"/>
      <c r="AD43" s="510"/>
      <c r="AE43" s="226"/>
      <c r="AF43" s="224"/>
      <c r="AG43" s="510"/>
      <c r="AH43" s="510"/>
      <c r="AI43" s="510"/>
      <c r="AJ43" s="510"/>
      <c r="AK43" s="510"/>
      <c r="AL43" s="510"/>
      <c r="AM43" s="510"/>
      <c r="AN43" s="510"/>
      <c r="AO43" s="510"/>
      <c r="AP43" s="510"/>
      <c r="AQ43" s="224"/>
      <c r="AR43" s="225"/>
      <c r="AS43" s="510"/>
      <c r="AT43" s="510"/>
      <c r="AU43" s="510"/>
      <c r="AV43" s="510"/>
      <c r="AW43" s="510"/>
      <c r="AX43" s="510"/>
      <c r="AY43" s="510"/>
      <c r="AZ43" s="510"/>
      <c r="BA43" s="510"/>
      <c r="BB43" s="510"/>
      <c r="BC43" s="226"/>
      <c r="BD43" s="224"/>
      <c r="BE43" s="510"/>
      <c r="BF43" s="510"/>
      <c r="BG43" s="510"/>
      <c r="BH43" s="510"/>
      <c r="BI43" s="510"/>
      <c r="BJ43" s="510"/>
      <c r="BK43" s="510"/>
      <c r="BL43" s="510"/>
      <c r="BM43" s="510"/>
      <c r="BN43" s="510"/>
      <c r="BO43" s="510"/>
      <c r="BP43" s="224"/>
      <c r="BQ43" s="225"/>
      <c r="BR43" s="510"/>
      <c r="BS43" s="510"/>
      <c r="BT43" s="510"/>
      <c r="BU43" s="510"/>
      <c r="BV43" s="510"/>
      <c r="BW43" s="510"/>
      <c r="BX43" s="510"/>
      <c r="BY43" s="510"/>
      <c r="BZ43" s="510"/>
      <c r="CA43" s="510"/>
      <c r="CB43" s="510"/>
      <c r="CC43" s="171"/>
      <c r="CD43" s="93"/>
      <c r="CE43" s="93"/>
      <c r="CF43" s="74"/>
      <c r="CG43" s="29"/>
    </row>
    <row r="44" spans="1:85" s="3" customFormat="1" ht="19.5" customHeight="1">
      <c r="A44" s="28"/>
      <c r="B44" s="80"/>
      <c r="C44" s="92"/>
      <c r="D44" s="507" t="s">
        <v>167</v>
      </c>
      <c r="E44" s="508"/>
      <c r="F44" s="508"/>
      <c r="G44" s="509"/>
      <c r="H44" s="225"/>
      <c r="I44" s="510"/>
      <c r="J44" s="510"/>
      <c r="K44" s="510"/>
      <c r="L44" s="510"/>
      <c r="M44" s="510"/>
      <c r="N44" s="510"/>
      <c r="O44" s="510"/>
      <c r="P44" s="510"/>
      <c r="Q44" s="510"/>
      <c r="R44" s="510"/>
      <c r="S44" s="224"/>
      <c r="T44" s="225"/>
      <c r="U44" s="510"/>
      <c r="V44" s="510"/>
      <c r="W44" s="510"/>
      <c r="X44" s="510"/>
      <c r="Y44" s="510"/>
      <c r="Z44" s="510"/>
      <c r="AA44" s="510"/>
      <c r="AB44" s="510"/>
      <c r="AC44" s="510"/>
      <c r="AD44" s="510"/>
      <c r="AE44" s="226"/>
      <c r="AF44" s="224"/>
      <c r="AG44" s="510"/>
      <c r="AH44" s="510"/>
      <c r="AI44" s="510"/>
      <c r="AJ44" s="510"/>
      <c r="AK44" s="510"/>
      <c r="AL44" s="510"/>
      <c r="AM44" s="510"/>
      <c r="AN44" s="510"/>
      <c r="AO44" s="510"/>
      <c r="AP44" s="510"/>
      <c r="AQ44" s="224"/>
      <c r="AR44" s="225"/>
      <c r="AS44" s="510"/>
      <c r="AT44" s="510"/>
      <c r="AU44" s="510"/>
      <c r="AV44" s="510"/>
      <c r="AW44" s="510"/>
      <c r="AX44" s="510"/>
      <c r="AY44" s="510"/>
      <c r="AZ44" s="510"/>
      <c r="BA44" s="510"/>
      <c r="BB44" s="510"/>
      <c r="BC44" s="226"/>
      <c r="BD44" s="224"/>
      <c r="BE44" s="510"/>
      <c r="BF44" s="510"/>
      <c r="BG44" s="510"/>
      <c r="BH44" s="510"/>
      <c r="BI44" s="510"/>
      <c r="BJ44" s="510"/>
      <c r="BK44" s="510"/>
      <c r="BL44" s="510"/>
      <c r="BM44" s="510"/>
      <c r="BN44" s="510"/>
      <c r="BO44" s="510"/>
      <c r="BP44" s="224"/>
      <c r="BQ44" s="225"/>
      <c r="BR44" s="510"/>
      <c r="BS44" s="510"/>
      <c r="BT44" s="510"/>
      <c r="BU44" s="510"/>
      <c r="BV44" s="510"/>
      <c r="BW44" s="510"/>
      <c r="BX44" s="510"/>
      <c r="BY44" s="510"/>
      <c r="BZ44" s="510"/>
      <c r="CA44" s="510"/>
      <c r="CB44" s="510"/>
      <c r="CC44" s="171"/>
      <c r="CD44" s="92"/>
      <c r="CE44" s="93"/>
      <c r="CF44" s="74"/>
      <c r="CG44" s="29"/>
    </row>
    <row r="45" spans="1:85" s="3" customFormat="1" ht="19.5" customHeight="1">
      <c r="A45" s="28"/>
      <c r="B45" s="80"/>
      <c r="C45" s="92"/>
      <c r="D45" s="507" t="s">
        <v>168</v>
      </c>
      <c r="E45" s="508"/>
      <c r="F45" s="508"/>
      <c r="G45" s="509"/>
      <c r="H45" s="225"/>
      <c r="I45" s="510"/>
      <c r="J45" s="510"/>
      <c r="K45" s="510"/>
      <c r="L45" s="510"/>
      <c r="M45" s="510"/>
      <c r="N45" s="510"/>
      <c r="O45" s="510"/>
      <c r="P45" s="510"/>
      <c r="Q45" s="510"/>
      <c r="R45" s="510"/>
      <c r="S45" s="224"/>
      <c r="T45" s="225"/>
      <c r="U45" s="510"/>
      <c r="V45" s="510"/>
      <c r="W45" s="510"/>
      <c r="X45" s="510"/>
      <c r="Y45" s="510"/>
      <c r="Z45" s="510"/>
      <c r="AA45" s="510"/>
      <c r="AB45" s="510"/>
      <c r="AC45" s="510"/>
      <c r="AD45" s="510"/>
      <c r="AE45" s="226"/>
      <c r="AF45" s="224"/>
      <c r="AG45" s="510"/>
      <c r="AH45" s="510"/>
      <c r="AI45" s="510"/>
      <c r="AJ45" s="510"/>
      <c r="AK45" s="510"/>
      <c r="AL45" s="510"/>
      <c r="AM45" s="510"/>
      <c r="AN45" s="510"/>
      <c r="AO45" s="510"/>
      <c r="AP45" s="510"/>
      <c r="AQ45" s="224"/>
      <c r="AR45" s="225"/>
      <c r="AS45" s="510"/>
      <c r="AT45" s="510"/>
      <c r="AU45" s="510"/>
      <c r="AV45" s="510"/>
      <c r="AW45" s="510"/>
      <c r="AX45" s="510"/>
      <c r="AY45" s="510"/>
      <c r="AZ45" s="510"/>
      <c r="BA45" s="510"/>
      <c r="BB45" s="510"/>
      <c r="BC45" s="226"/>
      <c r="BD45" s="224"/>
      <c r="BE45" s="510"/>
      <c r="BF45" s="510"/>
      <c r="BG45" s="510"/>
      <c r="BH45" s="510"/>
      <c r="BI45" s="510"/>
      <c r="BJ45" s="510"/>
      <c r="BK45" s="510"/>
      <c r="BL45" s="510"/>
      <c r="BM45" s="510"/>
      <c r="BN45" s="510"/>
      <c r="BO45" s="510"/>
      <c r="BP45" s="224"/>
      <c r="BQ45" s="225"/>
      <c r="BR45" s="510"/>
      <c r="BS45" s="510"/>
      <c r="BT45" s="510"/>
      <c r="BU45" s="510"/>
      <c r="BV45" s="510"/>
      <c r="BW45" s="510"/>
      <c r="BX45" s="510"/>
      <c r="BY45" s="510"/>
      <c r="BZ45" s="510"/>
      <c r="CA45" s="510"/>
      <c r="CB45" s="510"/>
      <c r="CC45" s="171"/>
      <c r="CD45" s="92"/>
      <c r="CE45" s="93"/>
      <c r="CF45" s="74"/>
      <c r="CG45" s="29"/>
    </row>
    <row r="46" spans="1:85" s="3" customFormat="1" ht="19.5" customHeight="1">
      <c r="A46" s="28"/>
      <c r="B46" s="80"/>
      <c r="C46" s="92"/>
      <c r="D46" s="507" t="s">
        <v>169</v>
      </c>
      <c r="E46" s="508"/>
      <c r="F46" s="508"/>
      <c r="G46" s="509"/>
      <c r="H46" s="225"/>
      <c r="I46" s="510"/>
      <c r="J46" s="510"/>
      <c r="K46" s="510"/>
      <c r="L46" s="510"/>
      <c r="M46" s="510"/>
      <c r="N46" s="510"/>
      <c r="O46" s="510"/>
      <c r="P46" s="510"/>
      <c r="Q46" s="510"/>
      <c r="R46" s="510"/>
      <c r="S46" s="224"/>
      <c r="T46" s="225"/>
      <c r="U46" s="510"/>
      <c r="V46" s="510"/>
      <c r="W46" s="510"/>
      <c r="X46" s="510"/>
      <c r="Y46" s="510"/>
      <c r="Z46" s="510"/>
      <c r="AA46" s="510"/>
      <c r="AB46" s="510"/>
      <c r="AC46" s="510"/>
      <c r="AD46" s="510"/>
      <c r="AE46" s="226"/>
      <c r="AF46" s="224"/>
      <c r="AG46" s="510"/>
      <c r="AH46" s="510"/>
      <c r="AI46" s="510"/>
      <c r="AJ46" s="510"/>
      <c r="AK46" s="510"/>
      <c r="AL46" s="510"/>
      <c r="AM46" s="510"/>
      <c r="AN46" s="510"/>
      <c r="AO46" s="510"/>
      <c r="AP46" s="510"/>
      <c r="AQ46" s="224"/>
      <c r="AR46" s="225"/>
      <c r="AS46" s="510"/>
      <c r="AT46" s="510"/>
      <c r="AU46" s="510"/>
      <c r="AV46" s="510"/>
      <c r="AW46" s="510"/>
      <c r="AX46" s="510"/>
      <c r="AY46" s="510"/>
      <c r="AZ46" s="510"/>
      <c r="BA46" s="510"/>
      <c r="BB46" s="510"/>
      <c r="BC46" s="226"/>
      <c r="BD46" s="224"/>
      <c r="BE46" s="510"/>
      <c r="BF46" s="510"/>
      <c r="BG46" s="510"/>
      <c r="BH46" s="510"/>
      <c r="BI46" s="510"/>
      <c r="BJ46" s="510"/>
      <c r="BK46" s="510"/>
      <c r="BL46" s="510"/>
      <c r="BM46" s="510"/>
      <c r="BN46" s="510"/>
      <c r="BO46" s="510"/>
      <c r="BP46" s="224"/>
      <c r="BQ46" s="225"/>
      <c r="BR46" s="510"/>
      <c r="BS46" s="510"/>
      <c r="BT46" s="510"/>
      <c r="BU46" s="510"/>
      <c r="BV46" s="510"/>
      <c r="BW46" s="510"/>
      <c r="BX46" s="510"/>
      <c r="BY46" s="510"/>
      <c r="BZ46" s="510"/>
      <c r="CA46" s="510"/>
      <c r="CB46" s="510"/>
      <c r="CC46" s="171"/>
      <c r="CD46" s="92"/>
      <c r="CE46" s="93"/>
      <c r="CF46" s="74"/>
      <c r="CG46" s="29"/>
    </row>
    <row r="47" spans="1:85" s="3" customFormat="1" ht="19.5" customHeight="1">
      <c r="A47" s="28"/>
      <c r="B47" s="80"/>
      <c r="C47" s="92"/>
      <c r="D47" s="507" t="s">
        <v>170</v>
      </c>
      <c r="E47" s="508"/>
      <c r="F47" s="508"/>
      <c r="G47" s="509"/>
      <c r="H47" s="225"/>
      <c r="I47" s="510"/>
      <c r="J47" s="510"/>
      <c r="K47" s="510"/>
      <c r="L47" s="510"/>
      <c r="M47" s="510"/>
      <c r="N47" s="510"/>
      <c r="O47" s="510"/>
      <c r="P47" s="510"/>
      <c r="Q47" s="510"/>
      <c r="R47" s="510"/>
      <c r="S47" s="224"/>
      <c r="T47" s="225"/>
      <c r="U47" s="510"/>
      <c r="V47" s="510"/>
      <c r="W47" s="510"/>
      <c r="X47" s="510"/>
      <c r="Y47" s="510"/>
      <c r="Z47" s="510"/>
      <c r="AA47" s="510"/>
      <c r="AB47" s="510"/>
      <c r="AC47" s="510"/>
      <c r="AD47" s="510"/>
      <c r="AE47" s="226"/>
      <c r="AF47" s="224"/>
      <c r="AG47" s="510"/>
      <c r="AH47" s="510"/>
      <c r="AI47" s="510"/>
      <c r="AJ47" s="510"/>
      <c r="AK47" s="510"/>
      <c r="AL47" s="510"/>
      <c r="AM47" s="510"/>
      <c r="AN47" s="510"/>
      <c r="AO47" s="510"/>
      <c r="AP47" s="510"/>
      <c r="AQ47" s="224"/>
      <c r="AR47" s="225"/>
      <c r="AS47" s="510"/>
      <c r="AT47" s="510"/>
      <c r="AU47" s="510"/>
      <c r="AV47" s="510"/>
      <c r="AW47" s="510"/>
      <c r="AX47" s="510"/>
      <c r="AY47" s="510"/>
      <c r="AZ47" s="510"/>
      <c r="BA47" s="510"/>
      <c r="BB47" s="510"/>
      <c r="BC47" s="226"/>
      <c r="BD47" s="224"/>
      <c r="BE47" s="510"/>
      <c r="BF47" s="510"/>
      <c r="BG47" s="510"/>
      <c r="BH47" s="510"/>
      <c r="BI47" s="510"/>
      <c r="BJ47" s="510"/>
      <c r="BK47" s="510"/>
      <c r="BL47" s="510"/>
      <c r="BM47" s="510"/>
      <c r="BN47" s="510"/>
      <c r="BO47" s="510"/>
      <c r="BP47" s="224"/>
      <c r="BQ47" s="225"/>
      <c r="BR47" s="510"/>
      <c r="BS47" s="510"/>
      <c r="BT47" s="510"/>
      <c r="BU47" s="510"/>
      <c r="BV47" s="510"/>
      <c r="BW47" s="510"/>
      <c r="BX47" s="510"/>
      <c r="BY47" s="510"/>
      <c r="BZ47" s="510"/>
      <c r="CA47" s="510"/>
      <c r="CB47" s="510"/>
      <c r="CC47" s="171"/>
      <c r="CD47" s="92"/>
      <c r="CE47" s="93"/>
      <c r="CF47" s="74"/>
      <c r="CG47" s="29"/>
    </row>
    <row r="48" spans="1:85" s="3" customFormat="1" ht="19.5" customHeight="1">
      <c r="A48" s="28"/>
      <c r="B48" s="80"/>
      <c r="C48" s="92"/>
      <c r="D48" s="507" t="s">
        <v>171</v>
      </c>
      <c r="E48" s="508"/>
      <c r="F48" s="508"/>
      <c r="G48" s="509"/>
      <c r="H48" s="225"/>
      <c r="I48" s="510"/>
      <c r="J48" s="510"/>
      <c r="K48" s="510"/>
      <c r="L48" s="510"/>
      <c r="M48" s="510"/>
      <c r="N48" s="510"/>
      <c r="O48" s="510"/>
      <c r="P48" s="510"/>
      <c r="Q48" s="510"/>
      <c r="R48" s="510"/>
      <c r="S48" s="224"/>
      <c r="T48" s="225"/>
      <c r="U48" s="510"/>
      <c r="V48" s="510"/>
      <c r="W48" s="510"/>
      <c r="X48" s="510"/>
      <c r="Y48" s="510"/>
      <c r="Z48" s="510"/>
      <c r="AA48" s="510"/>
      <c r="AB48" s="510"/>
      <c r="AC48" s="510"/>
      <c r="AD48" s="510"/>
      <c r="AE48" s="226"/>
      <c r="AF48" s="224"/>
      <c r="AG48" s="510"/>
      <c r="AH48" s="510"/>
      <c r="AI48" s="510"/>
      <c r="AJ48" s="510"/>
      <c r="AK48" s="510"/>
      <c r="AL48" s="510"/>
      <c r="AM48" s="510"/>
      <c r="AN48" s="510"/>
      <c r="AO48" s="510"/>
      <c r="AP48" s="510"/>
      <c r="AQ48" s="224"/>
      <c r="AR48" s="225"/>
      <c r="AS48" s="510"/>
      <c r="AT48" s="510"/>
      <c r="AU48" s="510"/>
      <c r="AV48" s="510"/>
      <c r="AW48" s="510"/>
      <c r="AX48" s="510"/>
      <c r="AY48" s="510"/>
      <c r="AZ48" s="510"/>
      <c r="BA48" s="510"/>
      <c r="BB48" s="510"/>
      <c r="BC48" s="226"/>
      <c r="BD48" s="224"/>
      <c r="BE48" s="510"/>
      <c r="BF48" s="510"/>
      <c r="BG48" s="510"/>
      <c r="BH48" s="510"/>
      <c r="BI48" s="510"/>
      <c r="BJ48" s="510"/>
      <c r="BK48" s="510"/>
      <c r="BL48" s="510"/>
      <c r="BM48" s="510"/>
      <c r="BN48" s="510"/>
      <c r="BO48" s="510"/>
      <c r="BP48" s="224"/>
      <c r="BQ48" s="225"/>
      <c r="BR48" s="510"/>
      <c r="BS48" s="510"/>
      <c r="BT48" s="510"/>
      <c r="BU48" s="510"/>
      <c r="BV48" s="510"/>
      <c r="BW48" s="510"/>
      <c r="BX48" s="510"/>
      <c r="BY48" s="510"/>
      <c r="BZ48" s="510"/>
      <c r="CA48" s="510"/>
      <c r="CB48" s="510"/>
      <c r="CC48" s="171"/>
      <c r="CD48" s="92"/>
      <c r="CE48" s="93"/>
      <c r="CF48" s="74"/>
      <c r="CG48" s="29"/>
    </row>
    <row r="49" spans="1:85" s="3" customFormat="1" ht="19.5" customHeight="1">
      <c r="A49" s="28"/>
      <c r="B49" s="80"/>
      <c r="C49" s="93"/>
      <c r="D49" s="507" t="s">
        <v>172</v>
      </c>
      <c r="E49" s="508"/>
      <c r="F49" s="508"/>
      <c r="G49" s="509"/>
      <c r="H49" s="225"/>
      <c r="I49" s="510"/>
      <c r="J49" s="510"/>
      <c r="K49" s="510"/>
      <c r="L49" s="510"/>
      <c r="M49" s="510"/>
      <c r="N49" s="510"/>
      <c r="O49" s="510"/>
      <c r="P49" s="510"/>
      <c r="Q49" s="510"/>
      <c r="R49" s="510"/>
      <c r="S49" s="224"/>
      <c r="T49" s="225"/>
      <c r="U49" s="510"/>
      <c r="V49" s="510"/>
      <c r="W49" s="510"/>
      <c r="X49" s="510"/>
      <c r="Y49" s="510"/>
      <c r="Z49" s="510"/>
      <c r="AA49" s="510"/>
      <c r="AB49" s="510"/>
      <c r="AC49" s="510"/>
      <c r="AD49" s="510"/>
      <c r="AE49" s="226"/>
      <c r="AF49" s="224"/>
      <c r="AG49" s="510"/>
      <c r="AH49" s="510"/>
      <c r="AI49" s="510"/>
      <c r="AJ49" s="510"/>
      <c r="AK49" s="510"/>
      <c r="AL49" s="510"/>
      <c r="AM49" s="510"/>
      <c r="AN49" s="510"/>
      <c r="AO49" s="510"/>
      <c r="AP49" s="510"/>
      <c r="AQ49" s="224"/>
      <c r="AR49" s="225"/>
      <c r="AS49" s="510"/>
      <c r="AT49" s="510"/>
      <c r="AU49" s="510"/>
      <c r="AV49" s="510"/>
      <c r="AW49" s="510"/>
      <c r="AX49" s="510"/>
      <c r="AY49" s="510"/>
      <c r="AZ49" s="510"/>
      <c r="BA49" s="510"/>
      <c r="BB49" s="510"/>
      <c r="BC49" s="226"/>
      <c r="BD49" s="224"/>
      <c r="BE49" s="510"/>
      <c r="BF49" s="510"/>
      <c r="BG49" s="510"/>
      <c r="BH49" s="510"/>
      <c r="BI49" s="510"/>
      <c r="BJ49" s="510"/>
      <c r="BK49" s="510"/>
      <c r="BL49" s="510"/>
      <c r="BM49" s="510"/>
      <c r="BN49" s="510"/>
      <c r="BO49" s="510"/>
      <c r="BP49" s="224"/>
      <c r="BQ49" s="225"/>
      <c r="BR49" s="510"/>
      <c r="BS49" s="510"/>
      <c r="BT49" s="510"/>
      <c r="BU49" s="510"/>
      <c r="BV49" s="510"/>
      <c r="BW49" s="510"/>
      <c r="BX49" s="510"/>
      <c r="BY49" s="510"/>
      <c r="BZ49" s="510"/>
      <c r="CA49" s="510"/>
      <c r="CB49" s="510"/>
      <c r="CC49" s="171"/>
      <c r="CD49" s="93"/>
      <c r="CE49" s="93"/>
      <c r="CF49" s="74"/>
      <c r="CG49" s="29"/>
    </row>
    <row r="50" spans="1:85" s="3" customFormat="1" ht="19.5" customHeight="1">
      <c r="A50" s="28"/>
      <c r="B50" s="80"/>
      <c r="C50" s="93"/>
      <c r="D50" s="507" t="s">
        <v>173</v>
      </c>
      <c r="E50" s="508"/>
      <c r="F50" s="508"/>
      <c r="G50" s="509"/>
      <c r="H50" s="225"/>
      <c r="I50" s="510"/>
      <c r="J50" s="510"/>
      <c r="K50" s="510"/>
      <c r="L50" s="510"/>
      <c r="M50" s="510"/>
      <c r="N50" s="510"/>
      <c r="O50" s="510"/>
      <c r="P50" s="510"/>
      <c r="Q50" s="510"/>
      <c r="R50" s="510"/>
      <c r="S50" s="224"/>
      <c r="T50" s="225"/>
      <c r="U50" s="510"/>
      <c r="V50" s="510"/>
      <c r="W50" s="510"/>
      <c r="X50" s="510"/>
      <c r="Y50" s="510"/>
      <c r="Z50" s="510"/>
      <c r="AA50" s="510"/>
      <c r="AB50" s="510"/>
      <c r="AC50" s="510"/>
      <c r="AD50" s="510"/>
      <c r="AE50" s="226"/>
      <c r="AF50" s="224"/>
      <c r="AG50" s="510"/>
      <c r="AH50" s="510"/>
      <c r="AI50" s="510"/>
      <c r="AJ50" s="510"/>
      <c r="AK50" s="510"/>
      <c r="AL50" s="510"/>
      <c r="AM50" s="510"/>
      <c r="AN50" s="510"/>
      <c r="AO50" s="510"/>
      <c r="AP50" s="510"/>
      <c r="AQ50" s="224"/>
      <c r="AR50" s="225"/>
      <c r="AS50" s="510"/>
      <c r="AT50" s="510"/>
      <c r="AU50" s="510"/>
      <c r="AV50" s="510"/>
      <c r="AW50" s="510"/>
      <c r="AX50" s="510"/>
      <c r="AY50" s="510"/>
      <c r="AZ50" s="510"/>
      <c r="BA50" s="510"/>
      <c r="BB50" s="510"/>
      <c r="BC50" s="226"/>
      <c r="BD50" s="224"/>
      <c r="BE50" s="510"/>
      <c r="BF50" s="510"/>
      <c r="BG50" s="510"/>
      <c r="BH50" s="510"/>
      <c r="BI50" s="510"/>
      <c r="BJ50" s="510"/>
      <c r="BK50" s="510"/>
      <c r="BL50" s="510"/>
      <c r="BM50" s="510"/>
      <c r="BN50" s="510"/>
      <c r="BO50" s="510"/>
      <c r="BP50" s="224"/>
      <c r="BQ50" s="225"/>
      <c r="BR50" s="510"/>
      <c r="BS50" s="510"/>
      <c r="BT50" s="510"/>
      <c r="BU50" s="510"/>
      <c r="BV50" s="510"/>
      <c r="BW50" s="510"/>
      <c r="BX50" s="510"/>
      <c r="BY50" s="510"/>
      <c r="BZ50" s="510"/>
      <c r="CA50" s="510"/>
      <c r="CB50" s="510"/>
      <c r="CC50" s="171"/>
      <c r="CD50" s="92"/>
      <c r="CE50" s="93"/>
      <c r="CF50" s="74"/>
      <c r="CG50" s="29"/>
    </row>
    <row r="51" spans="1:85" s="3" customFormat="1" ht="20.25" customHeight="1">
      <c r="A51" s="28"/>
      <c r="B51" s="80"/>
      <c r="C51" s="93"/>
      <c r="D51" s="507" t="s">
        <v>174</v>
      </c>
      <c r="E51" s="508"/>
      <c r="F51" s="508"/>
      <c r="G51" s="509"/>
      <c r="H51" s="225"/>
      <c r="I51" s="510"/>
      <c r="J51" s="510"/>
      <c r="K51" s="510"/>
      <c r="L51" s="510"/>
      <c r="M51" s="510"/>
      <c r="N51" s="510"/>
      <c r="O51" s="510"/>
      <c r="P51" s="510"/>
      <c r="Q51" s="510"/>
      <c r="R51" s="510"/>
      <c r="S51" s="224"/>
      <c r="T51" s="225"/>
      <c r="U51" s="510"/>
      <c r="V51" s="510"/>
      <c r="W51" s="510"/>
      <c r="X51" s="510"/>
      <c r="Y51" s="510"/>
      <c r="Z51" s="510"/>
      <c r="AA51" s="510"/>
      <c r="AB51" s="510"/>
      <c r="AC51" s="510"/>
      <c r="AD51" s="510"/>
      <c r="AE51" s="226"/>
      <c r="AF51" s="224"/>
      <c r="AG51" s="510"/>
      <c r="AH51" s="510"/>
      <c r="AI51" s="510"/>
      <c r="AJ51" s="510"/>
      <c r="AK51" s="510"/>
      <c r="AL51" s="510"/>
      <c r="AM51" s="510"/>
      <c r="AN51" s="510"/>
      <c r="AO51" s="510"/>
      <c r="AP51" s="510"/>
      <c r="AQ51" s="224"/>
      <c r="AR51" s="225"/>
      <c r="AS51" s="510"/>
      <c r="AT51" s="510"/>
      <c r="AU51" s="510"/>
      <c r="AV51" s="510"/>
      <c r="AW51" s="510"/>
      <c r="AX51" s="510"/>
      <c r="AY51" s="510"/>
      <c r="AZ51" s="510"/>
      <c r="BA51" s="510"/>
      <c r="BB51" s="510"/>
      <c r="BC51" s="226"/>
      <c r="BD51" s="224"/>
      <c r="BE51" s="510"/>
      <c r="BF51" s="510"/>
      <c r="BG51" s="510"/>
      <c r="BH51" s="510"/>
      <c r="BI51" s="510"/>
      <c r="BJ51" s="510"/>
      <c r="BK51" s="510"/>
      <c r="BL51" s="510"/>
      <c r="BM51" s="510"/>
      <c r="BN51" s="510"/>
      <c r="BO51" s="510"/>
      <c r="BP51" s="224"/>
      <c r="BQ51" s="225"/>
      <c r="BR51" s="510"/>
      <c r="BS51" s="510"/>
      <c r="BT51" s="510"/>
      <c r="BU51" s="510"/>
      <c r="BV51" s="510"/>
      <c r="BW51" s="510"/>
      <c r="BX51" s="510"/>
      <c r="BY51" s="510"/>
      <c r="BZ51" s="510"/>
      <c r="CA51" s="510"/>
      <c r="CB51" s="510"/>
      <c r="CC51" s="171"/>
      <c r="CD51" s="92"/>
      <c r="CE51" s="93"/>
      <c r="CF51" s="74"/>
      <c r="CG51" s="29"/>
    </row>
    <row r="52" spans="1:85" s="3" customFormat="1" ht="20.25" customHeight="1">
      <c r="A52" s="28"/>
      <c r="B52" s="80"/>
      <c r="C52" s="93"/>
      <c r="D52" s="507" t="s">
        <v>175</v>
      </c>
      <c r="E52" s="508"/>
      <c r="F52" s="508"/>
      <c r="G52" s="509"/>
      <c r="H52" s="225"/>
      <c r="I52" s="510"/>
      <c r="J52" s="510"/>
      <c r="K52" s="510"/>
      <c r="L52" s="510"/>
      <c r="M52" s="510"/>
      <c r="N52" s="510"/>
      <c r="O52" s="510"/>
      <c r="P52" s="510"/>
      <c r="Q52" s="510"/>
      <c r="R52" s="510"/>
      <c r="S52" s="224"/>
      <c r="T52" s="225"/>
      <c r="U52" s="510"/>
      <c r="V52" s="510"/>
      <c r="W52" s="510"/>
      <c r="X52" s="510"/>
      <c r="Y52" s="510"/>
      <c r="Z52" s="510"/>
      <c r="AA52" s="510"/>
      <c r="AB52" s="510"/>
      <c r="AC52" s="510"/>
      <c r="AD52" s="510"/>
      <c r="AE52" s="226"/>
      <c r="AF52" s="224"/>
      <c r="AG52" s="510"/>
      <c r="AH52" s="510"/>
      <c r="AI52" s="510"/>
      <c r="AJ52" s="510"/>
      <c r="AK52" s="510"/>
      <c r="AL52" s="510"/>
      <c r="AM52" s="510"/>
      <c r="AN52" s="510"/>
      <c r="AO52" s="510"/>
      <c r="AP52" s="510"/>
      <c r="AQ52" s="224"/>
      <c r="AR52" s="225"/>
      <c r="AS52" s="510"/>
      <c r="AT52" s="510"/>
      <c r="AU52" s="510"/>
      <c r="AV52" s="510"/>
      <c r="AW52" s="510"/>
      <c r="AX52" s="510"/>
      <c r="AY52" s="510"/>
      <c r="AZ52" s="510"/>
      <c r="BA52" s="510"/>
      <c r="BB52" s="510"/>
      <c r="BC52" s="226"/>
      <c r="BD52" s="224"/>
      <c r="BE52" s="510"/>
      <c r="BF52" s="510"/>
      <c r="BG52" s="510"/>
      <c r="BH52" s="510"/>
      <c r="BI52" s="510"/>
      <c r="BJ52" s="510"/>
      <c r="BK52" s="510"/>
      <c r="BL52" s="510"/>
      <c r="BM52" s="510"/>
      <c r="BN52" s="510"/>
      <c r="BO52" s="510"/>
      <c r="BP52" s="224"/>
      <c r="BQ52" s="225"/>
      <c r="BR52" s="510"/>
      <c r="BS52" s="510"/>
      <c r="BT52" s="510"/>
      <c r="BU52" s="510"/>
      <c r="BV52" s="510"/>
      <c r="BW52" s="510"/>
      <c r="BX52" s="510"/>
      <c r="BY52" s="510"/>
      <c r="BZ52" s="510"/>
      <c r="CA52" s="510"/>
      <c r="CB52" s="510"/>
      <c r="CC52" s="171"/>
      <c r="CD52" s="92"/>
      <c r="CE52" s="93"/>
      <c r="CF52" s="74"/>
      <c r="CG52" s="29"/>
    </row>
    <row r="53" spans="1:85" s="3" customFormat="1" ht="19.5" customHeight="1">
      <c r="A53" s="28"/>
      <c r="B53" s="80"/>
      <c r="C53" s="92"/>
      <c r="D53" s="507" t="s">
        <v>176</v>
      </c>
      <c r="E53" s="508"/>
      <c r="F53" s="508"/>
      <c r="G53" s="509"/>
      <c r="H53" s="225"/>
      <c r="I53" s="510"/>
      <c r="J53" s="510"/>
      <c r="K53" s="510"/>
      <c r="L53" s="510"/>
      <c r="M53" s="510"/>
      <c r="N53" s="510"/>
      <c r="O53" s="510"/>
      <c r="P53" s="510"/>
      <c r="Q53" s="510"/>
      <c r="R53" s="510"/>
      <c r="S53" s="224"/>
      <c r="T53" s="225"/>
      <c r="U53" s="510"/>
      <c r="V53" s="510"/>
      <c r="W53" s="510"/>
      <c r="X53" s="510"/>
      <c r="Y53" s="510"/>
      <c r="Z53" s="510"/>
      <c r="AA53" s="510"/>
      <c r="AB53" s="510"/>
      <c r="AC53" s="510"/>
      <c r="AD53" s="510"/>
      <c r="AE53" s="226"/>
      <c r="AF53" s="224"/>
      <c r="AG53" s="510"/>
      <c r="AH53" s="510"/>
      <c r="AI53" s="510"/>
      <c r="AJ53" s="510"/>
      <c r="AK53" s="510"/>
      <c r="AL53" s="510"/>
      <c r="AM53" s="510"/>
      <c r="AN53" s="510"/>
      <c r="AO53" s="510"/>
      <c r="AP53" s="510"/>
      <c r="AQ53" s="224"/>
      <c r="AR53" s="225"/>
      <c r="AS53" s="510"/>
      <c r="AT53" s="510"/>
      <c r="AU53" s="510"/>
      <c r="AV53" s="510"/>
      <c r="AW53" s="510"/>
      <c r="AX53" s="510"/>
      <c r="AY53" s="510"/>
      <c r="AZ53" s="510"/>
      <c r="BA53" s="510"/>
      <c r="BB53" s="510"/>
      <c r="BC53" s="226"/>
      <c r="BD53" s="224"/>
      <c r="BE53" s="510"/>
      <c r="BF53" s="510"/>
      <c r="BG53" s="510"/>
      <c r="BH53" s="510"/>
      <c r="BI53" s="510"/>
      <c r="BJ53" s="510"/>
      <c r="BK53" s="510"/>
      <c r="BL53" s="510"/>
      <c r="BM53" s="510"/>
      <c r="BN53" s="510"/>
      <c r="BO53" s="510"/>
      <c r="BP53" s="224"/>
      <c r="BQ53" s="225"/>
      <c r="BR53" s="510"/>
      <c r="BS53" s="510"/>
      <c r="BT53" s="510"/>
      <c r="BU53" s="510"/>
      <c r="BV53" s="510"/>
      <c r="BW53" s="510"/>
      <c r="BX53" s="510"/>
      <c r="BY53" s="510"/>
      <c r="BZ53" s="510"/>
      <c r="CA53" s="510"/>
      <c r="CB53" s="510"/>
      <c r="CC53" s="171"/>
      <c r="CD53" s="93"/>
      <c r="CE53" s="93"/>
      <c r="CF53" s="74"/>
      <c r="CG53" s="29"/>
    </row>
    <row r="54" spans="1:85" s="3" customFormat="1" ht="19.5" customHeight="1">
      <c r="A54" s="28"/>
      <c r="B54" s="80"/>
      <c r="C54" s="92"/>
      <c r="D54" s="507" t="s">
        <v>116</v>
      </c>
      <c r="E54" s="508"/>
      <c r="F54" s="508"/>
      <c r="G54" s="509"/>
      <c r="H54" s="225"/>
      <c r="I54" s="522">
        <v>-600</v>
      </c>
      <c r="J54" s="522"/>
      <c r="K54" s="522"/>
      <c r="L54" s="522"/>
      <c r="M54" s="522"/>
      <c r="N54" s="522"/>
      <c r="O54" s="522"/>
      <c r="P54" s="522"/>
      <c r="Q54" s="522"/>
      <c r="R54" s="522"/>
      <c r="S54" s="224"/>
      <c r="T54" s="225"/>
      <c r="U54" s="522">
        <v>-1300</v>
      </c>
      <c r="V54" s="522"/>
      <c r="W54" s="522"/>
      <c r="X54" s="522"/>
      <c r="Y54" s="522"/>
      <c r="Z54" s="522"/>
      <c r="AA54" s="522"/>
      <c r="AB54" s="522"/>
      <c r="AC54" s="522"/>
      <c r="AD54" s="522"/>
      <c r="AE54" s="226"/>
      <c r="AF54" s="224"/>
      <c r="AG54" s="510">
        <f>SUM(AG23:AP53)</f>
        <v>490000000</v>
      </c>
      <c r="AH54" s="510"/>
      <c r="AI54" s="510"/>
      <c r="AJ54" s="510"/>
      <c r="AK54" s="510"/>
      <c r="AL54" s="510"/>
      <c r="AM54" s="510"/>
      <c r="AN54" s="510"/>
      <c r="AO54" s="510"/>
      <c r="AP54" s="510"/>
      <c r="AQ54" s="224"/>
      <c r="AR54" s="225"/>
      <c r="AS54" s="510">
        <f>SUM(AS23:BB53)</f>
        <v>1000000</v>
      </c>
      <c r="AT54" s="510"/>
      <c r="AU54" s="510"/>
      <c r="AV54" s="510"/>
      <c r="AW54" s="510"/>
      <c r="AX54" s="510"/>
      <c r="AY54" s="510"/>
      <c r="AZ54" s="510"/>
      <c r="BA54" s="510"/>
      <c r="BB54" s="510"/>
      <c r="BC54" s="226"/>
      <c r="BD54" s="224"/>
      <c r="BE54" s="510"/>
      <c r="BF54" s="510"/>
      <c r="BG54" s="510"/>
      <c r="BH54" s="510"/>
      <c r="BI54" s="510"/>
      <c r="BJ54" s="510"/>
      <c r="BK54" s="510"/>
      <c r="BL54" s="510"/>
      <c r="BM54" s="510"/>
      <c r="BN54" s="510"/>
      <c r="BO54" s="510"/>
      <c r="BP54" s="224"/>
      <c r="BQ54" s="224"/>
      <c r="BR54" s="510"/>
      <c r="BS54" s="510"/>
      <c r="BT54" s="510"/>
      <c r="BU54" s="510"/>
      <c r="BV54" s="510"/>
      <c r="BW54" s="510"/>
      <c r="BX54" s="510"/>
      <c r="BY54" s="510"/>
      <c r="BZ54" s="510"/>
      <c r="CA54" s="510"/>
      <c r="CB54" s="510"/>
      <c r="CC54" s="171"/>
      <c r="CD54" s="93"/>
      <c r="CE54" s="93"/>
      <c r="CF54" s="74"/>
      <c r="CG54" s="29"/>
    </row>
    <row r="55" spans="1:85" s="59" customFormat="1" ht="16.5" customHeight="1">
      <c r="A55" s="240"/>
      <c r="B55" s="227"/>
      <c r="C55" s="241"/>
      <c r="D55" s="241"/>
      <c r="E55" s="241"/>
      <c r="F55" s="241"/>
      <c r="G55" s="241"/>
      <c r="H55" s="241"/>
      <c r="I55" s="241"/>
      <c r="J55" s="241"/>
      <c r="K55" s="241"/>
      <c r="L55" s="242"/>
      <c r="M55" s="242"/>
      <c r="N55" s="242"/>
      <c r="O55" s="242"/>
      <c r="P55" s="242"/>
      <c r="Q55" s="242"/>
      <c r="R55" s="242"/>
      <c r="S55" s="242"/>
      <c r="T55" s="242"/>
      <c r="U55" s="242"/>
      <c r="V55" s="242"/>
      <c r="W55" s="242"/>
      <c r="X55" s="242"/>
      <c r="Y55" s="242"/>
      <c r="Z55" s="242"/>
      <c r="AA55" s="242"/>
      <c r="AB55" s="242"/>
      <c r="AC55" s="242"/>
      <c r="AD55" s="242"/>
      <c r="AE55" s="242"/>
      <c r="AF55" s="242"/>
      <c r="AG55" s="242"/>
      <c r="AH55" s="242"/>
      <c r="AI55" s="242"/>
      <c r="AJ55" s="242"/>
      <c r="AK55" s="242"/>
      <c r="AL55" s="242"/>
      <c r="AM55" s="242"/>
      <c r="AN55" s="242"/>
      <c r="AO55" s="242"/>
      <c r="AP55" s="242"/>
      <c r="AQ55" s="242"/>
      <c r="AR55" s="242"/>
      <c r="AS55" s="242"/>
      <c r="AT55" s="242"/>
      <c r="AU55" s="242"/>
      <c r="AV55" s="242"/>
      <c r="AW55" s="242"/>
      <c r="AX55" s="242"/>
      <c r="AY55" s="242"/>
      <c r="AZ55" s="242"/>
      <c r="BA55" s="242"/>
      <c r="BB55" s="242"/>
      <c r="BC55" s="242"/>
      <c r="BD55" s="242"/>
      <c r="BE55" s="242"/>
      <c r="BF55" s="242"/>
      <c r="BG55" s="242"/>
      <c r="BH55" s="242"/>
      <c r="BI55" s="242"/>
      <c r="BJ55" s="242"/>
      <c r="BK55" s="242"/>
      <c r="BL55" s="242"/>
      <c r="BM55" s="242"/>
      <c r="BN55" s="242"/>
      <c r="BO55" s="242"/>
      <c r="BP55" s="242"/>
      <c r="BQ55" s="242"/>
      <c r="BR55" s="242"/>
      <c r="BS55" s="242"/>
      <c r="BT55" s="242"/>
      <c r="BU55" s="242"/>
      <c r="BV55" s="242"/>
      <c r="BW55" s="242"/>
      <c r="BX55" s="242"/>
      <c r="BY55" s="242"/>
      <c r="BZ55" s="242"/>
      <c r="CA55" s="242"/>
      <c r="CB55" s="242"/>
      <c r="CC55" s="243"/>
      <c r="CD55" s="243"/>
      <c r="CE55" s="243"/>
      <c r="CF55" s="228"/>
      <c r="CG55" s="244"/>
    </row>
    <row r="56" spans="1:85" s="59" customFormat="1" ht="18.649999999999999" customHeight="1">
      <c r="A56" s="240"/>
      <c r="B56" s="227"/>
      <c r="C56" s="241"/>
      <c r="D56" s="309" t="s">
        <v>335</v>
      </c>
      <c r="E56" s="310"/>
      <c r="F56" s="310"/>
      <c r="G56" s="310"/>
      <c r="H56" s="310"/>
      <c r="I56" s="310"/>
      <c r="J56" s="310"/>
      <c r="K56" s="310"/>
      <c r="L56" s="310"/>
      <c r="M56" s="310"/>
      <c r="N56" s="310"/>
      <c r="O56" s="310"/>
      <c r="P56" s="310"/>
      <c r="Q56" s="310"/>
      <c r="R56" s="310"/>
      <c r="S56" s="310"/>
      <c r="T56" s="310"/>
      <c r="U56" s="310"/>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1"/>
      <c r="CD56" s="243"/>
      <c r="CE56" s="243"/>
      <c r="CF56" s="228"/>
      <c r="CG56" s="244"/>
    </row>
    <row r="57" spans="1:85" s="59" customFormat="1" ht="18.649999999999999" customHeight="1">
      <c r="A57" s="240"/>
      <c r="B57" s="227"/>
      <c r="C57" s="241"/>
      <c r="D57" s="521" t="s">
        <v>336</v>
      </c>
      <c r="E57" s="521"/>
      <c r="F57" s="521"/>
      <c r="G57" s="521"/>
      <c r="H57" s="521"/>
      <c r="I57" s="521"/>
      <c r="J57" s="521"/>
      <c r="K57" s="521"/>
      <c r="L57" s="521"/>
      <c r="M57" s="521"/>
      <c r="N57" s="521"/>
      <c r="O57" s="521"/>
      <c r="P57" s="521"/>
      <c r="Q57" s="521" t="s">
        <v>337</v>
      </c>
      <c r="R57" s="521"/>
      <c r="S57" s="521"/>
      <c r="T57" s="521"/>
      <c r="U57" s="521"/>
      <c r="V57" s="521"/>
      <c r="W57" s="521"/>
      <c r="X57" s="521"/>
      <c r="Y57" s="521"/>
      <c r="Z57" s="521"/>
      <c r="AA57" s="521"/>
      <c r="AB57" s="521"/>
      <c r="AC57" s="521"/>
      <c r="AD57" s="521" t="s">
        <v>338</v>
      </c>
      <c r="AE57" s="521"/>
      <c r="AF57" s="521"/>
      <c r="AG57" s="521"/>
      <c r="AH57" s="521"/>
      <c r="AI57" s="521"/>
      <c r="AJ57" s="521"/>
      <c r="AK57" s="521"/>
      <c r="AL57" s="521"/>
      <c r="AM57" s="521"/>
      <c r="AN57" s="521"/>
      <c r="AO57" s="521"/>
      <c r="AP57" s="521"/>
      <c r="AQ57" s="521"/>
      <c r="AR57" s="521"/>
      <c r="AS57" s="521"/>
      <c r="AT57" s="521"/>
      <c r="AU57" s="521"/>
      <c r="AV57" s="521"/>
      <c r="AW57" s="521"/>
      <c r="AX57" s="521"/>
      <c r="AY57" s="521"/>
      <c r="AZ57" s="521"/>
      <c r="BA57" s="521"/>
      <c r="BB57" s="521"/>
      <c r="BC57" s="521"/>
      <c r="BD57" s="309" t="s">
        <v>339</v>
      </c>
      <c r="BE57" s="310"/>
      <c r="BF57" s="310"/>
      <c r="BG57" s="310"/>
      <c r="BH57" s="310"/>
      <c r="BI57" s="310"/>
      <c r="BJ57" s="310"/>
      <c r="BK57" s="310"/>
      <c r="BL57" s="310"/>
      <c r="BM57" s="310"/>
      <c r="BN57" s="310"/>
      <c r="BO57" s="310"/>
      <c r="BP57" s="310"/>
      <c r="BQ57" s="310"/>
      <c r="BR57" s="310"/>
      <c r="BS57" s="310"/>
      <c r="BT57" s="310"/>
      <c r="BU57" s="310"/>
      <c r="BV57" s="310"/>
      <c r="BW57" s="310"/>
      <c r="BX57" s="310"/>
      <c r="BY57" s="310"/>
      <c r="BZ57" s="310"/>
      <c r="CA57" s="310"/>
      <c r="CB57" s="310"/>
      <c r="CC57" s="311"/>
      <c r="CD57" s="243"/>
      <c r="CE57" s="243"/>
      <c r="CF57" s="228"/>
      <c r="CG57" s="244"/>
    </row>
    <row r="58" spans="1:85" s="59" customFormat="1" ht="18.649999999999999" customHeight="1">
      <c r="A58" s="240"/>
      <c r="B58" s="227"/>
      <c r="C58" s="241"/>
      <c r="D58" s="229"/>
      <c r="E58" s="230"/>
      <c r="F58" s="230"/>
      <c r="G58" s="230"/>
      <c r="H58" s="230"/>
      <c r="I58" s="230"/>
      <c r="J58" s="230"/>
      <c r="K58" s="231"/>
      <c r="L58" s="232"/>
      <c r="M58" s="232"/>
      <c r="N58" s="232"/>
      <c r="O58" s="232"/>
      <c r="P58" s="233"/>
      <c r="Q58" s="108"/>
      <c r="R58" s="98"/>
      <c r="S58" s="98"/>
      <c r="T58" s="97"/>
      <c r="U58" s="97"/>
      <c r="V58" s="97"/>
      <c r="W58" s="97"/>
      <c r="X58" s="97"/>
      <c r="Y58" s="97"/>
      <c r="Z58" s="97"/>
      <c r="AA58" s="97"/>
      <c r="AB58" s="97"/>
      <c r="AC58" s="97"/>
      <c r="AD58" s="96"/>
      <c r="AE58" s="98"/>
      <c r="AF58" s="98"/>
      <c r="AG58" s="98"/>
      <c r="AH58" s="98"/>
      <c r="AI58" s="98"/>
      <c r="AJ58" s="98"/>
      <c r="AK58" s="98"/>
      <c r="AL58" s="98"/>
      <c r="AM58" s="98"/>
      <c r="AN58" s="98"/>
      <c r="AO58" s="98"/>
      <c r="AP58" s="98"/>
      <c r="AQ58" s="98"/>
      <c r="AR58" s="98"/>
      <c r="AS58" s="98"/>
      <c r="AT58" s="98"/>
      <c r="AU58" s="98"/>
      <c r="AV58" s="98"/>
      <c r="AW58" s="98"/>
      <c r="AX58" s="97"/>
      <c r="AY58" s="97"/>
      <c r="AZ58" s="97"/>
      <c r="BA58" s="97"/>
      <c r="BB58" s="97"/>
      <c r="BC58" s="99"/>
      <c r="BD58" s="97"/>
      <c r="BE58" s="97"/>
      <c r="BF58" s="97"/>
      <c r="BG58" s="97"/>
      <c r="BH58" s="97"/>
      <c r="BI58" s="97"/>
      <c r="BJ58" s="97"/>
      <c r="BK58" s="97"/>
      <c r="BL58" s="97"/>
      <c r="BM58" s="97"/>
      <c r="BN58" s="97"/>
      <c r="BO58" s="97"/>
      <c r="BP58" s="97"/>
      <c r="BQ58" s="97"/>
      <c r="BR58" s="97"/>
      <c r="BS58" s="97"/>
      <c r="BT58" s="97"/>
      <c r="BU58" s="98"/>
      <c r="BV58" s="98"/>
      <c r="BW58" s="98"/>
      <c r="BX58" s="98"/>
      <c r="BY58" s="98"/>
      <c r="BZ58" s="98"/>
      <c r="CA58" s="98"/>
      <c r="CB58" s="98"/>
      <c r="CC58" s="107"/>
      <c r="CD58" s="243"/>
      <c r="CE58" s="243"/>
      <c r="CF58" s="228"/>
      <c r="CG58" s="244"/>
    </row>
    <row r="59" spans="1:85" s="59" customFormat="1" ht="18.649999999999999" customHeight="1">
      <c r="A59" s="240"/>
      <c r="B59" s="227"/>
      <c r="C59" s="241"/>
      <c r="D59" s="96"/>
      <c r="E59" s="97"/>
      <c r="F59" s="97"/>
      <c r="G59" s="97"/>
      <c r="H59" s="97"/>
      <c r="I59" s="97"/>
      <c r="J59" s="97"/>
      <c r="K59" s="234"/>
      <c r="L59" s="98"/>
      <c r="M59" s="98"/>
      <c r="N59" s="98"/>
      <c r="O59" s="98"/>
      <c r="P59" s="107"/>
      <c r="Q59" s="108"/>
      <c r="R59" s="98"/>
      <c r="S59" s="98"/>
      <c r="T59" s="97"/>
      <c r="U59" s="97"/>
      <c r="V59" s="97"/>
      <c r="W59" s="97"/>
      <c r="X59" s="97"/>
      <c r="Y59" s="97"/>
      <c r="Z59" s="97"/>
      <c r="AA59" s="97"/>
      <c r="AB59" s="98"/>
      <c r="AC59" s="107"/>
      <c r="AD59" s="96"/>
      <c r="AE59" s="98"/>
      <c r="AF59" s="98"/>
      <c r="AG59" s="98"/>
      <c r="AH59" s="98"/>
      <c r="AI59" s="98"/>
      <c r="AJ59" s="98"/>
      <c r="AK59" s="98"/>
      <c r="AL59" s="98"/>
      <c r="AM59" s="98"/>
      <c r="AN59" s="98"/>
      <c r="AO59" s="98"/>
      <c r="AP59" s="98"/>
      <c r="AQ59" s="98"/>
      <c r="AR59" s="98"/>
      <c r="AS59" s="98"/>
      <c r="AT59" s="98"/>
      <c r="AU59" s="98"/>
      <c r="AV59" s="98"/>
      <c r="AW59" s="98"/>
      <c r="AX59" s="98"/>
      <c r="AY59" s="98"/>
      <c r="AZ59" s="97"/>
      <c r="BA59" s="97"/>
      <c r="BB59" s="97"/>
      <c r="BC59" s="99"/>
      <c r="BD59" s="97"/>
      <c r="BE59" s="97"/>
      <c r="BF59" s="97"/>
      <c r="BG59" s="97"/>
      <c r="BH59" s="97"/>
      <c r="BI59" s="97"/>
      <c r="BJ59" s="97"/>
      <c r="BK59" s="97"/>
      <c r="BL59" s="97"/>
      <c r="BM59" s="97"/>
      <c r="BN59" s="97"/>
      <c r="BO59" s="97"/>
      <c r="BP59" s="97"/>
      <c r="BQ59" s="97"/>
      <c r="BR59" s="97"/>
      <c r="BS59" s="97"/>
      <c r="BT59" s="97"/>
      <c r="BU59" s="98"/>
      <c r="BV59" s="98"/>
      <c r="BW59" s="98"/>
      <c r="BX59" s="98"/>
      <c r="BY59" s="98"/>
      <c r="BZ59" s="98"/>
      <c r="CA59" s="98"/>
      <c r="CB59" s="98"/>
      <c r="CC59" s="107"/>
      <c r="CD59" s="243"/>
      <c r="CE59" s="243"/>
      <c r="CF59" s="228"/>
      <c r="CG59" s="244"/>
    </row>
    <row r="60" spans="1:85" s="59" customFormat="1" ht="18.649999999999999" customHeight="1">
      <c r="A60" s="240"/>
      <c r="B60" s="227"/>
      <c r="C60" s="241"/>
      <c r="D60" s="96"/>
      <c r="E60" s="97"/>
      <c r="F60" s="97"/>
      <c r="G60" s="97"/>
      <c r="H60" s="97"/>
      <c r="I60" s="97"/>
      <c r="J60" s="97"/>
      <c r="K60" s="234"/>
      <c r="L60" s="98"/>
      <c r="M60" s="98"/>
      <c r="N60" s="98"/>
      <c r="O60" s="98"/>
      <c r="P60" s="107"/>
      <c r="Q60" s="108"/>
      <c r="R60" s="234"/>
      <c r="S60" s="97"/>
      <c r="T60" s="97"/>
      <c r="U60" s="97"/>
      <c r="V60" s="97"/>
      <c r="W60" s="97"/>
      <c r="X60" s="98"/>
      <c r="Y60" s="98"/>
      <c r="Z60" s="98"/>
      <c r="AA60" s="98"/>
      <c r="AB60" s="97"/>
      <c r="AC60" s="97"/>
      <c r="AD60" s="96"/>
      <c r="AE60" s="98"/>
      <c r="AF60" s="98"/>
      <c r="AG60" s="98"/>
      <c r="AH60" s="98"/>
      <c r="AI60" s="98"/>
      <c r="AJ60" s="98"/>
      <c r="AK60" s="98"/>
      <c r="AL60" s="98"/>
      <c r="AM60" s="98"/>
      <c r="AN60" s="98"/>
      <c r="AO60" s="98"/>
      <c r="AP60" s="98"/>
      <c r="AQ60" s="98"/>
      <c r="AR60" s="98"/>
      <c r="AS60" s="98"/>
      <c r="AT60" s="98"/>
      <c r="AU60" s="98"/>
      <c r="AV60" s="98"/>
      <c r="AW60" s="98"/>
      <c r="AX60" s="98"/>
      <c r="AY60" s="98"/>
      <c r="AZ60" s="97"/>
      <c r="BA60" s="97"/>
      <c r="BB60" s="97"/>
      <c r="BC60" s="99"/>
      <c r="BD60" s="97"/>
      <c r="BE60" s="97"/>
      <c r="BF60" s="97"/>
      <c r="BG60" s="235"/>
      <c r="BH60" s="235"/>
      <c r="BI60" s="97"/>
      <c r="BJ60" s="97"/>
      <c r="BK60" s="97"/>
      <c r="BL60" s="97"/>
      <c r="BM60" s="97"/>
      <c r="BN60" s="97"/>
      <c r="BO60" s="97"/>
      <c r="BP60" s="97"/>
      <c r="BQ60" s="97"/>
      <c r="BR60" s="97"/>
      <c r="BS60" s="97"/>
      <c r="BT60" s="236"/>
      <c r="BU60" s="97"/>
      <c r="BV60" s="97"/>
      <c r="BW60" s="236"/>
      <c r="BX60" s="97"/>
      <c r="BY60" s="97"/>
      <c r="BZ60" s="97"/>
      <c r="CA60" s="97"/>
      <c r="CB60" s="97"/>
      <c r="CC60" s="99"/>
      <c r="CD60" s="243"/>
      <c r="CE60" s="243"/>
      <c r="CF60" s="228"/>
      <c r="CG60" s="244"/>
    </row>
    <row r="61" spans="1:85" s="3" customFormat="1" ht="19.5" customHeight="1">
      <c r="A61" s="28"/>
      <c r="B61" s="80"/>
      <c r="C61" s="92"/>
      <c r="D61" s="113"/>
      <c r="E61" s="113"/>
      <c r="F61" s="113"/>
      <c r="G61" s="113"/>
      <c r="H61" s="114"/>
      <c r="I61" s="115"/>
      <c r="J61" s="114"/>
      <c r="K61" s="114"/>
      <c r="L61" s="114"/>
      <c r="M61" s="114"/>
      <c r="N61" s="114"/>
      <c r="O61" s="115"/>
      <c r="P61" s="114"/>
      <c r="Q61" s="114"/>
      <c r="R61" s="114"/>
      <c r="S61" s="114"/>
      <c r="T61" s="114"/>
      <c r="U61" s="115"/>
      <c r="V61" s="114"/>
      <c r="W61" s="116"/>
      <c r="X61" s="116"/>
      <c r="Y61" s="116"/>
      <c r="Z61" s="116"/>
      <c r="AA61" s="116"/>
      <c r="AB61" s="116"/>
      <c r="AC61" s="116"/>
      <c r="AD61" s="117"/>
      <c r="AE61" s="117"/>
      <c r="AF61" s="118"/>
      <c r="AG61" s="118"/>
      <c r="AH61" s="114"/>
      <c r="AI61" s="114"/>
      <c r="AJ61" s="114"/>
      <c r="AK61" s="114"/>
      <c r="AL61" s="114"/>
      <c r="AM61" s="114"/>
      <c r="AN61" s="114"/>
      <c r="AO61" s="114"/>
      <c r="AP61" s="114"/>
      <c r="AQ61" s="114"/>
      <c r="AR61" s="114"/>
      <c r="AS61" s="114"/>
      <c r="AT61" s="114"/>
      <c r="AU61" s="114"/>
      <c r="AV61" s="114"/>
      <c r="AW61" s="114"/>
      <c r="AX61" s="114"/>
      <c r="AY61" s="114"/>
      <c r="AZ61" s="114"/>
      <c r="BA61" s="114"/>
      <c r="BB61" s="114"/>
      <c r="BC61" s="114"/>
      <c r="BD61" s="114"/>
      <c r="BE61" s="114"/>
      <c r="BF61" s="114"/>
      <c r="BG61" s="114"/>
      <c r="BH61" s="114"/>
      <c r="BI61" s="114"/>
      <c r="BJ61" s="114"/>
      <c r="BK61" s="114"/>
      <c r="BL61" s="114"/>
      <c r="BM61" s="114"/>
      <c r="BN61" s="114"/>
      <c r="BO61" s="114"/>
      <c r="BP61" s="114"/>
      <c r="BQ61" s="114"/>
      <c r="BR61" s="114"/>
      <c r="BS61" s="114"/>
      <c r="BT61" s="114"/>
      <c r="BU61" s="114"/>
      <c r="BV61" s="114"/>
      <c r="BW61" s="114"/>
      <c r="BX61" s="114"/>
      <c r="BY61" s="114"/>
      <c r="BZ61" s="118"/>
      <c r="CA61" s="118"/>
      <c r="CB61" s="114"/>
      <c r="CC61" s="114"/>
      <c r="CD61" s="93"/>
      <c r="CE61" s="93"/>
      <c r="CF61" s="74"/>
      <c r="CG61" s="29"/>
    </row>
    <row r="62" spans="1:85" s="3" customFormat="1" ht="19.5" customHeight="1">
      <c r="A62" s="28"/>
      <c r="B62" s="80"/>
      <c r="C62" s="92"/>
      <c r="D62" s="113"/>
      <c r="E62" s="113"/>
      <c r="F62" s="113"/>
      <c r="G62" s="113"/>
      <c r="H62" s="114"/>
      <c r="I62" s="115"/>
      <c r="J62" s="114"/>
      <c r="K62" s="114"/>
      <c r="L62" s="114"/>
      <c r="M62" s="114"/>
      <c r="N62" s="114"/>
      <c r="O62" s="115"/>
      <c r="P62" s="114"/>
      <c r="Q62" s="114"/>
      <c r="R62" s="114"/>
      <c r="S62" s="114"/>
      <c r="T62" s="114"/>
      <c r="U62" s="115"/>
      <c r="V62" s="114"/>
      <c r="W62" s="116"/>
      <c r="X62" s="116"/>
      <c r="Y62" s="116"/>
      <c r="Z62" s="116"/>
      <c r="AA62" s="116"/>
      <c r="AB62" s="116"/>
      <c r="AC62" s="116"/>
      <c r="AD62" s="117"/>
      <c r="AE62" s="117"/>
      <c r="AF62" s="118"/>
      <c r="AG62" s="118"/>
      <c r="AH62" s="114"/>
      <c r="AI62" s="114"/>
      <c r="AJ62" s="114"/>
      <c r="AK62" s="114"/>
      <c r="AL62" s="114"/>
      <c r="AM62" s="114"/>
      <c r="AN62" s="114"/>
      <c r="AO62" s="114"/>
      <c r="AP62" s="114"/>
      <c r="AQ62" s="114"/>
      <c r="AR62" s="114"/>
      <c r="AS62" s="114"/>
      <c r="AT62" s="114"/>
      <c r="AU62" s="114"/>
      <c r="AV62" s="114"/>
      <c r="AW62" s="114"/>
      <c r="AX62" s="114"/>
      <c r="AY62" s="114"/>
      <c r="AZ62" s="114"/>
      <c r="BA62" s="114"/>
      <c r="BB62" s="114"/>
      <c r="BC62" s="114"/>
      <c r="BD62" s="114"/>
      <c r="BE62" s="114"/>
      <c r="BF62" s="114"/>
      <c r="BG62" s="114"/>
      <c r="BH62" s="114"/>
      <c r="BI62" s="114"/>
      <c r="BJ62" s="114"/>
      <c r="BK62" s="114"/>
      <c r="BL62" s="114"/>
      <c r="BM62" s="114"/>
      <c r="BN62" s="114"/>
      <c r="BO62" s="114"/>
      <c r="BP62" s="114"/>
      <c r="BQ62" s="114"/>
      <c r="BR62" s="114"/>
      <c r="BS62" s="114"/>
      <c r="BT62" s="114"/>
      <c r="BU62" s="114"/>
      <c r="BV62" s="114"/>
      <c r="BW62" s="114"/>
      <c r="BX62" s="114"/>
      <c r="BY62" s="114"/>
      <c r="BZ62" s="118"/>
      <c r="CA62" s="118"/>
      <c r="CB62" s="114"/>
      <c r="CC62" s="114"/>
      <c r="CD62" s="93"/>
      <c r="CE62" s="93"/>
      <c r="CF62" s="74"/>
      <c r="CG62" s="29"/>
    </row>
    <row r="63" spans="1:85" s="3" customFormat="1" ht="19.5" customHeight="1">
      <c r="A63" s="28"/>
      <c r="B63" s="80"/>
      <c r="C63" s="92"/>
      <c r="D63" s="113"/>
      <c r="E63" s="113"/>
      <c r="F63" s="113"/>
      <c r="G63" s="113"/>
      <c r="H63" s="114"/>
      <c r="I63" s="115"/>
      <c r="J63" s="114"/>
      <c r="K63" s="114"/>
      <c r="L63" s="114"/>
      <c r="M63" s="114"/>
      <c r="N63" s="114"/>
      <c r="O63" s="115"/>
      <c r="P63" s="114"/>
      <c r="Q63" s="114"/>
      <c r="R63" s="114"/>
      <c r="S63" s="114"/>
      <c r="T63" s="114"/>
      <c r="U63" s="115"/>
      <c r="V63" s="114"/>
      <c r="W63" s="116"/>
      <c r="X63" s="116"/>
      <c r="Y63" s="116"/>
      <c r="Z63" s="116"/>
      <c r="AA63" s="116"/>
      <c r="AB63" s="116"/>
      <c r="AC63" s="116"/>
      <c r="AD63" s="117"/>
      <c r="AE63" s="117"/>
      <c r="AF63" s="118"/>
      <c r="AG63" s="118"/>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8"/>
      <c r="CA63" s="118"/>
      <c r="CB63" s="114"/>
      <c r="CC63" s="114"/>
      <c r="CD63" s="93"/>
      <c r="CE63" s="93"/>
      <c r="CF63" s="74"/>
      <c r="CG63" s="29"/>
    </row>
    <row r="64" spans="1:85" s="3" customFormat="1" ht="19.5" customHeight="1" thickBot="1">
      <c r="A64" s="28"/>
      <c r="B64" s="81"/>
      <c r="C64" s="82"/>
      <c r="D64" s="82"/>
      <c r="E64" s="82"/>
      <c r="F64" s="82"/>
      <c r="G64" s="82"/>
      <c r="H64" s="82"/>
      <c r="I64" s="82"/>
      <c r="J64" s="82"/>
      <c r="K64" s="82"/>
      <c r="L64" s="75"/>
      <c r="M64" s="75"/>
      <c r="N64" s="75"/>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5"/>
      <c r="CA64" s="75"/>
      <c r="CB64" s="76"/>
      <c r="CC64" s="76"/>
      <c r="CD64" s="76"/>
      <c r="CE64" s="76"/>
      <c r="CF64" s="77"/>
      <c r="CG64" s="29"/>
    </row>
    <row r="65" spans="1:115" s="3" customFormat="1" ht="19.5" customHeight="1">
      <c r="A65" s="135"/>
      <c r="B65" s="136"/>
      <c r="C65" s="136"/>
      <c r="D65" s="137"/>
      <c r="E65" s="137"/>
      <c r="F65" s="137"/>
      <c r="G65" s="137"/>
      <c r="H65" s="137"/>
      <c r="I65" s="137"/>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c r="AN65" s="138"/>
      <c r="AO65" s="138"/>
      <c r="AP65" s="138"/>
      <c r="AQ65" s="138"/>
      <c r="AR65" s="137"/>
      <c r="AS65" s="137"/>
      <c r="AT65" s="137"/>
      <c r="AU65" s="137"/>
      <c r="AV65" s="137"/>
      <c r="AW65" s="137"/>
      <c r="AX65" s="137"/>
      <c r="AY65" s="137"/>
      <c r="AZ65" s="137"/>
      <c r="BA65" s="137"/>
      <c r="BB65" s="137"/>
      <c r="BC65" s="137"/>
      <c r="BD65" s="137"/>
      <c r="BE65" s="137"/>
      <c r="BF65" s="137"/>
      <c r="BG65" s="137"/>
      <c r="BH65" s="137"/>
      <c r="BI65" s="137"/>
      <c r="BJ65" s="137"/>
      <c r="BK65" s="137"/>
      <c r="BL65" s="137"/>
      <c r="BM65" s="137"/>
      <c r="BN65" s="137"/>
      <c r="BO65" s="137"/>
      <c r="BP65" s="137"/>
      <c r="BQ65" s="137"/>
      <c r="BR65" s="137"/>
      <c r="BS65" s="137"/>
      <c r="BT65" s="137"/>
      <c r="BU65" s="137"/>
      <c r="BV65" s="137"/>
      <c r="BW65" s="137"/>
      <c r="BX65" s="138"/>
      <c r="BY65" s="137"/>
      <c r="BZ65" s="137"/>
      <c r="CA65" s="137"/>
      <c r="CB65" s="138"/>
      <c r="CC65" s="138"/>
      <c r="CD65" s="137"/>
      <c r="CE65" s="137"/>
      <c r="CF65" s="139"/>
      <c r="CG65" s="140"/>
    </row>
    <row r="66" spans="1:115" ht="18" customHeight="1">
      <c r="A66" s="126"/>
      <c r="B66" s="2" t="s">
        <v>289</v>
      </c>
      <c r="CG66" s="127"/>
    </row>
    <row r="67" spans="1:115" ht="7.5" customHeight="1" thickBot="1">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115" ht="14.25" customHeight="1">
      <c r="A68" s="126"/>
      <c r="B68" s="67"/>
      <c r="C68" s="68"/>
      <c r="D68" s="68"/>
      <c r="E68" s="68"/>
      <c r="F68" s="68"/>
      <c r="G68" s="68"/>
      <c r="H68" s="68"/>
      <c r="I68" s="68"/>
      <c r="J68" s="68"/>
      <c r="K68" s="68"/>
      <c r="L68" s="513" t="s">
        <v>86</v>
      </c>
      <c r="M68" s="514"/>
      <c r="N68" s="514"/>
      <c r="O68" s="514"/>
      <c r="P68" s="514"/>
      <c r="Q68" s="514"/>
      <c r="R68" s="514"/>
      <c r="S68" s="514"/>
      <c r="T68" s="514"/>
      <c r="U68" s="514"/>
      <c r="V68" s="514"/>
      <c r="W68" s="514"/>
      <c r="X68" s="514"/>
      <c r="Y68" s="514"/>
      <c r="Z68" s="514"/>
      <c r="AA68" s="514"/>
      <c r="AB68" s="514"/>
      <c r="AC68" s="514"/>
      <c r="AD68" s="514"/>
      <c r="AE68" s="514"/>
      <c r="AF68" s="514"/>
      <c r="AG68" s="514"/>
      <c r="AH68" s="514"/>
      <c r="AI68" s="514"/>
      <c r="AJ68" s="514"/>
      <c r="AK68" s="514"/>
      <c r="AL68" s="514"/>
      <c r="AM68" s="514"/>
      <c r="AN68" s="514"/>
      <c r="AO68" s="514"/>
      <c r="AP68" s="514"/>
      <c r="AQ68" s="514"/>
      <c r="AR68" s="514"/>
      <c r="AS68" s="514"/>
      <c r="AT68" s="514"/>
      <c r="AU68" s="514"/>
      <c r="AV68" s="514"/>
      <c r="AW68" s="514"/>
      <c r="AX68" s="514"/>
      <c r="AY68" s="514"/>
      <c r="AZ68" s="514"/>
      <c r="BA68" s="514"/>
      <c r="BB68" s="514"/>
      <c r="BC68" s="514"/>
      <c r="BD68" s="514"/>
      <c r="BE68" s="514"/>
      <c r="BF68" s="514"/>
      <c r="BG68" s="514"/>
      <c r="BH68" s="514"/>
      <c r="BI68" s="514"/>
      <c r="BJ68" s="514"/>
      <c r="BK68" s="514"/>
      <c r="BL68" s="514"/>
      <c r="BM68" s="514"/>
      <c r="BN68" s="514"/>
      <c r="BO68" s="514"/>
      <c r="BP68" s="514"/>
      <c r="BQ68" s="514"/>
      <c r="BR68" s="514"/>
      <c r="BS68" s="514"/>
      <c r="BT68" s="514"/>
      <c r="BU68" s="514"/>
      <c r="BV68" s="300" t="s">
        <v>62</v>
      </c>
      <c r="BW68" s="300"/>
      <c r="BX68" s="300"/>
      <c r="BY68" s="300"/>
      <c r="BZ68" s="300"/>
      <c r="CA68" s="300"/>
      <c r="CB68" s="300"/>
      <c r="CC68" s="300"/>
      <c r="CD68" s="300"/>
      <c r="CE68" s="300"/>
      <c r="CF68" s="301"/>
      <c r="CG68" s="127"/>
    </row>
    <row r="69" spans="1:115" ht="14.25" customHeight="1">
      <c r="A69" s="126"/>
      <c r="B69" s="69"/>
      <c r="C69" s="128"/>
      <c r="D69" s="128"/>
      <c r="E69" s="128"/>
      <c r="F69" s="128"/>
      <c r="G69" s="128"/>
      <c r="H69" s="128"/>
      <c r="I69" s="128"/>
      <c r="J69" s="128"/>
      <c r="K69" s="128"/>
      <c r="L69" s="515"/>
      <c r="M69" s="515"/>
      <c r="N69" s="515"/>
      <c r="O69" s="515"/>
      <c r="P69" s="515"/>
      <c r="Q69" s="515"/>
      <c r="R69" s="515"/>
      <c r="S69" s="515"/>
      <c r="T69" s="515"/>
      <c r="U69" s="515"/>
      <c r="V69" s="515"/>
      <c r="W69" s="515"/>
      <c r="X69" s="515"/>
      <c r="Y69" s="515"/>
      <c r="Z69" s="515"/>
      <c r="AA69" s="515"/>
      <c r="AB69" s="515"/>
      <c r="AC69" s="515"/>
      <c r="AD69" s="515"/>
      <c r="AE69" s="515"/>
      <c r="AF69" s="515"/>
      <c r="AG69" s="515"/>
      <c r="AH69" s="515"/>
      <c r="AI69" s="515"/>
      <c r="AJ69" s="515"/>
      <c r="AK69" s="515"/>
      <c r="AL69" s="515"/>
      <c r="AM69" s="515"/>
      <c r="AN69" s="515"/>
      <c r="AO69" s="515"/>
      <c r="AP69" s="515"/>
      <c r="AQ69" s="515"/>
      <c r="AR69" s="515"/>
      <c r="AS69" s="515"/>
      <c r="AT69" s="515"/>
      <c r="AU69" s="515"/>
      <c r="AV69" s="515"/>
      <c r="AW69" s="515"/>
      <c r="AX69" s="515"/>
      <c r="AY69" s="515"/>
      <c r="AZ69" s="515"/>
      <c r="BA69" s="515"/>
      <c r="BB69" s="515"/>
      <c r="BC69" s="515"/>
      <c r="BD69" s="515"/>
      <c r="BE69" s="515"/>
      <c r="BF69" s="515"/>
      <c r="BG69" s="515"/>
      <c r="BH69" s="515"/>
      <c r="BI69" s="515"/>
      <c r="BJ69" s="515"/>
      <c r="BK69" s="515"/>
      <c r="BL69" s="515"/>
      <c r="BM69" s="515"/>
      <c r="BN69" s="515"/>
      <c r="BO69" s="515"/>
      <c r="BP69" s="515"/>
      <c r="BQ69" s="515"/>
      <c r="BR69" s="515"/>
      <c r="BS69" s="515"/>
      <c r="BT69" s="515"/>
      <c r="BU69" s="515"/>
      <c r="BV69" s="302"/>
      <c r="BW69" s="302"/>
      <c r="BX69" s="302"/>
      <c r="BY69" s="302"/>
      <c r="BZ69" s="302"/>
      <c r="CA69" s="302"/>
      <c r="CB69" s="302"/>
      <c r="CC69" s="302"/>
      <c r="CD69" s="302"/>
      <c r="CE69" s="302"/>
      <c r="CF69" s="303"/>
      <c r="CG69" s="127"/>
    </row>
    <row r="70" spans="1:115" s="3" customFormat="1" ht="19.5" customHeight="1" thickBot="1">
      <c r="A70" s="28"/>
      <c r="B70" s="70"/>
      <c r="C70" s="71"/>
      <c r="D70" s="71"/>
      <c r="E70" s="71"/>
      <c r="F70" s="71"/>
      <c r="G70" s="71"/>
      <c r="H70" s="71"/>
      <c r="I70" s="71"/>
      <c r="J70" s="71"/>
      <c r="K70" s="71"/>
      <c r="L70" s="516"/>
      <c r="M70" s="516"/>
      <c r="N70" s="516"/>
      <c r="O70" s="516"/>
      <c r="P70" s="516"/>
      <c r="Q70" s="516"/>
      <c r="R70" s="516"/>
      <c r="S70" s="516"/>
      <c r="T70" s="516"/>
      <c r="U70" s="516"/>
      <c r="V70" s="516"/>
      <c r="W70" s="516"/>
      <c r="X70" s="516"/>
      <c r="Y70" s="516"/>
      <c r="Z70" s="516"/>
      <c r="AA70" s="516"/>
      <c r="AB70" s="516"/>
      <c r="AC70" s="516"/>
      <c r="AD70" s="516"/>
      <c r="AE70" s="516"/>
      <c r="AF70" s="516"/>
      <c r="AG70" s="516"/>
      <c r="AH70" s="516"/>
      <c r="AI70" s="516"/>
      <c r="AJ70" s="516"/>
      <c r="AK70" s="516"/>
      <c r="AL70" s="516"/>
      <c r="AM70" s="516"/>
      <c r="AN70" s="516"/>
      <c r="AO70" s="516"/>
      <c r="AP70" s="516"/>
      <c r="AQ70" s="516"/>
      <c r="AR70" s="516"/>
      <c r="AS70" s="516"/>
      <c r="AT70" s="516"/>
      <c r="AU70" s="516"/>
      <c r="AV70" s="516"/>
      <c r="AW70" s="516"/>
      <c r="AX70" s="516"/>
      <c r="AY70" s="516"/>
      <c r="AZ70" s="516"/>
      <c r="BA70" s="516"/>
      <c r="BB70" s="516"/>
      <c r="BC70" s="516"/>
      <c r="BD70" s="516"/>
      <c r="BE70" s="516"/>
      <c r="BF70" s="516"/>
      <c r="BG70" s="516"/>
      <c r="BH70" s="516"/>
      <c r="BI70" s="516"/>
      <c r="BJ70" s="516"/>
      <c r="BK70" s="516"/>
      <c r="BL70" s="516"/>
      <c r="BM70" s="516"/>
      <c r="BN70" s="516"/>
      <c r="BO70" s="516"/>
      <c r="BP70" s="516"/>
      <c r="BQ70" s="516"/>
      <c r="BR70" s="516"/>
      <c r="BS70" s="516"/>
      <c r="BT70" s="516"/>
      <c r="BU70" s="516"/>
      <c r="BV70" s="304"/>
      <c r="BW70" s="304"/>
      <c r="BX70" s="304"/>
      <c r="BY70" s="304"/>
      <c r="BZ70" s="304"/>
      <c r="CA70" s="304"/>
      <c r="CB70" s="304"/>
      <c r="CC70" s="304"/>
      <c r="CD70" s="304"/>
      <c r="CE70" s="304"/>
      <c r="CF70" s="305"/>
      <c r="CG70" s="29"/>
    </row>
    <row r="71" spans="1:115" s="3" customFormat="1" ht="19.5" customHeight="1" thickTop="1">
      <c r="A71" s="28"/>
      <c r="B71" s="78"/>
      <c r="C71" s="79"/>
      <c r="D71" s="129" t="s">
        <v>477</v>
      </c>
      <c r="E71" s="129"/>
      <c r="F71" s="129"/>
      <c r="G71" s="129" t="s">
        <v>203</v>
      </c>
      <c r="H71" s="238" t="s">
        <v>114</v>
      </c>
      <c r="I71" s="239"/>
      <c r="J71" s="239"/>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c r="BN71" s="72"/>
      <c r="BO71" s="72"/>
      <c r="BP71" s="72"/>
      <c r="BQ71" s="72"/>
      <c r="BR71" s="72"/>
      <c r="BS71" s="72"/>
      <c r="BT71" s="72"/>
      <c r="BU71" s="72"/>
      <c r="BV71" s="72"/>
      <c r="BW71" s="72"/>
      <c r="BX71" s="72"/>
      <c r="BY71" s="72"/>
      <c r="BZ71" s="72"/>
      <c r="CA71" s="72"/>
      <c r="CB71" s="72"/>
      <c r="CC71" s="72"/>
      <c r="CD71" s="72"/>
      <c r="CE71" s="72"/>
      <c r="CF71" s="73"/>
      <c r="CG71" s="29"/>
    </row>
    <row r="72" spans="1:115" s="3" customFormat="1" ht="19.5" customHeight="1">
      <c r="A72" s="28"/>
      <c r="B72" s="80"/>
      <c r="C72" s="93"/>
      <c r="D72" s="306" t="s">
        <v>290</v>
      </c>
      <c r="E72" s="307"/>
      <c r="F72" s="307"/>
      <c r="G72" s="307"/>
      <c r="H72" s="307"/>
      <c r="I72" s="307"/>
      <c r="J72" s="307"/>
      <c r="K72" s="307"/>
      <c r="L72" s="307"/>
      <c r="M72" s="307"/>
      <c r="N72" s="307"/>
      <c r="O72" s="307"/>
      <c r="P72" s="307"/>
      <c r="Q72" s="307"/>
      <c r="R72" s="307"/>
      <c r="S72" s="307"/>
      <c r="T72" s="307"/>
      <c r="U72" s="307"/>
      <c r="V72" s="307"/>
      <c r="W72" s="307"/>
      <c r="X72" s="307"/>
      <c r="Y72" s="307"/>
      <c r="Z72" s="307"/>
      <c r="AA72" s="307"/>
      <c r="AB72" s="307"/>
      <c r="AC72" s="307"/>
      <c r="AD72" s="307"/>
      <c r="AE72" s="307"/>
      <c r="AF72" s="307"/>
      <c r="AG72" s="307"/>
      <c r="AH72" s="307"/>
      <c r="AI72" s="307"/>
      <c r="AJ72" s="307"/>
      <c r="AK72" s="307"/>
      <c r="AL72" s="307"/>
      <c r="AM72" s="307"/>
      <c r="AN72" s="307"/>
      <c r="AO72" s="307"/>
      <c r="AP72" s="307"/>
      <c r="AQ72" s="307"/>
      <c r="AR72" s="307"/>
      <c r="AS72" s="307"/>
      <c r="AT72" s="307"/>
      <c r="AU72" s="307"/>
      <c r="AV72" s="307"/>
      <c r="AW72" s="307"/>
      <c r="AX72" s="307"/>
      <c r="AY72" s="307"/>
      <c r="AZ72" s="307"/>
      <c r="BA72" s="307"/>
      <c r="BB72" s="307"/>
      <c r="BC72" s="307"/>
      <c r="BD72" s="307"/>
      <c r="BE72" s="307"/>
      <c r="BF72" s="307"/>
      <c r="BG72" s="307"/>
      <c r="BH72" s="307"/>
      <c r="BI72" s="307"/>
      <c r="BJ72" s="307"/>
      <c r="BK72" s="307"/>
      <c r="BL72" s="307"/>
      <c r="BM72" s="307"/>
      <c r="BN72" s="307"/>
      <c r="BO72" s="307"/>
      <c r="BP72" s="307"/>
      <c r="BQ72" s="307"/>
      <c r="BR72" s="307"/>
      <c r="BS72" s="307"/>
      <c r="BT72" s="307"/>
      <c r="BU72" s="307"/>
      <c r="BV72" s="307"/>
      <c r="BW72" s="307"/>
      <c r="BX72" s="307"/>
      <c r="BY72" s="307"/>
      <c r="BZ72" s="307"/>
      <c r="CA72" s="307"/>
      <c r="CB72" s="307"/>
      <c r="CC72" s="308"/>
      <c r="CD72" s="93"/>
      <c r="CE72" s="93"/>
      <c r="CF72" s="74"/>
      <c r="CG72" s="29"/>
    </row>
    <row r="73" spans="1:115" s="3" customFormat="1" ht="19.5" customHeight="1">
      <c r="A73" s="28"/>
      <c r="B73" s="80"/>
      <c r="C73" s="93"/>
      <c r="D73" s="129"/>
      <c r="E73" s="129"/>
      <c r="F73" s="129"/>
      <c r="G73" s="129"/>
      <c r="H73" s="129"/>
      <c r="I73" s="129"/>
      <c r="J73" s="129"/>
      <c r="K73" s="129"/>
      <c r="L73" s="129"/>
      <c r="M73" s="129"/>
      <c r="N73" s="129"/>
      <c r="O73" s="129"/>
      <c r="P73" s="129"/>
      <c r="Q73" s="129"/>
      <c r="R73" s="129"/>
      <c r="S73" s="129"/>
      <c r="T73" s="129"/>
      <c r="U73" s="129"/>
      <c r="V73" s="129"/>
      <c r="W73" s="95"/>
      <c r="X73" s="95"/>
      <c r="Y73" s="95"/>
      <c r="Z73" s="95"/>
      <c r="AA73" s="95"/>
      <c r="AB73" s="95"/>
      <c r="AC73" s="95"/>
      <c r="AD73" s="95"/>
      <c r="AE73" s="95"/>
      <c r="AF73" s="129"/>
      <c r="AG73" s="129"/>
      <c r="AH73" s="129"/>
      <c r="AI73" s="129"/>
      <c r="AJ73" s="129"/>
      <c r="AK73" s="129"/>
      <c r="AL73" s="129"/>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29"/>
      <c r="BQ73" s="129"/>
      <c r="BR73" s="129"/>
      <c r="BS73" s="129"/>
      <c r="BT73" s="129"/>
      <c r="BU73" s="129"/>
      <c r="BV73" s="129"/>
      <c r="BW73" s="129"/>
      <c r="BX73" s="129"/>
      <c r="BY73" s="101"/>
      <c r="BZ73" s="129"/>
      <c r="CA73" s="129"/>
      <c r="CB73" s="101"/>
      <c r="CC73" s="129"/>
      <c r="CD73" s="93"/>
      <c r="CE73" s="93"/>
      <c r="CF73" s="74"/>
      <c r="CG73" s="29"/>
    </row>
    <row r="74" spans="1:115" s="3" customFormat="1" ht="19.5" customHeight="1">
      <c r="A74" s="28"/>
      <c r="B74" s="80"/>
      <c r="C74" s="93"/>
      <c r="D74" s="288" t="s">
        <v>100</v>
      </c>
      <c r="E74" s="289"/>
      <c r="F74" s="289"/>
      <c r="G74" s="289"/>
      <c r="H74" s="289"/>
      <c r="I74" s="289"/>
      <c r="J74" s="289"/>
      <c r="K74" s="289"/>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89"/>
      <c r="AI74" s="289"/>
      <c r="AJ74" s="289"/>
      <c r="AK74" s="289"/>
      <c r="AL74" s="289"/>
      <c r="AM74" s="289"/>
      <c r="AN74" s="289"/>
      <c r="AO74" s="289"/>
      <c r="AP74" s="289"/>
      <c r="AQ74" s="289"/>
      <c r="AR74" s="289"/>
      <c r="AS74" s="289"/>
      <c r="AT74" s="289"/>
      <c r="AU74" s="289"/>
      <c r="AV74" s="289"/>
      <c r="AW74" s="289"/>
      <c r="AX74" s="289"/>
      <c r="AY74" s="289"/>
      <c r="AZ74" s="289"/>
      <c r="BA74" s="289"/>
      <c r="BB74" s="289"/>
      <c r="BC74" s="289"/>
      <c r="BD74" s="289"/>
      <c r="BE74" s="289"/>
      <c r="BF74" s="289"/>
      <c r="BG74" s="289"/>
      <c r="BH74" s="289"/>
      <c r="BI74" s="289"/>
      <c r="BJ74" s="289"/>
      <c r="BK74" s="289"/>
      <c r="BL74" s="289"/>
      <c r="BM74" s="289"/>
      <c r="BN74" s="289"/>
      <c r="BO74" s="289"/>
      <c r="BP74" s="289"/>
      <c r="BQ74" s="289"/>
      <c r="BR74" s="289"/>
      <c r="BS74" s="289"/>
      <c r="BT74" s="289"/>
      <c r="BU74" s="289"/>
      <c r="BV74" s="289"/>
      <c r="BW74" s="289"/>
      <c r="BX74" s="289"/>
      <c r="BY74" s="289"/>
      <c r="BZ74" s="289"/>
      <c r="CA74" s="289"/>
      <c r="CB74" s="289"/>
      <c r="CC74" s="290"/>
      <c r="CD74" s="93"/>
      <c r="CE74" s="93"/>
      <c r="CF74" s="74"/>
      <c r="CG74" s="29"/>
    </row>
    <row r="75" spans="1:115" s="3" customFormat="1" ht="19.5" customHeight="1">
      <c r="A75" s="28"/>
      <c r="B75" s="80"/>
      <c r="C75" s="93"/>
      <c r="D75" s="96" t="s">
        <v>89</v>
      </c>
      <c r="E75" s="97"/>
      <c r="F75" s="97"/>
      <c r="G75" s="97"/>
      <c r="H75" s="97"/>
      <c r="I75" s="97"/>
      <c r="J75" s="99"/>
      <c r="K75" s="97" t="s">
        <v>96</v>
      </c>
      <c r="L75" s="97"/>
      <c r="M75" s="97"/>
      <c r="N75" s="97"/>
      <c r="O75" s="97"/>
      <c r="P75" s="97"/>
      <c r="Q75" s="97"/>
      <c r="R75" s="97"/>
      <c r="S75" s="97"/>
      <c r="T75" s="97"/>
      <c r="U75" s="97"/>
      <c r="V75" s="97"/>
      <c r="W75" s="98"/>
      <c r="X75" s="97"/>
      <c r="Y75" s="97"/>
      <c r="Z75" s="97"/>
      <c r="AA75" s="97"/>
      <c r="AB75" s="97"/>
      <c r="AC75" s="97"/>
      <c r="AD75" s="99"/>
      <c r="AE75" s="96" t="s">
        <v>90</v>
      </c>
      <c r="AF75" s="97"/>
      <c r="AG75" s="97"/>
      <c r="AH75" s="97"/>
      <c r="AI75" s="97"/>
      <c r="AJ75" s="97"/>
      <c r="AK75" s="97"/>
      <c r="AL75" s="99"/>
      <c r="AM75" s="97" t="s">
        <v>380</v>
      </c>
      <c r="AN75" s="97"/>
      <c r="AO75" s="97"/>
      <c r="AP75" s="97"/>
      <c r="AQ75" s="97"/>
      <c r="AR75" s="97"/>
      <c r="AS75" s="97"/>
      <c r="AT75" s="97"/>
      <c r="AU75" s="97"/>
      <c r="AV75" s="97"/>
      <c r="AW75" s="97"/>
      <c r="AX75" s="97"/>
      <c r="AY75" s="97"/>
      <c r="AZ75" s="97"/>
      <c r="BA75" s="97"/>
      <c r="BB75" s="97"/>
      <c r="BC75" s="97"/>
      <c r="BD75" s="99"/>
      <c r="BE75" s="96" t="s">
        <v>91</v>
      </c>
      <c r="BF75" s="97"/>
      <c r="BG75" s="97"/>
      <c r="BH75" s="97"/>
      <c r="BI75" s="97"/>
      <c r="BJ75" s="97"/>
      <c r="BK75" s="99"/>
      <c r="BL75" s="97" t="s">
        <v>94</v>
      </c>
      <c r="BM75" s="97"/>
      <c r="BN75" s="97"/>
      <c r="BO75" s="97"/>
      <c r="BP75" s="97"/>
      <c r="BQ75" s="97"/>
      <c r="BR75" s="97"/>
      <c r="BS75" s="97"/>
      <c r="BT75" s="97"/>
      <c r="BU75" s="97"/>
      <c r="BV75" s="97"/>
      <c r="BW75" s="98"/>
      <c r="BX75" s="98"/>
      <c r="BY75" s="98"/>
      <c r="BZ75" s="97"/>
      <c r="CA75" s="97"/>
      <c r="CB75" s="97"/>
      <c r="CC75" s="99"/>
      <c r="CD75" s="93"/>
      <c r="CE75" s="93"/>
      <c r="CF75" s="74"/>
      <c r="CG75" s="29"/>
    </row>
    <row r="76" spans="1:115" s="3" customFormat="1" ht="19.5" customHeight="1">
      <c r="A76" s="28"/>
      <c r="B76" s="80"/>
      <c r="C76" s="92"/>
      <c r="D76" s="108" t="s">
        <v>93</v>
      </c>
      <c r="E76" s="98"/>
      <c r="F76" s="98"/>
      <c r="G76" s="98"/>
      <c r="H76" s="98"/>
      <c r="I76" s="98"/>
      <c r="J76" s="107"/>
      <c r="K76" s="98" t="s">
        <v>101</v>
      </c>
      <c r="L76" s="98"/>
      <c r="M76" s="98"/>
      <c r="N76" s="98"/>
      <c r="O76" s="98"/>
      <c r="P76" s="98"/>
      <c r="Q76" s="98"/>
      <c r="R76" s="98"/>
      <c r="S76" s="98"/>
      <c r="T76" s="98"/>
      <c r="U76" s="98"/>
      <c r="V76" s="98"/>
      <c r="W76" s="105"/>
      <c r="X76" s="105"/>
      <c r="Y76" s="105"/>
      <c r="Z76" s="105"/>
      <c r="AA76" s="105"/>
      <c r="AB76" s="105"/>
      <c r="AC76" s="105"/>
      <c r="AD76" s="111"/>
      <c r="AE76" s="119" t="s">
        <v>73</v>
      </c>
      <c r="AF76" s="98"/>
      <c r="AG76" s="98"/>
      <c r="AH76" s="98"/>
      <c r="AI76" s="98"/>
      <c r="AJ76" s="98"/>
      <c r="AK76" s="98"/>
      <c r="AL76" s="107"/>
      <c r="AM76" s="98"/>
      <c r="AN76" s="98" t="s">
        <v>71</v>
      </c>
      <c r="AO76" s="98"/>
      <c r="AP76" s="98"/>
      <c r="AQ76" s="98"/>
      <c r="AR76" s="98"/>
      <c r="AS76" s="98"/>
      <c r="AT76" s="98"/>
      <c r="AU76" s="98"/>
      <c r="AV76" s="98"/>
      <c r="AW76" s="98"/>
      <c r="AX76" s="98"/>
      <c r="AY76" s="98"/>
      <c r="AZ76" s="98"/>
      <c r="BA76" s="98"/>
      <c r="BB76" s="98"/>
      <c r="BC76" s="98"/>
      <c r="BD76" s="107"/>
      <c r="BE76" s="108" t="s">
        <v>74</v>
      </c>
      <c r="BF76" s="98"/>
      <c r="BG76" s="98"/>
      <c r="BH76" s="98"/>
      <c r="BI76" s="98"/>
      <c r="BJ76" s="98"/>
      <c r="BK76" s="107"/>
      <c r="BL76" s="109" t="s">
        <v>72</v>
      </c>
      <c r="BM76" s="98"/>
      <c r="BN76" s="98"/>
      <c r="BO76" s="98"/>
      <c r="BP76" s="98"/>
      <c r="BQ76" s="98"/>
      <c r="BR76" s="103"/>
      <c r="BS76" s="103"/>
      <c r="BT76" s="103"/>
      <c r="BU76" s="103"/>
      <c r="BV76" s="103"/>
      <c r="BW76" s="103"/>
      <c r="BX76" s="103"/>
      <c r="BY76" s="103"/>
      <c r="BZ76" s="103"/>
      <c r="CA76" s="103"/>
      <c r="CB76" s="103"/>
      <c r="CC76" s="104"/>
      <c r="CD76" s="92"/>
      <c r="CE76" s="93"/>
      <c r="CF76" s="74"/>
      <c r="CG76" s="29"/>
    </row>
    <row r="77" spans="1:115" s="3" customFormat="1" ht="19.5" customHeight="1">
      <c r="A77" s="28"/>
      <c r="B77" s="80"/>
      <c r="C77" s="92"/>
      <c r="D77" s="110" t="s">
        <v>92</v>
      </c>
      <c r="E77" s="106"/>
      <c r="F77" s="106"/>
      <c r="G77" s="106"/>
      <c r="H77" s="106"/>
      <c r="I77" s="98"/>
      <c r="J77" s="107"/>
      <c r="K77" s="109" t="s">
        <v>102</v>
      </c>
      <c r="L77" s="98"/>
      <c r="M77" s="98"/>
      <c r="N77" s="98"/>
      <c r="O77" s="98"/>
      <c r="P77" s="98"/>
      <c r="Q77" s="98"/>
      <c r="R77" s="98"/>
      <c r="S77" s="98"/>
      <c r="T77" s="98"/>
      <c r="U77" s="98"/>
      <c r="V77" s="98"/>
      <c r="W77" s="105"/>
      <c r="X77" s="105"/>
      <c r="Y77" s="105"/>
      <c r="Z77" s="105"/>
      <c r="AA77" s="105"/>
      <c r="AB77" s="105"/>
      <c r="AC77" s="105"/>
      <c r="AD77" s="111"/>
      <c r="AE77" s="119" t="s">
        <v>226</v>
      </c>
      <c r="AF77" s="98"/>
      <c r="AG77" s="98"/>
      <c r="AH77" s="98"/>
      <c r="AI77" s="98"/>
      <c r="AJ77" s="98"/>
      <c r="AK77" s="98"/>
      <c r="AL77" s="107"/>
      <c r="AM77" s="98"/>
      <c r="AN77" s="98" t="s">
        <v>227</v>
      </c>
      <c r="AO77" s="98"/>
      <c r="AP77" s="98"/>
      <c r="AQ77" s="98"/>
      <c r="AR77" s="98"/>
      <c r="AS77" s="98"/>
      <c r="AT77" s="98"/>
      <c r="AU77" s="98"/>
      <c r="AV77" s="98"/>
      <c r="AW77" s="98"/>
      <c r="AX77" s="98"/>
      <c r="AY77" s="98"/>
      <c r="AZ77" s="98"/>
      <c r="BA77" s="98"/>
      <c r="BB77" s="98"/>
      <c r="BC77" s="98"/>
      <c r="BD77" s="98"/>
      <c r="BE77" s="108" t="s">
        <v>231</v>
      </c>
      <c r="BF77" s="98"/>
      <c r="BG77" s="98"/>
      <c r="BH77" s="98"/>
      <c r="BI77" s="98"/>
      <c r="BJ77" s="98"/>
      <c r="BK77" s="107"/>
      <c r="BL77" s="109"/>
      <c r="BM77" s="98"/>
      <c r="BN77" s="98"/>
      <c r="BO77" s="98"/>
      <c r="BP77" s="98"/>
      <c r="BQ77" s="98"/>
      <c r="BR77" s="98"/>
      <c r="BS77" s="98"/>
      <c r="BT77" s="98"/>
      <c r="BU77" s="98"/>
      <c r="BV77" s="98"/>
      <c r="BW77" s="98"/>
      <c r="BX77" s="98"/>
      <c r="BY77" s="98"/>
      <c r="BZ77" s="98"/>
      <c r="CA77" s="98"/>
      <c r="CB77" s="98"/>
      <c r="CC77" s="107"/>
      <c r="CD77" s="92"/>
      <c r="CE77" s="93"/>
      <c r="CF77" s="74"/>
      <c r="CG77" s="29"/>
    </row>
    <row r="78" spans="1:115" s="3" customFormat="1" ht="19.5" customHeight="1">
      <c r="A78" s="28"/>
      <c r="B78" s="80"/>
      <c r="C78" s="93"/>
      <c r="D78" s="100"/>
      <c r="E78" s="100"/>
      <c r="F78" s="100"/>
      <c r="G78" s="100"/>
      <c r="H78" s="100"/>
      <c r="I78" s="101"/>
      <c r="J78" s="101"/>
      <c r="K78" s="101"/>
      <c r="L78" s="101"/>
      <c r="M78" s="101"/>
      <c r="N78" s="101"/>
      <c r="O78" s="101"/>
      <c r="P78" s="101"/>
      <c r="Q78" s="101"/>
      <c r="R78" s="101"/>
      <c r="S78" s="101"/>
      <c r="T78" s="101"/>
      <c r="U78" s="101"/>
      <c r="V78" s="101"/>
      <c r="W78" s="95"/>
      <c r="X78" s="95"/>
      <c r="Y78" s="95"/>
      <c r="Z78" s="95"/>
      <c r="AA78" s="95"/>
      <c r="AB78" s="95"/>
      <c r="AC78" s="95"/>
      <c r="AD78" s="95"/>
      <c r="AE78" s="95"/>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2"/>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92"/>
      <c r="CE78" s="93"/>
      <c r="CF78" s="74"/>
      <c r="CG78" s="29"/>
    </row>
    <row r="79" spans="1:115" s="3" customFormat="1" ht="19.5" customHeight="1">
      <c r="A79" s="28"/>
      <c r="B79" s="80"/>
      <c r="C79" s="92"/>
      <c r="D79" s="517" t="s">
        <v>103</v>
      </c>
      <c r="E79" s="518"/>
      <c r="F79" s="518"/>
      <c r="G79" s="519"/>
      <c r="H79" s="517" t="s">
        <v>122</v>
      </c>
      <c r="I79" s="518"/>
      <c r="J79" s="518"/>
      <c r="K79" s="518"/>
      <c r="L79" s="518"/>
      <c r="M79" s="518"/>
      <c r="N79" s="518"/>
      <c r="O79" s="518"/>
      <c r="P79" s="518"/>
      <c r="Q79" s="518"/>
      <c r="R79" s="518"/>
      <c r="S79" s="519"/>
      <c r="T79" s="517" t="s">
        <v>216</v>
      </c>
      <c r="U79" s="518"/>
      <c r="V79" s="518"/>
      <c r="W79" s="518"/>
      <c r="X79" s="518"/>
      <c r="Y79" s="518"/>
      <c r="Z79" s="518"/>
      <c r="AA79" s="518"/>
      <c r="AB79" s="518"/>
      <c r="AC79" s="518"/>
      <c r="AD79" s="518"/>
      <c r="AE79" s="519"/>
      <c r="AF79" s="517" t="s">
        <v>123</v>
      </c>
      <c r="AG79" s="518"/>
      <c r="AH79" s="518"/>
      <c r="AI79" s="518"/>
      <c r="AJ79" s="518"/>
      <c r="AK79" s="518"/>
      <c r="AL79" s="518"/>
      <c r="AM79" s="518"/>
      <c r="AN79" s="518"/>
      <c r="AO79" s="518"/>
      <c r="AP79" s="518"/>
      <c r="AQ79" s="519"/>
      <c r="AR79" s="517" t="s">
        <v>124</v>
      </c>
      <c r="AS79" s="518"/>
      <c r="AT79" s="518"/>
      <c r="AU79" s="518"/>
      <c r="AV79" s="518"/>
      <c r="AW79" s="518"/>
      <c r="AX79" s="518"/>
      <c r="AY79" s="518"/>
      <c r="AZ79" s="518"/>
      <c r="BA79" s="518"/>
      <c r="BB79" s="518"/>
      <c r="BC79" s="519"/>
      <c r="BD79" s="517" t="s">
        <v>217</v>
      </c>
      <c r="BE79" s="518"/>
      <c r="BF79" s="518"/>
      <c r="BG79" s="518"/>
      <c r="BH79" s="518"/>
      <c r="BI79" s="518"/>
      <c r="BJ79" s="518"/>
      <c r="BK79" s="518"/>
      <c r="BL79" s="518"/>
      <c r="BM79" s="518"/>
      <c r="BN79" s="518"/>
      <c r="BO79" s="518"/>
      <c r="BP79" s="519"/>
      <c r="BQ79" s="517" t="s">
        <v>218</v>
      </c>
      <c r="BR79" s="518"/>
      <c r="BS79" s="518"/>
      <c r="BT79" s="518"/>
      <c r="BU79" s="518"/>
      <c r="BV79" s="518"/>
      <c r="BW79" s="518"/>
      <c r="BX79" s="518"/>
      <c r="BY79" s="518"/>
      <c r="BZ79" s="518"/>
      <c r="CA79" s="518"/>
      <c r="CB79" s="518"/>
      <c r="CC79" s="519"/>
      <c r="CD79" s="92"/>
      <c r="CE79" s="93"/>
      <c r="CF79" s="74"/>
      <c r="CG79" s="167"/>
      <c r="CH79" s="165"/>
      <c r="CI79" s="165"/>
      <c r="CJ79" s="165"/>
      <c r="CK79" s="165"/>
      <c r="CL79" s="165"/>
      <c r="CM79" s="165"/>
      <c r="CN79" s="165"/>
      <c r="CO79" s="165"/>
      <c r="CP79" s="165"/>
      <c r="CQ79" s="165"/>
      <c r="CR79" s="165"/>
      <c r="CS79" s="165"/>
      <c r="CT79" s="165"/>
      <c r="CU79" s="166"/>
      <c r="CV79" s="165"/>
      <c r="CW79" s="165"/>
      <c r="CX79" s="165"/>
      <c r="CY79" s="165"/>
      <c r="CZ79" s="165"/>
      <c r="DA79" s="165"/>
      <c r="DB79" s="165"/>
      <c r="DC79" s="165"/>
      <c r="DD79" s="165"/>
      <c r="DE79" s="165"/>
      <c r="DF79" s="165"/>
      <c r="DG79" s="165"/>
      <c r="DH79" s="165"/>
      <c r="DI79" s="165"/>
      <c r="DJ79" s="165"/>
      <c r="DK79" s="165"/>
    </row>
    <row r="80" spans="1:115" s="3" customFormat="1" ht="19.5" customHeight="1">
      <c r="A80" s="28"/>
      <c r="B80" s="80"/>
      <c r="C80" s="92"/>
      <c r="D80" s="507" t="s">
        <v>95</v>
      </c>
      <c r="E80" s="508"/>
      <c r="F80" s="508"/>
      <c r="G80" s="509"/>
      <c r="H80" s="225"/>
      <c r="I80" s="510">
        <v>100</v>
      </c>
      <c r="J80" s="510"/>
      <c r="K80" s="510"/>
      <c r="L80" s="510"/>
      <c r="M80" s="510"/>
      <c r="N80" s="510"/>
      <c r="O80" s="510"/>
      <c r="P80" s="510"/>
      <c r="Q80" s="510"/>
      <c r="R80" s="510"/>
      <c r="S80" s="224"/>
      <c r="T80" s="225"/>
      <c r="U80" s="510">
        <v>300</v>
      </c>
      <c r="V80" s="510"/>
      <c r="W80" s="510"/>
      <c r="X80" s="510"/>
      <c r="Y80" s="510"/>
      <c r="Z80" s="510"/>
      <c r="AA80" s="510"/>
      <c r="AB80" s="510"/>
      <c r="AC80" s="510"/>
      <c r="AD80" s="510"/>
      <c r="AE80" s="226"/>
      <c r="AF80" s="224"/>
      <c r="AG80" s="510">
        <v>180000000</v>
      </c>
      <c r="AH80" s="510"/>
      <c r="AI80" s="510"/>
      <c r="AJ80" s="510"/>
      <c r="AK80" s="510"/>
      <c r="AL80" s="510"/>
      <c r="AM80" s="510"/>
      <c r="AN80" s="510"/>
      <c r="AO80" s="510"/>
      <c r="AP80" s="510"/>
      <c r="AQ80" s="224"/>
      <c r="AR80" s="225"/>
      <c r="AS80" s="510">
        <v>300000</v>
      </c>
      <c r="AT80" s="510"/>
      <c r="AU80" s="510"/>
      <c r="AV80" s="510"/>
      <c r="AW80" s="510"/>
      <c r="AX80" s="510"/>
      <c r="AY80" s="510"/>
      <c r="AZ80" s="510"/>
      <c r="BA80" s="510"/>
      <c r="BB80" s="510"/>
      <c r="BC80" s="226"/>
      <c r="BD80" s="224"/>
      <c r="BE80" s="510">
        <f>I80+AG80</f>
        <v>180000100</v>
      </c>
      <c r="BF80" s="510"/>
      <c r="BG80" s="510"/>
      <c r="BH80" s="510"/>
      <c r="BI80" s="510"/>
      <c r="BJ80" s="510"/>
      <c r="BK80" s="510"/>
      <c r="BL80" s="510"/>
      <c r="BM80" s="510"/>
      <c r="BN80" s="510"/>
      <c r="BO80" s="510"/>
      <c r="BP80" s="224"/>
      <c r="BQ80" s="225"/>
      <c r="BR80" s="510">
        <f>U80+AS80</f>
        <v>300300</v>
      </c>
      <c r="BS80" s="510"/>
      <c r="BT80" s="510"/>
      <c r="BU80" s="510"/>
      <c r="BV80" s="510"/>
      <c r="BW80" s="510"/>
      <c r="BX80" s="510"/>
      <c r="BY80" s="510"/>
      <c r="BZ80" s="510"/>
      <c r="CA80" s="510"/>
      <c r="CB80" s="510"/>
      <c r="CC80" s="171"/>
      <c r="CD80" s="93"/>
      <c r="CE80" s="93"/>
      <c r="CF80" s="74"/>
      <c r="CG80" s="29"/>
    </row>
    <row r="81" spans="1:85" s="3" customFormat="1" ht="19.5" customHeight="1">
      <c r="A81" s="28"/>
      <c r="B81" s="80"/>
      <c r="C81" s="93"/>
      <c r="D81" s="507" t="s">
        <v>64</v>
      </c>
      <c r="E81" s="508"/>
      <c r="F81" s="508"/>
      <c r="G81" s="509"/>
      <c r="H81" s="225"/>
      <c r="I81" s="510"/>
      <c r="J81" s="510"/>
      <c r="K81" s="510"/>
      <c r="L81" s="510"/>
      <c r="M81" s="510"/>
      <c r="N81" s="510"/>
      <c r="O81" s="510"/>
      <c r="P81" s="510"/>
      <c r="Q81" s="510"/>
      <c r="R81" s="510"/>
      <c r="S81" s="224"/>
      <c r="T81" s="225"/>
      <c r="U81" s="510"/>
      <c r="V81" s="510"/>
      <c r="W81" s="510"/>
      <c r="X81" s="510"/>
      <c r="Y81" s="510"/>
      <c r="Z81" s="510"/>
      <c r="AA81" s="510"/>
      <c r="AB81" s="510"/>
      <c r="AC81" s="510"/>
      <c r="AD81" s="510"/>
      <c r="AE81" s="226"/>
      <c r="AF81" s="224"/>
      <c r="AG81" s="510">
        <v>60000000</v>
      </c>
      <c r="AH81" s="510"/>
      <c r="AI81" s="510"/>
      <c r="AJ81" s="510"/>
      <c r="AK81" s="510"/>
      <c r="AL81" s="510"/>
      <c r="AM81" s="510"/>
      <c r="AN81" s="510"/>
      <c r="AO81" s="510"/>
      <c r="AP81" s="510"/>
      <c r="AQ81" s="224"/>
      <c r="AR81" s="225"/>
      <c r="AS81" s="510">
        <v>160000</v>
      </c>
      <c r="AT81" s="510"/>
      <c r="AU81" s="510"/>
      <c r="AV81" s="510"/>
      <c r="AW81" s="510"/>
      <c r="AX81" s="510"/>
      <c r="AY81" s="510"/>
      <c r="AZ81" s="510"/>
      <c r="BA81" s="510"/>
      <c r="BB81" s="510"/>
      <c r="BC81" s="226"/>
      <c r="BD81" s="224"/>
      <c r="BE81" s="510"/>
      <c r="BF81" s="510"/>
      <c r="BG81" s="510"/>
      <c r="BH81" s="510"/>
      <c r="BI81" s="510"/>
      <c r="BJ81" s="510"/>
      <c r="BK81" s="510"/>
      <c r="BL81" s="510"/>
      <c r="BM81" s="510"/>
      <c r="BN81" s="510"/>
      <c r="BO81" s="510"/>
      <c r="BP81" s="224"/>
      <c r="BQ81" s="225"/>
      <c r="BR81" s="510"/>
      <c r="BS81" s="510"/>
      <c r="BT81" s="510"/>
      <c r="BU81" s="510"/>
      <c r="BV81" s="510"/>
      <c r="BW81" s="510"/>
      <c r="BX81" s="510"/>
      <c r="BY81" s="510"/>
      <c r="BZ81" s="510"/>
      <c r="CA81" s="510"/>
      <c r="CB81" s="510"/>
      <c r="CC81" s="171"/>
      <c r="CD81" s="92"/>
      <c r="CE81" s="93"/>
      <c r="CF81" s="74"/>
      <c r="CG81" s="29"/>
    </row>
    <row r="82" spans="1:85" s="3" customFormat="1" ht="19.5" customHeight="1">
      <c r="A82" s="28"/>
      <c r="B82" s="80"/>
      <c r="C82" s="93"/>
      <c r="D82" s="507" t="s">
        <v>104</v>
      </c>
      <c r="E82" s="508"/>
      <c r="F82" s="508"/>
      <c r="G82" s="509"/>
      <c r="H82" s="225"/>
      <c r="I82" s="510">
        <v>300</v>
      </c>
      <c r="J82" s="510"/>
      <c r="K82" s="510"/>
      <c r="L82" s="510"/>
      <c r="M82" s="510"/>
      <c r="N82" s="510"/>
      <c r="O82" s="510"/>
      <c r="P82" s="510"/>
      <c r="Q82" s="510"/>
      <c r="R82" s="510"/>
      <c r="S82" s="224"/>
      <c r="T82" s="225"/>
      <c r="U82" s="510"/>
      <c r="V82" s="510"/>
      <c r="W82" s="510"/>
      <c r="X82" s="510"/>
      <c r="Y82" s="510"/>
      <c r="Z82" s="510"/>
      <c r="AA82" s="510"/>
      <c r="AB82" s="510"/>
      <c r="AC82" s="510"/>
      <c r="AD82" s="510"/>
      <c r="AE82" s="226"/>
      <c r="AF82" s="224"/>
      <c r="AG82" s="510">
        <v>60000000</v>
      </c>
      <c r="AH82" s="510"/>
      <c r="AI82" s="510"/>
      <c r="AJ82" s="510"/>
      <c r="AK82" s="510"/>
      <c r="AL82" s="510"/>
      <c r="AM82" s="510"/>
      <c r="AN82" s="510"/>
      <c r="AO82" s="510"/>
      <c r="AP82" s="510"/>
      <c r="AQ82" s="224"/>
      <c r="AR82" s="225"/>
      <c r="AS82" s="510">
        <v>70000</v>
      </c>
      <c r="AT82" s="510"/>
      <c r="AU82" s="510"/>
      <c r="AV82" s="510"/>
      <c r="AW82" s="510"/>
      <c r="AX82" s="510"/>
      <c r="AY82" s="510"/>
      <c r="AZ82" s="510"/>
      <c r="BA82" s="510"/>
      <c r="BB82" s="510"/>
      <c r="BC82" s="226"/>
      <c r="BD82" s="224"/>
      <c r="BE82" s="510">
        <f t="shared" ref="BE82" si="3">I82+AG82</f>
        <v>60000300</v>
      </c>
      <c r="BF82" s="510"/>
      <c r="BG82" s="510"/>
      <c r="BH82" s="510"/>
      <c r="BI82" s="510"/>
      <c r="BJ82" s="510"/>
      <c r="BK82" s="510"/>
      <c r="BL82" s="510"/>
      <c r="BM82" s="510"/>
      <c r="BN82" s="510"/>
      <c r="BO82" s="510"/>
      <c r="BP82" s="224"/>
      <c r="BQ82" s="225"/>
      <c r="BR82" s="510"/>
      <c r="BS82" s="510"/>
      <c r="BT82" s="510"/>
      <c r="BU82" s="510"/>
      <c r="BV82" s="510"/>
      <c r="BW82" s="510"/>
      <c r="BX82" s="510"/>
      <c r="BY82" s="510"/>
      <c r="BZ82" s="510"/>
      <c r="CA82" s="510"/>
      <c r="CB82" s="510"/>
      <c r="CC82" s="171"/>
      <c r="CD82" s="92"/>
      <c r="CE82" s="93"/>
      <c r="CF82" s="74"/>
      <c r="CG82" s="29"/>
    </row>
    <row r="83" spans="1:85" s="3" customFormat="1" ht="19.5" customHeight="1">
      <c r="A83" s="28"/>
      <c r="B83" s="80"/>
      <c r="C83" s="92"/>
      <c r="D83" s="507" t="s">
        <v>76</v>
      </c>
      <c r="E83" s="508"/>
      <c r="F83" s="508"/>
      <c r="G83" s="509"/>
      <c r="H83" s="225"/>
      <c r="I83" s="510"/>
      <c r="J83" s="510"/>
      <c r="K83" s="510"/>
      <c r="L83" s="510"/>
      <c r="M83" s="510"/>
      <c r="N83" s="510"/>
      <c r="O83" s="510"/>
      <c r="P83" s="510"/>
      <c r="Q83" s="510"/>
      <c r="R83" s="510"/>
      <c r="S83" s="224"/>
      <c r="T83" s="225"/>
      <c r="U83" s="510">
        <v>400</v>
      </c>
      <c r="V83" s="510"/>
      <c r="W83" s="510"/>
      <c r="X83" s="510"/>
      <c r="Y83" s="510"/>
      <c r="Z83" s="510"/>
      <c r="AA83" s="510"/>
      <c r="AB83" s="510"/>
      <c r="AC83" s="510"/>
      <c r="AD83" s="510"/>
      <c r="AE83" s="226"/>
      <c r="AF83" s="224"/>
      <c r="AG83" s="510">
        <v>60000000</v>
      </c>
      <c r="AH83" s="510"/>
      <c r="AI83" s="510"/>
      <c r="AJ83" s="510"/>
      <c r="AK83" s="510"/>
      <c r="AL83" s="510"/>
      <c r="AM83" s="510"/>
      <c r="AN83" s="510"/>
      <c r="AO83" s="510"/>
      <c r="AP83" s="510"/>
      <c r="AQ83" s="224"/>
      <c r="AR83" s="225"/>
      <c r="AS83" s="510">
        <v>170000</v>
      </c>
      <c r="AT83" s="510"/>
      <c r="AU83" s="510"/>
      <c r="AV83" s="510"/>
      <c r="AW83" s="510"/>
      <c r="AX83" s="510"/>
      <c r="AY83" s="510"/>
      <c r="AZ83" s="510"/>
      <c r="BA83" s="510"/>
      <c r="BB83" s="510"/>
      <c r="BC83" s="226"/>
      <c r="BD83" s="224"/>
      <c r="BE83" s="510"/>
      <c r="BF83" s="510"/>
      <c r="BG83" s="510"/>
      <c r="BH83" s="510"/>
      <c r="BI83" s="510"/>
      <c r="BJ83" s="510"/>
      <c r="BK83" s="510"/>
      <c r="BL83" s="510"/>
      <c r="BM83" s="510"/>
      <c r="BN83" s="510"/>
      <c r="BO83" s="510"/>
      <c r="BP83" s="224"/>
      <c r="BQ83" s="225"/>
      <c r="BR83" s="510">
        <f t="shared" ref="BR83:BR84" si="4">U83+AS83</f>
        <v>170400</v>
      </c>
      <c r="BS83" s="510"/>
      <c r="BT83" s="510"/>
      <c r="BU83" s="510"/>
      <c r="BV83" s="510"/>
      <c r="BW83" s="510"/>
      <c r="BX83" s="510"/>
      <c r="BY83" s="510"/>
      <c r="BZ83" s="510"/>
      <c r="CA83" s="510"/>
      <c r="CB83" s="510"/>
      <c r="CC83" s="171"/>
      <c r="CD83" s="92"/>
      <c r="CE83" s="93"/>
      <c r="CF83" s="74"/>
      <c r="CG83" s="29"/>
    </row>
    <row r="84" spans="1:85" s="3" customFormat="1" ht="19.5" customHeight="1">
      <c r="A84" s="28"/>
      <c r="B84" s="80"/>
      <c r="C84" s="92"/>
      <c r="D84" s="507" t="s">
        <v>105</v>
      </c>
      <c r="E84" s="508"/>
      <c r="F84" s="508"/>
      <c r="G84" s="509"/>
      <c r="H84" s="225"/>
      <c r="I84" s="511" t="s">
        <v>224</v>
      </c>
      <c r="J84" s="510"/>
      <c r="K84" s="510"/>
      <c r="L84" s="510"/>
      <c r="M84" s="510"/>
      <c r="N84" s="510"/>
      <c r="O84" s="510"/>
      <c r="P84" s="510"/>
      <c r="Q84" s="510"/>
      <c r="R84" s="510"/>
      <c r="S84" s="224"/>
      <c r="T84" s="225"/>
      <c r="U84" s="511" t="s">
        <v>225</v>
      </c>
      <c r="V84" s="510"/>
      <c r="W84" s="510"/>
      <c r="X84" s="510"/>
      <c r="Y84" s="510"/>
      <c r="Z84" s="510"/>
      <c r="AA84" s="510"/>
      <c r="AB84" s="510"/>
      <c r="AC84" s="510"/>
      <c r="AD84" s="510"/>
      <c r="AE84" s="226"/>
      <c r="AF84" s="224"/>
      <c r="AG84" s="510">
        <v>40000000</v>
      </c>
      <c r="AH84" s="510"/>
      <c r="AI84" s="510"/>
      <c r="AJ84" s="510"/>
      <c r="AK84" s="510"/>
      <c r="AL84" s="510"/>
      <c r="AM84" s="510"/>
      <c r="AN84" s="510"/>
      <c r="AO84" s="510"/>
      <c r="AP84" s="510"/>
      <c r="AQ84" s="224"/>
      <c r="AR84" s="225"/>
      <c r="AS84" s="510">
        <v>20000</v>
      </c>
      <c r="AT84" s="510"/>
      <c r="AU84" s="510"/>
      <c r="AV84" s="510"/>
      <c r="AW84" s="510"/>
      <c r="AX84" s="510"/>
      <c r="AY84" s="510"/>
      <c r="AZ84" s="510"/>
      <c r="BA84" s="510"/>
      <c r="BB84" s="510"/>
      <c r="BC84" s="226"/>
      <c r="BD84" s="224"/>
      <c r="BE84" s="510">
        <f t="shared" ref="BE84" si="5">I84+AG84</f>
        <v>39999000</v>
      </c>
      <c r="BF84" s="510"/>
      <c r="BG84" s="510"/>
      <c r="BH84" s="510"/>
      <c r="BI84" s="510"/>
      <c r="BJ84" s="510"/>
      <c r="BK84" s="510"/>
      <c r="BL84" s="510"/>
      <c r="BM84" s="510"/>
      <c r="BN84" s="510"/>
      <c r="BO84" s="510"/>
      <c r="BP84" s="224"/>
      <c r="BQ84" s="225"/>
      <c r="BR84" s="510">
        <f t="shared" si="4"/>
        <v>18000</v>
      </c>
      <c r="BS84" s="510"/>
      <c r="BT84" s="510"/>
      <c r="BU84" s="510"/>
      <c r="BV84" s="510"/>
      <c r="BW84" s="510"/>
      <c r="BX84" s="510"/>
      <c r="BY84" s="510"/>
      <c r="BZ84" s="510"/>
      <c r="CA84" s="510"/>
      <c r="CB84" s="510"/>
      <c r="CC84" s="171"/>
      <c r="CD84" s="92"/>
      <c r="CE84" s="93"/>
      <c r="CF84" s="74"/>
      <c r="CG84" s="29"/>
    </row>
    <row r="85" spans="1:85" s="3" customFormat="1" ht="19.5" customHeight="1">
      <c r="A85" s="28"/>
      <c r="B85" s="80"/>
      <c r="C85" s="93"/>
      <c r="D85" s="507" t="s">
        <v>75</v>
      </c>
      <c r="E85" s="508"/>
      <c r="F85" s="508"/>
      <c r="G85" s="509"/>
      <c r="H85" s="225"/>
      <c r="I85" s="510"/>
      <c r="J85" s="510"/>
      <c r="K85" s="510"/>
      <c r="L85" s="510"/>
      <c r="M85" s="510"/>
      <c r="N85" s="510"/>
      <c r="O85" s="510"/>
      <c r="P85" s="510"/>
      <c r="Q85" s="510"/>
      <c r="R85" s="510"/>
      <c r="S85" s="224"/>
      <c r="T85" s="225"/>
      <c r="U85" s="510"/>
      <c r="V85" s="510"/>
      <c r="W85" s="510"/>
      <c r="X85" s="510"/>
      <c r="Y85" s="510"/>
      <c r="Z85" s="510"/>
      <c r="AA85" s="510"/>
      <c r="AB85" s="510"/>
      <c r="AC85" s="510"/>
      <c r="AD85" s="510"/>
      <c r="AE85" s="226"/>
      <c r="AF85" s="224"/>
      <c r="AG85" s="510">
        <v>40000000</v>
      </c>
      <c r="AH85" s="510"/>
      <c r="AI85" s="510"/>
      <c r="AJ85" s="510"/>
      <c r="AK85" s="510"/>
      <c r="AL85" s="510"/>
      <c r="AM85" s="510"/>
      <c r="AN85" s="510"/>
      <c r="AO85" s="510"/>
      <c r="AP85" s="510"/>
      <c r="AQ85" s="224"/>
      <c r="AR85" s="225"/>
      <c r="AS85" s="510">
        <v>110000</v>
      </c>
      <c r="AT85" s="510"/>
      <c r="AU85" s="510"/>
      <c r="AV85" s="510"/>
      <c r="AW85" s="510"/>
      <c r="AX85" s="510"/>
      <c r="AY85" s="510"/>
      <c r="AZ85" s="510"/>
      <c r="BA85" s="510"/>
      <c r="BB85" s="510"/>
      <c r="BC85" s="226"/>
      <c r="BD85" s="224"/>
      <c r="BE85" s="510"/>
      <c r="BF85" s="510"/>
      <c r="BG85" s="510"/>
      <c r="BH85" s="510"/>
      <c r="BI85" s="510"/>
      <c r="BJ85" s="510"/>
      <c r="BK85" s="510"/>
      <c r="BL85" s="510"/>
      <c r="BM85" s="510"/>
      <c r="BN85" s="510"/>
      <c r="BO85" s="510"/>
      <c r="BP85" s="224"/>
      <c r="BQ85" s="225"/>
      <c r="BR85" s="510"/>
      <c r="BS85" s="510"/>
      <c r="BT85" s="510"/>
      <c r="BU85" s="510"/>
      <c r="BV85" s="510"/>
      <c r="BW85" s="510"/>
      <c r="BX85" s="510"/>
      <c r="BY85" s="510"/>
      <c r="BZ85" s="510"/>
      <c r="CA85" s="510"/>
      <c r="CB85" s="510"/>
      <c r="CC85" s="171"/>
      <c r="CD85" s="93"/>
      <c r="CE85" s="93"/>
      <c r="CF85" s="74"/>
      <c r="CG85" s="29"/>
    </row>
    <row r="86" spans="1:85" s="3" customFormat="1" ht="19.5" customHeight="1">
      <c r="A86" s="28"/>
      <c r="B86" s="80"/>
      <c r="C86" s="93"/>
      <c r="D86" s="507" t="s">
        <v>106</v>
      </c>
      <c r="E86" s="508"/>
      <c r="F86" s="508"/>
      <c r="G86" s="509"/>
      <c r="H86" s="225"/>
      <c r="I86" s="510"/>
      <c r="J86" s="510"/>
      <c r="K86" s="510"/>
      <c r="L86" s="510"/>
      <c r="M86" s="510"/>
      <c r="N86" s="510"/>
      <c r="O86" s="510"/>
      <c r="P86" s="510"/>
      <c r="Q86" s="510"/>
      <c r="R86" s="510"/>
      <c r="S86" s="224"/>
      <c r="T86" s="225"/>
      <c r="U86" s="510"/>
      <c r="V86" s="510"/>
      <c r="W86" s="510"/>
      <c r="X86" s="510"/>
      <c r="Y86" s="510"/>
      <c r="Z86" s="510"/>
      <c r="AA86" s="510"/>
      <c r="AB86" s="510"/>
      <c r="AC86" s="510"/>
      <c r="AD86" s="510"/>
      <c r="AE86" s="226"/>
      <c r="AF86" s="224"/>
      <c r="AG86" s="510">
        <v>50000000</v>
      </c>
      <c r="AH86" s="510"/>
      <c r="AI86" s="510"/>
      <c r="AJ86" s="510"/>
      <c r="AK86" s="510"/>
      <c r="AL86" s="510"/>
      <c r="AM86" s="510"/>
      <c r="AN86" s="510"/>
      <c r="AO86" s="510"/>
      <c r="AP86" s="510"/>
      <c r="AQ86" s="224"/>
      <c r="AR86" s="225"/>
      <c r="AS86" s="510">
        <v>170000</v>
      </c>
      <c r="AT86" s="510"/>
      <c r="AU86" s="510"/>
      <c r="AV86" s="510"/>
      <c r="AW86" s="510"/>
      <c r="AX86" s="510"/>
      <c r="AY86" s="510"/>
      <c r="AZ86" s="510"/>
      <c r="BA86" s="510"/>
      <c r="BB86" s="510"/>
      <c r="BC86" s="226"/>
      <c r="BD86" s="224"/>
      <c r="BE86" s="510"/>
      <c r="BF86" s="510"/>
      <c r="BG86" s="510"/>
      <c r="BH86" s="510"/>
      <c r="BI86" s="510"/>
      <c r="BJ86" s="510"/>
      <c r="BK86" s="510"/>
      <c r="BL86" s="510"/>
      <c r="BM86" s="510"/>
      <c r="BN86" s="510"/>
      <c r="BO86" s="510"/>
      <c r="BP86" s="224"/>
      <c r="BQ86" s="225"/>
      <c r="BR86" s="510"/>
      <c r="BS86" s="510"/>
      <c r="BT86" s="510"/>
      <c r="BU86" s="510"/>
      <c r="BV86" s="510"/>
      <c r="BW86" s="510"/>
      <c r="BX86" s="510"/>
      <c r="BY86" s="510"/>
      <c r="BZ86" s="510"/>
      <c r="CA86" s="510"/>
      <c r="CB86" s="510"/>
      <c r="CC86" s="171"/>
      <c r="CD86" s="92"/>
      <c r="CE86" s="93"/>
      <c r="CF86" s="74"/>
      <c r="CG86" s="29"/>
    </row>
    <row r="87" spans="1:85" s="3" customFormat="1" ht="19.5" customHeight="1">
      <c r="A87" s="28"/>
      <c r="B87" s="80"/>
      <c r="C87" s="93"/>
      <c r="D87" s="507" t="s">
        <v>80</v>
      </c>
      <c r="E87" s="508"/>
      <c r="F87" s="508"/>
      <c r="G87" s="509"/>
      <c r="H87" s="225"/>
      <c r="I87" s="510"/>
      <c r="J87" s="510"/>
      <c r="K87" s="510"/>
      <c r="L87" s="510"/>
      <c r="M87" s="510"/>
      <c r="N87" s="510"/>
      <c r="O87" s="510"/>
      <c r="P87" s="510"/>
      <c r="Q87" s="510"/>
      <c r="R87" s="510"/>
      <c r="S87" s="224"/>
      <c r="T87" s="225"/>
      <c r="U87" s="510"/>
      <c r="V87" s="510"/>
      <c r="W87" s="510"/>
      <c r="X87" s="510"/>
      <c r="Y87" s="510"/>
      <c r="Z87" s="510"/>
      <c r="AA87" s="510"/>
      <c r="AB87" s="510"/>
      <c r="AC87" s="510"/>
      <c r="AD87" s="510"/>
      <c r="AE87" s="226"/>
      <c r="AF87" s="224"/>
      <c r="AG87" s="510"/>
      <c r="AH87" s="510"/>
      <c r="AI87" s="510"/>
      <c r="AJ87" s="510"/>
      <c r="AK87" s="510"/>
      <c r="AL87" s="510"/>
      <c r="AM87" s="510"/>
      <c r="AN87" s="510"/>
      <c r="AO87" s="510"/>
      <c r="AP87" s="510"/>
      <c r="AQ87" s="224"/>
      <c r="AR87" s="225"/>
      <c r="AS87" s="510"/>
      <c r="AT87" s="510"/>
      <c r="AU87" s="510"/>
      <c r="AV87" s="510"/>
      <c r="AW87" s="510"/>
      <c r="AX87" s="510"/>
      <c r="AY87" s="510"/>
      <c r="AZ87" s="510"/>
      <c r="BA87" s="510"/>
      <c r="BB87" s="510"/>
      <c r="BC87" s="226"/>
      <c r="BD87" s="224"/>
      <c r="BE87" s="510"/>
      <c r="BF87" s="510"/>
      <c r="BG87" s="510"/>
      <c r="BH87" s="510"/>
      <c r="BI87" s="510"/>
      <c r="BJ87" s="510"/>
      <c r="BK87" s="510"/>
      <c r="BL87" s="510"/>
      <c r="BM87" s="510"/>
      <c r="BN87" s="510"/>
      <c r="BO87" s="510"/>
      <c r="BP87" s="224"/>
      <c r="BQ87" s="225"/>
      <c r="BR87" s="510"/>
      <c r="BS87" s="510"/>
      <c r="BT87" s="510"/>
      <c r="BU87" s="510"/>
      <c r="BV87" s="510"/>
      <c r="BW87" s="510"/>
      <c r="BX87" s="510"/>
      <c r="BY87" s="510"/>
      <c r="BZ87" s="510"/>
      <c r="CA87" s="510"/>
      <c r="CB87" s="510"/>
      <c r="CC87" s="171"/>
      <c r="CD87" s="93"/>
      <c r="CE87" s="93"/>
      <c r="CF87" s="74"/>
      <c r="CG87" s="29"/>
    </row>
    <row r="88" spans="1:85" s="3" customFormat="1" ht="19.5" customHeight="1">
      <c r="A88" s="28"/>
      <c r="B88" s="80"/>
      <c r="C88" s="93"/>
      <c r="D88" s="507" t="s">
        <v>107</v>
      </c>
      <c r="E88" s="508"/>
      <c r="F88" s="508"/>
      <c r="G88" s="509"/>
      <c r="H88" s="225"/>
      <c r="I88" s="510"/>
      <c r="J88" s="510"/>
      <c r="K88" s="510"/>
      <c r="L88" s="510"/>
      <c r="M88" s="510"/>
      <c r="N88" s="510"/>
      <c r="O88" s="510"/>
      <c r="P88" s="510"/>
      <c r="Q88" s="510"/>
      <c r="R88" s="510"/>
      <c r="S88" s="224"/>
      <c r="T88" s="225"/>
      <c r="U88" s="510"/>
      <c r="V88" s="510"/>
      <c r="W88" s="510"/>
      <c r="X88" s="510"/>
      <c r="Y88" s="510"/>
      <c r="Z88" s="510"/>
      <c r="AA88" s="510"/>
      <c r="AB88" s="510"/>
      <c r="AC88" s="510"/>
      <c r="AD88" s="510"/>
      <c r="AE88" s="226"/>
      <c r="AF88" s="224"/>
      <c r="AG88" s="510"/>
      <c r="AH88" s="510"/>
      <c r="AI88" s="510"/>
      <c r="AJ88" s="510"/>
      <c r="AK88" s="510"/>
      <c r="AL88" s="510"/>
      <c r="AM88" s="510"/>
      <c r="AN88" s="510"/>
      <c r="AO88" s="510"/>
      <c r="AP88" s="510"/>
      <c r="AQ88" s="224"/>
      <c r="AR88" s="225"/>
      <c r="AS88" s="510"/>
      <c r="AT88" s="510"/>
      <c r="AU88" s="510"/>
      <c r="AV88" s="510"/>
      <c r="AW88" s="510"/>
      <c r="AX88" s="510"/>
      <c r="AY88" s="510"/>
      <c r="AZ88" s="510"/>
      <c r="BA88" s="510"/>
      <c r="BB88" s="510"/>
      <c r="BC88" s="226"/>
      <c r="BD88" s="224"/>
      <c r="BE88" s="510"/>
      <c r="BF88" s="510"/>
      <c r="BG88" s="510"/>
      <c r="BH88" s="510"/>
      <c r="BI88" s="510"/>
      <c r="BJ88" s="510"/>
      <c r="BK88" s="510"/>
      <c r="BL88" s="510"/>
      <c r="BM88" s="510"/>
      <c r="BN88" s="510"/>
      <c r="BO88" s="510"/>
      <c r="BP88" s="224"/>
      <c r="BQ88" s="225"/>
      <c r="BR88" s="510"/>
      <c r="BS88" s="510"/>
      <c r="BT88" s="510"/>
      <c r="BU88" s="510"/>
      <c r="BV88" s="510"/>
      <c r="BW88" s="510"/>
      <c r="BX88" s="510"/>
      <c r="BY88" s="510"/>
      <c r="BZ88" s="510"/>
      <c r="CA88" s="510"/>
      <c r="CB88" s="510"/>
      <c r="CC88" s="171"/>
      <c r="CD88" s="93"/>
      <c r="CE88" s="93"/>
      <c r="CF88" s="74"/>
      <c r="CG88" s="29"/>
    </row>
    <row r="89" spans="1:85" s="3" customFormat="1" ht="19.5" customHeight="1">
      <c r="A89" s="28"/>
      <c r="B89" s="80"/>
      <c r="C89" s="92"/>
      <c r="D89" s="507" t="s">
        <v>108</v>
      </c>
      <c r="E89" s="508"/>
      <c r="F89" s="508"/>
      <c r="G89" s="509"/>
      <c r="H89" s="225"/>
      <c r="I89" s="510"/>
      <c r="J89" s="510"/>
      <c r="K89" s="510"/>
      <c r="L89" s="510"/>
      <c r="M89" s="510"/>
      <c r="N89" s="510"/>
      <c r="O89" s="510"/>
      <c r="P89" s="510"/>
      <c r="Q89" s="510"/>
      <c r="R89" s="510"/>
      <c r="S89" s="224"/>
      <c r="T89" s="225"/>
      <c r="U89" s="510"/>
      <c r="V89" s="510"/>
      <c r="W89" s="510"/>
      <c r="X89" s="510"/>
      <c r="Y89" s="510"/>
      <c r="Z89" s="510"/>
      <c r="AA89" s="510"/>
      <c r="AB89" s="510"/>
      <c r="AC89" s="510"/>
      <c r="AD89" s="510"/>
      <c r="AE89" s="226"/>
      <c r="AF89" s="224"/>
      <c r="AG89" s="510"/>
      <c r="AH89" s="510"/>
      <c r="AI89" s="510"/>
      <c r="AJ89" s="510"/>
      <c r="AK89" s="510"/>
      <c r="AL89" s="510"/>
      <c r="AM89" s="510"/>
      <c r="AN89" s="510"/>
      <c r="AO89" s="510"/>
      <c r="AP89" s="510"/>
      <c r="AQ89" s="224"/>
      <c r="AR89" s="225"/>
      <c r="AS89" s="510"/>
      <c r="AT89" s="510"/>
      <c r="AU89" s="510"/>
      <c r="AV89" s="510"/>
      <c r="AW89" s="510"/>
      <c r="AX89" s="510"/>
      <c r="AY89" s="510"/>
      <c r="AZ89" s="510"/>
      <c r="BA89" s="510"/>
      <c r="BB89" s="510"/>
      <c r="BC89" s="226"/>
      <c r="BD89" s="224"/>
      <c r="BE89" s="510"/>
      <c r="BF89" s="510"/>
      <c r="BG89" s="510"/>
      <c r="BH89" s="510"/>
      <c r="BI89" s="510"/>
      <c r="BJ89" s="510"/>
      <c r="BK89" s="510"/>
      <c r="BL89" s="510"/>
      <c r="BM89" s="510"/>
      <c r="BN89" s="510"/>
      <c r="BO89" s="510"/>
      <c r="BP89" s="224"/>
      <c r="BQ89" s="225"/>
      <c r="BR89" s="510"/>
      <c r="BS89" s="510"/>
      <c r="BT89" s="510"/>
      <c r="BU89" s="510"/>
      <c r="BV89" s="510"/>
      <c r="BW89" s="510"/>
      <c r="BX89" s="510"/>
      <c r="BY89" s="510"/>
      <c r="BZ89" s="510"/>
      <c r="CA89" s="510"/>
      <c r="CB89" s="510"/>
      <c r="CC89" s="171"/>
      <c r="CD89" s="92"/>
      <c r="CE89" s="93"/>
      <c r="CF89" s="74"/>
      <c r="CG89" s="29"/>
    </row>
    <row r="90" spans="1:85" s="3" customFormat="1" ht="19.5" customHeight="1">
      <c r="A90" s="28"/>
      <c r="B90" s="80"/>
      <c r="C90" s="92"/>
      <c r="D90" s="507" t="s">
        <v>109</v>
      </c>
      <c r="E90" s="508"/>
      <c r="F90" s="508"/>
      <c r="G90" s="509"/>
      <c r="H90" s="225"/>
      <c r="I90" s="510"/>
      <c r="J90" s="510"/>
      <c r="K90" s="510"/>
      <c r="L90" s="510"/>
      <c r="M90" s="510"/>
      <c r="N90" s="510"/>
      <c r="O90" s="510"/>
      <c r="P90" s="510"/>
      <c r="Q90" s="510"/>
      <c r="R90" s="510"/>
      <c r="S90" s="224"/>
      <c r="T90" s="225"/>
      <c r="U90" s="510"/>
      <c r="V90" s="510"/>
      <c r="W90" s="510"/>
      <c r="X90" s="510"/>
      <c r="Y90" s="510"/>
      <c r="Z90" s="510"/>
      <c r="AA90" s="510"/>
      <c r="AB90" s="510"/>
      <c r="AC90" s="510"/>
      <c r="AD90" s="510"/>
      <c r="AE90" s="226"/>
      <c r="AF90" s="224"/>
      <c r="AG90" s="510"/>
      <c r="AH90" s="510"/>
      <c r="AI90" s="510"/>
      <c r="AJ90" s="510"/>
      <c r="AK90" s="510"/>
      <c r="AL90" s="510"/>
      <c r="AM90" s="510"/>
      <c r="AN90" s="510"/>
      <c r="AO90" s="510"/>
      <c r="AP90" s="510"/>
      <c r="AQ90" s="224"/>
      <c r="AR90" s="225"/>
      <c r="AS90" s="510"/>
      <c r="AT90" s="510"/>
      <c r="AU90" s="510"/>
      <c r="AV90" s="510"/>
      <c r="AW90" s="510"/>
      <c r="AX90" s="510"/>
      <c r="AY90" s="510"/>
      <c r="AZ90" s="510"/>
      <c r="BA90" s="510"/>
      <c r="BB90" s="510"/>
      <c r="BC90" s="226"/>
      <c r="BD90" s="224"/>
      <c r="BE90" s="510"/>
      <c r="BF90" s="510"/>
      <c r="BG90" s="510"/>
      <c r="BH90" s="510"/>
      <c r="BI90" s="510"/>
      <c r="BJ90" s="510"/>
      <c r="BK90" s="510"/>
      <c r="BL90" s="510"/>
      <c r="BM90" s="510"/>
      <c r="BN90" s="510"/>
      <c r="BO90" s="510"/>
      <c r="BP90" s="224"/>
      <c r="BQ90" s="225"/>
      <c r="BR90" s="510"/>
      <c r="BS90" s="510"/>
      <c r="BT90" s="510"/>
      <c r="BU90" s="510"/>
      <c r="BV90" s="510"/>
      <c r="BW90" s="510"/>
      <c r="BX90" s="510"/>
      <c r="BY90" s="510"/>
      <c r="BZ90" s="510"/>
      <c r="CA90" s="510"/>
      <c r="CB90" s="510"/>
      <c r="CC90" s="171"/>
      <c r="CD90" s="92"/>
      <c r="CE90" s="93"/>
      <c r="CF90" s="74"/>
      <c r="CG90" s="29"/>
    </row>
    <row r="91" spans="1:85" s="3" customFormat="1" ht="19.5" customHeight="1">
      <c r="A91" s="28"/>
      <c r="B91" s="80"/>
      <c r="C91" s="92"/>
      <c r="D91" s="507" t="s">
        <v>110</v>
      </c>
      <c r="E91" s="508"/>
      <c r="F91" s="508"/>
      <c r="G91" s="509"/>
      <c r="H91" s="225"/>
      <c r="I91" s="510"/>
      <c r="J91" s="510"/>
      <c r="K91" s="510"/>
      <c r="L91" s="510"/>
      <c r="M91" s="510"/>
      <c r="N91" s="510"/>
      <c r="O91" s="510"/>
      <c r="P91" s="510"/>
      <c r="Q91" s="510"/>
      <c r="R91" s="510"/>
      <c r="S91" s="224"/>
      <c r="T91" s="225"/>
      <c r="U91" s="510"/>
      <c r="V91" s="510"/>
      <c r="W91" s="510"/>
      <c r="X91" s="510"/>
      <c r="Y91" s="510"/>
      <c r="Z91" s="510"/>
      <c r="AA91" s="510"/>
      <c r="AB91" s="510"/>
      <c r="AC91" s="510"/>
      <c r="AD91" s="510"/>
      <c r="AE91" s="226"/>
      <c r="AF91" s="224"/>
      <c r="AG91" s="510"/>
      <c r="AH91" s="510"/>
      <c r="AI91" s="510"/>
      <c r="AJ91" s="510"/>
      <c r="AK91" s="510"/>
      <c r="AL91" s="510"/>
      <c r="AM91" s="510"/>
      <c r="AN91" s="510"/>
      <c r="AO91" s="510"/>
      <c r="AP91" s="510"/>
      <c r="AQ91" s="224"/>
      <c r="AR91" s="225"/>
      <c r="AS91" s="510"/>
      <c r="AT91" s="510"/>
      <c r="AU91" s="510"/>
      <c r="AV91" s="510"/>
      <c r="AW91" s="510"/>
      <c r="AX91" s="510"/>
      <c r="AY91" s="510"/>
      <c r="AZ91" s="510"/>
      <c r="BA91" s="510"/>
      <c r="BB91" s="510"/>
      <c r="BC91" s="226"/>
      <c r="BD91" s="224"/>
      <c r="BE91" s="510"/>
      <c r="BF91" s="510"/>
      <c r="BG91" s="510"/>
      <c r="BH91" s="510"/>
      <c r="BI91" s="510"/>
      <c r="BJ91" s="510"/>
      <c r="BK91" s="510"/>
      <c r="BL91" s="510"/>
      <c r="BM91" s="510"/>
      <c r="BN91" s="510"/>
      <c r="BO91" s="510"/>
      <c r="BP91" s="224"/>
      <c r="BQ91" s="225"/>
      <c r="BR91" s="510"/>
      <c r="BS91" s="510"/>
      <c r="BT91" s="510"/>
      <c r="BU91" s="510"/>
      <c r="BV91" s="510"/>
      <c r="BW91" s="510"/>
      <c r="BX91" s="510"/>
      <c r="BY91" s="510"/>
      <c r="BZ91" s="510"/>
      <c r="CA91" s="510"/>
      <c r="CB91" s="510"/>
      <c r="CC91" s="171"/>
      <c r="CD91" s="92"/>
      <c r="CE91" s="93"/>
      <c r="CF91" s="74"/>
      <c r="CG91" s="29"/>
    </row>
    <row r="92" spans="1:85" s="3" customFormat="1" ht="19.5" customHeight="1">
      <c r="A92" s="28"/>
      <c r="B92" s="80"/>
      <c r="C92" s="92"/>
      <c r="D92" s="507" t="s">
        <v>111</v>
      </c>
      <c r="E92" s="508"/>
      <c r="F92" s="508"/>
      <c r="G92" s="509"/>
      <c r="H92" s="225"/>
      <c r="I92" s="510"/>
      <c r="J92" s="510"/>
      <c r="K92" s="510"/>
      <c r="L92" s="510"/>
      <c r="M92" s="510"/>
      <c r="N92" s="510"/>
      <c r="O92" s="510"/>
      <c r="P92" s="510"/>
      <c r="Q92" s="510"/>
      <c r="R92" s="510"/>
      <c r="S92" s="224"/>
      <c r="T92" s="225"/>
      <c r="U92" s="510"/>
      <c r="V92" s="510"/>
      <c r="W92" s="510"/>
      <c r="X92" s="510"/>
      <c r="Y92" s="510"/>
      <c r="Z92" s="510"/>
      <c r="AA92" s="510"/>
      <c r="AB92" s="510"/>
      <c r="AC92" s="510"/>
      <c r="AD92" s="510"/>
      <c r="AE92" s="226"/>
      <c r="AF92" s="224"/>
      <c r="AG92" s="510"/>
      <c r="AH92" s="510"/>
      <c r="AI92" s="510"/>
      <c r="AJ92" s="510"/>
      <c r="AK92" s="510"/>
      <c r="AL92" s="510"/>
      <c r="AM92" s="510"/>
      <c r="AN92" s="510"/>
      <c r="AO92" s="510"/>
      <c r="AP92" s="510"/>
      <c r="AQ92" s="224"/>
      <c r="AR92" s="225"/>
      <c r="AS92" s="510"/>
      <c r="AT92" s="510"/>
      <c r="AU92" s="510"/>
      <c r="AV92" s="510"/>
      <c r="AW92" s="510"/>
      <c r="AX92" s="510"/>
      <c r="AY92" s="510"/>
      <c r="AZ92" s="510"/>
      <c r="BA92" s="510"/>
      <c r="BB92" s="510"/>
      <c r="BC92" s="226"/>
      <c r="BD92" s="224"/>
      <c r="BE92" s="510"/>
      <c r="BF92" s="510"/>
      <c r="BG92" s="510"/>
      <c r="BH92" s="510"/>
      <c r="BI92" s="510"/>
      <c r="BJ92" s="510"/>
      <c r="BK92" s="510"/>
      <c r="BL92" s="510"/>
      <c r="BM92" s="510"/>
      <c r="BN92" s="510"/>
      <c r="BO92" s="510"/>
      <c r="BP92" s="224"/>
      <c r="BQ92" s="225"/>
      <c r="BR92" s="510"/>
      <c r="BS92" s="510"/>
      <c r="BT92" s="510"/>
      <c r="BU92" s="510"/>
      <c r="BV92" s="510"/>
      <c r="BW92" s="510"/>
      <c r="BX92" s="510"/>
      <c r="BY92" s="510"/>
      <c r="BZ92" s="510"/>
      <c r="CA92" s="510"/>
      <c r="CB92" s="510"/>
      <c r="CC92" s="171"/>
      <c r="CD92" s="92"/>
      <c r="CE92" s="93"/>
      <c r="CF92" s="74"/>
      <c r="CG92" s="29"/>
    </row>
    <row r="93" spans="1:85" s="3" customFormat="1" ht="19.5" customHeight="1">
      <c r="A93" s="28"/>
      <c r="B93" s="80"/>
      <c r="C93" s="92"/>
      <c r="D93" s="507" t="s">
        <v>112</v>
      </c>
      <c r="E93" s="508"/>
      <c r="F93" s="508"/>
      <c r="G93" s="509"/>
      <c r="H93" s="225"/>
      <c r="I93" s="510"/>
      <c r="J93" s="510"/>
      <c r="K93" s="510"/>
      <c r="L93" s="510"/>
      <c r="M93" s="510"/>
      <c r="N93" s="510"/>
      <c r="O93" s="510"/>
      <c r="P93" s="510"/>
      <c r="Q93" s="510"/>
      <c r="R93" s="510"/>
      <c r="S93" s="224"/>
      <c r="T93" s="225"/>
      <c r="U93" s="510"/>
      <c r="V93" s="510"/>
      <c r="W93" s="510"/>
      <c r="X93" s="510"/>
      <c r="Y93" s="510"/>
      <c r="Z93" s="510"/>
      <c r="AA93" s="510"/>
      <c r="AB93" s="510"/>
      <c r="AC93" s="510"/>
      <c r="AD93" s="510"/>
      <c r="AE93" s="226"/>
      <c r="AF93" s="224"/>
      <c r="AG93" s="510"/>
      <c r="AH93" s="510"/>
      <c r="AI93" s="510"/>
      <c r="AJ93" s="510"/>
      <c r="AK93" s="510"/>
      <c r="AL93" s="510"/>
      <c r="AM93" s="510"/>
      <c r="AN93" s="510"/>
      <c r="AO93" s="510"/>
      <c r="AP93" s="510"/>
      <c r="AQ93" s="224"/>
      <c r="AR93" s="225"/>
      <c r="AS93" s="510"/>
      <c r="AT93" s="510"/>
      <c r="AU93" s="510"/>
      <c r="AV93" s="510"/>
      <c r="AW93" s="510"/>
      <c r="AX93" s="510"/>
      <c r="AY93" s="510"/>
      <c r="AZ93" s="510"/>
      <c r="BA93" s="510"/>
      <c r="BB93" s="510"/>
      <c r="BC93" s="226"/>
      <c r="BD93" s="224"/>
      <c r="BE93" s="510"/>
      <c r="BF93" s="510"/>
      <c r="BG93" s="510"/>
      <c r="BH93" s="510"/>
      <c r="BI93" s="510"/>
      <c r="BJ93" s="510"/>
      <c r="BK93" s="510"/>
      <c r="BL93" s="510"/>
      <c r="BM93" s="510"/>
      <c r="BN93" s="510"/>
      <c r="BO93" s="510"/>
      <c r="BP93" s="224"/>
      <c r="BQ93" s="225"/>
      <c r="BR93" s="510"/>
      <c r="BS93" s="510"/>
      <c r="BT93" s="510"/>
      <c r="BU93" s="510"/>
      <c r="BV93" s="510"/>
      <c r="BW93" s="510"/>
      <c r="BX93" s="510"/>
      <c r="BY93" s="510"/>
      <c r="BZ93" s="510"/>
      <c r="CA93" s="510"/>
      <c r="CB93" s="510"/>
      <c r="CC93" s="171"/>
      <c r="CD93" s="92"/>
      <c r="CE93" s="93"/>
      <c r="CF93" s="74"/>
      <c r="CG93" s="29"/>
    </row>
    <row r="94" spans="1:85" s="3" customFormat="1" ht="19.5" customHeight="1">
      <c r="A94" s="28"/>
      <c r="B94" s="80"/>
      <c r="C94" s="92"/>
      <c r="D94" s="507" t="s">
        <v>113</v>
      </c>
      <c r="E94" s="508"/>
      <c r="F94" s="508"/>
      <c r="G94" s="509"/>
      <c r="H94" s="225"/>
      <c r="I94" s="510"/>
      <c r="J94" s="510"/>
      <c r="K94" s="510"/>
      <c r="L94" s="510"/>
      <c r="M94" s="510"/>
      <c r="N94" s="510"/>
      <c r="O94" s="510"/>
      <c r="P94" s="510"/>
      <c r="Q94" s="510"/>
      <c r="R94" s="510"/>
      <c r="S94" s="224"/>
      <c r="T94" s="225"/>
      <c r="U94" s="510"/>
      <c r="V94" s="510"/>
      <c r="W94" s="510"/>
      <c r="X94" s="510"/>
      <c r="Y94" s="510"/>
      <c r="Z94" s="510"/>
      <c r="AA94" s="510"/>
      <c r="AB94" s="510"/>
      <c r="AC94" s="510"/>
      <c r="AD94" s="510"/>
      <c r="AE94" s="226"/>
      <c r="AF94" s="224"/>
      <c r="AG94" s="510"/>
      <c r="AH94" s="510"/>
      <c r="AI94" s="510"/>
      <c r="AJ94" s="510"/>
      <c r="AK94" s="510"/>
      <c r="AL94" s="510"/>
      <c r="AM94" s="510"/>
      <c r="AN94" s="510"/>
      <c r="AO94" s="510"/>
      <c r="AP94" s="510"/>
      <c r="AQ94" s="224"/>
      <c r="AR94" s="225"/>
      <c r="AS94" s="510"/>
      <c r="AT94" s="510"/>
      <c r="AU94" s="510"/>
      <c r="AV94" s="510"/>
      <c r="AW94" s="510"/>
      <c r="AX94" s="510"/>
      <c r="AY94" s="510"/>
      <c r="AZ94" s="510"/>
      <c r="BA94" s="510"/>
      <c r="BB94" s="510"/>
      <c r="BC94" s="226"/>
      <c r="BD94" s="224"/>
      <c r="BE94" s="510"/>
      <c r="BF94" s="510"/>
      <c r="BG94" s="510"/>
      <c r="BH94" s="510"/>
      <c r="BI94" s="510"/>
      <c r="BJ94" s="510"/>
      <c r="BK94" s="510"/>
      <c r="BL94" s="510"/>
      <c r="BM94" s="510"/>
      <c r="BN94" s="510"/>
      <c r="BO94" s="510"/>
      <c r="BP94" s="224"/>
      <c r="BQ94" s="225"/>
      <c r="BR94" s="510"/>
      <c r="BS94" s="510"/>
      <c r="BT94" s="510"/>
      <c r="BU94" s="510"/>
      <c r="BV94" s="510"/>
      <c r="BW94" s="510"/>
      <c r="BX94" s="510"/>
      <c r="BY94" s="510"/>
      <c r="BZ94" s="510"/>
      <c r="CA94" s="510"/>
      <c r="CB94" s="510"/>
      <c r="CC94" s="171"/>
      <c r="CD94" s="93"/>
      <c r="CE94" s="93"/>
      <c r="CF94" s="74"/>
      <c r="CG94" s="29"/>
    </row>
    <row r="95" spans="1:85" s="3" customFormat="1" ht="19.5" customHeight="1">
      <c r="A95" s="28"/>
      <c r="B95" s="80"/>
      <c r="C95" s="93"/>
      <c r="D95" s="507" t="s">
        <v>161</v>
      </c>
      <c r="E95" s="508"/>
      <c r="F95" s="508"/>
      <c r="G95" s="509"/>
      <c r="H95" s="225"/>
      <c r="I95" s="510"/>
      <c r="J95" s="510"/>
      <c r="K95" s="510"/>
      <c r="L95" s="510"/>
      <c r="M95" s="510"/>
      <c r="N95" s="510"/>
      <c r="O95" s="510"/>
      <c r="P95" s="510"/>
      <c r="Q95" s="510"/>
      <c r="R95" s="510"/>
      <c r="S95" s="224"/>
      <c r="T95" s="225"/>
      <c r="U95" s="510"/>
      <c r="V95" s="510"/>
      <c r="W95" s="510"/>
      <c r="X95" s="510"/>
      <c r="Y95" s="510"/>
      <c r="Z95" s="510"/>
      <c r="AA95" s="510"/>
      <c r="AB95" s="510"/>
      <c r="AC95" s="510"/>
      <c r="AD95" s="510"/>
      <c r="AE95" s="226"/>
      <c r="AF95" s="224"/>
      <c r="AG95" s="510"/>
      <c r="AH95" s="510"/>
      <c r="AI95" s="510"/>
      <c r="AJ95" s="510"/>
      <c r="AK95" s="510"/>
      <c r="AL95" s="510"/>
      <c r="AM95" s="510"/>
      <c r="AN95" s="510"/>
      <c r="AO95" s="510"/>
      <c r="AP95" s="510"/>
      <c r="AQ95" s="224"/>
      <c r="AR95" s="225"/>
      <c r="AS95" s="510"/>
      <c r="AT95" s="510"/>
      <c r="AU95" s="510"/>
      <c r="AV95" s="510"/>
      <c r="AW95" s="510"/>
      <c r="AX95" s="510"/>
      <c r="AY95" s="510"/>
      <c r="AZ95" s="510"/>
      <c r="BA95" s="510"/>
      <c r="BB95" s="510"/>
      <c r="BC95" s="226"/>
      <c r="BD95" s="224"/>
      <c r="BE95" s="510"/>
      <c r="BF95" s="510"/>
      <c r="BG95" s="510"/>
      <c r="BH95" s="510"/>
      <c r="BI95" s="510"/>
      <c r="BJ95" s="510"/>
      <c r="BK95" s="510"/>
      <c r="BL95" s="510"/>
      <c r="BM95" s="510"/>
      <c r="BN95" s="510"/>
      <c r="BO95" s="510"/>
      <c r="BP95" s="224"/>
      <c r="BQ95" s="225"/>
      <c r="BR95" s="510"/>
      <c r="BS95" s="510"/>
      <c r="BT95" s="510"/>
      <c r="BU95" s="510"/>
      <c r="BV95" s="510"/>
      <c r="BW95" s="510"/>
      <c r="BX95" s="510"/>
      <c r="BY95" s="510"/>
      <c r="BZ95" s="510"/>
      <c r="CA95" s="510"/>
      <c r="CB95" s="510"/>
      <c r="CC95" s="171"/>
      <c r="CD95" s="92"/>
      <c r="CE95" s="93"/>
      <c r="CF95" s="74"/>
      <c r="CG95" s="29"/>
    </row>
    <row r="96" spans="1:85" s="3" customFormat="1" ht="19.5" customHeight="1">
      <c r="A96" s="28"/>
      <c r="B96" s="80"/>
      <c r="C96" s="93"/>
      <c r="D96" s="507" t="s">
        <v>162</v>
      </c>
      <c r="E96" s="508"/>
      <c r="F96" s="508"/>
      <c r="G96" s="509"/>
      <c r="H96" s="225"/>
      <c r="I96" s="510"/>
      <c r="J96" s="510"/>
      <c r="K96" s="510"/>
      <c r="L96" s="510"/>
      <c r="M96" s="510"/>
      <c r="N96" s="510"/>
      <c r="O96" s="510"/>
      <c r="P96" s="510"/>
      <c r="Q96" s="510"/>
      <c r="R96" s="510"/>
      <c r="S96" s="224"/>
      <c r="T96" s="225"/>
      <c r="U96" s="510"/>
      <c r="V96" s="510"/>
      <c r="W96" s="510"/>
      <c r="X96" s="510"/>
      <c r="Y96" s="510"/>
      <c r="Z96" s="510"/>
      <c r="AA96" s="510"/>
      <c r="AB96" s="510"/>
      <c r="AC96" s="510"/>
      <c r="AD96" s="510"/>
      <c r="AE96" s="226"/>
      <c r="AF96" s="224"/>
      <c r="AG96" s="510"/>
      <c r="AH96" s="510"/>
      <c r="AI96" s="510"/>
      <c r="AJ96" s="510"/>
      <c r="AK96" s="510"/>
      <c r="AL96" s="510"/>
      <c r="AM96" s="510"/>
      <c r="AN96" s="510"/>
      <c r="AO96" s="510"/>
      <c r="AP96" s="510"/>
      <c r="AQ96" s="224"/>
      <c r="AR96" s="225"/>
      <c r="AS96" s="510"/>
      <c r="AT96" s="510"/>
      <c r="AU96" s="510"/>
      <c r="AV96" s="510"/>
      <c r="AW96" s="510"/>
      <c r="AX96" s="510"/>
      <c r="AY96" s="510"/>
      <c r="AZ96" s="510"/>
      <c r="BA96" s="510"/>
      <c r="BB96" s="510"/>
      <c r="BC96" s="226"/>
      <c r="BD96" s="224"/>
      <c r="BE96" s="510"/>
      <c r="BF96" s="510"/>
      <c r="BG96" s="510"/>
      <c r="BH96" s="510"/>
      <c r="BI96" s="510"/>
      <c r="BJ96" s="510"/>
      <c r="BK96" s="510"/>
      <c r="BL96" s="510"/>
      <c r="BM96" s="510"/>
      <c r="BN96" s="510"/>
      <c r="BO96" s="510"/>
      <c r="BP96" s="224"/>
      <c r="BQ96" s="225"/>
      <c r="BR96" s="510"/>
      <c r="BS96" s="510"/>
      <c r="BT96" s="510"/>
      <c r="BU96" s="510"/>
      <c r="BV96" s="510"/>
      <c r="BW96" s="510"/>
      <c r="BX96" s="510"/>
      <c r="BY96" s="510"/>
      <c r="BZ96" s="510"/>
      <c r="CA96" s="510"/>
      <c r="CB96" s="510"/>
      <c r="CC96" s="171"/>
      <c r="CD96" s="92"/>
      <c r="CE96" s="93"/>
      <c r="CF96" s="74"/>
      <c r="CG96" s="29"/>
    </row>
    <row r="97" spans="1:85" s="3" customFormat="1" ht="19.5" customHeight="1">
      <c r="A97" s="28"/>
      <c r="B97" s="80"/>
      <c r="C97" s="93"/>
      <c r="D97" s="507" t="s">
        <v>163</v>
      </c>
      <c r="E97" s="508"/>
      <c r="F97" s="508"/>
      <c r="G97" s="509"/>
      <c r="H97" s="225"/>
      <c r="I97" s="510"/>
      <c r="J97" s="510"/>
      <c r="K97" s="510"/>
      <c r="L97" s="510"/>
      <c r="M97" s="510"/>
      <c r="N97" s="510"/>
      <c r="O97" s="510"/>
      <c r="P97" s="510"/>
      <c r="Q97" s="510"/>
      <c r="R97" s="510"/>
      <c r="S97" s="224"/>
      <c r="T97" s="225"/>
      <c r="U97" s="510"/>
      <c r="V97" s="510"/>
      <c r="W97" s="510"/>
      <c r="X97" s="510"/>
      <c r="Y97" s="510"/>
      <c r="Z97" s="510"/>
      <c r="AA97" s="510"/>
      <c r="AB97" s="510"/>
      <c r="AC97" s="510"/>
      <c r="AD97" s="510"/>
      <c r="AE97" s="226"/>
      <c r="AF97" s="224"/>
      <c r="AG97" s="510"/>
      <c r="AH97" s="510"/>
      <c r="AI97" s="510"/>
      <c r="AJ97" s="510"/>
      <c r="AK97" s="510"/>
      <c r="AL97" s="510"/>
      <c r="AM97" s="510"/>
      <c r="AN97" s="510"/>
      <c r="AO97" s="510"/>
      <c r="AP97" s="510"/>
      <c r="AQ97" s="224"/>
      <c r="AR97" s="225"/>
      <c r="AS97" s="510"/>
      <c r="AT97" s="510"/>
      <c r="AU97" s="510"/>
      <c r="AV97" s="510"/>
      <c r="AW97" s="510"/>
      <c r="AX97" s="510"/>
      <c r="AY97" s="510"/>
      <c r="AZ97" s="510"/>
      <c r="BA97" s="510"/>
      <c r="BB97" s="510"/>
      <c r="BC97" s="226"/>
      <c r="BD97" s="224"/>
      <c r="BE97" s="510"/>
      <c r="BF97" s="510"/>
      <c r="BG97" s="510"/>
      <c r="BH97" s="510"/>
      <c r="BI97" s="510"/>
      <c r="BJ97" s="510"/>
      <c r="BK97" s="510"/>
      <c r="BL97" s="510"/>
      <c r="BM97" s="510"/>
      <c r="BN97" s="510"/>
      <c r="BO97" s="510"/>
      <c r="BP97" s="224"/>
      <c r="BQ97" s="225"/>
      <c r="BR97" s="510"/>
      <c r="BS97" s="510"/>
      <c r="BT97" s="510"/>
      <c r="BU97" s="510"/>
      <c r="BV97" s="510"/>
      <c r="BW97" s="510"/>
      <c r="BX97" s="510"/>
      <c r="BY97" s="510"/>
      <c r="BZ97" s="510"/>
      <c r="CA97" s="510"/>
      <c r="CB97" s="510"/>
      <c r="CC97" s="171"/>
      <c r="CD97" s="92"/>
      <c r="CE97" s="93"/>
      <c r="CF97" s="74"/>
      <c r="CG97" s="29"/>
    </row>
    <row r="98" spans="1:85" s="3" customFormat="1" ht="19.5" customHeight="1">
      <c r="A98" s="28"/>
      <c r="B98" s="80"/>
      <c r="C98" s="92"/>
      <c r="D98" s="507" t="s">
        <v>164</v>
      </c>
      <c r="E98" s="508"/>
      <c r="F98" s="508"/>
      <c r="G98" s="509"/>
      <c r="H98" s="225"/>
      <c r="I98" s="510"/>
      <c r="J98" s="510"/>
      <c r="K98" s="510"/>
      <c r="L98" s="510"/>
      <c r="M98" s="510"/>
      <c r="N98" s="510"/>
      <c r="O98" s="510"/>
      <c r="P98" s="510"/>
      <c r="Q98" s="510"/>
      <c r="R98" s="510"/>
      <c r="S98" s="224"/>
      <c r="T98" s="225"/>
      <c r="U98" s="510"/>
      <c r="V98" s="510"/>
      <c r="W98" s="510"/>
      <c r="X98" s="510"/>
      <c r="Y98" s="510"/>
      <c r="Z98" s="510"/>
      <c r="AA98" s="510"/>
      <c r="AB98" s="510"/>
      <c r="AC98" s="510"/>
      <c r="AD98" s="510"/>
      <c r="AE98" s="226"/>
      <c r="AF98" s="224"/>
      <c r="AG98" s="510"/>
      <c r="AH98" s="510"/>
      <c r="AI98" s="510"/>
      <c r="AJ98" s="510"/>
      <c r="AK98" s="510"/>
      <c r="AL98" s="510"/>
      <c r="AM98" s="510"/>
      <c r="AN98" s="510"/>
      <c r="AO98" s="510"/>
      <c r="AP98" s="510"/>
      <c r="AQ98" s="224"/>
      <c r="AR98" s="225"/>
      <c r="AS98" s="510"/>
      <c r="AT98" s="510"/>
      <c r="AU98" s="510"/>
      <c r="AV98" s="510"/>
      <c r="AW98" s="510"/>
      <c r="AX98" s="510"/>
      <c r="AY98" s="510"/>
      <c r="AZ98" s="510"/>
      <c r="BA98" s="510"/>
      <c r="BB98" s="510"/>
      <c r="BC98" s="226"/>
      <c r="BD98" s="224"/>
      <c r="BE98" s="510"/>
      <c r="BF98" s="510"/>
      <c r="BG98" s="510"/>
      <c r="BH98" s="510"/>
      <c r="BI98" s="510"/>
      <c r="BJ98" s="510"/>
      <c r="BK98" s="510"/>
      <c r="BL98" s="510"/>
      <c r="BM98" s="510"/>
      <c r="BN98" s="510"/>
      <c r="BO98" s="510"/>
      <c r="BP98" s="224"/>
      <c r="BQ98" s="225"/>
      <c r="BR98" s="510"/>
      <c r="BS98" s="510"/>
      <c r="BT98" s="510"/>
      <c r="BU98" s="510"/>
      <c r="BV98" s="510"/>
      <c r="BW98" s="510"/>
      <c r="BX98" s="510"/>
      <c r="BY98" s="510"/>
      <c r="BZ98" s="510"/>
      <c r="CA98" s="510"/>
      <c r="CB98" s="510"/>
      <c r="CC98" s="171"/>
      <c r="CD98" s="92"/>
      <c r="CE98" s="93"/>
      <c r="CF98" s="74"/>
      <c r="CG98" s="29"/>
    </row>
    <row r="99" spans="1:85" s="3" customFormat="1" ht="19.5" customHeight="1">
      <c r="A99" s="28"/>
      <c r="B99" s="80"/>
      <c r="C99" s="92"/>
      <c r="D99" s="507" t="s">
        <v>165</v>
      </c>
      <c r="E99" s="508"/>
      <c r="F99" s="508"/>
      <c r="G99" s="509"/>
      <c r="H99" s="225"/>
      <c r="I99" s="510"/>
      <c r="J99" s="510"/>
      <c r="K99" s="510"/>
      <c r="L99" s="510"/>
      <c r="M99" s="510"/>
      <c r="N99" s="510"/>
      <c r="O99" s="510"/>
      <c r="P99" s="510"/>
      <c r="Q99" s="510"/>
      <c r="R99" s="510"/>
      <c r="S99" s="224"/>
      <c r="T99" s="225"/>
      <c r="U99" s="510"/>
      <c r="V99" s="510"/>
      <c r="W99" s="510"/>
      <c r="X99" s="510"/>
      <c r="Y99" s="510"/>
      <c r="Z99" s="510"/>
      <c r="AA99" s="510"/>
      <c r="AB99" s="510"/>
      <c r="AC99" s="510"/>
      <c r="AD99" s="510"/>
      <c r="AE99" s="226"/>
      <c r="AF99" s="224"/>
      <c r="AG99" s="510"/>
      <c r="AH99" s="510"/>
      <c r="AI99" s="510"/>
      <c r="AJ99" s="510"/>
      <c r="AK99" s="510"/>
      <c r="AL99" s="510"/>
      <c r="AM99" s="510"/>
      <c r="AN99" s="510"/>
      <c r="AO99" s="510"/>
      <c r="AP99" s="510"/>
      <c r="AQ99" s="224"/>
      <c r="AR99" s="225"/>
      <c r="AS99" s="510"/>
      <c r="AT99" s="510"/>
      <c r="AU99" s="510"/>
      <c r="AV99" s="510"/>
      <c r="AW99" s="510"/>
      <c r="AX99" s="510"/>
      <c r="AY99" s="510"/>
      <c r="AZ99" s="510"/>
      <c r="BA99" s="510"/>
      <c r="BB99" s="510"/>
      <c r="BC99" s="226"/>
      <c r="BD99" s="224"/>
      <c r="BE99" s="510"/>
      <c r="BF99" s="510"/>
      <c r="BG99" s="510"/>
      <c r="BH99" s="510"/>
      <c r="BI99" s="510"/>
      <c r="BJ99" s="510"/>
      <c r="BK99" s="510"/>
      <c r="BL99" s="510"/>
      <c r="BM99" s="510"/>
      <c r="BN99" s="510"/>
      <c r="BO99" s="510"/>
      <c r="BP99" s="224"/>
      <c r="BQ99" s="225"/>
      <c r="BR99" s="510"/>
      <c r="BS99" s="510"/>
      <c r="BT99" s="510"/>
      <c r="BU99" s="510"/>
      <c r="BV99" s="510"/>
      <c r="BW99" s="510"/>
      <c r="BX99" s="510"/>
      <c r="BY99" s="510"/>
      <c r="BZ99" s="510"/>
      <c r="CA99" s="510"/>
      <c r="CB99" s="510"/>
      <c r="CC99" s="171"/>
      <c r="CD99" s="92"/>
      <c r="CE99" s="93"/>
      <c r="CF99" s="74"/>
      <c r="CG99" s="29"/>
    </row>
    <row r="100" spans="1:85" s="3" customFormat="1" ht="19.5" customHeight="1">
      <c r="A100" s="28"/>
      <c r="B100" s="80"/>
      <c r="C100" s="92"/>
      <c r="D100" s="507" t="s">
        <v>166</v>
      </c>
      <c r="E100" s="508"/>
      <c r="F100" s="508"/>
      <c r="G100" s="509"/>
      <c r="H100" s="225"/>
      <c r="I100" s="510"/>
      <c r="J100" s="510"/>
      <c r="K100" s="510"/>
      <c r="L100" s="510"/>
      <c r="M100" s="510"/>
      <c r="N100" s="510"/>
      <c r="O100" s="510"/>
      <c r="P100" s="510"/>
      <c r="Q100" s="510"/>
      <c r="R100" s="510"/>
      <c r="S100" s="224"/>
      <c r="T100" s="225"/>
      <c r="U100" s="510"/>
      <c r="V100" s="510"/>
      <c r="W100" s="510"/>
      <c r="X100" s="510"/>
      <c r="Y100" s="510"/>
      <c r="Z100" s="510"/>
      <c r="AA100" s="510"/>
      <c r="AB100" s="510"/>
      <c r="AC100" s="510"/>
      <c r="AD100" s="510"/>
      <c r="AE100" s="226"/>
      <c r="AF100" s="224"/>
      <c r="AG100" s="510"/>
      <c r="AH100" s="510"/>
      <c r="AI100" s="510"/>
      <c r="AJ100" s="510"/>
      <c r="AK100" s="510"/>
      <c r="AL100" s="510"/>
      <c r="AM100" s="510"/>
      <c r="AN100" s="510"/>
      <c r="AO100" s="510"/>
      <c r="AP100" s="510"/>
      <c r="AQ100" s="224"/>
      <c r="AR100" s="225"/>
      <c r="AS100" s="510"/>
      <c r="AT100" s="510"/>
      <c r="AU100" s="510"/>
      <c r="AV100" s="510"/>
      <c r="AW100" s="510"/>
      <c r="AX100" s="510"/>
      <c r="AY100" s="510"/>
      <c r="AZ100" s="510"/>
      <c r="BA100" s="510"/>
      <c r="BB100" s="510"/>
      <c r="BC100" s="226"/>
      <c r="BD100" s="224"/>
      <c r="BE100" s="510"/>
      <c r="BF100" s="510"/>
      <c r="BG100" s="510"/>
      <c r="BH100" s="510"/>
      <c r="BI100" s="510"/>
      <c r="BJ100" s="510"/>
      <c r="BK100" s="510"/>
      <c r="BL100" s="510"/>
      <c r="BM100" s="510"/>
      <c r="BN100" s="510"/>
      <c r="BO100" s="510"/>
      <c r="BP100" s="224"/>
      <c r="BQ100" s="225"/>
      <c r="BR100" s="510"/>
      <c r="BS100" s="510"/>
      <c r="BT100" s="510"/>
      <c r="BU100" s="510"/>
      <c r="BV100" s="510"/>
      <c r="BW100" s="510"/>
      <c r="BX100" s="510"/>
      <c r="BY100" s="510"/>
      <c r="BZ100" s="510"/>
      <c r="CA100" s="510"/>
      <c r="CB100" s="510"/>
      <c r="CC100" s="171"/>
      <c r="CD100" s="93"/>
      <c r="CE100" s="93"/>
      <c r="CF100" s="74"/>
      <c r="CG100" s="29"/>
    </row>
    <row r="101" spans="1:85" s="3" customFormat="1" ht="19.5" customHeight="1">
      <c r="A101" s="28"/>
      <c r="B101" s="80"/>
      <c r="C101" s="92"/>
      <c r="D101" s="507" t="s">
        <v>167</v>
      </c>
      <c r="E101" s="508"/>
      <c r="F101" s="508"/>
      <c r="G101" s="509"/>
      <c r="H101" s="225"/>
      <c r="I101" s="510"/>
      <c r="J101" s="510"/>
      <c r="K101" s="510"/>
      <c r="L101" s="510"/>
      <c r="M101" s="510"/>
      <c r="N101" s="510"/>
      <c r="O101" s="510"/>
      <c r="P101" s="510"/>
      <c r="Q101" s="510"/>
      <c r="R101" s="510"/>
      <c r="S101" s="224"/>
      <c r="T101" s="225"/>
      <c r="U101" s="510"/>
      <c r="V101" s="510"/>
      <c r="W101" s="510"/>
      <c r="X101" s="510"/>
      <c r="Y101" s="510"/>
      <c r="Z101" s="510"/>
      <c r="AA101" s="510"/>
      <c r="AB101" s="510"/>
      <c r="AC101" s="510"/>
      <c r="AD101" s="510"/>
      <c r="AE101" s="226"/>
      <c r="AF101" s="224"/>
      <c r="AG101" s="510"/>
      <c r="AH101" s="510"/>
      <c r="AI101" s="510"/>
      <c r="AJ101" s="510"/>
      <c r="AK101" s="510"/>
      <c r="AL101" s="510"/>
      <c r="AM101" s="510"/>
      <c r="AN101" s="510"/>
      <c r="AO101" s="510"/>
      <c r="AP101" s="510"/>
      <c r="AQ101" s="224"/>
      <c r="AR101" s="225"/>
      <c r="AS101" s="510"/>
      <c r="AT101" s="510"/>
      <c r="AU101" s="510"/>
      <c r="AV101" s="510"/>
      <c r="AW101" s="510"/>
      <c r="AX101" s="510"/>
      <c r="AY101" s="510"/>
      <c r="AZ101" s="510"/>
      <c r="BA101" s="510"/>
      <c r="BB101" s="510"/>
      <c r="BC101" s="226"/>
      <c r="BD101" s="224"/>
      <c r="BE101" s="510"/>
      <c r="BF101" s="510"/>
      <c r="BG101" s="510"/>
      <c r="BH101" s="510"/>
      <c r="BI101" s="510"/>
      <c r="BJ101" s="510"/>
      <c r="BK101" s="510"/>
      <c r="BL101" s="510"/>
      <c r="BM101" s="510"/>
      <c r="BN101" s="510"/>
      <c r="BO101" s="510"/>
      <c r="BP101" s="224"/>
      <c r="BQ101" s="225"/>
      <c r="BR101" s="510"/>
      <c r="BS101" s="510"/>
      <c r="BT101" s="510"/>
      <c r="BU101" s="510"/>
      <c r="BV101" s="510"/>
      <c r="BW101" s="510"/>
      <c r="BX101" s="510"/>
      <c r="BY101" s="510"/>
      <c r="BZ101" s="510"/>
      <c r="CA101" s="510"/>
      <c r="CB101" s="510"/>
      <c r="CC101" s="171"/>
      <c r="CD101" s="92"/>
      <c r="CE101" s="93"/>
      <c r="CF101" s="74"/>
      <c r="CG101" s="29"/>
    </row>
    <row r="102" spans="1:85" s="3" customFormat="1" ht="19.5" customHeight="1">
      <c r="A102" s="28"/>
      <c r="B102" s="80"/>
      <c r="C102" s="92"/>
      <c r="D102" s="507" t="s">
        <v>168</v>
      </c>
      <c r="E102" s="508"/>
      <c r="F102" s="508"/>
      <c r="G102" s="509"/>
      <c r="H102" s="225"/>
      <c r="I102" s="510"/>
      <c r="J102" s="510"/>
      <c r="K102" s="510"/>
      <c r="L102" s="510"/>
      <c r="M102" s="510"/>
      <c r="N102" s="510"/>
      <c r="O102" s="510"/>
      <c r="P102" s="510"/>
      <c r="Q102" s="510"/>
      <c r="R102" s="510"/>
      <c r="S102" s="224"/>
      <c r="T102" s="225"/>
      <c r="U102" s="510"/>
      <c r="V102" s="510"/>
      <c r="W102" s="510"/>
      <c r="X102" s="510"/>
      <c r="Y102" s="510"/>
      <c r="Z102" s="510"/>
      <c r="AA102" s="510"/>
      <c r="AB102" s="510"/>
      <c r="AC102" s="510"/>
      <c r="AD102" s="510"/>
      <c r="AE102" s="226"/>
      <c r="AF102" s="224"/>
      <c r="AG102" s="510"/>
      <c r="AH102" s="510"/>
      <c r="AI102" s="510"/>
      <c r="AJ102" s="510"/>
      <c r="AK102" s="510"/>
      <c r="AL102" s="510"/>
      <c r="AM102" s="510"/>
      <c r="AN102" s="510"/>
      <c r="AO102" s="510"/>
      <c r="AP102" s="510"/>
      <c r="AQ102" s="224"/>
      <c r="AR102" s="225"/>
      <c r="AS102" s="510"/>
      <c r="AT102" s="510"/>
      <c r="AU102" s="510"/>
      <c r="AV102" s="510"/>
      <c r="AW102" s="510"/>
      <c r="AX102" s="510"/>
      <c r="AY102" s="510"/>
      <c r="AZ102" s="510"/>
      <c r="BA102" s="510"/>
      <c r="BB102" s="510"/>
      <c r="BC102" s="226"/>
      <c r="BD102" s="224"/>
      <c r="BE102" s="510"/>
      <c r="BF102" s="510"/>
      <c r="BG102" s="510"/>
      <c r="BH102" s="510"/>
      <c r="BI102" s="510"/>
      <c r="BJ102" s="510"/>
      <c r="BK102" s="510"/>
      <c r="BL102" s="510"/>
      <c r="BM102" s="510"/>
      <c r="BN102" s="510"/>
      <c r="BO102" s="510"/>
      <c r="BP102" s="224"/>
      <c r="BQ102" s="225"/>
      <c r="BR102" s="510"/>
      <c r="BS102" s="510"/>
      <c r="BT102" s="510"/>
      <c r="BU102" s="510"/>
      <c r="BV102" s="510"/>
      <c r="BW102" s="510"/>
      <c r="BX102" s="510"/>
      <c r="BY102" s="510"/>
      <c r="BZ102" s="510"/>
      <c r="CA102" s="510"/>
      <c r="CB102" s="510"/>
      <c r="CC102" s="171"/>
      <c r="CD102" s="92"/>
      <c r="CE102" s="93"/>
      <c r="CF102" s="74"/>
      <c r="CG102" s="29"/>
    </row>
    <row r="103" spans="1:85" s="3" customFormat="1" ht="19.5" customHeight="1">
      <c r="A103" s="28"/>
      <c r="B103" s="80"/>
      <c r="C103" s="92"/>
      <c r="D103" s="507" t="s">
        <v>169</v>
      </c>
      <c r="E103" s="508"/>
      <c r="F103" s="508"/>
      <c r="G103" s="509"/>
      <c r="H103" s="225"/>
      <c r="I103" s="510"/>
      <c r="J103" s="510"/>
      <c r="K103" s="510"/>
      <c r="L103" s="510"/>
      <c r="M103" s="510"/>
      <c r="N103" s="510"/>
      <c r="O103" s="510"/>
      <c r="P103" s="510"/>
      <c r="Q103" s="510"/>
      <c r="R103" s="510"/>
      <c r="S103" s="224"/>
      <c r="T103" s="225"/>
      <c r="U103" s="510"/>
      <c r="V103" s="510"/>
      <c r="W103" s="510"/>
      <c r="X103" s="510"/>
      <c r="Y103" s="510"/>
      <c r="Z103" s="510"/>
      <c r="AA103" s="510"/>
      <c r="AB103" s="510"/>
      <c r="AC103" s="510"/>
      <c r="AD103" s="510"/>
      <c r="AE103" s="226"/>
      <c r="AF103" s="224"/>
      <c r="AG103" s="510"/>
      <c r="AH103" s="510"/>
      <c r="AI103" s="510"/>
      <c r="AJ103" s="510"/>
      <c r="AK103" s="510"/>
      <c r="AL103" s="510"/>
      <c r="AM103" s="510"/>
      <c r="AN103" s="510"/>
      <c r="AO103" s="510"/>
      <c r="AP103" s="510"/>
      <c r="AQ103" s="224"/>
      <c r="AR103" s="225"/>
      <c r="AS103" s="510"/>
      <c r="AT103" s="510"/>
      <c r="AU103" s="510"/>
      <c r="AV103" s="510"/>
      <c r="AW103" s="510"/>
      <c r="AX103" s="510"/>
      <c r="AY103" s="510"/>
      <c r="AZ103" s="510"/>
      <c r="BA103" s="510"/>
      <c r="BB103" s="510"/>
      <c r="BC103" s="226"/>
      <c r="BD103" s="224"/>
      <c r="BE103" s="510"/>
      <c r="BF103" s="510"/>
      <c r="BG103" s="510"/>
      <c r="BH103" s="510"/>
      <c r="BI103" s="510"/>
      <c r="BJ103" s="510"/>
      <c r="BK103" s="510"/>
      <c r="BL103" s="510"/>
      <c r="BM103" s="510"/>
      <c r="BN103" s="510"/>
      <c r="BO103" s="510"/>
      <c r="BP103" s="224"/>
      <c r="BQ103" s="225"/>
      <c r="BR103" s="510"/>
      <c r="BS103" s="510"/>
      <c r="BT103" s="510"/>
      <c r="BU103" s="510"/>
      <c r="BV103" s="510"/>
      <c r="BW103" s="510"/>
      <c r="BX103" s="510"/>
      <c r="BY103" s="510"/>
      <c r="BZ103" s="510"/>
      <c r="CA103" s="510"/>
      <c r="CB103" s="510"/>
      <c r="CC103" s="171"/>
      <c r="CD103" s="92"/>
      <c r="CE103" s="93"/>
      <c r="CF103" s="74"/>
      <c r="CG103" s="29"/>
    </row>
    <row r="104" spans="1:85" s="3" customFormat="1" ht="19.5" customHeight="1">
      <c r="A104" s="28"/>
      <c r="B104" s="80"/>
      <c r="C104" s="92"/>
      <c r="D104" s="507" t="s">
        <v>170</v>
      </c>
      <c r="E104" s="508"/>
      <c r="F104" s="508"/>
      <c r="G104" s="509"/>
      <c r="H104" s="225"/>
      <c r="I104" s="510"/>
      <c r="J104" s="510"/>
      <c r="K104" s="510"/>
      <c r="L104" s="510"/>
      <c r="M104" s="510"/>
      <c r="N104" s="510"/>
      <c r="O104" s="510"/>
      <c r="P104" s="510"/>
      <c r="Q104" s="510"/>
      <c r="R104" s="510"/>
      <c r="S104" s="224"/>
      <c r="T104" s="225"/>
      <c r="U104" s="510"/>
      <c r="V104" s="510"/>
      <c r="W104" s="510"/>
      <c r="X104" s="510"/>
      <c r="Y104" s="510"/>
      <c r="Z104" s="510"/>
      <c r="AA104" s="510"/>
      <c r="AB104" s="510"/>
      <c r="AC104" s="510"/>
      <c r="AD104" s="510"/>
      <c r="AE104" s="226"/>
      <c r="AF104" s="224"/>
      <c r="AG104" s="510"/>
      <c r="AH104" s="510"/>
      <c r="AI104" s="510"/>
      <c r="AJ104" s="510"/>
      <c r="AK104" s="510"/>
      <c r="AL104" s="510"/>
      <c r="AM104" s="510"/>
      <c r="AN104" s="510"/>
      <c r="AO104" s="510"/>
      <c r="AP104" s="510"/>
      <c r="AQ104" s="224"/>
      <c r="AR104" s="225"/>
      <c r="AS104" s="510"/>
      <c r="AT104" s="510"/>
      <c r="AU104" s="510"/>
      <c r="AV104" s="510"/>
      <c r="AW104" s="510"/>
      <c r="AX104" s="510"/>
      <c r="AY104" s="510"/>
      <c r="AZ104" s="510"/>
      <c r="BA104" s="510"/>
      <c r="BB104" s="510"/>
      <c r="BC104" s="226"/>
      <c r="BD104" s="224"/>
      <c r="BE104" s="510"/>
      <c r="BF104" s="510"/>
      <c r="BG104" s="510"/>
      <c r="BH104" s="510"/>
      <c r="BI104" s="510"/>
      <c r="BJ104" s="510"/>
      <c r="BK104" s="510"/>
      <c r="BL104" s="510"/>
      <c r="BM104" s="510"/>
      <c r="BN104" s="510"/>
      <c r="BO104" s="510"/>
      <c r="BP104" s="224"/>
      <c r="BQ104" s="225"/>
      <c r="BR104" s="510"/>
      <c r="BS104" s="510"/>
      <c r="BT104" s="510"/>
      <c r="BU104" s="510"/>
      <c r="BV104" s="510"/>
      <c r="BW104" s="510"/>
      <c r="BX104" s="510"/>
      <c r="BY104" s="510"/>
      <c r="BZ104" s="510"/>
      <c r="CA104" s="510"/>
      <c r="CB104" s="510"/>
      <c r="CC104" s="171"/>
      <c r="CD104" s="92"/>
      <c r="CE104" s="93"/>
      <c r="CF104" s="74"/>
      <c r="CG104" s="29"/>
    </row>
    <row r="105" spans="1:85" s="3" customFormat="1" ht="19.5" customHeight="1">
      <c r="A105" s="28"/>
      <c r="B105" s="80"/>
      <c r="C105" s="92"/>
      <c r="D105" s="507" t="s">
        <v>171</v>
      </c>
      <c r="E105" s="508"/>
      <c r="F105" s="508"/>
      <c r="G105" s="509"/>
      <c r="H105" s="225"/>
      <c r="I105" s="510"/>
      <c r="J105" s="510"/>
      <c r="K105" s="510"/>
      <c r="L105" s="510"/>
      <c r="M105" s="510"/>
      <c r="N105" s="510"/>
      <c r="O105" s="510"/>
      <c r="P105" s="510"/>
      <c r="Q105" s="510"/>
      <c r="R105" s="510"/>
      <c r="S105" s="224"/>
      <c r="T105" s="225"/>
      <c r="U105" s="510"/>
      <c r="V105" s="510"/>
      <c r="W105" s="510"/>
      <c r="X105" s="510"/>
      <c r="Y105" s="510"/>
      <c r="Z105" s="510"/>
      <c r="AA105" s="510"/>
      <c r="AB105" s="510"/>
      <c r="AC105" s="510"/>
      <c r="AD105" s="510"/>
      <c r="AE105" s="226"/>
      <c r="AF105" s="224"/>
      <c r="AG105" s="510"/>
      <c r="AH105" s="510"/>
      <c r="AI105" s="510"/>
      <c r="AJ105" s="510"/>
      <c r="AK105" s="510"/>
      <c r="AL105" s="510"/>
      <c r="AM105" s="510"/>
      <c r="AN105" s="510"/>
      <c r="AO105" s="510"/>
      <c r="AP105" s="510"/>
      <c r="AQ105" s="224"/>
      <c r="AR105" s="225"/>
      <c r="AS105" s="510"/>
      <c r="AT105" s="510"/>
      <c r="AU105" s="510"/>
      <c r="AV105" s="510"/>
      <c r="AW105" s="510"/>
      <c r="AX105" s="510"/>
      <c r="AY105" s="510"/>
      <c r="AZ105" s="510"/>
      <c r="BA105" s="510"/>
      <c r="BB105" s="510"/>
      <c r="BC105" s="226"/>
      <c r="BD105" s="224"/>
      <c r="BE105" s="510"/>
      <c r="BF105" s="510"/>
      <c r="BG105" s="510"/>
      <c r="BH105" s="510"/>
      <c r="BI105" s="510"/>
      <c r="BJ105" s="510"/>
      <c r="BK105" s="510"/>
      <c r="BL105" s="510"/>
      <c r="BM105" s="510"/>
      <c r="BN105" s="510"/>
      <c r="BO105" s="510"/>
      <c r="BP105" s="224"/>
      <c r="BQ105" s="225"/>
      <c r="BR105" s="510"/>
      <c r="BS105" s="510"/>
      <c r="BT105" s="510"/>
      <c r="BU105" s="510"/>
      <c r="BV105" s="510"/>
      <c r="BW105" s="510"/>
      <c r="BX105" s="510"/>
      <c r="BY105" s="510"/>
      <c r="BZ105" s="510"/>
      <c r="CA105" s="510"/>
      <c r="CB105" s="510"/>
      <c r="CC105" s="171"/>
      <c r="CD105" s="92"/>
      <c r="CE105" s="93"/>
      <c r="CF105" s="74"/>
      <c r="CG105" s="29"/>
    </row>
    <row r="106" spans="1:85" s="3" customFormat="1" ht="19.5" customHeight="1">
      <c r="A106" s="28"/>
      <c r="B106" s="80"/>
      <c r="C106" s="93"/>
      <c r="D106" s="507" t="s">
        <v>172</v>
      </c>
      <c r="E106" s="508"/>
      <c r="F106" s="508"/>
      <c r="G106" s="509"/>
      <c r="H106" s="225"/>
      <c r="I106" s="510"/>
      <c r="J106" s="510"/>
      <c r="K106" s="510"/>
      <c r="L106" s="510"/>
      <c r="M106" s="510"/>
      <c r="N106" s="510"/>
      <c r="O106" s="510"/>
      <c r="P106" s="510"/>
      <c r="Q106" s="510"/>
      <c r="R106" s="510"/>
      <c r="S106" s="224"/>
      <c r="T106" s="225"/>
      <c r="U106" s="510"/>
      <c r="V106" s="510"/>
      <c r="W106" s="510"/>
      <c r="X106" s="510"/>
      <c r="Y106" s="510"/>
      <c r="Z106" s="510"/>
      <c r="AA106" s="510"/>
      <c r="AB106" s="510"/>
      <c r="AC106" s="510"/>
      <c r="AD106" s="510"/>
      <c r="AE106" s="226"/>
      <c r="AF106" s="224"/>
      <c r="AG106" s="510"/>
      <c r="AH106" s="510"/>
      <c r="AI106" s="510"/>
      <c r="AJ106" s="510"/>
      <c r="AK106" s="510"/>
      <c r="AL106" s="510"/>
      <c r="AM106" s="510"/>
      <c r="AN106" s="510"/>
      <c r="AO106" s="510"/>
      <c r="AP106" s="510"/>
      <c r="AQ106" s="224"/>
      <c r="AR106" s="225"/>
      <c r="AS106" s="510"/>
      <c r="AT106" s="510"/>
      <c r="AU106" s="510"/>
      <c r="AV106" s="510"/>
      <c r="AW106" s="510"/>
      <c r="AX106" s="510"/>
      <c r="AY106" s="510"/>
      <c r="AZ106" s="510"/>
      <c r="BA106" s="510"/>
      <c r="BB106" s="510"/>
      <c r="BC106" s="226"/>
      <c r="BD106" s="224"/>
      <c r="BE106" s="510"/>
      <c r="BF106" s="510"/>
      <c r="BG106" s="510"/>
      <c r="BH106" s="510"/>
      <c r="BI106" s="510"/>
      <c r="BJ106" s="510"/>
      <c r="BK106" s="510"/>
      <c r="BL106" s="510"/>
      <c r="BM106" s="510"/>
      <c r="BN106" s="510"/>
      <c r="BO106" s="510"/>
      <c r="BP106" s="224"/>
      <c r="BQ106" s="225"/>
      <c r="BR106" s="510"/>
      <c r="BS106" s="510"/>
      <c r="BT106" s="510"/>
      <c r="BU106" s="510"/>
      <c r="BV106" s="510"/>
      <c r="BW106" s="510"/>
      <c r="BX106" s="510"/>
      <c r="BY106" s="510"/>
      <c r="BZ106" s="510"/>
      <c r="CA106" s="510"/>
      <c r="CB106" s="510"/>
      <c r="CC106" s="171"/>
      <c r="CD106" s="93"/>
      <c r="CE106" s="93"/>
      <c r="CF106" s="74"/>
      <c r="CG106" s="29"/>
    </row>
    <row r="107" spans="1:85" s="3" customFormat="1" ht="19.5" customHeight="1">
      <c r="A107" s="28"/>
      <c r="B107" s="80"/>
      <c r="C107" s="93"/>
      <c r="D107" s="507" t="s">
        <v>173</v>
      </c>
      <c r="E107" s="508"/>
      <c r="F107" s="508"/>
      <c r="G107" s="509"/>
      <c r="H107" s="225"/>
      <c r="I107" s="510"/>
      <c r="J107" s="510"/>
      <c r="K107" s="510"/>
      <c r="L107" s="510"/>
      <c r="M107" s="510"/>
      <c r="N107" s="510"/>
      <c r="O107" s="510"/>
      <c r="P107" s="510"/>
      <c r="Q107" s="510"/>
      <c r="R107" s="510"/>
      <c r="S107" s="224"/>
      <c r="T107" s="225"/>
      <c r="U107" s="510"/>
      <c r="V107" s="510"/>
      <c r="W107" s="510"/>
      <c r="X107" s="510"/>
      <c r="Y107" s="510"/>
      <c r="Z107" s="510"/>
      <c r="AA107" s="510"/>
      <c r="AB107" s="510"/>
      <c r="AC107" s="510"/>
      <c r="AD107" s="510"/>
      <c r="AE107" s="226"/>
      <c r="AF107" s="224"/>
      <c r="AG107" s="510"/>
      <c r="AH107" s="510"/>
      <c r="AI107" s="510"/>
      <c r="AJ107" s="510"/>
      <c r="AK107" s="510"/>
      <c r="AL107" s="510"/>
      <c r="AM107" s="510"/>
      <c r="AN107" s="510"/>
      <c r="AO107" s="510"/>
      <c r="AP107" s="510"/>
      <c r="AQ107" s="224"/>
      <c r="AR107" s="225"/>
      <c r="AS107" s="510"/>
      <c r="AT107" s="510"/>
      <c r="AU107" s="510"/>
      <c r="AV107" s="510"/>
      <c r="AW107" s="510"/>
      <c r="AX107" s="510"/>
      <c r="AY107" s="510"/>
      <c r="AZ107" s="510"/>
      <c r="BA107" s="510"/>
      <c r="BB107" s="510"/>
      <c r="BC107" s="226"/>
      <c r="BD107" s="224"/>
      <c r="BE107" s="510"/>
      <c r="BF107" s="510"/>
      <c r="BG107" s="510"/>
      <c r="BH107" s="510"/>
      <c r="BI107" s="510"/>
      <c r="BJ107" s="510"/>
      <c r="BK107" s="510"/>
      <c r="BL107" s="510"/>
      <c r="BM107" s="510"/>
      <c r="BN107" s="510"/>
      <c r="BO107" s="510"/>
      <c r="BP107" s="224"/>
      <c r="BQ107" s="225"/>
      <c r="BR107" s="510"/>
      <c r="BS107" s="510"/>
      <c r="BT107" s="510"/>
      <c r="BU107" s="510"/>
      <c r="BV107" s="510"/>
      <c r="BW107" s="510"/>
      <c r="BX107" s="510"/>
      <c r="BY107" s="510"/>
      <c r="BZ107" s="510"/>
      <c r="CA107" s="510"/>
      <c r="CB107" s="510"/>
      <c r="CC107" s="171"/>
      <c r="CD107" s="92"/>
      <c r="CE107" s="93"/>
      <c r="CF107" s="74"/>
      <c r="CG107" s="29"/>
    </row>
    <row r="108" spans="1:85" s="3" customFormat="1" ht="20.25" customHeight="1">
      <c r="A108" s="28"/>
      <c r="B108" s="80"/>
      <c r="C108" s="93"/>
      <c r="D108" s="507" t="s">
        <v>174</v>
      </c>
      <c r="E108" s="508"/>
      <c r="F108" s="508"/>
      <c r="G108" s="509"/>
      <c r="H108" s="225"/>
      <c r="I108" s="510"/>
      <c r="J108" s="510"/>
      <c r="K108" s="510"/>
      <c r="L108" s="510"/>
      <c r="M108" s="510"/>
      <c r="N108" s="510"/>
      <c r="O108" s="510"/>
      <c r="P108" s="510"/>
      <c r="Q108" s="510"/>
      <c r="R108" s="510"/>
      <c r="S108" s="224"/>
      <c r="T108" s="225"/>
      <c r="U108" s="510"/>
      <c r="V108" s="510"/>
      <c r="W108" s="510"/>
      <c r="X108" s="510"/>
      <c r="Y108" s="510"/>
      <c r="Z108" s="510"/>
      <c r="AA108" s="510"/>
      <c r="AB108" s="510"/>
      <c r="AC108" s="510"/>
      <c r="AD108" s="510"/>
      <c r="AE108" s="226"/>
      <c r="AF108" s="224"/>
      <c r="AG108" s="510"/>
      <c r="AH108" s="510"/>
      <c r="AI108" s="510"/>
      <c r="AJ108" s="510"/>
      <c r="AK108" s="510"/>
      <c r="AL108" s="510"/>
      <c r="AM108" s="510"/>
      <c r="AN108" s="510"/>
      <c r="AO108" s="510"/>
      <c r="AP108" s="510"/>
      <c r="AQ108" s="224"/>
      <c r="AR108" s="225"/>
      <c r="AS108" s="510"/>
      <c r="AT108" s="510"/>
      <c r="AU108" s="510"/>
      <c r="AV108" s="510"/>
      <c r="AW108" s="510"/>
      <c r="AX108" s="510"/>
      <c r="AY108" s="510"/>
      <c r="AZ108" s="510"/>
      <c r="BA108" s="510"/>
      <c r="BB108" s="510"/>
      <c r="BC108" s="226"/>
      <c r="BD108" s="224"/>
      <c r="BE108" s="510"/>
      <c r="BF108" s="510"/>
      <c r="BG108" s="510"/>
      <c r="BH108" s="510"/>
      <c r="BI108" s="510"/>
      <c r="BJ108" s="510"/>
      <c r="BK108" s="510"/>
      <c r="BL108" s="510"/>
      <c r="BM108" s="510"/>
      <c r="BN108" s="510"/>
      <c r="BO108" s="510"/>
      <c r="BP108" s="224"/>
      <c r="BQ108" s="225"/>
      <c r="BR108" s="510"/>
      <c r="BS108" s="510"/>
      <c r="BT108" s="510"/>
      <c r="BU108" s="510"/>
      <c r="BV108" s="510"/>
      <c r="BW108" s="510"/>
      <c r="BX108" s="510"/>
      <c r="BY108" s="510"/>
      <c r="BZ108" s="510"/>
      <c r="CA108" s="510"/>
      <c r="CB108" s="510"/>
      <c r="CC108" s="171"/>
      <c r="CD108" s="92"/>
      <c r="CE108" s="93"/>
      <c r="CF108" s="74"/>
      <c r="CG108" s="29"/>
    </row>
    <row r="109" spans="1:85" s="3" customFormat="1" ht="20.25" customHeight="1">
      <c r="A109" s="28"/>
      <c r="B109" s="80"/>
      <c r="C109" s="93"/>
      <c r="D109" s="507" t="s">
        <v>175</v>
      </c>
      <c r="E109" s="508"/>
      <c r="F109" s="508"/>
      <c r="G109" s="509"/>
      <c r="H109" s="225"/>
      <c r="I109" s="510"/>
      <c r="J109" s="510"/>
      <c r="K109" s="510"/>
      <c r="L109" s="510"/>
      <c r="M109" s="510"/>
      <c r="N109" s="510"/>
      <c r="O109" s="510"/>
      <c r="P109" s="510"/>
      <c r="Q109" s="510"/>
      <c r="R109" s="510"/>
      <c r="S109" s="224"/>
      <c r="T109" s="225"/>
      <c r="U109" s="510"/>
      <c r="V109" s="510"/>
      <c r="W109" s="510"/>
      <c r="X109" s="510"/>
      <c r="Y109" s="510"/>
      <c r="Z109" s="510"/>
      <c r="AA109" s="510"/>
      <c r="AB109" s="510"/>
      <c r="AC109" s="510"/>
      <c r="AD109" s="510"/>
      <c r="AE109" s="226"/>
      <c r="AF109" s="224"/>
      <c r="AG109" s="510"/>
      <c r="AH109" s="510"/>
      <c r="AI109" s="510"/>
      <c r="AJ109" s="510"/>
      <c r="AK109" s="510"/>
      <c r="AL109" s="510"/>
      <c r="AM109" s="510"/>
      <c r="AN109" s="510"/>
      <c r="AO109" s="510"/>
      <c r="AP109" s="510"/>
      <c r="AQ109" s="224"/>
      <c r="AR109" s="225"/>
      <c r="AS109" s="510"/>
      <c r="AT109" s="510"/>
      <c r="AU109" s="510"/>
      <c r="AV109" s="510"/>
      <c r="AW109" s="510"/>
      <c r="AX109" s="510"/>
      <c r="AY109" s="510"/>
      <c r="AZ109" s="510"/>
      <c r="BA109" s="510"/>
      <c r="BB109" s="510"/>
      <c r="BC109" s="226"/>
      <c r="BD109" s="224"/>
      <c r="BE109" s="510"/>
      <c r="BF109" s="510"/>
      <c r="BG109" s="510"/>
      <c r="BH109" s="510"/>
      <c r="BI109" s="510"/>
      <c r="BJ109" s="510"/>
      <c r="BK109" s="510"/>
      <c r="BL109" s="510"/>
      <c r="BM109" s="510"/>
      <c r="BN109" s="510"/>
      <c r="BO109" s="510"/>
      <c r="BP109" s="224"/>
      <c r="BQ109" s="225"/>
      <c r="BR109" s="510"/>
      <c r="BS109" s="510"/>
      <c r="BT109" s="510"/>
      <c r="BU109" s="510"/>
      <c r="BV109" s="510"/>
      <c r="BW109" s="510"/>
      <c r="BX109" s="510"/>
      <c r="BY109" s="510"/>
      <c r="BZ109" s="510"/>
      <c r="CA109" s="510"/>
      <c r="CB109" s="510"/>
      <c r="CC109" s="171"/>
      <c r="CD109" s="92"/>
      <c r="CE109" s="93"/>
      <c r="CF109" s="74"/>
      <c r="CG109" s="29"/>
    </row>
    <row r="110" spans="1:85" s="3" customFormat="1" ht="19.5" customHeight="1">
      <c r="A110" s="28"/>
      <c r="B110" s="80"/>
      <c r="C110" s="92"/>
      <c r="D110" s="507" t="s">
        <v>176</v>
      </c>
      <c r="E110" s="508"/>
      <c r="F110" s="508"/>
      <c r="G110" s="509"/>
      <c r="H110" s="225"/>
      <c r="I110" s="510"/>
      <c r="J110" s="510"/>
      <c r="K110" s="510"/>
      <c r="L110" s="510"/>
      <c r="M110" s="510"/>
      <c r="N110" s="510"/>
      <c r="O110" s="510"/>
      <c r="P110" s="510"/>
      <c r="Q110" s="510"/>
      <c r="R110" s="510"/>
      <c r="S110" s="224"/>
      <c r="T110" s="225"/>
      <c r="U110" s="510"/>
      <c r="V110" s="510"/>
      <c r="W110" s="510"/>
      <c r="X110" s="510"/>
      <c r="Y110" s="510"/>
      <c r="Z110" s="510"/>
      <c r="AA110" s="510"/>
      <c r="AB110" s="510"/>
      <c r="AC110" s="510"/>
      <c r="AD110" s="510"/>
      <c r="AE110" s="226"/>
      <c r="AF110" s="224"/>
      <c r="AG110" s="510"/>
      <c r="AH110" s="510"/>
      <c r="AI110" s="510"/>
      <c r="AJ110" s="510"/>
      <c r="AK110" s="510"/>
      <c r="AL110" s="510"/>
      <c r="AM110" s="510"/>
      <c r="AN110" s="510"/>
      <c r="AO110" s="510"/>
      <c r="AP110" s="510"/>
      <c r="AQ110" s="224"/>
      <c r="AR110" s="225"/>
      <c r="AS110" s="510"/>
      <c r="AT110" s="510"/>
      <c r="AU110" s="510"/>
      <c r="AV110" s="510"/>
      <c r="AW110" s="510"/>
      <c r="AX110" s="510"/>
      <c r="AY110" s="510"/>
      <c r="AZ110" s="510"/>
      <c r="BA110" s="510"/>
      <c r="BB110" s="510"/>
      <c r="BC110" s="226"/>
      <c r="BD110" s="224"/>
      <c r="BE110" s="510"/>
      <c r="BF110" s="510"/>
      <c r="BG110" s="510"/>
      <c r="BH110" s="510"/>
      <c r="BI110" s="510"/>
      <c r="BJ110" s="510"/>
      <c r="BK110" s="510"/>
      <c r="BL110" s="510"/>
      <c r="BM110" s="510"/>
      <c r="BN110" s="510"/>
      <c r="BO110" s="510"/>
      <c r="BP110" s="224"/>
      <c r="BQ110" s="225"/>
      <c r="BR110" s="510"/>
      <c r="BS110" s="510"/>
      <c r="BT110" s="510"/>
      <c r="BU110" s="510"/>
      <c r="BV110" s="510"/>
      <c r="BW110" s="510"/>
      <c r="BX110" s="510"/>
      <c r="BY110" s="510"/>
      <c r="BZ110" s="510"/>
      <c r="CA110" s="510"/>
      <c r="CB110" s="510"/>
      <c r="CC110" s="171"/>
      <c r="CD110" s="93"/>
      <c r="CE110" s="93"/>
      <c r="CF110" s="74"/>
      <c r="CG110" s="29"/>
    </row>
    <row r="111" spans="1:85" s="3" customFormat="1" ht="19.5" customHeight="1">
      <c r="A111" s="28"/>
      <c r="B111" s="80"/>
      <c r="C111" s="92"/>
      <c r="D111" s="507" t="s">
        <v>116</v>
      </c>
      <c r="E111" s="508"/>
      <c r="F111" s="508"/>
      <c r="G111" s="509"/>
      <c r="H111" s="225"/>
      <c r="I111" s="522">
        <v>-600</v>
      </c>
      <c r="J111" s="522"/>
      <c r="K111" s="522"/>
      <c r="L111" s="522"/>
      <c r="M111" s="522"/>
      <c r="N111" s="522"/>
      <c r="O111" s="522"/>
      <c r="P111" s="522"/>
      <c r="Q111" s="522"/>
      <c r="R111" s="522"/>
      <c r="S111" s="224"/>
      <c r="T111" s="225"/>
      <c r="U111" s="522">
        <v>-1300</v>
      </c>
      <c r="V111" s="522"/>
      <c r="W111" s="522"/>
      <c r="X111" s="522"/>
      <c r="Y111" s="522"/>
      <c r="Z111" s="522"/>
      <c r="AA111" s="522"/>
      <c r="AB111" s="522"/>
      <c r="AC111" s="522"/>
      <c r="AD111" s="522"/>
      <c r="AE111" s="226"/>
      <c r="AF111" s="224"/>
      <c r="AG111" s="510">
        <f>SUM(AG80:AP110)</f>
        <v>490000000</v>
      </c>
      <c r="AH111" s="510"/>
      <c r="AI111" s="510"/>
      <c r="AJ111" s="510"/>
      <c r="AK111" s="510"/>
      <c r="AL111" s="510"/>
      <c r="AM111" s="510"/>
      <c r="AN111" s="510"/>
      <c r="AO111" s="510"/>
      <c r="AP111" s="510"/>
      <c r="AQ111" s="224"/>
      <c r="AR111" s="225"/>
      <c r="AS111" s="510">
        <f>SUM(AS80:BB110)</f>
        <v>1000000</v>
      </c>
      <c r="AT111" s="510"/>
      <c r="AU111" s="510"/>
      <c r="AV111" s="510"/>
      <c r="AW111" s="510"/>
      <c r="AX111" s="510"/>
      <c r="AY111" s="510"/>
      <c r="AZ111" s="510"/>
      <c r="BA111" s="510"/>
      <c r="BB111" s="510"/>
      <c r="BC111" s="226"/>
      <c r="BD111" s="224"/>
      <c r="BE111" s="510"/>
      <c r="BF111" s="510"/>
      <c r="BG111" s="510"/>
      <c r="BH111" s="510"/>
      <c r="BI111" s="510"/>
      <c r="BJ111" s="510"/>
      <c r="BK111" s="510"/>
      <c r="BL111" s="510"/>
      <c r="BM111" s="510"/>
      <c r="BN111" s="510"/>
      <c r="BO111" s="510"/>
      <c r="BP111" s="224"/>
      <c r="BQ111" s="224"/>
      <c r="BR111" s="510"/>
      <c r="BS111" s="510"/>
      <c r="BT111" s="510"/>
      <c r="BU111" s="510"/>
      <c r="BV111" s="510"/>
      <c r="BW111" s="510"/>
      <c r="BX111" s="510"/>
      <c r="BY111" s="510"/>
      <c r="BZ111" s="510"/>
      <c r="CA111" s="510"/>
      <c r="CB111" s="510"/>
      <c r="CC111" s="171"/>
      <c r="CD111" s="93"/>
      <c r="CE111" s="93"/>
      <c r="CF111" s="74"/>
      <c r="CG111" s="29"/>
    </row>
    <row r="112" spans="1:85" s="59" customFormat="1" ht="16.5" customHeight="1">
      <c r="A112" s="240"/>
      <c r="B112" s="227"/>
      <c r="C112" s="241"/>
      <c r="D112" s="241"/>
      <c r="E112" s="241"/>
      <c r="F112" s="241"/>
      <c r="G112" s="241"/>
      <c r="H112" s="241"/>
      <c r="I112" s="241"/>
      <c r="J112" s="241"/>
      <c r="K112" s="241"/>
      <c r="L112" s="242"/>
      <c r="M112" s="242"/>
      <c r="N112" s="242"/>
      <c r="O112" s="242"/>
      <c r="P112" s="242"/>
      <c r="Q112" s="242"/>
      <c r="R112" s="242"/>
      <c r="S112" s="242"/>
      <c r="T112" s="242"/>
      <c r="U112" s="242"/>
      <c r="V112" s="242"/>
      <c r="W112" s="242"/>
      <c r="X112" s="242"/>
      <c r="Y112" s="242"/>
      <c r="Z112" s="242"/>
      <c r="AA112" s="242"/>
      <c r="AB112" s="242"/>
      <c r="AC112" s="242"/>
      <c r="AD112" s="242"/>
      <c r="AE112" s="242"/>
      <c r="AF112" s="242"/>
      <c r="AG112" s="242"/>
      <c r="AH112" s="242"/>
      <c r="AI112" s="242"/>
      <c r="AJ112" s="242"/>
      <c r="AK112" s="242"/>
      <c r="AL112" s="242"/>
      <c r="AM112" s="242"/>
      <c r="AN112" s="242"/>
      <c r="AO112" s="242"/>
      <c r="AP112" s="242"/>
      <c r="AQ112" s="242"/>
      <c r="AR112" s="242"/>
      <c r="AS112" s="242"/>
      <c r="AT112" s="242"/>
      <c r="AU112" s="242"/>
      <c r="AV112" s="242"/>
      <c r="AW112" s="242"/>
      <c r="AX112" s="242"/>
      <c r="AY112" s="242"/>
      <c r="AZ112" s="242"/>
      <c r="BA112" s="242"/>
      <c r="BB112" s="242"/>
      <c r="BC112" s="242"/>
      <c r="BD112" s="242"/>
      <c r="BE112" s="242"/>
      <c r="BF112" s="242"/>
      <c r="BG112" s="242"/>
      <c r="BH112" s="242"/>
      <c r="BI112" s="242"/>
      <c r="BJ112" s="242"/>
      <c r="BK112" s="242"/>
      <c r="BL112" s="242"/>
      <c r="BM112" s="242"/>
      <c r="BN112" s="242"/>
      <c r="BO112" s="242"/>
      <c r="BP112" s="242"/>
      <c r="BQ112" s="242"/>
      <c r="BR112" s="242"/>
      <c r="BS112" s="242"/>
      <c r="BT112" s="242"/>
      <c r="BU112" s="242"/>
      <c r="BV112" s="242"/>
      <c r="BW112" s="242"/>
      <c r="BX112" s="242"/>
      <c r="BY112" s="242"/>
      <c r="BZ112" s="242"/>
      <c r="CA112" s="242"/>
      <c r="CB112" s="242"/>
      <c r="CC112" s="243"/>
      <c r="CD112" s="243"/>
      <c r="CE112" s="243"/>
      <c r="CF112" s="228"/>
      <c r="CG112" s="244"/>
    </row>
    <row r="113" spans="1:85" s="59" customFormat="1" ht="18.649999999999999" customHeight="1">
      <c r="A113" s="240"/>
      <c r="B113" s="227"/>
      <c r="C113" s="241"/>
      <c r="D113" s="309" t="s">
        <v>335</v>
      </c>
      <c r="E113" s="310"/>
      <c r="F113" s="310"/>
      <c r="G113" s="310"/>
      <c r="H113" s="310"/>
      <c r="I113" s="310"/>
      <c r="J113" s="310"/>
      <c r="K113" s="310"/>
      <c r="L113" s="310"/>
      <c r="M113" s="310"/>
      <c r="N113" s="310"/>
      <c r="O113" s="310"/>
      <c r="P113" s="310"/>
      <c r="Q113" s="310"/>
      <c r="R113" s="310"/>
      <c r="S113" s="310"/>
      <c r="T113" s="310"/>
      <c r="U113" s="310"/>
      <c r="V113" s="310"/>
      <c r="W113" s="310"/>
      <c r="X113" s="310"/>
      <c r="Y113" s="310"/>
      <c r="Z113" s="310"/>
      <c r="AA113" s="310"/>
      <c r="AB113" s="310"/>
      <c r="AC113" s="310"/>
      <c r="AD113" s="310"/>
      <c r="AE113" s="310"/>
      <c r="AF113" s="310"/>
      <c r="AG113" s="310"/>
      <c r="AH113" s="310"/>
      <c r="AI113" s="310"/>
      <c r="AJ113" s="310"/>
      <c r="AK113" s="310"/>
      <c r="AL113" s="310"/>
      <c r="AM113" s="310"/>
      <c r="AN113" s="310"/>
      <c r="AO113" s="310"/>
      <c r="AP113" s="310"/>
      <c r="AQ113" s="310"/>
      <c r="AR113" s="310"/>
      <c r="AS113" s="310"/>
      <c r="AT113" s="310"/>
      <c r="AU113" s="310"/>
      <c r="AV113" s="310"/>
      <c r="AW113" s="310"/>
      <c r="AX113" s="310"/>
      <c r="AY113" s="310"/>
      <c r="AZ113" s="310"/>
      <c r="BA113" s="310"/>
      <c r="BB113" s="310"/>
      <c r="BC113" s="310"/>
      <c r="BD113" s="310"/>
      <c r="BE113" s="310"/>
      <c r="BF113" s="310"/>
      <c r="BG113" s="310"/>
      <c r="BH113" s="310"/>
      <c r="BI113" s="310"/>
      <c r="BJ113" s="310"/>
      <c r="BK113" s="310"/>
      <c r="BL113" s="310"/>
      <c r="BM113" s="310"/>
      <c r="BN113" s="310"/>
      <c r="BO113" s="310"/>
      <c r="BP113" s="310"/>
      <c r="BQ113" s="310"/>
      <c r="BR113" s="310"/>
      <c r="BS113" s="310"/>
      <c r="BT113" s="310"/>
      <c r="BU113" s="310"/>
      <c r="BV113" s="310"/>
      <c r="BW113" s="310"/>
      <c r="BX113" s="310"/>
      <c r="BY113" s="310"/>
      <c r="BZ113" s="310"/>
      <c r="CA113" s="310"/>
      <c r="CB113" s="310"/>
      <c r="CC113" s="311"/>
      <c r="CD113" s="243"/>
      <c r="CE113" s="243"/>
      <c r="CF113" s="228"/>
      <c r="CG113" s="244"/>
    </row>
    <row r="114" spans="1:85" s="59" customFormat="1" ht="18.649999999999999" customHeight="1">
      <c r="A114" s="240"/>
      <c r="B114" s="227"/>
      <c r="C114" s="241"/>
      <c r="D114" s="521" t="s">
        <v>336</v>
      </c>
      <c r="E114" s="521"/>
      <c r="F114" s="521"/>
      <c r="G114" s="521"/>
      <c r="H114" s="521"/>
      <c r="I114" s="521"/>
      <c r="J114" s="521"/>
      <c r="K114" s="521"/>
      <c r="L114" s="521"/>
      <c r="M114" s="521"/>
      <c r="N114" s="521"/>
      <c r="O114" s="521"/>
      <c r="P114" s="521"/>
      <c r="Q114" s="521" t="s">
        <v>337</v>
      </c>
      <c r="R114" s="521"/>
      <c r="S114" s="521"/>
      <c r="T114" s="521"/>
      <c r="U114" s="521"/>
      <c r="V114" s="521"/>
      <c r="W114" s="521"/>
      <c r="X114" s="521"/>
      <c r="Y114" s="521"/>
      <c r="Z114" s="521"/>
      <c r="AA114" s="521"/>
      <c r="AB114" s="521"/>
      <c r="AC114" s="521"/>
      <c r="AD114" s="521" t="s">
        <v>338</v>
      </c>
      <c r="AE114" s="521"/>
      <c r="AF114" s="521"/>
      <c r="AG114" s="521"/>
      <c r="AH114" s="521"/>
      <c r="AI114" s="521"/>
      <c r="AJ114" s="521"/>
      <c r="AK114" s="521"/>
      <c r="AL114" s="521"/>
      <c r="AM114" s="521"/>
      <c r="AN114" s="521"/>
      <c r="AO114" s="521"/>
      <c r="AP114" s="521"/>
      <c r="AQ114" s="521"/>
      <c r="AR114" s="521"/>
      <c r="AS114" s="521"/>
      <c r="AT114" s="521"/>
      <c r="AU114" s="521"/>
      <c r="AV114" s="521"/>
      <c r="AW114" s="521"/>
      <c r="AX114" s="521"/>
      <c r="AY114" s="521"/>
      <c r="AZ114" s="521"/>
      <c r="BA114" s="521"/>
      <c r="BB114" s="521"/>
      <c r="BC114" s="521"/>
      <c r="BD114" s="309" t="s">
        <v>339</v>
      </c>
      <c r="BE114" s="310"/>
      <c r="BF114" s="310"/>
      <c r="BG114" s="310"/>
      <c r="BH114" s="310"/>
      <c r="BI114" s="310"/>
      <c r="BJ114" s="310"/>
      <c r="BK114" s="310"/>
      <c r="BL114" s="310"/>
      <c r="BM114" s="310"/>
      <c r="BN114" s="310"/>
      <c r="BO114" s="310"/>
      <c r="BP114" s="310"/>
      <c r="BQ114" s="310"/>
      <c r="BR114" s="310"/>
      <c r="BS114" s="310"/>
      <c r="BT114" s="310"/>
      <c r="BU114" s="310"/>
      <c r="BV114" s="310"/>
      <c r="BW114" s="310"/>
      <c r="BX114" s="310"/>
      <c r="BY114" s="310"/>
      <c r="BZ114" s="310"/>
      <c r="CA114" s="310"/>
      <c r="CB114" s="310"/>
      <c r="CC114" s="311"/>
      <c r="CD114" s="243"/>
      <c r="CE114" s="243"/>
      <c r="CF114" s="228"/>
      <c r="CG114" s="244"/>
    </row>
    <row r="115" spans="1:85" s="59" customFormat="1" ht="18.649999999999999" customHeight="1">
      <c r="A115" s="240"/>
      <c r="B115" s="227"/>
      <c r="C115" s="241"/>
      <c r="D115" s="229"/>
      <c r="E115" s="230"/>
      <c r="F115" s="230"/>
      <c r="G115" s="230"/>
      <c r="H115" s="230"/>
      <c r="I115" s="230"/>
      <c r="J115" s="230"/>
      <c r="K115" s="231"/>
      <c r="L115" s="232"/>
      <c r="M115" s="232"/>
      <c r="N115" s="232"/>
      <c r="O115" s="232"/>
      <c r="P115" s="233"/>
      <c r="Q115" s="108"/>
      <c r="R115" s="98"/>
      <c r="S115" s="98"/>
      <c r="T115" s="97"/>
      <c r="U115" s="97"/>
      <c r="V115" s="97"/>
      <c r="W115" s="97"/>
      <c r="X115" s="97"/>
      <c r="Y115" s="97"/>
      <c r="Z115" s="97"/>
      <c r="AA115" s="97"/>
      <c r="AB115" s="97"/>
      <c r="AC115" s="97"/>
      <c r="AD115" s="96"/>
      <c r="AE115" s="98"/>
      <c r="AF115" s="98"/>
      <c r="AG115" s="98"/>
      <c r="AH115" s="98"/>
      <c r="AI115" s="98"/>
      <c r="AJ115" s="98"/>
      <c r="AK115" s="98"/>
      <c r="AL115" s="98"/>
      <c r="AM115" s="98"/>
      <c r="AN115" s="98"/>
      <c r="AO115" s="98"/>
      <c r="AP115" s="98"/>
      <c r="AQ115" s="98"/>
      <c r="AR115" s="98"/>
      <c r="AS115" s="98"/>
      <c r="AT115" s="98"/>
      <c r="AU115" s="98"/>
      <c r="AV115" s="98"/>
      <c r="AW115" s="98"/>
      <c r="AX115" s="97"/>
      <c r="AY115" s="97"/>
      <c r="AZ115" s="97"/>
      <c r="BA115" s="97"/>
      <c r="BB115" s="97"/>
      <c r="BC115" s="99"/>
      <c r="BD115" s="97"/>
      <c r="BE115" s="97"/>
      <c r="BF115" s="97"/>
      <c r="BG115" s="97"/>
      <c r="BH115" s="97"/>
      <c r="BI115" s="97"/>
      <c r="BJ115" s="97"/>
      <c r="BK115" s="97"/>
      <c r="BL115" s="97"/>
      <c r="BM115" s="97"/>
      <c r="BN115" s="97"/>
      <c r="BO115" s="97"/>
      <c r="BP115" s="97"/>
      <c r="BQ115" s="97"/>
      <c r="BR115" s="97"/>
      <c r="BS115" s="97"/>
      <c r="BT115" s="97"/>
      <c r="BU115" s="98"/>
      <c r="BV115" s="98"/>
      <c r="BW115" s="98"/>
      <c r="BX115" s="98"/>
      <c r="BY115" s="98"/>
      <c r="BZ115" s="98"/>
      <c r="CA115" s="98"/>
      <c r="CB115" s="98"/>
      <c r="CC115" s="107"/>
      <c r="CD115" s="243"/>
      <c r="CE115" s="243"/>
      <c r="CF115" s="228"/>
      <c r="CG115" s="244"/>
    </row>
    <row r="116" spans="1:85" s="59" customFormat="1" ht="18.649999999999999" customHeight="1">
      <c r="A116" s="240"/>
      <c r="B116" s="227"/>
      <c r="C116" s="241"/>
      <c r="D116" s="96"/>
      <c r="E116" s="97"/>
      <c r="F116" s="97"/>
      <c r="G116" s="97"/>
      <c r="H116" s="97"/>
      <c r="I116" s="97"/>
      <c r="J116" s="97"/>
      <c r="K116" s="234"/>
      <c r="L116" s="98"/>
      <c r="M116" s="98"/>
      <c r="N116" s="98"/>
      <c r="O116" s="98"/>
      <c r="P116" s="107"/>
      <c r="Q116" s="108"/>
      <c r="R116" s="98"/>
      <c r="S116" s="98"/>
      <c r="T116" s="97"/>
      <c r="U116" s="97"/>
      <c r="V116" s="97"/>
      <c r="W116" s="97"/>
      <c r="X116" s="97"/>
      <c r="Y116" s="97"/>
      <c r="Z116" s="97"/>
      <c r="AA116" s="97"/>
      <c r="AB116" s="98"/>
      <c r="AC116" s="107"/>
      <c r="AD116" s="96"/>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7"/>
      <c r="BA116" s="97"/>
      <c r="BB116" s="97"/>
      <c r="BC116" s="99"/>
      <c r="BD116" s="97"/>
      <c r="BE116" s="97"/>
      <c r="BF116" s="97"/>
      <c r="BG116" s="97"/>
      <c r="BH116" s="97"/>
      <c r="BI116" s="97"/>
      <c r="BJ116" s="97"/>
      <c r="BK116" s="97"/>
      <c r="BL116" s="97"/>
      <c r="BM116" s="97"/>
      <c r="BN116" s="97"/>
      <c r="BO116" s="97"/>
      <c r="BP116" s="97"/>
      <c r="BQ116" s="97"/>
      <c r="BR116" s="97"/>
      <c r="BS116" s="97"/>
      <c r="BT116" s="97"/>
      <c r="BU116" s="98"/>
      <c r="BV116" s="98"/>
      <c r="BW116" s="98"/>
      <c r="BX116" s="98"/>
      <c r="BY116" s="98"/>
      <c r="BZ116" s="98"/>
      <c r="CA116" s="98"/>
      <c r="CB116" s="98"/>
      <c r="CC116" s="107"/>
      <c r="CD116" s="243"/>
      <c r="CE116" s="243"/>
      <c r="CF116" s="228"/>
      <c r="CG116" s="244"/>
    </row>
    <row r="117" spans="1:85" s="59" customFormat="1" ht="18.649999999999999" customHeight="1">
      <c r="A117" s="240"/>
      <c r="B117" s="227"/>
      <c r="C117" s="241"/>
      <c r="D117" s="96"/>
      <c r="E117" s="97"/>
      <c r="F117" s="97"/>
      <c r="G117" s="97"/>
      <c r="H117" s="97"/>
      <c r="I117" s="97"/>
      <c r="J117" s="97"/>
      <c r="K117" s="234"/>
      <c r="L117" s="98"/>
      <c r="M117" s="98"/>
      <c r="N117" s="98"/>
      <c r="O117" s="98"/>
      <c r="P117" s="107"/>
      <c r="Q117" s="108"/>
      <c r="R117" s="234"/>
      <c r="S117" s="97"/>
      <c r="T117" s="97"/>
      <c r="U117" s="97"/>
      <c r="V117" s="97"/>
      <c r="W117" s="97"/>
      <c r="X117" s="98"/>
      <c r="Y117" s="98"/>
      <c r="Z117" s="98"/>
      <c r="AA117" s="98"/>
      <c r="AB117" s="97"/>
      <c r="AC117" s="97"/>
      <c r="AD117" s="96"/>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7"/>
      <c r="BA117" s="97"/>
      <c r="BB117" s="97"/>
      <c r="BC117" s="99"/>
      <c r="BD117" s="97"/>
      <c r="BE117" s="97"/>
      <c r="BF117" s="97"/>
      <c r="BG117" s="235"/>
      <c r="BH117" s="235"/>
      <c r="BI117" s="97"/>
      <c r="BJ117" s="97"/>
      <c r="BK117" s="97"/>
      <c r="BL117" s="97"/>
      <c r="BM117" s="97"/>
      <c r="BN117" s="97"/>
      <c r="BO117" s="97"/>
      <c r="BP117" s="97"/>
      <c r="BQ117" s="97"/>
      <c r="BR117" s="97"/>
      <c r="BS117" s="97"/>
      <c r="BT117" s="236"/>
      <c r="BU117" s="97"/>
      <c r="BV117" s="97"/>
      <c r="BW117" s="236"/>
      <c r="BX117" s="97"/>
      <c r="BY117" s="97"/>
      <c r="BZ117" s="97"/>
      <c r="CA117" s="97"/>
      <c r="CB117" s="97"/>
      <c r="CC117" s="99"/>
      <c r="CD117" s="243"/>
      <c r="CE117" s="243"/>
      <c r="CF117" s="228"/>
      <c r="CG117" s="244"/>
    </row>
    <row r="118" spans="1:85" s="3" customFormat="1" ht="19.5" customHeight="1">
      <c r="A118" s="28"/>
      <c r="B118" s="80"/>
      <c r="C118" s="92"/>
      <c r="D118" s="113"/>
      <c r="E118" s="113"/>
      <c r="F118" s="113"/>
      <c r="G118" s="113"/>
      <c r="H118" s="114"/>
      <c r="I118" s="115"/>
      <c r="J118" s="114"/>
      <c r="K118" s="114"/>
      <c r="L118" s="114"/>
      <c r="M118" s="114"/>
      <c r="N118" s="114"/>
      <c r="O118" s="115"/>
      <c r="P118" s="114"/>
      <c r="Q118" s="114"/>
      <c r="R118" s="114"/>
      <c r="S118" s="114"/>
      <c r="T118" s="114"/>
      <c r="U118" s="115"/>
      <c r="V118" s="114"/>
      <c r="W118" s="116"/>
      <c r="X118" s="116"/>
      <c r="Y118" s="116"/>
      <c r="Z118" s="116"/>
      <c r="AA118" s="116"/>
      <c r="AB118" s="116"/>
      <c r="AC118" s="116"/>
      <c r="AD118" s="117"/>
      <c r="AE118" s="117"/>
      <c r="AF118" s="118"/>
      <c r="AG118" s="118"/>
      <c r="AH118" s="114"/>
      <c r="AI118" s="114"/>
      <c r="AJ118" s="114"/>
      <c r="AK118" s="114"/>
      <c r="AL118" s="114"/>
      <c r="AM118" s="114"/>
      <c r="AN118" s="114"/>
      <c r="AO118" s="114"/>
      <c r="AP118" s="114"/>
      <c r="AQ118" s="114"/>
      <c r="AR118" s="114"/>
      <c r="AS118" s="114"/>
      <c r="AT118" s="114"/>
      <c r="AU118" s="114"/>
      <c r="AV118" s="114"/>
      <c r="AW118" s="114"/>
      <c r="AX118" s="114"/>
      <c r="AY118" s="114"/>
      <c r="AZ118" s="114"/>
      <c r="BA118" s="114"/>
      <c r="BB118" s="114"/>
      <c r="BC118" s="114"/>
      <c r="BD118" s="114"/>
      <c r="BE118" s="114"/>
      <c r="BF118" s="114"/>
      <c r="BG118" s="114"/>
      <c r="BH118" s="114"/>
      <c r="BI118" s="114"/>
      <c r="BJ118" s="114"/>
      <c r="BK118" s="114"/>
      <c r="BL118" s="114"/>
      <c r="BM118" s="114"/>
      <c r="BN118" s="114"/>
      <c r="BO118" s="114"/>
      <c r="BP118" s="114"/>
      <c r="BQ118" s="114"/>
      <c r="BR118" s="114"/>
      <c r="BS118" s="114"/>
      <c r="BT118" s="114"/>
      <c r="BU118" s="114"/>
      <c r="BV118" s="114"/>
      <c r="BW118" s="114"/>
      <c r="BX118" s="114"/>
      <c r="BY118" s="114"/>
      <c r="BZ118" s="118"/>
      <c r="CA118" s="118"/>
      <c r="CB118" s="114"/>
      <c r="CC118" s="114"/>
      <c r="CD118" s="93"/>
      <c r="CE118" s="93"/>
      <c r="CF118" s="74"/>
      <c r="CG118" s="29"/>
    </row>
    <row r="119" spans="1:85" s="3" customFormat="1" ht="19.5" customHeight="1">
      <c r="A119" s="28"/>
      <c r="B119" s="80"/>
      <c r="C119" s="92"/>
      <c r="D119" s="113"/>
      <c r="E119" s="113"/>
      <c r="F119" s="113"/>
      <c r="G119" s="113"/>
      <c r="H119" s="114"/>
      <c r="I119" s="115"/>
      <c r="J119" s="114"/>
      <c r="K119" s="114"/>
      <c r="L119" s="114"/>
      <c r="M119" s="114"/>
      <c r="N119" s="114"/>
      <c r="O119" s="115"/>
      <c r="P119" s="114"/>
      <c r="Q119" s="114"/>
      <c r="R119" s="114"/>
      <c r="S119" s="114"/>
      <c r="T119" s="114"/>
      <c r="U119" s="115"/>
      <c r="V119" s="114"/>
      <c r="W119" s="116"/>
      <c r="X119" s="116"/>
      <c r="Y119" s="116"/>
      <c r="Z119" s="116"/>
      <c r="AA119" s="116"/>
      <c r="AB119" s="116"/>
      <c r="AC119" s="116"/>
      <c r="AD119" s="117"/>
      <c r="AE119" s="117"/>
      <c r="AF119" s="118"/>
      <c r="AG119" s="118"/>
      <c r="AH119" s="114"/>
      <c r="AI119" s="114"/>
      <c r="AJ119" s="114"/>
      <c r="AK119" s="114"/>
      <c r="AL119" s="114"/>
      <c r="AM119" s="114"/>
      <c r="AN119" s="114"/>
      <c r="AO119" s="114"/>
      <c r="AP119" s="114"/>
      <c r="AQ119" s="114"/>
      <c r="AR119" s="114"/>
      <c r="AS119" s="114"/>
      <c r="AT119" s="114"/>
      <c r="AU119" s="114"/>
      <c r="AV119" s="114"/>
      <c r="AW119" s="114"/>
      <c r="AX119" s="114"/>
      <c r="AY119" s="114"/>
      <c r="AZ119" s="114"/>
      <c r="BA119" s="114"/>
      <c r="BB119" s="114"/>
      <c r="BC119" s="114"/>
      <c r="BD119" s="114"/>
      <c r="BE119" s="114"/>
      <c r="BF119" s="114"/>
      <c r="BG119" s="114"/>
      <c r="BH119" s="114"/>
      <c r="BI119" s="114"/>
      <c r="BJ119" s="114"/>
      <c r="BK119" s="114"/>
      <c r="BL119" s="114"/>
      <c r="BM119" s="114"/>
      <c r="BN119" s="114"/>
      <c r="BO119" s="114"/>
      <c r="BP119" s="114"/>
      <c r="BQ119" s="114"/>
      <c r="BR119" s="114"/>
      <c r="BS119" s="114"/>
      <c r="BT119" s="114"/>
      <c r="BU119" s="114"/>
      <c r="BV119" s="114"/>
      <c r="BW119" s="114"/>
      <c r="BX119" s="114"/>
      <c r="BY119" s="114"/>
      <c r="BZ119" s="118"/>
      <c r="CA119" s="118"/>
      <c r="CB119" s="114"/>
      <c r="CC119" s="114"/>
      <c r="CD119" s="93"/>
      <c r="CE119" s="93"/>
      <c r="CF119" s="74"/>
      <c r="CG119" s="29"/>
    </row>
    <row r="120" spans="1:85" s="3" customFormat="1" ht="19.5" customHeight="1">
      <c r="A120" s="28"/>
      <c r="B120" s="80"/>
      <c r="C120" s="92"/>
      <c r="D120" s="113"/>
      <c r="E120" s="113"/>
      <c r="F120" s="113"/>
      <c r="G120" s="113"/>
      <c r="H120" s="114"/>
      <c r="I120" s="115"/>
      <c r="J120" s="114"/>
      <c r="K120" s="114"/>
      <c r="L120" s="114"/>
      <c r="M120" s="114"/>
      <c r="N120" s="114"/>
      <c r="O120" s="115"/>
      <c r="P120" s="114"/>
      <c r="Q120" s="114"/>
      <c r="R120" s="114"/>
      <c r="S120" s="114"/>
      <c r="T120" s="114"/>
      <c r="U120" s="115"/>
      <c r="V120" s="114"/>
      <c r="W120" s="116"/>
      <c r="X120" s="116"/>
      <c r="Y120" s="116"/>
      <c r="Z120" s="116"/>
      <c r="AA120" s="116"/>
      <c r="AB120" s="116"/>
      <c r="AC120" s="116"/>
      <c r="AD120" s="117"/>
      <c r="AE120" s="117"/>
      <c r="AF120" s="118"/>
      <c r="AG120" s="118"/>
      <c r="AH120" s="114"/>
      <c r="AI120" s="114"/>
      <c r="AJ120" s="114"/>
      <c r="AK120" s="114"/>
      <c r="AL120" s="114"/>
      <c r="AM120" s="114"/>
      <c r="AN120" s="114"/>
      <c r="AO120" s="114"/>
      <c r="AP120" s="114"/>
      <c r="AQ120" s="114"/>
      <c r="AR120" s="114"/>
      <c r="AS120" s="114"/>
      <c r="AT120" s="114"/>
      <c r="AU120" s="114"/>
      <c r="AV120" s="114"/>
      <c r="AW120" s="114"/>
      <c r="AX120" s="114"/>
      <c r="AY120" s="114"/>
      <c r="AZ120" s="114"/>
      <c r="BA120" s="114"/>
      <c r="BB120" s="114"/>
      <c r="BC120" s="114"/>
      <c r="BD120" s="114"/>
      <c r="BE120" s="114"/>
      <c r="BF120" s="114"/>
      <c r="BG120" s="114"/>
      <c r="BH120" s="114"/>
      <c r="BI120" s="114"/>
      <c r="BJ120" s="114"/>
      <c r="BK120" s="114"/>
      <c r="BL120" s="114"/>
      <c r="BM120" s="114"/>
      <c r="BN120" s="114"/>
      <c r="BO120" s="114"/>
      <c r="BP120" s="114"/>
      <c r="BQ120" s="114"/>
      <c r="BR120" s="114"/>
      <c r="BS120" s="114"/>
      <c r="BT120" s="114"/>
      <c r="BU120" s="114"/>
      <c r="BV120" s="114"/>
      <c r="BW120" s="114"/>
      <c r="BX120" s="114"/>
      <c r="BY120" s="114"/>
      <c r="BZ120" s="118"/>
      <c r="CA120" s="118"/>
      <c r="CB120" s="114"/>
      <c r="CC120" s="114"/>
      <c r="CD120" s="93"/>
      <c r="CE120" s="93"/>
      <c r="CF120" s="74"/>
      <c r="CG120" s="29"/>
    </row>
    <row r="121" spans="1:85" s="3" customFormat="1" ht="19.5" customHeight="1" thickBot="1">
      <c r="A121" s="28"/>
      <c r="B121" s="81"/>
      <c r="C121" s="82"/>
      <c r="D121" s="82"/>
      <c r="E121" s="82"/>
      <c r="F121" s="82"/>
      <c r="G121" s="82"/>
      <c r="H121" s="82"/>
      <c r="I121" s="82"/>
      <c r="J121" s="82"/>
      <c r="K121" s="82"/>
      <c r="L121" s="75"/>
      <c r="M121" s="75"/>
      <c r="N121" s="75"/>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c r="BQ121" s="76"/>
      <c r="BR121" s="76"/>
      <c r="BS121" s="76"/>
      <c r="BT121" s="76"/>
      <c r="BU121" s="76"/>
      <c r="BV121" s="76"/>
      <c r="BW121" s="76"/>
      <c r="BX121" s="76"/>
      <c r="BY121" s="76"/>
      <c r="BZ121" s="75"/>
      <c r="CA121" s="75"/>
      <c r="CB121" s="76"/>
      <c r="CC121" s="76"/>
      <c r="CD121" s="76"/>
      <c r="CE121" s="76"/>
      <c r="CF121" s="77"/>
      <c r="CG121" s="29"/>
    </row>
    <row r="122" spans="1:85" s="3" customFormat="1" ht="19.5" customHeight="1">
      <c r="A122" s="135"/>
      <c r="B122" s="136"/>
      <c r="C122" s="136"/>
      <c r="D122" s="137"/>
      <c r="E122" s="137"/>
      <c r="F122" s="137"/>
      <c r="G122" s="137"/>
      <c r="H122" s="137"/>
      <c r="I122" s="137"/>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7"/>
      <c r="AS122" s="137"/>
      <c r="AT122" s="137"/>
      <c r="AU122" s="137"/>
      <c r="AV122" s="137"/>
      <c r="AW122" s="137"/>
      <c r="AX122" s="137"/>
      <c r="AY122" s="137"/>
      <c r="AZ122" s="137"/>
      <c r="BA122" s="137"/>
      <c r="BB122" s="137"/>
      <c r="BC122" s="137"/>
      <c r="BD122" s="137"/>
      <c r="BE122" s="137"/>
      <c r="BF122" s="137"/>
      <c r="BG122" s="137"/>
      <c r="BH122" s="137"/>
      <c r="BI122" s="137"/>
      <c r="BJ122" s="137"/>
      <c r="BK122" s="137"/>
      <c r="BL122" s="137"/>
      <c r="BM122" s="137"/>
      <c r="BN122" s="137"/>
      <c r="BO122" s="137"/>
      <c r="BP122" s="137"/>
      <c r="BQ122" s="137"/>
      <c r="BR122" s="137"/>
      <c r="BS122" s="137"/>
      <c r="BT122" s="137"/>
      <c r="BU122" s="137"/>
      <c r="BV122" s="137"/>
      <c r="BW122" s="137"/>
      <c r="BX122" s="138"/>
      <c r="BY122" s="137"/>
      <c r="BZ122" s="137"/>
      <c r="CA122" s="137"/>
      <c r="CB122" s="138"/>
      <c r="CC122" s="138"/>
      <c r="CD122" s="137"/>
      <c r="CE122" s="137"/>
      <c r="CF122" s="139"/>
      <c r="CG122" s="140"/>
    </row>
    <row r="123" spans="1:85" ht="8.25" customHeight="1">
      <c r="A123" s="126"/>
      <c r="CG123" s="127"/>
    </row>
    <row r="124" spans="1:85" s="2" customFormat="1" ht="19.5" customHeight="1">
      <c r="A124" s="31"/>
      <c r="B124" s="32" t="s">
        <v>25</v>
      </c>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53"/>
    </row>
    <row r="125" spans="1:85" s="3" customFormat="1" ht="19.5" customHeight="1">
      <c r="A125" s="28"/>
      <c r="B125" s="257" t="s">
        <v>26</v>
      </c>
      <c r="C125" s="258"/>
      <c r="D125" s="258"/>
      <c r="E125" s="258"/>
      <c r="F125" s="258"/>
      <c r="G125" s="258"/>
      <c r="H125" s="258"/>
      <c r="I125" s="258"/>
      <c r="J125" s="258"/>
      <c r="K125" s="258"/>
      <c r="L125" s="258"/>
      <c r="M125" s="258"/>
      <c r="N125" s="258"/>
      <c r="O125" s="258"/>
      <c r="P125" s="259"/>
      <c r="Q125" s="257" t="s">
        <v>27</v>
      </c>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c r="BM125" s="259"/>
      <c r="BN125" s="257" t="s">
        <v>28</v>
      </c>
      <c r="BO125" s="258"/>
      <c r="BP125" s="258"/>
      <c r="BQ125" s="258"/>
      <c r="BR125" s="258"/>
      <c r="BS125" s="258"/>
      <c r="BT125" s="258"/>
      <c r="BU125" s="258"/>
      <c r="BV125" s="258"/>
      <c r="BW125" s="258"/>
      <c r="BX125" s="258"/>
      <c r="BY125" s="258"/>
      <c r="BZ125" s="258"/>
      <c r="CA125" s="258"/>
      <c r="CB125" s="258"/>
      <c r="CC125" s="258"/>
      <c r="CD125" s="258"/>
      <c r="CE125" s="258"/>
      <c r="CF125" s="259"/>
      <c r="CG125" s="29"/>
    </row>
    <row r="126" spans="1:85" s="2" customFormat="1" ht="30.75" customHeight="1">
      <c r="A126" s="33"/>
      <c r="B126" s="260" t="s">
        <v>291</v>
      </c>
      <c r="C126" s="261"/>
      <c r="D126" s="261"/>
      <c r="E126" s="261"/>
      <c r="F126" s="261"/>
      <c r="G126" s="261"/>
      <c r="H126" s="261"/>
      <c r="I126" s="261"/>
      <c r="J126" s="261"/>
      <c r="K126" s="261"/>
      <c r="L126" s="261"/>
      <c r="M126" s="261"/>
      <c r="N126" s="261"/>
      <c r="O126" s="261"/>
      <c r="P126" s="262"/>
      <c r="Q126" s="498"/>
      <c r="R126" s="499"/>
      <c r="S126" s="499"/>
      <c r="T126" s="499"/>
      <c r="U126" s="499"/>
      <c r="V126" s="499"/>
      <c r="W126" s="499"/>
      <c r="X126" s="499"/>
      <c r="Y126" s="499"/>
      <c r="Z126" s="499"/>
      <c r="AA126" s="499"/>
      <c r="AB126" s="499"/>
      <c r="AC126" s="499"/>
      <c r="AD126" s="499"/>
      <c r="AE126" s="499"/>
      <c r="AF126" s="499"/>
      <c r="AG126" s="499"/>
      <c r="AH126" s="499"/>
      <c r="AI126" s="499"/>
      <c r="AJ126" s="499"/>
      <c r="AK126" s="499"/>
      <c r="AL126" s="499"/>
      <c r="AM126" s="499"/>
      <c r="AN126" s="499"/>
      <c r="AO126" s="499"/>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500"/>
      <c r="BN126" s="501"/>
      <c r="BO126" s="502"/>
      <c r="BP126" s="502"/>
      <c r="BQ126" s="502"/>
      <c r="BR126" s="502"/>
      <c r="BS126" s="502"/>
      <c r="BT126" s="502"/>
      <c r="BU126" s="502"/>
      <c r="BV126" s="502"/>
      <c r="BW126" s="502"/>
      <c r="BX126" s="502"/>
      <c r="BY126" s="502"/>
      <c r="BZ126" s="502"/>
      <c r="CA126" s="502"/>
      <c r="CB126" s="502"/>
      <c r="CC126" s="502"/>
      <c r="CD126" s="502"/>
      <c r="CE126" s="502"/>
      <c r="CF126" s="503"/>
      <c r="CG126" s="51"/>
    </row>
    <row r="127" spans="1:85" s="2" customFormat="1" ht="30.75" customHeight="1">
      <c r="A127" s="33"/>
      <c r="B127" s="260" t="s">
        <v>304</v>
      </c>
      <c r="C127" s="261"/>
      <c r="D127" s="261"/>
      <c r="E127" s="261"/>
      <c r="F127" s="261"/>
      <c r="G127" s="261"/>
      <c r="H127" s="261"/>
      <c r="I127" s="261"/>
      <c r="J127" s="261"/>
      <c r="K127" s="261"/>
      <c r="L127" s="261"/>
      <c r="M127" s="261"/>
      <c r="N127" s="261"/>
      <c r="O127" s="261"/>
      <c r="P127" s="262"/>
      <c r="Q127" s="498" t="s">
        <v>204</v>
      </c>
      <c r="R127" s="499"/>
      <c r="S127" s="499"/>
      <c r="T127" s="499"/>
      <c r="U127" s="499"/>
      <c r="V127" s="499"/>
      <c r="W127" s="499"/>
      <c r="X127" s="499"/>
      <c r="Y127" s="499"/>
      <c r="Z127" s="499"/>
      <c r="AA127" s="499"/>
      <c r="AB127" s="499"/>
      <c r="AC127" s="499"/>
      <c r="AD127" s="499"/>
      <c r="AE127" s="499"/>
      <c r="AF127" s="499"/>
      <c r="AG127" s="499"/>
      <c r="AH127" s="499"/>
      <c r="AI127" s="499"/>
      <c r="AJ127" s="499"/>
      <c r="AK127" s="499"/>
      <c r="AL127" s="499"/>
      <c r="AM127" s="499"/>
      <c r="AN127" s="499"/>
      <c r="AO127" s="499"/>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500"/>
      <c r="BN127" s="501"/>
      <c r="BO127" s="502"/>
      <c r="BP127" s="502"/>
      <c r="BQ127" s="502"/>
      <c r="BR127" s="502"/>
      <c r="BS127" s="502"/>
      <c r="BT127" s="502"/>
      <c r="BU127" s="502"/>
      <c r="BV127" s="502"/>
      <c r="BW127" s="502"/>
      <c r="BX127" s="502"/>
      <c r="BY127" s="502"/>
      <c r="BZ127" s="502"/>
      <c r="CA127" s="502"/>
      <c r="CB127" s="502"/>
      <c r="CC127" s="502"/>
      <c r="CD127" s="502"/>
      <c r="CE127" s="502"/>
      <c r="CF127" s="503"/>
      <c r="CG127" s="51"/>
    </row>
    <row r="128" spans="1:85" s="2" customFormat="1" ht="30.75" customHeight="1">
      <c r="A128" s="33"/>
      <c r="B128" s="260" t="s">
        <v>267</v>
      </c>
      <c r="C128" s="261"/>
      <c r="D128" s="261"/>
      <c r="E128" s="261"/>
      <c r="F128" s="261"/>
      <c r="G128" s="261"/>
      <c r="H128" s="261"/>
      <c r="I128" s="261"/>
      <c r="J128" s="261"/>
      <c r="K128" s="261"/>
      <c r="L128" s="261"/>
      <c r="M128" s="261"/>
      <c r="N128" s="261"/>
      <c r="O128" s="261"/>
      <c r="P128" s="262"/>
      <c r="Q128" s="498" t="s">
        <v>479</v>
      </c>
      <c r="R128" s="499"/>
      <c r="S128" s="499"/>
      <c r="T128" s="499"/>
      <c r="U128" s="499"/>
      <c r="V128" s="499"/>
      <c r="W128" s="499"/>
      <c r="X128" s="499"/>
      <c r="Y128" s="499"/>
      <c r="Z128" s="499"/>
      <c r="AA128" s="499"/>
      <c r="AB128" s="499"/>
      <c r="AC128" s="499"/>
      <c r="AD128" s="499"/>
      <c r="AE128" s="499"/>
      <c r="AF128" s="499"/>
      <c r="AG128" s="499"/>
      <c r="AH128" s="499"/>
      <c r="AI128" s="499"/>
      <c r="AJ128" s="499"/>
      <c r="AK128" s="499"/>
      <c r="AL128" s="499"/>
      <c r="AM128" s="499"/>
      <c r="AN128" s="499"/>
      <c r="AO128" s="499"/>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500"/>
      <c r="BN128" s="501"/>
      <c r="BO128" s="502"/>
      <c r="BP128" s="502"/>
      <c r="BQ128" s="502"/>
      <c r="BR128" s="502"/>
      <c r="BS128" s="502"/>
      <c r="BT128" s="502"/>
      <c r="BU128" s="502"/>
      <c r="BV128" s="502"/>
      <c r="BW128" s="502"/>
      <c r="BX128" s="502"/>
      <c r="BY128" s="502"/>
      <c r="BZ128" s="502"/>
      <c r="CA128" s="502"/>
      <c r="CB128" s="502"/>
      <c r="CC128" s="502"/>
      <c r="CD128" s="502"/>
      <c r="CE128" s="502"/>
      <c r="CF128" s="503"/>
      <c r="CG128" s="51"/>
    </row>
    <row r="129" spans="1:85" s="2" customFormat="1" ht="30.75" customHeight="1">
      <c r="A129" s="33"/>
      <c r="B129" s="260" t="s">
        <v>292</v>
      </c>
      <c r="C129" s="261"/>
      <c r="D129" s="261"/>
      <c r="E129" s="261"/>
      <c r="F129" s="261"/>
      <c r="G129" s="261"/>
      <c r="H129" s="261"/>
      <c r="I129" s="261"/>
      <c r="J129" s="261"/>
      <c r="K129" s="261"/>
      <c r="L129" s="261"/>
      <c r="M129" s="261"/>
      <c r="N129" s="261"/>
      <c r="O129" s="261"/>
      <c r="P129" s="262"/>
      <c r="Q129" s="498"/>
      <c r="R129" s="499"/>
      <c r="S129" s="499"/>
      <c r="T129" s="499"/>
      <c r="U129" s="499"/>
      <c r="V129" s="499"/>
      <c r="W129" s="499"/>
      <c r="X129" s="499"/>
      <c r="Y129" s="499"/>
      <c r="Z129" s="499"/>
      <c r="AA129" s="499"/>
      <c r="AB129" s="499"/>
      <c r="AC129" s="499"/>
      <c r="AD129" s="499"/>
      <c r="AE129" s="499"/>
      <c r="AF129" s="499"/>
      <c r="AG129" s="499"/>
      <c r="AH129" s="499"/>
      <c r="AI129" s="499"/>
      <c r="AJ129" s="499"/>
      <c r="AK129" s="499"/>
      <c r="AL129" s="499"/>
      <c r="AM129" s="499"/>
      <c r="AN129" s="499"/>
      <c r="AO129" s="499"/>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500"/>
      <c r="BN129" s="501"/>
      <c r="BO129" s="502"/>
      <c r="BP129" s="502"/>
      <c r="BQ129" s="502"/>
      <c r="BR129" s="502"/>
      <c r="BS129" s="502"/>
      <c r="BT129" s="502"/>
      <c r="BU129" s="502"/>
      <c r="BV129" s="502"/>
      <c r="BW129" s="502"/>
      <c r="BX129" s="502"/>
      <c r="BY129" s="502"/>
      <c r="BZ129" s="502"/>
      <c r="CA129" s="502"/>
      <c r="CB129" s="502"/>
      <c r="CC129" s="502"/>
      <c r="CD129" s="502"/>
      <c r="CE129" s="502"/>
      <c r="CF129" s="503"/>
      <c r="CG129" s="51"/>
    </row>
    <row r="130" spans="1:85" s="2" customFormat="1" ht="30.75" customHeight="1">
      <c r="A130" s="33"/>
      <c r="B130" s="260" t="s">
        <v>303</v>
      </c>
      <c r="C130" s="261"/>
      <c r="D130" s="261"/>
      <c r="E130" s="261"/>
      <c r="F130" s="261"/>
      <c r="G130" s="261"/>
      <c r="H130" s="261"/>
      <c r="I130" s="261"/>
      <c r="J130" s="261"/>
      <c r="K130" s="261"/>
      <c r="L130" s="261"/>
      <c r="M130" s="261"/>
      <c r="N130" s="261"/>
      <c r="O130" s="261"/>
      <c r="P130" s="262"/>
      <c r="Q130" s="498" t="s">
        <v>480</v>
      </c>
      <c r="R130" s="499"/>
      <c r="S130" s="499"/>
      <c r="T130" s="499"/>
      <c r="U130" s="499"/>
      <c r="V130" s="499"/>
      <c r="W130" s="499"/>
      <c r="X130" s="499"/>
      <c r="Y130" s="499"/>
      <c r="Z130" s="499"/>
      <c r="AA130" s="499"/>
      <c r="AB130" s="499"/>
      <c r="AC130" s="499"/>
      <c r="AD130" s="499"/>
      <c r="AE130" s="499"/>
      <c r="AF130" s="499"/>
      <c r="AG130" s="499"/>
      <c r="AH130" s="499"/>
      <c r="AI130" s="499"/>
      <c r="AJ130" s="499"/>
      <c r="AK130" s="499"/>
      <c r="AL130" s="499"/>
      <c r="AM130" s="499"/>
      <c r="AN130" s="499"/>
      <c r="AO130" s="499"/>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500"/>
      <c r="BN130" s="501"/>
      <c r="BO130" s="502"/>
      <c r="BP130" s="502"/>
      <c r="BQ130" s="502"/>
      <c r="BR130" s="502"/>
      <c r="BS130" s="502"/>
      <c r="BT130" s="502"/>
      <c r="BU130" s="502"/>
      <c r="BV130" s="502"/>
      <c r="BW130" s="502"/>
      <c r="BX130" s="502"/>
      <c r="BY130" s="502"/>
      <c r="BZ130" s="502"/>
      <c r="CA130" s="502"/>
      <c r="CB130" s="502"/>
      <c r="CC130" s="502"/>
      <c r="CD130" s="502"/>
      <c r="CE130" s="502"/>
      <c r="CF130" s="503"/>
      <c r="CG130" s="51"/>
    </row>
    <row r="131" spans="1:85" s="2" customFormat="1" ht="30.75" customHeight="1">
      <c r="A131" s="33"/>
      <c r="B131" s="260" t="s">
        <v>213</v>
      </c>
      <c r="C131" s="261"/>
      <c r="D131" s="261"/>
      <c r="E131" s="261"/>
      <c r="F131" s="261"/>
      <c r="G131" s="261"/>
      <c r="H131" s="261"/>
      <c r="I131" s="261"/>
      <c r="J131" s="261"/>
      <c r="K131" s="261"/>
      <c r="L131" s="261"/>
      <c r="M131" s="261"/>
      <c r="N131" s="261"/>
      <c r="O131" s="261"/>
      <c r="P131" s="262"/>
      <c r="Q131" s="498" t="s">
        <v>478</v>
      </c>
      <c r="R131" s="499"/>
      <c r="S131" s="499"/>
      <c r="T131" s="499"/>
      <c r="U131" s="499"/>
      <c r="V131" s="499"/>
      <c r="W131" s="499"/>
      <c r="X131" s="499"/>
      <c r="Y131" s="499"/>
      <c r="Z131" s="499"/>
      <c r="AA131" s="499"/>
      <c r="AB131" s="499"/>
      <c r="AC131" s="499"/>
      <c r="AD131" s="499"/>
      <c r="AE131" s="499"/>
      <c r="AF131" s="499"/>
      <c r="AG131" s="499"/>
      <c r="AH131" s="499"/>
      <c r="AI131" s="499"/>
      <c r="AJ131" s="499"/>
      <c r="AK131" s="499"/>
      <c r="AL131" s="499"/>
      <c r="AM131" s="499"/>
      <c r="AN131" s="499"/>
      <c r="AO131" s="499"/>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500"/>
      <c r="BN131" s="501"/>
      <c r="BO131" s="502"/>
      <c r="BP131" s="502"/>
      <c r="BQ131" s="502"/>
      <c r="BR131" s="502"/>
      <c r="BS131" s="502"/>
      <c r="BT131" s="502"/>
      <c r="BU131" s="502"/>
      <c r="BV131" s="502"/>
      <c r="BW131" s="502"/>
      <c r="BX131" s="502"/>
      <c r="BY131" s="502"/>
      <c r="BZ131" s="502"/>
      <c r="CA131" s="502"/>
      <c r="CB131" s="502"/>
      <c r="CC131" s="502"/>
      <c r="CD131" s="502"/>
      <c r="CE131" s="502"/>
      <c r="CF131" s="503"/>
      <c r="CG131" s="51"/>
    </row>
    <row r="132" spans="1:85" s="2" customFormat="1" ht="30.75" customHeight="1">
      <c r="A132" s="33"/>
      <c r="B132" s="260" t="s">
        <v>408</v>
      </c>
      <c r="C132" s="261"/>
      <c r="D132" s="261"/>
      <c r="E132" s="261"/>
      <c r="F132" s="261"/>
      <c r="G132" s="261"/>
      <c r="H132" s="261"/>
      <c r="I132" s="261"/>
      <c r="J132" s="261"/>
      <c r="K132" s="261"/>
      <c r="L132" s="261"/>
      <c r="M132" s="261"/>
      <c r="N132" s="261"/>
      <c r="O132" s="261"/>
      <c r="P132" s="262"/>
      <c r="Q132" s="498" t="s">
        <v>407</v>
      </c>
      <c r="R132" s="499"/>
      <c r="S132" s="499"/>
      <c r="T132" s="499"/>
      <c r="U132" s="499"/>
      <c r="V132" s="499"/>
      <c r="W132" s="499"/>
      <c r="X132" s="499"/>
      <c r="Y132" s="499"/>
      <c r="Z132" s="499"/>
      <c r="AA132" s="499"/>
      <c r="AB132" s="499"/>
      <c r="AC132" s="499"/>
      <c r="AD132" s="499"/>
      <c r="AE132" s="499"/>
      <c r="AF132" s="499"/>
      <c r="AG132" s="499"/>
      <c r="AH132" s="499"/>
      <c r="AI132" s="499"/>
      <c r="AJ132" s="499"/>
      <c r="AK132" s="499"/>
      <c r="AL132" s="499"/>
      <c r="AM132" s="499"/>
      <c r="AN132" s="499"/>
      <c r="AO132" s="499"/>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500"/>
      <c r="BN132" s="501"/>
      <c r="BO132" s="502"/>
      <c r="BP132" s="502"/>
      <c r="BQ132" s="502"/>
      <c r="BR132" s="502"/>
      <c r="BS132" s="502"/>
      <c r="BT132" s="502"/>
      <c r="BU132" s="502"/>
      <c r="BV132" s="502"/>
      <c r="BW132" s="502"/>
      <c r="BX132" s="502"/>
      <c r="BY132" s="502"/>
      <c r="BZ132" s="502"/>
      <c r="CA132" s="502"/>
      <c r="CB132" s="502"/>
      <c r="CC132" s="502"/>
      <c r="CD132" s="502"/>
      <c r="CE132" s="502"/>
      <c r="CF132" s="503"/>
      <c r="CG132" s="51"/>
    </row>
    <row r="133" spans="1:85" s="2" customFormat="1" ht="30.75" customHeight="1">
      <c r="A133" s="33"/>
      <c r="B133" s="260"/>
      <c r="C133" s="261"/>
      <c r="D133" s="261"/>
      <c r="E133" s="261"/>
      <c r="F133" s="261"/>
      <c r="G133" s="261"/>
      <c r="H133" s="261"/>
      <c r="I133" s="261"/>
      <c r="J133" s="261"/>
      <c r="K133" s="261"/>
      <c r="L133" s="261"/>
      <c r="M133" s="261"/>
      <c r="N133" s="261"/>
      <c r="O133" s="261"/>
      <c r="P133" s="262"/>
      <c r="Q133" s="498"/>
      <c r="R133" s="499"/>
      <c r="S133" s="499"/>
      <c r="T133" s="499"/>
      <c r="U133" s="499"/>
      <c r="V133" s="499"/>
      <c r="W133" s="499"/>
      <c r="X133" s="499"/>
      <c r="Y133" s="499"/>
      <c r="Z133" s="499"/>
      <c r="AA133" s="499"/>
      <c r="AB133" s="499"/>
      <c r="AC133" s="499"/>
      <c r="AD133" s="499"/>
      <c r="AE133" s="499"/>
      <c r="AF133" s="499"/>
      <c r="AG133" s="499"/>
      <c r="AH133" s="499"/>
      <c r="AI133" s="499"/>
      <c r="AJ133" s="499"/>
      <c r="AK133" s="499"/>
      <c r="AL133" s="499"/>
      <c r="AM133" s="499"/>
      <c r="AN133" s="499"/>
      <c r="AO133" s="499"/>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500"/>
      <c r="BN133" s="501"/>
      <c r="BO133" s="502"/>
      <c r="BP133" s="502"/>
      <c r="BQ133" s="502"/>
      <c r="BR133" s="502"/>
      <c r="BS133" s="502"/>
      <c r="BT133" s="502"/>
      <c r="BU133" s="502"/>
      <c r="BV133" s="502"/>
      <c r="BW133" s="502"/>
      <c r="BX133" s="502"/>
      <c r="BY133" s="502"/>
      <c r="BZ133" s="502"/>
      <c r="CA133" s="502"/>
      <c r="CB133" s="502"/>
      <c r="CC133" s="502"/>
      <c r="CD133" s="502"/>
      <c r="CE133" s="502"/>
      <c r="CF133" s="503"/>
      <c r="CG133" s="51"/>
    </row>
    <row r="134" spans="1:85" s="2" customFormat="1" ht="23.25" customHeight="1">
      <c r="A134" s="33"/>
      <c r="B134" s="2" t="s">
        <v>29</v>
      </c>
      <c r="R134" s="2" t="s">
        <v>30</v>
      </c>
      <c r="CG134" s="51"/>
    </row>
    <row r="135" spans="1:85" s="3" customFormat="1" ht="19.5" customHeight="1">
      <c r="A135" s="28"/>
      <c r="B135" s="257" t="s">
        <v>31</v>
      </c>
      <c r="C135" s="258"/>
      <c r="D135" s="258"/>
      <c r="E135" s="258"/>
      <c r="F135" s="258"/>
      <c r="G135" s="258"/>
      <c r="H135" s="258"/>
      <c r="I135" s="258"/>
      <c r="J135" s="258"/>
      <c r="K135" s="258"/>
      <c r="L135" s="258"/>
      <c r="M135" s="258"/>
      <c r="N135" s="258"/>
      <c r="O135" s="258"/>
      <c r="P135" s="259"/>
      <c r="Q135" s="257" t="s">
        <v>32</v>
      </c>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c r="BD135" s="258"/>
      <c r="BE135" s="258"/>
      <c r="BF135" s="258"/>
      <c r="BG135" s="258"/>
      <c r="BH135" s="258"/>
      <c r="BI135" s="258"/>
      <c r="BJ135" s="258"/>
      <c r="BK135" s="258"/>
      <c r="BL135" s="258"/>
      <c r="BM135" s="259"/>
      <c r="BN135" s="257" t="s">
        <v>28</v>
      </c>
      <c r="BO135" s="258"/>
      <c r="BP135" s="258"/>
      <c r="BQ135" s="258"/>
      <c r="BR135" s="258"/>
      <c r="BS135" s="258"/>
      <c r="BT135" s="258"/>
      <c r="BU135" s="258"/>
      <c r="BV135" s="258"/>
      <c r="BW135" s="258"/>
      <c r="BX135" s="258"/>
      <c r="BY135" s="258"/>
      <c r="BZ135" s="258"/>
      <c r="CA135" s="258"/>
      <c r="CB135" s="258"/>
      <c r="CC135" s="258"/>
      <c r="CD135" s="258"/>
      <c r="CE135" s="258"/>
      <c r="CF135" s="259"/>
      <c r="CG135" s="29"/>
    </row>
    <row r="136" spans="1:85" s="2" customFormat="1" ht="30.75" customHeight="1">
      <c r="A136" s="33"/>
      <c r="B136" s="260" t="s">
        <v>291</v>
      </c>
      <c r="C136" s="261"/>
      <c r="D136" s="261"/>
      <c r="E136" s="261"/>
      <c r="F136" s="261"/>
      <c r="G136" s="261"/>
      <c r="H136" s="261"/>
      <c r="I136" s="261"/>
      <c r="J136" s="261"/>
      <c r="K136" s="261"/>
      <c r="L136" s="261"/>
      <c r="M136" s="261"/>
      <c r="N136" s="261"/>
      <c r="O136" s="261"/>
      <c r="P136" s="262"/>
      <c r="Q136" s="501"/>
      <c r="R136" s="502"/>
      <c r="S136" s="502"/>
      <c r="T136" s="502"/>
      <c r="U136" s="502"/>
      <c r="V136" s="502"/>
      <c r="W136" s="502"/>
      <c r="X136" s="502"/>
      <c r="Y136" s="502"/>
      <c r="Z136" s="502"/>
      <c r="AA136" s="502"/>
      <c r="AB136" s="502"/>
      <c r="AC136" s="502"/>
      <c r="AD136" s="502"/>
      <c r="AE136" s="502"/>
      <c r="AF136" s="502"/>
      <c r="AG136" s="502"/>
      <c r="AH136" s="502"/>
      <c r="AI136" s="502"/>
      <c r="AJ136" s="502"/>
      <c r="AK136" s="502"/>
      <c r="AL136" s="502"/>
      <c r="AM136" s="502"/>
      <c r="AN136" s="502"/>
      <c r="AO136" s="502"/>
      <c r="AP136" s="502"/>
      <c r="AQ136" s="502"/>
      <c r="AR136" s="502"/>
      <c r="AS136" s="502"/>
      <c r="AT136" s="502"/>
      <c r="AU136" s="502"/>
      <c r="AV136" s="502"/>
      <c r="AW136" s="502"/>
      <c r="AX136" s="502"/>
      <c r="AY136" s="502"/>
      <c r="AZ136" s="502"/>
      <c r="BA136" s="502"/>
      <c r="BB136" s="502"/>
      <c r="BC136" s="502"/>
      <c r="BD136" s="502"/>
      <c r="BE136" s="502"/>
      <c r="BF136" s="502"/>
      <c r="BG136" s="502"/>
      <c r="BH136" s="502"/>
      <c r="BI136" s="502"/>
      <c r="BJ136" s="502"/>
      <c r="BK136" s="502"/>
      <c r="BL136" s="502"/>
      <c r="BM136" s="503"/>
      <c r="BN136" s="501"/>
      <c r="BO136" s="502"/>
      <c r="BP136" s="502"/>
      <c r="BQ136" s="502"/>
      <c r="BR136" s="502"/>
      <c r="BS136" s="502"/>
      <c r="BT136" s="502"/>
      <c r="BU136" s="502"/>
      <c r="BV136" s="502"/>
      <c r="BW136" s="502"/>
      <c r="BX136" s="502"/>
      <c r="BY136" s="502"/>
      <c r="BZ136" s="502"/>
      <c r="CA136" s="502"/>
      <c r="CB136" s="502"/>
      <c r="CC136" s="502"/>
      <c r="CD136" s="502"/>
      <c r="CE136" s="502"/>
      <c r="CF136" s="503"/>
      <c r="CG136" s="51"/>
    </row>
    <row r="137" spans="1:85" s="2" customFormat="1" ht="30.75" customHeight="1">
      <c r="A137" s="33"/>
      <c r="B137" s="260" t="s">
        <v>63</v>
      </c>
      <c r="C137" s="261"/>
      <c r="D137" s="261"/>
      <c r="E137" s="261"/>
      <c r="F137" s="261"/>
      <c r="G137" s="261"/>
      <c r="H137" s="261"/>
      <c r="I137" s="261"/>
      <c r="J137" s="261"/>
      <c r="K137" s="261"/>
      <c r="L137" s="261"/>
      <c r="M137" s="261"/>
      <c r="N137" s="261"/>
      <c r="O137" s="261"/>
      <c r="P137" s="262"/>
      <c r="Q137" s="501" t="s">
        <v>268</v>
      </c>
      <c r="R137" s="502"/>
      <c r="S137" s="502"/>
      <c r="T137" s="502"/>
      <c r="U137" s="502"/>
      <c r="V137" s="502"/>
      <c r="W137" s="502"/>
      <c r="X137" s="502"/>
      <c r="Y137" s="502"/>
      <c r="Z137" s="502"/>
      <c r="AA137" s="502"/>
      <c r="AB137" s="502"/>
      <c r="AC137" s="502"/>
      <c r="AD137" s="502"/>
      <c r="AE137" s="502"/>
      <c r="AF137" s="502"/>
      <c r="AG137" s="502"/>
      <c r="AH137" s="502"/>
      <c r="AI137" s="502"/>
      <c r="AJ137" s="502"/>
      <c r="AK137" s="502"/>
      <c r="AL137" s="502"/>
      <c r="AM137" s="502"/>
      <c r="AN137" s="502"/>
      <c r="AO137" s="502"/>
      <c r="AP137" s="502"/>
      <c r="AQ137" s="502"/>
      <c r="AR137" s="502"/>
      <c r="AS137" s="502"/>
      <c r="AT137" s="502"/>
      <c r="AU137" s="502"/>
      <c r="AV137" s="502"/>
      <c r="AW137" s="502"/>
      <c r="AX137" s="502"/>
      <c r="AY137" s="502"/>
      <c r="AZ137" s="502"/>
      <c r="BA137" s="502"/>
      <c r="BB137" s="502"/>
      <c r="BC137" s="502"/>
      <c r="BD137" s="502"/>
      <c r="BE137" s="502"/>
      <c r="BF137" s="502"/>
      <c r="BG137" s="502"/>
      <c r="BH137" s="502"/>
      <c r="BI137" s="502"/>
      <c r="BJ137" s="502"/>
      <c r="BK137" s="502"/>
      <c r="BL137" s="502"/>
      <c r="BM137" s="503"/>
      <c r="BN137" s="501"/>
      <c r="BO137" s="502"/>
      <c r="BP137" s="502"/>
      <c r="BQ137" s="502"/>
      <c r="BR137" s="502"/>
      <c r="BS137" s="502"/>
      <c r="BT137" s="502"/>
      <c r="BU137" s="502"/>
      <c r="BV137" s="502"/>
      <c r="BW137" s="502"/>
      <c r="BX137" s="502"/>
      <c r="BY137" s="502"/>
      <c r="BZ137" s="502"/>
      <c r="CA137" s="502"/>
      <c r="CB137" s="502"/>
      <c r="CC137" s="502"/>
      <c r="CD137" s="502"/>
      <c r="CE137" s="502"/>
      <c r="CF137" s="503"/>
      <c r="CG137" s="51"/>
    </row>
    <row r="138" spans="1:85" s="2" customFormat="1" ht="30.75" customHeight="1">
      <c r="A138" s="33"/>
      <c r="B138" s="260" t="s">
        <v>292</v>
      </c>
      <c r="C138" s="261"/>
      <c r="D138" s="261"/>
      <c r="E138" s="261"/>
      <c r="F138" s="261"/>
      <c r="G138" s="261"/>
      <c r="H138" s="261"/>
      <c r="I138" s="261"/>
      <c r="J138" s="261"/>
      <c r="K138" s="261"/>
      <c r="L138" s="261"/>
      <c r="M138" s="261"/>
      <c r="N138" s="261"/>
      <c r="O138" s="261"/>
      <c r="P138" s="262"/>
      <c r="Q138" s="498"/>
      <c r="R138" s="499"/>
      <c r="S138" s="499"/>
      <c r="T138" s="499"/>
      <c r="U138" s="499"/>
      <c r="V138" s="499"/>
      <c r="W138" s="499"/>
      <c r="X138" s="499"/>
      <c r="Y138" s="499"/>
      <c r="Z138" s="499"/>
      <c r="AA138" s="499"/>
      <c r="AB138" s="499"/>
      <c r="AC138" s="499"/>
      <c r="AD138" s="499"/>
      <c r="AE138" s="499"/>
      <c r="AF138" s="499"/>
      <c r="AG138" s="499"/>
      <c r="AH138" s="499"/>
      <c r="AI138" s="499"/>
      <c r="AJ138" s="499"/>
      <c r="AK138" s="499"/>
      <c r="AL138" s="499"/>
      <c r="AM138" s="499"/>
      <c r="AN138" s="499"/>
      <c r="AO138" s="499"/>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500"/>
      <c r="BN138" s="501"/>
      <c r="BO138" s="502"/>
      <c r="BP138" s="502"/>
      <c r="BQ138" s="502"/>
      <c r="BR138" s="502"/>
      <c r="BS138" s="502"/>
      <c r="BT138" s="502"/>
      <c r="BU138" s="502"/>
      <c r="BV138" s="502"/>
      <c r="BW138" s="502"/>
      <c r="BX138" s="502"/>
      <c r="BY138" s="502"/>
      <c r="BZ138" s="502"/>
      <c r="CA138" s="502"/>
      <c r="CB138" s="502"/>
      <c r="CC138" s="502"/>
      <c r="CD138" s="502"/>
      <c r="CE138" s="502"/>
      <c r="CF138" s="503"/>
      <c r="CG138" s="51"/>
    </row>
    <row r="139" spans="1:85" s="2" customFormat="1" ht="30.75" customHeight="1">
      <c r="A139" s="33"/>
      <c r="B139" s="260" t="s">
        <v>63</v>
      </c>
      <c r="C139" s="261"/>
      <c r="D139" s="261"/>
      <c r="E139" s="261"/>
      <c r="F139" s="261"/>
      <c r="G139" s="261"/>
      <c r="H139" s="261"/>
      <c r="I139" s="261"/>
      <c r="J139" s="261"/>
      <c r="K139" s="261"/>
      <c r="L139" s="261"/>
      <c r="M139" s="261"/>
      <c r="N139" s="261"/>
      <c r="O139" s="261"/>
      <c r="P139" s="262"/>
      <c r="Q139" s="501" t="s">
        <v>305</v>
      </c>
      <c r="R139" s="502"/>
      <c r="S139" s="502"/>
      <c r="T139" s="502"/>
      <c r="U139" s="502"/>
      <c r="V139" s="502"/>
      <c r="W139" s="502"/>
      <c r="X139" s="502"/>
      <c r="Y139" s="502"/>
      <c r="Z139" s="502"/>
      <c r="AA139" s="502"/>
      <c r="AB139" s="502"/>
      <c r="AC139" s="502"/>
      <c r="AD139" s="502"/>
      <c r="AE139" s="502"/>
      <c r="AF139" s="502"/>
      <c r="AG139" s="502"/>
      <c r="AH139" s="502"/>
      <c r="AI139" s="502"/>
      <c r="AJ139" s="502"/>
      <c r="AK139" s="502"/>
      <c r="AL139" s="502"/>
      <c r="AM139" s="502"/>
      <c r="AN139" s="502"/>
      <c r="AO139" s="502"/>
      <c r="AP139" s="502"/>
      <c r="AQ139" s="502"/>
      <c r="AR139" s="502"/>
      <c r="AS139" s="502"/>
      <c r="AT139" s="502"/>
      <c r="AU139" s="502"/>
      <c r="AV139" s="502"/>
      <c r="AW139" s="502"/>
      <c r="AX139" s="502"/>
      <c r="AY139" s="502"/>
      <c r="AZ139" s="502"/>
      <c r="BA139" s="502"/>
      <c r="BB139" s="502"/>
      <c r="BC139" s="502"/>
      <c r="BD139" s="502"/>
      <c r="BE139" s="502"/>
      <c r="BF139" s="502"/>
      <c r="BG139" s="502"/>
      <c r="BH139" s="502"/>
      <c r="BI139" s="502"/>
      <c r="BJ139" s="502"/>
      <c r="BK139" s="502"/>
      <c r="BL139" s="502"/>
      <c r="BM139" s="503"/>
      <c r="BN139" s="501"/>
      <c r="BO139" s="502"/>
      <c r="BP139" s="502"/>
      <c r="BQ139" s="502"/>
      <c r="BR139" s="502"/>
      <c r="BS139" s="502"/>
      <c r="BT139" s="502"/>
      <c r="BU139" s="502"/>
      <c r="BV139" s="502"/>
      <c r="BW139" s="502"/>
      <c r="BX139" s="502"/>
      <c r="BY139" s="502"/>
      <c r="BZ139" s="502"/>
      <c r="CA139" s="502"/>
      <c r="CB139" s="502"/>
      <c r="CC139" s="502"/>
      <c r="CD139" s="502"/>
      <c r="CE139" s="502"/>
      <c r="CF139" s="503"/>
      <c r="CG139" s="51"/>
    </row>
    <row r="140" spans="1:85" s="9" customFormat="1" ht="4.5" customHeight="1">
      <c r="A140" s="1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4"/>
    </row>
    <row r="141" spans="1:85" s="18" customFormat="1" ht="3" customHeight="1"/>
    <row r="142" spans="1:85" s="18" customFormat="1" ht="19.5" customHeight="1"/>
    <row r="143" spans="1:85" s="18" customFormat="1" ht="19.5" customHeight="1"/>
    <row r="144" spans="1:85" s="18" customFormat="1"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sheetData>
  <mergeCells count="537">
    <mergeCell ref="B132:P132"/>
    <mergeCell ref="Q132:BM132"/>
    <mergeCell ref="BN132:CF132"/>
    <mergeCell ref="D113:CC113"/>
    <mergeCell ref="D114:P114"/>
    <mergeCell ref="Q114:AC114"/>
    <mergeCell ref="AD114:BC114"/>
    <mergeCell ref="BD114:CC114"/>
    <mergeCell ref="D56:CC56"/>
    <mergeCell ref="D57:P57"/>
    <mergeCell ref="Q57:AC57"/>
    <mergeCell ref="AD57:BC57"/>
    <mergeCell ref="BD57:CC57"/>
    <mergeCell ref="L68:BU70"/>
    <mergeCell ref="BV68:CF70"/>
    <mergeCell ref="D72:CC72"/>
    <mergeCell ref="D74:CC74"/>
    <mergeCell ref="D79:G79"/>
    <mergeCell ref="H79:S79"/>
    <mergeCell ref="T79:AE79"/>
    <mergeCell ref="AF79:AQ79"/>
    <mergeCell ref="AR79:BC79"/>
    <mergeCell ref="BD79:BP79"/>
    <mergeCell ref="BQ79:CC79"/>
    <mergeCell ref="D80:G80"/>
    <mergeCell ref="I80:R80"/>
    <mergeCell ref="U80:AD80"/>
    <mergeCell ref="BE53:BO53"/>
    <mergeCell ref="BR53:CB53"/>
    <mergeCell ref="I54:R54"/>
    <mergeCell ref="U54:AD54"/>
    <mergeCell ref="AG54:AP54"/>
    <mergeCell ref="AS54:BB54"/>
    <mergeCell ref="BE54:BO54"/>
    <mergeCell ref="BR54:CB54"/>
    <mergeCell ref="D54:G54"/>
    <mergeCell ref="AS80:BB80"/>
    <mergeCell ref="BE80:BO80"/>
    <mergeCell ref="BR80:CB80"/>
    <mergeCell ref="D53:G53"/>
    <mergeCell ref="AG49:AP49"/>
    <mergeCell ref="AS49:BB49"/>
    <mergeCell ref="BE49:BO49"/>
    <mergeCell ref="BR49:CB49"/>
    <mergeCell ref="I51:R51"/>
    <mergeCell ref="U51:AD51"/>
    <mergeCell ref="AG51:AP51"/>
    <mergeCell ref="AS51:BB51"/>
    <mergeCell ref="BE51:BO51"/>
    <mergeCell ref="BR51:CB51"/>
    <mergeCell ref="AG47:AP47"/>
    <mergeCell ref="AS47:BB47"/>
    <mergeCell ref="BE47:BO47"/>
    <mergeCell ref="BR47:CB47"/>
    <mergeCell ref="I48:R48"/>
    <mergeCell ref="U48:AD48"/>
    <mergeCell ref="AG48:AP48"/>
    <mergeCell ref="AS48:BB48"/>
    <mergeCell ref="BE48:BO48"/>
    <mergeCell ref="BR48:CB48"/>
    <mergeCell ref="AG45:AP45"/>
    <mergeCell ref="AS45:BB45"/>
    <mergeCell ref="BE45:BO45"/>
    <mergeCell ref="BR45:CB45"/>
    <mergeCell ref="AG44:AP44"/>
    <mergeCell ref="I46:R46"/>
    <mergeCell ref="U46:AD46"/>
    <mergeCell ref="AG46:AP46"/>
    <mergeCell ref="AS46:BB46"/>
    <mergeCell ref="BE46:BO46"/>
    <mergeCell ref="BR46:CB46"/>
    <mergeCell ref="I41:R41"/>
    <mergeCell ref="U41:AD41"/>
    <mergeCell ref="AG41:AP41"/>
    <mergeCell ref="AS41:BB41"/>
    <mergeCell ref="BE41:BO41"/>
    <mergeCell ref="BR41:CB41"/>
    <mergeCell ref="AS44:BB44"/>
    <mergeCell ref="BE44:BO44"/>
    <mergeCell ref="BR44:CB44"/>
    <mergeCell ref="AG42:AP42"/>
    <mergeCell ref="AS42:BB42"/>
    <mergeCell ref="BE42:BO42"/>
    <mergeCell ref="BR42:CB42"/>
    <mergeCell ref="I43:R43"/>
    <mergeCell ref="U43:AD43"/>
    <mergeCell ref="AG43:AP43"/>
    <mergeCell ref="AS43:BB43"/>
    <mergeCell ref="BE43:BO43"/>
    <mergeCell ref="BR43:CB43"/>
    <mergeCell ref="I37:R37"/>
    <mergeCell ref="U37:AD37"/>
    <mergeCell ref="AG37:AP37"/>
    <mergeCell ref="AS37:BB37"/>
    <mergeCell ref="BE37:BO37"/>
    <mergeCell ref="BR37:CB37"/>
    <mergeCell ref="I36:R36"/>
    <mergeCell ref="BR39:CB39"/>
    <mergeCell ref="I40:R40"/>
    <mergeCell ref="U40:AD40"/>
    <mergeCell ref="AG40:AP40"/>
    <mergeCell ref="AS40:BB40"/>
    <mergeCell ref="BE40:BO40"/>
    <mergeCell ref="BR40:CB40"/>
    <mergeCell ref="I33:R33"/>
    <mergeCell ref="U33:AD33"/>
    <mergeCell ref="AG33:AP33"/>
    <mergeCell ref="AS33:BB33"/>
    <mergeCell ref="BE33:BO33"/>
    <mergeCell ref="BR33:CB33"/>
    <mergeCell ref="U36:AD36"/>
    <mergeCell ref="AG36:AP36"/>
    <mergeCell ref="AS36:BB36"/>
    <mergeCell ref="BE36:BO36"/>
    <mergeCell ref="BR36:CB36"/>
    <mergeCell ref="I34:R34"/>
    <mergeCell ref="U34:AD34"/>
    <mergeCell ref="AG34:AP34"/>
    <mergeCell ref="AS34:BB34"/>
    <mergeCell ref="BE34:BO34"/>
    <mergeCell ref="BR34:CB34"/>
    <mergeCell ref="I35:R35"/>
    <mergeCell ref="U35:AD35"/>
    <mergeCell ref="AG35:AP35"/>
    <mergeCell ref="AS35:BB35"/>
    <mergeCell ref="BE35:BO35"/>
    <mergeCell ref="BR35:CB35"/>
    <mergeCell ref="I31:R31"/>
    <mergeCell ref="U31:AD31"/>
    <mergeCell ref="AG31:AP31"/>
    <mergeCell ref="AS31:BB31"/>
    <mergeCell ref="BE31:BO31"/>
    <mergeCell ref="BR31:CB31"/>
    <mergeCell ref="I32:R32"/>
    <mergeCell ref="U32:AD32"/>
    <mergeCell ref="AG32:AP32"/>
    <mergeCell ref="AS32:BB32"/>
    <mergeCell ref="BE32:BO32"/>
    <mergeCell ref="BR32:CB32"/>
    <mergeCell ref="I29:R29"/>
    <mergeCell ref="U29:AD29"/>
    <mergeCell ref="AG29:AP29"/>
    <mergeCell ref="AS29:BB29"/>
    <mergeCell ref="BE29:BO29"/>
    <mergeCell ref="BR29:CB29"/>
    <mergeCell ref="I30:R30"/>
    <mergeCell ref="U30:AD30"/>
    <mergeCell ref="AG30:AP30"/>
    <mergeCell ref="AS30:BB30"/>
    <mergeCell ref="BE30:BO30"/>
    <mergeCell ref="BR30:CB30"/>
    <mergeCell ref="I27:R27"/>
    <mergeCell ref="U27:AD27"/>
    <mergeCell ref="AG27:AP27"/>
    <mergeCell ref="AS27:BB27"/>
    <mergeCell ref="BE27:BO27"/>
    <mergeCell ref="BR27:CB27"/>
    <mergeCell ref="I28:R28"/>
    <mergeCell ref="U28:AD28"/>
    <mergeCell ref="AG28:AP28"/>
    <mergeCell ref="AS28:BB28"/>
    <mergeCell ref="BE28:BO28"/>
    <mergeCell ref="BR28:CB28"/>
    <mergeCell ref="I25:R25"/>
    <mergeCell ref="U25:AD25"/>
    <mergeCell ref="AG25:AP25"/>
    <mergeCell ref="AS25:BB25"/>
    <mergeCell ref="BE25:BO25"/>
    <mergeCell ref="BR25:CB25"/>
    <mergeCell ref="I26:R26"/>
    <mergeCell ref="U26:AD26"/>
    <mergeCell ref="AG26:AP26"/>
    <mergeCell ref="AS26:BB26"/>
    <mergeCell ref="BE26:BO26"/>
    <mergeCell ref="BR26:CB26"/>
    <mergeCell ref="D51:G51"/>
    <mergeCell ref="D49:G49"/>
    <mergeCell ref="D42:G42"/>
    <mergeCell ref="D43:G43"/>
    <mergeCell ref="D44:G44"/>
    <mergeCell ref="D45:G45"/>
    <mergeCell ref="D46:G46"/>
    <mergeCell ref="U42:AD42"/>
    <mergeCell ref="I44:R44"/>
    <mergeCell ref="U44:AD44"/>
    <mergeCell ref="I45:R45"/>
    <mergeCell ref="U45:AD45"/>
    <mergeCell ref="I47:R47"/>
    <mergeCell ref="U47:AD47"/>
    <mergeCell ref="I49:R49"/>
    <mergeCell ref="U49:AD49"/>
    <mergeCell ref="B133:P133"/>
    <mergeCell ref="Q133:BM133"/>
    <mergeCell ref="BN133:CF133"/>
    <mergeCell ref="B127:P127"/>
    <mergeCell ref="Q127:BM127"/>
    <mergeCell ref="BN127:CF127"/>
    <mergeCell ref="Q128:BM128"/>
    <mergeCell ref="BN128:CF128"/>
    <mergeCell ref="I50:R50"/>
    <mergeCell ref="U50:AD50"/>
    <mergeCell ref="AG50:AP50"/>
    <mergeCell ref="AS50:BB50"/>
    <mergeCell ref="BE50:BO50"/>
    <mergeCell ref="BR50:CB50"/>
    <mergeCell ref="I52:R52"/>
    <mergeCell ref="U52:AD52"/>
    <mergeCell ref="AG52:AP52"/>
    <mergeCell ref="AS52:BB52"/>
    <mergeCell ref="BE52:BO52"/>
    <mergeCell ref="BR52:CB52"/>
    <mergeCell ref="I53:R53"/>
    <mergeCell ref="U53:AD53"/>
    <mergeCell ref="AG53:AP53"/>
    <mergeCell ref="AS53:BB53"/>
    <mergeCell ref="B138:P138"/>
    <mergeCell ref="Q138:BM138"/>
    <mergeCell ref="BN138:CF138"/>
    <mergeCell ref="B135:P135"/>
    <mergeCell ref="Q135:BM135"/>
    <mergeCell ref="BN135:CF135"/>
    <mergeCell ref="B139:P139"/>
    <mergeCell ref="Q139:BM139"/>
    <mergeCell ref="BN139:CF139"/>
    <mergeCell ref="B137:P137"/>
    <mergeCell ref="Q137:BM137"/>
    <mergeCell ref="BN137:CF137"/>
    <mergeCell ref="B136:P136"/>
    <mergeCell ref="Q136:BM136"/>
    <mergeCell ref="BN136:CF136"/>
    <mergeCell ref="D31:G31"/>
    <mergeCell ref="D30:G30"/>
    <mergeCell ref="L11:BU13"/>
    <mergeCell ref="BV11:CF13"/>
    <mergeCell ref="D15:CC15"/>
    <mergeCell ref="D17:CC17"/>
    <mergeCell ref="D22:G22"/>
    <mergeCell ref="D38:G38"/>
    <mergeCell ref="D25:G25"/>
    <mergeCell ref="D26:G26"/>
    <mergeCell ref="D27:G27"/>
    <mergeCell ref="D28:G28"/>
    <mergeCell ref="D29:G29"/>
    <mergeCell ref="D32:G32"/>
    <mergeCell ref="D33:G33"/>
    <mergeCell ref="D34:G34"/>
    <mergeCell ref="D35:G35"/>
    <mergeCell ref="D36:G36"/>
    <mergeCell ref="D37:G37"/>
    <mergeCell ref="I24:R24"/>
    <mergeCell ref="U24:AD24"/>
    <mergeCell ref="AG24:AP24"/>
    <mergeCell ref="AS24:BB24"/>
    <mergeCell ref="BE24:BO24"/>
    <mergeCell ref="AT1:BF1"/>
    <mergeCell ref="A2:BO2"/>
    <mergeCell ref="BP2:BU2"/>
    <mergeCell ref="CA2:CC2"/>
    <mergeCell ref="A7:K7"/>
    <mergeCell ref="L7:CG7"/>
    <mergeCell ref="A3:K3"/>
    <mergeCell ref="L3:BO3"/>
    <mergeCell ref="BP3:BU3"/>
    <mergeCell ref="BV3:CG3"/>
    <mergeCell ref="CD2:CG2"/>
    <mergeCell ref="A4:K4"/>
    <mergeCell ref="L4:BO4"/>
    <mergeCell ref="BP4:BU4"/>
    <mergeCell ref="BV4:CG4"/>
    <mergeCell ref="D23:G23"/>
    <mergeCell ref="D24:G24"/>
    <mergeCell ref="H22:S22"/>
    <mergeCell ref="T22:AE22"/>
    <mergeCell ref="AF22:AQ22"/>
    <mergeCell ref="AR22:BC22"/>
    <mergeCell ref="BD22:BP22"/>
    <mergeCell ref="BQ22:CC22"/>
    <mergeCell ref="I23:R23"/>
    <mergeCell ref="U23:AD23"/>
    <mergeCell ref="AG23:AP23"/>
    <mergeCell ref="AS23:BB23"/>
    <mergeCell ref="BE23:BO23"/>
    <mergeCell ref="BR23:CB23"/>
    <mergeCell ref="BR24:CB24"/>
    <mergeCell ref="D52:G52"/>
    <mergeCell ref="B125:P125"/>
    <mergeCell ref="Q125:BM125"/>
    <mergeCell ref="BN125:CF125"/>
    <mergeCell ref="I38:R38"/>
    <mergeCell ref="U38:AD38"/>
    <mergeCell ref="AG38:AP38"/>
    <mergeCell ref="AS38:BB38"/>
    <mergeCell ref="BE38:BO38"/>
    <mergeCell ref="BR38:CB38"/>
    <mergeCell ref="I39:R39"/>
    <mergeCell ref="U39:AD39"/>
    <mergeCell ref="AG39:AP39"/>
    <mergeCell ref="AS39:BB39"/>
    <mergeCell ref="BE39:BO39"/>
    <mergeCell ref="D39:G39"/>
    <mergeCell ref="D40:G40"/>
    <mergeCell ref="D41:G41"/>
    <mergeCell ref="D47:G47"/>
    <mergeCell ref="D50:G50"/>
    <mergeCell ref="I42:R42"/>
    <mergeCell ref="AG80:AP80"/>
    <mergeCell ref="D48:G48"/>
    <mergeCell ref="D81:G81"/>
    <mergeCell ref="I81:R81"/>
    <mergeCell ref="U81:AD81"/>
    <mergeCell ref="AG81:AP81"/>
    <mergeCell ref="AS81:BB81"/>
    <mergeCell ref="BE81:BO81"/>
    <mergeCell ref="BR81:CB81"/>
    <mergeCell ref="D82:G82"/>
    <mergeCell ref="I82:R82"/>
    <mergeCell ref="U82:AD82"/>
    <mergeCell ref="AG82:AP82"/>
    <mergeCell ref="AS82:BB82"/>
    <mergeCell ref="BE82:BO82"/>
    <mergeCell ref="BR82:CB82"/>
    <mergeCell ref="D83:G83"/>
    <mergeCell ref="I83:R83"/>
    <mergeCell ref="U83:AD83"/>
    <mergeCell ref="AG83:AP83"/>
    <mergeCell ref="AS83:BB83"/>
    <mergeCell ref="BE83:BO83"/>
    <mergeCell ref="BR83:CB83"/>
    <mergeCell ref="D84:G84"/>
    <mergeCell ref="I84:R84"/>
    <mergeCell ref="U84:AD84"/>
    <mergeCell ref="AG84:AP84"/>
    <mergeCell ref="AS84:BB84"/>
    <mergeCell ref="BE84:BO84"/>
    <mergeCell ref="BR84:CB84"/>
    <mergeCell ref="D85:G85"/>
    <mergeCell ref="I85:R85"/>
    <mergeCell ref="U85:AD85"/>
    <mergeCell ref="AG85:AP85"/>
    <mergeCell ref="AS85:BB85"/>
    <mergeCell ref="BE85:BO85"/>
    <mergeCell ref="BR85:CB85"/>
    <mergeCell ref="D86:G86"/>
    <mergeCell ref="I86:R86"/>
    <mergeCell ref="U86:AD86"/>
    <mergeCell ref="AG86:AP86"/>
    <mergeCell ref="AS86:BB86"/>
    <mergeCell ref="BE86:BO86"/>
    <mergeCell ref="BR86:CB86"/>
    <mergeCell ref="D87:G87"/>
    <mergeCell ref="I87:R87"/>
    <mergeCell ref="U87:AD87"/>
    <mergeCell ref="AG87:AP87"/>
    <mergeCell ref="AS87:BB87"/>
    <mergeCell ref="BE87:BO87"/>
    <mergeCell ref="BR87:CB87"/>
    <mergeCell ref="D88:G88"/>
    <mergeCell ref="I88:R88"/>
    <mergeCell ref="U88:AD88"/>
    <mergeCell ref="AG88:AP88"/>
    <mergeCell ref="AS88:BB88"/>
    <mergeCell ref="BE88:BO88"/>
    <mergeCell ref="BR88:CB88"/>
    <mergeCell ref="D89:G89"/>
    <mergeCell ref="I89:R89"/>
    <mergeCell ref="U89:AD89"/>
    <mergeCell ref="AG89:AP89"/>
    <mergeCell ref="AS89:BB89"/>
    <mergeCell ref="BE89:BO89"/>
    <mergeCell ref="BR89:CB89"/>
    <mergeCell ref="D90:G90"/>
    <mergeCell ref="I90:R90"/>
    <mergeCell ref="U90:AD90"/>
    <mergeCell ref="AG90:AP90"/>
    <mergeCell ref="AS90:BB90"/>
    <mergeCell ref="BE90:BO90"/>
    <mergeCell ref="BR90:CB90"/>
    <mergeCell ref="D91:G91"/>
    <mergeCell ref="I91:R91"/>
    <mergeCell ref="U91:AD91"/>
    <mergeCell ref="AG91:AP91"/>
    <mergeCell ref="AS91:BB91"/>
    <mergeCell ref="BE91:BO91"/>
    <mergeCell ref="BR91:CB91"/>
    <mergeCell ref="D92:G92"/>
    <mergeCell ref="I92:R92"/>
    <mergeCell ref="U92:AD92"/>
    <mergeCell ref="AG92:AP92"/>
    <mergeCell ref="AS92:BB92"/>
    <mergeCell ref="BE92:BO92"/>
    <mergeCell ref="BR92:CB92"/>
    <mergeCell ref="D93:G93"/>
    <mergeCell ref="I93:R93"/>
    <mergeCell ref="U93:AD93"/>
    <mergeCell ref="AG93:AP93"/>
    <mergeCell ref="AS93:BB93"/>
    <mergeCell ref="BE93:BO93"/>
    <mergeCell ref="BR93:CB93"/>
    <mergeCell ref="D94:G94"/>
    <mergeCell ref="I94:R94"/>
    <mergeCell ref="U94:AD94"/>
    <mergeCell ref="AG94:AP94"/>
    <mergeCell ref="AS94:BB94"/>
    <mergeCell ref="BE94:BO94"/>
    <mergeCell ref="BR94:CB94"/>
    <mergeCell ref="D95:G95"/>
    <mergeCell ref="I95:R95"/>
    <mergeCell ref="U95:AD95"/>
    <mergeCell ref="AG95:AP95"/>
    <mergeCell ref="AS95:BB95"/>
    <mergeCell ref="BE95:BO95"/>
    <mergeCell ref="BR95:CB95"/>
    <mergeCell ref="D96:G96"/>
    <mergeCell ref="I96:R96"/>
    <mergeCell ref="U96:AD96"/>
    <mergeCell ref="AG96:AP96"/>
    <mergeCell ref="AS96:BB96"/>
    <mergeCell ref="BE96:BO96"/>
    <mergeCell ref="BR96:CB96"/>
    <mergeCell ref="D97:G97"/>
    <mergeCell ref="I97:R97"/>
    <mergeCell ref="U97:AD97"/>
    <mergeCell ref="AG97:AP97"/>
    <mergeCell ref="AS97:BB97"/>
    <mergeCell ref="BE97:BO97"/>
    <mergeCell ref="BR97:CB97"/>
    <mergeCell ref="D98:G98"/>
    <mergeCell ref="I98:R98"/>
    <mergeCell ref="U98:AD98"/>
    <mergeCell ref="AG98:AP98"/>
    <mergeCell ref="AS98:BB98"/>
    <mergeCell ref="BE98:BO98"/>
    <mergeCell ref="BR98:CB98"/>
    <mergeCell ref="D99:G99"/>
    <mergeCell ref="I99:R99"/>
    <mergeCell ref="U99:AD99"/>
    <mergeCell ref="AG99:AP99"/>
    <mergeCell ref="AS99:BB99"/>
    <mergeCell ref="BE99:BO99"/>
    <mergeCell ref="BR99:CB99"/>
    <mergeCell ref="D100:G100"/>
    <mergeCell ref="I100:R100"/>
    <mergeCell ref="U100:AD100"/>
    <mergeCell ref="AG100:AP100"/>
    <mergeCell ref="AS100:BB100"/>
    <mergeCell ref="BE100:BO100"/>
    <mergeCell ref="BR100:CB100"/>
    <mergeCell ref="D101:G101"/>
    <mergeCell ref="I101:R101"/>
    <mergeCell ref="U101:AD101"/>
    <mergeCell ref="AG101:AP101"/>
    <mergeCell ref="AS101:BB101"/>
    <mergeCell ref="BE101:BO101"/>
    <mergeCell ref="BR101:CB101"/>
    <mergeCell ref="D102:G102"/>
    <mergeCell ref="I102:R102"/>
    <mergeCell ref="U102:AD102"/>
    <mergeCell ref="AG102:AP102"/>
    <mergeCell ref="AS102:BB102"/>
    <mergeCell ref="BE102:BO102"/>
    <mergeCell ref="BR102:CB102"/>
    <mergeCell ref="D103:G103"/>
    <mergeCell ref="I103:R103"/>
    <mergeCell ref="U103:AD103"/>
    <mergeCell ref="AG103:AP103"/>
    <mergeCell ref="AS103:BB103"/>
    <mergeCell ref="BE103:BO103"/>
    <mergeCell ref="BR103:CB103"/>
    <mergeCell ref="D104:G104"/>
    <mergeCell ref="I104:R104"/>
    <mergeCell ref="U104:AD104"/>
    <mergeCell ref="AG104:AP104"/>
    <mergeCell ref="AS104:BB104"/>
    <mergeCell ref="BE104:BO104"/>
    <mergeCell ref="BR104:CB104"/>
    <mergeCell ref="D105:G105"/>
    <mergeCell ref="I105:R105"/>
    <mergeCell ref="U105:AD105"/>
    <mergeCell ref="AG105:AP105"/>
    <mergeCell ref="AS105:BB105"/>
    <mergeCell ref="BE105:BO105"/>
    <mergeCell ref="BR105:CB105"/>
    <mergeCell ref="D106:G106"/>
    <mergeCell ref="I106:R106"/>
    <mergeCell ref="U106:AD106"/>
    <mergeCell ref="AG106:AP106"/>
    <mergeCell ref="AS106:BB106"/>
    <mergeCell ref="BE106:BO106"/>
    <mergeCell ref="BR106:CB106"/>
    <mergeCell ref="D107:G107"/>
    <mergeCell ref="I107:R107"/>
    <mergeCell ref="U107:AD107"/>
    <mergeCell ref="AG107:AP107"/>
    <mergeCell ref="AS107:BB107"/>
    <mergeCell ref="BE107:BO107"/>
    <mergeCell ref="BR107:CB107"/>
    <mergeCell ref="D108:G108"/>
    <mergeCell ref="I108:R108"/>
    <mergeCell ref="U108:AD108"/>
    <mergeCell ref="AG108:AP108"/>
    <mergeCell ref="AS108:BB108"/>
    <mergeCell ref="BE108:BO108"/>
    <mergeCell ref="BR108:CB108"/>
    <mergeCell ref="D109:G109"/>
    <mergeCell ref="I109:R109"/>
    <mergeCell ref="U109:AD109"/>
    <mergeCell ref="AG109:AP109"/>
    <mergeCell ref="AS109:BB109"/>
    <mergeCell ref="BE109:BO109"/>
    <mergeCell ref="BR109:CB109"/>
    <mergeCell ref="D110:G110"/>
    <mergeCell ref="I110:R110"/>
    <mergeCell ref="U110:AD110"/>
    <mergeCell ref="AG110:AP110"/>
    <mergeCell ref="AS110:BB110"/>
    <mergeCell ref="BE110:BO110"/>
    <mergeCell ref="BR110:CB110"/>
    <mergeCell ref="D111:G111"/>
    <mergeCell ref="I111:R111"/>
    <mergeCell ref="U111:AD111"/>
    <mergeCell ref="AG111:AP111"/>
    <mergeCell ref="AS111:BB111"/>
    <mergeCell ref="BE111:BO111"/>
    <mergeCell ref="BR111:CB111"/>
    <mergeCell ref="B131:P131"/>
    <mergeCell ref="Q131:BM131"/>
    <mergeCell ref="BN131:CF131"/>
    <mergeCell ref="B126:P126"/>
    <mergeCell ref="Q126:BM126"/>
    <mergeCell ref="BN126:CF126"/>
    <mergeCell ref="B129:P129"/>
    <mergeCell ref="Q129:BM129"/>
    <mergeCell ref="BN129:CF129"/>
    <mergeCell ref="B130:P130"/>
    <mergeCell ref="Q130:BM130"/>
    <mergeCell ref="BN130:CF130"/>
    <mergeCell ref="B128:P128"/>
  </mergeCells>
  <phoneticPr fontId="2"/>
  <pageMargins left="0.45" right="0.23" top="0.51" bottom="0.19685039370078741" header="0.7" footer="0.27559055118110237"/>
  <pageSetup paperSize="9" scale="61" orientation="portrait" horizontalDpi="360" verticalDpi="360" r:id="rId1"/>
  <headerFooter>
    <oddHeader xml:space="preserve">&amp;R&amp;P    </oddHeader>
  </headerFooter>
  <rowBreaks count="1" manualBreakCount="1">
    <brk id="65"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6817C-133F-4F48-A2D7-F7299BAFDF2D}">
  <sheetPr codeName="Sheet8"/>
  <dimension ref="A1:BU71"/>
  <sheetViews>
    <sheetView view="pageBreakPreview" zoomScaleNormal="100" zoomScaleSheetLayoutView="100" workbookViewId="0"/>
  </sheetViews>
  <sheetFormatPr defaultColWidth="1.90625" defaultRowHeight="14"/>
  <cols>
    <col min="1" max="62" width="2.08984375" style="22" customWidth="1"/>
    <col min="63"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33</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332</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8</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66" t="s">
        <v>34</v>
      </c>
      <c r="B9" s="266"/>
      <c r="C9" s="266"/>
      <c r="D9" s="397" t="s">
        <v>239</v>
      </c>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7"/>
      <c r="AH9" s="397"/>
      <c r="AI9" s="397"/>
      <c r="AJ9" s="397"/>
      <c r="AK9" s="397"/>
      <c r="AL9" s="397"/>
      <c r="AM9" s="397"/>
      <c r="AN9" s="397"/>
      <c r="AO9" s="397"/>
      <c r="AP9" s="397"/>
      <c r="AQ9" s="397"/>
      <c r="AR9" s="397"/>
      <c r="AS9" s="397"/>
      <c r="AT9" s="257" t="s">
        <v>240</v>
      </c>
      <c r="AU9" s="258"/>
      <c r="AV9" s="258"/>
      <c r="AW9" s="258"/>
      <c r="AX9" s="258"/>
      <c r="AY9" s="258"/>
      <c r="AZ9" s="258"/>
      <c r="BA9" s="258"/>
      <c r="BB9" s="258"/>
      <c r="BC9" s="258"/>
      <c r="BD9" s="258"/>
      <c r="BE9" s="258"/>
      <c r="BF9" s="258"/>
      <c r="BG9" s="258"/>
      <c r="BH9" s="258"/>
      <c r="BI9" s="258"/>
      <c r="BJ9" s="259"/>
      <c r="BK9" s="175"/>
    </row>
    <row r="10" spans="1:63" ht="25.5" customHeight="1">
      <c r="A10" s="398" t="s">
        <v>95</v>
      </c>
      <c r="B10" s="398"/>
      <c r="C10" s="398"/>
      <c r="D10" s="548"/>
      <c r="E10" s="548"/>
      <c r="F10" s="548"/>
      <c r="G10" s="548"/>
      <c r="H10" s="548"/>
      <c r="I10" s="548"/>
      <c r="J10" s="548"/>
      <c r="K10" s="548"/>
      <c r="L10" s="548"/>
      <c r="M10" s="548"/>
      <c r="N10" s="548"/>
      <c r="O10" s="548"/>
      <c r="P10" s="548"/>
      <c r="Q10" s="548"/>
      <c r="R10" s="548"/>
      <c r="S10" s="548"/>
      <c r="T10" s="548"/>
      <c r="U10" s="548"/>
      <c r="V10" s="548"/>
      <c r="W10" s="548"/>
      <c r="X10" s="548"/>
      <c r="Y10" s="548"/>
      <c r="Z10" s="548"/>
      <c r="AA10" s="548"/>
      <c r="AB10" s="548"/>
      <c r="AC10" s="548"/>
      <c r="AD10" s="548"/>
      <c r="AE10" s="548"/>
      <c r="AF10" s="548"/>
      <c r="AG10" s="548"/>
      <c r="AH10" s="548"/>
      <c r="AI10" s="548"/>
      <c r="AJ10" s="548"/>
      <c r="AK10" s="548"/>
      <c r="AL10" s="548"/>
      <c r="AM10" s="548"/>
      <c r="AN10" s="548"/>
      <c r="AO10" s="548"/>
      <c r="AP10" s="548"/>
      <c r="AQ10" s="548"/>
      <c r="AR10" s="548"/>
      <c r="AS10" s="548"/>
      <c r="AT10" s="549"/>
      <c r="AU10" s="550"/>
      <c r="AV10" s="550"/>
      <c r="AW10" s="550"/>
      <c r="AX10" s="550"/>
      <c r="AY10" s="550"/>
      <c r="AZ10" s="550"/>
      <c r="BA10" s="550"/>
      <c r="BB10" s="550"/>
      <c r="BC10" s="550"/>
      <c r="BD10" s="550"/>
      <c r="BE10" s="550"/>
      <c r="BF10" s="550"/>
      <c r="BG10" s="550"/>
      <c r="BH10" s="550"/>
      <c r="BI10" s="550"/>
      <c r="BJ10" s="551"/>
      <c r="BK10" s="3"/>
    </row>
    <row r="11" spans="1:63" ht="25.5" customHeight="1">
      <c r="A11" s="403" t="s">
        <v>64</v>
      </c>
      <c r="B11" s="403"/>
      <c r="C11" s="403"/>
      <c r="D11" s="404"/>
      <c r="E11" s="404"/>
      <c r="F11" s="404"/>
      <c r="G11" s="404"/>
      <c r="H11" s="404"/>
      <c r="I11" s="404"/>
      <c r="J11" s="404"/>
      <c r="K11" s="404"/>
      <c r="L11" s="404"/>
      <c r="M11" s="404"/>
      <c r="N11" s="404"/>
      <c r="O11" s="404"/>
      <c r="P11" s="404"/>
      <c r="Q11" s="404"/>
      <c r="R11" s="404"/>
      <c r="S11" s="404"/>
      <c r="T11" s="404"/>
      <c r="U11" s="404"/>
      <c r="V11" s="404"/>
      <c r="W11" s="404"/>
      <c r="X11" s="404"/>
      <c r="Y11" s="404"/>
      <c r="Z11" s="404"/>
      <c r="AA11" s="404"/>
      <c r="AB11" s="404"/>
      <c r="AC11" s="404"/>
      <c r="AD11" s="404"/>
      <c r="AE11" s="404"/>
      <c r="AF11" s="404"/>
      <c r="AG11" s="404"/>
      <c r="AH11" s="404"/>
      <c r="AI11" s="404"/>
      <c r="AJ11" s="404"/>
      <c r="AK11" s="404"/>
      <c r="AL11" s="404"/>
      <c r="AM11" s="404"/>
      <c r="AN11" s="404"/>
      <c r="AO11" s="404"/>
      <c r="AP11" s="404"/>
      <c r="AQ11" s="404"/>
      <c r="AR11" s="404"/>
      <c r="AS11" s="404"/>
      <c r="AT11" s="414"/>
      <c r="AU11" s="415"/>
      <c r="AV11" s="415"/>
      <c r="AW11" s="415"/>
      <c r="AX11" s="415"/>
      <c r="AY11" s="415"/>
      <c r="AZ11" s="415"/>
      <c r="BA11" s="415"/>
      <c r="BB11" s="415"/>
      <c r="BC11" s="415"/>
      <c r="BD11" s="415"/>
      <c r="BE11" s="415"/>
      <c r="BF11" s="415"/>
      <c r="BG11" s="415"/>
      <c r="BH11" s="415"/>
      <c r="BI11" s="415"/>
      <c r="BJ11" s="416"/>
      <c r="BK11" s="17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8" t="s">
        <v>34</v>
      </c>
      <c r="B14" s="409"/>
      <c r="C14" s="410"/>
      <c r="D14" s="408" t="s">
        <v>35</v>
      </c>
      <c r="E14" s="409"/>
      <c r="F14" s="409"/>
      <c r="G14" s="409"/>
      <c r="H14" s="409"/>
      <c r="I14" s="409"/>
      <c r="J14" s="409"/>
      <c r="K14" s="409"/>
      <c r="L14" s="409"/>
      <c r="M14" s="409"/>
      <c r="N14" s="409"/>
      <c r="O14" s="409"/>
      <c r="P14" s="409"/>
      <c r="Q14" s="409"/>
      <c r="R14" s="410"/>
      <c r="S14" s="408" t="s">
        <v>36</v>
      </c>
      <c r="T14" s="409"/>
      <c r="U14" s="410"/>
      <c r="V14" s="405" t="s">
        <v>37</v>
      </c>
      <c r="W14" s="406"/>
      <c r="X14" s="406"/>
      <c r="Y14" s="407"/>
      <c r="Z14" s="408" t="s">
        <v>38</v>
      </c>
      <c r="AA14" s="409"/>
      <c r="AB14" s="409"/>
      <c r="AC14" s="410"/>
      <c r="AD14" s="391" t="s">
        <v>39</v>
      </c>
      <c r="AE14" s="392"/>
      <c r="AF14" s="393"/>
      <c r="AG14" s="391" t="s">
        <v>40</v>
      </c>
      <c r="AH14" s="392"/>
      <c r="AI14" s="393"/>
      <c r="AJ14" s="391" t="s">
        <v>41</v>
      </c>
      <c r="AK14" s="392"/>
      <c r="AL14" s="393"/>
      <c r="AM14" s="408" t="s">
        <v>42</v>
      </c>
      <c r="AN14" s="409"/>
      <c r="AO14" s="409"/>
      <c r="AP14" s="409"/>
      <c r="AQ14" s="409"/>
      <c r="AR14" s="409"/>
      <c r="AS14" s="409"/>
      <c r="AT14" s="409"/>
      <c r="AU14" s="409"/>
      <c r="AV14" s="409"/>
      <c r="AW14" s="409"/>
      <c r="AX14" s="409"/>
      <c r="AY14" s="409"/>
      <c r="AZ14" s="409"/>
      <c r="BA14" s="409"/>
      <c r="BB14" s="409"/>
      <c r="BC14" s="409"/>
      <c r="BD14" s="409"/>
      <c r="BE14" s="409"/>
      <c r="BF14" s="409"/>
      <c r="BG14" s="409"/>
      <c r="BH14" s="409"/>
      <c r="BI14" s="409"/>
      <c r="BJ14" s="410"/>
    </row>
    <row r="15" spans="1:63" s="23" customFormat="1" ht="20.25" customHeight="1">
      <c r="A15" s="411"/>
      <c r="B15" s="412"/>
      <c r="C15" s="413"/>
      <c r="D15" s="411"/>
      <c r="E15" s="412"/>
      <c r="F15" s="412"/>
      <c r="G15" s="412"/>
      <c r="H15" s="412"/>
      <c r="I15" s="412"/>
      <c r="J15" s="412"/>
      <c r="K15" s="412"/>
      <c r="L15" s="412"/>
      <c r="M15" s="412"/>
      <c r="N15" s="412"/>
      <c r="O15" s="412"/>
      <c r="P15" s="412"/>
      <c r="Q15" s="412"/>
      <c r="R15" s="413"/>
      <c r="S15" s="411"/>
      <c r="T15" s="412"/>
      <c r="U15" s="413"/>
      <c r="V15" s="428" t="s">
        <v>43</v>
      </c>
      <c r="W15" s="429"/>
      <c r="X15" s="429" t="s">
        <v>44</v>
      </c>
      <c r="Y15" s="430"/>
      <c r="Z15" s="411"/>
      <c r="AA15" s="412"/>
      <c r="AB15" s="412"/>
      <c r="AC15" s="413"/>
      <c r="AD15" s="394"/>
      <c r="AE15" s="395"/>
      <c r="AF15" s="396"/>
      <c r="AG15" s="394"/>
      <c r="AH15" s="395"/>
      <c r="AI15" s="396"/>
      <c r="AJ15" s="394"/>
      <c r="AK15" s="395"/>
      <c r="AL15" s="396"/>
      <c r="AM15" s="411"/>
      <c r="AN15" s="412"/>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3"/>
    </row>
    <row r="16" spans="1:63" ht="30.75" customHeight="1">
      <c r="A16" s="367">
        <f>ROW()-15</f>
        <v>1</v>
      </c>
      <c r="B16" s="368"/>
      <c r="C16" s="369"/>
      <c r="D16" s="417" t="s">
        <v>254</v>
      </c>
      <c r="E16" s="418"/>
      <c r="F16" s="418"/>
      <c r="G16" s="418"/>
      <c r="H16" s="418"/>
      <c r="I16" s="418"/>
      <c r="J16" s="418"/>
      <c r="K16" s="418"/>
      <c r="L16" s="418"/>
      <c r="M16" s="418"/>
      <c r="N16" s="418"/>
      <c r="O16" s="418"/>
      <c r="P16" s="418"/>
      <c r="Q16" s="418"/>
      <c r="R16" s="419"/>
      <c r="S16" s="420"/>
      <c r="T16" s="421"/>
      <c r="U16" s="422"/>
      <c r="V16" s="420" t="s">
        <v>470</v>
      </c>
      <c r="W16" s="523"/>
      <c r="X16" s="447" t="s">
        <v>470</v>
      </c>
      <c r="Y16" s="422"/>
      <c r="Z16" s="420"/>
      <c r="AA16" s="421"/>
      <c r="AB16" s="421"/>
      <c r="AC16" s="422"/>
      <c r="AD16" s="376"/>
      <c r="AE16" s="377"/>
      <c r="AF16" s="378"/>
      <c r="AG16" s="376"/>
      <c r="AH16" s="377"/>
      <c r="AI16" s="378"/>
      <c r="AJ16" s="376"/>
      <c r="AK16" s="377"/>
      <c r="AL16" s="378"/>
      <c r="AM16" s="425"/>
      <c r="AN16" s="426"/>
      <c r="AO16" s="426"/>
      <c r="AP16" s="426"/>
      <c r="AQ16" s="426"/>
      <c r="AR16" s="426"/>
      <c r="AS16" s="426"/>
      <c r="AT16" s="426"/>
      <c r="AU16" s="426"/>
      <c r="AV16" s="426"/>
      <c r="AW16" s="426"/>
      <c r="AX16" s="426"/>
      <c r="AY16" s="426"/>
      <c r="AZ16" s="426"/>
      <c r="BA16" s="426"/>
      <c r="BB16" s="426"/>
      <c r="BC16" s="426"/>
      <c r="BD16" s="426"/>
      <c r="BE16" s="426"/>
      <c r="BF16" s="426"/>
      <c r="BG16" s="426"/>
      <c r="BH16" s="426"/>
      <c r="BI16" s="426"/>
      <c r="BJ16" s="427"/>
    </row>
    <row r="17" spans="1:62" ht="30.75" customHeight="1">
      <c r="A17" s="476">
        <f>ROW()-15</f>
        <v>2</v>
      </c>
      <c r="B17" s="457"/>
      <c r="C17" s="458"/>
      <c r="D17" s="379" t="s">
        <v>89</v>
      </c>
      <c r="E17" s="380"/>
      <c r="F17" s="380"/>
      <c r="G17" s="380"/>
      <c r="H17" s="380"/>
      <c r="I17" s="380"/>
      <c r="J17" s="380"/>
      <c r="K17" s="380"/>
      <c r="L17" s="380"/>
      <c r="M17" s="380"/>
      <c r="N17" s="380"/>
      <c r="O17" s="380"/>
      <c r="P17" s="380"/>
      <c r="Q17" s="380"/>
      <c r="R17" s="381"/>
      <c r="S17" s="382" t="s">
        <v>130</v>
      </c>
      <c r="T17" s="371"/>
      <c r="U17" s="366"/>
      <c r="V17" s="382" t="s">
        <v>118</v>
      </c>
      <c r="W17" s="436"/>
      <c r="X17" s="365" t="s">
        <v>64</v>
      </c>
      <c r="Y17" s="366"/>
      <c r="Z17" s="144" t="s">
        <v>474</v>
      </c>
      <c r="AA17" s="145"/>
      <c r="AB17" s="145"/>
      <c r="AC17" s="146"/>
      <c r="AD17" s="382"/>
      <c r="AE17" s="371"/>
      <c r="AF17" s="366"/>
      <c r="AG17" s="382"/>
      <c r="AH17" s="371"/>
      <c r="AI17" s="366"/>
      <c r="AJ17" s="382"/>
      <c r="AK17" s="371"/>
      <c r="AL17" s="366"/>
      <c r="AM17" s="390"/>
      <c r="AN17" s="380"/>
      <c r="AO17" s="380"/>
      <c r="AP17" s="380"/>
      <c r="AQ17" s="380"/>
      <c r="AR17" s="380"/>
      <c r="AS17" s="380"/>
      <c r="AT17" s="380"/>
      <c r="AU17" s="380"/>
      <c r="AV17" s="380"/>
      <c r="AW17" s="380"/>
      <c r="AX17" s="380"/>
      <c r="AY17" s="380"/>
      <c r="AZ17" s="380"/>
      <c r="BA17" s="380"/>
      <c r="BB17" s="380"/>
      <c r="BC17" s="380"/>
      <c r="BD17" s="380"/>
      <c r="BE17" s="380"/>
      <c r="BF17" s="380"/>
      <c r="BG17" s="380"/>
      <c r="BH17" s="380"/>
      <c r="BI17" s="380"/>
      <c r="BJ17" s="381"/>
    </row>
    <row r="18" spans="1:62" ht="30.75" customHeight="1">
      <c r="A18" s="476">
        <f t="shared" ref="A18:A48" si="0">ROW()-15</f>
        <v>3</v>
      </c>
      <c r="B18" s="457"/>
      <c r="C18" s="458"/>
      <c r="D18" s="379" t="s">
        <v>256</v>
      </c>
      <c r="E18" s="380"/>
      <c r="F18" s="380"/>
      <c r="G18" s="380"/>
      <c r="H18" s="380"/>
      <c r="I18" s="380"/>
      <c r="J18" s="380"/>
      <c r="K18" s="380"/>
      <c r="L18" s="380"/>
      <c r="M18" s="380"/>
      <c r="N18" s="380"/>
      <c r="O18" s="380"/>
      <c r="P18" s="380"/>
      <c r="Q18" s="380"/>
      <c r="R18" s="381"/>
      <c r="S18" s="144" t="s">
        <v>250</v>
      </c>
      <c r="T18" s="145"/>
      <c r="U18" s="146"/>
      <c r="V18" s="382" t="s">
        <v>118</v>
      </c>
      <c r="W18" s="436"/>
      <c r="X18" s="365" t="s">
        <v>108</v>
      </c>
      <c r="Y18" s="366"/>
      <c r="Z18" s="383" t="s">
        <v>344</v>
      </c>
      <c r="AA18" s="384"/>
      <c r="AB18" s="384"/>
      <c r="AC18" s="385"/>
      <c r="AD18" s="382"/>
      <c r="AE18" s="371"/>
      <c r="AF18" s="366"/>
      <c r="AG18" s="382"/>
      <c r="AH18" s="371"/>
      <c r="AI18" s="366"/>
      <c r="AJ18" s="372"/>
      <c r="AK18" s="373"/>
      <c r="AL18" s="375"/>
      <c r="AM18" s="390" t="s">
        <v>285</v>
      </c>
      <c r="AN18" s="380"/>
      <c r="AO18" s="380"/>
      <c r="AP18" s="380"/>
      <c r="AQ18" s="380"/>
      <c r="AR18" s="380"/>
      <c r="AS18" s="380"/>
      <c r="AT18" s="380"/>
      <c r="AU18" s="380"/>
      <c r="AV18" s="380"/>
      <c r="AW18" s="380"/>
      <c r="AX18" s="380"/>
      <c r="AY18" s="380"/>
      <c r="AZ18" s="380"/>
      <c r="BA18" s="380"/>
      <c r="BB18" s="380"/>
      <c r="BC18" s="380"/>
      <c r="BD18" s="380"/>
      <c r="BE18" s="380"/>
      <c r="BF18" s="380"/>
      <c r="BG18" s="380"/>
      <c r="BH18" s="380"/>
      <c r="BI18" s="380"/>
      <c r="BJ18" s="381"/>
    </row>
    <row r="19" spans="1:62" ht="30.75" customHeight="1">
      <c r="A19" s="476">
        <f t="shared" si="0"/>
        <v>4</v>
      </c>
      <c r="B19" s="457"/>
      <c r="C19" s="458"/>
      <c r="D19" s="379" t="s">
        <v>90</v>
      </c>
      <c r="E19" s="380"/>
      <c r="F19" s="380"/>
      <c r="G19" s="380"/>
      <c r="H19" s="380"/>
      <c r="I19" s="380"/>
      <c r="J19" s="380"/>
      <c r="K19" s="380"/>
      <c r="L19" s="380"/>
      <c r="M19" s="380"/>
      <c r="N19" s="380"/>
      <c r="O19" s="380"/>
      <c r="P19" s="380"/>
      <c r="Q19" s="380"/>
      <c r="R19" s="381"/>
      <c r="S19" s="382" t="s">
        <v>130</v>
      </c>
      <c r="T19" s="371"/>
      <c r="U19" s="366"/>
      <c r="V19" s="382" t="s">
        <v>118</v>
      </c>
      <c r="W19" s="436"/>
      <c r="X19" s="365" t="s">
        <v>76</v>
      </c>
      <c r="Y19" s="366"/>
      <c r="Z19" s="383" t="s">
        <v>344</v>
      </c>
      <c r="AA19" s="384"/>
      <c r="AB19" s="384"/>
      <c r="AC19" s="385"/>
      <c r="AD19" s="382"/>
      <c r="AE19" s="371"/>
      <c r="AF19" s="366"/>
      <c r="AG19" s="382"/>
      <c r="AH19" s="371"/>
      <c r="AI19" s="366"/>
      <c r="AJ19" s="382"/>
      <c r="AK19" s="371"/>
      <c r="AL19" s="366"/>
      <c r="AM19" s="390"/>
      <c r="AN19" s="380"/>
      <c r="AO19" s="380"/>
      <c r="AP19" s="380"/>
      <c r="AQ19" s="380"/>
      <c r="AR19" s="380"/>
      <c r="AS19" s="380"/>
      <c r="AT19" s="380"/>
      <c r="AU19" s="380"/>
      <c r="AV19" s="380"/>
      <c r="AW19" s="380"/>
      <c r="AX19" s="380"/>
      <c r="AY19" s="380"/>
      <c r="AZ19" s="380"/>
      <c r="BA19" s="380"/>
      <c r="BB19" s="380"/>
      <c r="BC19" s="380"/>
      <c r="BD19" s="380"/>
      <c r="BE19" s="380"/>
      <c r="BF19" s="380"/>
      <c r="BG19" s="380"/>
      <c r="BH19" s="380"/>
      <c r="BI19" s="380"/>
      <c r="BJ19" s="381"/>
    </row>
    <row r="20" spans="1:62" ht="30.75" customHeight="1">
      <c r="A20" s="476">
        <f t="shared" si="0"/>
        <v>5</v>
      </c>
      <c r="B20" s="457"/>
      <c r="C20" s="458"/>
      <c r="D20" s="379" t="s">
        <v>91</v>
      </c>
      <c r="E20" s="380"/>
      <c r="F20" s="380"/>
      <c r="G20" s="380"/>
      <c r="H20" s="380"/>
      <c r="I20" s="380"/>
      <c r="J20" s="380"/>
      <c r="K20" s="380"/>
      <c r="L20" s="380"/>
      <c r="M20" s="380"/>
      <c r="N20" s="380"/>
      <c r="O20" s="380"/>
      <c r="P20" s="380"/>
      <c r="Q20" s="380"/>
      <c r="R20" s="381"/>
      <c r="S20" s="382" t="s">
        <v>130</v>
      </c>
      <c r="T20" s="371"/>
      <c r="U20" s="366"/>
      <c r="V20" s="382" t="s">
        <v>118</v>
      </c>
      <c r="W20" s="436"/>
      <c r="X20" s="365" t="s">
        <v>76</v>
      </c>
      <c r="Y20" s="366"/>
      <c r="Z20" s="177" t="s">
        <v>474</v>
      </c>
      <c r="AA20" s="145"/>
      <c r="AB20" s="145"/>
      <c r="AC20" s="146"/>
      <c r="AD20" s="382"/>
      <c r="AE20" s="371"/>
      <c r="AF20" s="366"/>
      <c r="AG20" s="382"/>
      <c r="AH20" s="371"/>
      <c r="AI20" s="366"/>
      <c r="AJ20" s="382"/>
      <c r="AK20" s="371"/>
      <c r="AL20" s="366"/>
      <c r="AM20" s="390"/>
      <c r="AN20" s="380"/>
      <c r="AO20" s="380"/>
      <c r="AP20" s="380"/>
      <c r="AQ20" s="380"/>
      <c r="AR20" s="380"/>
      <c r="AS20" s="380"/>
      <c r="AT20" s="380"/>
      <c r="AU20" s="380"/>
      <c r="AV20" s="380"/>
      <c r="AW20" s="380"/>
      <c r="AX20" s="380"/>
      <c r="AY20" s="380"/>
      <c r="AZ20" s="380"/>
      <c r="BA20" s="380"/>
      <c r="BB20" s="380"/>
      <c r="BC20" s="380"/>
      <c r="BD20" s="380"/>
      <c r="BE20" s="380"/>
      <c r="BF20" s="380"/>
      <c r="BG20" s="380"/>
      <c r="BH20" s="380"/>
      <c r="BI20" s="380"/>
      <c r="BJ20" s="381"/>
    </row>
    <row r="21" spans="1:62" ht="30.75" customHeight="1">
      <c r="A21" s="476">
        <f t="shared" si="0"/>
        <v>6</v>
      </c>
      <c r="B21" s="457"/>
      <c r="C21" s="458"/>
      <c r="D21" s="379" t="s">
        <v>258</v>
      </c>
      <c r="E21" s="380"/>
      <c r="F21" s="380"/>
      <c r="G21" s="380"/>
      <c r="H21" s="380"/>
      <c r="I21" s="380"/>
      <c r="J21" s="380"/>
      <c r="K21" s="380"/>
      <c r="L21" s="380"/>
      <c r="M21" s="380"/>
      <c r="N21" s="380"/>
      <c r="O21" s="380"/>
      <c r="P21" s="380"/>
      <c r="Q21" s="380"/>
      <c r="R21" s="381"/>
      <c r="S21" s="144" t="s">
        <v>250</v>
      </c>
      <c r="T21" s="145"/>
      <c r="U21" s="146"/>
      <c r="V21" s="382" t="s">
        <v>118</v>
      </c>
      <c r="W21" s="436"/>
      <c r="X21" s="365" t="s">
        <v>113</v>
      </c>
      <c r="Y21" s="366"/>
      <c r="Z21" s="383" t="s">
        <v>344</v>
      </c>
      <c r="AA21" s="384"/>
      <c r="AB21" s="384"/>
      <c r="AC21" s="385"/>
      <c r="AD21" s="382"/>
      <c r="AE21" s="371"/>
      <c r="AF21" s="366"/>
      <c r="AG21" s="382"/>
      <c r="AH21" s="371"/>
      <c r="AI21" s="366"/>
      <c r="AJ21" s="372"/>
      <c r="AK21" s="373"/>
      <c r="AL21" s="375"/>
      <c r="AM21" s="379" t="s">
        <v>286</v>
      </c>
      <c r="AN21" s="380"/>
      <c r="AO21" s="380"/>
      <c r="AP21" s="380"/>
      <c r="AQ21" s="380"/>
      <c r="AR21" s="380"/>
      <c r="AS21" s="380"/>
      <c r="AT21" s="380"/>
      <c r="AU21" s="380"/>
      <c r="AV21" s="380"/>
      <c r="AW21" s="380"/>
      <c r="AX21" s="380"/>
      <c r="AY21" s="380"/>
      <c r="AZ21" s="380"/>
      <c r="BA21" s="380"/>
      <c r="BB21" s="380"/>
      <c r="BC21" s="380"/>
      <c r="BD21" s="380"/>
      <c r="BE21" s="380"/>
      <c r="BF21" s="380"/>
      <c r="BG21" s="380"/>
      <c r="BH21" s="380"/>
      <c r="BI21" s="380"/>
      <c r="BJ21" s="381"/>
    </row>
    <row r="22" spans="1:62" ht="30.75" customHeight="1">
      <c r="A22" s="476">
        <f t="shared" si="0"/>
        <v>7</v>
      </c>
      <c r="B22" s="457"/>
      <c r="C22" s="458"/>
      <c r="D22" s="379" t="s">
        <v>93</v>
      </c>
      <c r="E22" s="380"/>
      <c r="F22" s="380"/>
      <c r="G22" s="380"/>
      <c r="H22" s="380"/>
      <c r="I22" s="380"/>
      <c r="J22" s="380"/>
      <c r="K22" s="380"/>
      <c r="L22" s="380"/>
      <c r="M22" s="380"/>
      <c r="N22" s="380"/>
      <c r="O22" s="380"/>
      <c r="P22" s="380"/>
      <c r="Q22" s="380"/>
      <c r="R22" s="381"/>
      <c r="S22" s="382" t="s">
        <v>130</v>
      </c>
      <c r="T22" s="371"/>
      <c r="U22" s="366"/>
      <c r="V22" s="382" t="s">
        <v>118</v>
      </c>
      <c r="W22" s="436"/>
      <c r="X22" s="374" t="s">
        <v>75</v>
      </c>
      <c r="Y22" s="375"/>
      <c r="Z22" s="177" t="s">
        <v>474</v>
      </c>
      <c r="AA22" s="145"/>
      <c r="AB22" s="145"/>
      <c r="AC22" s="146"/>
      <c r="AD22" s="382"/>
      <c r="AE22" s="371"/>
      <c r="AF22" s="366"/>
      <c r="AG22" s="382"/>
      <c r="AH22" s="371"/>
      <c r="AI22" s="366"/>
      <c r="AJ22" s="382"/>
      <c r="AK22" s="371"/>
      <c r="AL22" s="366"/>
      <c r="AM22" s="390"/>
      <c r="AN22" s="380"/>
      <c r="AO22" s="380"/>
      <c r="AP22" s="380"/>
      <c r="AQ22" s="380"/>
      <c r="AR22" s="380"/>
      <c r="AS22" s="380"/>
      <c r="AT22" s="380"/>
      <c r="AU22" s="380"/>
      <c r="AV22" s="380"/>
      <c r="AW22" s="380"/>
      <c r="AX22" s="380"/>
      <c r="AY22" s="380"/>
      <c r="AZ22" s="380"/>
      <c r="BA22" s="380"/>
      <c r="BB22" s="380"/>
      <c r="BC22" s="380"/>
      <c r="BD22" s="380"/>
      <c r="BE22" s="380"/>
      <c r="BF22" s="380"/>
      <c r="BG22" s="380"/>
      <c r="BH22" s="380"/>
      <c r="BI22" s="380"/>
      <c r="BJ22" s="381"/>
    </row>
    <row r="23" spans="1:62" ht="30.75" customHeight="1">
      <c r="A23" s="476">
        <f t="shared" si="0"/>
        <v>8</v>
      </c>
      <c r="B23" s="457"/>
      <c r="C23" s="458"/>
      <c r="D23" s="379" t="s">
        <v>264</v>
      </c>
      <c r="E23" s="380"/>
      <c r="F23" s="380"/>
      <c r="G23" s="380"/>
      <c r="H23" s="380"/>
      <c r="I23" s="380"/>
      <c r="J23" s="380"/>
      <c r="K23" s="380"/>
      <c r="L23" s="380"/>
      <c r="M23" s="380"/>
      <c r="N23" s="380"/>
      <c r="O23" s="380"/>
      <c r="P23" s="380"/>
      <c r="Q23" s="380"/>
      <c r="R23" s="381"/>
      <c r="S23" s="144" t="s">
        <v>250</v>
      </c>
      <c r="T23" s="145"/>
      <c r="U23" s="146"/>
      <c r="V23" s="382" t="s">
        <v>118</v>
      </c>
      <c r="W23" s="436"/>
      <c r="X23" s="371" t="s">
        <v>154</v>
      </c>
      <c r="Y23" s="366"/>
      <c r="Z23" s="383" t="s">
        <v>344</v>
      </c>
      <c r="AA23" s="384"/>
      <c r="AB23" s="384"/>
      <c r="AC23" s="385"/>
      <c r="AD23" s="382"/>
      <c r="AE23" s="371"/>
      <c r="AF23" s="366"/>
      <c r="AG23" s="382"/>
      <c r="AH23" s="371"/>
      <c r="AI23" s="366"/>
      <c r="AJ23" s="372"/>
      <c r="AK23" s="373"/>
      <c r="AL23" s="375"/>
      <c r="AM23" s="390" t="s">
        <v>287</v>
      </c>
      <c r="AN23" s="380"/>
      <c r="AO23" s="380"/>
      <c r="AP23" s="380"/>
      <c r="AQ23" s="380"/>
      <c r="AR23" s="380"/>
      <c r="AS23" s="380"/>
      <c r="AT23" s="380"/>
      <c r="AU23" s="380"/>
      <c r="AV23" s="380"/>
      <c r="AW23" s="380"/>
      <c r="AX23" s="380"/>
      <c r="AY23" s="380"/>
      <c r="AZ23" s="380"/>
      <c r="BA23" s="380"/>
      <c r="BB23" s="380"/>
      <c r="BC23" s="380"/>
      <c r="BD23" s="380"/>
      <c r="BE23" s="380"/>
      <c r="BF23" s="380"/>
      <c r="BG23" s="380"/>
      <c r="BH23" s="380"/>
      <c r="BI23" s="380"/>
      <c r="BJ23" s="381"/>
    </row>
    <row r="24" spans="1:62" ht="30.75" customHeight="1">
      <c r="A24" s="476">
        <f t="shared" si="0"/>
        <v>9</v>
      </c>
      <c r="B24" s="457"/>
      <c r="C24" s="458"/>
      <c r="D24" s="379" t="s">
        <v>73</v>
      </c>
      <c r="E24" s="380"/>
      <c r="F24" s="380"/>
      <c r="G24" s="380"/>
      <c r="H24" s="380"/>
      <c r="I24" s="380"/>
      <c r="J24" s="380"/>
      <c r="K24" s="380"/>
      <c r="L24" s="380"/>
      <c r="M24" s="380"/>
      <c r="N24" s="380"/>
      <c r="O24" s="380"/>
      <c r="P24" s="380"/>
      <c r="Q24" s="380"/>
      <c r="R24" s="381"/>
      <c r="S24" s="382" t="s">
        <v>130</v>
      </c>
      <c r="T24" s="371"/>
      <c r="U24" s="366"/>
      <c r="V24" s="382" t="s">
        <v>118</v>
      </c>
      <c r="W24" s="436"/>
      <c r="X24" s="365" t="s">
        <v>76</v>
      </c>
      <c r="Y24" s="366"/>
      <c r="Z24" s="177" t="s">
        <v>253</v>
      </c>
      <c r="AA24" s="145"/>
      <c r="AB24" s="145"/>
      <c r="AC24" s="146"/>
      <c r="AD24" s="382"/>
      <c r="AE24" s="371"/>
      <c r="AF24" s="366"/>
      <c r="AG24" s="382"/>
      <c r="AH24" s="371"/>
      <c r="AI24" s="366"/>
      <c r="AJ24" s="382"/>
      <c r="AK24" s="371"/>
      <c r="AL24" s="366"/>
      <c r="AM24" s="390"/>
      <c r="AN24" s="380"/>
      <c r="AO24" s="380"/>
      <c r="AP24" s="380"/>
      <c r="AQ24" s="380"/>
      <c r="AR24" s="380"/>
      <c r="AS24" s="380"/>
      <c r="AT24" s="380"/>
      <c r="AU24" s="380"/>
      <c r="AV24" s="380"/>
      <c r="AW24" s="380"/>
      <c r="AX24" s="380"/>
      <c r="AY24" s="380"/>
      <c r="AZ24" s="380"/>
      <c r="BA24" s="380"/>
      <c r="BB24" s="380"/>
      <c r="BC24" s="380"/>
      <c r="BD24" s="380"/>
      <c r="BE24" s="380"/>
      <c r="BF24" s="380"/>
      <c r="BG24" s="380"/>
      <c r="BH24" s="380"/>
      <c r="BI24" s="380"/>
      <c r="BJ24" s="381"/>
    </row>
    <row r="25" spans="1:62" ht="30.75" customHeight="1">
      <c r="A25" s="476">
        <f t="shared" si="0"/>
        <v>10</v>
      </c>
      <c r="B25" s="457"/>
      <c r="C25" s="458"/>
      <c r="D25" s="379" t="s">
        <v>74</v>
      </c>
      <c r="E25" s="380"/>
      <c r="F25" s="380"/>
      <c r="G25" s="380"/>
      <c r="H25" s="380"/>
      <c r="I25" s="380"/>
      <c r="J25" s="380"/>
      <c r="K25" s="380"/>
      <c r="L25" s="380"/>
      <c r="M25" s="380"/>
      <c r="N25" s="380"/>
      <c r="O25" s="380"/>
      <c r="P25" s="380"/>
      <c r="Q25" s="380"/>
      <c r="R25" s="381"/>
      <c r="S25" s="382" t="s">
        <v>130</v>
      </c>
      <c r="T25" s="371"/>
      <c r="U25" s="366"/>
      <c r="V25" s="382" t="s">
        <v>118</v>
      </c>
      <c r="W25" s="436"/>
      <c r="X25" s="365" t="s">
        <v>64</v>
      </c>
      <c r="Y25" s="366"/>
      <c r="Z25" s="177" t="s">
        <v>253</v>
      </c>
      <c r="AA25" s="145"/>
      <c r="AB25" s="145"/>
      <c r="AC25" s="146"/>
      <c r="AD25" s="382"/>
      <c r="AE25" s="371"/>
      <c r="AF25" s="366"/>
      <c r="AG25" s="382"/>
      <c r="AH25" s="371"/>
      <c r="AI25" s="366"/>
      <c r="AJ25" s="382"/>
      <c r="AK25" s="371"/>
      <c r="AL25" s="366"/>
      <c r="AM25" s="390"/>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1"/>
    </row>
    <row r="26" spans="1:62" ht="30.75" customHeight="1">
      <c r="A26" s="476">
        <f t="shared" si="0"/>
        <v>11</v>
      </c>
      <c r="B26" s="457"/>
      <c r="C26" s="458"/>
      <c r="D26" s="379" t="s">
        <v>92</v>
      </c>
      <c r="E26" s="380"/>
      <c r="F26" s="380"/>
      <c r="G26" s="380"/>
      <c r="H26" s="380"/>
      <c r="I26" s="380"/>
      <c r="J26" s="380"/>
      <c r="K26" s="380"/>
      <c r="L26" s="380"/>
      <c r="M26" s="380"/>
      <c r="N26" s="380"/>
      <c r="O26" s="380"/>
      <c r="P26" s="380"/>
      <c r="Q26" s="380"/>
      <c r="R26" s="381"/>
      <c r="S26" s="382" t="s">
        <v>130</v>
      </c>
      <c r="T26" s="371"/>
      <c r="U26" s="366"/>
      <c r="V26" s="382" t="s">
        <v>118</v>
      </c>
      <c r="W26" s="436"/>
      <c r="X26" s="365" t="s">
        <v>106</v>
      </c>
      <c r="Y26" s="366"/>
      <c r="Z26" s="177" t="s">
        <v>253</v>
      </c>
      <c r="AA26" s="145"/>
      <c r="AB26" s="145"/>
      <c r="AC26" s="146"/>
      <c r="AD26" s="382"/>
      <c r="AE26" s="371"/>
      <c r="AF26" s="366"/>
      <c r="AG26" s="382"/>
      <c r="AH26" s="371"/>
      <c r="AI26" s="366"/>
      <c r="AJ26" s="382"/>
      <c r="AK26" s="371"/>
      <c r="AL26" s="366"/>
      <c r="AM26" s="390" t="s">
        <v>284</v>
      </c>
      <c r="AN26" s="380"/>
      <c r="AO26" s="380"/>
      <c r="AP26" s="380"/>
      <c r="AQ26" s="380"/>
      <c r="AR26" s="380"/>
      <c r="AS26" s="380"/>
      <c r="AT26" s="380"/>
      <c r="AU26" s="380"/>
      <c r="AV26" s="380"/>
      <c r="AW26" s="380"/>
      <c r="AX26" s="380"/>
      <c r="AY26" s="380"/>
      <c r="AZ26" s="380"/>
      <c r="BA26" s="380"/>
      <c r="BB26" s="380"/>
      <c r="BC26" s="380"/>
      <c r="BD26" s="380"/>
      <c r="BE26" s="380"/>
      <c r="BF26" s="380"/>
      <c r="BG26" s="380"/>
      <c r="BH26" s="380"/>
      <c r="BI26" s="380"/>
      <c r="BJ26" s="381"/>
    </row>
    <row r="27" spans="1:62" ht="30.75" customHeight="1">
      <c r="A27" s="476">
        <f t="shared" si="0"/>
        <v>12</v>
      </c>
      <c r="B27" s="457"/>
      <c r="C27" s="458"/>
      <c r="D27" s="526" t="s">
        <v>252</v>
      </c>
      <c r="E27" s="527"/>
      <c r="F27" s="527"/>
      <c r="G27" s="527"/>
      <c r="H27" s="527"/>
      <c r="I27" s="527"/>
      <c r="J27" s="527"/>
      <c r="K27" s="527"/>
      <c r="L27" s="527"/>
      <c r="M27" s="527"/>
      <c r="N27" s="527"/>
      <c r="O27" s="527"/>
      <c r="P27" s="527"/>
      <c r="Q27" s="527"/>
      <c r="R27" s="528"/>
      <c r="S27" s="144" t="s">
        <v>250</v>
      </c>
      <c r="T27" s="145"/>
      <c r="U27" s="146"/>
      <c r="V27" s="382" t="s">
        <v>118</v>
      </c>
      <c r="W27" s="436"/>
      <c r="X27" s="371" t="s">
        <v>64</v>
      </c>
      <c r="Y27" s="436"/>
      <c r="Z27" s="177" t="s">
        <v>253</v>
      </c>
      <c r="AA27" s="145"/>
      <c r="AB27" s="145"/>
      <c r="AC27" s="146"/>
      <c r="AD27" s="382"/>
      <c r="AE27" s="371"/>
      <c r="AF27" s="366"/>
      <c r="AG27" s="382"/>
      <c r="AH27" s="371"/>
      <c r="AI27" s="366"/>
      <c r="AJ27" s="382"/>
      <c r="AK27" s="371"/>
      <c r="AL27" s="366"/>
      <c r="AM27" s="390"/>
      <c r="AN27" s="524"/>
      <c r="AO27" s="524"/>
      <c r="AP27" s="524"/>
      <c r="AQ27" s="524"/>
      <c r="AR27" s="524"/>
      <c r="AS27" s="524"/>
      <c r="AT27" s="524"/>
      <c r="AU27" s="524"/>
      <c r="AV27" s="524"/>
      <c r="AW27" s="524"/>
      <c r="AX27" s="524"/>
      <c r="AY27" s="524"/>
      <c r="AZ27" s="524"/>
      <c r="BA27" s="524"/>
      <c r="BB27" s="524"/>
      <c r="BC27" s="524"/>
      <c r="BD27" s="524"/>
      <c r="BE27" s="524"/>
      <c r="BF27" s="524"/>
      <c r="BG27" s="524"/>
      <c r="BH27" s="524"/>
      <c r="BI27" s="524"/>
      <c r="BJ27" s="525"/>
    </row>
    <row r="28" spans="1:62" ht="30.75" customHeight="1">
      <c r="A28" s="476">
        <f t="shared" si="0"/>
        <v>13</v>
      </c>
      <c r="B28" s="457"/>
      <c r="C28" s="458"/>
      <c r="D28" s="526" t="s">
        <v>231</v>
      </c>
      <c r="E28" s="527"/>
      <c r="F28" s="527"/>
      <c r="G28" s="527"/>
      <c r="H28" s="527"/>
      <c r="I28" s="527"/>
      <c r="J28" s="527"/>
      <c r="K28" s="527"/>
      <c r="L28" s="527"/>
      <c r="M28" s="527"/>
      <c r="N28" s="527"/>
      <c r="O28" s="527"/>
      <c r="P28" s="527"/>
      <c r="Q28" s="527"/>
      <c r="R28" s="528"/>
      <c r="S28" s="144" t="s">
        <v>250</v>
      </c>
      <c r="T28" s="145"/>
      <c r="U28" s="146"/>
      <c r="V28" s="382" t="s">
        <v>118</v>
      </c>
      <c r="W28" s="436"/>
      <c r="X28" s="371" t="s">
        <v>271</v>
      </c>
      <c r="Y28" s="366"/>
      <c r="Z28" s="177" t="s">
        <v>474</v>
      </c>
      <c r="AA28" s="145"/>
      <c r="AB28" s="145"/>
      <c r="AC28" s="146"/>
      <c r="AD28" s="382"/>
      <c r="AE28" s="371"/>
      <c r="AF28" s="366"/>
      <c r="AG28" s="382"/>
      <c r="AH28" s="371"/>
      <c r="AI28" s="366"/>
      <c r="AJ28" s="382"/>
      <c r="AK28" s="371"/>
      <c r="AL28" s="366"/>
      <c r="AM28" s="390"/>
      <c r="AN28" s="524"/>
      <c r="AO28" s="524"/>
      <c r="AP28" s="524"/>
      <c r="AQ28" s="524"/>
      <c r="AR28" s="524"/>
      <c r="AS28" s="524"/>
      <c r="AT28" s="524"/>
      <c r="AU28" s="524"/>
      <c r="AV28" s="524"/>
      <c r="AW28" s="524"/>
      <c r="AX28" s="524"/>
      <c r="AY28" s="524"/>
      <c r="AZ28" s="524"/>
      <c r="BA28" s="524"/>
      <c r="BB28" s="524"/>
      <c r="BC28" s="524"/>
      <c r="BD28" s="524"/>
      <c r="BE28" s="524"/>
      <c r="BF28" s="524"/>
      <c r="BG28" s="524"/>
      <c r="BH28" s="524"/>
      <c r="BI28" s="524"/>
      <c r="BJ28" s="525"/>
    </row>
    <row r="29" spans="1:62" ht="30.75" customHeight="1">
      <c r="A29" s="476">
        <f t="shared" si="0"/>
        <v>14</v>
      </c>
      <c r="B29" s="457"/>
      <c r="C29" s="458"/>
      <c r="D29" s="417" t="s">
        <v>255</v>
      </c>
      <c r="E29" s="418"/>
      <c r="F29" s="418"/>
      <c r="G29" s="418"/>
      <c r="H29" s="418"/>
      <c r="I29" s="418"/>
      <c r="J29" s="418"/>
      <c r="K29" s="418"/>
      <c r="L29" s="418"/>
      <c r="M29" s="418"/>
      <c r="N29" s="418"/>
      <c r="O29" s="418"/>
      <c r="P29" s="418"/>
      <c r="Q29" s="418"/>
      <c r="R29" s="419"/>
      <c r="S29" s="420"/>
      <c r="T29" s="421"/>
      <c r="U29" s="422"/>
      <c r="V29" s="420" t="s">
        <v>470</v>
      </c>
      <c r="W29" s="523"/>
      <c r="X29" s="447" t="s">
        <v>470</v>
      </c>
      <c r="Y29" s="422"/>
      <c r="Z29" s="420"/>
      <c r="AA29" s="421"/>
      <c r="AB29" s="421"/>
      <c r="AC29" s="422"/>
      <c r="AD29" s="420"/>
      <c r="AE29" s="421"/>
      <c r="AF29" s="422"/>
      <c r="AG29" s="376"/>
      <c r="AH29" s="377"/>
      <c r="AI29" s="378"/>
      <c r="AJ29" s="376"/>
      <c r="AK29" s="377"/>
      <c r="AL29" s="378"/>
      <c r="AM29" s="425"/>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30.75" customHeight="1">
      <c r="A30" s="476">
        <f t="shared" si="0"/>
        <v>15</v>
      </c>
      <c r="B30" s="457"/>
      <c r="C30" s="458"/>
      <c r="D30" s="379" t="s">
        <v>131</v>
      </c>
      <c r="E30" s="380"/>
      <c r="F30" s="380"/>
      <c r="G30" s="380"/>
      <c r="H30" s="380"/>
      <c r="I30" s="380"/>
      <c r="J30" s="380"/>
      <c r="K30" s="380"/>
      <c r="L30" s="380"/>
      <c r="M30" s="380"/>
      <c r="N30" s="380"/>
      <c r="O30" s="380"/>
      <c r="P30" s="380"/>
      <c r="Q30" s="380"/>
      <c r="R30" s="381"/>
      <c r="S30" s="382" t="s">
        <v>130</v>
      </c>
      <c r="T30" s="371"/>
      <c r="U30" s="366"/>
      <c r="V30" s="382" t="s">
        <v>118</v>
      </c>
      <c r="W30" s="436"/>
      <c r="X30" s="365" t="s">
        <v>64</v>
      </c>
      <c r="Y30" s="366"/>
      <c r="Z30" s="144" t="s">
        <v>253</v>
      </c>
      <c r="AA30" s="145"/>
      <c r="AB30" s="145"/>
      <c r="AC30" s="146"/>
      <c r="AD30" s="382"/>
      <c r="AE30" s="371"/>
      <c r="AF30" s="366"/>
      <c r="AG30" s="382"/>
      <c r="AH30" s="371"/>
      <c r="AI30" s="366"/>
      <c r="AJ30" s="382"/>
      <c r="AK30" s="371"/>
      <c r="AL30" s="366"/>
      <c r="AM30" s="390" t="s">
        <v>142</v>
      </c>
      <c r="AN30" s="380"/>
      <c r="AO30" s="380"/>
      <c r="AP30" s="380"/>
      <c r="AQ30" s="380"/>
      <c r="AR30" s="380"/>
      <c r="AS30" s="380"/>
      <c r="AT30" s="380"/>
      <c r="AU30" s="380"/>
      <c r="AV30" s="380"/>
      <c r="AW30" s="380"/>
      <c r="AX30" s="380"/>
      <c r="AY30" s="380"/>
      <c r="AZ30" s="380"/>
      <c r="BA30" s="380"/>
      <c r="BB30" s="380"/>
      <c r="BC30" s="380"/>
      <c r="BD30" s="380"/>
      <c r="BE30" s="380"/>
      <c r="BF30" s="380"/>
      <c r="BG30" s="380"/>
      <c r="BH30" s="380"/>
      <c r="BI30" s="380"/>
      <c r="BJ30" s="381"/>
    </row>
    <row r="31" spans="1:62" ht="30.75" customHeight="1">
      <c r="A31" s="476">
        <f t="shared" si="0"/>
        <v>16</v>
      </c>
      <c r="B31" s="457"/>
      <c r="C31" s="458"/>
      <c r="D31" s="379" t="s">
        <v>134</v>
      </c>
      <c r="E31" s="380"/>
      <c r="F31" s="380"/>
      <c r="G31" s="380"/>
      <c r="H31" s="380"/>
      <c r="I31" s="380"/>
      <c r="J31" s="380"/>
      <c r="K31" s="380"/>
      <c r="L31" s="380"/>
      <c r="M31" s="380"/>
      <c r="N31" s="380"/>
      <c r="O31" s="380"/>
      <c r="P31" s="380"/>
      <c r="Q31" s="380"/>
      <c r="R31" s="381"/>
      <c r="S31" s="382" t="s">
        <v>130</v>
      </c>
      <c r="T31" s="371"/>
      <c r="U31" s="366"/>
      <c r="V31" s="382" t="s">
        <v>118</v>
      </c>
      <c r="W31" s="436"/>
      <c r="X31" s="365" t="s">
        <v>147</v>
      </c>
      <c r="Y31" s="366"/>
      <c r="Z31" s="177" t="s">
        <v>253</v>
      </c>
      <c r="AA31" s="145"/>
      <c r="AB31" s="145"/>
      <c r="AC31" s="146"/>
      <c r="AD31" s="382" t="s">
        <v>78</v>
      </c>
      <c r="AE31" s="371"/>
      <c r="AF31" s="366"/>
      <c r="AG31" s="382"/>
      <c r="AH31" s="371"/>
      <c r="AI31" s="366"/>
      <c r="AJ31" s="382"/>
      <c r="AK31" s="371"/>
      <c r="AL31" s="366"/>
      <c r="AM31" s="390" t="s">
        <v>282</v>
      </c>
      <c r="AN31" s="380"/>
      <c r="AO31" s="380"/>
      <c r="AP31" s="380"/>
      <c r="AQ31" s="380"/>
      <c r="AR31" s="380"/>
      <c r="AS31" s="380"/>
      <c r="AT31" s="380"/>
      <c r="AU31" s="380"/>
      <c r="AV31" s="380"/>
      <c r="AW31" s="380"/>
      <c r="AX31" s="380"/>
      <c r="AY31" s="380"/>
      <c r="AZ31" s="380"/>
      <c r="BA31" s="380"/>
      <c r="BB31" s="380"/>
      <c r="BC31" s="380"/>
      <c r="BD31" s="380"/>
      <c r="BE31" s="380"/>
      <c r="BF31" s="380"/>
      <c r="BG31" s="380"/>
      <c r="BH31" s="380"/>
      <c r="BI31" s="380"/>
      <c r="BJ31" s="381"/>
    </row>
    <row r="32" spans="1:62" ht="30.75" customHeight="1">
      <c r="A32" s="476">
        <f t="shared" si="0"/>
        <v>17</v>
      </c>
      <c r="B32" s="457"/>
      <c r="C32" s="458"/>
      <c r="D32" s="379" t="s">
        <v>135</v>
      </c>
      <c r="E32" s="380"/>
      <c r="F32" s="380"/>
      <c r="G32" s="380"/>
      <c r="H32" s="380"/>
      <c r="I32" s="380"/>
      <c r="J32" s="380"/>
      <c r="K32" s="380"/>
      <c r="L32" s="380"/>
      <c r="M32" s="380"/>
      <c r="N32" s="380"/>
      <c r="O32" s="380"/>
      <c r="P32" s="380"/>
      <c r="Q32" s="380"/>
      <c r="R32" s="381"/>
      <c r="S32" s="382" t="s">
        <v>130</v>
      </c>
      <c r="T32" s="371"/>
      <c r="U32" s="366"/>
      <c r="V32" s="382" t="s">
        <v>118</v>
      </c>
      <c r="W32" s="436"/>
      <c r="X32" s="365" t="s">
        <v>147</v>
      </c>
      <c r="Y32" s="366"/>
      <c r="Z32" s="177" t="s">
        <v>253</v>
      </c>
      <c r="AA32" s="145"/>
      <c r="AB32" s="145"/>
      <c r="AC32" s="146"/>
      <c r="AD32" s="382" t="s">
        <v>78</v>
      </c>
      <c r="AE32" s="371"/>
      <c r="AF32" s="366"/>
      <c r="AG32" s="382"/>
      <c r="AH32" s="371"/>
      <c r="AI32" s="366"/>
      <c r="AJ32" s="382"/>
      <c r="AK32" s="371"/>
      <c r="AL32" s="366"/>
      <c r="AM32" s="390" t="s">
        <v>283</v>
      </c>
      <c r="AN32" s="380"/>
      <c r="AO32" s="380"/>
      <c r="AP32" s="380"/>
      <c r="AQ32" s="380"/>
      <c r="AR32" s="380"/>
      <c r="AS32" s="380"/>
      <c r="AT32" s="380"/>
      <c r="AU32" s="380"/>
      <c r="AV32" s="380"/>
      <c r="AW32" s="380"/>
      <c r="AX32" s="380"/>
      <c r="AY32" s="380"/>
      <c r="AZ32" s="380"/>
      <c r="BA32" s="380"/>
      <c r="BB32" s="380"/>
      <c r="BC32" s="380"/>
      <c r="BD32" s="380"/>
      <c r="BE32" s="380"/>
      <c r="BF32" s="380"/>
      <c r="BG32" s="380"/>
      <c r="BH32" s="380"/>
      <c r="BI32" s="380"/>
      <c r="BJ32" s="381"/>
    </row>
    <row r="33" spans="1:73" ht="30.75" customHeight="1">
      <c r="A33" s="476">
        <f t="shared" si="0"/>
        <v>18</v>
      </c>
      <c r="B33" s="457"/>
      <c r="C33" s="458"/>
      <c r="D33" s="379" t="s">
        <v>136</v>
      </c>
      <c r="E33" s="380"/>
      <c r="F33" s="380"/>
      <c r="G33" s="380"/>
      <c r="H33" s="380"/>
      <c r="I33" s="380"/>
      <c r="J33" s="380"/>
      <c r="K33" s="380"/>
      <c r="L33" s="380"/>
      <c r="M33" s="380"/>
      <c r="N33" s="380"/>
      <c r="O33" s="380"/>
      <c r="P33" s="380"/>
      <c r="Q33" s="380"/>
      <c r="R33" s="381"/>
      <c r="S33" s="382" t="s">
        <v>130</v>
      </c>
      <c r="T33" s="371"/>
      <c r="U33" s="366"/>
      <c r="V33" s="382" t="s">
        <v>118</v>
      </c>
      <c r="W33" s="436"/>
      <c r="X33" s="365" t="s">
        <v>147</v>
      </c>
      <c r="Y33" s="366"/>
      <c r="Z33" s="177" t="s">
        <v>253</v>
      </c>
      <c r="AA33" s="145"/>
      <c r="AB33" s="145"/>
      <c r="AC33" s="146"/>
      <c r="AD33" s="382" t="s">
        <v>78</v>
      </c>
      <c r="AE33" s="371"/>
      <c r="AF33" s="366"/>
      <c r="AG33" s="382"/>
      <c r="AH33" s="371"/>
      <c r="AI33" s="366"/>
      <c r="AJ33" s="382"/>
      <c r="AK33" s="371"/>
      <c r="AL33" s="366"/>
      <c r="AM33" s="390" t="s">
        <v>274</v>
      </c>
      <c r="AN33" s="380"/>
      <c r="AO33" s="380"/>
      <c r="AP33" s="380"/>
      <c r="AQ33" s="380"/>
      <c r="AR33" s="380"/>
      <c r="AS33" s="380"/>
      <c r="AT33" s="380"/>
      <c r="AU33" s="380"/>
      <c r="AV33" s="380"/>
      <c r="AW33" s="380"/>
      <c r="AX33" s="380"/>
      <c r="AY33" s="380"/>
      <c r="AZ33" s="380"/>
      <c r="BA33" s="380"/>
      <c r="BB33" s="380"/>
      <c r="BC33" s="380"/>
      <c r="BD33" s="380"/>
      <c r="BE33" s="380"/>
      <c r="BF33" s="380"/>
      <c r="BG33" s="380"/>
      <c r="BH33" s="380"/>
      <c r="BI33" s="380"/>
      <c r="BJ33" s="381"/>
    </row>
    <row r="34" spans="1:73" ht="30.75" customHeight="1">
      <c r="A34" s="476">
        <f t="shared" si="0"/>
        <v>19</v>
      </c>
      <c r="B34" s="457"/>
      <c r="C34" s="458"/>
      <c r="D34" s="379" t="s">
        <v>137</v>
      </c>
      <c r="E34" s="380"/>
      <c r="F34" s="380"/>
      <c r="G34" s="380"/>
      <c r="H34" s="380"/>
      <c r="I34" s="380"/>
      <c r="J34" s="380"/>
      <c r="K34" s="380"/>
      <c r="L34" s="380"/>
      <c r="M34" s="380"/>
      <c r="N34" s="380"/>
      <c r="O34" s="380"/>
      <c r="P34" s="380"/>
      <c r="Q34" s="380"/>
      <c r="R34" s="381"/>
      <c r="S34" s="382" t="s">
        <v>130</v>
      </c>
      <c r="T34" s="371"/>
      <c r="U34" s="366"/>
      <c r="V34" s="382" t="s">
        <v>118</v>
      </c>
      <c r="W34" s="436"/>
      <c r="X34" s="365" t="s">
        <v>147</v>
      </c>
      <c r="Y34" s="366"/>
      <c r="Z34" s="177" t="s">
        <v>253</v>
      </c>
      <c r="AA34" s="145"/>
      <c r="AB34" s="145"/>
      <c r="AC34" s="146"/>
      <c r="AD34" s="382" t="s">
        <v>78</v>
      </c>
      <c r="AE34" s="371"/>
      <c r="AF34" s="366"/>
      <c r="AG34" s="382"/>
      <c r="AH34" s="371"/>
      <c r="AI34" s="366"/>
      <c r="AJ34" s="382"/>
      <c r="AK34" s="371"/>
      <c r="AL34" s="366"/>
      <c r="AM34" s="390" t="s">
        <v>275</v>
      </c>
      <c r="AN34" s="380"/>
      <c r="AO34" s="380"/>
      <c r="AP34" s="380"/>
      <c r="AQ34" s="380"/>
      <c r="AR34" s="380"/>
      <c r="AS34" s="380"/>
      <c r="AT34" s="380"/>
      <c r="AU34" s="380"/>
      <c r="AV34" s="380"/>
      <c r="AW34" s="380"/>
      <c r="AX34" s="380"/>
      <c r="AY34" s="380"/>
      <c r="AZ34" s="380"/>
      <c r="BA34" s="380"/>
      <c r="BB34" s="380"/>
      <c r="BC34" s="380"/>
      <c r="BD34" s="380"/>
      <c r="BE34" s="380"/>
      <c r="BF34" s="380"/>
      <c r="BG34" s="380"/>
      <c r="BH34" s="380"/>
      <c r="BI34" s="380"/>
      <c r="BJ34" s="381"/>
    </row>
    <row r="35" spans="1:73" ht="30.75" customHeight="1">
      <c r="A35" s="476">
        <f t="shared" si="0"/>
        <v>20</v>
      </c>
      <c r="B35" s="457"/>
      <c r="C35" s="458"/>
      <c r="D35" s="379" t="s">
        <v>219</v>
      </c>
      <c r="E35" s="380"/>
      <c r="F35" s="380"/>
      <c r="G35" s="380"/>
      <c r="H35" s="380"/>
      <c r="I35" s="380"/>
      <c r="J35" s="380"/>
      <c r="K35" s="380"/>
      <c r="L35" s="380"/>
      <c r="M35" s="380"/>
      <c r="N35" s="380"/>
      <c r="O35" s="380"/>
      <c r="P35" s="380"/>
      <c r="Q35" s="380"/>
      <c r="R35" s="381"/>
      <c r="S35" s="382" t="s">
        <v>130</v>
      </c>
      <c r="T35" s="371"/>
      <c r="U35" s="366"/>
      <c r="V35" s="382" t="s">
        <v>118</v>
      </c>
      <c r="W35" s="436"/>
      <c r="X35" s="365" t="s">
        <v>147</v>
      </c>
      <c r="Y35" s="366"/>
      <c r="Z35" s="177" t="s">
        <v>253</v>
      </c>
      <c r="AA35" s="145"/>
      <c r="AB35" s="145"/>
      <c r="AC35" s="146"/>
      <c r="AD35" s="382" t="s">
        <v>78</v>
      </c>
      <c r="AE35" s="371"/>
      <c r="AF35" s="366"/>
      <c r="AG35" s="382"/>
      <c r="AH35" s="371"/>
      <c r="AI35" s="366"/>
      <c r="AJ35" s="382"/>
      <c r="AK35" s="371"/>
      <c r="AL35" s="366"/>
      <c r="AM35" s="390" t="s">
        <v>276</v>
      </c>
      <c r="AN35" s="380"/>
      <c r="AO35" s="380"/>
      <c r="AP35" s="380"/>
      <c r="AQ35" s="380"/>
      <c r="AR35" s="380"/>
      <c r="AS35" s="380"/>
      <c r="AT35" s="380"/>
      <c r="AU35" s="380"/>
      <c r="AV35" s="380"/>
      <c r="AW35" s="380"/>
      <c r="AX35" s="380"/>
      <c r="AY35" s="380"/>
      <c r="AZ35" s="380"/>
      <c r="BA35" s="380"/>
      <c r="BB35" s="380"/>
      <c r="BC35" s="380"/>
      <c r="BD35" s="380"/>
      <c r="BE35" s="380"/>
      <c r="BF35" s="380"/>
      <c r="BG35" s="380"/>
      <c r="BH35" s="380"/>
      <c r="BI35" s="380"/>
      <c r="BJ35" s="381"/>
    </row>
    <row r="36" spans="1:73" ht="30.75" customHeight="1">
      <c r="A36" s="476">
        <f t="shared" si="0"/>
        <v>21</v>
      </c>
      <c r="B36" s="457"/>
      <c r="C36" s="458"/>
      <c r="D36" s="379" t="s">
        <v>220</v>
      </c>
      <c r="E36" s="380"/>
      <c r="F36" s="380"/>
      <c r="G36" s="380"/>
      <c r="H36" s="380"/>
      <c r="I36" s="380"/>
      <c r="J36" s="380"/>
      <c r="K36" s="380"/>
      <c r="L36" s="380"/>
      <c r="M36" s="380"/>
      <c r="N36" s="380"/>
      <c r="O36" s="380"/>
      <c r="P36" s="380"/>
      <c r="Q36" s="380"/>
      <c r="R36" s="381"/>
      <c r="S36" s="382" t="s">
        <v>130</v>
      </c>
      <c r="T36" s="371"/>
      <c r="U36" s="366"/>
      <c r="V36" s="382" t="s">
        <v>118</v>
      </c>
      <c r="W36" s="436"/>
      <c r="X36" s="365" t="s">
        <v>147</v>
      </c>
      <c r="Y36" s="366"/>
      <c r="Z36" s="177" t="s">
        <v>253</v>
      </c>
      <c r="AA36" s="145"/>
      <c r="AB36" s="145"/>
      <c r="AC36" s="146"/>
      <c r="AD36" s="382" t="s">
        <v>78</v>
      </c>
      <c r="AE36" s="371"/>
      <c r="AF36" s="366"/>
      <c r="AG36" s="382"/>
      <c r="AH36" s="371"/>
      <c r="AI36" s="366"/>
      <c r="AJ36" s="382"/>
      <c r="AK36" s="371"/>
      <c r="AL36" s="366"/>
      <c r="AM36" s="390" t="s">
        <v>277</v>
      </c>
      <c r="AN36" s="380"/>
      <c r="AO36" s="380"/>
      <c r="AP36" s="380"/>
      <c r="AQ36" s="380"/>
      <c r="AR36" s="380"/>
      <c r="AS36" s="380"/>
      <c r="AT36" s="380"/>
      <c r="AU36" s="380"/>
      <c r="AV36" s="380"/>
      <c r="AW36" s="380"/>
      <c r="AX36" s="380"/>
      <c r="AY36" s="380"/>
      <c r="AZ36" s="380"/>
      <c r="BA36" s="380"/>
      <c r="BB36" s="380"/>
      <c r="BC36" s="380"/>
      <c r="BD36" s="380"/>
      <c r="BE36" s="380"/>
      <c r="BF36" s="380"/>
      <c r="BG36" s="380"/>
      <c r="BH36" s="380"/>
      <c r="BI36" s="380"/>
      <c r="BJ36" s="381"/>
    </row>
    <row r="37" spans="1:73" ht="30.75" customHeight="1">
      <c r="A37" s="476">
        <f t="shared" si="0"/>
        <v>22</v>
      </c>
      <c r="B37" s="457"/>
      <c r="C37" s="458"/>
      <c r="D37" s="379" t="s">
        <v>138</v>
      </c>
      <c r="E37" s="380"/>
      <c r="F37" s="380"/>
      <c r="G37" s="380"/>
      <c r="H37" s="380"/>
      <c r="I37" s="380"/>
      <c r="J37" s="380"/>
      <c r="K37" s="380"/>
      <c r="L37" s="380"/>
      <c r="M37" s="380"/>
      <c r="N37" s="380"/>
      <c r="O37" s="380"/>
      <c r="P37" s="380"/>
      <c r="Q37" s="380"/>
      <c r="R37" s="381"/>
      <c r="S37" s="382" t="s">
        <v>130</v>
      </c>
      <c r="T37" s="371"/>
      <c r="U37" s="366"/>
      <c r="V37" s="382" t="s">
        <v>118</v>
      </c>
      <c r="W37" s="436"/>
      <c r="X37" s="365" t="s">
        <v>147</v>
      </c>
      <c r="Y37" s="366"/>
      <c r="Z37" s="177" t="s">
        <v>253</v>
      </c>
      <c r="AA37" s="145"/>
      <c r="AB37" s="145"/>
      <c r="AC37" s="146"/>
      <c r="AD37" s="382" t="s">
        <v>78</v>
      </c>
      <c r="AE37" s="371"/>
      <c r="AF37" s="366"/>
      <c r="AG37" s="382"/>
      <c r="AH37" s="371"/>
      <c r="AI37" s="366"/>
      <c r="AJ37" s="382"/>
      <c r="AK37" s="371"/>
      <c r="AL37" s="366"/>
      <c r="AM37" s="390" t="s">
        <v>278</v>
      </c>
      <c r="AN37" s="380"/>
      <c r="AO37" s="380"/>
      <c r="AP37" s="380"/>
      <c r="AQ37" s="380"/>
      <c r="AR37" s="380"/>
      <c r="AS37" s="380"/>
      <c r="AT37" s="380"/>
      <c r="AU37" s="380"/>
      <c r="AV37" s="380"/>
      <c r="AW37" s="380"/>
      <c r="AX37" s="380"/>
      <c r="AY37" s="380"/>
      <c r="AZ37" s="380"/>
      <c r="BA37" s="380"/>
      <c r="BB37" s="380"/>
      <c r="BC37" s="380"/>
      <c r="BD37" s="380"/>
      <c r="BE37" s="380"/>
      <c r="BF37" s="380"/>
      <c r="BG37" s="380"/>
      <c r="BH37" s="380"/>
      <c r="BI37" s="380"/>
      <c r="BJ37" s="381"/>
    </row>
    <row r="38" spans="1:73" ht="30.75" customHeight="1">
      <c r="A38" s="476">
        <f t="shared" si="0"/>
        <v>23</v>
      </c>
      <c r="B38" s="457"/>
      <c r="C38" s="458"/>
      <c r="D38" s="379" t="s">
        <v>139</v>
      </c>
      <c r="E38" s="380"/>
      <c r="F38" s="380"/>
      <c r="G38" s="380"/>
      <c r="H38" s="380"/>
      <c r="I38" s="380"/>
      <c r="J38" s="380"/>
      <c r="K38" s="380"/>
      <c r="L38" s="380"/>
      <c r="M38" s="380"/>
      <c r="N38" s="380"/>
      <c r="O38" s="380"/>
      <c r="P38" s="380"/>
      <c r="Q38" s="380"/>
      <c r="R38" s="381"/>
      <c r="S38" s="382" t="s">
        <v>130</v>
      </c>
      <c r="T38" s="371"/>
      <c r="U38" s="366"/>
      <c r="V38" s="382" t="s">
        <v>118</v>
      </c>
      <c r="W38" s="436"/>
      <c r="X38" s="365" t="s">
        <v>147</v>
      </c>
      <c r="Y38" s="366"/>
      <c r="Z38" s="177" t="s">
        <v>253</v>
      </c>
      <c r="AA38" s="145"/>
      <c r="AB38" s="145"/>
      <c r="AC38" s="146"/>
      <c r="AD38" s="382" t="s">
        <v>78</v>
      </c>
      <c r="AE38" s="371"/>
      <c r="AF38" s="366"/>
      <c r="AG38" s="382"/>
      <c r="AH38" s="371"/>
      <c r="AI38" s="366"/>
      <c r="AJ38" s="382"/>
      <c r="AK38" s="371"/>
      <c r="AL38" s="366"/>
      <c r="AM38" s="390" t="s">
        <v>279</v>
      </c>
      <c r="AN38" s="380"/>
      <c r="AO38" s="380"/>
      <c r="AP38" s="380"/>
      <c r="AQ38" s="380"/>
      <c r="AR38" s="380"/>
      <c r="AS38" s="380"/>
      <c r="AT38" s="380"/>
      <c r="AU38" s="380"/>
      <c r="AV38" s="380"/>
      <c r="AW38" s="380"/>
      <c r="AX38" s="380"/>
      <c r="AY38" s="380"/>
      <c r="AZ38" s="380"/>
      <c r="BA38" s="380"/>
      <c r="BB38" s="380"/>
      <c r="BC38" s="380"/>
      <c r="BD38" s="380"/>
      <c r="BE38" s="380"/>
      <c r="BF38" s="380"/>
      <c r="BG38" s="380"/>
      <c r="BH38" s="380"/>
      <c r="BI38" s="380"/>
      <c r="BJ38" s="381"/>
    </row>
    <row r="39" spans="1:73" ht="30.75" customHeight="1">
      <c r="A39" s="476">
        <f t="shared" si="0"/>
        <v>24</v>
      </c>
      <c r="B39" s="457"/>
      <c r="C39" s="458"/>
      <c r="D39" s="379" t="s">
        <v>140</v>
      </c>
      <c r="E39" s="380"/>
      <c r="F39" s="380"/>
      <c r="G39" s="380"/>
      <c r="H39" s="380"/>
      <c r="I39" s="380"/>
      <c r="J39" s="380"/>
      <c r="K39" s="380"/>
      <c r="L39" s="380"/>
      <c r="M39" s="380"/>
      <c r="N39" s="380"/>
      <c r="O39" s="380"/>
      <c r="P39" s="380"/>
      <c r="Q39" s="380"/>
      <c r="R39" s="381"/>
      <c r="S39" s="382" t="s">
        <v>130</v>
      </c>
      <c r="T39" s="371"/>
      <c r="U39" s="366"/>
      <c r="V39" s="382" t="s">
        <v>118</v>
      </c>
      <c r="W39" s="436"/>
      <c r="X39" s="365" t="s">
        <v>147</v>
      </c>
      <c r="Y39" s="366"/>
      <c r="Z39" s="177" t="s">
        <v>253</v>
      </c>
      <c r="AA39" s="145"/>
      <c r="AB39" s="145"/>
      <c r="AC39" s="146"/>
      <c r="AD39" s="382" t="s">
        <v>78</v>
      </c>
      <c r="AE39" s="371"/>
      <c r="AF39" s="366"/>
      <c r="AG39" s="382"/>
      <c r="AH39" s="371"/>
      <c r="AI39" s="366"/>
      <c r="AJ39" s="382"/>
      <c r="AK39" s="371"/>
      <c r="AL39" s="366"/>
      <c r="AM39" s="390" t="s">
        <v>280</v>
      </c>
      <c r="AN39" s="380"/>
      <c r="AO39" s="380"/>
      <c r="AP39" s="380"/>
      <c r="AQ39" s="380"/>
      <c r="AR39" s="380"/>
      <c r="AS39" s="380"/>
      <c r="AT39" s="380"/>
      <c r="AU39" s="380"/>
      <c r="AV39" s="380"/>
      <c r="AW39" s="380"/>
      <c r="AX39" s="380"/>
      <c r="AY39" s="380"/>
      <c r="AZ39" s="380"/>
      <c r="BA39" s="380"/>
      <c r="BB39" s="380"/>
      <c r="BC39" s="380"/>
      <c r="BD39" s="380"/>
      <c r="BE39" s="380"/>
      <c r="BF39" s="380"/>
      <c r="BG39" s="380"/>
      <c r="BH39" s="380"/>
      <c r="BI39" s="380"/>
      <c r="BJ39" s="381"/>
    </row>
    <row r="40" spans="1:73" ht="30.75" customHeight="1">
      <c r="A40" s="476">
        <f t="shared" si="0"/>
        <v>25</v>
      </c>
      <c r="B40" s="457"/>
      <c r="C40" s="458"/>
      <c r="D40" s="379" t="s">
        <v>141</v>
      </c>
      <c r="E40" s="380"/>
      <c r="F40" s="380"/>
      <c r="G40" s="380"/>
      <c r="H40" s="380"/>
      <c r="I40" s="380"/>
      <c r="J40" s="380"/>
      <c r="K40" s="380"/>
      <c r="L40" s="380"/>
      <c r="M40" s="380"/>
      <c r="N40" s="380"/>
      <c r="O40" s="380"/>
      <c r="P40" s="380"/>
      <c r="Q40" s="380"/>
      <c r="R40" s="381"/>
      <c r="S40" s="382" t="s">
        <v>130</v>
      </c>
      <c r="T40" s="371"/>
      <c r="U40" s="366"/>
      <c r="V40" s="382" t="s">
        <v>118</v>
      </c>
      <c r="W40" s="436"/>
      <c r="X40" s="365" t="s">
        <v>147</v>
      </c>
      <c r="Y40" s="366"/>
      <c r="Z40" s="177" t="s">
        <v>253</v>
      </c>
      <c r="AA40" s="145"/>
      <c r="AB40" s="145"/>
      <c r="AC40" s="146"/>
      <c r="AD40" s="382" t="s">
        <v>78</v>
      </c>
      <c r="AE40" s="371"/>
      <c r="AF40" s="366"/>
      <c r="AG40" s="382"/>
      <c r="AH40" s="371"/>
      <c r="AI40" s="366"/>
      <c r="AJ40" s="382"/>
      <c r="AK40" s="371"/>
      <c r="AL40" s="366"/>
      <c r="AM40" s="390" t="s">
        <v>281</v>
      </c>
      <c r="AN40" s="380"/>
      <c r="AO40" s="380"/>
      <c r="AP40" s="380"/>
      <c r="AQ40" s="380"/>
      <c r="AR40" s="380"/>
      <c r="AS40" s="380"/>
      <c r="AT40" s="380"/>
      <c r="AU40" s="380"/>
      <c r="AV40" s="380"/>
      <c r="AW40" s="380"/>
      <c r="AX40" s="380"/>
      <c r="AY40" s="380"/>
      <c r="AZ40" s="380"/>
      <c r="BA40" s="380"/>
      <c r="BB40" s="380"/>
      <c r="BC40" s="380"/>
      <c r="BD40" s="380"/>
      <c r="BE40" s="380"/>
      <c r="BF40" s="380"/>
      <c r="BG40" s="380"/>
      <c r="BH40" s="380"/>
      <c r="BI40" s="380"/>
      <c r="BJ40" s="381"/>
    </row>
    <row r="41" spans="1:73" ht="30.75" customHeight="1">
      <c r="A41" s="476">
        <f t="shared" si="0"/>
        <v>26</v>
      </c>
      <c r="B41" s="457"/>
      <c r="C41" s="458"/>
      <c r="D41" s="532" t="s">
        <v>340</v>
      </c>
      <c r="E41" s="533"/>
      <c r="F41" s="533"/>
      <c r="G41" s="533"/>
      <c r="H41" s="533"/>
      <c r="I41" s="533"/>
      <c r="J41" s="533"/>
      <c r="K41" s="533"/>
      <c r="L41" s="533"/>
      <c r="M41" s="533"/>
      <c r="N41" s="533"/>
      <c r="O41" s="533"/>
      <c r="P41" s="533"/>
      <c r="Q41" s="533"/>
      <c r="R41" s="534"/>
      <c r="S41" s="376"/>
      <c r="T41" s="377"/>
      <c r="U41" s="378"/>
      <c r="V41" s="376" t="s">
        <v>470</v>
      </c>
      <c r="W41" s="454"/>
      <c r="X41" s="455" t="s">
        <v>470</v>
      </c>
      <c r="Y41" s="378"/>
      <c r="Z41" s="376"/>
      <c r="AA41" s="377"/>
      <c r="AB41" s="377"/>
      <c r="AC41" s="378"/>
      <c r="AD41" s="376"/>
      <c r="AE41" s="377"/>
      <c r="AF41" s="378"/>
      <c r="AG41" s="376"/>
      <c r="AH41" s="377"/>
      <c r="AI41" s="378"/>
      <c r="AJ41" s="376"/>
      <c r="AK41" s="377"/>
      <c r="AL41" s="378"/>
      <c r="AM41" s="425"/>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73" ht="30" customHeight="1">
      <c r="A42" s="476">
        <f t="shared" si="0"/>
        <v>27</v>
      </c>
      <c r="B42" s="457"/>
      <c r="C42" s="458"/>
      <c r="D42" s="379" t="s">
        <v>341</v>
      </c>
      <c r="E42" s="380"/>
      <c r="F42" s="380"/>
      <c r="G42" s="380"/>
      <c r="H42" s="380"/>
      <c r="I42" s="380"/>
      <c r="J42" s="380"/>
      <c r="K42" s="380"/>
      <c r="L42" s="380"/>
      <c r="M42" s="380"/>
      <c r="N42" s="380"/>
      <c r="O42" s="380"/>
      <c r="P42" s="380"/>
      <c r="Q42" s="380"/>
      <c r="R42" s="381"/>
      <c r="S42" s="144" t="s">
        <v>130</v>
      </c>
      <c r="T42" s="145"/>
      <c r="U42" s="146"/>
      <c r="V42" s="382" t="s">
        <v>118</v>
      </c>
      <c r="W42" s="436"/>
      <c r="X42" s="365" t="s">
        <v>148</v>
      </c>
      <c r="Y42" s="366"/>
      <c r="Z42" s="144" t="s">
        <v>253</v>
      </c>
      <c r="AA42" s="145"/>
      <c r="AB42" s="145"/>
      <c r="AC42" s="146"/>
      <c r="AD42" s="382"/>
      <c r="AE42" s="371"/>
      <c r="AF42" s="366"/>
      <c r="AG42" s="382"/>
      <c r="AH42" s="371"/>
      <c r="AI42" s="366"/>
      <c r="AJ42" s="382"/>
      <c r="AK42" s="371"/>
      <c r="AL42" s="366"/>
      <c r="AM42" s="390" t="s">
        <v>342</v>
      </c>
      <c r="AN42" s="530"/>
      <c r="AO42" s="530"/>
      <c r="AP42" s="530"/>
      <c r="AQ42" s="530"/>
      <c r="AR42" s="530"/>
      <c r="AS42" s="530"/>
      <c r="AT42" s="530"/>
      <c r="AU42" s="530"/>
      <c r="AV42" s="530"/>
      <c r="AW42" s="530"/>
      <c r="AX42" s="530"/>
      <c r="AY42" s="530"/>
      <c r="AZ42" s="530"/>
      <c r="BA42" s="530"/>
      <c r="BB42" s="530"/>
      <c r="BC42" s="530"/>
      <c r="BD42" s="530"/>
      <c r="BE42" s="530"/>
      <c r="BF42" s="530"/>
      <c r="BG42" s="530"/>
      <c r="BH42" s="530"/>
      <c r="BI42" s="530"/>
      <c r="BJ42" s="531"/>
      <c r="BR42" s="535"/>
      <c r="BS42" s="535"/>
      <c r="BT42" s="535"/>
      <c r="BU42" s="237"/>
    </row>
    <row r="43" spans="1:73" ht="30" customHeight="1">
      <c r="A43" s="476">
        <f t="shared" si="0"/>
        <v>28</v>
      </c>
      <c r="B43" s="457"/>
      <c r="C43" s="458"/>
      <c r="D43" s="379" t="s">
        <v>343</v>
      </c>
      <c r="E43" s="380"/>
      <c r="F43" s="380"/>
      <c r="G43" s="380"/>
      <c r="H43" s="380"/>
      <c r="I43" s="380"/>
      <c r="J43" s="380"/>
      <c r="K43" s="380"/>
      <c r="L43" s="380"/>
      <c r="M43" s="380"/>
      <c r="N43" s="380"/>
      <c r="O43" s="380"/>
      <c r="P43" s="380"/>
      <c r="Q43" s="380"/>
      <c r="R43" s="381"/>
      <c r="S43" s="144" t="s">
        <v>130</v>
      </c>
      <c r="T43" s="145"/>
      <c r="U43" s="146"/>
      <c r="V43" s="382" t="s">
        <v>118</v>
      </c>
      <c r="W43" s="436"/>
      <c r="X43" s="365" t="s">
        <v>113</v>
      </c>
      <c r="Y43" s="366"/>
      <c r="Z43" s="383" t="s">
        <v>344</v>
      </c>
      <c r="AA43" s="384"/>
      <c r="AB43" s="384"/>
      <c r="AC43" s="385"/>
      <c r="AD43" s="382"/>
      <c r="AE43" s="371"/>
      <c r="AF43" s="366"/>
      <c r="AG43" s="382"/>
      <c r="AH43" s="371"/>
      <c r="AI43" s="366"/>
      <c r="AJ43" s="382"/>
      <c r="AK43" s="371"/>
      <c r="AL43" s="366"/>
      <c r="AM43" s="390" t="s">
        <v>345</v>
      </c>
      <c r="AN43" s="530"/>
      <c r="AO43" s="530"/>
      <c r="AP43" s="530"/>
      <c r="AQ43" s="530"/>
      <c r="AR43" s="530"/>
      <c r="AS43" s="530"/>
      <c r="AT43" s="530"/>
      <c r="AU43" s="530"/>
      <c r="AV43" s="530"/>
      <c r="AW43" s="530"/>
      <c r="AX43" s="530"/>
      <c r="AY43" s="530"/>
      <c r="AZ43" s="530"/>
      <c r="BA43" s="530"/>
      <c r="BB43" s="530"/>
      <c r="BC43" s="530"/>
      <c r="BD43" s="530"/>
      <c r="BE43" s="530"/>
      <c r="BF43" s="530"/>
      <c r="BG43" s="530"/>
      <c r="BH43" s="530"/>
      <c r="BI43" s="530"/>
      <c r="BJ43" s="531"/>
      <c r="BR43" s="535"/>
      <c r="BS43" s="535"/>
      <c r="BT43" s="535"/>
      <c r="BU43" s="237"/>
    </row>
    <row r="44" spans="1:73" ht="30" customHeight="1">
      <c r="A44" s="476">
        <f t="shared" si="0"/>
        <v>29</v>
      </c>
      <c r="B44" s="457"/>
      <c r="C44" s="458"/>
      <c r="D44" s="379" t="s">
        <v>346</v>
      </c>
      <c r="E44" s="380"/>
      <c r="F44" s="380"/>
      <c r="G44" s="380"/>
      <c r="H44" s="380"/>
      <c r="I44" s="380"/>
      <c r="J44" s="380"/>
      <c r="K44" s="380"/>
      <c r="L44" s="380"/>
      <c r="M44" s="380"/>
      <c r="N44" s="380"/>
      <c r="O44" s="380"/>
      <c r="P44" s="380"/>
      <c r="Q44" s="380"/>
      <c r="R44" s="381"/>
      <c r="S44" s="144" t="s">
        <v>130</v>
      </c>
      <c r="T44" s="145"/>
      <c r="U44" s="146"/>
      <c r="V44" s="382" t="s">
        <v>118</v>
      </c>
      <c r="W44" s="436"/>
      <c r="X44" s="365" t="s">
        <v>149</v>
      </c>
      <c r="Y44" s="366"/>
      <c r="Z44" s="383" t="s">
        <v>344</v>
      </c>
      <c r="AA44" s="384"/>
      <c r="AB44" s="384"/>
      <c r="AC44" s="385"/>
      <c r="AD44" s="382"/>
      <c r="AE44" s="371"/>
      <c r="AF44" s="366"/>
      <c r="AG44" s="382"/>
      <c r="AH44" s="371"/>
      <c r="AI44" s="366"/>
      <c r="AJ44" s="382"/>
      <c r="AK44" s="371"/>
      <c r="AL44" s="366"/>
      <c r="AM44" s="390" t="s">
        <v>347</v>
      </c>
      <c r="AN44" s="530"/>
      <c r="AO44" s="530"/>
      <c r="AP44" s="530"/>
      <c r="AQ44" s="530"/>
      <c r="AR44" s="530"/>
      <c r="AS44" s="530"/>
      <c r="AT44" s="530"/>
      <c r="AU44" s="530"/>
      <c r="AV44" s="530"/>
      <c r="AW44" s="530"/>
      <c r="AX44" s="530"/>
      <c r="AY44" s="530"/>
      <c r="AZ44" s="530"/>
      <c r="BA44" s="530"/>
      <c r="BB44" s="530"/>
      <c r="BC44" s="530"/>
      <c r="BD44" s="530"/>
      <c r="BE44" s="530"/>
      <c r="BF44" s="530"/>
      <c r="BG44" s="530"/>
      <c r="BH44" s="530"/>
      <c r="BI44" s="530"/>
      <c r="BJ44" s="531"/>
      <c r="BR44" s="535"/>
      <c r="BS44" s="535"/>
      <c r="BT44" s="535"/>
      <c r="BU44" s="237"/>
    </row>
    <row r="45" spans="1:73" ht="30" customHeight="1">
      <c r="A45" s="476">
        <f t="shared" si="0"/>
        <v>30</v>
      </c>
      <c r="B45" s="457"/>
      <c r="C45" s="458"/>
      <c r="D45" s="379" t="s">
        <v>348</v>
      </c>
      <c r="E45" s="380"/>
      <c r="F45" s="380"/>
      <c r="G45" s="380"/>
      <c r="H45" s="380"/>
      <c r="I45" s="380"/>
      <c r="J45" s="380"/>
      <c r="K45" s="380"/>
      <c r="L45" s="380"/>
      <c r="M45" s="380"/>
      <c r="N45" s="380"/>
      <c r="O45" s="380"/>
      <c r="P45" s="380"/>
      <c r="Q45" s="380"/>
      <c r="R45" s="381"/>
      <c r="S45" s="144" t="s">
        <v>130</v>
      </c>
      <c r="T45" s="145"/>
      <c r="U45" s="146"/>
      <c r="V45" s="382" t="s">
        <v>118</v>
      </c>
      <c r="W45" s="436"/>
      <c r="X45" s="365" t="s">
        <v>148</v>
      </c>
      <c r="Y45" s="366"/>
      <c r="Z45" s="144" t="s">
        <v>253</v>
      </c>
      <c r="AA45" s="145"/>
      <c r="AB45" s="145"/>
      <c r="AC45" s="146"/>
      <c r="AD45" s="382"/>
      <c r="AE45" s="371"/>
      <c r="AF45" s="366"/>
      <c r="AG45" s="382"/>
      <c r="AH45" s="371"/>
      <c r="AI45" s="366"/>
      <c r="AJ45" s="382"/>
      <c r="AK45" s="371"/>
      <c r="AL45" s="366"/>
      <c r="AM45" s="390" t="s">
        <v>349</v>
      </c>
      <c r="AN45" s="530"/>
      <c r="AO45" s="530"/>
      <c r="AP45" s="530"/>
      <c r="AQ45" s="530"/>
      <c r="AR45" s="530"/>
      <c r="AS45" s="530"/>
      <c r="AT45" s="530"/>
      <c r="AU45" s="530"/>
      <c r="AV45" s="530"/>
      <c r="AW45" s="530"/>
      <c r="AX45" s="530"/>
      <c r="AY45" s="530"/>
      <c r="AZ45" s="530"/>
      <c r="BA45" s="530"/>
      <c r="BB45" s="530"/>
      <c r="BC45" s="530"/>
      <c r="BD45" s="530"/>
      <c r="BE45" s="530"/>
      <c r="BF45" s="530"/>
      <c r="BG45" s="530"/>
      <c r="BH45" s="530"/>
      <c r="BI45" s="530"/>
      <c r="BJ45" s="531"/>
      <c r="BR45" s="535"/>
      <c r="BS45" s="535"/>
      <c r="BT45" s="535"/>
      <c r="BU45" s="237"/>
    </row>
    <row r="46" spans="1:73" ht="30" customHeight="1">
      <c r="A46" s="476">
        <f t="shared" si="0"/>
        <v>31</v>
      </c>
      <c r="B46" s="457"/>
      <c r="C46" s="458"/>
      <c r="D46" s="379" t="s">
        <v>350</v>
      </c>
      <c r="E46" s="380"/>
      <c r="F46" s="380"/>
      <c r="G46" s="380"/>
      <c r="H46" s="380"/>
      <c r="I46" s="380"/>
      <c r="J46" s="380"/>
      <c r="K46" s="380"/>
      <c r="L46" s="380"/>
      <c r="M46" s="380"/>
      <c r="N46" s="380"/>
      <c r="O46" s="380"/>
      <c r="P46" s="380"/>
      <c r="Q46" s="380"/>
      <c r="R46" s="381"/>
      <c r="S46" s="144" t="s">
        <v>130</v>
      </c>
      <c r="T46" s="145"/>
      <c r="U46" s="146"/>
      <c r="V46" s="382" t="s">
        <v>118</v>
      </c>
      <c r="W46" s="436"/>
      <c r="X46" s="365" t="s">
        <v>113</v>
      </c>
      <c r="Y46" s="366"/>
      <c r="Z46" s="383" t="s">
        <v>344</v>
      </c>
      <c r="AA46" s="384"/>
      <c r="AB46" s="384"/>
      <c r="AC46" s="385"/>
      <c r="AD46" s="382"/>
      <c r="AE46" s="371"/>
      <c r="AF46" s="366"/>
      <c r="AG46" s="382"/>
      <c r="AH46" s="371"/>
      <c r="AI46" s="366"/>
      <c r="AJ46" s="382"/>
      <c r="AK46" s="371"/>
      <c r="AL46" s="366"/>
      <c r="AM46" s="390" t="s">
        <v>351</v>
      </c>
      <c r="AN46" s="530"/>
      <c r="AO46" s="530"/>
      <c r="AP46" s="530"/>
      <c r="AQ46" s="530"/>
      <c r="AR46" s="530"/>
      <c r="AS46" s="530"/>
      <c r="AT46" s="530"/>
      <c r="AU46" s="530"/>
      <c r="AV46" s="530"/>
      <c r="AW46" s="530"/>
      <c r="AX46" s="530"/>
      <c r="AY46" s="530"/>
      <c r="AZ46" s="530"/>
      <c r="BA46" s="530"/>
      <c r="BB46" s="530"/>
      <c r="BC46" s="530"/>
      <c r="BD46" s="530"/>
      <c r="BE46" s="530"/>
      <c r="BF46" s="530"/>
      <c r="BG46" s="530"/>
      <c r="BH46" s="530"/>
      <c r="BI46" s="530"/>
      <c r="BJ46" s="531"/>
      <c r="BR46" s="535"/>
      <c r="BS46" s="535"/>
      <c r="BT46" s="535"/>
      <c r="BU46" s="237"/>
    </row>
    <row r="47" spans="1:73" ht="30" customHeight="1">
      <c r="A47" s="476">
        <f t="shared" si="0"/>
        <v>32</v>
      </c>
      <c r="B47" s="457"/>
      <c r="C47" s="458"/>
      <c r="D47" s="379" t="s">
        <v>352</v>
      </c>
      <c r="E47" s="380"/>
      <c r="F47" s="380"/>
      <c r="G47" s="380"/>
      <c r="H47" s="380"/>
      <c r="I47" s="380"/>
      <c r="J47" s="380"/>
      <c r="K47" s="380"/>
      <c r="L47" s="380"/>
      <c r="M47" s="380"/>
      <c r="N47" s="380"/>
      <c r="O47" s="380"/>
      <c r="P47" s="380"/>
      <c r="Q47" s="380"/>
      <c r="R47" s="381"/>
      <c r="S47" s="144" t="s">
        <v>130</v>
      </c>
      <c r="T47" s="145"/>
      <c r="U47" s="146"/>
      <c r="V47" s="382" t="s">
        <v>118</v>
      </c>
      <c r="W47" s="436"/>
      <c r="X47" s="365" t="s">
        <v>149</v>
      </c>
      <c r="Y47" s="366"/>
      <c r="Z47" s="383" t="s">
        <v>344</v>
      </c>
      <c r="AA47" s="384"/>
      <c r="AB47" s="384"/>
      <c r="AC47" s="385"/>
      <c r="AD47" s="382"/>
      <c r="AE47" s="371"/>
      <c r="AF47" s="366"/>
      <c r="AG47" s="382"/>
      <c r="AH47" s="371"/>
      <c r="AI47" s="366"/>
      <c r="AJ47" s="382"/>
      <c r="AK47" s="371"/>
      <c r="AL47" s="366"/>
      <c r="AM47" s="390" t="s">
        <v>353</v>
      </c>
      <c r="AN47" s="530"/>
      <c r="AO47" s="530"/>
      <c r="AP47" s="530"/>
      <c r="AQ47" s="530"/>
      <c r="AR47" s="530"/>
      <c r="AS47" s="530"/>
      <c r="AT47" s="530"/>
      <c r="AU47" s="530"/>
      <c r="AV47" s="530"/>
      <c r="AW47" s="530"/>
      <c r="AX47" s="530"/>
      <c r="AY47" s="530"/>
      <c r="AZ47" s="530"/>
      <c r="BA47" s="530"/>
      <c r="BB47" s="530"/>
      <c r="BC47" s="530"/>
      <c r="BD47" s="530"/>
      <c r="BE47" s="530"/>
      <c r="BF47" s="530"/>
      <c r="BG47" s="530"/>
      <c r="BH47" s="530"/>
      <c r="BI47" s="530"/>
      <c r="BJ47" s="531"/>
      <c r="BR47" s="535"/>
      <c r="BS47" s="535"/>
      <c r="BT47" s="535"/>
      <c r="BU47" s="237"/>
    </row>
    <row r="48" spans="1:73" ht="30" customHeight="1">
      <c r="A48" s="476">
        <f t="shared" si="0"/>
        <v>33</v>
      </c>
      <c r="B48" s="457"/>
      <c r="C48" s="458"/>
      <c r="D48" s="379" t="s">
        <v>354</v>
      </c>
      <c r="E48" s="380"/>
      <c r="F48" s="380"/>
      <c r="G48" s="380"/>
      <c r="H48" s="380"/>
      <c r="I48" s="380"/>
      <c r="J48" s="380"/>
      <c r="K48" s="380"/>
      <c r="L48" s="380"/>
      <c r="M48" s="380"/>
      <c r="N48" s="380"/>
      <c r="O48" s="380"/>
      <c r="P48" s="380"/>
      <c r="Q48" s="380"/>
      <c r="R48" s="381"/>
      <c r="S48" s="144" t="s">
        <v>130</v>
      </c>
      <c r="T48" s="145"/>
      <c r="U48" s="146"/>
      <c r="V48" s="382" t="s">
        <v>118</v>
      </c>
      <c r="W48" s="436"/>
      <c r="X48" s="365" t="s">
        <v>355</v>
      </c>
      <c r="Y48" s="366"/>
      <c r="Z48" s="383" t="s">
        <v>344</v>
      </c>
      <c r="AA48" s="384"/>
      <c r="AB48" s="384"/>
      <c r="AC48" s="385"/>
      <c r="AD48" s="382"/>
      <c r="AE48" s="371"/>
      <c r="AF48" s="366"/>
      <c r="AG48" s="382"/>
      <c r="AH48" s="371"/>
      <c r="AI48" s="366"/>
      <c r="AJ48" s="382"/>
      <c r="AK48" s="371"/>
      <c r="AL48" s="366"/>
      <c r="AM48" s="390" t="s">
        <v>356</v>
      </c>
      <c r="AN48" s="530"/>
      <c r="AO48" s="530"/>
      <c r="AP48" s="530"/>
      <c r="AQ48" s="530"/>
      <c r="AR48" s="530"/>
      <c r="AS48" s="530"/>
      <c r="AT48" s="530"/>
      <c r="AU48" s="530"/>
      <c r="AV48" s="530"/>
      <c r="AW48" s="530"/>
      <c r="AX48" s="530"/>
      <c r="AY48" s="530"/>
      <c r="AZ48" s="530"/>
      <c r="BA48" s="530"/>
      <c r="BB48" s="530"/>
      <c r="BC48" s="530"/>
      <c r="BD48" s="530"/>
      <c r="BE48" s="530"/>
      <c r="BF48" s="530"/>
      <c r="BG48" s="530"/>
      <c r="BH48" s="530"/>
      <c r="BI48" s="530"/>
      <c r="BJ48" s="531"/>
      <c r="BR48" s="535"/>
      <c r="BS48" s="535"/>
      <c r="BT48" s="535"/>
      <c r="BU48" s="237"/>
    </row>
    <row r="49" spans="1:62" ht="30.75" customHeight="1">
      <c r="A49" s="476"/>
      <c r="B49" s="457"/>
      <c r="C49" s="458"/>
      <c r="D49" s="379"/>
      <c r="E49" s="380"/>
      <c r="F49" s="380"/>
      <c r="G49" s="380"/>
      <c r="H49" s="380"/>
      <c r="I49" s="380"/>
      <c r="J49" s="380"/>
      <c r="K49" s="380"/>
      <c r="L49" s="380"/>
      <c r="M49" s="380"/>
      <c r="N49" s="380"/>
      <c r="O49" s="380"/>
      <c r="P49" s="380"/>
      <c r="Q49" s="380"/>
      <c r="R49" s="381"/>
      <c r="S49" s="382"/>
      <c r="T49" s="371"/>
      <c r="U49" s="366"/>
      <c r="V49" s="382"/>
      <c r="W49" s="436"/>
      <c r="X49" s="365"/>
      <c r="Y49" s="366"/>
      <c r="Z49" s="382"/>
      <c r="AA49" s="371"/>
      <c r="AB49" s="371"/>
      <c r="AC49" s="366"/>
      <c r="AD49" s="382"/>
      <c r="AE49" s="371"/>
      <c r="AF49" s="366"/>
      <c r="AG49" s="382"/>
      <c r="AH49" s="371"/>
      <c r="AI49" s="366"/>
      <c r="AJ49" s="382"/>
      <c r="AK49" s="371"/>
      <c r="AL49" s="366"/>
      <c r="AM49" s="390"/>
      <c r="AN49" s="380"/>
      <c r="AO49" s="380"/>
      <c r="AP49" s="380"/>
      <c r="AQ49" s="380"/>
      <c r="AR49" s="380"/>
      <c r="AS49" s="380"/>
      <c r="AT49" s="380"/>
      <c r="AU49" s="380"/>
      <c r="AV49" s="380"/>
      <c r="AW49" s="380"/>
      <c r="AX49" s="380"/>
      <c r="AY49" s="380"/>
      <c r="AZ49" s="380"/>
      <c r="BA49" s="380"/>
      <c r="BB49" s="380"/>
      <c r="BC49" s="380"/>
      <c r="BD49" s="380"/>
      <c r="BE49" s="380"/>
      <c r="BF49" s="380"/>
      <c r="BG49" s="380"/>
      <c r="BH49" s="380"/>
      <c r="BI49" s="380"/>
      <c r="BJ49" s="381"/>
    </row>
    <row r="50" spans="1:62" ht="30.75" customHeight="1">
      <c r="A50" s="476"/>
      <c r="B50" s="457"/>
      <c r="C50" s="458"/>
      <c r="D50" s="379"/>
      <c r="E50" s="380"/>
      <c r="F50" s="380"/>
      <c r="G50" s="380"/>
      <c r="H50" s="380"/>
      <c r="I50" s="380"/>
      <c r="J50" s="380"/>
      <c r="K50" s="380"/>
      <c r="L50" s="380"/>
      <c r="M50" s="380"/>
      <c r="N50" s="380"/>
      <c r="O50" s="380"/>
      <c r="P50" s="380"/>
      <c r="Q50" s="380"/>
      <c r="R50" s="381"/>
      <c r="S50" s="382"/>
      <c r="T50" s="371"/>
      <c r="U50" s="366"/>
      <c r="V50" s="382"/>
      <c r="W50" s="436"/>
      <c r="X50" s="365"/>
      <c r="Y50" s="366"/>
      <c r="Z50" s="382"/>
      <c r="AA50" s="371"/>
      <c r="AB50" s="371"/>
      <c r="AC50" s="366"/>
      <c r="AD50" s="382"/>
      <c r="AE50" s="371"/>
      <c r="AF50" s="366"/>
      <c r="AG50" s="382"/>
      <c r="AH50" s="371"/>
      <c r="AI50" s="366"/>
      <c r="AJ50" s="382"/>
      <c r="AK50" s="371"/>
      <c r="AL50" s="366"/>
      <c r="AM50" s="390"/>
      <c r="AN50" s="380"/>
      <c r="AO50" s="380"/>
      <c r="AP50" s="380"/>
      <c r="AQ50" s="380"/>
      <c r="AR50" s="380"/>
      <c r="AS50" s="380"/>
      <c r="AT50" s="380"/>
      <c r="AU50" s="380"/>
      <c r="AV50" s="380"/>
      <c r="AW50" s="380"/>
      <c r="AX50" s="380"/>
      <c r="AY50" s="380"/>
      <c r="AZ50" s="380"/>
      <c r="BA50" s="380"/>
      <c r="BB50" s="380"/>
      <c r="BC50" s="380"/>
      <c r="BD50" s="380"/>
      <c r="BE50" s="380"/>
      <c r="BF50" s="380"/>
      <c r="BG50" s="380"/>
      <c r="BH50" s="380"/>
      <c r="BI50" s="380"/>
      <c r="BJ50" s="381"/>
    </row>
    <row r="51" spans="1:62" ht="30.75" customHeight="1">
      <c r="A51" s="476"/>
      <c r="B51" s="457"/>
      <c r="C51" s="458"/>
      <c r="D51" s="379"/>
      <c r="E51" s="380"/>
      <c r="F51" s="380"/>
      <c r="G51" s="380"/>
      <c r="H51" s="380"/>
      <c r="I51" s="380"/>
      <c r="J51" s="380"/>
      <c r="K51" s="380"/>
      <c r="L51" s="380"/>
      <c r="M51" s="380"/>
      <c r="N51" s="380"/>
      <c r="O51" s="380"/>
      <c r="P51" s="380"/>
      <c r="Q51" s="380"/>
      <c r="R51" s="381"/>
      <c r="S51" s="382"/>
      <c r="T51" s="371"/>
      <c r="U51" s="366"/>
      <c r="V51" s="382"/>
      <c r="W51" s="436"/>
      <c r="X51" s="365"/>
      <c r="Y51" s="366"/>
      <c r="Z51" s="382"/>
      <c r="AA51" s="371"/>
      <c r="AB51" s="371"/>
      <c r="AC51" s="366"/>
      <c r="AD51" s="382"/>
      <c r="AE51" s="371"/>
      <c r="AF51" s="366"/>
      <c r="AG51" s="382"/>
      <c r="AH51" s="371"/>
      <c r="AI51" s="366"/>
      <c r="AJ51" s="382"/>
      <c r="AK51" s="371"/>
      <c r="AL51" s="366"/>
      <c r="AM51" s="390"/>
      <c r="AN51" s="380"/>
      <c r="AO51" s="380"/>
      <c r="AP51" s="380"/>
      <c r="AQ51" s="380"/>
      <c r="AR51" s="380"/>
      <c r="AS51" s="380"/>
      <c r="AT51" s="380"/>
      <c r="AU51" s="380"/>
      <c r="AV51" s="380"/>
      <c r="AW51" s="380"/>
      <c r="AX51" s="380"/>
      <c r="AY51" s="380"/>
      <c r="AZ51" s="380"/>
      <c r="BA51" s="380"/>
      <c r="BB51" s="380"/>
      <c r="BC51" s="380"/>
      <c r="BD51" s="380"/>
      <c r="BE51" s="380"/>
      <c r="BF51" s="380"/>
      <c r="BG51" s="380"/>
      <c r="BH51" s="380"/>
      <c r="BI51" s="380"/>
      <c r="BJ51" s="381"/>
    </row>
    <row r="52" spans="1:62" ht="30.75" customHeight="1">
      <c r="A52" s="471"/>
      <c r="B52" s="472"/>
      <c r="C52" s="473"/>
      <c r="D52" s="437"/>
      <c r="E52" s="438"/>
      <c r="F52" s="438"/>
      <c r="G52" s="438"/>
      <c r="H52" s="438"/>
      <c r="I52" s="438"/>
      <c r="J52" s="438"/>
      <c r="K52" s="438"/>
      <c r="L52" s="438"/>
      <c r="M52" s="438"/>
      <c r="N52" s="438"/>
      <c r="O52" s="438"/>
      <c r="P52" s="438"/>
      <c r="Q52" s="438"/>
      <c r="R52" s="439"/>
      <c r="S52" s="414"/>
      <c r="T52" s="415"/>
      <c r="U52" s="416"/>
      <c r="V52" s="414"/>
      <c r="W52" s="434"/>
      <c r="X52" s="435"/>
      <c r="Y52" s="416"/>
      <c r="Z52" s="414"/>
      <c r="AA52" s="415"/>
      <c r="AB52" s="415"/>
      <c r="AC52" s="416"/>
      <c r="AD52" s="414"/>
      <c r="AE52" s="415"/>
      <c r="AF52" s="416"/>
      <c r="AG52" s="414"/>
      <c r="AH52" s="415"/>
      <c r="AI52" s="416"/>
      <c r="AJ52" s="414"/>
      <c r="AK52" s="415"/>
      <c r="AL52" s="416"/>
      <c r="AM52" s="437"/>
      <c r="AN52" s="438"/>
      <c r="AO52" s="438"/>
      <c r="AP52" s="438"/>
      <c r="AQ52" s="438"/>
      <c r="AR52" s="438"/>
      <c r="AS52" s="438"/>
      <c r="AT52" s="438"/>
      <c r="AU52" s="438"/>
      <c r="AV52" s="438"/>
      <c r="AW52" s="438"/>
      <c r="AX52" s="438"/>
      <c r="AY52" s="438"/>
      <c r="AZ52" s="438"/>
      <c r="BA52" s="438"/>
      <c r="BB52" s="438"/>
      <c r="BC52" s="438"/>
      <c r="BD52" s="438"/>
      <c r="BE52" s="438"/>
      <c r="BF52" s="438"/>
      <c r="BG52" s="438"/>
      <c r="BH52" s="438"/>
      <c r="BI52" s="438"/>
      <c r="BJ52" s="439"/>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379">
    <mergeCell ref="BR48:BT48"/>
    <mergeCell ref="A48:C48"/>
    <mergeCell ref="D48:R48"/>
    <mergeCell ref="V48:W48"/>
    <mergeCell ref="X48:Y48"/>
    <mergeCell ref="Z48:AC48"/>
    <mergeCell ref="AD48:AF48"/>
    <mergeCell ref="AG48:AI48"/>
    <mergeCell ref="AJ48:AL48"/>
    <mergeCell ref="AM48:BJ48"/>
    <mergeCell ref="BR46:BT46"/>
    <mergeCell ref="A47:C47"/>
    <mergeCell ref="D47:R47"/>
    <mergeCell ref="V47:W47"/>
    <mergeCell ref="X47:Y47"/>
    <mergeCell ref="Z47:AC47"/>
    <mergeCell ref="AD47:AF47"/>
    <mergeCell ref="AG47:AI47"/>
    <mergeCell ref="AJ47:AL47"/>
    <mergeCell ref="AM47:BJ47"/>
    <mergeCell ref="BR47:BT47"/>
    <mergeCell ref="A46:C46"/>
    <mergeCell ref="D46:R46"/>
    <mergeCell ref="V46:W46"/>
    <mergeCell ref="X46:Y46"/>
    <mergeCell ref="Z46:AC46"/>
    <mergeCell ref="AD46:AF46"/>
    <mergeCell ref="AG46:AI46"/>
    <mergeCell ref="AJ46:AL46"/>
    <mergeCell ref="AM46:BJ46"/>
    <mergeCell ref="BR44:BT44"/>
    <mergeCell ref="A45:C45"/>
    <mergeCell ref="D45:R45"/>
    <mergeCell ref="V45:W45"/>
    <mergeCell ref="X45:Y45"/>
    <mergeCell ref="AD45:AF45"/>
    <mergeCell ref="AG45:AI45"/>
    <mergeCell ref="AJ45:AL45"/>
    <mergeCell ref="AM45:BJ45"/>
    <mergeCell ref="BR45:BT45"/>
    <mergeCell ref="A44:C44"/>
    <mergeCell ref="D44:R44"/>
    <mergeCell ref="V44:W44"/>
    <mergeCell ref="X44:Y44"/>
    <mergeCell ref="Z44:AC44"/>
    <mergeCell ref="AD44:AF44"/>
    <mergeCell ref="AG44:AI44"/>
    <mergeCell ref="AJ44:AL44"/>
    <mergeCell ref="AM44:BJ44"/>
    <mergeCell ref="BR42:BT42"/>
    <mergeCell ref="A43:C43"/>
    <mergeCell ref="D43:R43"/>
    <mergeCell ref="V43:W43"/>
    <mergeCell ref="X43:Y43"/>
    <mergeCell ref="Z43:AC43"/>
    <mergeCell ref="AD43:AF43"/>
    <mergeCell ref="AG43:AI43"/>
    <mergeCell ref="AJ43:AL43"/>
    <mergeCell ref="AM43:BJ43"/>
    <mergeCell ref="BR43:BT43"/>
    <mergeCell ref="AM41:BJ41"/>
    <mergeCell ref="A42:C42"/>
    <mergeCell ref="D42:R42"/>
    <mergeCell ref="V42:W42"/>
    <mergeCell ref="X42:Y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T9:BJ9"/>
    <mergeCell ref="A10:C10"/>
    <mergeCell ref="D10:AS10"/>
    <mergeCell ref="AT10:BJ10"/>
    <mergeCell ref="A11:C11"/>
    <mergeCell ref="D11:AS11"/>
    <mergeCell ref="AT11:BJ11"/>
    <mergeCell ref="A28:C28"/>
    <mergeCell ref="D28:R28"/>
    <mergeCell ref="V28:W28"/>
    <mergeCell ref="X28:Y28"/>
    <mergeCell ref="AD28:AF28"/>
    <mergeCell ref="AG28:AI28"/>
    <mergeCell ref="AJ28:AL28"/>
    <mergeCell ref="AM28:BJ28"/>
    <mergeCell ref="AD23:AF23"/>
    <mergeCell ref="AG23:AI23"/>
    <mergeCell ref="AJ23:AL23"/>
    <mergeCell ref="AM23:BJ23"/>
    <mergeCell ref="A27:C27"/>
    <mergeCell ref="D27:R27"/>
    <mergeCell ref="V27:W27"/>
    <mergeCell ref="X27:Y27"/>
    <mergeCell ref="AD27:AF27"/>
    <mergeCell ref="AM20:BJ20"/>
    <mergeCell ref="A20:C20"/>
    <mergeCell ref="D20:R20"/>
    <mergeCell ref="S20:U20"/>
    <mergeCell ref="V20:W20"/>
    <mergeCell ref="X20:Y20"/>
    <mergeCell ref="AD20:AF20"/>
    <mergeCell ref="AG20:AI20"/>
    <mergeCell ref="A21:C21"/>
    <mergeCell ref="A23:C23"/>
    <mergeCell ref="D23:R23"/>
    <mergeCell ref="AM29:BJ29"/>
    <mergeCell ref="A18:C18"/>
    <mergeCell ref="D18:R18"/>
    <mergeCell ref="V18:W18"/>
    <mergeCell ref="X18:Y18"/>
    <mergeCell ref="AD18:AF18"/>
    <mergeCell ref="AG18:AI18"/>
    <mergeCell ref="AJ18:AL18"/>
    <mergeCell ref="AM18:BJ18"/>
    <mergeCell ref="D21:R21"/>
    <mergeCell ref="V21:W21"/>
    <mergeCell ref="X21:Y21"/>
    <mergeCell ref="AD21:AF21"/>
    <mergeCell ref="AG21:AI21"/>
    <mergeCell ref="AJ21:AL21"/>
    <mergeCell ref="AM21:BJ21"/>
    <mergeCell ref="AM19:BJ19"/>
    <mergeCell ref="AG27:AI27"/>
    <mergeCell ref="AJ27:AL27"/>
    <mergeCell ref="AM27:BJ27"/>
    <mergeCell ref="X23:Y23"/>
    <mergeCell ref="V23:W23"/>
    <mergeCell ref="S19:U19"/>
    <mergeCell ref="V19:W19"/>
    <mergeCell ref="X19:Y19"/>
    <mergeCell ref="AD19:AF19"/>
    <mergeCell ref="AG19:AI19"/>
    <mergeCell ref="AJ20:AL20"/>
    <mergeCell ref="D26:R26"/>
    <mergeCell ref="S26:U26"/>
    <mergeCell ref="V26:W26"/>
    <mergeCell ref="X26:Y26"/>
    <mergeCell ref="AD26:AF26"/>
    <mergeCell ref="AG26:AI26"/>
    <mergeCell ref="AJ26:AL26"/>
    <mergeCell ref="AD22:AF22"/>
    <mergeCell ref="AG22:AI22"/>
    <mergeCell ref="AJ22:AL22"/>
    <mergeCell ref="Z23:AC23"/>
    <mergeCell ref="Z19:AC19"/>
    <mergeCell ref="AM16:BJ16"/>
    <mergeCell ref="A9:C9"/>
    <mergeCell ref="D9:AS9"/>
    <mergeCell ref="A29:C29"/>
    <mergeCell ref="D29:R29"/>
    <mergeCell ref="S29:U29"/>
    <mergeCell ref="V29:W29"/>
    <mergeCell ref="X29:Y29"/>
    <mergeCell ref="Z29:AC29"/>
    <mergeCell ref="AG14:AI15"/>
    <mergeCell ref="AJ14:AL15"/>
    <mergeCell ref="AM14:BJ15"/>
    <mergeCell ref="V15:W15"/>
    <mergeCell ref="X15:Y15"/>
    <mergeCell ref="A17:C17"/>
    <mergeCell ref="D17:R17"/>
    <mergeCell ref="S17:U17"/>
    <mergeCell ref="V17:W17"/>
    <mergeCell ref="X17:Y17"/>
    <mergeCell ref="AD29:AF29"/>
    <mergeCell ref="AG29:AI29"/>
    <mergeCell ref="AJ29:AL29"/>
    <mergeCell ref="A19:C19"/>
    <mergeCell ref="D19:R1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4:C15"/>
    <mergeCell ref="D14:R15"/>
    <mergeCell ref="S14:U15"/>
    <mergeCell ref="V14:Y14"/>
    <mergeCell ref="Z14:AC15"/>
    <mergeCell ref="AD14:AF15"/>
    <mergeCell ref="AD17:AF17"/>
    <mergeCell ref="AG17:AI17"/>
    <mergeCell ref="AJ17:AL17"/>
    <mergeCell ref="X16:Y16"/>
    <mergeCell ref="Z16:AC16"/>
    <mergeCell ref="AD16:AF16"/>
    <mergeCell ref="AG16:AI16"/>
    <mergeCell ref="AJ16:AL16"/>
    <mergeCell ref="AM17:BJ17"/>
    <mergeCell ref="A16:C16"/>
    <mergeCell ref="D16:R16"/>
    <mergeCell ref="S16:U16"/>
    <mergeCell ref="V16:W16"/>
    <mergeCell ref="S30:U30"/>
    <mergeCell ref="V30:W30"/>
    <mergeCell ref="X30:Y30"/>
    <mergeCell ref="AJ19:AL19"/>
    <mergeCell ref="AM22:BJ22"/>
    <mergeCell ref="A24:C24"/>
    <mergeCell ref="D24:R24"/>
    <mergeCell ref="S24:U24"/>
    <mergeCell ref="V24:W24"/>
    <mergeCell ref="X24:Y24"/>
    <mergeCell ref="AD24:AF24"/>
    <mergeCell ref="AG24:AI24"/>
    <mergeCell ref="AJ24:AL24"/>
    <mergeCell ref="AM24:BJ24"/>
    <mergeCell ref="A22:C22"/>
    <mergeCell ref="D22:R22"/>
    <mergeCell ref="S22:U22"/>
    <mergeCell ref="V22:W22"/>
    <mergeCell ref="X22:Y22"/>
    <mergeCell ref="AM26:BJ26"/>
    <mergeCell ref="A25:C25"/>
    <mergeCell ref="D25:R25"/>
    <mergeCell ref="S25:U25"/>
    <mergeCell ref="V25:W25"/>
    <mergeCell ref="X25:Y25"/>
    <mergeCell ref="AD25:AF25"/>
    <mergeCell ref="AG25:AI25"/>
    <mergeCell ref="AJ25:AL25"/>
    <mergeCell ref="AM25:BJ25"/>
    <mergeCell ref="A26:C26"/>
    <mergeCell ref="AD30:AF30"/>
    <mergeCell ref="AG30:AI30"/>
    <mergeCell ref="AJ30:AL30"/>
    <mergeCell ref="AM31:BJ31"/>
    <mergeCell ref="A32:C32"/>
    <mergeCell ref="D32:R32"/>
    <mergeCell ref="S32:U32"/>
    <mergeCell ref="V32:W32"/>
    <mergeCell ref="X32:Y32"/>
    <mergeCell ref="AD32:AF32"/>
    <mergeCell ref="AG32:AI32"/>
    <mergeCell ref="AJ32:AL32"/>
    <mergeCell ref="AM32:BJ32"/>
    <mergeCell ref="A31:C31"/>
    <mergeCell ref="D31:R31"/>
    <mergeCell ref="S31:U31"/>
    <mergeCell ref="V31:W31"/>
    <mergeCell ref="X31:Y31"/>
    <mergeCell ref="AD31:AF31"/>
    <mergeCell ref="AG31:AI31"/>
    <mergeCell ref="AJ31:AL31"/>
    <mergeCell ref="AM30:BJ30"/>
    <mergeCell ref="A30:C30"/>
    <mergeCell ref="D30:R30"/>
    <mergeCell ref="AM33:BJ33"/>
    <mergeCell ref="A34:C34"/>
    <mergeCell ref="D34:R34"/>
    <mergeCell ref="S34:U34"/>
    <mergeCell ref="V34:W34"/>
    <mergeCell ref="X34:Y34"/>
    <mergeCell ref="AD34:AF34"/>
    <mergeCell ref="AG34:AI34"/>
    <mergeCell ref="AJ34:AL34"/>
    <mergeCell ref="AM34:BJ34"/>
    <mergeCell ref="A33:C33"/>
    <mergeCell ref="D33:R33"/>
    <mergeCell ref="S33:U33"/>
    <mergeCell ref="V33:W33"/>
    <mergeCell ref="X33:Y33"/>
    <mergeCell ref="AD33:AF33"/>
    <mergeCell ref="AG33:AI33"/>
    <mergeCell ref="AJ33:AL33"/>
    <mergeCell ref="AM35:BJ35"/>
    <mergeCell ref="A36:C36"/>
    <mergeCell ref="D36:R36"/>
    <mergeCell ref="S36:U36"/>
    <mergeCell ref="V36:W36"/>
    <mergeCell ref="X36:Y36"/>
    <mergeCell ref="AD36:AF36"/>
    <mergeCell ref="AG36:AI36"/>
    <mergeCell ref="AJ36:AL36"/>
    <mergeCell ref="AM36:BJ36"/>
    <mergeCell ref="A35:C35"/>
    <mergeCell ref="D35:R35"/>
    <mergeCell ref="S35:U35"/>
    <mergeCell ref="V35:W35"/>
    <mergeCell ref="X35:Y35"/>
    <mergeCell ref="AD35:AF35"/>
    <mergeCell ref="AG35:AI35"/>
    <mergeCell ref="AJ35:AL35"/>
    <mergeCell ref="AM37:BJ37"/>
    <mergeCell ref="A38:C38"/>
    <mergeCell ref="D38:R38"/>
    <mergeCell ref="S38:U38"/>
    <mergeCell ref="V38:W38"/>
    <mergeCell ref="X38:Y38"/>
    <mergeCell ref="AD38:AF38"/>
    <mergeCell ref="AG38:AI38"/>
    <mergeCell ref="AJ38:AL38"/>
    <mergeCell ref="AM38:BJ38"/>
    <mergeCell ref="A37:C37"/>
    <mergeCell ref="D37:R37"/>
    <mergeCell ref="S37:U37"/>
    <mergeCell ref="V37:W37"/>
    <mergeCell ref="X37:Y37"/>
    <mergeCell ref="AD37:AF37"/>
    <mergeCell ref="AG37:AI37"/>
    <mergeCell ref="AJ37:AL37"/>
    <mergeCell ref="AD39:AF39"/>
    <mergeCell ref="AG39:AI39"/>
    <mergeCell ref="AJ39:AL39"/>
    <mergeCell ref="AM39:BJ39"/>
    <mergeCell ref="A40:C40"/>
    <mergeCell ref="D40:R40"/>
    <mergeCell ref="V40:W40"/>
    <mergeCell ref="X40:Y40"/>
    <mergeCell ref="A39:C39"/>
    <mergeCell ref="D39:R39"/>
    <mergeCell ref="S39:U39"/>
    <mergeCell ref="V39:W39"/>
    <mergeCell ref="X39:Y39"/>
    <mergeCell ref="AD40:AF40"/>
    <mergeCell ref="AG40:AI40"/>
    <mergeCell ref="AJ40:AL40"/>
    <mergeCell ref="AM40:BJ40"/>
    <mergeCell ref="S40:U40"/>
    <mergeCell ref="A49:C49"/>
    <mergeCell ref="D49:R49"/>
    <mergeCell ref="S49:U49"/>
    <mergeCell ref="V49:W49"/>
    <mergeCell ref="X49:Y49"/>
    <mergeCell ref="Z49:AC49"/>
    <mergeCell ref="AD49:AF49"/>
    <mergeCell ref="AG49:AI49"/>
    <mergeCell ref="AJ49:AL49"/>
    <mergeCell ref="D50:R50"/>
    <mergeCell ref="S50:U50"/>
    <mergeCell ref="V50:W50"/>
    <mergeCell ref="X50:Y50"/>
    <mergeCell ref="Z50:AC50"/>
    <mergeCell ref="AD50:AF50"/>
    <mergeCell ref="AG50:AI50"/>
    <mergeCell ref="AJ50:AL50"/>
    <mergeCell ref="AM50:BJ50"/>
    <mergeCell ref="Z18:AC18"/>
    <mergeCell ref="Z21:AC21"/>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260D-2186-4275-B2D3-CB0A81B00309}">
  <sheetPr codeName="Sheet11"/>
  <dimension ref="A1:BK52"/>
  <sheetViews>
    <sheetView view="pageBreakPreview" zoomScaleNormal="100" zoomScaleSheetLayoutView="100" workbookViewId="0"/>
  </sheetViews>
  <sheetFormatPr defaultColWidth="1.90625" defaultRowHeight="14"/>
  <cols>
    <col min="1" max="89" width="2.08984375" style="22" customWidth="1"/>
    <col min="90"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45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46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7" t="s">
        <v>34</v>
      </c>
      <c r="B8" s="258"/>
      <c r="C8" s="259"/>
      <c r="D8" s="257" t="s">
        <v>35</v>
      </c>
      <c r="E8" s="258"/>
      <c r="F8" s="258"/>
      <c r="G8" s="258"/>
      <c r="H8" s="258"/>
      <c r="I8" s="258"/>
      <c r="J8" s="258"/>
      <c r="K8" s="258"/>
      <c r="L8" s="258"/>
      <c r="M8" s="258"/>
      <c r="N8" s="258"/>
      <c r="O8" s="258"/>
      <c r="P8" s="258"/>
      <c r="Q8" s="259"/>
      <c r="R8" s="459" t="s">
        <v>48</v>
      </c>
      <c r="S8" s="460"/>
      <c r="T8" s="461"/>
      <c r="U8" s="459" t="s">
        <v>49</v>
      </c>
      <c r="V8" s="460"/>
      <c r="W8" s="461"/>
      <c r="X8" s="459" t="s">
        <v>50</v>
      </c>
      <c r="Y8" s="460"/>
      <c r="Z8" s="461"/>
      <c r="AA8" s="459" t="s">
        <v>51</v>
      </c>
      <c r="AB8" s="460"/>
      <c r="AC8" s="461"/>
      <c r="AD8" s="459" t="s">
        <v>52</v>
      </c>
      <c r="AE8" s="460"/>
      <c r="AF8" s="461"/>
      <c r="AG8" s="257" t="s">
        <v>53</v>
      </c>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row>
    <row r="9" spans="1:63" ht="30" customHeight="1">
      <c r="A9" s="456"/>
      <c r="B9" s="457"/>
      <c r="C9" s="458"/>
      <c r="D9" s="379"/>
      <c r="E9" s="380"/>
      <c r="F9" s="380"/>
      <c r="G9" s="380"/>
      <c r="H9" s="380"/>
      <c r="I9" s="380"/>
      <c r="J9" s="380"/>
      <c r="K9" s="380"/>
      <c r="L9" s="380"/>
      <c r="M9" s="380"/>
      <c r="N9" s="380"/>
      <c r="O9" s="380"/>
      <c r="P9" s="380"/>
      <c r="Q9" s="381"/>
      <c r="R9" s="465"/>
      <c r="S9" s="466"/>
      <c r="T9" s="467"/>
      <c r="U9" s="382"/>
      <c r="V9" s="371"/>
      <c r="W9" s="366"/>
      <c r="X9" s="382"/>
      <c r="Y9" s="371"/>
      <c r="Z9" s="366"/>
      <c r="AA9" s="382"/>
      <c r="AB9" s="371"/>
      <c r="AC9" s="366"/>
      <c r="AD9" s="382"/>
      <c r="AE9" s="371"/>
      <c r="AF9" s="366"/>
      <c r="AG9" s="468" t="s">
        <v>143</v>
      </c>
      <c r="AH9" s="469"/>
      <c r="AI9" s="469"/>
      <c r="AJ9" s="469"/>
      <c r="AK9" s="469"/>
      <c r="AL9" s="469"/>
      <c r="AM9" s="469"/>
      <c r="AN9" s="469"/>
      <c r="AO9" s="469"/>
      <c r="AP9" s="469"/>
      <c r="AQ9" s="469"/>
      <c r="AR9" s="469"/>
      <c r="AS9" s="469"/>
      <c r="AT9" s="469"/>
      <c r="AU9" s="469"/>
      <c r="AV9" s="469"/>
      <c r="AW9" s="469"/>
      <c r="AX9" s="469"/>
      <c r="AY9" s="469"/>
      <c r="AZ9" s="469"/>
      <c r="BA9" s="469"/>
      <c r="BB9" s="469"/>
      <c r="BC9" s="470"/>
      <c r="BD9" s="382"/>
      <c r="BE9" s="371"/>
      <c r="BF9" s="371"/>
      <c r="BG9" s="371"/>
      <c r="BH9" s="371"/>
      <c r="BI9" s="371"/>
      <c r="BJ9" s="366"/>
    </row>
    <row r="10" spans="1:63" ht="30" customHeight="1">
      <c r="A10" s="456"/>
      <c r="B10" s="457"/>
      <c r="C10" s="458"/>
      <c r="D10" s="379"/>
      <c r="E10" s="380"/>
      <c r="F10" s="380"/>
      <c r="G10" s="380"/>
      <c r="H10" s="380"/>
      <c r="I10" s="380"/>
      <c r="J10" s="380"/>
      <c r="K10" s="380"/>
      <c r="L10" s="380"/>
      <c r="M10" s="380"/>
      <c r="N10" s="380"/>
      <c r="O10" s="380"/>
      <c r="P10" s="380"/>
      <c r="Q10" s="381"/>
      <c r="R10" s="465"/>
      <c r="S10" s="466"/>
      <c r="T10" s="467"/>
      <c r="U10" s="382"/>
      <c r="V10" s="371"/>
      <c r="W10" s="366"/>
      <c r="X10" s="382"/>
      <c r="Y10" s="371"/>
      <c r="Z10" s="366"/>
      <c r="AA10" s="382"/>
      <c r="AB10" s="371"/>
      <c r="AC10" s="366"/>
      <c r="AD10" s="382"/>
      <c r="AE10" s="371"/>
      <c r="AF10" s="366"/>
      <c r="AG10" s="468"/>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70"/>
      <c r="BD10" s="382"/>
      <c r="BE10" s="371"/>
      <c r="BF10" s="371"/>
      <c r="BG10" s="371"/>
      <c r="BH10" s="371"/>
      <c r="BI10" s="371"/>
      <c r="BJ10" s="366"/>
    </row>
    <row r="11" spans="1:63" ht="30" customHeight="1">
      <c r="A11" s="456"/>
      <c r="B11" s="457"/>
      <c r="C11" s="458"/>
      <c r="D11" s="379"/>
      <c r="E11" s="380"/>
      <c r="F11" s="380"/>
      <c r="G11" s="380"/>
      <c r="H11" s="380"/>
      <c r="I11" s="380"/>
      <c r="J11" s="380"/>
      <c r="K11" s="380"/>
      <c r="L11" s="380"/>
      <c r="M11" s="380"/>
      <c r="N11" s="380"/>
      <c r="O11" s="380"/>
      <c r="P11" s="380"/>
      <c r="Q11" s="381"/>
      <c r="R11" s="382"/>
      <c r="S11" s="371"/>
      <c r="T11" s="366"/>
      <c r="U11" s="382"/>
      <c r="V11" s="371"/>
      <c r="W11" s="366"/>
      <c r="X11" s="382"/>
      <c r="Y11" s="371"/>
      <c r="Z11" s="366"/>
      <c r="AA11" s="382"/>
      <c r="AB11" s="371"/>
      <c r="AC11" s="366"/>
      <c r="AD11" s="382"/>
      <c r="AE11" s="371"/>
      <c r="AF11" s="366"/>
      <c r="AG11" s="468"/>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70"/>
      <c r="BD11" s="382"/>
      <c r="BE11" s="371"/>
      <c r="BF11" s="371"/>
      <c r="BG11" s="371"/>
      <c r="BH11" s="371"/>
      <c r="BI11" s="371"/>
      <c r="BJ11" s="366"/>
    </row>
    <row r="12" spans="1:63" ht="30" customHeight="1">
      <c r="A12" s="456"/>
      <c r="B12" s="457"/>
      <c r="C12" s="458"/>
      <c r="D12" s="379"/>
      <c r="E12" s="380"/>
      <c r="F12" s="380"/>
      <c r="G12" s="380"/>
      <c r="H12" s="380"/>
      <c r="I12" s="380"/>
      <c r="J12" s="380"/>
      <c r="K12" s="380"/>
      <c r="L12" s="380"/>
      <c r="M12" s="380"/>
      <c r="N12" s="380"/>
      <c r="O12" s="380"/>
      <c r="P12" s="380"/>
      <c r="Q12" s="381"/>
      <c r="R12" s="382"/>
      <c r="S12" s="371"/>
      <c r="T12" s="366"/>
      <c r="U12" s="382"/>
      <c r="V12" s="371"/>
      <c r="W12" s="366"/>
      <c r="X12" s="382"/>
      <c r="Y12" s="371"/>
      <c r="Z12" s="366"/>
      <c r="AA12" s="382"/>
      <c r="AB12" s="371"/>
      <c r="AC12" s="366"/>
      <c r="AD12" s="382"/>
      <c r="AE12" s="371"/>
      <c r="AF12" s="366"/>
      <c r="AG12" s="468"/>
      <c r="AH12" s="469"/>
      <c r="AI12" s="469"/>
      <c r="AJ12" s="469"/>
      <c r="AK12" s="469"/>
      <c r="AL12" s="469"/>
      <c r="AM12" s="469"/>
      <c r="AN12" s="469"/>
      <c r="AO12" s="469"/>
      <c r="AP12" s="469"/>
      <c r="AQ12" s="469"/>
      <c r="AR12" s="469"/>
      <c r="AS12" s="469"/>
      <c r="AT12" s="469"/>
      <c r="AU12" s="469"/>
      <c r="AV12" s="469"/>
      <c r="AW12" s="469"/>
      <c r="AX12" s="469"/>
      <c r="AY12" s="469"/>
      <c r="AZ12" s="469"/>
      <c r="BA12" s="469"/>
      <c r="BB12" s="469"/>
      <c r="BC12" s="470"/>
      <c r="BD12" s="382"/>
      <c r="BE12" s="371"/>
      <c r="BF12" s="371"/>
      <c r="BG12" s="371"/>
      <c r="BH12" s="371"/>
      <c r="BI12" s="371"/>
      <c r="BJ12" s="366"/>
    </row>
    <row r="13" spans="1:63" ht="30" customHeight="1">
      <c r="A13" s="456"/>
      <c r="B13" s="457"/>
      <c r="C13" s="458"/>
      <c r="D13" s="379"/>
      <c r="E13" s="380"/>
      <c r="F13" s="380"/>
      <c r="G13" s="380"/>
      <c r="H13" s="380"/>
      <c r="I13" s="380"/>
      <c r="J13" s="380"/>
      <c r="K13" s="380"/>
      <c r="L13" s="380"/>
      <c r="M13" s="380"/>
      <c r="N13" s="380"/>
      <c r="O13" s="380"/>
      <c r="P13" s="380"/>
      <c r="Q13" s="381"/>
      <c r="R13" s="382"/>
      <c r="S13" s="371"/>
      <c r="T13" s="366"/>
      <c r="U13" s="382"/>
      <c r="V13" s="371"/>
      <c r="W13" s="366"/>
      <c r="X13" s="382"/>
      <c r="Y13" s="371"/>
      <c r="Z13" s="366"/>
      <c r="AA13" s="382"/>
      <c r="AB13" s="371"/>
      <c r="AC13" s="366"/>
      <c r="AD13" s="382"/>
      <c r="AE13" s="371"/>
      <c r="AF13" s="366"/>
      <c r="AG13" s="468"/>
      <c r="AH13" s="469"/>
      <c r="AI13" s="469"/>
      <c r="AJ13" s="469"/>
      <c r="AK13" s="469"/>
      <c r="AL13" s="469"/>
      <c r="AM13" s="469"/>
      <c r="AN13" s="469"/>
      <c r="AO13" s="469"/>
      <c r="AP13" s="469"/>
      <c r="AQ13" s="469"/>
      <c r="AR13" s="469"/>
      <c r="AS13" s="469"/>
      <c r="AT13" s="469"/>
      <c r="AU13" s="469"/>
      <c r="AV13" s="469"/>
      <c r="AW13" s="469"/>
      <c r="AX13" s="469"/>
      <c r="AY13" s="469"/>
      <c r="AZ13" s="469"/>
      <c r="BA13" s="469"/>
      <c r="BB13" s="469"/>
      <c r="BC13" s="470"/>
      <c r="BD13" s="382"/>
      <c r="BE13" s="371"/>
      <c r="BF13" s="371"/>
      <c r="BG13" s="371"/>
      <c r="BH13" s="371"/>
      <c r="BI13" s="371"/>
      <c r="BJ13" s="366"/>
    </row>
    <row r="14" spans="1:63" ht="30" customHeight="1">
      <c r="A14" s="456"/>
      <c r="B14" s="457"/>
      <c r="C14" s="458"/>
      <c r="D14" s="552"/>
      <c r="E14" s="553"/>
      <c r="F14" s="553"/>
      <c r="G14" s="553"/>
      <c r="H14" s="553"/>
      <c r="I14" s="553"/>
      <c r="J14" s="553"/>
      <c r="K14" s="553"/>
      <c r="L14" s="553"/>
      <c r="M14" s="553"/>
      <c r="N14" s="553"/>
      <c r="O14" s="553"/>
      <c r="P14" s="553"/>
      <c r="Q14" s="554"/>
      <c r="R14" s="465"/>
      <c r="S14" s="466"/>
      <c r="T14" s="467"/>
      <c r="U14" s="465"/>
      <c r="V14" s="466"/>
      <c r="W14" s="467"/>
      <c r="X14" s="465"/>
      <c r="Y14" s="466"/>
      <c r="Z14" s="467"/>
      <c r="AA14" s="465"/>
      <c r="AB14" s="466"/>
      <c r="AC14" s="467"/>
      <c r="AD14" s="465"/>
      <c r="AE14" s="466"/>
      <c r="AF14" s="467"/>
      <c r="AG14" s="555"/>
      <c r="AH14" s="556"/>
      <c r="AI14" s="556"/>
      <c r="AJ14" s="556"/>
      <c r="AK14" s="556"/>
      <c r="AL14" s="556"/>
      <c r="AM14" s="556"/>
      <c r="AN14" s="556"/>
      <c r="AO14" s="556"/>
      <c r="AP14" s="556"/>
      <c r="AQ14" s="556"/>
      <c r="AR14" s="556"/>
      <c r="AS14" s="556"/>
      <c r="AT14" s="556"/>
      <c r="AU14" s="556"/>
      <c r="AV14" s="556"/>
      <c r="AW14" s="556"/>
      <c r="AX14" s="556"/>
      <c r="AY14" s="556"/>
      <c r="AZ14" s="556"/>
      <c r="BA14" s="556"/>
      <c r="BB14" s="556"/>
      <c r="BC14" s="557"/>
      <c r="BD14" s="465"/>
      <c r="BE14" s="466"/>
      <c r="BF14" s="466"/>
      <c r="BG14" s="466"/>
      <c r="BH14" s="466"/>
      <c r="BI14" s="466"/>
      <c r="BJ14" s="467"/>
    </row>
    <row r="15" spans="1:63" ht="30" customHeight="1">
      <c r="A15" s="456"/>
      <c r="B15" s="457"/>
      <c r="C15" s="458"/>
      <c r="D15" s="379"/>
      <c r="E15" s="380"/>
      <c r="F15" s="380"/>
      <c r="G15" s="380"/>
      <c r="H15" s="380"/>
      <c r="I15" s="380"/>
      <c r="J15" s="380"/>
      <c r="K15" s="380"/>
      <c r="L15" s="380"/>
      <c r="M15" s="380"/>
      <c r="N15" s="380"/>
      <c r="O15" s="380"/>
      <c r="P15" s="380"/>
      <c r="Q15" s="381"/>
      <c r="R15" s="465"/>
      <c r="S15" s="466"/>
      <c r="T15" s="467"/>
      <c r="U15" s="382"/>
      <c r="V15" s="371"/>
      <c r="W15" s="366"/>
      <c r="X15" s="382"/>
      <c r="Y15" s="371"/>
      <c r="Z15" s="366"/>
      <c r="AA15" s="382"/>
      <c r="AB15" s="371"/>
      <c r="AC15" s="366"/>
      <c r="AD15" s="382"/>
      <c r="AE15" s="371"/>
      <c r="AF15" s="366"/>
      <c r="AG15" s="468"/>
      <c r="AH15" s="469"/>
      <c r="AI15" s="469"/>
      <c r="AJ15" s="469"/>
      <c r="AK15" s="469"/>
      <c r="AL15" s="469"/>
      <c r="AM15" s="469"/>
      <c r="AN15" s="469"/>
      <c r="AO15" s="469"/>
      <c r="AP15" s="469"/>
      <c r="AQ15" s="469"/>
      <c r="AR15" s="469"/>
      <c r="AS15" s="469"/>
      <c r="AT15" s="469"/>
      <c r="AU15" s="469"/>
      <c r="AV15" s="469"/>
      <c r="AW15" s="469"/>
      <c r="AX15" s="469"/>
      <c r="AY15" s="469"/>
      <c r="AZ15" s="469"/>
      <c r="BA15" s="469"/>
      <c r="BB15" s="469"/>
      <c r="BC15" s="470"/>
      <c r="BD15" s="382"/>
      <c r="BE15" s="371"/>
      <c r="BF15" s="371"/>
      <c r="BG15" s="371"/>
      <c r="BH15" s="371"/>
      <c r="BI15" s="371"/>
      <c r="BJ15" s="366"/>
    </row>
    <row r="16" spans="1:63" ht="30" customHeight="1">
      <c r="A16" s="456"/>
      <c r="B16" s="457"/>
      <c r="C16" s="458"/>
      <c r="D16" s="379"/>
      <c r="E16" s="380"/>
      <c r="F16" s="380"/>
      <c r="G16" s="380"/>
      <c r="H16" s="380"/>
      <c r="I16" s="380"/>
      <c r="J16" s="380"/>
      <c r="K16" s="380"/>
      <c r="L16" s="380"/>
      <c r="M16" s="380"/>
      <c r="N16" s="380"/>
      <c r="O16" s="380"/>
      <c r="P16" s="380"/>
      <c r="Q16" s="381"/>
      <c r="R16" s="382"/>
      <c r="S16" s="371"/>
      <c r="T16" s="366"/>
      <c r="U16" s="382"/>
      <c r="V16" s="371"/>
      <c r="W16" s="366"/>
      <c r="X16" s="382"/>
      <c r="Y16" s="371"/>
      <c r="Z16" s="366"/>
      <c r="AA16" s="382"/>
      <c r="AB16" s="371"/>
      <c r="AC16" s="366"/>
      <c r="AD16" s="382"/>
      <c r="AE16" s="371"/>
      <c r="AF16" s="366"/>
      <c r="AG16" s="468"/>
      <c r="AH16" s="469"/>
      <c r="AI16" s="469"/>
      <c r="AJ16" s="469"/>
      <c r="AK16" s="469"/>
      <c r="AL16" s="469"/>
      <c r="AM16" s="469"/>
      <c r="AN16" s="469"/>
      <c r="AO16" s="469"/>
      <c r="AP16" s="469"/>
      <c r="AQ16" s="469"/>
      <c r="AR16" s="469"/>
      <c r="AS16" s="469"/>
      <c r="AT16" s="469"/>
      <c r="AU16" s="469"/>
      <c r="AV16" s="469"/>
      <c r="AW16" s="469"/>
      <c r="AX16" s="469"/>
      <c r="AY16" s="469"/>
      <c r="AZ16" s="469"/>
      <c r="BA16" s="469"/>
      <c r="BB16" s="469"/>
      <c r="BC16" s="470"/>
      <c r="BD16" s="382"/>
      <c r="BE16" s="371"/>
      <c r="BF16" s="371"/>
      <c r="BG16" s="371"/>
      <c r="BH16" s="371"/>
      <c r="BI16" s="371"/>
      <c r="BJ16" s="366"/>
    </row>
    <row r="17" spans="1:62" s="23" customFormat="1" ht="30" customHeight="1">
      <c r="A17" s="456"/>
      <c r="B17" s="457"/>
      <c r="C17" s="458"/>
      <c r="D17" s="91"/>
      <c r="E17" s="83"/>
      <c r="F17" s="83"/>
      <c r="G17" s="83"/>
      <c r="H17" s="83"/>
      <c r="I17" s="83"/>
      <c r="J17" s="83"/>
      <c r="K17" s="83"/>
      <c r="L17" s="83"/>
      <c r="M17" s="83"/>
      <c r="N17" s="83"/>
      <c r="O17" s="83"/>
      <c r="P17" s="83"/>
      <c r="Q17" s="84"/>
      <c r="R17" s="85"/>
      <c r="S17" s="86"/>
      <c r="T17" s="87"/>
      <c r="U17" s="85"/>
      <c r="V17" s="86"/>
      <c r="W17" s="87"/>
      <c r="X17" s="85"/>
      <c r="Y17" s="86"/>
      <c r="Z17" s="87"/>
      <c r="AA17" s="85"/>
      <c r="AB17" s="86"/>
      <c r="AC17" s="87"/>
      <c r="AD17" s="85"/>
      <c r="AE17" s="86"/>
      <c r="AF17" s="87"/>
      <c r="AG17" s="88"/>
      <c r="AH17" s="89"/>
      <c r="AI17" s="89"/>
      <c r="AJ17" s="89"/>
      <c r="AK17" s="89"/>
      <c r="AL17" s="89"/>
      <c r="AM17" s="89"/>
      <c r="AN17" s="89"/>
      <c r="AO17" s="89"/>
      <c r="AP17" s="89"/>
      <c r="AQ17" s="89"/>
      <c r="AR17" s="89"/>
      <c r="AS17" s="89"/>
      <c r="AT17" s="89"/>
      <c r="AU17" s="89"/>
      <c r="AV17" s="89"/>
      <c r="AW17" s="89"/>
      <c r="AX17" s="89"/>
      <c r="AY17" s="89"/>
      <c r="AZ17" s="89"/>
      <c r="BA17" s="89"/>
      <c r="BB17" s="89"/>
      <c r="BC17" s="90"/>
      <c r="BD17" s="382"/>
      <c r="BE17" s="371"/>
      <c r="BF17" s="371"/>
      <c r="BG17" s="371"/>
      <c r="BH17" s="371"/>
      <c r="BI17" s="371"/>
      <c r="BJ17" s="366"/>
    </row>
    <row r="18" spans="1:62" ht="30" customHeight="1">
      <c r="A18" s="456"/>
      <c r="B18" s="457"/>
      <c r="C18" s="458"/>
      <c r="D18" s="379"/>
      <c r="E18" s="380"/>
      <c r="F18" s="380"/>
      <c r="G18" s="380"/>
      <c r="H18" s="380"/>
      <c r="I18" s="380"/>
      <c r="J18" s="380"/>
      <c r="K18" s="380"/>
      <c r="L18" s="380"/>
      <c r="M18" s="380"/>
      <c r="N18" s="380"/>
      <c r="O18" s="380"/>
      <c r="P18" s="380"/>
      <c r="Q18" s="381"/>
      <c r="R18" s="382"/>
      <c r="S18" s="371"/>
      <c r="T18" s="366"/>
      <c r="U18" s="382"/>
      <c r="V18" s="371"/>
      <c r="W18" s="366"/>
      <c r="X18" s="382"/>
      <c r="Y18" s="371"/>
      <c r="Z18" s="366"/>
      <c r="AA18" s="382"/>
      <c r="AB18" s="371"/>
      <c r="AC18" s="366"/>
      <c r="AD18" s="382"/>
      <c r="AE18" s="371"/>
      <c r="AF18" s="366"/>
      <c r="AG18" s="468"/>
      <c r="AH18" s="469"/>
      <c r="AI18" s="469"/>
      <c r="AJ18" s="469"/>
      <c r="AK18" s="469"/>
      <c r="AL18" s="469"/>
      <c r="AM18" s="469"/>
      <c r="AN18" s="469"/>
      <c r="AO18" s="469"/>
      <c r="AP18" s="469"/>
      <c r="AQ18" s="469"/>
      <c r="AR18" s="469"/>
      <c r="AS18" s="469"/>
      <c r="AT18" s="469"/>
      <c r="AU18" s="469"/>
      <c r="AV18" s="469"/>
      <c r="AW18" s="469"/>
      <c r="AX18" s="469"/>
      <c r="AY18" s="469"/>
      <c r="AZ18" s="469"/>
      <c r="BA18" s="469"/>
      <c r="BB18" s="469"/>
      <c r="BC18" s="470"/>
      <c r="BD18" s="382"/>
      <c r="BE18" s="371"/>
      <c r="BF18" s="371"/>
      <c r="BG18" s="371"/>
      <c r="BH18" s="371"/>
      <c r="BI18" s="371"/>
      <c r="BJ18" s="366"/>
    </row>
    <row r="19" spans="1:62" ht="30" customHeight="1">
      <c r="A19" s="456"/>
      <c r="B19" s="457"/>
      <c r="C19" s="458"/>
      <c r="D19" s="379"/>
      <c r="E19" s="380"/>
      <c r="F19" s="380"/>
      <c r="G19" s="380"/>
      <c r="H19" s="380"/>
      <c r="I19" s="380"/>
      <c r="J19" s="380"/>
      <c r="K19" s="380"/>
      <c r="L19" s="380"/>
      <c r="M19" s="380"/>
      <c r="N19" s="380"/>
      <c r="O19" s="380"/>
      <c r="P19" s="380"/>
      <c r="Q19" s="381"/>
      <c r="R19" s="382"/>
      <c r="S19" s="371"/>
      <c r="T19" s="366"/>
      <c r="U19" s="382"/>
      <c r="V19" s="371"/>
      <c r="W19" s="366"/>
      <c r="X19" s="382"/>
      <c r="Y19" s="371"/>
      <c r="Z19" s="366"/>
      <c r="AA19" s="382"/>
      <c r="AB19" s="371"/>
      <c r="AC19" s="366"/>
      <c r="AD19" s="382"/>
      <c r="AE19" s="371"/>
      <c r="AF19" s="366"/>
      <c r="AG19" s="468"/>
      <c r="AH19" s="469"/>
      <c r="AI19" s="469"/>
      <c r="AJ19" s="469"/>
      <c r="AK19" s="469"/>
      <c r="AL19" s="469"/>
      <c r="AM19" s="469"/>
      <c r="AN19" s="469"/>
      <c r="AO19" s="469"/>
      <c r="AP19" s="469"/>
      <c r="AQ19" s="469"/>
      <c r="AR19" s="469"/>
      <c r="AS19" s="469"/>
      <c r="AT19" s="469"/>
      <c r="AU19" s="469"/>
      <c r="AV19" s="469"/>
      <c r="AW19" s="469"/>
      <c r="AX19" s="469"/>
      <c r="AY19" s="469"/>
      <c r="AZ19" s="469"/>
      <c r="BA19" s="469"/>
      <c r="BB19" s="469"/>
      <c r="BC19" s="470"/>
      <c r="BD19" s="382"/>
      <c r="BE19" s="371"/>
      <c r="BF19" s="371"/>
      <c r="BG19" s="371"/>
      <c r="BH19" s="371"/>
      <c r="BI19" s="371"/>
      <c r="BJ19" s="366"/>
    </row>
    <row r="20" spans="1:62" ht="30" customHeight="1">
      <c r="A20" s="456"/>
      <c r="B20" s="457"/>
      <c r="C20" s="458"/>
      <c r="D20" s="379"/>
      <c r="E20" s="380"/>
      <c r="F20" s="380"/>
      <c r="G20" s="380"/>
      <c r="H20" s="380"/>
      <c r="I20" s="380"/>
      <c r="J20" s="380"/>
      <c r="K20" s="380"/>
      <c r="L20" s="380"/>
      <c r="M20" s="380"/>
      <c r="N20" s="380"/>
      <c r="O20" s="380"/>
      <c r="P20" s="380"/>
      <c r="Q20" s="381"/>
      <c r="R20" s="382"/>
      <c r="S20" s="371"/>
      <c r="T20" s="366"/>
      <c r="U20" s="382"/>
      <c r="V20" s="371"/>
      <c r="W20" s="366"/>
      <c r="X20" s="382"/>
      <c r="Y20" s="371"/>
      <c r="Z20" s="366"/>
      <c r="AA20" s="382"/>
      <c r="AB20" s="371"/>
      <c r="AC20" s="366"/>
      <c r="AD20" s="382"/>
      <c r="AE20" s="371"/>
      <c r="AF20" s="366"/>
      <c r="AG20" s="468"/>
      <c r="AH20" s="469"/>
      <c r="AI20" s="469"/>
      <c r="AJ20" s="469"/>
      <c r="AK20" s="469"/>
      <c r="AL20" s="469"/>
      <c r="AM20" s="469"/>
      <c r="AN20" s="469"/>
      <c r="AO20" s="469"/>
      <c r="AP20" s="469"/>
      <c r="AQ20" s="469"/>
      <c r="AR20" s="469"/>
      <c r="AS20" s="469"/>
      <c r="AT20" s="469"/>
      <c r="AU20" s="469"/>
      <c r="AV20" s="469"/>
      <c r="AW20" s="469"/>
      <c r="AX20" s="469"/>
      <c r="AY20" s="469"/>
      <c r="AZ20" s="469"/>
      <c r="BA20" s="469"/>
      <c r="BB20" s="469"/>
      <c r="BC20" s="470"/>
      <c r="BD20" s="382"/>
      <c r="BE20" s="371"/>
      <c r="BF20" s="371"/>
      <c r="BG20" s="371"/>
      <c r="BH20" s="371"/>
      <c r="BI20" s="371"/>
      <c r="BJ20" s="366"/>
    </row>
    <row r="21" spans="1:62" ht="30" customHeight="1">
      <c r="A21" s="456"/>
      <c r="B21" s="457"/>
      <c r="C21" s="458"/>
      <c r="D21" s="379"/>
      <c r="E21" s="380"/>
      <c r="F21" s="380"/>
      <c r="G21" s="380"/>
      <c r="H21" s="380"/>
      <c r="I21" s="380"/>
      <c r="J21" s="380"/>
      <c r="K21" s="380"/>
      <c r="L21" s="380"/>
      <c r="M21" s="380"/>
      <c r="N21" s="380"/>
      <c r="O21" s="380"/>
      <c r="P21" s="380"/>
      <c r="Q21" s="381"/>
      <c r="R21" s="382"/>
      <c r="S21" s="371"/>
      <c r="T21" s="366"/>
      <c r="U21" s="382"/>
      <c r="V21" s="371"/>
      <c r="W21" s="366"/>
      <c r="X21" s="382"/>
      <c r="Y21" s="371"/>
      <c r="Z21" s="366"/>
      <c r="AA21" s="382"/>
      <c r="AB21" s="371"/>
      <c r="AC21" s="366"/>
      <c r="AD21" s="382"/>
      <c r="AE21" s="371"/>
      <c r="AF21" s="366"/>
      <c r="AG21" s="468"/>
      <c r="AH21" s="469"/>
      <c r="AI21" s="469"/>
      <c r="AJ21" s="469"/>
      <c r="AK21" s="469"/>
      <c r="AL21" s="469"/>
      <c r="AM21" s="469"/>
      <c r="AN21" s="469"/>
      <c r="AO21" s="469"/>
      <c r="AP21" s="469"/>
      <c r="AQ21" s="469"/>
      <c r="AR21" s="469"/>
      <c r="AS21" s="469"/>
      <c r="AT21" s="469"/>
      <c r="AU21" s="469"/>
      <c r="AV21" s="469"/>
      <c r="AW21" s="469"/>
      <c r="AX21" s="469"/>
      <c r="AY21" s="469"/>
      <c r="AZ21" s="469"/>
      <c r="BA21" s="469"/>
      <c r="BB21" s="469"/>
      <c r="BC21" s="470"/>
      <c r="BD21" s="382"/>
      <c r="BE21" s="371"/>
      <c r="BF21" s="371"/>
      <c r="BG21" s="371"/>
      <c r="BH21" s="371"/>
      <c r="BI21" s="371"/>
      <c r="BJ21" s="366"/>
    </row>
    <row r="22" spans="1:62" ht="30" customHeight="1">
      <c r="A22" s="456"/>
      <c r="B22" s="457"/>
      <c r="C22" s="458"/>
      <c r="D22" s="379"/>
      <c r="E22" s="380"/>
      <c r="F22" s="380"/>
      <c r="G22" s="380"/>
      <c r="H22" s="380"/>
      <c r="I22" s="380"/>
      <c r="J22" s="380"/>
      <c r="K22" s="380"/>
      <c r="L22" s="380"/>
      <c r="M22" s="380"/>
      <c r="N22" s="380"/>
      <c r="O22" s="380"/>
      <c r="P22" s="380"/>
      <c r="Q22" s="381"/>
      <c r="R22" s="382"/>
      <c r="S22" s="371"/>
      <c r="T22" s="366"/>
      <c r="U22" s="382"/>
      <c r="V22" s="371"/>
      <c r="W22" s="366"/>
      <c r="X22" s="382"/>
      <c r="Y22" s="371"/>
      <c r="Z22" s="366"/>
      <c r="AA22" s="382"/>
      <c r="AB22" s="371"/>
      <c r="AC22" s="366"/>
      <c r="AD22" s="382"/>
      <c r="AE22" s="371"/>
      <c r="AF22" s="366"/>
      <c r="AG22" s="468"/>
      <c r="AH22" s="469"/>
      <c r="AI22" s="469"/>
      <c r="AJ22" s="469"/>
      <c r="AK22" s="469"/>
      <c r="AL22" s="469"/>
      <c r="AM22" s="469"/>
      <c r="AN22" s="469"/>
      <c r="AO22" s="469"/>
      <c r="AP22" s="469"/>
      <c r="AQ22" s="469"/>
      <c r="AR22" s="469"/>
      <c r="AS22" s="469"/>
      <c r="AT22" s="469"/>
      <c r="AU22" s="469"/>
      <c r="AV22" s="469"/>
      <c r="AW22" s="469"/>
      <c r="AX22" s="469"/>
      <c r="AY22" s="469"/>
      <c r="AZ22" s="469"/>
      <c r="BA22" s="469"/>
      <c r="BB22" s="469"/>
      <c r="BC22" s="470"/>
      <c r="BD22" s="382"/>
      <c r="BE22" s="371"/>
      <c r="BF22" s="371"/>
      <c r="BG22" s="371"/>
      <c r="BH22" s="371"/>
      <c r="BI22" s="371"/>
      <c r="BJ22" s="366"/>
    </row>
    <row r="23" spans="1:62" ht="30" customHeight="1">
      <c r="A23" s="456"/>
      <c r="B23" s="457"/>
      <c r="C23" s="458"/>
      <c r="D23" s="379"/>
      <c r="E23" s="380"/>
      <c r="F23" s="380"/>
      <c r="G23" s="380"/>
      <c r="H23" s="380"/>
      <c r="I23" s="380"/>
      <c r="J23" s="380"/>
      <c r="K23" s="380"/>
      <c r="L23" s="380"/>
      <c r="M23" s="380"/>
      <c r="N23" s="380"/>
      <c r="O23" s="380"/>
      <c r="P23" s="380"/>
      <c r="Q23" s="381"/>
      <c r="R23" s="382"/>
      <c r="S23" s="371"/>
      <c r="T23" s="366"/>
      <c r="U23" s="382"/>
      <c r="V23" s="371"/>
      <c r="W23" s="366"/>
      <c r="X23" s="382"/>
      <c r="Y23" s="371"/>
      <c r="Z23" s="366"/>
      <c r="AA23" s="382"/>
      <c r="AB23" s="371"/>
      <c r="AC23" s="366"/>
      <c r="AD23" s="382"/>
      <c r="AE23" s="371"/>
      <c r="AF23" s="366"/>
      <c r="AG23" s="468"/>
      <c r="AH23" s="469"/>
      <c r="AI23" s="469"/>
      <c r="AJ23" s="469"/>
      <c r="AK23" s="469"/>
      <c r="AL23" s="469"/>
      <c r="AM23" s="469"/>
      <c r="AN23" s="469"/>
      <c r="AO23" s="469"/>
      <c r="AP23" s="469"/>
      <c r="AQ23" s="469"/>
      <c r="AR23" s="469"/>
      <c r="AS23" s="469"/>
      <c r="AT23" s="469"/>
      <c r="AU23" s="469"/>
      <c r="AV23" s="469"/>
      <c r="AW23" s="469"/>
      <c r="AX23" s="469"/>
      <c r="AY23" s="469"/>
      <c r="AZ23" s="469"/>
      <c r="BA23" s="469"/>
      <c r="BB23" s="469"/>
      <c r="BC23" s="470"/>
      <c r="BD23" s="382"/>
      <c r="BE23" s="371"/>
      <c r="BF23" s="371"/>
      <c r="BG23" s="371"/>
      <c r="BH23" s="371"/>
      <c r="BI23" s="371"/>
      <c r="BJ23" s="366"/>
    </row>
    <row r="24" spans="1:62" ht="30" customHeight="1">
      <c r="A24" s="456"/>
      <c r="B24" s="457"/>
      <c r="C24" s="458"/>
      <c r="D24" s="379"/>
      <c r="E24" s="380"/>
      <c r="F24" s="380"/>
      <c r="G24" s="380"/>
      <c r="H24" s="380"/>
      <c r="I24" s="380"/>
      <c r="J24" s="380"/>
      <c r="K24" s="380"/>
      <c r="L24" s="380"/>
      <c r="M24" s="380"/>
      <c r="N24" s="380"/>
      <c r="O24" s="380"/>
      <c r="P24" s="380"/>
      <c r="Q24" s="381"/>
      <c r="R24" s="382"/>
      <c r="S24" s="371"/>
      <c r="T24" s="366"/>
      <c r="U24" s="382"/>
      <c r="V24" s="371"/>
      <c r="W24" s="366"/>
      <c r="X24" s="382"/>
      <c r="Y24" s="371"/>
      <c r="Z24" s="366"/>
      <c r="AA24" s="382"/>
      <c r="AB24" s="371"/>
      <c r="AC24" s="366"/>
      <c r="AD24" s="382"/>
      <c r="AE24" s="371"/>
      <c r="AF24" s="366"/>
      <c r="AG24" s="468"/>
      <c r="AH24" s="469"/>
      <c r="AI24" s="469"/>
      <c r="AJ24" s="469"/>
      <c r="AK24" s="469"/>
      <c r="AL24" s="469"/>
      <c r="AM24" s="469"/>
      <c r="AN24" s="469"/>
      <c r="AO24" s="469"/>
      <c r="AP24" s="469"/>
      <c r="AQ24" s="469"/>
      <c r="AR24" s="469"/>
      <c r="AS24" s="469"/>
      <c r="AT24" s="469"/>
      <c r="AU24" s="469"/>
      <c r="AV24" s="469"/>
      <c r="AW24" s="469"/>
      <c r="AX24" s="469"/>
      <c r="AY24" s="469"/>
      <c r="AZ24" s="469"/>
      <c r="BA24" s="469"/>
      <c r="BB24" s="469"/>
      <c r="BC24" s="470"/>
      <c r="BD24" s="382"/>
      <c r="BE24" s="371"/>
      <c r="BF24" s="371"/>
      <c r="BG24" s="371"/>
      <c r="BH24" s="371"/>
      <c r="BI24" s="371"/>
      <c r="BJ24" s="366"/>
    </row>
    <row r="25" spans="1:62" ht="30" customHeight="1">
      <c r="A25" s="456"/>
      <c r="B25" s="457"/>
      <c r="C25" s="458"/>
      <c r="D25" s="379"/>
      <c r="E25" s="380"/>
      <c r="F25" s="380"/>
      <c r="G25" s="380"/>
      <c r="H25" s="380"/>
      <c r="I25" s="380"/>
      <c r="J25" s="380"/>
      <c r="K25" s="380"/>
      <c r="L25" s="380"/>
      <c r="M25" s="380"/>
      <c r="N25" s="380"/>
      <c r="O25" s="380"/>
      <c r="P25" s="380"/>
      <c r="Q25" s="381"/>
      <c r="R25" s="382"/>
      <c r="S25" s="371"/>
      <c r="T25" s="366"/>
      <c r="U25" s="382"/>
      <c r="V25" s="371"/>
      <c r="W25" s="366"/>
      <c r="X25" s="382"/>
      <c r="Y25" s="371"/>
      <c r="Z25" s="366"/>
      <c r="AA25" s="382"/>
      <c r="AB25" s="371"/>
      <c r="AC25" s="366"/>
      <c r="AD25" s="382"/>
      <c r="AE25" s="371"/>
      <c r="AF25" s="366"/>
      <c r="AG25" s="468"/>
      <c r="AH25" s="469"/>
      <c r="AI25" s="469"/>
      <c r="AJ25" s="469"/>
      <c r="AK25" s="469"/>
      <c r="AL25" s="469"/>
      <c r="AM25" s="469"/>
      <c r="AN25" s="469"/>
      <c r="AO25" s="469"/>
      <c r="AP25" s="469"/>
      <c r="AQ25" s="469"/>
      <c r="AR25" s="469"/>
      <c r="AS25" s="469"/>
      <c r="AT25" s="469"/>
      <c r="AU25" s="469"/>
      <c r="AV25" s="469"/>
      <c r="AW25" s="469"/>
      <c r="AX25" s="469"/>
      <c r="AY25" s="469"/>
      <c r="AZ25" s="469"/>
      <c r="BA25" s="469"/>
      <c r="BB25" s="469"/>
      <c r="BC25" s="470"/>
      <c r="BD25" s="382"/>
      <c r="BE25" s="371"/>
      <c r="BF25" s="371"/>
      <c r="BG25" s="371"/>
      <c r="BH25" s="371"/>
      <c r="BI25" s="371"/>
      <c r="BJ25" s="366"/>
    </row>
    <row r="26" spans="1:62" ht="30" customHeight="1">
      <c r="A26" s="456"/>
      <c r="B26" s="457"/>
      <c r="C26" s="458"/>
      <c r="D26" s="379"/>
      <c r="E26" s="380"/>
      <c r="F26" s="380"/>
      <c r="G26" s="380"/>
      <c r="H26" s="380"/>
      <c r="I26" s="380"/>
      <c r="J26" s="380"/>
      <c r="K26" s="380"/>
      <c r="L26" s="380"/>
      <c r="M26" s="380"/>
      <c r="N26" s="380"/>
      <c r="O26" s="380"/>
      <c r="P26" s="380"/>
      <c r="Q26" s="381"/>
      <c r="R26" s="382"/>
      <c r="S26" s="371"/>
      <c r="T26" s="366"/>
      <c r="U26" s="382"/>
      <c r="V26" s="371"/>
      <c r="W26" s="366"/>
      <c r="X26" s="382"/>
      <c r="Y26" s="371"/>
      <c r="Z26" s="366"/>
      <c r="AA26" s="382"/>
      <c r="AB26" s="371"/>
      <c r="AC26" s="366"/>
      <c r="AD26" s="382"/>
      <c r="AE26" s="371"/>
      <c r="AF26" s="366"/>
      <c r="AG26" s="468"/>
      <c r="AH26" s="469"/>
      <c r="AI26" s="469"/>
      <c r="AJ26" s="469"/>
      <c r="AK26" s="469"/>
      <c r="AL26" s="469"/>
      <c r="AM26" s="469"/>
      <c r="AN26" s="469"/>
      <c r="AO26" s="469"/>
      <c r="AP26" s="469"/>
      <c r="AQ26" s="469"/>
      <c r="AR26" s="469"/>
      <c r="AS26" s="469"/>
      <c r="AT26" s="469"/>
      <c r="AU26" s="469"/>
      <c r="AV26" s="469"/>
      <c r="AW26" s="469"/>
      <c r="AX26" s="469"/>
      <c r="AY26" s="469"/>
      <c r="AZ26" s="469"/>
      <c r="BA26" s="469"/>
      <c r="BB26" s="469"/>
      <c r="BC26" s="470"/>
      <c r="BD26" s="382"/>
      <c r="BE26" s="371"/>
      <c r="BF26" s="371"/>
      <c r="BG26" s="371"/>
      <c r="BH26" s="371"/>
      <c r="BI26" s="371"/>
      <c r="BJ26" s="366"/>
    </row>
    <row r="27" spans="1:62" ht="30" customHeight="1">
      <c r="A27" s="456"/>
      <c r="B27" s="457"/>
      <c r="C27" s="458"/>
      <c r="D27" s="379"/>
      <c r="E27" s="380"/>
      <c r="F27" s="380"/>
      <c r="G27" s="380"/>
      <c r="H27" s="380"/>
      <c r="I27" s="380"/>
      <c r="J27" s="380"/>
      <c r="K27" s="380"/>
      <c r="L27" s="380"/>
      <c r="M27" s="380"/>
      <c r="N27" s="380"/>
      <c r="O27" s="380"/>
      <c r="P27" s="380"/>
      <c r="Q27" s="381"/>
      <c r="R27" s="382"/>
      <c r="S27" s="371"/>
      <c r="T27" s="366"/>
      <c r="U27" s="382"/>
      <c r="V27" s="371"/>
      <c r="W27" s="366"/>
      <c r="X27" s="382"/>
      <c r="Y27" s="371"/>
      <c r="Z27" s="366"/>
      <c r="AA27" s="382"/>
      <c r="AB27" s="371"/>
      <c r="AC27" s="366"/>
      <c r="AD27" s="382"/>
      <c r="AE27" s="371"/>
      <c r="AF27" s="366"/>
      <c r="AG27" s="468"/>
      <c r="AH27" s="469"/>
      <c r="AI27" s="469"/>
      <c r="AJ27" s="469"/>
      <c r="AK27" s="469"/>
      <c r="AL27" s="469"/>
      <c r="AM27" s="469"/>
      <c r="AN27" s="469"/>
      <c r="AO27" s="469"/>
      <c r="AP27" s="469"/>
      <c r="AQ27" s="469"/>
      <c r="AR27" s="469"/>
      <c r="AS27" s="469"/>
      <c r="AT27" s="469"/>
      <c r="AU27" s="469"/>
      <c r="AV27" s="469"/>
      <c r="AW27" s="469"/>
      <c r="AX27" s="469"/>
      <c r="AY27" s="469"/>
      <c r="AZ27" s="469"/>
      <c r="BA27" s="469"/>
      <c r="BB27" s="469"/>
      <c r="BC27" s="470"/>
      <c r="BD27" s="382"/>
      <c r="BE27" s="371"/>
      <c r="BF27" s="371"/>
      <c r="BG27" s="371"/>
      <c r="BH27" s="371"/>
      <c r="BI27" s="371"/>
      <c r="BJ27" s="366"/>
    </row>
    <row r="28" spans="1:62" ht="30" customHeight="1">
      <c r="A28" s="456"/>
      <c r="B28" s="457"/>
      <c r="C28" s="458"/>
      <c r="D28" s="379"/>
      <c r="E28" s="380"/>
      <c r="F28" s="380"/>
      <c r="G28" s="380"/>
      <c r="H28" s="380"/>
      <c r="I28" s="380"/>
      <c r="J28" s="380"/>
      <c r="K28" s="380"/>
      <c r="L28" s="380"/>
      <c r="M28" s="380"/>
      <c r="N28" s="380"/>
      <c r="O28" s="380"/>
      <c r="P28" s="380"/>
      <c r="Q28" s="381"/>
      <c r="R28" s="382"/>
      <c r="S28" s="371"/>
      <c r="T28" s="366"/>
      <c r="U28" s="382"/>
      <c r="V28" s="371"/>
      <c r="W28" s="366"/>
      <c r="X28" s="382"/>
      <c r="Y28" s="371"/>
      <c r="Z28" s="366"/>
      <c r="AA28" s="382"/>
      <c r="AB28" s="371"/>
      <c r="AC28" s="366"/>
      <c r="AD28" s="382"/>
      <c r="AE28" s="371"/>
      <c r="AF28" s="366"/>
      <c r="AG28" s="468"/>
      <c r="AH28" s="469"/>
      <c r="AI28" s="469"/>
      <c r="AJ28" s="469"/>
      <c r="AK28" s="469"/>
      <c r="AL28" s="469"/>
      <c r="AM28" s="469"/>
      <c r="AN28" s="469"/>
      <c r="AO28" s="469"/>
      <c r="AP28" s="469"/>
      <c r="AQ28" s="469"/>
      <c r="AR28" s="469"/>
      <c r="AS28" s="469"/>
      <c r="AT28" s="469"/>
      <c r="AU28" s="469"/>
      <c r="AV28" s="469"/>
      <c r="AW28" s="469"/>
      <c r="AX28" s="469"/>
      <c r="AY28" s="469"/>
      <c r="AZ28" s="469"/>
      <c r="BA28" s="469"/>
      <c r="BB28" s="469"/>
      <c r="BC28" s="470"/>
      <c r="BD28" s="382"/>
      <c r="BE28" s="371"/>
      <c r="BF28" s="371"/>
      <c r="BG28" s="371"/>
      <c r="BH28" s="371"/>
      <c r="BI28" s="371"/>
      <c r="BJ28" s="366"/>
    </row>
    <row r="29" spans="1:62" ht="30" customHeight="1">
      <c r="A29" s="456"/>
      <c r="B29" s="457"/>
      <c r="C29" s="458"/>
      <c r="D29" s="379"/>
      <c r="E29" s="380"/>
      <c r="F29" s="380"/>
      <c r="G29" s="380"/>
      <c r="H29" s="380"/>
      <c r="I29" s="380"/>
      <c r="J29" s="380"/>
      <c r="K29" s="380"/>
      <c r="L29" s="380"/>
      <c r="M29" s="380"/>
      <c r="N29" s="380"/>
      <c r="O29" s="380"/>
      <c r="P29" s="380"/>
      <c r="Q29" s="381"/>
      <c r="R29" s="382"/>
      <c r="S29" s="371"/>
      <c r="T29" s="366"/>
      <c r="U29" s="382"/>
      <c r="V29" s="371"/>
      <c r="W29" s="366"/>
      <c r="X29" s="382"/>
      <c r="Y29" s="371"/>
      <c r="Z29" s="366"/>
      <c r="AA29" s="382"/>
      <c r="AB29" s="371"/>
      <c r="AC29" s="366"/>
      <c r="AD29" s="382"/>
      <c r="AE29" s="371"/>
      <c r="AF29" s="366"/>
      <c r="AG29" s="468"/>
      <c r="AH29" s="469"/>
      <c r="AI29" s="469"/>
      <c r="AJ29" s="469"/>
      <c r="AK29" s="469"/>
      <c r="AL29" s="469"/>
      <c r="AM29" s="469"/>
      <c r="AN29" s="469"/>
      <c r="AO29" s="469"/>
      <c r="AP29" s="469"/>
      <c r="AQ29" s="469"/>
      <c r="AR29" s="469"/>
      <c r="AS29" s="469"/>
      <c r="AT29" s="469"/>
      <c r="AU29" s="469"/>
      <c r="AV29" s="469"/>
      <c r="AW29" s="469"/>
      <c r="AX29" s="469"/>
      <c r="AY29" s="469"/>
      <c r="AZ29" s="469"/>
      <c r="BA29" s="469"/>
      <c r="BB29" s="469"/>
      <c r="BC29" s="470"/>
      <c r="BD29" s="382"/>
      <c r="BE29" s="371"/>
      <c r="BF29" s="371"/>
      <c r="BG29" s="371"/>
      <c r="BH29" s="371"/>
      <c r="BI29" s="371"/>
      <c r="BJ29" s="366"/>
    </row>
    <row r="30" spans="1:62" ht="30" customHeight="1">
      <c r="A30" s="456"/>
      <c r="B30" s="457"/>
      <c r="C30" s="458"/>
      <c r="D30" s="379"/>
      <c r="E30" s="380"/>
      <c r="F30" s="380"/>
      <c r="G30" s="380"/>
      <c r="H30" s="380"/>
      <c r="I30" s="380"/>
      <c r="J30" s="380"/>
      <c r="K30" s="380"/>
      <c r="L30" s="380"/>
      <c r="M30" s="380"/>
      <c r="N30" s="380"/>
      <c r="O30" s="380"/>
      <c r="P30" s="380"/>
      <c r="Q30" s="381"/>
      <c r="R30" s="382"/>
      <c r="S30" s="371"/>
      <c r="T30" s="366"/>
      <c r="U30" s="382"/>
      <c r="V30" s="371"/>
      <c r="W30" s="366"/>
      <c r="X30" s="382"/>
      <c r="Y30" s="371"/>
      <c r="Z30" s="366"/>
      <c r="AA30" s="382"/>
      <c r="AB30" s="371"/>
      <c r="AC30" s="366"/>
      <c r="AD30" s="382"/>
      <c r="AE30" s="371"/>
      <c r="AF30" s="366"/>
      <c r="AG30" s="468"/>
      <c r="AH30" s="469"/>
      <c r="AI30" s="469"/>
      <c r="AJ30" s="469"/>
      <c r="AK30" s="469"/>
      <c r="AL30" s="469"/>
      <c r="AM30" s="469"/>
      <c r="AN30" s="469"/>
      <c r="AO30" s="469"/>
      <c r="AP30" s="469"/>
      <c r="AQ30" s="469"/>
      <c r="AR30" s="469"/>
      <c r="AS30" s="469"/>
      <c r="AT30" s="469"/>
      <c r="AU30" s="469"/>
      <c r="AV30" s="469"/>
      <c r="AW30" s="469"/>
      <c r="AX30" s="469"/>
      <c r="AY30" s="469"/>
      <c r="AZ30" s="469"/>
      <c r="BA30" s="469"/>
      <c r="BB30" s="469"/>
      <c r="BC30" s="470"/>
      <c r="BD30" s="382"/>
      <c r="BE30" s="371"/>
      <c r="BF30" s="371"/>
      <c r="BG30" s="371"/>
      <c r="BH30" s="371"/>
      <c r="BI30" s="371"/>
      <c r="BJ30" s="366"/>
    </row>
    <row r="31" spans="1:62" ht="30" customHeight="1">
      <c r="A31" s="456"/>
      <c r="B31" s="457"/>
      <c r="C31" s="458"/>
      <c r="D31" s="379"/>
      <c r="E31" s="380"/>
      <c r="F31" s="380"/>
      <c r="G31" s="380"/>
      <c r="H31" s="380"/>
      <c r="I31" s="380"/>
      <c r="J31" s="380"/>
      <c r="K31" s="380"/>
      <c r="L31" s="380"/>
      <c r="M31" s="380"/>
      <c r="N31" s="380"/>
      <c r="O31" s="380"/>
      <c r="P31" s="380"/>
      <c r="Q31" s="381"/>
      <c r="R31" s="382"/>
      <c r="S31" s="371"/>
      <c r="T31" s="366"/>
      <c r="U31" s="382"/>
      <c r="V31" s="371"/>
      <c r="W31" s="366"/>
      <c r="X31" s="382"/>
      <c r="Y31" s="371"/>
      <c r="Z31" s="366"/>
      <c r="AA31" s="382"/>
      <c r="AB31" s="371"/>
      <c r="AC31" s="366"/>
      <c r="AD31" s="382"/>
      <c r="AE31" s="371"/>
      <c r="AF31" s="366"/>
      <c r="AG31" s="468"/>
      <c r="AH31" s="469"/>
      <c r="AI31" s="469"/>
      <c r="AJ31" s="469"/>
      <c r="AK31" s="469"/>
      <c r="AL31" s="469"/>
      <c r="AM31" s="469"/>
      <c r="AN31" s="469"/>
      <c r="AO31" s="469"/>
      <c r="AP31" s="469"/>
      <c r="AQ31" s="469"/>
      <c r="AR31" s="469"/>
      <c r="AS31" s="469"/>
      <c r="AT31" s="469"/>
      <c r="AU31" s="469"/>
      <c r="AV31" s="469"/>
      <c r="AW31" s="469"/>
      <c r="AX31" s="469"/>
      <c r="AY31" s="469"/>
      <c r="AZ31" s="469"/>
      <c r="BA31" s="469"/>
      <c r="BB31" s="469"/>
      <c r="BC31" s="470"/>
      <c r="BD31" s="382"/>
      <c r="BE31" s="371"/>
      <c r="BF31" s="371"/>
      <c r="BG31" s="371"/>
      <c r="BH31" s="371"/>
      <c r="BI31" s="371"/>
      <c r="BJ31" s="366"/>
    </row>
    <row r="32" spans="1:62" ht="30" customHeight="1">
      <c r="A32" s="456"/>
      <c r="B32" s="457"/>
      <c r="C32" s="458"/>
      <c r="D32" s="379"/>
      <c r="E32" s="380"/>
      <c r="F32" s="380"/>
      <c r="G32" s="380"/>
      <c r="H32" s="380"/>
      <c r="I32" s="380"/>
      <c r="J32" s="380"/>
      <c r="K32" s="380"/>
      <c r="L32" s="380"/>
      <c r="M32" s="380"/>
      <c r="N32" s="380"/>
      <c r="O32" s="380"/>
      <c r="P32" s="380"/>
      <c r="Q32" s="381"/>
      <c r="R32" s="382"/>
      <c r="S32" s="371"/>
      <c r="T32" s="366"/>
      <c r="U32" s="382"/>
      <c r="V32" s="371"/>
      <c r="W32" s="366"/>
      <c r="X32" s="382"/>
      <c r="Y32" s="371"/>
      <c r="Z32" s="366"/>
      <c r="AA32" s="382"/>
      <c r="AB32" s="371"/>
      <c r="AC32" s="366"/>
      <c r="AD32" s="382"/>
      <c r="AE32" s="371"/>
      <c r="AF32" s="366"/>
      <c r="AG32" s="468"/>
      <c r="AH32" s="469"/>
      <c r="AI32" s="469"/>
      <c r="AJ32" s="469"/>
      <c r="AK32" s="469"/>
      <c r="AL32" s="469"/>
      <c r="AM32" s="469"/>
      <c r="AN32" s="469"/>
      <c r="AO32" s="469"/>
      <c r="AP32" s="469"/>
      <c r="AQ32" s="469"/>
      <c r="AR32" s="469"/>
      <c r="AS32" s="469"/>
      <c r="AT32" s="469"/>
      <c r="AU32" s="469"/>
      <c r="AV32" s="469"/>
      <c r="AW32" s="469"/>
      <c r="AX32" s="469"/>
      <c r="AY32" s="469"/>
      <c r="AZ32" s="469"/>
      <c r="BA32" s="469"/>
      <c r="BB32" s="469"/>
      <c r="BC32" s="470"/>
      <c r="BD32" s="382"/>
      <c r="BE32" s="371"/>
      <c r="BF32" s="371"/>
      <c r="BG32" s="371"/>
      <c r="BH32" s="371"/>
      <c r="BI32" s="371"/>
      <c r="BJ32" s="366"/>
    </row>
    <row r="33" spans="1:62" ht="30" customHeight="1">
      <c r="A33" s="456"/>
      <c r="B33" s="457"/>
      <c r="C33" s="458"/>
      <c r="D33" s="379"/>
      <c r="E33" s="380"/>
      <c r="F33" s="380"/>
      <c r="G33" s="380"/>
      <c r="H33" s="380"/>
      <c r="I33" s="380"/>
      <c r="J33" s="380"/>
      <c r="K33" s="380"/>
      <c r="L33" s="380"/>
      <c r="M33" s="380"/>
      <c r="N33" s="380"/>
      <c r="O33" s="380"/>
      <c r="P33" s="380"/>
      <c r="Q33" s="381"/>
      <c r="R33" s="382"/>
      <c r="S33" s="371"/>
      <c r="T33" s="366"/>
      <c r="U33" s="382"/>
      <c r="V33" s="371"/>
      <c r="W33" s="366"/>
      <c r="X33" s="382"/>
      <c r="Y33" s="371"/>
      <c r="Z33" s="366"/>
      <c r="AA33" s="382"/>
      <c r="AB33" s="371"/>
      <c r="AC33" s="366"/>
      <c r="AD33" s="382"/>
      <c r="AE33" s="371"/>
      <c r="AF33" s="366"/>
      <c r="AG33" s="468"/>
      <c r="AH33" s="469"/>
      <c r="AI33" s="469"/>
      <c r="AJ33" s="469"/>
      <c r="AK33" s="469"/>
      <c r="AL33" s="469"/>
      <c r="AM33" s="469"/>
      <c r="AN33" s="469"/>
      <c r="AO33" s="469"/>
      <c r="AP33" s="469"/>
      <c r="AQ33" s="469"/>
      <c r="AR33" s="469"/>
      <c r="AS33" s="469"/>
      <c r="AT33" s="469"/>
      <c r="AU33" s="469"/>
      <c r="AV33" s="469"/>
      <c r="AW33" s="469"/>
      <c r="AX33" s="469"/>
      <c r="AY33" s="469"/>
      <c r="AZ33" s="469"/>
      <c r="BA33" s="469"/>
      <c r="BB33" s="469"/>
      <c r="BC33" s="470"/>
      <c r="BD33" s="382"/>
      <c r="BE33" s="371"/>
      <c r="BF33" s="371"/>
      <c r="BG33" s="371"/>
      <c r="BH33" s="371"/>
      <c r="BI33" s="371"/>
      <c r="BJ33" s="366"/>
    </row>
    <row r="34" spans="1:62" ht="30" customHeight="1">
      <c r="A34" s="456"/>
      <c r="B34" s="457"/>
      <c r="C34" s="458"/>
      <c r="D34" s="379"/>
      <c r="E34" s="380"/>
      <c r="F34" s="380"/>
      <c r="G34" s="380"/>
      <c r="H34" s="380"/>
      <c r="I34" s="380"/>
      <c r="J34" s="380"/>
      <c r="K34" s="380"/>
      <c r="L34" s="380"/>
      <c r="M34" s="380"/>
      <c r="N34" s="380"/>
      <c r="O34" s="380"/>
      <c r="P34" s="380"/>
      <c r="Q34" s="381"/>
      <c r="R34" s="382"/>
      <c r="S34" s="371"/>
      <c r="T34" s="366"/>
      <c r="U34" s="382"/>
      <c r="V34" s="371"/>
      <c r="W34" s="366"/>
      <c r="X34" s="382"/>
      <c r="Y34" s="371"/>
      <c r="Z34" s="366"/>
      <c r="AA34" s="382"/>
      <c r="AB34" s="371"/>
      <c r="AC34" s="366"/>
      <c r="AD34" s="382"/>
      <c r="AE34" s="371"/>
      <c r="AF34" s="366"/>
      <c r="AG34" s="468"/>
      <c r="AH34" s="469"/>
      <c r="AI34" s="469"/>
      <c r="AJ34" s="469"/>
      <c r="AK34" s="469"/>
      <c r="AL34" s="469"/>
      <c r="AM34" s="469"/>
      <c r="AN34" s="469"/>
      <c r="AO34" s="469"/>
      <c r="AP34" s="469"/>
      <c r="AQ34" s="469"/>
      <c r="AR34" s="469"/>
      <c r="AS34" s="469"/>
      <c r="AT34" s="469"/>
      <c r="AU34" s="469"/>
      <c r="AV34" s="469"/>
      <c r="AW34" s="469"/>
      <c r="AX34" s="469"/>
      <c r="AY34" s="469"/>
      <c r="AZ34" s="469"/>
      <c r="BA34" s="469"/>
      <c r="BB34" s="469"/>
      <c r="BC34" s="470"/>
      <c r="BD34" s="382"/>
      <c r="BE34" s="371"/>
      <c r="BF34" s="371"/>
      <c r="BG34" s="371"/>
      <c r="BH34" s="371"/>
      <c r="BI34" s="371"/>
      <c r="BJ34" s="366"/>
    </row>
    <row r="35" spans="1:62" ht="30" customHeight="1">
      <c r="A35" s="456"/>
      <c r="B35" s="457"/>
      <c r="C35" s="458"/>
      <c r="D35" s="379"/>
      <c r="E35" s="380"/>
      <c r="F35" s="380"/>
      <c r="G35" s="380"/>
      <c r="H35" s="380"/>
      <c r="I35" s="380"/>
      <c r="J35" s="380"/>
      <c r="K35" s="380"/>
      <c r="L35" s="380"/>
      <c r="M35" s="380"/>
      <c r="N35" s="380"/>
      <c r="O35" s="380"/>
      <c r="P35" s="380"/>
      <c r="Q35" s="381"/>
      <c r="R35" s="382"/>
      <c r="S35" s="371"/>
      <c r="T35" s="366"/>
      <c r="U35" s="382"/>
      <c r="V35" s="371"/>
      <c r="W35" s="366"/>
      <c r="X35" s="382"/>
      <c r="Y35" s="371"/>
      <c r="Z35" s="366"/>
      <c r="AA35" s="382"/>
      <c r="AB35" s="371"/>
      <c r="AC35" s="366"/>
      <c r="AD35" s="382"/>
      <c r="AE35" s="371"/>
      <c r="AF35" s="366"/>
      <c r="AG35" s="468"/>
      <c r="AH35" s="469"/>
      <c r="AI35" s="469"/>
      <c r="AJ35" s="469"/>
      <c r="AK35" s="469"/>
      <c r="AL35" s="469"/>
      <c r="AM35" s="469"/>
      <c r="AN35" s="469"/>
      <c r="AO35" s="469"/>
      <c r="AP35" s="469"/>
      <c r="AQ35" s="469"/>
      <c r="AR35" s="469"/>
      <c r="AS35" s="469"/>
      <c r="AT35" s="469"/>
      <c r="AU35" s="469"/>
      <c r="AV35" s="469"/>
      <c r="AW35" s="469"/>
      <c r="AX35" s="469"/>
      <c r="AY35" s="469"/>
      <c r="AZ35" s="469"/>
      <c r="BA35" s="469"/>
      <c r="BB35" s="469"/>
      <c r="BC35" s="470"/>
      <c r="BD35" s="382"/>
      <c r="BE35" s="371"/>
      <c r="BF35" s="371"/>
      <c r="BG35" s="371"/>
      <c r="BH35" s="371"/>
      <c r="BI35" s="371"/>
      <c r="BJ35" s="366"/>
    </row>
    <row r="36" spans="1:62" ht="30" customHeight="1">
      <c r="A36" s="456"/>
      <c r="B36" s="457"/>
      <c r="C36" s="458"/>
      <c r="D36" s="379"/>
      <c r="E36" s="380"/>
      <c r="F36" s="380"/>
      <c r="G36" s="380"/>
      <c r="H36" s="380"/>
      <c r="I36" s="380"/>
      <c r="J36" s="380"/>
      <c r="K36" s="380"/>
      <c r="L36" s="380"/>
      <c r="M36" s="380"/>
      <c r="N36" s="380"/>
      <c r="O36" s="380"/>
      <c r="P36" s="380"/>
      <c r="Q36" s="381"/>
      <c r="R36" s="382"/>
      <c r="S36" s="371"/>
      <c r="T36" s="366"/>
      <c r="U36" s="382"/>
      <c r="V36" s="371"/>
      <c r="W36" s="366"/>
      <c r="X36" s="382"/>
      <c r="Y36" s="371"/>
      <c r="Z36" s="366"/>
      <c r="AA36" s="382"/>
      <c r="AB36" s="371"/>
      <c r="AC36" s="366"/>
      <c r="AD36" s="382"/>
      <c r="AE36" s="371"/>
      <c r="AF36" s="366"/>
      <c r="AG36" s="468"/>
      <c r="AH36" s="469"/>
      <c r="AI36" s="469"/>
      <c r="AJ36" s="469"/>
      <c r="AK36" s="469"/>
      <c r="AL36" s="469"/>
      <c r="AM36" s="469"/>
      <c r="AN36" s="469"/>
      <c r="AO36" s="469"/>
      <c r="AP36" s="469"/>
      <c r="AQ36" s="469"/>
      <c r="AR36" s="469"/>
      <c r="AS36" s="469"/>
      <c r="AT36" s="469"/>
      <c r="AU36" s="469"/>
      <c r="AV36" s="469"/>
      <c r="AW36" s="469"/>
      <c r="AX36" s="469"/>
      <c r="AY36" s="469"/>
      <c r="AZ36" s="469"/>
      <c r="BA36" s="469"/>
      <c r="BB36" s="469"/>
      <c r="BC36" s="470"/>
      <c r="BD36" s="382"/>
      <c r="BE36" s="371"/>
      <c r="BF36" s="371"/>
      <c r="BG36" s="371"/>
      <c r="BH36" s="371"/>
      <c r="BI36" s="371"/>
      <c r="BJ36" s="366"/>
    </row>
    <row r="37" spans="1:62" ht="30" customHeight="1">
      <c r="A37" s="456"/>
      <c r="B37" s="457"/>
      <c r="C37" s="458"/>
      <c r="D37" s="379"/>
      <c r="E37" s="380"/>
      <c r="F37" s="380"/>
      <c r="G37" s="380"/>
      <c r="H37" s="380"/>
      <c r="I37" s="380"/>
      <c r="J37" s="380"/>
      <c r="K37" s="380"/>
      <c r="L37" s="380"/>
      <c r="M37" s="380"/>
      <c r="N37" s="380"/>
      <c r="O37" s="380"/>
      <c r="P37" s="380"/>
      <c r="Q37" s="381"/>
      <c r="R37" s="382"/>
      <c r="S37" s="371"/>
      <c r="T37" s="366"/>
      <c r="U37" s="382"/>
      <c r="V37" s="371"/>
      <c r="W37" s="366"/>
      <c r="X37" s="382"/>
      <c r="Y37" s="371"/>
      <c r="Z37" s="366"/>
      <c r="AA37" s="382"/>
      <c r="AB37" s="371"/>
      <c r="AC37" s="366"/>
      <c r="AD37" s="382"/>
      <c r="AE37" s="371"/>
      <c r="AF37" s="366"/>
      <c r="AG37" s="468"/>
      <c r="AH37" s="469"/>
      <c r="AI37" s="469"/>
      <c r="AJ37" s="469"/>
      <c r="AK37" s="469"/>
      <c r="AL37" s="469"/>
      <c r="AM37" s="469"/>
      <c r="AN37" s="469"/>
      <c r="AO37" s="469"/>
      <c r="AP37" s="469"/>
      <c r="AQ37" s="469"/>
      <c r="AR37" s="469"/>
      <c r="AS37" s="469"/>
      <c r="AT37" s="469"/>
      <c r="AU37" s="469"/>
      <c r="AV37" s="469"/>
      <c r="AW37" s="469"/>
      <c r="AX37" s="469"/>
      <c r="AY37" s="469"/>
      <c r="AZ37" s="469"/>
      <c r="BA37" s="469"/>
      <c r="BB37" s="469"/>
      <c r="BC37" s="470"/>
      <c r="BD37" s="382"/>
      <c r="BE37" s="371"/>
      <c r="BF37" s="371"/>
      <c r="BG37" s="371"/>
      <c r="BH37" s="371"/>
      <c r="BI37" s="371"/>
      <c r="BJ37" s="366"/>
    </row>
    <row r="38" spans="1:62" ht="30" customHeight="1">
      <c r="A38" s="456"/>
      <c r="B38" s="457"/>
      <c r="C38" s="458"/>
      <c r="D38" s="379"/>
      <c r="E38" s="380"/>
      <c r="F38" s="380"/>
      <c r="G38" s="380"/>
      <c r="H38" s="380"/>
      <c r="I38" s="380"/>
      <c r="J38" s="380"/>
      <c r="K38" s="380"/>
      <c r="L38" s="380"/>
      <c r="M38" s="380"/>
      <c r="N38" s="380"/>
      <c r="O38" s="380"/>
      <c r="P38" s="380"/>
      <c r="Q38" s="381"/>
      <c r="R38" s="382"/>
      <c r="S38" s="371"/>
      <c r="T38" s="366"/>
      <c r="U38" s="382"/>
      <c r="V38" s="371"/>
      <c r="W38" s="366"/>
      <c r="X38" s="382"/>
      <c r="Y38" s="371"/>
      <c r="Z38" s="366"/>
      <c r="AA38" s="382"/>
      <c r="AB38" s="371"/>
      <c r="AC38" s="366"/>
      <c r="AD38" s="382"/>
      <c r="AE38" s="371"/>
      <c r="AF38" s="366"/>
      <c r="AG38" s="468"/>
      <c r="AH38" s="469"/>
      <c r="AI38" s="469"/>
      <c r="AJ38" s="469"/>
      <c r="AK38" s="469"/>
      <c r="AL38" s="469"/>
      <c r="AM38" s="469"/>
      <c r="AN38" s="469"/>
      <c r="AO38" s="469"/>
      <c r="AP38" s="469"/>
      <c r="AQ38" s="469"/>
      <c r="AR38" s="469"/>
      <c r="AS38" s="469"/>
      <c r="AT38" s="469"/>
      <c r="AU38" s="469"/>
      <c r="AV38" s="469"/>
      <c r="AW38" s="469"/>
      <c r="AX38" s="469"/>
      <c r="AY38" s="469"/>
      <c r="AZ38" s="469"/>
      <c r="BA38" s="469"/>
      <c r="BB38" s="469"/>
      <c r="BC38" s="470"/>
      <c r="BD38" s="382"/>
      <c r="BE38" s="371"/>
      <c r="BF38" s="371"/>
      <c r="BG38" s="371"/>
      <c r="BH38" s="371"/>
      <c r="BI38" s="371"/>
      <c r="BJ38" s="366"/>
    </row>
    <row r="39" spans="1:62" ht="30" customHeight="1">
      <c r="A39" s="456"/>
      <c r="B39" s="457"/>
      <c r="C39" s="458"/>
      <c r="D39" s="379"/>
      <c r="E39" s="380"/>
      <c r="F39" s="380"/>
      <c r="G39" s="380"/>
      <c r="H39" s="380"/>
      <c r="I39" s="380"/>
      <c r="J39" s="380"/>
      <c r="K39" s="380"/>
      <c r="L39" s="380"/>
      <c r="M39" s="380"/>
      <c r="N39" s="380"/>
      <c r="O39" s="380"/>
      <c r="P39" s="380"/>
      <c r="Q39" s="381"/>
      <c r="R39" s="382"/>
      <c r="S39" s="371"/>
      <c r="T39" s="366"/>
      <c r="U39" s="382"/>
      <c r="V39" s="371"/>
      <c r="W39" s="366"/>
      <c r="X39" s="382"/>
      <c r="Y39" s="371"/>
      <c r="Z39" s="366"/>
      <c r="AA39" s="382"/>
      <c r="AB39" s="371"/>
      <c r="AC39" s="366"/>
      <c r="AD39" s="382"/>
      <c r="AE39" s="371"/>
      <c r="AF39" s="366"/>
      <c r="AG39" s="468"/>
      <c r="AH39" s="469"/>
      <c r="AI39" s="469"/>
      <c r="AJ39" s="469"/>
      <c r="AK39" s="469"/>
      <c r="AL39" s="469"/>
      <c r="AM39" s="469"/>
      <c r="AN39" s="469"/>
      <c r="AO39" s="469"/>
      <c r="AP39" s="469"/>
      <c r="AQ39" s="469"/>
      <c r="AR39" s="469"/>
      <c r="AS39" s="469"/>
      <c r="AT39" s="469"/>
      <c r="AU39" s="469"/>
      <c r="AV39" s="469"/>
      <c r="AW39" s="469"/>
      <c r="AX39" s="469"/>
      <c r="AY39" s="469"/>
      <c r="AZ39" s="469"/>
      <c r="BA39" s="469"/>
      <c r="BB39" s="469"/>
      <c r="BC39" s="470"/>
      <c r="BD39" s="382"/>
      <c r="BE39" s="371"/>
      <c r="BF39" s="371"/>
      <c r="BG39" s="371"/>
      <c r="BH39" s="371"/>
      <c r="BI39" s="371"/>
      <c r="BJ39" s="366"/>
    </row>
    <row r="40" spans="1:62" ht="30" customHeight="1">
      <c r="A40" s="456"/>
      <c r="B40" s="457"/>
      <c r="C40" s="458"/>
      <c r="D40" s="379"/>
      <c r="E40" s="380"/>
      <c r="F40" s="380"/>
      <c r="G40" s="380"/>
      <c r="H40" s="380"/>
      <c r="I40" s="380"/>
      <c r="J40" s="380"/>
      <c r="K40" s="380"/>
      <c r="L40" s="380"/>
      <c r="M40" s="380"/>
      <c r="N40" s="380"/>
      <c r="O40" s="380"/>
      <c r="P40" s="380"/>
      <c r="Q40" s="381"/>
      <c r="R40" s="382"/>
      <c r="S40" s="371"/>
      <c r="T40" s="366"/>
      <c r="U40" s="382"/>
      <c r="V40" s="371"/>
      <c r="W40" s="366"/>
      <c r="X40" s="382"/>
      <c r="Y40" s="371"/>
      <c r="Z40" s="366"/>
      <c r="AA40" s="382"/>
      <c r="AB40" s="371"/>
      <c r="AC40" s="366"/>
      <c r="AD40" s="382"/>
      <c r="AE40" s="371"/>
      <c r="AF40" s="366"/>
      <c r="AG40" s="468"/>
      <c r="AH40" s="469"/>
      <c r="AI40" s="469"/>
      <c r="AJ40" s="469"/>
      <c r="AK40" s="469"/>
      <c r="AL40" s="469"/>
      <c r="AM40" s="469"/>
      <c r="AN40" s="469"/>
      <c r="AO40" s="469"/>
      <c r="AP40" s="469"/>
      <c r="AQ40" s="469"/>
      <c r="AR40" s="469"/>
      <c r="AS40" s="469"/>
      <c r="AT40" s="469"/>
      <c r="AU40" s="469"/>
      <c r="AV40" s="469"/>
      <c r="AW40" s="469"/>
      <c r="AX40" s="469"/>
      <c r="AY40" s="469"/>
      <c r="AZ40" s="469"/>
      <c r="BA40" s="469"/>
      <c r="BB40" s="469"/>
      <c r="BC40" s="470"/>
      <c r="BD40" s="382"/>
      <c r="BE40" s="371"/>
      <c r="BF40" s="371"/>
      <c r="BG40" s="371"/>
      <c r="BH40" s="371"/>
      <c r="BI40" s="371"/>
      <c r="BJ40" s="366"/>
    </row>
    <row r="41" spans="1:62" ht="30" customHeight="1">
      <c r="A41" s="456"/>
      <c r="B41" s="457"/>
      <c r="C41" s="458"/>
      <c r="D41" s="379"/>
      <c r="E41" s="380"/>
      <c r="F41" s="380"/>
      <c r="G41" s="380"/>
      <c r="H41" s="380"/>
      <c r="I41" s="380"/>
      <c r="J41" s="380"/>
      <c r="K41" s="380"/>
      <c r="L41" s="380"/>
      <c r="M41" s="380"/>
      <c r="N41" s="380"/>
      <c r="O41" s="380"/>
      <c r="P41" s="380"/>
      <c r="Q41" s="381"/>
      <c r="R41" s="382"/>
      <c r="S41" s="371"/>
      <c r="T41" s="366"/>
      <c r="U41" s="382"/>
      <c r="V41" s="371"/>
      <c r="W41" s="366"/>
      <c r="X41" s="382"/>
      <c r="Y41" s="371"/>
      <c r="Z41" s="366"/>
      <c r="AA41" s="382"/>
      <c r="AB41" s="371"/>
      <c r="AC41" s="366"/>
      <c r="AD41" s="382"/>
      <c r="AE41" s="371"/>
      <c r="AF41" s="366"/>
      <c r="AG41" s="468"/>
      <c r="AH41" s="469"/>
      <c r="AI41" s="469"/>
      <c r="AJ41" s="469"/>
      <c r="AK41" s="469"/>
      <c r="AL41" s="469"/>
      <c r="AM41" s="469"/>
      <c r="AN41" s="469"/>
      <c r="AO41" s="469"/>
      <c r="AP41" s="469"/>
      <c r="AQ41" s="469"/>
      <c r="AR41" s="469"/>
      <c r="AS41" s="469"/>
      <c r="AT41" s="469"/>
      <c r="AU41" s="469"/>
      <c r="AV41" s="469"/>
      <c r="AW41" s="469"/>
      <c r="AX41" s="469"/>
      <c r="AY41" s="469"/>
      <c r="AZ41" s="469"/>
      <c r="BA41" s="469"/>
      <c r="BB41" s="469"/>
      <c r="BC41" s="470"/>
      <c r="BD41" s="382"/>
      <c r="BE41" s="371"/>
      <c r="BF41" s="371"/>
      <c r="BG41" s="371"/>
      <c r="BH41" s="371"/>
      <c r="BI41" s="371"/>
      <c r="BJ41" s="366"/>
    </row>
    <row r="42" spans="1:62" ht="30" customHeight="1">
      <c r="A42" s="471"/>
      <c r="B42" s="472"/>
      <c r="C42" s="473"/>
      <c r="D42" s="437"/>
      <c r="E42" s="438"/>
      <c r="F42" s="438"/>
      <c r="G42" s="438"/>
      <c r="H42" s="438"/>
      <c r="I42" s="438"/>
      <c r="J42" s="438"/>
      <c r="K42" s="438"/>
      <c r="L42" s="438"/>
      <c r="M42" s="438"/>
      <c r="N42" s="438"/>
      <c r="O42" s="438"/>
      <c r="P42" s="438"/>
      <c r="Q42" s="439"/>
      <c r="R42" s="414"/>
      <c r="S42" s="415"/>
      <c r="T42" s="416"/>
      <c r="U42" s="414"/>
      <c r="V42" s="415"/>
      <c r="W42" s="416"/>
      <c r="X42" s="414"/>
      <c r="Y42" s="415"/>
      <c r="Z42" s="416"/>
      <c r="AA42" s="414"/>
      <c r="AB42" s="415"/>
      <c r="AC42" s="416"/>
      <c r="AD42" s="414"/>
      <c r="AE42" s="415"/>
      <c r="AF42" s="416"/>
      <c r="AG42" s="437"/>
      <c r="AH42" s="438"/>
      <c r="AI42" s="438"/>
      <c r="AJ42" s="438"/>
      <c r="AK42" s="438"/>
      <c r="AL42" s="438"/>
      <c r="AM42" s="438"/>
      <c r="AN42" s="438"/>
      <c r="AO42" s="438"/>
      <c r="AP42" s="438"/>
      <c r="AQ42" s="438"/>
      <c r="AR42" s="438"/>
      <c r="AS42" s="438"/>
      <c r="AT42" s="438"/>
      <c r="AU42" s="438"/>
      <c r="AV42" s="438"/>
      <c r="AW42" s="438"/>
      <c r="AX42" s="438"/>
      <c r="AY42" s="438"/>
      <c r="AZ42" s="438"/>
      <c r="BA42" s="438"/>
      <c r="BB42" s="438"/>
      <c r="BC42" s="439"/>
      <c r="BD42" s="414"/>
      <c r="BE42" s="415"/>
      <c r="BF42" s="415"/>
      <c r="BG42" s="415"/>
      <c r="BH42" s="415"/>
      <c r="BI42" s="415"/>
      <c r="BJ42" s="416"/>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3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BD17:BJ17"/>
    <mergeCell ref="A18:C18"/>
    <mergeCell ref="D18:Q18"/>
    <mergeCell ref="R18:T18"/>
    <mergeCell ref="U18:W18"/>
    <mergeCell ref="X18:Z18"/>
    <mergeCell ref="A16:C16"/>
    <mergeCell ref="D16:Q16"/>
    <mergeCell ref="R16:T16"/>
    <mergeCell ref="U16:W16"/>
    <mergeCell ref="X16:Z16"/>
    <mergeCell ref="AA16:AC16"/>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D35:AF35"/>
    <mergeCell ref="AG35:BC35"/>
    <mergeCell ref="BD35:BJ35"/>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G36:BC36"/>
    <mergeCell ref="BD36:BJ3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D39:AF39"/>
    <mergeCell ref="AG39:BC39"/>
    <mergeCell ref="BD39:BJ39"/>
    <mergeCell ref="A39:C39"/>
    <mergeCell ref="D39:Q39"/>
    <mergeCell ref="R39:T39"/>
    <mergeCell ref="U39:W39"/>
    <mergeCell ref="X39:Z39"/>
    <mergeCell ref="AA39:AC39"/>
    <mergeCell ref="A40:C40"/>
    <mergeCell ref="D40:Q40"/>
    <mergeCell ref="R40:T40"/>
    <mergeCell ref="U40:W40"/>
    <mergeCell ref="X40:Z40"/>
    <mergeCell ref="AA40:AC40"/>
    <mergeCell ref="AD40:AF40"/>
    <mergeCell ref="AG40:BC40"/>
    <mergeCell ref="BD40:BJ40"/>
    <mergeCell ref="A41:C41"/>
    <mergeCell ref="D41:Q41"/>
    <mergeCell ref="R41:T41"/>
    <mergeCell ref="U41:W41"/>
    <mergeCell ref="X41:Z41"/>
    <mergeCell ref="AA41:AC41"/>
    <mergeCell ref="AD41:AF41"/>
    <mergeCell ref="AG41:BC41"/>
    <mergeCell ref="BD41:BJ41"/>
    <mergeCell ref="AD42:AF42"/>
    <mergeCell ref="AG42:BC42"/>
    <mergeCell ref="BD42:BJ42"/>
    <mergeCell ref="A42:C42"/>
    <mergeCell ref="D42:Q42"/>
    <mergeCell ref="R42:T42"/>
    <mergeCell ref="U42:W42"/>
    <mergeCell ref="X42:Z42"/>
    <mergeCell ref="AA42:AC42"/>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C1D0-D821-4431-8467-C284D4E24C84}">
  <sheetPr codeName="Sheet14"/>
  <dimension ref="A1:BK54"/>
  <sheetViews>
    <sheetView view="pageBreakPreview" zoomScaleNormal="100" zoomScaleSheetLayoutView="100" workbookViewId="0"/>
  </sheetViews>
  <sheetFormatPr defaultColWidth="1.90625" defaultRowHeight="14"/>
  <cols>
    <col min="1" max="74" width="2.08984375" style="22" customWidth="1"/>
    <col min="75" max="16384" width="1.9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55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56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7" t="s">
        <v>34</v>
      </c>
      <c r="B8" s="258"/>
      <c r="C8" s="259"/>
      <c r="D8" s="257" t="s">
        <v>57</v>
      </c>
      <c r="E8" s="258"/>
      <c r="F8" s="258"/>
      <c r="G8" s="258"/>
      <c r="H8" s="258"/>
      <c r="I8" s="258"/>
      <c r="J8" s="258"/>
      <c r="K8" s="258"/>
      <c r="L8" s="258"/>
      <c r="M8" s="258"/>
      <c r="N8" s="258"/>
      <c r="O8" s="258"/>
      <c r="P8" s="259"/>
      <c r="Q8" s="257" t="s">
        <v>58</v>
      </c>
      <c r="R8" s="258"/>
      <c r="S8" s="258"/>
      <c r="T8" s="258"/>
      <c r="U8" s="258"/>
      <c r="V8" s="258"/>
      <c r="W8" s="258"/>
      <c r="X8" s="258"/>
      <c r="Y8" s="258"/>
      <c r="Z8" s="258"/>
      <c r="AA8" s="258"/>
      <c r="AB8" s="258"/>
      <c r="AC8" s="258"/>
      <c r="AD8" s="258"/>
      <c r="AE8" s="258"/>
      <c r="AF8" s="258"/>
      <c r="AG8" s="258"/>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row>
    <row r="9" spans="1:63" ht="30" customHeight="1">
      <c r="A9" s="476"/>
      <c r="B9" s="457"/>
      <c r="C9" s="458"/>
      <c r="D9" s="477"/>
      <c r="E9" s="478"/>
      <c r="F9" s="478"/>
      <c r="G9" s="478"/>
      <c r="H9" s="478"/>
      <c r="I9" s="478"/>
      <c r="J9" s="478"/>
      <c r="K9" s="478"/>
      <c r="L9" s="478"/>
      <c r="M9" s="478"/>
      <c r="N9" s="478"/>
      <c r="O9" s="478"/>
      <c r="P9" s="479"/>
      <c r="Q9" s="480" t="s">
        <v>143</v>
      </c>
      <c r="R9" s="481"/>
      <c r="S9" s="481"/>
      <c r="T9" s="481"/>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1"/>
      <c r="AZ9" s="481"/>
      <c r="BA9" s="481"/>
      <c r="BB9" s="481"/>
      <c r="BC9" s="482"/>
      <c r="BD9" s="382"/>
      <c r="BE9" s="371"/>
      <c r="BF9" s="371"/>
      <c r="BG9" s="371"/>
      <c r="BH9" s="371"/>
      <c r="BI9" s="371"/>
      <c r="BJ9" s="366"/>
    </row>
    <row r="10" spans="1:63" ht="30" customHeight="1">
      <c r="A10" s="476"/>
      <c r="B10" s="457"/>
      <c r="C10" s="458"/>
      <c r="D10" s="448"/>
      <c r="E10" s="449"/>
      <c r="F10" s="449"/>
      <c r="G10" s="449"/>
      <c r="H10" s="449"/>
      <c r="I10" s="449"/>
      <c r="J10" s="449"/>
      <c r="K10" s="449"/>
      <c r="L10" s="449"/>
      <c r="M10" s="449"/>
      <c r="N10" s="449"/>
      <c r="O10" s="449"/>
      <c r="P10" s="450"/>
      <c r="Q10" s="480"/>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481"/>
      <c r="BA10" s="481"/>
      <c r="BB10" s="481"/>
      <c r="BC10" s="482"/>
      <c r="BD10" s="382"/>
      <c r="BE10" s="371"/>
      <c r="BF10" s="371"/>
      <c r="BG10" s="371"/>
      <c r="BH10" s="371"/>
      <c r="BI10" s="371"/>
      <c r="BJ10" s="366"/>
    </row>
    <row r="11" spans="1:63" ht="30" customHeight="1">
      <c r="A11" s="476"/>
      <c r="B11" s="457"/>
      <c r="C11" s="458"/>
      <c r="D11" s="448"/>
      <c r="E11" s="449"/>
      <c r="F11" s="449"/>
      <c r="G11" s="449"/>
      <c r="H11" s="449"/>
      <c r="I11" s="449"/>
      <c r="J11" s="449"/>
      <c r="K11" s="449"/>
      <c r="L11" s="449"/>
      <c r="M11" s="449"/>
      <c r="N11" s="449"/>
      <c r="O11" s="449"/>
      <c r="P11" s="450"/>
      <c r="Q11" s="480"/>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c r="BB11" s="481"/>
      <c r="BC11" s="482"/>
      <c r="BD11" s="382"/>
      <c r="BE11" s="371"/>
      <c r="BF11" s="371"/>
      <c r="BG11" s="371"/>
      <c r="BH11" s="371"/>
      <c r="BI11" s="371"/>
      <c r="BJ11" s="366"/>
    </row>
    <row r="12" spans="1:63" ht="30" customHeight="1">
      <c r="A12" s="476"/>
      <c r="B12" s="457"/>
      <c r="C12" s="458"/>
      <c r="D12" s="379"/>
      <c r="E12" s="380"/>
      <c r="F12" s="380"/>
      <c r="G12" s="380"/>
      <c r="H12" s="380"/>
      <c r="I12" s="380"/>
      <c r="J12" s="380"/>
      <c r="K12" s="380"/>
      <c r="L12" s="380"/>
      <c r="M12" s="380"/>
      <c r="N12" s="380"/>
      <c r="O12" s="380"/>
      <c r="P12" s="381"/>
      <c r="Q12" s="390"/>
      <c r="R12" s="524"/>
      <c r="S12" s="524"/>
      <c r="T12" s="524"/>
      <c r="U12" s="524"/>
      <c r="V12" s="524"/>
      <c r="W12" s="524"/>
      <c r="X12" s="524"/>
      <c r="Y12" s="524"/>
      <c r="Z12" s="524"/>
      <c r="AA12" s="524"/>
      <c r="AB12" s="524"/>
      <c r="AC12" s="524"/>
      <c r="AD12" s="524"/>
      <c r="AE12" s="524"/>
      <c r="AF12" s="524"/>
      <c r="AG12" s="524"/>
      <c r="AH12" s="524"/>
      <c r="AI12" s="524"/>
      <c r="AJ12" s="524"/>
      <c r="AK12" s="524"/>
      <c r="AL12" s="524"/>
      <c r="AM12" s="524"/>
      <c r="AN12" s="524"/>
      <c r="AO12" s="524"/>
      <c r="AP12" s="524"/>
      <c r="AQ12" s="524"/>
      <c r="AR12" s="524"/>
      <c r="AS12" s="524"/>
      <c r="AT12" s="524"/>
      <c r="AU12" s="524"/>
      <c r="AV12" s="524"/>
      <c r="AW12" s="524"/>
      <c r="AX12" s="524"/>
      <c r="AY12" s="524"/>
      <c r="AZ12" s="524"/>
      <c r="BA12" s="524"/>
      <c r="BB12" s="524"/>
      <c r="BC12" s="525"/>
      <c r="BD12" s="382"/>
      <c r="BE12" s="371"/>
      <c r="BF12" s="371"/>
      <c r="BG12" s="371"/>
      <c r="BH12" s="371"/>
      <c r="BI12" s="371"/>
      <c r="BJ12" s="366"/>
    </row>
    <row r="13" spans="1:63" ht="30" customHeight="1">
      <c r="A13" s="476"/>
      <c r="B13" s="457"/>
      <c r="C13" s="458"/>
      <c r="D13" s="379"/>
      <c r="E13" s="380"/>
      <c r="F13" s="380"/>
      <c r="G13" s="380"/>
      <c r="H13" s="380"/>
      <c r="I13" s="380"/>
      <c r="J13" s="380"/>
      <c r="K13" s="380"/>
      <c r="L13" s="380"/>
      <c r="M13" s="380"/>
      <c r="N13" s="380"/>
      <c r="O13" s="380"/>
      <c r="P13" s="381"/>
      <c r="Q13" s="390"/>
      <c r="R13" s="524"/>
      <c r="S13" s="524"/>
      <c r="T13" s="524"/>
      <c r="U13" s="524"/>
      <c r="V13" s="524"/>
      <c r="W13" s="524"/>
      <c r="X13" s="524"/>
      <c r="Y13" s="524"/>
      <c r="Z13" s="524"/>
      <c r="AA13" s="524"/>
      <c r="AB13" s="524"/>
      <c r="AC13" s="524"/>
      <c r="AD13" s="524"/>
      <c r="AE13" s="524"/>
      <c r="AF13" s="524"/>
      <c r="AG13" s="524"/>
      <c r="AH13" s="524"/>
      <c r="AI13" s="524"/>
      <c r="AJ13" s="524"/>
      <c r="AK13" s="524"/>
      <c r="AL13" s="524"/>
      <c r="AM13" s="524"/>
      <c r="AN13" s="524"/>
      <c r="AO13" s="524"/>
      <c r="AP13" s="524"/>
      <c r="AQ13" s="524"/>
      <c r="AR13" s="524"/>
      <c r="AS13" s="524"/>
      <c r="AT13" s="524"/>
      <c r="AU13" s="524"/>
      <c r="AV13" s="524"/>
      <c r="AW13" s="524"/>
      <c r="AX13" s="524"/>
      <c r="AY13" s="524"/>
      <c r="AZ13" s="524"/>
      <c r="BA13" s="524"/>
      <c r="BB13" s="524"/>
      <c r="BC13" s="525"/>
      <c r="BD13" s="382"/>
      <c r="BE13" s="371"/>
      <c r="BF13" s="371"/>
      <c r="BG13" s="371"/>
      <c r="BH13" s="371"/>
      <c r="BI13" s="371"/>
      <c r="BJ13" s="366"/>
    </row>
    <row r="14" spans="1:63" ht="30" customHeight="1">
      <c r="A14" s="476"/>
      <c r="B14" s="457"/>
      <c r="C14" s="458"/>
      <c r="D14" s="379"/>
      <c r="E14" s="380"/>
      <c r="F14" s="380"/>
      <c r="G14" s="380"/>
      <c r="H14" s="380"/>
      <c r="I14" s="380"/>
      <c r="J14" s="380"/>
      <c r="K14" s="380"/>
      <c r="L14" s="380"/>
      <c r="M14" s="380"/>
      <c r="N14" s="380"/>
      <c r="O14" s="380"/>
      <c r="P14" s="381"/>
      <c r="Q14" s="390"/>
      <c r="R14" s="524"/>
      <c r="S14" s="524"/>
      <c r="T14" s="524"/>
      <c r="U14" s="524"/>
      <c r="V14" s="524"/>
      <c r="W14" s="524"/>
      <c r="X14" s="524"/>
      <c r="Y14" s="524"/>
      <c r="Z14" s="524"/>
      <c r="AA14" s="524"/>
      <c r="AB14" s="524"/>
      <c r="AC14" s="524"/>
      <c r="AD14" s="524"/>
      <c r="AE14" s="524"/>
      <c r="AF14" s="524"/>
      <c r="AG14" s="524"/>
      <c r="AH14" s="524"/>
      <c r="AI14" s="524"/>
      <c r="AJ14" s="524"/>
      <c r="AK14" s="524"/>
      <c r="AL14" s="524"/>
      <c r="AM14" s="524"/>
      <c r="AN14" s="524"/>
      <c r="AO14" s="524"/>
      <c r="AP14" s="524"/>
      <c r="AQ14" s="524"/>
      <c r="AR14" s="524"/>
      <c r="AS14" s="524"/>
      <c r="AT14" s="524"/>
      <c r="AU14" s="524"/>
      <c r="AV14" s="524"/>
      <c r="AW14" s="524"/>
      <c r="AX14" s="524"/>
      <c r="AY14" s="524"/>
      <c r="AZ14" s="524"/>
      <c r="BA14" s="524"/>
      <c r="BB14" s="524"/>
      <c r="BC14" s="525"/>
      <c r="BD14" s="382"/>
      <c r="BE14" s="371"/>
      <c r="BF14" s="371"/>
      <c r="BG14" s="371"/>
      <c r="BH14" s="371"/>
      <c r="BI14" s="371"/>
      <c r="BJ14" s="366"/>
    </row>
    <row r="15" spans="1:63" ht="30" customHeight="1">
      <c r="A15" s="476"/>
      <c r="B15" s="457"/>
      <c r="C15" s="458"/>
      <c r="D15" s="379"/>
      <c r="E15" s="380"/>
      <c r="F15" s="380"/>
      <c r="G15" s="380"/>
      <c r="H15" s="380"/>
      <c r="I15" s="380"/>
      <c r="J15" s="380"/>
      <c r="K15" s="380"/>
      <c r="L15" s="380"/>
      <c r="M15" s="380"/>
      <c r="N15" s="380"/>
      <c r="O15" s="380"/>
      <c r="P15" s="381"/>
      <c r="Q15" s="390"/>
      <c r="R15" s="524"/>
      <c r="S15" s="524"/>
      <c r="T15" s="524"/>
      <c r="U15" s="524"/>
      <c r="V15" s="524"/>
      <c r="W15" s="524"/>
      <c r="X15" s="524"/>
      <c r="Y15" s="524"/>
      <c r="Z15" s="524"/>
      <c r="AA15" s="524"/>
      <c r="AB15" s="524"/>
      <c r="AC15" s="524"/>
      <c r="AD15" s="524"/>
      <c r="AE15" s="524"/>
      <c r="AF15" s="524"/>
      <c r="AG15" s="524"/>
      <c r="AH15" s="524"/>
      <c r="AI15" s="524"/>
      <c r="AJ15" s="524"/>
      <c r="AK15" s="524"/>
      <c r="AL15" s="524"/>
      <c r="AM15" s="524"/>
      <c r="AN15" s="524"/>
      <c r="AO15" s="524"/>
      <c r="AP15" s="524"/>
      <c r="AQ15" s="524"/>
      <c r="AR15" s="524"/>
      <c r="AS15" s="524"/>
      <c r="AT15" s="524"/>
      <c r="AU15" s="524"/>
      <c r="AV15" s="524"/>
      <c r="AW15" s="524"/>
      <c r="AX15" s="524"/>
      <c r="AY15" s="524"/>
      <c r="AZ15" s="524"/>
      <c r="BA15" s="524"/>
      <c r="BB15" s="524"/>
      <c r="BC15" s="525"/>
      <c r="BD15" s="382"/>
      <c r="BE15" s="371"/>
      <c r="BF15" s="371"/>
      <c r="BG15" s="371"/>
      <c r="BH15" s="371"/>
      <c r="BI15" s="371"/>
      <c r="BJ15" s="366"/>
    </row>
    <row r="16" spans="1:63" ht="30" customHeight="1">
      <c r="A16" s="476"/>
      <c r="B16" s="457"/>
      <c r="C16" s="458"/>
      <c r="D16" s="379"/>
      <c r="E16" s="380"/>
      <c r="F16" s="380"/>
      <c r="G16" s="380"/>
      <c r="H16" s="380"/>
      <c r="I16" s="380"/>
      <c r="J16" s="380"/>
      <c r="K16" s="380"/>
      <c r="L16" s="380"/>
      <c r="M16" s="380"/>
      <c r="N16" s="380"/>
      <c r="O16" s="380"/>
      <c r="P16" s="381"/>
      <c r="Q16" s="390"/>
      <c r="R16" s="524"/>
      <c r="S16" s="524"/>
      <c r="T16" s="524"/>
      <c r="U16" s="524"/>
      <c r="V16" s="524"/>
      <c r="W16" s="524"/>
      <c r="X16" s="524"/>
      <c r="Y16" s="524"/>
      <c r="Z16" s="524"/>
      <c r="AA16" s="524"/>
      <c r="AB16" s="524"/>
      <c r="AC16" s="524"/>
      <c r="AD16" s="524"/>
      <c r="AE16" s="524"/>
      <c r="AF16" s="524"/>
      <c r="AG16" s="524"/>
      <c r="AH16" s="524"/>
      <c r="AI16" s="524"/>
      <c r="AJ16" s="524"/>
      <c r="AK16" s="524"/>
      <c r="AL16" s="524"/>
      <c r="AM16" s="524"/>
      <c r="AN16" s="524"/>
      <c r="AO16" s="524"/>
      <c r="AP16" s="524"/>
      <c r="AQ16" s="524"/>
      <c r="AR16" s="524"/>
      <c r="AS16" s="524"/>
      <c r="AT16" s="524"/>
      <c r="AU16" s="524"/>
      <c r="AV16" s="524"/>
      <c r="AW16" s="524"/>
      <c r="AX16" s="524"/>
      <c r="AY16" s="524"/>
      <c r="AZ16" s="524"/>
      <c r="BA16" s="524"/>
      <c r="BB16" s="524"/>
      <c r="BC16" s="525"/>
      <c r="BD16" s="382"/>
      <c r="BE16" s="371"/>
      <c r="BF16" s="371"/>
      <c r="BG16" s="371"/>
      <c r="BH16" s="371"/>
      <c r="BI16" s="371"/>
      <c r="BJ16" s="366"/>
    </row>
    <row r="17" spans="1:62" ht="30" customHeight="1">
      <c r="A17" s="476"/>
      <c r="B17" s="457"/>
      <c r="C17" s="458"/>
      <c r="D17" s="379"/>
      <c r="E17" s="380"/>
      <c r="F17" s="380"/>
      <c r="G17" s="380"/>
      <c r="H17" s="380"/>
      <c r="I17" s="380"/>
      <c r="J17" s="380"/>
      <c r="K17" s="380"/>
      <c r="L17" s="380"/>
      <c r="M17" s="380"/>
      <c r="N17" s="380"/>
      <c r="O17" s="380"/>
      <c r="P17" s="381"/>
      <c r="Q17" s="390"/>
      <c r="R17" s="524"/>
      <c r="S17" s="524"/>
      <c r="T17" s="524"/>
      <c r="U17" s="524"/>
      <c r="V17" s="524"/>
      <c r="W17" s="524"/>
      <c r="X17" s="524"/>
      <c r="Y17" s="524"/>
      <c r="Z17" s="524"/>
      <c r="AA17" s="524"/>
      <c r="AB17" s="524"/>
      <c r="AC17" s="524"/>
      <c r="AD17" s="524"/>
      <c r="AE17" s="524"/>
      <c r="AF17" s="524"/>
      <c r="AG17" s="524"/>
      <c r="AH17" s="524"/>
      <c r="AI17" s="524"/>
      <c r="AJ17" s="524"/>
      <c r="AK17" s="524"/>
      <c r="AL17" s="524"/>
      <c r="AM17" s="524"/>
      <c r="AN17" s="524"/>
      <c r="AO17" s="524"/>
      <c r="AP17" s="524"/>
      <c r="AQ17" s="524"/>
      <c r="AR17" s="524"/>
      <c r="AS17" s="524"/>
      <c r="AT17" s="524"/>
      <c r="AU17" s="524"/>
      <c r="AV17" s="524"/>
      <c r="AW17" s="524"/>
      <c r="AX17" s="524"/>
      <c r="AY17" s="524"/>
      <c r="AZ17" s="524"/>
      <c r="BA17" s="524"/>
      <c r="BB17" s="524"/>
      <c r="BC17" s="525"/>
      <c r="BD17" s="382"/>
      <c r="BE17" s="371"/>
      <c r="BF17" s="371"/>
      <c r="BG17" s="371"/>
      <c r="BH17" s="371"/>
      <c r="BI17" s="371"/>
      <c r="BJ17" s="366"/>
    </row>
    <row r="18" spans="1:62" ht="30" customHeight="1">
      <c r="A18" s="476"/>
      <c r="B18" s="457"/>
      <c r="C18" s="458"/>
      <c r="D18" s="379"/>
      <c r="E18" s="380"/>
      <c r="F18" s="380"/>
      <c r="G18" s="380"/>
      <c r="H18" s="380"/>
      <c r="I18" s="380"/>
      <c r="J18" s="380"/>
      <c r="K18" s="380"/>
      <c r="L18" s="380"/>
      <c r="M18" s="380"/>
      <c r="N18" s="380"/>
      <c r="O18" s="380"/>
      <c r="P18" s="381"/>
      <c r="Q18" s="390"/>
      <c r="R18" s="524"/>
      <c r="S18" s="524"/>
      <c r="T18" s="524"/>
      <c r="U18" s="524"/>
      <c r="V18" s="524"/>
      <c r="W18" s="524"/>
      <c r="X18" s="524"/>
      <c r="Y18" s="524"/>
      <c r="Z18" s="524"/>
      <c r="AA18" s="524"/>
      <c r="AB18" s="524"/>
      <c r="AC18" s="524"/>
      <c r="AD18" s="524"/>
      <c r="AE18" s="524"/>
      <c r="AF18" s="524"/>
      <c r="AG18" s="524"/>
      <c r="AH18" s="524"/>
      <c r="AI18" s="524"/>
      <c r="AJ18" s="524"/>
      <c r="AK18" s="524"/>
      <c r="AL18" s="524"/>
      <c r="AM18" s="524"/>
      <c r="AN18" s="524"/>
      <c r="AO18" s="524"/>
      <c r="AP18" s="524"/>
      <c r="AQ18" s="524"/>
      <c r="AR18" s="524"/>
      <c r="AS18" s="524"/>
      <c r="AT18" s="524"/>
      <c r="AU18" s="524"/>
      <c r="AV18" s="524"/>
      <c r="AW18" s="524"/>
      <c r="AX18" s="524"/>
      <c r="AY18" s="524"/>
      <c r="AZ18" s="524"/>
      <c r="BA18" s="524"/>
      <c r="BB18" s="524"/>
      <c r="BC18" s="525"/>
      <c r="BD18" s="382"/>
      <c r="BE18" s="371"/>
      <c r="BF18" s="371"/>
      <c r="BG18" s="371"/>
      <c r="BH18" s="371"/>
      <c r="BI18" s="371"/>
      <c r="BJ18" s="366"/>
    </row>
    <row r="19" spans="1:62" ht="30" customHeight="1">
      <c r="A19" s="476"/>
      <c r="B19" s="457"/>
      <c r="C19" s="458"/>
      <c r="D19" s="379"/>
      <c r="E19" s="380"/>
      <c r="F19" s="380"/>
      <c r="G19" s="380"/>
      <c r="H19" s="380"/>
      <c r="I19" s="380"/>
      <c r="J19" s="380"/>
      <c r="K19" s="380"/>
      <c r="L19" s="380"/>
      <c r="M19" s="380"/>
      <c r="N19" s="380"/>
      <c r="O19" s="380"/>
      <c r="P19" s="381"/>
      <c r="Q19" s="390"/>
      <c r="R19" s="524"/>
      <c r="S19" s="524"/>
      <c r="T19" s="524"/>
      <c r="U19" s="524"/>
      <c r="V19" s="524"/>
      <c r="W19" s="524"/>
      <c r="X19" s="524"/>
      <c r="Y19" s="524"/>
      <c r="Z19" s="524"/>
      <c r="AA19" s="524"/>
      <c r="AB19" s="524"/>
      <c r="AC19" s="524"/>
      <c r="AD19" s="524"/>
      <c r="AE19" s="524"/>
      <c r="AF19" s="524"/>
      <c r="AG19" s="524"/>
      <c r="AH19" s="524"/>
      <c r="AI19" s="524"/>
      <c r="AJ19" s="524"/>
      <c r="AK19" s="524"/>
      <c r="AL19" s="524"/>
      <c r="AM19" s="524"/>
      <c r="AN19" s="524"/>
      <c r="AO19" s="524"/>
      <c r="AP19" s="524"/>
      <c r="AQ19" s="524"/>
      <c r="AR19" s="524"/>
      <c r="AS19" s="524"/>
      <c r="AT19" s="524"/>
      <c r="AU19" s="524"/>
      <c r="AV19" s="524"/>
      <c r="AW19" s="524"/>
      <c r="AX19" s="524"/>
      <c r="AY19" s="524"/>
      <c r="AZ19" s="524"/>
      <c r="BA19" s="524"/>
      <c r="BB19" s="524"/>
      <c r="BC19" s="525"/>
      <c r="BD19" s="382"/>
      <c r="BE19" s="371"/>
      <c r="BF19" s="371"/>
      <c r="BG19" s="371"/>
      <c r="BH19" s="371"/>
      <c r="BI19" s="371"/>
      <c r="BJ19" s="366"/>
    </row>
    <row r="20" spans="1:62" ht="30" customHeight="1">
      <c r="A20" s="476"/>
      <c r="B20" s="457"/>
      <c r="C20" s="458"/>
      <c r="D20" s="379"/>
      <c r="E20" s="380"/>
      <c r="F20" s="380"/>
      <c r="G20" s="380"/>
      <c r="H20" s="380"/>
      <c r="I20" s="380"/>
      <c r="J20" s="380"/>
      <c r="K20" s="380"/>
      <c r="L20" s="380"/>
      <c r="M20" s="380"/>
      <c r="N20" s="380"/>
      <c r="O20" s="380"/>
      <c r="P20" s="381"/>
      <c r="Q20" s="390"/>
      <c r="R20" s="524"/>
      <c r="S20" s="524"/>
      <c r="T20" s="524"/>
      <c r="U20" s="524"/>
      <c r="V20" s="524"/>
      <c r="W20" s="524"/>
      <c r="X20" s="524"/>
      <c r="Y20" s="524"/>
      <c r="Z20" s="524"/>
      <c r="AA20" s="524"/>
      <c r="AB20" s="524"/>
      <c r="AC20" s="524"/>
      <c r="AD20" s="524"/>
      <c r="AE20" s="524"/>
      <c r="AF20" s="524"/>
      <c r="AG20" s="524"/>
      <c r="AH20" s="524"/>
      <c r="AI20" s="524"/>
      <c r="AJ20" s="524"/>
      <c r="AK20" s="524"/>
      <c r="AL20" s="524"/>
      <c r="AM20" s="524"/>
      <c r="AN20" s="524"/>
      <c r="AO20" s="524"/>
      <c r="AP20" s="524"/>
      <c r="AQ20" s="524"/>
      <c r="AR20" s="524"/>
      <c r="AS20" s="524"/>
      <c r="AT20" s="524"/>
      <c r="AU20" s="524"/>
      <c r="AV20" s="524"/>
      <c r="AW20" s="524"/>
      <c r="AX20" s="524"/>
      <c r="AY20" s="524"/>
      <c r="AZ20" s="524"/>
      <c r="BA20" s="524"/>
      <c r="BB20" s="524"/>
      <c r="BC20" s="525"/>
      <c r="BD20" s="382"/>
      <c r="BE20" s="371"/>
      <c r="BF20" s="371"/>
      <c r="BG20" s="371"/>
      <c r="BH20" s="371"/>
      <c r="BI20" s="371"/>
      <c r="BJ20" s="366"/>
    </row>
    <row r="21" spans="1:62" ht="30" customHeight="1">
      <c r="A21" s="476"/>
      <c r="B21" s="457"/>
      <c r="C21" s="458"/>
      <c r="D21" s="379"/>
      <c r="E21" s="380"/>
      <c r="F21" s="380"/>
      <c r="G21" s="380"/>
      <c r="H21" s="380"/>
      <c r="I21" s="380"/>
      <c r="J21" s="380"/>
      <c r="K21" s="380"/>
      <c r="L21" s="380"/>
      <c r="M21" s="380"/>
      <c r="N21" s="380"/>
      <c r="O21" s="380"/>
      <c r="P21" s="381"/>
      <c r="Q21" s="390"/>
      <c r="R21" s="524"/>
      <c r="S21" s="524"/>
      <c r="T21" s="524"/>
      <c r="U21" s="524"/>
      <c r="V21" s="524"/>
      <c r="W21" s="524"/>
      <c r="X21" s="524"/>
      <c r="Y21" s="524"/>
      <c r="Z21" s="524"/>
      <c r="AA21" s="524"/>
      <c r="AB21" s="524"/>
      <c r="AC21" s="524"/>
      <c r="AD21" s="524"/>
      <c r="AE21" s="524"/>
      <c r="AF21" s="524"/>
      <c r="AG21" s="524"/>
      <c r="AH21" s="524"/>
      <c r="AI21" s="524"/>
      <c r="AJ21" s="524"/>
      <c r="AK21" s="524"/>
      <c r="AL21" s="524"/>
      <c r="AM21" s="524"/>
      <c r="AN21" s="524"/>
      <c r="AO21" s="524"/>
      <c r="AP21" s="524"/>
      <c r="AQ21" s="524"/>
      <c r="AR21" s="524"/>
      <c r="AS21" s="524"/>
      <c r="AT21" s="524"/>
      <c r="AU21" s="524"/>
      <c r="AV21" s="524"/>
      <c r="AW21" s="524"/>
      <c r="AX21" s="524"/>
      <c r="AY21" s="524"/>
      <c r="AZ21" s="524"/>
      <c r="BA21" s="524"/>
      <c r="BB21" s="524"/>
      <c r="BC21" s="525"/>
      <c r="BD21" s="382"/>
      <c r="BE21" s="371"/>
      <c r="BF21" s="371"/>
      <c r="BG21" s="371"/>
      <c r="BH21" s="371"/>
      <c r="BI21" s="371"/>
      <c r="BJ21" s="366"/>
    </row>
    <row r="22" spans="1:62" ht="30" customHeight="1">
      <c r="A22" s="476"/>
      <c r="B22" s="457"/>
      <c r="C22" s="458"/>
      <c r="D22" s="379"/>
      <c r="E22" s="380"/>
      <c r="F22" s="380"/>
      <c r="G22" s="380"/>
      <c r="H22" s="380"/>
      <c r="I22" s="380"/>
      <c r="J22" s="380"/>
      <c r="K22" s="380"/>
      <c r="L22" s="380"/>
      <c r="M22" s="380"/>
      <c r="N22" s="380"/>
      <c r="O22" s="380"/>
      <c r="P22" s="381"/>
      <c r="Q22" s="390"/>
      <c r="R22" s="524"/>
      <c r="S22" s="524"/>
      <c r="T22" s="524"/>
      <c r="U22" s="524"/>
      <c r="V22" s="524"/>
      <c r="W22" s="524"/>
      <c r="X22" s="524"/>
      <c r="Y22" s="524"/>
      <c r="Z22" s="524"/>
      <c r="AA22" s="524"/>
      <c r="AB22" s="524"/>
      <c r="AC22" s="524"/>
      <c r="AD22" s="524"/>
      <c r="AE22" s="524"/>
      <c r="AF22" s="524"/>
      <c r="AG22" s="524"/>
      <c r="AH22" s="524"/>
      <c r="AI22" s="524"/>
      <c r="AJ22" s="524"/>
      <c r="AK22" s="524"/>
      <c r="AL22" s="524"/>
      <c r="AM22" s="524"/>
      <c r="AN22" s="524"/>
      <c r="AO22" s="524"/>
      <c r="AP22" s="524"/>
      <c r="AQ22" s="524"/>
      <c r="AR22" s="524"/>
      <c r="AS22" s="524"/>
      <c r="AT22" s="524"/>
      <c r="AU22" s="524"/>
      <c r="AV22" s="524"/>
      <c r="AW22" s="524"/>
      <c r="AX22" s="524"/>
      <c r="AY22" s="524"/>
      <c r="AZ22" s="524"/>
      <c r="BA22" s="524"/>
      <c r="BB22" s="524"/>
      <c r="BC22" s="525"/>
      <c r="BD22" s="382"/>
      <c r="BE22" s="371"/>
      <c r="BF22" s="371"/>
      <c r="BG22" s="371"/>
      <c r="BH22" s="371"/>
      <c r="BI22" s="371"/>
      <c r="BJ22" s="366"/>
    </row>
    <row r="23" spans="1:62" ht="30" customHeight="1">
      <c r="A23" s="476"/>
      <c r="B23" s="457"/>
      <c r="C23" s="458"/>
      <c r="D23" s="379"/>
      <c r="E23" s="380"/>
      <c r="F23" s="380"/>
      <c r="G23" s="380"/>
      <c r="H23" s="380"/>
      <c r="I23" s="380"/>
      <c r="J23" s="380"/>
      <c r="K23" s="380"/>
      <c r="L23" s="380"/>
      <c r="M23" s="380"/>
      <c r="N23" s="380"/>
      <c r="O23" s="380"/>
      <c r="P23" s="381"/>
      <c r="Q23" s="390"/>
      <c r="R23" s="524"/>
      <c r="S23" s="524"/>
      <c r="T23" s="524"/>
      <c r="U23" s="524"/>
      <c r="V23" s="524"/>
      <c r="W23" s="524"/>
      <c r="X23" s="524"/>
      <c r="Y23" s="524"/>
      <c r="Z23" s="524"/>
      <c r="AA23" s="524"/>
      <c r="AB23" s="524"/>
      <c r="AC23" s="524"/>
      <c r="AD23" s="524"/>
      <c r="AE23" s="524"/>
      <c r="AF23" s="524"/>
      <c r="AG23" s="524"/>
      <c r="AH23" s="524"/>
      <c r="AI23" s="524"/>
      <c r="AJ23" s="524"/>
      <c r="AK23" s="524"/>
      <c r="AL23" s="524"/>
      <c r="AM23" s="524"/>
      <c r="AN23" s="524"/>
      <c r="AO23" s="524"/>
      <c r="AP23" s="524"/>
      <c r="AQ23" s="524"/>
      <c r="AR23" s="524"/>
      <c r="AS23" s="524"/>
      <c r="AT23" s="524"/>
      <c r="AU23" s="524"/>
      <c r="AV23" s="524"/>
      <c r="AW23" s="524"/>
      <c r="AX23" s="524"/>
      <c r="AY23" s="524"/>
      <c r="AZ23" s="524"/>
      <c r="BA23" s="524"/>
      <c r="BB23" s="524"/>
      <c r="BC23" s="525"/>
      <c r="BD23" s="382"/>
      <c r="BE23" s="371"/>
      <c r="BF23" s="371"/>
      <c r="BG23" s="371"/>
      <c r="BH23" s="371"/>
      <c r="BI23" s="371"/>
      <c r="BJ23" s="366"/>
    </row>
    <row r="24" spans="1:62" ht="30" customHeight="1">
      <c r="A24" s="476"/>
      <c r="B24" s="457"/>
      <c r="C24" s="458"/>
      <c r="D24" s="379"/>
      <c r="E24" s="380"/>
      <c r="F24" s="380"/>
      <c r="G24" s="380"/>
      <c r="H24" s="380"/>
      <c r="I24" s="380"/>
      <c r="J24" s="380"/>
      <c r="K24" s="380"/>
      <c r="L24" s="380"/>
      <c r="M24" s="380"/>
      <c r="N24" s="380"/>
      <c r="O24" s="380"/>
      <c r="P24" s="381"/>
      <c r="Q24" s="390"/>
      <c r="R24" s="524"/>
      <c r="S24" s="524"/>
      <c r="T24" s="524"/>
      <c r="U24" s="524"/>
      <c r="V24" s="524"/>
      <c r="W24" s="524"/>
      <c r="X24" s="524"/>
      <c r="Y24" s="524"/>
      <c r="Z24" s="524"/>
      <c r="AA24" s="524"/>
      <c r="AB24" s="524"/>
      <c r="AC24" s="524"/>
      <c r="AD24" s="524"/>
      <c r="AE24" s="524"/>
      <c r="AF24" s="524"/>
      <c r="AG24" s="524"/>
      <c r="AH24" s="524"/>
      <c r="AI24" s="524"/>
      <c r="AJ24" s="524"/>
      <c r="AK24" s="524"/>
      <c r="AL24" s="524"/>
      <c r="AM24" s="524"/>
      <c r="AN24" s="524"/>
      <c r="AO24" s="524"/>
      <c r="AP24" s="524"/>
      <c r="AQ24" s="524"/>
      <c r="AR24" s="524"/>
      <c r="AS24" s="524"/>
      <c r="AT24" s="524"/>
      <c r="AU24" s="524"/>
      <c r="AV24" s="524"/>
      <c r="AW24" s="524"/>
      <c r="AX24" s="524"/>
      <c r="AY24" s="524"/>
      <c r="AZ24" s="524"/>
      <c r="BA24" s="524"/>
      <c r="BB24" s="524"/>
      <c r="BC24" s="525"/>
      <c r="BD24" s="382"/>
      <c r="BE24" s="371"/>
      <c r="BF24" s="371"/>
      <c r="BG24" s="371"/>
      <c r="BH24" s="371"/>
      <c r="BI24" s="371"/>
      <c r="BJ24" s="366"/>
    </row>
    <row r="25" spans="1:62" ht="30" customHeight="1">
      <c r="A25" s="476"/>
      <c r="B25" s="457"/>
      <c r="C25" s="458"/>
      <c r="D25" s="379"/>
      <c r="E25" s="380"/>
      <c r="F25" s="380"/>
      <c r="G25" s="380"/>
      <c r="H25" s="380"/>
      <c r="I25" s="380"/>
      <c r="J25" s="380"/>
      <c r="K25" s="380"/>
      <c r="L25" s="380"/>
      <c r="M25" s="380"/>
      <c r="N25" s="380"/>
      <c r="O25" s="380"/>
      <c r="P25" s="381"/>
      <c r="Q25" s="390"/>
      <c r="R25" s="524"/>
      <c r="S25" s="524"/>
      <c r="T25" s="524"/>
      <c r="U25" s="524"/>
      <c r="V25" s="524"/>
      <c r="W25" s="524"/>
      <c r="X25" s="524"/>
      <c r="Y25" s="524"/>
      <c r="Z25" s="524"/>
      <c r="AA25" s="524"/>
      <c r="AB25" s="524"/>
      <c r="AC25" s="524"/>
      <c r="AD25" s="524"/>
      <c r="AE25" s="524"/>
      <c r="AF25" s="524"/>
      <c r="AG25" s="524"/>
      <c r="AH25" s="524"/>
      <c r="AI25" s="524"/>
      <c r="AJ25" s="524"/>
      <c r="AK25" s="524"/>
      <c r="AL25" s="524"/>
      <c r="AM25" s="524"/>
      <c r="AN25" s="524"/>
      <c r="AO25" s="524"/>
      <c r="AP25" s="524"/>
      <c r="AQ25" s="524"/>
      <c r="AR25" s="524"/>
      <c r="AS25" s="524"/>
      <c r="AT25" s="524"/>
      <c r="AU25" s="524"/>
      <c r="AV25" s="524"/>
      <c r="AW25" s="524"/>
      <c r="AX25" s="524"/>
      <c r="AY25" s="524"/>
      <c r="AZ25" s="524"/>
      <c r="BA25" s="524"/>
      <c r="BB25" s="524"/>
      <c r="BC25" s="525"/>
      <c r="BD25" s="382"/>
      <c r="BE25" s="371"/>
      <c r="BF25" s="371"/>
      <c r="BG25" s="371"/>
      <c r="BH25" s="371"/>
      <c r="BI25" s="371"/>
      <c r="BJ25" s="366"/>
    </row>
    <row r="26" spans="1:62" ht="30" customHeight="1">
      <c r="A26" s="476"/>
      <c r="B26" s="457"/>
      <c r="C26" s="458"/>
      <c r="D26" s="379"/>
      <c r="E26" s="380"/>
      <c r="F26" s="380"/>
      <c r="G26" s="380"/>
      <c r="H26" s="380"/>
      <c r="I26" s="380"/>
      <c r="J26" s="380"/>
      <c r="K26" s="380"/>
      <c r="L26" s="380"/>
      <c r="M26" s="380"/>
      <c r="N26" s="380"/>
      <c r="O26" s="380"/>
      <c r="P26" s="381"/>
      <c r="Q26" s="390"/>
      <c r="R26" s="524"/>
      <c r="S26" s="524"/>
      <c r="T26" s="524"/>
      <c r="U26" s="524"/>
      <c r="V26" s="524"/>
      <c r="W26" s="524"/>
      <c r="X26" s="524"/>
      <c r="Y26" s="524"/>
      <c r="Z26" s="524"/>
      <c r="AA26" s="524"/>
      <c r="AB26" s="524"/>
      <c r="AC26" s="524"/>
      <c r="AD26" s="524"/>
      <c r="AE26" s="524"/>
      <c r="AF26" s="524"/>
      <c r="AG26" s="524"/>
      <c r="AH26" s="524"/>
      <c r="AI26" s="524"/>
      <c r="AJ26" s="524"/>
      <c r="AK26" s="524"/>
      <c r="AL26" s="524"/>
      <c r="AM26" s="524"/>
      <c r="AN26" s="524"/>
      <c r="AO26" s="524"/>
      <c r="AP26" s="524"/>
      <c r="AQ26" s="524"/>
      <c r="AR26" s="524"/>
      <c r="AS26" s="524"/>
      <c r="AT26" s="524"/>
      <c r="AU26" s="524"/>
      <c r="AV26" s="524"/>
      <c r="AW26" s="524"/>
      <c r="AX26" s="524"/>
      <c r="AY26" s="524"/>
      <c r="AZ26" s="524"/>
      <c r="BA26" s="524"/>
      <c r="BB26" s="524"/>
      <c r="BC26" s="525"/>
      <c r="BD26" s="382"/>
      <c r="BE26" s="371"/>
      <c r="BF26" s="371"/>
      <c r="BG26" s="371"/>
      <c r="BH26" s="371"/>
      <c r="BI26" s="371"/>
      <c r="BJ26" s="366"/>
    </row>
    <row r="27" spans="1:62" ht="30" customHeight="1">
      <c r="A27" s="476"/>
      <c r="B27" s="457"/>
      <c r="C27" s="458"/>
      <c r="D27" s="379"/>
      <c r="E27" s="380"/>
      <c r="F27" s="380"/>
      <c r="G27" s="380"/>
      <c r="H27" s="380"/>
      <c r="I27" s="380"/>
      <c r="J27" s="380"/>
      <c r="K27" s="380"/>
      <c r="L27" s="380"/>
      <c r="M27" s="380"/>
      <c r="N27" s="380"/>
      <c r="O27" s="380"/>
      <c r="P27" s="381"/>
      <c r="Q27" s="390"/>
      <c r="R27" s="524"/>
      <c r="S27" s="524"/>
      <c r="T27" s="524"/>
      <c r="U27" s="524"/>
      <c r="V27" s="524"/>
      <c r="W27" s="524"/>
      <c r="X27" s="524"/>
      <c r="Y27" s="524"/>
      <c r="Z27" s="524"/>
      <c r="AA27" s="524"/>
      <c r="AB27" s="524"/>
      <c r="AC27" s="524"/>
      <c r="AD27" s="524"/>
      <c r="AE27" s="524"/>
      <c r="AF27" s="524"/>
      <c r="AG27" s="524"/>
      <c r="AH27" s="524"/>
      <c r="AI27" s="524"/>
      <c r="AJ27" s="524"/>
      <c r="AK27" s="524"/>
      <c r="AL27" s="524"/>
      <c r="AM27" s="524"/>
      <c r="AN27" s="524"/>
      <c r="AO27" s="524"/>
      <c r="AP27" s="524"/>
      <c r="AQ27" s="524"/>
      <c r="AR27" s="524"/>
      <c r="AS27" s="524"/>
      <c r="AT27" s="524"/>
      <c r="AU27" s="524"/>
      <c r="AV27" s="524"/>
      <c r="AW27" s="524"/>
      <c r="AX27" s="524"/>
      <c r="AY27" s="524"/>
      <c r="AZ27" s="524"/>
      <c r="BA27" s="524"/>
      <c r="BB27" s="524"/>
      <c r="BC27" s="525"/>
      <c r="BD27" s="382"/>
      <c r="BE27" s="371"/>
      <c r="BF27" s="371"/>
      <c r="BG27" s="371"/>
      <c r="BH27" s="371"/>
      <c r="BI27" s="371"/>
      <c r="BJ27" s="366"/>
    </row>
    <row r="28" spans="1:62" ht="30" customHeight="1">
      <c r="A28" s="476"/>
      <c r="B28" s="457"/>
      <c r="C28" s="458"/>
      <c r="D28" s="379"/>
      <c r="E28" s="380"/>
      <c r="F28" s="380"/>
      <c r="G28" s="380"/>
      <c r="H28" s="380"/>
      <c r="I28" s="380"/>
      <c r="J28" s="380"/>
      <c r="K28" s="380"/>
      <c r="L28" s="380"/>
      <c r="M28" s="380"/>
      <c r="N28" s="380"/>
      <c r="O28" s="380"/>
      <c r="P28" s="381"/>
      <c r="Q28" s="390"/>
      <c r="R28" s="524"/>
      <c r="S28" s="524"/>
      <c r="T28" s="524"/>
      <c r="U28" s="524"/>
      <c r="V28" s="524"/>
      <c r="W28" s="524"/>
      <c r="X28" s="524"/>
      <c r="Y28" s="524"/>
      <c r="Z28" s="524"/>
      <c r="AA28" s="524"/>
      <c r="AB28" s="524"/>
      <c r="AC28" s="524"/>
      <c r="AD28" s="524"/>
      <c r="AE28" s="524"/>
      <c r="AF28" s="524"/>
      <c r="AG28" s="524"/>
      <c r="AH28" s="524"/>
      <c r="AI28" s="524"/>
      <c r="AJ28" s="524"/>
      <c r="AK28" s="524"/>
      <c r="AL28" s="524"/>
      <c r="AM28" s="524"/>
      <c r="AN28" s="524"/>
      <c r="AO28" s="524"/>
      <c r="AP28" s="524"/>
      <c r="AQ28" s="524"/>
      <c r="AR28" s="524"/>
      <c r="AS28" s="524"/>
      <c r="AT28" s="524"/>
      <c r="AU28" s="524"/>
      <c r="AV28" s="524"/>
      <c r="AW28" s="524"/>
      <c r="AX28" s="524"/>
      <c r="AY28" s="524"/>
      <c r="AZ28" s="524"/>
      <c r="BA28" s="524"/>
      <c r="BB28" s="524"/>
      <c r="BC28" s="525"/>
      <c r="BD28" s="382"/>
      <c r="BE28" s="371"/>
      <c r="BF28" s="371"/>
      <c r="BG28" s="371"/>
      <c r="BH28" s="371"/>
      <c r="BI28" s="371"/>
      <c r="BJ28" s="366"/>
    </row>
    <row r="29" spans="1:62" ht="30" customHeight="1">
      <c r="A29" s="476"/>
      <c r="B29" s="457"/>
      <c r="C29" s="458"/>
      <c r="D29" s="379"/>
      <c r="E29" s="380"/>
      <c r="F29" s="380"/>
      <c r="G29" s="380"/>
      <c r="H29" s="380"/>
      <c r="I29" s="380"/>
      <c r="J29" s="380"/>
      <c r="K29" s="380"/>
      <c r="L29" s="380"/>
      <c r="M29" s="380"/>
      <c r="N29" s="380"/>
      <c r="O29" s="380"/>
      <c r="P29" s="381"/>
      <c r="Q29" s="390"/>
      <c r="R29" s="524"/>
      <c r="S29" s="524"/>
      <c r="T29" s="524"/>
      <c r="U29" s="524"/>
      <c r="V29" s="524"/>
      <c r="W29" s="524"/>
      <c r="X29" s="524"/>
      <c r="Y29" s="524"/>
      <c r="Z29" s="524"/>
      <c r="AA29" s="524"/>
      <c r="AB29" s="524"/>
      <c r="AC29" s="524"/>
      <c r="AD29" s="524"/>
      <c r="AE29" s="524"/>
      <c r="AF29" s="524"/>
      <c r="AG29" s="524"/>
      <c r="AH29" s="524"/>
      <c r="AI29" s="524"/>
      <c r="AJ29" s="524"/>
      <c r="AK29" s="524"/>
      <c r="AL29" s="524"/>
      <c r="AM29" s="524"/>
      <c r="AN29" s="524"/>
      <c r="AO29" s="524"/>
      <c r="AP29" s="524"/>
      <c r="AQ29" s="524"/>
      <c r="AR29" s="524"/>
      <c r="AS29" s="524"/>
      <c r="AT29" s="524"/>
      <c r="AU29" s="524"/>
      <c r="AV29" s="524"/>
      <c r="AW29" s="524"/>
      <c r="AX29" s="524"/>
      <c r="AY29" s="524"/>
      <c r="AZ29" s="524"/>
      <c r="BA29" s="524"/>
      <c r="BB29" s="524"/>
      <c r="BC29" s="525"/>
      <c r="BD29" s="382"/>
      <c r="BE29" s="371"/>
      <c r="BF29" s="371"/>
      <c r="BG29" s="371"/>
      <c r="BH29" s="371"/>
      <c r="BI29" s="371"/>
      <c r="BJ29" s="366"/>
    </row>
    <row r="30" spans="1:62" ht="30" customHeight="1">
      <c r="A30" s="476"/>
      <c r="B30" s="457"/>
      <c r="C30" s="458"/>
      <c r="D30" s="379"/>
      <c r="E30" s="380"/>
      <c r="F30" s="380"/>
      <c r="G30" s="380"/>
      <c r="H30" s="380"/>
      <c r="I30" s="380"/>
      <c r="J30" s="380"/>
      <c r="K30" s="380"/>
      <c r="L30" s="380"/>
      <c r="M30" s="380"/>
      <c r="N30" s="380"/>
      <c r="O30" s="380"/>
      <c r="P30" s="381"/>
      <c r="Q30" s="390"/>
      <c r="R30" s="524"/>
      <c r="S30" s="524"/>
      <c r="T30" s="524"/>
      <c r="U30" s="524"/>
      <c r="V30" s="524"/>
      <c r="W30" s="524"/>
      <c r="X30" s="524"/>
      <c r="Y30" s="524"/>
      <c r="Z30" s="524"/>
      <c r="AA30" s="524"/>
      <c r="AB30" s="524"/>
      <c r="AC30" s="524"/>
      <c r="AD30" s="524"/>
      <c r="AE30" s="524"/>
      <c r="AF30" s="524"/>
      <c r="AG30" s="524"/>
      <c r="AH30" s="524"/>
      <c r="AI30" s="524"/>
      <c r="AJ30" s="524"/>
      <c r="AK30" s="524"/>
      <c r="AL30" s="524"/>
      <c r="AM30" s="524"/>
      <c r="AN30" s="524"/>
      <c r="AO30" s="524"/>
      <c r="AP30" s="524"/>
      <c r="AQ30" s="524"/>
      <c r="AR30" s="524"/>
      <c r="AS30" s="524"/>
      <c r="AT30" s="524"/>
      <c r="AU30" s="524"/>
      <c r="AV30" s="524"/>
      <c r="AW30" s="524"/>
      <c r="AX30" s="524"/>
      <c r="AY30" s="524"/>
      <c r="AZ30" s="524"/>
      <c r="BA30" s="524"/>
      <c r="BB30" s="524"/>
      <c r="BC30" s="525"/>
      <c r="BD30" s="382"/>
      <c r="BE30" s="371"/>
      <c r="BF30" s="371"/>
      <c r="BG30" s="371"/>
      <c r="BH30" s="371"/>
      <c r="BI30" s="371"/>
      <c r="BJ30" s="366"/>
    </row>
    <row r="31" spans="1:62" ht="30" customHeight="1">
      <c r="A31" s="476"/>
      <c r="B31" s="457"/>
      <c r="C31" s="458"/>
      <c r="D31" s="379"/>
      <c r="E31" s="380"/>
      <c r="F31" s="380"/>
      <c r="G31" s="380"/>
      <c r="H31" s="380"/>
      <c r="I31" s="380"/>
      <c r="J31" s="380"/>
      <c r="K31" s="380"/>
      <c r="L31" s="380"/>
      <c r="M31" s="380"/>
      <c r="N31" s="380"/>
      <c r="O31" s="380"/>
      <c r="P31" s="381"/>
      <c r="Q31" s="390"/>
      <c r="R31" s="524"/>
      <c r="S31" s="524"/>
      <c r="T31" s="524"/>
      <c r="U31" s="524"/>
      <c r="V31" s="524"/>
      <c r="W31" s="524"/>
      <c r="X31" s="524"/>
      <c r="Y31" s="524"/>
      <c r="Z31" s="524"/>
      <c r="AA31" s="524"/>
      <c r="AB31" s="524"/>
      <c r="AC31" s="524"/>
      <c r="AD31" s="524"/>
      <c r="AE31" s="524"/>
      <c r="AF31" s="524"/>
      <c r="AG31" s="524"/>
      <c r="AH31" s="524"/>
      <c r="AI31" s="524"/>
      <c r="AJ31" s="524"/>
      <c r="AK31" s="524"/>
      <c r="AL31" s="524"/>
      <c r="AM31" s="524"/>
      <c r="AN31" s="524"/>
      <c r="AO31" s="524"/>
      <c r="AP31" s="524"/>
      <c r="AQ31" s="524"/>
      <c r="AR31" s="524"/>
      <c r="AS31" s="524"/>
      <c r="AT31" s="524"/>
      <c r="AU31" s="524"/>
      <c r="AV31" s="524"/>
      <c r="AW31" s="524"/>
      <c r="AX31" s="524"/>
      <c r="AY31" s="524"/>
      <c r="AZ31" s="524"/>
      <c r="BA31" s="524"/>
      <c r="BB31" s="524"/>
      <c r="BC31" s="525"/>
      <c r="BD31" s="382"/>
      <c r="BE31" s="371"/>
      <c r="BF31" s="371"/>
      <c r="BG31" s="371"/>
      <c r="BH31" s="371"/>
      <c r="BI31" s="371"/>
      <c r="BJ31" s="366"/>
    </row>
    <row r="32" spans="1:62" ht="30" customHeight="1">
      <c r="A32" s="476"/>
      <c r="B32" s="457"/>
      <c r="C32" s="458"/>
      <c r="D32" s="379"/>
      <c r="E32" s="380"/>
      <c r="F32" s="380"/>
      <c r="G32" s="380"/>
      <c r="H32" s="380"/>
      <c r="I32" s="380"/>
      <c r="J32" s="380"/>
      <c r="K32" s="380"/>
      <c r="L32" s="380"/>
      <c r="M32" s="380"/>
      <c r="N32" s="380"/>
      <c r="O32" s="380"/>
      <c r="P32" s="381"/>
      <c r="Q32" s="390"/>
      <c r="R32" s="524"/>
      <c r="S32" s="524"/>
      <c r="T32" s="524"/>
      <c r="U32" s="524"/>
      <c r="V32" s="524"/>
      <c r="W32" s="524"/>
      <c r="X32" s="524"/>
      <c r="Y32" s="524"/>
      <c r="Z32" s="524"/>
      <c r="AA32" s="524"/>
      <c r="AB32" s="524"/>
      <c r="AC32" s="524"/>
      <c r="AD32" s="524"/>
      <c r="AE32" s="524"/>
      <c r="AF32" s="524"/>
      <c r="AG32" s="524"/>
      <c r="AH32" s="524"/>
      <c r="AI32" s="524"/>
      <c r="AJ32" s="524"/>
      <c r="AK32" s="524"/>
      <c r="AL32" s="524"/>
      <c r="AM32" s="524"/>
      <c r="AN32" s="524"/>
      <c r="AO32" s="524"/>
      <c r="AP32" s="524"/>
      <c r="AQ32" s="524"/>
      <c r="AR32" s="524"/>
      <c r="AS32" s="524"/>
      <c r="AT32" s="524"/>
      <c r="AU32" s="524"/>
      <c r="AV32" s="524"/>
      <c r="AW32" s="524"/>
      <c r="AX32" s="524"/>
      <c r="AY32" s="524"/>
      <c r="AZ32" s="524"/>
      <c r="BA32" s="524"/>
      <c r="BB32" s="524"/>
      <c r="BC32" s="525"/>
      <c r="BD32" s="382"/>
      <c r="BE32" s="371"/>
      <c r="BF32" s="371"/>
      <c r="BG32" s="371"/>
      <c r="BH32" s="371"/>
      <c r="BI32" s="371"/>
      <c r="BJ32" s="366"/>
    </row>
    <row r="33" spans="1:62" ht="30" customHeight="1">
      <c r="A33" s="476"/>
      <c r="B33" s="457"/>
      <c r="C33" s="458"/>
      <c r="D33" s="379"/>
      <c r="E33" s="380"/>
      <c r="F33" s="380"/>
      <c r="G33" s="380"/>
      <c r="H33" s="380"/>
      <c r="I33" s="380"/>
      <c r="J33" s="380"/>
      <c r="K33" s="380"/>
      <c r="L33" s="380"/>
      <c r="M33" s="380"/>
      <c r="N33" s="380"/>
      <c r="O33" s="380"/>
      <c r="P33" s="381"/>
      <c r="Q33" s="390"/>
      <c r="R33" s="524"/>
      <c r="S33" s="524"/>
      <c r="T33" s="524"/>
      <c r="U33" s="524"/>
      <c r="V33" s="524"/>
      <c r="W33" s="524"/>
      <c r="X33" s="524"/>
      <c r="Y33" s="524"/>
      <c r="Z33" s="524"/>
      <c r="AA33" s="524"/>
      <c r="AB33" s="524"/>
      <c r="AC33" s="524"/>
      <c r="AD33" s="524"/>
      <c r="AE33" s="524"/>
      <c r="AF33" s="524"/>
      <c r="AG33" s="524"/>
      <c r="AH33" s="524"/>
      <c r="AI33" s="524"/>
      <c r="AJ33" s="524"/>
      <c r="AK33" s="524"/>
      <c r="AL33" s="524"/>
      <c r="AM33" s="524"/>
      <c r="AN33" s="524"/>
      <c r="AO33" s="524"/>
      <c r="AP33" s="524"/>
      <c r="AQ33" s="524"/>
      <c r="AR33" s="524"/>
      <c r="AS33" s="524"/>
      <c r="AT33" s="524"/>
      <c r="AU33" s="524"/>
      <c r="AV33" s="524"/>
      <c r="AW33" s="524"/>
      <c r="AX33" s="524"/>
      <c r="AY33" s="524"/>
      <c r="AZ33" s="524"/>
      <c r="BA33" s="524"/>
      <c r="BB33" s="524"/>
      <c r="BC33" s="525"/>
      <c r="BD33" s="382"/>
      <c r="BE33" s="371"/>
      <c r="BF33" s="371"/>
      <c r="BG33" s="371"/>
      <c r="BH33" s="371"/>
      <c r="BI33" s="371"/>
      <c r="BJ33" s="366"/>
    </row>
    <row r="34" spans="1:62" ht="30" customHeight="1">
      <c r="A34" s="476"/>
      <c r="B34" s="457"/>
      <c r="C34" s="458"/>
      <c r="D34" s="379"/>
      <c r="E34" s="380"/>
      <c r="F34" s="380"/>
      <c r="G34" s="380"/>
      <c r="H34" s="380"/>
      <c r="I34" s="380"/>
      <c r="J34" s="380"/>
      <c r="K34" s="380"/>
      <c r="L34" s="380"/>
      <c r="M34" s="380"/>
      <c r="N34" s="380"/>
      <c r="O34" s="380"/>
      <c r="P34" s="381"/>
      <c r="Q34" s="390"/>
      <c r="R34" s="524"/>
      <c r="S34" s="524"/>
      <c r="T34" s="524"/>
      <c r="U34" s="524"/>
      <c r="V34" s="524"/>
      <c r="W34" s="524"/>
      <c r="X34" s="524"/>
      <c r="Y34" s="524"/>
      <c r="Z34" s="524"/>
      <c r="AA34" s="524"/>
      <c r="AB34" s="524"/>
      <c r="AC34" s="524"/>
      <c r="AD34" s="524"/>
      <c r="AE34" s="524"/>
      <c r="AF34" s="524"/>
      <c r="AG34" s="524"/>
      <c r="AH34" s="524"/>
      <c r="AI34" s="524"/>
      <c r="AJ34" s="524"/>
      <c r="AK34" s="524"/>
      <c r="AL34" s="524"/>
      <c r="AM34" s="524"/>
      <c r="AN34" s="524"/>
      <c r="AO34" s="524"/>
      <c r="AP34" s="524"/>
      <c r="AQ34" s="524"/>
      <c r="AR34" s="524"/>
      <c r="AS34" s="524"/>
      <c r="AT34" s="524"/>
      <c r="AU34" s="524"/>
      <c r="AV34" s="524"/>
      <c r="AW34" s="524"/>
      <c r="AX34" s="524"/>
      <c r="AY34" s="524"/>
      <c r="AZ34" s="524"/>
      <c r="BA34" s="524"/>
      <c r="BB34" s="524"/>
      <c r="BC34" s="525"/>
      <c r="BD34" s="382"/>
      <c r="BE34" s="371"/>
      <c r="BF34" s="371"/>
      <c r="BG34" s="371"/>
      <c r="BH34" s="371"/>
      <c r="BI34" s="371"/>
      <c r="BJ34" s="366"/>
    </row>
    <row r="35" spans="1:62" ht="30" customHeight="1">
      <c r="A35" s="476"/>
      <c r="B35" s="457"/>
      <c r="C35" s="458"/>
      <c r="D35" s="379"/>
      <c r="E35" s="380"/>
      <c r="F35" s="380"/>
      <c r="G35" s="380"/>
      <c r="H35" s="380"/>
      <c r="I35" s="380"/>
      <c r="J35" s="380"/>
      <c r="K35" s="380"/>
      <c r="L35" s="380"/>
      <c r="M35" s="380"/>
      <c r="N35" s="380"/>
      <c r="O35" s="380"/>
      <c r="P35" s="381"/>
      <c r="Q35" s="390"/>
      <c r="R35" s="524"/>
      <c r="S35" s="524"/>
      <c r="T35" s="524"/>
      <c r="U35" s="524"/>
      <c r="V35" s="524"/>
      <c r="W35" s="524"/>
      <c r="X35" s="524"/>
      <c r="Y35" s="524"/>
      <c r="Z35" s="524"/>
      <c r="AA35" s="524"/>
      <c r="AB35" s="524"/>
      <c r="AC35" s="524"/>
      <c r="AD35" s="524"/>
      <c r="AE35" s="524"/>
      <c r="AF35" s="524"/>
      <c r="AG35" s="524"/>
      <c r="AH35" s="524"/>
      <c r="AI35" s="524"/>
      <c r="AJ35" s="524"/>
      <c r="AK35" s="524"/>
      <c r="AL35" s="524"/>
      <c r="AM35" s="524"/>
      <c r="AN35" s="524"/>
      <c r="AO35" s="524"/>
      <c r="AP35" s="524"/>
      <c r="AQ35" s="524"/>
      <c r="AR35" s="524"/>
      <c r="AS35" s="524"/>
      <c r="AT35" s="524"/>
      <c r="AU35" s="524"/>
      <c r="AV35" s="524"/>
      <c r="AW35" s="524"/>
      <c r="AX35" s="524"/>
      <c r="AY35" s="524"/>
      <c r="AZ35" s="524"/>
      <c r="BA35" s="524"/>
      <c r="BB35" s="524"/>
      <c r="BC35" s="525"/>
      <c r="BD35" s="382"/>
      <c r="BE35" s="371"/>
      <c r="BF35" s="371"/>
      <c r="BG35" s="371"/>
      <c r="BH35" s="371"/>
      <c r="BI35" s="371"/>
      <c r="BJ35" s="366"/>
    </row>
    <row r="36" spans="1:62" ht="30" customHeight="1">
      <c r="A36" s="476"/>
      <c r="B36" s="457"/>
      <c r="C36" s="458"/>
      <c r="D36" s="379"/>
      <c r="E36" s="380"/>
      <c r="F36" s="380"/>
      <c r="G36" s="380"/>
      <c r="H36" s="380"/>
      <c r="I36" s="380"/>
      <c r="J36" s="380"/>
      <c r="K36" s="380"/>
      <c r="L36" s="380"/>
      <c r="M36" s="380"/>
      <c r="N36" s="380"/>
      <c r="O36" s="380"/>
      <c r="P36" s="381"/>
      <c r="Q36" s="390"/>
      <c r="R36" s="524"/>
      <c r="S36" s="524"/>
      <c r="T36" s="524"/>
      <c r="U36" s="524"/>
      <c r="V36" s="524"/>
      <c r="W36" s="524"/>
      <c r="X36" s="524"/>
      <c r="Y36" s="524"/>
      <c r="Z36" s="524"/>
      <c r="AA36" s="524"/>
      <c r="AB36" s="524"/>
      <c r="AC36" s="524"/>
      <c r="AD36" s="524"/>
      <c r="AE36" s="524"/>
      <c r="AF36" s="524"/>
      <c r="AG36" s="524"/>
      <c r="AH36" s="524"/>
      <c r="AI36" s="524"/>
      <c r="AJ36" s="524"/>
      <c r="AK36" s="524"/>
      <c r="AL36" s="524"/>
      <c r="AM36" s="524"/>
      <c r="AN36" s="524"/>
      <c r="AO36" s="524"/>
      <c r="AP36" s="524"/>
      <c r="AQ36" s="524"/>
      <c r="AR36" s="524"/>
      <c r="AS36" s="524"/>
      <c r="AT36" s="524"/>
      <c r="AU36" s="524"/>
      <c r="AV36" s="524"/>
      <c r="AW36" s="524"/>
      <c r="AX36" s="524"/>
      <c r="AY36" s="524"/>
      <c r="AZ36" s="524"/>
      <c r="BA36" s="524"/>
      <c r="BB36" s="524"/>
      <c r="BC36" s="525"/>
      <c r="BD36" s="382"/>
      <c r="BE36" s="371"/>
      <c r="BF36" s="371"/>
      <c r="BG36" s="371"/>
      <c r="BH36" s="371"/>
      <c r="BI36" s="371"/>
      <c r="BJ36" s="366"/>
    </row>
    <row r="37" spans="1:62" ht="30" customHeight="1">
      <c r="A37" s="476"/>
      <c r="B37" s="457"/>
      <c r="C37" s="458"/>
      <c r="D37" s="379"/>
      <c r="E37" s="380"/>
      <c r="F37" s="380"/>
      <c r="G37" s="380"/>
      <c r="H37" s="380"/>
      <c r="I37" s="380"/>
      <c r="J37" s="380"/>
      <c r="K37" s="380"/>
      <c r="L37" s="380"/>
      <c r="M37" s="380"/>
      <c r="N37" s="380"/>
      <c r="O37" s="380"/>
      <c r="P37" s="381"/>
      <c r="Q37" s="390"/>
      <c r="R37" s="524"/>
      <c r="S37" s="524"/>
      <c r="T37" s="524"/>
      <c r="U37" s="524"/>
      <c r="V37" s="524"/>
      <c r="W37" s="524"/>
      <c r="X37" s="524"/>
      <c r="Y37" s="524"/>
      <c r="Z37" s="524"/>
      <c r="AA37" s="524"/>
      <c r="AB37" s="524"/>
      <c r="AC37" s="524"/>
      <c r="AD37" s="524"/>
      <c r="AE37" s="524"/>
      <c r="AF37" s="524"/>
      <c r="AG37" s="524"/>
      <c r="AH37" s="524"/>
      <c r="AI37" s="524"/>
      <c r="AJ37" s="524"/>
      <c r="AK37" s="524"/>
      <c r="AL37" s="524"/>
      <c r="AM37" s="524"/>
      <c r="AN37" s="524"/>
      <c r="AO37" s="524"/>
      <c r="AP37" s="524"/>
      <c r="AQ37" s="524"/>
      <c r="AR37" s="524"/>
      <c r="AS37" s="524"/>
      <c r="AT37" s="524"/>
      <c r="AU37" s="524"/>
      <c r="AV37" s="524"/>
      <c r="AW37" s="524"/>
      <c r="AX37" s="524"/>
      <c r="AY37" s="524"/>
      <c r="AZ37" s="524"/>
      <c r="BA37" s="524"/>
      <c r="BB37" s="524"/>
      <c r="BC37" s="525"/>
      <c r="BD37" s="382"/>
      <c r="BE37" s="371"/>
      <c r="BF37" s="371"/>
      <c r="BG37" s="371"/>
      <c r="BH37" s="371"/>
      <c r="BI37" s="371"/>
      <c r="BJ37" s="366"/>
    </row>
    <row r="38" spans="1:62" ht="30" customHeight="1">
      <c r="A38" s="476"/>
      <c r="B38" s="457"/>
      <c r="C38" s="458"/>
      <c r="D38" s="379"/>
      <c r="E38" s="380"/>
      <c r="F38" s="380"/>
      <c r="G38" s="380"/>
      <c r="H38" s="380"/>
      <c r="I38" s="380"/>
      <c r="J38" s="380"/>
      <c r="K38" s="380"/>
      <c r="L38" s="380"/>
      <c r="M38" s="380"/>
      <c r="N38" s="380"/>
      <c r="O38" s="380"/>
      <c r="P38" s="381"/>
      <c r="Q38" s="390"/>
      <c r="R38" s="524"/>
      <c r="S38" s="524"/>
      <c r="T38" s="524"/>
      <c r="U38" s="524"/>
      <c r="V38" s="524"/>
      <c r="W38" s="524"/>
      <c r="X38" s="524"/>
      <c r="Y38" s="524"/>
      <c r="Z38" s="524"/>
      <c r="AA38" s="524"/>
      <c r="AB38" s="524"/>
      <c r="AC38" s="524"/>
      <c r="AD38" s="524"/>
      <c r="AE38" s="524"/>
      <c r="AF38" s="524"/>
      <c r="AG38" s="524"/>
      <c r="AH38" s="524"/>
      <c r="AI38" s="524"/>
      <c r="AJ38" s="524"/>
      <c r="AK38" s="524"/>
      <c r="AL38" s="524"/>
      <c r="AM38" s="524"/>
      <c r="AN38" s="524"/>
      <c r="AO38" s="524"/>
      <c r="AP38" s="524"/>
      <c r="AQ38" s="524"/>
      <c r="AR38" s="524"/>
      <c r="AS38" s="524"/>
      <c r="AT38" s="524"/>
      <c r="AU38" s="524"/>
      <c r="AV38" s="524"/>
      <c r="AW38" s="524"/>
      <c r="AX38" s="524"/>
      <c r="AY38" s="524"/>
      <c r="AZ38" s="524"/>
      <c r="BA38" s="524"/>
      <c r="BB38" s="524"/>
      <c r="BC38" s="525"/>
      <c r="BD38" s="382"/>
      <c r="BE38" s="371"/>
      <c r="BF38" s="371"/>
      <c r="BG38" s="371"/>
      <c r="BH38" s="371"/>
      <c r="BI38" s="371"/>
      <c r="BJ38" s="366"/>
    </row>
    <row r="39" spans="1:62" ht="30" customHeight="1">
      <c r="A39" s="476"/>
      <c r="B39" s="457"/>
      <c r="C39" s="458"/>
      <c r="D39" s="379"/>
      <c r="E39" s="380"/>
      <c r="F39" s="380"/>
      <c r="G39" s="380"/>
      <c r="H39" s="380"/>
      <c r="I39" s="380"/>
      <c r="J39" s="380"/>
      <c r="K39" s="380"/>
      <c r="L39" s="380"/>
      <c r="M39" s="380"/>
      <c r="N39" s="380"/>
      <c r="O39" s="380"/>
      <c r="P39" s="381"/>
      <c r="Q39" s="390"/>
      <c r="R39" s="524"/>
      <c r="S39" s="524"/>
      <c r="T39" s="524"/>
      <c r="U39" s="524"/>
      <c r="V39" s="524"/>
      <c r="W39" s="524"/>
      <c r="X39" s="524"/>
      <c r="Y39" s="524"/>
      <c r="Z39" s="524"/>
      <c r="AA39" s="524"/>
      <c r="AB39" s="524"/>
      <c r="AC39" s="524"/>
      <c r="AD39" s="524"/>
      <c r="AE39" s="524"/>
      <c r="AF39" s="524"/>
      <c r="AG39" s="524"/>
      <c r="AH39" s="524"/>
      <c r="AI39" s="524"/>
      <c r="AJ39" s="524"/>
      <c r="AK39" s="524"/>
      <c r="AL39" s="524"/>
      <c r="AM39" s="524"/>
      <c r="AN39" s="524"/>
      <c r="AO39" s="524"/>
      <c r="AP39" s="524"/>
      <c r="AQ39" s="524"/>
      <c r="AR39" s="524"/>
      <c r="AS39" s="524"/>
      <c r="AT39" s="524"/>
      <c r="AU39" s="524"/>
      <c r="AV39" s="524"/>
      <c r="AW39" s="524"/>
      <c r="AX39" s="524"/>
      <c r="AY39" s="524"/>
      <c r="AZ39" s="524"/>
      <c r="BA39" s="524"/>
      <c r="BB39" s="524"/>
      <c r="BC39" s="525"/>
      <c r="BD39" s="382"/>
      <c r="BE39" s="371"/>
      <c r="BF39" s="371"/>
      <c r="BG39" s="371"/>
      <c r="BH39" s="371"/>
      <c r="BI39" s="371"/>
      <c r="BJ39" s="366"/>
    </row>
    <row r="40" spans="1:62" ht="30" customHeight="1">
      <c r="A40" s="471"/>
      <c r="B40" s="472"/>
      <c r="C40" s="473"/>
      <c r="D40" s="437"/>
      <c r="E40" s="438"/>
      <c r="F40" s="438"/>
      <c r="G40" s="438"/>
      <c r="H40" s="438"/>
      <c r="I40" s="438"/>
      <c r="J40" s="438"/>
      <c r="K40" s="438"/>
      <c r="L40" s="438"/>
      <c r="M40" s="438"/>
      <c r="N40" s="438"/>
      <c r="O40" s="438"/>
      <c r="P40" s="439"/>
      <c r="Q40" s="545"/>
      <c r="R40" s="546"/>
      <c r="S40" s="546"/>
      <c r="T40" s="546"/>
      <c r="U40" s="546"/>
      <c r="V40" s="546"/>
      <c r="W40" s="546"/>
      <c r="X40" s="546"/>
      <c r="Y40" s="546"/>
      <c r="Z40" s="546"/>
      <c r="AA40" s="546"/>
      <c r="AB40" s="546"/>
      <c r="AC40" s="546"/>
      <c r="AD40" s="546"/>
      <c r="AE40" s="546"/>
      <c r="AF40" s="546"/>
      <c r="AG40" s="546"/>
      <c r="AH40" s="546"/>
      <c r="AI40" s="546"/>
      <c r="AJ40" s="546"/>
      <c r="AK40" s="546"/>
      <c r="AL40" s="546"/>
      <c r="AM40" s="546"/>
      <c r="AN40" s="546"/>
      <c r="AO40" s="546"/>
      <c r="AP40" s="546"/>
      <c r="AQ40" s="546"/>
      <c r="AR40" s="546"/>
      <c r="AS40" s="546"/>
      <c r="AT40" s="546"/>
      <c r="AU40" s="546"/>
      <c r="AV40" s="546"/>
      <c r="AW40" s="546"/>
      <c r="AX40" s="546"/>
      <c r="AY40" s="546"/>
      <c r="AZ40" s="546"/>
      <c r="BA40" s="546"/>
      <c r="BB40" s="546"/>
      <c r="BC40" s="547"/>
      <c r="BD40" s="414"/>
      <c r="BE40" s="415"/>
      <c r="BF40" s="415"/>
      <c r="BG40" s="415"/>
      <c r="BH40" s="415"/>
      <c r="BI40" s="415"/>
      <c r="BJ40" s="416"/>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49999999999999" customHeight="1"/>
    <row r="52" ht="17.149999999999999" customHeight="1"/>
    <row r="53" ht="17.149999999999999" customHeight="1"/>
    <row r="54" ht="17.149999999999999"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1"/>
  <sheetViews>
    <sheetView view="pageBreakPreview" zoomScaleNormal="100" zoomScaleSheetLayoutView="100" workbookViewId="0"/>
  </sheetViews>
  <sheetFormatPr defaultColWidth="1.90625" defaultRowHeight="14"/>
  <cols>
    <col min="1" max="62" width="2.08984375" style="30" customWidth="1"/>
    <col min="63" max="63" width="2.90625" style="30" customWidth="1"/>
    <col min="64" max="73" width="2.08984375" style="30" customWidth="1"/>
    <col min="74" max="16384" width="1.90625" style="30"/>
  </cols>
  <sheetData>
    <row r="1" spans="1:62" s="36" customFormat="1" ht="18" customHeight="1">
      <c r="A1" s="36" t="s">
        <v>0</v>
      </c>
      <c r="BJ1" s="37" t="s">
        <v>1</v>
      </c>
    </row>
    <row r="2" spans="1:62" s="38" customFormat="1" ht="18" customHeight="1">
      <c r="A2" s="272" t="s">
        <v>59</v>
      </c>
      <c r="B2" s="273"/>
      <c r="C2" s="273"/>
      <c r="D2" s="273"/>
      <c r="E2" s="273"/>
      <c r="F2" s="273"/>
      <c r="G2" s="273"/>
      <c r="H2" s="273"/>
      <c r="I2" s="273"/>
      <c r="J2" s="273"/>
      <c r="K2" s="273"/>
      <c r="L2" s="273"/>
      <c r="M2" s="273"/>
      <c r="N2" s="273"/>
      <c r="O2" s="273"/>
      <c r="P2" s="273"/>
      <c r="Q2" s="273"/>
      <c r="R2" s="273"/>
      <c r="S2" s="273"/>
      <c r="T2" s="273"/>
      <c r="U2" s="273"/>
      <c r="V2" s="273"/>
      <c r="W2" s="273"/>
      <c r="X2" s="273"/>
      <c r="Y2" s="273"/>
      <c r="Z2" s="273"/>
      <c r="AA2" s="273"/>
      <c r="AB2" s="273"/>
      <c r="AC2" s="273"/>
      <c r="AD2" s="273"/>
      <c r="AE2" s="273"/>
      <c r="AF2" s="273"/>
      <c r="AG2" s="273"/>
      <c r="AH2" s="273"/>
      <c r="AI2" s="273"/>
      <c r="AJ2" s="273"/>
      <c r="AK2" s="273"/>
      <c r="AL2" s="273"/>
      <c r="AM2" s="273"/>
      <c r="AN2" s="273"/>
      <c r="AO2" s="273"/>
      <c r="AP2" s="273"/>
      <c r="AQ2" s="273"/>
      <c r="AR2" s="273"/>
      <c r="AS2" s="273"/>
      <c r="AT2" s="273"/>
      <c r="AU2" s="274"/>
      <c r="AV2" s="257" t="s">
        <v>3</v>
      </c>
      <c r="AW2" s="258"/>
      <c r="AX2" s="258"/>
      <c r="AY2" s="259"/>
      <c r="AZ2" s="257" t="s">
        <v>60</v>
      </c>
      <c r="BA2" s="258"/>
      <c r="BB2" s="258"/>
      <c r="BC2" s="259"/>
      <c r="BD2" s="267" t="s">
        <v>5</v>
      </c>
      <c r="BE2" s="268"/>
      <c r="BF2" s="268"/>
      <c r="BG2" s="269"/>
      <c r="BH2" s="268"/>
      <c r="BI2" s="268"/>
      <c r="BJ2" s="269"/>
    </row>
    <row r="3" spans="1:62" s="22" customFormat="1"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2" s="22" customFormat="1"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2" s="39" customFormat="1" ht="4.5" customHeight="1"/>
    <row r="6" spans="1:62" ht="30.75" customHeight="1">
      <c r="A6" s="267" t="s">
        <v>17</v>
      </c>
      <c r="B6" s="268"/>
      <c r="C6" s="268"/>
      <c r="D6" s="268"/>
      <c r="E6" s="268"/>
      <c r="F6" s="268"/>
      <c r="G6" s="269"/>
      <c r="H6" s="561" t="s">
        <v>177</v>
      </c>
      <c r="I6" s="562"/>
      <c r="J6" s="562"/>
      <c r="K6" s="562"/>
      <c r="L6" s="562"/>
      <c r="M6" s="562"/>
      <c r="N6" s="563"/>
      <c r="O6" s="267" t="s">
        <v>10</v>
      </c>
      <c r="P6" s="268"/>
      <c r="Q6" s="268"/>
      <c r="R6" s="268"/>
      <c r="S6" s="268"/>
      <c r="T6" s="268"/>
      <c r="U6" s="269"/>
      <c r="V6" s="558" t="str">
        <f>変更履歴!H6</f>
        <v>滞留立替金利補正入力</v>
      </c>
      <c r="W6" s="559"/>
      <c r="X6" s="559"/>
      <c r="Y6" s="559"/>
      <c r="Z6" s="559"/>
      <c r="AA6" s="559"/>
      <c r="AB6" s="559"/>
      <c r="AC6" s="559"/>
      <c r="AD6" s="559"/>
      <c r="AE6" s="559"/>
      <c r="AF6" s="559"/>
      <c r="AG6" s="559"/>
      <c r="AH6" s="559"/>
      <c r="AI6" s="559"/>
      <c r="AJ6" s="559"/>
      <c r="AK6" s="559"/>
      <c r="AL6" s="559"/>
      <c r="AM6" s="559"/>
      <c r="AN6" s="559"/>
      <c r="AO6" s="559"/>
      <c r="AP6" s="559"/>
      <c r="AQ6" s="559"/>
      <c r="AR6" s="559"/>
      <c r="AS6" s="559"/>
      <c r="AT6" s="559"/>
      <c r="AU6" s="559"/>
      <c r="AV6" s="559"/>
      <c r="AW6" s="559"/>
      <c r="AX6" s="559"/>
      <c r="AY6" s="559"/>
      <c r="AZ6" s="559"/>
      <c r="BA6" s="559"/>
      <c r="BB6" s="559"/>
      <c r="BC6" s="559"/>
      <c r="BD6" s="559"/>
      <c r="BE6" s="559"/>
      <c r="BF6" s="559"/>
      <c r="BG6" s="559"/>
      <c r="BH6" s="559"/>
      <c r="BI6" s="559"/>
      <c r="BJ6" s="560"/>
    </row>
    <row r="7" spans="1:62" s="59" customFormat="1" ht="9" customHeight="1"/>
    <row r="8" spans="1:62" ht="22.5" customHeight="1">
      <c r="A8" s="64"/>
      <c r="B8" s="65" t="s">
        <v>61</v>
      </c>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6"/>
    </row>
    <row r="9" spans="1:62" ht="30" customHeight="1">
      <c r="A9" s="43"/>
      <c r="BJ9" s="46"/>
    </row>
    <row r="10" spans="1:62" ht="30.65" customHeight="1">
      <c r="A10" s="43"/>
      <c r="C10" s="60" t="s">
        <v>457</v>
      </c>
      <c r="BJ10" s="46"/>
    </row>
    <row r="11" spans="1:62" ht="30.75" customHeight="1">
      <c r="A11" s="43"/>
      <c r="C11" s="60" t="s">
        <v>441</v>
      </c>
      <c r="D11" s="60"/>
      <c r="E11" s="187"/>
      <c r="F11" s="187"/>
      <c r="BJ11" s="46"/>
    </row>
    <row r="12" spans="1:62" ht="30.75" customHeight="1">
      <c r="A12" s="43"/>
      <c r="E12" s="187" t="s">
        <v>442</v>
      </c>
      <c r="F12" s="187"/>
      <c r="BJ12" s="46"/>
    </row>
    <row r="13" spans="1:62" ht="30.75" customHeight="1">
      <c r="A13" s="43"/>
      <c r="D13" s="60" t="s">
        <v>440</v>
      </c>
      <c r="E13" s="187"/>
      <c r="F13" s="187"/>
      <c r="BJ13" s="46"/>
    </row>
    <row r="14" spans="1:62" ht="30.75" customHeight="1">
      <c r="A14" s="43"/>
      <c r="D14" s="60"/>
      <c r="E14" s="187" t="s">
        <v>443</v>
      </c>
      <c r="F14" s="187"/>
      <c r="BJ14" s="46"/>
    </row>
    <row r="15" spans="1:62" ht="30.75" customHeight="1">
      <c r="A15" s="43"/>
      <c r="BJ15" s="46"/>
    </row>
    <row r="16" spans="1:62" ht="30.75" customHeight="1">
      <c r="A16" s="43"/>
      <c r="C16" s="60" t="s">
        <v>444</v>
      </c>
      <c r="D16" s="60"/>
      <c r="E16" s="187"/>
      <c r="F16" s="187"/>
      <c r="BJ16" s="46"/>
    </row>
    <row r="17" spans="1:62" ht="30.75" customHeight="1">
      <c r="A17" s="43"/>
      <c r="E17" s="187" t="s">
        <v>445</v>
      </c>
      <c r="F17" s="187"/>
      <c r="BJ17" s="46"/>
    </row>
    <row r="18" spans="1:62" ht="30.75" customHeight="1">
      <c r="A18" s="43"/>
      <c r="D18" s="60" t="s">
        <v>440</v>
      </c>
      <c r="E18" s="187"/>
      <c r="F18" s="187"/>
      <c r="BJ18" s="46"/>
    </row>
    <row r="19" spans="1:62" ht="30.75" customHeight="1">
      <c r="A19" s="43"/>
      <c r="E19" s="187" t="s">
        <v>446</v>
      </c>
      <c r="F19" s="187"/>
      <c r="BJ19" s="46"/>
    </row>
    <row r="20" spans="1:62" ht="30.75" customHeight="1">
      <c r="A20" s="43"/>
      <c r="BJ20" s="46"/>
    </row>
    <row r="21" spans="1:62" ht="30.75" customHeight="1">
      <c r="A21" s="43"/>
      <c r="C21" s="60" t="s">
        <v>447</v>
      </c>
      <c r="D21" s="60"/>
      <c r="E21" s="187"/>
      <c r="F21" s="187"/>
      <c r="BJ21" s="46"/>
    </row>
    <row r="22" spans="1:62" ht="30.75" customHeight="1">
      <c r="A22" s="43"/>
      <c r="D22" s="60" t="s">
        <v>438</v>
      </c>
      <c r="E22" s="60"/>
      <c r="F22" s="60"/>
      <c r="BJ22" s="46"/>
    </row>
    <row r="23" spans="1:62" ht="30.75" customHeight="1">
      <c r="A23" s="43"/>
      <c r="D23" s="36"/>
      <c r="E23" s="58" t="s">
        <v>448</v>
      </c>
      <c r="F23" s="58"/>
      <c r="BJ23" s="46"/>
    </row>
    <row r="24" spans="1:62" ht="30.75" customHeight="1">
      <c r="A24" s="43"/>
      <c r="D24" s="36"/>
      <c r="E24" s="58" t="s">
        <v>449</v>
      </c>
      <c r="F24" s="58"/>
      <c r="BJ24" s="46"/>
    </row>
    <row r="25" spans="1:62" ht="30.75" customHeight="1">
      <c r="A25" s="43"/>
      <c r="D25" s="36"/>
      <c r="E25" s="36"/>
      <c r="F25" s="60" t="s">
        <v>450</v>
      </c>
      <c r="BJ25" s="46"/>
    </row>
    <row r="26" spans="1:62" ht="30.75" customHeight="1">
      <c r="A26" s="43"/>
      <c r="C26" s="60"/>
      <c r="D26" s="60" t="s">
        <v>439</v>
      </c>
      <c r="E26" s="60"/>
      <c r="F26" s="60"/>
      <c r="BJ26" s="46"/>
    </row>
    <row r="27" spans="1:62" ht="30.75" customHeight="1">
      <c r="A27" s="43"/>
      <c r="D27" s="36"/>
      <c r="E27" s="256" t="s">
        <v>451</v>
      </c>
      <c r="F27" s="256"/>
      <c r="BJ27" s="46"/>
    </row>
    <row r="28" spans="1:62" ht="30.75" customHeight="1">
      <c r="A28" s="43"/>
      <c r="D28" s="60" t="s">
        <v>440</v>
      </c>
      <c r="E28" s="187"/>
      <c r="F28" s="187"/>
      <c r="BJ28" s="46"/>
    </row>
    <row r="29" spans="1:62" ht="30.75" customHeight="1">
      <c r="A29" s="43"/>
      <c r="D29" s="60"/>
      <c r="E29" s="187" t="s">
        <v>452</v>
      </c>
      <c r="F29" s="187"/>
      <c r="BJ29" s="46"/>
    </row>
    <row r="30" spans="1:62" ht="30.75" customHeight="1">
      <c r="A30" s="43"/>
      <c r="BJ30" s="46"/>
    </row>
    <row r="31" spans="1:62" ht="30.75" customHeight="1">
      <c r="A31" s="43"/>
      <c r="C31" s="60" t="s">
        <v>453</v>
      </c>
      <c r="D31" s="60"/>
      <c r="E31" s="60"/>
      <c r="F31" s="60"/>
      <c r="BJ31" s="46"/>
    </row>
    <row r="32" spans="1:62" ht="30.75" customHeight="1">
      <c r="A32" s="43"/>
      <c r="C32" s="60"/>
      <c r="D32" s="60" t="s">
        <v>438</v>
      </c>
      <c r="E32" s="60"/>
      <c r="F32" s="60"/>
      <c r="BJ32" s="46"/>
    </row>
    <row r="33" spans="1:62" ht="30.75" customHeight="1">
      <c r="A33" s="43"/>
      <c r="C33" s="58"/>
      <c r="D33" s="36"/>
      <c r="E33" s="58" t="s">
        <v>454</v>
      </c>
      <c r="F33" s="58"/>
      <c r="BJ33" s="46"/>
    </row>
    <row r="34" spans="1:62" ht="30.75" customHeight="1">
      <c r="A34" s="43"/>
      <c r="C34" s="58"/>
      <c r="D34" s="36"/>
      <c r="E34" s="58" t="s">
        <v>455</v>
      </c>
      <c r="F34" s="58"/>
      <c r="BJ34" s="46"/>
    </row>
    <row r="35" spans="1:62" ht="30.75" customHeight="1">
      <c r="A35" s="43"/>
      <c r="C35" s="58"/>
      <c r="D35" s="36"/>
      <c r="E35" s="36"/>
      <c r="F35" s="60" t="s">
        <v>450</v>
      </c>
      <c r="BJ35" s="46"/>
    </row>
    <row r="36" spans="1:62" ht="30.75" customHeight="1">
      <c r="A36" s="43"/>
      <c r="C36" s="60"/>
      <c r="D36" s="60" t="s">
        <v>439</v>
      </c>
      <c r="E36" s="60"/>
      <c r="F36" s="60"/>
      <c r="BJ36" s="46"/>
    </row>
    <row r="37" spans="1:62" ht="30.75" customHeight="1">
      <c r="A37" s="43"/>
      <c r="C37" s="60"/>
      <c r="D37" s="36"/>
      <c r="E37" s="58" t="s">
        <v>454</v>
      </c>
      <c r="F37" s="256"/>
      <c r="BJ37" s="46"/>
    </row>
    <row r="38" spans="1:62" ht="30.75" customHeight="1">
      <c r="A38" s="43"/>
      <c r="C38" s="60"/>
      <c r="D38" s="60" t="s">
        <v>440</v>
      </c>
      <c r="E38" s="187"/>
      <c r="F38" s="187"/>
      <c r="BJ38" s="46"/>
    </row>
    <row r="39" spans="1:62" ht="30.75" customHeight="1">
      <c r="A39" s="43"/>
      <c r="C39" s="36"/>
      <c r="D39" s="60"/>
      <c r="E39" s="187" t="s">
        <v>456</v>
      </c>
      <c r="F39" s="187"/>
      <c r="BJ39" s="46"/>
    </row>
    <row r="40" spans="1:62" ht="30.75"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30.75"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dcmitype/"/>
    <ds:schemaRef ds:uri="b9cc7365-e218-4624-aedb-0a55e821af1f"/>
    <ds:schemaRef ds:uri="http://schemas.microsoft.com/office/infopath/2007/PartnerControls"/>
    <ds:schemaRef ds:uri="4a1f72ec-30b8-4383-892a-fcacdd251f13"/>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688D7552-8F25-4D89-951D-30028B93B9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2.レイアウト（検索)</vt:lpstr>
      <vt:lpstr>3.項目説明(検索）</vt:lpstr>
      <vt:lpstr>4.項目チェック（単体）_検索</vt:lpstr>
      <vt:lpstr>5.項目チェック（関連）_検索</vt:lpstr>
      <vt:lpstr>2.レイアウト（入力)</vt:lpstr>
      <vt:lpstr>3.項目説明(入力）</vt:lpstr>
      <vt:lpstr>4.項目チェック（単体）_入力</vt:lpstr>
      <vt:lpstr>5.項目チェック（関連）_入力</vt:lpstr>
      <vt:lpstr>2.レイアウト（確認)</vt:lpstr>
      <vt:lpstr>3.項目説明(確認）</vt:lpstr>
      <vt:lpstr>4.項目チェック（単体）_確認</vt:lpstr>
      <vt:lpstr>5.項目チェック（関連）_確認</vt:lpstr>
      <vt:lpstr>6．画面機能補足説明</vt:lpstr>
      <vt:lpstr>'1.遷移図'!Print_Area</vt:lpstr>
      <vt:lpstr>'2.レイアウト（確認)'!Print_Area</vt:lpstr>
      <vt:lpstr>'2.レイアウト（検索)'!Print_Area</vt:lpstr>
      <vt:lpstr>'2.レイアウト（入力)'!Print_Area</vt:lpstr>
      <vt:lpstr>'3.項目説明(確認）'!Print_Area</vt:lpstr>
      <vt:lpstr>'3.項目説明(検索）'!Print_Area</vt:lpstr>
      <vt:lpstr>'3.項目説明(入力）'!Print_Area</vt:lpstr>
      <vt:lpstr>'4.項目チェック（単体）_確認'!Print_Area</vt:lpstr>
      <vt:lpstr>'4.項目チェック（単体）_検索'!Print_Area</vt:lpstr>
      <vt:lpstr>'4.項目チェック（単体）_入力'!Print_Area</vt:lpstr>
      <vt:lpstr>'5.項目チェック（関連）_確認'!Print_Area</vt:lpstr>
      <vt:lpstr>'5.項目チェック（関連）_検索'!Print_Area</vt:lpstr>
      <vt:lpstr>'5.項目チェック（関連）_入力'!Print_Area</vt:lpstr>
      <vt:lpstr>'6．画面機能補足説明'!Print_Area</vt:lpstr>
      <vt:lpstr>変更履歴!Print_Area</vt:lpstr>
      <vt:lpstr>'3.項目説明(確認）'!Print_Titles</vt:lpstr>
      <vt:lpstr>'3.項目説明(検索）'!Print_Titles</vt:lpstr>
      <vt:lpstr>'3.項目説明(入力）'!Print_Titles</vt:lpstr>
      <vt:lpstr>'4.項目チェック（単体）_確認'!Print_Titles</vt:lpstr>
      <vt:lpstr>'4.項目チェック（単体）_検索'!Print_Titles</vt:lpstr>
      <vt:lpstr>'4.項目チェック（単体）_入力'!Print_Titles</vt:lpstr>
      <vt:lpstr>'5.項目チェック（関連）_確認'!Print_Titles</vt:lpstr>
      <vt:lpstr>'5.項目チェック（関連）_検索'!Print_Titles</vt:lpstr>
      <vt:lpstr>'5.項目チェック（関連）_入力'!Print_Titles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2025-08-22T07:47:37Z</cp:lastPrinted>
  <dcterms:created xsi:type="dcterms:W3CDTF">2001-03-06T02:20:07Z</dcterms:created>
  <dcterms:modified xsi:type="dcterms:W3CDTF">2025-08-28T04:10:16Z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