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.共計\9.3.繰越\"/>
    </mc:Choice>
  </mc:AlternateContent>
  <xr:revisionPtr revIDLastSave="0" documentId="13_ncr:1_{648559A8-DE2A-48D1-81A0-9D8D005FD07E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補足・購買共計年度繰越の仕様について" sheetId="20" r:id="rId2"/>
  </sheets>
  <definedNames>
    <definedName name="_xlnm.Print_Area" localSheetId="0">変更履歴!$A$1:$BJ$60</definedName>
    <definedName name="_xlnm.Print_Area" localSheetId="1">補足・購買共計年度繰越の仕様について!$A$1:$BJ$163</definedName>
    <definedName name="_xlnm.Print_Titles" localSheetId="0">変更履歴!$1:$5</definedName>
    <definedName name="_xlnm.Print_Titles" localSheetId="1">補足・購買共計年度繰越の仕様について!$1:$6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1" i="20" l="1"/>
  <c r="N41" i="20"/>
  <c r="J41" i="20"/>
  <c r="AH150" i="20"/>
  <c r="AH143" i="20"/>
  <c r="AD143" i="20"/>
  <c r="AD130" i="20"/>
  <c r="V41" i="20"/>
  <c r="R41" i="20"/>
  <c r="AD150" i="20"/>
  <c r="AD135" i="20"/>
</calcChain>
</file>

<file path=xl/sharedStrings.xml><?xml version="1.0" encoding="utf-8"?>
<sst xmlns="http://schemas.openxmlformats.org/spreadsheetml/2006/main" count="234" uniqueCount="164">
  <si>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</si>
  <si>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</si>
  <si>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</si>
  <si>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</si>
  <si>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</si>
  <si>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</si>
  <si>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</si>
  <si>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</si>
  <si>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補足説明№</t>
    <rPh sb="0" eb="2">
      <t>ホソク</t>
    </rPh>
    <rPh sb="2" eb="4">
      <t>セツメイ</t>
    </rPh>
    <phoneticPr fontId="2"/>
  </si>
  <si>
    <t>外 部 設 計 書　 補 足 説 明</t>
    <phoneticPr fontId="2"/>
  </si>
  <si>
    <t>F4190-0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</si>
  <si>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</si>
  <si>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</si>
  <si>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</si>
  <si>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1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</si>
  <si>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</si>
  <si>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</si>
  <si>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</si>
  <si>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</si>
  <si>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24058</t>
  </si>
  <si>
    <t>基幹システム再構築　会計システム外部設計</t>
  </si>
  <si>
    <t>共計</t>
    <rPh sb="0" eb="2">
      <t>キョウケイ</t>
    </rPh>
    <phoneticPr fontId="2"/>
  </si>
  <si>
    <t>（１）</t>
    <phoneticPr fontId="2"/>
  </si>
  <si>
    <t>購買共計支払金</t>
  </si>
  <si>
    <t>購買共計受入金</t>
  </si>
  <si>
    <t>残高</t>
  </si>
  <si>
    <t>数量</t>
  </si>
  <si>
    <t>金額</t>
  </si>
  <si>
    <t>例</t>
  </si>
  <si>
    <t>１．購買共計年度繰越の仕様について</t>
    <rPh sb="2" eb="6">
      <t>コウバイキョウケイ</t>
    </rPh>
    <rPh sb="6" eb="8">
      <t>ネンド</t>
    </rPh>
    <rPh sb="8" eb="10">
      <t>クリコシ</t>
    </rPh>
    <rPh sb="11" eb="13">
      <t>シヨウ</t>
    </rPh>
    <phoneticPr fontId="8"/>
  </si>
  <si>
    <t>⇒</t>
  </si>
  <si>
    <t>⇒</t>
    <phoneticPr fontId="2"/>
  </si>
  <si>
    <t>累積</t>
    <rPh sb="0" eb="2">
      <t>ルイセキ</t>
    </rPh>
    <phoneticPr fontId="2"/>
  </si>
  <si>
    <t>（３）</t>
    <phoneticPr fontId="2"/>
  </si>
  <si>
    <t>（２）</t>
    <phoneticPr fontId="2"/>
  </si>
  <si>
    <t>ア．</t>
  </si>
  <si>
    <t>判定値を用意する</t>
    <rPh sb="0" eb="2">
      <t>ハンテイ</t>
    </rPh>
    <rPh sb="2" eb="3">
      <t>アタイ</t>
    </rPh>
    <rPh sb="4" eb="6">
      <t>ヨウイ</t>
    </rPh>
    <phoneticPr fontId="2"/>
  </si>
  <si>
    <t>（ア）</t>
  </si>
  <si>
    <t>（イ）</t>
  </si>
  <si>
    <t>単価と残高金額を計算する</t>
    <rPh sb="0" eb="2">
      <t>タンカ</t>
    </rPh>
    <rPh sb="3" eb="5">
      <t>ザンダカ</t>
    </rPh>
    <rPh sb="5" eb="7">
      <t>キンガク</t>
    </rPh>
    <rPh sb="8" eb="10">
      <t>ケイサン</t>
    </rPh>
    <phoneticPr fontId="2"/>
  </si>
  <si>
    <t>÷　購買共計支払金換算数量分母</t>
  </si>
  <si>
    <t>各変数の算出方法</t>
    <rPh sb="0" eb="1">
      <t>カク</t>
    </rPh>
    <rPh sb="1" eb="3">
      <t>ヘンスウ</t>
    </rPh>
    <rPh sb="4" eb="8">
      <t>サンシュツホウホウ</t>
    </rPh>
    <phoneticPr fontId="2"/>
  </si>
  <si>
    <t>各変数の算出方法については以下の通り。</t>
    <rPh sb="0" eb="3">
      <t>カクヘンスウ</t>
    </rPh>
    <rPh sb="4" eb="6">
      <t>サンシュツ</t>
    </rPh>
    <rPh sb="6" eb="8">
      <t>ホウホウ</t>
    </rPh>
    <rPh sb="13" eb="15">
      <t>イカ</t>
    </rPh>
    <rPh sb="16" eb="17">
      <t>トオ</t>
    </rPh>
    <phoneticPr fontId="2"/>
  </si>
  <si>
    <t>（イ）</t>
    <phoneticPr fontId="2"/>
  </si>
  <si>
    <t>a.</t>
    <phoneticPr fontId="2"/>
  </si>
  <si>
    <t>b.</t>
    <phoneticPr fontId="2"/>
  </si>
  <si>
    <t>（ウ）</t>
    <phoneticPr fontId="2"/>
  </si>
  <si>
    <t>イ．</t>
    <phoneticPr fontId="2"/>
  </si>
  <si>
    <t>１段階目のチェック</t>
    <phoneticPr fontId="2"/>
  </si>
  <si>
    <t>２段階目のチェック</t>
    <phoneticPr fontId="2"/>
  </si>
  <si>
    <t>残高金額</t>
    <phoneticPr fontId="2"/>
  </si>
  <si>
    <t>単価</t>
    <rPh sb="0" eb="2">
      <t>タンカ</t>
    </rPh>
    <phoneticPr fontId="2"/>
  </si>
  <si>
    <t>ア.</t>
  </si>
  <si>
    <t>ただし、残高金額がない場合は残高金額を０円とする。</t>
    <rPh sb="4" eb="6">
      <t>ザンダカ</t>
    </rPh>
    <rPh sb="6" eb="8">
      <t>キンガク</t>
    </rPh>
    <rPh sb="11" eb="13">
      <t>バアイ</t>
    </rPh>
    <rPh sb="14" eb="18">
      <t>ザンダカキンガク</t>
    </rPh>
    <rPh sb="20" eb="21">
      <t>エン</t>
    </rPh>
    <phoneticPr fontId="2"/>
  </si>
  <si>
    <t>イ.</t>
    <phoneticPr fontId="2"/>
  </si>
  <si>
    <t>9.3</t>
    <phoneticPr fontId="2"/>
  </si>
  <si>
    <t>残高分子</t>
    <rPh sb="0" eb="4">
      <t>ザンダカブンシ</t>
    </rPh>
    <phoneticPr fontId="2"/>
  </si>
  <si>
    <t>残高仮数</t>
    <rPh sb="0" eb="2">
      <t>ザンダカ</t>
    </rPh>
    <rPh sb="2" eb="4">
      <t>カスウ</t>
    </rPh>
    <phoneticPr fontId="2"/>
  </si>
  <si>
    <t>累積金額</t>
    <rPh sb="0" eb="2">
      <t>ルイセキ</t>
    </rPh>
    <rPh sb="2" eb="4">
      <t>キンガク</t>
    </rPh>
    <phoneticPr fontId="2"/>
  </si>
  <si>
    <t>支払金繰越数量仮数　＋　支払金借方数量仮数　＋　受入金貸方数量仮数</t>
    <phoneticPr fontId="2"/>
  </si>
  <si>
    <t>支払金仮数</t>
    <rPh sb="0" eb="3">
      <t>シハライキン</t>
    </rPh>
    <rPh sb="3" eb="5">
      <t>カスウ</t>
    </rPh>
    <phoneticPr fontId="1"/>
  </si>
  <si>
    <t>支払金分子</t>
    <rPh sb="0" eb="5">
      <t>シハライキンブンシ</t>
    </rPh>
    <phoneticPr fontId="1"/>
  </si>
  <si>
    <t>支払金金額</t>
    <rPh sb="0" eb="3">
      <t>シハライキン</t>
    </rPh>
    <rPh sb="3" eb="5">
      <t>キンガク</t>
    </rPh>
    <phoneticPr fontId="1"/>
  </si>
  <si>
    <t>受入金仮数</t>
    <rPh sb="0" eb="3">
      <t>ウケイレキン</t>
    </rPh>
    <rPh sb="3" eb="5">
      <t>カスウ</t>
    </rPh>
    <phoneticPr fontId="1"/>
  </si>
  <si>
    <t>受入金分子</t>
    <rPh sb="0" eb="3">
      <t>ウケイレキン</t>
    </rPh>
    <rPh sb="3" eb="5">
      <t>ブンシ</t>
    </rPh>
    <phoneticPr fontId="1"/>
  </si>
  <si>
    <t>受入金金額</t>
    <rPh sb="0" eb="3">
      <t>ウケイレキン</t>
    </rPh>
    <rPh sb="3" eb="5">
      <t>キンガク</t>
    </rPh>
    <phoneticPr fontId="1"/>
  </si>
  <si>
    <t>（支払金金額　×　購買共計支払金換算数量分母）÷　判定値</t>
    <rPh sb="1" eb="4">
      <t>シハライキン</t>
    </rPh>
    <rPh sb="4" eb="6">
      <t>キンガク</t>
    </rPh>
    <rPh sb="9" eb="11">
      <t>コウバイ</t>
    </rPh>
    <rPh sb="11" eb="13">
      <t>キョウケイ</t>
    </rPh>
    <rPh sb="13" eb="16">
      <t>シハライキン</t>
    </rPh>
    <rPh sb="16" eb="22">
      <t>カンサンスウリョウブンボ</t>
    </rPh>
    <rPh sb="25" eb="28">
      <t>ハンテイチ</t>
    </rPh>
    <phoneticPr fontId="2"/>
  </si>
  <si>
    <t>×（（残高仮数　×　購買共計支払金換算数量分母）＋　残高分子）　</t>
    <rPh sb="3" eb="5">
      <t>ザンダカ</t>
    </rPh>
    <rPh sb="5" eb="7">
      <t>カスウ</t>
    </rPh>
    <rPh sb="10" eb="12">
      <t>コウバイ</t>
    </rPh>
    <rPh sb="12" eb="14">
      <t>キョウケイ</t>
    </rPh>
    <rPh sb="14" eb="17">
      <t>シハライキン</t>
    </rPh>
    <rPh sb="17" eb="21">
      <t>カンサンスウリョウ</t>
    </rPh>
    <rPh sb="21" eb="23">
      <t>ブンボ</t>
    </rPh>
    <rPh sb="26" eb="28">
      <t>ザンダカ</t>
    </rPh>
    <rPh sb="28" eb="30">
      <t>ブンシ</t>
    </rPh>
    <phoneticPr fontId="2"/>
  </si>
  <si>
    <t>数量仮数</t>
    <rPh sb="2" eb="4">
      <t>カスウ</t>
    </rPh>
    <phoneticPr fontId="2"/>
  </si>
  <si>
    <t>数量分子</t>
    <rPh sb="2" eb="4">
      <t>ブンシ</t>
    </rPh>
    <phoneticPr fontId="2"/>
  </si>
  <si>
    <t>例えば購買共計支払金仮数は以下式によって算出される。</t>
    <rPh sb="0" eb="1">
      <t>タト</t>
    </rPh>
    <rPh sb="3" eb="7">
      <t>コウバイキョウケイ</t>
    </rPh>
    <rPh sb="7" eb="10">
      <t>シハライキン</t>
    </rPh>
    <rPh sb="10" eb="12">
      <t>カスウ</t>
    </rPh>
    <rPh sb="13" eb="15">
      <t>イカ</t>
    </rPh>
    <rPh sb="15" eb="16">
      <t>シキ</t>
    </rPh>
    <rPh sb="20" eb="22">
      <t>サンシュツ</t>
    </rPh>
    <phoneticPr fontId="1"/>
  </si>
  <si>
    <t>（ア）</t>
    <phoneticPr fontId="2"/>
  </si>
  <si>
    <t>※年は当年度分繰り返す項目となる（以下同様）</t>
    <rPh sb="1" eb="2">
      <t>ネン</t>
    </rPh>
    <rPh sb="3" eb="7">
      <t>トウネンドブン</t>
    </rPh>
    <rPh sb="7" eb="8">
      <t>ク</t>
    </rPh>
    <rPh sb="9" eb="10">
      <t>カエ</t>
    </rPh>
    <rPh sb="11" eb="13">
      <t>コウモク</t>
    </rPh>
    <rPh sb="17" eb="21">
      <t>イカドウヨウ</t>
    </rPh>
    <phoneticPr fontId="2"/>
  </si>
  <si>
    <t>※支払金繰越数量仮数　＋　支払金借方数量仮数　＋　受入金貸方数量仮数</t>
    <phoneticPr fontId="2"/>
  </si>
  <si>
    <t>支払金繰越金額　＋　支払金借方金額　＋　受入金貸方金額</t>
    <phoneticPr fontId="2"/>
  </si>
  <si>
    <t>※支払金繰越金額　＋　支払金借方金額　＋　受入金貸方金額</t>
    <phoneticPr fontId="2"/>
  </si>
  <si>
    <t>繰越金額</t>
    <rPh sb="0" eb="2">
      <t>クリコシ</t>
    </rPh>
    <rPh sb="2" eb="4">
      <t>キンガク</t>
    </rPh>
    <phoneticPr fontId="2"/>
  </si>
  <si>
    <t>残高</t>
    <rPh sb="0" eb="2">
      <t>ザンダカ</t>
    </rPh>
    <phoneticPr fontId="2"/>
  </si>
  <si>
    <t>購買共計支払金</t>
    <phoneticPr fontId="2"/>
  </si>
  <si>
    <t>購買共計受入金</t>
    <rPh sb="4" eb="6">
      <t>ウケイレ</t>
    </rPh>
    <phoneticPr fontId="2"/>
  </si>
  <si>
    <t>金額</t>
    <phoneticPr fontId="2"/>
  </si>
  <si>
    <t>繰越金額</t>
    <rPh sb="0" eb="4">
      <t>クリコシキンガク</t>
    </rPh>
    <phoneticPr fontId="2"/>
  </si>
  <si>
    <t>繰越仮数</t>
    <rPh sb="0" eb="2">
      <t>クリコシ</t>
    </rPh>
    <rPh sb="2" eb="4">
      <t>カスウ</t>
    </rPh>
    <phoneticPr fontId="2"/>
  </si>
  <si>
    <t>繰越分子</t>
    <rPh sb="0" eb="2">
      <t>クリコシ</t>
    </rPh>
    <rPh sb="2" eb="4">
      <t>ブンシ</t>
    </rPh>
    <phoneticPr fontId="2"/>
  </si>
  <si>
    <t>補足・購買共計年度繰越の仕様について</t>
    <rPh sb="3" eb="5">
      <t>コウバイ</t>
    </rPh>
    <rPh sb="5" eb="7">
      <t>キョウケイ</t>
    </rPh>
    <rPh sb="7" eb="9">
      <t>ネンド</t>
    </rPh>
    <rPh sb="9" eb="11">
      <t>クリコシ</t>
    </rPh>
    <rPh sb="12" eb="14">
      <t>シヨウ</t>
    </rPh>
    <phoneticPr fontId="2"/>
  </si>
  <si>
    <t>累積仮数</t>
    <rPh sb="0" eb="2">
      <t>ルイセキ</t>
    </rPh>
    <rPh sb="2" eb="4">
      <t>カスウ</t>
    </rPh>
    <phoneticPr fontId="2"/>
  </si>
  <si>
    <t>累積数量（累積仮数）が０以下の場合</t>
    <phoneticPr fontId="2"/>
  </si>
  <si>
    <t>残高仮数が０以下かつ、残高分子が０以下の場合</t>
    <phoneticPr fontId="2"/>
  </si>
  <si>
    <t>累積仮数が０より大きいかつ、累積金額が０より小さい場合繰越対象とする。</t>
    <phoneticPr fontId="2"/>
  </si>
  <si>
    <t>残高仮数と残高分子のどちらかが０より大きい場合繰越対象とする。</t>
    <rPh sb="0" eb="2">
      <t>ザンダカ</t>
    </rPh>
    <rPh sb="2" eb="4">
      <t>カスウ</t>
    </rPh>
    <rPh sb="5" eb="7">
      <t>ザンダカ</t>
    </rPh>
    <rPh sb="7" eb="9">
      <t>ブンシ</t>
    </rPh>
    <rPh sb="18" eb="19">
      <t>オオ</t>
    </rPh>
    <rPh sb="21" eb="23">
      <t>バアイ</t>
    </rPh>
    <phoneticPr fontId="2"/>
  </si>
  <si>
    <t>判定値が０以下</t>
    <rPh sb="0" eb="3">
      <t>ハンテイチ</t>
    </rPh>
    <rPh sb="5" eb="7">
      <t>イカ</t>
    </rPh>
    <phoneticPr fontId="2"/>
  </si>
  <si>
    <t>支払金金額が０未満</t>
    <rPh sb="0" eb="3">
      <t>シハライキン</t>
    </rPh>
    <rPh sb="3" eb="5">
      <t>キンガク</t>
    </rPh>
    <rPh sb="7" eb="9">
      <t>ミマン</t>
    </rPh>
    <phoneticPr fontId="2"/>
  </si>
  <si>
    <t>ウ.</t>
    <phoneticPr fontId="2"/>
  </si>
  <si>
    <t>÷（（支払金仮数　×　購買共計支払金換算数量分母）＋　支払金分子）</t>
    <phoneticPr fontId="2"/>
  </si>
  <si>
    <t>）</t>
  </si>
  <si>
    <t>（</t>
    <phoneticPr fontId="2"/>
  </si>
  <si>
    <t>（支払金金額　×　購買共計支払金換算数量分母）</t>
  </si>
  <si>
    <t>（以下同様）</t>
    <rPh sb="1" eb="5">
      <t>イカドウヨウ</t>
    </rPh>
    <phoneticPr fontId="2"/>
  </si>
  <si>
    <t>受入金借方仮数・分子・金額に値が入らないため、式を簡略化すると下段の計算式となる。</t>
    <phoneticPr fontId="2"/>
  </si>
  <si>
    <t>※受入金繰越数量仮数・分子と受入金繰越金額、支払金貸方仮数・分子・金額、</t>
    <rPh sb="6" eb="8">
      <t>スウリョウ</t>
    </rPh>
    <rPh sb="8" eb="10">
      <t>カスウ</t>
    </rPh>
    <rPh sb="11" eb="13">
      <t>ブンシ</t>
    </rPh>
    <rPh sb="17" eb="19">
      <t>クリコシ</t>
    </rPh>
    <rPh sb="19" eb="21">
      <t>キンガク</t>
    </rPh>
    <phoneticPr fontId="2"/>
  </si>
  <si>
    <t>累積金額が０以上の場合</t>
    <rPh sb="9" eb="11">
      <t>バアイ</t>
    </rPh>
    <phoneticPr fontId="2"/>
  </si>
  <si>
    <t>残高仮数が０より大きい　または　残高分子が０より大きい場合</t>
    <rPh sb="0" eb="2">
      <t>ザンダカ</t>
    </rPh>
    <rPh sb="2" eb="4">
      <t>カスウ</t>
    </rPh>
    <rPh sb="8" eb="9">
      <t>オオ</t>
    </rPh>
    <rPh sb="18" eb="20">
      <t>ブンシ</t>
    </rPh>
    <phoneticPr fontId="2"/>
  </si>
  <si>
    <t>…累積数量仮数が０以下、累積金額が０以上となるため現行では繰越対象外となる。</t>
    <rPh sb="1" eb="5">
      <t>ルイセキスウリョウ</t>
    </rPh>
    <rPh sb="5" eb="7">
      <t>カスウ</t>
    </rPh>
    <rPh sb="9" eb="11">
      <t>イカ</t>
    </rPh>
    <rPh sb="29" eb="31">
      <t>クリコシ</t>
    </rPh>
    <rPh sb="31" eb="34">
      <t>タイショウガイ</t>
    </rPh>
    <phoneticPr fontId="2"/>
  </si>
  <si>
    <t>購買共計年度繰越対象となる条件について</t>
    <rPh sb="8" eb="10">
      <t>タイショウ</t>
    </rPh>
    <rPh sb="13" eb="15">
      <t>ジョウケン</t>
    </rPh>
    <phoneticPr fontId="2"/>
  </si>
  <si>
    <t>チェック処理、条件については以下の通り。</t>
    <rPh sb="4" eb="6">
      <t>ショリ</t>
    </rPh>
    <rPh sb="7" eb="9">
      <t>ジョウケン</t>
    </rPh>
    <rPh sb="14" eb="16">
      <t>イカ</t>
    </rPh>
    <rPh sb="17" eb="18">
      <t>トオ</t>
    </rPh>
    <phoneticPr fontId="2"/>
  </si>
  <si>
    <t>エ.</t>
    <phoneticPr fontId="2"/>
  </si>
  <si>
    <t>オ.</t>
    <phoneticPr fontId="2"/>
  </si>
  <si>
    <t>カ.</t>
    <phoneticPr fontId="2"/>
  </si>
  <si>
    <t>キ.</t>
    <phoneticPr fontId="2"/>
  </si>
  <si>
    <t>ク.</t>
    <phoneticPr fontId="2"/>
  </si>
  <si>
    <t>ケ.</t>
    <phoneticPr fontId="2"/>
  </si>
  <si>
    <t>コ．</t>
    <phoneticPr fontId="2"/>
  </si>
  <si>
    <t>※累積は仮数のみ対象。分子はなし。</t>
    <rPh sb="1" eb="3">
      <t>ルイセキ</t>
    </rPh>
    <rPh sb="4" eb="6">
      <t>カスウ</t>
    </rPh>
    <rPh sb="8" eb="10">
      <t>タイショウ</t>
    </rPh>
    <rPh sb="11" eb="13">
      <t>ブンシ</t>
    </rPh>
    <phoneticPr fontId="2"/>
  </si>
  <si>
    <t>支払金仮数　＋　受入金仮数</t>
    <phoneticPr fontId="2"/>
  </si>
  <si>
    <t>支払金金額　＋　受入金金額</t>
    <rPh sb="3" eb="5">
      <t>キンガク</t>
    </rPh>
    <rPh sb="11" eb="13">
      <t>キンガク</t>
    </rPh>
    <phoneticPr fontId="2"/>
  </si>
  <si>
    <t>サ．</t>
    <phoneticPr fontId="2"/>
  </si>
  <si>
    <t>シ．</t>
    <phoneticPr fontId="2"/>
  </si>
  <si>
    <t>当処理は年度繰越処理のため、支払金と受入金の仮数・分子・金額については年度の累計を使用する。</t>
    <rPh sb="0" eb="1">
      <t>トウ</t>
    </rPh>
    <rPh sb="1" eb="3">
      <t>ショリ</t>
    </rPh>
    <rPh sb="4" eb="8">
      <t>ネンドクリコシ</t>
    </rPh>
    <rPh sb="8" eb="10">
      <t>ショリ</t>
    </rPh>
    <rPh sb="14" eb="17">
      <t>シハライキン</t>
    </rPh>
    <rPh sb="18" eb="21">
      <t>ウケイレキン</t>
    </rPh>
    <rPh sb="22" eb="24">
      <t>カスウ</t>
    </rPh>
    <rPh sb="25" eb="27">
      <t>ブンシ</t>
    </rPh>
    <rPh sb="28" eb="30">
      <t>キンガク</t>
    </rPh>
    <rPh sb="35" eb="37">
      <t>ネンド</t>
    </rPh>
    <rPh sb="38" eb="40">
      <t>ルイケイ</t>
    </rPh>
    <rPh sb="41" eb="43">
      <t>シヨウ</t>
    </rPh>
    <phoneticPr fontId="1"/>
  </si>
  <si>
    <t>エラ－チェックを行う</t>
  </si>
  <si>
    <t>以下のどちらかの条件を満たした場合エラ－とする</t>
    <rPh sb="0" eb="2">
      <t>イカ</t>
    </rPh>
    <rPh sb="8" eb="10">
      <t>ジョウケン</t>
    </rPh>
    <rPh sb="11" eb="12">
      <t>ミ</t>
    </rPh>
    <rPh sb="15" eb="17">
      <t>バアイ</t>
    </rPh>
    <phoneticPr fontId="2"/>
  </si>
  <si>
    <t>１段階目エラ－チェックでエラ－とならなかった場合</t>
    <rPh sb="1" eb="4">
      <t>ダンカイメ</t>
    </rPh>
    <phoneticPr fontId="2"/>
  </si>
  <si>
    <t>１段階目エラ－チェックでエラ－となった場合</t>
    <rPh sb="1" eb="4">
      <t>ダンカイメ</t>
    </rPh>
    <phoneticPr fontId="2"/>
  </si>
  <si>
    <t>支払金仮数　＝　支払金繰越数量仮数　＋　４月支払金借方数量仮数　－　４月支払金貸方数量仮数　＋　</t>
    <rPh sb="0" eb="3">
      <t>シハライキン</t>
    </rPh>
    <rPh sb="3" eb="5">
      <t>カスウ</t>
    </rPh>
    <rPh sb="8" eb="11">
      <t>シハライキン</t>
    </rPh>
    <rPh sb="11" eb="13">
      <t>クリコシ</t>
    </rPh>
    <rPh sb="13" eb="15">
      <t>スウリョウ</t>
    </rPh>
    <rPh sb="15" eb="17">
      <t>カスウ</t>
    </rPh>
    <phoneticPr fontId="1"/>
  </si>
  <si>
    <t>５月支払金借方数量仮数　－　・・・　－　３月支払金貸方数量仮数</t>
  </si>
  <si>
    <t>支払金繰越数量仮数　＋　支払金借方数量仮数※年　－　支払金貸方数量仮数※年</t>
    <rPh sb="22" eb="23">
      <t>ネン</t>
    </rPh>
    <phoneticPr fontId="2"/>
  </si>
  <si>
    <t>支払金繰越数量分子　＋　支払金借方数量分子※年　－　支払金貸方数量分子※年</t>
  </si>
  <si>
    <t>支払金繰越金額　　　　＋　支払金借方金額※年　　　　－　支払金貸方金額※年</t>
  </si>
  <si>
    <t>受入金繰越数量仮数　＋　受入金貸方数量仮数※年　－　受入金借方数量仮数※年</t>
  </si>
  <si>
    <t>受入金繰越数量分子　＋　受入金貸方数量分子※年　－　受入金借方数量分子※年</t>
  </si>
  <si>
    <t>受入金繰越金額　　　　＋　受入金貸方金額※年　　　　－　受入金借方金額※年</t>
  </si>
  <si>
    <t>支払金仮数　－　受入金仮数</t>
  </si>
  <si>
    <t>＝　支払金繰越数量仮数　＋　支払金借方数量仮数※年　－　支払金貸方数量仮数※年</t>
  </si>
  <si>
    <t>－　（受入金繰越数量仮数　＋　受入金貸方数量仮数※年　－　受入金借方数量仮数※年）</t>
  </si>
  <si>
    <t>支払金繰越数量仮数　＋　支払金借方数量仮数　－　受入金貸方数量仮数</t>
  </si>
  <si>
    <t>支払金分子　－　受入金分子</t>
    <rPh sb="3" eb="5">
      <t>ブンシ</t>
    </rPh>
    <rPh sb="11" eb="13">
      <t>ブンシ</t>
    </rPh>
    <phoneticPr fontId="2"/>
  </si>
  <si>
    <t>＝　支払金繰越数量分子　＋　支払金借方数量分子※年　－　支払金貸方数量分子※年</t>
  </si>
  <si>
    <t>－　（受入金繰越数量分子　＋　受入金貸方数量分子※年　－　受入金借方数量分子※年）</t>
  </si>
  <si>
    <t>支払金繰越数量分子　＋　支払金借方数量分子　－　受入金貸方数量分子</t>
  </si>
  <si>
    <t>＋　（受入金繰越数量仮数　＋　受入金貸方数量仮数※年　－　受入金借方数量仮数※年）</t>
  </si>
  <si>
    <t>＝　支払金繰越金額 + 支払金借方金額※年 － 支払金貸方金額※年</t>
  </si>
  <si>
    <t>＋　 (受入金繰越金額 + 受入金貸方金額※年 － 受入金借方金額※年)</t>
  </si>
  <si>
    <t>現行システムで繰越対象外となるケ－スについて</t>
    <rPh sb="0" eb="2">
      <t>ゲンコウ</t>
    </rPh>
    <rPh sb="7" eb="9">
      <t>クリコシ</t>
    </rPh>
    <rPh sb="9" eb="12">
      <t>タイショウガイ</t>
    </rPh>
    <phoneticPr fontId="2"/>
  </si>
  <si>
    <t>判定値が０より大きいかつ、支払金金額が０以上（１段階目チェックでエラ－とならなかった）の場合</t>
    <rPh sb="0" eb="3">
      <t>ハンテイチ</t>
    </rPh>
    <rPh sb="7" eb="8">
      <t>オオ</t>
    </rPh>
    <phoneticPr fontId="2"/>
  </si>
  <si>
    <t>※支払金繰越数量（仮数/分子）　＋　支払金借方数量（仮数/分子）　－　受入金貸方数量（仮数/分子）</t>
    <rPh sb="12" eb="14">
      <t>ブンシ</t>
    </rPh>
    <phoneticPr fontId="2"/>
  </si>
  <si>
    <t>判定値が０以下または、支払金金額が０未満（１段階目のチェックでエラ－）の場合</t>
  </si>
  <si>
    <t>判定値 ＝（支払金仮数　×　購買共計支払金換算数量分母）＋　支払金分子</t>
    <rPh sb="6" eb="8">
      <t>シハライ</t>
    </rPh>
    <rPh sb="14" eb="16">
      <t>コウバイ</t>
    </rPh>
    <rPh sb="16" eb="18">
      <t>キョウケイ</t>
    </rPh>
    <rPh sb="18" eb="20">
      <t>シハライ</t>
    </rPh>
    <rPh sb="30" eb="32">
      <t>シハライ</t>
    </rPh>
    <phoneticPr fontId="2"/>
  </si>
  <si>
    <t>チェック処理の後、条件を満たしたものが繰越の対象となる。</t>
    <rPh sb="4" eb="6">
      <t>ショリ</t>
    </rPh>
    <rPh sb="7" eb="8">
      <t>ノチ</t>
    </rPh>
    <rPh sb="9" eb="11">
      <t>ジョウケン</t>
    </rPh>
    <rPh sb="12" eb="13">
      <t>ミ</t>
    </rPh>
    <rPh sb="19" eb="21">
      <t>クリコシ</t>
    </rPh>
    <rPh sb="22" eb="24">
      <t>タイショウ</t>
    </rPh>
    <phoneticPr fontId="2"/>
  </si>
  <si>
    <t>２段階目のチェックで繰越対象外となるケ－スのうち、以下の条件を満たす場合に繰越対象とする。</t>
    <rPh sb="1" eb="3">
      <t>ダンカイ</t>
    </rPh>
    <rPh sb="3" eb="4">
      <t>メ</t>
    </rPh>
    <rPh sb="25" eb="27">
      <t>イカ</t>
    </rPh>
    <rPh sb="28" eb="30">
      <t>ジョウケン</t>
    </rPh>
    <rPh sb="31" eb="32">
      <t>ミ</t>
    </rPh>
    <rPh sb="34" eb="36">
      <t>バアイ</t>
    </rPh>
    <rPh sb="37" eb="41">
      <t>クリコシタイショウ</t>
    </rPh>
    <phoneticPr fontId="2"/>
  </si>
  <si>
    <t>ここで繰越対象となった品目の繰越金額は、残高金額をそのまま設定する。</t>
    <phoneticPr fontId="2"/>
  </si>
  <si>
    <t>取引名</t>
    <rPh sb="0" eb="3">
      <t>トリヒキメイ</t>
    </rPh>
    <phoneticPr fontId="2"/>
  </si>
  <si>
    <t>農薬共計在庫繰越（振替前）</t>
    <phoneticPr fontId="2"/>
  </si>
  <si>
    <t>※数量の赤黒含む</t>
    <phoneticPr fontId="2"/>
  </si>
  <si>
    <t>借方</t>
    <rPh sb="0" eb="2">
      <t>カリカタ</t>
    </rPh>
    <phoneticPr fontId="2"/>
  </si>
  <si>
    <t>購買共計支払金（○年産品代）</t>
    <phoneticPr fontId="2"/>
  </si>
  <si>
    <t>購買共計支払金（〇〇年産品代）</t>
    <phoneticPr fontId="2"/>
  </si>
  <si>
    <t>購買共計支払金（〇〇年産消費税）</t>
    <phoneticPr fontId="2"/>
  </si>
  <si>
    <t>貸方</t>
  </si>
  <si>
    <t>農薬共計在庫繰越（振替後）</t>
    <phoneticPr fontId="2"/>
  </si>
  <si>
    <t>※数量情報含む</t>
    <phoneticPr fontId="2"/>
  </si>
  <si>
    <t>雑収入</t>
  </si>
  <si>
    <t>仕訳の例は以下</t>
    <rPh sb="0" eb="2">
      <t>シワケ</t>
    </rPh>
    <rPh sb="3" eb="4">
      <t>レイ</t>
    </rPh>
    <rPh sb="5" eb="7">
      <t>イカ</t>
    </rPh>
    <phoneticPr fontId="2"/>
  </si>
  <si>
    <t>除外になる可能性があるが、定例取引にて手動で仕訳を作成することで対応する。</t>
    <rPh sb="19" eb="21">
      <t>シュドウ</t>
    </rPh>
    <rPh sb="22" eb="24">
      <t>シワケ</t>
    </rPh>
    <rPh sb="25" eb="27">
      <t>サクセイ</t>
    </rPh>
    <phoneticPr fontId="2"/>
  </si>
  <si>
    <t>※</t>
    <phoneticPr fontId="2"/>
  </si>
  <si>
    <t>この判定で繰越すべきではない収支管理品目が繰越されたり、繰越すべき収支管理品目が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</si>
</sst>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&quot;▲ &quot;0"/>
  </numFmts>
  <fonts count="1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2"/>
      <color theme="4"/>
      <name val="ＭＳ 明朝"/>
      <family val="1"/>
      <charset val="128"/>
    </font>
    <font>
      <sz val="12"/>
      <color rgb="FFEE0000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7" fillId="0" borderId="0"/>
    <xf numFmtId="0" fontId="9" fillId="0" borderId="0"/>
    <xf numFmtId="0" fontId="1" fillId="0" borderId="0">
      <alignment vertical="center"/>
    </xf>
  </cellStyleXfs>
  <cellXfs count="135">
    <xf numFmtId="0" fontId="0" fillId="0" borderId="0" xfId="0"/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3" fillId="0" borderId="7" xfId="2" applyFont="1" applyBorder="1" applyAlignment="1">
      <alignment vertical="center"/>
    </xf>
    <xf numFmtId="0" fontId="3" fillId="0" borderId="8" xfId="2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6" fillId="3" borderId="29" xfId="0" applyFont="1" applyFill="1" applyBorder="1" applyAlignment="1">
      <alignment vertical="center"/>
    </xf>
    <xf numFmtId="0" fontId="6" fillId="3" borderId="30" xfId="0" applyFont="1" applyFill="1" applyBorder="1" applyAlignment="1">
      <alignment vertical="center"/>
    </xf>
    <xf numFmtId="0" fontId="6" fillId="3" borderId="31" xfId="0" applyFont="1" applyFill="1" applyBorder="1" applyAlignment="1">
      <alignment vertical="center"/>
    </xf>
    <xf numFmtId="0" fontId="6" fillId="3" borderId="32" xfId="0" applyFont="1" applyFill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6" fillId="3" borderId="34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3" borderId="36" xfId="0" applyFont="1" applyFill="1" applyBorder="1" applyAlignment="1">
      <alignment vertical="center"/>
    </xf>
    <xf numFmtId="0" fontId="6" fillId="3" borderId="37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0" quotePrefix="1" applyFont="1" applyAlignment="1">
      <alignment vertical="center"/>
    </xf>
    <xf numFmtId="0" fontId="6" fillId="3" borderId="0" xfId="0" applyFont="1" applyFill="1" applyAlignment="1">
      <alignment vertical="center"/>
    </xf>
    <xf numFmtId="0" fontId="3" fillId="0" borderId="4" xfId="0" quotePrefix="1" applyFont="1" applyBorder="1" applyAlignment="1">
      <alignment vertical="center"/>
    </xf>
    <xf numFmtId="0" fontId="3" fillId="0" borderId="0" xfId="2" quotePrefix="1" applyFont="1" applyAlignment="1">
      <alignment vertical="center"/>
    </xf>
    <xf numFmtId="0" fontId="3" fillId="0" borderId="9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11" xfId="2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  <xf numFmtId="176" fontId="3" fillId="2" borderId="20" xfId="0" applyNumberFormat="1" applyFont="1" applyFill="1" applyBorder="1" applyAlignment="1">
      <alignment horizontal="center" vertical="center"/>
    </xf>
    <xf numFmtId="176" fontId="3" fillId="2" borderId="21" xfId="0" applyNumberFormat="1" applyFont="1" applyFill="1" applyBorder="1" applyAlignment="1">
      <alignment horizontal="center" vertical="center"/>
    </xf>
    <xf numFmtId="176" fontId="3" fillId="2" borderId="13" xfId="0" applyNumberFormat="1" applyFont="1" applyFill="1" applyBorder="1" applyAlignment="1">
      <alignment horizontal="center" vertical="center"/>
    </xf>
    <xf numFmtId="176" fontId="3" fillId="2" borderId="22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3" fontId="12" fillId="3" borderId="30" xfId="0" quotePrefix="1" applyNumberFormat="1" applyFont="1" applyFill="1" applyBorder="1" applyAlignment="1">
      <alignment horizontal="right" vertical="center"/>
    </xf>
    <xf numFmtId="0" fontId="12" fillId="3" borderId="30" xfId="0" quotePrefix="1" applyFont="1" applyFill="1" applyBorder="1" applyAlignment="1">
      <alignment horizontal="right" vertical="center"/>
    </xf>
    <xf numFmtId="3" fontId="6" fillId="3" borderId="33" xfId="0" quotePrefix="1" applyNumberFormat="1" applyFont="1" applyFill="1" applyBorder="1" applyAlignment="1">
      <alignment horizontal="right" vertical="center"/>
    </xf>
    <xf numFmtId="0" fontId="6" fillId="3" borderId="33" xfId="0" quotePrefix="1" applyFont="1" applyFill="1" applyBorder="1" applyAlignment="1">
      <alignment horizontal="right" vertical="center"/>
    </xf>
    <xf numFmtId="0" fontId="12" fillId="3" borderId="33" xfId="0" quotePrefix="1" applyFont="1" applyFill="1" applyBorder="1" applyAlignment="1">
      <alignment horizontal="right" vertical="center"/>
    </xf>
    <xf numFmtId="0" fontId="6" fillId="3" borderId="36" xfId="0" quotePrefix="1" applyFont="1" applyFill="1" applyBorder="1" applyAlignment="1">
      <alignment horizontal="right" vertical="center"/>
    </xf>
    <xf numFmtId="0" fontId="6" fillId="3" borderId="4" xfId="0" quotePrefix="1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4">
    <cellStyle name="標準" xfId="0" builtinId="0"/>
    <cellStyle name="標準 2" xfId="1" xr:uid="{BD0B53BC-99A9-4359-B101-C6E521B920EA}"/>
    <cellStyle name="標準 3" xfId="2" xr:uid="{70F02A77-B664-4C94-A571-5F8A564213C6}"/>
    <cellStyle name="標準 4" xfId="3" xr:uid="{AE8879EC-5CE9-4258-B2C3-E7F35CEA7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5"/>
      <c r="AV2" s="66" t="s">
        <v>2</v>
      </c>
      <c r="AW2" s="67"/>
      <c r="AX2" s="67"/>
      <c r="AY2" s="68"/>
      <c r="AZ2" s="66" t="s">
        <v>10</v>
      </c>
      <c r="BA2" s="67"/>
      <c r="BB2" s="67"/>
      <c r="BC2" s="68"/>
      <c r="BD2" s="66" t="s">
        <v>4</v>
      </c>
      <c r="BE2" s="67"/>
      <c r="BF2" s="67"/>
      <c r="BG2" s="68"/>
      <c r="BH2" s="67"/>
      <c r="BI2" s="67"/>
      <c r="BJ2" s="68"/>
    </row>
    <row r="3" spans="1:62" s="5" customFormat="1" ht="18" customHeight="1" x14ac:dyDescent="0.2">
      <c r="A3" s="72" t="s">
        <v>0</v>
      </c>
      <c r="B3" s="73"/>
      <c r="C3" s="73"/>
      <c r="D3" s="73"/>
      <c r="E3" s="73"/>
      <c r="F3" s="73"/>
      <c r="G3" s="74"/>
      <c r="H3" s="78" t="s">
        <v>17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80"/>
      <c r="AV3" s="66" t="s">
        <v>1</v>
      </c>
      <c r="AW3" s="67"/>
      <c r="AX3" s="67"/>
      <c r="AY3" s="68"/>
      <c r="AZ3" s="66" t="s">
        <v>18</v>
      </c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5" customFormat="1" ht="18" customHeight="1" x14ac:dyDescent="0.2">
      <c r="A4" s="75"/>
      <c r="B4" s="76"/>
      <c r="C4" s="76"/>
      <c r="D4" s="76"/>
      <c r="E4" s="76"/>
      <c r="F4" s="76"/>
      <c r="G4" s="77"/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3"/>
      <c r="AV4" s="66" t="s">
        <v>5</v>
      </c>
      <c r="AW4" s="67"/>
      <c r="AX4" s="67"/>
      <c r="AY4" s="68"/>
      <c r="AZ4" s="66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8" customFormat="1" ht="9" customHeight="1" x14ac:dyDescent="0.2"/>
    <row r="6" spans="1:62" s="12" customFormat="1" ht="15.75" customHeight="1" x14ac:dyDescent="0.2">
      <c r="A6" s="69" t="s">
        <v>15</v>
      </c>
      <c r="B6" s="70"/>
      <c r="C6" s="70"/>
      <c r="D6" s="70"/>
      <c r="E6" s="70"/>
      <c r="F6" s="70"/>
      <c r="G6" s="71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 x14ac:dyDescent="0.2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 x14ac:dyDescent="0.2">
      <c r="A8" s="13"/>
      <c r="B8" s="12" t="s">
        <v>19</v>
      </c>
      <c r="C8" s="5"/>
      <c r="D8" s="5"/>
      <c r="E8" s="5"/>
      <c r="F8" s="5"/>
      <c r="G8" s="5"/>
      <c r="H8" s="14"/>
      <c r="I8" s="12" t="s">
        <v>20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 x14ac:dyDescent="0.2">
      <c r="A9" s="13"/>
      <c r="H9" s="13"/>
      <c r="BJ9" s="16"/>
    </row>
    <row r="10" spans="1:62" s="12" customFormat="1" ht="20.25" customHeight="1" x14ac:dyDescent="0.2">
      <c r="A10" s="13"/>
      <c r="H10" s="13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 x14ac:dyDescent="0.2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 x14ac:dyDescent="0.2">
      <c r="A12" s="13"/>
      <c r="H12" s="13"/>
      <c r="BJ12" s="16"/>
    </row>
    <row r="13" spans="1:62" s="12" customFormat="1" ht="20.25" customHeight="1" x14ac:dyDescent="0.2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 x14ac:dyDescent="0.2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 x14ac:dyDescent="0.2">
      <c r="A15" s="13"/>
      <c r="H15" s="13"/>
      <c r="BJ15" s="16"/>
    </row>
    <row r="16" spans="1:62" s="12" customFormat="1" ht="20.25" customHeight="1" x14ac:dyDescent="0.2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 x14ac:dyDescent="0.2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 x14ac:dyDescent="0.2">
      <c r="A18" s="13"/>
      <c r="H18" s="13"/>
      <c r="BJ18" s="16"/>
    </row>
    <row r="19" spans="1:62" s="12" customFormat="1" ht="20.25" customHeight="1" x14ac:dyDescent="0.2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 x14ac:dyDescent="0.2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 x14ac:dyDescent="0.2">
      <c r="A21" s="13"/>
      <c r="H21" s="13"/>
      <c r="BJ21" s="16"/>
    </row>
    <row r="22" spans="1:62" s="12" customFormat="1" ht="20.25" customHeight="1" x14ac:dyDescent="0.2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 x14ac:dyDescent="0.2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 x14ac:dyDescent="0.2">
      <c r="A24" s="13"/>
      <c r="H24" s="13"/>
      <c r="BJ24" s="16"/>
    </row>
    <row r="25" spans="1:62" s="12" customFormat="1" ht="20.25" customHeight="1" x14ac:dyDescent="0.2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 x14ac:dyDescent="0.2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 x14ac:dyDescent="0.2">
      <c r="A27" s="13"/>
      <c r="H27" s="13"/>
      <c r="BJ27" s="16"/>
    </row>
    <row r="28" spans="1:62" s="12" customFormat="1" ht="20.25" customHeight="1" x14ac:dyDescent="0.2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 x14ac:dyDescent="0.2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 x14ac:dyDescent="0.2">
      <c r="A30" s="13"/>
      <c r="H30" s="13"/>
      <c r="BJ30" s="16"/>
    </row>
    <row r="31" spans="1:62" s="12" customFormat="1" ht="20.25" customHeight="1" x14ac:dyDescent="0.2">
      <c r="A31" s="13"/>
      <c r="H31" s="13"/>
      <c r="BJ31" s="16"/>
    </row>
    <row r="32" spans="1:62" s="12" customFormat="1" ht="20.25" customHeight="1" x14ac:dyDescent="0.2">
      <c r="A32" s="13"/>
      <c r="H32" s="13"/>
      <c r="BJ32" s="16"/>
    </row>
    <row r="33" spans="1:62" s="12" customFormat="1" ht="20.25" customHeight="1" x14ac:dyDescent="0.2">
      <c r="A33" s="13"/>
      <c r="H33" s="13"/>
      <c r="BJ33" s="16"/>
    </row>
    <row r="34" spans="1:62" s="12" customFormat="1" ht="20.25" customHeight="1" x14ac:dyDescent="0.2">
      <c r="A34" s="13"/>
      <c r="H34" s="13"/>
      <c r="BJ34" s="16"/>
    </row>
    <row r="35" spans="1:62" s="12" customFormat="1" ht="20.25" customHeight="1" x14ac:dyDescent="0.2">
      <c r="A35" s="13"/>
      <c r="H35" s="13"/>
      <c r="BJ35" s="16"/>
    </row>
    <row r="36" spans="1:62" s="12" customFormat="1" ht="20.25" customHeight="1" x14ac:dyDescent="0.2">
      <c r="A36" s="13"/>
      <c r="H36" s="13"/>
      <c r="BJ36" s="16"/>
    </row>
    <row r="37" spans="1:62" s="12" customFormat="1" ht="20.25" customHeight="1" x14ac:dyDescent="0.2">
      <c r="A37" s="13"/>
      <c r="H37" s="13"/>
      <c r="BJ37" s="16"/>
    </row>
    <row r="38" spans="1:62" s="12" customFormat="1" ht="20.25" customHeight="1" x14ac:dyDescent="0.2">
      <c r="A38" s="13"/>
      <c r="H38" s="13"/>
      <c r="BJ38" s="16"/>
    </row>
    <row r="39" spans="1:62" s="12" customFormat="1" ht="20.25" customHeight="1" x14ac:dyDescent="0.2">
      <c r="A39" s="13"/>
      <c r="H39" s="13"/>
      <c r="BJ39" s="16"/>
    </row>
    <row r="40" spans="1:62" s="12" customFormat="1" ht="20.25" customHeight="1" x14ac:dyDescent="0.2">
      <c r="A40" s="13"/>
      <c r="H40" s="13"/>
      <c r="BJ40" s="16"/>
    </row>
    <row r="41" spans="1:62" s="12" customFormat="1" ht="20.25" customHeight="1" x14ac:dyDescent="0.2">
      <c r="A41" s="13"/>
      <c r="H41" s="13"/>
      <c r="BJ41" s="16"/>
    </row>
    <row r="42" spans="1:62" s="12" customFormat="1" ht="20.25" customHeight="1" x14ac:dyDescent="0.2">
      <c r="A42" s="13"/>
      <c r="H42" s="13"/>
      <c r="BJ42" s="16"/>
    </row>
    <row r="43" spans="1:62" s="12" customFormat="1" ht="20.25" customHeight="1" x14ac:dyDescent="0.2">
      <c r="A43" s="13"/>
      <c r="H43" s="13"/>
      <c r="BJ43" s="16"/>
    </row>
    <row r="44" spans="1:62" s="12" customFormat="1" ht="20.25" customHeight="1" x14ac:dyDescent="0.2">
      <c r="A44" s="13"/>
      <c r="H44" s="13"/>
      <c r="BJ44" s="16"/>
    </row>
    <row r="45" spans="1:62" s="12" customFormat="1" ht="20.25" customHeight="1" x14ac:dyDescent="0.2">
      <c r="A45" s="13"/>
      <c r="H45" s="13"/>
      <c r="BJ45" s="16"/>
    </row>
    <row r="46" spans="1:62" s="12" customFormat="1" ht="20.25" customHeight="1" x14ac:dyDescent="0.2">
      <c r="A46" s="13"/>
      <c r="H46" s="13"/>
      <c r="BJ46" s="16"/>
    </row>
    <row r="47" spans="1:62" s="12" customFormat="1" ht="20.25" customHeight="1" x14ac:dyDescent="0.2">
      <c r="A47" s="13"/>
      <c r="H47" s="13"/>
      <c r="BJ47" s="16"/>
    </row>
    <row r="48" spans="1:62" s="12" customFormat="1" ht="20.25" customHeight="1" x14ac:dyDescent="0.2">
      <c r="A48" s="13"/>
      <c r="H48" s="13"/>
      <c r="BJ48" s="16"/>
    </row>
    <row r="49" spans="1:62" s="12" customFormat="1" ht="20.25" customHeight="1" x14ac:dyDescent="0.2">
      <c r="A49" s="13"/>
      <c r="H49" s="13"/>
      <c r="BJ49" s="16"/>
    </row>
    <row r="50" spans="1:62" s="12" customFormat="1" ht="20.25" customHeight="1" x14ac:dyDescent="0.2">
      <c r="A50" s="13"/>
      <c r="H50" s="13"/>
      <c r="BJ50" s="16"/>
    </row>
    <row r="51" spans="1:62" s="12" customFormat="1" ht="20.25" customHeight="1" x14ac:dyDescent="0.2">
      <c r="A51" s="13"/>
      <c r="H51" s="13"/>
      <c r="BJ51" s="16"/>
    </row>
    <row r="52" spans="1:62" s="12" customFormat="1" ht="20.25" customHeight="1" x14ac:dyDescent="0.2">
      <c r="A52" s="13"/>
      <c r="H52" s="13"/>
      <c r="BJ52" s="16"/>
    </row>
    <row r="53" spans="1:62" s="12" customFormat="1" ht="20.25" customHeight="1" x14ac:dyDescent="0.2">
      <c r="A53" s="13"/>
      <c r="H53" s="13"/>
      <c r="BJ53" s="16"/>
    </row>
    <row r="54" spans="1:62" s="12" customFormat="1" ht="20.25" customHeight="1" x14ac:dyDescent="0.2">
      <c r="A54" s="13"/>
      <c r="H54" s="13"/>
      <c r="BJ54" s="16"/>
    </row>
    <row r="55" spans="1:62" s="12" customFormat="1" ht="20.25" customHeight="1" x14ac:dyDescent="0.2">
      <c r="A55" s="13"/>
      <c r="H55" s="13"/>
      <c r="BJ55" s="16"/>
    </row>
    <row r="56" spans="1:62" s="12" customFormat="1" ht="20.25" customHeight="1" x14ac:dyDescent="0.2">
      <c r="A56" s="13"/>
      <c r="H56" s="13"/>
      <c r="BJ56" s="16"/>
    </row>
    <row r="57" spans="1:62" s="12" customFormat="1" ht="20.25" customHeight="1" x14ac:dyDescent="0.2">
      <c r="A57" s="13"/>
      <c r="H57" s="13"/>
      <c r="BJ57" s="16"/>
    </row>
    <row r="58" spans="1:62" s="12" customFormat="1" ht="20.25" customHeight="1" x14ac:dyDescent="0.2">
      <c r="A58" s="13"/>
      <c r="H58" s="13"/>
      <c r="BJ58" s="16"/>
    </row>
    <row r="59" spans="1:62" s="12" customFormat="1" ht="20.25" customHeight="1" x14ac:dyDescent="0.2">
      <c r="A59" s="17"/>
      <c r="B59" s="18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2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CF3-D1CB-4174-8D42-1850E3493B9F}">
  <sheetPr codeName="Sheet2">
    <pageSetUpPr fitToPage="1"/>
  </sheetPr>
  <dimension ref="A1:BJ317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63" t="s">
        <v>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5"/>
      <c r="AV2" s="66" t="s">
        <v>2</v>
      </c>
      <c r="AW2" s="67"/>
      <c r="AX2" s="67"/>
      <c r="AY2" s="68"/>
      <c r="AZ2" s="66" t="s">
        <v>10</v>
      </c>
      <c r="BA2" s="67"/>
      <c r="BB2" s="67"/>
      <c r="BC2" s="68"/>
      <c r="BD2" s="66" t="s">
        <v>4</v>
      </c>
      <c r="BE2" s="67"/>
      <c r="BF2" s="67"/>
      <c r="BG2" s="68"/>
      <c r="BH2" s="67"/>
      <c r="BI2" s="67"/>
      <c r="BJ2" s="68"/>
    </row>
    <row r="3" spans="1:62" s="5" customFormat="1" ht="18" customHeight="1" x14ac:dyDescent="0.2">
      <c r="A3" s="72" t="s">
        <v>0</v>
      </c>
      <c r="B3" s="73"/>
      <c r="C3" s="73"/>
      <c r="D3" s="73"/>
      <c r="E3" s="73"/>
      <c r="F3" s="73"/>
      <c r="G3" s="74"/>
      <c r="H3" s="78" t="s">
        <v>17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80"/>
      <c r="AV3" s="66" t="s">
        <v>1</v>
      </c>
      <c r="AW3" s="67"/>
      <c r="AX3" s="67"/>
      <c r="AY3" s="68"/>
      <c r="AZ3" s="66" t="s">
        <v>18</v>
      </c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5" customFormat="1" ht="18" customHeight="1" x14ac:dyDescent="0.2">
      <c r="A4" s="75"/>
      <c r="B4" s="76"/>
      <c r="C4" s="76"/>
      <c r="D4" s="76"/>
      <c r="E4" s="76"/>
      <c r="F4" s="76"/>
      <c r="G4" s="77"/>
      <c r="H4" s="81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3"/>
      <c r="AV4" s="66" t="s">
        <v>5</v>
      </c>
      <c r="AW4" s="67"/>
      <c r="AX4" s="67"/>
      <c r="AY4" s="68"/>
      <c r="AZ4" s="66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2" customFormat="1" ht="9" customHeight="1" x14ac:dyDescent="0.2"/>
    <row r="6" spans="1:62" s="1" customFormat="1" ht="20.25" customHeight="1" x14ac:dyDescent="0.2">
      <c r="A6" s="84" t="s">
        <v>8</v>
      </c>
      <c r="B6" s="84"/>
      <c r="C6" s="84"/>
      <c r="D6" s="84"/>
      <c r="E6" s="84"/>
      <c r="F6" s="84"/>
      <c r="G6" s="84"/>
      <c r="H6" s="84" t="s">
        <v>14</v>
      </c>
      <c r="I6" s="84"/>
      <c r="J6" s="84"/>
      <c r="K6" s="84"/>
      <c r="L6" s="85" t="s">
        <v>11</v>
      </c>
      <c r="M6" s="86"/>
      <c r="N6" s="86"/>
      <c r="O6" s="86"/>
      <c r="P6" s="87"/>
      <c r="Q6" s="86" t="s">
        <v>21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7"/>
      <c r="AV6" s="85" t="s">
        <v>12</v>
      </c>
      <c r="AW6" s="86"/>
      <c r="AX6" s="86"/>
      <c r="AY6" s="87"/>
      <c r="AZ6" s="88" t="s">
        <v>55</v>
      </c>
      <c r="BA6" s="86"/>
      <c r="BB6" s="86"/>
      <c r="BC6" s="86"/>
      <c r="BD6" s="86"/>
      <c r="BE6" s="86"/>
      <c r="BF6" s="86"/>
      <c r="BG6" s="86"/>
      <c r="BH6" s="86"/>
      <c r="BI6" s="86"/>
      <c r="BJ6" s="87"/>
    </row>
    <row r="7" spans="1:62" s="21" customFormat="1" ht="23.1" customHeight="1" x14ac:dyDescent="0.2">
      <c r="A7" s="113" t="s">
        <v>13</v>
      </c>
      <c r="B7" s="106"/>
      <c r="C7" s="106"/>
      <c r="D7" s="106"/>
      <c r="E7" s="106"/>
      <c r="F7" s="106"/>
      <c r="G7" s="106"/>
      <c r="H7" s="106"/>
      <c r="I7" s="106"/>
      <c r="J7" s="106"/>
      <c r="K7" s="114"/>
      <c r="L7" s="115" t="s">
        <v>84</v>
      </c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7"/>
    </row>
    <row r="8" spans="1:62" s="21" customFormat="1" ht="20.25" customHeight="1" x14ac:dyDescent="0.2">
      <c r="A8" s="27" t="s">
        <v>29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9"/>
    </row>
    <row r="9" spans="1:62" s="21" customFormat="1" ht="20.25" customHeight="1" x14ac:dyDescent="0.2">
      <c r="A9" s="30"/>
      <c r="B9" s="54"/>
      <c r="C9" s="54"/>
      <c r="D9" s="54"/>
      <c r="E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31"/>
    </row>
    <row r="10" spans="1:62" s="21" customFormat="1" ht="20.25" customHeight="1" x14ac:dyDescent="0.2">
      <c r="A10" s="30"/>
      <c r="B10" s="54"/>
      <c r="C10" s="55" t="s">
        <v>22</v>
      </c>
      <c r="F10" s="21" t="s">
        <v>103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31"/>
    </row>
    <row r="11" spans="1:62" s="21" customFormat="1" ht="20.25" customHeight="1" x14ac:dyDescent="0.2">
      <c r="A11" s="30"/>
      <c r="B11" s="54"/>
      <c r="F11" s="54" t="s">
        <v>146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31"/>
    </row>
    <row r="12" spans="1:62" s="21" customFormat="1" ht="20.25" customHeight="1" x14ac:dyDescent="0.2">
      <c r="A12" s="30"/>
      <c r="B12" s="54"/>
      <c r="F12" s="21" t="s">
        <v>104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31"/>
    </row>
    <row r="13" spans="1:62" s="21" customFormat="1" ht="20.25" customHeight="1" x14ac:dyDescent="0.2">
      <c r="A13" s="30"/>
      <c r="B13" s="54"/>
      <c r="C13" s="55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31"/>
    </row>
    <row r="14" spans="1:62" s="21" customFormat="1" ht="20.25" customHeight="1" x14ac:dyDescent="0.2">
      <c r="A14" s="30"/>
      <c r="B14" s="54"/>
      <c r="C14" s="54"/>
      <c r="D14" s="54"/>
      <c r="E14" s="54"/>
      <c r="F14" s="21" t="s">
        <v>35</v>
      </c>
      <c r="H14" s="21" t="s">
        <v>48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31"/>
    </row>
    <row r="15" spans="1:62" s="21" customFormat="1" ht="20.25" customHeight="1" x14ac:dyDescent="0.2">
      <c r="A15" s="30"/>
      <c r="B15" s="54"/>
      <c r="C15" s="54"/>
      <c r="D15" s="54"/>
      <c r="H15" s="54" t="s">
        <v>37</v>
      </c>
      <c r="J15" s="54"/>
      <c r="K15" s="54" t="s">
        <v>36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31"/>
    </row>
    <row r="16" spans="1:62" s="21" customFormat="1" ht="20.25" customHeight="1" x14ac:dyDescent="0.2">
      <c r="A16" s="30"/>
      <c r="B16" s="54"/>
      <c r="C16" s="54"/>
      <c r="D16" s="54"/>
      <c r="E16" s="54"/>
      <c r="G16" s="54"/>
      <c r="H16" s="54"/>
      <c r="I16" s="54"/>
      <c r="J16" s="54"/>
      <c r="K16" s="54" t="s">
        <v>145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31"/>
    </row>
    <row r="17" spans="1:62" s="21" customFormat="1" ht="20.25" customHeight="1" x14ac:dyDescent="0.2">
      <c r="A17" s="30"/>
      <c r="B17" s="54"/>
      <c r="C17" s="54"/>
      <c r="D17" s="54"/>
      <c r="E17" s="54"/>
      <c r="G17" s="54"/>
      <c r="I17" s="54"/>
      <c r="J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31"/>
    </row>
    <row r="18" spans="1:62" s="21" customFormat="1" ht="20.25" customHeight="1" x14ac:dyDescent="0.2">
      <c r="A18" s="30"/>
      <c r="B18" s="54"/>
      <c r="C18" s="54"/>
      <c r="D18" s="54"/>
      <c r="E18" s="54"/>
      <c r="H18" s="21" t="s">
        <v>43</v>
      </c>
      <c r="I18" s="54"/>
      <c r="K18" s="54" t="s">
        <v>118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31"/>
    </row>
    <row r="19" spans="1:62" s="21" customFormat="1" ht="20.25" customHeight="1" x14ac:dyDescent="0.2">
      <c r="A19" s="30"/>
      <c r="B19" s="54"/>
      <c r="C19" s="54"/>
      <c r="D19" s="54"/>
      <c r="E19" s="54"/>
      <c r="I19" s="54"/>
      <c r="J19" s="54" t="s">
        <v>119</v>
      </c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31"/>
    </row>
    <row r="20" spans="1:62" s="21" customFormat="1" ht="20.25" customHeight="1" x14ac:dyDescent="0.2">
      <c r="A20" s="30"/>
      <c r="B20" s="54"/>
      <c r="C20" s="54"/>
      <c r="D20" s="54"/>
      <c r="E20" s="54"/>
      <c r="I20" s="54"/>
      <c r="K20" s="54" t="s">
        <v>44</v>
      </c>
      <c r="L20" s="54"/>
      <c r="M20" s="54" t="s">
        <v>90</v>
      </c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31"/>
    </row>
    <row r="21" spans="1:62" s="21" customFormat="1" ht="20.25" customHeight="1" x14ac:dyDescent="0.2">
      <c r="A21" s="30"/>
      <c r="B21" s="54"/>
      <c r="C21" s="54"/>
      <c r="D21" s="54"/>
      <c r="E21" s="54"/>
      <c r="I21" s="54"/>
      <c r="K21" s="54" t="s">
        <v>45</v>
      </c>
      <c r="L21" s="54"/>
      <c r="M21" s="54" t="s">
        <v>91</v>
      </c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31"/>
    </row>
    <row r="22" spans="1:62" s="21" customFormat="1" ht="20.25" customHeight="1" x14ac:dyDescent="0.2">
      <c r="A22" s="30"/>
      <c r="B22" s="54"/>
      <c r="C22" s="54"/>
      <c r="D22" s="54"/>
      <c r="E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31"/>
    </row>
    <row r="23" spans="1:62" s="21" customFormat="1" ht="20.25" customHeight="1" x14ac:dyDescent="0.2">
      <c r="A23" s="30"/>
      <c r="B23" s="54"/>
      <c r="C23" s="54"/>
      <c r="D23" s="54"/>
      <c r="E23" s="54"/>
      <c r="G23" s="54"/>
      <c r="H23" s="21" t="s">
        <v>46</v>
      </c>
      <c r="J23" s="54"/>
      <c r="K23" s="54" t="s">
        <v>39</v>
      </c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31"/>
    </row>
    <row r="24" spans="1:62" s="21" customFormat="1" ht="20.25" customHeight="1" x14ac:dyDescent="0.2">
      <c r="A24" s="30"/>
      <c r="B24" s="54"/>
      <c r="C24" s="54"/>
      <c r="D24" s="54"/>
      <c r="E24" s="54"/>
      <c r="F24" s="54"/>
      <c r="G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31"/>
    </row>
    <row r="25" spans="1:62" s="21" customFormat="1" ht="20.25" customHeight="1" x14ac:dyDescent="0.2">
      <c r="A25" s="30"/>
      <c r="B25" s="54"/>
      <c r="F25" s="21" t="s">
        <v>47</v>
      </c>
      <c r="H25" s="21" t="s">
        <v>49</v>
      </c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31"/>
    </row>
    <row r="26" spans="1:62" s="21" customFormat="1" ht="20.25" customHeight="1" x14ac:dyDescent="0.2">
      <c r="A26" s="30"/>
      <c r="B26" s="54"/>
      <c r="H26" s="54" t="s">
        <v>37</v>
      </c>
      <c r="K26" s="21" t="s">
        <v>120</v>
      </c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31"/>
    </row>
    <row r="27" spans="1:62" s="21" customFormat="1" ht="20.25" customHeight="1" x14ac:dyDescent="0.2">
      <c r="A27" s="30"/>
      <c r="B27" s="54"/>
      <c r="K27" s="54" t="s">
        <v>44</v>
      </c>
      <c r="M27" s="21" t="s">
        <v>89</v>
      </c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31"/>
    </row>
    <row r="28" spans="1:62" s="21" customFormat="1" ht="20.25" customHeight="1" x14ac:dyDescent="0.2">
      <c r="A28" s="30"/>
      <c r="B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31"/>
    </row>
    <row r="29" spans="1:62" s="21" customFormat="1" ht="20.25" customHeight="1" x14ac:dyDescent="0.2">
      <c r="A29" s="30"/>
      <c r="B29" s="54"/>
      <c r="H29" s="21" t="s">
        <v>38</v>
      </c>
      <c r="K29" s="21" t="s">
        <v>121</v>
      </c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31"/>
    </row>
    <row r="30" spans="1:62" s="21" customFormat="1" ht="20.25" customHeight="1" x14ac:dyDescent="0.2">
      <c r="A30" s="30"/>
      <c r="B30" s="54"/>
      <c r="K30" s="54" t="s">
        <v>44</v>
      </c>
      <c r="M30" s="21" t="s">
        <v>88</v>
      </c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31"/>
    </row>
    <row r="31" spans="1:62" s="21" customFormat="1" ht="20.25" customHeight="1" x14ac:dyDescent="0.2">
      <c r="A31" s="30"/>
      <c r="B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31"/>
    </row>
    <row r="32" spans="1:62" s="21" customFormat="1" ht="20.25" customHeight="1" x14ac:dyDescent="0.2">
      <c r="A32" s="22"/>
      <c r="F32" s="21" t="s">
        <v>92</v>
      </c>
      <c r="H32" s="21" t="s">
        <v>147</v>
      </c>
      <c r="BJ32" s="23"/>
    </row>
    <row r="33" spans="1:62" s="21" customFormat="1" ht="20.25" customHeight="1" x14ac:dyDescent="0.2">
      <c r="A33" s="22"/>
      <c r="G33" s="21" t="s">
        <v>71</v>
      </c>
      <c r="J33" s="21" t="s">
        <v>101</v>
      </c>
      <c r="BJ33" s="23"/>
    </row>
    <row r="34" spans="1:62" s="21" customFormat="1" ht="20.25" customHeight="1" thickBot="1" x14ac:dyDescent="0.25">
      <c r="A34" s="22"/>
      <c r="H34" s="21" t="s">
        <v>28</v>
      </c>
      <c r="BJ34" s="23"/>
    </row>
    <row r="35" spans="1:62" s="21" customFormat="1" ht="20.25" customHeight="1" x14ac:dyDescent="0.2">
      <c r="A35" s="22"/>
      <c r="J35" s="118" t="s">
        <v>78</v>
      </c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20"/>
      <c r="AH35" s="118" t="s">
        <v>79</v>
      </c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20"/>
      <c r="BJ35" s="23"/>
    </row>
    <row r="36" spans="1:62" s="21" customFormat="1" ht="20.25" customHeight="1" x14ac:dyDescent="0.2">
      <c r="A36" s="22"/>
      <c r="J36" s="134" t="s">
        <v>82</v>
      </c>
      <c r="K36" s="132"/>
      <c r="L36" s="132"/>
      <c r="M36" s="132"/>
      <c r="N36" s="95" t="s">
        <v>83</v>
      </c>
      <c r="O36" s="94"/>
      <c r="P36" s="94"/>
      <c r="Q36" s="94"/>
      <c r="R36" s="95" t="s">
        <v>81</v>
      </c>
      <c r="S36" s="94"/>
      <c r="T36" s="94"/>
      <c r="U36" s="108"/>
      <c r="V36" s="134" t="s">
        <v>68</v>
      </c>
      <c r="W36" s="132"/>
      <c r="X36" s="132"/>
      <c r="Y36" s="132"/>
      <c r="Z36" s="95" t="s">
        <v>69</v>
      </c>
      <c r="AA36" s="94"/>
      <c r="AB36" s="94"/>
      <c r="AC36" s="94"/>
      <c r="AD36" s="95" t="s">
        <v>80</v>
      </c>
      <c r="AE36" s="94"/>
      <c r="AF36" s="94"/>
      <c r="AG36" s="108"/>
      <c r="AH36" s="134" t="s">
        <v>68</v>
      </c>
      <c r="AI36" s="132"/>
      <c r="AJ36" s="132"/>
      <c r="AK36" s="132"/>
      <c r="AL36" s="95" t="s">
        <v>69</v>
      </c>
      <c r="AM36" s="94"/>
      <c r="AN36" s="94"/>
      <c r="AO36" s="105"/>
      <c r="AP36" s="106" t="s">
        <v>80</v>
      </c>
      <c r="AQ36" s="106"/>
      <c r="AR36" s="106"/>
      <c r="AS36" s="107"/>
      <c r="BJ36" s="23"/>
    </row>
    <row r="37" spans="1:62" s="21" customFormat="1" ht="20.25" customHeight="1" thickBot="1" x14ac:dyDescent="0.25">
      <c r="A37" s="22"/>
      <c r="J37" s="89">
        <v>2</v>
      </c>
      <c r="K37" s="90"/>
      <c r="L37" s="90"/>
      <c r="M37" s="90"/>
      <c r="N37" s="92">
        <v>2</v>
      </c>
      <c r="O37" s="90"/>
      <c r="P37" s="90"/>
      <c r="Q37" s="90"/>
      <c r="R37" s="92">
        <v>200</v>
      </c>
      <c r="S37" s="90"/>
      <c r="T37" s="90"/>
      <c r="U37" s="112"/>
      <c r="V37" s="89">
        <v>-10</v>
      </c>
      <c r="W37" s="90"/>
      <c r="X37" s="90"/>
      <c r="Y37" s="90"/>
      <c r="Z37" s="92">
        <v>-10</v>
      </c>
      <c r="AA37" s="90"/>
      <c r="AB37" s="90"/>
      <c r="AC37" s="90"/>
      <c r="AD37" s="92">
        <v>-50</v>
      </c>
      <c r="AE37" s="90"/>
      <c r="AF37" s="90"/>
      <c r="AG37" s="112"/>
      <c r="AH37" s="89">
        <v>-10</v>
      </c>
      <c r="AI37" s="90"/>
      <c r="AJ37" s="90"/>
      <c r="AK37" s="90"/>
      <c r="AL37" s="92">
        <v>-10</v>
      </c>
      <c r="AM37" s="90"/>
      <c r="AN37" s="90"/>
      <c r="AO37" s="91"/>
      <c r="AP37" s="90">
        <v>-50</v>
      </c>
      <c r="AQ37" s="90"/>
      <c r="AR37" s="90"/>
      <c r="AS37" s="112"/>
      <c r="BJ37" s="23"/>
    </row>
    <row r="38" spans="1:62" s="21" customFormat="1" ht="20.25" customHeight="1" thickBot="1" x14ac:dyDescent="0.25">
      <c r="A38" s="22"/>
      <c r="BJ38" s="23"/>
    </row>
    <row r="39" spans="1:62" s="21" customFormat="1" ht="20.25" customHeight="1" x14ac:dyDescent="0.2">
      <c r="A39" s="22"/>
      <c r="J39" s="118" t="s">
        <v>32</v>
      </c>
      <c r="K39" s="119"/>
      <c r="L39" s="119"/>
      <c r="M39" s="119"/>
      <c r="N39" s="119"/>
      <c r="O39" s="119"/>
      <c r="P39" s="119"/>
      <c r="Q39" s="120"/>
      <c r="R39" s="118" t="s">
        <v>77</v>
      </c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20"/>
      <c r="BJ39" s="23"/>
    </row>
    <row r="40" spans="1:62" s="21" customFormat="1" ht="20.25" customHeight="1" x14ac:dyDescent="0.2">
      <c r="A40" s="22"/>
      <c r="J40" s="124" t="s">
        <v>68</v>
      </c>
      <c r="K40" s="125"/>
      <c r="L40" s="125"/>
      <c r="M40" s="125"/>
      <c r="N40" s="126" t="s">
        <v>27</v>
      </c>
      <c r="O40" s="127"/>
      <c r="P40" s="127"/>
      <c r="Q40" s="128"/>
      <c r="R40" s="129" t="s">
        <v>68</v>
      </c>
      <c r="S40" s="122"/>
      <c r="T40" s="122"/>
      <c r="U40" s="130"/>
      <c r="V40" s="127" t="s">
        <v>69</v>
      </c>
      <c r="W40" s="127"/>
      <c r="X40" s="127"/>
      <c r="Y40" s="127"/>
      <c r="Z40" s="131" t="s">
        <v>27</v>
      </c>
      <c r="AA40" s="132"/>
      <c r="AB40" s="132"/>
      <c r="AC40" s="133"/>
      <c r="BJ40" s="23"/>
    </row>
    <row r="41" spans="1:62" s="21" customFormat="1" ht="20.25" customHeight="1" thickBot="1" x14ac:dyDescent="0.25">
      <c r="A41" s="22"/>
      <c r="J41" s="89">
        <f>J37+V37+AH37</f>
        <v>-18</v>
      </c>
      <c r="K41" s="90"/>
      <c r="L41" s="90"/>
      <c r="M41" s="91"/>
      <c r="N41" s="92">
        <f>R37+AD37+AP37</f>
        <v>100</v>
      </c>
      <c r="O41" s="90"/>
      <c r="P41" s="90"/>
      <c r="Q41" s="112"/>
      <c r="R41" s="89">
        <f>J37+V37-AH37</f>
        <v>2</v>
      </c>
      <c r="S41" s="90"/>
      <c r="T41" s="90"/>
      <c r="U41" s="91"/>
      <c r="V41" s="90">
        <f>N37+Z37-AL37</f>
        <v>2</v>
      </c>
      <c r="W41" s="90"/>
      <c r="X41" s="90"/>
      <c r="Y41" s="91"/>
      <c r="Z41" s="92">
        <f>R37+AD37-AP37</f>
        <v>200</v>
      </c>
      <c r="AA41" s="90"/>
      <c r="AB41" s="90"/>
      <c r="AC41" s="112"/>
      <c r="BJ41" s="23"/>
    </row>
    <row r="42" spans="1:62" s="21" customFormat="1" ht="20.25" customHeight="1" x14ac:dyDescent="0.2">
      <c r="A42" s="22"/>
      <c r="BJ42" s="23"/>
    </row>
    <row r="43" spans="1:62" s="21" customFormat="1" ht="20.25" customHeight="1" x14ac:dyDescent="0.2">
      <c r="A43" s="22"/>
      <c r="K43" s="21" t="s">
        <v>102</v>
      </c>
      <c r="BJ43" s="23"/>
    </row>
    <row r="44" spans="1:62" s="21" customFormat="1" ht="20.25" customHeight="1" x14ac:dyDescent="0.2">
      <c r="A44" s="22"/>
      <c r="BJ44" s="23"/>
    </row>
    <row r="45" spans="1:62" s="21" customFormat="1" ht="20.25" customHeight="1" x14ac:dyDescent="0.2">
      <c r="A45" s="22"/>
      <c r="G45" s="21" t="s">
        <v>43</v>
      </c>
      <c r="J45" s="21" t="s">
        <v>148</v>
      </c>
      <c r="BJ45" s="23"/>
    </row>
    <row r="46" spans="1:62" s="21" customFormat="1" ht="20.25" customHeight="1" x14ac:dyDescent="0.2">
      <c r="A46" s="22"/>
      <c r="J46" s="21" t="s">
        <v>53</v>
      </c>
      <c r="BJ46" s="23"/>
    </row>
    <row r="47" spans="1:62" s="21" customFormat="1" ht="20.25" customHeight="1" x14ac:dyDescent="0.2">
      <c r="A47" s="22"/>
      <c r="BJ47" s="23"/>
    </row>
    <row r="48" spans="1:62" s="21" customFormat="1" ht="20.25" customHeight="1" x14ac:dyDescent="0.2">
      <c r="A48" s="22"/>
      <c r="G48" s="21" t="s">
        <v>162</v>
      </c>
      <c r="H48" s="21" t="s">
        <v>163</v>
      </c>
      <c r="BJ48" s="23"/>
    </row>
    <row r="49" spans="1:62" s="21" customFormat="1" ht="20.25" customHeight="1" x14ac:dyDescent="0.2">
      <c r="A49" s="22"/>
      <c r="H49" s="21" t="s">
        <v>161</v>
      </c>
      <c r="BJ49" s="23"/>
    </row>
    <row r="50" spans="1:62" s="21" customFormat="1" ht="20.25" customHeight="1" x14ac:dyDescent="0.2">
      <c r="A50" s="22"/>
      <c r="H50" s="21" t="s">
        <v>160</v>
      </c>
      <c r="BJ50" s="23"/>
    </row>
    <row r="51" spans="1:62" s="3" customFormat="1" ht="20.25" customHeight="1" x14ac:dyDescent="0.2">
      <c r="A51" s="32"/>
      <c r="J51" s="51" t="s">
        <v>149</v>
      </c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3"/>
      <c r="W51" s="51" t="s">
        <v>152</v>
      </c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3"/>
      <c r="AP51" s="51" t="s">
        <v>156</v>
      </c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3"/>
      <c r="BJ51" s="33"/>
    </row>
    <row r="52" spans="1:62" s="3" customFormat="1" ht="20.25" customHeight="1" x14ac:dyDescent="0.2">
      <c r="A52" s="32"/>
      <c r="J52" s="34" t="s">
        <v>150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  <c r="W52" s="42" t="s">
        <v>153</v>
      </c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98">
        <v>-5000</v>
      </c>
      <c r="AM52" s="99"/>
      <c r="AN52" s="99"/>
      <c r="AO52" s="44"/>
      <c r="AP52" s="42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4"/>
      <c r="BJ52" s="33"/>
    </row>
    <row r="53" spans="1:62" s="3" customFormat="1" ht="20.25" customHeight="1" x14ac:dyDescent="0.2">
      <c r="A53" s="32"/>
      <c r="J53" s="37" t="s">
        <v>151</v>
      </c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38"/>
      <c r="W53" s="45" t="s">
        <v>154</v>
      </c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100">
        <v>5000</v>
      </c>
      <c r="AM53" s="101"/>
      <c r="AN53" s="101"/>
      <c r="AO53" s="46"/>
      <c r="AP53" s="45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7"/>
      <c r="BJ53" s="33"/>
    </row>
    <row r="54" spans="1:62" s="3" customFormat="1" ht="20.25" customHeight="1" x14ac:dyDescent="0.2">
      <c r="A54" s="32"/>
      <c r="J54" s="37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38"/>
      <c r="W54" s="45" t="s">
        <v>155</v>
      </c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102">
        <v>-500</v>
      </c>
      <c r="AM54" s="102"/>
      <c r="AN54" s="102"/>
      <c r="AO54" s="46"/>
      <c r="AP54" s="45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7"/>
      <c r="BJ54" s="33"/>
    </row>
    <row r="55" spans="1:62" s="3" customFormat="1" ht="20.25" customHeight="1" x14ac:dyDescent="0.2">
      <c r="A55" s="32"/>
      <c r="J55" s="39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1"/>
      <c r="W55" s="48" t="s">
        <v>155</v>
      </c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103">
        <v>500</v>
      </c>
      <c r="AM55" s="103"/>
      <c r="AN55" s="103"/>
      <c r="AO55" s="49"/>
      <c r="AP55" s="48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50"/>
      <c r="BJ55" s="33"/>
    </row>
    <row r="56" spans="1:62" s="3" customFormat="1" ht="20.25" customHeight="1" x14ac:dyDescent="0.2">
      <c r="A56" s="32"/>
      <c r="J56" s="34" t="s">
        <v>157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6"/>
      <c r="W56" s="34" t="s">
        <v>153</v>
      </c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104">
        <v>1</v>
      </c>
      <c r="AM56" s="104"/>
      <c r="AN56" s="104"/>
      <c r="AO56" s="35"/>
      <c r="AP56" s="34" t="s">
        <v>159</v>
      </c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104">
        <v>1</v>
      </c>
      <c r="BF56" s="104"/>
      <c r="BG56" s="104"/>
      <c r="BH56" s="36"/>
      <c r="BI56" s="32"/>
      <c r="BJ56" s="33"/>
    </row>
    <row r="57" spans="1:62" s="3" customFormat="1" ht="20.25" customHeight="1" x14ac:dyDescent="0.2">
      <c r="A57" s="32"/>
      <c r="J57" s="39" t="s">
        <v>158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1"/>
      <c r="W57" s="39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39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1"/>
      <c r="BJ57" s="33"/>
    </row>
    <row r="58" spans="1:62" s="21" customFormat="1" ht="20.25" customHeight="1" x14ac:dyDescent="0.2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6"/>
    </row>
    <row r="59" spans="1:62" s="21" customFormat="1" ht="20.25" customHeight="1" x14ac:dyDescent="0.2">
      <c r="A59" s="27"/>
      <c r="B59" s="28"/>
      <c r="C59" s="57" t="s">
        <v>34</v>
      </c>
      <c r="D59" s="28"/>
      <c r="E59" s="28"/>
      <c r="F59" s="28" t="s">
        <v>41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9"/>
    </row>
    <row r="60" spans="1:62" s="21" customFormat="1" ht="20.25" customHeight="1" x14ac:dyDescent="0.2">
      <c r="A60" s="30"/>
      <c r="B60" s="54"/>
      <c r="C60" s="55"/>
      <c r="D60" s="54"/>
      <c r="F60" s="54" t="s">
        <v>42</v>
      </c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31"/>
    </row>
    <row r="61" spans="1:62" s="21" customFormat="1" ht="20.25" customHeight="1" x14ac:dyDescent="0.2">
      <c r="A61" s="30"/>
      <c r="B61" s="54"/>
      <c r="C61" s="55"/>
      <c r="D61" s="54"/>
      <c r="F61" s="54" t="s">
        <v>117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31"/>
    </row>
    <row r="62" spans="1:62" s="21" customFormat="1" ht="20.25" customHeight="1" x14ac:dyDescent="0.2">
      <c r="A62" s="30"/>
      <c r="B62" s="54"/>
      <c r="C62" s="55"/>
      <c r="D62" s="54"/>
      <c r="F62" s="54" t="s">
        <v>70</v>
      </c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31"/>
    </row>
    <row r="63" spans="1:62" s="21" customFormat="1" ht="20.100000000000001" customHeight="1" x14ac:dyDescent="0.2">
      <c r="A63" s="30"/>
      <c r="B63" s="54"/>
      <c r="C63" s="55"/>
      <c r="D63" s="54"/>
      <c r="F63" s="54" t="s">
        <v>122</v>
      </c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31"/>
    </row>
    <row r="64" spans="1:62" s="21" customFormat="1" ht="20.25" customHeight="1" x14ac:dyDescent="0.2">
      <c r="A64" s="30"/>
      <c r="B64" s="54"/>
      <c r="C64" s="55"/>
      <c r="D64" s="54"/>
      <c r="F64" s="54"/>
      <c r="G64" s="54"/>
      <c r="N64" s="21" t="s">
        <v>123</v>
      </c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31"/>
    </row>
    <row r="65" spans="1:62" s="21" customFormat="1" ht="20.25" customHeight="1" x14ac:dyDescent="0.2">
      <c r="A65" s="30"/>
      <c r="B65" s="54"/>
      <c r="C65" s="55"/>
      <c r="D65" s="54"/>
      <c r="G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31"/>
    </row>
    <row r="66" spans="1:62" s="21" customFormat="1" ht="20.25" customHeight="1" x14ac:dyDescent="0.2">
      <c r="A66" s="30"/>
      <c r="B66" s="54"/>
      <c r="C66" s="55"/>
      <c r="D66" s="54"/>
      <c r="F66" s="21" t="s">
        <v>52</v>
      </c>
      <c r="H66" s="54" t="s">
        <v>60</v>
      </c>
      <c r="I66" s="54"/>
      <c r="J66" s="54"/>
      <c r="K66" s="54"/>
      <c r="L66" s="54"/>
      <c r="M66" s="54"/>
      <c r="N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31"/>
    </row>
    <row r="67" spans="1:62" s="21" customFormat="1" ht="20.25" customHeight="1" x14ac:dyDescent="0.2">
      <c r="A67" s="30"/>
      <c r="B67" s="54"/>
      <c r="C67" s="55"/>
      <c r="D67" s="54"/>
      <c r="G67" s="54"/>
      <c r="H67" s="54" t="s">
        <v>124</v>
      </c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31"/>
    </row>
    <row r="68" spans="1:62" s="21" customFormat="1" ht="20.25" customHeight="1" x14ac:dyDescent="0.2">
      <c r="A68" s="30"/>
      <c r="B68" s="54"/>
      <c r="C68" s="55"/>
      <c r="D68" s="54"/>
      <c r="G68" s="54"/>
      <c r="H68" s="54"/>
      <c r="I68" s="54" t="s">
        <v>72</v>
      </c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31"/>
    </row>
    <row r="69" spans="1:62" s="21" customFormat="1" ht="20.25" customHeight="1" x14ac:dyDescent="0.2">
      <c r="A69" s="30"/>
      <c r="B69" s="54"/>
      <c r="C69" s="55"/>
      <c r="D69" s="54"/>
      <c r="O69" s="54"/>
      <c r="P69" s="54"/>
      <c r="Q69" s="54"/>
      <c r="R69" s="54"/>
      <c r="S69" s="54"/>
      <c r="T69" s="54"/>
      <c r="U69" s="54"/>
      <c r="V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31"/>
    </row>
    <row r="70" spans="1:62" s="21" customFormat="1" ht="20.25" customHeight="1" x14ac:dyDescent="0.2">
      <c r="A70" s="30"/>
      <c r="B70" s="54"/>
      <c r="C70" s="55"/>
      <c r="D70" s="54"/>
      <c r="F70" s="21" t="s">
        <v>54</v>
      </c>
      <c r="G70" s="54"/>
      <c r="H70" s="54" t="s">
        <v>61</v>
      </c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31"/>
    </row>
    <row r="71" spans="1:62" s="21" customFormat="1" ht="20.25" customHeight="1" x14ac:dyDescent="0.2">
      <c r="A71" s="30"/>
      <c r="B71" s="54"/>
      <c r="C71" s="55"/>
      <c r="D71" s="54"/>
      <c r="F71" s="54"/>
      <c r="H71" s="54" t="s">
        <v>125</v>
      </c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31"/>
    </row>
    <row r="72" spans="1:62" s="21" customFormat="1" ht="20.25" customHeight="1" x14ac:dyDescent="0.2">
      <c r="A72" s="30"/>
      <c r="B72" s="54"/>
      <c r="C72" s="55"/>
      <c r="D72" s="54"/>
      <c r="F72" s="54"/>
      <c r="Q72" s="54"/>
      <c r="R72" s="54"/>
      <c r="S72" s="54"/>
      <c r="T72" s="54"/>
      <c r="U72" s="54"/>
      <c r="V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31"/>
    </row>
    <row r="73" spans="1:62" s="21" customFormat="1" ht="20.25" customHeight="1" x14ac:dyDescent="0.2">
      <c r="A73" s="30"/>
      <c r="B73" s="54"/>
      <c r="C73" s="55"/>
      <c r="D73" s="54"/>
      <c r="F73" s="21" t="s">
        <v>92</v>
      </c>
      <c r="H73" s="54" t="s">
        <v>62</v>
      </c>
      <c r="Q73" s="54"/>
      <c r="R73" s="54"/>
      <c r="S73" s="54"/>
      <c r="T73" s="54"/>
      <c r="U73" s="54"/>
      <c r="V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31"/>
    </row>
    <row r="74" spans="1:62" s="21" customFormat="1" ht="20.25" customHeight="1" x14ac:dyDescent="0.2">
      <c r="A74" s="30"/>
      <c r="B74" s="54"/>
      <c r="C74" s="55"/>
      <c r="D74" s="54"/>
      <c r="F74" s="54"/>
      <c r="H74" s="54" t="s">
        <v>126</v>
      </c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31"/>
    </row>
    <row r="75" spans="1:62" s="21" customFormat="1" ht="20.25" customHeight="1" x14ac:dyDescent="0.2">
      <c r="A75" s="30"/>
      <c r="B75" s="54"/>
      <c r="C75" s="55"/>
      <c r="D75" s="54"/>
      <c r="F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31"/>
    </row>
    <row r="76" spans="1:62" s="21" customFormat="1" ht="20.25" customHeight="1" x14ac:dyDescent="0.2">
      <c r="A76" s="30"/>
      <c r="B76" s="54"/>
      <c r="C76" s="55"/>
      <c r="D76" s="54"/>
      <c r="F76" s="21" t="s">
        <v>105</v>
      </c>
      <c r="H76" s="54" t="s">
        <v>63</v>
      </c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31"/>
    </row>
    <row r="77" spans="1:62" s="21" customFormat="1" ht="20.25" customHeight="1" x14ac:dyDescent="0.2">
      <c r="A77" s="30"/>
      <c r="B77" s="54"/>
      <c r="C77" s="55"/>
      <c r="D77" s="54"/>
      <c r="F77" s="54"/>
      <c r="H77" s="21" t="s">
        <v>127</v>
      </c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31"/>
    </row>
    <row r="78" spans="1:62" s="21" customFormat="1" ht="20.25" customHeight="1" x14ac:dyDescent="0.2">
      <c r="A78" s="30"/>
      <c r="B78" s="54"/>
      <c r="C78" s="55"/>
      <c r="D78" s="54"/>
      <c r="F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31"/>
    </row>
    <row r="79" spans="1:62" s="21" customFormat="1" ht="20.25" customHeight="1" x14ac:dyDescent="0.2">
      <c r="A79" s="30"/>
      <c r="B79" s="54"/>
      <c r="C79" s="55"/>
      <c r="D79" s="54"/>
      <c r="F79" s="21" t="s">
        <v>106</v>
      </c>
      <c r="H79" s="54" t="s">
        <v>64</v>
      </c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31"/>
    </row>
    <row r="80" spans="1:62" s="21" customFormat="1" ht="20.25" customHeight="1" x14ac:dyDescent="0.2">
      <c r="A80" s="30"/>
      <c r="B80" s="54"/>
      <c r="C80" s="55"/>
      <c r="D80" s="54"/>
      <c r="F80" s="54"/>
      <c r="H80" s="54" t="s">
        <v>128</v>
      </c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31"/>
    </row>
    <row r="81" spans="1:62" s="21" customFormat="1" ht="20.25" customHeight="1" x14ac:dyDescent="0.2">
      <c r="A81" s="30"/>
      <c r="B81" s="54"/>
      <c r="C81" s="55"/>
      <c r="D81" s="54"/>
      <c r="F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31"/>
    </row>
    <row r="82" spans="1:62" s="21" customFormat="1" ht="20.25" customHeight="1" x14ac:dyDescent="0.2">
      <c r="A82" s="30"/>
      <c r="B82" s="54"/>
      <c r="C82" s="55"/>
      <c r="D82" s="54"/>
      <c r="F82" s="21" t="s">
        <v>107</v>
      </c>
      <c r="G82" s="54"/>
      <c r="H82" s="54" t="s">
        <v>65</v>
      </c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31"/>
    </row>
    <row r="83" spans="1:62" s="21" customFormat="1" ht="20.25" customHeight="1" x14ac:dyDescent="0.2">
      <c r="A83" s="30"/>
      <c r="B83" s="54"/>
      <c r="C83" s="55"/>
      <c r="D83" s="54"/>
      <c r="F83" s="54"/>
      <c r="G83" s="54"/>
      <c r="H83" s="54" t="s">
        <v>129</v>
      </c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31"/>
    </row>
    <row r="84" spans="1:62" s="21" customFormat="1" ht="20.25" customHeight="1" x14ac:dyDescent="0.2">
      <c r="A84" s="30"/>
      <c r="B84" s="54"/>
      <c r="C84" s="55"/>
      <c r="D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31"/>
    </row>
    <row r="85" spans="1:62" s="21" customFormat="1" ht="20.25" customHeight="1" x14ac:dyDescent="0.2">
      <c r="A85" s="30"/>
      <c r="B85" s="54"/>
      <c r="C85" s="54"/>
      <c r="D85" s="54"/>
      <c r="E85" s="54"/>
      <c r="F85" s="21" t="s">
        <v>108</v>
      </c>
      <c r="G85" s="54"/>
      <c r="H85" s="54" t="s">
        <v>51</v>
      </c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31"/>
    </row>
    <row r="86" spans="1:62" s="21" customFormat="1" ht="20.25" customHeight="1" x14ac:dyDescent="0.2">
      <c r="A86" s="30"/>
      <c r="B86" s="54"/>
      <c r="C86" s="54"/>
      <c r="D86" s="54"/>
      <c r="E86" s="54"/>
      <c r="H86" s="54" t="s">
        <v>66</v>
      </c>
      <c r="I86" s="54"/>
      <c r="J86" s="54"/>
      <c r="K86" s="54"/>
      <c r="L86" s="54"/>
      <c r="M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31"/>
    </row>
    <row r="87" spans="1:62" s="21" customFormat="1" ht="20.25" customHeight="1" x14ac:dyDescent="0.2">
      <c r="A87" s="30"/>
      <c r="B87" s="54"/>
      <c r="C87" s="54"/>
      <c r="D87" s="54"/>
      <c r="E87" s="54"/>
      <c r="G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31"/>
    </row>
    <row r="88" spans="1:62" s="21" customFormat="1" ht="20.25" customHeight="1" x14ac:dyDescent="0.2">
      <c r="A88" s="30"/>
      <c r="B88" s="54"/>
      <c r="C88" s="55"/>
      <c r="D88" s="54"/>
      <c r="F88" s="21" t="s">
        <v>109</v>
      </c>
      <c r="H88" s="54" t="s">
        <v>57</v>
      </c>
      <c r="I88" s="54"/>
      <c r="J88" s="54"/>
      <c r="K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31"/>
    </row>
    <row r="89" spans="1:62" s="21" customFormat="1" ht="20.25" customHeight="1" x14ac:dyDescent="0.2">
      <c r="A89" s="30"/>
      <c r="B89" s="54"/>
      <c r="C89" s="55"/>
      <c r="D89" s="54"/>
      <c r="G89" s="54"/>
      <c r="H89" s="54" t="s">
        <v>130</v>
      </c>
      <c r="J89" s="54"/>
      <c r="K89" s="54"/>
      <c r="L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31"/>
    </row>
    <row r="90" spans="1:62" s="21" customFormat="1" ht="20.25" customHeight="1" x14ac:dyDescent="0.2">
      <c r="A90" s="30"/>
      <c r="B90" s="54"/>
      <c r="C90" s="55"/>
      <c r="D90" s="54"/>
      <c r="G90" s="54"/>
      <c r="I90" s="58" t="s">
        <v>131</v>
      </c>
      <c r="J90" s="54"/>
      <c r="K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31"/>
    </row>
    <row r="91" spans="1:62" s="21" customFormat="1" ht="20.25" customHeight="1" x14ac:dyDescent="0.2">
      <c r="A91" s="30"/>
      <c r="B91" s="54"/>
      <c r="C91" s="55"/>
      <c r="D91" s="54"/>
      <c r="G91" s="54"/>
      <c r="I91" s="58" t="s">
        <v>132</v>
      </c>
      <c r="J91" s="54"/>
      <c r="K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31"/>
    </row>
    <row r="92" spans="1:62" s="21" customFormat="1" ht="20.25" customHeight="1" x14ac:dyDescent="0.2">
      <c r="A92" s="30"/>
      <c r="B92" s="54"/>
      <c r="C92" s="54"/>
      <c r="D92" s="54"/>
      <c r="G92" s="54"/>
      <c r="H92" s="54"/>
      <c r="J92" s="54" t="s">
        <v>31</v>
      </c>
      <c r="K92" s="54"/>
      <c r="L92" s="54" t="s">
        <v>133</v>
      </c>
      <c r="M92" s="54"/>
      <c r="N92" s="54"/>
      <c r="O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31"/>
    </row>
    <row r="93" spans="1:62" s="21" customFormat="1" ht="20.25" customHeight="1" x14ac:dyDescent="0.2">
      <c r="A93" s="30"/>
      <c r="B93" s="54"/>
      <c r="C93" s="54"/>
      <c r="D93" s="54"/>
      <c r="G93" s="54"/>
      <c r="H93" s="54"/>
      <c r="J93" s="54"/>
      <c r="K93" s="54"/>
      <c r="L93" s="54" t="s">
        <v>99</v>
      </c>
      <c r="M93" s="54"/>
      <c r="N93" s="54"/>
      <c r="O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31"/>
    </row>
    <row r="94" spans="1:62" s="21" customFormat="1" ht="20.25" customHeight="1" x14ac:dyDescent="0.2">
      <c r="A94" s="30"/>
      <c r="B94" s="54"/>
      <c r="C94" s="54"/>
      <c r="D94" s="54"/>
      <c r="G94" s="54"/>
      <c r="H94" s="54"/>
      <c r="J94" s="54"/>
      <c r="K94" s="54"/>
      <c r="L94" s="54"/>
      <c r="M94" s="54" t="s">
        <v>98</v>
      </c>
      <c r="N94" s="54"/>
      <c r="O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31"/>
    </row>
    <row r="95" spans="1:62" s="21" customFormat="1" ht="20.25" customHeight="1" x14ac:dyDescent="0.2">
      <c r="A95" s="30"/>
      <c r="B95" s="54"/>
      <c r="C95" s="54"/>
      <c r="D95" s="54"/>
      <c r="G95" s="54"/>
      <c r="H95" s="54"/>
      <c r="J95" s="54"/>
      <c r="K95" s="54"/>
      <c r="L95" s="54"/>
      <c r="M95" s="54" t="s">
        <v>97</v>
      </c>
      <c r="N95" s="54"/>
      <c r="O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31"/>
    </row>
    <row r="96" spans="1:62" s="21" customFormat="1" ht="20.25" customHeight="1" x14ac:dyDescent="0.2">
      <c r="A96" s="30"/>
      <c r="B96" s="54"/>
      <c r="C96" s="54"/>
      <c r="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31"/>
    </row>
    <row r="97" spans="1:62" s="21" customFormat="1" ht="20.25" customHeight="1" x14ac:dyDescent="0.2">
      <c r="A97" s="30"/>
      <c r="B97" s="54"/>
      <c r="C97" s="54"/>
      <c r="D97" s="54"/>
      <c r="F97" s="21" t="s">
        <v>110</v>
      </c>
      <c r="H97" s="54" t="s">
        <v>56</v>
      </c>
      <c r="I97" s="54"/>
      <c r="J97" s="54"/>
      <c r="K97" s="54"/>
      <c r="M97" s="54"/>
      <c r="N97" s="54"/>
      <c r="O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31"/>
    </row>
    <row r="98" spans="1:62" s="21" customFormat="1" ht="20.25" customHeight="1" x14ac:dyDescent="0.2">
      <c r="A98" s="30"/>
      <c r="B98" s="54"/>
      <c r="C98" s="54"/>
      <c r="D98" s="54"/>
      <c r="G98" s="54"/>
      <c r="H98" s="54" t="s">
        <v>134</v>
      </c>
      <c r="I98" s="54"/>
      <c r="J98" s="54"/>
      <c r="K98" s="54"/>
      <c r="L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31"/>
    </row>
    <row r="99" spans="1:62" s="21" customFormat="1" ht="20.25" customHeight="1" x14ac:dyDescent="0.2">
      <c r="A99" s="30"/>
      <c r="B99" s="54"/>
      <c r="C99" s="55"/>
      <c r="D99" s="54"/>
      <c r="G99" s="54"/>
      <c r="I99" s="58" t="s">
        <v>135</v>
      </c>
      <c r="J99" s="54"/>
      <c r="K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31"/>
    </row>
    <row r="100" spans="1:62" s="21" customFormat="1" ht="20.25" customHeight="1" x14ac:dyDescent="0.2">
      <c r="A100" s="30"/>
      <c r="B100" s="54"/>
      <c r="C100" s="55"/>
      <c r="D100" s="54"/>
      <c r="G100" s="54"/>
      <c r="I100" s="58" t="s">
        <v>136</v>
      </c>
      <c r="J100" s="54"/>
      <c r="K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31"/>
    </row>
    <row r="101" spans="1:62" s="21" customFormat="1" ht="20.25" customHeight="1" x14ac:dyDescent="0.2">
      <c r="A101" s="30"/>
      <c r="B101" s="54"/>
      <c r="C101" s="54"/>
      <c r="D101" s="54"/>
      <c r="G101" s="54"/>
      <c r="H101" s="54"/>
      <c r="J101" s="54" t="s">
        <v>30</v>
      </c>
      <c r="K101" s="54"/>
      <c r="L101" s="54" t="s">
        <v>137</v>
      </c>
      <c r="M101" s="54"/>
      <c r="N101" s="54"/>
      <c r="O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31"/>
    </row>
    <row r="102" spans="1:62" s="21" customFormat="1" ht="20.25" customHeight="1" x14ac:dyDescent="0.2">
      <c r="A102" s="30"/>
      <c r="B102" s="54"/>
      <c r="C102" s="54"/>
      <c r="D102" s="54"/>
      <c r="G102" s="54"/>
      <c r="H102" s="54"/>
      <c r="J102" s="54"/>
      <c r="K102" s="54"/>
      <c r="L102" s="54"/>
      <c r="M102" s="54"/>
      <c r="N102" s="54"/>
      <c r="O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31"/>
    </row>
    <row r="103" spans="1:62" s="21" customFormat="1" ht="20.25" customHeight="1" x14ac:dyDescent="0.2">
      <c r="A103" s="30"/>
      <c r="B103" s="54"/>
      <c r="C103" s="54"/>
      <c r="D103" s="54"/>
      <c r="E103" s="54"/>
      <c r="F103" s="21" t="s">
        <v>111</v>
      </c>
      <c r="G103" s="54"/>
      <c r="H103" s="54" t="s">
        <v>50</v>
      </c>
      <c r="I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31"/>
    </row>
    <row r="104" spans="1:62" s="21" customFormat="1" ht="20.25" customHeight="1" x14ac:dyDescent="0.2">
      <c r="A104" s="30"/>
      <c r="B104" s="54"/>
      <c r="C104" s="54"/>
      <c r="D104" s="54"/>
      <c r="E104" s="54"/>
      <c r="G104" s="54"/>
      <c r="H104" s="54" t="s">
        <v>95</v>
      </c>
      <c r="I104" s="54"/>
      <c r="J104" s="54"/>
      <c r="K104" s="54"/>
      <c r="L104" s="54"/>
      <c r="M104" s="54"/>
      <c r="N104" s="54"/>
      <c r="O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31"/>
    </row>
    <row r="105" spans="1:62" s="21" customFormat="1" ht="20.25" customHeight="1" x14ac:dyDescent="0.2">
      <c r="A105" s="30"/>
      <c r="B105" s="54"/>
      <c r="C105" s="54"/>
      <c r="D105" s="54"/>
      <c r="E105" s="54"/>
      <c r="G105" s="54"/>
      <c r="H105" s="54"/>
      <c r="I105" s="54" t="s">
        <v>96</v>
      </c>
      <c r="J105" s="54"/>
      <c r="K105" s="54"/>
      <c r="L105" s="54"/>
      <c r="M105" s="54"/>
      <c r="N105" s="54"/>
      <c r="O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31"/>
    </row>
    <row r="106" spans="1:62" s="21" customFormat="1" ht="20.25" customHeight="1" x14ac:dyDescent="0.2">
      <c r="A106" s="30"/>
      <c r="B106" s="54"/>
      <c r="C106" s="54"/>
      <c r="D106" s="54"/>
      <c r="E106" s="54"/>
      <c r="G106" s="54"/>
      <c r="H106" s="54"/>
      <c r="I106" s="54"/>
      <c r="J106" s="54" t="s">
        <v>93</v>
      </c>
      <c r="K106" s="54"/>
      <c r="L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31"/>
    </row>
    <row r="107" spans="1:62" s="21" customFormat="1" ht="20.25" customHeight="1" x14ac:dyDescent="0.2">
      <c r="A107" s="30"/>
      <c r="B107" s="54"/>
      <c r="C107" s="54"/>
      <c r="D107" s="54"/>
      <c r="E107" s="54"/>
      <c r="G107" s="54"/>
      <c r="H107" s="54" t="s">
        <v>94</v>
      </c>
      <c r="I107" s="54"/>
      <c r="J107" s="54"/>
      <c r="K107" s="54"/>
      <c r="L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31"/>
    </row>
    <row r="108" spans="1:62" s="21" customFormat="1" ht="20.25" customHeight="1" x14ac:dyDescent="0.2">
      <c r="A108" s="30"/>
      <c r="B108" s="54"/>
      <c r="C108" s="54"/>
      <c r="D108" s="54"/>
      <c r="E108" s="54"/>
      <c r="G108" s="54"/>
      <c r="H108" s="54"/>
      <c r="I108" s="54"/>
      <c r="J108" s="54" t="s">
        <v>67</v>
      </c>
      <c r="K108" s="54"/>
      <c r="L108" s="54"/>
      <c r="M108" s="54"/>
      <c r="N108" s="54"/>
      <c r="O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31"/>
    </row>
    <row r="109" spans="1:62" s="21" customFormat="1" ht="20.25" customHeight="1" x14ac:dyDescent="0.2">
      <c r="A109" s="30"/>
      <c r="B109" s="54"/>
      <c r="C109" s="55"/>
      <c r="D109" s="54"/>
      <c r="H109" s="54"/>
      <c r="I109" s="54"/>
      <c r="J109" s="54" t="s">
        <v>40</v>
      </c>
      <c r="K109" s="54"/>
      <c r="L109" s="54"/>
      <c r="N109" s="54"/>
      <c r="O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31"/>
    </row>
    <row r="110" spans="1:62" s="21" customFormat="1" ht="20.25" customHeight="1" x14ac:dyDescent="0.2">
      <c r="A110" s="59"/>
      <c r="B110" s="60"/>
      <c r="C110" s="60"/>
      <c r="D110" s="60"/>
      <c r="E110" s="25"/>
      <c r="F110" s="25"/>
      <c r="G110" s="60"/>
      <c r="H110" s="60"/>
      <c r="I110" s="25"/>
      <c r="J110" s="60"/>
      <c r="K110" s="60"/>
      <c r="L110" s="60"/>
      <c r="M110" s="60"/>
      <c r="N110" s="60"/>
      <c r="O110" s="60"/>
      <c r="P110" s="25"/>
      <c r="Q110" s="25"/>
      <c r="R110" s="25"/>
      <c r="S110" s="25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1"/>
    </row>
    <row r="111" spans="1:62" s="21" customFormat="1" ht="20.25" customHeight="1" x14ac:dyDescent="0.2">
      <c r="A111" s="27"/>
      <c r="B111" s="28"/>
      <c r="C111" s="28"/>
      <c r="D111" s="28"/>
      <c r="E111" s="62"/>
      <c r="F111" s="62" t="s">
        <v>115</v>
      </c>
      <c r="G111" s="62"/>
      <c r="H111" s="28" t="s">
        <v>85</v>
      </c>
      <c r="I111" s="28"/>
      <c r="J111" s="28"/>
      <c r="K111" s="62"/>
      <c r="L111" s="28"/>
      <c r="M111" s="28"/>
      <c r="N111" s="62"/>
      <c r="O111" s="62"/>
      <c r="P111" s="62" t="s">
        <v>112</v>
      </c>
      <c r="Q111" s="28"/>
      <c r="R111" s="28"/>
      <c r="S111" s="62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9"/>
    </row>
    <row r="112" spans="1:62" s="21" customFormat="1" ht="20.25" customHeight="1" x14ac:dyDescent="0.2">
      <c r="A112" s="30"/>
      <c r="B112" s="54"/>
      <c r="C112" s="54"/>
      <c r="D112" s="54"/>
      <c r="G112" s="54"/>
      <c r="H112" s="54" t="s">
        <v>113</v>
      </c>
      <c r="I112" s="54"/>
      <c r="J112" s="54"/>
      <c r="K112" s="54"/>
      <c r="L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31"/>
    </row>
    <row r="113" spans="1:62" s="21" customFormat="1" ht="20.25" customHeight="1" x14ac:dyDescent="0.2">
      <c r="A113" s="30"/>
      <c r="B113" s="54"/>
      <c r="C113" s="55"/>
      <c r="D113" s="54"/>
      <c r="G113" s="54"/>
      <c r="I113" s="58" t="s">
        <v>131</v>
      </c>
      <c r="J113" s="54"/>
      <c r="K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31"/>
    </row>
    <row r="114" spans="1:62" s="21" customFormat="1" ht="20.25" customHeight="1" x14ac:dyDescent="0.2">
      <c r="A114" s="30"/>
      <c r="B114" s="54"/>
      <c r="C114" s="55"/>
      <c r="D114" s="54"/>
      <c r="G114" s="54"/>
      <c r="I114" s="58" t="s">
        <v>138</v>
      </c>
      <c r="J114" s="54"/>
      <c r="K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31"/>
    </row>
    <row r="115" spans="1:62" s="21" customFormat="1" ht="20.25" customHeight="1" x14ac:dyDescent="0.2">
      <c r="A115" s="30"/>
      <c r="B115" s="54"/>
      <c r="C115" s="54"/>
      <c r="D115" s="54"/>
      <c r="G115" s="54"/>
      <c r="H115" s="54"/>
      <c r="J115" s="54" t="s">
        <v>31</v>
      </c>
      <c r="K115" s="54"/>
      <c r="L115" s="54" t="s">
        <v>59</v>
      </c>
      <c r="M115" s="54"/>
      <c r="N115" s="54"/>
      <c r="O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31"/>
    </row>
    <row r="116" spans="1:62" s="21" customFormat="1" ht="20.25" customHeight="1" x14ac:dyDescent="0.2">
      <c r="A116" s="30"/>
      <c r="B116" s="54"/>
      <c r="J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31"/>
    </row>
    <row r="117" spans="1:62" s="21" customFormat="1" ht="20.25" customHeight="1" x14ac:dyDescent="0.2">
      <c r="A117" s="30"/>
      <c r="B117" s="54"/>
      <c r="F117" s="21" t="s">
        <v>116</v>
      </c>
      <c r="H117" s="54" t="s">
        <v>58</v>
      </c>
      <c r="I117" s="54"/>
      <c r="J117" s="54"/>
      <c r="L117" s="54"/>
      <c r="M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31"/>
    </row>
    <row r="118" spans="1:62" s="21" customFormat="1" ht="20.25" customHeight="1" x14ac:dyDescent="0.2">
      <c r="A118" s="30"/>
      <c r="B118" s="54"/>
      <c r="C118" s="54"/>
      <c r="D118" s="54"/>
      <c r="H118" s="54" t="s">
        <v>114</v>
      </c>
      <c r="J118" s="54"/>
      <c r="N118" s="54"/>
      <c r="O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31"/>
    </row>
    <row r="119" spans="1:62" s="21" customFormat="1" ht="20.25" customHeight="1" x14ac:dyDescent="0.2">
      <c r="A119" s="30"/>
      <c r="B119" s="54"/>
      <c r="I119" s="55" t="s">
        <v>139</v>
      </c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31"/>
    </row>
    <row r="120" spans="1:62" s="21" customFormat="1" ht="20.25" customHeight="1" x14ac:dyDescent="0.2">
      <c r="A120" s="30"/>
      <c r="B120" s="54"/>
      <c r="I120" s="55" t="s">
        <v>140</v>
      </c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31"/>
    </row>
    <row r="121" spans="1:62" s="21" customFormat="1" ht="20.25" customHeight="1" x14ac:dyDescent="0.2">
      <c r="A121" s="30"/>
      <c r="B121" s="54"/>
      <c r="H121" s="54"/>
      <c r="J121" s="21" t="s">
        <v>30</v>
      </c>
      <c r="L121" s="21" t="s">
        <v>74</v>
      </c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31"/>
    </row>
    <row r="122" spans="1:62" s="21" customFormat="1" ht="20.25" customHeight="1" x14ac:dyDescent="0.2">
      <c r="A122" s="30"/>
      <c r="B122" s="54"/>
      <c r="H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31"/>
    </row>
    <row r="123" spans="1:62" s="21" customFormat="1" ht="20.25" customHeight="1" x14ac:dyDescent="0.2">
      <c r="A123" s="22"/>
      <c r="C123" s="55" t="s">
        <v>33</v>
      </c>
      <c r="F123" s="21" t="s">
        <v>141</v>
      </c>
      <c r="BJ123" s="23"/>
    </row>
    <row r="124" spans="1:62" s="21" customFormat="1" ht="20.25" customHeight="1" x14ac:dyDescent="0.2">
      <c r="A124" s="22"/>
      <c r="F124" s="21" t="s">
        <v>52</v>
      </c>
      <c r="H124" s="21" t="s">
        <v>142</v>
      </c>
      <c r="BJ124" s="23"/>
    </row>
    <row r="125" spans="1:62" s="21" customFormat="1" ht="20.25" customHeight="1" x14ac:dyDescent="0.2">
      <c r="A125" s="22"/>
      <c r="G125" s="21" t="s">
        <v>71</v>
      </c>
      <c r="J125" s="21" t="s">
        <v>87</v>
      </c>
      <c r="BJ125" s="23"/>
    </row>
    <row r="126" spans="1:62" s="21" customFormat="1" ht="20.25" customHeight="1" x14ac:dyDescent="0.2">
      <c r="A126" s="22"/>
      <c r="J126" s="21" t="s">
        <v>143</v>
      </c>
      <c r="BJ126" s="23"/>
    </row>
    <row r="127" spans="1:62" s="21" customFormat="1" ht="20.25" customHeight="1" thickBot="1" x14ac:dyDescent="0.25">
      <c r="A127" s="22"/>
      <c r="H127" s="21" t="s">
        <v>28</v>
      </c>
      <c r="BJ127" s="23"/>
    </row>
    <row r="128" spans="1:62" s="21" customFormat="1" ht="20.25" customHeight="1" x14ac:dyDescent="0.2">
      <c r="A128" s="22"/>
      <c r="J128" s="118" t="s">
        <v>23</v>
      </c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09" t="s">
        <v>24</v>
      </c>
      <c r="W128" s="110"/>
      <c r="X128" s="110"/>
      <c r="Y128" s="110"/>
      <c r="Z128" s="110"/>
      <c r="AA128" s="110"/>
      <c r="AB128" s="110"/>
      <c r="AC128" s="110"/>
      <c r="AD128" s="109" t="s">
        <v>25</v>
      </c>
      <c r="AE128" s="110"/>
      <c r="AF128" s="110"/>
      <c r="AG128" s="110"/>
      <c r="AH128" s="110"/>
      <c r="AI128" s="110"/>
      <c r="AJ128" s="110"/>
      <c r="AK128" s="111"/>
      <c r="BJ128" s="23"/>
    </row>
    <row r="129" spans="1:62" s="21" customFormat="1" ht="18.75" customHeight="1" x14ac:dyDescent="0.2">
      <c r="A129" s="22"/>
      <c r="J129" s="93" t="s">
        <v>82</v>
      </c>
      <c r="K129" s="94"/>
      <c r="L129" s="94"/>
      <c r="M129" s="94"/>
      <c r="N129" s="93" t="s">
        <v>68</v>
      </c>
      <c r="O129" s="94"/>
      <c r="P129" s="94"/>
      <c r="Q129" s="94"/>
      <c r="R129" s="95" t="s">
        <v>27</v>
      </c>
      <c r="S129" s="94"/>
      <c r="T129" s="94"/>
      <c r="U129" s="94"/>
      <c r="V129" s="93" t="s">
        <v>68</v>
      </c>
      <c r="W129" s="94"/>
      <c r="X129" s="94"/>
      <c r="Y129" s="94"/>
      <c r="Z129" s="95" t="s">
        <v>27</v>
      </c>
      <c r="AA129" s="94"/>
      <c r="AB129" s="94"/>
      <c r="AC129" s="94"/>
      <c r="AD129" s="96" t="s">
        <v>68</v>
      </c>
      <c r="AE129" s="97"/>
      <c r="AF129" s="97"/>
      <c r="AG129" s="97"/>
      <c r="AH129" s="95" t="s">
        <v>27</v>
      </c>
      <c r="AI129" s="94"/>
      <c r="AJ129" s="94"/>
      <c r="AK129" s="108"/>
      <c r="BJ129" s="23"/>
    </row>
    <row r="130" spans="1:62" s="21" customFormat="1" ht="20.25" customHeight="1" thickBot="1" x14ac:dyDescent="0.25">
      <c r="A130" s="22"/>
      <c r="J130" s="89">
        <v>10</v>
      </c>
      <c r="K130" s="90"/>
      <c r="L130" s="90"/>
      <c r="M130" s="91"/>
      <c r="N130" s="89">
        <v>10</v>
      </c>
      <c r="O130" s="90"/>
      <c r="P130" s="90"/>
      <c r="Q130" s="91"/>
      <c r="R130" s="92">
        <v>500</v>
      </c>
      <c r="S130" s="90"/>
      <c r="T130" s="90"/>
      <c r="U130" s="90"/>
      <c r="V130" s="89">
        <v>30</v>
      </c>
      <c r="W130" s="90">
        <v>30</v>
      </c>
      <c r="X130" s="90"/>
      <c r="Y130" s="91"/>
      <c r="Z130" s="92">
        <v>300</v>
      </c>
      <c r="AA130" s="90">
        <v>300</v>
      </c>
      <c r="AB130" s="90"/>
      <c r="AC130" s="90"/>
      <c r="AD130" s="89">
        <f>J130+N130-V130</f>
        <v>-10</v>
      </c>
      <c r="AE130" s="90"/>
      <c r="AF130" s="90"/>
      <c r="AG130" s="91"/>
      <c r="AH130" s="92">
        <v>200</v>
      </c>
      <c r="AI130" s="90"/>
      <c r="AJ130" s="90"/>
      <c r="AK130" s="112"/>
      <c r="BJ130" s="23"/>
    </row>
    <row r="131" spans="1:62" s="21" customFormat="1" ht="20.25" customHeight="1" x14ac:dyDescent="0.2">
      <c r="A131" s="22"/>
      <c r="BJ131" s="23"/>
    </row>
    <row r="132" spans="1:62" s="21" customFormat="1" ht="20.25" customHeight="1" thickBot="1" x14ac:dyDescent="0.25">
      <c r="A132" s="22"/>
      <c r="BJ132" s="23"/>
    </row>
    <row r="133" spans="1:62" s="21" customFormat="1" ht="20.25" customHeight="1" x14ac:dyDescent="0.2">
      <c r="A133" s="22"/>
      <c r="J133" s="118" t="s">
        <v>23</v>
      </c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09" t="s">
        <v>24</v>
      </c>
      <c r="W133" s="110"/>
      <c r="X133" s="110"/>
      <c r="Y133" s="110"/>
      <c r="Z133" s="110"/>
      <c r="AA133" s="110"/>
      <c r="AB133" s="110"/>
      <c r="AC133" s="110"/>
      <c r="AD133" s="109" t="s">
        <v>25</v>
      </c>
      <c r="AE133" s="110"/>
      <c r="AF133" s="110"/>
      <c r="AG133" s="110"/>
      <c r="AH133" s="110"/>
      <c r="AI133" s="110"/>
      <c r="AJ133" s="110"/>
      <c r="AK133" s="111"/>
      <c r="BJ133" s="23"/>
    </row>
    <row r="134" spans="1:62" s="21" customFormat="1" ht="18.75" customHeight="1" x14ac:dyDescent="0.2">
      <c r="A134" s="22"/>
      <c r="J134" s="93" t="s">
        <v>83</v>
      </c>
      <c r="K134" s="94"/>
      <c r="L134" s="94"/>
      <c r="M134" s="94"/>
      <c r="N134" s="93" t="s">
        <v>69</v>
      </c>
      <c r="O134" s="94"/>
      <c r="P134" s="94"/>
      <c r="Q134" s="94"/>
      <c r="R134" s="95" t="s">
        <v>27</v>
      </c>
      <c r="S134" s="94"/>
      <c r="T134" s="94"/>
      <c r="U134" s="94"/>
      <c r="V134" s="93" t="s">
        <v>69</v>
      </c>
      <c r="W134" s="94"/>
      <c r="X134" s="94"/>
      <c r="Y134" s="94"/>
      <c r="Z134" s="95" t="s">
        <v>27</v>
      </c>
      <c r="AA134" s="94"/>
      <c r="AB134" s="94"/>
      <c r="AC134" s="94"/>
      <c r="AD134" s="96" t="s">
        <v>69</v>
      </c>
      <c r="AE134" s="97"/>
      <c r="AF134" s="97"/>
      <c r="AG134" s="97"/>
      <c r="AH134" s="95" t="s">
        <v>27</v>
      </c>
      <c r="AI134" s="94"/>
      <c r="AJ134" s="94"/>
      <c r="AK134" s="108"/>
      <c r="BJ134" s="23"/>
    </row>
    <row r="135" spans="1:62" s="21" customFormat="1" ht="20.25" customHeight="1" thickBot="1" x14ac:dyDescent="0.25">
      <c r="A135" s="22"/>
      <c r="J135" s="89">
        <v>10</v>
      </c>
      <c r="K135" s="90"/>
      <c r="L135" s="90"/>
      <c r="M135" s="91"/>
      <c r="N135" s="89">
        <v>10</v>
      </c>
      <c r="O135" s="90"/>
      <c r="P135" s="90"/>
      <c r="Q135" s="91"/>
      <c r="R135" s="92">
        <v>500</v>
      </c>
      <c r="S135" s="90"/>
      <c r="T135" s="90"/>
      <c r="U135" s="90"/>
      <c r="V135" s="89">
        <v>30</v>
      </c>
      <c r="W135" s="90">
        <v>30</v>
      </c>
      <c r="X135" s="90"/>
      <c r="Y135" s="91"/>
      <c r="Z135" s="92">
        <v>300</v>
      </c>
      <c r="AA135" s="90">
        <v>300</v>
      </c>
      <c r="AB135" s="90"/>
      <c r="AC135" s="90"/>
      <c r="AD135" s="89">
        <f>J135+N135-V135</f>
        <v>-10</v>
      </c>
      <c r="AE135" s="90"/>
      <c r="AF135" s="90"/>
      <c r="AG135" s="91"/>
      <c r="AH135" s="92">
        <v>200</v>
      </c>
      <c r="AI135" s="90"/>
      <c r="AJ135" s="90"/>
      <c r="AK135" s="112"/>
      <c r="BJ135" s="23"/>
    </row>
    <row r="136" spans="1:62" s="21" customFormat="1" ht="20.25" customHeight="1" x14ac:dyDescent="0.2">
      <c r="A136" s="22"/>
      <c r="BJ136" s="23"/>
    </row>
    <row r="137" spans="1:62" s="21" customFormat="1" ht="20.25" customHeight="1" x14ac:dyDescent="0.2">
      <c r="A137" s="22"/>
      <c r="F137" s="21" t="s">
        <v>54</v>
      </c>
      <c r="H137" s="21" t="s">
        <v>144</v>
      </c>
      <c r="BJ137" s="23"/>
    </row>
    <row r="138" spans="1:62" s="21" customFormat="1" ht="20.25" customHeight="1" x14ac:dyDescent="0.2">
      <c r="A138" s="22"/>
      <c r="G138" s="21" t="s">
        <v>71</v>
      </c>
      <c r="J138" s="21" t="s">
        <v>86</v>
      </c>
      <c r="BJ138" s="23"/>
    </row>
    <row r="139" spans="1:62" s="21" customFormat="1" ht="20.25" customHeight="1" x14ac:dyDescent="0.2">
      <c r="A139" s="22"/>
      <c r="J139" s="21" t="s">
        <v>73</v>
      </c>
      <c r="BJ139" s="23"/>
    </row>
    <row r="140" spans="1:62" s="21" customFormat="1" ht="20.25" customHeight="1" thickBot="1" x14ac:dyDescent="0.25">
      <c r="A140" s="22"/>
      <c r="H140" s="21" t="s">
        <v>28</v>
      </c>
      <c r="BJ140" s="23"/>
    </row>
    <row r="141" spans="1:62" s="21" customFormat="1" ht="20.25" customHeight="1" x14ac:dyDescent="0.2">
      <c r="A141" s="22"/>
      <c r="J141" s="118" t="s">
        <v>23</v>
      </c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09" t="s">
        <v>24</v>
      </c>
      <c r="W141" s="110"/>
      <c r="X141" s="110"/>
      <c r="Y141" s="110"/>
      <c r="Z141" s="110"/>
      <c r="AA141" s="110"/>
      <c r="AB141" s="110"/>
      <c r="AC141" s="110"/>
      <c r="AD141" s="109" t="s">
        <v>32</v>
      </c>
      <c r="AE141" s="110"/>
      <c r="AF141" s="110"/>
      <c r="AG141" s="110"/>
      <c r="AH141" s="110"/>
      <c r="AI141" s="110"/>
      <c r="AJ141" s="110"/>
      <c r="AK141" s="111"/>
      <c r="BJ141" s="23"/>
    </row>
    <row r="142" spans="1:62" s="21" customFormat="1" ht="20.25" customHeight="1" x14ac:dyDescent="0.2">
      <c r="A142" s="22"/>
      <c r="J142" s="93" t="s">
        <v>82</v>
      </c>
      <c r="K142" s="94"/>
      <c r="L142" s="94"/>
      <c r="M142" s="94"/>
      <c r="N142" s="93" t="s">
        <v>68</v>
      </c>
      <c r="O142" s="94"/>
      <c r="P142" s="94"/>
      <c r="Q142" s="94"/>
      <c r="R142" s="95" t="s">
        <v>27</v>
      </c>
      <c r="S142" s="94"/>
      <c r="T142" s="94"/>
      <c r="U142" s="94"/>
      <c r="V142" s="93" t="s">
        <v>68</v>
      </c>
      <c r="W142" s="94"/>
      <c r="X142" s="94"/>
      <c r="Y142" s="94"/>
      <c r="Z142" s="95" t="s">
        <v>27</v>
      </c>
      <c r="AA142" s="94"/>
      <c r="AB142" s="94"/>
      <c r="AC142" s="94"/>
      <c r="AD142" s="96" t="s">
        <v>68</v>
      </c>
      <c r="AE142" s="97"/>
      <c r="AF142" s="97"/>
      <c r="AG142" s="97"/>
      <c r="AH142" s="95" t="s">
        <v>27</v>
      </c>
      <c r="AI142" s="94"/>
      <c r="AJ142" s="94"/>
      <c r="AK142" s="108"/>
      <c r="BJ142" s="23"/>
    </row>
    <row r="143" spans="1:62" s="21" customFormat="1" ht="20.25" customHeight="1" thickBot="1" x14ac:dyDescent="0.25">
      <c r="A143" s="22"/>
      <c r="J143" s="89">
        <v>2</v>
      </c>
      <c r="K143" s="90"/>
      <c r="L143" s="90"/>
      <c r="M143" s="91"/>
      <c r="N143" s="89">
        <v>-10</v>
      </c>
      <c r="O143" s="90"/>
      <c r="P143" s="90"/>
      <c r="Q143" s="91"/>
      <c r="R143" s="92">
        <v>-50</v>
      </c>
      <c r="S143" s="90"/>
      <c r="T143" s="90"/>
      <c r="U143" s="90"/>
      <c r="V143" s="89">
        <v>-5</v>
      </c>
      <c r="W143" s="90"/>
      <c r="X143" s="90"/>
      <c r="Y143" s="91"/>
      <c r="Z143" s="92">
        <v>-100</v>
      </c>
      <c r="AA143" s="90"/>
      <c r="AB143" s="90"/>
      <c r="AC143" s="90"/>
      <c r="AD143" s="89">
        <f>J143+N143+V143</f>
        <v>-13</v>
      </c>
      <c r="AE143" s="90"/>
      <c r="AF143" s="90"/>
      <c r="AG143" s="91"/>
      <c r="AH143" s="92">
        <f>J143+R143+Z143</f>
        <v>-148</v>
      </c>
      <c r="AI143" s="90"/>
      <c r="AJ143" s="90"/>
      <c r="AK143" s="112"/>
      <c r="BJ143" s="23"/>
    </row>
    <row r="144" spans="1:62" s="21" customFormat="1" ht="20.25" customHeight="1" x14ac:dyDescent="0.2">
      <c r="A144" s="22"/>
      <c r="BJ144" s="23"/>
    </row>
    <row r="145" spans="1:62" s="21" customFormat="1" ht="20.25" customHeight="1" x14ac:dyDescent="0.2">
      <c r="A145" s="22"/>
      <c r="G145" s="21" t="s">
        <v>43</v>
      </c>
      <c r="J145" s="21" t="s">
        <v>100</v>
      </c>
      <c r="BJ145" s="23"/>
    </row>
    <row r="146" spans="1:62" s="21" customFormat="1" ht="20.25" customHeight="1" x14ac:dyDescent="0.2">
      <c r="A146" s="22"/>
      <c r="J146" s="21" t="s">
        <v>75</v>
      </c>
      <c r="BJ146" s="23"/>
    </row>
    <row r="147" spans="1:62" s="21" customFormat="1" ht="20.25" customHeight="1" thickBot="1" x14ac:dyDescent="0.25">
      <c r="A147" s="22"/>
      <c r="H147" s="21" t="s">
        <v>28</v>
      </c>
      <c r="BJ147" s="23"/>
    </row>
    <row r="148" spans="1:62" s="21" customFormat="1" ht="20.25" customHeight="1" x14ac:dyDescent="0.2">
      <c r="A148" s="22"/>
      <c r="J148" s="118" t="s">
        <v>23</v>
      </c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09" t="s">
        <v>24</v>
      </c>
      <c r="W148" s="110"/>
      <c r="X148" s="110"/>
      <c r="Y148" s="110"/>
      <c r="Z148" s="110"/>
      <c r="AA148" s="110"/>
      <c r="AB148" s="110"/>
      <c r="AC148" s="110"/>
      <c r="AD148" s="109" t="s">
        <v>32</v>
      </c>
      <c r="AE148" s="110"/>
      <c r="AF148" s="110"/>
      <c r="AG148" s="110"/>
      <c r="AH148" s="110"/>
      <c r="AI148" s="110"/>
      <c r="AJ148" s="110"/>
      <c r="AK148" s="111"/>
      <c r="BJ148" s="23"/>
    </row>
    <row r="149" spans="1:62" s="21" customFormat="1" ht="20.25" customHeight="1" x14ac:dyDescent="0.2">
      <c r="A149" s="22"/>
      <c r="J149" s="93" t="s">
        <v>76</v>
      </c>
      <c r="K149" s="94"/>
      <c r="L149" s="94"/>
      <c r="M149" s="94"/>
      <c r="N149" s="93" t="s">
        <v>68</v>
      </c>
      <c r="O149" s="94"/>
      <c r="P149" s="94"/>
      <c r="Q149" s="94"/>
      <c r="R149" s="95" t="s">
        <v>27</v>
      </c>
      <c r="S149" s="94"/>
      <c r="T149" s="94"/>
      <c r="U149" s="94"/>
      <c r="V149" s="93" t="s">
        <v>68</v>
      </c>
      <c r="W149" s="94"/>
      <c r="X149" s="94"/>
      <c r="Y149" s="94"/>
      <c r="Z149" s="95" t="s">
        <v>27</v>
      </c>
      <c r="AA149" s="94"/>
      <c r="AB149" s="94"/>
      <c r="AC149" s="94"/>
      <c r="AD149" s="93" t="s">
        <v>26</v>
      </c>
      <c r="AE149" s="94"/>
      <c r="AF149" s="94"/>
      <c r="AG149" s="94"/>
      <c r="AH149" s="121" t="s">
        <v>27</v>
      </c>
      <c r="AI149" s="122"/>
      <c r="AJ149" s="122"/>
      <c r="AK149" s="123"/>
      <c r="BJ149" s="23"/>
    </row>
    <row r="150" spans="1:62" s="21" customFormat="1" ht="20.25" customHeight="1" thickBot="1" x14ac:dyDescent="0.25">
      <c r="A150" s="22"/>
      <c r="J150" s="89">
        <v>200</v>
      </c>
      <c r="K150" s="90"/>
      <c r="L150" s="90"/>
      <c r="M150" s="91"/>
      <c r="N150" s="89">
        <v>-1</v>
      </c>
      <c r="O150" s="90"/>
      <c r="P150" s="90"/>
      <c r="Q150" s="91"/>
      <c r="R150" s="92">
        <v>-100</v>
      </c>
      <c r="S150" s="90"/>
      <c r="T150" s="90"/>
      <c r="U150" s="90"/>
      <c r="V150" s="89">
        <v>-10</v>
      </c>
      <c r="W150" s="90"/>
      <c r="X150" s="90"/>
      <c r="Y150" s="91"/>
      <c r="Z150" s="92">
        <v>-50</v>
      </c>
      <c r="AA150" s="90"/>
      <c r="AB150" s="90"/>
      <c r="AC150" s="90"/>
      <c r="AD150" s="89">
        <f>N150+V150</f>
        <v>-11</v>
      </c>
      <c r="AE150" s="90"/>
      <c r="AF150" s="90"/>
      <c r="AG150" s="91"/>
      <c r="AH150" s="92">
        <f>J150+R150+Z150</f>
        <v>50</v>
      </c>
      <c r="AI150" s="90"/>
      <c r="AJ150" s="90"/>
      <c r="AK150" s="112"/>
      <c r="BJ150" s="23"/>
    </row>
    <row r="151" spans="1:62" s="21" customFormat="1" ht="20.25" customHeight="1" x14ac:dyDescent="0.2">
      <c r="A151" s="22"/>
      <c r="BJ151" s="23"/>
    </row>
    <row r="152" spans="1:62" s="21" customFormat="1" ht="20.25" customHeight="1" x14ac:dyDescent="0.2">
      <c r="A152" s="22"/>
      <c r="BJ152" s="23"/>
    </row>
    <row r="153" spans="1:62" s="21" customFormat="1" ht="20.25" customHeight="1" x14ac:dyDescent="0.2">
      <c r="A153" s="22"/>
      <c r="BJ153" s="23"/>
    </row>
    <row r="154" spans="1:62" s="21" customFormat="1" ht="20.25" customHeight="1" x14ac:dyDescent="0.2">
      <c r="A154" s="22"/>
      <c r="BJ154" s="23"/>
    </row>
    <row r="155" spans="1:62" s="21" customFormat="1" ht="20.25" customHeight="1" x14ac:dyDescent="0.2">
      <c r="A155" s="22"/>
      <c r="BJ155" s="23"/>
    </row>
    <row r="156" spans="1:62" s="21" customFormat="1" ht="20.25" customHeight="1" x14ac:dyDescent="0.2">
      <c r="A156" s="22"/>
      <c r="BJ156" s="23"/>
    </row>
    <row r="157" spans="1:62" s="21" customFormat="1" ht="20.25" customHeight="1" x14ac:dyDescent="0.2">
      <c r="A157" s="22"/>
      <c r="BJ157" s="23"/>
    </row>
    <row r="158" spans="1:62" s="21" customFormat="1" ht="20.25" customHeight="1" x14ac:dyDescent="0.2">
      <c r="A158" s="22"/>
      <c r="BJ158" s="23"/>
    </row>
    <row r="159" spans="1:62" s="21" customFormat="1" ht="20.25" customHeight="1" x14ac:dyDescent="0.2">
      <c r="A159" s="22"/>
      <c r="BJ159" s="23"/>
    </row>
    <row r="160" spans="1:62" s="21" customFormat="1" ht="20.25" customHeight="1" x14ac:dyDescent="0.2">
      <c r="A160" s="22"/>
      <c r="BJ160" s="23"/>
    </row>
    <row r="161" spans="1:62" s="21" customFormat="1" ht="20.25" customHeight="1" x14ac:dyDescent="0.2">
      <c r="A161" s="22"/>
      <c r="BJ161" s="23"/>
    </row>
    <row r="162" spans="1:62" s="21" customFormat="1" ht="20.25" customHeight="1" x14ac:dyDescent="0.2">
      <c r="A162" s="24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6"/>
    </row>
    <row r="163" spans="1:62" s="3" customFormat="1" ht="4.5" customHeight="1" x14ac:dyDescent="0.2"/>
    <row r="164" spans="1:62" s="3" customFormat="1" ht="18" customHeight="1" x14ac:dyDescent="0.2"/>
    <row r="165" spans="1:62" s="3" customFormat="1" ht="18" customHeight="1" x14ac:dyDescent="0.2"/>
    <row r="166" spans="1:62" s="3" customFormat="1" ht="18" customHeight="1" x14ac:dyDescent="0.2"/>
    <row r="167" spans="1:62" s="3" customFormat="1" ht="18" customHeight="1" x14ac:dyDescent="0.2"/>
    <row r="168" spans="1:62" s="3" customFormat="1" ht="18" customHeight="1" x14ac:dyDescent="0.2"/>
    <row r="169" spans="1:62" s="3" customFormat="1" ht="18" customHeight="1" x14ac:dyDescent="0.2"/>
    <row r="170" spans="1:62" s="3" customFormat="1" ht="18" customHeight="1" x14ac:dyDescent="0.2"/>
    <row r="171" spans="1:62" s="3" customFormat="1" ht="18" customHeight="1" x14ac:dyDescent="0.2"/>
    <row r="172" spans="1:62" s="3" customFormat="1" ht="18" customHeight="1" x14ac:dyDescent="0.2"/>
    <row r="173" spans="1:62" s="3" customFormat="1" ht="18" customHeight="1" x14ac:dyDescent="0.2"/>
    <row r="174" spans="1:62" s="3" customFormat="1" ht="18" customHeight="1" x14ac:dyDescent="0.2"/>
    <row r="175" spans="1:62" s="3" customFormat="1" ht="18" customHeight="1" x14ac:dyDescent="0.2"/>
    <row r="176" spans="1:62" s="3" customFormat="1" ht="18" customHeight="1" x14ac:dyDescent="0.2"/>
    <row r="177" s="3" customFormat="1" ht="18" customHeight="1" x14ac:dyDescent="0.2"/>
    <row r="178" s="3" customFormat="1" ht="18" customHeight="1" x14ac:dyDescent="0.2"/>
    <row r="179" s="3" customFormat="1" ht="18" customHeight="1" x14ac:dyDescent="0.2"/>
    <row r="180" s="3" customFormat="1" ht="18" customHeight="1" x14ac:dyDescent="0.2"/>
    <row r="181" s="3" customFormat="1" ht="18" customHeight="1" x14ac:dyDescent="0.2"/>
    <row r="182" s="3" customFormat="1" ht="18" customHeight="1" x14ac:dyDescent="0.2"/>
    <row r="183" s="3" customFormat="1" ht="18" customHeight="1" x14ac:dyDescent="0.2"/>
    <row r="184" s="3" customFormat="1" ht="18" customHeight="1" x14ac:dyDescent="0.2"/>
    <row r="185" s="3" customFormat="1" ht="18" customHeight="1" x14ac:dyDescent="0.2"/>
    <row r="186" s="3" customFormat="1" ht="18" customHeight="1" x14ac:dyDescent="0.2"/>
    <row r="187" s="3" customFormat="1" ht="18" customHeight="1" x14ac:dyDescent="0.2"/>
    <row r="188" s="3" customFormat="1" ht="18" customHeight="1" x14ac:dyDescent="0.2"/>
    <row r="189" s="3" customFormat="1" ht="18" customHeight="1" x14ac:dyDescent="0.2"/>
    <row r="190" s="3" customFormat="1" ht="18" customHeight="1" x14ac:dyDescent="0.2"/>
    <row r="191" s="3" customFormat="1" ht="18" customHeight="1" x14ac:dyDescent="0.2"/>
    <row r="192" s="3" customFormat="1" ht="18" customHeight="1" x14ac:dyDescent="0.2"/>
    <row r="193" s="3" customFormat="1" ht="18" customHeight="1" x14ac:dyDescent="0.2"/>
    <row r="194" s="3" customFormat="1" ht="18" customHeight="1" x14ac:dyDescent="0.2"/>
    <row r="195" s="3" customFormat="1" ht="18" customHeight="1" x14ac:dyDescent="0.2"/>
    <row r="196" s="3" customFormat="1" ht="18" customHeight="1" x14ac:dyDescent="0.2"/>
    <row r="197" s="3" customFormat="1" ht="18" customHeight="1" x14ac:dyDescent="0.2"/>
    <row r="198" s="3" customFormat="1" ht="18" customHeight="1" x14ac:dyDescent="0.2"/>
    <row r="199" s="3" customFormat="1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</sheetData>
  <mergeCells count="125">
    <mergeCell ref="J40:M40"/>
    <mergeCell ref="N40:Q40"/>
    <mergeCell ref="R40:U40"/>
    <mergeCell ref="V40:Y40"/>
    <mergeCell ref="Z40:AC40"/>
    <mergeCell ref="AH150:AK150"/>
    <mergeCell ref="J36:M36"/>
    <mergeCell ref="N36:Q36"/>
    <mergeCell ref="R36:U36"/>
    <mergeCell ref="V36:Y36"/>
    <mergeCell ref="Z36:AC36"/>
    <mergeCell ref="AD36:AG36"/>
    <mergeCell ref="AH36:AK36"/>
    <mergeCell ref="N150:Q150"/>
    <mergeCell ref="R150:U150"/>
    <mergeCell ref="V150:Y150"/>
    <mergeCell ref="Z150:AC150"/>
    <mergeCell ref="AD150:AG150"/>
    <mergeCell ref="J150:M150"/>
    <mergeCell ref="J41:M41"/>
    <mergeCell ref="N41:Q41"/>
    <mergeCell ref="R41:U41"/>
    <mergeCell ref="V41:Y41"/>
    <mergeCell ref="Z41:AC41"/>
    <mergeCell ref="J148:U148"/>
    <mergeCell ref="V148:AC148"/>
    <mergeCell ref="AD148:AK148"/>
    <mergeCell ref="V142:Y142"/>
    <mergeCell ref="Z142:AC142"/>
    <mergeCell ref="J128:U128"/>
    <mergeCell ref="J141:U141"/>
    <mergeCell ref="V141:AC141"/>
    <mergeCell ref="AD141:AK141"/>
    <mergeCell ref="J133:U133"/>
    <mergeCell ref="V133:AC133"/>
    <mergeCell ref="AD133:AK133"/>
    <mergeCell ref="J134:M134"/>
    <mergeCell ref="N134:Q134"/>
    <mergeCell ref="R134:U134"/>
    <mergeCell ref="V134:Y134"/>
    <mergeCell ref="Z134:AC134"/>
    <mergeCell ref="AD134:AG134"/>
    <mergeCell ref="J149:M149"/>
    <mergeCell ref="N149:Q149"/>
    <mergeCell ref="R149:U149"/>
    <mergeCell ref="V149:Y149"/>
    <mergeCell ref="Z149:AC149"/>
    <mergeCell ref="AD149:AG149"/>
    <mergeCell ref="AH149:AK149"/>
    <mergeCell ref="N135:Q135"/>
    <mergeCell ref="R135:U135"/>
    <mergeCell ref="V135:Y135"/>
    <mergeCell ref="Z135:AC135"/>
    <mergeCell ref="AD135:AG135"/>
    <mergeCell ref="AD142:AG142"/>
    <mergeCell ref="AH142:AK142"/>
    <mergeCell ref="J143:M143"/>
    <mergeCell ref="N143:Q143"/>
    <mergeCell ref="R143:U143"/>
    <mergeCell ref="V143:Y143"/>
    <mergeCell ref="Z143:AC143"/>
    <mergeCell ref="AD143:AG143"/>
    <mergeCell ref="AH143:AK143"/>
    <mergeCell ref="J142:M142"/>
    <mergeCell ref="N142:Q142"/>
    <mergeCell ref="R142:U142"/>
    <mergeCell ref="AH134:AK134"/>
    <mergeCell ref="J135:M135"/>
    <mergeCell ref="N129:Q129"/>
    <mergeCell ref="N130:Q130"/>
    <mergeCell ref="V128:AC128"/>
    <mergeCell ref="AD128:AK128"/>
    <mergeCell ref="AH129:AK129"/>
    <mergeCell ref="AH130:AK130"/>
    <mergeCell ref="A7:K7"/>
    <mergeCell ref="L7:BJ7"/>
    <mergeCell ref="AL37:AO37"/>
    <mergeCell ref="AP37:AS37"/>
    <mergeCell ref="V37:Y37"/>
    <mergeCell ref="Z37:AC37"/>
    <mergeCell ref="J35:AG35"/>
    <mergeCell ref="AH35:AS35"/>
    <mergeCell ref="J39:Q39"/>
    <mergeCell ref="R39:AC39"/>
    <mergeCell ref="AD37:AG37"/>
    <mergeCell ref="AH37:AK37"/>
    <mergeCell ref="J37:M37"/>
    <mergeCell ref="N37:Q37"/>
    <mergeCell ref="R37:U37"/>
    <mergeCell ref="AH135:AK135"/>
    <mergeCell ref="A6:G6"/>
    <mergeCell ref="H6:K6"/>
    <mergeCell ref="L6:P6"/>
    <mergeCell ref="Q6:AU6"/>
    <mergeCell ref="AV6:AY6"/>
    <mergeCell ref="AZ6:BJ6"/>
    <mergeCell ref="J130:M130"/>
    <mergeCell ref="R130:U130"/>
    <mergeCell ref="V130:Y130"/>
    <mergeCell ref="Z130:AC130"/>
    <mergeCell ref="AD130:AG130"/>
    <mergeCell ref="J129:M129"/>
    <mergeCell ref="R129:U129"/>
    <mergeCell ref="V129:Y129"/>
    <mergeCell ref="Z129:AC129"/>
    <mergeCell ref="AD129:AG129"/>
    <mergeCell ref="AL52:AN52"/>
    <mergeCell ref="AL53:AN53"/>
    <mergeCell ref="AL54:AN54"/>
    <mergeCell ref="AL55:AN55"/>
    <mergeCell ref="AL56:AN56"/>
    <mergeCell ref="BE56:BG56"/>
    <mergeCell ref="AL36:AO36"/>
    <mergeCell ref="AP36:AS36"/>
    <mergeCell ref="AV3:AY3"/>
    <mergeCell ref="AZ3:BJ3"/>
    <mergeCell ref="A3:G4"/>
    <mergeCell ref="H3:AU4"/>
    <mergeCell ref="A2:AU2"/>
    <mergeCell ref="AV2:AY2"/>
    <mergeCell ref="AZ2:BC2"/>
    <mergeCell ref="BD2:BG2"/>
    <mergeCell ref="BH2:BJ2"/>
    <mergeCell ref="AV4:AY4"/>
    <mergeCell ref="AZ4:BJ4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rowBreaks count="2" manualBreakCount="2">
    <brk id="58" max="61" man="1"/>
    <brk id="110" max="6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50C94E-FA2C-4021-ACBE-721FBB87BA0D}"/>
</file>

<file path=customXml/itemProps2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補足・購買共計年度繰越の仕様について</vt:lpstr>
      <vt:lpstr>変更履歴!Print_Area</vt:lpstr>
      <vt:lpstr>補足・購買共計年度繰越の仕様について!Print_Area</vt:lpstr>
      <vt:lpstr>変更履歴!Print_Titles</vt:lpstr>
      <vt:lpstr>補足・購買共計年度繰越の仕様について!Print_Titles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2025-08-26T02:32:19Z</cp:lastPrinted>
  <dcterms:created xsi:type="dcterms:W3CDTF">2001-03-06T02:20:07Z</dcterms:created>
  <dcterms:modified xsi:type="dcterms:W3CDTF">2025-08-26T05:05:19Z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