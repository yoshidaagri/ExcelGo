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90_外部設計書_補足説明\99.機能階層番号外\18.業務共通処理・エンティティマトリクス\"/>
    </mc:Choice>
  </mc:AlternateContent>
  <xr:revisionPtr revIDLastSave="0" documentId="13_ncr:1_{B1445ECF-A1CC-44C5-9F68-B6BBCD3EA8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変更履歴" sheetId="6" r:id="rId1"/>
    <sheet name="業務共通処理・エンティティマトリクス" sheetId="5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1" hidden="1">業務共通処理・エンティティマトリクス!#REF!</definedName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ACCESS">#REF!</definedName>
    <definedName name="ARP">#REF!</definedName>
    <definedName name="BackupExec">#REF!</definedName>
    <definedName name="CHGTBL">#REF!</definedName>
    <definedName name="ＤＢ２ＵＤＢ">#REF!</definedName>
    <definedName name="ＤＢＧＲＩＤ">#REF!</definedName>
    <definedName name="NetExpress">#REF!</definedName>
    <definedName name="NEWTBL">#REF!</definedName>
    <definedName name="OLD">[2]OLD!$A:$IV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0">変更履歴!$A$1:$BJ$61</definedName>
    <definedName name="_xlnm.Print_Titles" localSheetId="1">業務共通処理・エンティティマトリクス!$C:$F,業務共通処理・エンティティマトリクス!$1:$8</definedName>
    <definedName name="_xlnm.Print_Titles" localSheetId="0">変更履歴!$1:$5</definedName>
    <definedName name="ＳＰＲＥＡＤ">#REF!</definedName>
    <definedName name="SUB_SYS">#REF!</definedName>
    <definedName name="ＶＢ">#REF!</definedName>
    <definedName name="WinBatch">#REF!</definedName>
    <definedName name="ＷＰ">[3]資格!#REF!</definedName>
    <definedName name="Z_04972F18_32FD_423F_A4AB_78CE36F88EEC_.wvu.FilterData" localSheetId="1" hidden="1">業務共通処理・エンティティマトリクス!#REF!</definedName>
    <definedName name="Z_512D6B3C_1641_488D_9654_105E99EA7C49_.wvu.FilterData" localSheetId="1" hidden="1">業務共通処理・エンティティマトリクス!#REF!</definedName>
    <definedName name="Z_7D5622A4_F72E_41CC_9927_3D94098A368D_.wvu.FilterData" localSheetId="1" hidden="1">業務共通処理・エンティティマトリクス!#REF!</definedName>
    <definedName name="Z_7D5622A4_F72E_41CC_9927_3D94098A368D_.wvu.PrintArea" localSheetId="1" hidden="1">業務共通処理・エンティティマトリクス!$2:$8</definedName>
    <definedName name="Z_7D5622A4_F72E_41CC_9927_3D94098A368D_.wvu.PrintTitles" localSheetId="1" hidden="1">業務共通処理・エンティティマトリクス!$C:$F,業務共通処理・エンティティマトリクス!$2:$8</definedName>
    <definedName name="Z_8CBB6908_E325_4F85_99D6_C65E18FE2421_.wvu.FilterData" localSheetId="1" hidden="1">業務共通処理・エンティティマトリクス!#REF!</definedName>
    <definedName name="Z_8CBB6908_E325_4F85_99D6_C65E18FE2421_.wvu.PrintArea" localSheetId="1" hidden="1">業務共通処理・エンティティマトリクス!$2:$8</definedName>
    <definedName name="Z_8CBB6908_E325_4F85_99D6_C65E18FE2421_.wvu.PrintTitles" localSheetId="1" hidden="1">業務共通処理・エンティティマトリクス!$C:$F,業務共通処理・エンティティマトリクス!$2:$8</definedName>
    <definedName name="Z_8E0BD44D_C132_405B_962B_4E9831974454_.wvu.FilterData" localSheetId="1" hidden="1">業務共通処理・エンティティマトリクス!#REF!</definedName>
    <definedName name="Z_A45BC97C_8A60_4636_B09F_CB9AC5D25CEB_.wvu.FilterData" localSheetId="1" hidden="1">業務共通処理・エンティティマトリクス!#REF!</definedName>
    <definedName name="Z_A669CDA4_13A4_490B_9E2F_0083991E193F_.wvu.FilterData" localSheetId="1" hidden="1">業務共通処理・エンティティマトリクス!#REF!</definedName>
    <definedName name="Z_A669CDA4_13A4_490B_9E2F_0083991E193F_.wvu.PrintArea" localSheetId="1" hidden="1">業務共通処理・エンティティマトリクス!$2:$8</definedName>
    <definedName name="Z_A669CDA4_13A4_490B_9E2F_0083991E193F_.wvu.PrintTitles" localSheetId="1" hidden="1">業務共通処理・エンティティマトリクス!$C:$F,業務共通処理・エンティティマトリクス!$2:$8</definedName>
    <definedName name="Z_B738EBD7_6946_4F4A_9577_D5EAA3D25C17_.wvu.FilterData" localSheetId="1" hidden="1">業務共通処理・エンティティマトリクス!#REF!</definedName>
    <definedName name="Z_B738EBD7_6946_4F4A_9577_D5EAA3D25C17_.wvu.PrintArea" localSheetId="1" hidden="1">業務共通処理・エンティティマトリクス!$2:$8</definedName>
    <definedName name="Z_B738EBD7_6946_4F4A_9577_D5EAA3D25C17_.wvu.PrintTitles" localSheetId="1" hidden="1">業務共通処理・エンティティマトリクス!$C:$F,業務共通処理・エンティティマトリクス!$2:$8</definedName>
    <definedName name="Z_F5A54C4D_EBF2_4011_9962_591C4C39807D_.wvu.FilterData" localSheetId="1" hidden="1">業務共通処理・エンティティマトリクス!#REF!</definedName>
    <definedName name="Z_F8B06F5F_69AB_4EB8_B71C_281108A4842A_.wvu.FilterData" localSheetId="1" hidden="1">業務共通処理・エンティティマトリクス!#REF!</definedName>
    <definedName name="サーバーＯＳ">#REF!</definedName>
    <definedName name="ステータスリスト">[4]区分入力リスト!$E$2:$J$2</definedName>
    <definedName name="ね表紙" hidden="1">#REF!</definedName>
    <definedName name="ランク別売単価">#REF!</definedName>
    <definedName name="英検">[3]資格!#REF!</definedName>
    <definedName name="関連表" hidden="1">#REF!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5" l="1"/>
  <c r="N7" i="5"/>
  <c r="N6" i="5"/>
  <c r="N5" i="5"/>
  <c r="N4" i="5"/>
  <c r="N1" i="5"/>
  <c r="B45" i="5"/>
  <c r="B44" i="5"/>
  <c r="B43" i="5"/>
  <c r="B42" i="5"/>
  <c r="B41" i="5"/>
  <c r="B40" i="5"/>
  <c r="B47" i="5"/>
  <c r="B46" i="5"/>
  <c r="B49" i="5"/>
  <c r="B48" i="5"/>
  <c r="B35" i="5" l="1"/>
  <c r="B34" i="5"/>
  <c r="B33" i="5"/>
  <c r="B32" i="5"/>
  <c r="B31" i="5"/>
  <c r="B30" i="5"/>
  <c r="B51" i="5"/>
  <c r="B50" i="5"/>
  <c r="B39" i="5"/>
  <c r="AK8" i="5"/>
  <c r="AJ8" i="5"/>
  <c r="AK7" i="5"/>
  <c r="AJ7" i="5"/>
  <c r="AK6" i="5"/>
  <c r="AJ6" i="5"/>
  <c r="AK5" i="5"/>
  <c r="AJ5" i="5"/>
  <c r="AK4" i="5"/>
  <c r="AJ4" i="5"/>
  <c r="AK1" i="5"/>
  <c r="AJ1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M8" i="5"/>
  <c r="L8" i="5"/>
  <c r="K8" i="5"/>
  <c r="J8" i="5"/>
  <c r="I8" i="5"/>
  <c r="G8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M7" i="5"/>
  <c r="L7" i="5"/>
  <c r="K7" i="5"/>
  <c r="J7" i="5"/>
  <c r="I7" i="5"/>
  <c r="G7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M6" i="5"/>
  <c r="L6" i="5"/>
  <c r="K6" i="5"/>
  <c r="J6" i="5"/>
  <c r="I6" i="5"/>
  <c r="G6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M5" i="5"/>
  <c r="L5" i="5"/>
  <c r="K5" i="5"/>
  <c r="J5" i="5"/>
  <c r="I5" i="5"/>
  <c r="G5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M4" i="5"/>
  <c r="L4" i="5"/>
  <c r="K4" i="5"/>
  <c r="J4" i="5"/>
  <c r="I4" i="5"/>
  <c r="G4" i="5"/>
  <c r="AI8" i="5"/>
  <c r="H8" i="5"/>
  <c r="AI7" i="5"/>
  <c r="H7" i="5"/>
  <c r="AI6" i="5"/>
  <c r="H6" i="5"/>
  <c r="AI5" i="5"/>
  <c r="H5" i="5"/>
  <c r="AI4" i="5"/>
  <c r="H4" i="5"/>
  <c r="B36" i="5"/>
  <c r="B29" i="5"/>
  <c r="B28" i="5"/>
  <c r="B27" i="5"/>
  <c r="B26" i="5"/>
  <c r="B25" i="5"/>
  <c r="B24" i="5"/>
  <c r="B38" i="5"/>
  <c r="B37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AI1" i="5"/>
  <c r="AH1" i="5"/>
  <c r="AG1" i="5"/>
  <c r="AF1" i="5"/>
  <c r="AE1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M1" i="5"/>
  <c r="L1" i="5"/>
  <c r="K1" i="5"/>
  <c r="J1" i="5"/>
  <c r="I1" i="5"/>
  <c r="H1" i="5"/>
  <c r="G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99726D3-EFAF-43C3-99CF-56439C28B44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<sst xmlns="http://schemas.openxmlformats.org/spreadsheetml/2006/main" count="256" uniqueCount="98">
  <si>
    <t>クラス</t>
    <phoneticPr fontId="4"/>
  </si>
  <si>
    <t>U</t>
    <phoneticPr fontId="4"/>
  </si>
  <si>
    <t>C</t>
    <phoneticPr fontId="4"/>
  </si>
  <si>
    <t>R</t>
    <phoneticPr fontId="4"/>
  </si>
  <si>
    <t>D</t>
    <phoneticPr fontId="4"/>
  </si>
  <si>
    <t>No</t>
    <phoneticPr fontId="4"/>
  </si>
  <si>
    <t>サブシステム</t>
    <phoneticPr fontId="4"/>
  </si>
  <si>
    <t>エンティティ</t>
    <phoneticPr fontId="4"/>
  </si>
  <si>
    <t>受発注</t>
    <rPh sb="0" eb="3">
      <t>ジュハッチュウ</t>
    </rPh>
    <phoneticPr fontId="4"/>
  </si>
  <si>
    <t>システム名</t>
    <rPh sb="4" eb="5">
      <t>メイ</t>
    </rPh>
    <phoneticPr fontId="4"/>
  </si>
  <si>
    <t>業務共通処理</t>
    <rPh sb="0" eb="2">
      <t>ギョウム</t>
    </rPh>
    <rPh sb="2" eb="4">
      <t>キョウツウ</t>
    </rPh>
    <rPh sb="4" eb="6">
      <t>ショリ</t>
    </rPh>
    <phoneticPr fontId="4"/>
  </si>
  <si>
    <t>2025/8/29</t>
    <phoneticPr fontId="4"/>
  </si>
  <si>
    <t>※内部設計工程で定義</t>
    <rPh sb="1" eb="3">
      <t>ナイブ</t>
    </rPh>
    <rPh sb="3" eb="5">
      <t>セッケイ</t>
    </rPh>
    <rPh sb="5" eb="7">
      <t>コウテイ</t>
    </rPh>
    <rPh sb="8" eb="10">
      <t>テイギ</t>
    </rPh>
    <phoneticPr fontId="4"/>
  </si>
  <si>
    <t>ホクレン口座検索</t>
    <phoneticPr fontId="4"/>
  </si>
  <si>
    <t>業種検索</t>
    <rPh sb="0" eb="2">
      <t>ギョウシュ</t>
    </rPh>
    <rPh sb="2" eb="4">
      <t>ケンサク</t>
    </rPh>
    <phoneticPr fontId="4"/>
  </si>
  <si>
    <t>職員検索</t>
    <phoneticPr fontId="4"/>
  </si>
  <si>
    <t>振替伝票検索</t>
    <phoneticPr fontId="4"/>
  </si>
  <si>
    <t>事業所検索</t>
    <phoneticPr fontId="4"/>
  </si>
  <si>
    <t>組織検索</t>
    <phoneticPr fontId="4"/>
  </si>
  <si>
    <t>相手先検索</t>
    <phoneticPr fontId="4"/>
  </si>
  <si>
    <t>収支管理品目検索</t>
    <phoneticPr fontId="4"/>
  </si>
  <si>
    <t>施設検索</t>
    <phoneticPr fontId="4"/>
  </si>
  <si>
    <t>取引パターン検索</t>
    <phoneticPr fontId="4"/>
  </si>
  <si>
    <t>共計精算パターン検索</t>
    <phoneticPr fontId="4"/>
  </si>
  <si>
    <t>勘定科目検索</t>
    <phoneticPr fontId="4"/>
  </si>
  <si>
    <t>科目摘要検索</t>
    <phoneticPr fontId="4"/>
  </si>
  <si>
    <t>金融機関検索</t>
    <phoneticPr fontId="4"/>
  </si>
  <si>
    <t>決済条件適用品目検索</t>
    <phoneticPr fontId="4"/>
  </si>
  <si>
    <t>会計情報品目検索</t>
    <phoneticPr fontId="4"/>
  </si>
  <si>
    <t>金利連番検索</t>
    <phoneticPr fontId="4"/>
  </si>
  <si>
    <t>サイト条件検索</t>
    <phoneticPr fontId="4"/>
  </si>
  <si>
    <t>収支管理品目大分類検索</t>
    <phoneticPr fontId="4"/>
  </si>
  <si>
    <t>ホクレン口座マスタ</t>
    <phoneticPr fontId="4"/>
  </si>
  <si>
    <t>業種マスタ</t>
    <phoneticPr fontId="4"/>
  </si>
  <si>
    <t>ユーザー情報（会内）</t>
    <phoneticPr fontId="4"/>
  </si>
  <si>
    <t>仕訳明細</t>
    <phoneticPr fontId="4"/>
  </si>
  <si>
    <t>仕訳ヘッダ</t>
    <phoneticPr fontId="4"/>
  </si>
  <si>
    <t>事業所マスタ</t>
    <phoneticPr fontId="4"/>
  </si>
  <si>
    <t>統括本部マスタ</t>
    <phoneticPr fontId="4"/>
  </si>
  <si>
    <t>課マスタ</t>
    <phoneticPr fontId="4"/>
  </si>
  <si>
    <t>施設マスタ</t>
    <phoneticPr fontId="4"/>
  </si>
  <si>
    <t>部マスタ</t>
    <phoneticPr fontId="4"/>
  </si>
  <si>
    <t>名称住所マスタ</t>
    <phoneticPr fontId="4"/>
  </si>
  <si>
    <t>名称住所（農協）マスタ</t>
    <phoneticPr fontId="4"/>
  </si>
  <si>
    <t>決済条件マスタ</t>
    <phoneticPr fontId="4"/>
  </si>
  <si>
    <t>収支管理品目マスタ</t>
    <phoneticPr fontId="4"/>
  </si>
  <si>
    <t>収支管理品目大分類マスタ</t>
    <phoneticPr fontId="4"/>
  </si>
  <si>
    <t>会計情報品目マスタ</t>
    <phoneticPr fontId="4"/>
  </si>
  <si>
    <t>定例取引パターンマスタ</t>
    <phoneticPr fontId="4"/>
  </si>
  <si>
    <t>科目摘要マスタ</t>
    <phoneticPr fontId="4"/>
  </si>
  <si>
    <t>共計精算パターンマスタ</t>
    <phoneticPr fontId="4"/>
  </si>
  <si>
    <t>勘定科目マスタ</t>
    <phoneticPr fontId="4"/>
  </si>
  <si>
    <t>目節科目マスタ</t>
    <phoneticPr fontId="4"/>
  </si>
  <si>
    <t>金融機関マスタ</t>
    <phoneticPr fontId="4"/>
  </si>
  <si>
    <t>決済条件適用品目マスタ</t>
    <phoneticPr fontId="4"/>
  </si>
  <si>
    <t>金利マスタ</t>
    <phoneticPr fontId="4"/>
  </si>
  <si>
    <t>サイト条件マスタ</t>
    <phoneticPr fontId="4"/>
  </si>
  <si>
    <t>支所農協検索</t>
    <phoneticPr fontId="4"/>
  </si>
  <si>
    <t>取引先マスタ</t>
    <rPh sb="0" eb="3">
      <t>トリヒキサキ</t>
    </rPh>
    <phoneticPr fontId="4"/>
  </si>
  <si>
    <t>会計コード検索（金額摘要検索、単位区分検索、決済方法検索）</t>
    <rPh sb="8" eb="10">
      <t>キンガク</t>
    </rPh>
    <rPh sb="10" eb="12">
      <t>テキヨウ</t>
    </rPh>
    <rPh sb="12" eb="14">
      <t>ケンサク</t>
    </rPh>
    <rPh sb="15" eb="19">
      <t>タンイクブン</t>
    </rPh>
    <rPh sb="19" eb="21">
      <t>ケンサク</t>
    </rPh>
    <rPh sb="22" eb="26">
      <t>ケッサイホウホウ</t>
    </rPh>
    <rPh sb="26" eb="28">
      <t>ケンサク</t>
    </rPh>
    <phoneticPr fontId="4"/>
  </si>
  <si>
    <t>業種情報取得</t>
    <phoneticPr fontId="4"/>
  </si>
  <si>
    <t>金融機関情報取得</t>
    <phoneticPr fontId="4"/>
  </si>
  <si>
    <t>消費税率取得</t>
    <phoneticPr fontId="4"/>
  </si>
  <si>
    <t>収支管理品目取得</t>
  </si>
  <si>
    <t>収支管理品目情報登録</t>
  </si>
  <si>
    <t>勘定日付取得処理</t>
  </si>
  <si>
    <t>会計年度算出</t>
  </si>
  <si>
    <t>債権債務共通項目取得</t>
  </si>
  <si>
    <t>サイト条件文字情報変換</t>
  </si>
  <si>
    <t>処理支払予定日取得</t>
    <phoneticPr fontId="4"/>
  </si>
  <si>
    <t>金融機関情報抽出</t>
  </si>
  <si>
    <t>債権残高提供</t>
  </si>
  <si>
    <t>回収支払名称取得</t>
  </si>
  <si>
    <t>決済情報抽出</t>
  </si>
  <si>
    <t>決済情報抽出処理（農協用）</t>
  </si>
  <si>
    <t>取引先情報取得</t>
  </si>
  <si>
    <t>数量正規化</t>
  </si>
  <si>
    <t>品目分類マスタ取得</t>
  </si>
  <si>
    <t>棚卸受払残高評価額計算</t>
  </si>
  <si>
    <t>サイト算出</t>
  </si>
  <si>
    <t>部門マスタ</t>
    <rPh sb="0" eb="2">
      <t>ブモン</t>
    </rPh>
    <phoneticPr fontId="4"/>
  </si>
  <si>
    <t>消費税マスタ</t>
    <rPh sb="0" eb="3">
      <t>ショウヒゼイ</t>
    </rPh>
    <phoneticPr fontId="4"/>
  </si>
  <si>
    <t>カレンダマスタ</t>
    <phoneticPr fontId="4"/>
  </si>
  <si>
    <t>会計コードマスタ</t>
    <phoneticPr fontId="4"/>
  </si>
  <si>
    <t>棚卸受払残高</t>
    <rPh sb="0" eb="2">
      <t>タナオロシ</t>
    </rPh>
    <rPh sb="2" eb="4">
      <t>ウケハライ</t>
    </rPh>
    <rPh sb="4" eb="6">
      <t>ザンダカ</t>
    </rPh>
    <phoneticPr fontId="4"/>
  </si>
  <si>
    <t>Ｐｈａｓｅ　外部設計工程</t>
    <phoneticPr fontId="4"/>
  </si>
  <si>
    <t>HOKUREN INTERNAL USE ONLY</t>
  </si>
  <si>
    <t>様式No.</t>
    <rPh sb="0" eb="2">
      <t>ヨウシキ</t>
    </rPh>
    <phoneticPr fontId="4"/>
  </si>
  <si>
    <t>F4190-0</t>
    <phoneticPr fontId="4"/>
  </si>
  <si>
    <t>PAGE</t>
    <phoneticPr fontId="4"/>
  </si>
  <si>
    <t>統合会計システム</t>
    <phoneticPr fontId="4"/>
  </si>
  <si>
    <t>作成日</t>
    <rPh sb="0" eb="2">
      <t>サクセイ</t>
    </rPh>
    <rPh sb="2" eb="3">
      <t>ヒ</t>
    </rPh>
    <phoneticPr fontId="4"/>
  </si>
  <si>
    <t>更新日</t>
    <rPh sb="0" eb="3">
      <t>コウシンビ</t>
    </rPh>
    <phoneticPr fontId="4"/>
  </si>
  <si>
    <t>管理番号</t>
    <rPh sb="0" eb="2">
      <t>カンリ</t>
    </rPh>
    <rPh sb="2" eb="4">
      <t>バンゴウ</t>
    </rPh>
    <phoneticPr fontId="4"/>
  </si>
  <si>
    <t>案件名 / 障害・問合せ件名</t>
    <rPh sb="0" eb="3">
      <t>アンケンメイ</t>
    </rPh>
    <rPh sb="12" eb="14">
      <t>ケンメイ</t>
    </rPh>
    <phoneticPr fontId="39"/>
  </si>
  <si>
    <t>24058</t>
    <phoneticPr fontId="39"/>
  </si>
  <si>
    <t>基幹システム再構築　会計システム外部設計</t>
    <phoneticPr fontId="39"/>
  </si>
  <si>
    <t>外部設計書　補足説明　変更履歴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</si>
</sst>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0_ "/>
    <numFmt numFmtId="177" formatCode="0.0000000000"/>
    <numFmt numFmtId="178" formatCode="#,##0;\-#,##0;&quot;-&quot;"/>
    <numFmt numFmtId="179" formatCode="&quot;$&quot;#,##0_);\(&quot;$&quot;#,##0\)"/>
    <numFmt numFmtId="180" formatCode="&quot;$&quot;#,##0;[Red]\-&quot;$&quot;#,##0"/>
    <numFmt numFmtId="181" formatCode="&quot;$&quot;#,##0.00;[Red]\-&quot;$&quot;#,##0.00"/>
  </numFmts>
  <fonts count="4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Ｐ明朝"/>
      <family val="1"/>
      <charset val="128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7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5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2" fillId="0" borderId="0">
      <alignment vertical="center" wrapText="1"/>
    </xf>
    <xf numFmtId="179" fontId="23" fillId="0" borderId="1" applyAlignment="0" applyProtection="0"/>
    <xf numFmtId="178" fontId="24" fillId="0" borderId="0" applyFill="0" applyBorder="0" applyAlignment="0"/>
    <xf numFmtId="0" fontId="25" fillId="0" borderId="0"/>
    <xf numFmtId="38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180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38" fontId="28" fillId="16" borderId="0" applyNumberFormat="0" applyBorder="0" applyAlignment="0" applyProtection="0"/>
    <xf numFmtId="0" fontId="29" fillId="0" borderId="0">
      <alignment horizontal="left"/>
    </xf>
    <xf numFmtId="0" fontId="30" fillId="0" borderId="2" applyNumberFormat="0" applyAlignment="0" applyProtection="0">
      <alignment horizontal="left" vertical="center"/>
    </xf>
    <xf numFmtId="0" fontId="30" fillId="0" borderId="3">
      <alignment horizontal="left" vertical="center"/>
    </xf>
    <xf numFmtId="10" fontId="28" fillId="16" borderId="4" applyNumberFormat="0" applyBorder="0" applyAlignment="0" applyProtection="0"/>
    <xf numFmtId="0" fontId="31" fillId="0" borderId="5"/>
    <xf numFmtId="177" fontId="2" fillId="0" borderId="0"/>
    <xf numFmtId="177" fontId="2" fillId="0" borderId="0"/>
    <xf numFmtId="177" fontId="2" fillId="0" borderId="0"/>
    <xf numFmtId="0" fontId="27" fillId="0" borderId="0"/>
    <xf numFmtId="10" fontId="27" fillId="0" borderId="0" applyFont="0" applyFill="0" applyBorder="0" applyAlignment="0" applyProtection="0"/>
    <xf numFmtId="0" fontId="26" fillId="0" borderId="0" applyNumberFormat="0" applyFont="0" applyFill="0" applyBorder="0" applyAlignment="0" applyProtection="0">
      <alignment horizontal="left"/>
    </xf>
    <xf numFmtId="0" fontId="23" fillId="0" borderId="5">
      <alignment horizontal="center"/>
    </xf>
    <xf numFmtId="0" fontId="32" fillId="0" borderId="6"/>
    <xf numFmtId="0" fontId="31" fillId="0" borderId="0"/>
    <xf numFmtId="0" fontId="32" fillId="0" borderId="0"/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1" borderId="7" applyNumberFormat="0" applyAlignment="0" applyProtection="0">
      <alignment vertical="center"/>
    </xf>
    <xf numFmtId="0" fontId="8" fillId="21" borderId="7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" fillId="23" borderId="8" applyNumberFormat="0" applyFont="0" applyAlignment="0" applyProtection="0">
      <alignment vertical="center"/>
    </xf>
    <xf numFmtId="0" fontId="3" fillId="23" borderId="8" applyNumberFormat="0" applyFont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4" borderId="10" applyNumberFormat="0" applyAlignment="0" applyProtection="0">
      <alignment vertical="center"/>
    </xf>
    <xf numFmtId="0" fontId="12" fillId="24" borderId="1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24" borderId="15" applyNumberFormat="0" applyAlignment="0" applyProtection="0">
      <alignment vertical="center"/>
    </xf>
    <xf numFmtId="0" fontId="18" fillId="24" borderId="15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4" fillId="0" borderId="0">
      <alignment horizontal="center" vertical="center"/>
    </xf>
    <xf numFmtId="0" fontId="20" fillId="7" borderId="10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/>
    <xf numFmtId="0" fontId="35" fillId="0" borderId="0"/>
    <xf numFmtId="0" fontId="36" fillId="0" borderId="0"/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24" borderId="15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0" borderId="0"/>
  </cellStyleXfs>
  <cellXfs count="71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109" applyFont="1" applyAlignment="1">
      <alignment horizontal="center" vertical="top" wrapText="1"/>
    </xf>
    <xf numFmtId="0" fontId="3" fillId="0" borderId="0" xfId="109" applyFont="1" applyAlignment="1">
      <alignment vertical="center" wrapText="1"/>
    </xf>
    <xf numFmtId="0" fontId="3" fillId="0" borderId="17" xfId="109" applyFont="1" applyBorder="1" applyAlignment="1">
      <alignment vertical="center" textRotation="255"/>
    </xf>
    <xf numFmtId="0" fontId="3" fillId="0" borderId="0" xfId="109" applyFont="1" applyAlignment="1">
      <alignment vertical="center"/>
    </xf>
    <xf numFmtId="0" fontId="3" fillId="0" borderId="0" xfId="109" applyFont="1" applyAlignment="1">
      <alignment vertical="top" wrapText="1"/>
    </xf>
    <xf numFmtId="0" fontId="3" fillId="16" borderId="0" xfId="109" applyFont="1" applyFill="1" applyAlignment="1">
      <alignment horizontal="center" vertical="top" wrapText="1"/>
    </xf>
    <xf numFmtId="0" fontId="3" fillId="16" borderId="0" xfId="109" applyFont="1" applyFill="1" applyAlignment="1">
      <alignment horizontal="left" vertical="top" wrapText="1"/>
    </xf>
    <xf numFmtId="0" fontId="3" fillId="16" borderId="0" xfId="109" applyFont="1" applyFill="1" applyAlignment="1">
      <alignment vertical="top" wrapText="1"/>
    </xf>
    <xf numFmtId="0" fontId="3" fillId="25" borderId="18" xfId="109" applyFont="1" applyFill="1" applyBorder="1" applyAlignment="1">
      <alignment horizontal="center" vertical="center" wrapText="1"/>
    </xf>
    <xf numFmtId="0" fontId="3" fillId="25" borderId="18" xfId="109" applyFont="1" applyFill="1" applyBorder="1" applyAlignment="1">
      <alignment horizontal="left" vertical="center" wrapText="1"/>
    </xf>
    <xf numFmtId="0" fontId="5" fillId="25" borderId="18" xfId="109" applyFont="1" applyFill="1" applyBorder="1" applyAlignment="1">
      <alignment horizontal="left" vertical="center" wrapText="1"/>
    </xf>
    <xf numFmtId="0" fontId="3" fillId="25" borderId="16" xfId="0" applyFont="1" applyFill="1" applyBorder="1" applyAlignment="1">
      <alignment horizontal="center" vertical="center" wrapText="1"/>
    </xf>
    <xf numFmtId="0" fontId="3" fillId="25" borderId="20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4" xfId="109" applyFont="1" applyBorder="1" applyAlignment="1">
      <alignment horizontal="left" vertical="top" wrapText="1"/>
    </xf>
    <xf numFmtId="0" fontId="3" fillId="16" borderId="4" xfId="109" applyFont="1" applyFill="1" applyBorder="1" applyAlignment="1">
      <alignment horizontal="left" vertical="top" wrapText="1"/>
    </xf>
    <xf numFmtId="176" fontId="3" fillId="16" borderId="4" xfId="109" applyNumberFormat="1" applyFont="1" applyFill="1" applyBorder="1" applyAlignment="1">
      <alignment horizontal="right" vertical="top" wrapText="1"/>
    </xf>
    <xf numFmtId="176" fontId="3" fillId="0" borderId="4" xfId="0" applyNumberFormat="1" applyFont="1" applyBorder="1" applyAlignment="1">
      <alignment horizontal="right" vertical="top" wrapText="1"/>
    </xf>
    <xf numFmtId="49" fontId="3" fillId="0" borderId="4" xfId="109" applyNumberFormat="1" applyFont="1" applyBorder="1" applyAlignment="1">
      <alignment horizontal="center" vertical="top" wrapText="1"/>
    </xf>
    <xf numFmtId="49" fontId="3" fillId="16" borderId="4" xfId="109" applyNumberFormat="1" applyFont="1" applyFill="1" applyBorder="1" applyAlignment="1">
      <alignment horizontal="center" vertical="top" wrapText="1"/>
    </xf>
    <xf numFmtId="49" fontId="3" fillId="0" borderId="17" xfId="109" applyNumberFormat="1" applyFont="1" applyBorder="1" applyAlignment="1">
      <alignment vertical="top" textRotation="255" wrapText="1"/>
    </xf>
    <xf numFmtId="176" fontId="3" fillId="0" borderId="18" xfId="109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37" fillId="0" borderId="0" xfId="0" applyNumberFormat="1" applyFont="1" applyAlignment="1">
      <alignment vertical="center"/>
    </xf>
    <xf numFmtId="49" fontId="37" fillId="0" borderId="0" xfId="0" applyNumberFormat="1" applyFont="1" applyAlignment="1">
      <alignment horizontal="right" vertical="center"/>
    </xf>
    <xf numFmtId="49" fontId="36" fillId="0" borderId="0" xfId="0" applyNumberFormat="1" applyFont="1" applyAlignment="1">
      <alignment vertical="center"/>
    </xf>
    <xf numFmtId="49" fontId="32" fillId="0" borderId="0" xfId="124" applyNumberFormat="1" applyFont="1" applyAlignment="1">
      <alignment vertical="center"/>
    </xf>
    <xf numFmtId="49" fontId="37" fillId="0" borderId="21" xfId="124" applyNumberFormat="1" applyFont="1" applyBorder="1"/>
    <xf numFmtId="49" fontId="37" fillId="0" borderId="3" xfId="124" applyNumberFormat="1" applyFont="1" applyBorder="1"/>
    <xf numFmtId="49" fontId="37" fillId="0" borderId="22" xfId="124" applyNumberFormat="1" applyFont="1" applyBorder="1"/>
    <xf numFmtId="49" fontId="37" fillId="0" borderId="0" xfId="124" applyNumberFormat="1" applyFont="1"/>
    <xf numFmtId="49" fontId="37" fillId="0" borderId="28" xfId="124" applyNumberFormat="1" applyFont="1" applyBorder="1"/>
    <xf numFmtId="49" fontId="37" fillId="0" borderId="0" xfId="124" applyNumberFormat="1" applyFont="1" applyAlignment="1">
      <alignment vertical="center"/>
    </xf>
    <xf numFmtId="49" fontId="37" fillId="0" borderId="28" xfId="124" applyNumberFormat="1" applyFont="1" applyBorder="1" applyAlignment="1">
      <alignment vertical="center"/>
    </xf>
    <xf numFmtId="49" fontId="37" fillId="0" borderId="0" xfId="124" applyNumberFormat="1" applyFont="1" applyAlignment="1">
      <alignment vertical="center" wrapText="1"/>
    </xf>
    <xf numFmtId="49" fontId="37" fillId="0" borderId="29" xfId="124" applyNumberFormat="1" applyFont="1" applyBorder="1"/>
    <xf numFmtId="49" fontId="37" fillId="0" borderId="25" xfId="124" applyNumberFormat="1" applyFont="1" applyBorder="1"/>
    <xf numFmtId="49" fontId="37" fillId="0" borderId="26" xfId="124" applyNumberFormat="1" applyFont="1" applyBorder="1"/>
    <xf numFmtId="49" fontId="37" fillId="0" borderId="27" xfId="124" applyNumberFormat="1" applyFont="1" applyBorder="1"/>
    <xf numFmtId="49" fontId="32" fillId="0" borderId="0" xfId="124" applyNumberFormat="1" applyFont="1"/>
    <xf numFmtId="49" fontId="37" fillId="0" borderId="21" xfId="0" applyNumberFormat="1" applyFont="1" applyBorder="1" applyAlignment="1">
      <alignment horizontal="center" vertical="center"/>
    </xf>
    <xf numFmtId="49" fontId="37" fillId="0" borderId="3" xfId="0" applyNumberFormat="1" applyFont="1" applyBorder="1" applyAlignment="1">
      <alignment horizontal="center" vertical="center"/>
    </xf>
    <xf numFmtId="49" fontId="37" fillId="0" borderId="22" xfId="0" applyNumberFormat="1" applyFont="1" applyBorder="1" applyAlignment="1">
      <alignment horizontal="center" vertical="center"/>
    </xf>
    <xf numFmtId="49" fontId="37" fillId="0" borderId="21" xfId="124" applyNumberFormat="1" applyFont="1" applyBorder="1" applyAlignment="1">
      <alignment horizontal="center"/>
    </xf>
    <xf numFmtId="49" fontId="37" fillId="0" borderId="3" xfId="124" applyNumberFormat="1" applyFont="1" applyBorder="1" applyAlignment="1">
      <alignment horizontal="center"/>
    </xf>
    <xf numFmtId="49" fontId="37" fillId="0" borderId="22" xfId="124" applyNumberFormat="1" applyFont="1" applyBorder="1" applyAlignment="1">
      <alignment horizontal="center"/>
    </xf>
    <xf numFmtId="49" fontId="38" fillId="0" borderId="3" xfId="0" applyNumberFormat="1" applyFont="1" applyBorder="1" applyAlignment="1">
      <alignment horizontal="center" vertical="center"/>
    </xf>
    <xf numFmtId="49" fontId="38" fillId="0" borderId="22" xfId="0" applyNumberFormat="1" applyFont="1" applyBorder="1" applyAlignment="1">
      <alignment horizontal="center" vertical="center"/>
    </xf>
    <xf numFmtId="49" fontId="37" fillId="0" borderId="23" xfId="0" applyNumberFormat="1" applyFont="1" applyBorder="1" applyAlignment="1">
      <alignment horizontal="center" vertical="center"/>
    </xf>
    <xf numFmtId="49" fontId="37" fillId="0" borderId="1" xfId="0" applyNumberFormat="1" applyFont="1" applyBorder="1" applyAlignment="1">
      <alignment horizontal="center" vertical="center"/>
    </xf>
    <xf numFmtId="49" fontId="37" fillId="0" borderId="24" xfId="0" applyNumberFormat="1" applyFont="1" applyBorder="1" applyAlignment="1">
      <alignment horizontal="center" vertical="center"/>
    </xf>
    <xf numFmtId="49" fontId="37" fillId="0" borderId="25" xfId="0" applyNumberFormat="1" applyFont="1" applyBorder="1" applyAlignment="1">
      <alignment horizontal="center" vertical="center"/>
    </xf>
    <xf numFmtId="49" fontId="37" fillId="0" borderId="26" xfId="0" applyNumberFormat="1" applyFont="1" applyBorder="1" applyAlignment="1">
      <alignment horizontal="center" vertical="center"/>
    </xf>
    <xf numFmtId="49" fontId="37" fillId="0" borderId="27" xfId="0" applyNumberFormat="1" applyFont="1" applyBorder="1" applyAlignment="1">
      <alignment horizontal="center" vertical="center"/>
    </xf>
    <xf numFmtId="49" fontId="37" fillId="0" borderId="23" xfId="0" applyNumberFormat="1" applyFont="1" applyBorder="1" applyAlignment="1">
      <alignment horizontal="left" vertical="center"/>
    </xf>
    <xf numFmtId="49" fontId="37" fillId="0" borderId="1" xfId="0" applyNumberFormat="1" applyFont="1" applyBorder="1" applyAlignment="1">
      <alignment horizontal="left" vertical="center"/>
    </xf>
    <xf numFmtId="49" fontId="37" fillId="0" borderId="24" xfId="0" applyNumberFormat="1" applyFont="1" applyBorder="1" applyAlignment="1">
      <alignment horizontal="left" vertical="center"/>
    </xf>
    <xf numFmtId="49" fontId="37" fillId="0" borderId="25" xfId="0" applyNumberFormat="1" applyFont="1" applyBorder="1" applyAlignment="1">
      <alignment horizontal="left" vertical="center"/>
    </xf>
    <xf numFmtId="49" fontId="37" fillId="0" borderId="26" xfId="0" applyNumberFormat="1" applyFont="1" applyBorder="1" applyAlignment="1">
      <alignment horizontal="left" vertical="center"/>
    </xf>
    <xf numFmtId="49" fontId="37" fillId="0" borderId="27" xfId="0" applyNumberFormat="1" applyFont="1" applyBorder="1" applyAlignment="1">
      <alignment horizontal="left" vertical="center"/>
    </xf>
    <xf numFmtId="0" fontId="3" fillId="25" borderId="19" xfId="109" applyFont="1" applyFill="1" applyBorder="1" applyAlignment="1">
      <alignment horizontal="center" vertical="center"/>
    </xf>
    <xf numFmtId="0" fontId="3" fillId="25" borderId="16" xfId="109" applyFont="1" applyFill="1" applyBorder="1" applyAlignment="1">
      <alignment horizontal="center" vertical="center"/>
    </xf>
    <xf numFmtId="0" fontId="3" fillId="25" borderId="20" xfId="109" applyFont="1" applyFill="1" applyBorder="1" applyAlignment="1">
      <alignment horizontal="center" vertical="center"/>
    </xf>
    <xf numFmtId="0" fontId="3" fillId="25" borderId="19" xfId="109" applyFont="1" applyFill="1" applyBorder="1" applyAlignment="1">
      <alignment horizontal="left" vertical="center" wrapText="1"/>
    </xf>
    <xf numFmtId="0" fontId="3" fillId="25" borderId="16" xfId="109" applyFont="1" applyFill="1" applyBorder="1" applyAlignment="1">
      <alignment horizontal="left" vertical="center" wrapText="1"/>
    </xf>
    <xf numFmtId="0" fontId="3" fillId="25" borderId="20" xfId="109" applyFont="1" applyFill="1" applyBorder="1" applyAlignment="1">
      <alignment horizontal="left" vertical="center" wrapText="1"/>
    </xf>
    <xf numFmtId="0" fontId="3" fillId="25" borderId="17" xfId="109" applyFont="1" applyFill="1" applyBorder="1" applyAlignment="1">
      <alignment vertical="top" textRotation="255"/>
    </xf>
    <xf numFmtId="0" fontId="3" fillId="25" borderId="17" xfId="0" applyFont="1" applyFill="1" applyBorder="1"/>
  </cellXfs>
  <cellStyles count="125">
    <cellStyle name="20% - アクセント 1 2" xfId="1" xr:uid="{00000000-0005-0000-0000-000000000000}"/>
    <cellStyle name="20% - アクセント 1 3" xfId="2" xr:uid="{00000000-0005-0000-0000-000001000000}"/>
    <cellStyle name="20% - アクセント 2 2" xfId="3" xr:uid="{00000000-0005-0000-0000-000002000000}"/>
    <cellStyle name="20% - アクセント 2 3" xfId="4" xr:uid="{00000000-0005-0000-0000-000003000000}"/>
    <cellStyle name="20% - アクセント 3 2" xfId="5" xr:uid="{00000000-0005-0000-0000-000004000000}"/>
    <cellStyle name="20% - アクセント 3 3" xfId="6" xr:uid="{00000000-0005-0000-0000-000005000000}"/>
    <cellStyle name="20% - アクセント 4 2" xfId="7" xr:uid="{00000000-0005-0000-0000-000006000000}"/>
    <cellStyle name="20% - アクセント 4 3" xfId="8" xr:uid="{00000000-0005-0000-0000-000007000000}"/>
    <cellStyle name="20% - アクセント 5 2" xfId="9" xr:uid="{00000000-0005-0000-0000-000008000000}"/>
    <cellStyle name="20% - アクセント 5 3" xfId="10" xr:uid="{00000000-0005-0000-0000-000009000000}"/>
    <cellStyle name="20% - アクセント 6 2" xfId="11" xr:uid="{00000000-0005-0000-0000-00000A000000}"/>
    <cellStyle name="20% - アクセント 6 3" xfId="12" xr:uid="{00000000-0005-0000-0000-00000B000000}"/>
    <cellStyle name="40% - アクセント 1 2" xfId="13" xr:uid="{00000000-0005-0000-0000-00000C000000}"/>
    <cellStyle name="40% - アクセント 1 3" xfId="14" xr:uid="{00000000-0005-0000-0000-00000D000000}"/>
    <cellStyle name="40% - アクセント 2 2" xfId="15" xr:uid="{00000000-0005-0000-0000-00000E000000}"/>
    <cellStyle name="40% - アクセント 2 3" xfId="16" xr:uid="{00000000-0005-0000-0000-00000F000000}"/>
    <cellStyle name="40% - アクセント 3 2" xfId="17" xr:uid="{00000000-0005-0000-0000-000010000000}"/>
    <cellStyle name="40% - アクセント 3 3" xfId="18" xr:uid="{00000000-0005-0000-0000-000011000000}"/>
    <cellStyle name="40% - アクセント 4 2" xfId="19" xr:uid="{00000000-0005-0000-0000-000012000000}"/>
    <cellStyle name="40% - アクセント 4 3" xfId="20" xr:uid="{00000000-0005-0000-0000-000013000000}"/>
    <cellStyle name="40% - アクセント 5 2" xfId="21" xr:uid="{00000000-0005-0000-0000-000014000000}"/>
    <cellStyle name="40% - アクセント 5 3" xfId="22" xr:uid="{00000000-0005-0000-0000-000015000000}"/>
    <cellStyle name="40% - アクセント 6 2" xfId="23" xr:uid="{00000000-0005-0000-0000-000016000000}"/>
    <cellStyle name="40% - アクセント 6 3" xfId="24" xr:uid="{00000000-0005-0000-0000-000017000000}"/>
    <cellStyle name="60% - アクセント 1 2" xfId="25" xr:uid="{00000000-0005-0000-0000-000018000000}"/>
    <cellStyle name="60% - アクセント 1 3" xfId="26" xr:uid="{00000000-0005-0000-0000-000019000000}"/>
    <cellStyle name="60% - アクセント 2 2" xfId="27" xr:uid="{00000000-0005-0000-0000-00001A000000}"/>
    <cellStyle name="60% - アクセント 2 3" xfId="28" xr:uid="{00000000-0005-0000-0000-00001B000000}"/>
    <cellStyle name="60% - アクセント 3 2" xfId="29" xr:uid="{00000000-0005-0000-0000-00001C000000}"/>
    <cellStyle name="60% - アクセント 3 3" xfId="30" xr:uid="{00000000-0005-0000-0000-00001D000000}"/>
    <cellStyle name="60% - アクセント 4 2" xfId="31" xr:uid="{00000000-0005-0000-0000-00001E000000}"/>
    <cellStyle name="60% - アクセント 4 3" xfId="32" xr:uid="{00000000-0005-0000-0000-00001F000000}"/>
    <cellStyle name="60% - アクセント 5 2" xfId="33" xr:uid="{00000000-0005-0000-0000-000020000000}"/>
    <cellStyle name="60% - アクセント 5 3" xfId="34" xr:uid="{00000000-0005-0000-0000-000021000000}"/>
    <cellStyle name="60% - アクセント 6 2" xfId="35" xr:uid="{00000000-0005-0000-0000-000022000000}"/>
    <cellStyle name="60% - アクセント 6 3" xfId="36" xr:uid="{00000000-0005-0000-0000-000023000000}"/>
    <cellStyle name="BD標準" xfId="37" xr:uid="{00000000-0005-0000-0000-000024000000}"/>
    <cellStyle name="Border" xfId="38" xr:uid="{00000000-0005-0000-0000-000025000000}"/>
    <cellStyle name="Calc Currency (0)" xfId="39" xr:uid="{00000000-0005-0000-0000-000026000000}"/>
    <cellStyle name="category" xfId="40" xr:uid="{00000000-0005-0000-0000-000027000000}"/>
    <cellStyle name="Comma [0]_CCOCPX" xfId="41" xr:uid="{00000000-0005-0000-0000-000028000000}"/>
    <cellStyle name="Comma_Capex" xfId="42" xr:uid="{00000000-0005-0000-0000-000029000000}"/>
    <cellStyle name="Currency [0]_CCOCPX" xfId="43" xr:uid="{00000000-0005-0000-0000-00002A000000}"/>
    <cellStyle name="Currency_CCOCPX" xfId="44" xr:uid="{00000000-0005-0000-0000-00002B000000}"/>
    <cellStyle name="Grey" xfId="45" xr:uid="{00000000-0005-0000-0000-00002C000000}"/>
    <cellStyle name="HEADER" xfId="46" xr:uid="{00000000-0005-0000-0000-00002D000000}"/>
    <cellStyle name="Header1" xfId="47" xr:uid="{00000000-0005-0000-0000-00002E000000}"/>
    <cellStyle name="Header2" xfId="48" xr:uid="{00000000-0005-0000-0000-00002F000000}"/>
    <cellStyle name="Input [yellow]" xfId="49" xr:uid="{00000000-0005-0000-0000-000030000000}"/>
    <cellStyle name="Model" xfId="50" xr:uid="{00000000-0005-0000-0000-000031000000}"/>
    <cellStyle name="Normal - Style1" xfId="51" xr:uid="{00000000-0005-0000-0000-000032000000}"/>
    <cellStyle name="Normal - Style1 2" xfId="52" xr:uid="{00000000-0005-0000-0000-000033000000}"/>
    <cellStyle name="Normal - Style1_001_【画面レイアウト】受発注・受注登録画面（ユーザ提示用）" xfId="53" xr:uid="{00000000-0005-0000-0000-000034000000}"/>
    <cellStyle name="Normal_#18-Internet" xfId="54" xr:uid="{00000000-0005-0000-0000-000035000000}"/>
    <cellStyle name="Percent [2]" xfId="55" xr:uid="{00000000-0005-0000-0000-000036000000}"/>
    <cellStyle name="PSChar" xfId="56" xr:uid="{00000000-0005-0000-0000-000037000000}"/>
    <cellStyle name="PSHeading" xfId="57" xr:uid="{00000000-0005-0000-0000-000038000000}"/>
    <cellStyle name="quest" xfId="58" xr:uid="{00000000-0005-0000-0000-000039000000}"/>
    <cellStyle name="subhead" xfId="59" xr:uid="{00000000-0005-0000-0000-00003A000000}"/>
    <cellStyle name="umeda" xfId="60" xr:uid="{00000000-0005-0000-0000-00003B000000}"/>
    <cellStyle name="アクセント 1 2" xfId="61" xr:uid="{00000000-0005-0000-0000-00003C000000}"/>
    <cellStyle name="アクセント 1 3" xfId="62" xr:uid="{00000000-0005-0000-0000-00003D000000}"/>
    <cellStyle name="アクセント 2 2" xfId="63" xr:uid="{00000000-0005-0000-0000-00003E000000}"/>
    <cellStyle name="アクセント 2 3" xfId="64" xr:uid="{00000000-0005-0000-0000-00003F000000}"/>
    <cellStyle name="アクセント 3 2" xfId="65" xr:uid="{00000000-0005-0000-0000-000040000000}"/>
    <cellStyle name="アクセント 3 3" xfId="66" xr:uid="{00000000-0005-0000-0000-000041000000}"/>
    <cellStyle name="アクセント 4 2" xfId="67" xr:uid="{00000000-0005-0000-0000-000042000000}"/>
    <cellStyle name="アクセント 4 3" xfId="68" xr:uid="{00000000-0005-0000-0000-000043000000}"/>
    <cellStyle name="アクセント 5 2" xfId="69" xr:uid="{00000000-0005-0000-0000-000044000000}"/>
    <cellStyle name="アクセント 5 3" xfId="70" xr:uid="{00000000-0005-0000-0000-000045000000}"/>
    <cellStyle name="アクセント 6 2" xfId="71" xr:uid="{00000000-0005-0000-0000-000046000000}"/>
    <cellStyle name="アクセント 6 3" xfId="72" xr:uid="{00000000-0005-0000-0000-000047000000}"/>
    <cellStyle name="タイトル 2" xfId="73" xr:uid="{00000000-0005-0000-0000-000048000000}"/>
    <cellStyle name="タイトル 3" xfId="74" xr:uid="{00000000-0005-0000-0000-000049000000}"/>
    <cellStyle name="チェック セル 2" xfId="75" xr:uid="{00000000-0005-0000-0000-00004A000000}"/>
    <cellStyle name="チェック セル 3" xfId="76" xr:uid="{00000000-0005-0000-0000-00004B000000}"/>
    <cellStyle name="どちらでもない 2" xfId="77" xr:uid="{00000000-0005-0000-0000-00004C000000}"/>
    <cellStyle name="どちらでもない 3" xfId="78" xr:uid="{00000000-0005-0000-0000-00004D000000}"/>
    <cellStyle name="メモ 2" xfId="79" xr:uid="{00000000-0005-0000-0000-00004E000000}"/>
    <cellStyle name="メモ 3" xfId="80" xr:uid="{00000000-0005-0000-0000-00004F000000}"/>
    <cellStyle name="リンク セル 2" xfId="81" xr:uid="{00000000-0005-0000-0000-000050000000}"/>
    <cellStyle name="リンク セル 3" xfId="82" xr:uid="{00000000-0005-0000-0000-000051000000}"/>
    <cellStyle name="悪い 2" xfId="83" xr:uid="{00000000-0005-0000-0000-000052000000}"/>
    <cellStyle name="悪い 3" xfId="84" xr:uid="{00000000-0005-0000-0000-000053000000}"/>
    <cellStyle name="計算 2" xfId="85" xr:uid="{00000000-0005-0000-0000-000054000000}"/>
    <cellStyle name="計算 3" xfId="86" xr:uid="{00000000-0005-0000-0000-000055000000}"/>
    <cellStyle name="警告文 2" xfId="87" xr:uid="{00000000-0005-0000-0000-000056000000}"/>
    <cellStyle name="警告文 3" xfId="88" xr:uid="{00000000-0005-0000-0000-000057000000}"/>
    <cellStyle name="見出し 1 2" xfId="89" xr:uid="{00000000-0005-0000-0000-000058000000}"/>
    <cellStyle name="見出し 1 3" xfId="90" xr:uid="{00000000-0005-0000-0000-000059000000}"/>
    <cellStyle name="見出し 2 2" xfId="91" xr:uid="{00000000-0005-0000-0000-00005A000000}"/>
    <cellStyle name="見出し 2 3" xfId="92" xr:uid="{00000000-0005-0000-0000-00005B000000}"/>
    <cellStyle name="見出し 3 2" xfId="93" xr:uid="{00000000-0005-0000-0000-00005C000000}"/>
    <cellStyle name="見出し 3 3" xfId="94" xr:uid="{00000000-0005-0000-0000-00005D000000}"/>
    <cellStyle name="見出し 4 2" xfId="95" xr:uid="{00000000-0005-0000-0000-00005E000000}"/>
    <cellStyle name="見出し 4 3" xfId="96" xr:uid="{00000000-0005-0000-0000-00005F000000}"/>
    <cellStyle name="集計 2" xfId="97" xr:uid="{00000000-0005-0000-0000-000060000000}"/>
    <cellStyle name="集計 3" xfId="98" xr:uid="{00000000-0005-0000-0000-000061000000}"/>
    <cellStyle name="出力 2" xfId="99" xr:uid="{00000000-0005-0000-0000-000062000000}"/>
    <cellStyle name="出力 3" xfId="100" xr:uid="{00000000-0005-0000-0000-000063000000}"/>
    <cellStyle name="説明文 2" xfId="101" xr:uid="{00000000-0005-0000-0000-000064000000}"/>
    <cellStyle name="説明文 3" xfId="102" xr:uid="{00000000-0005-0000-0000-000065000000}"/>
    <cellStyle name="追加スタイル（梅田）" xfId="103" xr:uid="{00000000-0005-0000-0000-000066000000}"/>
    <cellStyle name="入力 2" xfId="104" xr:uid="{00000000-0005-0000-0000-000067000000}"/>
    <cellStyle name="入力 3" xfId="105" xr:uid="{00000000-0005-0000-0000-000068000000}"/>
    <cellStyle name="標準" xfId="0" builtinId="0"/>
    <cellStyle name="標準 2" xfId="106" xr:uid="{00000000-0005-0000-0000-00006A000000}"/>
    <cellStyle name="標準 2 2" xfId="124" xr:uid="{085E4593-F7E1-46F8-8EAF-4B831D27BB14}"/>
    <cellStyle name="標準 3" xfId="107" xr:uid="{00000000-0005-0000-0000-00006B000000}"/>
    <cellStyle name="標準 4" xfId="108" xr:uid="{00000000-0005-0000-0000-00006C000000}"/>
    <cellStyle name="標準_0050_060_BLサービス(BS、BM)vsBLサービス(BM)マトリクス_SAA_受発注管理" xfId="109" xr:uid="{00000000-0005-0000-0000-00006D000000}"/>
    <cellStyle name="標準仕様書" xfId="110" xr:uid="{00000000-0005-0000-0000-00006F000000}"/>
    <cellStyle name="未定義" xfId="111" xr:uid="{00000000-0005-0000-0000-000070000000}"/>
    <cellStyle name="良い 2" xfId="112" xr:uid="{00000000-0005-0000-0000-000071000000}"/>
    <cellStyle name="良い 3" xfId="113" xr:uid="{00000000-0005-0000-0000-000072000000}"/>
    <cellStyle name="㼿" xfId="114" xr:uid="{00000000-0005-0000-0000-000073000000}"/>
    <cellStyle name="㼿?" xfId="115" xr:uid="{00000000-0005-0000-0000-000074000000}"/>
    <cellStyle name="㼿㼿" xfId="116" xr:uid="{00000000-0005-0000-0000-000075000000}"/>
    <cellStyle name="㼿㼿?" xfId="117" xr:uid="{00000000-0005-0000-0000-000076000000}"/>
    <cellStyle name="㼿㼿㼿" xfId="118" xr:uid="{00000000-0005-0000-0000-000077000000}"/>
    <cellStyle name="㼿㼿㼿?" xfId="119" xr:uid="{00000000-0005-0000-0000-000078000000}"/>
    <cellStyle name="㼿㼿㼿㼿" xfId="120" xr:uid="{00000000-0005-0000-0000-000079000000}"/>
    <cellStyle name="㼿㼿㼿㼿?" xfId="121" xr:uid="{00000000-0005-0000-0000-00007A000000}"/>
    <cellStyle name="㼿㼿㼿㼿㼿㼿?" xfId="122" xr:uid="{00000000-0005-0000-0000-00007B000000}"/>
    <cellStyle name="㼿㼿㼿㼿㼿㼿㼿?" xfId="123" xr:uid="{00000000-0005-0000-0000-00007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88A9-850C-4511-9EC9-A03655BBB7DF}">
  <sheetPr codeName="Sheet1"/>
  <dimension ref="A1:BJ509"/>
  <sheetViews>
    <sheetView tabSelected="1" view="pageBreakPreview" zoomScale="85" zoomScaleNormal="100" zoomScaleSheetLayoutView="85" workbookViewId="0"/>
  </sheetViews>
  <sheetFormatPr defaultColWidth="9" defaultRowHeight="12"/>
  <cols>
    <col min="1" max="62" width="2.125" style="42" customWidth="1"/>
    <col min="63" max="159" width="1.625" style="42" customWidth="1"/>
    <col min="160" max="16384" width="9" style="42"/>
  </cols>
  <sheetData>
    <row r="1" spans="1:62" s="26" customFormat="1" ht="18" customHeight="1">
      <c r="A1" s="26" t="s">
        <v>85</v>
      </c>
      <c r="BJ1" s="27" t="s">
        <v>86</v>
      </c>
    </row>
    <row r="2" spans="1:62" s="28" customFormat="1" ht="18" customHeight="1">
      <c r="A2" s="49" t="s">
        <v>97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50"/>
      <c r="AS2" s="43" t="s">
        <v>87</v>
      </c>
      <c r="AT2" s="44"/>
      <c r="AU2" s="44"/>
      <c r="AV2" s="44"/>
      <c r="AW2" s="44"/>
      <c r="AX2" s="45"/>
      <c r="AY2" s="43" t="s">
        <v>88</v>
      </c>
      <c r="AZ2" s="44"/>
      <c r="BA2" s="44"/>
      <c r="BB2" s="44"/>
      <c r="BC2" s="45"/>
      <c r="BD2" s="43" t="s">
        <v>89</v>
      </c>
      <c r="BE2" s="44"/>
      <c r="BF2" s="45"/>
      <c r="BG2" s="43"/>
      <c r="BH2" s="44"/>
      <c r="BI2" s="44"/>
      <c r="BJ2" s="45"/>
    </row>
    <row r="3" spans="1:62" s="26" customFormat="1" ht="18" customHeight="1">
      <c r="A3" s="51" t="s">
        <v>9</v>
      </c>
      <c r="B3" s="52"/>
      <c r="C3" s="52"/>
      <c r="D3" s="52"/>
      <c r="E3" s="52"/>
      <c r="F3" s="52"/>
      <c r="G3" s="52"/>
      <c r="H3" s="52"/>
      <c r="I3" s="52"/>
      <c r="J3" s="52"/>
      <c r="K3" s="53"/>
      <c r="L3" s="57" t="s">
        <v>90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9"/>
      <c r="AS3" s="43" t="s">
        <v>91</v>
      </c>
      <c r="AT3" s="44"/>
      <c r="AU3" s="44"/>
      <c r="AV3" s="44"/>
      <c r="AW3" s="44"/>
      <c r="AX3" s="45"/>
      <c r="AY3" s="43" t="s">
        <v>11</v>
      </c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5"/>
    </row>
    <row r="4" spans="1:62" s="26" customFormat="1" ht="18" customHeight="1">
      <c r="A4" s="54"/>
      <c r="B4" s="55"/>
      <c r="C4" s="55"/>
      <c r="D4" s="55"/>
      <c r="E4" s="55"/>
      <c r="F4" s="55"/>
      <c r="G4" s="55"/>
      <c r="H4" s="55"/>
      <c r="I4" s="55"/>
      <c r="J4" s="55"/>
      <c r="K4" s="56"/>
      <c r="L4" s="60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2"/>
      <c r="AS4" s="43" t="s">
        <v>92</v>
      </c>
      <c r="AT4" s="44"/>
      <c r="AU4" s="44"/>
      <c r="AV4" s="44"/>
      <c r="AW4" s="44"/>
      <c r="AX4" s="45"/>
      <c r="AY4" s="43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5"/>
    </row>
    <row r="5" spans="1:62" s="29" customFormat="1" ht="9" customHeight="1"/>
    <row r="6" spans="1:62" s="33" customFormat="1" ht="15.75" customHeight="1">
      <c r="A6" s="46" t="s">
        <v>93</v>
      </c>
      <c r="B6" s="47"/>
      <c r="C6" s="47"/>
      <c r="D6" s="47"/>
      <c r="E6" s="47"/>
      <c r="F6" s="47"/>
      <c r="G6" s="48"/>
      <c r="H6" s="30"/>
      <c r="I6" s="31" t="s">
        <v>94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2"/>
    </row>
    <row r="7" spans="1:62" s="33" customFormat="1" ht="20.25" customHeight="1">
      <c r="A7" s="34"/>
      <c r="C7" s="35"/>
      <c r="D7" s="35"/>
      <c r="E7" s="35"/>
      <c r="F7" s="35"/>
      <c r="G7" s="35"/>
      <c r="H7" s="36"/>
      <c r="O7" s="37"/>
      <c r="P7" s="37"/>
      <c r="Q7" s="37"/>
      <c r="R7" s="37"/>
      <c r="S7" s="37"/>
      <c r="T7" s="37"/>
      <c r="U7" s="37"/>
      <c r="V7" s="37"/>
      <c r="W7" s="37"/>
      <c r="X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BJ7" s="38"/>
    </row>
    <row r="8" spans="1:62" s="33" customFormat="1" ht="20.25" customHeight="1">
      <c r="A8" s="34"/>
      <c r="B8" s="33" t="s">
        <v>95</v>
      </c>
      <c r="C8" s="35"/>
      <c r="D8" s="35"/>
      <c r="E8" s="35"/>
      <c r="F8" s="35"/>
      <c r="G8" s="35"/>
      <c r="H8" s="36"/>
      <c r="I8" s="33" t="s">
        <v>96</v>
      </c>
      <c r="O8" s="37"/>
      <c r="P8" s="37"/>
      <c r="Q8" s="37"/>
      <c r="R8" s="37"/>
      <c r="S8" s="37"/>
      <c r="T8" s="37"/>
      <c r="U8" s="37"/>
      <c r="V8" s="37"/>
      <c r="W8" s="37"/>
      <c r="X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BJ8" s="38"/>
    </row>
    <row r="9" spans="1:62" s="33" customFormat="1" ht="20.25" customHeight="1">
      <c r="A9" s="34"/>
      <c r="H9" s="34"/>
      <c r="BJ9" s="38"/>
    </row>
    <row r="10" spans="1:62" s="33" customFormat="1" ht="20.25" customHeight="1">
      <c r="A10" s="34"/>
      <c r="H10" s="34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BJ10" s="38"/>
    </row>
    <row r="11" spans="1:62" s="33" customFormat="1" ht="20.25" customHeight="1">
      <c r="A11" s="34"/>
      <c r="H11" s="34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BJ11" s="38"/>
    </row>
    <row r="12" spans="1:62" s="33" customFormat="1" ht="20.25" customHeight="1">
      <c r="A12" s="34"/>
      <c r="H12" s="34"/>
      <c r="BJ12" s="38"/>
    </row>
    <row r="13" spans="1:62" s="33" customFormat="1" ht="20.25" customHeight="1">
      <c r="A13" s="34"/>
      <c r="H13" s="34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BJ13" s="38"/>
    </row>
    <row r="14" spans="1:62" s="33" customFormat="1" ht="20.25" customHeight="1">
      <c r="A14" s="34"/>
      <c r="H14" s="34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BJ14" s="38"/>
    </row>
    <row r="15" spans="1:62" s="33" customFormat="1" ht="20.25" customHeight="1">
      <c r="A15" s="34"/>
      <c r="H15" s="34"/>
      <c r="BJ15" s="38"/>
    </row>
    <row r="16" spans="1:62" s="33" customFormat="1" ht="20.25" customHeight="1">
      <c r="A16" s="34"/>
      <c r="H16" s="34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BJ16" s="38"/>
    </row>
    <row r="17" spans="1:62" s="33" customFormat="1" ht="20.25" customHeight="1">
      <c r="A17" s="34"/>
      <c r="H17" s="34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BJ17" s="38"/>
    </row>
    <row r="18" spans="1:62" s="33" customFormat="1" ht="20.25" customHeight="1">
      <c r="A18" s="34"/>
      <c r="H18" s="34"/>
      <c r="BJ18" s="38"/>
    </row>
    <row r="19" spans="1:62" s="33" customFormat="1" ht="20.25" customHeight="1">
      <c r="A19" s="34"/>
      <c r="H19" s="34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BJ19" s="38"/>
    </row>
    <row r="20" spans="1:62" s="33" customFormat="1" ht="20.25" customHeight="1">
      <c r="A20" s="34"/>
      <c r="H20" s="34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BJ20" s="38"/>
    </row>
    <row r="21" spans="1:62" s="33" customFormat="1" ht="20.25" customHeight="1">
      <c r="A21" s="34"/>
      <c r="H21" s="34"/>
      <c r="BJ21" s="38"/>
    </row>
    <row r="22" spans="1:62" s="33" customFormat="1" ht="20.25" customHeight="1">
      <c r="A22" s="34"/>
      <c r="H22" s="34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BJ22" s="38"/>
    </row>
    <row r="23" spans="1:62" s="33" customFormat="1" ht="20.25" customHeight="1">
      <c r="A23" s="34"/>
      <c r="H23" s="34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BJ23" s="38"/>
    </row>
    <row r="24" spans="1:62" s="33" customFormat="1" ht="20.25" customHeight="1">
      <c r="A24" s="34"/>
      <c r="H24" s="34"/>
      <c r="BJ24" s="38"/>
    </row>
    <row r="25" spans="1:62" s="33" customFormat="1" ht="20.25" customHeight="1">
      <c r="A25" s="34"/>
      <c r="H25" s="34"/>
      <c r="O25" s="37"/>
      <c r="P25" s="37"/>
      <c r="Q25" s="37"/>
      <c r="R25" s="37"/>
      <c r="S25" s="37"/>
      <c r="T25" s="37"/>
      <c r="U25" s="37"/>
      <c r="V25" s="37"/>
      <c r="W25" s="37"/>
      <c r="X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BJ25" s="38"/>
    </row>
    <row r="26" spans="1:62" s="33" customFormat="1" ht="20.25" customHeight="1">
      <c r="A26" s="34"/>
      <c r="H26" s="34"/>
      <c r="O26" s="37"/>
      <c r="P26" s="37"/>
      <c r="Q26" s="37"/>
      <c r="R26" s="37"/>
      <c r="S26" s="37"/>
      <c r="T26" s="37"/>
      <c r="U26" s="37"/>
      <c r="V26" s="37"/>
      <c r="W26" s="37"/>
      <c r="X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BJ26" s="38"/>
    </row>
    <row r="27" spans="1:62" s="33" customFormat="1" ht="20.25" customHeight="1">
      <c r="A27" s="34"/>
      <c r="H27" s="34"/>
      <c r="BJ27" s="38"/>
    </row>
    <row r="28" spans="1:62" s="33" customFormat="1" ht="20.25" customHeight="1">
      <c r="A28" s="34"/>
      <c r="H28" s="34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BJ28" s="38"/>
    </row>
    <row r="29" spans="1:62" s="33" customFormat="1" ht="20.25" customHeight="1">
      <c r="A29" s="34"/>
      <c r="H29" s="34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BJ29" s="38"/>
    </row>
    <row r="30" spans="1:62" s="33" customFormat="1" ht="20.25" customHeight="1">
      <c r="A30" s="34"/>
      <c r="H30" s="34"/>
      <c r="BJ30" s="38"/>
    </row>
    <row r="31" spans="1:62" s="33" customFormat="1" ht="20.25" customHeight="1">
      <c r="A31" s="34"/>
      <c r="H31" s="34"/>
      <c r="BJ31" s="38"/>
    </row>
    <row r="32" spans="1:62" s="33" customFormat="1" ht="20.25" customHeight="1">
      <c r="A32" s="34"/>
      <c r="H32" s="34"/>
      <c r="BJ32" s="38"/>
    </row>
    <row r="33" spans="1:62" s="33" customFormat="1" ht="20.25" customHeight="1">
      <c r="A33" s="34"/>
      <c r="H33" s="34"/>
      <c r="BJ33" s="38"/>
    </row>
    <row r="34" spans="1:62" s="33" customFormat="1" ht="20.25" customHeight="1">
      <c r="A34" s="34"/>
      <c r="H34" s="34"/>
      <c r="BJ34" s="38"/>
    </row>
    <row r="35" spans="1:62" s="33" customFormat="1" ht="20.25" customHeight="1">
      <c r="A35" s="34"/>
      <c r="H35" s="34"/>
      <c r="BJ35" s="38"/>
    </row>
    <row r="36" spans="1:62" s="33" customFormat="1" ht="20.25" customHeight="1">
      <c r="A36" s="34"/>
      <c r="H36" s="34"/>
      <c r="BJ36" s="38"/>
    </row>
    <row r="37" spans="1:62" s="33" customFormat="1" ht="20.25" customHeight="1">
      <c r="A37" s="34"/>
      <c r="H37" s="34"/>
      <c r="BJ37" s="38"/>
    </row>
    <row r="38" spans="1:62" s="33" customFormat="1" ht="20.25" customHeight="1">
      <c r="A38" s="34"/>
      <c r="H38" s="34"/>
      <c r="BJ38" s="38"/>
    </row>
    <row r="39" spans="1:62" s="33" customFormat="1" ht="20.25" customHeight="1">
      <c r="A39" s="34"/>
      <c r="H39" s="34"/>
      <c r="BJ39" s="38"/>
    </row>
    <row r="40" spans="1:62" s="33" customFormat="1" ht="20.25" customHeight="1">
      <c r="A40" s="34"/>
      <c r="H40" s="34"/>
      <c r="BJ40" s="38"/>
    </row>
    <row r="41" spans="1:62" s="33" customFormat="1" ht="20.25" customHeight="1">
      <c r="A41" s="34"/>
      <c r="H41" s="34"/>
      <c r="BJ41" s="38"/>
    </row>
    <row r="42" spans="1:62" s="33" customFormat="1" ht="20.25" customHeight="1">
      <c r="A42" s="34"/>
      <c r="H42" s="34"/>
      <c r="BJ42" s="38"/>
    </row>
    <row r="43" spans="1:62" s="33" customFormat="1" ht="20.25" customHeight="1">
      <c r="A43" s="34"/>
      <c r="H43" s="34"/>
      <c r="BJ43" s="38"/>
    </row>
    <row r="44" spans="1:62" s="33" customFormat="1" ht="20.25" customHeight="1">
      <c r="A44" s="34"/>
      <c r="H44" s="34"/>
      <c r="BJ44" s="38"/>
    </row>
    <row r="45" spans="1:62" s="33" customFormat="1" ht="20.25" customHeight="1">
      <c r="A45" s="34"/>
      <c r="H45" s="34"/>
      <c r="BJ45" s="38"/>
    </row>
    <row r="46" spans="1:62" s="33" customFormat="1" ht="20.25" customHeight="1">
      <c r="A46" s="34"/>
      <c r="H46" s="34"/>
      <c r="BJ46" s="38"/>
    </row>
    <row r="47" spans="1:62" s="33" customFormat="1" ht="20.25" customHeight="1">
      <c r="A47" s="34"/>
      <c r="H47" s="34"/>
      <c r="BJ47" s="38"/>
    </row>
    <row r="48" spans="1:62" s="33" customFormat="1" ht="20.25" customHeight="1">
      <c r="A48" s="34"/>
      <c r="H48" s="34"/>
      <c r="BJ48" s="38"/>
    </row>
    <row r="49" spans="1:62" s="33" customFormat="1" ht="20.25" customHeight="1">
      <c r="A49" s="34"/>
      <c r="H49" s="34"/>
      <c r="BJ49" s="38"/>
    </row>
    <row r="50" spans="1:62" s="33" customFormat="1" ht="20.25" customHeight="1">
      <c r="A50" s="34"/>
      <c r="H50" s="34"/>
      <c r="BJ50" s="38"/>
    </row>
    <row r="51" spans="1:62" s="33" customFormat="1" ht="20.25" customHeight="1">
      <c r="A51" s="34"/>
      <c r="H51" s="34"/>
      <c r="BJ51" s="38"/>
    </row>
    <row r="52" spans="1:62" s="33" customFormat="1" ht="20.25" customHeight="1">
      <c r="A52" s="34"/>
      <c r="H52" s="34"/>
      <c r="BJ52" s="38"/>
    </row>
    <row r="53" spans="1:62" s="33" customFormat="1" ht="20.25" customHeight="1">
      <c r="A53" s="34"/>
      <c r="H53" s="34"/>
      <c r="BJ53" s="38"/>
    </row>
    <row r="54" spans="1:62" s="33" customFormat="1" ht="20.25" customHeight="1">
      <c r="A54" s="34"/>
      <c r="H54" s="34"/>
      <c r="BJ54" s="38"/>
    </row>
    <row r="55" spans="1:62" s="33" customFormat="1" ht="20.25" customHeight="1">
      <c r="A55" s="34"/>
      <c r="H55" s="34"/>
      <c r="BJ55" s="38"/>
    </row>
    <row r="56" spans="1:62" s="33" customFormat="1" ht="20.25" customHeight="1">
      <c r="A56" s="34"/>
      <c r="H56" s="34"/>
      <c r="BJ56" s="38"/>
    </row>
    <row r="57" spans="1:62" s="33" customFormat="1" ht="20.25" customHeight="1">
      <c r="A57" s="34"/>
      <c r="H57" s="34"/>
      <c r="BJ57" s="38"/>
    </row>
    <row r="58" spans="1:62" s="33" customFormat="1" ht="20.25" customHeight="1">
      <c r="A58" s="34"/>
      <c r="H58" s="34"/>
      <c r="BJ58" s="38"/>
    </row>
    <row r="59" spans="1:62" s="33" customFormat="1" ht="20.25" customHeight="1">
      <c r="A59" s="34"/>
      <c r="H59" s="34"/>
      <c r="BJ59" s="38"/>
    </row>
    <row r="60" spans="1:62" s="33" customFormat="1" ht="20.25" customHeight="1">
      <c r="A60" s="39"/>
      <c r="B60" s="40"/>
      <c r="C60" s="40"/>
      <c r="D60" s="40"/>
      <c r="E60" s="40"/>
      <c r="F60" s="40"/>
      <c r="G60" s="40"/>
      <c r="H60" s="3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R2"/>
    <mergeCell ref="AS2:AX2"/>
    <mergeCell ref="AY2:BC2"/>
    <mergeCell ref="BD2:BF2"/>
    <mergeCell ref="BG2:BJ2"/>
    <mergeCell ref="A3:K4"/>
    <mergeCell ref="L3:AR4"/>
    <mergeCell ref="AS3:AX3"/>
    <mergeCell ref="AY3:BJ3"/>
    <mergeCell ref="AS4:AX4"/>
  </mergeCells>
  <phoneticPr fontId="4"/>
  <pageMargins left="0.86614173228346458" right="0.19685039370078741" top="0.39370078740157483" bottom="0.74803149606299213" header="0.55118110236220474" footer="0.51181102362204722"/>
  <pageSetup paperSize="9" scale="70" orientation="portrait" horizontalDpi="360" verticalDpi="360" r:id="rId1"/>
  <headerFooter>
    <oddHeader xml:space="preserve">&amp;R&amp;P     </oddHeader>
    <oddFooter>&amp;L20250301版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6B4D-259E-47E4-BB95-02EFE7C42E46}">
  <sheetPr codeName="Sheet2"/>
  <dimension ref="B1:AL51"/>
  <sheetViews>
    <sheetView view="pageBreakPreview" zoomScaleNormal="85" zoomScaleSheetLayoutView="100" workbookViewId="0">
      <pane xSplit="20" ySplit="8" topLeftCell="U9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25" style="6" customWidth="1"/>
    <col min="2" max="2" width="5.25" style="7" bestFit="1" customWidth="1"/>
    <col min="3" max="3" width="19.5" style="8" hidden="1" customWidth="1"/>
    <col min="4" max="4" width="28.5" style="8" bestFit="1" customWidth="1"/>
    <col min="5" max="5" width="34" style="8" bestFit="1" customWidth="1"/>
    <col min="6" max="6" width="5.375" style="9" customWidth="1"/>
    <col min="7" max="20" width="5" style="7" customWidth="1"/>
    <col min="21" max="25" width="4.625" style="7" customWidth="1"/>
    <col min="26" max="27" width="4.625" style="2" customWidth="1"/>
    <col min="28" max="28" width="4.625" style="9" customWidth="1"/>
    <col min="29" max="30" width="4.625" style="7" customWidth="1"/>
    <col min="31" max="31" width="4.625" style="2" customWidth="1"/>
    <col min="32" max="32" width="4.625" style="9" customWidth="1"/>
    <col min="33" max="37" width="4.625" style="7" customWidth="1"/>
    <col min="38" max="16384" width="9" style="6"/>
  </cols>
  <sheetData>
    <row r="1" spans="2:38" s="3" customFormat="1" ht="15" customHeight="1">
      <c r="B1" s="10" t="s">
        <v>5</v>
      </c>
      <c r="C1" s="11"/>
      <c r="D1" s="12"/>
      <c r="E1" s="12"/>
      <c r="F1" s="10"/>
      <c r="G1" s="24">
        <f>COLUMN()-6</f>
        <v>1</v>
      </c>
      <c r="H1" s="24">
        <f>COLUMN()-6</f>
        <v>2</v>
      </c>
      <c r="I1" s="24">
        <f t="shared" ref="I1:AK1" si="0">COLUMN()-6</f>
        <v>3</v>
      </c>
      <c r="J1" s="24">
        <f t="shared" si="0"/>
        <v>4</v>
      </c>
      <c r="K1" s="24">
        <f t="shared" si="0"/>
        <v>5</v>
      </c>
      <c r="L1" s="24">
        <f t="shared" si="0"/>
        <v>6</v>
      </c>
      <c r="M1" s="24">
        <f t="shared" si="0"/>
        <v>7</v>
      </c>
      <c r="N1" s="24">
        <f t="shared" si="0"/>
        <v>8</v>
      </c>
      <c r="O1" s="24">
        <f t="shared" si="0"/>
        <v>9</v>
      </c>
      <c r="P1" s="24">
        <f t="shared" si="0"/>
        <v>10</v>
      </c>
      <c r="Q1" s="24">
        <f t="shared" si="0"/>
        <v>11</v>
      </c>
      <c r="R1" s="24">
        <f t="shared" si="0"/>
        <v>12</v>
      </c>
      <c r="S1" s="24">
        <f t="shared" si="0"/>
        <v>13</v>
      </c>
      <c r="T1" s="24">
        <f t="shared" si="0"/>
        <v>14</v>
      </c>
      <c r="U1" s="24">
        <f t="shared" si="0"/>
        <v>15</v>
      </c>
      <c r="V1" s="24">
        <f t="shared" si="0"/>
        <v>16</v>
      </c>
      <c r="W1" s="24">
        <f t="shared" si="0"/>
        <v>17</v>
      </c>
      <c r="X1" s="24">
        <f t="shared" si="0"/>
        <v>18</v>
      </c>
      <c r="Y1" s="24">
        <f t="shared" si="0"/>
        <v>19</v>
      </c>
      <c r="Z1" s="24">
        <f t="shared" si="0"/>
        <v>20</v>
      </c>
      <c r="AA1" s="24">
        <f t="shared" si="0"/>
        <v>21</v>
      </c>
      <c r="AB1" s="24">
        <f t="shared" si="0"/>
        <v>22</v>
      </c>
      <c r="AC1" s="24">
        <f t="shared" si="0"/>
        <v>23</v>
      </c>
      <c r="AD1" s="24">
        <f t="shared" si="0"/>
        <v>24</v>
      </c>
      <c r="AE1" s="24">
        <f t="shared" si="0"/>
        <v>25</v>
      </c>
      <c r="AF1" s="24">
        <f t="shared" si="0"/>
        <v>26</v>
      </c>
      <c r="AG1" s="24">
        <f t="shared" si="0"/>
        <v>27</v>
      </c>
      <c r="AH1" s="24">
        <f t="shared" si="0"/>
        <v>28</v>
      </c>
      <c r="AI1" s="24">
        <f t="shared" si="0"/>
        <v>29</v>
      </c>
      <c r="AJ1" s="24">
        <f t="shared" si="0"/>
        <v>30</v>
      </c>
      <c r="AK1" s="24">
        <f t="shared" si="0"/>
        <v>31</v>
      </c>
    </row>
    <row r="2" spans="2:38" s="5" customFormat="1" ht="15" customHeight="1">
      <c r="B2" s="63"/>
      <c r="C2" s="66" t="s">
        <v>6</v>
      </c>
      <c r="D2" s="66" t="s">
        <v>0</v>
      </c>
      <c r="E2" s="66" t="s">
        <v>10</v>
      </c>
      <c r="F2" s="69" t="s">
        <v>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spans="2:38" s="3" customFormat="1" ht="158.25" customHeight="1">
      <c r="B3" s="64"/>
      <c r="C3" s="67"/>
      <c r="D3" s="67"/>
      <c r="E3" s="67"/>
      <c r="F3" s="70"/>
      <c r="G3" s="23" t="s">
        <v>32</v>
      </c>
      <c r="H3" s="23" t="s">
        <v>33</v>
      </c>
      <c r="I3" s="23" t="s">
        <v>34</v>
      </c>
      <c r="J3" s="23" t="s">
        <v>36</v>
      </c>
      <c r="K3" s="23" t="s">
        <v>35</v>
      </c>
      <c r="L3" s="23" t="s">
        <v>37</v>
      </c>
      <c r="M3" s="23" t="s">
        <v>38</v>
      </c>
      <c r="N3" s="23" t="s">
        <v>80</v>
      </c>
      <c r="O3" s="23" t="s">
        <v>41</v>
      </c>
      <c r="P3" s="23" t="s">
        <v>39</v>
      </c>
      <c r="Q3" s="23" t="s">
        <v>40</v>
      </c>
      <c r="R3" s="23" t="s">
        <v>42</v>
      </c>
      <c r="S3" s="23" t="s">
        <v>43</v>
      </c>
      <c r="T3" s="23" t="s">
        <v>44</v>
      </c>
      <c r="U3" s="23" t="s">
        <v>45</v>
      </c>
      <c r="V3" s="23" t="s">
        <v>46</v>
      </c>
      <c r="W3" s="23" t="s">
        <v>47</v>
      </c>
      <c r="X3" s="23" t="s">
        <v>48</v>
      </c>
      <c r="Y3" s="23" t="s">
        <v>50</v>
      </c>
      <c r="Z3" s="23" t="s">
        <v>51</v>
      </c>
      <c r="AA3" s="23" t="s">
        <v>52</v>
      </c>
      <c r="AB3" s="23" t="s">
        <v>49</v>
      </c>
      <c r="AC3" s="23" t="s">
        <v>53</v>
      </c>
      <c r="AD3" s="23" t="s">
        <v>54</v>
      </c>
      <c r="AE3" s="23" t="s">
        <v>55</v>
      </c>
      <c r="AF3" s="23" t="s">
        <v>83</v>
      </c>
      <c r="AG3" s="23" t="s">
        <v>56</v>
      </c>
      <c r="AH3" s="23" t="s">
        <v>58</v>
      </c>
      <c r="AI3" s="23" t="s">
        <v>81</v>
      </c>
      <c r="AJ3" s="23" t="s">
        <v>82</v>
      </c>
      <c r="AK3" s="23" t="s">
        <v>84</v>
      </c>
    </row>
    <row r="4" spans="2:38" s="1" customFormat="1" ht="12.75" customHeight="1">
      <c r="B4" s="64"/>
      <c r="C4" s="13"/>
      <c r="D4" s="67"/>
      <c r="E4" s="67"/>
      <c r="F4" s="15"/>
      <c r="G4" s="20">
        <f t="shared" ref="G4:AK4" si="1">COUNTA(G9:G53)</f>
        <v>1</v>
      </c>
      <c r="H4" s="20">
        <f t="shared" si="1"/>
        <v>14</v>
      </c>
      <c r="I4" s="20">
        <f t="shared" si="1"/>
        <v>3</v>
      </c>
      <c r="J4" s="20">
        <f t="shared" si="1"/>
        <v>1</v>
      </c>
      <c r="K4" s="20">
        <f t="shared" si="1"/>
        <v>1</v>
      </c>
      <c r="L4" s="20">
        <f t="shared" si="1"/>
        <v>7</v>
      </c>
      <c r="M4" s="20">
        <f t="shared" si="1"/>
        <v>6</v>
      </c>
      <c r="N4" s="20">
        <f t="shared" si="1"/>
        <v>5</v>
      </c>
      <c r="O4" s="20">
        <f t="shared" si="1"/>
        <v>6</v>
      </c>
      <c r="P4" s="20">
        <f t="shared" si="1"/>
        <v>6</v>
      </c>
      <c r="Q4" s="20">
        <f t="shared" si="1"/>
        <v>7</v>
      </c>
      <c r="R4" s="20">
        <f t="shared" si="1"/>
        <v>3</v>
      </c>
      <c r="S4" s="20">
        <f t="shared" si="1"/>
        <v>3</v>
      </c>
      <c r="T4" s="20">
        <f t="shared" si="1"/>
        <v>4</v>
      </c>
      <c r="U4" s="20">
        <f t="shared" si="1"/>
        <v>3</v>
      </c>
      <c r="V4" s="20">
        <f t="shared" si="1"/>
        <v>5</v>
      </c>
      <c r="W4" s="20">
        <f t="shared" si="1"/>
        <v>5</v>
      </c>
      <c r="X4" s="20">
        <f t="shared" si="1"/>
        <v>1</v>
      </c>
      <c r="Y4" s="20">
        <f t="shared" si="1"/>
        <v>1</v>
      </c>
      <c r="Z4" s="20">
        <f t="shared" si="1"/>
        <v>1</v>
      </c>
      <c r="AA4" s="20">
        <f t="shared" si="1"/>
        <v>2</v>
      </c>
      <c r="AB4" s="20">
        <f t="shared" si="1"/>
        <v>2</v>
      </c>
      <c r="AC4" s="20">
        <f t="shared" si="1"/>
        <v>5</v>
      </c>
      <c r="AD4" s="20">
        <f t="shared" si="1"/>
        <v>5</v>
      </c>
      <c r="AE4" s="20">
        <f t="shared" si="1"/>
        <v>1</v>
      </c>
      <c r="AF4" s="20">
        <f t="shared" si="1"/>
        <v>4</v>
      </c>
      <c r="AG4" s="20">
        <f t="shared" si="1"/>
        <v>4</v>
      </c>
      <c r="AH4" s="20">
        <f t="shared" si="1"/>
        <v>8</v>
      </c>
      <c r="AI4" s="20">
        <f t="shared" si="1"/>
        <v>1</v>
      </c>
      <c r="AJ4" s="20">
        <f t="shared" si="1"/>
        <v>2</v>
      </c>
      <c r="AK4" s="20">
        <f t="shared" si="1"/>
        <v>1</v>
      </c>
    </row>
    <row r="5" spans="2:38" s="1" customFormat="1" ht="12.75" customHeight="1">
      <c r="B5" s="64"/>
      <c r="C5" s="13"/>
      <c r="D5" s="67"/>
      <c r="E5" s="67"/>
      <c r="F5" s="25" t="s">
        <v>2</v>
      </c>
      <c r="G5" s="20">
        <f t="shared" ref="G5:AK5" si="2">COUNTIF(G9:G53,"*C*")</f>
        <v>0</v>
      </c>
      <c r="H5" s="20">
        <f t="shared" si="2"/>
        <v>0</v>
      </c>
      <c r="I5" s="20">
        <f t="shared" si="2"/>
        <v>0</v>
      </c>
      <c r="J5" s="20">
        <f t="shared" si="2"/>
        <v>0</v>
      </c>
      <c r="K5" s="20">
        <f t="shared" si="2"/>
        <v>0</v>
      </c>
      <c r="L5" s="20">
        <f t="shared" si="2"/>
        <v>0</v>
      </c>
      <c r="M5" s="20">
        <f t="shared" si="2"/>
        <v>0</v>
      </c>
      <c r="N5" s="20">
        <f t="shared" si="2"/>
        <v>0</v>
      </c>
      <c r="O5" s="20">
        <f t="shared" si="2"/>
        <v>0</v>
      </c>
      <c r="P5" s="20">
        <f t="shared" si="2"/>
        <v>0</v>
      </c>
      <c r="Q5" s="20">
        <f t="shared" si="2"/>
        <v>0</v>
      </c>
      <c r="R5" s="20">
        <f t="shared" si="2"/>
        <v>0</v>
      </c>
      <c r="S5" s="20">
        <f t="shared" si="2"/>
        <v>0</v>
      </c>
      <c r="T5" s="20">
        <f t="shared" si="2"/>
        <v>0</v>
      </c>
      <c r="U5" s="20">
        <f t="shared" si="2"/>
        <v>0</v>
      </c>
      <c r="V5" s="20">
        <f t="shared" si="2"/>
        <v>0</v>
      </c>
      <c r="W5" s="20">
        <f t="shared" si="2"/>
        <v>1</v>
      </c>
      <c r="X5" s="20">
        <f t="shared" si="2"/>
        <v>0</v>
      </c>
      <c r="Y5" s="20">
        <f t="shared" si="2"/>
        <v>0</v>
      </c>
      <c r="Z5" s="20">
        <f t="shared" si="2"/>
        <v>0</v>
      </c>
      <c r="AA5" s="20">
        <f t="shared" si="2"/>
        <v>0</v>
      </c>
      <c r="AB5" s="20">
        <f t="shared" si="2"/>
        <v>0</v>
      </c>
      <c r="AC5" s="20">
        <f t="shared" si="2"/>
        <v>0</v>
      </c>
      <c r="AD5" s="20">
        <f t="shared" si="2"/>
        <v>0</v>
      </c>
      <c r="AE5" s="20">
        <f t="shared" si="2"/>
        <v>0</v>
      </c>
      <c r="AF5" s="20">
        <f t="shared" si="2"/>
        <v>0</v>
      </c>
      <c r="AG5" s="20">
        <f t="shared" si="2"/>
        <v>0</v>
      </c>
      <c r="AH5" s="20">
        <f t="shared" si="2"/>
        <v>0</v>
      </c>
      <c r="AI5" s="20">
        <f t="shared" si="2"/>
        <v>0</v>
      </c>
      <c r="AJ5" s="20">
        <f t="shared" si="2"/>
        <v>0</v>
      </c>
      <c r="AK5" s="20">
        <f t="shared" si="2"/>
        <v>0</v>
      </c>
    </row>
    <row r="6" spans="2:38" s="1" customFormat="1" ht="12.75" customHeight="1">
      <c r="B6" s="64"/>
      <c r="C6" s="13"/>
      <c r="D6" s="67"/>
      <c r="E6" s="67"/>
      <c r="F6" s="25" t="s">
        <v>3</v>
      </c>
      <c r="G6" s="20">
        <f t="shared" ref="G6:AK6" si="3">COUNTIF(G9:G53,"*R*")</f>
        <v>1</v>
      </c>
      <c r="H6" s="20">
        <f t="shared" si="3"/>
        <v>14</v>
      </c>
      <c r="I6" s="20">
        <f t="shared" si="3"/>
        <v>3</v>
      </c>
      <c r="J6" s="20">
        <f t="shared" si="3"/>
        <v>1</v>
      </c>
      <c r="K6" s="20">
        <f t="shared" si="3"/>
        <v>1</v>
      </c>
      <c r="L6" s="20">
        <f t="shared" si="3"/>
        <v>7</v>
      </c>
      <c r="M6" s="20">
        <f t="shared" si="3"/>
        <v>6</v>
      </c>
      <c r="N6" s="20">
        <f t="shared" si="3"/>
        <v>5</v>
      </c>
      <c r="O6" s="20">
        <f t="shared" si="3"/>
        <v>6</v>
      </c>
      <c r="P6" s="20">
        <f t="shared" si="3"/>
        <v>6</v>
      </c>
      <c r="Q6" s="20">
        <f t="shared" si="3"/>
        <v>7</v>
      </c>
      <c r="R6" s="20">
        <f t="shared" si="3"/>
        <v>3</v>
      </c>
      <c r="S6" s="20">
        <f t="shared" si="3"/>
        <v>3</v>
      </c>
      <c r="T6" s="20">
        <f t="shared" si="3"/>
        <v>4</v>
      </c>
      <c r="U6" s="20">
        <f t="shared" si="3"/>
        <v>3</v>
      </c>
      <c r="V6" s="20">
        <f t="shared" si="3"/>
        <v>5</v>
      </c>
      <c r="W6" s="20">
        <f t="shared" si="3"/>
        <v>4</v>
      </c>
      <c r="X6" s="20">
        <f t="shared" si="3"/>
        <v>1</v>
      </c>
      <c r="Y6" s="20">
        <f t="shared" si="3"/>
        <v>1</v>
      </c>
      <c r="Z6" s="20">
        <f t="shared" si="3"/>
        <v>1</v>
      </c>
      <c r="AA6" s="20">
        <f t="shared" si="3"/>
        <v>2</v>
      </c>
      <c r="AB6" s="20">
        <f t="shared" si="3"/>
        <v>2</v>
      </c>
      <c r="AC6" s="20">
        <f t="shared" si="3"/>
        <v>5</v>
      </c>
      <c r="AD6" s="20">
        <f t="shared" si="3"/>
        <v>5</v>
      </c>
      <c r="AE6" s="20">
        <f t="shared" si="3"/>
        <v>1</v>
      </c>
      <c r="AF6" s="20">
        <f t="shared" si="3"/>
        <v>4</v>
      </c>
      <c r="AG6" s="20">
        <f t="shared" si="3"/>
        <v>4</v>
      </c>
      <c r="AH6" s="20">
        <f t="shared" si="3"/>
        <v>8</v>
      </c>
      <c r="AI6" s="20">
        <f t="shared" si="3"/>
        <v>1</v>
      </c>
      <c r="AJ6" s="20">
        <f t="shared" si="3"/>
        <v>2</v>
      </c>
      <c r="AK6" s="20">
        <f t="shared" si="3"/>
        <v>1</v>
      </c>
    </row>
    <row r="7" spans="2:38" s="1" customFormat="1" ht="12.75" customHeight="1">
      <c r="B7" s="64"/>
      <c r="C7" s="13"/>
      <c r="D7" s="67"/>
      <c r="E7" s="67"/>
      <c r="F7" s="25" t="s">
        <v>1</v>
      </c>
      <c r="G7" s="20">
        <f t="shared" ref="G7:AK7" si="4">COUNTIF(G9:G53,"*U*")</f>
        <v>0</v>
      </c>
      <c r="H7" s="20">
        <f t="shared" si="4"/>
        <v>0</v>
      </c>
      <c r="I7" s="20">
        <f t="shared" si="4"/>
        <v>0</v>
      </c>
      <c r="J7" s="20">
        <f t="shared" si="4"/>
        <v>0</v>
      </c>
      <c r="K7" s="20">
        <f t="shared" si="4"/>
        <v>0</v>
      </c>
      <c r="L7" s="20">
        <f t="shared" si="4"/>
        <v>0</v>
      </c>
      <c r="M7" s="20">
        <f t="shared" si="4"/>
        <v>0</v>
      </c>
      <c r="N7" s="20">
        <f t="shared" si="4"/>
        <v>0</v>
      </c>
      <c r="O7" s="20">
        <f t="shared" si="4"/>
        <v>0</v>
      </c>
      <c r="P7" s="20">
        <f t="shared" si="4"/>
        <v>0</v>
      </c>
      <c r="Q7" s="20">
        <f t="shared" si="4"/>
        <v>0</v>
      </c>
      <c r="R7" s="20">
        <f t="shared" si="4"/>
        <v>0</v>
      </c>
      <c r="S7" s="20">
        <f t="shared" si="4"/>
        <v>0</v>
      </c>
      <c r="T7" s="20">
        <f t="shared" si="4"/>
        <v>0</v>
      </c>
      <c r="U7" s="20">
        <f t="shared" si="4"/>
        <v>0</v>
      </c>
      <c r="V7" s="20">
        <f t="shared" si="4"/>
        <v>0</v>
      </c>
      <c r="W7" s="20">
        <f t="shared" si="4"/>
        <v>0</v>
      </c>
      <c r="X7" s="20">
        <f t="shared" si="4"/>
        <v>0</v>
      </c>
      <c r="Y7" s="20">
        <f t="shared" si="4"/>
        <v>0</v>
      </c>
      <c r="Z7" s="20">
        <f t="shared" si="4"/>
        <v>0</v>
      </c>
      <c r="AA7" s="20">
        <f t="shared" si="4"/>
        <v>0</v>
      </c>
      <c r="AB7" s="20">
        <f t="shared" si="4"/>
        <v>0</v>
      </c>
      <c r="AC7" s="20">
        <f t="shared" si="4"/>
        <v>0</v>
      </c>
      <c r="AD7" s="20">
        <f t="shared" si="4"/>
        <v>0</v>
      </c>
      <c r="AE7" s="20">
        <f t="shared" si="4"/>
        <v>0</v>
      </c>
      <c r="AF7" s="20">
        <f t="shared" si="4"/>
        <v>0</v>
      </c>
      <c r="AG7" s="20">
        <f t="shared" si="4"/>
        <v>0</v>
      </c>
      <c r="AH7" s="20">
        <f t="shared" si="4"/>
        <v>0</v>
      </c>
      <c r="AI7" s="20">
        <f t="shared" si="4"/>
        <v>0</v>
      </c>
      <c r="AJ7" s="20">
        <f t="shared" si="4"/>
        <v>0</v>
      </c>
      <c r="AK7" s="20">
        <f t="shared" si="4"/>
        <v>0</v>
      </c>
    </row>
    <row r="8" spans="2:38" s="1" customFormat="1" ht="12.75" customHeight="1">
      <c r="B8" s="65"/>
      <c r="C8" s="14"/>
      <c r="D8" s="68"/>
      <c r="E8" s="68"/>
      <c r="F8" s="25" t="s">
        <v>4</v>
      </c>
      <c r="G8" s="20">
        <f t="shared" ref="G8:AK8" si="5">COUNTIF(G9:G53,"*D*")</f>
        <v>0</v>
      </c>
      <c r="H8" s="20">
        <f t="shared" si="5"/>
        <v>0</v>
      </c>
      <c r="I8" s="20">
        <f t="shared" si="5"/>
        <v>0</v>
      </c>
      <c r="J8" s="20">
        <f t="shared" si="5"/>
        <v>0</v>
      </c>
      <c r="K8" s="20">
        <f t="shared" si="5"/>
        <v>0</v>
      </c>
      <c r="L8" s="20">
        <f t="shared" si="5"/>
        <v>0</v>
      </c>
      <c r="M8" s="20">
        <f t="shared" si="5"/>
        <v>0</v>
      </c>
      <c r="N8" s="20">
        <f>COUNTIF(N9:N53,"*D*")</f>
        <v>0</v>
      </c>
      <c r="O8" s="20">
        <f t="shared" si="5"/>
        <v>0</v>
      </c>
      <c r="P8" s="20">
        <f t="shared" si="5"/>
        <v>0</v>
      </c>
      <c r="Q8" s="20">
        <f t="shared" si="5"/>
        <v>0</v>
      </c>
      <c r="R8" s="20">
        <f t="shared" si="5"/>
        <v>0</v>
      </c>
      <c r="S8" s="20">
        <f t="shared" si="5"/>
        <v>0</v>
      </c>
      <c r="T8" s="20">
        <f t="shared" si="5"/>
        <v>0</v>
      </c>
      <c r="U8" s="20">
        <f t="shared" si="5"/>
        <v>0</v>
      </c>
      <c r="V8" s="20">
        <f t="shared" si="5"/>
        <v>0</v>
      </c>
      <c r="W8" s="20">
        <f t="shared" si="5"/>
        <v>0</v>
      </c>
      <c r="X8" s="20">
        <f t="shared" si="5"/>
        <v>0</v>
      </c>
      <c r="Y8" s="20">
        <f t="shared" si="5"/>
        <v>0</v>
      </c>
      <c r="Z8" s="20">
        <f t="shared" si="5"/>
        <v>0</v>
      </c>
      <c r="AA8" s="20">
        <f t="shared" si="5"/>
        <v>0</v>
      </c>
      <c r="AB8" s="20">
        <f t="shared" si="5"/>
        <v>0</v>
      </c>
      <c r="AC8" s="20">
        <f t="shared" si="5"/>
        <v>0</v>
      </c>
      <c r="AD8" s="20">
        <f t="shared" si="5"/>
        <v>0</v>
      </c>
      <c r="AE8" s="20">
        <f t="shared" si="5"/>
        <v>0</v>
      </c>
      <c r="AF8" s="20">
        <f t="shared" si="5"/>
        <v>0</v>
      </c>
      <c r="AG8" s="20">
        <f t="shared" si="5"/>
        <v>0</v>
      </c>
      <c r="AH8" s="20">
        <f t="shared" si="5"/>
        <v>0</v>
      </c>
      <c r="AI8" s="20">
        <f t="shared" si="5"/>
        <v>0</v>
      </c>
      <c r="AJ8" s="20">
        <f t="shared" si="5"/>
        <v>0</v>
      </c>
      <c r="AK8" s="20">
        <f t="shared" si="5"/>
        <v>0</v>
      </c>
    </row>
    <row r="9" spans="2:38" ht="30" customHeight="1">
      <c r="B9" s="19">
        <f>ROW()-8</f>
        <v>1</v>
      </c>
      <c r="C9" s="16" t="s">
        <v>8</v>
      </c>
      <c r="D9" s="17" t="s">
        <v>12</v>
      </c>
      <c r="E9" s="17" t="s">
        <v>13</v>
      </c>
      <c r="F9" s="21"/>
      <c r="G9" s="21" t="s">
        <v>3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"/>
    </row>
    <row r="10" spans="2:38" ht="30" customHeight="1">
      <c r="B10" s="19">
        <f t="shared" ref="B10:B51" si="6">ROW()-8</f>
        <v>2</v>
      </c>
      <c r="C10" s="16"/>
      <c r="D10" s="17" t="s">
        <v>12</v>
      </c>
      <c r="E10" s="17" t="s">
        <v>14</v>
      </c>
      <c r="F10" s="21"/>
      <c r="G10" s="21"/>
      <c r="H10" s="21" t="s">
        <v>3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"/>
    </row>
    <row r="11" spans="2:38" ht="30" customHeight="1">
      <c r="B11" s="19">
        <f t="shared" si="6"/>
        <v>3</v>
      </c>
      <c r="C11" s="16"/>
      <c r="D11" s="17" t="s">
        <v>12</v>
      </c>
      <c r="E11" s="17" t="s">
        <v>15</v>
      </c>
      <c r="F11" s="21"/>
      <c r="G11" s="21"/>
      <c r="H11" s="21"/>
      <c r="I11" s="21" t="s">
        <v>3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"/>
    </row>
    <row r="12" spans="2:38" ht="30" customHeight="1">
      <c r="B12" s="19">
        <f t="shared" si="6"/>
        <v>4</v>
      </c>
      <c r="C12" s="16"/>
      <c r="D12" s="17" t="s">
        <v>12</v>
      </c>
      <c r="E12" s="17" t="s">
        <v>16</v>
      </c>
      <c r="F12" s="21"/>
      <c r="G12" s="21"/>
      <c r="H12" s="21"/>
      <c r="I12" s="21"/>
      <c r="J12" s="21" t="s">
        <v>3</v>
      </c>
      <c r="K12" s="21" t="s">
        <v>3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"/>
    </row>
    <row r="13" spans="2:38" ht="30" customHeight="1">
      <c r="B13" s="19">
        <f t="shared" si="6"/>
        <v>5</v>
      </c>
      <c r="C13" s="16"/>
      <c r="D13" s="17" t="s">
        <v>12</v>
      </c>
      <c r="E13" s="17" t="s">
        <v>17</v>
      </c>
      <c r="F13" s="21"/>
      <c r="G13" s="21"/>
      <c r="H13" s="21"/>
      <c r="I13" s="21"/>
      <c r="J13" s="21"/>
      <c r="K13" s="21"/>
      <c r="L13" s="21" t="s">
        <v>3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"/>
    </row>
    <row r="14" spans="2:38" ht="30" customHeight="1">
      <c r="B14" s="19">
        <f t="shared" si="6"/>
        <v>6</v>
      </c>
      <c r="C14" s="16"/>
      <c r="D14" s="17" t="s">
        <v>12</v>
      </c>
      <c r="E14" s="17" t="s">
        <v>18</v>
      </c>
      <c r="F14" s="21"/>
      <c r="G14" s="21"/>
      <c r="H14" s="21"/>
      <c r="I14" s="21"/>
      <c r="J14" s="21"/>
      <c r="K14" s="21"/>
      <c r="L14" s="21" t="s">
        <v>3</v>
      </c>
      <c r="M14" s="21" t="s">
        <v>3</v>
      </c>
      <c r="N14" s="21"/>
      <c r="O14" s="21" t="s">
        <v>3</v>
      </c>
      <c r="P14" s="21" t="s">
        <v>3</v>
      </c>
      <c r="Q14" s="21" t="s">
        <v>3</v>
      </c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"/>
    </row>
    <row r="15" spans="2:38" ht="30" customHeight="1">
      <c r="B15" s="19">
        <f t="shared" si="6"/>
        <v>7</v>
      </c>
      <c r="C15" s="16"/>
      <c r="D15" s="17" t="s">
        <v>12</v>
      </c>
      <c r="E15" s="17" t="s">
        <v>19</v>
      </c>
      <c r="F15" s="21"/>
      <c r="G15" s="21"/>
      <c r="H15" s="21"/>
      <c r="I15" s="21" t="s">
        <v>3</v>
      </c>
      <c r="J15" s="21"/>
      <c r="K15" s="21"/>
      <c r="L15" s="21"/>
      <c r="M15" s="21"/>
      <c r="N15" s="21"/>
      <c r="O15" s="21"/>
      <c r="P15" s="21"/>
      <c r="Q15" s="21"/>
      <c r="R15" s="21" t="s">
        <v>3</v>
      </c>
      <c r="S15" s="21" t="s">
        <v>3</v>
      </c>
      <c r="T15" s="21" t="s">
        <v>3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3</v>
      </c>
      <c r="AI15" s="21"/>
      <c r="AJ15" s="21"/>
      <c r="AK15" s="21"/>
      <c r="AL15" s="2"/>
    </row>
    <row r="16" spans="2:38" ht="30" customHeight="1">
      <c r="B16" s="19">
        <f t="shared" si="6"/>
        <v>8</v>
      </c>
      <c r="C16" s="16"/>
      <c r="D16" s="17" t="s">
        <v>12</v>
      </c>
      <c r="E16" s="17" t="s">
        <v>20</v>
      </c>
      <c r="F16" s="21"/>
      <c r="G16" s="21"/>
      <c r="H16" s="21" t="s">
        <v>3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 t="s">
        <v>3</v>
      </c>
      <c r="V16" s="21" t="s">
        <v>3</v>
      </c>
      <c r="W16" s="21" t="s">
        <v>3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"/>
    </row>
    <row r="17" spans="2:38" ht="30" customHeight="1">
      <c r="B17" s="19">
        <f t="shared" si="6"/>
        <v>9</v>
      </c>
      <c r="C17" s="16"/>
      <c r="D17" s="17" t="s">
        <v>12</v>
      </c>
      <c r="E17" s="17" t="s">
        <v>21</v>
      </c>
      <c r="F17" s="21"/>
      <c r="G17" s="21"/>
      <c r="H17" s="21" t="s">
        <v>3</v>
      </c>
      <c r="I17" s="21"/>
      <c r="J17" s="21"/>
      <c r="K17" s="21"/>
      <c r="L17" s="21"/>
      <c r="M17" s="21"/>
      <c r="N17" s="21"/>
      <c r="O17" s="21"/>
      <c r="P17" s="21"/>
      <c r="Q17" s="21" t="s">
        <v>3</v>
      </c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"/>
    </row>
    <row r="18" spans="2:38" ht="29.65" customHeight="1">
      <c r="B18" s="19">
        <f t="shared" si="6"/>
        <v>10</v>
      </c>
      <c r="C18" s="16"/>
      <c r="D18" s="17" t="s">
        <v>12</v>
      </c>
      <c r="E18" s="17" t="s">
        <v>22</v>
      </c>
      <c r="F18" s="21"/>
      <c r="G18" s="21"/>
      <c r="H18" s="21" t="s">
        <v>3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 t="s">
        <v>3</v>
      </c>
      <c r="Y18" s="21"/>
      <c r="Z18" s="21"/>
      <c r="AA18" s="21"/>
      <c r="AB18" s="21" t="s">
        <v>3</v>
      </c>
      <c r="AC18" s="21"/>
      <c r="AD18" s="21"/>
      <c r="AE18" s="21"/>
      <c r="AF18" s="21"/>
      <c r="AG18" s="21"/>
      <c r="AH18" s="21"/>
      <c r="AI18" s="21"/>
      <c r="AJ18" s="21"/>
      <c r="AK18" s="21"/>
      <c r="AL18" s="2"/>
    </row>
    <row r="19" spans="2:38" ht="29.65" customHeight="1">
      <c r="B19" s="19">
        <f t="shared" si="6"/>
        <v>11</v>
      </c>
      <c r="C19" s="16"/>
      <c r="D19" s="17" t="s">
        <v>12</v>
      </c>
      <c r="E19" s="17" t="s">
        <v>57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 t="s">
        <v>3</v>
      </c>
      <c r="S19" s="21" t="s">
        <v>3</v>
      </c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"/>
    </row>
    <row r="20" spans="2:38" ht="30" customHeight="1">
      <c r="B20" s="19">
        <f t="shared" si="6"/>
        <v>12</v>
      </c>
      <c r="C20" s="16"/>
      <c r="D20" s="17" t="s">
        <v>12</v>
      </c>
      <c r="E20" s="17" t="s">
        <v>23</v>
      </c>
      <c r="F20" s="21"/>
      <c r="G20" s="21"/>
      <c r="H20" s="21" t="s">
        <v>3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 t="s">
        <v>3</v>
      </c>
      <c r="W20" s="21"/>
      <c r="X20" s="21"/>
      <c r="Y20" s="21" t="s">
        <v>3</v>
      </c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"/>
    </row>
    <row r="21" spans="2:38" ht="30" customHeight="1">
      <c r="B21" s="19">
        <f t="shared" si="6"/>
        <v>13</v>
      </c>
      <c r="C21" s="16"/>
      <c r="D21" s="17" t="s">
        <v>12</v>
      </c>
      <c r="E21" s="17" t="s">
        <v>24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 t="s">
        <v>3</v>
      </c>
      <c r="AA21" s="21" t="s">
        <v>3</v>
      </c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"/>
    </row>
    <row r="22" spans="2:38" ht="30" customHeight="1">
      <c r="B22" s="19">
        <f t="shared" si="6"/>
        <v>14</v>
      </c>
      <c r="C22" s="18"/>
      <c r="D22" s="17" t="s">
        <v>12</v>
      </c>
      <c r="E22" s="16" t="s">
        <v>25</v>
      </c>
      <c r="F22" s="22"/>
      <c r="G22" s="21"/>
      <c r="H22" s="21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1" t="s">
        <v>3</v>
      </c>
      <c r="AB22" s="21" t="s">
        <v>3</v>
      </c>
      <c r="AC22" s="22"/>
      <c r="AD22" s="22"/>
      <c r="AE22" s="22"/>
      <c r="AF22" s="22"/>
      <c r="AG22" s="22"/>
      <c r="AH22" s="22"/>
      <c r="AI22" s="22"/>
      <c r="AJ22" s="22"/>
      <c r="AK22" s="22"/>
      <c r="AL22" s="2"/>
    </row>
    <row r="23" spans="2:38" ht="30" customHeight="1">
      <c r="B23" s="19">
        <f t="shared" si="6"/>
        <v>15</v>
      </c>
      <c r="C23" s="18"/>
      <c r="D23" s="17" t="s">
        <v>12</v>
      </c>
      <c r="E23" s="16" t="s">
        <v>26</v>
      </c>
      <c r="F23" s="22"/>
      <c r="G23" s="21"/>
      <c r="H23" s="21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1" t="s">
        <v>3</v>
      </c>
      <c r="AD23" s="22"/>
      <c r="AE23" s="22"/>
      <c r="AF23" s="22"/>
      <c r="AG23" s="22"/>
      <c r="AH23" s="22"/>
      <c r="AI23" s="22"/>
      <c r="AJ23" s="22"/>
      <c r="AK23" s="22"/>
      <c r="AL23" s="2"/>
    </row>
    <row r="24" spans="2:38" ht="30" customHeight="1">
      <c r="B24" s="19">
        <f t="shared" si="6"/>
        <v>16</v>
      </c>
      <c r="C24" s="18"/>
      <c r="D24" s="17" t="s">
        <v>12</v>
      </c>
      <c r="E24" s="16" t="s">
        <v>27</v>
      </c>
      <c r="F24" s="22"/>
      <c r="G24" s="21"/>
      <c r="H24" s="21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1" t="s">
        <v>3</v>
      </c>
      <c r="AE24" s="22"/>
      <c r="AF24" s="22"/>
      <c r="AG24" s="22"/>
      <c r="AH24" s="22"/>
      <c r="AI24" s="22"/>
      <c r="AJ24" s="22"/>
      <c r="AK24" s="22"/>
      <c r="AL24" s="2"/>
    </row>
    <row r="25" spans="2:38" ht="30" customHeight="1">
      <c r="B25" s="19">
        <f t="shared" si="6"/>
        <v>17</v>
      </c>
      <c r="C25" s="18"/>
      <c r="D25" s="17" t="s">
        <v>12</v>
      </c>
      <c r="E25" s="16" t="s">
        <v>28</v>
      </c>
      <c r="F25" s="22"/>
      <c r="G25" s="21"/>
      <c r="H25" s="21" t="s">
        <v>3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1" t="s">
        <v>3</v>
      </c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"/>
    </row>
    <row r="26" spans="2:38" ht="30" customHeight="1">
      <c r="B26" s="19">
        <f t="shared" si="6"/>
        <v>18</v>
      </c>
      <c r="C26" s="18"/>
      <c r="D26" s="17" t="s">
        <v>12</v>
      </c>
      <c r="E26" s="16" t="s">
        <v>29</v>
      </c>
      <c r="F26" s="22"/>
      <c r="G26" s="21"/>
      <c r="H26" s="21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1" t="s">
        <v>3</v>
      </c>
      <c r="AF26" s="22"/>
      <c r="AG26" s="22"/>
      <c r="AH26" s="22"/>
      <c r="AI26" s="22"/>
      <c r="AJ26" s="22"/>
      <c r="AK26" s="22"/>
      <c r="AL26" s="2"/>
    </row>
    <row r="27" spans="2:38" ht="30" customHeight="1">
      <c r="B27" s="19">
        <f t="shared" si="6"/>
        <v>19</v>
      </c>
      <c r="C27" s="18"/>
      <c r="D27" s="17" t="s">
        <v>12</v>
      </c>
      <c r="E27" s="16" t="s">
        <v>59</v>
      </c>
      <c r="F27" s="22"/>
      <c r="G27" s="21"/>
      <c r="H27" s="21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1"/>
      <c r="AF27" s="21" t="s">
        <v>3</v>
      </c>
      <c r="AG27" s="22"/>
      <c r="AH27" s="22"/>
      <c r="AI27" s="22"/>
      <c r="AJ27" s="22"/>
      <c r="AK27" s="22"/>
      <c r="AL27" s="2"/>
    </row>
    <row r="28" spans="2:38" ht="30" customHeight="1">
      <c r="B28" s="19">
        <f t="shared" si="6"/>
        <v>20</v>
      </c>
      <c r="C28" s="18"/>
      <c r="D28" s="17" t="s">
        <v>12</v>
      </c>
      <c r="E28" s="16" t="s">
        <v>30</v>
      </c>
      <c r="F28" s="22"/>
      <c r="G28" s="21"/>
      <c r="H28" s="21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1" t="s">
        <v>3</v>
      </c>
      <c r="AH28" s="22"/>
      <c r="AI28" s="22"/>
      <c r="AJ28" s="22"/>
      <c r="AK28" s="22"/>
      <c r="AL28" s="2"/>
    </row>
    <row r="29" spans="2:38" ht="30" customHeight="1">
      <c r="B29" s="19">
        <f t="shared" si="6"/>
        <v>21</v>
      </c>
      <c r="C29" s="18"/>
      <c r="D29" s="17" t="s">
        <v>12</v>
      </c>
      <c r="E29" s="16" t="s">
        <v>31</v>
      </c>
      <c r="F29" s="22"/>
      <c r="G29" s="21"/>
      <c r="H29" s="21" t="s">
        <v>3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1" t="s">
        <v>3</v>
      </c>
      <c r="W29" s="21" t="s">
        <v>3</v>
      </c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"/>
    </row>
    <row r="30" spans="2:38" ht="30" customHeight="1">
      <c r="B30" s="19">
        <f t="shared" si="6"/>
        <v>22</v>
      </c>
      <c r="C30" s="18"/>
      <c r="D30" s="17" t="s">
        <v>12</v>
      </c>
      <c r="E30" s="16" t="s">
        <v>60</v>
      </c>
      <c r="F30" s="22"/>
      <c r="G30" s="21"/>
      <c r="H30" s="21" t="s">
        <v>3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"/>
    </row>
    <row r="31" spans="2:38" ht="30" customHeight="1">
      <c r="B31" s="19">
        <f t="shared" si="6"/>
        <v>23</v>
      </c>
      <c r="C31" s="18"/>
      <c r="D31" s="17" t="s">
        <v>12</v>
      </c>
      <c r="E31" s="16" t="s">
        <v>61</v>
      </c>
      <c r="F31" s="22"/>
      <c r="G31" s="21"/>
      <c r="H31" s="21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 t="s">
        <v>3</v>
      </c>
      <c r="AD31" s="22"/>
      <c r="AE31" s="22"/>
      <c r="AF31" s="22"/>
      <c r="AG31" s="22"/>
      <c r="AH31" s="22"/>
      <c r="AI31" s="22"/>
      <c r="AJ31" s="22"/>
      <c r="AK31" s="22"/>
      <c r="AL31" s="2"/>
    </row>
    <row r="32" spans="2:38" ht="30" customHeight="1">
      <c r="B32" s="19">
        <f t="shared" si="6"/>
        <v>24</v>
      </c>
      <c r="C32" s="18"/>
      <c r="D32" s="17" t="s">
        <v>12</v>
      </c>
      <c r="E32" s="16" t="s">
        <v>62</v>
      </c>
      <c r="F32" s="22"/>
      <c r="G32" s="21"/>
      <c r="H32" s="21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 t="s">
        <v>3</v>
      </c>
      <c r="AJ32" s="22"/>
      <c r="AK32" s="22"/>
      <c r="AL32" s="2"/>
    </row>
    <row r="33" spans="2:38" ht="30" customHeight="1">
      <c r="B33" s="19">
        <f t="shared" si="6"/>
        <v>25</v>
      </c>
      <c r="C33" s="18"/>
      <c r="D33" s="17" t="s">
        <v>12</v>
      </c>
      <c r="E33" s="16" t="s">
        <v>63</v>
      </c>
      <c r="F33" s="22"/>
      <c r="G33" s="21"/>
      <c r="H33" s="21" t="s">
        <v>3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 t="s">
        <v>3</v>
      </c>
      <c r="V33" s="22" t="s">
        <v>3</v>
      </c>
      <c r="W33" s="22" t="s">
        <v>3</v>
      </c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"/>
    </row>
    <row r="34" spans="2:38" ht="30" customHeight="1">
      <c r="B34" s="19">
        <f t="shared" si="6"/>
        <v>26</v>
      </c>
      <c r="C34" s="18"/>
      <c r="D34" s="17" t="s">
        <v>12</v>
      </c>
      <c r="E34" s="16" t="s">
        <v>64</v>
      </c>
      <c r="F34" s="22"/>
      <c r="G34" s="21"/>
      <c r="H34" s="21" t="s">
        <v>3</v>
      </c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 t="s">
        <v>3</v>
      </c>
      <c r="V34" s="22" t="s">
        <v>3</v>
      </c>
      <c r="W34" s="22" t="s">
        <v>2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"/>
    </row>
    <row r="35" spans="2:38" ht="30" customHeight="1">
      <c r="B35" s="19">
        <f t="shared" si="6"/>
        <v>27</v>
      </c>
      <c r="C35" s="18"/>
      <c r="D35" s="17" t="s">
        <v>12</v>
      </c>
      <c r="E35" s="16" t="s">
        <v>65</v>
      </c>
      <c r="F35" s="22"/>
      <c r="G35" s="21"/>
      <c r="H35" s="21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 t="s">
        <v>3</v>
      </c>
      <c r="AK35" s="22"/>
      <c r="AL35" s="2"/>
    </row>
    <row r="36" spans="2:38" ht="30" customHeight="1">
      <c r="B36" s="19">
        <f t="shared" si="6"/>
        <v>28</v>
      </c>
      <c r="C36" s="18"/>
      <c r="D36" s="17" t="s">
        <v>12</v>
      </c>
      <c r="E36" s="16" t="s">
        <v>66</v>
      </c>
      <c r="F36" s="22"/>
      <c r="G36" s="21"/>
      <c r="H36" s="21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"/>
    </row>
    <row r="37" spans="2:38" ht="30" customHeight="1">
      <c r="B37" s="19">
        <f t="shared" si="6"/>
        <v>29</v>
      </c>
      <c r="C37" s="18"/>
      <c r="D37" s="17" t="s">
        <v>12</v>
      </c>
      <c r="E37" s="16" t="s">
        <v>67</v>
      </c>
      <c r="F37" s="22"/>
      <c r="G37" s="21"/>
      <c r="H37" s="21"/>
      <c r="I37" s="22"/>
      <c r="J37" s="22"/>
      <c r="K37" s="22"/>
      <c r="L37" s="22" t="s">
        <v>3</v>
      </c>
      <c r="M37" s="22" t="s">
        <v>3</v>
      </c>
      <c r="N37" s="22" t="s">
        <v>3</v>
      </c>
      <c r="O37" s="22" t="s">
        <v>3</v>
      </c>
      <c r="P37" s="22" t="s">
        <v>3</v>
      </c>
      <c r="Q37" s="22" t="s">
        <v>3</v>
      </c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 t="s">
        <v>3</v>
      </c>
      <c r="AD37" s="22" t="s">
        <v>3</v>
      </c>
      <c r="AE37" s="22"/>
      <c r="AF37" s="22"/>
      <c r="AG37" s="22"/>
      <c r="AH37" s="22" t="s">
        <v>3</v>
      </c>
      <c r="AI37" s="22"/>
      <c r="AJ37" s="22"/>
      <c r="AK37" s="22"/>
      <c r="AL37" s="2"/>
    </row>
    <row r="38" spans="2:38" ht="30" customHeight="1">
      <c r="B38" s="19">
        <f t="shared" si="6"/>
        <v>30</v>
      </c>
      <c r="C38" s="18"/>
      <c r="D38" s="17" t="s">
        <v>12</v>
      </c>
      <c r="E38" s="16" t="s">
        <v>68</v>
      </c>
      <c r="F38" s="22"/>
      <c r="G38" s="21"/>
      <c r="H38" s="21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"/>
    </row>
    <row r="39" spans="2:38" ht="30" customHeight="1">
      <c r="B39" s="19">
        <f t="shared" si="6"/>
        <v>31</v>
      </c>
      <c r="C39" s="18"/>
      <c r="D39" s="17" t="s">
        <v>12</v>
      </c>
      <c r="E39" s="16" t="s">
        <v>69</v>
      </c>
      <c r="F39" s="22"/>
      <c r="G39" s="21"/>
      <c r="H39" s="21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 t="s">
        <v>3</v>
      </c>
      <c r="AK39" s="22"/>
      <c r="AL39" s="2"/>
    </row>
    <row r="40" spans="2:38" ht="30" customHeight="1">
      <c r="B40" s="19">
        <f t="shared" si="6"/>
        <v>32</v>
      </c>
      <c r="C40" s="18"/>
      <c r="D40" s="17" t="s">
        <v>12</v>
      </c>
      <c r="E40" s="16" t="s">
        <v>70</v>
      </c>
      <c r="F40" s="22"/>
      <c r="G40" s="21"/>
      <c r="H40" s="21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 t="s">
        <v>3</v>
      </c>
      <c r="AD40" s="22"/>
      <c r="AE40" s="22"/>
      <c r="AF40" s="22"/>
      <c r="AG40" s="22"/>
      <c r="AH40" s="22" t="s">
        <v>3</v>
      </c>
      <c r="AI40" s="22"/>
      <c r="AJ40" s="22"/>
      <c r="AK40" s="22"/>
      <c r="AL40" s="2"/>
    </row>
    <row r="41" spans="2:38" ht="30" customHeight="1">
      <c r="B41" s="19">
        <f t="shared" si="6"/>
        <v>33</v>
      </c>
      <c r="C41" s="18"/>
      <c r="D41" s="17" t="s">
        <v>12</v>
      </c>
      <c r="E41" s="16" t="s">
        <v>71</v>
      </c>
      <c r="F41" s="22"/>
      <c r="G41" s="21"/>
      <c r="H41" s="21" t="s">
        <v>3</v>
      </c>
      <c r="I41" s="22"/>
      <c r="J41" s="22"/>
      <c r="K41" s="22"/>
      <c r="L41" s="22" t="s">
        <v>3</v>
      </c>
      <c r="M41" s="22" t="s">
        <v>3</v>
      </c>
      <c r="N41" s="22" t="s">
        <v>3</v>
      </c>
      <c r="O41" s="22" t="s">
        <v>3</v>
      </c>
      <c r="P41" s="22" t="s">
        <v>3</v>
      </c>
      <c r="Q41" s="22" t="s">
        <v>3</v>
      </c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 t="s">
        <v>3</v>
      </c>
      <c r="AI41" s="22"/>
      <c r="AJ41" s="22"/>
      <c r="AK41" s="22"/>
      <c r="AL41" s="2"/>
    </row>
    <row r="42" spans="2:38" ht="30" customHeight="1">
      <c r="B42" s="19">
        <f t="shared" si="6"/>
        <v>34</v>
      </c>
      <c r="C42" s="18"/>
      <c r="D42" s="17" t="s">
        <v>12</v>
      </c>
      <c r="E42" s="16" t="s">
        <v>72</v>
      </c>
      <c r="F42" s="22"/>
      <c r="G42" s="21"/>
      <c r="H42" s="21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 t="s">
        <v>3</v>
      </c>
      <c r="AG42" s="22"/>
      <c r="AH42" s="22"/>
      <c r="AI42" s="22"/>
      <c r="AJ42" s="22"/>
      <c r="AK42" s="22"/>
      <c r="AL42" s="2"/>
    </row>
    <row r="43" spans="2:38" ht="30" customHeight="1">
      <c r="B43" s="19">
        <f t="shared" si="6"/>
        <v>35</v>
      </c>
      <c r="C43" s="18"/>
      <c r="D43" s="17" t="s">
        <v>12</v>
      </c>
      <c r="E43" s="16" t="s">
        <v>73</v>
      </c>
      <c r="F43" s="22"/>
      <c r="G43" s="21"/>
      <c r="H43" s="21" t="s">
        <v>3</v>
      </c>
      <c r="I43" s="22"/>
      <c r="J43" s="22"/>
      <c r="K43" s="22"/>
      <c r="L43" s="22" t="s">
        <v>3</v>
      </c>
      <c r="M43" s="22" t="s">
        <v>3</v>
      </c>
      <c r="N43" s="22" t="s">
        <v>3</v>
      </c>
      <c r="O43" s="22" t="s">
        <v>3</v>
      </c>
      <c r="P43" s="22" t="s">
        <v>3</v>
      </c>
      <c r="Q43" s="22" t="s">
        <v>3</v>
      </c>
      <c r="R43" s="22"/>
      <c r="S43" s="22"/>
      <c r="T43" s="22" t="s">
        <v>3</v>
      </c>
      <c r="U43" s="22"/>
      <c r="V43" s="22"/>
      <c r="W43" s="22"/>
      <c r="X43" s="22"/>
      <c r="Y43" s="22"/>
      <c r="Z43" s="22"/>
      <c r="AA43" s="22"/>
      <c r="AB43" s="22"/>
      <c r="AC43" s="22"/>
      <c r="AD43" s="22" t="s">
        <v>3</v>
      </c>
      <c r="AE43" s="22"/>
      <c r="AF43" s="22"/>
      <c r="AG43" s="22" t="s">
        <v>3</v>
      </c>
      <c r="AH43" s="22" t="s">
        <v>3</v>
      </c>
      <c r="AI43" s="22"/>
      <c r="AJ43" s="22"/>
      <c r="AK43" s="22"/>
      <c r="AL43" s="2"/>
    </row>
    <row r="44" spans="2:38" ht="30" customHeight="1">
      <c r="B44" s="19">
        <f t="shared" si="6"/>
        <v>36</v>
      </c>
      <c r="C44" s="18"/>
      <c r="D44" s="17" t="s">
        <v>12</v>
      </c>
      <c r="E44" s="16" t="s">
        <v>74</v>
      </c>
      <c r="F44" s="22"/>
      <c r="G44" s="21"/>
      <c r="H44" s="21" t="s">
        <v>3</v>
      </c>
      <c r="I44" s="22"/>
      <c r="J44" s="22"/>
      <c r="K44" s="22"/>
      <c r="L44" s="22" t="s">
        <v>3</v>
      </c>
      <c r="M44" s="22" t="s">
        <v>3</v>
      </c>
      <c r="N44" s="22" t="s">
        <v>3</v>
      </c>
      <c r="O44" s="22" t="s">
        <v>3</v>
      </c>
      <c r="P44" s="22" t="s">
        <v>3</v>
      </c>
      <c r="Q44" s="22" t="s">
        <v>3</v>
      </c>
      <c r="R44" s="22" t="s">
        <v>3</v>
      </c>
      <c r="S44" s="22" t="s">
        <v>3</v>
      </c>
      <c r="T44" s="22" t="s">
        <v>3</v>
      </c>
      <c r="U44" s="22"/>
      <c r="V44" s="22"/>
      <c r="W44" s="22"/>
      <c r="X44" s="22"/>
      <c r="Y44" s="22"/>
      <c r="Z44" s="22"/>
      <c r="AA44" s="22"/>
      <c r="AB44" s="22"/>
      <c r="AC44" s="22"/>
      <c r="AD44" s="22" t="s">
        <v>3</v>
      </c>
      <c r="AE44" s="22"/>
      <c r="AF44" s="22"/>
      <c r="AG44" s="22" t="s">
        <v>3</v>
      </c>
      <c r="AH44" s="22" t="s">
        <v>3</v>
      </c>
      <c r="AI44" s="22"/>
      <c r="AJ44" s="22"/>
      <c r="AK44" s="22"/>
      <c r="AL44" s="2"/>
    </row>
    <row r="45" spans="2:38" ht="30" customHeight="1">
      <c r="B45" s="19">
        <f t="shared" si="6"/>
        <v>37</v>
      </c>
      <c r="C45" s="18"/>
      <c r="D45" s="17" t="s">
        <v>12</v>
      </c>
      <c r="E45" s="16" t="s">
        <v>75</v>
      </c>
      <c r="F45" s="22"/>
      <c r="G45" s="21"/>
      <c r="H45" s="21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 t="s">
        <v>3</v>
      </c>
      <c r="AI45" s="22"/>
      <c r="AJ45" s="22"/>
      <c r="AK45" s="22"/>
      <c r="AL45" s="2"/>
    </row>
    <row r="46" spans="2:38" ht="30" customHeight="1">
      <c r="B46" s="19">
        <f t="shared" si="6"/>
        <v>38</v>
      </c>
      <c r="C46" s="18"/>
      <c r="D46" s="17" t="s">
        <v>12</v>
      </c>
      <c r="E46" s="16" t="s">
        <v>76</v>
      </c>
      <c r="F46" s="22"/>
      <c r="G46" s="21"/>
      <c r="H46" s="21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"/>
    </row>
    <row r="47" spans="2:38" ht="30" customHeight="1">
      <c r="B47" s="19">
        <f t="shared" si="6"/>
        <v>39</v>
      </c>
      <c r="C47" s="18"/>
      <c r="D47" s="17" t="s">
        <v>12</v>
      </c>
      <c r="E47" s="16" t="s">
        <v>77</v>
      </c>
      <c r="F47" s="22"/>
      <c r="G47" s="21"/>
      <c r="H47" s="21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 t="s">
        <v>3</v>
      </c>
      <c r="AG47" s="22"/>
      <c r="AH47" s="22"/>
      <c r="AI47" s="22"/>
      <c r="AJ47" s="22"/>
      <c r="AK47" s="22"/>
      <c r="AL47" s="2"/>
    </row>
    <row r="48" spans="2:38" ht="30" customHeight="1">
      <c r="B48" s="19">
        <f t="shared" si="6"/>
        <v>40</v>
      </c>
      <c r="C48" s="18"/>
      <c r="D48" s="17" t="s">
        <v>12</v>
      </c>
      <c r="E48" s="16" t="s">
        <v>78</v>
      </c>
      <c r="F48" s="22"/>
      <c r="G48" s="21"/>
      <c r="H48" s="21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 t="s">
        <v>3</v>
      </c>
      <c r="AL48" s="2"/>
    </row>
    <row r="49" spans="2:38" ht="30" customHeight="1">
      <c r="B49" s="19">
        <f t="shared" si="6"/>
        <v>41</v>
      </c>
      <c r="C49" s="18"/>
      <c r="D49" s="17" t="s">
        <v>12</v>
      </c>
      <c r="E49" s="16" t="s">
        <v>79</v>
      </c>
      <c r="F49" s="22"/>
      <c r="G49" s="21"/>
      <c r="H49" s="22" t="s">
        <v>3</v>
      </c>
      <c r="I49" s="22" t="s">
        <v>3</v>
      </c>
      <c r="J49" s="22"/>
      <c r="K49" s="22"/>
      <c r="L49" s="22" t="s">
        <v>3</v>
      </c>
      <c r="M49" s="22" t="s">
        <v>3</v>
      </c>
      <c r="N49" s="22" t="s">
        <v>3</v>
      </c>
      <c r="O49" s="22" t="s">
        <v>3</v>
      </c>
      <c r="P49" s="22" t="s">
        <v>3</v>
      </c>
      <c r="Q49" s="22" t="s">
        <v>3</v>
      </c>
      <c r="R49" s="22"/>
      <c r="S49" s="22"/>
      <c r="T49" s="22" t="s">
        <v>3</v>
      </c>
      <c r="U49" s="22"/>
      <c r="V49" s="22"/>
      <c r="W49" s="22"/>
      <c r="X49" s="22"/>
      <c r="Y49" s="22"/>
      <c r="Z49" s="22"/>
      <c r="AA49" s="22"/>
      <c r="AB49" s="22"/>
      <c r="AC49" s="22" t="s">
        <v>3</v>
      </c>
      <c r="AD49" s="22" t="s">
        <v>3</v>
      </c>
      <c r="AE49" s="22"/>
      <c r="AF49" s="22" t="s">
        <v>3</v>
      </c>
      <c r="AG49" s="22" t="s">
        <v>3</v>
      </c>
      <c r="AH49" s="22" t="s">
        <v>3</v>
      </c>
      <c r="AI49" s="22"/>
      <c r="AJ49" s="22"/>
      <c r="AK49" s="22"/>
      <c r="AL49" s="2"/>
    </row>
    <row r="50" spans="2:38" ht="30" customHeight="1">
      <c r="B50" s="19">
        <f t="shared" si="6"/>
        <v>42</v>
      </c>
      <c r="C50" s="18"/>
      <c r="D50" s="16"/>
      <c r="E50" s="16"/>
      <c r="F50" s="22"/>
      <c r="G50" s="21"/>
      <c r="H50" s="21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"/>
    </row>
    <row r="51" spans="2:38" ht="30" customHeight="1">
      <c r="B51" s="19">
        <f t="shared" si="6"/>
        <v>43</v>
      </c>
      <c r="C51" s="18"/>
      <c r="D51" s="16"/>
      <c r="E51" s="16"/>
      <c r="F51" s="22"/>
      <c r="G51" s="21"/>
      <c r="H51" s="21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"/>
    </row>
  </sheetData>
  <mergeCells count="5">
    <mergeCell ref="B2:B8"/>
    <mergeCell ref="C2:C3"/>
    <mergeCell ref="D2:D8"/>
    <mergeCell ref="E2:E8"/>
    <mergeCell ref="F2:F3"/>
  </mergeCells>
  <phoneticPr fontId="4"/>
  <dataValidations count="1">
    <dataValidation type="list" allowBlank="1" showInputMessage="1" showErrorMessage="1" sqref="AL9:IW21" xr:uid="{EDA22DFD-56A5-499A-809C-9012B3B62EDF}">
      <formula1>"●"</formula1>
    </dataValidation>
  </dataValidations>
  <printOptions horizontalCentered="1"/>
  <pageMargins left="0.27559055118110237" right="0.27559055118110237" top="0.59055118110236227" bottom="0.39370078740157483" header="0.39370078740157483" footer="0.19685039370078741"/>
  <pageSetup paperSize="9" scale="49" fitToHeight="0" orientation="landscape" r:id="rId1"/>
  <headerFooter alignWithMargins="0">
    <oddHeader>&amp;L&amp;"ＭＳ ゴシック,太字"&amp;18&amp;A</oddHeader>
    <oddFooter>&amp;L&amp;"ＭＳ ゴシック,標準"(&amp;F 20150330 Ver.1.0)&amp;C&amp;"ＭＳ ゴシック,標準"&amp;P / &amp;N&amp;R&amp;"ＭＳ ゴシック,標準"Copyright(c) 2015 SCSK Corporation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3F85CE-1935-4DD7-B39B-A62F28E82A36}"/>
</file>

<file path=customXml/itemProps2.xml><?xml version="1.0" encoding="utf-8"?>
<ds:datastoreItem xmlns:ds="http://schemas.openxmlformats.org/officeDocument/2006/customXml" ds:itemID="{C1C0D749-0248-4392-B539-8CC2672D1391}"/>
</file>

<file path=customXml/itemProps3.xml><?xml version="1.0" encoding="utf-8"?>
<ds:datastoreItem xmlns:ds="http://schemas.openxmlformats.org/officeDocument/2006/customXml" ds:itemID="{5E1C25A6-51E9-4209-ACBA-93928B7537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変更履歴</vt:lpstr>
      <vt:lpstr>業務共通処理・エンティティマトリクス</vt:lpstr>
      <vt:lpstr>変更履歴!Print_Area</vt:lpstr>
      <vt:lpstr>業務共通処理・エンティティマトリクス!Print_Titles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SCSK</dc:creator>
  <cp:lastModifiedBy>グェン アントゥアン</cp:lastModifiedBy>
  <cp:lastPrinted>2015-03-23T23:51:30Z</cp:lastPrinted>
  <dcterms:created xsi:type="dcterms:W3CDTF">2013-11-18T05:26:17Z</dcterms:created>
  <dcterms:modified xsi:type="dcterms:W3CDTF">2025-09-05T04:29:19Z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