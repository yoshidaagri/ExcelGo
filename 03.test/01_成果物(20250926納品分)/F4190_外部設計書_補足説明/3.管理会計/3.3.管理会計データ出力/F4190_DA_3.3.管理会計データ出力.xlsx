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3.管理会計\3.3.管理会計データ出力\"/>
    </mc:Choice>
  </mc:AlternateContent>
  <xr:revisionPtr revIDLastSave="0" documentId="13_ncr:1_{93C343CC-9E29-49E6-8C23-59DE80A5AD0F}" xr6:coauthVersionLast="47" xr6:coauthVersionMax="47" xr10:uidLastSave="{00000000-0000-0000-0000-000000000000}"/>
  <bookViews>
    <workbookView xWindow="28680" yWindow="-120" windowWidth="29040" windowHeight="15720" tabRatio="793" xr2:uid="{00000000-000D-0000-FFFF-FFFF00000000}"/>
  </bookViews>
  <sheets>
    <sheet name="変更履歴" sheetId="19" r:id="rId1"/>
    <sheet name="補足 (科目別相手先別残高表（目節）（摘要）作成)" sheetId="23" r:id="rId2"/>
    <sheet name="補足 (部門別実績比較損益計算書作成)" sheetId="24" r:id="rId3"/>
    <sheet name="補足 (品目別取扱高計画実績対比表作成)" sheetId="25" r:id="rId4"/>
    <sheet name="部門別品目別の対象科目" sheetId="40" r:id="rId5"/>
    <sheet name="管理会計帳票の組織別出力" sheetId="38" r:id="rId6"/>
    <sheet name="補足 (事業管理費業種配分付表作成)" sheetId="26" r:id="rId7"/>
    <sheet name="事業管理費業種配分付表" sheetId="39" r:id="rId8"/>
    <sheet name="補足 (事業分量割戻データ作成)" sheetId="27" r:id="rId9"/>
    <sheet name="補足・帳票出力制御" sheetId="28" r:id="rId10"/>
    <sheet name="会員別・系統利用高調書抽出条件" sheetId="35" r:id="rId11"/>
    <sheet name="補足 コードデータマスタ" sheetId="29" r:id="rId12"/>
    <sheet name="管理会計参照可能データ範囲" sheetId="36" r:id="rId13"/>
    <sheet name="別紙_参照範囲" sheetId="37" r:id="rId14"/>
  </sheets>
  <externalReferences>
    <externalReference r:id="rId15"/>
  </externalReferences>
  <definedNames>
    <definedName name="_xlnm._FilterDatabase" localSheetId="13" hidden="1">別紙_参照範囲!$A$1:$S$30</definedName>
    <definedName name="_Regression_X" hidden="1">#REF!</definedName>
    <definedName name="_xlnm.Print_Area" localSheetId="10">会員別・系統利用高調書抽出条件!$A$1:$BJ$58</definedName>
    <definedName name="_xlnm.Print_Area" localSheetId="12">管理会計参照可能データ範囲!$A$1:$BJ$65</definedName>
    <definedName name="_xlnm.Print_Area" localSheetId="5">管理会計帳票の組織別出力!$A$1:$BJ$139</definedName>
    <definedName name="_xlnm.Print_Area" localSheetId="7">事業管理費業種配分付表!$A$1:$BJ$65</definedName>
    <definedName name="_xlnm.Print_Area" localSheetId="4">部門別品目別の対象科目!$A$1:$BJ$65</definedName>
    <definedName name="_xlnm.Print_Area" localSheetId="0">変更履歴!$A$1:$BJ$60</definedName>
    <definedName name="_xlnm.Print_Area" localSheetId="1">'補足 (科目別相手先別残高表（目節）（摘要）作成)'!$A$1:$BJ$65</definedName>
    <definedName name="_xlnm.Print_Area" localSheetId="6">'補足 (事業管理費業種配分付表作成)'!$A$1:$BJ$122</definedName>
    <definedName name="_xlnm.Print_Area" localSheetId="8">'補足 (事業分量割戻データ作成)'!$A$1:$BJ$65</definedName>
    <definedName name="_xlnm.Print_Area" localSheetId="3">'補足 (品目別取扱高計画実績対比表作成)'!$A$1:$BJ$65</definedName>
    <definedName name="_xlnm.Print_Area" localSheetId="2">'補足 (部門別実績比較損益計算書作成)'!$A$1:$BJ$65</definedName>
    <definedName name="_xlnm.Print_Area" localSheetId="11">'補足 コードデータマスタ'!$A$1:$BJ$65</definedName>
    <definedName name="_xlnm.Print_Area" localSheetId="9">補足・帳票出力制御!$A$1:$BJ$65</definedName>
    <definedName name="_xlnm.Print_Titles" localSheetId="10">会員別・系統利用高調書抽出条件!$1:$6</definedName>
    <definedName name="_xlnm.Print_Titles" localSheetId="12">管理会計参照可能データ範囲!$1:$6</definedName>
    <definedName name="_xlnm.Print_Titles" localSheetId="5">管理会計帳票の組織別出力!$1:$7</definedName>
    <definedName name="_xlnm.Print_Titles" localSheetId="7">事業管理費業種配分付表!$1:$6</definedName>
    <definedName name="_xlnm.Print_Titles" localSheetId="4">部門別品目別の対象科目!$1:$6</definedName>
    <definedName name="_xlnm.Print_Titles" localSheetId="0">変更履歴!$1:$5</definedName>
    <definedName name="_xlnm.Print_Titles" localSheetId="6">'補足 (事業管理費業種配分付表作成)'!$1:$7</definedName>
    <definedName name="_xlnm.Print_Titles" localSheetId="8">'補足 (事業分量割戻データ作成)'!$1:$7</definedName>
    <definedName name="_xlnm.Print_Titles" localSheetId="3">'補足 (品目別取扱高計画実績対比表作成)'!$1:$7</definedName>
    <definedName name="_xlnm.Print_Titles" localSheetId="2">'補足 (部門別実績比較損益計算書作成)'!$1:$7</definedName>
    <definedName name="_xlnm.Print_Titles" localSheetId="11">'補足 コードデータマスタ'!$1:$7</definedName>
    <definedName name="_xlnm.Print_Titles" localSheetId="9">補足・帳票出力制御!$1:$7</definedName>
    <definedName name="ステータスリスト">[1]区分入力リスト!$E$2:$J$2</definedName>
    <definedName name="ね表紙" hidden="1">#REF!</definedName>
    <definedName name="ランク別売単価">#REF!</definedName>
    <definedName name="関連表" hidden="1">#REF!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87" i="38" l="1"/>
  <c r="Y101" i="38"/>
  <c r="Y98" i="38"/>
  <c r="Y95" i="38"/>
  <c r="Y93" i="38"/>
  <c r="Y90" i="38"/>
  <c r="AQ103" i="38"/>
  <c r="Y136" i="38" l="1"/>
  <c r="Y85" i="38" s="1"/>
  <c r="Y123" i="38"/>
  <c r="Y124" i="38"/>
  <c r="Y125" i="38"/>
  <c r="Y122" i="38"/>
  <c r="Y114" i="38"/>
  <c r="Y115" i="38"/>
  <c r="Y113" i="38"/>
  <c r="Y119" i="38"/>
  <c r="Y118" i="38"/>
  <c r="Y117" i="38"/>
  <c r="Y106" i="38"/>
  <c r="Y89" i="38" s="1"/>
  <c r="Y110" i="38"/>
  <c r="Y109" i="38"/>
  <c r="Y108" i="38"/>
  <c r="Y128" i="38"/>
  <c r="Y97" i="38" s="1"/>
  <c r="Y132" i="38"/>
  <c r="Y131" i="38"/>
  <c r="Y130" i="38"/>
  <c r="Y92" i="38" l="1"/>
  <c r="Y82" i="38"/>
  <c r="Y80" i="38"/>
  <c r="Y76" i="38"/>
  <c r="Y81" i="38"/>
  <c r="Y83" i="38"/>
  <c r="Y77" i="38"/>
  <c r="AQ76" i="38" l="1"/>
  <c r="AQ79" i="38"/>
</calcChain>
</file>

<file path=xl/sharedStrings.xml><?xml version="1.0" encoding="utf-8"?>
<sst xmlns="http://schemas.openxmlformats.org/spreadsheetml/2006/main" count="1610" uniqueCount="623">
  <si>
    <t>システム名</t>
    <rPh sb="4" eb="5">
      <t>メイ</t>
    </rPh>
    <phoneticPr fontId="3"/>
  </si>
  <si>
    <t>作成日</t>
    <rPh sb="0" eb="2">
      <t>サクセイ</t>
    </rPh>
    <rPh sb="2" eb="3">
      <t>ヒ</t>
    </rPh>
    <phoneticPr fontId="3"/>
  </si>
  <si>
    <t>様式No.</t>
    <rPh sb="0" eb="2">
      <t>ヨウシキ</t>
    </rPh>
    <phoneticPr fontId="3"/>
  </si>
  <si>
    <t>HOKUREN INTERNAL USE ONLY</t>
  </si>
  <si>
    <t>PAGE</t>
    <phoneticPr fontId="3"/>
  </si>
  <si>
    <t>更新日</t>
    <rPh sb="0" eb="3">
      <t>コウシンビ</t>
    </rPh>
    <phoneticPr fontId="3"/>
  </si>
  <si>
    <t>Ｐｈａｓｅ　外部設計工程</t>
    <rPh sb="6" eb="8">
      <t>ガイブ</t>
    </rPh>
    <rPh sb="8" eb="10">
      <t>セッケイ</t>
    </rPh>
    <rPh sb="10" eb="12">
      <t>コウテイ</t>
    </rPh>
    <phoneticPr fontId="3"/>
  </si>
  <si>
    <t>外部設計書　補足説明　変更履歴</t>
    <rPh sb="11" eb="13">
      <t>ヘンコウ</t>
    </rPh>
    <rPh sb="13" eb="15">
      <t>リレキ</t>
    </rPh>
    <phoneticPr fontId="3"/>
  </si>
  <si>
    <t>補足説明№</t>
    <rPh sb="0" eb="2">
      <t>ホソク</t>
    </rPh>
    <rPh sb="2" eb="4">
      <t>セツメイ</t>
    </rPh>
    <phoneticPr fontId="3"/>
  </si>
  <si>
    <t>外 部 設 計 書　 補 足 説 明</t>
    <phoneticPr fontId="3"/>
  </si>
  <si>
    <t>F4190-0</t>
    <phoneticPr fontId="3"/>
  </si>
  <si>
    <t>業務名</t>
    <rPh sb="0" eb="2">
      <t>ギョウム</t>
    </rPh>
    <rPh sb="2" eb="3">
      <t>メイ</t>
    </rPh>
    <phoneticPr fontId="3"/>
  </si>
  <si>
    <t>機能№</t>
    <rPh sb="0" eb="2">
      <t>キノウ</t>
    </rPh>
    <phoneticPr fontId="3"/>
  </si>
  <si>
    <t>補足説明タイトル</t>
    <rPh sb="0" eb="2">
      <t>ホソク</t>
    </rPh>
    <rPh sb="2" eb="4">
      <t>セツメイ</t>
    </rPh>
    <phoneticPr fontId="3"/>
  </si>
  <si>
    <t>1</t>
    <phoneticPr fontId="3"/>
  </si>
  <si>
    <t>管理番号</t>
    <rPh sb="0" eb="2">
      <t>カンリ</t>
    </rPh>
    <rPh sb="2" eb="4">
      <t>バンゴウ</t>
    </rPh>
    <phoneticPr fontId="3"/>
  </si>
  <si>
    <t>案件名 / 障害・問合せ件名</t>
    <rPh sb="0" eb="3">
      <t>アンケンメイ</t>
    </rPh>
    <rPh sb="12" eb="14">
      <t>ケンメイ</t>
    </rPh>
    <phoneticPr fontId="9"/>
  </si>
  <si>
    <t>統合会計システム</t>
    <rPh sb="0" eb="2">
      <t>トウゴウ</t>
    </rPh>
    <rPh sb="2" eb="4">
      <t>カイケイ</t>
    </rPh>
    <phoneticPr fontId="3"/>
  </si>
  <si>
    <t>2025/8/29</t>
    <phoneticPr fontId="3"/>
  </si>
  <si>
    <t>24058</t>
  </si>
  <si>
    <t>基幹システム再構築　会計システム外部設計</t>
  </si>
  <si>
    <t>管理会計</t>
    <phoneticPr fontId="3"/>
  </si>
  <si>
    <t>管理会計</t>
    <rPh sb="0" eb="2">
      <t>カンリ</t>
    </rPh>
    <phoneticPr fontId="3"/>
  </si>
  <si>
    <t>2</t>
    <phoneticPr fontId="3"/>
  </si>
  <si>
    <t>3</t>
    <phoneticPr fontId="3"/>
  </si>
  <si>
    <t>4</t>
    <phoneticPr fontId="3"/>
  </si>
  <si>
    <t>5</t>
    <phoneticPr fontId="3"/>
  </si>
  <si>
    <t>6</t>
    <phoneticPr fontId="3"/>
  </si>
  <si>
    <t>7</t>
    <phoneticPr fontId="3"/>
  </si>
  <si>
    <t>科目別相手先別残高表（目節）（摘要）作成</t>
    <phoneticPr fontId="3"/>
  </si>
  <si>
    <t>１．検索条件指定時の出力対象</t>
    <rPh sb="2" eb="6">
      <t>ケンサクジョウケン</t>
    </rPh>
    <rPh sb="6" eb="8">
      <t>シテイ</t>
    </rPh>
    <rPh sb="8" eb="9">
      <t>ジ</t>
    </rPh>
    <rPh sb="10" eb="12">
      <t>シュツリョク</t>
    </rPh>
    <rPh sb="12" eb="14">
      <t>タイショウ</t>
    </rPh>
    <phoneticPr fontId="9"/>
  </si>
  <si>
    <t>画面で検索条件指定時は以下のとおりとする。</t>
    <rPh sb="0" eb="2">
      <t>ガメン</t>
    </rPh>
    <rPh sb="3" eb="7">
      <t>ケンサクジョウケン</t>
    </rPh>
    <rPh sb="7" eb="10">
      <t>シテイジ</t>
    </rPh>
    <rPh sb="11" eb="13">
      <t>イカ</t>
    </rPh>
    <phoneticPr fontId="9"/>
  </si>
  <si>
    <t>※事業所を除く、検索条件の複数指定は不可とする。</t>
    <rPh sb="1" eb="4">
      <t>ジギョウショ</t>
    </rPh>
    <rPh sb="5" eb="6">
      <t>ノゾ</t>
    </rPh>
    <rPh sb="8" eb="12">
      <t>ケンサクジョウケン</t>
    </rPh>
    <rPh sb="13" eb="15">
      <t>フクスウ</t>
    </rPh>
    <rPh sb="15" eb="17">
      <t>シテイ</t>
    </rPh>
    <rPh sb="18" eb="20">
      <t>フカ</t>
    </rPh>
    <phoneticPr fontId="9"/>
  </si>
  <si>
    <t>業種別の場合</t>
    <rPh sb="0" eb="3">
      <t>ギョウシュベツ</t>
    </rPh>
    <rPh sb="4" eb="6">
      <t>バアイ</t>
    </rPh>
    <phoneticPr fontId="9"/>
  </si>
  <si>
    <t>検索条件</t>
    <rPh sb="0" eb="4">
      <t>ケンサクジョウケン</t>
    </rPh>
    <phoneticPr fontId="9"/>
  </si>
  <si>
    <t>出力対象</t>
    <rPh sb="0" eb="4">
      <t>シュツリョクタイショウ</t>
    </rPh>
    <phoneticPr fontId="9"/>
  </si>
  <si>
    <t>事業本部</t>
    <rPh sb="0" eb="4">
      <t>ジギョウホンブ</t>
    </rPh>
    <phoneticPr fontId="9"/>
  </si>
  <si>
    <t>部門</t>
    <rPh sb="0" eb="2">
      <t>ブモン</t>
    </rPh>
    <phoneticPr fontId="9"/>
  </si>
  <si>
    <t>業種</t>
    <rPh sb="0" eb="2">
      <t>ギョウシュ</t>
    </rPh>
    <phoneticPr fontId="9"/>
  </si>
  <si>
    <t>未指定</t>
    <rPh sb="0" eb="1">
      <t>ミ</t>
    </rPh>
    <rPh sb="1" eb="3">
      <t>シテイ</t>
    </rPh>
    <phoneticPr fontId="9"/>
  </si>
  <si>
    <t>全ての事業本部、部門、業種を出力する。</t>
    <rPh sb="0" eb="1">
      <t>スベ</t>
    </rPh>
    <rPh sb="3" eb="7">
      <t>ジギョウホンブ</t>
    </rPh>
    <rPh sb="8" eb="10">
      <t>ブモン</t>
    </rPh>
    <rPh sb="11" eb="13">
      <t>ギョウシュ</t>
    </rPh>
    <rPh sb="14" eb="16">
      <t>シュツリョク</t>
    </rPh>
    <phoneticPr fontId="9"/>
  </si>
  <si>
    <t>指定</t>
    <rPh sb="0" eb="2">
      <t>シテイ</t>
    </rPh>
    <phoneticPr fontId="9"/>
  </si>
  <si>
    <t>指定された事業本部とその事業本部の配下の部門単位、業種単位のみ出力する。</t>
    <rPh sb="0" eb="2">
      <t>シテイ</t>
    </rPh>
    <rPh sb="5" eb="9">
      <t>ジギョウホンブ</t>
    </rPh>
    <rPh sb="12" eb="16">
      <t>ジギョウホンブ</t>
    </rPh>
    <rPh sb="17" eb="19">
      <t>ハイカ</t>
    </rPh>
    <rPh sb="20" eb="24">
      <t>ブモンタンイ</t>
    </rPh>
    <rPh sb="25" eb="29">
      <t>ギョウシュタンイ</t>
    </rPh>
    <rPh sb="31" eb="33">
      <t>シュツリョク</t>
    </rPh>
    <phoneticPr fontId="9"/>
  </si>
  <si>
    <t>指定された部門とその部門の配下の業種単位のみ出力する。</t>
    <rPh sb="0" eb="2">
      <t>シテイ</t>
    </rPh>
    <rPh sb="5" eb="7">
      <t>ブモン</t>
    </rPh>
    <rPh sb="10" eb="12">
      <t>ブモン</t>
    </rPh>
    <rPh sb="13" eb="15">
      <t>ハイカ</t>
    </rPh>
    <rPh sb="16" eb="20">
      <t>ギョウシュタンイ</t>
    </rPh>
    <rPh sb="22" eb="24">
      <t>シュツリョク</t>
    </rPh>
    <phoneticPr fontId="9"/>
  </si>
  <si>
    <t>指定された業種単位のみ出力する。</t>
    <rPh sb="0" eb="2">
      <t>シテイ</t>
    </rPh>
    <rPh sb="5" eb="9">
      <t>ギョウシュタンイ</t>
    </rPh>
    <rPh sb="11" eb="13">
      <t>シュツリョク</t>
    </rPh>
    <phoneticPr fontId="9"/>
  </si>
  <si>
    <t>組織別の場合</t>
    <rPh sb="0" eb="3">
      <t>ソシキベツ</t>
    </rPh>
    <rPh sb="4" eb="6">
      <t>バアイ</t>
    </rPh>
    <phoneticPr fontId="9"/>
  </si>
  <si>
    <t>部</t>
    <rPh sb="0" eb="1">
      <t>ブ</t>
    </rPh>
    <phoneticPr fontId="9"/>
  </si>
  <si>
    <t>施設</t>
    <rPh sb="0" eb="2">
      <t>シセツ</t>
    </rPh>
    <phoneticPr fontId="9"/>
  </si>
  <si>
    <t>課</t>
    <rPh sb="0" eb="1">
      <t>カ</t>
    </rPh>
    <phoneticPr fontId="9"/>
  </si>
  <si>
    <t>施設課</t>
    <rPh sb="0" eb="3">
      <t>シセツカ</t>
    </rPh>
    <phoneticPr fontId="9"/>
  </si>
  <si>
    <t>全ての部、施設、課、施設課を出力する。</t>
    <rPh sb="0" eb="1">
      <t>スベ</t>
    </rPh>
    <rPh sb="3" eb="4">
      <t>ブ</t>
    </rPh>
    <rPh sb="5" eb="7">
      <t>シセツ</t>
    </rPh>
    <rPh sb="8" eb="9">
      <t>カ</t>
    </rPh>
    <rPh sb="10" eb="13">
      <t>シセツカ</t>
    </rPh>
    <rPh sb="14" eb="16">
      <t>シュツリョク</t>
    </rPh>
    <phoneticPr fontId="9"/>
  </si>
  <si>
    <t>指定された部とその部の配下の施設単位、業種ごとの予算組織（部、課、施設課）単位のみ出力する。</t>
    <rPh sb="0" eb="2">
      <t>シテイ</t>
    </rPh>
    <rPh sb="5" eb="6">
      <t>ブ</t>
    </rPh>
    <rPh sb="9" eb="10">
      <t>ブ</t>
    </rPh>
    <rPh sb="11" eb="13">
      <t>ハイカ</t>
    </rPh>
    <rPh sb="14" eb="16">
      <t>シセツ</t>
    </rPh>
    <rPh sb="16" eb="18">
      <t>タンイ</t>
    </rPh>
    <rPh sb="19" eb="21">
      <t>ギョウシュ</t>
    </rPh>
    <rPh sb="24" eb="28">
      <t>ヨサンソシキ</t>
    </rPh>
    <rPh sb="29" eb="30">
      <t>ブ</t>
    </rPh>
    <rPh sb="31" eb="32">
      <t>カ</t>
    </rPh>
    <rPh sb="33" eb="35">
      <t>シセツ</t>
    </rPh>
    <rPh sb="35" eb="36">
      <t>カ</t>
    </rPh>
    <rPh sb="37" eb="39">
      <t>タンイ</t>
    </rPh>
    <rPh sb="41" eb="43">
      <t>シュツリョク</t>
    </rPh>
    <phoneticPr fontId="9"/>
  </si>
  <si>
    <t>指定された施設とその施設の配下の予算組織（施設課）単位のみ出力する。</t>
    <rPh sb="0" eb="2">
      <t>シテイ</t>
    </rPh>
    <rPh sb="5" eb="7">
      <t>シセツ</t>
    </rPh>
    <rPh sb="10" eb="12">
      <t>シセツ</t>
    </rPh>
    <rPh sb="13" eb="15">
      <t>ハイカ</t>
    </rPh>
    <rPh sb="16" eb="18">
      <t>ヨサン</t>
    </rPh>
    <rPh sb="18" eb="20">
      <t>ソシキ</t>
    </rPh>
    <rPh sb="21" eb="24">
      <t>シセツカ</t>
    </rPh>
    <rPh sb="25" eb="27">
      <t>タンイ</t>
    </rPh>
    <rPh sb="29" eb="31">
      <t>シュツリョク</t>
    </rPh>
    <phoneticPr fontId="9"/>
  </si>
  <si>
    <t>指定された予算組織（課）単位のみ出力する。</t>
    <rPh sb="0" eb="2">
      <t>シテイ</t>
    </rPh>
    <rPh sb="5" eb="9">
      <t>ヨサンソシキ</t>
    </rPh>
    <rPh sb="10" eb="11">
      <t>カ</t>
    </rPh>
    <rPh sb="12" eb="14">
      <t>タンイ</t>
    </rPh>
    <rPh sb="16" eb="18">
      <t>シュツリョク</t>
    </rPh>
    <phoneticPr fontId="9"/>
  </si>
  <si>
    <t>指定された予算組織（施設課）単位のみ出力する。</t>
    <rPh sb="0" eb="2">
      <t>シテイ</t>
    </rPh>
    <rPh sb="5" eb="9">
      <t>ヨサンソシキ</t>
    </rPh>
    <rPh sb="10" eb="12">
      <t>シセツ</t>
    </rPh>
    <rPh sb="12" eb="13">
      <t>カ</t>
    </rPh>
    <rPh sb="14" eb="16">
      <t>タンイ</t>
    </rPh>
    <rPh sb="18" eb="20">
      <t>シュツリョク</t>
    </rPh>
    <phoneticPr fontId="9"/>
  </si>
  <si>
    <t>２．参照権限について</t>
    <phoneticPr fontId="9"/>
  </si>
  <si>
    <t>科目別相手先別残高表（目／節）（摘要）作成の参照権限は以下のとおりとする。</t>
    <rPh sb="0" eb="2">
      <t>カモク</t>
    </rPh>
    <rPh sb="2" eb="3">
      <t>ベツ</t>
    </rPh>
    <rPh sb="3" eb="5">
      <t>アイテ</t>
    </rPh>
    <rPh sb="5" eb="6">
      <t>サキ</t>
    </rPh>
    <rPh sb="6" eb="7">
      <t>ベツ</t>
    </rPh>
    <rPh sb="7" eb="9">
      <t>ザンダカ</t>
    </rPh>
    <rPh sb="9" eb="10">
      <t>ヒョウ</t>
    </rPh>
    <rPh sb="11" eb="12">
      <t>モク</t>
    </rPh>
    <rPh sb="13" eb="14">
      <t>セツ</t>
    </rPh>
    <rPh sb="16" eb="18">
      <t>テキヨウ</t>
    </rPh>
    <rPh sb="19" eb="21">
      <t>サクセイ</t>
    </rPh>
    <rPh sb="22" eb="26">
      <t>サンショウケンゲン</t>
    </rPh>
    <rPh sb="27" eb="29">
      <t>イカ</t>
    </rPh>
    <phoneticPr fontId="9"/>
  </si>
  <si>
    <t>（１）全て参照可能</t>
    <phoneticPr fontId="9"/>
  </si>
  <si>
    <t>（２）自事業所分のみ参照可能</t>
    <rPh sb="3" eb="4">
      <t>ジ</t>
    </rPh>
    <rPh sb="4" eb="7">
      <t>ジギョウショ</t>
    </rPh>
    <phoneticPr fontId="9"/>
  </si>
  <si>
    <t>（３）担当事業本部分のみ参照可能</t>
    <rPh sb="3" eb="5">
      <t>タントウ</t>
    </rPh>
    <rPh sb="5" eb="7">
      <t>ジギョウ</t>
    </rPh>
    <rPh sb="7" eb="9">
      <t>ホンブ</t>
    </rPh>
    <rPh sb="9" eb="10">
      <t>ブン</t>
    </rPh>
    <rPh sb="12" eb="14">
      <t>サンショウ</t>
    </rPh>
    <rPh sb="14" eb="16">
      <t>カノウ</t>
    </rPh>
    <phoneticPr fontId="9"/>
  </si>
  <si>
    <t>（４）担当業種分のみ参照可能</t>
    <rPh sb="3" eb="5">
      <t>タントウ</t>
    </rPh>
    <rPh sb="5" eb="7">
      <t>ギョウシュ</t>
    </rPh>
    <rPh sb="7" eb="8">
      <t>ブン</t>
    </rPh>
    <rPh sb="10" eb="12">
      <t>サンショウ</t>
    </rPh>
    <rPh sb="12" eb="14">
      <t>カノウ</t>
    </rPh>
    <phoneticPr fontId="9"/>
  </si>
  <si>
    <t>（５）自事業所の担当業種分のみ参照可能</t>
    <phoneticPr fontId="9"/>
  </si>
  <si>
    <t>（６）自施設分のみ参照可能</t>
    <phoneticPr fontId="9"/>
  </si>
  <si>
    <t>（７）自組織の所属する部内のみ参照可能</t>
    <rPh sb="3" eb="4">
      <t>ジ</t>
    </rPh>
    <rPh sb="4" eb="6">
      <t>ソシキ</t>
    </rPh>
    <rPh sb="7" eb="9">
      <t>ショゾク</t>
    </rPh>
    <rPh sb="11" eb="13">
      <t>ブナイ</t>
    </rPh>
    <phoneticPr fontId="9"/>
  </si>
  <si>
    <t>（８）農業総合研究所およびそれに紐づくセンターは、農業総合研究所のデータのみ参照可能</t>
    <rPh sb="3" eb="5">
      <t>ノウギョウ</t>
    </rPh>
    <rPh sb="5" eb="7">
      <t>ソウゴウ</t>
    </rPh>
    <rPh sb="7" eb="10">
      <t>ケンキュウジョ</t>
    </rPh>
    <rPh sb="16" eb="17">
      <t>ヒモ</t>
    </rPh>
    <rPh sb="25" eb="27">
      <t>ノウギョウ</t>
    </rPh>
    <rPh sb="27" eb="29">
      <t>ソウゴウ</t>
    </rPh>
    <rPh sb="29" eb="32">
      <t>ケンキュウジョ</t>
    </rPh>
    <phoneticPr fontId="9"/>
  </si>
  <si>
    <t>部門別実績比較損益計算書作成</t>
    <phoneticPr fontId="3"/>
  </si>
  <si>
    <t>検索条件（所属）</t>
    <rPh sb="0" eb="4">
      <t>ケンサクジョウケン</t>
    </rPh>
    <rPh sb="5" eb="7">
      <t>ショゾク</t>
    </rPh>
    <phoneticPr fontId="9"/>
  </si>
  <si>
    <t>部門別実績比較損益計算書作成の参照権限は以下のとおりとする。</t>
    <rPh sb="0" eb="3">
      <t>ブモンベツ</t>
    </rPh>
    <rPh sb="3" eb="7">
      <t>ジッセキヒカク</t>
    </rPh>
    <rPh sb="7" eb="12">
      <t>ソンエキケイサンショ</t>
    </rPh>
    <rPh sb="12" eb="14">
      <t>サクセイ</t>
    </rPh>
    <rPh sb="15" eb="19">
      <t>サンショウケンゲン</t>
    </rPh>
    <rPh sb="20" eb="22">
      <t>イカ</t>
    </rPh>
    <phoneticPr fontId="9"/>
  </si>
  <si>
    <t>品目別取扱高計画実績対比表作成</t>
    <phoneticPr fontId="3"/>
  </si>
  <si>
    <t>検索条件（所属コード）</t>
    <rPh sb="0" eb="4">
      <t>ケンサクジョウケン</t>
    </rPh>
    <rPh sb="5" eb="7">
      <t>ショゾク</t>
    </rPh>
    <phoneticPr fontId="9"/>
  </si>
  <si>
    <t>課</t>
    <phoneticPr fontId="9"/>
  </si>
  <si>
    <t>全ての部、各部配下の業種ごとの予算組織（課）単位を出力する。</t>
    <rPh sb="0" eb="1">
      <t>スベ</t>
    </rPh>
    <rPh sb="3" eb="4">
      <t>ブ</t>
    </rPh>
    <rPh sb="5" eb="7">
      <t>カクブ</t>
    </rPh>
    <rPh sb="7" eb="9">
      <t>ハイカ</t>
    </rPh>
    <rPh sb="25" eb="27">
      <t>シュツリョク</t>
    </rPh>
    <phoneticPr fontId="9"/>
  </si>
  <si>
    <t>指定された部とその部の配下の業種ごとの予算組織（課）単位のみ出力する。</t>
    <rPh sb="0" eb="2">
      <t>シテイ</t>
    </rPh>
    <rPh sb="5" eb="6">
      <t>ブ</t>
    </rPh>
    <rPh sb="9" eb="10">
      <t>ブ</t>
    </rPh>
    <rPh sb="11" eb="13">
      <t>ハイカ</t>
    </rPh>
    <rPh sb="14" eb="16">
      <t>ギョウシュ</t>
    </rPh>
    <rPh sb="19" eb="23">
      <t>ヨサンソシキ</t>
    </rPh>
    <rPh sb="24" eb="25">
      <t>カ</t>
    </rPh>
    <rPh sb="26" eb="28">
      <t>タンイ</t>
    </rPh>
    <rPh sb="30" eb="32">
      <t>シュツリョク</t>
    </rPh>
    <phoneticPr fontId="9"/>
  </si>
  <si>
    <t>※他項目指定時の出力はCSV設計書のCSVイメージ _データシート参照</t>
    <rPh sb="1" eb="4">
      <t>ホカコウモク</t>
    </rPh>
    <rPh sb="4" eb="7">
      <t>シテイジ</t>
    </rPh>
    <rPh sb="8" eb="10">
      <t>シュツリョク</t>
    </rPh>
    <rPh sb="14" eb="17">
      <t>セッケイショ</t>
    </rPh>
    <rPh sb="33" eb="35">
      <t>サンショウ</t>
    </rPh>
    <phoneticPr fontId="9"/>
  </si>
  <si>
    <t>品目別取扱高計画実績対比表作成の参照権限は以下のとおりとする。</t>
    <rPh sb="0" eb="2">
      <t>ヒンモク</t>
    </rPh>
    <rPh sb="2" eb="3">
      <t>ベツ</t>
    </rPh>
    <rPh sb="3" eb="5">
      <t>トリアツカイ</t>
    </rPh>
    <rPh sb="5" eb="6">
      <t>ダカ</t>
    </rPh>
    <rPh sb="6" eb="8">
      <t>ケイカク</t>
    </rPh>
    <rPh sb="8" eb="10">
      <t>ジッセキ</t>
    </rPh>
    <rPh sb="10" eb="13">
      <t>タイヒヒョウ</t>
    </rPh>
    <rPh sb="13" eb="15">
      <t>サクセイ</t>
    </rPh>
    <rPh sb="16" eb="20">
      <t>サンショウケンゲン</t>
    </rPh>
    <rPh sb="21" eb="23">
      <t>イカ</t>
    </rPh>
    <phoneticPr fontId="9"/>
  </si>
  <si>
    <t>３．一般取扱高（Ａ）とその他取扱高（Ｂ）について</t>
    <phoneticPr fontId="3"/>
  </si>
  <si>
    <t>・一般取扱高（Ａ）</t>
    <phoneticPr fontId="3"/>
  </si>
  <si>
    <t>取扱高</t>
    <rPh sb="0" eb="2">
      <t>トリアツカイ</t>
    </rPh>
    <rPh sb="2" eb="3">
      <t>ダカ</t>
    </rPh>
    <phoneticPr fontId="2"/>
  </si>
  <si>
    <t>：</t>
    <phoneticPr fontId="3"/>
  </si>
  <si>
    <t>一般取扱高購買（Ａ） 、一般取扱高販売（Ａ）の合計</t>
    <rPh sb="23" eb="25">
      <t>ゴウケイ</t>
    </rPh>
    <phoneticPr fontId="2"/>
  </si>
  <si>
    <t>手数料</t>
    <rPh sb="0" eb="3">
      <t>テスウリョウ</t>
    </rPh>
    <phoneticPr fontId="2"/>
  </si>
  <si>
    <t>手数料の収益 -　費用</t>
    <rPh sb="0" eb="3">
      <t>テスウリョウ</t>
    </rPh>
    <rPh sb="4" eb="6">
      <t>シュウエキ</t>
    </rPh>
    <rPh sb="9" eb="11">
      <t>ヒヨウ</t>
    </rPh>
    <phoneticPr fontId="2"/>
  </si>
  <si>
    <t>(費用)</t>
    <rPh sb="1" eb="3">
      <t>ヒヨウ</t>
    </rPh>
    <phoneticPr fontId="2"/>
  </si>
  <si>
    <t>供給費、販売費の合計</t>
    <rPh sb="8" eb="10">
      <t>ゴウケイ</t>
    </rPh>
    <phoneticPr fontId="2"/>
  </si>
  <si>
    <t>(収益)</t>
    <rPh sb="1" eb="3">
      <t>シュウエキ</t>
    </rPh>
    <phoneticPr fontId="2"/>
  </si>
  <si>
    <t>購買手数料、販売事務手数料、販売手数料の合計</t>
  </si>
  <si>
    <t>・その他取扱高（Ｂ）</t>
    <phoneticPr fontId="3"/>
  </si>
  <si>
    <t>その他取扱高購買（Ｂ）、その他取扱高販売（Ｂ）の合計</t>
    <phoneticPr fontId="3"/>
  </si>
  <si>
    <t>運送収入、加工収入、生産収入、製品売上高、直販収入(管理業種は除く)</t>
  </si>
  <si>
    <t>４．集計行について</t>
    <rPh sb="2" eb="5">
      <t>シュウケイギョウ</t>
    </rPh>
    <phoneticPr fontId="9"/>
  </si>
  <si>
    <t>発生のない科目（年間計画、実績ともに存在しない場合）は出力しないが、その場合集計行も出力しない。</t>
    <rPh sb="0" eb="2">
      <t>ハッセイ</t>
    </rPh>
    <rPh sb="5" eb="7">
      <t>カモク</t>
    </rPh>
    <rPh sb="8" eb="12">
      <t>ネンカンケイカク</t>
    </rPh>
    <rPh sb="13" eb="15">
      <t>ジッセキ</t>
    </rPh>
    <rPh sb="18" eb="20">
      <t>ソンザイ</t>
    </rPh>
    <rPh sb="23" eb="25">
      <t>バアイ</t>
    </rPh>
    <rPh sb="27" eb="29">
      <t>シュツリョク</t>
    </rPh>
    <rPh sb="36" eb="38">
      <t>バアイ</t>
    </rPh>
    <rPh sb="38" eb="41">
      <t>シュウケイギョウ</t>
    </rPh>
    <rPh sb="42" eb="44">
      <t>シュツリョク</t>
    </rPh>
    <phoneticPr fontId="9"/>
  </si>
  <si>
    <t>出力対象の集計行は以下の通り。</t>
    <rPh sb="0" eb="4">
      <t>シュツリョクタイショウ</t>
    </rPh>
    <rPh sb="5" eb="8">
      <t>シュウケイギョウ</t>
    </rPh>
    <rPh sb="9" eb="11">
      <t>イカ</t>
    </rPh>
    <rPh sb="12" eb="13">
      <t>トオ</t>
    </rPh>
    <phoneticPr fontId="9"/>
  </si>
  <si>
    <t>（１）一般取扱高（A）の合計</t>
    <phoneticPr fontId="9"/>
  </si>
  <si>
    <t>例）その他取扱高（B）のみ存在しなかった場合、出力する集計行は（１）、（３）とする</t>
    <phoneticPr fontId="9"/>
  </si>
  <si>
    <t>事業管理費業種配分付表作成</t>
    <phoneticPr fontId="3"/>
  </si>
  <si>
    <t>１．機能説明</t>
    <rPh sb="4" eb="6">
      <t>セツメイ</t>
    </rPh>
    <phoneticPr fontId="9"/>
  </si>
  <si>
    <t>年度末の確定後に、各事業所の管理課で発生した事業管理費を業種別に配分する機能である。</t>
    <rPh sb="0" eb="3">
      <t>ネンドマツ</t>
    </rPh>
    <rPh sb="4" eb="7">
      <t>カクテイゴ</t>
    </rPh>
    <rPh sb="9" eb="10">
      <t>カク</t>
    </rPh>
    <rPh sb="10" eb="13">
      <t>ジギョウショ</t>
    </rPh>
    <rPh sb="14" eb="17">
      <t>カンリカ</t>
    </rPh>
    <rPh sb="18" eb="20">
      <t>ハッセイ</t>
    </rPh>
    <rPh sb="22" eb="27">
      <t>ジギョウカンリヒ</t>
    </rPh>
    <rPh sb="28" eb="31">
      <t>ギョウシュベツ</t>
    </rPh>
    <rPh sb="32" eb="34">
      <t>ハイブン</t>
    </rPh>
    <rPh sb="36" eb="38">
      <t>キノウ</t>
    </rPh>
    <phoneticPr fontId="9"/>
  </si>
  <si>
    <t>２．残高について</t>
    <rPh sb="2" eb="4">
      <t>ザンダカ</t>
    </rPh>
    <phoneticPr fontId="9"/>
  </si>
  <si>
    <t>１）残高の積み方について</t>
    <rPh sb="2" eb="4">
      <t>ザンダカ</t>
    </rPh>
    <rPh sb="5" eb="6">
      <t>ツ</t>
    </rPh>
    <rPh sb="7" eb="8">
      <t>カタ</t>
    </rPh>
    <phoneticPr fontId="9"/>
  </si>
  <si>
    <t>本処理で使用する残高は下記の２ファイルである。</t>
    <rPh sb="0" eb="3">
      <t>ホンショリ</t>
    </rPh>
    <rPh sb="4" eb="6">
      <t>シヨウ</t>
    </rPh>
    <rPh sb="8" eb="10">
      <t>ザンダカ</t>
    </rPh>
    <rPh sb="11" eb="13">
      <t>カキ</t>
    </rPh>
    <phoneticPr fontId="9"/>
  </si>
  <si>
    <t>D02030101</t>
    <phoneticPr fontId="9"/>
  </si>
  <si>
    <t>：</t>
    <phoneticPr fontId="9"/>
  </si>
  <si>
    <t>日次残高（事業所、業種、項科目、目節科目)</t>
    <rPh sb="0" eb="1">
      <t>ヒ</t>
    </rPh>
    <rPh sb="13" eb="15">
      <t>カモク</t>
    </rPh>
    <rPh sb="18" eb="20">
      <t>カモク</t>
    </rPh>
    <phoneticPr fontId="9"/>
  </si>
  <si>
    <t>D02030901</t>
    <phoneticPr fontId="9"/>
  </si>
  <si>
    <t>月次残高（事業所、業種、項科目、目節科目)</t>
    <phoneticPr fontId="9"/>
  </si>
  <si>
    <t>いずれも、本処理でのみ使用する想定であるが、残高更新時には事業管理費以外の勘定科目であっても</t>
    <rPh sb="5" eb="8">
      <t>ホンショリ</t>
    </rPh>
    <rPh sb="11" eb="13">
      <t>シヨウ</t>
    </rPh>
    <rPh sb="15" eb="17">
      <t>ソウテイ</t>
    </rPh>
    <rPh sb="22" eb="27">
      <t>ザンダカコウシンジ</t>
    </rPh>
    <rPh sb="29" eb="34">
      <t>ジギョウカンリヒ</t>
    </rPh>
    <rPh sb="34" eb="36">
      <t>イガイ</t>
    </rPh>
    <rPh sb="37" eb="41">
      <t>カンジョウカモク</t>
    </rPh>
    <phoneticPr fontId="9"/>
  </si>
  <si>
    <t>集計対象として積み上げること。</t>
    <rPh sb="0" eb="4">
      <t>シュウケイタイショウ</t>
    </rPh>
    <rPh sb="7" eb="8">
      <t>ツ</t>
    </rPh>
    <rPh sb="9" eb="10">
      <t>ア</t>
    </rPh>
    <phoneticPr fontId="9"/>
  </si>
  <si>
    <t>（対象とする勘定科目が増減した時に対応可能とするため）</t>
    <rPh sb="1" eb="3">
      <t>タイショウ</t>
    </rPh>
    <rPh sb="6" eb="10">
      <t>カンジョウカモク</t>
    </rPh>
    <rPh sb="11" eb="13">
      <t>ゾウゲン</t>
    </rPh>
    <rPh sb="15" eb="16">
      <t>トキ</t>
    </rPh>
    <rPh sb="17" eb="21">
      <t>タイオウカノウ</t>
    </rPh>
    <phoneticPr fontId="9"/>
  </si>
  <si>
    <t>集計する金額は、配賦元金額、配賦済み金額の２項目となる。</t>
    <rPh sb="0" eb="2">
      <t>シュウケイ</t>
    </rPh>
    <rPh sb="4" eb="6">
      <t>キンガク</t>
    </rPh>
    <rPh sb="8" eb="11">
      <t>ハイフモト</t>
    </rPh>
    <rPh sb="11" eb="13">
      <t>キンガク</t>
    </rPh>
    <rPh sb="14" eb="17">
      <t>ハイフズ</t>
    </rPh>
    <rPh sb="18" eb="20">
      <t>キンガク</t>
    </rPh>
    <rPh sb="22" eb="24">
      <t>コウモク</t>
    </rPh>
    <phoneticPr fontId="9"/>
  </si>
  <si>
    <t>配賦元金額には、入力データの対象金額を積み上げる。</t>
    <rPh sb="0" eb="5">
      <t>ハイフモトキンガク</t>
    </rPh>
    <rPh sb="8" eb="10">
      <t>ニュウリョク</t>
    </rPh>
    <rPh sb="14" eb="18">
      <t>タイショウキンガク</t>
    </rPh>
    <rPh sb="19" eb="20">
      <t>ツ</t>
    </rPh>
    <rPh sb="21" eb="22">
      <t>ア</t>
    </rPh>
    <phoneticPr fontId="9"/>
  </si>
  <si>
    <t>配賦済金額には、仕訳データの「配分業種コード（明細）」に値が設定されている場合のみ積み上げる。</t>
    <rPh sb="0" eb="3">
      <t>ハイフズ</t>
    </rPh>
    <rPh sb="3" eb="5">
      <t>キンガク</t>
    </rPh>
    <rPh sb="37" eb="39">
      <t>バアイ</t>
    </rPh>
    <rPh sb="41" eb="42">
      <t>ツ</t>
    </rPh>
    <rPh sb="43" eb="44">
      <t>ア</t>
    </rPh>
    <phoneticPr fontId="9"/>
  </si>
  <si>
    <t>３．処理前提</t>
    <rPh sb="2" eb="4">
      <t>ショリ</t>
    </rPh>
    <rPh sb="4" eb="6">
      <t>ゼンテイ</t>
    </rPh>
    <phoneticPr fontId="9"/>
  </si>
  <si>
    <t>・</t>
    <phoneticPr fontId="9"/>
  </si>
  <si>
    <t>事業所を跨ぐ配賦は行わない。</t>
    <rPh sb="0" eb="3">
      <t>ジギョウショ</t>
    </rPh>
    <rPh sb="4" eb="5">
      <t>マタ</t>
    </rPh>
    <rPh sb="6" eb="8">
      <t>ハイフ</t>
    </rPh>
    <rPh sb="9" eb="10">
      <t>オコナ</t>
    </rPh>
    <phoneticPr fontId="9"/>
  </si>
  <si>
    <t>配賦元は各事業所の管理業種。</t>
    <rPh sb="0" eb="3">
      <t>ハイフモト</t>
    </rPh>
    <rPh sb="4" eb="5">
      <t>カク</t>
    </rPh>
    <rPh sb="5" eb="8">
      <t>ジギョウショ</t>
    </rPh>
    <rPh sb="9" eb="13">
      <t>カンリギョウシュ</t>
    </rPh>
    <phoneticPr fontId="9"/>
  </si>
  <si>
    <t>※　本所については、管理業種では適切でない可能性があり、ホクレン様の検討課題となっている（Dチーム、２２回、2025/3/17）</t>
    <rPh sb="2" eb="4">
      <t>ホンショ</t>
    </rPh>
    <rPh sb="10" eb="14">
      <t>カンリギョウシュ</t>
    </rPh>
    <rPh sb="16" eb="18">
      <t>テキセツ</t>
    </rPh>
    <rPh sb="21" eb="24">
      <t>カノウセイ</t>
    </rPh>
    <rPh sb="32" eb="33">
      <t>サマ</t>
    </rPh>
    <rPh sb="34" eb="36">
      <t>ケントウ</t>
    </rPh>
    <rPh sb="36" eb="38">
      <t>カダイ</t>
    </rPh>
    <rPh sb="52" eb="53">
      <t>カイ</t>
    </rPh>
    <phoneticPr fontId="9"/>
  </si>
  <si>
    <t>配分する比率は人員配置マスタから取得し、本機能では比率計算は行わない。</t>
    <rPh sb="0" eb="2">
      <t>ハイブン</t>
    </rPh>
    <rPh sb="4" eb="6">
      <t>ヒリツ</t>
    </rPh>
    <rPh sb="7" eb="11">
      <t>ジンインハイチ</t>
    </rPh>
    <rPh sb="16" eb="18">
      <t>シュトク</t>
    </rPh>
    <rPh sb="20" eb="23">
      <t>ホンキノウ</t>
    </rPh>
    <rPh sb="25" eb="27">
      <t>ヒリツ</t>
    </rPh>
    <rPh sb="27" eb="29">
      <t>ケイサン</t>
    </rPh>
    <rPh sb="30" eb="31">
      <t>オコナ</t>
    </rPh>
    <phoneticPr fontId="9"/>
  </si>
  <si>
    <t>業務上の対象期間は会計年度（４月～翌３月）とする</t>
    <rPh sb="0" eb="3">
      <t>ギョウムジョウ</t>
    </rPh>
    <rPh sb="4" eb="8">
      <t>タイショウキカン</t>
    </rPh>
    <rPh sb="9" eb="13">
      <t>カイケイネンド</t>
    </rPh>
    <rPh sb="15" eb="16">
      <t>ガツ</t>
    </rPh>
    <rPh sb="17" eb="18">
      <t>ヨク</t>
    </rPh>
    <rPh sb="19" eb="20">
      <t>ガツ</t>
    </rPh>
    <phoneticPr fontId="9"/>
  </si>
  <si>
    <t>※　システムとしては、会計年度内の任意の範囲で処理可能とする</t>
    <rPh sb="11" eb="16">
      <t>カイケイネンドナイ</t>
    </rPh>
    <rPh sb="17" eb="19">
      <t>ニンイ</t>
    </rPh>
    <rPh sb="20" eb="22">
      <t>ハンイ</t>
    </rPh>
    <rPh sb="23" eb="27">
      <t>ショリカノウ</t>
    </rPh>
    <phoneticPr fontId="9"/>
  </si>
  <si>
    <t>４．抽出条件</t>
    <rPh sb="2" eb="4">
      <t>チュウシュツ</t>
    </rPh>
    <rPh sb="4" eb="6">
      <t>ジョウケン</t>
    </rPh>
    <phoneticPr fontId="9"/>
  </si>
  <si>
    <t>１）勘定科目</t>
    <rPh sb="2" eb="6">
      <t>カンジョウカモク</t>
    </rPh>
    <phoneticPr fontId="9"/>
  </si>
  <si>
    <t>対象の勘定科目は下記とする。</t>
    <rPh sb="0" eb="2">
      <t>タイショウ</t>
    </rPh>
    <rPh sb="3" eb="7">
      <t>カンジョウカモク</t>
    </rPh>
    <rPh sb="8" eb="10">
      <t>カキ</t>
    </rPh>
    <phoneticPr fontId="9"/>
  </si>
  <si>
    <t>勘定科目</t>
    <rPh sb="0" eb="4">
      <t>カンジョウカモク</t>
    </rPh>
    <phoneticPr fontId="9"/>
  </si>
  <si>
    <t>款</t>
    <phoneticPr fontId="9"/>
  </si>
  <si>
    <t>項</t>
    <rPh sb="0" eb="1">
      <t>コウ</t>
    </rPh>
    <phoneticPr fontId="9"/>
  </si>
  <si>
    <t>目</t>
    <rPh sb="0" eb="1">
      <t>モク</t>
    </rPh>
    <phoneticPr fontId="9"/>
  </si>
  <si>
    <t>節</t>
    <rPh sb="0" eb="1">
      <t>フシ</t>
    </rPh>
    <phoneticPr fontId="9"/>
  </si>
  <si>
    <t>消耗品印刷費</t>
    <rPh sb="0" eb="3">
      <t>ショウモウヒン</t>
    </rPh>
    <rPh sb="3" eb="6">
      <t>インサツヒ</t>
    </rPh>
    <phoneticPr fontId="9"/>
  </si>
  <si>
    <t>事業管理費</t>
    <rPh sb="0" eb="2">
      <t>ジギョウ</t>
    </rPh>
    <rPh sb="2" eb="5">
      <t>カンリヒ</t>
    </rPh>
    <phoneticPr fontId="9"/>
  </si>
  <si>
    <t>事務費</t>
    <rPh sb="0" eb="3">
      <t>ジムヒ</t>
    </rPh>
    <phoneticPr fontId="9"/>
  </si>
  <si>
    <t>消耗印刷費</t>
    <phoneticPr fontId="9"/>
  </si>
  <si>
    <t>業種別</t>
    <rPh sb="0" eb="3">
      <t>ギョウシュベツ</t>
    </rPh>
    <phoneticPr fontId="9"/>
  </si>
  <si>
    <t>図書費</t>
    <rPh sb="0" eb="3">
      <t>トショヒ</t>
    </rPh>
    <phoneticPr fontId="9"/>
  </si>
  <si>
    <t>図書費</t>
    <phoneticPr fontId="9"/>
  </si>
  <si>
    <t>－</t>
    <phoneticPr fontId="9"/>
  </si>
  <si>
    <t>施設管理費</t>
    <rPh sb="0" eb="2">
      <t>シセツ</t>
    </rPh>
    <rPh sb="2" eb="5">
      <t>カンリヒ</t>
    </rPh>
    <phoneticPr fontId="9"/>
  </si>
  <si>
    <t>施設費</t>
    <rPh sb="0" eb="3">
      <t>シセツヒ</t>
    </rPh>
    <phoneticPr fontId="9"/>
  </si>
  <si>
    <t>※</t>
    <phoneticPr fontId="9"/>
  </si>
  <si>
    <t>上記の勘定科目は現行システムである点に注意。</t>
    <rPh sb="0" eb="2">
      <t>ジョウキ</t>
    </rPh>
    <rPh sb="3" eb="7">
      <t>カンジョウカモク</t>
    </rPh>
    <rPh sb="8" eb="10">
      <t>ゲンコウ</t>
    </rPh>
    <rPh sb="17" eb="18">
      <t>テン</t>
    </rPh>
    <rPh sb="19" eb="21">
      <t>チュウイ</t>
    </rPh>
    <phoneticPr fontId="9"/>
  </si>
  <si>
    <t>新システムに合わせて勘定科目の見直しが入るため、その結果で抽出する必要がある。</t>
    <rPh sb="0" eb="1">
      <t>シン</t>
    </rPh>
    <rPh sb="6" eb="7">
      <t>ア</t>
    </rPh>
    <rPh sb="10" eb="14">
      <t>カンジョウカモク</t>
    </rPh>
    <rPh sb="15" eb="17">
      <t>ミナオ</t>
    </rPh>
    <rPh sb="19" eb="20">
      <t>ハイ</t>
    </rPh>
    <rPh sb="26" eb="28">
      <t>ケッカ</t>
    </rPh>
    <rPh sb="29" eb="31">
      <t>チュウシュツ</t>
    </rPh>
    <rPh sb="33" eb="35">
      <t>ヒツヨウ</t>
    </rPh>
    <phoneticPr fontId="9"/>
  </si>
  <si>
    <t>２）事業所</t>
    <rPh sb="2" eb="5">
      <t>ジギョウショ</t>
    </rPh>
    <phoneticPr fontId="9"/>
  </si>
  <si>
    <t>人員配置マスタに登録されている事業所を対象とする。</t>
    <rPh sb="0" eb="2">
      <t>ジンイン</t>
    </rPh>
    <rPh sb="2" eb="4">
      <t>ハイチ</t>
    </rPh>
    <rPh sb="8" eb="10">
      <t>トウロク</t>
    </rPh>
    <rPh sb="15" eb="18">
      <t>ジギョウショ</t>
    </rPh>
    <rPh sb="19" eb="21">
      <t>タイショウ</t>
    </rPh>
    <phoneticPr fontId="9"/>
  </si>
  <si>
    <t>人員配置マスタは履歴管理はせず、直近の状態のみ保持されている前提</t>
    <rPh sb="0" eb="4">
      <t>ジンインハイチ</t>
    </rPh>
    <rPh sb="8" eb="12">
      <t>リレキカンリ</t>
    </rPh>
    <rPh sb="16" eb="18">
      <t>チョッキン</t>
    </rPh>
    <rPh sb="19" eb="21">
      <t>ジョウタイ</t>
    </rPh>
    <rPh sb="23" eb="25">
      <t>ホジ</t>
    </rPh>
    <rPh sb="30" eb="32">
      <t>ゼンテイ</t>
    </rPh>
    <phoneticPr fontId="9"/>
  </si>
  <si>
    <t>３）配賦元</t>
    <rPh sb="2" eb="5">
      <t>ハイフモト</t>
    </rPh>
    <phoneticPr fontId="9"/>
  </si>
  <si>
    <t>配賦元は各事業所の管理業種とする。</t>
    <rPh sb="0" eb="3">
      <t>ハイフモト</t>
    </rPh>
    <rPh sb="4" eb="5">
      <t>カク</t>
    </rPh>
    <rPh sb="5" eb="8">
      <t>ジギョウショ</t>
    </rPh>
    <rPh sb="9" eb="13">
      <t>カンリギョウシュ</t>
    </rPh>
    <phoneticPr fontId="9"/>
  </si>
  <si>
    <t>５．配賦元金額について</t>
    <rPh sb="2" eb="5">
      <t>ハイフモト</t>
    </rPh>
    <rPh sb="5" eb="7">
      <t>キンガク</t>
    </rPh>
    <phoneticPr fontId="9"/>
  </si>
  <si>
    <t>１）配賦元金額</t>
    <rPh sb="2" eb="4">
      <t>ハイフ</t>
    </rPh>
    <rPh sb="4" eb="5">
      <t>モト</t>
    </rPh>
    <rPh sb="5" eb="7">
      <t>キンガク</t>
    </rPh>
    <phoneticPr fontId="9"/>
  </si>
  <si>
    <t>配賦元金額は、残高の配賦元金額 - 配賦済金額とする。</t>
    <rPh sb="0" eb="3">
      <t>ハイフモト</t>
    </rPh>
    <rPh sb="3" eb="5">
      <t>キンガク</t>
    </rPh>
    <rPh sb="7" eb="9">
      <t>ザンダカ</t>
    </rPh>
    <rPh sb="10" eb="13">
      <t>ハイフモト</t>
    </rPh>
    <rPh sb="13" eb="15">
      <t>キンガク</t>
    </rPh>
    <rPh sb="18" eb="21">
      <t>ハイフズ</t>
    </rPh>
    <rPh sb="21" eb="23">
      <t>キンガク</t>
    </rPh>
    <phoneticPr fontId="9"/>
  </si>
  <si>
    <t>６．差額の扱い</t>
    <rPh sb="2" eb="4">
      <t>サガク</t>
    </rPh>
    <rPh sb="5" eb="6">
      <t>アツカ</t>
    </rPh>
    <phoneticPr fontId="9"/>
  </si>
  <si>
    <t>１）差額反映先について</t>
    <rPh sb="2" eb="4">
      <t>サガク</t>
    </rPh>
    <rPh sb="4" eb="7">
      <t>ハンエイサキ</t>
    </rPh>
    <phoneticPr fontId="4"/>
  </si>
  <si>
    <t>配分元と配分先で金額が一致しない事があった場合、その差額は最も配分金額が大きな</t>
    <rPh sb="0" eb="3">
      <t>ハイブンモト</t>
    </rPh>
    <rPh sb="4" eb="7">
      <t>ハイブンサキ</t>
    </rPh>
    <rPh sb="8" eb="10">
      <t>キンガク</t>
    </rPh>
    <rPh sb="11" eb="13">
      <t>イッチ</t>
    </rPh>
    <rPh sb="16" eb="17">
      <t>コト</t>
    </rPh>
    <rPh sb="21" eb="23">
      <t>バアイ</t>
    </rPh>
    <rPh sb="26" eb="28">
      <t>サガク</t>
    </rPh>
    <rPh sb="29" eb="30">
      <t>モット</t>
    </rPh>
    <rPh sb="31" eb="33">
      <t>ハイブン</t>
    </rPh>
    <rPh sb="33" eb="35">
      <t>キンガク</t>
    </rPh>
    <rPh sb="36" eb="37">
      <t>オオ</t>
    </rPh>
    <phoneticPr fontId="4"/>
  </si>
  <si>
    <t>配分先から減算して、必ず配分元金額と配分先金額が一致するようにする。</t>
    <rPh sb="0" eb="3">
      <t>ハイブンサキ</t>
    </rPh>
    <rPh sb="5" eb="7">
      <t>ゲンザン</t>
    </rPh>
    <rPh sb="10" eb="11">
      <t>カナラ</t>
    </rPh>
    <rPh sb="12" eb="15">
      <t>ハイブンモト</t>
    </rPh>
    <rPh sb="15" eb="17">
      <t>キンガク</t>
    </rPh>
    <rPh sb="18" eb="21">
      <t>ハイブンサキ</t>
    </rPh>
    <rPh sb="21" eb="23">
      <t>キンガク</t>
    </rPh>
    <rPh sb="24" eb="26">
      <t>イッチ</t>
    </rPh>
    <phoneticPr fontId="4"/>
  </si>
  <si>
    <t>２）配分金額がマイナスとなる場合の考慮</t>
    <rPh sb="2" eb="6">
      <t>ハイブンキンガク</t>
    </rPh>
    <rPh sb="14" eb="16">
      <t>バアイ</t>
    </rPh>
    <rPh sb="17" eb="19">
      <t>コウリョ</t>
    </rPh>
    <phoneticPr fontId="4"/>
  </si>
  <si>
    <t>なお、差額反映先については、絶対値で判断する。</t>
    <rPh sb="3" eb="5">
      <t>サガク</t>
    </rPh>
    <rPh sb="5" eb="7">
      <t>ハンエイ</t>
    </rPh>
    <rPh sb="7" eb="8">
      <t>サキ</t>
    </rPh>
    <rPh sb="14" eb="17">
      <t>ゼッタイチ</t>
    </rPh>
    <rPh sb="18" eb="20">
      <t>ハンダン</t>
    </rPh>
    <phoneticPr fontId="4"/>
  </si>
  <si>
    <t>配分元金額が負数の場合、配分元金額が最も小さくなる事業所・業種を差額反映先とする。</t>
    <rPh sb="0" eb="3">
      <t>ハイブンモト</t>
    </rPh>
    <rPh sb="3" eb="5">
      <t>キンガク</t>
    </rPh>
    <rPh sb="6" eb="8">
      <t>フスウ</t>
    </rPh>
    <rPh sb="9" eb="11">
      <t>バアイ</t>
    </rPh>
    <rPh sb="12" eb="15">
      <t>ハイブンモト</t>
    </rPh>
    <rPh sb="15" eb="17">
      <t>キンガク</t>
    </rPh>
    <rPh sb="18" eb="19">
      <t>モット</t>
    </rPh>
    <rPh sb="20" eb="21">
      <t>チイ</t>
    </rPh>
    <rPh sb="25" eb="28">
      <t>ジギョウショ</t>
    </rPh>
    <rPh sb="29" eb="31">
      <t>ギョウシュ</t>
    </rPh>
    <rPh sb="32" eb="34">
      <t>サガク</t>
    </rPh>
    <rPh sb="34" eb="37">
      <t>ハンエイサキ</t>
    </rPh>
    <phoneticPr fontId="4"/>
  </si>
  <si>
    <t>３）差額反映先の対象が複数存在する場合</t>
    <rPh sb="2" eb="4">
      <t>サガク</t>
    </rPh>
    <rPh sb="4" eb="6">
      <t>ハンエイ</t>
    </rPh>
    <rPh sb="6" eb="7">
      <t>サキ</t>
    </rPh>
    <rPh sb="8" eb="10">
      <t>タイショウ</t>
    </rPh>
    <rPh sb="11" eb="13">
      <t>フクスウ</t>
    </rPh>
    <rPh sb="13" eb="15">
      <t>ソンザイ</t>
    </rPh>
    <rPh sb="17" eb="19">
      <t>バアイ</t>
    </rPh>
    <phoneticPr fontId="4"/>
  </si>
  <si>
    <t>差額の反映先の金額が同額になった場合、事業所・業種を表すコードが最も若い先から減算する。</t>
    <rPh sb="0" eb="2">
      <t>サガク</t>
    </rPh>
    <rPh sb="3" eb="6">
      <t>ハンエイサキ</t>
    </rPh>
    <rPh sb="7" eb="9">
      <t>キンガク</t>
    </rPh>
    <rPh sb="10" eb="12">
      <t>ドウガク</t>
    </rPh>
    <rPh sb="16" eb="18">
      <t>バアイ</t>
    </rPh>
    <rPh sb="19" eb="22">
      <t>ジギョウショ</t>
    </rPh>
    <rPh sb="23" eb="25">
      <t>ギョウシュ</t>
    </rPh>
    <rPh sb="26" eb="27">
      <t>アラワ</t>
    </rPh>
    <rPh sb="32" eb="33">
      <t>モット</t>
    </rPh>
    <rPh sb="34" eb="35">
      <t>ワカ</t>
    </rPh>
    <rPh sb="36" eb="37">
      <t>サキ</t>
    </rPh>
    <rPh sb="39" eb="41">
      <t>ゲンザン</t>
    </rPh>
    <phoneticPr fontId="4"/>
  </si>
  <si>
    <t>事業分量割戻データ作成</t>
    <phoneticPr fontId="3"/>
  </si>
  <si>
    <t>事業分量割戻データは、会員別利用高調書作成と同じ条件で抽出したデータを、会員別利用高調書作成と異なる条件で</t>
    <rPh sb="22" eb="23">
      <t>オナ</t>
    </rPh>
    <rPh sb="24" eb="26">
      <t>ジョウケン</t>
    </rPh>
    <rPh sb="27" eb="29">
      <t>チュウシュツ</t>
    </rPh>
    <rPh sb="47" eb="48">
      <t>コト</t>
    </rPh>
    <rPh sb="50" eb="52">
      <t>ジョウケン</t>
    </rPh>
    <phoneticPr fontId="9"/>
  </si>
  <si>
    <t>集計した資料となる。</t>
    <rPh sb="0" eb="2">
      <t>シュウケイ</t>
    </rPh>
    <rPh sb="4" eb="6">
      <t>シリョウ</t>
    </rPh>
    <phoneticPr fontId="9"/>
  </si>
  <si>
    <t>２．抽出条件</t>
    <rPh sb="2" eb="4">
      <t>チュウシュツ</t>
    </rPh>
    <rPh sb="4" eb="6">
      <t>ジョウケン</t>
    </rPh>
    <phoneticPr fontId="9"/>
  </si>
  <si>
    <t>１）取引先</t>
    <rPh sb="2" eb="5">
      <t>トリヒキサキ</t>
    </rPh>
    <phoneticPr fontId="9"/>
  </si>
  <si>
    <t>取引先マスタの会員区分 = "02"（会員）</t>
    <rPh sb="0" eb="3">
      <t>トリヒキサキ</t>
    </rPh>
    <rPh sb="7" eb="9">
      <t>カイイン</t>
    </rPh>
    <rPh sb="9" eb="11">
      <t>クブン</t>
    </rPh>
    <rPh sb="19" eb="21">
      <t>カイイン</t>
    </rPh>
    <phoneticPr fontId="9"/>
  </si>
  <si>
    <t>又は</t>
    <rPh sb="0" eb="1">
      <t>マタ</t>
    </rPh>
    <phoneticPr fontId="9"/>
  </si>
  <si>
    <t>取引先コードが以下の何れかである。</t>
    <rPh sb="0" eb="3">
      <t>トリヒキサキ</t>
    </rPh>
    <rPh sb="7" eb="9">
      <t>イカ</t>
    </rPh>
    <rPh sb="10" eb="11">
      <t>イズ</t>
    </rPh>
    <phoneticPr fontId="9"/>
  </si>
  <si>
    <t>08521</t>
    <phoneticPr fontId="9"/>
  </si>
  <si>
    <t>ホクレン商事</t>
    <phoneticPr fontId="9"/>
  </si>
  <si>
    <t>08535</t>
    <phoneticPr fontId="9"/>
  </si>
  <si>
    <t>２）勘定科目</t>
    <rPh sb="2" eb="6">
      <t>カンジョウカモク</t>
    </rPh>
    <phoneticPr fontId="9"/>
  </si>
  <si>
    <t>勘定科目コードが以下の何れかであるデータを抽出する。</t>
    <rPh sb="0" eb="4">
      <t>カンジョウカモク</t>
    </rPh>
    <rPh sb="8" eb="10">
      <t>イカ</t>
    </rPh>
    <rPh sb="11" eb="12">
      <t>イズ</t>
    </rPh>
    <rPh sb="21" eb="23">
      <t>チュウシュツ</t>
    </rPh>
    <phoneticPr fontId="9"/>
  </si>
  <si>
    <t>勘定科目コード</t>
    <rPh sb="0" eb="4">
      <t>カンジョウカモク</t>
    </rPh>
    <phoneticPr fontId="9"/>
  </si>
  <si>
    <t>その他条件</t>
    <rPh sb="2" eb="5">
      <t>タジョウケン</t>
    </rPh>
    <phoneticPr fontId="9"/>
  </si>
  <si>
    <t>110601</t>
    <phoneticPr fontId="9"/>
  </si>
  <si>
    <t>購買共計支払金</t>
    <phoneticPr fontId="3"/>
  </si>
  <si>
    <t>取扱区分=4:共計</t>
    <phoneticPr fontId="9"/>
  </si>
  <si>
    <t>400101</t>
    <phoneticPr fontId="9"/>
  </si>
  <si>
    <t>購買手数料</t>
    <phoneticPr fontId="3"/>
  </si>
  <si>
    <t>110501</t>
    <phoneticPr fontId="9"/>
  </si>
  <si>
    <t>購買未収金</t>
    <phoneticPr fontId="3"/>
  </si>
  <si>
    <t>210401</t>
    <phoneticPr fontId="9"/>
  </si>
  <si>
    <t>購買未払金</t>
    <phoneticPr fontId="3"/>
  </si>
  <si>
    <t>110502</t>
    <phoneticPr fontId="9"/>
  </si>
  <si>
    <t>販売未収金</t>
    <phoneticPr fontId="3"/>
  </si>
  <si>
    <t>210402</t>
    <phoneticPr fontId="9"/>
  </si>
  <si>
    <t>販売未払金</t>
    <phoneticPr fontId="3"/>
  </si>
  <si>
    <t>110602</t>
    <phoneticPr fontId="9"/>
  </si>
  <si>
    <t>販売共計支払金</t>
    <phoneticPr fontId="3"/>
  </si>
  <si>
    <t>取扱区分=4:共計、共計区分=2:地区共計</t>
    <phoneticPr fontId="9"/>
  </si>
  <si>
    <t>取扱区分=4:共計、収支管理品目コード=246627（共計大豆（精算））</t>
    <phoneticPr fontId="9"/>
  </si>
  <si>
    <t>400103</t>
    <phoneticPr fontId="9"/>
  </si>
  <si>
    <t>販売手数料</t>
    <phoneticPr fontId="9"/>
  </si>
  <si>
    <t>３．集計条件</t>
    <rPh sb="2" eb="4">
      <t>シュウケイ</t>
    </rPh>
    <rPh sb="4" eb="6">
      <t>ジョウケン</t>
    </rPh>
    <phoneticPr fontId="9"/>
  </si>
  <si>
    <t>集計条件</t>
    <rPh sb="0" eb="2">
      <t>シュウケイ</t>
    </rPh>
    <rPh sb="2" eb="4">
      <t>ジョウケン</t>
    </rPh>
    <phoneticPr fontId="9"/>
  </si>
  <si>
    <t>相手先コード（５桁）</t>
    <rPh sb="0" eb="2">
      <t>アイテ</t>
    </rPh>
    <rPh sb="2" eb="3">
      <t>サキ</t>
    </rPh>
    <rPh sb="8" eb="9">
      <t>ケタ</t>
    </rPh>
    <phoneticPr fontId="9"/>
  </si>
  <si>
    <t>業種コード</t>
    <rPh sb="0" eb="2">
      <t>ギョウシュ</t>
    </rPh>
    <phoneticPr fontId="9"/>
  </si>
  <si>
    <t>集計金額</t>
    <rPh sb="0" eb="2">
      <t>シュウケイ</t>
    </rPh>
    <rPh sb="2" eb="4">
      <t>キンガク</t>
    </rPh>
    <phoneticPr fontId="9"/>
  </si>
  <si>
    <t>日計金額</t>
    <phoneticPr fontId="9"/>
  </si>
  <si>
    <t>名称はデータストアの項目名称</t>
    <rPh sb="0" eb="2">
      <t>メイショウ</t>
    </rPh>
    <rPh sb="10" eb="14">
      <t>コウモクメイショウ</t>
    </rPh>
    <phoneticPr fontId="9"/>
  </si>
  <si>
    <t>集計する金額は税抜き金額。会員別利用高調書の「合計（本体）」と同じ金額になる。</t>
    <rPh sb="0" eb="2">
      <t>シュウケイ</t>
    </rPh>
    <rPh sb="4" eb="6">
      <t>キンガク</t>
    </rPh>
    <rPh sb="7" eb="8">
      <t>ゼイ</t>
    </rPh>
    <rPh sb="8" eb="9">
      <t>ヌ</t>
    </rPh>
    <rPh sb="10" eb="12">
      <t>キンガク</t>
    </rPh>
    <rPh sb="23" eb="25">
      <t>ゴウケイ</t>
    </rPh>
    <rPh sb="26" eb="28">
      <t>ホンタイ</t>
    </rPh>
    <rPh sb="31" eb="32">
      <t>オナ</t>
    </rPh>
    <rPh sb="33" eb="35">
      <t>キンガク</t>
    </rPh>
    <phoneticPr fontId="9"/>
  </si>
  <si>
    <t>４．その他</t>
    <rPh sb="4" eb="5">
      <t>タ</t>
    </rPh>
    <phoneticPr fontId="9"/>
  </si>
  <si>
    <t>１）取引先名について</t>
    <rPh sb="2" eb="6">
      <t>トリヒキサキメイ</t>
    </rPh>
    <phoneticPr fontId="9"/>
  </si>
  <si>
    <t>本資料では取引先を農協と表示する（ＣＳＶ設計書の項目定義通りの名称）。</t>
    <rPh sb="0" eb="3">
      <t>ホンシリョウ</t>
    </rPh>
    <rPh sb="5" eb="9">
      <t>トリヒキ</t>
    </rPh>
    <rPh sb="9" eb="11">
      <t>ノウキョウ</t>
    </rPh>
    <rPh sb="12" eb="14">
      <t>ヒョウジ</t>
    </rPh>
    <rPh sb="20" eb="23">
      <t>セッケイショ</t>
    </rPh>
    <rPh sb="24" eb="28">
      <t>コウモクテイギ</t>
    </rPh>
    <rPh sb="28" eb="29">
      <t>ドオ</t>
    </rPh>
    <rPh sb="31" eb="33">
      <t>メイショウ</t>
    </rPh>
    <phoneticPr fontId="9"/>
  </si>
  <si>
    <t>２）取引先コード</t>
    <rPh sb="2" eb="4">
      <t>トリヒキ</t>
    </rPh>
    <rPh sb="4" eb="5">
      <t>サキ</t>
    </rPh>
    <phoneticPr fontId="9"/>
  </si>
  <si>
    <t>ＣＳＶには、取引先コード５桁の下４桁を出力する。</t>
    <rPh sb="6" eb="9">
      <t>トリヒキサキ</t>
    </rPh>
    <rPh sb="13" eb="14">
      <t>ケタ</t>
    </rPh>
    <rPh sb="15" eb="16">
      <t>シモ</t>
    </rPh>
    <rPh sb="17" eb="18">
      <t>ケタ</t>
    </rPh>
    <rPh sb="19" eb="21">
      <t>シュツリョク</t>
    </rPh>
    <phoneticPr fontId="9"/>
  </si>
  <si>
    <t>帳票出力制御</t>
    <phoneticPr fontId="3"/>
  </si>
  <si>
    <t>１．帳票出力制御マスタに関して</t>
    <phoneticPr fontId="9"/>
  </si>
  <si>
    <t>（１）帳票出力制御マスタの登録データと出力マッピング</t>
    <rPh sb="13" eb="15">
      <t>トウロク</t>
    </rPh>
    <rPh sb="19" eb="21">
      <t>シュツリョク</t>
    </rPh>
    <phoneticPr fontId="9"/>
  </si>
  <si>
    <t>会員別利用高調書作成/事業分量割戻データ作成</t>
    <phoneticPr fontId="9"/>
  </si>
  <si>
    <t>出力順</t>
    <rPh sb="0" eb="2">
      <t>シュツリョク</t>
    </rPh>
    <rPh sb="2" eb="3">
      <t>ジュン</t>
    </rPh>
    <phoneticPr fontId="9"/>
  </si>
  <si>
    <t>共計支払金</t>
    <phoneticPr fontId="9"/>
  </si>
  <si>
    <t>210501</t>
    <phoneticPr fontId="9"/>
  </si>
  <si>
    <t>購買共計受入金</t>
    <phoneticPr fontId="3"/>
  </si>
  <si>
    <t>未収金</t>
    <phoneticPr fontId="9"/>
  </si>
  <si>
    <t>未払金</t>
    <phoneticPr fontId="9"/>
  </si>
  <si>
    <t>210502</t>
    <phoneticPr fontId="9"/>
  </si>
  <si>
    <t>販売共計受入金</t>
    <phoneticPr fontId="3"/>
  </si>
  <si>
    <t>系統利用高調書</t>
    <phoneticPr fontId="9"/>
  </si>
  <si>
    <t>会員区分=01:取引先</t>
    <phoneticPr fontId="9"/>
  </si>
  <si>
    <t>上記の条件に以下取引先コードの場合、出力対象</t>
    <rPh sb="0" eb="2">
      <t>ジョウキ</t>
    </rPh>
    <rPh sb="3" eb="5">
      <t>ジョウケン</t>
    </rPh>
    <rPh sb="6" eb="8">
      <t>イカ</t>
    </rPh>
    <rPh sb="8" eb="10">
      <t>トリヒキ</t>
    </rPh>
    <rPh sb="10" eb="11">
      <t>サキ</t>
    </rPh>
    <rPh sb="15" eb="17">
      <t>バアイ</t>
    </rPh>
    <rPh sb="18" eb="20">
      <t>シュツリョク</t>
    </rPh>
    <rPh sb="20" eb="22">
      <t>タイショウ</t>
    </rPh>
    <phoneticPr fontId="9"/>
  </si>
  <si>
    <t>会員区分=01:系統　または</t>
    <phoneticPr fontId="9"/>
  </si>
  <si>
    <t>取引先コード</t>
    <phoneticPr fontId="9"/>
  </si>
  <si>
    <t>08400 全国</t>
  </si>
  <si>
    <t>08490 全農本所（家畜販売）</t>
    <phoneticPr fontId="9"/>
  </si>
  <si>
    <t>08491 全農本所生産振興課</t>
  </si>
  <si>
    <t>08493 全農名古屋支所（家畜販売）</t>
  </si>
  <si>
    <t>08492 全農本所（家畜販売）</t>
  </si>
  <si>
    <t>08494 ＪＡ全農</t>
  </si>
  <si>
    <t>08495 ＪＡ全農　西日本酪農事業所</t>
  </si>
  <si>
    <t>コードデータマスタ</t>
    <phoneticPr fontId="3"/>
  </si>
  <si>
    <t>１．補足 コードデータマスタ</t>
    <phoneticPr fontId="9"/>
  </si>
  <si>
    <t>CDSBT_CD</t>
    <phoneticPr fontId="3"/>
  </si>
  <si>
    <t>種別マスタから</t>
    <phoneticPr fontId="3"/>
  </si>
  <si>
    <t>CDDAT_CD</t>
    <phoneticPr fontId="3"/>
  </si>
  <si>
    <t>CODE_MEI_KJ_TXT</t>
    <phoneticPr fontId="3"/>
  </si>
  <si>
    <t>CODE_MEI_KN_TXT</t>
    <phoneticPr fontId="3"/>
  </si>
  <si>
    <t>CODE_MEI_ES_TXT</t>
    <phoneticPr fontId="3"/>
  </si>
  <si>
    <t>コード種別</t>
    <phoneticPr fontId="3"/>
  </si>
  <si>
    <t>種別名</t>
    <phoneticPr fontId="3"/>
  </si>
  <si>
    <t>コードデータ</t>
    <phoneticPr fontId="3"/>
  </si>
  <si>
    <t>コード名称（漢字）</t>
    <phoneticPr fontId="3"/>
  </si>
  <si>
    <t>コード名称（カナ）</t>
    <phoneticPr fontId="3"/>
  </si>
  <si>
    <t>コード名称（英数</t>
    <phoneticPr fontId="3"/>
  </si>
  <si>
    <t xml:space="preserve"> E433</t>
    <phoneticPr fontId="13"/>
  </si>
  <si>
    <t>購買販売区分</t>
    <phoneticPr fontId="9"/>
  </si>
  <si>
    <t>購買</t>
    <rPh sb="0" eb="2">
      <t>コウバイ</t>
    </rPh>
    <phoneticPr fontId="13"/>
  </si>
  <si>
    <t>ｺｳﾊﾞｲ</t>
    <phoneticPr fontId="13"/>
  </si>
  <si>
    <t>KOUBAI</t>
    <phoneticPr fontId="13"/>
  </si>
  <si>
    <t>販売</t>
    <rPh sb="0" eb="2">
      <t>ハンバイ</t>
    </rPh>
    <phoneticPr fontId="13"/>
  </si>
  <si>
    <t>ﾊﾝﾊﾞｲ</t>
    <phoneticPr fontId="13"/>
  </si>
  <si>
    <t>HANBAI</t>
    <phoneticPr fontId="13"/>
  </si>
  <si>
    <t xml:space="preserve"> E433</t>
    <phoneticPr fontId="9"/>
  </si>
  <si>
    <t>その他</t>
    <phoneticPr fontId="9"/>
  </si>
  <si>
    <t>ｿﾉﾀ</t>
    <phoneticPr fontId="13"/>
  </si>
  <si>
    <t>SONOTA</t>
    <phoneticPr fontId="13"/>
  </si>
  <si>
    <t xml:space="preserve"> B139</t>
    <phoneticPr fontId="9"/>
  </si>
  <si>
    <t>取扱区分　　　　　　　　　　　　　　　　</t>
  </si>
  <si>
    <t xml:space="preserve">1    </t>
  </si>
  <si>
    <t>買取　　　　　　　　　　　　　　　　　　</t>
  </si>
  <si>
    <t xml:space="preserve">ｶｲﾄﾘ                                    </t>
  </si>
  <si>
    <t xml:space="preserve">KAITORI         </t>
  </si>
  <si>
    <t xml:space="preserve"> B139</t>
  </si>
  <si>
    <t xml:space="preserve">2    </t>
  </si>
  <si>
    <t>受託　　　　　　　　　　　　　　　　　　</t>
  </si>
  <si>
    <t xml:space="preserve">ｼﾞｭﾀｸ                                   </t>
  </si>
  <si>
    <t xml:space="preserve">JUTAKU          </t>
  </si>
  <si>
    <t xml:space="preserve">3    </t>
  </si>
  <si>
    <t>直送　　　　　　　　　　　　　　　　　　</t>
  </si>
  <si>
    <t xml:space="preserve">ﾁｮｸｿｳ                                   </t>
  </si>
  <si>
    <t xml:space="preserve">TYOKUSO         </t>
  </si>
  <si>
    <t xml:space="preserve">4    </t>
  </si>
  <si>
    <t>共計　　　　　　　　　　　　　　　　　　</t>
  </si>
  <si>
    <t xml:space="preserve">ｷｮｳｹｲ                                   </t>
  </si>
  <si>
    <t xml:space="preserve">KYOUKEI         </t>
  </si>
  <si>
    <t xml:space="preserve">5    </t>
  </si>
  <si>
    <t>原料　　　　　　　　　　　　　　　　　　</t>
  </si>
  <si>
    <t xml:space="preserve">ｹﾞﾝﾘｮｳ                                  </t>
  </si>
  <si>
    <t xml:space="preserve">GENRYO          </t>
  </si>
  <si>
    <t xml:space="preserve">9    </t>
  </si>
  <si>
    <t>輸送　　　　　　　　　　　　　　　　　　</t>
  </si>
  <si>
    <t xml:space="preserve">ﾕｿｳ                                     </t>
  </si>
  <si>
    <t xml:space="preserve">YUSOU           </t>
  </si>
  <si>
    <t>新規</t>
    <rPh sb="0" eb="2">
      <t>シンキ</t>
    </rPh>
    <phoneticPr fontId="9"/>
  </si>
  <si>
    <t>全農取引先コード</t>
    <rPh sb="2" eb="5">
      <t>トリヒキサキ</t>
    </rPh>
    <phoneticPr fontId="9"/>
  </si>
  <si>
    <t>08400</t>
    <phoneticPr fontId="9"/>
  </si>
  <si>
    <t>全国</t>
    <phoneticPr fontId="9"/>
  </si>
  <si>
    <t>ZENNOU01</t>
    <phoneticPr fontId="9"/>
  </si>
  <si>
    <t xml:space="preserve">08490 </t>
    <phoneticPr fontId="9"/>
  </si>
  <si>
    <t>全農本所（家畜販売）</t>
    <phoneticPr fontId="9"/>
  </si>
  <si>
    <t>ZENNOU02</t>
    <phoneticPr fontId="9"/>
  </si>
  <si>
    <t xml:space="preserve">08491 </t>
    <phoneticPr fontId="9"/>
  </si>
  <si>
    <t>全農本所生産振興課</t>
    <phoneticPr fontId="9"/>
  </si>
  <si>
    <t>ZENNOU03</t>
  </si>
  <si>
    <t xml:space="preserve">08493 </t>
    <phoneticPr fontId="9"/>
  </si>
  <si>
    <t>全農名古屋支所（家畜販売）</t>
    <phoneticPr fontId="9"/>
  </si>
  <si>
    <t>ZENNOU04</t>
  </si>
  <si>
    <t xml:space="preserve">08492 </t>
    <phoneticPr fontId="9"/>
  </si>
  <si>
    <t>ZENNOU05</t>
  </si>
  <si>
    <t xml:space="preserve">08494 </t>
    <phoneticPr fontId="9"/>
  </si>
  <si>
    <t>ＪＡ全農</t>
    <phoneticPr fontId="9"/>
  </si>
  <si>
    <t>ZENNOU06</t>
  </si>
  <si>
    <t>08495</t>
    <phoneticPr fontId="9"/>
  </si>
  <si>
    <t>ＪＡ全農　西日本酪農事業所</t>
    <phoneticPr fontId="9"/>
  </si>
  <si>
    <t>ZENNOU07</t>
  </si>
  <si>
    <t>会員別系統利用高対象取引先</t>
    <rPh sb="8" eb="10">
      <t>タイショウ</t>
    </rPh>
    <rPh sb="10" eb="13">
      <t>トリヒキサキ</t>
    </rPh>
    <phoneticPr fontId="9"/>
  </si>
  <si>
    <t>0853</t>
    <phoneticPr fontId="9"/>
  </si>
  <si>
    <t>管理会計</t>
    <rPh sb="0" eb="4">
      <t>カンリカイケイ</t>
    </rPh>
    <phoneticPr fontId="3"/>
  </si>
  <si>
    <t>3.3</t>
    <phoneticPr fontId="3"/>
  </si>
  <si>
    <t>１．帳票出力条件</t>
    <rPh sb="6" eb="8">
      <t>ジョウケン</t>
    </rPh>
    <phoneticPr fontId="9"/>
  </si>
  <si>
    <t>条件</t>
    <rPh sb="0" eb="2">
      <t>ジョウケン</t>
    </rPh>
    <phoneticPr fontId="9"/>
  </si>
  <si>
    <t>事業分量割戻データ</t>
    <phoneticPr fontId="9"/>
  </si>
  <si>
    <t>会員別利用高調書</t>
    <phoneticPr fontId="9"/>
  </si>
  <si>
    <t>取引先</t>
    <phoneticPr fontId="9"/>
  </si>
  <si>
    <t>農協（会員区分=02:会員）または</t>
    <phoneticPr fontId="9"/>
  </si>
  <si>
    <t>取引先（会員区分=01:取引先）かつ</t>
    <phoneticPr fontId="9"/>
  </si>
  <si>
    <t>全農</t>
    <phoneticPr fontId="9"/>
  </si>
  <si>
    <t>08521：ホクレン商事</t>
  </si>
  <si>
    <t>08400 全国</t>
    <phoneticPr fontId="9"/>
  </si>
  <si>
    <t>08535：ホクレン商事</t>
  </si>
  <si>
    <t>08490 全農本所（家畜販売）</t>
  </si>
  <si>
    <t>勘定科目</t>
    <phoneticPr fontId="9"/>
  </si>
  <si>
    <t>その他条件</t>
    <phoneticPr fontId="9"/>
  </si>
  <si>
    <t>取扱区分=4:共計、</t>
    <phoneticPr fontId="9"/>
  </si>
  <si>
    <t>収支管理品目コード=246627（共計大豆（精算））</t>
    <phoneticPr fontId="9"/>
  </si>
  <si>
    <t>事業分量割戻データ・会員別・系統利用高調書共通抽出条件</t>
    <rPh sb="23" eb="25">
      <t>チュウシュツ</t>
    </rPh>
    <rPh sb="25" eb="27">
      <t>ジョウケン</t>
    </rPh>
    <phoneticPr fontId="3"/>
  </si>
  <si>
    <t>統合会計システム</t>
    <phoneticPr fontId="23"/>
  </si>
  <si>
    <t>2025/8/29</t>
    <phoneticPr fontId="23"/>
  </si>
  <si>
    <t>3.3</t>
    <phoneticPr fontId="23"/>
  </si>
  <si>
    <t>管理会計参照可能データ範囲</t>
    <phoneticPr fontId="23"/>
  </si>
  <si>
    <t>１．管理会計帳票での参照可能データ範囲</t>
    <rPh sb="2" eb="8">
      <t>カンリカイケイチョウヒョウ</t>
    </rPh>
    <rPh sb="10" eb="14">
      <t>サンショウカノウ</t>
    </rPh>
    <rPh sb="17" eb="19">
      <t>ハンイ</t>
    </rPh>
    <phoneticPr fontId="3"/>
  </si>
  <si>
    <t>会計帳票では使用者の権限によって参照可能なデータ範囲が変わることになります。</t>
    <rPh sb="0" eb="2">
      <t>カイケイ</t>
    </rPh>
    <rPh sb="2" eb="4">
      <t>チョウヒョウ</t>
    </rPh>
    <rPh sb="6" eb="9">
      <t>シヨウシャ</t>
    </rPh>
    <rPh sb="10" eb="12">
      <t>ケンゲン</t>
    </rPh>
    <rPh sb="16" eb="18">
      <t>サンショウ</t>
    </rPh>
    <rPh sb="18" eb="20">
      <t>カノウ</t>
    </rPh>
    <rPh sb="24" eb="26">
      <t>ハンイ</t>
    </rPh>
    <rPh sb="27" eb="28">
      <t>カ</t>
    </rPh>
    <phoneticPr fontId="3"/>
  </si>
  <si>
    <t>上記の現行財務会計システムの参照可能データ範囲に含まれていない、管理本部配下所属のユーザー（人事部・販売推進部など）および</t>
    <rPh sb="0" eb="2">
      <t>ジョウキ</t>
    </rPh>
    <rPh sb="3" eb="5">
      <t>ゲンコウ</t>
    </rPh>
    <rPh sb="5" eb="9">
      <t>ザイムカイケイ</t>
    </rPh>
    <rPh sb="14" eb="16">
      <t>サンショウ</t>
    </rPh>
    <rPh sb="16" eb="18">
      <t>カノウ</t>
    </rPh>
    <rPh sb="21" eb="23">
      <t>ハンイ</t>
    </rPh>
    <rPh sb="24" eb="25">
      <t>フク</t>
    </rPh>
    <rPh sb="32" eb="34">
      <t>カンリ</t>
    </rPh>
    <rPh sb="34" eb="36">
      <t>ホンブ</t>
    </rPh>
    <rPh sb="36" eb="38">
      <t>ハイカ</t>
    </rPh>
    <rPh sb="38" eb="40">
      <t>ショゾク</t>
    </rPh>
    <rPh sb="46" eb="49">
      <t>ジンジブ</t>
    </rPh>
    <rPh sb="50" eb="52">
      <t>ハンバイ</t>
    </rPh>
    <rPh sb="52" eb="55">
      <t>スイシンブ</t>
    </rPh>
    <phoneticPr fontId="23"/>
  </si>
  <si>
    <t>施設課のユーザー、農業総合研究所配下のユーザーに対する参照可能データ範囲を追加で定義する。</t>
    <rPh sb="0" eb="3">
      <t>シセツカ</t>
    </rPh>
    <rPh sb="9" eb="16">
      <t>ノウギョウソウゴウケンキュウジョ</t>
    </rPh>
    <rPh sb="16" eb="18">
      <t>ハイカ</t>
    </rPh>
    <rPh sb="24" eb="25">
      <t>タイ</t>
    </rPh>
    <rPh sb="27" eb="31">
      <t>サンショウカノウ</t>
    </rPh>
    <rPh sb="34" eb="36">
      <t>ハンイ</t>
    </rPh>
    <rPh sb="37" eb="39">
      <t>ツイカ</t>
    </rPh>
    <rPh sb="40" eb="42">
      <t>テイギ</t>
    </rPh>
    <phoneticPr fontId="23"/>
  </si>
  <si>
    <t>【参考】現行財務会計システムの参照可能データ範囲</t>
    <rPh sb="1" eb="3">
      <t>サンコウ</t>
    </rPh>
    <rPh sb="4" eb="6">
      <t>ゲンコウ</t>
    </rPh>
    <rPh sb="6" eb="10">
      <t>ザイムカイケイ</t>
    </rPh>
    <rPh sb="15" eb="19">
      <t>サンショウカノウ</t>
    </rPh>
    <rPh sb="22" eb="24">
      <t>ハンイ</t>
    </rPh>
    <phoneticPr fontId="23"/>
  </si>
  <si>
    <t>１.</t>
  </si>
  <si>
    <t>経理部長</t>
    <rPh sb="0" eb="2">
      <t>ケイリ</t>
    </rPh>
    <rPh sb="2" eb="4">
      <t>ブチョウ</t>
    </rPh>
    <phoneticPr fontId="24"/>
  </si>
  <si>
    <t>１'．</t>
    <phoneticPr fontId="23"/>
  </si>
  <si>
    <t>人事部</t>
    <rPh sb="0" eb="3">
      <t>ジンジブ</t>
    </rPh>
    <phoneticPr fontId="23"/>
  </si>
  <si>
    <t>２.</t>
  </si>
  <si>
    <t>経理部・主計課</t>
    <rPh sb="0" eb="2">
      <t>ケイリ</t>
    </rPh>
    <rPh sb="2" eb="3">
      <t>ブ</t>
    </rPh>
    <rPh sb="4" eb="6">
      <t>シュケイ</t>
    </rPh>
    <rPh sb="6" eb="7">
      <t>カ</t>
    </rPh>
    <phoneticPr fontId="24"/>
  </si>
  <si>
    <t>２'．</t>
    <phoneticPr fontId="23"/>
  </si>
  <si>
    <t>総務部</t>
    <rPh sb="0" eb="3">
      <t>ソウムブ</t>
    </rPh>
    <phoneticPr fontId="24"/>
  </si>
  <si>
    <t>３.</t>
  </si>
  <si>
    <t>経理部・財務課</t>
    <rPh sb="0" eb="2">
      <t>ケイリ</t>
    </rPh>
    <rPh sb="2" eb="3">
      <t>ブ</t>
    </rPh>
    <rPh sb="4" eb="6">
      <t>ザイム</t>
    </rPh>
    <rPh sb="6" eb="7">
      <t>カ</t>
    </rPh>
    <phoneticPr fontId="24"/>
  </si>
  <si>
    <t>３'．</t>
    <phoneticPr fontId="23"/>
  </si>
  <si>
    <t>販売推進部</t>
    <rPh sb="0" eb="5">
      <t>ハンバイスイシンブ</t>
    </rPh>
    <phoneticPr fontId="24"/>
  </si>
  <si>
    <t>５.</t>
  </si>
  <si>
    <t>経営企画部・企画課</t>
    <rPh sb="0" eb="2">
      <t>ケイエイ</t>
    </rPh>
    <rPh sb="2" eb="4">
      <t>キカク</t>
    </rPh>
    <rPh sb="4" eb="5">
      <t>ブ</t>
    </rPh>
    <rPh sb="6" eb="8">
      <t>キカク</t>
    </rPh>
    <rPh sb="8" eb="9">
      <t>カ</t>
    </rPh>
    <phoneticPr fontId="24"/>
  </si>
  <si>
    <t>４'．</t>
    <phoneticPr fontId="23"/>
  </si>
  <si>
    <t>内部統制管理部</t>
    <rPh sb="0" eb="7">
      <t>ナイブトウセイカンリブ</t>
    </rPh>
    <phoneticPr fontId="24"/>
  </si>
  <si>
    <t>６.</t>
  </si>
  <si>
    <t>監事監査室</t>
    <rPh sb="0" eb="2">
      <t>カンジ</t>
    </rPh>
    <rPh sb="2" eb="4">
      <t>カンサ</t>
    </rPh>
    <rPh sb="4" eb="5">
      <t>シツ</t>
    </rPh>
    <phoneticPr fontId="24"/>
  </si>
  <si>
    <t>→自予算組織（部）のみ参照可能</t>
    <rPh sb="1" eb="6">
      <t>ジヨサンソシキ</t>
    </rPh>
    <rPh sb="7" eb="8">
      <t>ブ</t>
    </rPh>
    <rPh sb="11" eb="15">
      <t>サンショウカノウ</t>
    </rPh>
    <phoneticPr fontId="23"/>
  </si>
  <si>
    <t>７.</t>
  </si>
  <si>
    <t>内部監査室</t>
    <rPh sb="0" eb="2">
      <t>ナイブ</t>
    </rPh>
    <rPh sb="2" eb="5">
      <t>カンサシツ</t>
    </rPh>
    <phoneticPr fontId="24"/>
  </si>
  <si>
    <t>例）ログイン者：人事課の場合（カ）</t>
    <rPh sb="0" eb="1">
      <t>レイ</t>
    </rPh>
    <rPh sb="6" eb="7">
      <t>シャ</t>
    </rPh>
    <rPh sb="8" eb="11">
      <t>ジンジカ</t>
    </rPh>
    <rPh sb="12" eb="14">
      <t>バアイ</t>
    </rPh>
    <phoneticPr fontId="23"/>
  </si>
  <si>
    <t>経理部・経理課</t>
    <phoneticPr fontId="3"/>
  </si>
  <si>
    <t>５'．</t>
    <phoneticPr fontId="23"/>
  </si>
  <si>
    <t>施設課</t>
    <rPh sb="0" eb="3">
      <t>シセツカ</t>
    </rPh>
    <phoneticPr fontId="23"/>
  </si>
  <si>
    <t>→全て参照可能（ア）</t>
    <rPh sb="1" eb="2">
      <t>スベ</t>
    </rPh>
    <rPh sb="3" eb="5">
      <t>サンショウ</t>
    </rPh>
    <rPh sb="5" eb="7">
      <t>カノウ</t>
    </rPh>
    <phoneticPr fontId="24"/>
  </si>
  <si>
    <t>→自施設分のみ参照可能</t>
    <rPh sb="1" eb="2">
      <t>ジ</t>
    </rPh>
    <rPh sb="2" eb="4">
      <t>シセツ</t>
    </rPh>
    <rPh sb="4" eb="5">
      <t>ブン</t>
    </rPh>
    <rPh sb="7" eb="11">
      <t>サンショウカノウ</t>
    </rPh>
    <phoneticPr fontId="23"/>
  </si>
  <si>
    <t>８.</t>
  </si>
  <si>
    <t>事業所管理担当課</t>
    <rPh sb="0" eb="3">
      <t>ジギョウショ</t>
    </rPh>
    <rPh sb="3" eb="5">
      <t>カンリ</t>
    </rPh>
    <rPh sb="5" eb="7">
      <t>タントウ</t>
    </rPh>
    <rPh sb="7" eb="8">
      <t>カ</t>
    </rPh>
    <phoneticPr fontId="24"/>
  </si>
  <si>
    <t>例）ログイン者：女満別種子工場の場合（キ）</t>
    <rPh sb="0" eb="1">
      <t>レイ</t>
    </rPh>
    <rPh sb="6" eb="7">
      <t>シャ</t>
    </rPh>
    <rPh sb="8" eb="11">
      <t>メマンベツ</t>
    </rPh>
    <rPh sb="11" eb="13">
      <t>シュシ</t>
    </rPh>
    <rPh sb="13" eb="15">
      <t>コウジョウ</t>
    </rPh>
    <rPh sb="16" eb="18">
      <t>バアイ</t>
    </rPh>
    <phoneticPr fontId="23"/>
  </si>
  <si>
    <t>→自事業所分のみ参照可能</t>
    <rPh sb="1" eb="2">
      <t>ジ</t>
    </rPh>
    <rPh sb="2" eb="5">
      <t>ジギョウショ</t>
    </rPh>
    <rPh sb="5" eb="6">
      <t>ブン</t>
    </rPh>
    <rPh sb="8" eb="10">
      <t>サンショウ</t>
    </rPh>
    <rPh sb="10" eb="12">
      <t>カノウ</t>
    </rPh>
    <phoneticPr fontId="24"/>
  </si>
  <si>
    <t>６'．</t>
    <phoneticPr fontId="23"/>
  </si>
  <si>
    <t>農業総合研究所</t>
    <rPh sb="0" eb="7">
      <t>ノウギョウソウゴウケンキュウジョ</t>
    </rPh>
    <phoneticPr fontId="23"/>
  </si>
  <si>
    <t>例)ログイン者：函館支所の場合（イ）</t>
    <rPh sb="0" eb="1">
      <t>レイ</t>
    </rPh>
    <rPh sb="6" eb="7">
      <t>シャ</t>
    </rPh>
    <rPh sb="8" eb="10">
      <t>ハコダテ</t>
    </rPh>
    <rPh sb="10" eb="12">
      <t>シショ</t>
    </rPh>
    <rPh sb="13" eb="15">
      <t>バアイ</t>
    </rPh>
    <phoneticPr fontId="24"/>
  </si>
  <si>
    <t>→農業総合研究所分のみ参照可能</t>
    <rPh sb="1" eb="3">
      <t>ノウギョウ</t>
    </rPh>
    <rPh sb="3" eb="5">
      <t>ソウゴウ</t>
    </rPh>
    <rPh sb="5" eb="8">
      <t>ケンキュウジョ</t>
    </rPh>
    <rPh sb="8" eb="9">
      <t>ブン</t>
    </rPh>
    <rPh sb="11" eb="15">
      <t>サンショウカノウ</t>
    </rPh>
    <phoneticPr fontId="23"/>
  </si>
  <si>
    <t>９.</t>
  </si>
  <si>
    <t>現業企画課</t>
    <rPh sb="0" eb="2">
      <t>ゲンギョウ</t>
    </rPh>
    <rPh sb="2" eb="4">
      <t>キカク</t>
    </rPh>
    <rPh sb="4" eb="5">
      <t>カ</t>
    </rPh>
    <phoneticPr fontId="24"/>
  </si>
  <si>
    <t>→担当事業本部分のみ参照可能</t>
    <rPh sb="1" eb="3">
      <t>タントウ</t>
    </rPh>
    <rPh sb="3" eb="5">
      <t>ジギョウ</t>
    </rPh>
    <rPh sb="5" eb="7">
      <t>ホンブ</t>
    </rPh>
    <rPh sb="7" eb="8">
      <t>ブン</t>
    </rPh>
    <rPh sb="10" eb="12">
      <t>サンショウ</t>
    </rPh>
    <rPh sb="12" eb="14">
      <t>カノウ</t>
    </rPh>
    <phoneticPr fontId="24"/>
  </si>
  <si>
    <t>例)ログイン者：農産事業本部担当の場合（ウ）</t>
    <rPh sb="0" eb="1">
      <t>レイ</t>
    </rPh>
    <rPh sb="6" eb="7">
      <t>シャ</t>
    </rPh>
    <rPh sb="8" eb="10">
      <t>ノウサン</t>
    </rPh>
    <rPh sb="10" eb="12">
      <t>ジギョウ</t>
    </rPh>
    <rPh sb="12" eb="14">
      <t>ホンブ</t>
    </rPh>
    <rPh sb="14" eb="16">
      <t>タントウ</t>
    </rPh>
    <rPh sb="17" eb="19">
      <t>バアイ</t>
    </rPh>
    <phoneticPr fontId="24"/>
  </si>
  <si>
    <t>１０.</t>
  </si>
  <si>
    <t>物流部、本所現業課</t>
    <rPh sb="0" eb="2">
      <t>ブツリュウ</t>
    </rPh>
    <rPh sb="2" eb="3">
      <t>ブ</t>
    </rPh>
    <rPh sb="4" eb="6">
      <t>ホンショ</t>
    </rPh>
    <rPh sb="6" eb="8">
      <t>ゲンギョウ</t>
    </rPh>
    <rPh sb="8" eb="9">
      <t>カ</t>
    </rPh>
    <phoneticPr fontId="24"/>
  </si>
  <si>
    <t>→担当業種分のみ参照可能</t>
    <rPh sb="1" eb="3">
      <t>タントウ</t>
    </rPh>
    <rPh sb="3" eb="5">
      <t>ギョウシュ</t>
    </rPh>
    <rPh sb="5" eb="6">
      <t>ブン</t>
    </rPh>
    <rPh sb="8" eb="10">
      <t>サンショウ</t>
    </rPh>
    <rPh sb="10" eb="12">
      <t>カノウ</t>
    </rPh>
    <phoneticPr fontId="24"/>
  </si>
  <si>
    <t>例)ログイン者：米穀担当の場合（エ）</t>
    <rPh sb="0" eb="1">
      <t>レイ</t>
    </rPh>
    <rPh sb="6" eb="7">
      <t>シャ</t>
    </rPh>
    <rPh sb="8" eb="10">
      <t>ベイコク</t>
    </rPh>
    <rPh sb="10" eb="12">
      <t>タントウ</t>
    </rPh>
    <rPh sb="13" eb="15">
      <t>バアイ</t>
    </rPh>
    <phoneticPr fontId="24"/>
  </si>
  <si>
    <t>１１.</t>
  </si>
  <si>
    <t>支所現業課</t>
    <rPh sb="0" eb="2">
      <t>シショ</t>
    </rPh>
    <rPh sb="2" eb="4">
      <t>ゲンギョウ</t>
    </rPh>
    <rPh sb="4" eb="5">
      <t>カ</t>
    </rPh>
    <phoneticPr fontId="24"/>
  </si>
  <si>
    <t>→自事業所の担当業種分のみ参照可能</t>
    <rPh sb="1" eb="2">
      <t>ジ</t>
    </rPh>
    <rPh sb="2" eb="5">
      <t>ジギョウショ</t>
    </rPh>
    <rPh sb="6" eb="8">
      <t>タントウ</t>
    </rPh>
    <rPh sb="8" eb="10">
      <t>ギョウシュ</t>
    </rPh>
    <rPh sb="10" eb="11">
      <t>ブン</t>
    </rPh>
    <rPh sb="13" eb="15">
      <t>サンショウ</t>
    </rPh>
    <rPh sb="15" eb="17">
      <t>カノウ</t>
    </rPh>
    <phoneticPr fontId="24"/>
  </si>
  <si>
    <t>例)ログイン者：函館支所、米穀担当の場合（オ）</t>
    <rPh sb="0" eb="1">
      <t>レイ</t>
    </rPh>
    <rPh sb="6" eb="7">
      <t>シャ</t>
    </rPh>
    <rPh sb="8" eb="10">
      <t>ハコダテ</t>
    </rPh>
    <rPh sb="10" eb="12">
      <t>シショ</t>
    </rPh>
    <rPh sb="13" eb="15">
      <t>ベイコク</t>
    </rPh>
    <rPh sb="15" eb="17">
      <t>タントウ</t>
    </rPh>
    <rPh sb="18" eb="20">
      <t>バアイ</t>
    </rPh>
    <phoneticPr fontId="24"/>
  </si>
  <si>
    <t>上記参照可能データ範囲に対してのデータを「別紙_参照範囲」にて例示する。</t>
    <rPh sb="0" eb="2">
      <t>ジョウキ</t>
    </rPh>
    <rPh sb="2" eb="6">
      <t>サンショウカノウ</t>
    </rPh>
    <rPh sb="9" eb="11">
      <t>ハンイ</t>
    </rPh>
    <rPh sb="12" eb="13">
      <t>タイ</t>
    </rPh>
    <rPh sb="31" eb="33">
      <t>レイジ</t>
    </rPh>
    <phoneticPr fontId="23"/>
  </si>
  <si>
    <t>事業所</t>
    <rPh sb="0" eb="3">
      <t>ジギョウショ</t>
    </rPh>
    <phoneticPr fontId="23"/>
  </si>
  <si>
    <t>部</t>
    <rPh sb="0" eb="1">
      <t>ブ</t>
    </rPh>
    <phoneticPr fontId="23"/>
  </si>
  <si>
    <t>施設</t>
    <rPh sb="0" eb="2">
      <t>シセツ</t>
    </rPh>
    <phoneticPr fontId="23"/>
  </si>
  <si>
    <t>課</t>
    <rPh sb="0" eb="1">
      <t>カ</t>
    </rPh>
    <phoneticPr fontId="23"/>
  </si>
  <si>
    <t>事業本部</t>
    <rPh sb="0" eb="4">
      <t>ジギョウホンブ</t>
    </rPh>
    <phoneticPr fontId="23"/>
  </si>
  <si>
    <t>部門</t>
    <rPh sb="0" eb="2">
      <t>ブモン</t>
    </rPh>
    <phoneticPr fontId="23"/>
  </si>
  <si>
    <t>業種</t>
    <rPh sb="0" eb="2">
      <t>ギョウシュ</t>
    </rPh>
    <phoneticPr fontId="23"/>
  </si>
  <si>
    <t>勘定科目</t>
    <rPh sb="0" eb="4">
      <t>カンジョウカモク</t>
    </rPh>
    <phoneticPr fontId="23"/>
  </si>
  <si>
    <t>金額</t>
    <rPh sb="0" eb="2">
      <t>キンガク</t>
    </rPh>
    <phoneticPr fontId="23"/>
  </si>
  <si>
    <t>（ア）</t>
    <phoneticPr fontId="23"/>
  </si>
  <si>
    <t>（イ）</t>
    <phoneticPr fontId="23"/>
  </si>
  <si>
    <t>（ウ）</t>
    <phoneticPr fontId="23"/>
  </si>
  <si>
    <t>（エ）</t>
    <phoneticPr fontId="23"/>
  </si>
  <si>
    <t>（オ）</t>
    <phoneticPr fontId="23"/>
  </si>
  <si>
    <t>（カ）</t>
    <phoneticPr fontId="23"/>
  </si>
  <si>
    <t>（キ）</t>
    <phoneticPr fontId="23"/>
  </si>
  <si>
    <t>（ク）</t>
    <phoneticPr fontId="23"/>
  </si>
  <si>
    <t>函館支所</t>
    <rPh sb="0" eb="4">
      <t>ハコダテシショ</t>
    </rPh>
    <phoneticPr fontId="23"/>
  </si>
  <si>
    <t>米麦農産課</t>
    <phoneticPr fontId="23"/>
  </si>
  <si>
    <t>米穀事業本部</t>
    <rPh sb="0" eb="2">
      <t>ベイコク</t>
    </rPh>
    <rPh sb="2" eb="4">
      <t>ジギョウ</t>
    </rPh>
    <rPh sb="4" eb="6">
      <t>ホンブ</t>
    </rPh>
    <phoneticPr fontId="20"/>
  </si>
  <si>
    <t>米穀</t>
    <rPh sb="0" eb="2">
      <t>ベイコク</t>
    </rPh>
    <phoneticPr fontId="20"/>
  </si>
  <si>
    <t>製造原料費</t>
    <rPh sb="0" eb="5">
      <t>セイゾウゲンリョウヒ</t>
    </rPh>
    <phoneticPr fontId="23"/>
  </si>
  <si>
    <t>農務費</t>
    <rPh sb="0" eb="2">
      <t>ノウム</t>
    </rPh>
    <rPh sb="2" eb="3">
      <t>ヒ</t>
    </rPh>
    <phoneticPr fontId="23"/>
  </si>
  <si>
    <t>福利厚生費</t>
    <rPh sb="0" eb="5">
      <t>フクリコウセイヒ</t>
    </rPh>
    <phoneticPr fontId="23"/>
  </si>
  <si>
    <t>●</t>
    <phoneticPr fontId="23"/>
  </si>
  <si>
    <t>パールライス販売課</t>
    <phoneticPr fontId="23"/>
  </si>
  <si>
    <t>米穀事業本部</t>
    <rPh sb="0" eb="2">
      <t>ベイコク</t>
    </rPh>
    <rPh sb="2" eb="4">
      <t>ジギョウ</t>
    </rPh>
    <phoneticPr fontId="20"/>
  </si>
  <si>
    <t>卸米穀</t>
    <rPh sb="0" eb="1">
      <t>オロシ</t>
    </rPh>
    <rPh sb="1" eb="3">
      <t>ベイコク</t>
    </rPh>
    <phoneticPr fontId="20"/>
  </si>
  <si>
    <t>農産事業本部</t>
    <rPh sb="0" eb="2">
      <t>ノウサン</t>
    </rPh>
    <rPh sb="2" eb="4">
      <t>ジギョウ</t>
    </rPh>
    <phoneticPr fontId="20"/>
  </si>
  <si>
    <t>農産食品　</t>
    <rPh sb="0" eb="2">
      <t>ノウサン</t>
    </rPh>
    <rPh sb="2" eb="4">
      <t>ショクヒン</t>
    </rPh>
    <phoneticPr fontId="20"/>
  </si>
  <si>
    <t>麦</t>
    <rPh sb="0" eb="1">
      <t>ムギ</t>
    </rPh>
    <phoneticPr fontId="20"/>
  </si>
  <si>
    <t>雑穀</t>
    <rPh sb="0" eb="2">
      <t>ザッコク</t>
    </rPh>
    <phoneticPr fontId="20"/>
  </si>
  <si>
    <t>でん粉</t>
    <rPh sb="2" eb="3">
      <t>プン</t>
    </rPh>
    <phoneticPr fontId="20"/>
  </si>
  <si>
    <t>酪農畜産課</t>
    <phoneticPr fontId="23"/>
  </si>
  <si>
    <t>酪農畜産事業本部</t>
    <phoneticPr fontId="20"/>
  </si>
  <si>
    <t>酪農</t>
    <rPh sb="0" eb="2">
      <t>ラクノウ</t>
    </rPh>
    <phoneticPr fontId="23"/>
  </si>
  <si>
    <t>家畜販売</t>
    <rPh sb="0" eb="2">
      <t>カチク</t>
    </rPh>
    <rPh sb="2" eb="4">
      <t>ハンバイ</t>
    </rPh>
    <phoneticPr fontId="20"/>
  </si>
  <si>
    <t>生乳</t>
    <phoneticPr fontId="20"/>
  </si>
  <si>
    <t>倶知安支所</t>
    <rPh sb="0" eb="3">
      <t>クッチャン</t>
    </rPh>
    <rPh sb="3" eb="5">
      <t>シショ</t>
    </rPh>
    <phoneticPr fontId="20"/>
  </si>
  <si>
    <t>本所</t>
    <rPh sb="0" eb="2">
      <t>ホンショ</t>
    </rPh>
    <phoneticPr fontId="23"/>
  </si>
  <si>
    <t>米穀部</t>
    <phoneticPr fontId="23"/>
  </si>
  <si>
    <t>主食課</t>
    <phoneticPr fontId="23"/>
  </si>
  <si>
    <t>パールライス部</t>
    <phoneticPr fontId="23"/>
  </si>
  <si>
    <t>農産部</t>
    <phoneticPr fontId="23"/>
  </si>
  <si>
    <t>麦類課</t>
    <phoneticPr fontId="23"/>
  </si>
  <si>
    <t>雑穀課</t>
    <phoneticPr fontId="23"/>
  </si>
  <si>
    <t>澱粉課</t>
    <phoneticPr fontId="23"/>
  </si>
  <si>
    <t>てん菜生産部</t>
    <rPh sb="2" eb="6">
      <t>サイセイサンブ</t>
    </rPh>
    <phoneticPr fontId="23"/>
  </si>
  <si>
    <t>砂糖製造課</t>
    <rPh sb="0" eb="2">
      <t>サトウ</t>
    </rPh>
    <rPh sb="2" eb="5">
      <t>セイゾウカ</t>
    </rPh>
    <phoneticPr fontId="23"/>
  </si>
  <si>
    <t>てん菜事業本部</t>
    <rPh sb="2" eb="3">
      <t>サイ</t>
    </rPh>
    <rPh sb="3" eb="7">
      <t>ジギョウホンブ</t>
    </rPh>
    <phoneticPr fontId="23"/>
  </si>
  <si>
    <t>てん菜</t>
    <rPh sb="2" eb="3">
      <t>サイ</t>
    </rPh>
    <phoneticPr fontId="23"/>
  </si>
  <si>
    <t>女満別種子工場</t>
    <rPh sb="0" eb="7">
      <t>メマンベツシュシコウジョウ</t>
    </rPh>
    <phoneticPr fontId="23"/>
  </si>
  <si>
    <t>業務課</t>
    <rPh sb="0" eb="3">
      <t>ギョウムカ</t>
    </rPh>
    <phoneticPr fontId="23"/>
  </si>
  <si>
    <t>農務技術課</t>
    <rPh sb="0" eb="5">
      <t>ノウムギジュツカ</t>
    </rPh>
    <phoneticPr fontId="23"/>
  </si>
  <si>
    <t>採種</t>
    <rPh sb="0" eb="2">
      <t>サイシュ</t>
    </rPh>
    <phoneticPr fontId="23"/>
  </si>
  <si>
    <t>経理部</t>
    <rPh sb="0" eb="3">
      <t>ケイリブ</t>
    </rPh>
    <phoneticPr fontId="23"/>
  </si>
  <si>
    <t>経理課</t>
    <rPh sb="0" eb="3">
      <t>ケイリカ</t>
    </rPh>
    <phoneticPr fontId="23"/>
  </si>
  <si>
    <t>管理本部</t>
    <rPh sb="0" eb="4">
      <t>カンリホンブ</t>
    </rPh>
    <phoneticPr fontId="23"/>
  </si>
  <si>
    <t>管理</t>
    <rPh sb="0" eb="2">
      <t>カンリ</t>
    </rPh>
    <phoneticPr fontId="23"/>
  </si>
  <si>
    <t>主計課</t>
    <rPh sb="0" eb="3">
      <t>シュケイカ</t>
    </rPh>
    <phoneticPr fontId="23"/>
  </si>
  <si>
    <t>人事課</t>
    <rPh sb="0" eb="3">
      <t>ジンジカ</t>
    </rPh>
    <phoneticPr fontId="23"/>
  </si>
  <si>
    <t>人材開発課</t>
    <rPh sb="0" eb="5">
      <t>ジンザイカイハツカ</t>
    </rPh>
    <phoneticPr fontId="23"/>
  </si>
  <si>
    <t>営農支援センター</t>
    <rPh sb="0" eb="4">
      <t>エイノウシエン</t>
    </rPh>
    <phoneticPr fontId="23"/>
  </si>
  <si>
    <t>営農支援推進課</t>
    <phoneticPr fontId="23"/>
  </si>
  <si>
    <t>訓子府実証農場</t>
    <phoneticPr fontId="23"/>
  </si>
  <si>
    <t>食品検査分析センター</t>
    <rPh sb="0" eb="6">
      <t>ショクヒンケンサブンセキ</t>
    </rPh>
    <phoneticPr fontId="23"/>
  </si>
  <si>
    <t>食品流通研究課</t>
    <phoneticPr fontId="23"/>
  </si>
  <si>
    <t>１．対象機能</t>
    <rPh sb="2" eb="4">
      <t>タイショウ</t>
    </rPh>
    <rPh sb="4" eb="6">
      <t>キノウ</t>
    </rPh>
    <phoneticPr fontId="9"/>
  </si>
  <si>
    <t>対象機能は下記３機能である。</t>
    <rPh sb="0" eb="4">
      <t>タイショウキノウ</t>
    </rPh>
    <rPh sb="5" eb="7">
      <t>カキ</t>
    </rPh>
    <rPh sb="8" eb="10">
      <t>キノウ</t>
    </rPh>
    <phoneticPr fontId="3"/>
  </si>
  <si>
    <t>・科目別相手先別残高表（目／節）（摘要）作成</t>
    <rPh sb="20" eb="22">
      <t>サクセイ</t>
    </rPh>
    <phoneticPr fontId="3"/>
  </si>
  <si>
    <t>・部門別実績比較損益計算書作成</t>
    <rPh sb="13" eb="15">
      <t>サクセイ</t>
    </rPh>
    <phoneticPr fontId="3"/>
  </si>
  <si>
    <t>・品目別取扱高計画実績対比表作成</t>
    <rPh sb="14" eb="16">
      <t>サクセイ</t>
    </rPh>
    <phoneticPr fontId="3"/>
  </si>
  <si>
    <t>２．概要</t>
    <rPh sb="2" eb="4">
      <t>ガイヨウ</t>
    </rPh>
    <phoneticPr fontId="9"/>
  </si>
  <si>
    <t>１の対象機能において、出力グループ「組織別」での出力が可能である。</t>
    <rPh sb="2" eb="4">
      <t>タイショウ</t>
    </rPh>
    <rPh sb="4" eb="6">
      <t>キノウ</t>
    </rPh>
    <rPh sb="24" eb="26">
      <t>シュツリョク</t>
    </rPh>
    <rPh sb="27" eb="29">
      <t>カノウ</t>
    </rPh>
    <phoneticPr fontId="3"/>
  </si>
  <si>
    <t>３．出力イメージ</t>
    <rPh sb="2" eb="4">
      <t>シュツリョク</t>
    </rPh>
    <phoneticPr fontId="9"/>
  </si>
  <si>
    <t>（１）組織図に対するイメージ</t>
    <rPh sb="3" eb="6">
      <t>ソシキズ</t>
    </rPh>
    <rPh sb="7" eb="8">
      <t>タイ</t>
    </rPh>
    <phoneticPr fontId="3"/>
  </si>
  <si>
    <t>No</t>
    <phoneticPr fontId="23"/>
  </si>
  <si>
    <t>予算</t>
    <rPh sb="0" eb="2">
      <t>ヨサン</t>
    </rPh>
    <phoneticPr fontId="23"/>
  </si>
  <si>
    <t>畜産販売部</t>
    <phoneticPr fontId="23"/>
  </si>
  <si>
    <t>ビーフ課</t>
    <rPh sb="3" eb="4">
      <t>カ</t>
    </rPh>
    <phoneticPr fontId="23"/>
  </si>
  <si>
    <t>ポーク課</t>
    <rPh sb="3" eb="4">
      <t>カ</t>
    </rPh>
    <phoneticPr fontId="23"/>
  </si>
  <si>
    <t>食肉加工工場</t>
    <rPh sb="0" eb="6">
      <t>ショクニクカコウコウジョウ</t>
    </rPh>
    <phoneticPr fontId="23"/>
  </si>
  <si>
    <t>てん菜企画課（てん菜）</t>
    <rPh sb="2" eb="6">
      <t>サイキカクカ</t>
    </rPh>
    <rPh sb="9" eb="10">
      <t>サイ</t>
    </rPh>
    <phoneticPr fontId="23"/>
  </si>
  <si>
    <t>てん菜企画課（採種）</t>
    <rPh sb="2" eb="6">
      <t>サイキカクカ</t>
    </rPh>
    <rPh sb="7" eb="9">
      <t>サイシュ</t>
    </rPh>
    <phoneticPr fontId="23"/>
  </si>
  <si>
    <t>原料課</t>
    <rPh sb="0" eb="2">
      <t>ゲンリョウ</t>
    </rPh>
    <rPh sb="2" eb="3">
      <t>カ</t>
    </rPh>
    <phoneticPr fontId="23"/>
  </si>
  <si>
    <t>女満別種子工場</t>
    <rPh sb="0" eb="3">
      <t>メマンベツ</t>
    </rPh>
    <rPh sb="3" eb="7">
      <t>シュシコウジョウ</t>
    </rPh>
    <phoneticPr fontId="23"/>
  </si>
  <si>
    <t>農務技術課</t>
    <rPh sb="0" eb="2">
      <t>ノウム</t>
    </rPh>
    <rPh sb="2" eb="5">
      <t>ギジュツカ</t>
    </rPh>
    <phoneticPr fontId="23"/>
  </si>
  <si>
    <t>肥料農薬部</t>
    <rPh sb="0" eb="2">
      <t>ヒリョウ</t>
    </rPh>
    <rPh sb="2" eb="4">
      <t>ノウヤク</t>
    </rPh>
    <rPh sb="4" eb="5">
      <t>ブ</t>
    </rPh>
    <phoneticPr fontId="23"/>
  </si>
  <si>
    <t>肥料農薬部（肥料）</t>
    <rPh sb="0" eb="5">
      <t>ヒリョウノウヤクブ</t>
    </rPh>
    <rPh sb="6" eb="8">
      <t>ヒリョウ</t>
    </rPh>
    <phoneticPr fontId="23"/>
  </si>
  <si>
    <t>肥料農薬部（農薬）</t>
    <rPh sb="0" eb="2">
      <t>ヒリョウ</t>
    </rPh>
    <rPh sb="2" eb="4">
      <t>ノウヤク</t>
    </rPh>
    <rPh sb="4" eb="5">
      <t>ブ</t>
    </rPh>
    <rPh sb="6" eb="8">
      <t>ノウヤク</t>
    </rPh>
    <phoneticPr fontId="23"/>
  </si>
  <si>
    <t>技術普及課（肥料）</t>
    <rPh sb="0" eb="5">
      <t>ギジュツフキュウカ</t>
    </rPh>
    <rPh sb="6" eb="8">
      <t>ヒリョウ</t>
    </rPh>
    <phoneticPr fontId="23"/>
  </si>
  <si>
    <t>技術普及課（農薬）</t>
    <rPh sb="0" eb="5">
      <t>ギジュツフキュウカ</t>
    </rPh>
    <rPh sb="6" eb="8">
      <t>ノウヤク</t>
    </rPh>
    <phoneticPr fontId="23"/>
  </si>
  <si>
    <t>（２）（１）取込後のデータイメージ</t>
    <rPh sb="6" eb="9">
      <t>トリコミゴ</t>
    </rPh>
    <phoneticPr fontId="3"/>
  </si>
  <si>
    <t>予算組織</t>
    <rPh sb="0" eb="4">
      <t>ヨサンソシキ</t>
    </rPh>
    <phoneticPr fontId="23"/>
  </si>
  <si>
    <t>No</t>
    <phoneticPr fontId="3"/>
  </si>
  <si>
    <t>予算</t>
    <rPh sb="0" eb="2">
      <t>ヨサン</t>
    </rPh>
    <phoneticPr fontId="3"/>
  </si>
  <si>
    <t>必須</t>
    <rPh sb="0" eb="2">
      <t>ヒッス</t>
    </rPh>
    <phoneticPr fontId="23"/>
  </si>
  <si>
    <t>任意</t>
    <rPh sb="0" eb="2">
      <t>ニンイ</t>
    </rPh>
    <phoneticPr fontId="23"/>
  </si>
  <si>
    <t>本所</t>
    <rPh sb="0" eb="2">
      <t>ホンショ</t>
    </rPh>
    <phoneticPr fontId="3"/>
  </si>
  <si>
    <t>畜産販売部</t>
    <phoneticPr fontId="3"/>
  </si>
  <si>
    <t>-</t>
    <phoneticPr fontId="3"/>
  </si>
  <si>
    <t>ビーフ課</t>
    <phoneticPr fontId="3"/>
  </si>
  <si>
    <t>ポーク課</t>
    <phoneticPr fontId="3"/>
  </si>
  <si>
    <t>食肉加工工場</t>
    <phoneticPr fontId="3"/>
  </si>
  <si>
    <t>てん菜企画課（てん菜）</t>
    <phoneticPr fontId="3"/>
  </si>
  <si>
    <t>-</t>
  </si>
  <si>
    <t>てん菜企画課（採種）</t>
    <phoneticPr fontId="3"/>
  </si>
  <si>
    <t>てん菜生産部</t>
    <phoneticPr fontId="3"/>
  </si>
  <si>
    <t>原料課</t>
    <phoneticPr fontId="3"/>
  </si>
  <si>
    <t>砂糖製造課</t>
    <phoneticPr fontId="3"/>
  </si>
  <si>
    <t>女満別種子工場</t>
    <phoneticPr fontId="3"/>
  </si>
  <si>
    <t>業務課</t>
    <phoneticPr fontId="3"/>
  </si>
  <si>
    <t>農務技術課</t>
    <phoneticPr fontId="3"/>
  </si>
  <si>
    <t>肥料農薬部</t>
    <phoneticPr fontId="3"/>
  </si>
  <si>
    <t>肥料農薬部（肥料）</t>
    <phoneticPr fontId="3"/>
  </si>
  <si>
    <t>肥料農薬部（農薬）</t>
    <phoneticPr fontId="3"/>
  </si>
  <si>
    <t>技術普及課（肥料）</t>
    <phoneticPr fontId="3"/>
  </si>
  <si>
    <t>技術普及課（農薬）</t>
    <phoneticPr fontId="3"/>
  </si>
  <si>
    <t>（３）管理会計帳票での出力イメージ</t>
    <phoneticPr fontId="3"/>
  </si>
  <si>
    <t>出力例</t>
    <rPh sb="0" eb="2">
      <t>シュツリョク</t>
    </rPh>
    <rPh sb="2" eb="3">
      <t>レイ</t>
    </rPh>
    <phoneticPr fontId="3"/>
  </si>
  <si>
    <t>①事業所毎</t>
    <rPh sb="1" eb="4">
      <t>ジギョウショ</t>
    </rPh>
    <rPh sb="4" eb="5">
      <t>マイ</t>
    </rPh>
    <phoneticPr fontId="3"/>
  </si>
  <si>
    <t>合計</t>
    <rPh sb="0" eb="2">
      <t>ゴウケイ</t>
    </rPh>
    <phoneticPr fontId="3"/>
  </si>
  <si>
    <t>本所</t>
  </si>
  <si>
    <t>②部毎</t>
    <rPh sb="1" eb="2">
      <t>ブ</t>
    </rPh>
    <rPh sb="2" eb="3">
      <t>マイ</t>
    </rPh>
    <phoneticPr fontId="3"/>
  </si>
  <si>
    <t>├</t>
    <phoneticPr fontId="3"/>
  </si>
  <si>
    <t>畜産販売部</t>
  </si>
  <si>
    <t>└</t>
    <phoneticPr fontId="3"/>
  </si>
  <si>
    <t>③施設毎</t>
    <rPh sb="1" eb="3">
      <t>シセツ</t>
    </rPh>
    <rPh sb="3" eb="4">
      <t>マイ</t>
    </rPh>
    <phoneticPr fontId="3"/>
  </si>
  <si>
    <t>│</t>
    <phoneticPr fontId="3"/>
  </si>
  <si>
    <t>食肉加工工場</t>
  </si>
  <si>
    <t>（No4）</t>
    <phoneticPr fontId="3"/>
  </si>
  <si>
    <t>女満別種子工場</t>
  </si>
  <si>
    <t>（施設無し）</t>
    <rPh sb="1" eb="4">
      <t>シセツナ</t>
    </rPh>
    <phoneticPr fontId="3"/>
  </si>
  <si>
    <t>（No1）</t>
    <phoneticPr fontId="3"/>
  </si>
  <si>
    <t>（No2）</t>
    <phoneticPr fontId="3"/>
  </si>
  <si>
    <t>（No3）</t>
    <phoneticPr fontId="3"/>
  </si>
  <si>
    <t>食肉加工工場</t>
    <rPh sb="0" eb="6">
      <t>ショクニクカコウコウジョウ</t>
    </rPh>
    <phoneticPr fontId="3"/>
  </si>
  <si>
    <t>（No5）</t>
    <phoneticPr fontId="3"/>
  </si>
  <si>
    <t>てん菜企画課（採種）</t>
    <rPh sb="7" eb="9">
      <t>サイシュ</t>
    </rPh>
    <phoneticPr fontId="3"/>
  </si>
  <si>
    <t>（No6）</t>
    <phoneticPr fontId="3"/>
  </si>
  <si>
    <t>てん菜生産部</t>
  </si>
  <si>
    <t>（No7）</t>
    <phoneticPr fontId="3"/>
  </si>
  <si>
    <t>原料課</t>
  </si>
  <si>
    <t>（No8）</t>
    <phoneticPr fontId="3"/>
  </si>
  <si>
    <t>砂糖製造課</t>
  </si>
  <si>
    <t>（No9）</t>
    <phoneticPr fontId="3"/>
  </si>
  <si>
    <t>女満別種子工場</t>
    <rPh sb="0" eb="3">
      <t>メマンベツ</t>
    </rPh>
    <rPh sb="3" eb="7">
      <t>シュシコウジョウ</t>
    </rPh>
    <phoneticPr fontId="3"/>
  </si>
  <si>
    <t>（No10）</t>
    <phoneticPr fontId="3"/>
  </si>
  <si>
    <t>（No11）</t>
    <phoneticPr fontId="3"/>
  </si>
  <si>
    <t>（No12）</t>
    <phoneticPr fontId="3"/>
  </si>
  <si>
    <t>肥料農薬部</t>
  </si>
  <si>
    <t>（No14）</t>
  </si>
  <si>
    <t>（No16）</t>
  </si>
  <si>
    <t>管理会計帳票の組織別出力</t>
    <rPh sb="0" eb="2">
      <t>カンリ</t>
    </rPh>
    <rPh sb="2" eb="4">
      <t>カイケイ</t>
    </rPh>
    <rPh sb="4" eb="6">
      <t>チョウヒョウ</t>
    </rPh>
    <rPh sb="7" eb="9">
      <t>ソシキ</t>
    </rPh>
    <rPh sb="9" eb="10">
      <t>ベツ</t>
    </rPh>
    <rPh sb="10" eb="12">
      <t>シュツリョク</t>
    </rPh>
    <phoneticPr fontId="3"/>
  </si>
  <si>
    <t>事業管理費業種配分付表</t>
    <rPh sb="0" eb="5">
      <t>ジギョウカンリヒ</t>
    </rPh>
    <rPh sb="5" eb="9">
      <t>ギョウシュハイブン</t>
    </rPh>
    <rPh sb="9" eb="11">
      <t>フヒョウ</t>
    </rPh>
    <phoneticPr fontId="9"/>
  </si>
  <si>
    <t>消耗印刷費</t>
    <rPh sb="0" eb="5">
      <t>ショウモウインサツヒ</t>
    </rPh>
    <phoneticPr fontId="3"/>
  </si>
  <si>
    <t>30020301</t>
    <phoneticPr fontId="3"/>
  </si>
  <si>
    <t>事務費　消耗印刷費</t>
    <rPh sb="0" eb="3">
      <t>ジムヒ</t>
    </rPh>
    <rPh sb="4" eb="8">
      <t>ショウモウインサツ</t>
    </rPh>
    <rPh sb="8" eb="9">
      <t>ヒ</t>
    </rPh>
    <phoneticPr fontId="3"/>
  </si>
  <si>
    <t>図書費用</t>
    <rPh sb="0" eb="2">
      <t>トショ</t>
    </rPh>
    <rPh sb="2" eb="4">
      <t>ヒヨウ</t>
    </rPh>
    <phoneticPr fontId="3"/>
  </si>
  <si>
    <t>30020303</t>
    <phoneticPr fontId="3"/>
  </si>
  <si>
    <t>事務費　図書費</t>
    <rPh sb="0" eb="3">
      <t>ジムヒ</t>
    </rPh>
    <rPh sb="4" eb="6">
      <t>トショ</t>
    </rPh>
    <rPh sb="6" eb="7">
      <t>ヒ</t>
    </rPh>
    <phoneticPr fontId="3"/>
  </si>
  <si>
    <t>施設管理費</t>
    <rPh sb="0" eb="5">
      <t>シセツカンリヒ</t>
    </rPh>
    <phoneticPr fontId="3"/>
  </si>
  <si>
    <t>30020603</t>
    <phoneticPr fontId="3"/>
  </si>
  <si>
    <t>施設費　施設管理費</t>
    <rPh sb="0" eb="3">
      <t>シセツヒ</t>
    </rPh>
    <rPh sb="4" eb="9">
      <t>シセツカンリヒ</t>
    </rPh>
    <phoneticPr fontId="3"/>
  </si>
  <si>
    <t>事業管理費業種配分付表</t>
    <phoneticPr fontId="3"/>
  </si>
  <si>
    <t>・科目タイプ「費用」「収益」の科目</t>
    <rPh sb="1" eb="3">
      <t>カモク</t>
    </rPh>
    <rPh sb="7" eb="9">
      <t>ヒヨウ</t>
    </rPh>
    <rPh sb="11" eb="13">
      <t>シュウエキ</t>
    </rPh>
    <rPh sb="15" eb="17">
      <t>カモク</t>
    </rPh>
    <phoneticPr fontId="3"/>
  </si>
  <si>
    <t>・118001</t>
    <phoneticPr fontId="3"/>
  </si>
  <si>
    <t>一般取扱高購買（A）</t>
    <rPh sb="0" eb="5">
      <t>イッパントリアツカイダカ</t>
    </rPh>
    <rPh sb="5" eb="7">
      <t>コウバイ</t>
    </rPh>
    <phoneticPr fontId="3"/>
  </si>
  <si>
    <t>・118002</t>
    <phoneticPr fontId="3"/>
  </si>
  <si>
    <t>・118003</t>
    <phoneticPr fontId="3"/>
  </si>
  <si>
    <t>その他取扱高購買（B）</t>
    <rPh sb="2" eb="3">
      <t>タ</t>
    </rPh>
    <rPh sb="3" eb="6">
      <t>トリアツカイダカ</t>
    </rPh>
    <rPh sb="6" eb="8">
      <t>コウバイ</t>
    </rPh>
    <phoneticPr fontId="3"/>
  </si>
  <si>
    <t>・118004</t>
    <phoneticPr fontId="3"/>
  </si>
  <si>
    <t>その他取扱高販売（B）</t>
    <rPh sb="2" eb="3">
      <t>タ</t>
    </rPh>
    <rPh sb="3" eb="6">
      <t>トリアツカイダカ</t>
    </rPh>
    <rPh sb="6" eb="8">
      <t>ハンバイ</t>
    </rPh>
    <phoneticPr fontId="3"/>
  </si>
  <si>
    <t>・118005</t>
    <phoneticPr fontId="3"/>
  </si>
  <si>
    <t>内部取扱高</t>
    <rPh sb="0" eb="5">
      <t>ナイブトリアツカイダカ</t>
    </rPh>
    <phoneticPr fontId="3"/>
  </si>
  <si>
    <t>・110801</t>
    <phoneticPr fontId="3"/>
  </si>
  <si>
    <t>製造原料費</t>
    <rPh sb="0" eb="5">
      <t>セイゾウゲンリョウヒ</t>
    </rPh>
    <phoneticPr fontId="3"/>
  </si>
  <si>
    <t>・110802</t>
    <phoneticPr fontId="3"/>
  </si>
  <si>
    <t>製造材料費</t>
    <rPh sb="0" eb="5">
      <t>セイゾウザイリョウヒ</t>
    </rPh>
    <phoneticPr fontId="3"/>
  </si>
  <si>
    <t>・110803</t>
    <phoneticPr fontId="3"/>
  </si>
  <si>
    <t>製造労務費</t>
    <rPh sb="0" eb="2">
      <t>セイゾウ</t>
    </rPh>
    <rPh sb="2" eb="4">
      <t>ロウム</t>
    </rPh>
    <rPh sb="4" eb="5">
      <t>ヒ</t>
    </rPh>
    <phoneticPr fontId="3"/>
  </si>
  <si>
    <t>・110804</t>
    <phoneticPr fontId="3"/>
  </si>
  <si>
    <t>製造経費</t>
    <rPh sb="0" eb="4">
      <t>セイゾウケイヒ</t>
    </rPh>
    <phoneticPr fontId="3"/>
  </si>
  <si>
    <t>・110805</t>
    <phoneticPr fontId="3"/>
  </si>
  <si>
    <t>製造管理費</t>
    <rPh sb="0" eb="5">
      <t>セイゾウカンリヒ</t>
    </rPh>
    <phoneticPr fontId="3"/>
  </si>
  <si>
    <t>・110807</t>
    <phoneticPr fontId="3"/>
  </si>
  <si>
    <t>糖業管理費</t>
    <rPh sb="0" eb="2">
      <t>トウギョウ</t>
    </rPh>
    <rPh sb="2" eb="5">
      <t>カンリヒ</t>
    </rPh>
    <phoneticPr fontId="3"/>
  </si>
  <si>
    <t>部門別品目別の対象科目</t>
    <phoneticPr fontId="3"/>
  </si>
  <si>
    <t>8</t>
    <phoneticPr fontId="3"/>
  </si>
  <si>
    <t>9</t>
    <phoneticPr fontId="3"/>
  </si>
  <si>
    <t>10</t>
    <phoneticPr fontId="3"/>
  </si>
  <si>
    <t>11</t>
    <phoneticPr fontId="3"/>
  </si>
  <si>
    <t>12</t>
    <phoneticPr fontId="23"/>
  </si>
  <si>
    <t>これは所属コードに対して「①事業所＞②部＞③施設＞④予算組織（業種）」の粒度で集計したものを出力する。</t>
    <rPh sb="26" eb="30">
      <t>ヨサンソシキ</t>
    </rPh>
    <rPh sb="46" eb="48">
      <t>シュツリョク</t>
    </rPh>
    <phoneticPr fontId="3"/>
  </si>
  <si>
    <t>④には、明細に紐づく所属コードを設定する。（事業所、部、施設、課のどの粒度も設定されうる）</t>
    <rPh sb="10" eb="12">
      <t>ショゾク</t>
    </rPh>
    <phoneticPr fontId="3"/>
  </si>
  <si>
    <t>①～③は④に紐づく組織を設定する。</t>
    <phoneticPr fontId="3"/>
  </si>
  <si>
    <t>※科目別相手先別残高表（目／節）（摘要）のみ、所属管理区分による出力制御を行う。</t>
    <phoneticPr fontId="3"/>
  </si>
  <si>
    <t>④予算組織</t>
    <rPh sb="1" eb="5">
      <t>ヨサンソシキ</t>
    </rPh>
    <phoneticPr fontId="3"/>
  </si>
  <si>
    <t>（部無し）</t>
    <rPh sb="1" eb="2">
      <t>ブ</t>
    </rPh>
    <rPh sb="2" eb="3">
      <t>ナ</t>
    </rPh>
    <phoneticPr fontId="3"/>
  </si>
  <si>
    <t>また、上記の①、②、④で出力される金額の合計は、下記注釈の場合を除き、すべての粒度において同じとなる。</t>
    <rPh sb="24" eb="28">
      <t>カキチュウシャク</t>
    </rPh>
    <rPh sb="29" eb="31">
      <t>バアイ</t>
    </rPh>
    <rPh sb="32" eb="33">
      <t>ノゾ</t>
    </rPh>
    <phoneticPr fontId="3"/>
  </si>
  <si>
    <t>　所属管理区分が事業所の場合は、集計粒度が「総合」または「事業所別」でのみ出力する。</t>
    <phoneticPr fontId="3"/>
  </si>
  <si>
    <t>監事監査室</t>
    <rPh sb="0" eb="5">
      <t>カンジカンサシツ</t>
    </rPh>
    <phoneticPr fontId="3"/>
  </si>
  <si>
    <t>てん菜事業本部</t>
    <rPh sb="2" eb="3">
      <t>サイ</t>
    </rPh>
    <rPh sb="3" eb="7">
      <t>ジギョウホンブ</t>
    </rPh>
    <phoneticPr fontId="3"/>
  </si>
  <si>
    <t>総務課</t>
    <rPh sb="0" eb="3">
      <t>ソウムカ</t>
    </rPh>
    <phoneticPr fontId="3"/>
  </si>
  <si>
    <t>東京事務所</t>
    <rPh sb="0" eb="5">
      <t>トウキョウジムショ</t>
    </rPh>
    <phoneticPr fontId="3"/>
  </si>
  <si>
    <t>酪農畜産事業本部</t>
    <phoneticPr fontId="3"/>
  </si>
  <si>
    <t>てん菜事業本部</t>
    <phoneticPr fontId="3"/>
  </si>
  <si>
    <t>中斜里製糖工場</t>
    <phoneticPr fontId="3"/>
  </si>
  <si>
    <t>資材事業本部</t>
    <phoneticPr fontId="3"/>
  </si>
  <si>
    <t>（No1～18の合計）</t>
    <phoneticPr fontId="3"/>
  </si>
  <si>
    <t>（No13）</t>
  </si>
  <si>
    <t>（No15）</t>
    <phoneticPr fontId="3"/>
  </si>
  <si>
    <t>（No17）</t>
  </si>
  <si>
    <t>（No18）</t>
  </si>
  <si>
    <t>（No19）</t>
    <phoneticPr fontId="3"/>
  </si>
  <si>
    <t>（No12～14の合計）</t>
    <rPh sb="9" eb="11">
      <t>ゴウケイ</t>
    </rPh>
    <phoneticPr fontId="3"/>
  </si>
  <si>
    <t>（No2～5の合計）</t>
    <phoneticPr fontId="3"/>
  </si>
  <si>
    <t>（No9～14の合計）</t>
    <phoneticPr fontId="3"/>
  </si>
  <si>
    <t>（No15～18の合計）</t>
    <phoneticPr fontId="3"/>
  </si>
  <si>
    <t>（No1、6～8の合計）</t>
    <phoneticPr fontId="3"/>
  </si>
  <si>
    <t>（施設無し）</t>
    <rPh sb="1" eb="3">
      <t>シセツ</t>
    </rPh>
    <rPh sb="3" eb="4">
      <t>ナ</t>
    </rPh>
    <phoneticPr fontId="3"/>
  </si>
  <si>
    <t>（部無し）</t>
    <rPh sb="1" eb="3">
      <t>ブナ</t>
    </rPh>
    <phoneticPr fontId="3"/>
  </si>
  <si>
    <t>（No2～4の合計）</t>
    <rPh sb="7" eb="9">
      <t>ゴウケイ</t>
    </rPh>
    <phoneticPr fontId="3"/>
  </si>
  <si>
    <t>（No9～11の合計）</t>
    <rPh sb="8" eb="10">
      <t>ゴウケイ</t>
    </rPh>
    <phoneticPr fontId="3"/>
  </si>
  <si>
    <t>（No15～18の合計）</t>
    <rPh sb="9" eb="11">
      <t>ゴウケイ</t>
    </rPh>
    <phoneticPr fontId="3"/>
  </si>
  <si>
    <t>（No1、6～7の合計）</t>
    <rPh sb="9" eb="11">
      <t>ゴウケイ</t>
    </rPh>
    <phoneticPr fontId="3"/>
  </si>
  <si>
    <t>運送費用、加工費用、生産費用、製品売上原価、直販費用(管理業種は除く)</t>
    <rPh sb="0" eb="2">
      <t>ウンソウ</t>
    </rPh>
    <rPh sb="2" eb="4">
      <t>ヒヨウ</t>
    </rPh>
    <rPh sb="5" eb="7">
      <t>カコウ</t>
    </rPh>
    <rPh sb="7" eb="9">
      <t>ヒヨウ</t>
    </rPh>
    <rPh sb="10" eb="12">
      <t>セイサン</t>
    </rPh>
    <rPh sb="12" eb="14">
      <t>ヒヨウ</t>
    </rPh>
    <rPh sb="15" eb="17">
      <t>セイヒン</t>
    </rPh>
    <rPh sb="17" eb="19">
      <t>ウリアゲ</t>
    </rPh>
    <rPh sb="19" eb="21">
      <t>ゲンカ</t>
    </rPh>
    <rPh sb="22" eb="24">
      <t>チョクハン</t>
    </rPh>
    <rPh sb="24" eb="26">
      <t>ヒヨウ</t>
    </rPh>
    <rPh sb="27" eb="29">
      <t>カンリ</t>
    </rPh>
    <rPh sb="29" eb="31">
      <t>ギョウシュ</t>
    </rPh>
    <rPh sb="32" eb="33">
      <t>ノゾ</t>
    </rPh>
    <phoneticPr fontId="4"/>
  </si>
  <si>
    <t>（２）その他取扱高（B）の合計</t>
    <rPh sb="5" eb="6">
      <t>ホカ</t>
    </rPh>
    <rPh sb="6" eb="8">
      <t>トリアツカイ</t>
    </rPh>
    <rPh sb="8" eb="9">
      <t>ダカ</t>
    </rPh>
    <rPh sb="13" eb="15">
      <t>ゴウケイ</t>
    </rPh>
    <phoneticPr fontId="9"/>
  </si>
  <si>
    <t>（３）（１）一般取扱高（A）の合計 ＋（２）その他取扱高（B）の合計</t>
    <rPh sb="6" eb="8">
      <t>イッパン</t>
    </rPh>
    <rPh sb="8" eb="10">
      <t>トリアツカイ</t>
    </rPh>
    <rPh sb="10" eb="11">
      <t>ダカ</t>
    </rPh>
    <rPh sb="15" eb="17">
      <t>ゴウケイ</t>
    </rPh>
    <rPh sb="24" eb="25">
      <t>ホカ</t>
    </rPh>
    <rPh sb="25" eb="27">
      <t>トリアツカイ</t>
    </rPh>
    <rPh sb="27" eb="28">
      <t>ダカ</t>
    </rPh>
    <rPh sb="32" eb="34">
      <t>ゴウケイ</t>
    </rPh>
    <phoneticPr fontId="9"/>
  </si>
  <si>
    <t>一般取扱高販売（A）</t>
    <rPh sb="0" eb="5">
      <t>イッパントリアツカイダカ</t>
    </rPh>
    <rPh sb="5" eb="7">
      <t>ハンバイ</t>
    </rPh>
    <phoneticPr fontId="3"/>
  </si>
  <si>
    <t>現行財務会計システムの参照可能データ範囲をベースとして、統合会計システムとしての参照可能データ範囲を整理する。</t>
    <rPh sb="0" eb="6">
      <t>ゲンコウザイムカイケイ</t>
    </rPh>
    <rPh sb="11" eb="15">
      <t>サンショウカノウ</t>
    </rPh>
    <rPh sb="18" eb="20">
      <t>ハンイ</t>
    </rPh>
    <rPh sb="28" eb="30">
      <t>トウゴウ</t>
    </rPh>
    <rPh sb="30" eb="32">
      <t>カイケイ</t>
    </rPh>
    <rPh sb="40" eb="44">
      <t>サンショウカノウ</t>
    </rPh>
    <rPh sb="47" eb="49">
      <t>ハンイ</t>
    </rPh>
    <rPh sb="50" eb="52">
      <t>セイリ</t>
    </rPh>
    <phoneticPr fontId="3"/>
  </si>
  <si>
    <t>統合会計システムとしては現行財務会計システムよりも利用者が増えるため、広い範囲で対応できる必要がある。</t>
    <rPh sb="0" eb="4">
      <t>トウゴウカイケイ</t>
    </rPh>
    <rPh sb="12" eb="18">
      <t>ゲンコウザイムカイケイ</t>
    </rPh>
    <rPh sb="25" eb="28">
      <t>リヨウシャ</t>
    </rPh>
    <rPh sb="29" eb="30">
      <t>フ</t>
    </rPh>
    <rPh sb="35" eb="36">
      <t>ヒロ</t>
    </rPh>
    <rPh sb="37" eb="39">
      <t>ハンイ</t>
    </rPh>
    <rPh sb="40" eb="42">
      <t>タイオウ</t>
    </rPh>
    <rPh sb="45" eb="47">
      <t>ヒツヨウ</t>
    </rPh>
    <phoneticPr fontId="23"/>
  </si>
  <si>
    <t>統合会計Ｓにて追加定義する参照可能データ範囲</t>
    <rPh sb="0" eb="4">
      <t>トウゴウカイケイ</t>
    </rPh>
    <rPh sb="7" eb="9">
      <t>ツイカ</t>
    </rPh>
    <rPh sb="9" eb="11">
      <t>テイギ</t>
    </rPh>
    <rPh sb="13" eb="17">
      <t>サンショウカノウ</t>
    </rPh>
    <rPh sb="20" eb="22">
      <t>ハンイ</t>
    </rPh>
    <phoneticPr fontId="23"/>
  </si>
  <si>
    <t>部門別実績比較損益計算書</t>
    <rPh sb="0" eb="3">
      <t>ブモンベツ</t>
    </rPh>
    <rPh sb="3" eb="12">
      <t>ジッセキヒカクソンエキケイサンショ</t>
    </rPh>
    <phoneticPr fontId="9"/>
  </si>
  <si>
    <t>品目別取扱高計画実績対比表</t>
    <phoneticPr fontId="3"/>
  </si>
  <si>
    <t>（実績）</t>
    <rPh sb="1" eb="3">
      <t>ジッセキ</t>
    </rPh>
    <phoneticPr fontId="3"/>
  </si>
  <si>
    <t>・取扱高勘定</t>
    <rPh sb="1" eb="3">
      <t>トリアツカイ</t>
    </rPh>
    <rPh sb="3" eb="4">
      <t>ダカ</t>
    </rPh>
    <rPh sb="4" eb="6">
      <t>カンジョウ</t>
    </rPh>
    <phoneticPr fontId="3"/>
  </si>
  <si>
    <t>・原価要素勘定</t>
    <rPh sb="1" eb="7">
      <t>ゲンカヨウソカンジョウ</t>
    </rPh>
    <phoneticPr fontId="3"/>
  </si>
  <si>
    <t>・取扱高勘定（一部）</t>
    <rPh sb="1" eb="3">
      <t>トリアツカイ</t>
    </rPh>
    <rPh sb="3" eb="4">
      <t>ダカ</t>
    </rPh>
    <rPh sb="4" eb="6">
      <t>カンジョウ</t>
    </rPh>
    <rPh sb="7" eb="9">
      <t>イチブ</t>
    </rPh>
    <phoneticPr fontId="3"/>
  </si>
  <si>
    <t>（手数料）</t>
    <rPh sb="1" eb="4">
      <t>テスウリョウ</t>
    </rPh>
    <phoneticPr fontId="3"/>
  </si>
  <si>
    <t>※原価要素勘定は残高金額ではなく借方発生実績を</t>
    <rPh sb="1" eb="7">
      <t>ゲンカヨウソカンジョウ</t>
    </rPh>
    <rPh sb="8" eb="12">
      <t>ザンダカキンガク</t>
    </rPh>
    <rPh sb="16" eb="18">
      <t>カリカタ</t>
    </rPh>
    <rPh sb="18" eb="22">
      <t>ハッセイジッセキ</t>
    </rPh>
    <phoneticPr fontId="3"/>
  </si>
  <si>
    <t>出力する。</t>
    <rPh sb="0" eb="2">
      <t>シュツリョク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</si>
</sst>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12"/>
      <color rgb="FFFF0000"/>
      <name val="ＭＳ 明朝"/>
      <family val="1"/>
      <charset val="128"/>
    </font>
    <font>
      <sz val="11"/>
      <name val="ＭＳ 明朝"/>
      <family val="1"/>
      <charset val="128"/>
    </font>
    <font>
      <sz val="6"/>
      <name val="ＭＳ 明朝"/>
      <family val="1"/>
      <charset val="128"/>
    </font>
    <font>
      <sz val="11"/>
      <color indexed="8"/>
      <name val="ＭＳ Ｐゴシック"/>
      <family val="3"/>
      <charset val="128"/>
    </font>
    <font>
      <sz val="12"/>
      <name val="ＭＳ Ｐゴシック"/>
      <family val="3"/>
      <charset val="128"/>
    </font>
    <font>
      <sz val="12"/>
      <name val="ＭＳ Ｐ明朝"/>
      <family val="1"/>
      <charset val="128"/>
    </font>
    <font>
      <b/>
      <sz val="12"/>
      <name val="ＭＳ 明朝"/>
      <family val="1"/>
      <charset val="128"/>
    </font>
    <font>
      <strike/>
      <sz val="12"/>
      <name val="ＭＳ Ｐゴシック"/>
      <family val="3"/>
      <charset val="128"/>
    </font>
    <font>
      <sz val="10"/>
      <color theme="1"/>
      <name val="ＭＳ 明朝"/>
      <family val="1"/>
      <charset val="128"/>
    </font>
    <font>
      <sz val="18"/>
      <color theme="3"/>
      <name val="ＭＳ Ｐゴシック"/>
      <family val="2"/>
      <charset val="128"/>
      <scheme val="major"/>
    </font>
    <font>
      <sz val="10"/>
      <color theme="1"/>
      <name val="Aptos Narrow"/>
      <family val="2"/>
    </font>
    <font>
      <sz val="10"/>
      <name val="ＭＳ Ｐゴシック"/>
      <family val="3"/>
      <charset val="128"/>
    </font>
    <font>
      <sz val="6"/>
      <name val="ＭＳ Ｐゴシック"/>
      <family val="2"/>
      <charset val="128"/>
      <scheme val="minor"/>
    </font>
    <font>
      <sz val="10.5"/>
      <name val="ＭＳ 明朝"/>
      <family val="1"/>
      <charset val="128"/>
    </font>
    <font>
      <b/>
      <sz val="10.5"/>
      <name val="ＭＳ 明朝"/>
      <family val="1"/>
      <charset val="128"/>
    </font>
    <font>
      <u/>
      <sz val="10.5"/>
      <name val="ＭＳ 明朝"/>
      <family val="1"/>
      <charset val="128"/>
    </font>
    <font>
      <sz val="11"/>
      <name val="游ゴシック"/>
      <family val="3"/>
      <charset val="128"/>
    </font>
    <font>
      <sz val="11"/>
      <color theme="1"/>
      <name val="游ゴシック"/>
      <family val="3"/>
      <charset val="128"/>
    </font>
    <font>
      <b/>
      <sz val="11"/>
      <name val="ＭＳ 明朝"/>
      <family val="1"/>
      <charset val="128"/>
    </font>
    <font>
      <b/>
      <sz val="11"/>
      <color theme="1"/>
      <name val="ＭＳ 明朝"/>
      <family val="1"/>
      <charset val="128"/>
    </font>
    <font>
      <sz val="11"/>
      <color theme="1"/>
      <name val="ＭＳ 明朝"/>
      <family val="1"/>
      <charset val="128"/>
    </font>
  </fonts>
  <fills count="10">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right style="hair">
        <color auto="1"/>
      </right>
      <top style="thin">
        <color indexed="64"/>
      </top>
      <bottom/>
      <diagonal/>
    </border>
    <border>
      <left/>
      <right style="hair">
        <color auto="1"/>
      </right>
      <top/>
      <bottom/>
      <diagonal/>
    </border>
    <border>
      <left/>
      <right style="hair">
        <color auto="1"/>
      </right>
      <top/>
      <bottom style="thin">
        <color indexed="64"/>
      </bottom>
      <diagonal/>
    </border>
    <border>
      <left style="thin">
        <color indexed="64"/>
      </left>
      <right style="thin">
        <color indexed="64"/>
      </right>
      <top style="thin">
        <color indexed="64"/>
      </top>
      <bottom/>
      <diagonal/>
    </border>
  </borders>
  <cellStyleXfs count="13">
    <xf numFmtId="0" fontId="0" fillId="0" borderId="0"/>
    <xf numFmtId="0" fontId="8" fillId="0" borderId="0"/>
    <xf numFmtId="0" fontId="10" fillId="0" borderId="0"/>
    <xf numFmtId="0" fontId="8" fillId="0" borderId="0"/>
    <xf numFmtId="0" fontId="10" fillId="0" borderId="0"/>
    <xf numFmtId="0" fontId="12" fillId="0" borderId="0"/>
    <xf numFmtId="0" fontId="14" fillId="0" borderId="0"/>
    <xf numFmtId="0" fontId="8" fillId="0" borderId="0">
      <alignment vertical="center"/>
    </xf>
    <xf numFmtId="38" fontId="8" fillId="0" borderId="0" applyFont="0" applyFill="0" applyBorder="0" applyAlignment="0" applyProtection="0">
      <alignment vertical="center"/>
    </xf>
    <xf numFmtId="0" fontId="1" fillId="0" borderId="0">
      <alignment vertical="center"/>
    </xf>
    <xf numFmtId="0" fontId="1" fillId="0" borderId="0">
      <alignment vertical="center"/>
    </xf>
    <xf numFmtId="0" fontId="8" fillId="0" borderId="0"/>
    <xf numFmtId="38" fontId="1" fillId="0" borderId="0" applyFont="0" applyFill="0" applyBorder="0" applyAlignment="0" applyProtection="0">
      <alignment vertical="center"/>
    </xf>
  </cellStyleXfs>
  <cellXfs count="443">
    <xf numFmtId="0" fontId="0" fillId="0" borderId="0" xfId="0"/>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7" fillId="0" borderId="0" xfId="1" applyNumberFormat="1" applyFont="1" applyAlignment="1">
      <alignment vertical="center"/>
    </xf>
    <xf numFmtId="49" fontId="4" fillId="0" borderId="1" xfId="1" applyNumberFormat="1" applyFont="1" applyBorder="1"/>
    <xf numFmtId="49" fontId="4" fillId="0" borderId="2" xfId="1" applyNumberFormat="1" applyFont="1" applyBorder="1"/>
    <xf numFmtId="49" fontId="4" fillId="0" borderId="3" xfId="1" applyNumberFormat="1" applyFont="1" applyBorder="1"/>
    <xf numFmtId="49" fontId="4" fillId="0" borderId="0" xfId="1" applyNumberFormat="1" applyFont="1"/>
    <xf numFmtId="49" fontId="4" fillId="0" borderId="7" xfId="1" applyNumberFormat="1" applyFont="1" applyBorder="1"/>
    <xf numFmtId="49" fontId="4" fillId="0" borderId="7" xfId="1" applyNumberFormat="1" applyFont="1" applyBorder="1" applyAlignment="1">
      <alignment vertical="center"/>
    </xf>
    <xf numFmtId="49" fontId="4" fillId="0" borderId="0" xfId="1" applyNumberFormat="1" applyFont="1" applyAlignment="1">
      <alignment vertical="center" wrapText="1"/>
    </xf>
    <xf numFmtId="49" fontId="4" fillId="0" borderId="8" xfId="1" applyNumberFormat="1" applyFont="1" applyBorder="1"/>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7" fillId="0" borderId="0" xfId="1" applyNumberFormat="1" applyFont="1"/>
    <xf numFmtId="49" fontId="4" fillId="0" borderId="0" xfId="3" applyNumberFormat="1" applyFont="1" applyAlignment="1">
      <alignment horizontal="left" vertical="center"/>
    </xf>
    <xf numFmtId="49" fontId="4" fillId="0" borderId="5" xfId="3" applyNumberFormat="1" applyFont="1" applyBorder="1" applyAlignment="1">
      <alignment vertical="center"/>
    </xf>
    <xf numFmtId="49" fontId="4" fillId="0" borderId="0" xfId="3" applyNumberFormat="1" applyFont="1" applyAlignment="1">
      <alignment vertical="center"/>
    </xf>
    <xf numFmtId="49" fontId="4" fillId="0" borderId="0" xfId="3" applyNumberFormat="1" applyFont="1" applyAlignment="1">
      <alignment horizontal="right" vertical="center"/>
    </xf>
    <xf numFmtId="49" fontId="5" fillId="0" borderId="0" xfId="3" applyNumberFormat="1" applyFont="1" applyAlignment="1">
      <alignment vertical="center"/>
    </xf>
    <xf numFmtId="49" fontId="7" fillId="0" borderId="0" xfId="4" applyNumberFormat="1" applyFont="1" applyAlignment="1">
      <alignment vertical="center"/>
    </xf>
    <xf numFmtId="49" fontId="4" fillId="0" borderId="0" xfId="4" applyNumberFormat="1" applyFont="1" applyAlignment="1">
      <alignment vertical="center"/>
    </xf>
    <xf numFmtId="0" fontId="4" fillId="0" borderId="2" xfId="4" applyFont="1" applyBorder="1" applyAlignment="1">
      <alignment horizontal="center" vertical="center"/>
    </xf>
    <xf numFmtId="0" fontId="4" fillId="0" borderId="3" xfId="4" applyFont="1" applyBorder="1" applyAlignment="1">
      <alignment horizontal="center" vertical="center"/>
    </xf>
    <xf numFmtId="0" fontId="4" fillId="0" borderId="0" xfId="4" applyFont="1" applyAlignment="1">
      <alignment vertical="center"/>
    </xf>
    <xf numFmtId="0" fontId="4" fillId="0" borderId="5" xfId="4" applyFont="1" applyBorder="1" applyAlignment="1">
      <alignment vertical="center"/>
    </xf>
    <xf numFmtId="0" fontId="4" fillId="0" borderId="4" xfId="4" applyFont="1" applyBorder="1" applyAlignment="1">
      <alignment vertical="center"/>
    </xf>
    <xf numFmtId="0" fontId="4" fillId="0" borderId="6" xfId="4" applyFont="1" applyBorder="1" applyAlignment="1">
      <alignment vertical="center"/>
    </xf>
    <xf numFmtId="0" fontId="4" fillId="0" borderId="7" xfId="4" applyFont="1" applyBorder="1" applyAlignment="1">
      <alignment vertical="center"/>
    </xf>
    <xf numFmtId="0" fontId="4" fillId="0" borderId="8" xfId="4" applyFont="1" applyBorder="1" applyAlignment="1">
      <alignment vertical="center"/>
    </xf>
    <xf numFmtId="0" fontId="4" fillId="0" borderId="7" xfId="4" applyFont="1" applyBorder="1" applyAlignment="1">
      <alignment horizontal="center" vertical="center"/>
    </xf>
    <xf numFmtId="0" fontId="4" fillId="0" borderId="0" xfId="4" applyFont="1" applyAlignment="1">
      <alignment horizontal="center" vertical="center"/>
    </xf>
    <xf numFmtId="0" fontId="4" fillId="0" borderId="0" xfId="4" applyFont="1" applyAlignment="1">
      <alignment vertical="center" wrapText="1"/>
    </xf>
    <xf numFmtId="0" fontId="4" fillId="0" borderId="1" xfId="4" applyFont="1" applyBorder="1" applyAlignment="1">
      <alignment vertical="center"/>
    </xf>
    <xf numFmtId="0" fontId="4" fillId="0" borderId="2" xfId="4" applyFont="1" applyBorder="1" applyAlignment="1">
      <alignment vertical="center"/>
    </xf>
    <xf numFmtId="0" fontId="4" fillId="0" borderId="2" xfId="4" applyFont="1" applyBorder="1" applyAlignment="1">
      <alignment vertical="center" wrapText="1"/>
    </xf>
    <xf numFmtId="0" fontId="4" fillId="0" borderId="3" xfId="4" applyFont="1" applyBorder="1" applyAlignment="1">
      <alignment vertical="center"/>
    </xf>
    <xf numFmtId="0" fontId="4" fillId="0" borderId="4" xfId="4" applyFont="1" applyBorder="1" applyAlignment="1">
      <alignment vertical="center" wrapText="1"/>
    </xf>
    <xf numFmtId="0" fontId="4" fillId="0" borderId="0" xfId="4" quotePrefix="1" applyFont="1" applyAlignment="1">
      <alignment vertical="center"/>
    </xf>
    <xf numFmtId="0" fontId="4" fillId="0" borderId="0" xfId="4" applyFont="1" applyAlignment="1">
      <alignment horizontal="center" vertical="center" wrapText="1"/>
    </xf>
    <xf numFmtId="0" fontId="4" fillId="0" borderId="9" xfId="4" applyFont="1" applyBorder="1" applyAlignment="1">
      <alignment vertical="center"/>
    </xf>
    <xf numFmtId="0" fontId="4" fillId="0" borderId="10" xfId="4" applyFont="1" applyBorder="1" applyAlignment="1">
      <alignment vertical="center"/>
    </xf>
    <xf numFmtId="0" fontId="4" fillId="0" borderId="11" xfId="4" applyFont="1" applyBorder="1" applyAlignment="1">
      <alignment vertical="center"/>
    </xf>
    <xf numFmtId="0" fontId="11" fillId="0" borderId="0" xfId="3" applyFont="1" applyAlignment="1">
      <alignment vertical="center"/>
    </xf>
    <xf numFmtId="0" fontId="4" fillId="0" borderId="0" xfId="3" applyFont="1" applyAlignment="1">
      <alignment vertical="center"/>
    </xf>
    <xf numFmtId="0" fontId="4" fillId="0" borderId="0" xfId="3" applyFont="1" applyAlignment="1">
      <alignment vertical="center" textRotation="255"/>
    </xf>
    <xf numFmtId="0" fontId="4" fillId="0" borderId="9" xfId="4" applyFont="1" applyBorder="1" applyAlignment="1">
      <alignment horizontal="center" vertical="center"/>
    </xf>
    <xf numFmtId="0" fontId="4" fillId="0" borderId="10" xfId="4" applyFont="1" applyBorder="1" applyAlignment="1">
      <alignment horizontal="center" vertical="center"/>
    </xf>
    <xf numFmtId="0" fontId="7" fillId="0" borderId="0" xfId="4" applyFont="1"/>
    <xf numFmtId="0" fontId="10" fillId="0" borderId="0" xfId="4"/>
    <xf numFmtId="0" fontId="4" fillId="0" borderId="0" xfId="4" applyFont="1" applyAlignment="1">
      <alignment horizontal="left" vertical="center"/>
    </xf>
    <xf numFmtId="0" fontId="4" fillId="0" borderId="8" xfId="4" applyFont="1" applyBorder="1" applyAlignment="1">
      <alignment horizontal="left" vertical="center"/>
    </xf>
    <xf numFmtId="0" fontId="4" fillId="0" borderId="7" xfId="4" quotePrefix="1" applyFont="1" applyBorder="1" applyAlignment="1">
      <alignment vertical="center"/>
    </xf>
    <xf numFmtId="0" fontId="4" fillId="0" borderId="7" xfId="4" applyFont="1" applyBorder="1" applyAlignment="1">
      <alignment horizontal="left" vertical="center"/>
    </xf>
    <xf numFmtId="0" fontId="4" fillId="0" borderId="10" xfId="4" applyFont="1" applyBorder="1" applyAlignment="1">
      <alignment vertical="center" wrapText="1"/>
    </xf>
    <xf numFmtId="0" fontId="11" fillId="0" borderId="1" xfId="4" applyFont="1" applyBorder="1" applyAlignment="1">
      <alignment vertical="center"/>
    </xf>
    <xf numFmtId="0" fontId="4" fillId="0" borderId="0" xfId="3" applyFont="1" applyAlignment="1">
      <alignment horizontal="center" vertical="center" textRotation="255"/>
    </xf>
    <xf numFmtId="0" fontId="11" fillId="0" borderId="5" xfId="4" applyFont="1" applyBorder="1" applyAlignment="1">
      <alignment vertical="center"/>
    </xf>
    <xf numFmtId="0" fontId="11" fillId="0" borderId="4" xfId="4" applyFont="1" applyBorder="1" applyAlignment="1">
      <alignment vertical="center"/>
    </xf>
    <xf numFmtId="0" fontId="11" fillId="0" borderId="6" xfId="4" applyFont="1" applyBorder="1" applyAlignment="1">
      <alignment vertical="center"/>
    </xf>
    <xf numFmtId="0" fontId="4" fillId="0" borderId="6" xfId="4" applyFont="1" applyBorder="1" applyAlignment="1">
      <alignment vertical="center" wrapText="1"/>
    </xf>
    <xf numFmtId="49" fontId="4" fillId="0" borderId="0" xfId="5" applyNumberFormat="1" applyFont="1" applyAlignment="1">
      <alignment vertical="center"/>
    </xf>
    <xf numFmtId="49" fontId="4" fillId="0" borderId="0" xfId="5" applyNumberFormat="1" applyFont="1" applyAlignment="1">
      <alignment vertical="center" wrapText="1"/>
    </xf>
    <xf numFmtId="49" fontId="4" fillId="0" borderId="0" xfId="3" applyNumberFormat="1" applyFont="1"/>
    <xf numFmtId="0" fontId="14" fillId="0" borderId="0" xfId="6" applyAlignment="1">
      <alignment vertical="center"/>
    </xf>
    <xf numFmtId="0" fontId="4" fillId="2" borderId="5" xfId="4" applyFont="1" applyFill="1" applyBorder="1" applyAlignment="1">
      <alignment vertical="center"/>
    </xf>
    <xf numFmtId="0" fontId="4" fillId="2" borderId="4" xfId="4" applyFont="1" applyFill="1" applyBorder="1" applyAlignment="1">
      <alignment vertical="center"/>
    </xf>
    <xf numFmtId="0" fontId="4" fillId="2" borderId="6" xfId="4" applyFont="1" applyFill="1" applyBorder="1" applyAlignment="1">
      <alignment vertical="center"/>
    </xf>
    <xf numFmtId="0" fontId="4" fillId="2" borderId="1" xfId="4" applyFont="1" applyFill="1" applyBorder="1" applyAlignment="1">
      <alignment vertical="center"/>
    </xf>
    <xf numFmtId="0" fontId="4" fillId="2" borderId="2" xfId="4" applyFont="1" applyFill="1" applyBorder="1" applyAlignment="1">
      <alignment vertical="center"/>
    </xf>
    <xf numFmtId="0" fontId="4" fillId="2" borderId="3" xfId="4" applyFont="1" applyFill="1" applyBorder="1" applyAlignment="1">
      <alignment vertical="center"/>
    </xf>
    <xf numFmtId="0" fontId="4" fillId="2" borderId="9" xfId="4" applyFont="1" applyFill="1" applyBorder="1" applyAlignment="1">
      <alignment vertical="center"/>
    </xf>
    <xf numFmtId="0" fontId="4" fillId="2" borderId="10" xfId="4" applyFont="1" applyFill="1" applyBorder="1" applyAlignment="1">
      <alignment vertical="center"/>
    </xf>
    <xf numFmtId="0" fontId="4" fillId="2" borderId="2" xfId="4" applyFont="1" applyFill="1" applyBorder="1" applyAlignment="1">
      <alignment vertical="center" wrapText="1"/>
    </xf>
    <xf numFmtId="0" fontId="4" fillId="2" borderId="2" xfId="4" quotePrefix="1" applyFont="1" applyFill="1" applyBorder="1" applyAlignment="1">
      <alignment vertical="center"/>
    </xf>
    <xf numFmtId="49" fontId="16" fillId="0" borderId="1" xfId="4" applyNumberFormat="1" applyFont="1" applyBorder="1" applyAlignment="1">
      <alignment vertical="center"/>
    </xf>
    <xf numFmtId="49" fontId="16" fillId="0" borderId="2" xfId="4" applyNumberFormat="1" applyFont="1" applyBorder="1" applyAlignment="1">
      <alignment vertical="center"/>
    </xf>
    <xf numFmtId="0" fontId="16" fillId="0" borderId="2" xfId="4" applyFont="1" applyBorder="1" applyAlignment="1">
      <alignment vertical="center"/>
    </xf>
    <xf numFmtId="0" fontId="15" fillId="0" borderId="2" xfId="4" applyFont="1" applyBorder="1" applyAlignment="1">
      <alignment vertical="center"/>
    </xf>
    <xf numFmtId="49" fontId="15" fillId="0" borderId="1" xfId="4" applyNumberFormat="1" applyFont="1" applyBorder="1" applyAlignment="1">
      <alignment vertical="center"/>
    </xf>
    <xf numFmtId="49" fontId="15" fillId="0" borderId="2" xfId="4" applyNumberFormat="1" applyFont="1" applyBorder="1" applyAlignment="1">
      <alignment vertical="center"/>
    </xf>
    <xf numFmtId="0" fontId="4" fillId="0" borderId="2" xfId="4" applyFont="1" applyBorder="1" applyAlignment="1">
      <alignment horizontal="center" vertical="center" wrapText="1"/>
    </xf>
    <xf numFmtId="0" fontId="17" fillId="0" borderId="0" xfId="4" applyFont="1" applyAlignment="1">
      <alignment vertical="center"/>
    </xf>
    <xf numFmtId="49" fontId="16" fillId="0" borderId="0" xfId="4" applyNumberFormat="1" applyFont="1" applyAlignment="1">
      <alignment vertical="center"/>
    </xf>
    <xf numFmtId="0" fontId="16" fillId="0" borderId="0" xfId="4" applyFont="1" applyAlignment="1">
      <alignment vertical="center"/>
    </xf>
    <xf numFmtId="49" fontId="18" fillId="0" borderId="0" xfId="4" applyNumberFormat="1" applyFont="1" applyAlignment="1">
      <alignment vertical="center"/>
    </xf>
    <xf numFmtId="0" fontId="18" fillId="0" borderId="0" xfId="4" applyFont="1" applyAlignment="1">
      <alignment vertical="center"/>
    </xf>
    <xf numFmtId="0" fontId="18" fillId="0" borderId="0" xfId="4" applyFont="1" applyAlignment="1">
      <alignment vertical="center" wrapText="1"/>
    </xf>
    <xf numFmtId="0" fontId="15" fillId="0" borderId="0" xfId="4" applyFont="1" applyAlignment="1">
      <alignment vertical="center"/>
    </xf>
    <xf numFmtId="49" fontId="15" fillId="0" borderId="0" xfId="4" applyNumberFormat="1" applyFont="1" applyAlignment="1">
      <alignment vertical="center"/>
    </xf>
    <xf numFmtId="0" fontId="18" fillId="0" borderId="0" xfId="4" applyFont="1" applyAlignment="1">
      <alignment horizontal="center" vertical="center" wrapText="1"/>
    </xf>
    <xf numFmtId="0" fontId="18" fillId="0" borderId="0" xfId="4" applyFont="1" applyAlignment="1">
      <alignment horizontal="center" vertical="center"/>
    </xf>
    <xf numFmtId="49" fontId="4" fillId="3" borderId="1" xfId="7" applyNumberFormat="1" applyFont="1" applyFill="1" applyBorder="1">
      <alignment vertical="center"/>
    </xf>
    <xf numFmtId="49" fontId="4" fillId="3" borderId="2" xfId="5" applyNumberFormat="1" applyFont="1" applyFill="1" applyBorder="1" applyAlignment="1">
      <alignment vertical="center"/>
    </xf>
    <xf numFmtId="49" fontId="4" fillId="3" borderId="2" xfId="7" applyNumberFormat="1" applyFont="1" applyFill="1" applyBorder="1">
      <alignment vertical="center"/>
    </xf>
    <xf numFmtId="49" fontId="4" fillId="3" borderId="2" xfId="3" applyNumberFormat="1" applyFont="1" applyFill="1" applyBorder="1" applyAlignment="1">
      <alignment vertical="center"/>
    </xf>
    <xf numFmtId="49" fontId="4" fillId="3" borderId="3" xfId="7" applyNumberFormat="1" applyFont="1" applyFill="1" applyBorder="1">
      <alignment vertical="center"/>
    </xf>
    <xf numFmtId="49" fontId="4" fillId="3" borderId="3" xfId="3" applyNumberFormat="1" applyFont="1" applyFill="1" applyBorder="1" applyAlignment="1">
      <alignment vertical="center"/>
    </xf>
    <xf numFmtId="49" fontId="4" fillId="3" borderId="1" xfId="3" applyNumberFormat="1" applyFont="1" applyFill="1" applyBorder="1" applyAlignment="1">
      <alignment vertical="center"/>
    </xf>
    <xf numFmtId="49" fontId="4" fillId="3" borderId="1" xfId="5" applyNumberFormat="1" applyFont="1" applyFill="1" applyBorder="1" applyAlignment="1">
      <alignment vertical="center"/>
    </xf>
    <xf numFmtId="49" fontId="4" fillId="3" borderId="3" xfId="5" applyNumberFormat="1" applyFont="1" applyFill="1" applyBorder="1" applyAlignment="1">
      <alignment vertical="center"/>
    </xf>
    <xf numFmtId="0" fontId="19" fillId="0" borderId="17" xfId="4" applyFont="1" applyBorder="1" applyAlignment="1">
      <alignment vertical="center"/>
    </xf>
    <xf numFmtId="49" fontId="4" fillId="0" borderId="18" xfId="3" applyNumberFormat="1" applyFont="1" applyBorder="1" applyAlignment="1">
      <alignment vertical="center"/>
    </xf>
    <xf numFmtId="49" fontId="4" fillId="0" borderId="19" xfId="3" applyNumberFormat="1" applyFont="1" applyBorder="1" applyAlignment="1">
      <alignment vertical="center"/>
    </xf>
    <xf numFmtId="0" fontId="7" fillId="0" borderId="17" xfId="3" applyFont="1" applyBorder="1" applyAlignment="1">
      <alignment vertical="center"/>
    </xf>
    <xf numFmtId="0" fontId="7" fillId="0" borderId="22" xfId="3" applyFont="1" applyBorder="1" applyAlignment="1">
      <alignment vertical="center"/>
    </xf>
    <xf numFmtId="0" fontId="19" fillId="0" borderId="22" xfId="4" applyFont="1" applyBorder="1" applyAlignment="1">
      <alignment vertical="center"/>
    </xf>
    <xf numFmtId="0" fontId="19" fillId="0" borderId="20" xfId="4" applyFont="1" applyBorder="1" applyAlignment="1">
      <alignment vertical="center"/>
    </xf>
    <xf numFmtId="49" fontId="4" fillId="0" borderId="13" xfId="3" applyNumberFormat="1" applyFont="1" applyBorder="1" applyAlignment="1">
      <alignment vertical="center"/>
    </xf>
    <xf numFmtId="49" fontId="4" fillId="0" borderId="14" xfId="3" applyNumberFormat="1" applyFont="1" applyBorder="1" applyAlignment="1">
      <alignment vertical="center"/>
    </xf>
    <xf numFmtId="0" fontId="7" fillId="0" borderId="20" xfId="3" applyFont="1" applyBorder="1" applyAlignment="1">
      <alignment vertical="center"/>
    </xf>
    <xf numFmtId="0" fontId="7" fillId="0" borderId="23" xfId="3" applyFont="1" applyBorder="1" applyAlignment="1">
      <alignment vertical="center"/>
    </xf>
    <xf numFmtId="0" fontId="19" fillId="0" borderId="23" xfId="4" applyFont="1" applyBorder="1" applyAlignment="1">
      <alignment vertical="center"/>
    </xf>
    <xf numFmtId="49" fontId="19" fillId="0" borderId="20" xfId="4" applyNumberFormat="1" applyFont="1" applyBorder="1" applyAlignment="1">
      <alignment vertical="center"/>
    </xf>
    <xf numFmtId="49" fontId="19" fillId="0" borderId="23" xfId="4" applyNumberFormat="1" applyFont="1" applyBorder="1" applyAlignment="1">
      <alignment vertical="center"/>
    </xf>
    <xf numFmtId="49" fontId="10" fillId="0" borderId="23" xfId="4" applyNumberFormat="1" applyBorder="1" applyAlignment="1">
      <alignment vertical="center"/>
    </xf>
    <xf numFmtId="0" fontId="7" fillId="0" borderId="24" xfId="3" applyFont="1" applyBorder="1" applyAlignment="1">
      <alignment vertical="center"/>
    </xf>
    <xf numFmtId="49" fontId="4" fillId="0" borderId="25" xfId="3" applyNumberFormat="1" applyFont="1" applyBorder="1" applyAlignment="1">
      <alignment vertical="center"/>
    </xf>
    <xf numFmtId="49" fontId="4" fillId="0" borderId="26" xfId="3" applyNumberFormat="1" applyFont="1" applyBorder="1" applyAlignment="1">
      <alignment vertical="center"/>
    </xf>
    <xf numFmtId="49" fontId="10" fillId="0" borderId="27" xfId="4" applyNumberFormat="1" applyBorder="1" applyAlignment="1">
      <alignment vertical="center"/>
    </xf>
    <xf numFmtId="0" fontId="7" fillId="0" borderId="27" xfId="3" applyFont="1" applyBorder="1" applyAlignment="1">
      <alignment vertical="center"/>
    </xf>
    <xf numFmtId="0" fontId="7" fillId="0" borderId="21" xfId="3" applyFont="1" applyBorder="1" applyAlignment="1">
      <alignment vertical="center"/>
    </xf>
    <xf numFmtId="49" fontId="4" fillId="0" borderId="15" xfId="3" applyNumberFormat="1" applyFont="1" applyBorder="1" applyAlignment="1">
      <alignment vertical="center"/>
    </xf>
    <xf numFmtId="49" fontId="4" fillId="0" borderId="16" xfId="3" applyNumberFormat="1" applyFont="1" applyBorder="1" applyAlignment="1">
      <alignment vertical="center"/>
    </xf>
    <xf numFmtId="49" fontId="10" fillId="0" borderId="28" xfId="4" applyNumberFormat="1" applyBorder="1" applyAlignment="1">
      <alignment vertical="center"/>
    </xf>
    <xf numFmtId="0" fontId="7" fillId="0" borderId="28" xfId="3" applyFont="1" applyBorder="1" applyAlignment="1">
      <alignment vertical="center"/>
    </xf>
    <xf numFmtId="49" fontId="4" fillId="0" borderId="8" xfId="3" applyNumberFormat="1" applyFont="1" applyBorder="1" applyAlignment="1">
      <alignment vertical="center"/>
    </xf>
    <xf numFmtId="49" fontId="7" fillId="0" borderId="0" xfId="0" applyNumberFormat="1" applyFont="1" applyAlignment="1">
      <alignment vertical="center"/>
    </xf>
    <xf numFmtId="49" fontId="4" fillId="0" borderId="0" xfId="0" applyNumberFormat="1" applyFont="1" applyAlignment="1">
      <alignment vertical="center"/>
    </xf>
    <xf numFmtId="0" fontId="4" fillId="0" borderId="0" xfId="0" applyFont="1" applyAlignment="1">
      <alignment vertical="center"/>
    </xf>
    <xf numFmtId="0" fontId="4" fillId="0" borderId="5" xfId="2" applyFont="1" applyBorder="1" applyAlignment="1">
      <alignment vertical="center"/>
    </xf>
    <xf numFmtId="0" fontId="4" fillId="0" borderId="4" xfId="2" applyFont="1" applyBorder="1" applyAlignment="1">
      <alignment vertical="center"/>
    </xf>
    <xf numFmtId="0" fontId="4" fillId="0" borderId="6" xfId="2"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4" borderId="1" xfId="2" applyFont="1" applyFill="1" applyBorder="1" applyAlignment="1">
      <alignment vertical="center"/>
    </xf>
    <xf numFmtId="0" fontId="4" fillId="4" borderId="2" xfId="2" applyFont="1" applyFill="1" applyBorder="1" applyAlignment="1">
      <alignment vertical="center"/>
    </xf>
    <xf numFmtId="0" fontId="4" fillId="4" borderId="3" xfId="2" applyFont="1" applyFill="1" applyBorder="1" applyAlignment="1">
      <alignment vertical="center"/>
    </xf>
    <xf numFmtId="0" fontId="4" fillId="4" borderId="3" xfId="2" applyFont="1" applyFill="1" applyBorder="1" applyAlignment="1">
      <alignment vertical="center" wrapText="1"/>
    </xf>
    <xf numFmtId="0" fontId="4" fillId="4" borderId="2" xfId="2" quotePrefix="1" applyFont="1" applyFill="1" applyBorder="1" applyAlignment="1">
      <alignment vertical="center"/>
    </xf>
    <xf numFmtId="0" fontId="17" fillId="5" borderId="5" xfId="2" applyFont="1" applyFill="1" applyBorder="1" applyAlignment="1">
      <alignment vertical="center"/>
    </xf>
    <xf numFmtId="0" fontId="4" fillId="5" borderId="4" xfId="2" applyFont="1" applyFill="1" applyBorder="1" applyAlignment="1">
      <alignment vertical="center"/>
    </xf>
    <xf numFmtId="0" fontId="4" fillId="5" borderId="6" xfId="2" applyFont="1" applyFill="1" applyBorder="1" applyAlignment="1">
      <alignment vertical="center"/>
    </xf>
    <xf numFmtId="0" fontId="7" fillId="0" borderId="7" xfId="2" applyFont="1" applyBorder="1" applyAlignment="1">
      <alignment vertical="center"/>
    </xf>
    <xf numFmtId="0" fontId="7" fillId="0" borderId="0" xfId="2" applyFont="1" applyAlignment="1">
      <alignment vertical="center"/>
    </xf>
    <xf numFmtId="0" fontId="7" fillId="0" borderId="4" xfId="2" applyFont="1" applyBorder="1" applyAlignment="1">
      <alignment vertical="center" wrapText="1"/>
    </xf>
    <xf numFmtId="0" fontId="7" fillId="0" borderId="4" xfId="2" applyFont="1" applyBorder="1" applyAlignment="1">
      <alignment vertical="center"/>
    </xf>
    <xf numFmtId="0" fontId="7" fillId="0" borderId="4" xfId="2" quotePrefix="1" applyFont="1" applyBorder="1" applyAlignment="1">
      <alignment vertical="center"/>
    </xf>
    <xf numFmtId="0" fontId="7" fillId="0" borderId="5" xfId="2" applyFont="1" applyBorder="1" applyAlignment="1">
      <alignment vertical="center"/>
    </xf>
    <xf numFmtId="0" fontId="17" fillId="5" borderId="7" xfId="2" applyFont="1" applyFill="1" applyBorder="1" applyAlignment="1">
      <alignment vertical="center"/>
    </xf>
    <xf numFmtId="0" fontId="4" fillId="5" borderId="0" xfId="2" applyFont="1" applyFill="1" applyAlignment="1">
      <alignment vertical="center"/>
    </xf>
    <xf numFmtId="0" fontId="4" fillId="5" borderId="8" xfId="2" applyFont="1" applyFill="1" applyBorder="1" applyAlignment="1">
      <alignment vertical="center"/>
    </xf>
    <xf numFmtId="0" fontId="7" fillId="0" borderId="0" xfId="2" applyFont="1" applyAlignment="1">
      <alignment vertical="center" wrapText="1"/>
    </xf>
    <xf numFmtId="0" fontId="7" fillId="0" borderId="0" xfId="2" quotePrefix="1" applyFont="1" applyAlignment="1">
      <alignment vertical="center"/>
    </xf>
    <xf numFmtId="0" fontId="4" fillId="0" borderId="0" xfId="2" applyFont="1" applyAlignment="1">
      <alignment vertical="center"/>
    </xf>
    <xf numFmtId="0" fontId="4" fillId="0" borderId="8" xfId="2" applyFont="1" applyBorder="1" applyAlignment="1">
      <alignment vertical="center"/>
    </xf>
    <xf numFmtId="0" fontId="10" fillId="0" borderId="0" xfId="2"/>
    <xf numFmtId="0" fontId="21" fillId="0" borderId="0" xfId="2" applyFont="1" applyAlignment="1">
      <alignment horizontal="left" vertical="center"/>
    </xf>
    <xf numFmtId="0" fontId="19" fillId="0" borderId="0" xfId="2" applyFont="1" applyAlignment="1">
      <alignment vertical="center"/>
    </xf>
    <xf numFmtId="0" fontId="19" fillId="0" borderId="0" xfId="2" applyFont="1" applyAlignment="1">
      <alignment horizontal="left" vertical="center"/>
    </xf>
    <xf numFmtId="0" fontId="17" fillId="5" borderId="9" xfId="2" applyFont="1" applyFill="1" applyBorder="1" applyAlignment="1">
      <alignment vertical="center"/>
    </xf>
    <xf numFmtId="0" fontId="4" fillId="5" borderId="10" xfId="2" applyFont="1" applyFill="1" applyBorder="1" applyAlignment="1">
      <alignment vertical="center"/>
    </xf>
    <xf numFmtId="49" fontId="4" fillId="5" borderId="10" xfId="1" applyNumberFormat="1" applyFont="1" applyFill="1" applyBorder="1" applyAlignment="1">
      <alignment horizontal="left" vertical="center"/>
    </xf>
    <xf numFmtId="0" fontId="4" fillId="5" borderId="11" xfId="2" applyFont="1" applyFill="1" applyBorder="1" applyAlignment="1">
      <alignment vertical="center"/>
    </xf>
    <xf numFmtId="0" fontId="7" fillId="0" borderId="9" xfId="2" applyFont="1" applyBorder="1" applyAlignment="1">
      <alignment vertical="center"/>
    </xf>
    <xf numFmtId="0" fontId="7" fillId="0" borderId="10" xfId="2" applyFont="1" applyBorder="1" applyAlignment="1">
      <alignment vertical="center"/>
    </xf>
    <xf numFmtId="0" fontId="7" fillId="0" borderId="10" xfId="2" applyFont="1" applyBorder="1" applyAlignment="1">
      <alignment vertical="center" wrapText="1"/>
    </xf>
    <xf numFmtId="0" fontId="7" fillId="0" borderId="10" xfId="2" quotePrefix="1" applyFont="1" applyBorder="1" applyAlignment="1">
      <alignment vertical="center"/>
    </xf>
    <xf numFmtId="0" fontId="4" fillId="0" borderId="10" xfId="2" applyFont="1" applyBorder="1" applyAlignment="1">
      <alignment vertical="center"/>
    </xf>
    <xf numFmtId="0" fontId="4" fillId="0" borderId="11" xfId="2" applyFont="1" applyBorder="1" applyAlignment="1">
      <alignment vertical="center"/>
    </xf>
    <xf numFmtId="0" fontId="4" fillId="0" borderId="4" xfId="0" applyFont="1" applyBorder="1" applyAlignment="1">
      <alignment vertical="center"/>
    </xf>
    <xf numFmtId="49" fontId="10" fillId="0" borderId="0" xfId="2" applyNumberFormat="1" applyAlignment="1">
      <alignment vertical="center"/>
    </xf>
    <xf numFmtId="0" fontId="10" fillId="0" borderId="0" xfId="2" applyAlignment="1">
      <alignment vertical="center"/>
    </xf>
    <xf numFmtId="49" fontId="7" fillId="0" borderId="7" xfId="2" applyNumberFormat="1" applyFont="1" applyBorder="1" applyAlignment="1">
      <alignment vertical="center"/>
    </xf>
    <xf numFmtId="0" fontId="4" fillId="0" borderId="0" xfId="2" applyFont="1" applyAlignment="1">
      <alignment vertical="center" wrapText="1"/>
    </xf>
    <xf numFmtId="0" fontId="22" fillId="0" borderId="0" xfId="2" applyFont="1" applyAlignment="1">
      <alignment vertical="center"/>
    </xf>
    <xf numFmtId="0" fontId="4" fillId="0" borderId="0" xfId="2" applyFont="1" applyAlignment="1">
      <alignment horizontal="center" vertical="center" wrapText="1"/>
    </xf>
    <xf numFmtId="49" fontId="22" fillId="0" borderId="0" xfId="2" applyNumberFormat="1" applyFont="1" applyAlignment="1">
      <alignment vertical="center"/>
    </xf>
    <xf numFmtId="0" fontId="17" fillId="5" borderId="7" xfId="2" applyFont="1" applyFill="1" applyBorder="1" applyAlignment="1">
      <alignment horizontal="center" vertical="center"/>
    </xf>
    <xf numFmtId="0" fontId="7" fillId="0" borderId="0" xfId="2" applyFont="1" applyAlignment="1">
      <alignment horizontal="center" vertical="center" wrapText="1"/>
    </xf>
    <xf numFmtId="0" fontId="7" fillId="0" borderId="0" xfId="2" applyFont="1" applyAlignment="1">
      <alignment horizontal="center" vertical="center"/>
    </xf>
    <xf numFmtId="0" fontId="17" fillId="5" borderId="9" xfId="2" applyFont="1" applyFill="1" applyBorder="1" applyAlignment="1">
      <alignment horizontal="center" vertical="center"/>
    </xf>
    <xf numFmtId="49" fontId="16" fillId="5" borderId="10" xfId="2" applyNumberFormat="1" applyFont="1" applyFill="1" applyBorder="1" applyAlignment="1">
      <alignment vertical="center"/>
    </xf>
    <xf numFmtId="0" fontId="7" fillId="0" borderId="10" xfId="2" applyFont="1" applyBorder="1" applyAlignment="1">
      <alignment horizontal="center" vertical="center" wrapText="1"/>
    </xf>
    <xf numFmtId="0" fontId="7" fillId="0" borderId="10" xfId="2" applyFont="1" applyBorder="1" applyAlignment="1">
      <alignment horizontal="center" vertical="center"/>
    </xf>
    <xf numFmtId="0" fontId="4" fillId="0" borderId="10" xfId="0" applyFont="1" applyBorder="1" applyAlignment="1">
      <alignment vertical="center"/>
    </xf>
    <xf numFmtId="0" fontId="4" fillId="0" borderId="0" xfId="2" applyFont="1" applyAlignment="1">
      <alignment horizontal="center" vertical="center"/>
    </xf>
    <xf numFmtId="0" fontId="4" fillId="0" borderId="9" xfId="0" applyFont="1" applyBorder="1" applyAlignment="1">
      <alignment vertical="center"/>
    </xf>
    <xf numFmtId="0" fontId="4" fillId="0" borderId="11" xfId="0" applyFont="1" applyBorder="1" applyAlignment="1">
      <alignment vertical="center"/>
    </xf>
    <xf numFmtId="0" fontId="7" fillId="0" borderId="0" xfId="0" applyFont="1" applyAlignment="1">
      <alignment vertical="center"/>
    </xf>
    <xf numFmtId="0" fontId="0" fillId="0" borderId="0" xfId="0" applyAlignment="1">
      <alignment vertical="center"/>
    </xf>
    <xf numFmtId="0" fontId="4" fillId="0" borderId="0" xfId="1" applyFont="1" applyAlignment="1">
      <alignment vertical="center"/>
    </xf>
    <xf numFmtId="0" fontId="4" fillId="0" borderId="7" xfId="1" applyFont="1" applyBorder="1" applyAlignment="1">
      <alignment vertical="center"/>
    </xf>
    <xf numFmtId="0" fontId="4" fillId="0" borderId="8" xfId="1" applyFont="1" applyBorder="1" applyAlignment="1">
      <alignment vertical="center"/>
    </xf>
    <xf numFmtId="0" fontId="24" fillId="0" borderId="7" xfId="1" applyFont="1" applyBorder="1" applyAlignment="1">
      <alignment vertical="center"/>
    </xf>
    <xf numFmtId="0" fontId="25" fillId="0" borderId="0" xfId="10" applyFont="1">
      <alignment vertical="center"/>
    </xf>
    <xf numFmtId="0" fontId="24" fillId="0" borderId="0" xfId="10" applyFont="1">
      <alignment vertical="center"/>
    </xf>
    <xf numFmtId="0" fontId="24" fillId="0" borderId="0" xfId="1" applyFont="1" applyAlignment="1">
      <alignment vertical="center"/>
    </xf>
    <xf numFmtId="49" fontId="24" fillId="0" borderId="0" xfId="1" applyNumberFormat="1" applyFont="1" applyAlignment="1">
      <alignment horizontal="left" vertical="center"/>
    </xf>
    <xf numFmtId="49" fontId="24" fillId="0" borderId="0" xfId="1" applyNumberFormat="1" applyFont="1" applyAlignment="1">
      <alignment vertical="center"/>
    </xf>
    <xf numFmtId="0" fontId="24" fillId="0" borderId="8" xfId="1" applyFont="1" applyBorder="1" applyAlignment="1">
      <alignment vertical="center"/>
    </xf>
    <xf numFmtId="49" fontId="25" fillId="0" borderId="0" xfId="1" applyNumberFormat="1" applyFont="1" applyAlignment="1">
      <alignment vertical="center"/>
    </xf>
    <xf numFmtId="0" fontId="25" fillId="0" borderId="0" xfId="1" applyFont="1" applyAlignment="1">
      <alignment vertical="center"/>
    </xf>
    <xf numFmtId="49" fontId="24" fillId="0" borderId="5" xfId="1" applyNumberFormat="1" applyFont="1" applyBorder="1" applyAlignment="1">
      <alignment vertical="center"/>
    </xf>
    <xf numFmtId="0" fontId="24" fillId="0" borderId="4" xfId="1" applyFont="1" applyBorder="1" applyAlignment="1">
      <alignment vertical="center"/>
    </xf>
    <xf numFmtId="49" fontId="24" fillId="0" borderId="4" xfId="1" applyNumberFormat="1" applyFont="1" applyBorder="1" applyAlignment="1">
      <alignment vertical="center"/>
    </xf>
    <xf numFmtId="49" fontId="24" fillId="0" borderId="4" xfId="1" applyNumberFormat="1" applyFont="1" applyBorder="1" applyAlignment="1">
      <alignment horizontal="left" vertical="center"/>
    </xf>
    <xf numFmtId="49" fontId="24" fillId="0" borderId="6" xfId="1" applyNumberFormat="1" applyFont="1" applyBorder="1" applyAlignment="1">
      <alignment vertical="center"/>
    </xf>
    <xf numFmtId="49" fontId="24" fillId="0" borderId="7" xfId="1" applyNumberFormat="1" applyFont="1" applyBorder="1" applyAlignment="1">
      <alignment vertical="center"/>
    </xf>
    <xf numFmtId="49" fontId="24" fillId="0" borderId="8" xfId="1" applyNumberFormat="1" applyFont="1" applyBorder="1" applyAlignment="1">
      <alignment vertical="center"/>
    </xf>
    <xf numFmtId="0" fontId="24" fillId="6" borderId="9" xfId="11" applyFont="1" applyFill="1" applyBorder="1" applyAlignment="1">
      <alignment vertical="center"/>
    </xf>
    <xf numFmtId="0" fontId="24" fillId="0" borderId="10" xfId="1" applyFont="1" applyBorder="1" applyAlignment="1">
      <alignment vertical="center"/>
    </xf>
    <xf numFmtId="0" fontId="24" fillId="6" borderId="10" xfId="11" applyFont="1" applyFill="1" applyBorder="1" applyAlignment="1">
      <alignment vertical="center"/>
    </xf>
    <xf numFmtId="49" fontId="24" fillId="0" borderId="10" xfId="1" applyNumberFormat="1" applyFont="1" applyBorder="1" applyAlignment="1">
      <alignment vertical="center"/>
    </xf>
    <xf numFmtId="49" fontId="24" fillId="0" borderId="10" xfId="1" applyNumberFormat="1" applyFont="1" applyBorder="1" applyAlignment="1">
      <alignment horizontal="left" vertical="center"/>
    </xf>
    <xf numFmtId="49" fontId="24" fillId="0" borderId="11" xfId="1" applyNumberFormat="1" applyFont="1" applyBorder="1" applyAlignment="1">
      <alignment vertical="center"/>
    </xf>
    <xf numFmtId="49" fontId="26" fillId="0" borderId="0" xfId="1" applyNumberFormat="1" applyFont="1" applyAlignment="1">
      <alignment vertical="center"/>
    </xf>
    <xf numFmtId="49" fontId="26" fillId="0" borderId="4" xfId="1" applyNumberFormat="1" applyFont="1" applyBorder="1" applyAlignment="1">
      <alignment vertical="center"/>
    </xf>
    <xf numFmtId="49" fontId="24" fillId="0" borderId="9" xfId="1" applyNumberFormat="1" applyFont="1" applyBorder="1" applyAlignment="1">
      <alignment vertical="center"/>
    </xf>
    <xf numFmtId="49" fontId="25" fillId="0" borderId="10" xfId="1" applyNumberFormat="1" applyFont="1" applyBorder="1" applyAlignment="1">
      <alignment vertical="center"/>
    </xf>
    <xf numFmtId="0" fontId="24" fillId="0" borderId="6" xfId="1" applyFont="1" applyBorder="1" applyAlignment="1">
      <alignment vertical="center"/>
    </xf>
    <xf numFmtId="0" fontId="24" fillId="0" borderId="11" xfId="1" applyFont="1" applyBorder="1" applyAlignment="1">
      <alignment vertical="center"/>
    </xf>
    <xf numFmtId="0" fontId="24" fillId="6" borderId="0" xfId="11" applyFont="1" applyFill="1" applyAlignment="1">
      <alignment vertical="center"/>
    </xf>
    <xf numFmtId="49" fontId="26" fillId="0" borderId="10" xfId="1" applyNumberFormat="1" applyFont="1" applyBorder="1" applyAlignment="1">
      <alignment vertical="center"/>
    </xf>
    <xf numFmtId="49" fontId="24" fillId="0" borderId="29" xfId="1" applyNumberFormat="1" applyFont="1" applyBorder="1" applyAlignment="1">
      <alignment vertical="center"/>
    </xf>
    <xf numFmtId="49" fontId="24" fillId="0" borderId="30" xfId="1" applyNumberFormat="1" applyFont="1" applyBorder="1" applyAlignment="1">
      <alignment vertical="center"/>
    </xf>
    <xf numFmtId="49" fontId="24" fillId="0" borderId="31" xfId="1" applyNumberFormat="1" applyFont="1" applyBorder="1" applyAlignment="1">
      <alignment vertical="center"/>
    </xf>
    <xf numFmtId="0" fontId="24" fillId="0" borderId="0" xfId="1" applyFont="1" applyAlignment="1">
      <alignment horizontal="center" vertical="center"/>
    </xf>
    <xf numFmtId="0" fontId="4" fillId="0" borderId="9" xfId="1" applyFont="1" applyBorder="1" applyAlignment="1">
      <alignment vertical="center"/>
    </xf>
    <xf numFmtId="0" fontId="4" fillId="0" borderId="10" xfId="1" applyFont="1" applyBorder="1" applyAlignment="1">
      <alignment vertical="center"/>
    </xf>
    <xf numFmtId="0" fontId="4" fillId="0" borderId="11" xfId="1" applyFont="1" applyBorder="1" applyAlignment="1">
      <alignment vertical="center"/>
    </xf>
    <xf numFmtId="0" fontId="7" fillId="0" borderId="0" xfId="1" applyFont="1" applyAlignment="1">
      <alignment vertical="center"/>
    </xf>
    <xf numFmtId="0" fontId="8" fillId="0" borderId="0" xfId="1" applyAlignment="1">
      <alignment vertical="center"/>
    </xf>
    <xf numFmtId="0" fontId="1" fillId="7" borderId="32" xfId="10" applyFill="1" applyBorder="1" applyAlignment="1">
      <alignment horizontal="center" vertical="center"/>
    </xf>
    <xf numFmtId="0" fontId="27" fillId="7" borderId="32" xfId="10" applyFont="1" applyFill="1" applyBorder="1" applyAlignment="1">
      <alignment horizontal="center" vertical="center"/>
    </xf>
    <xf numFmtId="0" fontId="27" fillId="8" borderId="12" xfId="10" applyFont="1" applyFill="1" applyBorder="1" applyAlignment="1">
      <alignment horizontal="center" vertical="center"/>
    </xf>
    <xf numFmtId="0" fontId="1" fillId="0" borderId="0" xfId="10">
      <alignment vertical="center"/>
    </xf>
    <xf numFmtId="0" fontId="8" fillId="0" borderId="12" xfId="1" applyBorder="1" applyAlignment="1">
      <alignment vertical="center"/>
    </xf>
    <xf numFmtId="0" fontId="27" fillId="0" borderId="32" xfId="10" applyFont="1" applyBorder="1">
      <alignment vertical="center"/>
    </xf>
    <xf numFmtId="0" fontId="28" fillId="0" borderId="12" xfId="1" applyFont="1" applyBorder="1" applyAlignment="1">
      <alignment vertical="center"/>
    </xf>
    <xf numFmtId="38" fontId="27" fillId="0" borderId="32" xfId="12" applyFont="1" applyFill="1" applyBorder="1" applyAlignment="1">
      <alignment vertical="center"/>
    </xf>
    <xf numFmtId="0" fontId="27" fillId="0" borderId="12" xfId="10" applyFont="1" applyBorder="1" applyAlignment="1">
      <alignment horizontal="center" vertical="center"/>
    </xf>
    <xf numFmtId="0" fontId="8" fillId="0" borderId="32" xfId="1" applyBorder="1" applyAlignment="1">
      <alignment vertical="center"/>
    </xf>
    <xf numFmtId="38" fontId="27" fillId="0" borderId="12" xfId="12" applyFont="1" applyBorder="1">
      <alignment vertical="center"/>
    </xf>
    <xf numFmtId="0" fontId="1" fillId="0" borderId="12" xfId="10" applyBorder="1" applyAlignment="1">
      <alignment horizontal="center" vertical="center"/>
    </xf>
    <xf numFmtId="38" fontId="27" fillId="0" borderId="12" xfId="12" applyFont="1" applyFill="1" applyBorder="1" applyAlignment="1">
      <alignment vertical="center"/>
    </xf>
    <xf numFmtId="0" fontId="1" fillId="0" borderId="0" xfId="10" applyAlignment="1">
      <alignment horizontal="center" vertical="center"/>
    </xf>
    <xf numFmtId="0" fontId="24" fillId="0" borderId="5" xfId="2" applyFont="1" applyBorder="1" applyAlignment="1">
      <alignment vertical="center"/>
    </xf>
    <xf numFmtId="0" fontId="24" fillId="0" borderId="4" xfId="2" applyFont="1" applyBorder="1" applyAlignment="1">
      <alignment vertical="center"/>
    </xf>
    <xf numFmtId="0" fontId="24" fillId="0" borderId="6" xfId="2" applyFont="1" applyBorder="1" applyAlignment="1">
      <alignment vertical="center"/>
    </xf>
    <xf numFmtId="0" fontId="24" fillId="0" borderId="7" xfId="0" applyFont="1" applyBorder="1" applyAlignment="1">
      <alignment vertical="center"/>
    </xf>
    <xf numFmtId="0" fontId="29" fillId="0" borderId="0" xfId="2" applyFont="1" applyAlignment="1">
      <alignment vertical="center"/>
    </xf>
    <xf numFmtId="0" fontId="12" fillId="0" borderId="0" xfId="0" applyFont="1" applyAlignment="1">
      <alignment vertical="center"/>
    </xf>
    <xf numFmtId="0" fontId="24" fillId="0" borderId="8" xfId="0" applyFont="1" applyBorder="1" applyAlignment="1">
      <alignment vertical="center"/>
    </xf>
    <xf numFmtId="0" fontId="24" fillId="0" borderId="9" xfId="0" applyFont="1" applyBorder="1" applyAlignment="1">
      <alignment vertical="center"/>
    </xf>
    <xf numFmtId="0" fontId="24" fillId="0" borderId="11" xfId="0" applyFont="1" applyBorder="1" applyAlignment="1">
      <alignment vertical="center"/>
    </xf>
    <xf numFmtId="0" fontId="12" fillId="6" borderId="7" xfId="0" applyFont="1" applyFill="1" applyBorder="1" applyAlignment="1">
      <alignment vertical="center"/>
    </xf>
    <xf numFmtId="0" fontId="12" fillId="6" borderId="0" xfId="0" applyFont="1" applyFill="1" applyAlignment="1">
      <alignment vertical="center"/>
    </xf>
    <xf numFmtId="0" fontId="12" fillId="6" borderId="8" xfId="0" applyFont="1" applyFill="1" applyBorder="1" applyAlignment="1">
      <alignment vertical="center"/>
    </xf>
    <xf numFmtId="0" fontId="12" fillId="6" borderId="1" xfId="0" applyFont="1" applyFill="1" applyBorder="1" applyAlignment="1">
      <alignment vertical="center"/>
    </xf>
    <xf numFmtId="0" fontId="12" fillId="6" borderId="2" xfId="0" applyFont="1" applyFill="1" applyBorder="1" applyAlignment="1">
      <alignment vertical="center"/>
    </xf>
    <xf numFmtId="0" fontId="12" fillId="6" borderId="3" xfId="0" applyFont="1" applyFill="1" applyBorder="1" applyAlignment="1">
      <alignment vertical="center"/>
    </xf>
    <xf numFmtId="0" fontId="12" fillId="6" borderId="5" xfId="0" applyFont="1" applyFill="1" applyBorder="1" applyAlignment="1">
      <alignment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12" fillId="6" borderId="9" xfId="0" applyFont="1" applyFill="1" applyBorder="1" applyAlignment="1">
      <alignment vertical="center"/>
    </xf>
    <xf numFmtId="0" fontId="12" fillId="6" borderId="10" xfId="0" applyFont="1" applyFill="1" applyBorder="1" applyAlignment="1">
      <alignment vertical="center"/>
    </xf>
    <xf numFmtId="0" fontId="31" fillId="6" borderId="1" xfId="0" applyFont="1" applyFill="1" applyBorder="1" applyAlignment="1">
      <alignment vertical="center"/>
    </xf>
    <xf numFmtId="0" fontId="12" fillId="0" borderId="0" xfId="0" applyFont="1" applyAlignment="1">
      <alignment horizontal="center" vertical="center"/>
    </xf>
    <xf numFmtId="38" fontId="12" fillId="0" borderId="0" xfId="8" applyFont="1" applyFill="1" applyBorder="1" applyAlignment="1">
      <alignment horizontal="center" vertical="center"/>
    </xf>
    <xf numFmtId="0" fontId="12" fillId="6" borderId="0" xfId="0" applyFont="1" applyFill="1" applyAlignment="1">
      <alignment horizontal="center" vertical="center"/>
    </xf>
    <xf numFmtId="38" fontId="12" fillId="6" borderId="0" xfId="8" applyFont="1" applyFill="1" applyBorder="1" applyAlignment="1">
      <alignment horizontal="center" vertical="center"/>
    </xf>
    <xf numFmtId="0" fontId="12" fillId="6" borderId="11" xfId="0" applyFont="1" applyFill="1" applyBorder="1" applyAlignment="1">
      <alignment vertical="center"/>
    </xf>
    <xf numFmtId="0" fontId="12" fillId="6" borderId="8" xfId="0" applyFont="1" applyFill="1" applyBorder="1" applyAlignment="1">
      <alignment horizontal="center" vertical="center"/>
    </xf>
    <xf numFmtId="38" fontId="12" fillId="6" borderId="8" xfId="8" applyFont="1" applyFill="1" applyBorder="1" applyAlignment="1">
      <alignment horizontal="center" vertical="center"/>
    </xf>
    <xf numFmtId="0" fontId="24" fillId="0" borderId="10" xfId="0" applyFont="1" applyBorder="1" applyAlignment="1">
      <alignment vertical="center"/>
    </xf>
    <xf numFmtId="49" fontId="7" fillId="0" borderId="0" xfId="2" applyNumberFormat="1" applyFont="1" applyAlignment="1">
      <alignment vertical="center"/>
    </xf>
    <xf numFmtId="0" fontId="30" fillId="8" borderId="1" xfId="0" applyFont="1" applyFill="1" applyBorder="1" applyAlignment="1">
      <alignment vertical="center"/>
    </xf>
    <xf numFmtId="0" fontId="30" fillId="8" borderId="2" xfId="0" applyFont="1" applyFill="1" applyBorder="1" applyAlignment="1">
      <alignment vertical="center"/>
    </xf>
    <xf numFmtId="0" fontId="30" fillId="8" borderId="3" xfId="0" applyFont="1" applyFill="1" applyBorder="1" applyAlignment="1">
      <alignment vertical="center"/>
    </xf>
    <xf numFmtId="0" fontId="31" fillId="6" borderId="2" xfId="0" applyFont="1" applyFill="1" applyBorder="1" applyAlignment="1">
      <alignment vertical="center"/>
    </xf>
    <xf numFmtId="0" fontId="4" fillId="0" borderId="7" xfId="2" applyFont="1" applyBorder="1" applyAlignment="1">
      <alignment vertical="center"/>
    </xf>
    <xf numFmtId="0" fontId="4" fillId="0" borderId="6" xfId="0" applyFont="1" applyBorder="1" applyAlignment="1">
      <alignment vertical="center"/>
    </xf>
    <xf numFmtId="0" fontId="7" fillId="0" borderId="7" xfId="2" quotePrefix="1" applyFont="1" applyBorder="1" applyAlignment="1">
      <alignment vertical="center"/>
    </xf>
    <xf numFmtId="49" fontId="7" fillId="0" borderId="10" xfId="2" applyNumberFormat="1" applyFont="1" applyBorder="1" applyAlignment="1">
      <alignment vertical="center"/>
    </xf>
    <xf numFmtId="49" fontId="7" fillId="0" borderId="4" xfId="2" applyNumberFormat="1" applyFont="1" applyBorder="1" applyAlignment="1">
      <alignment vertical="center"/>
    </xf>
    <xf numFmtId="0" fontId="7" fillId="0" borderId="4" xfId="2" applyFont="1" applyBorder="1" applyAlignment="1">
      <alignment horizontal="center" vertical="center" wrapText="1"/>
    </xf>
    <xf numFmtId="0" fontId="7" fillId="0" borderId="4" xfId="2" applyFont="1" applyBorder="1" applyAlignment="1">
      <alignment horizontal="center" vertical="center"/>
    </xf>
    <xf numFmtId="0" fontId="7" fillId="0" borderId="5" xfId="2" quotePrefix="1" applyFont="1" applyBorder="1" applyAlignment="1">
      <alignment vertical="center"/>
    </xf>
    <xf numFmtId="49" fontId="6" fillId="0" borderId="1" xfId="1" applyNumberFormat="1" applyFont="1" applyBorder="1" applyAlignment="1">
      <alignment horizontal="center" vertical="center"/>
    </xf>
    <xf numFmtId="49" fontId="6" fillId="0" borderId="2" xfId="1" applyNumberFormat="1" applyFont="1" applyBorder="1" applyAlignment="1">
      <alignment horizontal="center" vertical="center"/>
    </xf>
    <xf numFmtId="49" fontId="6" fillId="0" borderId="3"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1" xfId="1" applyNumberFormat="1" applyFont="1" applyBorder="1" applyAlignment="1">
      <alignment horizont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5"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6" xfId="1"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5" xfId="1" applyNumberFormat="1" applyFont="1" applyBorder="1" applyAlignment="1">
      <alignment horizontal="left" vertical="center"/>
    </xf>
    <xf numFmtId="49" fontId="4" fillId="0" borderId="4" xfId="1" applyNumberFormat="1" applyFont="1" applyBorder="1" applyAlignment="1">
      <alignment horizontal="left" vertical="center"/>
    </xf>
    <xf numFmtId="49" fontId="4" fillId="0" borderId="6" xfId="1" applyNumberFormat="1" applyFont="1" applyBorder="1" applyAlignment="1">
      <alignment horizontal="lef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0" fontId="4" fillId="0" borderId="1" xfId="4" applyFont="1" applyBorder="1" applyAlignment="1">
      <alignment horizontal="center" vertical="center"/>
    </xf>
    <xf numFmtId="0" fontId="4" fillId="0" borderId="2" xfId="4" applyFont="1" applyBorder="1" applyAlignment="1">
      <alignment horizontal="center" vertical="center"/>
    </xf>
    <xf numFmtId="0" fontId="4" fillId="0" borderId="3" xfId="4" applyFont="1" applyBorder="1" applyAlignment="1">
      <alignment horizontal="center" vertical="center"/>
    </xf>
    <xf numFmtId="0" fontId="4" fillId="0" borderId="1" xfId="4" applyFont="1" applyBorder="1" applyAlignment="1">
      <alignment horizontal="left" vertical="center"/>
    </xf>
    <xf numFmtId="0" fontId="4" fillId="0" borderId="2" xfId="4" applyFont="1" applyBorder="1" applyAlignment="1">
      <alignment horizontal="left" vertical="center"/>
    </xf>
    <xf numFmtId="0" fontId="4" fillId="0" borderId="3" xfId="4" applyFont="1" applyBorder="1" applyAlignment="1">
      <alignment horizontal="left" vertical="center"/>
    </xf>
    <xf numFmtId="0" fontId="4" fillId="0" borderId="9" xfId="4" applyFont="1" applyBorder="1" applyAlignment="1">
      <alignment horizontal="center" vertical="center"/>
    </xf>
    <xf numFmtId="0" fontId="4" fillId="0" borderId="10" xfId="4" applyFont="1" applyBorder="1" applyAlignment="1">
      <alignment horizontal="center" vertical="center"/>
    </xf>
    <xf numFmtId="0" fontId="4" fillId="0" borderId="10" xfId="4" applyFont="1" applyBorder="1" applyAlignment="1">
      <alignment horizontal="center" vertical="center" wrapText="1"/>
    </xf>
    <xf numFmtId="0" fontId="4" fillId="2" borderId="1" xfId="4" applyFont="1" applyFill="1" applyBorder="1" applyAlignment="1">
      <alignment horizontal="center" vertical="center"/>
    </xf>
    <xf numFmtId="0" fontId="4" fillId="2" borderId="2" xfId="4" applyFont="1" applyFill="1" applyBorder="1" applyAlignment="1">
      <alignment horizontal="center" vertical="center"/>
    </xf>
    <xf numFmtId="0" fontId="4" fillId="2" borderId="3" xfId="4" applyFont="1" applyFill="1" applyBorder="1" applyAlignment="1">
      <alignment horizontal="center" vertical="center"/>
    </xf>
    <xf numFmtId="0" fontId="4" fillId="2" borderId="5" xfId="4" applyFont="1" applyFill="1" applyBorder="1" applyAlignment="1">
      <alignment horizontal="center" vertical="center"/>
    </xf>
    <xf numFmtId="0" fontId="4" fillId="2" borderId="4" xfId="4" applyFont="1" applyFill="1" applyBorder="1" applyAlignment="1">
      <alignment horizontal="center" vertical="center"/>
    </xf>
    <xf numFmtId="0" fontId="4" fillId="2" borderId="6" xfId="4" applyFont="1" applyFill="1" applyBorder="1" applyAlignment="1">
      <alignment horizontal="center" vertical="center"/>
    </xf>
    <xf numFmtId="0" fontId="4" fillId="2" borderId="9" xfId="4" applyFont="1" applyFill="1" applyBorder="1" applyAlignment="1">
      <alignment horizontal="center" vertical="center"/>
    </xf>
    <xf numFmtId="0" fontId="4" fillId="2" borderId="10" xfId="4" applyFont="1" applyFill="1" applyBorder="1" applyAlignment="1">
      <alignment horizontal="center" vertical="center"/>
    </xf>
    <xf numFmtId="0" fontId="4" fillId="2" borderId="11" xfId="4" applyFont="1" applyFill="1" applyBorder="1" applyAlignment="1">
      <alignment horizontal="center" vertical="center"/>
    </xf>
    <xf numFmtId="0" fontId="4" fillId="0" borderId="5" xfId="4" applyFont="1" applyBorder="1" applyAlignment="1">
      <alignment vertical="center" wrapText="1"/>
    </xf>
    <xf numFmtId="0" fontId="4" fillId="0" borderId="4" xfId="4" applyFont="1" applyBorder="1" applyAlignment="1">
      <alignment vertical="center" wrapText="1"/>
    </xf>
    <xf numFmtId="0" fontId="4" fillId="0" borderId="6" xfId="4" applyFont="1" applyBorder="1" applyAlignment="1">
      <alignment vertical="center" wrapText="1"/>
    </xf>
    <xf numFmtId="0" fontId="4" fillId="0" borderId="9" xfId="4" applyFont="1" applyBorder="1" applyAlignment="1">
      <alignment vertical="center" wrapText="1"/>
    </xf>
    <xf numFmtId="0" fontId="4" fillId="0" borderId="10" xfId="4" applyFont="1" applyBorder="1" applyAlignment="1">
      <alignment vertical="center" wrapText="1"/>
    </xf>
    <xf numFmtId="0" fontId="4" fillId="0" borderId="11" xfId="4" applyFont="1" applyBorder="1" applyAlignment="1">
      <alignment vertical="center" wrapText="1"/>
    </xf>
    <xf numFmtId="49" fontId="4" fillId="0" borderId="1" xfId="3" applyNumberFormat="1" applyFont="1" applyBorder="1" applyAlignment="1">
      <alignment horizontal="center" vertical="center"/>
    </xf>
    <xf numFmtId="49" fontId="4" fillId="0" borderId="2" xfId="3" applyNumberFormat="1" applyFont="1" applyBorder="1" applyAlignment="1">
      <alignment horizontal="center" vertical="center"/>
    </xf>
    <xf numFmtId="49" fontId="4" fillId="0" borderId="3" xfId="3" applyNumberFormat="1" applyFont="1" applyBorder="1" applyAlignment="1">
      <alignment horizontal="center" vertical="center"/>
    </xf>
    <xf numFmtId="49" fontId="4" fillId="0" borderId="12" xfId="4" applyNumberFormat="1" applyFont="1" applyBorder="1" applyAlignment="1">
      <alignment horizontal="center" vertical="center"/>
    </xf>
    <xf numFmtId="49" fontId="4" fillId="0" borderId="1" xfId="4" applyNumberFormat="1" applyFont="1" applyBorder="1" applyAlignment="1">
      <alignment horizontal="center" vertical="center"/>
    </xf>
    <xf numFmtId="49" fontId="4" fillId="0" borderId="2" xfId="4" applyNumberFormat="1" applyFont="1" applyBorder="1" applyAlignment="1">
      <alignment horizontal="center" vertical="center"/>
    </xf>
    <xf numFmtId="49" fontId="4" fillId="0" borderId="3" xfId="4" applyNumberFormat="1" applyFont="1" applyBorder="1" applyAlignment="1">
      <alignment horizontal="center" vertical="center"/>
    </xf>
    <xf numFmtId="49" fontId="4" fillId="0" borderId="2" xfId="4" quotePrefix="1" applyNumberFormat="1" applyFont="1" applyBorder="1" applyAlignment="1">
      <alignment horizontal="center" vertical="center"/>
    </xf>
    <xf numFmtId="49" fontId="4" fillId="0" borderId="5" xfId="3" applyNumberFormat="1" applyFont="1" applyBorder="1" applyAlignment="1">
      <alignment horizontal="center" vertical="center"/>
    </xf>
    <xf numFmtId="49" fontId="4" fillId="0" borderId="4" xfId="3" applyNumberFormat="1" applyFont="1" applyBorder="1" applyAlignment="1">
      <alignment horizontal="center" vertical="center"/>
    </xf>
    <xf numFmtId="49" fontId="4" fillId="0" borderId="6" xfId="3" applyNumberFormat="1" applyFont="1" applyBorder="1" applyAlignment="1">
      <alignment horizontal="center" vertical="center"/>
    </xf>
    <xf numFmtId="49" fontId="4" fillId="0" borderId="9" xfId="3" applyNumberFormat="1" applyFont="1" applyBorder="1" applyAlignment="1">
      <alignment horizontal="center" vertical="center"/>
    </xf>
    <xf numFmtId="49" fontId="4" fillId="0" borderId="10" xfId="3" applyNumberFormat="1" applyFont="1" applyBorder="1" applyAlignment="1">
      <alignment horizontal="center" vertical="center"/>
    </xf>
    <xf numFmtId="49" fontId="4" fillId="0" borderId="11" xfId="3" applyNumberFormat="1" applyFont="1" applyBorder="1" applyAlignment="1">
      <alignment horizontal="center" vertical="center"/>
    </xf>
    <xf numFmtId="49" fontId="4" fillId="0" borderId="5" xfId="3" applyNumberFormat="1" applyFont="1" applyBorder="1" applyAlignment="1">
      <alignment horizontal="left" vertical="center"/>
    </xf>
    <xf numFmtId="49" fontId="4" fillId="0" borderId="4" xfId="3" applyNumberFormat="1" applyFont="1" applyBorder="1" applyAlignment="1">
      <alignment horizontal="left" vertical="center"/>
    </xf>
    <xf numFmtId="49" fontId="4" fillId="0" borderId="6" xfId="3" applyNumberFormat="1" applyFont="1" applyBorder="1" applyAlignment="1">
      <alignment horizontal="left" vertical="center"/>
    </xf>
    <xf numFmtId="49" fontId="4" fillId="0" borderId="9" xfId="3" applyNumberFormat="1" applyFont="1" applyBorder="1" applyAlignment="1">
      <alignment horizontal="left" vertical="center"/>
    </xf>
    <xf numFmtId="49" fontId="4" fillId="0" borderId="10" xfId="3" applyNumberFormat="1" applyFont="1" applyBorder="1" applyAlignment="1">
      <alignment horizontal="left" vertical="center"/>
    </xf>
    <xf numFmtId="49" fontId="4" fillId="0" borderId="11" xfId="3" applyNumberFormat="1" applyFont="1" applyBorder="1" applyAlignment="1">
      <alignment horizontal="left" vertical="center"/>
    </xf>
    <xf numFmtId="49" fontId="6" fillId="0" borderId="1" xfId="3" applyNumberFormat="1" applyFont="1" applyBorder="1" applyAlignment="1">
      <alignment horizontal="center" vertical="center"/>
    </xf>
    <xf numFmtId="49" fontId="6" fillId="0" borderId="2" xfId="3" applyNumberFormat="1" applyFont="1" applyBorder="1" applyAlignment="1">
      <alignment horizontal="center" vertical="center"/>
    </xf>
    <xf numFmtId="49" fontId="6" fillId="0" borderId="3" xfId="3" applyNumberFormat="1" applyFont="1" applyBorder="1" applyAlignment="1">
      <alignment horizontal="center" vertical="center"/>
    </xf>
    <xf numFmtId="0" fontId="4" fillId="2" borderId="5" xfId="4" applyFont="1" applyFill="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1" fillId="0" borderId="5" xfId="4" applyFont="1" applyBorder="1" applyAlignment="1">
      <alignment vertical="center"/>
    </xf>
    <xf numFmtId="0" fontId="11" fillId="0" borderId="4" xfId="4" applyFont="1" applyBorder="1" applyAlignment="1">
      <alignment vertical="center"/>
    </xf>
    <xf numFmtId="0" fontId="11" fillId="0" borderId="6" xfId="4" applyFont="1" applyBorder="1" applyAlignment="1">
      <alignment vertical="center"/>
    </xf>
    <xf numFmtId="0" fontId="11" fillId="0" borderId="9" xfId="4" applyFont="1" applyBorder="1" applyAlignment="1">
      <alignment vertical="center"/>
    </xf>
    <xf numFmtId="0" fontId="11" fillId="0" borderId="10" xfId="4" applyFont="1" applyBorder="1" applyAlignment="1">
      <alignment vertical="center"/>
    </xf>
    <xf numFmtId="0" fontId="11" fillId="0" borderId="11" xfId="4" applyFont="1" applyBorder="1" applyAlignment="1">
      <alignment vertical="center"/>
    </xf>
    <xf numFmtId="0" fontId="4" fillId="0" borderId="5" xfId="4" applyFont="1" applyBorder="1" applyAlignment="1">
      <alignment vertical="center"/>
    </xf>
    <xf numFmtId="0" fontId="4" fillId="0" borderId="4" xfId="4" applyFont="1" applyBorder="1" applyAlignment="1">
      <alignment vertical="center"/>
    </xf>
    <xf numFmtId="0" fontId="4" fillId="0" borderId="6" xfId="4" applyFont="1" applyBorder="1" applyAlignment="1">
      <alignment vertical="center"/>
    </xf>
    <xf numFmtId="0" fontId="4" fillId="0" borderId="9" xfId="4" applyFont="1" applyBorder="1" applyAlignment="1">
      <alignment vertical="center"/>
    </xf>
    <xf numFmtId="0" fontId="4" fillId="0" borderId="10" xfId="4" applyFont="1" applyBorder="1" applyAlignment="1">
      <alignment vertical="center"/>
    </xf>
    <xf numFmtId="0" fontId="4" fillId="0" borderId="11" xfId="4" applyFont="1" applyBorder="1" applyAlignment="1">
      <alignment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49" fontId="4" fillId="0" borderId="12"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2" xfId="0" quotePrefix="1" applyNumberFormat="1" applyFont="1" applyBorder="1" applyAlignment="1">
      <alignment horizontal="center" vertical="center"/>
    </xf>
    <xf numFmtId="0" fontId="4" fillId="4" borderId="1" xfId="2" applyFont="1" applyFill="1" applyBorder="1" applyAlignment="1">
      <alignment horizontal="center" vertical="center"/>
    </xf>
    <xf numFmtId="0" fontId="4" fillId="4" borderId="2" xfId="2" applyFont="1" applyFill="1" applyBorder="1" applyAlignment="1">
      <alignment horizontal="center" vertical="center"/>
    </xf>
    <xf numFmtId="0" fontId="4" fillId="4" borderId="3" xfId="2" applyFont="1" applyFill="1" applyBorder="1" applyAlignment="1">
      <alignment horizontal="center" vertical="center"/>
    </xf>
    <xf numFmtId="0" fontId="12" fillId="0" borderId="12" xfId="0" applyFont="1" applyBorder="1" applyAlignment="1">
      <alignment horizontal="center" vertical="center"/>
    </xf>
    <xf numFmtId="38" fontId="12" fillId="0" borderId="12" xfId="8" applyFont="1" applyFill="1" applyBorder="1" applyAlignment="1">
      <alignment horizontal="center" vertical="center"/>
    </xf>
    <xf numFmtId="0" fontId="12" fillId="6" borderId="1" xfId="0" applyFont="1" applyFill="1" applyBorder="1" applyAlignment="1">
      <alignment horizontal="center" vertical="center"/>
    </xf>
    <xf numFmtId="0" fontId="12" fillId="6" borderId="3" xfId="0" applyFont="1" applyFill="1" applyBorder="1" applyAlignment="1">
      <alignment horizontal="center" vertical="center"/>
    </xf>
    <xf numFmtId="38" fontId="12" fillId="6" borderId="1" xfId="8" applyFont="1" applyFill="1" applyBorder="1" applyAlignment="1">
      <alignment horizontal="center" vertical="center"/>
    </xf>
    <xf numFmtId="38" fontId="12" fillId="6" borderId="2" xfId="8" applyFont="1" applyFill="1" applyBorder="1" applyAlignment="1">
      <alignment horizontal="center" vertical="center"/>
    </xf>
    <xf numFmtId="38" fontId="12" fillId="6" borderId="3" xfId="8" applyFont="1" applyFill="1" applyBorder="1" applyAlignment="1">
      <alignment horizontal="center" vertical="center"/>
    </xf>
    <xf numFmtId="0" fontId="30" fillId="8" borderId="12" xfId="0" applyFont="1" applyFill="1" applyBorder="1" applyAlignment="1">
      <alignment horizontal="center" vertical="center"/>
    </xf>
    <xf numFmtId="0" fontId="29" fillId="9" borderId="5" xfId="0" applyFont="1" applyFill="1" applyBorder="1" applyAlignment="1">
      <alignment horizontal="center" vertical="center"/>
    </xf>
    <xf numFmtId="0" fontId="29" fillId="9" borderId="6" xfId="0" applyFont="1" applyFill="1" applyBorder="1" applyAlignment="1">
      <alignment horizontal="center" vertical="center"/>
    </xf>
    <xf numFmtId="0" fontId="29" fillId="9" borderId="9" xfId="0" applyFont="1" applyFill="1" applyBorder="1" applyAlignment="1">
      <alignment horizontal="center" vertical="center"/>
    </xf>
    <xf numFmtId="0" fontId="29" fillId="9" borderId="11" xfId="0" applyFont="1" applyFill="1" applyBorder="1" applyAlignment="1">
      <alignment horizontal="center" vertical="center"/>
    </xf>
    <xf numFmtId="0" fontId="29" fillId="8" borderId="5" xfId="0" applyFont="1" applyFill="1" applyBorder="1" applyAlignment="1">
      <alignment horizontal="center" vertical="center"/>
    </xf>
    <xf numFmtId="0" fontId="29" fillId="8" borderId="4" xfId="0" applyFont="1" applyFill="1" applyBorder="1" applyAlignment="1">
      <alignment horizontal="center" vertical="center"/>
    </xf>
    <xf numFmtId="0" fontId="29" fillId="8" borderId="6" xfId="0" applyFont="1" applyFill="1" applyBorder="1" applyAlignment="1">
      <alignment horizontal="center" vertical="center"/>
    </xf>
    <xf numFmtId="0" fontId="29" fillId="8" borderId="9" xfId="0" applyFont="1" applyFill="1" applyBorder="1" applyAlignment="1">
      <alignment horizontal="center" vertical="center"/>
    </xf>
    <xf numFmtId="0" fontId="29" fillId="8" borderId="10" xfId="0" applyFont="1" applyFill="1" applyBorder="1" applyAlignment="1">
      <alignment horizontal="center" vertical="center"/>
    </xf>
    <xf numFmtId="0" fontId="29" fillId="8" borderId="11" xfId="0" applyFont="1" applyFill="1" applyBorder="1" applyAlignment="1">
      <alignment horizontal="center" vertical="center"/>
    </xf>
    <xf numFmtId="0" fontId="30" fillId="2" borderId="12" xfId="0" applyFont="1" applyFill="1" applyBorder="1" applyAlignment="1">
      <alignment horizontal="center" vertical="center"/>
    </xf>
    <xf numFmtId="0" fontId="29" fillId="6" borderId="4" xfId="0" applyFont="1" applyFill="1" applyBorder="1" applyAlignment="1">
      <alignment horizontal="center" vertical="center"/>
    </xf>
    <xf numFmtId="0" fontId="29" fillId="6" borderId="6" xfId="0" applyFont="1" applyFill="1" applyBorder="1" applyAlignment="1">
      <alignment horizontal="center" vertical="center"/>
    </xf>
    <xf numFmtId="38" fontId="29" fillId="6" borderId="0" xfId="8" applyFont="1" applyFill="1" applyBorder="1" applyAlignment="1">
      <alignment horizontal="center" vertical="center"/>
    </xf>
    <xf numFmtId="38" fontId="29" fillId="6" borderId="8" xfId="8"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30" fillId="8" borderId="1" xfId="0" applyFont="1" applyFill="1" applyBorder="1" applyAlignment="1">
      <alignment horizontal="center" vertical="center"/>
    </xf>
    <xf numFmtId="0" fontId="30" fillId="8" borderId="2" xfId="0" applyFont="1" applyFill="1" applyBorder="1" applyAlignment="1">
      <alignment horizontal="center" vertical="center"/>
    </xf>
    <xf numFmtId="0" fontId="30" fillId="8" borderId="3" xfId="0" applyFont="1" applyFill="1" applyBorder="1" applyAlignment="1">
      <alignment horizontal="center" vertical="center"/>
    </xf>
    <xf numFmtId="0" fontId="30" fillId="9" borderId="1" xfId="0" applyFont="1" applyFill="1" applyBorder="1" applyAlignment="1">
      <alignment horizontal="center" vertical="center"/>
    </xf>
    <xf numFmtId="0" fontId="30" fillId="9" borderId="3" xfId="0" applyFont="1" applyFill="1" applyBorder="1" applyAlignment="1">
      <alignment horizontal="center" vertical="center"/>
    </xf>
    <xf numFmtId="0" fontId="30" fillId="9" borderId="2" xfId="0" applyFont="1" applyFill="1" applyBorder="1" applyAlignment="1">
      <alignment horizontal="center" vertical="center"/>
    </xf>
    <xf numFmtId="38" fontId="12" fillId="6" borderId="0" xfId="8" applyFont="1" applyFill="1" applyBorder="1" applyAlignment="1">
      <alignment horizontal="center" vertical="center"/>
    </xf>
    <xf numFmtId="38" fontId="12" fillId="6" borderId="4" xfId="8" applyFont="1" applyFill="1" applyBorder="1" applyAlignment="1">
      <alignment horizontal="center" vertical="center"/>
    </xf>
    <xf numFmtId="38" fontId="12" fillId="6" borderId="10" xfId="8" applyFont="1" applyFill="1" applyBorder="1" applyAlignment="1">
      <alignment horizontal="center" vertic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left"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49" fontId="4" fillId="0" borderId="12" xfId="1" applyNumberFormat="1" applyFont="1" applyBorder="1" applyAlignment="1">
      <alignment horizontal="center" vertical="center"/>
    </xf>
    <xf numFmtId="49" fontId="4" fillId="0" borderId="2" xfId="9" applyNumberFormat="1" applyFont="1" applyBorder="1" applyAlignment="1">
      <alignment horizontal="center" vertical="center"/>
    </xf>
    <xf numFmtId="49" fontId="4" fillId="0" borderId="3" xfId="9" applyNumberFormat="1" applyFont="1" applyBorder="1" applyAlignment="1">
      <alignment horizontal="center" vertical="center"/>
    </xf>
    <xf numFmtId="49" fontId="4" fillId="0" borderId="2" xfId="1" quotePrefix="1" applyNumberFormat="1" applyFont="1" applyBorder="1" applyAlignment="1">
      <alignment horizontal="center" vertical="center"/>
    </xf>
    <xf numFmtId="0" fontId="27" fillId="7" borderId="5" xfId="10" applyFont="1" applyFill="1" applyBorder="1" applyAlignment="1">
      <alignment horizontal="center" vertical="center"/>
    </xf>
    <xf numFmtId="0" fontId="27" fillId="7" borderId="4" xfId="10" applyFont="1" applyFill="1" applyBorder="1" applyAlignment="1">
      <alignment horizontal="center" vertical="center"/>
    </xf>
    <xf numFmtId="0" fontId="27" fillId="7" borderId="6" xfId="10" applyFont="1" applyFill="1" applyBorder="1" applyAlignment="1">
      <alignment horizontal="center" vertical="center"/>
    </xf>
  </cellXfs>
  <cellStyles count="13">
    <cellStyle name="桁区切り" xfId="8" builtinId="6"/>
    <cellStyle name="桁区切り 2" xfId="12" xr:uid="{F24B2643-F488-475B-A437-A252FA796580}"/>
    <cellStyle name="標準" xfId="0" builtinId="0"/>
    <cellStyle name="標準 10" xfId="10" xr:uid="{58035973-9801-45AE-9AA0-8300D90D001C}"/>
    <cellStyle name="標準 2" xfId="1" xr:uid="{BD0B53BC-99A9-4359-B101-C6E521B920EA}"/>
    <cellStyle name="標準 2 2" xfId="3" xr:uid="{468B5F7E-6FC3-44E4-854B-FC867BD5A279}"/>
    <cellStyle name="標準 2 3" xfId="4" xr:uid="{20B8AC25-D0CC-4046-B2ED-B1EB6EC0028A}"/>
    <cellStyle name="標準 3" xfId="2" xr:uid="{70F02A77-B664-4C94-A571-5F8A564213C6}"/>
    <cellStyle name="標準 3 2" xfId="5" xr:uid="{A5BDEDFB-C7A2-4749-83E2-57F894FA60E1}"/>
    <cellStyle name="標準 3 2 2" xfId="11" xr:uid="{4C89F871-AE71-42C1-B8E5-8A196A7AB697}"/>
    <cellStyle name="標準 4" xfId="9" xr:uid="{AA574461-864D-4F2E-A2C0-F0E67F673C60}"/>
    <cellStyle name="標準 5" xfId="7" xr:uid="{735F656A-7E41-4D9F-878C-77369F10288D}"/>
    <cellStyle name="標準_別紙_資金項目と勘定科目の紐付け" xfId="6" xr:uid="{3857E520-E6F4-41F4-8F30-2B2251B83959}"/>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1"/>
  </sheetPr>
  <dimension ref="A1:BJ508"/>
  <sheetViews>
    <sheetView tabSelected="1" view="pageBreakPreview" zoomScaleNormal="100" zoomScaleSheetLayoutView="100" workbookViewId="0"/>
  </sheetViews>
  <sheetFormatPr defaultColWidth="9" defaultRowHeight="12"/>
  <cols>
    <col min="1" max="62" width="2.125" style="16" customWidth="1"/>
    <col min="63" max="159" width="1.625" style="16" customWidth="1"/>
    <col min="160" max="16384" width="9" style="16"/>
  </cols>
  <sheetData>
    <row r="1" spans="1:62" s="1" customFormat="1" ht="18" customHeight="1">
      <c r="A1" s="1" t="s">
        <v>6</v>
      </c>
      <c r="BJ1" s="2" t="s">
        <v>3</v>
      </c>
    </row>
    <row r="2" spans="1:62" s="3" customFormat="1" ht="18" customHeight="1">
      <c r="A2" s="291" t="s">
        <v>7</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18</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4" customFormat="1" ht="9" customHeight="1"/>
    <row r="6" spans="1:62" s="8" customFormat="1" ht="15.75" customHeight="1">
      <c r="A6" s="297" t="s">
        <v>15</v>
      </c>
      <c r="B6" s="298"/>
      <c r="C6" s="298"/>
      <c r="D6" s="298"/>
      <c r="E6" s="298"/>
      <c r="F6" s="298"/>
      <c r="G6" s="299"/>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19</v>
      </c>
      <c r="C8" s="1"/>
      <c r="D8" s="1"/>
      <c r="E8" s="1"/>
      <c r="F8" s="1"/>
      <c r="G8" s="1"/>
      <c r="H8" s="10"/>
      <c r="I8" s="8" t="s">
        <v>20</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9"/>
      <c r="H55" s="9"/>
      <c r="BJ55" s="12"/>
    </row>
    <row r="56" spans="1:62" s="8" customFormat="1" ht="20.25" customHeight="1">
      <c r="A56" s="9"/>
      <c r="H56" s="9"/>
      <c r="BJ56" s="12"/>
    </row>
    <row r="57" spans="1:62" s="8" customFormat="1" ht="20.25" customHeight="1">
      <c r="A57" s="9"/>
      <c r="H57" s="9"/>
      <c r="BJ57" s="12"/>
    </row>
    <row r="58" spans="1:62" s="8" customFormat="1" ht="20.25" customHeight="1">
      <c r="A58" s="9"/>
      <c r="H58" s="9"/>
      <c r="BJ58" s="12"/>
    </row>
    <row r="59" spans="1:62" s="8" customFormat="1" ht="20.25" customHeight="1">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70"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0A5D-A435-435A-986A-28919A07B7D0}">
  <sheetPr codeName="Sheet2">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14</v>
      </c>
      <c r="I6" s="339"/>
      <c r="J6" s="339"/>
      <c r="K6" s="339"/>
      <c r="L6" s="340" t="s">
        <v>11</v>
      </c>
      <c r="M6" s="341"/>
      <c r="N6" s="341"/>
      <c r="O6" s="341"/>
      <c r="P6" s="342"/>
      <c r="Q6" s="341" t="s">
        <v>21</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29</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26" t="s">
        <v>30</v>
      </c>
      <c r="BJ9" s="31"/>
    </row>
    <row r="10" spans="1:62" s="26" customFormat="1" ht="20.25" customHeight="1">
      <c r="A10" s="32"/>
      <c r="BJ10" s="31"/>
    </row>
    <row r="11" spans="1:62" s="26" customFormat="1" ht="20.25" customHeight="1">
      <c r="A11" s="32"/>
      <c r="C11" s="26" t="s">
        <v>31</v>
      </c>
      <c r="BJ11" s="31"/>
    </row>
    <row r="12" spans="1:62" s="26" customFormat="1" ht="20.25" customHeight="1">
      <c r="A12" s="32"/>
      <c r="C12" s="26" t="s">
        <v>32</v>
      </c>
      <c r="BJ12" s="31"/>
    </row>
    <row r="13" spans="1:62" s="26" customFormat="1" ht="20.25" customHeight="1">
      <c r="A13" s="32"/>
      <c r="BJ13" s="31"/>
    </row>
    <row r="14" spans="1:62" s="26" customFormat="1" ht="20.25" customHeight="1">
      <c r="A14" s="32"/>
      <c r="D14" s="26" t="s">
        <v>33</v>
      </c>
      <c r="BJ14" s="31"/>
    </row>
    <row r="15" spans="1:62" s="26" customFormat="1" ht="20.25" customHeight="1">
      <c r="A15" s="32"/>
      <c r="D15" s="321" t="s">
        <v>34</v>
      </c>
      <c r="E15" s="322"/>
      <c r="F15" s="322"/>
      <c r="G15" s="322"/>
      <c r="H15" s="322"/>
      <c r="I15" s="322"/>
      <c r="J15" s="322"/>
      <c r="K15" s="322"/>
      <c r="L15" s="322"/>
      <c r="M15" s="322"/>
      <c r="N15" s="322"/>
      <c r="O15" s="322"/>
      <c r="P15" s="322"/>
      <c r="Q15" s="322"/>
      <c r="R15" s="322"/>
      <c r="S15" s="322"/>
      <c r="T15" s="322"/>
      <c r="U15" s="323"/>
      <c r="V15" s="359" t="s">
        <v>35</v>
      </c>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1"/>
      <c r="BJ15" s="31"/>
    </row>
    <row r="16" spans="1:62" s="26" customFormat="1" ht="20.25" customHeight="1">
      <c r="A16" s="32"/>
      <c r="D16" s="321" t="s">
        <v>36</v>
      </c>
      <c r="E16" s="322"/>
      <c r="F16" s="322"/>
      <c r="G16" s="322"/>
      <c r="H16" s="322"/>
      <c r="I16" s="323"/>
      <c r="J16" s="321" t="s">
        <v>37</v>
      </c>
      <c r="K16" s="322"/>
      <c r="L16" s="322"/>
      <c r="M16" s="322"/>
      <c r="N16" s="322"/>
      <c r="O16" s="323"/>
      <c r="P16" s="321" t="s">
        <v>38</v>
      </c>
      <c r="Q16" s="322"/>
      <c r="R16" s="322"/>
      <c r="S16" s="322"/>
      <c r="T16" s="322"/>
      <c r="U16" s="323"/>
      <c r="V16" s="362"/>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4"/>
      <c r="BJ16" s="31"/>
    </row>
    <row r="17" spans="1:62" s="26" customFormat="1" ht="20.25" customHeight="1">
      <c r="A17" s="32"/>
      <c r="D17" s="35" t="s">
        <v>39</v>
      </c>
      <c r="E17" s="36"/>
      <c r="F17" s="36"/>
      <c r="G17" s="36"/>
      <c r="H17" s="36"/>
      <c r="I17" s="38"/>
      <c r="J17" s="35" t="s">
        <v>39</v>
      </c>
      <c r="K17" s="36"/>
      <c r="L17" s="36"/>
      <c r="M17" s="36"/>
      <c r="N17" s="36"/>
      <c r="O17" s="38"/>
      <c r="P17" s="35" t="s">
        <v>39</v>
      </c>
      <c r="Q17" s="36"/>
      <c r="R17" s="36"/>
      <c r="S17" s="36"/>
      <c r="T17" s="36"/>
      <c r="U17" s="38"/>
      <c r="V17" s="35" t="s">
        <v>40</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8"/>
      <c r="BJ17" s="31"/>
    </row>
    <row r="18" spans="1:62" s="26" customFormat="1" ht="20.25" customHeight="1">
      <c r="A18" s="32"/>
      <c r="D18" s="57" t="s">
        <v>41</v>
      </c>
      <c r="E18" s="36"/>
      <c r="F18" s="36"/>
      <c r="G18" s="36"/>
      <c r="H18" s="36"/>
      <c r="I18" s="38"/>
      <c r="J18" s="35" t="s">
        <v>39</v>
      </c>
      <c r="K18" s="36"/>
      <c r="L18" s="36"/>
      <c r="M18" s="36"/>
      <c r="N18" s="36"/>
      <c r="O18" s="38"/>
      <c r="P18" s="35" t="s">
        <v>39</v>
      </c>
      <c r="Q18" s="36"/>
      <c r="R18" s="36"/>
      <c r="S18" s="36"/>
      <c r="T18" s="36"/>
      <c r="U18" s="38"/>
      <c r="V18" s="35" t="s">
        <v>42</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8"/>
      <c r="BJ18" s="31"/>
    </row>
    <row r="19" spans="1:62" s="26" customFormat="1" ht="20.25" customHeight="1">
      <c r="A19" s="32"/>
      <c r="D19" s="35" t="s">
        <v>39</v>
      </c>
      <c r="E19" s="36"/>
      <c r="F19" s="36"/>
      <c r="G19" s="36"/>
      <c r="H19" s="36"/>
      <c r="I19" s="38"/>
      <c r="J19" s="57" t="s">
        <v>41</v>
      </c>
      <c r="K19" s="36"/>
      <c r="L19" s="36"/>
      <c r="M19" s="36"/>
      <c r="N19" s="36"/>
      <c r="O19" s="38"/>
      <c r="P19" s="35" t="s">
        <v>39</v>
      </c>
      <c r="Q19" s="36"/>
      <c r="R19" s="36"/>
      <c r="S19" s="36"/>
      <c r="T19" s="36"/>
      <c r="U19" s="38"/>
      <c r="V19" s="35" t="s">
        <v>43</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8"/>
      <c r="BJ19" s="31"/>
    </row>
    <row r="20" spans="1:62" s="26" customFormat="1" ht="20.25" customHeight="1">
      <c r="A20" s="30"/>
      <c r="D20" s="35" t="s">
        <v>39</v>
      </c>
      <c r="E20" s="36"/>
      <c r="F20" s="36"/>
      <c r="G20" s="36"/>
      <c r="H20" s="36"/>
      <c r="I20" s="38"/>
      <c r="J20" s="35" t="s">
        <v>39</v>
      </c>
      <c r="K20" s="36"/>
      <c r="L20" s="36"/>
      <c r="M20" s="36"/>
      <c r="N20" s="36"/>
      <c r="O20" s="38"/>
      <c r="P20" s="57" t="s">
        <v>41</v>
      </c>
      <c r="Q20" s="36"/>
      <c r="R20" s="36"/>
      <c r="S20" s="36"/>
      <c r="T20" s="36"/>
      <c r="U20" s="38"/>
      <c r="V20" s="35" t="s">
        <v>44</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8"/>
      <c r="BJ20" s="31"/>
    </row>
    <row r="21" spans="1:62" s="26" customFormat="1" ht="20.25" customHeight="1">
      <c r="A21" s="30"/>
      <c r="BJ21" s="31"/>
    </row>
    <row r="22" spans="1:62" s="26" customFormat="1" ht="20.25" customHeight="1">
      <c r="A22" s="30"/>
      <c r="D22" s="26" t="s">
        <v>45</v>
      </c>
      <c r="BJ22" s="31"/>
    </row>
    <row r="23" spans="1:62" s="26" customFormat="1" ht="20.25" customHeight="1">
      <c r="A23" s="30"/>
      <c r="D23" s="321" t="s">
        <v>34</v>
      </c>
      <c r="E23" s="322"/>
      <c r="F23" s="322"/>
      <c r="G23" s="322"/>
      <c r="H23" s="322"/>
      <c r="I23" s="322"/>
      <c r="J23" s="322"/>
      <c r="K23" s="322"/>
      <c r="L23" s="322"/>
      <c r="M23" s="322"/>
      <c r="N23" s="322"/>
      <c r="O23" s="322"/>
      <c r="P23" s="322"/>
      <c r="Q23" s="322"/>
      <c r="R23" s="322"/>
      <c r="S23" s="322"/>
      <c r="T23" s="322"/>
      <c r="U23" s="322"/>
      <c r="V23" s="322"/>
      <c r="W23" s="322"/>
      <c r="X23" s="322"/>
      <c r="Y23" s="322"/>
      <c r="Z23" s="322"/>
      <c r="AA23" s="323"/>
      <c r="AB23" s="324" t="s">
        <v>35</v>
      </c>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6"/>
      <c r="BJ23" s="31"/>
    </row>
    <row r="24" spans="1:62" s="26" customFormat="1" ht="20.25" customHeight="1">
      <c r="A24" s="30"/>
      <c r="D24" s="321" t="s">
        <v>46</v>
      </c>
      <c r="E24" s="322"/>
      <c r="F24" s="322"/>
      <c r="G24" s="322"/>
      <c r="H24" s="322"/>
      <c r="I24" s="323"/>
      <c r="J24" s="321" t="s">
        <v>47</v>
      </c>
      <c r="K24" s="322"/>
      <c r="L24" s="322"/>
      <c r="M24" s="322"/>
      <c r="N24" s="322"/>
      <c r="O24" s="323"/>
      <c r="P24" s="321" t="s">
        <v>48</v>
      </c>
      <c r="Q24" s="322"/>
      <c r="R24" s="322"/>
      <c r="S24" s="322"/>
      <c r="T24" s="322"/>
      <c r="U24" s="323"/>
      <c r="V24" s="321" t="s">
        <v>49</v>
      </c>
      <c r="W24" s="322"/>
      <c r="X24" s="322"/>
      <c r="Y24" s="322"/>
      <c r="Z24" s="322"/>
      <c r="AA24" s="323"/>
      <c r="AB24" s="327"/>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8"/>
      <c r="BD24" s="328"/>
      <c r="BE24" s="328"/>
      <c r="BF24" s="328"/>
      <c r="BG24" s="329"/>
      <c r="BJ24" s="31"/>
    </row>
    <row r="25" spans="1:62" s="26" customFormat="1" ht="20.25" customHeight="1">
      <c r="A25" s="30"/>
      <c r="D25" s="35" t="s">
        <v>39</v>
      </c>
      <c r="E25" s="36"/>
      <c r="F25" s="36"/>
      <c r="G25" s="36"/>
      <c r="H25" s="36"/>
      <c r="I25" s="38"/>
      <c r="J25" s="35" t="s">
        <v>39</v>
      </c>
      <c r="K25" s="36"/>
      <c r="L25" s="36"/>
      <c r="M25" s="36"/>
      <c r="N25" s="36"/>
      <c r="O25" s="38"/>
      <c r="P25" s="35" t="s">
        <v>39</v>
      </c>
      <c r="Q25" s="36"/>
      <c r="R25" s="36"/>
      <c r="S25" s="36"/>
      <c r="T25" s="36"/>
      <c r="U25" s="38"/>
      <c r="V25" s="35" t="s">
        <v>39</v>
      </c>
      <c r="W25" s="36"/>
      <c r="X25" s="36"/>
      <c r="Y25" s="36"/>
      <c r="Z25" s="36"/>
      <c r="AA25" s="38"/>
      <c r="AB25" s="35" t="s">
        <v>50</v>
      </c>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8"/>
      <c r="BJ25" s="31"/>
    </row>
    <row r="26" spans="1:62" s="26" customFormat="1" ht="20.25" customHeight="1">
      <c r="A26" s="30"/>
      <c r="D26" s="365" t="s">
        <v>41</v>
      </c>
      <c r="E26" s="366"/>
      <c r="F26" s="366"/>
      <c r="G26" s="366"/>
      <c r="H26" s="366"/>
      <c r="I26" s="367"/>
      <c r="J26" s="371" t="s">
        <v>39</v>
      </c>
      <c r="K26" s="372"/>
      <c r="L26" s="372"/>
      <c r="M26" s="372"/>
      <c r="N26" s="372"/>
      <c r="O26" s="373"/>
      <c r="P26" s="371" t="s">
        <v>39</v>
      </c>
      <c r="Q26" s="372"/>
      <c r="R26" s="372"/>
      <c r="S26" s="372"/>
      <c r="T26" s="372"/>
      <c r="U26" s="373"/>
      <c r="V26" s="371" t="s">
        <v>39</v>
      </c>
      <c r="W26" s="372"/>
      <c r="X26" s="372"/>
      <c r="Y26" s="372"/>
      <c r="Z26" s="372"/>
      <c r="AA26" s="373"/>
      <c r="AB26" s="330" t="s">
        <v>51</v>
      </c>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2"/>
      <c r="BJ26" s="31"/>
    </row>
    <row r="27" spans="1:62" s="26" customFormat="1" ht="20.25" customHeight="1">
      <c r="A27" s="32"/>
      <c r="D27" s="368"/>
      <c r="E27" s="369"/>
      <c r="F27" s="369"/>
      <c r="G27" s="369"/>
      <c r="H27" s="369"/>
      <c r="I27" s="370"/>
      <c r="J27" s="374"/>
      <c r="K27" s="375"/>
      <c r="L27" s="375"/>
      <c r="M27" s="375"/>
      <c r="N27" s="375"/>
      <c r="O27" s="376"/>
      <c r="P27" s="374"/>
      <c r="Q27" s="375"/>
      <c r="R27" s="375"/>
      <c r="S27" s="375"/>
      <c r="T27" s="375"/>
      <c r="U27" s="376"/>
      <c r="V27" s="374"/>
      <c r="W27" s="375"/>
      <c r="X27" s="375"/>
      <c r="Y27" s="375"/>
      <c r="Z27" s="375"/>
      <c r="AA27" s="376"/>
      <c r="AB27" s="333"/>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4"/>
      <c r="BF27" s="334"/>
      <c r="BG27" s="335"/>
      <c r="BJ27" s="31"/>
    </row>
    <row r="28" spans="1:62" s="26" customFormat="1" ht="20.25" customHeight="1">
      <c r="A28" s="32"/>
      <c r="D28" s="35" t="s">
        <v>39</v>
      </c>
      <c r="E28" s="36"/>
      <c r="F28" s="36"/>
      <c r="G28" s="36"/>
      <c r="H28" s="36"/>
      <c r="I28" s="38"/>
      <c r="J28" s="57" t="s">
        <v>41</v>
      </c>
      <c r="K28" s="36"/>
      <c r="L28" s="36"/>
      <c r="M28" s="36"/>
      <c r="N28" s="36"/>
      <c r="O28" s="38"/>
      <c r="P28" s="35" t="s">
        <v>39</v>
      </c>
      <c r="Q28" s="36"/>
      <c r="R28" s="36"/>
      <c r="S28" s="36"/>
      <c r="T28" s="36"/>
      <c r="U28" s="38"/>
      <c r="V28" s="35" t="s">
        <v>39</v>
      </c>
      <c r="W28" s="36"/>
      <c r="X28" s="36"/>
      <c r="Y28" s="36"/>
      <c r="Z28" s="36"/>
      <c r="AA28" s="38"/>
      <c r="AB28" s="35" t="s">
        <v>52</v>
      </c>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8"/>
      <c r="BJ28" s="31"/>
    </row>
    <row r="29" spans="1:62" s="26" customFormat="1" ht="20.25" customHeight="1">
      <c r="A29" s="32"/>
      <c r="D29" s="35" t="s">
        <v>39</v>
      </c>
      <c r="E29" s="36"/>
      <c r="F29" s="36"/>
      <c r="G29" s="36"/>
      <c r="H29" s="36"/>
      <c r="I29" s="38"/>
      <c r="J29" s="35" t="s">
        <v>39</v>
      </c>
      <c r="K29" s="36"/>
      <c r="L29" s="36"/>
      <c r="M29" s="36"/>
      <c r="N29" s="36"/>
      <c r="O29" s="38"/>
      <c r="P29" s="57" t="s">
        <v>41</v>
      </c>
      <c r="Q29" s="36"/>
      <c r="R29" s="36"/>
      <c r="S29" s="36"/>
      <c r="T29" s="36"/>
      <c r="U29" s="38"/>
      <c r="V29" s="35" t="s">
        <v>39</v>
      </c>
      <c r="W29" s="36"/>
      <c r="X29" s="36"/>
      <c r="Y29" s="36"/>
      <c r="Z29" s="36"/>
      <c r="AA29" s="38"/>
      <c r="AB29" s="35" t="s">
        <v>53</v>
      </c>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8"/>
      <c r="BJ29" s="31"/>
    </row>
    <row r="30" spans="1:62" s="26" customFormat="1" ht="20.25" customHeight="1">
      <c r="A30" s="32"/>
      <c r="D30" s="35" t="s">
        <v>39</v>
      </c>
      <c r="E30" s="36"/>
      <c r="F30" s="36"/>
      <c r="G30" s="36"/>
      <c r="H30" s="36"/>
      <c r="I30" s="38"/>
      <c r="J30" s="35" t="s">
        <v>39</v>
      </c>
      <c r="K30" s="36"/>
      <c r="L30" s="36"/>
      <c r="M30" s="36"/>
      <c r="N30" s="36"/>
      <c r="O30" s="38"/>
      <c r="P30" s="35" t="s">
        <v>39</v>
      </c>
      <c r="Q30" s="36"/>
      <c r="R30" s="36"/>
      <c r="S30" s="36"/>
      <c r="T30" s="36"/>
      <c r="U30" s="38"/>
      <c r="V30" s="57" t="s">
        <v>41</v>
      </c>
      <c r="W30" s="36"/>
      <c r="X30" s="36"/>
      <c r="Y30" s="36"/>
      <c r="Z30" s="36"/>
      <c r="AA30" s="38"/>
      <c r="AB30" s="35" t="s">
        <v>54</v>
      </c>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8"/>
      <c r="BJ30" s="31"/>
    </row>
    <row r="31" spans="1:62" s="26" customFormat="1" ht="20.25" customHeight="1">
      <c r="A31" s="32"/>
      <c r="BJ31" s="31"/>
    </row>
    <row r="32" spans="1:62" s="26" customFormat="1" ht="20.25" customHeight="1">
      <c r="A32" s="32"/>
      <c r="B32" s="26" t="s">
        <v>55</v>
      </c>
      <c r="BJ32" s="31"/>
    </row>
    <row r="33" spans="1:62" s="26" customFormat="1" ht="20.25" customHeight="1">
      <c r="A33" s="32"/>
      <c r="BJ33" s="31"/>
    </row>
    <row r="34" spans="1:62" s="26" customFormat="1" ht="20.25" customHeight="1">
      <c r="A34" s="32"/>
      <c r="C34" s="26" t="s">
        <v>56</v>
      </c>
      <c r="BJ34" s="31"/>
    </row>
    <row r="35" spans="1:62" s="26" customFormat="1" ht="20.25" customHeight="1">
      <c r="A35" s="32"/>
      <c r="BJ35" s="31"/>
    </row>
    <row r="36" spans="1:62" s="26" customFormat="1" ht="20.25" customHeight="1">
      <c r="A36" s="32"/>
      <c r="D36" s="40" t="s">
        <v>57</v>
      </c>
      <c r="BJ36" s="31"/>
    </row>
    <row r="37" spans="1:62" s="26" customFormat="1" ht="20.25" customHeight="1">
      <c r="A37" s="32"/>
      <c r="D37" s="40" t="s">
        <v>58</v>
      </c>
      <c r="BJ37" s="31"/>
    </row>
    <row r="38" spans="1:62" s="26" customFormat="1" ht="20.25" customHeight="1">
      <c r="A38" s="32"/>
      <c r="D38" s="40" t="s">
        <v>59</v>
      </c>
      <c r="BJ38" s="31"/>
    </row>
    <row r="39" spans="1:62" s="26" customFormat="1" ht="20.25" customHeight="1">
      <c r="A39" s="32"/>
      <c r="D39" s="40" t="s">
        <v>60</v>
      </c>
      <c r="BJ39" s="31"/>
    </row>
    <row r="40" spans="1:62" s="26" customFormat="1" ht="20.25" customHeight="1">
      <c r="A40" s="32"/>
      <c r="D40" s="40" t="s">
        <v>61</v>
      </c>
      <c r="BJ40" s="31"/>
    </row>
    <row r="41" spans="1:62" s="26" customFormat="1" ht="20.25" customHeight="1">
      <c r="A41" s="32"/>
      <c r="D41" s="40" t="s">
        <v>62</v>
      </c>
      <c r="BJ41" s="31"/>
    </row>
    <row r="42" spans="1:62" s="26" customFormat="1" ht="20.25" customHeight="1">
      <c r="A42" s="32"/>
      <c r="D42" s="40" t="s">
        <v>63</v>
      </c>
      <c r="BJ42" s="31"/>
    </row>
    <row r="43" spans="1:62" s="26" customFormat="1" ht="20.25" customHeight="1">
      <c r="A43" s="32"/>
      <c r="D43" s="40" t="s">
        <v>64</v>
      </c>
      <c r="BJ43" s="31"/>
    </row>
    <row r="44" spans="1:62" s="26" customFormat="1" ht="20.25" customHeight="1">
      <c r="A44" s="32"/>
      <c r="B44" s="33"/>
      <c r="D44" s="17"/>
      <c r="E44" s="45"/>
      <c r="F44" s="46"/>
      <c r="G44" s="46"/>
      <c r="H44" s="46"/>
      <c r="I44" s="46"/>
      <c r="J44" s="46"/>
      <c r="K44" s="46"/>
      <c r="L44" s="46"/>
      <c r="M44" s="46"/>
      <c r="N44" s="46"/>
      <c r="O44" s="46"/>
      <c r="P44" s="46"/>
      <c r="Q44" s="46"/>
      <c r="R44" s="46"/>
      <c r="S44" s="46"/>
      <c r="T44" s="46"/>
      <c r="U44" s="46"/>
      <c r="V44" s="46"/>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7"/>
      <c r="BJ44" s="31"/>
    </row>
    <row r="45" spans="1:62" s="26" customFormat="1" ht="20.25" customHeight="1">
      <c r="A45" s="32"/>
      <c r="B45" s="33"/>
      <c r="D45" s="17"/>
      <c r="E45" s="46"/>
      <c r="F45" s="46"/>
      <c r="G45" s="46"/>
      <c r="H45" s="46"/>
      <c r="I45" s="46"/>
      <c r="J45" s="46"/>
      <c r="K45" s="46"/>
      <c r="L45" s="46"/>
      <c r="M45" s="46"/>
      <c r="N45" s="46"/>
      <c r="O45" s="46"/>
      <c r="P45" s="46"/>
      <c r="Q45" s="46"/>
      <c r="R45" s="46"/>
      <c r="S45" s="46"/>
      <c r="T45" s="46"/>
      <c r="U45" s="46"/>
      <c r="V45" s="46"/>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7"/>
      <c r="BJ45" s="31"/>
    </row>
    <row r="46" spans="1:62" s="26" customFormat="1" ht="20.25" customHeight="1">
      <c r="A46" s="30"/>
      <c r="D46" s="17"/>
      <c r="E46" s="47"/>
      <c r="F46" s="47"/>
      <c r="G46" s="46"/>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J46" s="31"/>
    </row>
    <row r="47" spans="1:62" s="26" customFormat="1" ht="20.25" customHeight="1">
      <c r="A47" s="30"/>
      <c r="D47" s="17"/>
      <c r="E47" s="47"/>
      <c r="F47" s="47"/>
      <c r="G47" s="46"/>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J47" s="31"/>
    </row>
    <row r="48" spans="1:62" s="26" customFormat="1" ht="20.25" customHeight="1">
      <c r="A48" s="30"/>
      <c r="D48" s="17"/>
      <c r="E48" s="47"/>
      <c r="F48" s="47"/>
      <c r="G48" s="46"/>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J48" s="31"/>
    </row>
    <row r="49" spans="1:62" s="26" customFormat="1" ht="20.25" customHeight="1">
      <c r="A49" s="32"/>
      <c r="B49" s="33"/>
      <c r="D49" s="17"/>
      <c r="E49" s="47"/>
      <c r="F49" s="47"/>
      <c r="G49" s="46"/>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J49" s="31"/>
    </row>
    <row r="50" spans="1:62" s="26" customFormat="1" ht="20.25" customHeight="1">
      <c r="A50" s="32"/>
      <c r="B50" s="33"/>
      <c r="D50" s="17"/>
      <c r="E50" s="47"/>
      <c r="F50" s="47"/>
      <c r="G50" s="46"/>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J50" s="31"/>
    </row>
    <row r="51" spans="1:62" s="26" customFormat="1" ht="20.25" customHeight="1">
      <c r="A51" s="32"/>
      <c r="B51" s="33"/>
      <c r="D51" s="17"/>
      <c r="E51" s="47"/>
      <c r="F51" s="47"/>
      <c r="G51" s="46"/>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J51" s="31"/>
    </row>
    <row r="52" spans="1:62" s="26" customFormat="1" ht="20.25" customHeight="1">
      <c r="A52" s="30"/>
      <c r="D52" s="17"/>
      <c r="E52" s="47"/>
      <c r="F52" s="47"/>
      <c r="G52" s="46"/>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J52" s="31"/>
    </row>
    <row r="53" spans="1:62" s="26" customFormat="1" ht="20.25" customHeight="1">
      <c r="A53" s="30"/>
      <c r="D53" s="17"/>
      <c r="E53" s="47"/>
      <c r="F53" s="47"/>
      <c r="G53" s="46"/>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J53" s="31"/>
    </row>
    <row r="54" spans="1:62" s="26" customFormat="1" ht="20.25" customHeight="1">
      <c r="A54" s="30"/>
      <c r="D54" s="17"/>
      <c r="E54" s="47"/>
      <c r="F54" s="47"/>
      <c r="G54" s="46"/>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31"/>
    </row>
    <row r="55" spans="1:62" s="26" customFormat="1" ht="20.25" customHeight="1">
      <c r="A55" s="32"/>
      <c r="B55" s="33"/>
      <c r="D55" s="17"/>
      <c r="E55" s="47"/>
      <c r="F55" s="47"/>
      <c r="G55" s="46"/>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J55" s="31"/>
    </row>
    <row r="56" spans="1:62" s="26" customFormat="1" ht="20.25" customHeight="1">
      <c r="A56" s="32"/>
      <c r="B56" s="33"/>
      <c r="D56" s="17"/>
      <c r="E56" s="47"/>
      <c r="F56" s="47"/>
      <c r="G56" s="46"/>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J56" s="31"/>
    </row>
    <row r="57" spans="1:62" s="26" customFormat="1" ht="20.25" customHeight="1">
      <c r="A57" s="32"/>
      <c r="B57" s="33"/>
      <c r="D57" s="17"/>
      <c r="E57" s="47"/>
      <c r="F57" s="47"/>
      <c r="G57" s="46"/>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J57" s="31"/>
    </row>
    <row r="58" spans="1:62" s="26" customFormat="1" ht="20.25" customHeight="1">
      <c r="A58" s="32"/>
      <c r="B58" s="33"/>
      <c r="D58" s="17"/>
      <c r="E58" s="47"/>
      <c r="F58" s="47"/>
      <c r="G58" s="46"/>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J58" s="31"/>
    </row>
    <row r="59" spans="1:62" s="26" customFormat="1" ht="20.25" customHeight="1">
      <c r="A59" s="32"/>
      <c r="B59" s="33"/>
      <c r="D59" s="17"/>
      <c r="E59" s="47"/>
      <c r="F59" s="47"/>
      <c r="G59" s="46"/>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J59" s="31"/>
    </row>
    <row r="60" spans="1:62" s="26" customFormat="1" ht="20.25" customHeight="1">
      <c r="A60" s="32"/>
      <c r="B60" s="33"/>
      <c r="D60" s="17"/>
      <c r="E60" s="47"/>
      <c r="F60" s="47"/>
      <c r="G60" s="46"/>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J60" s="31"/>
    </row>
    <row r="61" spans="1:62" s="26" customFormat="1" ht="20.25" customHeight="1">
      <c r="A61" s="32"/>
      <c r="B61" s="33"/>
      <c r="D61" s="17"/>
      <c r="E61" s="47"/>
      <c r="F61" s="47"/>
      <c r="G61" s="46"/>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J61" s="31"/>
    </row>
    <row r="62" spans="1:62" s="26" customFormat="1" ht="20.25" customHeight="1">
      <c r="A62" s="32"/>
      <c r="B62" s="33"/>
      <c r="D62" s="17"/>
      <c r="E62" s="47"/>
      <c r="F62" s="47"/>
      <c r="G62" s="46"/>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J62" s="31"/>
    </row>
    <row r="63" spans="1:62" s="26" customFormat="1" ht="20.25" customHeight="1">
      <c r="A63" s="30"/>
      <c r="D63" s="17"/>
      <c r="E63" s="47"/>
      <c r="F63" s="47"/>
      <c r="G63" s="46"/>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J63" s="31"/>
    </row>
    <row r="64" spans="1:62" s="26" customFormat="1" ht="20.25" customHeight="1">
      <c r="A64" s="318"/>
      <c r="B64" s="319"/>
      <c r="C64" s="43"/>
      <c r="D64" s="43"/>
      <c r="E64" s="43"/>
      <c r="F64" s="43"/>
      <c r="G64" s="43"/>
      <c r="H64" s="43"/>
      <c r="I64" s="43"/>
      <c r="J64" s="43"/>
      <c r="K64" s="320"/>
      <c r="L64" s="320"/>
      <c r="M64" s="319"/>
      <c r="N64" s="319"/>
      <c r="O64" s="319"/>
      <c r="P64" s="319"/>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39">
    <mergeCell ref="V15:BC16"/>
    <mergeCell ref="V24:AA24"/>
    <mergeCell ref="D26:I27"/>
    <mergeCell ref="J26:O27"/>
    <mergeCell ref="P26:U27"/>
    <mergeCell ref="V26:AA27"/>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64:B64"/>
    <mergeCell ref="K64:L64"/>
    <mergeCell ref="M64:N64"/>
    <mergeCell ref="O64:P64"/>
    <mergeCell ref="D15:U15"/>
    <mergeCell ref="D16:I16"/>
    <mergeCell ref="J16:O16"/>
    <mergeCell ref="P16:U16"/>
    <mergeCell ref="D23:AA23"/>
    <mergeCell ref="AB23:BG24"/>
    <mergeCell ref="D24:I24"/>
    <mergeCell ref="J24:O24"/>
    <mergeCell ref="P24:U24"/>
    <mergeCell ref="AB26:BG27"/>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3115-E155-4C3F-818E-3D9997E5CB2E}">
  <sheetPr codeName="Sheet3">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23</v>
      </c>
      <c r="I6" s="339"/>
      <c r="J6" s="339"/>
      <c r="K6" s="339"/>
      <c r="L6" s="340" t="s">
        <v>11</v>
      </c>
      <c r="M6" s="341"/>
      <c r="N6" s="341"/>
      <c r="O6" s="341"/>
      <c r="P6" s="342"/>
      <c r="Q6" s="341" t="s">
        <v>21</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65</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55"/>
      <c r="B9" s="26" t="s">
        <v>30</v>
      </c>
      <c r="BI9" s="52"/>
      <c r="BJ9" s="53"/>
    </row>
    <row r="10" spans="1:62" s="26" customFormat="1" ht="20.25" customHeight="1">
      <c r="A10" s="54"/>
      <c r="BJ10" s="31"/>
    </row>
    <row r="11" spans="1:62" s="26" customFormat="1" ht="20.25" customHeight="1">
      <c r="A11" s="30"/>
      <c r="C11" s="26" t="s">
        <v>31</v>
      </c>
      <c r="BJ11" s="31"/>
    </row>
    <row r="12" spans="1:62" s="26" customFormat="1" ht="20.25" customHeight="1">
      <c r="A12" s="30"/>
      <c r="C12" s="26" t="s">
        <v>32</v>
      </c>
      <c r="BJ12" s="31"/>
    </row>
    <row r="13" spans="1:62" s="26" customFormat="1" ht="20.25" customHeight="1">
      <c r="A13" s="30"/>
      <c r="BJ13" s="31"/>
    </row>
    <row r="14" spans="1:62" s="26" customFormat="1" ht="20.25" customHeight="1">
      <c r="A14" s="30"/>
      <c r="D14" s="26" t="s">
        <v>33</v>
      </c>
      <c r="BJ14" s="31"/>
    </row>
    <row r="15" spans="1:62" s="26" customFormat="1" ht="20.25" customHeight="1">
      <c r="A15" s="30"/>
      <c r="D15" s="321" t="s">
        <v>34</v>
      </c>
      <c r="E15" s="322"/>
      <c r="F15" s="322"/>
      <c r="G15" s="322"/>
      <c r="H15" s="322"/>
      <c r="I15" s="322"/>
      <c r="J15" s="322"/>
      <c r="K15" s="322"/>
      <c r="L15" s="322"/>
      <c r="M15" s="322"/>
      <c r="N15" s="322"/>
      <c r="O15" s="322"/>
      <c r="P15" s="322"/>
      <c r="Q15" s="322"/>
      <c r="R15" s="322"/>
      <c r="S15" s="322"/>
      <c r="T15" s="322"/>
      <c r="U15" s="323"/>
      <c r="V15" s="324" t="s">
        <v>35</v>
      </c>
      <c r="W15" s="377"/>
      <c r="X15" s="377"/>
      <c r="Y15" s="377"/>
      <c r="Z15" s="377"/>
      <c r="AA15" s="377"/>
      <c r="AB15" s="377"/>
      <c r="AC15" s="377"/>
      <c r="AD15" s="377"/>
      <c r="AE15" s="377"/>
      <c r="AF15" s="377"/>
      <c r="AG15" s="377"/>
      <c r="AH15" s="377"/>
      <c r="AI15" s="377"/>
      <c r="AJ15" s="377"/>
      <c r="AK15" s="377"/>
      <c r="AL15" s="377"/>
      <c r="AM15" s="377"/>
      <c r="AN15" s="377"/>
      <c r="AO15" s="377"/>
      <c r="AP15" s="377"/>
      <c r="AQ15" s="377"/>
      <c r="AR15" s="377"/>
      <c r="AS15" s="377"/>
      <c r="AT15" s="377"/>
      <c r="AU15" s="377"/>
      <c r="AV15" s="377"/>
      <c r="AW15" s="377"/>
      <c r="AX15" s="377"/>
      <c r="AY15" s="377"/>
      <c r="AZ15" s="377"/>
      <c r="BA15" s="377"/>
      <c r="BB15" s="377"/>
      <c r="BC15" s="378"/>
      <c r="BJ15" s="31"/>
    </row>
    <row r="16" spans="1:62" s="26" customFormat="1" ht="20.25" customHeight="1">
      <c r="A16" s="30"/>
      <c r="D16" s="321" t="s">
        <v>36</v>
      </c>
      <c r="E16" s="322"/>
      <c r="F16" s="322"/>
      <c r="G16" s="322"/>
      <c r="H16" s="322"/>
      <c r="I16" s="323"/>
      <c r="J16" s="321" t="s">
        <v>37</v>
      </c>
      <c r="K16" s="322"/>
      <c r="L16" s="322"/>
      <c r="M16" s="322"/>
      <c r="N16" s="322"/>
      <c r="O16" s="323"/>
      <c r="P16" s="321" t="s">
        <v>38</v>
      </c>
      <c r="Q16" s="322"/>
      <c r="R16" s="322"/>
      <c r="S16" s="322"/>
      <c r="T16" s="322"/>
      <c r="U16" s="323"/>
      <c r="V16" s="379"/>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80"/>
      <c r="AU16" s="380"/>
      <c r="AV16" s="380"/>
      <c r="AW16" s="380"/>
      <c r="AX16" s="380"/>
      <c r="AY16" s="380"/>
      <c r="AZ16" s="380"/>
      <c r="BA16" s="380"/>
      <c r="BB16" s="380"/>
      <c r="BC16" s="381"/>
      <c r="BJ16" s="31"/>
    </row>
    <row r="17" spans="1:62" s="26" customFormat="1" ht="20.25" customHeight="1">
      <c r="A17" s="30"/>
      <c r="D17" s="35" t="s">
        <v>39</v>
      </c>
      <c r="E17" s="36"/>
      <c r="F17" s="36"/>
      <c r="G17" s="36"/>
      <c r="H17" s="36"/>
      <c r="I17" s="38"/>
      <c r="J17" s="35" t="s">
        <v>39</v>
      </c>
      <c r="K17" s="36"/>
      <c r="L17" s="36"/>
      <c r="M17" s="36"/>
      <c r="N17" s="36"/>
      <c r="O17" s="38"/>
      <c r="P17" s="35" t="s">
        <v>39</v>
      </c>
      <c r="Q17" s="36"/>
      <c r="R17" s="36"/>
      <c r="S17" s="36"/>
      <c r="T17" s="36"/>
      <c r="U17" s="38"/>
      <c r="V17" s="35" t="s">
        <v>40</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8"/>
      <c r="BJ17" s="31"/>
    </row>
    <row r="18" spans="1:62" s="26" customFormat="1" ht="20.25" customHeight="1">
      <c r="A18" s="32"/>
      <c r="D18" s="57" t="s">
        <v>41</v>
      </c>
      <c r="E18" s="36"/>
      <c r="F18" s="36"/>
      <c r="G18" s="36"/>
      <c r="H18" s="36"/>
      <c r="I18" s="38"/>
      <c r="J18" s="35" t="s">
        <v>39</v>
      </c>
      <c r="K18" s="36"/>
      <c r="L18" s="36"/>
      <c r="M18" s="36"/>
      <c r="N18" s="36"/>
      <c r="O18" s="38"/>
      <c r="P18" s="35" t="s">
        <v>39</v>
      </c>
      <c r="Q18" s="36"/>
      <c r="R18" s="36"/>
      <c r="S18" s="36"/>
      <c r="T18" s="36"/>
      <c r="U18" s="38"/>
      <c r="V18" s="35" t="s">
        <v>42</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8"/>
      <c r="BJ18" s="31"/>
    </row>
    <row r="19" spans="1:62" s="26" customFormat="1" ht="20.25" customHeight="1">
      <c r="A19" s="32"/>
      <c r="D19" s="35" t="s">
        <v>39</v>
      </c>
      <c r="E19" s="36"/>
      <c r="F19" s="36"/>
      <c r="G19" s="36"/>
      <c r="H19" s="36"/>
      <c r="I19" s="38"/>
      <c r="J19" s="57" t="s">
        <v>41</v>
      </c>
      <c r="K19" s="36"/>
      <c r="L19" s="36"/>
      <c r="M19" s="36"/>
      <c r="N19" s="36"/>
      <c r="O19" s="38"/>
      <c r="P19" s="35" t="s">
        <v>39</v>
      </c>
      <c r="Q19" s="36"/>
      <c r="R19" s="36"/>
      <c r="S19" s="36"/>
      <c r="T19" s="36"/>
      <c r="U19" s="38"/>
      <c r="V19" s="35" t="s">
        <v>43</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8"/>
      <c r="BJ19" s="31"/>
    </row>
    <row r="20" spans="1:62" s="26" customFormat="1" ht="20.25" customHeight="1">
      <c r="A20" s="32"/>
      <c r="D20" s="35" t="s">
        <v>39</v>
      </c>
      <c r="E20" s="36"/>
      <c r="F20" s="36"/>
      <c r="G20" s="36"/>
      <c r="H20" s="36"/>
      <c r="I20" s="38"/>
      <c r="J20" s="35" t="s">
        <v>39</v>
      </c>
      <c r="K20" s="36"/>
      <c r="L20" s="36"/>
      <c r="M20" s="36"/>
      <c r="N20" s="36"/>
      <c r="O20" s="38"/>
      <c r="P20" s="57" t="s">
        <v>41</v>
      </c>
      <c r="Q20" s="36"/>
      <c r="R20" s="36"/>
      <c r="S20" s="36"/>
      <c r="T20" s="36"/>
      <c r="U20" s="38"/>
      <c r="V20" s="35" t="s">
        <v>44</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8"/>
      <c r="BJ20" s="31"/>
    </row>
    <row r="21" spans="1:62" s="26" customFormat="1" ht="20.25" customHeight="1">
      <c r="A21" s="32"/>
      <c r="BJ21" s="31"/>
    </row>
    <row r="22" spans="1:62" s="26" customFormat="1" ht="20.25" customHeight="1">
      <c r="A22" s="32"/>
      <c r="D22" s="26" t="s">
        <v>45</v>
      </c>
      <c r="BJ22" s="31"/>
    </row>
    <row r="23" spans="1:62" s="26" customFormat="1" ht="20.25" customHeight="1">
      <c r="A23" s="32"/>
      <c r="D23" s="321" t="s">
        <v>66</v>
      </c>
      <c r="E23" s="322"/>
      <c r="F23" s="322"/>
      <c r="G23" s="322"/>
      <c r="H23" s="322"/>
      <c r="I23" s="322"/>
      <c r="J23" s="322"/>
      <c r="K23" s="322"/>
      <c r="L23" s="322"/>
      <c r="M23" s="322"/>
      <c r="N23" s="322"/>
      <c r="O23" s="322"/>
      <c r="P23" s="322"/>
      <c r="Q23" s="322"/>
      <c r="R23" s="322"/>
      <c r="S23" s="322"/>
      <c r="T23" s="322"/>
      <c r="U23" s="322"/>
      <c r="V23" s="322"/>
      <c r="W23" s="322"/>
      <c r="X23" s="322"/>
      <c r="Y23" s="322"/>
      <c r="Z23" s="322"/>
      <c r="AA23" s="323"/>
      <c r="AB23" s="324" t="s">
        <v>35</v>
      </c>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6"/>
      <c r="BJ23" s="31"/>
    </row>
    <row r="24" spans="1:62" s="26" customFormat="1" ht="20.25" customHeight="1">
      <c r="A24" s="32"/>
      <c r="D24" s="321" t="s">
        <v>46</v>
      </c>
      <c r="E24" s="322"/>
      <c r="F24" s="322"/>
      <c r="G24" s="322"/>
      <c r="H24" s="322"/>
      <c r="I24" s="323"/>
      <c r="J24" s="321" t="s">
        <v>47</v>
      </c>
      <c r="K24" s="322"/>
      <c r="L24" s="322"/>
      <c r="M24" s="322"/>
      <c r="N24" s="322"/>
      <c r="O24" s="323"/>
      <c r="P24" s="321" t="s">
        <v>48</v>
      </c>
      <c r="Q24" s="322"/>
      <c r="R24" s="322"/>
      <c r="S24" s="322"/>
      <c r="T24" s="322"/>
      <c r="U24" s="323"/>
      <c r="V24" s="321" t="s">
        <v>49</v>
      </c>
      <c r="W24" s="322"/>
      <c r="X24" s="322"/>
      <c r="Y24" s="322"/>
      <c r="Z24" s="322"/>
      <c r="AA24" s="323"/>
      <c r="AB24" s="327"/>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8"/>
      <c r="BD24" s="328"/>
      <c r="BE24" s="328"/>
      <c r="BF24" s="328"/>
      <c r="BG24" s="329"/>
      <c r="BJ24" s="31"/>
    </row>
    <row r="25" spans="1:62" s="26" customFormat="1" ht="20.25" customHeight="1">
      <c r="A25" s="32"/>
      <c r="D25" s="35" t="s">
        <v>39</v>
      </c>
      <c r="E25" s="36"/>
      <c r="F25" s="36"/>
      <c r="G25" s="36"/>
      <c r="H25" s="36"/>
      <c r="I25" s="38"/>
      <c r="J25" s="35" t="s">
        <v>39</v>
      </c>
      <c r="K25" s="36"/>
      <c r="L25" s="36"/>
      <c r="M25" s="36"/>
      <c r="N25" s="36"/>
      <c r="O25" s="38"/>
      <c r="P25" s="35" t="s">
        <v>39</v>
      </c>
      <c r="Q25" s="36"/>
      <c r="R25" s="36"/>
      <c r="S25" s="36"/>
      <c r="T25" s="36"/>
      <c r="U25" s="38"/>
      <c r="V25" s="35" t="s">
        <v>39</v>
      </c>
      <c r="W25" s="36"/>
      <c r="X25" s="36"/>
      <c r="Y25" s="36"/>
      <c r="Z25" s="36"/>
      <c r="AA25" s="38"/>
      <c r="AB25" s="35" t="s">
        <v>50</v>
      </c>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8"/>
      <c r="BJ25" s="31"/>
    </row>
    <row r="26" spans="1:62" s="26" customFormat="1" ht="20.25" customHeight="1">
      <c r="A26" s="32"/>
      <c r="D26" s="365" t="s">
        <v>41</v>
      </c>
      <c r="E26" s="366"/>
      <c r="F26" s="366"/>
      <c r="G26" s="366"/>
      <c r="H26" s="366"/>
      <c r="I26" s="367"/>
      <c r="J26" s="371" t="s">
        <v>39</v>
      </c>
      <c r="K26" s="372"/>
      <c r="L26" s="372"/>
      <c r="M26" s="372"/>
      <c r="N26" s="372"/>
      <c r="O26" s="373"/>
      <c r="P26" s="371" t="s">
        <v>39</v>
      </c>
      <c r="Q26" s="372"/>
      <c r="R26" s="372"/>
      <c r="S26" s="372"/>
      <c r="T26" s="372"/>
      <c r="U26" s="373"/>
      <c r="V26" s="371" t="s">
        <v>39</v>
      </c>
      <c r="W26" s="372"/>
      <c r="X26" s="372"/>
      <c r="Y26" s="372"/>
      <c r="Z26" s="372"/>
      <c r="AA26" s="373"/>
      <c r="AB26" s="330" t="s">
        <v>51</v>
      </c>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2"/>
      <c r="BJ26" s="31"/>
    </row>
    <row r="27" spans="1:62" s="26" customFormat="1" ht="20.25" customHeight="1">
      <c r="A27" s="32"/>
      <c r="D27" s="368"/>
      <c r="E27" s="369"/>
      <c r="F27" s="369"/>
      <c r="G27" s="369"/>
      <c r="H27" s="369"/>
      <c r="I27" s="370"/>
      <c r="J27" s="374"/>
      <c r="K27" s="375"/>
      <c r="L27" s="375"/>
      <c r="M27" s="375"/>
      <c r="N27" s="375"/>
      <c r="O27" s="376"/>
      <c r="P27" s="374"/>
      <c r="Q27" s="375"/>
      <c r="R27" s="375"/>
      <c r="S27" s="375"/>
      <c r="T27" s="375"/>
      <c r="U27" s="376"/>
      <c r="V27" s="374"/>
      <c r="W27" s="375"/>
      <c r="X27" s="375"/>
      <c r="Y27" s="375"/>
      <c r="Z27" s="375"/>
      <c r="AA27" s="376"/>
      <c r="AB27" s="333"/>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4"/>
      <c r="BF27" s="334"/>
      <c r="BG27" s="335"/>
      <c r="BJ27" s="31"/>
    </row>
    <row r="28" spans="1:62" s="26" customFormat="1" ht="20.25" customHeight="1">
      <c r="A28" s="32"/>
      <c r="D28" s="35" t="s">
        <v>39</v>
      </c>
      <c r="E28" s="36"/>
      <c r="F28" s="36"/>
      <c r="G28" s="36"/>
      <c r="H28" s="36"/>
      <c r="I28" s="38"/>
      <c r="J28" s="57" t="s">
        <v>41</v>
      </c>
      <c r="K28" s="36"/>
      <c r="L28" s="36"/>
      <c r="M28" s="36"/>
      <c r="N28" s="36"/>
      <c r="O28" s="38"/>
      <c r="P28" s="35" t="s">
        <v>39</v>
      </c>
      <c r="Q28" s="36"/>
      <c r="R28" s="36"/>
      <c r="S28" s="36"/>
      <c r="T28" s="36"/>
      <c r="U28" s="38"/>
      <c r="V28" s="35" t="s">
        <v>39</v>
      </c>
      <c r="W28" s="36"/>
      <c r="X28" s="36"/>
      <c r="Y28" s="36"/>
      <c r="Z28" s="36"/>
      <c r="AA28" s="38"/>
      <c r="AB28" s="35" t="s">
        <v>52</v>
      </c>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8"/>
      <c r="BJ28" s="31"/>
    </row>
    <row r="29" spans="1:62" s="26" customFormat="1" ht="20.25" customHeight="1">
      <c r="A29" s="32"/>
      <c r="D29" s="35" t="s">
        <v>39</v>
      </c>
      <c r="E29" s="36"/>
      <c r="F29" s="36"/>
      <c r="G29" s="36"/>
      <c r="H29" s="36"/>
      <c r="I29" s="38"/>
      <c r="J29" s="35" t="s">
        <v>39</v>
      </c>
      <c r="K29" s="36"/>
      <c r="L29" s="36"/>
      <c r="M29" s="36"/>
      <c r="N29" s="36"/>
      <c r="O29" s="38"/>
      <c r="P29" s="57" t="s">
        <v>41</v>
      </c>
      <c r="Q29" s="36"/>
      <c r="R29" s="36"/>
      <c r="S29" s="36"/>
      <c r="T29" s="36"/>
      <c r="U29" s="38"/>
      <c r="V29" s="35" t="s">
        <v>39</v>
      </c>
      <c r="W29" s="36"/>
      <c r="X29" s="36"/>
      <c r="Y29" s="36"/>
      <c r="Z29" s="36"/>
      <c r="AA29" s="38"/>
      <c r="AB29" s="35" t="s">
        <v>53</v>
      </c>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8"/>
      <c r="BJ29" s="31"/>
    </row>
    <row r="30" spans="1:62" s="26" customFormat="1" ht="20.25" customHeight="1">
      <c r="A30" s="32"/>
      <c r="D30" s="35" t="s">
        <v>39</v>
      </c>
      <c r="E30" s="36"/>
      <c r="F30" s="36"/>
      <c r="G30" s="36"/>
      <c r="H30" s="36"/>
      <c r="I30" s="38"/>
      <c r="J30" s="35" t="s">
        <v>39</v>
      </c>
      <c r="K30" s="36"/>
      <c r="L30" s="36"/>
      <c r="M30" s="36"/>
      <c r="N30" s="36"/>
      <c r="O30" s="38"/>
      <c r="P30" s="35" t="s">
        <v>39</v>
      </c>
      <c r="Q30" s="36"/>
      <c r="R30" s="36"/>
      <c r="S30" s="36"/>
      <c r="T30" s="36"/>
      <c r="U30" s="38"/>
      <c r="V30" s="57" t="s">
        <v>41</v>
      </c>
      <c r="W30" s="36"/>
      <c r="X30" s="36"/>
      <c r="Y30" s="36"/>
      <c r="Z30" s="36"/>
      <c r="AA30" s="38"/>
      <c r="AB30" s="35" t="s">
        <v>54</v>
      </c>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8"/>
      <c r="BJ30" s="31"/>
    </row>
    <row r="31" spans="1:62" s="26" customFormat="1" ht="20.25" customHeight="1">
      <c r="A31" s="32"/>
      <c r="BJ31" s="31"/>
    </row>
    <row r="32" spans="1:62" s="26" customFormat="1" ht="20.25" customHeight="1">
      <c r="A32" s="32"/>
      <c r="BJ32" s="31"/>
    </row>
    <row r="33" spans="1:62" s="26" customFormat="1" ht="20.25" customHeight="1">
      <c r="A33" s="32"/>
      <c r="B33" s="26" t="s">
        <v>55</v>
      </c>
      <c r="BJ33" s="31"/>
    </row>
    <row r="34" spans="1:62" s="26" customFormat="1" ht="20.25" customHeight="1">
      <c r="A34" s="32"/>
      <c r="BJ34" s="31"/>
    </row>
    <row r="35" spans="1:62" s="26" customFormat="1" ht="20.25" customHeight="1">
      <c r="A35" s="32"/>
      <c r="C35" s="26" t="s">
        <v>67</v>
      </c>
      <c r="BJ35" s="31"/>
    </row>
    <row r="36" spans="1:62" s="26" customFormat="1" ht="20.25" customHeight="1">
      <c r="A36" s="32"/>
      <c r="BJ36" s="31"/>
    </row>
    <row r="37" spans="1:62" s="26" customFormat="1" ht="20.25" customHeight="1">
      <c r="A37" s="30"/>
      <c r="D37" s="40" t="s">
        <v>57</v>
      </c>
      <c r="BJ37" s="31"/>
    </row>
    <row r="38" spans="1:62" s="26" customFormat="1" ht="20.25" customHeight="1">
      <c r="A38" s="30"/>
      <c r="D38" s="40" t="s">
        <v>58</v>
      </c>
      <c r="BJ38" s="31"/>
    </row>
    <row r="39" spans="1:62" s="26" customFormat="1" ht="20.25" customHeight="1">
      <c r="A39" s="30"/>
      <c r="D39" s="40" t="s">
        <v>59</v>
      </c>
      <c r="BJ39" s="31"/>
    </row>
    <row r="40" spans="1:62" s="26" customFormat="1" ht="20.25" customHeight="1">
      <c r="A40" s="30"/>
      <c r="D40" s="40" t="s">
        <v>60</v>
      </c>
      <c r="BJ40" s="31"/>
    </row>
    <row r="41" spans="1:62" s="26" customFormat="1" ht="20.25" customHeight="1">
      <c r="A41" s="32"/>
      <c r="D41" s="40" t="s">
        <v>61</v>
      </c>
      <c r="BJ41" s="31"/>
    </row>
    <row r="42" spans="1:62" s="26" customFormat="1" ht="20.25" customHeight="1">
      <c r="A42" s="32"/>
      <c r="D42" s="40" t="s">
        <v>62</v>
      </c>
      <c r="BJ42" s="31"/>
    </row>
    <row r="43" spans="1:62" s="26" customFormat="1" ht="20.25" customHeight="1">
      <c r="A43" s="32"/>
      <c r="D43" s="40" t="s">
        <v>63</v>
      </c>
      <c r="BJ43" s="31"/>
    </row>
    <row r="44" spans="1:62" s="26" customFormat="1" ht="20.25" customHeight="1">
      <c r="A44" s="32"/>
      <c r="D44" s="40" t="s">
        <v>64</v>
      </c>
      <c r="BJ44" s="31"/>
    </row>
    <row r="45" spans="1:62" s="26" customFormat="1" ht="20.25" customHeight="1">
      <c r="A45" s="32"/>
      <c r="B45" s="33"/>
      <c r="D45" s="17"/>
      <c r="E45" s="58"/>
      <c r="F45" s="58"/>
      <c r="G45" s="46"/>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J45" s="31"/>
    </row>
    <row r="46" spans="1:62" s="26" customFormat="1" ht="20.25" customHeight="1">
      <c r="A46" s="32"/>
      <c r="B46" s="33"/>
      <c r="D46" s="17"/>
      <c r="E46" s="58"/>
      <c r="F46" s="58"/>
      <c r="G46" s="46"/>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J46" s="31"/>
    </row>
    <row r="47" spans="1:62" s="26" customFormat="1" ht="20.25" customHeight="1">
      <c r="A47" s="32"/>
      <c r="B47" s="33"/>
      <c r="D47" s="17"/>
      <c r="E47" s="58"/>
      <c r="F47" s="58"/>
      <c r="G47" s="46"/>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J47" s="31"/>
    </row>
    <row r="48" spans="1:62" s="26" customFormat="1" ht="20.25" customHeight="1">
      <c r="A48" s="32"/>
      <c r="B48" s="33"/>
      <c r="D48" s="17"/>
      <c r="E48" s="58"/>
      <c r="F48" s="58"/>
      <c r="G48" s="46"/>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J48" s="31"/>
    </row>
    <row r="49" spans="1:62" s="26" customFormat="1" ht="20.25" customHeight="1">
      <c r="A49" s="32"/>
      <c r="B49" s="33"/>
      <c r="D49" s="17"/>
      <c r="E49" s="58"/>
      <c r="F49" s="58"/>
      <c r="G49" s="46"/>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J49" s="31"/>
    </row>
    <row r="50" spans="1:62" s="26" customFormat="1" ht="20.25" customHeight="1">
      <c r="A50" s="32"/>
      <c r="B50" s="33"/>
      <c r="D50" s="17"/>
      <c r="E50" s="58"/>
      <c r="F50" s="58"/>
      <c r="G50" s="46"/>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J50" s="31"/>
    </row>
    <row r="51" spans="1:62" s="26" customFormat="1" ht="20.25" customHeight="1">
      <c r="A51" s="30"/>
      <c r="D51" s="17"/>
      <c r="E51" s="58"/>
      <c r="F51" s="58"/>
      <c r="G51" s="46"/>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J51" s="31"/>
    </row>
    <row r="52" spans="1:62" s="26" customFormat="1" ht="20.25" customHeight="1">
      <c r="A52" s="32"/>
      <c r="B52" s="33"/>
      <c r="D52" s="17"/>
      <c r="E52" s="58"/>
      <c r="F52" s="58"/>
      <c r="G52" s="46"/>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J52" s="31"/>
    </row>
    <row r="53" spans="1:62" s="26" customFormat="1" ht="20.25" customHeight="1">
      <c r="A53" s="30"/>
      <c r="D53" s="17"/>
      <c r="E53" s="58"/>
      <c r="F53" s="58"/>
      <c r="G53" s="46"/>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J53" s="31"/>
    </row>
    <row r="54" spans="1:62" s="26" customFormat="1" ht="20.25" customHeight="1">
      <c r="A54" s="30"/>
      <c r="D54" s="17"/>
      <c r="E54" s="58"/>
      <c r="F54" s="58"/>
      <c r="G54" s="46"/>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31"/>
    </row>
    <row r="55" spans="1:62" s="26" customFormat="1" ht="20.25" customHeight="1">
      <c r="A55" s="30"/>
      <c r="D55" s="17"/>
      <c r="E55" s="58"/>
      <c r="F55" s="58"/>
      <c r="G55" s="46"/>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J55" s="31"/>
    </row>
    <row r="56" spans="1:62" s="26" customFormat="1" ht="20.25" customHeight="1">
      <c r="A56" s="30"/>
      <c r="D56" s="17"/>
      <c r="E56" s="58"/>
      <c r="F56" s="58"/>
      <c r="G56" s="46"/>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J56" s="31"/>
    </row>
    <row r="57" spans="1:62" s="26" customFormat="1" ht="20.25" customHeight="1">
      <c r="A57" s="30"/>
      <c r="D57" s="17"/>
      <c r="E57" s="58"/>
      <c r="F57" s="58"/>
      <c r="G57" s="46"/>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J57" s="31"/>
    </row>
    <row r="58" spans="1:62" s="26" customFormat="1" ht="20.25" customHeight="1">
      <c r="A58" s="30"/>
      <c r="D58" s="17"/>
      <c r="E58" s="58"/>
      <c r="F58" s="58"/>
      <c r="G58" s="46"/>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J58" s="31"/>
    </row>
    <row r="59" spans="1:62" s="26" customFormat="1" ht="20.25" customHeight="1">
      <c r="A59" s="30"/>
      <c r="D59" s="17"/>
      <c r="E59" s="58"/>
      <c r="F59" s="58"/>
      <c r="G59" s="46"/>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J59" s="31"/>
    </row>
    <row r="60" spans="1:62" s="26" customFormat="1" ht="20.25" customHeight="1">
      <c r="A60" s="30"/>
      <c r="D60" s="17"/>
      <c r="E60" s="58"/>
      <c r="F60" s="58"/>
      <c r="G60" s="46"/>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J60" s="31"/>
    </row>
    <row r="61" spans="1:62" s="26" customFormat="1" ht="20.25" customHeight="1">
      <c r="A61" s="30"/>
      <c r="D61" s="17"/>
      <c r="E61" s="58"/>
      <c r="F61" s="58"/>
      <c r="G61" s="46"/>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J61" s="31"/>
    </row>
    <row r="62" spans="1:62" s="26" customFormat="1" ht="20.25" customHeight="1">
      <c r="A62" s="30"/>
      <c r="D62" s="17"/>
      <c r="E62" s="58"/>
      <c r="F62" s="58"/>
      <c r="G62" s="46"/>
      <c r="H62" s="46"/>
      <c r="I62" s="46"/>
      <c r="J62" s="46"/>
      <c r="K62" s="46"/>
      <c r="L62" s="46"/>
      <c r="M62" s="46"/>
      <c r="N62" s="46"/>
      <c r="O62" s="46"/>
      <c r="P62" s="46"/>
      <c r="Q62" s="46"/>
      <c r="R62" s="46"/>
      <c r="S62" s="46"/>
      <c r="T62" s="46"/>
      <c r="U62" s="46"/>
      <c r="V62" s="46"/>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J62" s="31"/>
    </row>
    <row r="63" spans="1:62" s="26" customFormat="1" ht="20.25" customHeight="1">
      <c r="A63" s="30"/>
      <c r="D63" s="17"/>
      <c r="E63" s="58"/>
      <c r="F63" s="58"/>
      <c r="G63" s="46"/>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J63" s="31"/>
    </row>
    <row r="64" spans="1:62" s="26" customFormat="1" ht="20.25" customHeight="1">
      <c r="A64" s="48"/>
      <c r="B64" s="49"/>
      <c r="C64" s="43"/>
      <c r="D64" s="43"/>
      <c r="E64" s="43"/>
      <c r="F64" s="43"/>
      <c r="G64" s="43"/>
      <c r="H64" s="43"/>
      <c r="I64" s="43"/>
      <c r="J64" s="43"/>
      <c r="K64" s="49"/>
      <c r="L64" s="49"/>
      <c r="M64" s="49"/>
      <c r="N64" s="49"/>
      <c r="O64" s="49"/>
      <c r="P64" s="49"/>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35">
    <mergeCell ref="AB26:BG27"/>
    <mergeCell ref="V15:BC16"/>
    <mergeCell ref="A2:AU2"/>
    <mergeCell ref="AV2:AY2"/>
    <mergeCell ref="AZ2:BC2"/>
    <mergeCell ref="BD2:BG2"/>
    <mergeCell ref="D15:U15"/>
    <mergeCell ref="D16:I16"/>
    <mergeCell ref="A7:K7"/>
    <mergeCell ref="L7:BJ7"/>
    <mergeCell ref="J16:O16"/>
    <mergeCell ref="P16:U16"/>
    <mergeCell ref="D23:AA23"/>
    <mergeCell ref="AB23:BG24"/>
    <mergeCell ref="D24:I24"/>
    <mergeCell ref="BH2:BJ2"/>
    <mergeCell ref="AZ4:BJ4"/>
    <mergeCell ref="A6:G6"/>
    <mergeCell ref="H6:K6"/>
    <mergeCell ref="L6:P6"/>
    <mergeCell ref="Q6:AU6"/>
    <mergeCell ref="AV6:AY6"/>
    <mergeCell ref="AZ6:BJ6"/>
    <mergeCell ref="A3:G4"/>
    <mergeCell ref="H3:AU4"/>
    <mergeCell ref="AV3:AY3"/>
    <mergeCell ref="AZ3:BJ3"/>
    <mergeCell ref="AV4:AY4"/>
    <mergeCell ref="J24:O24"/>
    <mergeCell ref="P24:U24"/>
    <mergeCell ref="V24:AA24"/>
    <mergeCell ref="D26:I27"/>
    <mergeCell ref="J26:O27"/>
    <mergeCell ref="P26:U27"/>
    <mergeCell ref="V26:AA27"/>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9DFA-946A-49EF-8174-536247D7C7FF}">
  <sheetPr codeName="Sheet4">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149" width="1.625" style="51" customWidth="1"/>
    <col min="150"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24</v>
      </c>
      <c r="I6" s="339"/>
      <c r="J6" s="339"/>
      <c r="K6" s="339"/>
      <c r="L6" s="340" t="s">
        <v>11</v>
      </c>
      <c r="M6" s="341"/>
      <c r="N6" s="341"/>
      <c r="O6" s="341"/>
      <c r="P6" s="342"/>
      <c r="Q6" s="341" t="s">
        <v>21</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68</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30"/>
      <c r="BJ8" s="31"/>
    </row>
    <row r="9" spans="1:62" s="26" customFormat="1" ht="20.25" customHeight="1">
      <c r="A9" s="55"/>
      <c r="B9" s="26" t="s">
        <v>30</v>
      </c>
      <c r="BE9" s="17"/>
      <c r="BJ9" s="31"/>
    </row>
    <row r="10" spans="1:62" s="26" customFormat="1" ht="20.25" customHeight="1">
      <c r="A10" s="55"/>
      <c r="BE10" s="17"/>
      <c r="BJ10" s="31"/>
    </row>
    <row r="11" spans="1:62" s="26" customFormat="1" ht="20.25" customHeight="1">
      <c r="A11" s="32"/>
      <c r="C11" s="26" t="s">
        <v>31</v>
      </c>
      <c r="BE11" s="17"/>
      <c r="BJ11" s="31"/>
    </row>
    <row r="12" spans="1:62" s="26" customFormat="1" ht="20.25" customHeight="1">
      <c r="A12" s="32"/>
      <c r="C12" s="26" t="s">
        <v>32</v>
      </c>
      <c r="BE12" s="17"/>
      <c r="BJ12" s="31"/>
    </row>
    <row r="13" spans="1:62" s="26" customFormat="1" ht="20.25" customHeight="1">
      <c r="A13" s="32"/>
      <c r="BE13" s="17"/>
      <c r="BJ13" s="31"/>
    </row>
    <row r="14" spans="1:62" s="26" customFormat="1" ht="20.25" customHeight="1">
      <c r="A14" s="32"/>
      <c r="D14" s="26" t="s">
        <v>33</v>
      </c>
      <c r="BE14" s="17"/>
      <c r="BJ14" s="31"/>
    </row>
    <row r="15" spans="1:62" s="26" customFormat="1" ht="20.25" customHeight="1">
      <c r="A15" s="32"/>
      <c r="D15" s="321" t="s">
        <v>34</v>
      </c>
      <c r="E15" s="322"/>
      <c r="F15" s="322"/>
      <c r="G15" s="322"/>
      <c r="H15" s="322"/>
      <c r="I15" s="322"/>
      <c r="J15" s="322"/>
      <c r="K15" s="322"/>
      <c r="L15" s="322"/>
      <c r="M15" s="322"/>
      <c r="N15" s="322"/>
      <c r="O15" s="322"/>
      <c r="P15" s="322"/>
      <c r="Q15" s="322"/>
      <c r="R15" s="322"/>
      <c r="S15" s="322"/>
      <c r="T15" s="322"/>
      <c r="U15" s="323"/>
      <c r="V15" s="324" t="s">
        <v>35</v>
      </c>
      <c r="W15" s="377"/>
      <c r="X15" s="377"/>
      <c r="Y15" s="377"/>
      <c r="Z15" s="377"/>
      <c r="AA15" s="377"/>
      <c r="AB15" s="377"/>
      <c r="AC15" s="377"/>
      <c r="AD15" s="377"/>
      <c r="AE15" s="377"/>
      <c r="AF15" s="377"/>
      <c r="AG15" s="377"/>
      <c r="AH15" s="377"/>
      <c r="AI15" s="377"/>
      <c r="AJ15" s="377"/>
      <c r="AK15" s="377"/>
      <c r="AL15" s="377"/>
      <c r="AM15" s="377"/>
      <c r="AN15" s="377"/>
      <c r="AO15" s="377"/>
      <c r="AP15" s="377"/>
      <c r="AQ15" s="377"/>
      <c r="AR15" s="377"/>
      <c r="AS15" s="377"/>
      <c r="AT15" s="377"/>
      <c r="AU15" s="377"/>
      <c r="AV15" s="377"/>
      <c r="AW15" s="377"/>
      <c r="AX15" s="377"/>
      <c r="AY15" s="377"/>
      <c r="AZ15" s="377"/>
      <c r="BA15" s="377"/>
      <c r="BB15" s="377"/>
      <c r="BC15" s="378"/>
      <c r="BE15" s="17"/>
      <c r="BJ15" s="31"/>
    </row>
    <row r="16" spans="1:62" s="26" customFormat="1" ht="20.25" customHeight="1">
      <c r="A16" s="32"/>
      <c r="D16" s="321" t="s">
        <v>36</v>
      </c>
      <c r="E16" s="322"/>
      <c r="F16" s="322"/>
      <c r="G16" s="322"/>
      <c r="H16" s="322"/>
      <c r="I16" s="323"/>
      <c r="J16" s="321" t="s">
        <v>37</v>
      </c>
      <c r="K16" s="322"/>
      <c r="L16" s="322"/>
      <c r="M16" s="322"/>
      <c r="N16" s="322"/>
      <c r="O16" s="323"/>
      <c r="P16" s="321" t="s">
        <v>38</v>
      </c>
      <c r="Q16" s="322"/>
      <c r="R16" s="322"/>
      <c r="S16" s="322"/>
      <c r="T16" s="322"/>
      <c r="U16" s="323"/>
      <c r="V16" s="379"/>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80"/>
      <c r="AU16" s="380"/>
      <c r="AV16" s="380"/>
      <c r="AW16" s="380"/>
      <c r="AX16" s="380"/>
      <c r="AY16" s="380"/>
      <c r="AZ16" s="380"/>
      <c r="BA16" s="380"/>
      <c r="BB16" s="380"/>
      <c r="BC16" s="381"/>
      <c r="BE16" s="17"/>
      <c r="BJ16" s="31"/>
    </row>
    <row r="17" spans="1:62" s="26" customFormat="1" ht="20.25" customHeight="1">
      <c r="A17" s="32"/>
      <c r="D17" s="35" t="s">
        <v>39</v>
      </c>
      <c r="E17" s="36"/>
      <c r="F17" s="36"/>
      <c r="G17" s="36"/>
      <c r="H17" s="36"/>
      <c r="I17" s="38"/>
      <c r="J17" s="35" t="s">
        <v>39</v>
      </c>
      <c r="K17" s="36"/>
      <c r="L17" s="36"/>
      <c r="M17" s="36"/>
      <c r="N17" s="36"/>
      <c r="O17" s="38"/>
      <c r="P17" s="35" t="s">
        <v>39</v>
      </c>
      <c r="Q17" s="36"/>
      <c r="R17" s="36"/>
      <c r="S17" s="36"/>
      <c r="T17" s="36"/>
      <c r="U17" s="38"/>
      <c r="V17" s="35" t="s">
        <v>40</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8"/>
      <c r="BE17" s="17"/>
      <c r="BJ17" s="31"/>
    </row>
    <row r="18" spans="1:62" s="26" customFormat="1" ht="20.25" customHeight="1">
      <c r="A18" s="32"/>
      <c r="D18" s="57" t="s">
        <v>41</v>
      </c>
      <c r="E18" s="36"/>
      <c r="F18" s="36"/>
      <c r="G18" s="36"/>
      <c r="H18" s="36"/>
      <c r="I18" s="38"/>
      <c r="J18" s="35" t="s">
        <v>39</v>
      </c>
      <c r="K18" s="36"/>
      <c r="L18" s="36"/>
      <c r="M18" s="36"/>
      <c r="N18" s="36"/>
      <c r="O18" s="38"/>
      <c r="P18" s="35" t="s">
        <v>39</v>
      </c>
      <c r="Q18" s="36"/>
      <c r="R18" s="36"/>
      <c r="S18" s="36"/>
      <c r="T18" s="36"/>
      <c r="U18" s="38"/>
      <c r="V18" s="35" t="s">
        <v>42</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8"/>
      <c r="BE18" s="17"/>
      <c r="BJ18" s="31"/>
    </row>
    <row r="19" spans="1:62" s="26" customFormat="1" ht="20.25" customHeight="1">
      <c r="A19" s="32"/>
      <c r="D19" s="35" t="s">
        <v>39</v>
      </c>
      <c r="E19" s="36"/>
      <c r="F19" s="36"/>
      <c r="G19" s="36"/>
      <c r="H19" s="36"/>
      <c r="I19" s="38"/>
      <c r="J19" s="57" t="s">
        <v>41</v>
      </c>
      <c r="K19" s="36"/>
      <c r="L19" s="36"/>
      <c r="M19" s="36"/>
      <c r="N19" s="36"/>
      <c r="O19" s="38"/>
      <c r="P19" s="35" t="s">
        <v>39</v>
      </c>
      <c r="Q19" s="36"/>
      <c r="R19" s="36"/>
      <c r="S19" s="36"/>
      <c r="T19" s="36"/>
      <c r="U19" s="38"/>
      <c r="V19" s="35" t="s">
        <v>43</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8"/>
      <c r="BE19" s="17"/>
      <c r="BJ19" s="31"/>
    </row>
    <row r="20" spans="1:62" s="26" customFormat="1" ht="20.25" customHeight="1">
      <c r="A20" s="32"/>
      <c r="D20" s="35" t="s">
        <v>39</v>
      </c>
      <c r="E20" s="36"/>
      <c r="F20" s="36"/>
      <c r="G20" s="36"/>
      <c r="H20" s="36"/>
      <c r="I20" s="38"/>
      <c r="J20" s="35" t="s">
        <v>39</v>
      </c>
      <c r="K20" s="36"/>
      <c r="L20" s="36"/>
      <c r="M20" s="36"/>
      <c r="N20" s="36"/>
      <c r="O20" s="38"/>
      <c r="P20" s="57" t="s">
        <v>41</v>
      </c>
      <c r="Q20" s="36"/>
      <c r="R20" s="36"/>
      <c r="S20" s="36"/>
      <c r="T20" s="36"/>
      <c r="U20" s="38"/>
      <c r="V20" s="35" t="s">
        <v>44</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8"/>
      <c r="BE20" s="17"/>
      <c r="BJ20" s="31"/>
    </row>
    <row r="21" spans="1:62" s="26" customFormat="1" ht="20.25" customHeight="1">
      <c r="A21" s="32"/>
      <c r="BE21" s="17"/>
      <c r="BJ21" s="31"/>
    </row>
    <row r="22" spans="1:62" s="26" customFormat="1" ht="20.25" customHeight="1">
      <c r="A22" s="32"/>
      <c r="D22" s="26" t="s">
        <v>45</v>
      </c>
      <c r="BE22" s="17"/>
      <c r="BJ22" s="31"/>
    </row>
    <row r="23" spans="1:62" s="26" customFormat="1" ht="20.25" customHeight="1">
      <c r="A23" s="30"/>
      <c r="D23" s="321" t="s">
        <v>69</v>
      </c>
      <c r="E23" s="322"/>
      <c r="F23" s="322"/>
      <c r="G23" s="322"/>
      <c r="H23" s="322"/>
      <c r="I23" s="322"/>
      <c r="J23" s="322"/>
      <c r="K23" s="322"/>
      <c r="L23" s="322"/>
      <c r="M23" s="322"/>
      <c r="N23" s="322"/>
      <c r="O23" s="322"/>
      <c r="P23" s="324" t="s">
        <v>35</v>
      </c>
      <c r="Q23" s="377"/>
      <c r="R23" s="377"/>
      <c r="S23" s="377"/>
      <c r="T23" s="377"/>
      <c r="U23" s="377"/>
      <c r="V23" s="377"/>
      <c r="W23" s="377"/>
      <c r="X23" s="377"/>
      <c r="Y23" s="377"/>
      <c r="Z23" s="377"/>
      <c r="AA23" s="377"/>
      <c r="AB23" s="377"/>
      <c r="AC23" s="377"/>
      <c r="AD23" s="377"/>
      <c r="AE23" s="377"/>
      <c r="AF23" s="377"/>
      <c r="AG23" s="377"/>
      <c r="AH23" s="377"/>
      <c r="AI23" s="377"/>
      <c r="AJ23" s="377"/>
      <c r="AK23" s="377"/>
      <c r="AL23" s="377"/>
      <c r="AM23" s="377"/>
      <c r="AN23" s="377"/>
      <c r="AO23" s="377"/>
      <c r="AP23" s="377"/>
      <c r="AQ23" s="377"/>
      <c r="AR23" s="377"/>
      <c r="AS23" s="377"/>
      <c r="AT23" s="377"/>
      <c r="AU23" s="377"/>
      <c r="AV23" s="377"/>
      <c r="AW23" s="378"/>
      <c r="BJ23" s="31"/>
    </row>
    <row r="24" spans="1:62" s="26" customFormat="1" ht="20.25" customHeight="1">
      <c r="A24" s="30"/>
      <c r="D24" s="321" t="s">
        <v>46</v>
      </c>
      <c r="E24" s="322"/>
      <c r="F24" s="322"/>
      <c r="G24" s="322"/>
      <c r="H24" s="322"/>
      <c r="I24" s="323"/>
      <c r="J24" s="321" t="s">
        <v>70</v>
      </c>
      <c r="K24" s="322"/>
      <c r="L24" s="322"/>
      <c r="M24" s="322"/>
      <c r="N24" s="322"/>
      <c r="O24" s="323"/>
      <c r="P24" s="379"/>
      <c r="Q24" s="380"/>
      <c r="R24" s="380"/>
      <c r="S24" s="380"/>
      <c r="T24" s="380"/>
      <c r="U24" s="380"/>
      <c r="V24" s="380"/>
      <c r="W24" s="380"/>
      <c r="X24" s="380"/>
      <c r="Y24" s="380"/>
      <c r="Z24" s="380"/>
      <c r="AA24" s="380"/>
      <c r="AB24" s="380"/>
      <c r="AC24" s="380"/>
      <c r="AD24" s="380"/>
      <c r="AE24" s="380"/>
      <c r="AF24" s="380"/>
      <c r="AG24" s="380"/>
      <c r="AH24" s="380"/>
      <c r="AI24" s="380"/>
      <c r="AJ24" s="380"/>
      <c r="AK24" s="380"/>
      <c r="AL24" s="380"/>
      <c r="AM24" s="380"/>
      <c r="AN24" s="380"/>
      <c r="AO24" s="380"/>
      <c r="AP24" s="380"/>
      <c r="AQ24" s="380"/>
      <c r="AR24" s="380"/>
      <c r="AS24" s="380"/>
      <c r="AT24" s="380"/>
      <c r="AU24" s="380"/>
      <c r="AV24" s="380"/>
      <c r="AW24" s="381"/>
      <c r="BJ24" s="31"/>
    </row>
    <row r="25" spans="1:62" s="26" customFormat="1" ht="20.25" customHeight="1">
      <c r="A25" s="30"/>
      <c r="D25" s="35" t="s">
        <v>39</v>
      </c>
      <c r="E25" s="36"/>
      <c r="F25" s="36"/>
      <c r="G25" s="36"/>
      <c r="H25" s="36"/>
      <c r="I25" s="38"/>
      <c r="J25" s="35" t="s">
        <v>39</v>
      </c>
      <c r="K25" s="36"/>
      <c r="L25" s="36"/>
      <c r="M25" s="36"/>
      <c r="N25" s="36"/>
      <c r="O25" s="38"/>
      <c r="P25" s="35" t="s">
        <v>71</v>
      </c>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8"/>
      <c r="BJ25" s="31"/>
    </row>
    <row r="26" spans="1:62" s="26" customFormat="1" ht="20.25" customHeight="1">
      <c r="A26" s="30"/>
      <c r="D26" s="59" t="s">
        <v>41</v>
      </c>
      <c r="E26" s="60"/>
      <c r="F26" s="60"/>
      <c r="G26" s="60"/>
      <c r="H26" s="60"/>
      <c r="I26" s="61"/>
      <c r="J26" s="27" t="s">
        <v>39</v>
      </c>
      <c r="K26" s="28"/>
      <c r="L26" s="28"/>
      <c r="M26" s="28"/>
      <c r="N26" s="28"/>
      <c r="O26" s="29"/>
      <c r="P26" s="27" t="s">
        <v>72</v>
      </c>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62"/>
      <c r="BJ26" s="31"/>
    </row>
    <row r="27" spans="1:62" s="26" customFormat="1" ht="20.25" customHeight="1">
      <c r="A27" s="30"/>
      <c r="D27" s="35" t="s">
        <v>39</v>
      </c>
      <c r="E27" s="36"/>
      <c r="F27" s="36"/>
      <c r="G27" s="36"/>
      <c r="H27" s="36"/>
      <c r="I27" s="38"/>
      <c r="J27" s="57" t="s">
        <v>41</v>
      </c>
      <c r="K27" s="36"/>
      <c r="L27" s="36"/>
      <c r="M27" s="36"/>
      <c r="N27" s="36"/>
      <c r="O27" s="38"/>
      <c r="P27" s="35" t="s">
        <v>53</v>
      </c>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8"/>
      <c r="BJ27" s="31"/>
    </row>
    <row r="28" spans="1:62" s="26" customFormat="1" ht="20.25" customHeight="1">
      <c r="A28" s="30"/>
      <c r="D28" s="26" t="s">
        <v>73</v>
      </c>
      <c r="BJ28" s="31"/>
    </row>
    <row r="29" spans="1:62" s="26" customFormat="1" ht="20.25" customHeight="1">
      <c r="A29" s="30"/>
      <c r="BJ29" s="31"/>
    </row>
    <row r="30" spans="1:62" s="26" customFormat="1" ht="20.25" customHeight="1">
      <c r="A30" s="32"/>
      <c r="B30" s="26" t="s">
        <v>55</v>
      </c>
      <c r="BJ30" s="31"/>
    </row>
    <row r="31" spans="1:62" s="26" customFormat="1" ht="20.25" customHeight="1">
      <c r="A31" s="32"/>
      <c r="BJ31" s="31"/>
    </row>
    <row r="32" spans="1:62" s="26" customFormat="1" ht="20.25" customHeight="1">
      <c r="A32" s="32"/>
      <c r="C32" s="26" t="s">
        <v>74</v>
      </c>
      <c r="BJ32" s="31"/>
    </row>
    <row r="33" spans="1:62" s="26" customFormat="1" ht="20.25" customHeight="1">
      <c r="A33" s="32"/>
      <c r="D33" s="40" t="s">
        <v>57</v>
      </c>
      <c r="BJ33" s="31"/>
    </row>
    <row r="34" spans="1:62" s="26" customFormat="1" ht="20.25" customHeight="1">
      <c r="A34" s="32"/>
      <c r="D34" s="40" t="s">
        <v>58</v>
      </c>
      <c r="BJ34" s="31"/>
    </row>
    <row r="35" spans="1:62" s="26" customFormat="1" ht="20.25" customHeight="1">
      <c r="A35" s="32"/>
      <c r="D35" s="40" t="s">
        <v>59</v>
      </c>
      <c r="BJ35" s="31"/>
    </row>
    <row r="36" spans="1:62" s="26" customFormat="1" ht="20.25" customHeight="1">
      <c r="A36" s="32"/>
      <c r="D36" s="40" t="s">
        <v>60</v>
      </c>
      <c r="BJ36" s="31"/>
    </row>
    <row r="37" spans="1:62" s="26" customFormat="1" ht="20.25" customHeight="1">
      <c r="A37" s="32"/>
      <c r="D37" s="40" t="s">
        <v>61</v>
      </c>
      <c r="BJ37" s="31"/>
    </row>
    <row r="38" spans="1:62" s="26" customFormat="1" ht="20.25" customHeight="1">
      <c r="A38" s="32"/>
      <c r="D38" s="40" t="s">
        <v>62</v>
      </c>
      <c r="BJ38" s="31"/>
    </row>
    <row r="39" spans="1:62" s="26" customFormat="1" ht="20.25" customHeight="1">
      <c r="A39" s="32"/>
      <c r="D39" s="40" t="s">
        <v>63</v>
      </c>
      <c r="BJ39" s="31"/>
    </row>
    <row r="40" spans="1:62" s="26" customFormat="1" ht="20.25" customHeight="1">
      <c r="A40" s="32"/>
      <c r="D40" s="40" t="s">
        <v>64</v>
      </c>
      <c r="BJ40" s="31"/>
    </row>
    <row r="41" spans="1:62" s="26" customFormat="1" ht="20.25" customHeight="1">
      <c r="A41" s="32"/>
      <c r="BJ41" s="31"/>
    </row>
    <row r="42" spans="1:62" s="26" customFormat="1" ht="20.25" customHeight="1">
      <c r="A42" s="32"/>
      <c r="B42" s="63" t="s">
        <v>75</v>
      </c>
      <c r="C42" s="63"/>
      <c r="D42" s="63"/>
      <c r="E42" s="63"/>
      <c r="F42" s="63"/>
      <c r="G42" s="63"/>
      <c r="H42" s="63"/>
      <c r="I42" s="63"/>
      <c r="J42" s="63"/>
      <c r="K42" s="63"/>
      <c r="L42" s="63"/>
      <c r="M42" s="63"/>
      <c r="N42" s="63"/>
      <c r="O42" s="63"/>
      <c r="P42" s="63"/>
      <c r="Q42" s="63"/>
      <c r="R42" s="64"/>
      <c r="S42" s="64"/>
      <c r="T42" s="64"/>
      <c r="U42" s="64"/>
      <c r="V42" s="64"/>
      <c r="W42" s="64"/>
      <c r="X42" s="64"/>
      <c r="Y42" s="64"/>
      <c r="Z42" s="64"/>
      <c r="AA42" s="64"/>
      <c r="AB42" s="64"/>
      <c r="AC42" s="64"/>
      <c r="BJ42" s="31"/>
    </row>
    <row r="43" spans="1:62" s="26" customFormat="1" ht="20.25" customHeight="1">
      <c r="A43" s="32"/>
      <c r="BJ43" s="31"/>
    </row>
    <row r="44" spans="1:62" s="26" customFormat="1" ht="20.25" customHeight="1">
      <c r="A44" s="32"/>
      <c r="B44" s="65"/>
      <c r="C44" s="63" t="s">
        <v>76</v>
      </c>
      <c r="D44" s="63"/>
      <c r="E44" s="63"/>
      <c r="F44" s="63"/>
      <c r="G44" s="63"/>
      <c r="H44" s="63"/>
      <c r="I44" s="63"/>
      <c r="J44" s="63"/>
      <c r="K44" s="63"/>
      <c r="L44" s="63"/>
      <c r="M44" s="63"/>
      <c r="N44" s="63"/>
      <c r="O44" s="63"/>
      <c r="P44" s="63"/>
      <c r="Q44" s="63"/>
      <c r="R44" s="64"/>
      <c r="S44" s="64"/>
      <c r="T44" s="64"/>
      <c r="U44" s="64"/>
      <c r="V44" s="64"/>
      <c r="W44" s="64"/>
      <c r="X44" s="64"/>
      <c r="Y44" s="64"/>
      <c r="Z44" s="64"/>
      <c r="AA44" s="64"/>
      <c r="AB44" s="64"/>
      <c r="AC44" s="64"/>
      <c r="BJ44" s="31"/>
    </row>
    <row r="45" spans="1:62" s="26" customFormat="1" ht="20.25" customHeight="1">
      <c r="A45" s="32"/>
      <c r="B45" s="65"/>
      <c r="C45" s="63"/>
      <c r="D45" s="65"/>
      <c r="E45" s="63" t="s">
        <v>77</v>
      </c>
      <c r="F45" s="63"/>
      <c r="G45" s="63"/>
      <c r="H45" s="63"/>
      <c r="I45" s="63" t="s">
        <v>78</v>
      </c>
      <c r="J45" s="63" t="s">
        <v>79</v>
      </c>
      <c r="K45" s="63"/>
      <c r="L45" s="65"/>
      <c r="M45" s="63"/>
      <c r="N45" s="63"/>
      <c r="O45" s="63"/>
      <c r="P45" s="63"/>
      <c r="Q45" s="64"/>
      <c r="R45" s="64"/>
      <c r="S45" s="64"/>
      <c r="T45" s="65"/>
      <c r="U45" s="64"/>
      <c r="V45" s="64"/>
      <c r="W45" s="64"/>
      <c r="X45" s="64"/>
      <c r="Y45" s="64"/>
      <c r="Z45" s="64"/>
      <c r="AA45" s="64"/>
      <c r="AB45" s="64"/>
      <c r="AC45" s="64"/>
      <c r="BE45" s="17"/>
      <c r="BJ45" s="31"/>
    </row>
    <row r="46" spans="1:62" s="26" customFormat="1" ht="20.25" customHeight="1">
      <c r="A46" s="32"/>
      <c r="B46" s="65"/>
      <c r="C46" s="63"/>
      <c r="D46" s="65"/>
      <c r="E46" s="63" t="s">
        <v>80</v>
      </c>
      <c r="F46" s="63"/>
      <c r="G46" s="63"/>
      <c r="H46" s="63"/>
      <c r="I46" s="63" t="s">
        <v>78</v>
      </c>
      <c r="J46" s="63" t="s">
        <v>81</v>
      </c>
      <c r="K46" s="63"/>
      <c r="L46" s="65"/>
      <c r="M46" s="63"/>
      <c r="N46" s="63"/>
      <c r="O46" s="63"/>
      <c r="P46" s="63"/>
      <c r="Q46" s="64"/>
      <c r="R46" s="64"/>
      <c r="S46" s="64"/>
      <c r="T46" s="65"/>
      <c r="U46" s="64"/>
      <c r="V46" s="64"/>
      <c r="W46" s="64"/>
      <c r="X46" s="64"/>
      <c r="Y46" s="64"/>
      <c r="Z46" s="64"/>
      <c r="AA46" s="64"/>
      <c r="AB46" s="64"/>
      <c r="AC46" s="64"/>
      <c r="BE46" s="17"/>
      <c r="BJ46" s="31"/>
    </row>
    <row r="47" spans="1:62" s="26" customFormat="1" ht="20.25" customHeight="1">
      <c r="A47" s="32"/>
      <c r="B47" s="65"/>
      <c r="C47" s="63"/>
      <c r="D47" s="63"/>
      <c r="E47" s="63"/>
      <c r="F47" s="63"/>
      <c r="G47" s="63"/>
      <c r="H47" s="63"/>
      <c r="I47" s="63"/>
      <c r="J47" s="63"/>
      <c r="K47" s="65"/>
      <c r="L47" s="63" t="s">
        <v>82</v>
      </c>
      <c r="M47" s="63"/>
      <c r="N47" s="63"/>
      <c r="O47" s="63"/>
      <c r="P47" s="63"/>
      <c r="Q47" s="63" t="s">
        <v>83</v>
      </c>
      <c r="R47" s="63"/>
      <c r="S47" s="65"/>
      <c r="T47" s="64"/>
      <c r="U47" s="64"/>
      <c r="V47" s="65"/>
      <c r="W47" s="64"/>
      <c r="X47" s="64"/>
      <c r="Y47" s="64"/>
      <c r="Z47" s="64"/>
      <c r="AA47" s="64"/>
      <c r="AB47" s="64"/>
      <c r="AC47" s="64"/>
      <c r="BE47" s="17"/>
      <c r="BJ47" s="31"/>
    </row>
    <row r="48" spans="1:62" s="26" customFormat="1" ht="20.25" customHeight="1">
      <c r="A48" s="30"/>
      <c r="B48" s="65"/>
      <c r="C48" s="63"/>
      <c r="D48" s="63"/>
      <c r="E48" s="63"/>
      <c r="F48" s="63"/>
      <c r="G48" s="63"/>
      <c r="H48" s="63"/>
      <c r="I48" s="63"/>
      <c r="J48" s="63"/>
      <c r="K48" s="65"/>
      <c r="L48" s="63" t="s">
        <v>84</v>
      </c>
      <c r="M48" s="63"/>
      <c r="N48" s="63"/>
      <c r="O48" s="63"/>
      <c r="P48" s="63"/>
      <c r="Q48" s="63" t="s">
        <v>85</v>
      </c>
      <c r="R48" s="63"/>
      <c r="S48" s="65"/>
      <c r="T48" s="64"/>
      <c r="U48" s="64"/>
      <c r="V48" s="65"/>
      <c r="W48" s="64"/>
      <c r="X48" s="64"/>
      <c r="Y48" s="64"/>
      <c r="Z48" s="64"/>
      <c r="AA48" s="64"/>
      <c r="AB48" s="64"/>
      <c r="AC48" s="64"/>
      <c r="BE48" s="17"/>
      <c r="BJ48" s="31"/>
    </row>
    <row r="49" spans="1:62" s="26" customFormat="1" ht="20.25" customHeight="1">
      <c r="A49" s="30"/>
      <c r="B49" s="65"/>
      <c r="C49" s="63" t="s">
        <v>86</v>
      </c>
      <c r="D49" s="63"/>
      <c r="E49" s="63"/>
      <c r="F49" s="63"/>
      <c r="G49" s="63"/>
      <c r="H49" s="63"/>
      <c r="I49" s="63"/>
      <c r="J49" s="63"/>
      <c r="K49" s="63"/>
      <c r="L49" s="63"/>
      <c r="M49" s="63"/>
      <c r="N49" s="63"/>
      <c r="O49" s="63"/>
      <c r="P49" s="63"/>
      <c r="Q49" s="63"/>
      <c r="R49" s="64"/>
      <c r="S49" s="64"/>
      <c r="T49" s="64"/>
      <c r="U49" s="64"/>
      <c r="V49" s="64"/>
      <c r="W49" s="64"/>
      <c r="X49" s="64"/>
      <c r="Y49" s="64"/>
      <c r="Z49" s="64"/>
      <c r="AA49" s="64"/>
      <c r="AB49" s="64"/>
      <c r="AC49" s="64"/>
      <c r="BE49" s="17"/>
      <c r="BJ49" s="31"/>
    </row>
    <row r="50" spans="1:62" s="26" customFormat="1" ht="20.25" customHeight="1">
      <c r="A50" s="30"/>
      <c r="B50" s="65"/>
      <c r="C50" s="63"/>
      <c r="D50" s="63"/>
      <c r="E50" s="63" t="s">
        <v>77</v>
      </c>
      <c r="F50" s="63"/>
      <c r="G50" s="63"/>
      <c r="H50" s="63"/>
      <c r="I50" s="63" t="s">
        <v>78</v>
      </c>
      <c r="J50" s="63" t="s">
        <v>87</v>
      </c>
      <c r="K50" s="63"/>
      <c r="L50" s="63"/>
      <c r="M50" s="63"/>
      <c r="N50" s="63"/>
      <c r="O50" s="63"/>
      <c r="P50" s="63"/>
      <c r="Q50" s="64"/>
      <c r="R50" s="64"/>
      <c r="S50" s="64"/>
      <c r="T50" s="64"/>
      <c r="U50" s="64"/>
      <c r="V50" s="64"/>
      <c r="W50" s="65"/>
      <c r="X50" s="64"/>
      <c r="Y50" s="64"/>
      <c r="Z50" s="64"/>
      <c r="AA50" s="64"/>
      <c r="AB50" s="64"/>
      <c r="AC50" s="64"/>
      <c r="BE50" s="17"/>
      <c r="BJ50" s="31"/>
    </row>
    <row r="51" spans="1:62" s="26" customFormat="1" ht="20.25" customHeight="1">
      <c r="A51" s="30"/>
      <c r="B51" s="65"/>
      <c r="C51" s="63"/>
      <c r="D51" s="63"/>
      <c r="E51" s="63" t="s">
        <v>80</v>
      </c>
      <c r="F51" s="63"/>
      <c r="G51" s="63"/>
      <c r="H51" s="63"/>
      <c r="I51" s="63" t="s">
        <v>78</v>
      </c>
      <c r="J51" s="63" t="s">
        <v>81</v>
      </c>
      <c r="K51" s="63"/>
      <c r="L51" s="63"/>
      <c r="M51" s="63"/>
      <c r="N51" s="63"/>
      <c r="O51" s="63"/>
      <c r="P51" s="63"/>
      <c r="Q51" s="64"/>
      <c r="R51" s="64"/>
      <c r="S51" s="64"/>
      <c r="T51" s="64"/>
      <c r="U51" s="64"/>
      <c r="V51" s="64"/>
      <c r="W51" s="65"/>
      <c r="X51" s="64"/>
      <c r="Y51" s="64"/>
      <c r="Z51" s="64"/>
      <c r="AA51" s="64"/>
      <c r="AB51" s="64"/>
      <c r="AC51" s="64"/>
      <c r="BE51" s="17"/>
      <c r="BJ51" s="31"/>
    </row>
    <row r="52" spans="1:62" s="26" customFormat="1" ht="20.25" customHeight="1">
      <c r="A52" s="32"/>
      <c r="B52" s="65"/>
      <c r="C52" s="63"/>
      <c r="D52" s="63"/>
      <c r="E52" s="63"/>
      <c r="F52" s="63"/>
      <c r="G52" s="63"/>
      <c r="H52" s="63"/>
      <c r="I52" s="63"/>
      <c r="J52" s="63"/>
      <c r="K52" s="63"/>
      <c r="L52" s="63" t="s">
        <v>82</v>
      </c>
      <c r="M52" s="63"/>
      <c r="N52" s="63"/>
      <c r="O52" s="63"/>
      <c r="P52" s="63"/>
      <c r="Q52" s="63" t="s">
        <v>607</v>
      </c>
      <c r="R52" s="63"/>
      <c r="S52" s="64"/>
      <c r="T52" s="64"/>
      <c r="U52" s="64"/>
      <c r="V52" s="64"/>
      <c r="W52" s="65"/>
      <c r="X52" s="64"/>
      <c r="Y52" s="64"/>
      <c r="Z52" s="64"/>
      <c r="AA52" s="64"/>
      <c r="AB52" s="64"/>
      <c r="AC52" s="64"/>
      <c r="BE52" s="17"/>
      <c r="BJ52" s="31"/>
    </row>
    <row r="53" spans="1:62" s="26" customFormat="1" ht="20.25" customHeight="1">
      <c r="A53" s="32"/>
      <c r="B53" s="65"/>
      <c r="C53" s="63"/>
      <c r="D53" s="63"/>
      <c r="E53" s="63"/>
      <c r="F53" s="63"/>
      <c r="G53" s="63"/>
      <c r="H53" s="63"/>
      <c r="I53" s="63"/>
      <c r="J53" s="63"/>
      <c r="K53" s="63"/>
      <c r="L53" s="63" t="s">
        <v>84</v>
      </c>
      <c r="M53" s="63"/>
      <c r="N53" s="63"/>
      <c r="O53" s="63"/>
      <c r="P53" s="63"/>
      <c r="Q53" s="63" t="s">
        <v>88</v>
      </c>
      <c r="R53" s="64"/>
      <c r="S53" s="64"/>
      <c r="T53" s="64"/>
      <c r="U53" s="64"/>
      <c r="V53" s="64"/>
      <c r="W53" s="65"/>
      <c r="X53" s="64"/>
      <c r="Y53" s="64"/>
      <c r="Z53" s="64"/>
      <c r="AA53" s="64"/>
      <c r="AB53" s="64"/>
      <c r="AC53" s="64"/>
      <c r="BE53" s="17"/>
      <c r="BJ53" s="31"/>
    </row>
    <row r="54" spans="1:62" s="26" customFormat="1" ht="20.25" customHeight="1">
      <c r="A54" s="32"/>
      <c r="B54" s="33"/>
      <c r="D54" s="17"/>
      <c r="E54" s="47"/>
      <c r="F54" s="47"/>
      <c r="G54" s="46"/>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31"/>
    </row>
    <row r="55" spans="1:62" s="26" customFormat="1" ht="20.25" customHeight="1">
      <c r="A55" s="32"/>
      <c r="B55" s="26" t="s">
        <v>89</v>
      </c>
      <c r="AU55" s="17"/>
      <c r="AV55" s="17"/>
      <c r="AW55" s="17"/>
      <c r="AX55" s="17"/>
      <c r="AY55" s="17"/>
      <c r="AZ55" s="17"/>
      <c r="BA55" s="17"/>
      <c r="BB55" s="17"/>
      <c r="BC55" s="17"/>
      <c r="BD55" s="17"/>
      <c r="BE55" s="17"/>
      <c r="BJ55" s="31"/>
    </row>
    <row r="56" spans="1:62" s="26" customFormat="1" ht="20.25" customHeight="1">
      <c r="A56" s="32"/>
      <c r="AU56" s="17"/>
      <c r="AV56" s="17"/>
      <c r="AW56" s="17"/>
      <c r="AX56" s="17"/>
      <c r="AY56" s="17"/>
      <c r="AZ56" s="17"/>
      <c r="BA56" s="17"/>
      <c r="BB56" s="17"/>
      <c r="BC56" s="17"/>
      <c r="BD56" s="17"/>
      <c r="BE56" s="17"/>
      <c r="BJ56" s="31"/>
    </row>
    <row r="57" spans="1:62" s="26" customFormat="1" ht="20.25" customHeight="1">
      <c r="A57" s="32"/>
      <c r="C57" s="26" t="s">
        <v>90</v>
      </c>
      <c r="AU57" s="17"/>
      <c r="AV57" s="17"/>
      <c r="AW57" s="17"/>
      <c r="AX57" s="17"/>
      <c r="AY57" s="17"/>
      <c r="AZ57" s="17"/>
      <c r="BA57" s="17"/>
      <c r="BB57" s="17"/>
      <c r="BC57" s="17"/>
      <c r="BD57" s="17"/>
      <c r="BE57" s="17"/>
      <c r="BJ57" s="31"/>
    </row>
    <row r="58" spans="1:62" s="26" customFormat="1" ht="20.25" customHeight="1">
      <c r="A58" s="32"/>
      <c r="C58" s="26" t="s">
        <v>91</v>
      </c>
      <c r="AU58" s="17"/>
      <c r="AV58" s="17"/>
      <c r="AW58" s="17"/>
      <c r="AX58" s="17"/>
      <c r="AY58" s="17"/>
      <c r="AZ58" s="17"/>
      <c r="BA58" s="17"/>
      <c r="BB58" s="17"/>
      <c r="BC58" s="17"/>
      <c r="BD58" s="17"/>
      <c r="BE58" s="17"/>
      <c r="BJ58" s="31"/>
    </row>
    <row r="59" spans="1:62" s="26" customFormat="1" ht="20.25" customHeight="1">
      <c r="A59" s="32"/>
      <c r="D59" s="40" t="s">
        <v>92</v>
      </c>
      <c r="AU59" s="17"/>
      <c r="AV59" s="17"/>
      <c r="AW59" s="17"/>
      <c r="AX59" s="17"/>
      <c r="AY59" s="17"/>
      <c r="AZ59" s="17"/>
      <c r="BA59" s="17"/>
      <c r="BB59" s="17"/>
      <c r="BC59" s="17"/>
      <c r="BD59" s="17"/>
      <c r="BE59" s="17"/>
      <c r="BJ59" s="31"/>
    </row>
    <row r="60" spans="1:62" s="26" customFormat="1" ht="20.25" customHeight="1">
      <c r="A60" s="32"/>
      <c r="D60" s="40" t="s">
        <v>608</v>
      </c>
      <c r="AU60" s="17"/>
      <c r="AV60" s="17"/>
      <c r="AW60" s="17"/>
      <c r="AX60" s="17"/>
      <c r="AY60" s="17"/>
      <c r="AZ60" s="17"/>
      <c r="BA60" s="17"/>
      <c r="BB60" s="17"/>
      <c r="BC60" s="17"/>
      <c r="BD60" s="17"/>
      <c r="BE60" s="17"/>
      <c r="BJ60" s="31"/>
    </row>
    <row r="61" spans="1:62" s="26" customFormat="1" ht="20.25" customHeight="1">
      <c r="A61" s="32"/>
      <c r="D61" s="40" t="s">
        <v>609</v>
      </c>
      <c r="AU61" s="17"/>
      <c r="AV61" s="17"/>
      <c r="AW61" s="17"/>
      <c r="AX61" s="17"/>
      <c r="AY61" s="17"/>
      <c r="AZ61" s="17"/>
      <c r="BA61" s="17"/>
      <c r="BB61" s="17"/>
      <c r="BC61" s="17"/>
      <c r="BD61" s="17"/>
      <c r="BE61" s="17"/>
      <c r="BJ61" s="31"/>
    </row>
    <row r="62" spans="1:62" s="26" customFormat="1" ht="20.25" customHeight="1">
      <c r="A62" s="32"/>
      <c r="AU62" s="17"/>
      <c r="AV62" s="17"/>
      <c r="AW62" s="17"/>
      <c r="AX62" s="17"/>
      <c r="AY62" s="17"/>
      <c r="AZ62" s="17"/>
      <c r="BA62" s="17"/>
      <c r="BB62" s="17"/>
      <c r="BC62" s="17"/>
      <c r="BD62" s="17"/>
      <c r="BE62" s="17"/>
      <c r="BJ62" s="31"/>
    </row>
    <row r="63" spans="1:62" s="26" customFormat="1" ht="20.25" customHeight="1">
      <c r="A63" s="32"/>
      <c r="C63" s="26" t="s">
        <v>93</v>
      </c>
      <c r="AU63" s="17"/>
      <c r="AV63" s="17"/>
      <c r="AW63" s="17"/>
      <c r="AX63" s="17"/>
      <c r="AY63" s="17"/>
      <c r="AZ63" s="17"/>
      <c r="BA63" s="17"/>
      <c r="BB63" s="17"/>
      <c r="BC63" s="17"/>
      <c r="BD63" s="17"/>
      <c r="BE63" s="17"/>
      <c r="BJ63" s="31"/>
    </row>
    <row r="64" spans="1:62" s="26" customFormat="1" ht="20.25" customHeight="1">
      <c r="A64" s="318"/>
      <c r="B64" s="319"/>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29">
    <mergeCell ref="V15:BC16"/>
    <mergeCell ref="P23:AW24"/>
    <mergeCell ref="A2:AU2"/>
    <mergeCell ref="AV2:AY2"/>
    <mergeCell ref="AZ2:BC2"/>
    <mergeCell ref="AV4:AY4"/>
    <mergeCell ref="D15:U15"/>
    <mergeCell ref="D16:I16"/>
    <mergeCell ref="J16:O16"/>
    <mergeCell ref="P16:U16"/>
    <mergeCell ref="D23:O23"/>
    <mergeCell ref="D24:I24"/>
    <mergeCell ref="J24:O24"/>
    <mergeCell ref="BD2:BG2"/>
    <mergeCell ref="BH2:BJ2"/>
    <mergeCell ref="A7:K7"/>
    <mergeCell ref="L7:BJ7"/>
    <mergeCell ref="A64:B64"/>
    <mergeCell ref="AZ4:BJ4"/>
    <mergeCell ref="A6:G6"/>
    <mergeCell ref="H6:K6"/>
    <mergeCell ref="L6:P6"/>
    <mergeCell ref="Q6:AU6"/>
    <mergeCell ref="AV6:AY6"/>
    <mergeCell ref="AZ6:BJ6"/>
    <mergeCell ref="A3:G4"/>
    <mergeCell ref="H3:AU4"/>
    <mergeCell ref="AV3:AY3"/>
    <mergeCell ref="AZ3:BJ3"/>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93DEF-B855-4E21-B253-6F52F0EA69C3}">
  <sheetPr codeName="Sheet5">
    <pageSetUpPr fitToPage="1"/>
  </sheetPr>
  <dimension ref="A1:BJ219"/>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389" t="s">
        <v>18</v>
      </c>
      <c r="BA3" s="390"/>
      <c r="BB3" s="390"/>
      <c r="BC3" s="390"/>
      <c r="BD3" s="390"/>
      <c r="BE3" s="390"/>
      <c r="BF3" s="390"/>
      <c r="BG3" s="390"/>
      <c r="BH3" s="390"/>
      <c r="BI3" s="390"/>
      <c r="BJ3" s="391"/>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25</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568</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132" t="s">
        <v>307</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4"/>
    </row>
    <row r="9" spans="1:62" s="131" customFormat="1" ht="20.25" customHeight="1">
      <c r="A9" s="135"/>
      <c r="BJ9" s="136"/>
    </row>
    <row r="10" spans="1:62" s="131" customFormat="1" ht="20.25" customHeight="1">
      <c r="A10" s="135"/>
      <c r="B10" s="137" t="s">
        <v>308</v>
      </c>
      <c r="C10" s="138"/>
      <c r="D10" s="138"/>
      <c r="E10" s="138"/>
      <c r="F10" s="138"/>
      <c r="G10" s="138"/>
      <c r="H10" s="139"/>
      <c r="I10" s="393" t="s">
        <v>614</v>
      </c>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3" t="s">
        <v>615</v>
      </c>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5"/>
      <c r="BG10" s="283"/>
      <c r="BH10" s="156"/>
      <c r="BI10" s="156"/>
      <c r="BJ10" s="136"/>
    </row>
    <row r="11" spans="1:62" s="131" customFormat="1" ht="20.25" customHeight="1">
      <c r="A11" s="135"/>
      <c r="B11" s="142" t="s">
        <v>319</v>
      </c>
      <c r="C11" s="143"/>
      <c r="D11" s="143"/>
      <c r="E11" s="143"/>
      <c r="F11" s="143"/>
      <c r="G11" s="143"/>
      <c r="H11" s="144"/>
      <c r="I11" s="150"/>
      <c r="J11" s="148"/>
      <c r="K11" s="147"/>
      <c r="L11" s="147"/>
      <c r="M11" s="149"/>
      <c r="N11" s="148"/>
      <c r="O11" s="148"/>
      <c r="P11" s="148"/>
      <c r="Q11" s="148"/>
      <c r="R11" s="148"/>
      <c r="S11" s="148"/>
      <c r="T11" s="148"/>
      <c r="U11" s="148"/>
      <c r="V11" s="148"/>
      <c r="W11" s="148"/>
      <c r="X11" s="148"/>
      <c r="Y11" s="148"/>
      <c r="Z11" s="148"/>
      <c r="AA11" s="148"/>
      <c r="AB11" s="148"/>
      <c r="AC11" s="148"/>
      <c r="AD11" s="148"/>
      <c r="AE11" s="148"/>
      <c r="AF11" s="148"/>
      <c r="AG11" s="149"/>
      <c r="AH11" s="150"/>
      <c r="AI11" s="148"/>
      <c r="AJ11" s="148"/>
      <c r="AK11" s="148"/>
      <c r="AL11" s="148"/>
      <c r="AM11" s="148"/>
      <c r="AN11" s="148"/>
      <c r="AO11" s="148"/>
      <c r="AP11" s="148"/>
      <c r="AQ11" s="148"/>
      <c r="AR11" s="148"/>
      <c r="AS11" s="148"/>
      <c r="AT11" s="148"/>
      <c r="AU11" s="148"/>
      <c r="AV11" s="148"/>
      <c r="AW11" s="148"/>
      <c r="AX11" s="148"/>
      <c r="AY11" s="148"/>
      <c r="AZ11" s="133"/>
      <c r="BA11" s="133"/>
      <c r="BB11" s="133"/>
      <c r="BC11" s="133"/>
      <c r="BD11" s="133"/>
      <c r="BE11" s="133"/>
      <c r="BF11" s="284"/>
      <c r="BG11" s="135"/>
      <c r="BI11" s="156"/>
      <c r="BJ11" s="136"/>
    </row>
    <row r="12" spans="1:62" s="131" customFormat="1" ht="20.25" customHeight="1">
      <c r="A12" s="135"/>
      <c r="B12" s="151" t="s">
        <v>616</v>
      </c>
      <c r="C12" s="152"/>
      <c r="D12" s="152"/>
      <c r="E12" s="152"/>
      <c r="F12" s="152"/>
      <c r="G12" s="152"/>
      <c r="H12" s="153"/>
      <c r="I12" s="145"/>
      <c r="J12" s="278" t="s">
        <v>546</v>
      </c>
      <c r="K12" s="146"/>
      <c r="L12" s="146"/>
      <c r="M12" s="146"/>
      <c r="N12" s="146"/>
      <c r="O12" s="146"/>
      <c r="P12" s="146"/>
      <c r="Q12" s="154"/>
      <c r="R12" s="154"/>
      <c r="S12" s="146"/>
      <c r="T12" s="146"/>
      <c r="U12" s="146"/>
      <c r="V12" s="146"/>
      <c r="W12" s="146"/>
      <c r="X12" s="146"/>
      <c r="Y12" s="146"/>
      <c r="Z12" s="146"/>
      <c r="AA12" s="146"/>
      <c r="AB12" s="146"/>
      <c r="AC12" s="146"/>
      <c r="AD12" s="146"/>
      <c r="AE12" s="146"/>
      <c r="AF12" s="146"/>
      <c r="AG12" s="146"/>
      <c r="AH12" s="145"/>
      <c r="AI12" s="278" t="s">
        <v>619</v>
      </c>
      <c r="AJ12" s="146"/>
      <c r="AK12" s="146"/>
      <c r="AL12" s="146"/>
      <c r="AM12" s="146"/>
      <c r="AN12" s="146"/>
      <c r="AO12" s="146"/>
      <c r="AP12" s="154"/>
      <c r="AQ12" s="154"/>
      <c r="AR12" s="146"/>
      <c r="AS12" s="146"/>
      <c r="AT12" s="146"/>
      <c r="AU12" s="146"/>
      <c r="AV12" s="146"/>
      <c r="AW12" s="146"/>
      <c r="AX12" s="146"/>
      <c r="AY12" s="146"/>
      <c r="AZ12" s="156"/>
      <c r="BA12" s="156"/>
      <c r="BB12" s="176"/>
      <c r="BC12" s="156"/>
      <c r="BD12" s="156"/>
      <c r="BE12" s="156"/>
      <c r="BF12" s="136"/>
      <c r="BG12" s="135"/>
      <c r="BI12" s="156"/>
      <c r="BJ12" s="136"/>
    </row>
    <row r="13" spans="1:62" s="131" customFormat="1" ht="20.25" customHeight="1">
      <c r="A13" s="135"/>
      <c r="B13" s="151"/>
      <c r="C13" s="152"/>
      <c r="D13" s="152"/>
      <c r="E13" s="152"/>
      <c r="F13" s="152"/>
      <c r="G13" s="152"/>
      <c r="H13" s="153"/>
      <c r="I13" s="145"/>
      <c r="J13" s="278" t="s">
        <v>617</v>
      </c>
      <c r="K13" s="146"/>
      <c r="L13" s="146"/>
      <c r="M13" s="146"/>
      <c r="N13" s="146"/>
      <c r="O13" s="146"/>
      <c r="P13" s="146"/>
      <c r="Q13" s="154"/>
      <c r="R13" s="154"/>
      <c r="S13" s="146"/>
      <c r="T13" s="146"/>
      <c r="U13" s="146"/>
      <c r="V13" s="146"/>
      <c r="W13" s="146"/>
      <c r="X13" s="146"/>
      <c r="Y13" s="146"/>
      <c r="Z13" s="146"/>
      <c r="AA13" s="146"/>
      <c r="AB13" s="146"/>
      <c r="AC13" s="146"/>
      <c r="AD13" s="146"/>
      <c r="AE13" s="146"/>
      <c r="AF13" s="146"/>
      <c r="AG13" s="146"/>
      <c r="AH13" s="145"/>
      <c r="AI13" s="278"/>
      <c r="AJ13" s="146" t="s">
        <v>547</v>
      </c>
      <c r="AK13" s="146"/>
      <c r="AL13" s="146"/>
      <c r="AM13" s="146"/>
      <c r="AN13" s="146"/>
      <c r="AO13" s="146" t="s">
        <v>548</v>
      </c>
      <c r="AP13" s="154"/>
      <c r="AQ13" s="154"/>
      <c r="AR13" s="146"/>
      <c r="AS13" s="146"/>
      <c r="AT13" s="146"/>
      <c r="AU13" s="146"/>
      <c r="AV13" s="146"/>
      <c r="AW13" s="146"/>
      <c r="AX13" s="146"/>
      <c r="AY13" s="146"/>
      <c r="AZ13" s="156"/>
      <c r="BA13" s="156"/>
      <c r="BB13" s="176"/>
      <c r="BC13" s="156"/>
      <c r="BD13" s="156"/>
      <c r="BE13" s="156"/>
      <c r="BF13" s="136"/>
      <c r="BG13" s="135"/>
      <c r="BI13" s="156"/>
      <c r="BJ13" s="136"/>
    </row>
    <row r="14" spans="1:62" s="131" customFormat="1" ht="20.25" customHeight="1">
      <c r="A14" s="135"/>
      <c r="B14" s="151"/>
      <c r="C14" s="152"/>
      <c r="D14" s="152"/>
      <c r="E14" s="152"/>
      <c r="F14" s="152"/>
      <c r="G14" s="152"/>
      <c r="H14" s="153"/>
      <c r="I14" s="145"/>
      <c r="J14" s="278"/>
      <c r="K14" s="146" t="s">
        <v>547</v>
      </c>
      <c r="L14" s="146"/>
      <c r="M14" s="146"/>
      <c r="N14" s="146"/>
      <c r="O14" s="146"/>
      <c r="P14" s="146" t="s">
        <v>548</v>
      </c>
      <c r="Q14" s="154"/>
      <c r="R14" s="154"/>
      <c r="S14" s="146"/>
      <c r="T14" s="146"/>
      <c r="U14" s="146"/>
      <c r="V14" s="146"/>
      <c r="W14" s="146"/>
      <c r="X14" s="146"/>
      <c r="Y14" s="146"/>
      <c r="Z14" s="146"/>
      <c r="AA14" s="146"/>
      <c r="AB14" s="146"/>
      <c r="AC14" s="146"/>
      <c r="AD14" s="146"/>
      <c r="AE14" s="146"/>
      <c r="AF14" s="146"/>
      <c r="AG14" s="146"/>
      <c r="AH14" s="145"/>
      <c r="AI14" s="278"/>
      <c r="AJ14" s="146" t="s">
        <v>549</v>
      </c>
      <c r="AK14" s="146"/>
      <c r="AL14" s="146"/>
      <c r="AM14" s="146"/>
      <c r="AN14" s="146"/>
      <c r="AO14" s="146" t="s">
        <v>610</v>
      </c>
      <c r="AP14" s="154"/>
      <c r="AQ14" s="154"/>
      <c r="AR14" s="146"/>
      <c r="AS14" s="146"/>
      <c r="AT14" s="146"/>
      <c r="AU14" s="146"/>
      <c r="AV14" s="146"/>
      <c r="AW14" s="146"/>
      <c r="AX14" s="146"/>
      <c r="AY14" s="146"/>
      <c r="AZ14" s="156"/>
      <c r="BA14" s="156"/>
      <c r="BB14" s="176"/>
      <c r="BC14" s="156"/>
      <c r="BD14" s="156"/>
      <c r="BE14" s="156"/>
      <c r="BF14" s="136"/>
      <c r="BG14" s="135"/>
      <c r="BI14" s="156"/>
      <c r="BJ14" s="136"/>
    </row>
    <row r="15" spans="1:62" s="131" customFormat="1" ht="20.25" customHeight="1">
      <c r="A15" s="135"/>
      <c r="B15" s="151"/>
      <c r="C15" s="152"/>
      <c r="D15" s="152"/>
      <c r="E15" s="152"/>
      <c r="F15" s="152"/>
      <c r="G15" s="152"/>
      <c r="H15" s="153"/>
      <c r="I15" s="145"/>
      <c r="J15" s="278"/>
      <c r="K15" s="146" t="s">
        <v>549</v>
      </c>
      <c r="L15" s="146"/>
      <c r="M15" s="146"/>
      <c r="N15" s="146"/>
      <c r="O15" s="146"/>
      <c r="P15" s="146" t="s">
        <v>610</v>
      </c>
      <c r="Q15" s="154"/>
      <c r="R15" s="154"/>
      <c r="S15" s="146"/>
      <c r="T15" s="146"/>
      <c r="U15" s="146"/>
      <c r="V15" s="146"/>
      <c r="W15" s="146"/>
      <c r="X15" s="146"/>
      <c r="Y15" s="146"/>
      <c r="Z15" s="146"/>
      <c r="AA15" s="146"/>
      <c r="AB15" s="146"/>
      <c r="AC15" s="146"/>
      <c r="AD15" s="146"/>
      <c r="AE15" s="146"/>
      <c r="AF15" s="146"/>
      <c r="AG15" s="146"/>
      <c r="AH15" s="145"/>
      <c r="AI15" s="278"/>
      <c r="AJ15" s="146" t="s">
        <v>550</v>
      </c>
      <c r="AK15" s="146"/>
      <c r="AL15" s="146"/>
      <c r="AM15" s="146"/>
      <c r="AN15" s="146"/>
      <c r="AO15" s="146" t="s">
        <v>551</v>
      </c>
      <c r="AP15" s="154"/>
      <c r="AQ15" s="154"/>
      <c r="AR15" s="146"/>
      <c r="AS15" s="146"/>
      <c r="AT15" s="146"/>
      <c r="AU15" s="146"/>
      <c r="AV15" s="146"/>
      <c r="AW15" s="146"/>
      <c r="AX15" s="146"/>
      <c r="AY15" s="146"/>
      <c r="AZ15" s="156"/>
      <c r="BA15" s="156"/>
      <c r="BB15" s="176"/>
      <c r="BC15" s="156"/>
      <c r="BD15" s="156"/>
      <c r="BE15" s="156"/>
      <c r="BF15" s="136"/>
      <c r="BG15" s="135"/>
      <c r="BI15" s="156"/>
      <c r="BJ15" s="136"/>
    </row>
    <row r="16" spans="1:62" s="131" customFormat="1" ht="20.25" customHeight="1">
      <c r="A16" s="135"/>
      <c r="B16" s="151"/>
      <c r="C16" s="152"/>
      <c r="D16" s="152"/>
      <c r="E16" s="152"/>
      <c r="F16" s="152"/>
      <c r="G16" s="152"/>
      <c r="H16" s="153"/>
      <c r="I16" s="145"/>
      <c r="J16" s="278"/>
      <c r="K16" s="146" t="s">
        <v>550</v>
      </c>
      <c r="L16" s="146"/>
      <c r="M16" s="146"/>
      <c r="N16" s="146"/>
      <c r="O16" s="146"/>
      <c r="P16" s="146" t="s">
        <v>551</v>
      </c>
      <c r="Q16" s="154"/>
      <c r="R16" s="154"/>
      <c r="S16" s="146"/>
      <c r="T16" s="146"/>
      <c r="U16" s="146"/>
      <c r="V16" s="146"/>
      <c r="W16" s="146"/>
      <c r="X16" s="146"/>
      <c r="Y16" s="146"/>
      <c r="Z16" s="146"/>
      <c r="AA16" s="146"/>
      <c r="AB16" s="146"/>
      <c r="AC16" s="146"/>
      <c r="AD16" s="146"/>
      <c r="AE16" s="146"/>
      <c r="AF16" s="146"/>
      <c r="AG16" s="146"/>
      <c r="AH16" s="145"/>
      <c r="AI16" s="278"/>
      <c r="AJ16" s="146" t="s">
        <v>552</v>
      </c>
      <c r="AK16" s="146"/>
      <c r="AL16" s="146"/>
      <c r="AM16" s="146"/>
      <c r="AN16" s="146"/>
      <c r="AO16" s="146" t="s">
        <v>553</v>
      </c>
      <c r="AP16" s="154"/>
      <c r="AQ16" s="154"/>
      <c r="AR16" s="146"/>
      <c r="AS16" s="146"/>
      <c r="AT16" s="146"/>
      <c r="AU16" s="146"/>
      <c r="AV16" s="146"/>
      <c r="AW16" s="146"/>
      <c r="AX16" s="146"/>
      <c r="AY16" s="146"/>
      <c r="AZ16" s="156"/>
      <c r="BA16" s="156"/>
      <c r="BB16" s="176"/>
      <c r="BC16" s="156"/>
      <c r="BD16" s="156"/>
      <c r="BE16" s="156"/>
      <c r="BF16" s="136"/>
      <c r="BG16" s="135"/>
      <c r="BI16" s="156"/>
      <c r="BJ16" s="136"/>
    </row>
    <row r="17" spans="1:62" s="131" customFormat="1" ht="20.25" customHeight="1">
      <c r="A17" s="135"/>
      <c r="B17" s="151"/>
      <c r="C17" s="152"/>
      <c r="D17" s="152"/>
      <c r="E17" s="152"/>
      <c r="F17" s="152"/>
      <c r="G17" s="152"/>
      <c r="H17" s="153"/>
      <c r="I17" s="145"/>
      <c r="J17" s="278"/>
      <c r="K17" s="146" t="s">
        <v>552</v>
      </c>
      <c r="L17" s="146"/>
      <c r="M17" s="146"/>
      <c r="N17" s="146"/>
      <c r="O17" s="146"/>
      <c r="P17" s="146" t="s">
        <v>553</v>
      </c>
      <c r="Q17" s="154"/>
      <c r="R17" s="154"/>
      <c r="S17" s="146"/>
      <c r="T17" s="146"/>
      <c r="U17" s="146"/>
      <c r="V17" s="146"/>
      <c r="W17" s="146"/>
      <c r="X17" s="146"/>
      <c r="Y17" s="146"/>
      <c r="Z17" s="146"/>
      <c r="AA17" s="146"/>
      <c r="AB17" s="146"/>
      <c r="AC17" s="146"/>
      <c r="AD17" s="146"/>
      <c r="AE17" s="146"/>
      <c r="AF17" s="146"/>
      <c r="AG17" s="146"/>
      <c r="AH17" s="145"/>
      <c r="AI17" s="278"/>
      <c r="AJ17" s="146"/>
      <c r="AK17" s="146"/>
      <c r="AL17" s="146"/>
      <c r="AM17" s="146"/>
      <c r="AN17" s="146"/>
      <c r="AO17" s="146"/>
      <c r="AP17" s="154"/>
      <c r="AQ17" s="154"/>
      <c r="AR17" s="146"/>
      <c r="AS17" s="146"/>
      <c r="AT17" s="146"/>
      <c r="AU17" s="146"/>
      <c r="AV17" s="146"/>
      <c r="AW17" s="146"/>
      <c r="AX17" s="146"/>
      <c r="AY17" s="146"/>
      <c r="AZ17" s="156"/>
      <c r="BA17" s="156"/>
      <c r="BB17" s="176"/>
      <c r="BC17" s="156"/>
      <c r="BD17" s="156"/>
      <c r="BE17" s="156"/>
      <c r="BF17" s="136"/>
      <c r="BG17" s="135"/>
      <c r="BI17" s="156"/>
      <c r="BJ17" s="136"/>
    </row>
    <row r="18" spans="1:62" s="131" customFormat="1" ht="20.25" customHeight="1">
      <c r="A18" s="135"/>
      <c r="B18" s="151"/>
      <c r="C18" s="152"/>
      <c r="D18" s="152"/>
      <c r="E18" s="152"/>
      <c r="F18" s="152"/>
      <c r="G18" s="152"/>
      <c r="H18" s="153"/>
      <c r="I18" s="145"/>
      <c r="J18" s="278"/>
      <c r="K18" s="146" t="s">
        <v>554</v>
      </c>
      <c r="L18" s="146"/>
      <c r="M18" s="146"/>
      <c r="N18" s="146"/>
      <c r="O18" s="146"/>
      <c r="P18" s="146" t="s">
        <v>555</v>
      </c>
      <c r="Q18" s="154"/>
      <c r="R18" s="154"/>
      <c r="S18" s="146"/>
      <c r="T18" s="146"/>
      <c r="U18" s="146"/>
      <c r="V18" s="146"/>
      <c r="W18" s="146"/>
      <c r="X18" s="146"/>
      <c r="Y18" s="146"/>
      <c r="Z18" s="146"/>
      <c r="AA18" s="146"/>
      <c r="AB18" s="146"/>
      <c r="AC18" s="146"/>
      <c r="AD18" s="146"/>
      <c r="AE18" s="146"/>
      <c r="AF18" s="146"/>
      <c r="AG18" s="146"/>
      <c r="AH18" s="145"/>
      <c r="BA18" s="156"/>
      <c r="BB18" s="176"/>
      <c r="BC18" s="156"/>
      <c r="BD18" s="156"/>
      <c r="BE18" s="156"/>
      <c r="BF18" s="136"/>
      <c r="BG18" s="135"/>
      <c r="BI18" s="156"/>
      <c r="BJ18" s="136"/>
    </row>
    <row r="19" spans="1:62" s="131" customFormat="1" ht="20.25" customHeight="1">
      <c r="A19" s="135"/>
      <c r="B19" s="151"/>
      <c r="C19" s="152"/>
      <c r="D19" s="152"/>
      <c r="E19" s="152"/>
      <c r="F19" s="152"/>
      <c r="G19" s="152"/>
      <c r="H19" s="153"/>
      <c r="I19" s="145"/>
      <c r="J19" s="278" t="s">
        <v>618</v>
      </c>
      <c r="K19" s="146"/>
      <c r="L19" s="146"/>
      <c r="M19" s="146"/>
      <c r="N19" s="146"/>
      <c r="O19" s="146"/>
      <c r="P19" s="146"/>
      <c r="Q19" s="154"/>
      <c r="R19" s="154"/>
      <c r="S19" s="146"/>
      <c r="T19" s="146"/>
      <c r="U19" s="146"/>
      <c r="V19" s="146"/>
      <c r="W19" s="146"/>
      <c r="X19" s="146"/>
      <c r="Y19" s="146"/>
      <c r="Z19" s="146"/>
      <c r="AA19" s="146"/>
      <c r="AB19" s="146"/>
      <c r="AC19" s="146"/>
      <c r="AD19" s="146"/>
      <c r="AE19" s="146"/>
      <c r="AF19" s="146"/>
      <c r="AG19" s="146"/>
      <c r="AH19" s="145"/>
      <c r="AI19" s="146"/>
      <c r="AJ19" s="146"/>
      <c r="AK19" s="146"/>
      <c r="AL19" s="146"/>
      <c r="AM19" s="146"/>
      <c r="AN19" s="146"/>
      <c r="AO19" s="146"/>
      <c r="AP19" s="146"/>
      <c r="AQ19" s="146"/>
      <c r="AR19" s="278"/>
      <c r="AS19" s="146"/>
      <c r="AT19" s="146"/>
      <c r="AU19" s="146"/>
      <c r="AV19" s="146"/>
      <c r="AW19" s="146"/>
      <c r="AX19" s="146"/>
      <c r="AY19" s="146"/>
      <c r="AZ19" s="156"/>
      <c r="BA19" s="156"/>
      <c r="BB19" s="178"/>
      <c r="BC19" s="156"/>
      <c r="BD19" s="156"/>
      <c r="BE19" s="156"/>
      <c r="BF19" s="136"/>
      <c r="BG19" s="135"/>
      <c r="BI19" s="156"/>
      <c r="BJ19" s="136"/>
    </row>
    <row r="20" spans="1:62" s="131" customFormat="1" ht="20.25" customHeight="1">
      <c r="A20" s="135"/>
      <c r="B20" s="151"/>
      <c r="C20" s="152"/>
      <c r="D20" s="152"/>
      <c r="E20" s="152"/>
      <c r="F20" s="152"/>
      <c r="G20" s="152"/>
      <c r="H20" s="153"/>
      <c r="I20" s="145"/>
      <c r="K20" s="278" t="s">
        <v>556</v>
      </c>
      <c r="L20" s="146"/>
      <c r="M20" s="146"/>
      <c r="N20" s="146"/>
      <c r="P20" s="146" t="s">
        <v>557</v>
      </c>
      <c r="Q20" s="154"/>
      <c r="R20" s="154"/>
      <c r="S20" s="146"/>
      <c r="T20" s="146"/>
      <c r="U20" s="146"/>
      <c r="V20" s="146"/>
      <c r="W20" s="146"/>
      <c r="X20" s="146"/>
      <c r="Y20" s="146"/>
      <c r="Z20" s="146"/>
      <c r="AA20" s="146"/>
      <c r="AB20" s="146"/>
      <c r="AC20" s="146"/>
      <c r="AD20" s="146"/>
      <c r="AE20" s="146"/>
      <c r="AF20" s="146"/>
      <c r="AG20" s="146"/>
      <c r="AH20" s="145"/>
      <c r="AI20" s="146"/>
      <c r="AJ20" s="146"/>
      <c r="AK20" s="146"/>
      <c r="AL20" s="146"/>
      <c r="AM20" s="146"/>
      <c r="AN20" s="146"/>
      <c r="AO20" s="146"/>
      <c r="AP20" s="146"/>
      <c r="AQ20" s="146"/>
      <c r="AR20" s="278"/>
      <c r="AS20" s="146"/>
      <c r="AT20" s="146"/>
      <c r="AU20" s="146"/>
      <c r="AV20" s="146"/>
      <c r="AW20" s="146"/>
      <c r="AX20" s="146"/>
      <c r="AY20" s="146"/>
      <c r="AZ20" s="156"/>
      <c r="BA20" s="156"/>
      <c r="BB20" s="178"/>
      <c r="BC20" s="156"/>
      <c r="BD20" s="156"/>
      <c r="BE20" s="156"/>
      <c r="BF20" s="136"/>
      <c r="BG20" s="135"/>
      <c r="BI20" s="156"/>
      <c r="BJ20" s="136"/>
    </row>
    <row r="21" spans="1:62" s="131" customFormat="1" ht="20.25" customHeight="1">
      <c r="A21" s="135"/>
      <c r="B21" s="180"/>
      <c r="C21" s="152"/>
      <c r="D21" s="152"/>
      <c r="E21" s="152"/>
      <c r="F21" s="152"/>
      <c r="G21" s="152"/>
      <c r="H21" s="153"/>
      <c r="I21" s="145"/>
      <c r="K21" s="278" t="s">
        <v>558</v>
      </c>
      <c r="L21" s="146"/>
      <c r="M21" s="146"/>
      <c r="N21" s="146"/>
      <c r="P21" s="146" t="s">
        <v>559</v>
      </c>
      <c r="Q21" s="181"/>
      <c r="R21" s="181"/>
      <c r="S21" s="182"/>
      <c r="T21" s="182"/>
      <c r="U21" s="146"/>
      <c r="V21" s="182"/>
      <c r="W21" s="146"/>
      <c r="X21" s="146"/>
      <c r="Y21" s="146"/>
      <c r="Z21" s="146"/>
      <c r="AA21" s="146"/>
      <c r="AB21" s="146"/>
      <c r="AC21" s="146"/>
      <c r="AD21" s="146"/>
      <c r="AE21" s="146"/>
      <c r="AF21" s="146"/>
      <c r="AG21" s="146"/>
      <c r="AH21" s="145"/>
      <c r="AI21" s="146"/>
      <c r="AJ21" s="146"/>
      <c r="AK21" s="146"/>
      <c r="AL21" s="146"/>
      <c r="AM21" s="146"/>
      <c r="AN21" s="146"/>
      <c r="AO21" s="146"/>
      <c r="AP21" s="146"/>
      <c r="AQ21" s="146"/>
      <c r="AR21" s="278"/>
      <c r="AS21" s="146"/>
      <c r="AT21" s="146"/>
      <c r="AU21" s="146"/>
      <c r="AV21" s="146"/>
      <c r="AW21" s="146"/>
      <c r="AX21" s="146"/>
      <c r="AY21" s="146"/>
      <c r="AZ21" s="156"/>
      <c r="BA21" s="156"/>
      <c r="BB21" s="178"/>
      <c r="BC21" s="156"/>
      <c r="BD21" s="156"/>
      <c r="BE21" s="156"/>
      <c r="BF21" s="136"/>
      <c r="BG21" s="135"/>
      <c r="BI21" s="156"/>
      <c r="BJ21" s="136"/>
    </row>
    <row r="22" spans="1:62" s="131" customFormat="1" ht="20.25" customHeight="1">
      <c r="A22" s="135"/>
      <c r="B22" s="180"/>
      <c r="C22" s="152"/>
      <c r="D22" s="152"/>
      <c r="E22" s="152"/>
      <c r="F22" s="152"/>
      <c r="G22" s="152"/>
      <c r="H22" s="153"/>
      <c r="I22" s="145"/>
      <c r="K22" s="278" t="s">
        <v>560</v>
      </c>
      <c r="L22" s="146"/>
      <c r="M22" s="146"/>
      <c r="N22" s="146"/>
      <c r="P22" s="146" t="s">
        <v>561</v>
      </c>
      <c r="Q22" s="181"/>
      <c r="R22" s="181"/>
      <c r="S22" s="182"/>
      <c r="T22" s="182"/>
      <c r="U22" s="146"/>
      <c r="V22" s="182"/>
      <c r="W22" s="146"/>
      <c r="X22" s="146"/>
      <c r="Y22" s="146"/>
      <c r="Z22" s="146"/>
      <c r="AA22" s="146"/>
      <c r="AB22" s="146"/>
      <c r="AC22" s="146"/>
      <c r="AD22" s="146"/>
      <c r="AE22" s="146"/>
      <c r="AF22" s="146"/>
      <c r="AG22" s="146"/>
      <c r="AH22" s="145"/>
      <c r="AI22" s="146"/>
      <c r="AJ22" s="146"/>
      <c r="AK22" s="146"/>
      <c r="AL22" s="146"/>
      <c r="AM22" s="146"/>
      <c r="AN22" s="146"/>
      <c r="AO22" s="146"/>
      <c r="AP22" s="146"/>
      <c r="AQ22" s="146"/>
      <c r="AR22" s="146"/>
      <c r="AS22" s="146"/>
      <c r="AT22" s="146"/>
      <c r="AU22" s="146"/>
      <c r="AV22" s="146"/>
      <c r="AW22" s="146"/>
      <c r="AX22" s="146"/>
      <c r="AY22" s="146"/>
      <c r="AZ22" s="156"/>
      <c r="BA22" s="156"/>
      <c r="BB22" s="156"/>
      <c r="BC22" s="156"/>
      <c r="BD22" s="156"/>
      <c r="BE22" s="156"/>
      <c r="BF22" s="136"/>
      <c r="BG22" s="135"/>
      <c r="BI22" s="156"/>
      <c r="BJ22" s="136"/>
    </row>
    <row r="23" spans="1:62" s="131" customFormat="1" ht="20.25" customHeight="1">
      <c r="A23" s="135"/>
      <c r="B23" s="180"/>
      <c r="C23" s="152"/>
      <c r="D23" s="152"/>
      <c r="E23" s="152"/>
      <c r="F23" s="152"/>
      <c r="G23" s="152"/>
      <c r="H23" s="153"/>
      <c r="I23" s="145"/>
      <c r="K23" s="278" t="s">
        <v>562</v>
      </c>
      <c r="L23" s="146"/>
      <c r="M23" s="146"/>
      <c r="N23" s="146"/>
      <c r="P23" s="146" t="s">
        <v>563</v>
      </c>
      <c r="Q23" s="181"/>
      <c r="R23" s="181"/>
      <c r="S23" s="182"/>
      <c r="T23" s="182"/>
      <c r="U23" s="146"/>
      <c r="V23" s="182"/>
      <c r="W23" s="146"/>
      <c r="X23" s="146"/>
      <c r="Y23" s="146"/>
      <c r="Z23" s="146"/>
      <c r="AA23" s="146"/>
      <c r="AB23" s="146"/>
      <c r="AC23" s="146"/>
      <c r="AD23" s="146"/>
      <c r="AE23" s="146"/>
      <c r="AF23" s="146"/>
      <c r="AG23" s="146"/>
      <c r="AH23" s="145"/>
      <c r="AI23" s="146"/>
      <c r="AJ23" s="146"/>
      <c r="AK23" s="146"/>
      <c r="AL23" s="146"/>
      <c r="AM23" s="146"/>
      <c r="AN23" s="146"/>
      <c r="AO23" s="146"/>
      <c r="AP23" s="146"/>
      <c r="AQ23" s="146"/>
      <c r="AR23" s="146"/>
      <c r="AS23" s="146"/>
      <c r="AT23" s="146"/>
      <c r="AU23" s="146"/>
      <c r="AV23" s="146"/>
      <c r="AW23" s="146"/>
      <c r="AX23" s="146"/>
      <c r="AY23" s="146"/>
      <c r="AZ23" s="156"/>
      <c r="BA23" s="156"/>
      <c r="BB23" s="156"/>
      <c r="BC23" s="156"/>
      <c r="BD23" s="156"/>
      <c r="BE23" s="156"/>
      <c r="BF23" s="136"/>
      <c r="BG23" s="135"/>
      <c r="BI23" s="156"/>
      <c r="BJ23" s="136"/>
    </row>
    <row r="24" spans="1:62" s="131" customFormat="1" ht="20.25" customHeight="1">
      <c r="A24" s="135"/>
      <c r="B24" s="180"/>
      <c r="C24" s="152"/>
      <c r="D24" s="152"/>
      <c r="E24" s="152"/>
      <c r="F24" s="152"/>
      <c r="G24" s="152"/>
      <c r="H24" s="153"/>
      <c r="I24" s="145"/>
      <c r="K24" s="278" t="s">
        <v>564</v>
      </c>
      <c r="L24" s="146"/>
      <c r="M24" s="146"/>
      <c r="N24" s="146"/>
      <c r="P24" s="146" t="s">
        <v>565</v>
      </c>
      <c r="Q24" s="181"/>
      <c r="R24" s="181"/>
      <c r="S24" s="182"/>
      <c r="T24" s="182"/>
      <c r="U24" s="146"/>
      <c r="V24" s="182"/>
      <c r="W24" s="146"/>
      <c r="X24" s="146"/>
      <c r="Y24" s="146"/>
      <c r="Z24" s="146"/>
      <c r="AA24" s="146"/>
      <c r="AB24" s="146"/>
      <c r="AC24" s="146"/>
      <c r="AD24" s="146"/>
      <c r="AE24" s="146"/>
      <c r="AF24" s="146"/>
      <c r="AG24" s="146"/>
      <c r="AH24" s="145"/>
      <c r="AI24" s="146"/>
      <c r="AJ24" s="146"/>
      <c r="AK24" s="146"/>
      <c r="AL24" s="146"/>
      <c r="AM24" s="146"/>
      <c r="AN24" s="146"/>
      <c r="AO24" s="146"/>
      <c r="AP24" s="146"/>
      <c r="AQ24" s="146"/>
      <c r="AR24" s="146"/>
      <c r="AS24" s="146"/>
      <c r="AT24" s="146"/>
      <c r="AU24" s="146"/>
      <c r="AV24" s="146"/>
      <c r="AW24" s="146"/>
      <c r="AX24" s="146"/>
      <c r="AY24" s="146"/>
      <c r="AZ24" s="156"/>
      <c r="BA24" s="156"/>
      <c r="BB24" s="156"/>
      <c r="BC24" s="156"/>
      <c r="BD24" s="156"/>
      <c r="BE24" s="156"/>
      <c r="BF24" s="136"/>
      <c r="BG24" s="135"/>
      <c r="BI24" s="156"/>
      <c r="BJ24" s="136"/>
    </row>
    <row r="25" spans="1:62" s="131" customFormat="1" ht="20.25" customHeight="1">
      <c r="A25" s="135"/>
      <c r="B25" s="180"/>
      <c r="C25" s="152"/>
      <c r="D25" s="152"/>
      <c r="E25" s="152"/>
      <c r="F25" s="152"/>
      <c r="G25" s="152"/>
      <c r="H25" s="153"/>
      <c r="I25" s="145"/>
      <c r="K25" s="278" t="s">
        <v>566</v>
      </c>
      <c r="L25" s="146"/>
      <c r="M25" s="146"/>
      <c r="N25" s="146"/>
      <c r="P25" s="146" t="s">
        <v>567</v>
      </c>
      <c r="Q25" s="181"/>
      <c r="R25" s="181"/>
      <c r="S25" s="182"/>
      <c r="T25" s="182"/>
      <c r="U25" s="146"/>
      <c r="V25" s="182"/>
      <c r="W25" s="146"/>
      <c r="X25" s="146"/>
      <c r="Y25" s="146"/>
      <c r="Z25" s="146"/>
      <c r="AA25" s="146"/>
      <c r="AB25" s="146"/>
      <c r="AC25" s="146"/>
      <c r="AD25" s="146"/>
      <c r="AE25" s="146"/>
      <c r="AF25" s="146"/>
      <c r="AG25" s="146"/>
      <c r="AH25" s="145"/>
      <c r="AI25" s="146"/>
      <c r="AJ25" s="146"/>
      <c r="AK25" s="146"/>
      <c r="AL25" s="146"/>
      <c r="AM25" s="146"/>
      <c r="AN25" s="146"/>
      <c r="AO25" s="146"/>
      <c r="AP25" s="146"/>
      <c r="AQ25" s="146"/>
      <c r="AR25" s="146"/>
      <c r="AS25" s="146"/>
      <c r="AT25" s="146"/>
      <c r="AU25" s="146"/>
      <c r="AV25" s="146"/>
      <c r="AW25" s="146"/>
      <c r="AX25" s="146"/>
      <c r="AY25" s="146"/>
      <c r="AZ25" s="156"/>
      <c r="BA25" s="156"/>
      <c r="BB25" s="156"/>
      <c r="BC25" s="156"/>
      <c r="BD25" s="156"/>
      <c r="BE25" s="156"/>
      <c r="BF25" s="136"/>
      <c r="BG25" s="135"/>
      <c r="BI25" s="156"/>
      <c r="BJ25" s="136"/>
    </row>
    <row r="26" spans="1:62" s="131" customFormat="1" ht="20.25" customHeight="1">
      <c r="A26" s="135"/>
      <c r="B26" s="180"/>
      <c r="C26" s="152"/>
      <c r="D26" s="152"/>
      <c r="E26" s="152"/>
      <c r="F26" s="152"/>
      <c r="G26" s="152"/>
      <c r="H26" s="153"/>
      <c r="I26" s="145"/>
      <c r="K26" s="278" t="s">
        <v>621</v>
      </c>
      <c r="L26" s="146"/>
      <c r="M26" s="146"/>
      <c r="N26" s="146"/>
      <c r="P26" s="146"/>
      <c r="Q26" s="181"/>
      <c r="R26" s="181"/>
      <c r="S26" s="182"/>
      <c r="T26" s="182"/>
      <c r="U26" s="146"/>
      <c r="V26" s="182"/>
      <c r="W26" s="146"/>
      <c r="X26" s="146"/>
      <c r="Y26" s="146"/>
      <c r="Z26" s="146"/>
      <c r="AA26" s="146"/>
      <c r="AB26" s="146"/>
      <c r="AC26" s="146"/>
      <c r="AD26" s="146"/>
      <c r="AE26" s="146"/>
      <c r="AF26" s="146"/>
      <c r="AG26" s="146"/>
      <c r="AH26" s="145"/>
      <c r="AI26" s="146"/>
      <c r="AJ26" s="146"/>
      <c r="AK26" s="146"/>
      <c r="AL26" s="146"/>
      <c r="AM26" s="146"/>
      <c r="AN26" s="146"/>
      <c r="AO26" s="146"/>
      <c r="AP26" s="146"/>
      <c r="AQ26" s="146"/>
      <c r="AR26" s="146"/>
      <c r="AS26" s="146"/>
      <c r="AT26" s="146"/>
      <c r="AU26" s="146"/>
      <c r="AV26" s="146"/>
      <c r="AW26" s="146"/>
      <c r="AX26" s="146"/>
      <c r="AY26" s="146"/>
      <c r="AZ26" s="156"/>
      <c r="BA26" s="156"/>
      <c r="BB26" s="156"/>
      <c r="BC26" s="156"/>
      <c r="BD26" s="156"/>
      <c r="BE26" s="156"/>
      <c r="BF26" s="136"/>
      <c r="BG26" s="135"/>
      <c r="BI26" s="156"/>
      <c r="BJ26" s="136"/>
    </row>
    <row r="27" spans="1:62" s="131" customFormat="1" ht="20.25" customHeight="1">
      <c r="A27" s="135"/>
      <c r="B27" s="183"/>
      <c r="C27" s="163"/>
      <c r="D27" s="163"/>
      <c r="E27" s="163"/>
      <c r="F27" s="163"/>
      <c r="G27" s="163"/>
      <c r="H27" s="165"/>
      <c r="I27" s="166"/>
      <c r="J27" s="286"/>
      <c r="K27" s="167"/>
      <c r="L27" s="167" t="s">
        <v>622</v>
      </c>
      <c r="M27" s="167"/>
      <c r="N27" s="167"/>
      <c r="O27" s="167"/>
      <c r="P27" s="167"/>
      <c r="Q27" s="185"/>
      <c r="R27" s="185"/>
      <c r="S27" s="186"/>
      <c r="T27" s="186"/>
      <c r="U27" s="167"/>
      <c r="V27" s="167"/>
      <c r="W27" s="167"/>
      <c r="X27" s="167"/>
      <c r="Y27" s="187"/>
      <c r="Z27" s="167"/>
      <c r="AA27" s="167"/>
      <c r="AB27" s="167"/>
      <c r="AC27" s="167"/>
      <c r="AD27" s="167"/>
      <c r="AE27" s="167"/>
      <c r="AF27" s="167"/>
      <c r="AG27" s="167"/>
      <c r="AH27" s="166"/>
      <c r="AI27" s="167"/>
      <c r="AJ27" s="167"/>
      <c r="AK27" s="167"/>
      <c r="AL27" s="167"/>
      <c r="AM27" s="167"/>
      <c r="AN27" s="167"/>
      <c r="AO27" s="167"/>
      <c r="AP27" s="167"/>
      <c r="AQ27" s="167"/>
      <c r="AR27" s="167"/>
      <c r="AS27" s="167"/>
      <c r="AT27" s="167"/>
      <c r="AU27" s="167"/>
      <c r="AV27" s="167"/>
      <c r="AW27" s="167"/>
      <c r="AX27" s="167"/>
      <c r="AY27" s="167"/>
      <c r="AZ27" s="170"/>
      <c r="BA27" s="170"/>
      <c r="BB27" s="170"/>
      <c r="BC27" s="170"/>
      <c r="BD27" s="170"/>
      <c r="BE27" s="170"/>
      <c r="BF27" s="190"/>
      <c r="BG27" s="135"/>
      <c r="BI27" s="156"/>
      <c r="BJ27" s="136"/>
    </row>
    <row r="28" spans="1:62" s="131" customFormat="1" ht="20.25" customHeight="1">
      <c r="A28" s="135"/>
      <c r="B28" s="142" t="s">
        <v>319</v>
      </c>
      <c r="C28" s="143"/>
      <c r="D28" s="143"/>
      <c r="E28" s="143"/>
      <c r="F28" s="143"/>
      <c r="G28" s="143"/>
      <c r="H28" s="144"/>
      <c r="I28" s="150"/>
      <c r="J28" s="287"/>
      <c r="K28" s="148"/>
      <c r="L28" s="148"/>
      <c r="M28" s="148"/>
      <c r="N28" s="148"/>
      <c r="O28" s="148"/>
      <c r="P28" s="148"/>
      <c r="Q28" s="288"/>
      <c r="R28" s="288"/>
      <c r="S28" s="289"/>
      <c r="T28" s="289"/>
      <c r="U28" s="148"/>
      <c r="V28" s="289"/>
      <c r="W28" s="148"/>
      <c r="X28" s="148"/>
      <c r="Y28" s="148"/>
      <c r="Z28" s="148"/>
      <c r="AA28" s="148"/>
      <c r="AB28" s="148"/>
      <c r="AC28" s="148"/>
      <c r="AD28" s="148"/>
      <c r="AE28" s="148"/>
      <c r="AF28" s="148"/>
      <c r="AG28" s="148"/>
      <c r="AH28" s="290"/>
      <c r="AI28" s="148"/>
      <c r="AJ28" s="148"/>
      <c r="AK28" s="148"/>
      <c r="AL28" s="148"/>
      <c r="AM28" s="148"/>
      <c r="AN28" s="148"/>
      <c r="AO28" s="148"/>
      <c r="AP28" s="148"/>
      <c r="AQ28" s="148"/>
      <c r="AR28" s="148"/>
      <c r="AS28" s="148"/>
      <c r="AT28" s="148"/>
      <c r="AU28" s="148"/>
      <c r="AV28" s="148"/>
      <c r="AW28" s="148"/>
      <c r="AX28" s="148"/>
      <c r="AY28" s="148"/>
      <c r="AZ28" s="133"/>
      <c r="BA28" s="133"/>
      <c r="BB28" s="133"/>
      <c r="BC28" s="133"/>
      <c r="BD28" s="133"/>
      <c r="BE28" s="133"/>
      <c r="BF28" s="284"/>
      <c r="BG28" s="135"/>
      <c r="BI28" s="156"/>
      <c r="BJ28" s="136"/>
    </row>
    <row r="29" spans="1:62" s="131" customFormat="1" ht="20.25" customHeight="1">
      <c r="A29" s="135"/>
      <c r="B29" s="151" t="s">
        <v>620</v>
      </c>
      <c r="C29" s="152"/>
      <c r="D29" s="152"/>
      <c r="E29" s="152"/>
      <c r="F29" s="152"/>
      <c r="G29" s="152"/>
      <c r="H29" s="153"/>
      <c r="I29" s="145"/>
      <c r="J29" s="278"/>
      <c r="K29" s="146"/>
      <c r="L29" s="146"/>
      <c r="M29" s="146"/>
      <c r="N29" s="146"/>
      <c r="O29" s="146"/>
      <c r="P29" s="146"/>
      <c r="Q29" s="181"/>
      <c r="R29" s="181"/>
      <c r="S29" s="182"/>
      <c r="T29" s="182"/>
      <c r="U29" s="146"/>
      <c r="V29" s="182"/>
      <c r="W29" s="146"/>
      <c r="X29" s="146"/>
      <c r="Y29" s="146"/>
      <c r="Z29" s="146"/>
      <c r="AA29" s="146"/>
      <c r="AB29" s="146"/>
      <c r="AC29" s="146"/>
      <c r="AD29" s="146"/>
      <c r="AE29" s="146"/>
      <c r="AF29" s="146"/>
      <c r="AG29" s="146"/>
      <c r="AH29" s="285"/>
      <c r="AI29" s="278" t="s">
        <v>546</v>
      </c>
      <c r="AJ29" s="146"/>
      <c r="AK29" s="146"/>
      <c r="AL29" s="146"/>
      <c r="AM29" s="146"/>
      <c r="AN29" s="146"/>
      <c r="AO29" s="146"/>
      <c r="AP29" s="146"/>
      <c r="AQ29" s="146"/>
      <c r="AR29" s="146"/>
      <c r="AS29" s="146"/>
      <c r="AT29" s="146"/>
      <c r="AU29" s="146"/>
      <c r="AV29" s="146"/>
      <c r="AW29" s="146"/>
      <c r="AX29" s="146"/>
      <c r="AY29" s="146"/>
      <c r="AZ29" s="156"/>
      <c r="BA29" s="156"/>
      <c r="BB29" s="156"/>
      <c r="BC29" s="156"/>
      <c r="BD29" s="156"/>
      <c r="BE29" s="156"/>
      <c r="BF29" s="136"/>
      <c r="BG29" s="283"/>
      <c r="BH29" s="156"/>
      <c r="BI29" s="156"/>
      <c r="BJ29" s="136"/>
    </row>
    <row r="30" spans="1:62" s="131" customFormat="1" ht="20.25" customHeight="1">
      <c r="A30" s="135"/>
      <c r="B30" s="183"/>
      <c r="C30" s="163"/>
      <c r="D30" s="184"/>
      <c r="E30" s="163"/>
      <c r="F30" s="163"/>
      <c r="G30" s="163"/>
      <c r="H30" s="165"/>
      <c r="I30" s="166"/>
      <c r="J30" s="167"/>
      <c r="K30" s="185"/>
      <c r="L30" s="185"/>
      <c r="M30" s="186"/>
      <c r="N30" s="186"/>
      <c r="O30" s="186"/>
      <c r="P30" s="186"/>
      <c r="Q30" s="167"/>
      <c r="R30" s="167"/>
      <c r="S30" s="167"/>
      <c r="T30" s="167"/>
      <c r="U30" s="167"/>
      <c r="V30" s="167"/>
      <c r="W30" s="167"/>
      <c r="X30" s="167"/>
      <c r="Y30" s="187"/>
      <c r="Z30" s="167"/>
      <c r="AA30" s="167"/>
      <c r="AB30" s="169"/>
      <c r="AC30" s="167"/>
      <c r="AD30" s="167"/>
      <c r="AE30" s="167"/>
      <c r="AF30" s="167"/>
      <c r="AG30" s="167"/>
      <c r="AH30" s="166"/>
      <c r="AI30" s="167"/>
      <c r="AJ30" s="167"/>
      <c r="AK30" s="167"/>
      <c r="AL30" s="167"/>
      <c r="AM30" s="167"/>
      <c r="AN30" s="167"/>
      <c r="AO30" s="167"/>
      <c r="AP30" s="167"/>
      <c r="AQ30" s="167"/>
      <c r="AR30" s="167"/>
      <c r="AS30" s="167"/>
      <c r="AT30" s="167"/>
      <c r="AU30" s="167"/>
      <c r="AV30" s="167"/>
      <c r="AW30" s="167"/>
      <c r="AX30" s="167"/>
      <c r="AY30" s="167"/>
      <c r="AZ30" s="170"/>
      <c r="BA30" s="170"/>
      <c r="BB30" s="170"/>
      <c r="BC30" s="170"/>
      <c r="BD30" s="170"/>
      <c r="BE30" s="170"/>
      <c r="BF30" s="171"/>
      <c r="BG30" s="156"/>
      <c r="BH30" s="156"/>
      <c r="BI30" s="156"/>
      <c r="BJ30" s="136"/>
    </row>
    <row r="31" spans="1:62" s="131" customFormat="1" ht="20.25" customHeight="1">
      <c r="A31" s="135"/>
      <c r="BJ31" s="136"/>
    </row>
    <row r="32" spans="1:62" s="131" customFormat="1" ht="20.25" customHeight="1">
      <c r="A32" s="135"/>
      <c r="BJ32" s="136"/>
    </row>
    <row r="33" spans="1:62" s="131" customFormat="1" ht="20.25" customHeight="1">
      <c r="A33" s="135"/>
      <c r="BJ33" s="136"/>
    </row>
    <row r="34" spans="1:62" s="131" customFormat="1" ht="20.25" customHeight="1">
      <c r="A34" s="135"/>
      <c r="BJ34" s="136"/>
    </row>
    <row r="35" spans="1:62" s="131" customFormat="1" ht="20.25" customHeight="1">
      <c r="A35" s="135"/>
      <c r="BJ35" s="136"/>
    </row>
    <row r="36" spans="1:62" s="131" customFormat="1" ht="20.25" customHeight="1">
      <c r="A36" s="135"/>
      <c r="BJ36" s="136"/>
    </row>
    <row r="37" spans="1:62" s="131" customFormat="1" ht="20.25" customHeight="1">
      <c r="A37" s="135"/>
      <c r="BJ37" s="136"/>
    </row>
    <row r="38" spans="1:62" s="131" customFormat="1" ht="20.25" customHeight="1">
      <c r="A38" s="135"/>
      <c r="BJ38" s="136"/>
    </row>
    <row r="39" spans="1:62" s="131" customFormat="1" ht="20.25" customHeight="1">
      <c r="A39" s="135"/>
      <c r="BJ39" s="136"/>
    </row>
    <row r="40" spans="1:62" s="131" customFormat="1" ht="20.25" customHeight="1">
      <c r="A40" s="135"/>
      <c r="BJ40" s="136"/>
    </row>
    <row r="41" spans="1:62" s="131" customFormat="1" ht="20.25" customHeight="1">
      <c r="A41" s="135"/>
      <c r="BJ41" s="136"/>
    </row>
    <row r="42" spans="1:62" s="131" customFormat="1" ht="20.25" customHeight="1">
      <c r="A42" s="135"/>
      <c r="BJ42" s="136"/>
    </row>
    <row r="43" spans="1:62" s="131" customFormat="1" ht="20.25" customHeight="1">
      <c r="A43" s="135"/>
      <c r="BJ43" s="136"/>
    </row>
    <row r="44" spans="1:62" s="131" customFormat="1" ht="20.25" customHeight="1">
      <c r="A44" s="135"/>
      <c r="BJ44" s="136"/>
    </row>
    <row r="45" spans="1:62" s="131" customFormat="1" ht="20.25" customHeight="1">
      <c r="A45" s="135"/>
      <c r="BJ45" s="136"/>
    </row>
    <row r="46" spans="1:62" s="131" customFormat="1" ht="20.25" customHeight="1">
      <c r="A46" s="135"/>
      <c r="BJ46" s="136"/>
    </row>
    <row r="47" spans="1:62" s="131" customFormat="1" ht="20.25" customHeight="1">
      <c r="A47" s="135"/>
      <c r="BJ47" s="136"/>
    </row>
    <row r="48" spans="1:62" s="131" customFormat="1" ht="20.25" customHeight="1">
      <c r="A48" s="135"/>
      <c r="BJ48" s="136"/>
    </row>
    <row r="49" spans="1:62" s="131" customFormat="1" ht="20.25" customHeight="1">
      <c r="A49" s="135"/>
      <c r="BJ49" s="136"/>
    </row>
    <row r="50" spans="1:62" s="131" customFormat="1" ht="20.25" customHeight="1">
      <c r="A50" s="135"/>
      <c r="BJ50" s="136"/>
    </row>
    <row r="51" spans="1:62" s="131" customFormat="1" ht="20.25" customHeight="1">
      <c r="A51" s="135"/>
      <c r="BJ51" s="136"/>
    </row>
    <row r="52" spans="1:62" s="131" customFormat="1" ht="20.25" customHeight="1">
      <c r="A52" s="135"/>
      <c r="BJ52" s="136"/>
    </row>
    <row r="53" spans="1:62" s="131" customFormat="1" ht="20.25" customHeight="1">
      <c r="A53" s="135"/>
      <c r="BJ53" s="136"/>
    </row>
    <row r="54" spans="1:62" s="131" customFormat="1" ht="20.25" customHeight="1">
      <c r="A54" s="135"/>
      <c r="BJ54" s="136"/>
    </row>
    <row r="55" spans="1:62" s="131" customFormat="1" ht="20.25" customHeight="1">
      <c r="A55" s="135"/>
      <c r="BJ55" s="136"/>
    </row>
    <row r="56" spans="1:62" s="131" customFormat="1" ht="20.25" customHeight="1">
      <c r="A56" s="135"/>
      <c r="BJ56" s="136"/>
    </row>
    <row r="57" spans="1:62" s="131" customFormat="1" ht="20.25" customHeight="1">
      <c r="A57" s="135"/>
      <c r="BJ57" s="136"/>
    </row>
    <row r="58" spans="1:62" s="131" customFormat="1" ht="20.25" customHeight="1">
      <c r="A58" s="135"/>
      <c r="BJ58" s="136"/>
    </row>
    <row r="59" spans="1:62" s="131" customFormat="1" ht="20.25" customHeight="1">
      <c r="A59" s="135"/>
      <c r="BJ59" s="136"/>
    </row>
    <row r="60" spans="1:62" s="131" customFormat="1" ht="20.25" customHeight="1">
      <c r="A60" s="135"/>
      <c r="BJ60" s="136"/>
    </row>
    <row r="61" spans="1:62" s="131" customFormat="1" ht="20.25" customHeight="1">
      <c r="A61" s="135"/>
      <c r="BJ61" s="136"/>
    </row>
    <row r="62" spans="1:62" s="131" customFormat="1" ht="20.25" customHeight="1">
      <c r="A62" s="135"/>
      <c r="BJ62" s="136"/>
    </row>
    <row r="63" spans="1:62" s="131" customFormat="1" ht="20.25" customHeight="1">
      <c r="A63" s="135"/>
      <c r="BJ63" s="136"/>
    </row>
    <row r="64" spans="1:62" s="131" customFormat="1" ht="20.25" customHeight="1">
      <c r="A64" s="189"/>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90"/>
    </row>
    <row r="65" s="191" customFormat="1" ht="4.5" customHeight="1"/>
    <row r="66" s="191" customFormat="1" ht="18" customHeight="1"/>
    <row r="67" s="191" customFormat="1" ht="18" customHeight="1"/>
    <row r="68" s="191" customFormat="1" ht="18" customHeight="1"/>
    <row r="69" s="191" customFormat="1" ht="18" customHeight="1"/>
    <row r="70" s="191" customFormat="1" ht="18" customHeight="1"/>
    <row r="71" s="191" customFormat="1" ht="18" customHeight="1"/>
    <row r="72" s="191" customFormat="1" ht="18" customHeight="1"/>
    <row r="73" s="191" customFormat="1" ht="18" customHeight="1"/>
    <row r="74" s="191" customFormat="1" ht="18" customHeight="1"/>
    <row r="75" s="191" customFormat="1" ht="18" customHeight="1"/>
    <row r="76" s="191" customFormat="1" ht="18" customHeight="1"/>
    <row r="77" s="191" customFormat="1" ht="18" customHeight="1"/>
    <row r="78" s="191" customFormat="1" ht="18" customHeight="1"/>
    <row r="79" s="191" customFormat="1" ht="18" customHeight="1"/>
    <row r="80" s="191" customFormat="1" ht="18" customHeight="1"/>
    <row r="81" s="191" customFormat="1" ht="18" customHeight="1"/>
    <row r="82" s="191" customFormat="1" ht="18" customHeight="1"/>
    <row r="83" s="191" customFormat="1" ht="18" customHeight="1"/>
    <row r="84" s="191" customFormat="1" ht="18" customHeight="1"/>
    <row r="85" s="191" customFormat="1" ht="18" customHeight="1"/>
    <row r="86" s="191" customFormat="1" ht="18" customHeight="1"/>
    <row r="87" s="191" customFormat="1" ht="18" customHeight="1"/>
    <row r="88" s="191" customFormat="1" ht="18" customHeight="1"/>
    <row r="89" s="191" customFormat="1" ht="18" customHeight="1"/>
    <row r="90" s="191" customFormat="1" ht="18" customHeight="1"/>
    <row r="91" s="191" customFormat="1" ht="18" customHeight="1"/>
    <row r="92" s="191" customFormat="1" ht="18" customHeight="1"/>
    <row r="93" s="191" customFormat="1" ht="18" customHeight="1"/>
    <row r="94" s="191" customFormat="1" ht="18" customHeight="1"/>
    <row r="95" s="191" customFormat="1" ht="18" customHeight="1"/>
    <row r="96" s="191" customFormat="1" ht="18" customHeight="1"/>
    <row r="97" s="191" customFormat="1" ht="18" customHeight="1"/>
    <row r="98" s="191" customFormat="1" ht="18" customHeight="1"/>
    <row r="99" s="191" customFormat="1" ht="18" customHeight="1"/>
    <row r="100" s="191" customFormat="1" ht="18" customHeight="1"/>
    <row r="101" s="191"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21">
    <mergeCell ref="AH10:BF10"/>
    <mergeCell ref="A2:AU2"/>
    <mergeCell ref="AV2:AY2"/>
    <mergeCell ref="AZ2:BC2"/>
    <mergeCell ref="BD2:BG2"/>
    <mergeCell ref="I10:AG10"/>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78A9-3684-45F3-98CA-D1A206462BEA}">
  <sheetPr codeName="Sheet6">
    <pageSetUpPr fitToPage="1"/>
  </sheetPr>
  <dimension ref="A1:DI292"/>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325</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26</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534</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249"/>
      <c r="B8" s="250"/>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1"/>
    </row>
    <row r="9" spans="1:62" s="131" customFormat="1" ht="20.25" customHeight="1">
      <c r="A9" s="252"/>
      <c r="B9" s="253" t="s">
        <v>448</v>
      </c>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5"/>
    </row>
    <row r="10" spans="1:62" s="131" customFormat="1" ht="20.25" customHeight="1">
      <c r="A10" s="252"/>
      <c r="B10" s="254"/>
      <c r="C10" s="254"/>
      <c r="D10" s="254" t="s">
        <v>449</v>
      </c>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5"/>
    </row>
    <row r="11" spans="1:62" s="131" customFormat="1" ht="20.25" customHeight="1">
      <c r="A11" s="252"/>
      <c r="B11" s="254"/>
      <c r="C11" s="254"/>
      <c r="D11" s="254" t="s">
        <v>450</v>
      </c>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5"/>
    </row>
    <row r="12" spans="1:62" s="131" customFormat="1" ht="20.25" customHeight="1">
      <c r="A12" s="252"/>
      <c r="B12" s="254"/>
      <c r="C12" s="254"/>
      <c r="D12" s="254" t="s">
        <v>451</v>
      </c>
      <c r="E12" s="254"/>
      <c r="F12" s="254"/>
      <c r="G12" s="254"/>
      <c r="H12" s="254"/>
      <c r="I12" s="254"/>
      <c r="J12" s="254"/>
      <c r="K12" s="254"/>
      <c r="L12" s="254"/>
      <c r="M12" s="254"/>
      <c r="N12" s="254"/>
      <c r="O12" s="254"/>
      <c r="P12" s="254"/>
      <c r="Q12" s="254"/>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5"/>
    </row>
    <row r="13" spans="1:62" s="131" customFormat="1" ht="20.25" customHeight="1">
      <c r="A13" s="252"/>
      <c r="B13" s="254"/>
      <c r="C13" s="254"/>
      <c r="D13" s="254" t="s">
        <v>452</v>
      </c>
      <c r="E13" s="254"/>
      <c r="F13" s="254"/>
      <c r="G13" s="254"/>
      <c r="H13" s="254"/>
      <c r="I13" s="254"/>
      <c r="J13" s="254"/>
      <c r="K13" s="254"/>
      <c r="L13" s="254"/>
      <c r="M13" s="254"/>
      <c r="N13" s="254"/>
      <c r="O13" s="254"/>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5"/>
    </row>
    <row r="14" spans="1:62" s="131" customFormat="1" ht="20.25" customHeight="1">
      <c r="A14" s="252"/>
      <c r="B14" s="254"/>
      <c r="C14" s="254"/>
      <c r="D14" s="254"/>
      <c r="E14" s="254"/>
      <c r="F14" s="254"/>
      <c r="G14" s="254"/>
      <c r="H14" s="254"/>
      <c r="I14" s="254"/>
      <c r="J14" s="254"/>
      <c r="K14" s="254"/>
      <c r="L14" s="254"/>
      <c r="M14" s="254"/>
      <c r="N14" s="254"/>
      <c r="O14" s="254"/>
      <c r="P14" s="254"/>
      <c r="Q14" s="254"/>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5"/>
    </row>
    <row r="15" spans="1:62" s="131" customFormat="1" ht="20.25" customHeight="1">
      <c r="A15" s="252"/>
      <c r="B15" s="253" t="s">
        <v>453</v>
      </c>
      <c r="C15" s="25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5"/>
    </row>
    <row r="16" spans="1:62" s="131" customFormat="1" ht="20.25" customHeight="1">
      <c r="A16" s="252"/>
      <c r="B16" s="254"/>
      <c r="C16" s="254"/>
      <c r="D16" s="254" t="s">
        <v>454</v>
      </c>
      <c r="E16" s="254"/>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5"/>
    </row>
    <row r="17" spans="1:62" s="131" customFormat="1" ht="20.25" customHeight="1">
      <c r="A17" s="252"/>
      <c r="B17" s="254"/>
      <c r="C17" s="254"/>
      <c r="D17" s="254" t="s">
        <v>574</v>
      </c>
      <c r="E17" s="254"/>
      <c r="F17" s="254"/>
      <c r="G17" s="254"/>
      <c r="H17" s="254"/>
      <c r="I17" s="254"/>
      <c r="J17" s="254"/>
      <c r="K17" s="254"/>
      <c r="L17" s="254"/>
      <c r="M17" s="254"/>
      <c r="N17" s="254"/>
      <c r="O17" s="254"/>
      <c r="P17" s="254"/>
      <c r="Q17" s="254"/>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5"/>
    </row>
    <row r="18" spans="1:62" s="131" customFormat="1" ht="20.25" customHeight="1">
      <c r="A18" s="252"/>
      <c r="B18" s="254"/>
      <c r="C18" s="254"/>
      <c r="D18" s="254" t="s">
        <v>575</v>
      </c>
      <c r="E18" s="254"/>
      <c r="F18" s="254"/>
      <c r="G18" s="254"/>
      <c r="H18" s="254"/>
      <c r="I18" s="254"/>
      <c r="J18" s="254"/>
      <c r="K18" s="254"/>
      <c r="L18" s="254"/>
      <c r="M18" s="254"/>
      <c r="N18" s="254"/>
      <c r="O18" s="254"/>
      <c r="P18" s="254"/>
      <c r="Q18" s="254"/>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5"/>
    </row>
    <row r="19" spans="1:62" s="131" customFormat="1" ht="20.25" customHeight="1">
      <c r="A19" s="252"/>
      <c r="B19" s="254"/>
      <c r="C19" s="254"/>
      <c r="D19" s="254" t="s">
        <v>576</v>
      </c>
      <c r="E19" s="254"/>
      <c r="F19" s="254"/>
      <c r="G19" s="254"/>
      <c r="H19" s="254"/>
      <c r="I19" s="254"/>
      <c r="J19" s="254"/>
      <c r="K19" s="254"/>
      <c r="L19" s="254"/>
      <c r="M19" s="254"/>
      <c r="N19" s="254"/>
      <c r="O19" s="254"/>
      <c r="P19" s="254"/>
      <c r="Q19" s="254"/>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5"/>
    </row>
    <row r="20" spans="1:62" s="131" customFormat="1" ht="20.25" customHeight="1">
      <c r="A20" s="252"/>
      <c r="B20" s="254"/>
      <c r="C20" s="254"/>
      <c r="D20" s="254"/>
      <c r="E20" s="254"/>
      <c r="F20" s="254"/>
      <c r="G20" s="254"/>
      <c r="H20" s="254"/>
      <c r="I20" s="254"/>
      <c r="J20" s="254"/>
      <c r="K20" s="254"/>
      <c r="L20" s="254"/>
      <c r="M20" s="254"/>
      <c r="N20" s="254"/>
      <c r="O20" s="254"/>
      <c r="P20" s="254"/>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5"/>
    </row>
    <row r="21" spans="1:62" s="131" customFormat="1" ht="20.25" customHeight="1">
      <c r="A21" s="252"/>
      <c r="B21" s="254"/>
      <c r="C21" s="254"/>
      <c r="D21" s="254" t="s">
        <v>580</v>
      </c>
      <c r="E21" s="254"/>
      <c r="F21" s="254"/>
      <c r="G21" s="254"/>
      <c r="H21" s="254"/>
      <c r="I21" s="254"/>
      <c r="J21" s="254"/>
      <c r="K21" s="254"/>
      <c r="L21" s="254"/>
      <c r="M21" s="254"/>
      <c r="N21" s="254"/>
      <c r="O21" s="254"/>
      <c r="P21" s="254"/>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62" s="131" customFormat="1" ht="20.25" customHeight="1">
      <c r="A22" s="252"/>
      <c r="B22" s="254"/>
      <c r="C22" s="254"/>
      <c r="D22" s="254" t="s">
        <v>577</v>
      </c>
      <c r="E22" s="254"/>
      <c r="F22" s="254"/>
      <c r="G22" s="254"/>
      <c r="H22" s="254"/>
      <c r="I22" s="254"/>
      <c r="J22" s="254"/>
      <c r="K22" s="254"/>
      <c r="L22" s="254"/>
      <c r="M22" s="254"/>
      <c r="N22" s="254"/>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5"/>
    </row>
    <row r="23" spans="1:62" s="131" customFormat="1" ht="20.25" customHeight="1">
      <c r="A23" s="252"/>
      <c r="B23" s="254"/>
      <c r="C23" s="254"/>
      <c r="D23" s="254" t="s">
        <v>581</v>
      </c>
      <c r="E23" s="254"/>
      <c r="F23" s="254"/>
      <c r="G23" s="254"/>
      <c r="H23" s="254"/>
      <c r="I23" s="254"/>
      <c r="J23" s="254"/>
      <c r="K23" s="254"/>
      <c r="L23" s="254"/>
      <c r="M23" s="254"/>
      <c r="N23" s="254"/>
      <c r="O23" s="254"/>
      <c r="P23" s="254"/>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62" s="131" customFormat="1" ht="20.25" customHeight="1">
      <c r="A24" s="252"/>
      <c r="B24" s="254"/>
      <c r="C24" s="254"/>
      <c r="D24" s="254"/>
      <c r="E24" s="254"/>
      <c r="F24" s="254"/>
      <c r="G24" s="254"/>
      <c r="H24" s="254"/>
      <c r="I24" s="254"/>
      <c r="J24" s="254"/>
      <c r="K24" s="254"/>
      <c r="L24" s="254"/>
      <c r="M24" s="254"/>
      <c r="N24" s="254"/>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5"/>
    </row>
    <row r="25" spans="1:62" s="131" customFormat="1" ht="20.25" customHeight="1">
      <c r="A25" s="252"/>
      <c r="B25" s="253" t="s">
        <v>455</v>
      </c>
      <c r="C25" s="254"/>
      <c r="D25" s="254"/>
      <c r="E25" s="254"/>
      <c r="F25" s="254"/>
      <c r="G25" s="254"/>
      <c r="H25" s="254"/>
      <c r="I25" s="254"/>
      <c r="J25" s="254"/>
      <c r="K25" s="254"/>
      <c r="L25" s="254"/>
      <c r="M25" s="254"/>
      <c r="N25" s="254"/>
      <c r="O25" s="254"/>
      <c r="P25" s="254"/>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5"/>
    </row>
    <row r="26" spans="1:62" s="131" customFormat="1" ht="20.25" customHeight="1">
      <c r="A26" s="252"/>
      <c r="B26" s="253"/>
      <c r="C26" s="254" t="s">
        <v>456</v>
      </c>
      <c r="D26" s="254"/>
      <c r="E26" s="254"/>
      <c r="F26" s="254"/>
      <c r="G26" s="254"/>
      <c r="H26" s="254"/>
      <c r="I26" s="254"/>
      <c r="J26" s="254"/>
      <c r="K26" s="254"/>
      <c r="L26" s="254"/>
      <c r="M26" s="254"/>
      <c r="N26" s="254"/>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5"/>
    </row>
    <row r="27" spans="1:62" s="131" customFormat="1" ht="20.25" customHeight="1">
      <c r="A27" s="252"/>
      <c r="B27" s="254"/>
      <c r="C27" s="254"/>
      <c r="F27" s="421" t="s">
        <v>381</v>
      </c>
      <c r="G27" s="422"/>
      <c r="H27" s="422"/>
      <c r="I27" s="422"/>
      <c r="J27" s="423"/>
      <c r="K27" s="279" t="s">
        <v>385</v>
      </c>
      <c r="L27" s="280"/>
      <c r="M27" s="280"/>
      <c r="N27" s="280"/>
      <c r="O27" s="280"/>
      <c r="P27" s="280"/>
      <c r="Q27" s="281"/>
      <c r="R27" s="421" t="s">
        <v>382</v>
      </c>
      <c r="S27" s="422"/>
      <c r="T27" s="422"/>
      <c r="U27" s="422"/>
      <c r="V27" s="422"/>
      <c r="W27" s="422"/>
      <c r="X27" s="423"/>
      <c r="Y27" s="421" t="s">
        <v>384</v>
      </c>
      <c r="Z27" s="422"/>
      <c r="AA27" s="422"/>
      <c r="AB27" s="422"/>
      <c r="AC27" s="422"/>
      <c r="AD27" s="422"/>
      <c r="AE27" s="422"/>
      <c r="AF27" s="422"/>
      <c r="AG27" s="422"/>
      <c r="AH27" s="423"/>
      <c r="AI27" s="421" t="s">
        <v>383</v>
      </c>
      <c r="AJ27" s="422"/>
      <c r="AK27" s="422"/>
      <c r="AL27" s="422"/>
      <c r="AM27" s="422"/>
      <c r="AN27" s="422"/>
      <c r="AO27" s="423"/>
      <c r="AP27" s="421" t="s">
        <v>357</v>
      </c>
      <c r="AQ27" s="422"/>
      <c r="AR27" s="422"/>
      <c r="AS27" s="422"/>
      <c r="AT27" s="422"/>
      <c r="AU27" s="422"/>
      <c r="AV27" s="422"/>
      <c r="AW27" s="422"/>
      <c r="AX27" s="423"/>
      <c r="AY27" s="424" t="s">
        <v>457</v>
      </c>
      <c r="AZ27" s="425"/>
      <c r="BA27" s="424" t="s">
        <v>458</v>
      </c>
      <c r="BB27" s="426"/>
      <c r="BC27" s="426"/>
      <c r="BD27" s="426"/>
      <c r="BE27" s="425"/>
      <c r="BF27" s="254"/>
      <c r="BG27" s="254"/>
      <c r="BH27" s="254"/>
      <c r="BI27" s="254"/>
      <c r="BJ27" s="255"/>
    </row>
    <row r="28" spans="1:62" s="131" customFormat="1" ht="20.25" customHeight="1">
      <c r="A28" s="252"/>
      <c r="B28" s="254"/>
      <c r="C28" s="254"/>
      <c r="F28" s="258" t="s">
        <v>420</v>
      </c>
      <c r="G28" s="259"/>
      <c r="H28" s="259"/>
      <c r="I28" s="259"/>
      <c r="J28" s="259"/>
      <c r="K28" s="261" t="s">
        <v>582</v>
      </c>
      <c r="L28" s="259"/>
      <c r="M28" s="259"/>
      <c r="N28" s="259"/>
      <c r="O28" s="259"/>
      <c r="P28" s="259"/>
      <c r="Q28" s="259"/>
      <c r="R28" s="265"/>
      <c r="S28" s="259"/>
      <c r="T28" s="259"/>
      <c r="U28" s="259"/>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c r="AU28" s="259"/>
      <c r="AV28" s="259"/>
      <c r="AW28" s="259"/>
      <c r="AX28" s="260"/>
      <c r="AY28" s="398">
        <v>1</v>
      </c>
      <c r="AZ28" s="399"/>
      <c r="BA28" s="400">
        <v>11000</v>
      </c>
      <c r="BB28" s="401"/>
      <c r="BC28" s="401"/>
      <c r="BD28" s="401"/>
      <c r="BE28" s="402"/>
      <c r="BF28" s="254"/>
      <c r="BG28" s="254"/>
      <c r="BH28" s="254"/>
      <c r="BI28" s="254"/>
      <c r="BJ28" s="255"/>
    </row>
    <row r="29" spans="1:62" s="131" customFormat="1" ht="20.25" customHeight="1">
      <c r="A29" s="252"/>
      <c r="B29" s="254"/>
      <c r="C29" s="254"/>
      <c r="F29" s="258"/>
      <c r="G29" s="259"/>
      <c r="H29" s="259"/>
      <c r="I29" s="259"/>
      <c r="J29" s="259"/>
      <c r="K29" s="264" t="s">
        <v>586</v>
      </c>
      <c r="L29" s="265"/>
      <c r="M29" s="265"/>
      <c r="N29" s="265"/>
      <c r="O29" s="265"/>
      <c r="P29" s="265"/>
      <c r="Q29" s="265"/>
      <c r="R29" s="264" t="s">
        <v>459</v>
      </c>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66"/>
      <c r="AY29" s="398">
        <v>2</v>
      </c>
      <c r="AZ29" s="399"/>
      <c r="BA29" s="400">
        <v>12000</v>
      </c>
      <c r="BB29" s="401"/>
      <c r="BC29" s="401"/>
      <c r="BD29" s="401"/>
      <c r="BE29" s="402"/>
      <c r="BF29" s="254"/>
      <c r="BG29" s="254"/>
      <c r="BH29" s="254"/>
      <c r="BI29" s="254"/>
      <c r="BJ29" s="255"/>
    </row>
    <row r="30" spans="1:62" s="131" customFormat="1" ht="20.25" customHeight="1">
      <c r="A30" s="252"/>
      <c r="B30" s="254"/>
      <c r="C30" s="254"/>
      <c r="F30" s="258"/>
      <c r="G30" s="259"/>
      <c r="H30" s="259"/>
      <c r="I30" s="259"/>
      <c r="J30" s="259"/>
      <c r="K30" s="258"/>
      <c r="L30" s="259"/>
      <c r="M30" s="259"/>
      <c r="N30" s="259"/>
      <c r="O30" s="259"/>
      <c r="P30" s="259"/>
      <c r="Q30" s="259"/>
      <c r="R30" s="258"/>
      <c r="S30" s="259"/>
      <c r="T30" s="259"/>
      <c r="U30" s="259"/>
      <c r="V30" s="259"/>
      <c r="W30" s="259"/>
      <c r="X30" s="259"/>
      <c r="Y30" s="261" t="s">
        <v>460</v>
      </c>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3"/>
      <c r="AY30" s="398">
        <v>3</v>
      </c>
      <c r="AZ30" s="399"/>
      <c r="BA30" s="400">
        <v>13000</v>
      </c>
      <c r="BB30" s="401"/>
      <c r="BC30" s="401"/>
      <c r="BD30" s="401"/>
      <c r="BE30" s="402"/>
      <c r="BF30" s="254"/>
      <c r="BG30" s="254"/>
      <c r="BH30" s="254"/>
      <c r="BI30" s="254"/>
      <c r="BJ30" s="255"/>
    </row>
    <row r="31" spans="1:62" s="131" customFormat="1" ht="20.25" customHeight="1">
      <c r="A31" s="252"/>
      <c r="B31" s="254"/>
      <c r="C31" s="254"/>
      <c r="F31" s="258"/>
      <c r="G31" s="259"/>
      <c r="H31" s="259"/>
      <c r="I31" s="259"/>
      <c r="J31" s="259"/>
      <c r="K31" s="258"/>
      <c r="L31" s="259"/>
      <c r="M31" s="259"/>
      <c r="N31" s="259"/>
      <c r="O31" s="259"/>
      <c r="P31" s="259"/>
      <c r="Q31" s="259"/>
      <c r="R31" s="258"/>
      <c r="S31" s="259"/>
      <c r="T31" s="259"/>
      <c r="U31" s="259"/>
      <c r="V31" s="259"/>
      <c r="W31" s="259"/>
      <c r="X31" s="259"/>
      <c r="Y31" s="264" t="s">
        <v>461</v>
      </c>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6"/>
      <c r="AY31" s="398">
        <v>4</v>
      </c>
      <c r="AZ31" s="399"/>
      <c r="BA31" s="400">
        <v>14000</v>
      </c>
      <c r="BB31" s="401"/>
      <c r="BC31" s="401"/>
      <c r="BD31" s="401"/>
      <c r="BE31" s="402"/>
      <c r="BF31" s="254"/>
      <c r="BG31" s="254"/>
      <c r="BH31" s="254"/>
      <c r="BI31" s="254"/>
      <c r="BJ31" s="255"/>
    </row>
    <row r="32" spans="1:62" s="131" customFormat="1" ht="20.25" customHeight="1">
      <c r="A32" s="252"/>
      <c r="B32" s="254"/>
      <c r="C32" s="254"/>
      <c r="F32" s="258"/>
      <c r="G32" s="259"/>
      <c r="H32" s="259"/>
      <c r="I32" s="259"/>
      <c r="J32" s="259"/>
      <c r="K32" s="267"/>
      <c r="L32" s="268"/>
      <c r="M32" s="268"/>
      <c r="N32" s="268"/>
      <c r="O32" s="268"/>
      <c r="P32" s="268"/>
      <c r="Q32" s="268"/>
      <c r="R32" s="267"/>
      <c r="S32" s="268"/>
      <c r="T32" s="268"/>
      <c r="U32" s="268"/>
      <c r="V32" s="268"/>
      <c r="W32" s="268"/>
      <c r="X32" s="268"/>
      <c r="Y32" s="267"/>
      <c r="Z32" s="268"/>
      <c r="AA32" s="268"/>
      <c r="AB32" s="268"/>
      <c r="AC32" s="268"/>
      <c r="AD32" s="268"/>
      <c r="AE32" s="268"/>
      <c r="AF32" s="268"/>
      <c r="AG32" s="268"/>
      <c r="AH32" s="268"/>
      <c r="AI32" s="261" t="s">
        <v>462</v>
      </c>
      <c r="AJ32" s="262"/>
      <c r="AK32" s="262"/>
      <c r="AL32" s="262"/>
      <c r="AM32" s="262"/>
      <c r="AN32" s="262"/>
      <c r="AO32" s="262"/>
      <c r="AP32" s="262"/>
      <c r="AQ32" s="262"/>
      <c r="AR32" s="262"/>
      <c r="AS32" s="262"/>
      <c r="AT32" s="262"/>
      <c r="AU32" s="262"/>
      <c r="AV32" s="262"/>
      <c r="AW32" s="262"/>
      <c r="AX32" s="263"/>
      <c r="AY32" s="398">
        <v>5</v>
      </c>
      <c r="AZ32" s="399"/>
      <c r="BA32" s="400">
        <v>15000</v>
      </c>
      <c r="BB32" s="401"/>
      <c r="BC32" s="401"/>
      <c r="BD32" s="401"/>
      <c r="BE32" s="402"/>
      <c r="BF32" s="254"/>
      <c r="BG32" s="254"/>
      <c r="BH32" s="254"/>
      <c r="BI32" s="254"/>
      <c r="BJ32" s="255"/>
    </row>
    <row r="33" spans="1:62" s="131" customFormat="1" ht="20.25" customHeight="1">
      <c r="A33" s="252"/>
      <c r="B33" s="254"/>
      <c r="C33" s="254"/>
      <c r="F33" s="258"/>
      <c r="G33" s="259"/>
      <c r="H33" s="259"/>
      <c r="I33" s="259"/>
      <c r="J33" s="259"/>
      <c r="K33" s="264" t="s">
        <v>583</v>
      </c>
      <c r="L33" s="265"/>
      <c r="M33" s="265"/>
      <c r="N33" s="265"/>
      <c r="O33" s="265"/>
      <c r="P33" s="265"/>
      <c r="Q33" s="266"/>
      <c r="R33" s="259"/>
      <c r="S33" s="259"/>
      <c r="T33" s="259"/>
      <c r="U33" s="259"/>
      <c r="V33" s="259"/>
      <c r="W33" s="259"/>
      <c r="X33" s="259"/>
      <c r="Y33" s="259" t="s">
        <v>463</v>
      </c>
      <c r="Z33" s="259"/>
      <c r="AA33" s="259"/>
      <c r="AB33" s="259"/>
      <c r="AC33" s="259"/>
      <c r="AD33" s="259"/>
      <c r="AE33" s="259"/>
      <c r="AF33" s="259"/>
      <c r="AG33" s="259"/>
      <c r="AH33" s="259"/>
      <c r="AI33" s="259"/>
      <c r="AJ33" s="259"/>
      <c r="AK33" s="259"/>
      <c r="AL33" s="259"/>
      <c r="AM33" s="259"/>
      <c r="AN33" s="259"/>
      <c r="AO33" s="259"/>
      <c r="AP33" s="259"/>
      <c r="AQ33" s="259"/>
      <c r="AR33" s="259"/>
      <c r="AS33" s="259"/>
      <c r="AT33" s="259"/>
      <c r="AU33" s="259"/>
      <c r="AV33" s="259"/>
      <c r="AW33" s="259"/>
      <c r="AX33" s="259"/>
      <c r="AY33" s="398">
        <v>6</v>
      </c>
      <c r="AZ33" s="399"/>
      <c r="BA33" s="400">
        <v>16000</v>
      </c>
      <c r="BB33" s="401"/>
      <c r="BC33" s="401"/>
      <c r="BD33" s="401"/>
      <c r="BE33" s="402"/>
      <c r="BF33" s="254"/>
      <c r="BG33" s="254"/>
      <c r="BH33" s="254"/>
      <c r="BI33" s="254"/>
      <c r="BJ33" s="255"/>
    </row>
    <row r="34" spans="1:62" s="131" customFormat="1" ht="20.25" customHeight="1">
      <c r="A34" s="252"/>
      <c r="B34" s="254"/>
      <c r="C34" s="254"/>
      <c r="F34" s="258"/>
      <c r="G34" s="259"/>
      <c r="H34" s="259"/>
      <c r="I34" s="259"/>
      <c r="J34" s="259"/>
      <c r="K34" s="258"/>
      <c r="L34" s="259"/>
      <c r="M34" s="259"/>
      <c r="N34" s="259"/>
      <c r="O34" s="259"/>
      <c r="P34" s="259"/>
      <c r="Q34" s="260"/>
      <c r="R34" s="259"/>
      <c r="S34" s="259"/>
      <c r="T34" s="259"/>
      <c r="U34" s="259"/>
      <c r="V34" s="259"/>
      <c r="W34" s="259"/>
      <c r="X34" s="259"/>
      <c r="Y34" s="259" t="s">
        <v>464</v>
      </c>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398">
        <v>7</v>
      </c>
      <c r="AZ34" s="399"/>
      <c r="BA34" s="400">
        <v>17000</v>
      </c>
      <c r="BB34" s="401"/>
      <c r="BC34" s="401"/>
      <c r="BD34" s="401"/>
      <c r="BE34" s="402"/>
      <c r="BF34" s="254"/>
      <c r="BG34" s="254"/>
      <c r="BH34" s="254"/>
      <c r="BI34" s="254"/>
      <c r="BJ34" s="255"/>
    </row>
    <row r="35" spans="1:62" s="131" customFormat="1" ht="20.25" customHeight="1">
      <c r="A35" s="252"/>
      <c r="B35" s="254"/>
      <c r="C35" s="254"/>
      <c r="F35" s="258"/>
      <c r="G35" s="259"/>
      <c r="H35" s="259"/>
      <c r="I35" s="259"/>
      <c r="J35" s="259"/>
      <c r="K35" s="258"/>
      <c r="L35" s="259"/>
      <c r="M35" s="259"/>
      <c r="N35" s="259"/>
      <c r="O35" s="259"/>
      <c r="P35" s="259"/>
      <c r="Q35" s="260"/>
      <c r="R35" s="259"/>
      <c r="S35" s="259"/>
      <c r="T35" s="259"/>
      <c r="U35" s="259"/>
      <c r="V35" s="259"/>
      <c r="W35" s="259"/>
      <c r="X35" s="259"/>
      <c r="Y35" s="259"/>
      <c r="Z35" s="259"/>
      <c r="AA35" s="259"/>
      <c r="AB35" s="259"/>
      <c r="AC35" s="259"/>
      <c r="AD35" s="259"/>
      <c r="AE35" s="259"/>
      <c r="AF35" s="259"/>
      <c r="AG35" s="259"/>
      <c r="AH35" s="259"/>
      <c r="AI35" s="268" t="s">
        <v>588</v>
      </c>
      <c r="AJ35" s="268"/>
      <c r="AK35" s="268"/>
      <c r="AL35" s="268"/>
      <c r="AM35" s="268"/>
      <c r="AN35" s="268"/>
      <c r="AO35" s="274"/>
      <c r="AP35" s="261" t="s">
        <v>584</v>
      </c>
      <c r="AQ35" s="262"/>
      <c r="AR35" s="262"/>
      <c r="AS35" s="262"/>
      <c r="AT35" s="262"/>
      <c r="AU35" s="262"/>
      <c r="AV35" s="262"/>
      <c r="AW35" s="262"/>
      <c r="AX35" s="263"/>
      <c r="AY35" s="398">
        <v>8</v>
      </c>
      <c r="AZ35" s="399"/>
      <c r="BA35" s="400">
        <v>18000</v>
      </c>
      <c r="BB35" s="401"/>
      <c r="BC35" s="401"/>
      <c r="BD35" s="401"/>
      <c r="BE35" s="402"/>
      <c r="BF35" s="254"/>
      <c r="BG35" s="254"/>
      <c r="BH35" s="254"/>
      <c r="BI35" s="254"/>
      <c r="BJ35" s="255"/>
    </row>
    <row r="36" spans="1:62" s="131" customFormat="1" ht="20.25" customHeight="1">
      <c r="A36" s="252"/>
      <c r="B36" s="254"/>
      <c r="C36" s="254"/>
      <c r="F36" s="258"/>
      <c r="G36" s="259"/>
      <c r="H36" s="259"/>
      <c r="I36" s="259"/>
      <c r="J36" s="259"/>
      <c r="K36" s="258"/>
      <c r="L36" s="259"/>
      <c r="M36" s="259"/>
      <c r="N36" s="259"/>
      <c r="O36" s="259"/>
      <c r="P36" s="259"/>
      <c r="Q36" s="260"/>
      <c r="R36" s="265" t="s">
        <v>428</v>
      </c>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6"/>
      <c r="AY36" s="398">
        <v>9</v>
      </c>
      <c r="AZ36" s="399"/>
      <c r="BA36" s="400">
        <v>19000</v>
      </c>
      <c r="BB36" s="401"/>
      <c r="BC36" s="401"/>
      <c r="BD36" s="401"/>
      <c r="BE36" s="402"/>
      <c r="BF36" s="254"/>
      <c r="BG36" s="254"/>
      <c r="BH36" s="254"/>
      <c r="BI36" s="254"/>
      <c r="BJ36" s="255"/>
    </row>
    <row r="37" spans="1:62" s="131" customFormat="1" ht="20.25" customHeight="1">
      <c r="A37" s="252"/>
      <c r="B37" s="254"/>
      <c r="C37" s="254"/>
      <c r="F37" s="258"/>
      <c r="G37" s="259"/>
      <c r="H37" s="259"/>
      <c r="I37" s="259"/>
      <c r="J37" s="259"/>
      <c r="K37" s="258"/>
      <c r="L37" s="259"/>
      <c r="M37" s="259"/>
      <c r="N37" s="259"/>
      <c r="O37" s="259"/>
      <c r="P37" s="259"/>
      <c r="Q37" s="259"/>
      <c r="R37" s="258"/>
      <c r="S37" s="259"/>
      <c r="T37" s="259"/>
      <c r="U37" s="259"/>
      <c r="V37" s="259"/>
      <c r="W37" s="259"/>
      <c r="X37" s="259"/>
      <c r="Y37" s="261" t="s">
        <v>465</v>
      </c>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3"/>
      <c r="AY37" s="398">
        <v>10</v>
      </c>
      <c r="AZ37" s="399"/>
      <c r="BA37" s="400">
        <v>20000</v>
      </c>
      <c r="BB37" s="401"/>
      <c r="BC37" s="401"/>
      <c r="BD37" s="401"/>
      <c r="BE37" s="402"/>
      <c r="BF37" s="254"/>
      <c r="BG37" s="254"/>
      <c r="BH37" s="254"/>
      <c r="BI37" s="254"/>
      <c r="BJ37" s="255"/>
    </row>
    <row r="38" spans="1:62" s="131" customFormat="1" ht="20.25" customHeight="1">
      <c r="A38" s="252"/>
      <c r="B38" s="254"/>
      <c r="C38" s="254"/>
      <c r="F38" s="258"/>
      <c r="G38" s="259"/>
      <c r="H38" s="259"/>
      <c r="I38" s="259"/>
      <c r="J38" s="259"/>
      <c r="K38" s="258"/>
      <c r="L38" s="259"/>
      <c r="M38" s="259"/>
      <c r="N38" s="259"/>
      <c r="O38" s="259"/>
      <c r="P38" s="259"/>
      <c r="Q38" s="259"/>
      <c r="R38" s="258"/>
      <c r="S38" s="259"/>
      <c r="T38" s="259"/>
      <c r="U38" s="259"/>
      <c r="V38" s="259"/>
      <c r="W38" s="259"/>
      <c r="X38" s="259"/>
      <c r="Y38" s="261" t="s">
        <v>429</v>
      </c>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3"/>
      <c r="AY38" s="398">
        <v>11</v>
      </c>
      <c r="AZ38" s="399"/>
      <c r="BA38" s="400">
        <v>21000</v>
      </c>
      <c r="BB38" s="401"/>
      <c r="BC38" s="401"/>
      <c r="BD38" s="401"/>
      <c r="BE38" s="402"/>
      <c r="BF38" s="254"/>
      <c r="BG38" s="254"/>
      <c r="BH38" s="254"/>
      <c r="BI38" s="254"/>
      <c r="BJ38" s="255"/>
    </row>
    <row r="39" spans="1:62" s="131" customFormat="1" ht="20.25" customHeight="1">
      <c r="A39" s="252"/>
      <c r="B39" s="254"/>
      <c r="C39" s="254"/>
      <c r="F39" s="258"/>
      <c r="G39" s="259"/>
      <c r="H39" s="259"/>
      <c r="I39" s="259"/>
      <c r="J39" s="259"/>
      <c r="K39" s="258"/>
      <c r="L39" s="259"/>
      <c r="M39" s="259"/>
      <c r="N39" s="259"/>
      <c r="O39" s="259"/>
      <c r="P39" s="259"/>
      <c r="Q39" s="259"/>
      <c r="R39" s="258"/>
      <c r="S39" s="259"/>
      <c r="T39" s="259"/>
      <c r="U39" s="259"/>
      <c r="V39" s="259"/>
      <c r="W39" s="259"/>
      <c r="X39" s="259"/>
      <c r="Y39" s="259"/>
      <c r="Z39" s="259"/>
      <c r="AA39" s="259"/>
      <c r="AB39" s="259"/>
      <c r="AC39" s="259"/>
      <c r="AD39" s="259"/>
      <c r="AE39" s="259"/>
      <c r="AF39" s="259"/>
      <c r="AG39" s="259"/>
      <c r="AH39" s="259"/>
      <c r="AI39" s="258" t="s">
        <v>466</v>
      </c>
      <c r="AJ39" s="259"/>
      <c r="AK39" s="259"/>
      <c r="AL39" s="259"/>
      <c r="AM39" s="259"/>
      <c r="AN39" s="259"/>
      <c r="AO39" s="259"/>
      <c r="AP39" s="259"/>
      <c r="AQ39" s="259"/>
      <c r="AR39" s="259"/>
      <c r="AS39" s="259"/>
      <c r="AT39" s="259"/>
      <c r="AU39" s="259"/>
      <c r="AV39" s="259"/>
      <c r="AW39" s="259"/>
      <c r="AX39" s="260"/>
      <c r="AY39" s="398">
        <v>12</v>
      </c>
      <c r="AZ39" s="399"/>
      <c r="BA39" s="400">
        <v>22000</v>
      </c>
      <c r="BB39" s="401"/>
      <c r="BC39" s="401"/>
      <c r="BD39" s="401"/>
      <c r="BE39" s="402"/>
      <c r="BF39" s="254"/>
      <c r="BG39" s="254"/>
      <c r="BH39" s="254"/>
      <c r="BI39" s="254"/>
      <c r="BJ39" s="255"/>
    </row>
    <row r="40" spans="1:62" s="131" customFormat="1" ht="20.25" customHeight="1">
      <c r="A40" s="252"/>
      <c r="B40" s="254"/>
      <c r="C40" s="254"/>
      <c r="F40" s="258"/>
      <c r="G40" s="259"/>
      <c r="H40" s="259"/>
      <c r="I40" s="259"/>
      <c r="J40" s="259"/>
      <c r="K40" s="258"/>
      <c r="L40" s="259"/>
      <c r="M40" s="259"/>
      <c r="N40" s="259"/>
      <c r="O40" s="259"/>
      <c r="P40" s="259"/>
      <c r="Q40" s="259"/>
      <c r="R40" s="258"/>
      <c r="S40" s="259"/>
      <c r="T40" s="259"/>
      <c r="U40" s="259"/>
      <c r="V40" s="259"/>
      <c r="W40" s="259"/>
      <c r="X40" s="259"/>
      <c r="Y40" s="259"/>
      <c r="Z40" s="259"/>
      <c r="AA40" s="259"/>
      <c r="AB40" s="259"/>
      <c r="AC40" s="259"/>
      <c r="AD40" s="259"/>
      <c r="AE40" s="259"/>
      <c r="AF40" s="259"/>
      <c r="AG40" s="259"/>
      <c r="AH40" s="259"/>
      <c r="AI40" s="258"/>
      <c r="AJ40" s="259"/>
      <c r="AK40" s="259"/>
      <c r="AL40" s="259"/>
      <c r="AM40" s="259"/>
      <c r="AN40" s="259"/>
      <c r="AO40" s="259"/>
      <c r="AP40" s="261" t="s">
        <v>433</v>
      </c>
      <c r="AQ40" s="262"/>
      <c r="AR40" s="262"/>
      <c r="AS40" s="262"/>
      <c r="AT40" s="262"/>
      <c r="AU40" s="262"/>
      <c r="AV40" s="262"/>
      <c r="AW40" s="262"/>
      <c r="AX40" s="263"/>
      <c r="AY40" s="398">
        <v>13</v>
      </c>
      <c r="AZ40" s="399"/>
      <c r="BA40" s="400">
        <v>23000</v>
      </c>
      <c r="BB40" s="401"/>
      <c r="BC40" s="401"/>
      <c r="BD40" s="401"/>
      <c r="BE40" s="402"/>
      <c r="BF40" s="254"/>
      <c r="BG40" s="254"/>
      <c r="BH40" s="254"/>
      <c r="BI40" s="254"/>
      <c r="BJ40" s="255"/>
    </row>
    <row r="41" spans="1:62" s="131" customFormat="1" ht="20.25" customHeight="1">
      <c r="A41" s="252"/>
      <c r="B41" s="254"/>
      <c r="C41" s="254"/>
      <c r="F41" s="258"/>
      <c r="G41" s="259"/>
      <c r="H41" s="259"/>
      <c r="I41" s="259"/>
      <c r="J41" s="259"/>
      <c r="K41" s="267"/>
      <c r="L41" s="268"/>
      <c r="M41" s="268"/>
      <c r="N41" s="268"/>
      <c r="O41" s="268"/>
      <c r="P41" s="268"/>
      <c r="Q41" s="268"/>
      <c r="R41" s="267"/>
      <c r="S41" s="268"/>
      <c r="T41" s="268"/>
      <c r="U41" s="268"/>
      <c r="V41" s="268"/>
      <c r="W41" s="268"/>
      <c r="X41" s="268"/>
      <c r="Y41" s="268"/>
      <c r="Z41" s="268"/>
      <c r="AA41" s="268"/>
      <c r="AB41" s="268"/>
      <c r="AC41" s="268"/>
      <c r="AD41" s="268"/>
      <c r="AE41" s="268"/>
      <c r="AF41" s="268"/>
      <c r="AG41" s="268"/>
      <c r="AH41" s="268"/>
      <c r="AI41" s="267"/>
      <c r="AJ41" s="268"/>
      <c r="AK41" s="268"/>
      <c r="AL41" s="268"/>
      <c r="AM41" s="268"/>
      <c r="AN41" s="268"/>
      <c r="AO41" s="268"/>
      <c r="AP41" s="261" t="s">
        <v>467</v>
      </c>
      <c r="AQ41" s="262"/>
      <c r="AR41" s="262"/>
      <c r="AS41" s="262"/>
      <c r="AT41" s="262"/>
      <c r="AU41" s="262"/>
      <c r="AV41" s="262"/>
      <c r="AW41" s="262"/>
      <c r="AX41" s="263"/>
      <c r="AY41" s="398">
        <v>14</v>
      </c>
      <c r="AZ41" s="399"/>
      <c r="BA41" s="400">
        <v>24000</v>
      </c>
      <c r="BB41" s="401"/>
      <c r="BC41" s="401"/>
      <c r="BD41" s="401"/>
      <c r="BE41" s="402"/>
      <c r="BF41" s="254"/>
      <c r="BG41" s="254"/>
      <c r="BH41" s="254"/>
      <c r="BI41" s="254"/>
      <c r="BJ41" s="255"/>
    </row>
    <row r="42" spans="1:62" s="131" customFormat="1" ht="20.25" customHeight="1">
      <c r="A42" s="252"/>
      <c r="B42" s="254"/>
      <c r="C42" s="254"/>
      <c r="F42" s="258"/>
      <c r="G42" s="259"/>
      <c r="H42" s="259"/>
      <c r="I42" s="259"/>
      <c r="J42" s="259"/>
      <c r="K42" s="264" t="s">
        <v>468</v>
      </c>
      <c r="L42" s="265"/>
      <c r="M42" s="265"/>
      <c r="N42" s="265"/>
      <c r="O42" s="265"/>
      <c r="P42" s="265"/>
      <c r="Q42" s="265"/>
      <c r="R42" s="264" t="s">
        <v>468</v>
      </c>
      <c r="S42" s="265"/>
      <c r="T42" s="265"/>
      <c r="U42" s="265"/>
      <c r="V42" s="265"/>
      <c r="W42" s="265"/>
      <c r="X42" s="265"/>
      <c r="Y42" s="265" t="s">
        <v>469</v>
      </c>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6"/>
      <c r="AY42" s="398">
        <v>15</v>
      </c>
      <c r="AZ42" s="399"/>
      <c r="BA42" s="400">
        <v>25000</v>
      </c>
      <c r="BB42" s="401"/>
      <c r="BC42" s="401"/>
      <c r="BD42" s="401"/>
      <c r="BE42" s="402"/>
      <c r="BF42" s="254"/>
      <c r="BG42" s="254"/>
      <c r="BH42" s="254"/>
      <c r="BI42" s="254"/>
      <c r="BJ42" s="255"/>
    </row>
    <row r="43" spans="1:62" s="131" customFormat="1" ht="20.25" customHeight="1">
      <c r="A43" s="252"/>
      <c r="B43" s="254"/>
      <c r="C43" s="254"/>
      <c r="F43" s="258"/>
      <c r="G43" s="259"/>
      <c r="H43" s="259"/>
      <c r="I43" s="259"/>
      <c r="J43" s="259"/>
      <c r="K43" s="258"/>
      <c r="L43" s="259"/>
      <c r="M43" s="259"/>
      <c r="N43" s="259"/>
      <c r="O43" s="259"/>
      <c r="P43" s="259"/>
      <c r="Q43" s="259"/>
      <c r="R43" s="258"/>
      <c r="S43" s="259"/>
      <c r="T43" s="259"/>
      <c r="U43" s="259"/>
      <c r="V43" s="259"/>
      <c r="W43" s="259"/>
      <c r="X43" s="259"/>
      <c r="Y43" s="259" t="s">
        <v>470</v>
      </c>
      <c r="Z43" s="259"/>
      <c r="AA43" s="259"/>
      <c r="AB43" s="259"/>
      <c r="AC43" s="259"/>
      <c r="AD43" s="259"/>
      <c r="AE43" s="259"/>
      <c r="AF43" s="259"/>
      <c r="AG43" s="259"/>
      <c r="AH43" s="259"/>
      <c r="AI43" s="259"/>
      <c r="AJ43" s="259"/>
      <c r="AK43" s="259"/>
      <c r="AL43" s="259"/>
      <c r="AM43" s="259"/>
      <c r="AN43" s="259"/>
      <c r="AO43" s="259"/>
      <c r="AP43" s="259"/>
      <c r="AQ43" s="259"/>
      <c r="AR43" s="259"/>
      <c r="AS43" s="259"/>
      <c r="AT43" s="259"/>
      <c r="AU43" s="259"/>
      <c r="AV43" s="259"/>
      <c r="AW43" s="259"/>
      <c r="AX43" s="260"/>
      <c r="AY43" s="398">
        <v>16</v>
      </c>
      <c r="AZ43" s="399"/>
      <c r="BA43" s="400">
        <v>26000</v>
      </c>
      <c r="BB43" s="401"/>
      <c r="BC43" s="401"/>
      <c r="BD43" s="401"/>
      <c r="BE43" s="402"/>
      <c r="BF43" s="254"/>
      <c r="BG43" s="254"/>
      <c r="BH43" s="254"/>
      <c r="BI43" s="254"/>
      <c r="BJ43" s="255"/>
    </row>
    <row r="44" spans="1:62" s="131" customFormat="1" ht="20.25" customHeight="1">
      <c r="A44" s="252"/>
      <c r="B44" s="254"/>
      <c r="C44" s="254"/>
      <c r="F44" s="258"/>
      <c r="G44" s="259"/>
      <c r="H44" s="259"/>
      <c r="I44" s="259"/>
      <c r="J44" s="259"/>
      <c r="K44" s="258"/>
      <c r="L44" s="259"/>
      <c r="M44" s="259"/>
      <c r="N44" s="259"/>
      <c r="O44" s="259"/>
      <c r="P44" s="259"/>
      <c r="Q44" s="259"/>
      <c r="R44" s="258"/>
      <c r="S44" s="259"/>
      <c r="T44" s="259"/>
      <c r="U44" s="259"/>
      <c r="V44" s="259"/>
      <c r="W44" s="259"/>
      <c r="X44" s="259"/>
      <c r="Y44" s="269" t="s">
        <v>471</v>
      </c>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2"/>
      <c r="AW44" s="262"/>
      <c r="AX44" s="263"/>
      <c r="AY44" s="398">
        <v>17</v>
      </c>
      <c r="AZ44" s="399"/>
      <c r="BA44" s="400">
        <v>27000</v>
      </c>
      <c r="BB44" s="401"/>
      <c r="BC44" s="401"/>
      <c r="BD44" s="401"/>
      <c r="BE44" s="402"/>
      <c r="BF44" s="254"/>
      <c r="BG44" s="254"/>
      <c r="BH44" s="254"/>
      <c r="BI44" s="254"/>
      <c r="BJ44" s="255"/>
    </row>
    <row r="45" spans="1:62" s="131" customFormat="1" ht="20.25" customHeight="1">
      <c r="A45" s="252"/>
      <c r="B45" s="254"/>
      <c r="C45" s="254"/>
      <c r="F45" s="267"/>
      <c r="G45" s="268"/>
      <c r="H45" s="268"/>
      <c r="I45" s="268"/>
      <c r="J45" s="268"/>
      <c r="K45" s="267"/>
      <c r="L45" s="268"/>
      <c r="M45" s="268"/>
      <c r="N45" s="268"/>
      <c r="O45" s="268"/>
      <c r="P45" s="268"/>
      <c r="Q45" s="268"/>
      <c r="R45" s="267"/>
      <c r="S45" s="268"/>
      <c r="T45" s="268"/>
      <c r="U45" s="268"/>
      <c r="V45" s="268"/>
      <c r="W45" s="268"/>
      <c r="X45" s="268"/>
      <c r="Y45" s="269" t="s">
        <v>472</v>
      </c>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2"/>
      <c r="AW45" s="262"/>
      <c r="AX45" s="263"/>
      <c r="AY45" s="398">
        <v>18</v>
      </c>
      <c r="AZ45" s="399"/>
      <c r="BA45" s="400">
        <v>28000</v>
      </c>
      <c r="BB45" s="401"/>
      <c r="BC45" s="401"/>
      <c r="BD45" s="401"/>
      <c r="BE45" s="402"/>
      <c r="BF45" s="254"/>
      <c r="BG45" s="254"/>
      <c r="BH45" s="254"/>
      <c r="BI45" s="254"/>
      <c r="BJ45" s="255"/>
    </row>
    <row r="46" spans="1:62" s="131" customFormat="1" ht="20.25" customHeight="1">
      <c r="A46" s="252"/>
      <c r="B46" s="254"/>
      <c r="C46" s="254"/>
      <c r="F46" s="267" t="s">
        <v>585</v>
      </c>
      <c r="G46" s="268"/>
      <c r="H46" s="268"/>
      <c r="I46" s="268"/>
      <c r="J46" s="262"/>
      <c r="K46" s="262"/>
      <c r="L46" s="262"/>
      <c r="M46" s="262"/>
      <c r="N46" s="262"/>
      <c r="O46" s="262"/>
      <c r="P46" s="262"/>
      <c r="Q46" s="262"/>
      <c r="R46" s="262"/>
      <c r="S46" s="262"/>
      <c r="T46" s="262"/>
      <c r="U46" s="262"/>
      <c r="V46" s="262"/>
      <c r="W46" s="262"/>
      <c r="X46" s="262"/>
      <c r="Y46" s="28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2"/>
      <c r="AW46" s="262"/>
      <c r="AX46" s="263"/>
      <c r="AY46" s="398">
        <v>19</v>
      </c>
      <c r="AZ46" s="399"/>
      <c r="BA46" s="400">
        <v>29000</v>
      </c>
      <c r="BB46" s="401"/>
      <c r="BC46" s="401"/>
      <c r="BD46" s="401"/>
      <c r="BE46" s="402"/>
      <c r="BF46" s="254"/>
      <c r="BG46" s="254"/>
      <c r="BH46" s="254"/>
      <c r="BI46" s="254"/>
      <c r="BJ46" s="255"/>
    </row>
    <row r="47" spans="1:62" s="131" customFormat="1" ht="20.25" customHeight="1">
      <c r="A47" s="252"/>
      <c r="B47" s="254"/>
      <c r="C47" s="254"/>
      <c r="D47" s="254"/>
      <c r="E47" s="254"/>
      <c r="F47" s="254"/>
      <c r="G47" s="254"/>
      <c r="H47" s="254"/>
      <c r="I47" s="254"/>
      <c r="J47" s="254"/>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5"/>
    </row>
    <row r="48" spans="1:62" s="131" customFormat="1" ht="20.25" customHeight="1">
      <c r="A48" s="252"/>
      <c r="B48" s="254"/>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5"/>
    </row>
    <row r="49" spans="1:113" s="131" customFormat="1" ht="20.25" customHeight="1">
      <c r="A49" s="252"/>
      <c r="B49" s="254"/>
      <c r="C49" s="254" t="s">
        <v>473</v>
      </c>
      <c r="D49" s="254"/>
      <c r="E49" s="254"/>
      <c r="F49" s="254"/>
      <c r="G49" s="254"/>
      <c r="H49" s="254"/>
      <c r="I49" s="254"/>
      <c r="J49" s="254"/>
      <c r="K49" s="254"/>
      <c r="L49" s="254"/>
      <c r="M49" s="254"/>
      <c r="N49" s="254"/>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5"/>
    </row>
    <row r="50" spans="1:113" s="131" customFormat="1" ht="20.25" customHeight="1">
      <c r="A50" s="252"/>
      <c r="B50" s="254"/>
      <c r="C50" s="254"/>
      <c r="F50" s="403" t="s">
        <v>381</v>
      </c>
      <c r="G50" s="403"/>
      <c r="H50" s="403"/>
      <c r="I50" s="403"/>
      <c r="J50" s="403"/>
      <c r="K50" s="403" t="s">
        <v>385</v>
      </c>
      <c r="L50" s="403"/>
      <c r="M50" s="403"/>
      <c r="N50" s="403"/>
      <c r="O50" s="403"/>
      <c r="P50" s="403"/>
      <c r="Q50" s="403"/>
      <c r="R50" s="403" t="s">
        <v>382</v>
      </c>
      <c r="S50" s="403"/>
      <c r="T50" s="403"/>
      <c r="U50" s="403"/>
      <c r="V50" s="403"/>
      <c r="W50" s="403"/>
      <c r="X50" s="403"/>
      <c r="Y50" s="403" t="s">
        <v>383</v>
      </c>
      <c r="Z50" s="403"/>
      <c r="AA50" s="403"/>
      <c r="AB50" s="403"/>
      <c r="AC50" s="403"/>
      <c r="AD50" s="403"/>
      <c r="AE50" s="403"/>
      <c r="AF50" s="403"/>
      <c r="AG50" s="403"/>
      <c r="AH50" s="403" t="s">
        <v>474</v>
      </c>
      <c r="AI50" s="403"/>
      <c r="AJ50" s="403"/>
      <c r="AK50" s="403"/>
      <c r="AL50" s="403"/>
      <c r="AM50" s="403"/>
      <c r="AN50" s="403"/>
      <c r="AO50" s="403"/>
      <c r="AP50" s="403"/>
      <c r="AQ50" s="403"/>
      <c r="AR50" s="403"/>
      <c r="AS50" s="403"/>
      <c r="AT50" s="403"/>
      <c r="AU50" s="403"/>
      <c r="AV50" s="404" t="s">
        <v>475</v>
      </c>
      <c r="AW50" s="405"/>
      <c r="AX50" s="408" t="s">
        <v>476</v>
      </c>
      <c r="AY50" s="409"/>
      <c r="AZ50" s="409"/>
      <c r="BA50" s="409"/>
      <c r="BB50" s="410"/>
      <c r="BD50" s="254"/>
      <c r="BE50" s="254"/>
      <c r="BF50" s="254"/>
      <c r="BG50" s="254"/>
      <c r="BH50" s="254"/>
      <c r="BI50" s="254"/>
      <c r="BJ50" s="255"/>
      <c r="BL50" s="191"/>
      <c r="BM50" s="191"/>
      <c r="DD50" s="191"/>
      <c r="DE50" s="191"/>
      <c r="DF50" s="191"/>
      <c r="DG50" s="191"/>
      <c r="DH50" s="191"/>
      <c r="DI50" s="191"/>
    </row>
    <row r="51" spans="1:113" s="131" customFormat="1" ht="20.25" customHeight="1">
      <c r="A51" s="252"/>
      <c r="B51" s="254"/>
      <c r="C51" s="254"/>
      <c r="F51" s="414" t="s">
        <v>477</v>
      </c>
      <c r="G51" s="414"/>
      <c r="H51" s="414"/>
      <c r="I51" s="414"/>
      <c r="J51" s="414"/>
      <c r="K51" s="414" t="s">
        <v>478</v>
      </c>
      <c r="L51" s="414"/>
      <c r="M51" s="414"/>
      <c r="N51" s="414"/>
      <c r="O51" s="414"/>
      <c r="P51" s="414"/>
      <c r="Q51" s="414"/>
      <c r="R51" s="414" t="s">
        <v>478</v>
      </c>
      <c r="S51" s="414"/>
      <c r="T51" s="414"/>
      <c r="U51" s="414"/>
      <c r="V51" s="414"/>
      <c r="W51" s="414"/>
      <c r="X51" s="414"/>
      <c r="Y51" s="414" t="s">
        <v>478</v>
      </c>
      <c r="Z51" s="414"/>
      <c r="AA51" s="414"/>
      <c r="AB51" s="414"/>
      <c r="AC51" s="414"/>
      <c r="AD51" s="414"/>
      <c r="AE51" s="414"/>
      <c r="AF51" s="414"/>
      <c r="AG51" s="414"/>
      <c r="AH51" s="414" t="s">
        <v>477</v>
      </c>
      <c r="AI51" s="414"/>
      <c r="AJ51" s="414"/>
      <c r="AK51" s="414"/>
      <c r="AL51" s="414"/>
      <c r="AM51" s="414"/>
      <c r="AN51" s="414"/>
      <c r="AO51" s="414"/>
      <c r="AP51" s="414"/>
      <c r="AQ51" s="414"/>
      <c r="AR51" s="414"/>
      <c r="AS51" s="414"/>
      <c r="AT51" s="414"/>
      <c r="AU51" s="414"/>
      <c r="AV51" s="406"/>
      <c r="AW51" s="407"/>
      <c r="AX51" s="411"/>
      <c r="AY51" s="412"/>
      <c r="AZ51" s="412"/>
      <c r="BA51" s="412"/>
      <c r="BB51" s="413"/>
      <c r="BD51" s="254"/>
      <c r="BE51" s="254"/>
      <c r="BF51" s="254"/>
      <c r="BG51" s="254"/>
      <c r="BH51" s="254"/>
      <c r="BI51" s="254"/>
      <c r="BJ51" s="255"/>
      <c r="BL51" s="191"/>
      <c r="BM51" s="191"/>
      <c r="DD51" s="191"/>
      <c r="DE51" s="191"/>
      <c r="DF51" s="191"/>
      <c r="DG51" s="191"/>
      <c r="DH51" s="191"/>
      <c r="DI51" s="191"/>
    </row>
    <row r="52" spans="1:113" s="131" customFormat="1" ht="20.25" customHeight="1">
      <c r="A52" s="252"/>
      <c r="B52" s="254"/>
      <c r="C52" s="254"/>
      <c r="F52" s="396" t="s">
        <v>479</v>
      </c>
      <c r="G52" s="396"/>
      <c r="H52" s="396"/>
      <c r="I52" s="396"/>
      <c r="J52" s="396"/>
      <c r="K52" s="396" t="s">
        <v>582</v>
      </c>
      <c r="L52" s="396"/>
      <c r="M52" s="396"/>
      <c r="N52" s="396"/>
      <c r="O52" s="396"/>
      <c r="P52" s="396"/>
      <c r="Q52" s="396"/>
      <c r="R52" s="396" t="s">
        <v>481</v>
      </c>
      <c r="S52" s="396"/>
      <c r="T52" s="396"/>
      <c r="U52" s="396"/>
      <c r="V52" s="396"/>
      <c r="W52" s="396"/>
      <c r="X52" s="396"/>
      <c r="Y52" s="396" t="s">
        <v>481</v>
      </c>
      <c r="Z52" s="396"/>
      <c r="AA52" s="396"/>
      <c r="AB52" s="396"/>
      <c r="AC52" s="396"/>
      <c r="AD52" s="396"/>
      <c r="AE52" s="396"/>
      <c r="AF52" s="396"/>
      <c r="AG52" s="396"/>
      <c r="AH52" s="397" t="s">
        <v>582</v>
      </c>
      <c r="AI52" s="397"/>
      <c r="AJ52" s="397"/>
      <c r="AK52" s="397"/>
      <c r="AL52" s="397"/>
      <c r="AM52" s="397"/>
      <c r="AN52" s="397"/>
      <c r="AO52" s="397"/>
      <c r="AP52" s="397"/>
      <c r="AQ52" s="397"/>
      <c r="AR52" s="397"/>
      <c r="AS52" s="397"/>
      <c r="AT52" s="397"/>
      <c r="AU52" s="397"/>
      <c r="AV52" s="398">
        <v>1</v>
      </c>
      <c r="AW52" s="399"/>
      <c r="AX52" s="400">
        <v>11000</v>
      </c>
      <c r="AY52" s="401"/>
      <c r="AZ52" s="401"/>
      <c r="BA52" s="401"/>
      <c r="BB52" s="402"/>
      <c r="BD52" s="254"/>
      <c r="BE52" s="254"/>
      <c r="BF52" s="254"/>
      <c r="BG52" s="254"/>
      <c r="BH52" s="254"/>
      <c r="BI52" s="254"/>
      <c r="BJ52" s="255"/>
      <c r="BL52" s="191"/>
      <c r="BM52" s="191"/>
      <c r="DD52" s="191"/>
      <c r="DE52" s="191"/>
      <c r="DF52" s="191"/>
      <c r="DG52" s="191"/>
      <c r="DH52" s="191"/>
      <c r="DI52" s="191"/>
    </row>
    <row r="53" spans="1:113" s="131" customFormat="1" ht="20.25" customHeight="1">
      <c r="A53" s="252"/>
      <c r="B53" s="254"/>
      <c r="C53" s="254"/>
      <c r="F53" s="396" t="s">
        <v>479</v>
      </c>
      <c r="G53" s="396"/>
      <c r="H53" s="396"/>
      <c r="I53" s="396"/>
      <c r="J53" s="396"/>
      <c r="K53" s="396" t="s">
        <v>586</v>
      </c>
      <c r="L53" s="396"/>
      <c r="M53" s="396"/>
      <c r="N53" s="396"/>
      <c r="O53" s="396"/>
      <c r="P53" s="396"/>
      <c r="Q53" s="396"/>
      <c r="R53" s="396" t="s">
        <v>480</v>
      </c>
      <c r="S53" s="396"/>
      <c r="T53" s="396"/>
      <c r="U53" s="396"/>
      <c r="V53" s="396"/>
      <c r="W53" s="396"/>
      <c r="X53" s="396"/>
      <c r="Y53" s="396" t="s">
        <v>481</v>
      </c>
      <c r="Z53" s="396"/>
      <c r="AA53" s="396"/>
      <c r="AB53" s="396"/>
      <c r="AC53" s="396"/>
      <c r="AD53" s="396"/>
      <c r="AE53" s="396"/>
      <c r="AF53" s="396"/>
      <c r="AG53" s="396"/>
      <c r="AH53" s="397" t="s">
        <v>480</v>
      </c>
      <c r="AI53" s="397"/>
      <c r="AJ53" s="397"/>
      <c r="AK53" s="397"/>
      <c r="AL53" s="397"/>
      <c r="AM53" s="397"/>
      <c r="AN53" s="397"/>
      <c r="AO53" s="397"/>
      <c r="AP53" s="397"/>
      <c r="AQ53" s="397"/>
      <c r="AR53" s="397"/>
      <c r="AS53" s="397"/>
      <c r="AT53" s="397"/>
      <c r="AU53" s="397"/>
      <c r="AV53" s="398">
        <v>2</v>
      </c>
      <c r="AW53" s="399"/>
      <c r="AX53" s="400">
        <v>12000</v>
      </c>
      <c r="AY53" s="401"/>
      <c r="AZ53" s="401"/>
      <c r="BA53" s="401"/>
      <c r="BB53" s="402"/>
      <c r="BD53" s="254"/>
      <c r="BE53" s="254"/>
      <c r="BF53" s="254"/>
      <c r="BG53" s="254"/>
      <c r="BH53" s="254"/>
      <c r="BI53" s="254"/>
      <c r="BJ53" s="255"/>
      <c r="BL53" s="191"/>
      <c r="BM53" s="191"/>
      <c r="DD53" s="191"/>
      <c r="DE53" s="191"/>
      <c r="DF53" s="191"/>
      <c r="DG53" s="191"/>
      <c r="DH53" s="191"/>
      <c r="DI53" s="191"/>
    </row>
    <row r="54" spans="1:113" s="131" customFormat="1" ht="20.25" customHeight="1">
      <c r="A54" s="252"/>
      <c r="B54" s="254"/>
      <c r="C54" s="254"/>
      <c r="F54" s="396" t="s">
        <v>479</v>
      </c>
      <c r="G54" s="396"/>
      <c r="H54" s="396"/>
      <c r="I54" s="396"/>
      <c r="J54" s="396"/>
      <c r="K54" s="396" t="s">
        <v>586</v>
      </c>
      <c r="L54" s="396"/>
      <c r="M54" s="396"/>
      <c r="N54" s="396"/>
      <c r="O54" s="396"/>
      <c r="P54" s="396"/>
      <c r="Q54" s="396"/>
      <c r="R54" s="396" t="s">
        <v>480</v>
      </c>
      <c r="S54" s="396"/>
      <c r="T54" s="396"/>
      <c r="U54" s="396"/>
      <c r="V54" s="396"/>
      <c r="W54" s="396"/>
      <c r="X54" s="396"/>
      <c r="Y54" s="396" t="s">
        <v>481</v>
      </c>
      <c r="Z54" s="396"/>
      <c r="AA54" s="396"/>
      <c r="AB54" s="396"/>
      <c r="AC54" s="396"/>
      <c r="AD54" s="396"/>
      <c r="AE54" s="396"/>
      <c r="AF54" s="396"/>
      <c r="AG54" s="396"/>
      <c r="AH54" s="397" t="s">
        <v>482</v>
      </c>
      <c r="AI54" s="397"/>
      <c r="AJ54" s="397"/>
      <c r="AK54" s="397"/>
      <c r="AL54" s="397"/>
      <c r="AM54" s="397"/>
      <c r="AN54" s="397"/>
      <c r="AO54" s="397"/>
      <c r="AP54" s="397"/>
      <c r="AQ54" s="397"/>
      <c r="AR54" s="397"/>
      <c r="AS54" s="397"/>
      <c r="AT54" s="397"/>
      <c r="AU54" s="397"/>
      <c r="AV54" s="398">
        <v>3</v>
      </c>
      <c r="AW54" s="399"/>
      <c r="AX54" s="400">
        <v>13000</v>
      </c>
      <c r="AY54" s="401"/>
      <c r="AZ54" s="401"/>
      <c r="BA54" s="401"/>
      <c r="BB54" s="402"/>
      <c r="BF54" s="254"/>
      <c r="BG54" s="254"/>
      <c r="BH54" s="254"/>
      <c r="BI54" s="254"/>
      <c r="BJ54" s="255"/>
      <c r="BL54" s="191"/>
      <c r="BM54" s="191"/>
      <c r="DD54" s="191"/>
      <c r="DE54" s="191"/>
      <c r="DF54" s="191"/>
      <c r="DG54" s="191"/>
      <c r="DH54" s="191"/>
      <c r="DI54" s="191"/>
    </row>
    <row r="55" spans="1:113" s="131" customFormat="1" ht="20.25" customHeight="1">
      <c r="A55" s="252"/>
      <c r="B55" s="254"/>
      <c r="C55" s="254"/>
      <c r="F55" s="396" t="s">
        <v>479</v>
      </c>
      <c r="G55" s="396"/>
      <c r="H55" s="396"/>
      <c r="I55" s="396"/>
      <c r="J55" s="396"/>
      <c r="K55" s="396" t="s">
        <v>586</v>
      </c>
      <c r="L55" s="396"/>
      <c r="M55" s="396"/>
      <c r="N55" s="396"/>
      <c r="O55" s="396"/>
      <c r="P55" s="396"/>
      <c r="Q55" s="396"/>
      <c r="R55" s="396" t="s">
        <v>480</v>
      </c>
      <c r="S55" s="396"/>
      <c r="T55" s="396"/>
      <c r="U55" s="396"/>
      <c r="V55" s="396"/>
      <c r="W55" s="396"/>
      <c r="X55" s="396"/>
      <c r="Y55" s="396" t="s">
        <v>481</v>
      </c>
      <c r="Z55" s="396"/>
      <c r="AA55" s="396"/>
      <c r="AB55" s="396"/>
      <c r="AC55" s="396"/>
      <c r="AD55" s="396"/>
      <c r="AE55" s="396"/>
      <c r="AF55" s="396"/>
      <c r="AG55" s="396"/>
      <c r="AH55" s="397" t="s">
        <v>483</v>
      </c>
      <c r="AI55" s="397"/>
      <c r="AJ55" s="397"/>
      <c r="AK55" s="397"/>
      <c r="AL55" s="397"/>
      <c r="AM55" s="397"/>
      <c r="AN55" s="397"/>
      <c r="AO55" s="397"/>
      <c r="AP55" s="397"/>
      <c r="AQ55" s="397"/>
      <c r="AR55" s="397"/>
      <c r="AS55" s="397"/>
      <c r="AT55" s="397"/>
      <c r="AU55" s="397"/>
      <c r="AV55" s="398">
        <v>4</v>
      </c>
      <c r="AW55" s="399"/>
      <c r="AX55" s="400">
        <v>14000</v>
      </c>
      <c r="AY55" s="401"/>
      <c r="AZ55" s="401"/>
      <c r="BA55" s="401"/>
      <c r="BB55" s="402"/>
      <c r="BF55" s="254"/>
      <c r="BG55" s="254"/>
      <c r="BH55" s="254"/>
      <c r="BI55" s="254"/>
      <c r="BJ55" s="255"/>
      <c r="BL55" s="191"/>
      <c r="BM55" s="191"/>
      <c r="DD55" s="191"/>
      <c r="DE55" s="191"/>
      <c r="DF55" s="191"/>
      <c r="DG55" s="191"/>
      <c r="DH55" s="191"/>
      <c r="DI55" s="191"/>
    </row>
    <row r="56" spans="1:113" s="131" customFormat="1" ht="20.25" customHeight="1">
      <c r="A56" s="252"/>
      <c r="B56" s="254"/>
      <c r="C56" s="254"/>
      <c r="F56" s="396" t="s">
        <v>479</v>
      </c>
      <c r="G56" s="396"/>
      <c r="H56" s="396"/>
      <c r="I56" s="396"/>
      <c r="J56" s="396"/>
      <c r="K56" s="396" t="s">
        <v>586</v>
      </c>
      <c r="L56" s="396"/>
      <c r="M56" s="396"/>
      <c r="N56" s="396"/>
      <c r="O56" s="396"/>
      <c r="P56" s="396"/>
      <c r="Q56" s="396"/>
      <c r="R56" s="396" t="s">
        <v>480</v>
      </c>
      <c r="S56" s="396"/>
      <c r="T56" s="396"/>
      <c r="U56" s="396"/>
      <c r="V56" s="396"/>
      <c r="W56" s="396"/>
      <c r="X56" s="396"/>
      <c r="Y56" s="396" t="s">
        <v>484</v>
      </c>
      <c r="Z56" s="396"/>
      <c r="AA56" s="396"/>
      <c r="AB56" s="396"/>
      <c r="AC56" s="396"/>
      <c r="AD56" s="396"/>
      <c r="AE56" s="396"/>
      <c r="AF56" s="396"/>
      <c r="AG56" s="396"/>
      <c r="AH56" s="397" t="s">
        <v>510</v>
      </c>
      <c r="AI56" s="397"/>
      <c r="AJ56" s="397"/>
      <c r="AK56" s="397"/>
      <c r="AL56" s="397"/>
      <c r="AM56" s="397"/>
      <c r="AN56" s="397"/>
      <c r="AO56" s="397"/>
      <c r="AP56" s="397"/>
      <c r="AQ56" s="397"/>
      <c r="AR56" s="397"/>
      <c r="AS56" s="397"/>
      <c r="AT56" s="397"/>
      <c r="AU56" s="397"/>
      <c r="AV56" s="398">
        <v>5</v>
      </c>
      <c r="AW56" s="399"/>
      <c r="AX56" s="400">
        <v>15000</v>
      </c>
      <c r="AY56" s="401"/>
      <c r="AZ56" s="401"/>
      <c r="BA56" s="401"/>
      <c r="BB56" s="402"/>
      <c r="BF56" s="254"/>
      <c r="BG56" s="254"/>
      <c r="BH56" s="254"/>
      <c r="BI56" s="254"/>
      <c r="BJ56" s="255"/>
      <c r="BL56" s="191"/>
      <c r="BM56" s="191"/>
      <c r="DD56" s="191"/>
      <c r="DE56" s="191"/>
      <c r="DF56" s="191"/>
      <c r="DG56" s="191"/>
      <c r="DH56" s="191"/>
      <c r="DI56" s="191"/>
    </row>
    <row r="57" spans="1:113" s="131" customFormat="1" ht="20.25" customHeight="1">
      <c r="A57" s="252"/>
      <c r="B57" s="254"/>
      <c r="C57" s="254"/>
      <c r="F57" s="396" t="s">
        <v>479</v>
      </c>
      <c r="G57" s="396"/>
      <c r="H57" s="396"/>
      <c r="I57" s="396"/>
      <c r="J57" s="396"/>
      <c r="K57" s="396" t="s">
        <v>587</v>
      </c>
      <c r="L57" s="396"/>
      <c r="M57" s="396"/>
      <c r="N57" s="396"/>
      <c r="O57" s="396"/>
      <c r="P57" s="396"/>
      <c r="Q57" s="396"/>
      <c r="R57" s="396" t="s">
        <v>486</v>
      </c>
      <c r="S57" s="396"/>
      <c r="T57" s="396"/>
      <c r="U57" s="396"/>
      <c r="V57" s="396"/>
      <c r="W57" s="396"/>
      <c r="X57" s="396"/>
      <c r="Y57" s="396" t="s">
        <v>481</v>
      </c>
      <c r="Z57" s="396"/>
      <c r="AA57" s="396"/>
      <c r="AB57" s="396"/>
      <c r="AC57" s="396"/>
      <c r="AD57" s="396"/>
      <c r="AE57" s="396"/>
      <c r="AF57" s="396"/>
      <c r="AG57" s="396"/>
      <c r="AH57" s="397" t="s">
        <v>485</v>
      </c>
      <c r="AI57" s="397"/>
      <c r="AJ57" s="397"/>
      <c r="AK57" s="397"/>
      <c r="AL57" s="397"/>
      <c r="AM57" s="397"/>
      <c r="AN57" s="397"/>
      <c r="AO57" s="397"/>
      <c r="AP57" s="397"/>
      <c r="AQ57" s="397"/>
      <c r="AR57" s="397"/>
      <c r="AS57" s="397"/>
      <c r="AT57" s="397"/>
      <c r="AU57" s="397"/>
      <c r="AV57" s="398">
        <v>6</v>
      </c>
      <c r="AW57" s="399"/>
      <c r="AX57" s="400">
        <v>16000</v>
      </c>
      <c r="AY57" s="401"/>
      <c r="AZ57" s="401"/>
      <c r="BA57" s="401"/>
      <c r="BB57" s="402"/>
      <c r="BF57" s="254"/>
      <c r="BG57" s="254"/>
      <c r="BH57" s="254"/>
      <c r="BI57" s="254"/>
      <c r="BJ57" s="255"/>
      <c r="BL57" s="191"/>
      <c r="BM57" s="191"/>
      <c r="DD57" s="191"/>
      <c r="DE57" s="191"/>
      <c r="DF57" s="191"/>
      <c r="DG57" s="191"/>
      <c r="DH57" s="191"/>
      <c r="DI57" s="191"/>
    </row>
    <row r="58" spans="1:113" s="131" customFormat="1" ht="20.25" customHeight="1">
      <c r="A58" s="252"/>
      <c r="B58" s="254"/>
      <c r="C58" s="254"/>
      <c r="F58" s="396" t="s">
        <v>479</v>
      </c>
      <c r="G58" s="396"/>
      <c r="H58" s="396"/>
      <c r="I58" s="396"/>
      <c r="J58" s="396"/>
      <c r="K58" s="396" t="s">
        <v>587</v>
      </c>
      <c r="L58" s="396"/>
      <c r="M58" s="396"/>
      <c r="N58" s="396"/>
      <c r="O58" s="396"/>
      <c r="P58" s="396"/>
      <c r="Q58" s="396"/>
      <c r="R58" s="396" t="s">
        <v>486</v>
      </c>
      <c r="S58" s="396"/>
      <c r="T58" s="396"/>
      <c r="U58" s="396"/>
      <c r="V58" s="396"/>
      <c r="W58" s="396"/>
      <c r="X58" s="396"/>
      <c r="Y58" s="396" t="s">
        <v>486</v>
      </c>
      <c r="Z58" s="396"/>
      <c r="AA58" s="396"/>
      <c r="AB58" s="396"/>
      <c r="AC58" s="396"/>
      <c r="AD58" s="396"/>
      <c r="AE58" s="396"/>
      <c r="AF58" s="396"/>
      <c r="AG58" s="396"/>
      <c r="AH58" s="397" t="s">
        <v>487</v>
      </c>
      <c r="AI58" s="397"/>
      <c r="AJ58" s="397"/>
      <c r="AK58" s="397"/>
      <c r="AL58" s="397"/>
      <c r="AM58" s="397"/>
      <c r="AN58" s="397"/>
      <c r="AO58" s="397"/>
      <c r="AP58" s="397"/>
      <c r="AQ58" s="397"/>
      <c r="AR58" s="397"/>
      <c r="AS58" s="397"/>
      <c r="AT58" s="397"/>
      <c r="AU58" s="397"/>
      <c r="AV58" s="398">
        <v>7</v>
      </c>
      <c r="AW58" s="399"/>
      <c r="AX58" s="400">
        <v>17000</v>
      </c>
      <c r="AY58" s="401"/>
      <c r="AZ58" s="401"/>
      <c r="BA58" s="401"/>
      <c r="BB58" s="402"/>
      <c r="BF58" s="254"/>
      <c r="BG58" s="254"/>
      <c r="BH58" s="254"/>
      <c r="BI58" s="254"/>
      <c r="BJ58" s="255"/>
      <c r="BL58" s="191"/>
      <c r="BM58" s="191"/>
      <c r="DD58" s="191"/>
      <c r="DE58" s="191"/>
      <c r="DF58" s="191"/>
      <c r="DG58" s="191"/>
      <c r="DH58" s="191"/>
      <c r="DI58" s="191"/>
    </row>
    <row r="59" spans="1:113" s="131" customFormat="1" ht="20.25" customHeight="1">
      <c r="A59" s="252"/>
      <c r="B59" s="254"/>
      <c r="C59" s="254"/>
      <c r="F59" s="396" t="s">
        <v>479</v>
      </c>
      <c r="G59" s="396"/>
      <c r="H59" s="396"/>
      <c r="I59" s="396"/>
      <c r="J59" s="396"/>
      <c r="K59" s="396" t="s">
        <v>587</v>
      </c>
      <c r="L59" s="396"/>
      <c r="M59" s="396"/>
      <c r="N59" s="396"/>
      <c r="O59" s="396"/>
      <c r="P59" s="396"/>
      <c r="Q59" s="396"/>
      <c r="R59" s="396" t="s">
        <v>481</v>
      </c>
      <c r="S59" s="396"/>
      <c r="T59" s="396"/>
      <c r="U59" s="396"/>
      <c r="V59" s="396"/>
      <c r="W59" s="396"/>
      <c r="X59" s="396"/>
      <c r="Y59" s="396" t="s">
        <v>588</v>
      </c>
      <c r="Z59" s="396"/>
      <c r="AA59" s="396"/>
      <c r="AB59" s="396"/>
      <c r="AC59" s="396"/>
      <c r="AD59" s="396"/>
      <c r="AE59" s="396"/>
      <c r="AF59" s="396"/>
      <c r="AG59" s="396"/>
      <c r="AH59" s="397" t="s">
        <v>584</v>
      </c>
      <c r="AI59" s="397"/>
      <c r="AJ59" s="397"/>
      <c r="AK59" s="397"/>
      <c r="AL59" s="397"/>
      <c r="AM59" s="397"/>
      <c r="AN59" s="397"/>
      <c r="AO59" s="397"/>
      <c r="AP59" s="397"/>
      <c r="AQ59" s="397"/>
      <c r="AR59" s="397"/>
      <c r="AS59" s="397"/>
      <c r="AT59" s="397"/>
      <c r="AU59" s="397"/>
      <c r="AV59" s="398">
        <v>8</v>
      </c>
      <c r="AW59" s="399"/>
      <c r="AX59" s="400">
        <v>18000</v>
      </c>
      <c r="AY59" s="401"/>
      <c r="AZ59" s="401"/>
      <c r="BA59" s="401"/>
      <c r="BB59" s="402"/>
      <c r="BF59" s="254"/>
      <c r="BG59" s="254"/>
      <c r="BH59" s="254"/>
      <c r="BI59" s="254"/>
      <c r="BJ59" s="255"/>
      <c r="BL59" s="191"/>
      <c r="BM59" s="191"/>
      <c r="DD59" s="191"/>
      <c r="DE59" s="191"/>
      <c r="DF59" s="191"/>
      <c r="DG59" s="191"/>
      <c r="DH59" s="191"/>
      <c r="DI59" s="191"/>
    </row>
    <row r="60" spans="1:113" s="131" customFormat="1" ht="20.25" customHeight="1">
      <c r="A60" s="252"/>
      <c r="B60" s="254"/>
      <c r="C60" s="254"/>
      <c r="F60" s="396" t="s">
        <v>479</v>
      </c>
      <c r="G60" s="396"/>
      <c r="H60" s="396"/>
      <c r="I60" s="396"/>
      <c r="J60" s="396"/>
      <c r="K60" s="396" t="s">
        <v>587</v>
      </c>
      <c r="L60" s="396"/>
      <c r="M60" s="396"/>
      <c r="N60" s="396"/>
      <c r="O60" s="396"/>
      <c r="P60" s="396"/>
      <c r="Q60" s="396"/>
      <c r="R60" s="396" t="s">
        <v>488</v>
      </c>
      <c r="S60" s="396"/>
      <c r="T60" s="396"/>
      <c r="U60" s="396"/>
      <c r="V60" s="396"/>
      <c r="W60" s="396"/>
      <c r="X60" s="396"/>
      <c r="Y60" s="396" t="s">
        <v>481</v>
      </c>
      <c r="Z60" s="396"/>
      <c r="AA60" s="396"/>
      <c r="AB60" s="396"/>
      <c r="AC60" s="396"/>
      <c r="AD60" s="396"/>
      <c r="AE60" s="396"/>
      <c r="AF60" s="396"/>
      <c r="AG60" s="396"/>
      <c r="AH60" s="397" t="s">
        <v>488</v>
      </c>
      <c r="AI60" s="397"/>
      <c r="AJ60" s="397"/>
      <c r="AK60" s="397"/>
      <c r="AL60" s="397"/>
      <c r="AM60" s="397"/>
      <c r="AN60" s="397"/>
      <c r="AO60" s="397"/>
      <c r="AP60" s="397"/>
      <c r="AQ60" s="397"/>
      <c r="AR60" s="397"/>
      <c r="AS60" s="397"/>
      <c r="AT60" s="397"/>
      <c r="AU60" s="397"/>
      <c r="AV60" s="398">
        <v>9</v>
      </c>
      <c r="AW60" s="399"/>
      <c r="AX60" s="400">
        <v>19000</v>
      </c>
      <c r="AY60" s="401"/>
      <c r="AZ60" s="401"/>
      <c r="BA60" s="401"/>
      <c r="BB60" s="402"/>
      <c r="BF60" s="254"/>
      <c r="BG60" s="254"/>
      <c r="BH60" s="254"/>
      <c r="BI60" s="254"/>
      <c r="BJ60" s="255"/>
      <c r="BL60" s="191"/>
      <c r="BM60" s="191"/>
      <c r="DD60" s="191"/>
      <c r="DE60" s="191"/>
      <c r="DF60" s="191"/>
      <c r="DG60" s="191"/>
      <c r="DH60" s="191"/>
      <c r="DI60" s="191"/>
    </row>
    <row r="61" spans="1:113" s="131" customFormat="1" ht="20.25" customHeight="1">
      <c r="A61" s="252"/>
      <c r="B61" s="254"/>
      <c r="C61" s="254"/>
      <c r="F61" s="396" t="s">
        <v>479</v>
      </c>
      <c r="G61" s="396"/>
      <c r="H61" s="396"/>
      <c r="I61" s="396"/>
      <c r="J61" s="396"/>
      <c r="K61" s="396" t="s">
        <v>587</v>
      </c>
      <c r="L61" s="396"/>
      <c r="M61" s="396"/>
      <c r="N61" s="396"/>
      <c r="O61" s="396"/>
      <c r="P61" s="396"/>
      <c r="Q61" s="396"/>
      <c r="R61" s="396" t="s">
        <v>488</v>
      </c>
      <c r="S61" s="396"/>
      <c r="T61" s="396"/>
      <c r="U61" s="396"/>
      <c r="V61" s="396"/>
      <c r="W61" s="396"/>
      <c r="X61" s="396"/>
      <c r="Y61" s="396" t="s">
        <v>481</v>
      </c>
      <c r="Z61" s="396"/>
      <c r="AA61" s="396"/>
      <c r="AB61" s="396"/>
      <c r="AC61" s="396"/>
      <c r="AD61" s="396"/>
      <c r="AE61" s="396"/>
      <c r="AF61" s="396"/>
      <c r="AG61" s="396"/>
      <c r="AH61" s="397" t="s">
        <v>489</v>
      </c>
      <c r="AI61" s="397"/>
      <c r="AJ61" s="397"/>
      <c r="AK61" s="397"/>
      <c r="AL61" s="397"/>
      <c r="AM61" s="397"/>
      <c r="AN61" s="397"/>
      <c r="AO61" s="397"/>
      <c r="AP61" s="397"/>
      <c r="AQ61" s="397"/>
      <c r="AR61" s="397"/>
      <c r="AS61" s="397"/>
      <c r="AT61" s="397"/>
      <c r="AU61" s="397"/>
      <c r="AV61" s="398">
        <v>10</v>
      </c>
      <c r="AW61" s="399"/>
      <c r="AX61" s="400">
        <v>20000</v>
      </c>
      <c r="AY61" s="401"/>
      <c r="AZ61" s="401"/>
      <c r="BA61" s="401"/>
      <c r="BB61" s="402"/>
      <c r="BF61" s="254"/>
      <c r="BG61" s="254"/>
      <c r="BH61" s="254"/>
      <c r="BI61" s="254"/>
      <c r="BJ61" s="255"/>
      <c r="BL61" s="191"/>
      <c r="BM61" s="191"/>
      <c r="DD61" s="191"/>
      <c r="DE61" s="191"/>
      <c r="DF61" s="191"/>
      <c r="DG61" s="191"/>
      <c r="DH61" s="191"/>
      <c r="DI61" s="191"/>
    </row>
    <row r="62" spans="1:113" s="131" customFormat="1" ht="20.25" customHeight="1">
      <c r="A62" s="252"/>
      <c r="B62" s="254"/>
      <c r="C62" s="254"/>
      <c r="F62" s="396" t="s">
        <v>479</v>
      </c>
      <c r="G62" s="396"/>
      <c r="H62" s="396"/>
      <c r="I62" s="396"/>
      <c r="J62" s="396"/>
      <c r="K62" s="396" t="s">
        <v>587</v>
      </c>
      <c r="L62" s="396"/>
      <c r="M62" s="396"/>
      <c r="N62" s="396"/>
      <c r="O62" s="396"/>
      <c r="P62" s="396"/>
      <c r="Q62" s="396"/>
      <c r="R62" s="396" t="s">
        <v>488</v>
      </c>
      <c r="S62" s="396"/>
      <c r="T62" s="396"/>
      <c r="U62" s="396"/>
      <c r="V62" s="396"/>
      <c r="W62" s="396"/>
      <c r="X62" s="396"/>
      <c r="Y62" s="396" t="s">
        <v>481</v>
      </c>
      <c r="Z62" s="396"/>
      <c r="AA62" s="396"/>
      <c r="AB62" s="396"/>
      <c r="AC62" s="396"/>
      <c r="AD62" s="396"/>
      <c r="AE62" s="396"/>
      <c r="AF62" s="396"/>
      <c r="AG62" s="396"/>
      <c r="AH62" s="397" t="s">
        <v>490</v>
      </c>
      <c r="AI62" s="397"/>
      <c r="AJ62" s="397"/>
      <c r="AK62" s="397"/>
      <c r="AL62" s="397"/>
      <c r="AM62" s="397"/>
      <c r="AN62" s="397"/>
      <c r="AO62" s="397"/>
      <c r="AP62" s="397"/>
      <c r="AQ62" s="397"/>
      <c r="AR62" s="397"/>
      <c r="AS62" s="397"/>
      <c r="AT62" s="397"/>
      <c r="AU62" s="397"/>
      <c r="AV62" s="398">
        <v>11</v>
      </c>
      <c r="AW62" s="399"/>
      <c r="AX62" s="400">
        <v>21000</v>
      </c>
      <c r="AY62" s="401"/>
      <c r="AZ62" s="401"/>
      <c r="BA62" s="401"/>
      <c r="BB62" s="402"/>
      <c r="BF62" s="254"/>
      <c r="BG62" s="254"/>
      <c r="BH62" s="254"/>
      <c r="BI62" s="254"/>
      <c r="BJ62" s="255"/>
      <c r="BL62" s="191"/>
      <c r="BM62" s="191"/>
      <c r="DD62" s="191"/>
      <c r="DE62" s="191"/>
      <c r="DF62" s="191"/>
      <c r="DG62" s="191"/>
      <c r="DH62" s="191"/>
      <c r="DI62" s="191"/>
    </row>
    <row r="63" spans="1:113" s="131" customFormat="1" ht="20.25" customHeight="1">
      <c r="A63" s="252"/>
      <c r="B63" s="254"/>
      <c r="C63" s="254"/>
      <c r="F63" s="396" t="s">
        <v>479</v>
      </c>
      <c r="G63" s="396"/>
      <c r="H63" s="396"/>
      <c r="I63" s="396"/>
      <c r="J63" s="396"/>
      <c r="K63" s="396" t="s">
        <v>587</v>
      </c>
      <c r="L63" s="396"/>
      <c r="M63" s="396"/>
      <c r="N63" s="396"/>
      <c r="O63" s="396"/>
      <c r="P63" s="396"/>
      <c r="Q63" s="396"/>
      <c r="R63" s="396" t="s">
        <v>488</v>
      </c>
      <c r="S63" s="396"/>
      <c r="T63" s="396"/>
      <c r="U63" s="396"/>
      <c r="V63" s="396"/>
      <c r="W63" s="396"/>
      <c r="X63" s="396"/>
      <c r="Y63" s="396" t="s">
        <v>491</v>
      </c>
      <c r="Z63" s="396"/>
      <c r="AA63" s="396"/>
      <c r="AB63" s="396"/>
      <c r="AC63" s="396"/>
      <c r="AD63" s="396"/>
      <c r="AE63" s="396"/>
      <c r="AF63" s="396"/>
      <c r="AG63" s="396"/>
      <c r="AH63" s="397" t="s">
        <v>491</v>
      </c>
      <c r="AI63" s="397"/>
      <c r="AJ63" s="397"/>
      <c r="AK63" s="397"/>
      <c r="AL63" s="397"/>
      <c r="AM63" s="397"/>
      <c r="AN63" s="397"/>
      <c r="AO63" s="397"/>
      <c r="AP63" s="397"/>
      <c r="AQ63" s="397"/>
      <c r="AR63" s="397"/>
      <c r="AS63" s="397"/>
      <c r="AT63" s="397"/>
      <c r="AU63" s="397"/>
      <c r="AV63" s="398">
        <v>12</v>
      </c>
      <c r="AW63" s="399"/>
      <c r="AX63" s="400">
        <v>22000</v>
      </c>
      <c r="AY63" s="401"/>
      <c r="AZ63" s="401"/>
      <c r="BA63" s="401"/>
      <c r="BB63" s="402"/>
      <c r="BF63" s="254"/>
      <c r="BG63" s="254"/>
      <c r="BH63" s="254"/>
      <c r="BI63" s="254"/>
      <c r="BJ63" s="255"/>
      <c r="BL63" s="191"/>
      <c r="BM63" s="191"/>
      <c r="DD63" s="191"/>
      <c r="DE63" s="191"/>
      <c r="DF63" s="191"/>
      <c r="DG63" s="191"/>
      <c r="DH63" s="191"/>
      <c r="DI63" s="191"/>
    </row>
    <row r="64" spans="1:113" s="131" customFormat="1" ht="20.25" customHeight="1">
      <c r="A64" s="252"/>
      <c r="B64" s="254"/>
      <c r="C64" s="254"/>
      <c r="F64" s="396" t="s">
        <v>479</v>
      </c>
      <c r="G64" s="396"/>
      <c r="H64" s="396"/>
      <c r="I64" s="396"/>
      <c r="J64" s="396"/>
      <c r="K64" s="396" t="s">
        <v>587</v>
      </c>
      <c r="L64" s="396"/>
      <c r="M64" s="396"/>
      <c r="N64" s="396"/>
      <c r="O64" s="396"/>
      <c r="P64" s="396"/>
      <c r="Q64" s="396"/>
      <c r="R64" s="396" t="s">
        <v>488</v>
      </c>
      <c r="S64" s="396"/>
      <c r="T64" s="396"/>
      <c r="U64" s="396"/>
      <c r="V64" s="396"/>
      <c r="W64" s="396"/>
      <c r="X64" s="396"/>
      <c r="Y64" s="396" t="s">
        <v>491</v>
      </c>
      <c r="Z64" s="396"/>
      <c r="AA64" s="396"/>
      <c r="AB64" s="396"/>
      <c r="AC64" s="396"/>
      <c r="AD64" s="396"/>
      <c r="AE64" s="396"/>
      <c r="AF64" s="396"/>
      <c r="AG64" s="396"/>
      <c r="AH64" s="397" t="s">
        <v>492</v>
      </c>
      <c r="AI64" s="397"/>
      <c r="AJ64" s="397"/>
      <c r="AK64" s="397"/>
      <c r="AL64" s="397"/>
      <c r="AM64" s="397"/>
      <c r="AN64" s="397"/>
      <c r="AO64" s="397"/>
      <c r="AP64" s="397"/>
      <c r="AQ64" s="397"/>
      <c r="AR64" s="397"/>
      <c r="AS64" s="397"/>
      <c r="AT64" s="397"/>
      <c r="AU64" s="397"/>
      <c r="AV64" s="398">
        <v>13</v>
      </c>
      <c r="AW64" s="399"/>
      <c r="AX64" s="400">
        <v>23000</v>
      </c>
      <c r="AY64" s="401"/>
      <c r="AZ64" s="401"/>
      <c r="BA64" s="401"/>
      <c r="BB64" s="402"/>
      <c r="BF64" s="254"/>
      <c r="BG64" s="254"/>
      <c r="BH64" s="254"/>
      <c r="BI64" s="254"/>
      <c r="BJ64" s="255"/>
      <c r="BL64" s="191"/>
      <c r="BM64" s="191"/>
      <c r="DD64" s="191"/>
      <c r="DE64" s="191"/>
      <c r="DF64" s="191"/>
      <c r="DG64" s="191"/>
      <c r="DH64" s="191"/>
      <c r="DI64" s="191"/>
    </row>
    <row r="65" spans="1:113" s="131" customFormat="1" ht="20.25" customHeight="1">
      <c r="A65" s="252"/>
      <c r="B65" s="254"/>
      <c r="C65" s="254"/>
      <c r="F65" s="396" t="s">
        <v>479</v>
      </c>
      <c r="G65" s="396"/>
      <c r="H65" s="396"/>
      <c r="I65" s="396"/>
      <c r="J65" s="396"/>
      <c r="K65" s="396" t="s">
        <v>587</v>
      </c>
      <c r="L65" s="396"/>
      <c r="M65" s="396"/>
      <c r="N65" s="396"/>
      <c r="O65" s="396"/>
      <c r="P65" s="396"/>
      <c r="Q65" s="396"/>
      <c r="R65" s="396" t="s">
        <v>488</v>
      </c>
      <c r="S65" s="396"/>
      <c r="T65" s="396"/>
      <c r="U65" s="396"/>
      <c r="V65" s="396"/>
      <c r="W65" s="396"/>
      <c r="X65" s="396"/>
      <c r="Y65" s="396" t="s">
        <v>491</v>
      </c>
      <c r="Z65" s="396"/>
      <c r="AA65" s="396"/>
      <c r="AB65" s="396"/>
      <c r="AC65" s="396"/>
      <c r="AD65" s="396"/>
      <c r="AE65" s="396"/>
      <c r="AF65" s="396"/>
      <c r="AG65" s="396"/>
      <c r="AH65" s="397" t="s">
        <v>493</v>
      </c>
      <c r="AI65" s="397"/>
      <c r="AJ65" s="397"/>
      <c r="AK65" s="397"/>
      <c r="AL65" s="397"/>
      <c r="AM65" s="397"/>
      <c r="AN65" s="397"/>
      <c r="AO65" s="397"/>
      <c r="AP65" s="397"/>
      <c r="AQ65" s="397"/>
      <c r="AR65" s="397"/>
      <c r="AS65" s="397"/>
      <c r="AT65" s="397"/>
      <c r="AU65" s="397"/>
      <c r="AV65" s="398">
        <v>14</v>
      </c>
      <c r="AW65" s="399"/>
      <c r="AX65" s="400">
        <v>24000</v>
      </c>
      <c r="AY65" s="401"/>
      <c r="AZ65" s="401"/>
      <c r="BA65" s="401"/>
      <c r="BB65" s="402"/>
      <c r="BF65" s="254"/>
      <c r="BG65" s="254"/>
      <c r="BH65" s="254"/>
      <c r="BI65" s="254"/>
      <c r="BJ65" s="255"/>
      <c r="BL65" s="191"/>
      <c r="BM65" s="191"/>
      <c r="DD65" s="191"/>
      <c r="DE65" s="191"/>
      <c r="DF65" s="191"/>
      <c r="DG65" s="191"/>
      <c r="DH65" s="191"/>
      <c r="DI65" s="191"/>
    </row>
    <row r="66" spans="1:113" s="131" customFormat="1" ht="20.25" customHeight="1">
      <c r="A66" s="252"/>
      <c r="B66" s="254"/>
      <c r="C66" s="254"/>
      <c r="F66" s="396" t="s">
        <v>479</v>
      </c>
      <c r="G66" s="396"/>
      <c r="H66" s="396"/>
      <c r="I66" s="396"/>
      <c r="J66" s="396"/>
      <c r="K66" s="396" t="s">
        <v>589</v>
      </c>
      <c r="L66" s="396"/>
      <c r="M66" s="396"/>
      <c r="N66" s="396"/>
      <c r="O66" s="396"/>
      <c r="P66" s="396"/>
      <c r="Q66" s="396"/>
      <c r="R66" s="396" t="s">
        <v>494</v>
      </c>
      <c r="S66" s="396"/>
      <c r="T66" s="396"/>
      <c r="U66" s="396"/>
      <c r="V66" s="396"/>
      <c r="W66" s="396"/>
      <c r="X66" s="396"/>
      <c r="Y66" s="396" t="s">
        <v>481</v>
      </c>
      <c r="Z66" s="396"/>
      <c r="AA66" s="396"/>
      <c r="AB66" s="396"/>
      <c r="AC66" s="396"/>
      <c r="AD66" s="396"/>
      <c r="AE66" s="396"/>
      <c r="AF66" s="396"/>
      <c r="AG66" s="396"/>
      <c r="AH66" s="397" t="s">
        <v>495</v>
      </c>
      <c r="AI66" s="397"/>
      <c r="AJ66" s="397"/>
      <c r="AK66" s="397"/>
      <c r="AL66" s="397"/>
      <c r="AM66" s="397"/>
      <c r="AN66" s="397"/>
      <c r="AO66" s="397"/>
      <c r="AP66" s="397"/>
      <c r="AQ66" s="397"/>
      <c r="AR66" s="397"/>
      <c r="AS66" s="397"/>
      <c r="AT66" s="397"/>
      <c r="AU66" s="397"/>
      <c r="AV66" s="398">
        <v>15</v>
      </c>
      <c r="AW66" s="399"/>
      <c r="AX66" s="400">
        <v>25000</v>
      </c>
      <c r="AY66" s="401"/>
      <c r="AZ66" s="401"/>
      <c r="BA66" s="401"/>
      <c r="BB66" s="402"/>
      <c r="BF66" s="254"/>
      <c r="BG66" s="254"/>
      <c r="BH66" s="254"/>
      <c r="BI66" s="254"/>
      <c r="BJ66" s="255"/>
      <c r="BL66" s="191"/>
      <c r="BM66" s="191"/>
      <c r="DD66" s="191"/>
      <c r="DE66" s="191"/>
      <c r="DF66" s="191"/>
      <c r="DG66" s="191"/>
      <c r="DH66" s="191"/>
      <c r="DI66" s="191"/>
    </row>
    <row r="67" spans="1:113" s="131" customFormat="1" ht="20.25" customHeight="1">
      <c r="A67" s="252"/>
      <c r="B67" s="254"/>
      <c r="C67" s="254"/>
      <c r="F67" s="396" t="s">
        <v>479</v>
      </c>
      <c r="G67" s="396"/>
      <c r="H67" s="396"/>
      <c r="I67" s="396"/>
      <c r="J67" s="396"/>
      <c r="K67" s="396" t="s">
        <v>589</v>
      </c>
      <c r="L67" s="396"/>
      <c r="M67" s="396"/>
      <c r="N67" s="396"/>
      <c r="O67" s="396"/>
      <c r="P67" s="396"/>
      <c r="Q67" s="396"/>
      <c r="R67" s="396" t="s">
        <v>494</v>
      </c>
      <c r="S67" s="396"/>
      <c r="T67" s="396"/>
      <c r="U67" s="396"/>
      <c r="V67" s="396"/>
      <c r="W67" s="396"/>
      <c r="X67" s="396"/>
      <c r="Y67" s="396" t="s">
        <v>481</v>
      </c>
      <c r="Z67" s="396"/>
      <c r="AA67" s="396"/>
      <c r="AB67" s="396"/>
      <c r="AC67" s="396"/>
      <c r="AD67" s="396"/>
      <c r="AE67" s="396"/>
      <c r="AF67" s="396"/>
      <c r="AG67" s="396"/>
      <c r="AH67" s="397" t="s">
        <v>496</v>
      </c>
      <c r="AI67" s="397"/>
      <c r="AJ67" s="397"/>
      <c r="AK67" s="397"/>
      <c r="AL67" s="397"/>
      <c r="AM67" s="397"/>
      <c r="AN67" s="397"/>
      <c r="AO67" s="397"/>
      <c r="AP67" s="397"/>
      <c r="AQ67" s="397"/>
      <c r="AR67" s="397"/>
      <c r="AS67" s="397"/>
      <c r="AT67" s="397"/>
      <c r="AU67" s="397"/>
      <c r="AV67" s="398">
        <v>16</v>
      </c>
      <c r="AW67" s="399"/>
      <c r="AX67" s="400">
        <v>26000</v>
      </c>
      <c r="AY67" s="401"/>
      <c r="AZ67" s="401"/>
      <c r="BA67" s="401"/>
      <c r="BB67" s="402"/>
      <c r="BF67" s="254"/>
      <c r="BG67" s="254"/>
      <c r="BH67" s="254"/>
      <c r="BI67" s="254"/>
      <c r="BJ67" s="255"/>
      <c r="BL67" s="191"/>
      <c r="BM67" s="191"/>
      <c r="DD67" s="191"/>
      <c r="DE67" s="191"/>
      <c r="DF67" s="191"/>
      <c r="DG67" s="191"/>
      <c r="DH67" s="191"/>
      <c r="DI67" s="191"/>
    </row>
    <row r="68" spans="1:113" s="131" customFormat="1" ht="20.25" customHeight="1">
      <c r="A68" s="252"/>
      <c r="B68" s="254"/>
      <c r="C68" s="254"/>
      <c r="F68" s="396" t="s">
        <v>479</v>
      </c>
      <c r="G68" s="396"/>
      <c r="H68" s="396"/>
      <c r="I68" s="396"/>
      <c r="J68" s="396"/>
      <c r="K68" s="396" t="s">
        <v>589</v>
      </c>
      <c r="L68" s="396"/>
      <c r="M68" s="396"/>
      <c r="N68" s="396"/>
      <c r="O68" s="396"/>
      <c r="P68" s="396"/>
      <c r="Q68" s="396"/>
      <c r="R68" s="396" t="s">
        <v>494</v>
      </c>
      <c r="S68" s="396"/>
      <c r="T68" s="396"/>
      <c r="U68" s="396"/>
      <c r="V68" s="396"/>
      <c r="W68" s="396"/>
      <c r="X68" s="396"/>
      <c r="Y68" s="396" t="s">
        <v>481</v>
      </c>
      <c r="Z68" s="396"/>
      <c r="AA68" s="396"/>
      <c r="AB68" s="396"/>
      <c r="AC68" s="396"/>
      <c r="AD68" s="396"/>
      <c r="AE68" s="396"/>
      <c r="AF68" s="396"/>
      <c r="AG68" s="396"/>
      <c r="AH68" s="397" t="s">
        <v>497</v>
      </c>
      <c r="AI68" s="397"/>
      <c r="AJ68" s="397"/>
      <c r="AK68" s="397"/>
      <c r="AL68" s="397"/>
      <c r="AM68" s="397"/>
      <c r="AN68" s="397"/>
      <c r="AO68" s="397"/>
      <c r="AP68" s="397"/>
      <c r="AQ68" s="397"/>
      <c r="AR68" s="397"/>
      <c r="AS68" s="397"/>
      <c r="AT68" s="397"/>
      <c r="AU68" s="397"/>
      <c r="AV68" s="398">
        <v>17</v>
      </c>
      <c r="AW68" s="399"/>
      <c r="AX68" s="400">
        <v>27000</v>
      </c>
      <c r="AY68" s="401"/>
      <c r="AZ68" s="401"/>
      <c r="BA68" s="401"/>
      <c r="BB68" s="402"/>
      <c r="BF68" s="254"/>
      <c r="BG68" s="254"/>
      <c r="BH68" s="254"/>
      <c r="BI68" s="254"/>
      <c r="BJ68" s="255"/>
      <c r="BL68" s="191"/>
      <c r="BM68" s="191"/>
      <c r="DD68" s="191"/>
      <c r="DE68" s="191"/>
      <c r="DF68" s="191"/>
      <c r="DG68" s="191"/>
      <c r="DH68" s="191"/>
      <c r="DI68" s="191"/>
    </row>
    <row r="69" spans="1:113" s="131" customFormat="1" ht="20.25" customHeight="1">
      <c r="A69" s="252"/>
      <c r="B69" s="254"/>
      <c r="C69" s="254"/>
      <c r="F69" s="396" t="s">
        <v>479</v>
      </c>
      <c r="G69" s="396"/>
      <c r="H69" s="396"/>
      <c r="I69" s="396"/>
      <c r="J69" s="396"/>
      <c r="K69" s="396" t="s">
        <v>589</v>
      </c>
      <c r="L69" s="396"/>
      <c r="M69" s="396"/>
      <c r="N69" s="396"/>
      <c r="O69" s="396"/>
      <c r="P69" s="396"/>
      <c r="Q69" s="396"/>
      <c r="R69" s="396" t="s">
        <v>494</v>
      </c>
      <c r="S69" s="396"/>
      <c r="T69" s="396"/>
      <c r="U69" s="396"/>
      <c r="V69" s="396"/>
      <c r="W69" s="396"/>
      <c r="X69" s="396"/>
      <c r="Y69" s="396" t="s">
        <v>481</v>
      </c>
      <c r="Z69" s="396"/>
      <c r="AA69" s="396"/>
      <c r="AB69" s="396"/>
      <c r="AC69" s="396"/>
      <c r="AD69" s="396"/>
      <c r="AE69" s="396"/>
      <c r="AF69" s="396"/>
      <c r="AG69" s="396"/>
      <c r="AH69" s="397" t="s">
        <v>498</v>
      </c>
      <c r="AI69" s="397"/>
      <c r="AJ69" s="397"/>
      <c r="AK69" s="397"/>
      <c r="AL69" s="397"/>
      <c r="AM69" s="397"/>
      <c r="AN69" s="397"/>
      <c r="AO69" s="397"/>
      <c r="AP69" s="397"/>
      <c r="AQ69" s="397"/>
      <c r="AR69" s="397"/>
      <c r="AS69" s="397"/>
      <c r="AT69" s="397"/>
      <c r="AU69" s="397"/>
      <c r="AV69" s="398">
        <v>18</v>
      </c>
      <c r="AW69" s="399"/>
      <c r="AX69" s="400">
        <v>28000</v>
      </c>
      <c r="AY69" s="401"/>
      <c r="AZ69" s="401"/>
      <c r="BA69" s="401"/>
      <c r="BB69" s="402"/>
      <c r="BF69" s="254"/>
      <c r="BG69" s="254"/>
      <c r="BH69" s="254"/>
      <c r="BI69" s="254"/>
      <c r="BJ69" s="255"/>
      <c r="BL69" s="191"/>
      <c r="BM69" s="191"/>
      <c r="DD69" s="191"/>
      <c r="DE69" s="191"/>
      <c r="DF69" s="191"/>
      <c r="DG69" s="191"/>
      <c r="DH69" s="191"/>
      <c r="DI69" s="191"/>
    </row>
    <row r="70" spans="1:113" s="131" customFormat="1" ht="20.25" customHeight="1">
      <c r="A70" s="252"/>
      <c r="B70" s="254"/>
      <c r="C70" s="254"/>
      <c r="F70" s="396" t="s">
        <v>585</v>
      </c>
      <c r="G70" s="396"/>
      <c r="H70" s="396"/>
      <c r="I70" s="396"/>
      <c r="J70" s="396"/>
      <c r="K70" s="396" t="s">
        <v>481</v>
      </c>
      <c r="L70" s="396"/>
      <c r="M70" s="396"/>
      <c r="N70" s="396"/>
      <c r="O70" s="396"/>
      <c r="P70" s="396"/>
      <c r="Q70" s="396"/>
      <c r="R70" s="396" t="s">
        <v>481</v>
      </c>
      <c r="S70" s="396"/>
      <c r="T70" s="396"/>
      <c r="U70" s="396"/>
      <c r="V70" s="396"/>
      <c r="W70" s="396"/>
      <c r="X70" s="396"/>
      <c r="Y70" s="396" t="s">
        <v>481</v>
      </c>
      <c r="Z70" s="396"/>
      <c r="AA70" s="396"/>
      <c r="AB70" s="396"/>
      <c r="AC70" s="396"/>
      <c r="AD70" s="396"/>
      <c r="AE70" s="396"/>
      <c r="AF70" s="396"/>
      <c r="AG70" s="396"/>
      <c r="AH70" s="397" t="s">
        <v>585</v>
      </c>
      <c r="AI70" s="397"/>
      <c r="AJ70" s="397"/>
      <c r="AK70" s="397"/>
      <c r="AL70" s="397"/>
      <c r="AM70" s="397"/>
      <c r="AN70" s="397"/>
      <c r="AO70" s="397"/>
      <c r="AP70" s="397"/>
      <c r="AQ70" s="397"/>
      <c r="AR70" s="397"/>
      <c r="AS70" s="397"/>
      <c r="AT70" s="397"/>
      <c r="AU70" s="397"/>
      <c r="AV70" s="398">
        <v>19</v>
      </c>
      <c r="AW70" s="399"/>
      <c r="AX70" s="400">
        <v>29000</v>
      </c>
      <c r="AY70" s="401"/>
      <c r="AZ70" s="401"/>
      <c r="BA70" s="401"/>
      <c r="BB70" s="402"/>
      <c r="BF70" s="254"/>
      <c r="BG70" s="254"/>
      <c r="BH70" s="254"/>
      <c r="BI70" s="254"/>
      <c r="BJ70" s="255"/>
      <c r="BL70" s="191"/>
      <c r="BM70" s="191"/>
      <c r="DD70" s="191"/>
      <c r="DE70" s="191"/>
      <c r="DF70" s="191"/>
      <c r="DG70" s="191"/>
      <c r="DH70" s="191"/>
      <c r="DI70" s="191"/>
    </row>
    <row r="71" spans="1:113" s="131" customFormat="1" ht="20.25" customHeight="1">
      <c r="A71" s="252"/>
      <c r="B71" s="254"/>
      <c r="C71" s="254"/>
      <c r="D71" s="270"/>
      <c r="E71" s="270"/>
      <c r="F71" s="270"/>
      <c r="G71" s="270"/>
      <c r="H71" s="270"/>
      <c r="I71" s="270"/>
      <c r="J71" s="270"/>
      <c r="K71" s="270"/>
      <c r="L71" s="270"/>
      <c r="M71" s="270"/>
      <c r="N71" s="270"/>
      <c r="O71" s="270"/>
      <c r="P71" s="270"/>
      <c r="Q71" s="270"/>
      <c r="R71" s="270"/>
      <c r="S71" s="270"/>
      <c r="T71" s="270"/>
      <c r="U71" s="270"/>
      <c r="V71" s="270"/>
      <c r="W71" s="271"/>
      <c r="X71" s="271"/>
      <c r="Y71" s="271"/>
      <c r="Z71" s="271"/>
      <c r="AA71" s="271"/>
      <c r="AB71" s="271"/>
      <c r="AC71" s="271"/>
      <c r="AD71" s="271"/>
      <c r="AE71" s="271"/>
      <c r="AF71" s="271"/>
      <c r="AN71" s="254"/>
      <c r="AO71" s="254"/>
      <c r="AP71" s="254"/>
      <c r="AQ71" s="254"/>
      <c r="AR71" s="254"/>
      <c r="AS71" s="254"/>
      <c r="AT71" s="254"/>
      <c r="AU71" s="254"/>
      <c r="AV71" s="254"/>
      <c r="AW71" s="270"/>
      <c r="AX71" s="270"/>
      <c r="AY71" s="270"/>
      <c r="AZ71" s="270"/>
      <c r="BA71" s="270"/>
      <c r="BB71" s="254"/>
      <c r="BC71" s="254"/>
      <c r="BF71" s="254"/>
      <c r="BG71" s="254"/>
      <c r="BH71" s="254"/>
      <c r="BI71" s="254"/>
      <c r="BJ71" s="255"/>
      <c r="BL71" s="191"/>
      <c r="BM71" s="191"/>
      <c r="BN71" s="191"/>
      <c r="BO71" s="191"/>
      <c r="BP71" s="191"/>
      <c r="BQ71" s="191"/>
      <c r="BR71" s="191"/>
      <c r="BS71" s="191"/>
      <c r="BT71" s="191"/>
      <c r="BU71" s="191"/>
      <c r="BV71" s="191"/>
      <c r="BW71" s="191"/>
      <c r="BX71" s="191"/>
      <c r="BY71" s="191"/>
      <c r="BZ71" s="191"/>
      <c r="CA71" s="191"/>
      <c r="CB71" s="191"/>
      <c r="CC71" s="191"/>
      <c r="CD71" s="191"/>
      <c r="CE71" s="191"/>
      <c r="CF71" s="191"/>
      <c r="CG71" s="191"/>
      <c r="CH71" s="191"/>
      <c r="CI71" s="191"/>
      <c r="CJ71" s="191"/>
      <c r="CK71" s="191"/>
      <c r="CL71" s="191"/>
      <c r="CM71" s="191"/>
      <c r="CN71" s="191"/>
      <c r="CO71" s="191"/>
      <c r="CP71" s="191"/>
      <c r="CQ71" s="191"/>
      <c r="CR71" s="191"/>
      <c r="CS71" s="191"/>
      <c r="CT71" s="191"/>
      <c r="CU71" s="191"/>
      <c r="CV71" s="191"/>
      <c r="CW71" s="191"/>
      <c r="CX71" s="191"/>
      <c r="CY71" s="191"/>
      <c r="CZ71" s="191"/>
      <c r="DA71" s="191"/>
      <c r="DB71" s="191"/>
      <c r="DC71" s="191"/>
      <c r="DD71" s="191"/>
      <c r="DE71" s="191"/>
      <c r="DF71" s="191"/>
      <c r="DG71" s="191"/>
      <c r="DH71" s="191"/>
      <c r="DI71" s="191"/>
    </row>
    <row r="72" spans="1:113" s="131" customFormat="1" ht="20.25" customHeight="1">
      <c r="A72" s="252"/>
      <c r="B72" s="254"/>
      <c r="C72" s="254"/>
      <c r="D72" s="270"/>
      <c r="E72" s="270"/>
      <c r="F72" s="270"/>
      <c r="G72" s="270"/>
      <c r="H72" s="270"/>
      <c r="I72" s="270"/>
      <c r="J72" s="270"/>
      <c r="K72" s="270"/>
      <c r="L72" s="270"/>
      <c r="M72" s="270"/>
      <c r="N72" s="270"/>
      <c r="O72" s="270"/>
      <c r="P72" s="270"/>
      <c r="Q72" s="270"/>
      <c r="R72" s="270"/>
      <c r="S72" s="270"/>
      <c r="T72" s="270"/>
      <c r="U72" s="270"/>
      <c r="V72" s="270"/>
      <c r="W72" s="271"/>
      <c r="X72" s="271"/>
      <c r="Y72" s="271"/>
      <c r="Z72" s="271"/>
      <c r="AA72" s="271"/>
      <c r="AB72" s="271"/>
      <c r="AC72" s="271"/>
      <c r="AD72" s="271"/>
      <c r="AE72" s="271"/>
      <c r="AF72" s="271"/>
      <c r="AN72" s="254"/>
      <c r="AO72" s="254"/>
      <c r="AP72" s="254"/>
      <c r="AQ72" s="254"/>
      <c r="AR72" s="254"/>
      <c r="AS72" s="254"/>
      <c r="AT72" s="254"/>
      <c r="AU72" s="254"/>
      <c r="AV72" s="254"/>
      <c r="AW72" s="270"/>
      <c r="AX72" s="270"/>
      <c r="AY72" s="270"/>
      <c r="AZ72" s="270"/>
      <c r="BA72" s="270"/>
      <c r="BB72" s="254"/>
      <c r="BC72" s="254"/>
      <c r="BF72" s="254"/>
      <c r="BG72" s="254"/>
      <c r="BH72" s="254"/>
      <c r="BI72" s="254"/>
      <c r="BJ72" s="255"/>
      <c r="BL72" s="191"/>
      <c r="BM72" s="191"/>
      <c r="BN72" s="191"/>
      <c r="BO72" s="191"/>
      <c r="BP72" s="191"/>
      <c r="BQ72" s="191"/>
      <c r="BR72" s="191"/>
      <c r="BS72" s="191"/>
      <c r="BT72" s="191"/>
      <c r="BU72" s="191"/>
      <c r="BV72" s="191"/>
      <c r="BW72" s="191"/>
      <c r="BX72" s="191"/>
      <c r="BY72" s="191"/>
      <c r="BZ72" s="191"/>
      <c r="CA72" s="191"/>
      <c r="CB72" s="191"/>
      <c r="CC72" s="191"/>
      <c r="CD72" s="191"/>
      <c r="CE72" s="191"/>
      <c r="CF72" s="191"/>
      <c r="CG72" s="191"/>
      <c r="CH72" s="191"/>
      <c r="CI72" s="191"/>
      <c r="CJ72" s="191"/>
      <c r="CK72" s="191"/>
      <c r="CL72" s="191"/>
      <c r="CM72" s="191"/>
      <c r="CN72" s="191"/>
      <c r="CO72" s="191"/>
      <c r="CP72" s="191"/>
      <c r="CQ72" s="191"/>
      <c r="CR72" s="191"/>
      <c r="CS72" s="191"/>
      <c r="CT72" s="191"/>
      <c r="CU72" s="191"/>
      <c r="CV72" s="191"/>
      <c r="CW72" s="191"/>
      <c r="CX72" s="191"/>
      <c r="CY72" s="191"/>
      <c r="CZ72" s="191"/>
      <c r="DA72" s="191"/>
      <c r="DB72" s="191"/>
      <c r="DC72" s="191"/>
      <c r="DD72" s="191"/>
      <c r="DE72" s="191"/>
      <c r="DF72" s="191"/>
      <c r="DG72" s="191"/>
      <c r="DH72" s="191"/>
      <c r="DI72" s="191"/>
    </row>
    <row r="73" spans="1:113" s="131" customFormat="1" ht="20.25" customHeight="1">
      <c r="A73" s="252"/>
      <c r="B73" s="254"/>
      <c r="C73" s="254" t="s">
        <v>499</v>
      </c>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5"/>
    </row>
    <row r="74" spans="1:113" s="131" customFormat="1" ht="20.25" customHeight="1">
      <c r="A74" s="252"/>
      <c r="B74" s="253"/>
      <c r="C74" s="254"/>
      <c r="F74" s="254" t="s">
        <v>500</v>
      </c>
      <c r="G74" s="254"/>
      <c r="H74" s="254"/>
      <c r="I74" s="254"/>
      <c r="J74" s="254"/>
      <c r="K74" s="254"/>
      <c r="L74" s="254"/>
      <c r="M74" s="254"/>
      <c r="N74" s="254"/>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5"/>
    </row>
    <row r="75" spans="1:113" s="131" customFormat="1" ht="20.25" customHeight="1">
      <c r="A75" s="252"/>
      <c r="B75" s="254"/>
      <c r="C75" s="254"/>
      <c r="F75" s="264" t="s">
        <v>501</v>
      </c>
      <c r="G75" s="265"/>
      <c r="H75" s="265"/>
      <c r="I75" s="265"/>
      <c r="J75" s="265"/>
      <c r="K75" s="265"/>
      <c r="L75" s="265"/>
      <c r="M75" s="265"/>
      <c r="N75" s="265"/>
      <c r="O75" s="265"/>
      <c r="P75" s="265"/>
      <c r="Q75" s="265"/>
      <c r="R75" s="265"/>
      <c r="S75" s="265"/>
      <c r="T75" s="265"/>
      <c r="U75" s="265"/>
      <c r="V75" s="265"/>
      <c r="W75" s="265"/>
      <c r="X75" s="265"/>
      <c r="Y75" s="419" t="s">
        <v>476</v>
      </c>
      <c r="Z75" s="419"/>
      <c r="AA75" s="419"/>
      <c r="AB75" s="419"/>
      <c r="AC75" s="419"/>
      <c r="AD75" s="265"/>
      <c r="AE75" s="265"/>
      <c r="AF75" s="265"/>
      <c r="AG75" s="265"/>
      <c r="AH75" s="265"/>
      <c r="AI75" s="265"/>
      <c r="AJ75" s="265"/>
      <c r="AK75" s="265"/>
      <c r="AL75" s="265"/>
      <c r="AM75" s="265"/>
      <c r="AN75" s="265"/>
      <c r="AO75" s="265"/>
      <c r="AP75" s="265"/>
      <c r="AQ75" s="419" t="s">
        <v>502</v>
      </c>
      <c r="AR75" s="419"/>
      <c r="AS75" s="419"/>
      <c r="AT75" s="419"/>
      <c r="AU75" s="420"/>
      <c r="AV75" s="254"/>
      <c r="AW75" s="254"/>
      <c r="AX75" s="254"/>
      <c r="AY75" s="254"/>
      <c r="AZ75" s="254"/>
      <c r="BA75" s="254"/>
      <c r="BB75" s="254"/>
      <c r="BC75" s="254"/>
      <c r="BD75" s="254"/>
      <c r="BE75" s="254"/>
      <c r="BF75" s="254"/>
      <c r="BG75" s="254"/>
      <c r="BH75" s="254"/>
      <c r="BI75" s="254"/>
      <c r="BJ75" s="255"/>
    </row>
    <row r="76" spans="1:113" s="131" customFormat="1" ht="20.25" customHeight="1">
      <c r="A76" s="252"/>
      <c r="B76" s="254"/>
      <c r="C76" s="254"/>
      <c r="F76" s="258"/>
      <c r="G76" s="259"/>
      <c r="H76" s="259" t="s">
        <v>503</v>
      </c>
      <c r="I76" s="259"/>
      <c r="J76" s="259"/>
      <c r="K76" s="259"/>
      <c r="L76" s="259"/>
      <c r="M76" s="259"/>
      <c r="N76" s="259"/>
      <c r="O76" s="259"/>
      <c r="P76" s="259"/>
      <c r="Q76" s="259"/>
      <c r="R76" s="259"/>
      <c r="S76" s="259"/>
      <c r="T76" s="259"/>
      <c r="U76" s="259"/>
      <c r="V76" s="259"/>
      <c r="W76" s="259"/>
      <c r="X76" s="259"/>
      <c r="Y76" s="427">
        <f>SUM(Y130:AC132,Y128,Y108:AC110,Y106,Y117:AC119,Y113:AC115,Y122:AC125)</f>
        <v>351000</v>
      </c>
      <c r="Z76" s="427"/>
      <c r="AA76" s="427"/>
      <c r="AB76" s="427"/>
      <c r="AC76" s="427"/>
      <c r="AD76" s="259" t="s">
        <v>590</v>
      </c>
      <c r="AE76" s="259"/>
      <c r="AF76" s="259"/>
      <c r="AG76" s="259"/>
      <c r="AH76" s="259"/>
      <c r="AI76" s="259"/>
      <c r="AJ76" s="259"/>
      <c r="AK76" s="259"/>
      <c r="AL76" s="259"/>
      <c r="AM76" s="259"/>
      <c r="AN76" s="259"/>
      <c r="AO76" s="259"/>
      <c r="AP76" s="259"/>
      <c r="AQ76" s="417">
        <f>SUM(Y76:AC77)</f>
        <v>380000</v>
      </c>
      <c r="AR76" s="417"/>
      <c r="AS76" s="417"/>
      <c r="AT76" s="417"/>
      <c r="AU76" s="418"/>
      <c r="AV76" s="254"/>
      <c r="AW76" s="254"/>
      <c r="AX76" s="254"/>
      <c r="AY76" s="254"/>
      <c r="AZ76" s="254"/>
      <c r="BA76" s="254"/>
      <c r="BB76" s="254"/>
      <c r="BC76" s="254"/>
      <c r="BD76" s="254"/>
      <c r="BE76" s="254"/>
      <c r="BF76" s="254"/>
      <c r="BG76" s="254"/>
      <c r="BH76" s="254"/>
      <c r="BI76" s="254"/>
      <c r="BJ76" s="255"/>
    </row>
    <row r="77" spans="1:113" s="131" customFormat="1" ht="20.25" customHeight="1">
      <c r="A77" s="252"/>
      <c r="B77" s="254"/>
      <c r="C77" s="254"/>
      <c r="F77" s="267"/>
      <c r="G77" s="268"/>
      <c r="H77" s="268" t="s">
        <v>585</v>
      </c>
      <c r="I77" s="268"/>
      <c r="J77" s="268"/>
      <c r="K77" s="268"/>
      <c r="L77" s="268"/>
      <c r="M77" s="268"/>
      <c r="N77" s="268"/>
      <c r="O77" s="268"/>
      <c r="P77" s="268"/>
      <c r="Q77" s="268"/>
      <c r="R77" s="268"/>
      <c r="S77" s="268"/>
      <c r="T77" s="268"/>
      <c r="U77" s="268"/>
      <c r="V77" s="268"/>
      <c r="W77" s="268"/>
      <c r="X77" s="268"/>
      <c r="Y77" s="427">
        <f>Y136</f>
        <v>29000</v>
      </c>
      <c r="Z77" s="427"/>
      <c r="AA77" s="427"/>
      <c r="AB77" s="427"/>
      <c r="AC77" s="427"/>
      <c r="AD77" s="268" t="s">
        <v>595</v>
      </c>
      <c r="AE77" s="268"/>
      <c r="AF77" s="268"/>
      <c r="AG77" s="268"/>
      <c r="AH77" s="268"/>
      <c r="AI77" s="268"/>
      <c r="AJ77" s="268"/>
      <c r="AK77" s="268"/>
      <c r="AL77" s="268"/>
      <c r="AM77" s="268"/>
      <c r="AN77" s="268"/>
      <c r="AO77" s="268"/>
      <c r="AP77" s="268"/>
      <c r="AQ77" s="417"/>
      <c r="AR77" s="417"/>
      <c r="AS77" s="417"/>
      <c r="AT77" s="417"/>
      <c r="AU77" s="418"/>
      <c r="AV77" s="254"/>
      <c r="AW77" s="254"/>
      <c r="AX77" s="254"/>
      <c r="AY77" s="254"/>
      <c r="AZ77" s="254"/>
      <c r="BA77" s="254"/>
      <c r="BB77" s="254"/>
      <c r="BC77" s="254"/>
      <c r="BD77" s="254"/>
      <c r="BE77" s="254"/>
      <c r="BF77" s="254"/>
      <c r="BG77" s="254"/>
      <c r="BH77" s="254"/>
      <c r="BI77" s="254"/>
      <c r="BJ77" s="255"/>
    </row>
    <row r="78" spans="1:113" s="131" customFormat="1" ht="20.25" customHeight="1">
      <c r="A78" s="252"/>
      <c r="B78" s="254"/>
      <c r="C78" s="254"/>
      <c r="F78" s="264" t="s">
        <v>504</v>
      </c>
      <c r="G78" s="265"/>
      <c r="H78" s="265"/>
      <c r="I78" s="265"/>
      <c r="J78" s="265"/>
      <c r="K78" s="265"/>
      <c r="L78" s="265"/>
      <c r="M78" s="265"/>
      <c r="N78" s="265"/>
      <c r="O78" s="265"/>
      <c r="P78" s="265"/>
      <c r="Q78" s="265"/>
      <c r="R78" s="265"/>
      <c r="S78" s="265"/>
      <c r="T78" s="265"/>
      <c r="U78" s="265"/>
      <c r="V78" s="265"/>
      <c r="W78" s="265"/>
      <c r="X78" s="265"/>
      <c r="Y78" s="419" t="s">
        <v>476</v>
      </c>
      <c r="Z78" s="419"/>
      <c r="AA78" s="419"/>
      <c r="AB78" s="419"/>
      <c r="AC78" s="419"/>
      <c r="AD78" s="265"/>
      <c r="AE78" s="265"/>
      <c r="AF78" s="265"/>
      <c r="AG78" s="265"/>
      <c r="AH78" s="265"/>
      <c r="AI78" s="265"/>
      <c r="AJ78" s="265"/>
      <c r="AK78" s="265"/>
      <c r="AL78" s="265"/>
      <c r="AM78" s="265"/>
      <c r="AN78" s="265"/>
      <c r="AO78" s="265"/>
      <c r="AP78" s="265"/>
      <c r="AQ78" s="419" t="s">
        <v>502</v>
      </c>
      <c r="AR78" s="419"/>
      <c r="AS78" s="419"/>
      <c r="AT78" s="419"/>
      <c r="AU78" s="420"/>
      <c r="AV78" s="254"/>
      <c r="AW78" s="254"/>
      <c r="AX78" s="254"/>
      <c r="AY78" s="254"/>
      <c r="AZ78" s="254"/>
      <c r="BA78" s="254"/>
      <c r="BB78" s="254"/>
      <c r="BC78" s="254"/>
      <c r="BD78" s="254"/>
      <c r="BE78" s="254"/>
      <c r="BF78" s="254"/>
      <c r="BG78" s="254"/>
      <c r="BH78" s="254"/>
      <c r="BI78" s="254"/>
      <c r="BJ78" s="255"/>
    </row>
    <row r="79" spans="1:113" s="131" customFormat="1" ht="20.25" customHeight="1">
      <c r="A79" s="252"/>
      <c r="B79" s="254"/>
      <c r="C79" s="254"/>
      <c r="F79" s="258"/>
      <c r="G79" s="259"/>
      <c r="H79" s="259" t="s">
        <v>503</v>
      </c>
      <c r="I79" s="259"/>
      <c r="J79" s="259"/>
      <c r="K79" s="259"/>
      <c r="L79" s="259"/>
      <c r="M79" s="259"/>
      <c r="N79" s="259"/>
      <c r="O79" s="259"/>
      <c r="P79" s="259"/>
      <c r="Q79" s="259"/>
      <c r="R79" s="259"/>
      <c r="S79" s="259"/>
      <c r="T79" s="259"/>
      <c r="U79" s="259"/>
      <c r="V79" s="259"/>
      <c r="W79" s="259"/>
      <c r="X79" s="259"/>
      <c r="Y79" s="272"/>
      <c r="Z79" s="272"/>
      <c r="AA79" s="272"/>
      <c r="AB79" s="272"/>
      <c r="AC79" s="272"/>
      <c r="AD79" s="259"/>
      <c r="AE79" s="259"/>
      <c r="AF79" s="259"/>
      <c r="AG79" s="259"/>
      <c r="AH79" s="259"/>
      <c r="AI79" s="259"/>
      <c r="AJ79" s="259"/>
      <c r="AK79" s="259"/>
      <c r="AL79" s="259"/>
      <c r="AM79" s="259"/>
      <c r="AN79" s="259"/>
      <c r="AO79" s="259"/>
      <c r="AP79" s="259"/>
      <c r="AQ79" s="417">
        <f>SUM(Y80:AC85)</f>
        <v>380000</v>
      </c>
      <c r="AR79" s="417"/>
      <c r="AS79" s="417"/>
      <c r="AT79" s="417"/>
      <c r="AU79" s="418"/>
      <c r="AV79" s="254"/>
      <c r="AW79" s="254"/>
      <c r="AX79" s="254"/>
      <c r="AY79" s="254"/>
      <c r="AZ79" s="254"/>
      <c r="BA79" s="254"/>
      <c r="BB79" s="254"/>
      <c r="BC79" s="254"/>
      <c r="BD79" s="254"/>
      <c r="BE79" s="254"/>
      <c r="BF79" s="254"/>
      <c r="BG79" s="254"/>
      <c r="BH79" s="254"/>
      <c r="BI79" s="254"/>
      <c r="BJ79" s="255"/>
    </row>
    <row r="80" spans="1:113" s="131" customFormat="1" ht="19.899999999999999" customHeight="1">
      <c r="A80" s="252"/>
      <c r="B80" s="254"/>
      <c r="C80" s="254"/>
      <c r="F80" s="258"/>
      <c r="G80" s="259"/>
      <c r="H80" s="259" t="s">
        <v>505</v>
      </c>
      <c r="I80" s="259"/>
      <c r="J80" s="259" t="s">
        <v>506</v>
      </c>
      <c r="K80" s="259"/>
      <c r="L80" s="259"/>
      <c r="M80" s="259"/>
      <c r="N80" s="259"/>
      <c r="O80" s="259"/>
      <c r="P80" s="259"/>
      <c r="Q80" s="259"/>
      <c r="R80" s="259"/>
      <c r="S80" s="259"/>
      <c r="T80" s="259"/>
      <c r="U80" s="259"/>
      <c r="V80" s="259"/>
      <c r="W80" s="259"/>
      <c r="X80" s="259"/>
      <c r="Y80" s="427">
        <f>SUM(Y108:AC110,Y106)</f>
        <v>54000</v>
      </c>
      <c r="Z80" s="427"/>
      <c r="AA80" s="427"/>
      <c r="AB80" s="427"/>
      <c r="AC80" s="427"/>
      <c r="AD80" s="259" t="s">
        <v>597</v>
      </c>
      <c r="AE80" s="259"/>
      <c r="AF80" s="259"/>
      <c r="AG80" s="259"/>
      <c r="AH80" s="259"/>
      <c r="AI80" s="259"/>
      <c r="AJ80" s="259"/>
      <c r="AK80" s="259"/>
      <c r="AL80" s="259"/>
      <c r="AM80" s="259"/>
      <c r="AN80" s="259"/>
      <c r="AO80" s="259"/>
      <c r="AP80" s="259"/>
      <c r="AQ80" s="259"/>
      <c r="AR80" s="259"/>
      <c r="AS80" s="259"/>
      <c r="AT80" s="259"/>
      <c r="AU80" s="260"/>
      <c r="AV80" s="254"/>
      <c r="AW80" s="254"/>
      <c r="AX80" s="254"/>
      <c r="AY80" s="254"/>
      <c r="AZ80" s="254"/>
      <c r="BA80" s="254"/>
      <c r="BB80" s="254"/>
      <c r="BC80" s="254"/>
      <c r="BD80" s="254"/>
      <c r="BE80" s="254"/>
      <c r="BF80" s="254"/>
      <c r="BG80" s="254"/>
      <c r="BH80" s="254"/>
      <c r="BI80" s="254"/>
      <c r="BJ80" s="255"/>
    </row>
    <row r="81" spans="1:62" s="131" customFormat="1" ht="20.25" customHeight="1">
      <c r="A81" s="252"/>
      <c r="B81" s="254"/>
      <c r="C81" s="254"/>
      <c r="F81" s="258"/>
      <c r="G81" s="259"/>
      <c r="H81" s="259" t="s">
        <v>505</v>
      </c>
      <c r="I81" s="259"/>
      <c r="J81" s="259" t="s">
        <v>488</v>
      </c>
      <c r="K81" s="259"/>
      <c r="L81" s="259"/>
      <c r="M81" s="259"/>
      <c r="N81" s="259"/>
      <c r="O81" s="259"/>
      <c r="P81" s="259"/>
      <c r="Q81" s="259"/>
      <c r="R81" s="259"/>
      <c r="S81" s="259"/>
      <c r="T81" s="259"/>
      <c r="U81" s="259"/>
      <c r="V81" s="259"/>
      <c r="W81" s="259"/>
      <c r="X81" s="259"/>
      <c r="Y81" s="427">
        <f>SUM(Y117:AC119,Y113:AC115)</f>
        <v>129000</v>
      </c>
      <c r="Z81" s="427"/>
      <c r="AA81" s="427"/>
      <c r="AB81" s="427"/>
      <c r="AC81" s="427"/>
      <c r="AD81" s="259" t="s">
        <v>598</v>
      </c>
      <c r="AE81" s="259"/>
      <c r="AF81" s="259"/>
      <c r="AG81" s="259"/>
      <c r="AH81" s="259"/>
      <c r="AI81" s="259"/>
      <c r="AJ81" s="259"/>
      <c r="AK81" s="259"/>
      <c r="AL81" s="259"/>
      <c r="AM81" s="259"/>
      <c r="AN81" s="259"/>
      <c r="AO81" s="259"/>
      <c r="AP81" s="259"/>
      <c r="AQ81" s="259"/>
      <c r="AR81" s="259"/>
      <c r="AS81" s="259"/>
      <c r="AT81" s="259"/>
      <c r="AU81" s="260"/>
      <c r="AV81" s="254"/>
      <c r="AW81" s="254"/>
      <c r="AX81" s="254"/>
      <c r="AY81" s="254"/>
      <c r="AZ81" s="254"/>
      <c r="BA81" s="254"/>
      <c r="BB81" s="254"/>
      <c r="BC81" s="254"/>
      <c r="BD81" s="254"/>
      <c r="BE81" s="254"/>
      <c r="BF81" s="254"/>
      <c r="BG81" s="254"/>
      <c r="BH81" s="254"/>
      <c r="BI81" s="254"/>
      <c r="BJ81" s="255"/>
    </row>
    <row r="82" spans="1:62" s="131" customFormat="1" ht="20.25" customHeight="1">
      <c r="A82" s="252"/>
      <c r="B82" s="254"/>
      <c r="C82" s="254"/>
      <c r="F82" s="258"/>
      <c r="G82" s="259"/>
      <c r="H82" s="259" t="s">
        <v>505</v>
      </c>
      <c r="I82" s="259"/>
      <c r="J82" s="259" t="s">
        <v>494</v>
      </c>
      <c r="K82" s="259"/>
      <c r="L82" s="259"/>
      <c r="M82" s="259"/>
      <c r="N82" s="259"/>
      <c r="O82" s="259"/>
      <c r="P82" s="259"/>
      <c r="Q82" s="259"/>
      <c r="R82" s="259"/>
      <c r="S82" s="259"/>
      <c r="T82" s="259"/>
      <c r="U82" s="259"/>
      <c r="V82" s="259"/>
      <c r="W82" s="259"/>
      <c r="X82" s="259"/>
      <c r="Y82" s="427">
        <f>SUM(Y122:AC125)</f>
        <v>106000</v>
      </c>
      <c r="Z82" s="427"/>
      <c r="AA82" s="427"/>
      <c r="AB82" s="427"/>
      <c r="AC82" s="427"/>
      <c r="AD82" s="259" t="s">
        <v>599</v>
      </c>
      <c r="AE82" s="259"/>
      <c r="AF82" s="259"/>
      <c r="AG82" s="259"/>
      <c r="AH82" s="259"/>
      <c r="AI82" s="259"/>
      <c r="AJ82" s="259"/>
      <c r="AK82" s="259"/>
      <c r="AL82" s="259"/>
      <c r="AM82" s="259"/>
      <c r="AN82" s="259"/>
      <c r="AO82" s="259"/>
      <c r="AP82" s="259"/>
      <c r="AQ82" s="259"/>
      <c r="AR82" s="259"/>
      <c r="AS82" s="259"/>
      <c r="AT82" s="259"/>
      <c r="AU82" s="260"/>
      <c r="AV82" s="254"/>
      <c r="AW82" s="254"/>
      <c r="AX82" s="254"/>
      <c r="AY82" s="254"/>
      <c r="AZ82" s="254"/>
      <c r="BA82" s="254"/>
      <c r="BB82" s="254"/>
      <c r="BC82" s="254"/>
      <c r="BD82" s="254"/>
      <c r="BE82" s="254"/>
      <c r="BF82" s="254"/>
      <c r="BG82" s="254"/>
      <c r="BH82" s="254"/>
      <c r="BI82" s="254"/>
      <c r="BJ82" s="255"/>
    </row>
    <row r="83" spans="1:62" s="131" customFormat="1" ht="20.25" customHeight="1">
      <c r="A83" s="252"/>
      <c r="B83" s="254"/>
      <c r="C83" s="254"/>
      <c r="F83" s="258"/>
      <c r="G83" s="259"/>
      <c r="H83" s="259" t="s">
        <v>507</v>
      </c>
      <c r="I83" s="259"/>
      <c r="J83" s="259" t="s">
        <v>579</v>
      </c>
      <c r="K83" s="259"/>
      <c r="L83" s="259"/>
      <c r="M83" s="259"/>
      <c r="N83" s="259"/>
      <c r="O83" s="259"/>
      <c r="P83" s="259"/>
      <c r="Q83" s="259"/>
      <c r="R83" s="259"/>
      <c r="S83" s="259"/>
      <c r="T83" s="259"/>
      <c r="U83" s="259"/>
      <c r="V83" s="259"/>
      <c r="W83" s="259"/>
      <c r="X83" s="259"/>
      <c r="Y83" s="427">
        <f>SUM(Y130:AC132,Y128)</f>
        <v>62000</v>
      </c>
      <c r="Z83" s="427"/>
      <c r="AA83" s="427"/>
      <c r="AB83" s="427"/>
      <c r="AC83" s="427"/>
      <c r="AD83" s="259" t="s">
        <v>600</v>
      </c>
      <c r="AE83" s="259"/>
      <c r="AF83" s="259"/>
      <c r="AG83" s="259"/>
      <c r="AH83" s="259"/>
      <c r="AI83" s="259"/>
      <c r="AJ83" s="259"/>
      <c r="AK83" s="259"/>
      <c r="AL83" s="259"/>
      <c r="AM83" s="259"/>
      <c r="AN83" s="259"/>
      <c r="AO83" s="259"/>
      <c r="AP83" s="259"/>
      <c r="AQ83" s="259"/>
      <c r="AR83" s="259"/>
      <c r="AS83" s="259"/>
      <c r="AT83" s="259"/>
      <c r="AU83" s="260"/>
      <c r="AV83" s="254"/>
      <c r="AW83" s="254"/>
      <c r="AX83" s="254"/>
      <c r="AY83" s="254"/>
      <c r="AZ83" s="254"/>
      <c r="BA83" s="254"/>
      <c r="BB83" s="254"/>
      <c r="BC83" s="254"/>
      <c r="BD83" s="254"/>
      <c r="BE83" s="254"/>
      <c r="BF83" s="254"/>
      <c r="BG83" s="254"/>
      <c r="BH83" s="254"/>
      <c r="BI83" s="254"/>
      <c r="BJ83" s="255"/>
    </row>
    <row r="84" spans="1:62" s="131" customFormat="1" ht="20.25" customHeight="1">
      <c r="A84" s="252"/>
      <c r="B84" s="254"/>
      <c r="C84" s="254"/>
      <c r="F84" s="258"/>
      <c r="G84" s="259"/>
      <c r="H84" s="259" t="s">
        <v>585</v>
      </c>
      <c r="I84" s="259"/>
      <c r="J84" s="259"/>
      <c r="K84" s="259"/>
      <c r="L84" s="259"/>
      <c r="M84" s="259"/>
      <c r="N84" s="259"/>
      <c r="O84" s="259"/>
      <c r="P84" s="259"/>
      <c r="Q84" s="259"/>
      <c r="R84" s="259"/>
      <c r="S84" s="259"/>
      <c r="T84" s="259"/>
      <c r="U84" s="259"/>
      <c r="V84" s="259"/>
      <c r="W84" s="259"/>
      <c r="X84" s="259"/>
      <c r="Y84" s="273"/>
      <c r="Z84" s="273"/>
      <c r="AA84" s="273"/>
      <c r="AB84" s="273"/>
      <c r="AC84" s="273"/>
      <c r="AD84" s="259"/>
      <c r="AE84" s="259"/>
      <c r="AF84" s="259"/>
      <c r="AG84" s="259"/>
      <c r="AH84" s="259"/>
      <c r="AI84" s="259"/>
      <c r="AJ84" s="259"/>
      <c r="AK84" s="259"/>
      <c r="AL84" s="259"/>
      <c r="AM84" s="259"/>
      <c r="AN84" s="259"/>
      <c r="AO84" s="259"/>
      <c r="AP84" s="259"/>
      <c r="AQ84" s="259"/>
      <c r="AR84" s="259"/>
      <c r="AS84" s="259"/>
      <c r="AT84" s="259"/>
      <c r="AU84" s="260"/>
      <c r="AV84" s="254"/>
      <c r="AW84" s="254"/>
      <c r="AX84" s="254"/>
      <c r="AY84" s="254"/>
      <c r="AZ84" s="254"/>
      <c r="BA84" s="254"/>
      <c r="BB84" s="254"/>
      <c r="BC84" s="254"/>
      <c r="BD84" s="254"/>
      <c r="BE84" s="254"/>
      <c r="BF84" s="254"/>
      <c r="BG84" s="254"/>
      <c r="BH84" s="254"/>
      <c r="BI84" s="254"/>
      <c r="BJ84" s="255"/>
    </row>
    <row r="85" spans="1:62" s="131" customFormat="1" ht="20.25" customHeight="1">
      <c r="A85" s="252"/>
      <c r="B85" s="254"/>
      <c r="C85" s="254"/>
      <c r="F85" s="267"/>
      <c r="G85" s="268"/>
      <c r="H85" s="268" t="s">
        <v>507</v>
      </c>
      <c r="I85" s="259"/>
      <c r="J85" s="259" t="s">
        <v>579</v>
      </c>
      <c r="K85" s="268"/>
      <c r="L85" s="268"/>
      <c r="M85" s="268"/>
      <c r="N85" s="268"/>
      <c r="O85" s="268"/>
      <c r="P85" s="268"/>
      <c r="Q85" s="268"/>
      <c r="R85" s="268"/>
      <c r="S85" s="268"/>
      <c r="T85" s="268"/>
      <c r="U85" s="268"/>
      <c r="V85" s="268"/>
      <c r="W85" s="268"/>
      <c r="X85" s="268"/>
      <c r="Y85" s="429">
        <f>Y136</f>
        <v>29000</v>
      </c>
      <c r="Z85" s="429"/>
      <c r="AA85" s="429"/>
      <c r="AB85" s="429"/>
      <c r="AC85" s="429"/>
      <c r="AD85" s="268" t="s">
        <v>595</v>
      </c>
      <c r="AE85" s="268"/>
      <c r="AF85" s="268"/>
      <c r="AG85" s="268"/>
      <c r="AH85" s="268"/>
      <c r="AI85" s="268"/>
      <c r="AJ85" s="268"/>
      <c r="AK85" s="268"/>
      <c r="AL85" s="268"/>
      <c r="AM85" s="268"/>
      <c r="AN85" s="268"/>
      <c r="AO85" s="268"/>
      <c r="AP85" s="268"/>
      <c r="AQ85" s="268"/>
      <c r="AR85" s="268"/>
      <c r="AS85" s="268"/>
      <c r="AT85" s="268"/>
      <c r="AU85" s="274"/>
      <c r="AV85" s="254"/>
      <c r="AW85" s="254"/>
      <c r="AX85" s="254"/>
      <c r="AY85" s="254"/>
      <c r="AZ85" s="254"/>
      <c r="BA85" s="254"/>
      <c r="BB85" s="254"/>
      <c r="BC85" s="254"/>
      <c r="BD85" s="254"/>
      <c r="BE85" s="254"/>
      <c r="BF85" s="254"/>
      <c r="BG85" s="254"/>
      <c r="BH85" s="254"/>
      <c r="BI85" s="254"/>
      <c r="BJ85" s="255"/>
    </row>
    <row r="86" spans="1:62" s="131" customFormat="1" ht="20.25" customHeight="1">
      <c r="A86" s="252"/>
      <c r="B86" s="254"/>
      <c r="C86" s="254"/>
      <c r="F86" s="264" t="s">
        <v>508</v>
      </c>
      <c r="G86" s="265"/>
      <c r="H86" s="265"/>
      <c r="I86" s="265"/>
      <c r="J86" s="265"/>
      <c r="K86" s="265"/>
      <c r="L86" s="265"/>
      <c r="M86" s="265"/>
      <c r="N86" s="265"/>
      <c r="O86" s="265"/>
      <c r="P86" s="265"/>
      <c r="Q86" s="265"/>
      <c r="R86" s="265"/>
      <c r="S86" s="265"/>
      <c r="T86" s="265"/>
      <c r="U86" s="265"/>
      <c r="V86" s="265"/>
      <c r="W86" s="265"/>
      <c r="X86" s="265"/>
      <c r="Y86" s="428"/>
      <c r="Z86" s="428"/>
      <c r="AA86" s="428"/>
      <c r="AB86" s="428"/>
      <c r="AC86" s="428"/>
      <c r="AD86" s="265"/>
      <c r="AE86" s="265"/>
      <c r="AF86" s="265"/>
      <c r="AG86" s="265"/>
      <c r="AH86" s="265"/>
      <c r="AI86" s="265"/>
      <c r="AJ86" s="265"/>
      <c r="AK86" s="265"/>
      <c r="AL86" s="265"/>
      <c r="AM86" s="265"/>
      <c r="AN86" s="265"/>
      <c r="AO86" s="265"/>
      <c r="AP86" s="265"/>
      <c r="AQ86" s="419" t="s">
        <v>502</v>
      </c>
      <c r="AR86" s="419"/>
      <c r="AS86" s="419"/>
      <c r="AT86" s="419"/>
      <c r="AU86" s="420"/>
      <c r="AV86" s="254"/>
      <c r="AW86" s="254"/>
      <c r="AX86" s="254"/>
      <c r="AY86" s="254"/>
      <c r="AZ86" s="254"/>
      <c r="BA86" s="254"/>
      <c r="BB86" s="254"/>
      <c r="BC86" s="254"/>
      <c r="BD86" s="254"/>
      <c r="BE86" s="254"/>
      <c r="BF86" s="254"/>
      <c r="BG86" s="254"/>
      <c r="BH86" s="254"/>
      <c r="BI86" s="254"/>
      <c r="BJ86" s="255"/>
    </row>
    <row r="87" spans="1:62" s="131" customFormat="1" ht="20.25" customHeight="1">
      <c r="A87" s="252"/>
      <c r="B87" s="254"/>
      <c r="C87" s="254"/>
      <c r="F87" s="258"/>
      <c r="G87" s="259"/>
      <c r="H87" s="259" t="s">
        <v>503</v>
      </c>
      <c r="I87" s="259"/>
      <c r="J87" s="259"/>
      <c r="K87" s="259"/>
      <c r="L87" s="259"/>
      <c r="M87" s="259"/>
      <c r="N87" s="259"/>
      <c r="O87" s="259"/>
      <c r="P87" s="259"/>
      <c r="Q87" s="259"/>
      <c r="R87" s="259"/>
      <c r="S87" s="259"/>
      <c r="T87" s="259"/>
      <c r="U87" s="259"/>
      <c r="V87" s="259"/>
      <c r="W87" s="259"/>
      <c r="X87" s="259"/>
      <c r="Y87" s="273"/>
      <c r="Z87" s="273"/>
      <c r="AA87" s="273"/>
      <c r="AB87" s="273"/>
      <c r="AC87" s="273"/>
      <c r="AD87" s="259"/>
      <c r="AE87" s="259"/>
      <c r="AF87" s="259"/>
      <c r="AG87" s="259"/>
      <c r="AH87" s="259"/>
      <c r="AI87" s="259"/>
      <c r="AJ87" s="259"/>
      <c r="AK87" s="259"/>
      <c r="AL87" s="259"/>
      <c r="AM87" s="259"/>
      <c r="AN87" s="259"/>
      <c r="AO87" s="259"/>
      <c r="AP87" s="259"/>
      <c r="AQ87" s="417">
        <f>SUM(Y89:AC101)</f>
        <v>380000</v>
      </c>
      <c r="AR87" s="417"/>
      <c r="AS87" s="417"/>
      <c r="AT87" s="417"/>
      <c r="AU87" s="418"/>
      <c r="AV87" s="254"/>
      <c r="AW87" s="254"/>
      <c r="AX87" s="254"/>
      <c r="AY87" s="254"/>
      <c r="AZ87" s="254"/>
      <c r="BA87" s="254"/>
      <c r="BB87" s="254"/>
      <c r="BC87" s="254"/>
      <c r="BD87" s="254"/>
      <c r="BE87" s="254"/>
      <c r="BF87" s="254"/>
      <c r="BG87" s="254"/>
      <c r="BH87" s="254"/>
      <c r="BI87" s="254"/>
      <c r="BJ87" s="255"/>
    </row>
    <row r="88" spans="1:62" s="131" customFormat="1" ht="20.25" customHeight="1">
      <c r="A88" s="252"/>
      <c r="B88" s="254"/>
      <c r="C88" s="254"/>
      <c r="F88" s="258"/>
      <c r="G88" s="259"/>
      <c r="H88" s="259" t="s">
        <v>505</v>
      </c>
      <c r="I88" s="259"/>
      <c r="J88" s="259" t="s">
        <v>506</v>
      </c>
      <c r="K88" s="259"/>
      <c r="L88" s="259"/>
      <c r="M88" s="259"/>
      <c r="N88" s="259"/>
      <c r="O88" s="259"/>
      <c r="P88" s="259"/>
      <c r="Q88" s="259"/>
      <c r="R88" s="259"/>
      <c r="S88" s="259"/>
      <c r="T88" s="259"/>
      <c r="U88" s="259"/>
      <c r="V88" s="259"/>
      <c r="W88" s="259"/>
      <c r="X88" s="259"/>
      <c r="Y88" s="273"/>
      <c r="Z88" s="273"/>
      <c r="AA88" s="273"/>
      <c r="AB88" s="273"/>
      <c r="AC88" s="273"/>
      <c r="AD88" s="259"/>
      <c r="AE88" s="259"/>
      <c r="AF88" s="259"/>
      <c r="AG88" s="259"/>
      <c r="AH88" s="259"/>
      <c r="AI88" s="259"/>
      <c r="AJ88" s="259"/>
      <c r="AK88" s="259"/>
      <c r="AL88" s="259"/>
      <c r="AM88" s="259"/>
      <c r="AN88" s="259"/>
      <c r="AO88" s="259"/>
      <c r="AP88" s="259"/>
      <c r="AQ88" s="272"/>
      <c r="AR88" s="272"/>
      <c r="AS88" s="272"/>
      <c r="AT88" s="272"/>
      <c r="AU88" s="275"/>
      <c r="AV88" s="254"/>
      <c r="AW88" s="254"/>
      <c r="AX88" s="254"/>
      <c r="AY88" s="254"/>
      <c r="AZ88" s="254"/>
      <c r="BA88" s="254"/>
      <c r="BB88" s="254"/>
      <c r="BC88" s="254"/>
      <c r="BD88" s="254"/>
      <c r="BE88" s="254"/>
      <c r="BF88" s="254"/>
      <c r="BG88" s="254"/>
      <c r="BH88" s="254"/>
      <c r="BI88" s="254"/>
      <c r="BJ88" s="255"/>
    </row>
    <row r="89" spans="1:62" s="131" customFormat="1" ht="20.25" customHeight="1">
      <c r="A89" s="252"/>
      <c r="B89" s="254"/>
      <c r="C89" s="254"/>
      <c r="F89" s="258"/>
      <c r="G89" s="259"/>
      <c r="H89" s="259" t="s">
        <v>509</v>
      </c>
      <c r="I89" s="259"/>
      <c r="J89" s="259" t="s">
        <v>505</v>
      </c>
      <c r="K89" s="259"/>
      <c r="L89" s="259" t="s">
        <v>510</v>
      </c>
      <c r="M89" s="259"/>
      <c r="N89" s="259"/>
      <c r="O89" s="259"/>
      <c r="P89" s="259"/>
      <c r="Q89" s="259"/>
      <c r="R89" s="259"/>
      <c r="S89" s="259"/>
      <c r="T89" s="259"/>
      <c r="U89" s="259"/>
      <c r="V89" s="259"/>
      <c r="W89" s="259"/>
      <c r="X89" s="259"/>
      <c r="Y89" s="427">
        <f>Y106</f>
        <v>15000</v>
      </c>
      <c r="Z89" s="427"/>
      <c r="AA89" s="427"/>
      <c r="AB89" s="427"/>
      <c r="AC89" s="427"/>
      <c r="AD89" s="259" t="s">
        <v>518</v>
      </c>
      <c r="AE89" s="259"/>
      <c r="AF89" s="259"/>
      <c r="AG89" s="259"/>
      <c r="AH89" s="259"/>
      <c r="AI89" s="259"/>
      <c r="AJ89" s="259"/>
      <c r="AK89" s="259"/>
      <c r="AL89" s="259"/>
      <c r="AM89" s="259"/>
      <c r="AN89" s="259"/>
      <c r="AO89" s="259"/>
      <c r="AP89" s="259"/>
      <c r="AQ89" s="272"/>
      <c r="AR89" s="272"/>
      <c r="AS89" s="272"/>
      <c r="AT89" s="272"/>
      <c r="AU89" s="275"/>
      <c r="AV89" s="254"/>
      <c r="AW89" s="254"/>
      <c r="AX89" s="254"/>
      <c r="AY89" s="254"/>
      <c r="AZ89" s="254"/>
      <c r="BA89" s="254"/>
      <c r="BB89" s="254"/>
      <c r="BC89" s="254"/>
      <c r="BD89" s="254"/>
      <c r="BE89" s="254"/>
      <c r="BF89" s="254"/>
      <c r="BG89" s="254"/>
      <c r="BH89" s="254"/>
      <c r="BI89" s="254"/>
      <c r="BJ89" s="255"/>
    </row>
    <row r="90" spans="1:62" s="131" customFormat="1" ht="20.25" customHeight="1">
      <c r="A90" s="252"/>
      <c r="B90" s="254"/>
      <c r="C90" s="254"/>
      <c r="F90" s="258"/>
      <c r="G90" s="259"/>
      <c r="H90" s="259" t="s">
        <v>509</v>
      </c>
      <c r="I90" s="259"/>
      <c r="J90" s="259" t="s">
        <v>507</v>
      </c>
      <c r="K90" s="259"/>
      <c r="L90" s="259" t="s">
        <v>601</v>
      </c>
      <c r="M90" s="259"/>
      <c r="N90" s="259"/>
      <c r="O90" s="259"/>
      <c r="P90" s="259"/>
      <c r="Q90" s="259"/>
      <c r="R90" s="259"/>
      <c r="S90" s="259"/>
      <c r="T90" s="259"/>
      <c r="U90" s="259"/>
      <c r="V90" s="259"/>
      <c r="W90" s="259"/>
      <c r="X90" s="259"/>
      <c r="Y90" s="427">
        <f>SUM(Y108:AC110)</f>
        <v>39000</v>
      </c>
      <c r="Z90" s="427"/>
      <c r="AA90" s="427"/>
      <c r="AB90" s="427"/>
      <c r="AC90" s="427"/>
      <c r="AD90" s="259" t="s">
        <v>603</v>
      </c>
      <c r="AE90" s="259"/>
      <c r="AF90" s="259"/>
      <c r="AG90" s="259"/>
      <c r="AH90" s="259"/>
      <c r="AI90" s="259"/>
      <c r="AJ90" s="259"/>
      <c r="AK90" s="259"/>
      <c r="AL90" s="259"/>
      <c r="AM90" s="259"/>
      <c r="AN90" s="259"/>
      <c r="AO90" s="259"/>
      <c r="AP90" s="259"/>
      <c r="AQ90" s="272"/>
      <c r="AR90" s="272"/>
      <c r="AS90" s="272"/>
      <c r="AT90" s="272"/>
      <c r="AU90" s="275"/>
      <c r="AV90" s="254"/>
      <c r="AW90" s="254"/>
      <c r="AX90" s="254"/>
      <c r="AY90" s="254"/>
      <c r="AZ90" s="254"/>
      <c r="BA90" s="254"/>
      <c r="BB90" s="254"/>
      <c r="BC90" s="254"/>
      <c r="BD90" s="254"/>
      <c r="BE90" s="254"/>
      <c r="BF90" s="254"/>
      <c r="BG90" s="254"/>
      <c r="BH90" s="254"/>
      <c r="BI90" s="254"/>
      <c r="BJ90" s="255"/>
    </row>
    <row r="91" spans="1:62" s="131" customFormat="1" ht="20.25" customHeight="1">
      <c r="A91" s="252"/>
      <c r="B91" s="254"/>
      <c r="C91" s="254"/>
      <c r="F91" s="258"/>
      <c r="G91" s="259"/>
      <c r="H91" s="259" t="s">
        <v>505</v>
      </c>
      <c r="I91" s="259"/>
      <c r="J91" s="259" t="s">
        <v>488</v>
      </c>
      <c r="K91" s="259"/>
      <c r="L91" s="259"/>
      <c r="M91" s="259"/>
      <c r="N91" s="259"/>
      <c r="O91" s="259"/>
      <c r="P91" s="259"/>
      <c r="Q91" s="259"/>
      <c r="R91" s="259"/>
      <c r="S91" s="259"/>
      <c r="T91" s="259"/>
      <c r="U91" s="259"/>
      <c r="V91" s="259"/>
      <c r="W91" s="259"/>
      <c r="X91" s="259"/>
      <c r="Y91" s="273"/>
      <c r="Z91" s="273"/>
      <c r="AA91" s="273"/>
      <c r="AB91" s="273"/>
      <c r="AC91" s="273"/>
      <c r="AD91" s="259"/>
      <c r="AE91" s="259"/>
      <c r="AF91" s="259"/>
      <c r="AG91" s="259"/>
      <c r="AH91" s="259"/>
      <c r="AI91" s="259"/>
      <c r="AJ91" s="259"/>
      <c r="AK91" s="259"/>
      <c r="AL91" s="259"/>
      <c r="AM91" s="259"/>
      <c r="AN91" s="259"/>
      <c r="AO91" s="259"/>
      <c r="AP91" s="259"/>
      <c r="AQ91" s="273"/>
      <c r="AR91" s="273"/>
      <c r="AS91" s="273"/>
      <c r="AT91" s="273"/>
      <c r="AU91" s="276"/>
      <c r="AV91" s="254"/>
      <c r="AW91" s="254"/>
      <c r="AX91" s="254"/>
      <c r="AY91" s="254"/>
      <c r="AZ91" s="254"/>
      <c r="BA91" s="254"/>
      <c r="BB91" s="254"/>
      <c r="BC91" s="254"/>
      <c r="BD91" s="254"/>
      <c r="BE91" s="254"/>
      <c r="BF91" s="254"/>
      <c r="BG91" s="254"/>
      <c r="BH91" s="254"/>
      <c r="BI91" s="254"/>
      <c r="BJ91" s="255"/>
    </row>
    <row r="92" spans="1:62" s="131" customFormat="1" ht="20.25" customHeight="1">
      <c r="A92" s="252"/>
      <c r="B92" s="254"/>
      <c r="C92" s="254"/>
      <c r="F92" s="258"/>
      <c r="G92" s="259"/>
      <c r="H92" s="259" t="s">
        <v>509</v>
      </c>
      <c r="I92" s="259"/>
      <c r="J92" s="259" t="s">
        <v>505</v>
      </c>
      <c r="K92" s="259"/>
      <c r="L92" s="259" t="s">
        <v>512</v>
      </c>
      <c r="M92" s="259"/>
      <c r="N92" s="259"/>
      <c r="O92" s="259"/>
      <c r="P92" s="259"/>
      <c r="Q92" s="259"/>
      <c r="R92" s="259"/>
      <c r="S92" s="259"/>
      <c r="T92" s="259"/>
      <c r="U92" s="259"/>
      <c r="V92" s="259"/>
      <c r="W92" s="259"/>
      <c r="X92" s="259"/>
      <c r="Y92" s="427">
        <f>SUM(Y113:AC115)</f>
        <v>69000</v>
      </c>
      <c r="Z92" s="427"/>
      <c r="AA92" s="427"/>
      <c r="AB92" s="427"/>
      <c r="AC92" s="427"/>
      <c r="AD92" s="259" t="s">
        <v>596</v>
      </c>
      <c r="AE92" s="259"/>
      <c r="AF92" s="259"/>
      <c r="AG92" s="259"/>
      <c r="AH92" s="259"/>
      <c r="AI92" s="259"/>
      <c r="AJ92" s="259"/>
      <c r="AK92" s="259"/>
      <c r="AL92" s="259"/>
      <c r="AM92" s="259"/>
      <c r="AN92" s="259"/>
      <c r="AO92" s="259"/>
      <c r="AP92" s="259"/>
      <c r="AQ92" s="259"/>
      <c r="AR92" s="259"/>
      <c r="AS92" s="259"/>
      <c r="AT92" s="259"/>
      <c r="AU92" s="260"/>
      <c r="AV92" s="254"/>
      <c r="AW92" s="254"/>
      <c r="AX92" s="254"/>
      <c r="AY92" s="254"/>
      <c r="AZ92" s="254"/>
      <c r="BA92" s="254"/>
      <c r="BB92" s="254"/>
      <c r="BC92" s="254"/>
      <c r="BD92" s="254"/>
      <c r="BE92" s="254"/>
      <c r="BF92" s="254"/>
      <c r="BG92" s="254"/>
      <c r="BH92" s="254"/>
      <c r="BI92" s="254"/>
      <c r="BJ92" s="255"/>
    </row>
    <row r="93" spans="1:62" s="131" customFormat="1" ht="20.25" customHeight="1">
      <c r="A93" s="252"/>
      <c r="B93" s="254"/>
      <c r="C93" s="254"/>
      <c r="F93" s="258"/>
      <c r="G93" s="259"/>
      <c r="H93" s="259" t="s">
        <v>509</v>
      </c>
      <c r="I93" s="259"/>
      <c r="J93" s="259" t="s">
        <v>507</v>
      </c>
      <c r="K93" s="259"/>
      <c r="L93" s="259" t="s">
        <v>601</v>
      </c>
      <c r="M93" s="259"/>
      <c r="N93" s="259"/>
      <c r="O93" s="259"/>
      <c r="P93" s="259"/>
      <c r="Q93" s="259"/>
      <c r="R93" s="259"/>
      <c r="S93" s="259"/>
      <c r="T93" s="259"/>
      <c r="U93" s="259"/>
      <c r="V93" s="259"/>
      <c r="W93" s="259"/>
      <c r="X93" s="259"/>
      <c r="Y93" s="427">
        <f>SUM(Y117:AC119)</f>
        <v>60000</v>
      </c>
      <c r="Z93" s="427"/>
      <c r="AA93" s="427"/>
      <c r="AB93" s="427"/>
      <c r="AC93" s="427"/>
      <c r="AD93" s="259" t="s">
        <v>604</v>
      </c>
      <c r="AE93" s="259"/>
      <c r="AF93" s="259"/>
      <c r="AG93" s="259"/>
      <c r="AH93" s="259"/>
      <c r="AI93" s="259"/>
      <c r="AJ93" s="259"/>
      <c r="AK93" s="259"/>
      <c r="AL93" s="259"/>
      <c r="AM93" s="259"/>
      <c r="AN93" s="259"/>
      <c r="AO93" s="259"/>
      <c r="AP93" s="259"/>
      <c r="AQ93" s="259"/>
      <c r="AR93" s="259"/>
      <c r="AS93" s="259"/>
      <c r="AT93" s="259"/>
      <c r="AU93" s="260"/>
      <c r="AV93" s="254"/>
      <c r="AW93" s="254"/>
      <c r="AX93" s="254"/>
      <c r="AY93" s="254"/>
      <c r="AZ93" s="254"/>
      <c r="BA93" s="254"/>
      <c r="BB93" s="254"/>
      <c r="BC93" s="254"/>
      <c r="BD93" s="254"/>
      <c r="BE93" s="254"/>
      <c r="BF93" s="254"/>
      <c r="BG93" s="254"/>
      <c r="BH93" s="254"/>
      <c r="BI93" s="254"/>
      <c r="BJ93" s="255"/>
    </row>
    <row r="94" spans="1:62" s="131" customFormat="1" ht="20.25" customHeight="1">
      <c r="A94" s="252"/>
      <c r="B94" s="254"/>
      <c r="C94" s="254"/>
      <c r="F94" s="258"/>
      <c r="G94" s="259"/>
      <c r="H94" s="259" t="s">
        <v>505</v>
      </c>
      <c r="I94" s="259"/>
      <c r="J94" s="259" t="s">
        <v>494</v>
      </c>
      <c r="K94" s="259"/>
      <c r="L94" s="259"/>
      <c r="M94" s="259"/>
      <c r="N94" s="259"/>
      <c r="O94" s="259"/>
      <c r="P94" s="259"/>
      <c r="Q94" s="259"/>
      <c r="R94" s="259"/>
      <c r="S94" s="259"/>
      <c r="T94" s="259"/>
      <c r="U94" s="259"/>
      <c r="V94" s="259"/>
      <c r="W94" s="259"/>
      <c r="X94" s="259"/>
      <c r="Y94" s="273"/>
      <c r="Z94" s="273"/>
      <c r="AA94" s="273"/>
      <c r="AB94" s="273"/>
      <c r="AC94" s="273"/>
      <c r="AD94" s="259"/>
      <c r="AE94" s="259"/>
      <c r="AF94" s="259"/>
      <c r="AG94" s="259"/>
      <c r="AH94" s="259"/>
      <c r="AI94" s="259"/>
      <c r="AJ94" s="259"/>
      <c r="AK94" s="259"/>
      <c r="AL94" s="259"/>
      <c r="AM94" s="259"/>
      <c r="AN94" s="259"/>
      <c r="AO94" s="259"/>
      <c r="AP94" s="259"/>
      <c r="AQ94" s="273"/>
      <c r="AR94" s="273"/>
      <c r="AS94" s="273"/>
      <c r="AT94" s="273"/>
      <c r="AU94" s="276"/>
      <c r="AV94" s="254"/>
      <c r="AW94" s="254"/>
      <c r="AX94" s="254"/>
      <c r="AY94" s="254"/>
      <c r="AZ94" s="254"/>
      <c r="BA94" s="254"/>
      <c r="BB94" s="254"/>
      <c r="BC94" s="254"/>
      <c r="BD94" s="254"/>
      <c r="BE94" s="254"/>
      <c r="BF94" s="254"/>
      <c r="BG94" s="254"/>
      <c r="BH94" s="254"/>
      <c r="BI94" s="254"/>
      <c r="BJ94" s="255"/>
    </row>
    <row r="95" spans="1:62" s="131" customFormat="1" ht="20.25" customHeight="1">
      <c r="A95" s="252"/>
      <c r="B95" s="254"/>
      <c r="C95" s="254"/>
      <c r="F95" s="258"/>
      <c r="G95" s="259"/>
      <c r="H95" s="259" t="s">
        <v>509</v>
      </c>
      <c r="I95" s="259"/>
      <c r="J95" s="259" t="s">
        <v>507</v>
      </c>
      <c r="K95" s="259"/>
      <c r="L95" s="259" t="s">
        <v>601</v>
      </c>
      <c r="M95" s="259"/>
      <c r="N95" s="259"/>
      <c r="O95" s="259"/>
      <c r="P95" s="259"/>
      <c r="Q95" s="259"/>
      <c r="R95" s="259"/>
      <c r="S95" s="259"/>
      <c r="T95" s="259"/>
      <c r="U95" s="259"/>
      <c r="V95" s="259"/>
      <c r="W95" s="259"/>
      <c r="X95" s="259"/>
      <c r="Y95" s="427">
        <f>SUM(Y122:AC125)</f>
        <v>106000</v>
      </c>
      <c r="Z95" s="427"/>
      <c r="AA95" s="427"/>
      <c r="AB95" s="427"/>
      <c r="AC95" s="427"/>
      <c r="AD95" s="259" t="s">
        <v>605</v>
      </c>
      <c r="AE95" s="259"/>
      <c r="AF95" s="259"/>
      <c r="AG95" s="259"/>
      <c r="AH95" s="259"/>
      <c r="AI95" s="259"/>
      <c r="AJ95" s="259"/>
      <c r="AK95" s="259"/>
      <c r="AL95" s="259"/>
      <c r="AM95" s="259"/>
      <c r="AN95" s="259"/>
      <c r="AO95" s="259"/>
      <c r="AP95" s="259"/>
      <c r="AQ95" s="259"/>
      <c r="AR95" s="259"/>
      <c r="AS95" s="259"/>
      <c r="AT95" s="259"/>
      <c r="AU95" s="260"/>
      <c r="AV95" s="254"/>
      <c r="AW95" s="254"/>
      <c r="AX95" s="254"/>
      <c r="AY95" s="254"/>
      <c r="AZ95" s="254"/>
      <c r="BA95" s="254"/>
      <c r="BB95" s="254"/>
      <c r="BC95" s="254"/>
      <c r="BD95" s="254"/>
      <c r="BE95" s="254"/>
      <c r="BF95" s="254"/>
      <c r="BG95" s="254"/>
      <c r="BH95" s="254"/>
      <c r="BI95" s="254"/>
      <c r="BJ95" s="255"/>
    </row>
    <row r="96" spans="1:62" s="131" customFormat="1" ht="20.25" customHeight="1">
      <c r="A96" s="252"/>
      <c r="B96" s="254"/>
      <c r="C96" s="254"/>
      <c r="F96" s="258"/>
      <c r="G96" s="259"/>
      <c r="H96" s="259" t="s">
        <v>507</v>
      </c>
      <c r="I96" s="259"/>
      <c r="J96" s="259" t="s">
        <v>579</v>
      </c>
      <c r="K96" s="259"/>
      <c r="L96" s="259"/>
      <c r="M96" s="259"/>
      <c r="N96" s="259"/>
      <c r="O96" s="259"/>
      <c r="P96" s="259"/>
      <c r="Q96" s="259"/>
      <c r="R96" s="259"/>
      <c r="S96" s="259"/>
      <c r="T96" s="259"/>
      <c r="U96" s="259"/>
      <c r="V96" s="259"/>
      <c r="W96" s="259"/>
      <c r="X96" s="259"/>
      <c r="Y96" s="273"/>
      <c r="Z96" s="273"/>
      <c r="AA96" s="273"/>
      <c r="AB96" s="273"/>
      <c r="AC96" s="273"/>
      <c r="AD96" s="259"/>
      <c r="AE96" s="259"/>
      <c r="AF96" s="259"/>
      <c r="AG96" s="259"/>
      <c r="AH96" s="259"/>
      <c r="AI96" s="259"/>
      <c r="AJ96" s="259"/>
      <c r="AK96" s="259"/>
      <c r="AL96" s="259"/>
      <c r="AM96" s="259"/>
      <c r="AN96" s="259"/>
      <c r="AO96" s="259"/>
      <c r="AP96" s="259"/>
      <c r="AQ96" s="259"/>
      <c r="AR96" s="259"/>
      <c r="AS96" s="259"/>
      <c r="AT96" s="259"/>
      <c r="AU96" s="260"/>
      <c r="AV96" s="254"/>
      <c r="AW96" s="254"/>
      <c r="AX96" s="254"/>
      <c r="AY96" s="254"/>
      <c r="AZ96" s="254"/>
      <c r="BA96" s="254"/>
      <c r="BB96" s="254"/>
      <c r="BC96" s="254"/>
      <c r="BD96" s="254"/>
      <c r="BE96" s="254"/>
      <c r="BF96" s="254"/>
      <c r="BG96" s="254"/>
      <c r="BH96" s="254"/>
      <c r="BI96" s="254"/>
      <c r="BJ96" s="255"/>
    </row>
    <row r="97" spans="1:62" s="131" customFormat="1" ht="20.25" customHeight="1">
      <c r="A97" s="252"/>
      <c r="B97" s="254"/>
      <c r="C97" s="254"/>
      <c r="F97" s="258"/>
      <c r="G97" s="259"/>
      <c r="H97" s="259"/>
      <c r="I97" s="259"/>
      <c r="J97" s="259" t="s">
        <v>505</v>
      </c>
      <c r="K97" s="259"/>
      <c r="L97" s="259" t="s">
        <v>588</v>
      </c>
      <c r="M97" s="259"/>
      <c r="N97" s="259"/>
      <c r="O97" s="259"/>
      <c r="P97" s="259"/>
      <c r="Q97" s="259"/>
      <c r="R97" s="259"/>
      <c r="S97" s="259"/>
      <c r="T97" s="259"/>
      <c r="U97" s="259"/>
      <c r="V97" s="259"/>
      <c r="W97" s="259"/>
      <c r="X97" s="259"/>
      <c r="Y97" s="427">
        <f>SUM(Y128)</f>
        <v>18000</v>
      </c>
      <c r="Z97" s="427"/>
      <c r="AA97" s="427"/>
      <c r="AB97" s="427"/>
      <c r="AC97" s="427"/>
      <c r="AD97" s="259" t="s">
        <v>524</v>
      </c>
      <c r="AE97" s="259"/>
      <c r="AF97" s="259"/>
      <c r="AG97" s="259"/>
      <c r="AH97" s="259"/>
      <c r="AI97" s="259"/>
      <c r="AJ97" s="259"/>
      <c r="AK97" s="259"/>
      <c r="AL97" s="259"/>
      <c r="AM97" s="259"/>
      <c r="AN97" s="259"/>
      <c r="AO97" s="259"/>
      <c r="AP97" s="259"/>
      <c r="AQ97" s="259"/>
      <c r="AR97" s="259"/>
      <c r="AS97" s="259"/>
      <c r="AT97" s="259"/>
      <c r="AU97" s="260"/>
      <c r="AV97" s="254"/>
      <c r="AW97" s="254"/>
      <c r="AX97" s="254"/>
      <c r="AY97" s="254"/>
      <c r="AZ97" s="254"/>
      <c r="BA97" s="254"/>
      <c r="BB97" s="254"/>
      <c r="BC97" s="254"/>
      <c r="BD97" s="254"/>
      <c r="BE97" s="254"/>
      <c r="BF97" s="254"/>
      <c r="BG97" s="254"/>
      <c r="BH97" s="254"/>
      <c r="BI97" s="254"/>
      <c r="BJ97" s="255"/>
    </row>
    <row r="98" spans="1:62" s="131" customFormat="1" ht="20.25" customHeight="1">
      <c r="A98" s="252"/>
      <c r="B98" s="254"/>
      <c r="C98" s="254"/>
      <c r="F98" s="258"/>
      <c r="G98" s="259"/>
      <c r="H98" s="259"/>
      <c r="I98" s="259"/>
      <c r="J98" s="259" t="s">
        <v>507</v>
      </c>
      <c r="K98" s="259"/>
      <c r="L98" s="259" t="s">
        <v>601</v>
      </c>
      <c r="M98" s="259"/>
      <c r="N98" s="259"/>
      <c r="O98" s="259"/>
      <c r="P98" s="259"/>
      <c r="Q98" s="259"/>
      <c r="R98" s="259"/>
      <c r="S98" s="259"/>
      <c r="T98" s="259"/>
      <c r="U98" s="259"/>
      <c r="V98" s="259"/>
      <c r="W98" s="259"/>
      <c r="X98" s="259"/>
      <c r="Y98" s="427">
        <f>SUM(Y130:AC132)</f>
        <v>44000</v>
      </c>
      <c r="Z98" s="427"/>
      <c r="AA98" s="427"/>
      <c r="AB98" s="427"/>
      <c r="AC98" s="427"/>
      <c r="AD98" s="259" t="s">
        <v>606</v>
      </c>
      <c r="AE98" s="259"/>
      <c r="AF98" s="259"/>
      <c r="AG98" s="259"/>
      <c r="AH98" s="259"/>
      <c r="AI98" s="259"/>
      <c r="AJ98" s="259"/>
      <c r="AK98" s="259"/>
      <c r="AL98" s="259"/>
      <c r="AM98" s="259"/>
      <c r="AN98" s="259"/>
      <c r="AO98" s="259"/>
      <c r="AP98" s="259"/>
      <c r="AQ98" s="259"/>
      <c r="AR98" s="259"/>
      <c r="AS98" s="259"/>
      <c r="AT98" s="259"/>
      <c r="AU98" s="260"/>
      <c r="AV98" s="254"/>
      <c r="AW98" s="254"/>
      <c r="AX98" s="254"/>
      <c r="AY98" s="254"/>
      <c r="AZ98" s="254"/>
      <c r="BA98" s="254"/>
      <c r="BB98" s="254"/>
      <c r="BC98" s="254"/>
      <c r="BD98" s="254"/>
      <c r="BE98" s="254"/>
      <c r="BF98" s="254"/>
      <c r="BG98" s="254"/>
      <c r="BH98" s="254"/>
      <c r="BI98" s="254"/>
      <c r="BJ98" s="255"/>
    </row>
    <row r="99" spans="1:62" s="131" customFormat="1" ht="20.25" customHeight="1">
      <c r="A99" s="252"/>
      <c r="B99" s="254"/>
      <c r="C99" s="254"/>
      <c r="F99" s="258"/>
      <c r="G99" s="259"/>
      <c r="H99" s="259" t="s">
        <v>585</v>
      </c>
      <c r="I99" s="259"/>
      <c r="J99" s="259"/>
      <c r="K99" s="259"/>
      <c r="L99" s="259"/>
      <c r="M99" s="259"/>
      <c r="N99" s="259"/>
      <c r="O99" s="259"/>
      <c r="P99" s="259"/>
      <c r="Q99" s="259"/>
      <c r="R99" s="259"/>
      <c r="S99" s="259"/>
      <c r="T99" s="259"/>
      <c r="U99" s="259"/>
      <c r="V99" s="259"/>
      <c r="W99" s="259"/>
      <c r="X99" s="259"/>
      <c r="Y99" s="273"/>
      <c r="Z99" s="273"/>
      <c r="AA99" s="273"/>
      <c r="AB99" s="273"/>
      <c r="AC99" s="273"/>
      <c r="AD99" s="259"/>
      <c r="AE99" s="259"/>
      <c r="AF99" s="259"/>
      <c r="AG99" s="259"/>
      <c r="AH99" s="259"/>
      <c r="AI99" s="259"/>
      <c r="AJ99" s="259"/>
      <c r="AK99" s="259"/>
      <c r="AL99" s="259"/>
      <c r="AM99" s="259"/>
      <c r="AN99" s="259"/>
      <c r="AO99" s="259"/>
      <c r="AP99" s="259"/>
      <c r="AQ99" s="259"/>
      <c r="AR99" s="259"/>
      <c r="AS99" s="259"/>
      <c r="AT99" s="259"/>
      <c r="AU99" s="260"/>
      <c r="AV99" s="254"/>
      <c r="AW99" s="254"/>
      <c r="AX99" s="254"/>
      <c r="AY99" s="254"/>
      <c r="AZ99" s="254"/>
      <c r="BA99" s="254"/>
      <c r="BB99" s="254"/>
      <c r="BC99" s="254"/>
      <c r="BD99" s="254"/>
      <c r="BE99" s="254"/>
      <c r="BF99" s="254"/>
      <c r="BG99" s="254"/>
      <c r="BH99" s="254"/>
      <c r="BI99" s="254"/>
      <c r="BJ99" s="255"/>
    </row>
    <row r="100" spans="1:62" s="131" customFormat="1" ht="20.25" customHeight="1">
      <c r="A100" s="252"/>
      <c r="B100" s="254"/>
      <c r="C100" s="254"/>
      <c r="F100" s="258"/>
      <c r="G100" s="259"/>
      <c r="H100" s="259" t="s">
        <v>507</v>
      </c>
      <c r="I100" s="259"/>
      <c r="J100" s="259" t="s">
        <v>602</v>
      </c>
      <c r="K100" s="259"/>
      <c r="L100" s="259"/>
      <c r="M100" s="259"/>
      <c r="N100" s="259"/>
      <c r="O100" s="259"/>
      <c r="P100" s="259"/>
      <c r="Q100" s="259"/>
      <c r="R100" s="259"/>
      <c r="S100" s="259"/>
      <c r="T100" s="259"/>
      <c r="U100" s="259"/>
      <c r="V100" s="259"/>
      <c r="W100" s="259"/>
      <c r="X100" s="259"/>
      <c r="Y100" s="273"/>
      <c r="Z100" s="273"/>
      <c r="AA100" s="273"/>
      <c r="AB100" s="273"/>
      <c r="AC100" s="273"/>
      <c r="AD100" s="259"/>
      <c r="AE100" s="259"/>
      <c r="AF100" s="259"/>
      <c r="AG100" s="259"/>
      <c r="AH100" s="259"/>
      <c r="AI100" s="259"/>
      <c r="AJ100" s="259"/>
      <c r="AK100" s="259"/>
      <c r="AL100" s="259"/>
      <c r="AM100" s="259"/>
      <c r="AN100" s="259"/>
      <c r="AO100" s="259"/>
      <c r="AP100" s="259"/>
      <c r="AQ100" s="259"/>
      <c r="AR100" s="259"/>
      <c r="AS100" s="259"/>
      <c r="AT100" s="259"/>
      <c r="AU100" s="260"/>
      <c r="AV100" s="254"/>
      <c r="AW100" s="254"/>
      <c r="AX100" s="254"/>
      <c r="AY100" s="254"/>
      <c r="AZ100" s="254"/>
      <c r="BA100" s="254"/>
      <c r="BB100" s="254"/>
      <c r="BC100" s="254"/>
      <c r="BD100" s="254"/>
      <c r="BE100" s="254"/>
      <c r="BF100" s="254"/>
      <c r="BG100" s="254"/>
      <c r="BH100" s="254"/>
      <c r="BI100" s="254"/>
      <c r="BJ100" s="255"/>
    </row>
    <row r="101" spans="1:62" s="131" customFormat="1" ht="20.25" customHeight="1">
      <c r="A101" s="252"/>
      <c r="B101" s="254"/>
      <c r="C101" s="254"/>
      <c r="F101" s="258"/>
      <c r="G101" s="259"/>
      <c r="H101" s="259"/>
      <c r="I101" s="259"/>
      <c r="J101" s="259" t="s">
        <v>507</v>
      </c>
      <c r="K101" s="259"/>
      <c r="L101" s="259" t="s">
        <v>601</v>
      </c>
      <c r="M101" s="259"/>
      <c r="N101" s="259"/>
      <c r="O101" s="259"/>
      <c r="P101" s="259"/>
      <c r="Q101" s="259"/>
      <c r="R101" s="259"/>
      <c r="S101" s="259"/>
      <c r="T101" s="259"/>
      <c r="U101" s="259"/>
      <c r="V101" s="259"/>
      <c r="W101" s="259"/>
      <c r="X101" s="259"/>
      <c r="Y101" s="427">
        <f>Y136</f>
        <v>29000</v>
      </c>
      <c r="Z101" s="427"/>
      <c r="AA101" s="427"/>
      <c r="AB101" s="427"/>
      <c r="AC101" s="427"/>
      <c r="AD101" s="259" t="s">
        <v>595</v>
      </c>
      <c r="AE101" s="259"/>
      <c r="AF101" s="259"/>
      <c r="AG101" s="259"/>
      <c r="AH101" s="259"/>
      <c r="AI101" s="259"/>
      <c r="AJ101" s="259"/>
      <c r="AK101" s="259"/>
      <c r="AL101" s="259"/>
      <c r="AM101" s="259"/>
      <c r="AN101" s="259"/>
      <c r="AO101" s="259"/>
      <c r="AP101" s="259"/>
      <c r="AQ101" s="259"/>
      <c r="AR101" s="259"/>
      <c r="AS101" s="259"/>
      <c r="AT101" s="259"/>
      <c r="AU101" s="260"/>
      <c r="AV101" s="254"/>
      <c r="AW101" s="254"/>
      <c r="AX101" s="254"/>
      <c r="AY101" s="254"/>
      <c r="AZ101" s="254"/>
      <c r="BA101" s="254"/>
      <c r="BB101" s="254"/>
      <c r="BC101" s="254"/>
      <c r="BD101" s="254"/>
      <c r="BE101" s="254"/>
      <c r="BF101" s="254"/>
      <c r="BG101" s="254"/>
      <c r="BH101" s="254"/>
      <c r="BI101" s="254"/>
      <c r="BJ101" s="255"/>
    </row>
    <row r="102" spans="1:62" s="131" customFormat="1" ht="20.25" customHeight="1">
      <c r="A102" s="252"/>
      <c r="B102" s="254"/>
      <c r="C102" s="254"/>
      <c r="F102" s="264" t="s">
        <v>578</v>
      </c>
      <c r="G102" s="265"/>
      <c r="H102" s="265"/>
      <c r="I102" s="265"/>
      <c r="J102" s="265"/>
      <c r="K102" s="265"/>
      <c r="L102" s="265"/>
      <c r="M102" s="265"/>
      <c r="N102" s="265"/>
      <c r="O102" s="265"/>
      <c r="P102" s="265"/>
      <c r="Q102" s="265"/>
      <c r="R102" s="265"/>
      <c r="S102" s="265"/>
      <c r="T102" s="265"/>
      <c r="U102" s="265"/>
      <c r="V102" s="265"/>
      <c r="W102" s="265"/>
      <c r="X102" s="265"/>
      <c r="Y102" s="428"/>
      <c r="Z102" s="428"/>
      <c r="AA102" s="428"/>
      <c r="AB102" s="428"/>
      <c r="AC102" s="428"/>
      <c r="AD102" s="265"/>
      <c r="AE102" s="265"/>
      <c r="AF102" s="265"/>
      <c r="AG102" s="265"/>
      <c r="AH102" s="265"/>
      <c r="AI102" s="265"/>
      <c r="AJ102" s="265"/>
      <c r="AK102" s="265"/>
      <c r="AL102" s="265"/>
      <c r="AM102" s="265"/>
      <c r="AN102" s="265"/>
      <c r="AO102" s="265"/>
      <c r="AP102" s="265"/>
      <c r="AQ102" s="415" t="s">
        <v>502</v>
      </c>
      <c r="AR102" s="415"/>
      <c r="AS102" s="415"/>
      <c r="AT102" s="415"/>
      <c r="AU102" s="416"/>
      <c r="AV102" s="254"/>
      <c r="AW102" s="254"/>
      <c r="AX102" s="254"/>
      <c r="AY102" s="254"/>
      <c r="AZ102" s="254"/>
      <c r="BA102" s="254"/>
      <c r="BB102" s="254"/>
      <c r="BC102" s="254"/>
      <c r="BD102" s="254"/>
      <c r="BE102" s="254"/>
      <c r="BF102" s="254"/>
      <c r="BG102" s="254"/>
      <c r="BH102" s="254"/>
      <c r="BI102" s="254"/>
      <c r="BJ102" s="255"/>
    </row>
    <row r="103" spans="1:62" s="131" customFormat="1" ht="20.25" customHeight="1">
      <c r="A103" s="252"/>
      <c r="B103" s="254"/>
      <c r="C103" s="254"/>
      <c r="F103" s="258"/>
      <c r="G103" s="259"/>
      <c r="H103" s="259" t="s">
        <v>503</v>
      </c>
      <c r="I103" s="259"/>
      <c r="J103" s="259"/>
      <c r="K103" s="259"/>
      <c r="L103" s="259"/>
      <c r="M103" s="259"/>
      <c r="N103" s="259"/>
      <c r="O103" s="259"/>
      <c r="P103" s="259"/>
      <c r="Q103" s="259"/>
      <c r="R103" s="259"/>
      <c r="S103" s="259"/>
      <c r="T103" s="259"/>
      <c r="U103" s="259"/>
      <c r="V103" s="259"/>
      <c r="W103" s="259"/>
      <c r="X103" s="259"/>
      <c r="Y103" s="273"/>
      <c r="Z103" s="273"/>
      <c r="AA103" s="273"/>
      <c r="AB103" s="273"/>
      <c r="AC103" s="273"/>
      <c r="AD103" s="259"/>
      <c r="AE103" s="259"/>
      <c r="AF103" s="259"/>
      <c r="AG103" s="259"/>
      <c r="AH103" s="259"/>
      <c r="AI103" s="259"/>
      <c r="AJ103" s="259"/>
      <c r="AK103" s="259"/>
      <c r="AL103" s="259"/>
      <c r="AM103" s="259"/>
      <c r="AN103" s="259"/>
      <c r="AO103" s="259"/>
      <c r="AP103" s="259"/>
      <c r="AQ103" s="417">
        <f>SUM(Y104:AC136)</f>
        <v>380000</v>
      </c>
      <c r="AR103" s="417"/>
      <c r="AS103" s="417"/>
      <c r="AT103" s="417"/>
      <c r="AU103" s="418"/>
      <c r="AV103" s="254"/>
      <c r="AW103" s="254"/>
      <c r="AX103" s="254"/>
      <c r="AY103" s="254"/>
      <c r="AZ103" s="254"/>
      <c r="BA103" s="254"/>
      <c r="BB103" s="254"/>
      <c r="BC103" s="254"/>
      <c r="BD103" s="254"/>
      <c r="BE103" s="254"/>
      <c r="BF103" s="254"/>
      <c r="BG103" s="254"/>
      <c r="BH103" s="254"/>
      <c r="BI103" s="254"/>
      <c r="BJ103" s="255"/>
    </row>
    <row r="104" spans="1:62" s="131" customFormat="1" ht="20.25" customHeight="1">
      <c r="A104" s="252"/>
      <c r="B104" s="254"/>
      <c r="C104" s="254"/>
      <c r="F104" s="258"/>
      <c r="G104" s="259"/>
      <c r="H104" s="259" t="s">
        <v>505</v>
      </c>
      <c r="I104" s="259"/>
      <c r="J104" s="259" t="s">
        <v>480</v>
      </c>
      <c r="K104" s="259"/>
      <c r="L104" s="259"/>
      <c r="M104" s="259"/>
      <c r="N104" s="259"/>
      <c r="O104" s="259"/>
      <c r="P104" s="259"/>
      <c r="Q104" s="259"/>
      <c r="R104" s="259"/>
      <c r="S104" s="259"/>
      <c r="T104" s="259"/>
      <c r="U104" s="259"/>
      <c r="V104" s="259"/>
      <c r="W104" s="259"/>
      <c r="X104" s="259"/>
      <c r="Y104" s="427"/>
      <c r="Z104" s="427"/>
      <c r="AA104" s="427"/>
      <c r="AB104" s="427"/>
      <c r="AC104" s="427"/>
      <c r="AD104" s="259"/>
      <c r="AE104" s="259"/>
      <c r="AF104" s="259"/>
      <c r="AG104" s="259"/>
      <c r="AH104" s="259"/>
      <c r="AI104" s="259"/>
      <c r="AJ104" s="259"/>
      <c r="AK104" s="259"/>
      <c r="AL104" s="259"/>
      <c r="AM104" s="259"/>
      <c r="AN104" s="259"/>
      <c r="AO104" s="259"/>
      <c r="AP104" s="259"/>
      <c r="AQ104" s="259"/>
      <c r="AR104" s="259"/>
      <c r="AS104" s="259"/>
      <c r="AT104" s="259"/>
      <c r="AU104" s="260"/>
      <c r="AV104" s="254"/>
      <c r="AW104" s="254"/>
      <c r="AX104" s="254"/>
      <c r="AY104" s="254"/>
      <c r="AZ104" s="254"/>
      <c r="BA104" s="254"/>
      <c r="BB104" s="254"/>
      <c r="BC104" s="254"/>
      <c r="BD104" s="254"/>
      <c r="BE104" s="254"/>
      <c r="BF104" s="254"/>
      <c r="BG104" s="254"/>
      <c r="BH104" s="254"/>
      <c r="BI104" s="254"/>
      <c r="BJ104" s="255"/>
    </row>
    <row r="105" spans="1:62" s="131" customFormat="1" ht="20.25" customHeight="1">
      <c r="A105" s="252"/>
      <c r="B105" s="254"/>
      <c r="C105" s="254"/>
      <c r="F105" s="258"/>
      <c r="G105" s="259"/>
      <c r="H105" s="259" t="s">
        <v>509</v>
      </c>
      <c r="I105" s="259"/>
      <c r="J105" s="259" t="s">
        <v>505</v>
      </c>
      <c r="K105" s="259"/>
      <c r="L105" s="259" t="s">
        <v>517</v>
      </c>
      <c r="M105" s="259"/>
      <c r="N105" s="259"/>
      <c r="O105" s="259"/>
      <c r="P105" s="259"/>
      <c r="Q105" s="259"/>
      <c r="R105" s="259"/>
      <c r="S105" s="259"/>
      <c r="T105" s="259"/>
      <c r="U105" s="259"/>
      <c r="V105" s="259"/>
      <c r="W105" s="259"/>
      <c r="X105" s="259"/>
      <c r="Y105" s="427"/>
      <c r="Z105" s="427"/>
      <c r="AA105" s="427"/>
      <c r="AB105" s="427"/>
      <c r="AC105" s="427"/>
      <c r="AD105" s="259"/>
      <c r="AE105" s="259"/>
      <c r="AF105" s="259"/>
      <c r="AG105" s="259"/>
      <c r="AH105" s="259"/>
      <c r="AI105" s="259"/>
      <c r="AJ105" s="259"/>
      <c r="AK105" s="259"/>
      <c r="AL105" s="259"/>
      <c r="AM105" s="259"/>
      <c r="AN105" s="259"/>
      <c r="AO105" s="259"/>
      <c r="AP105" s="259"/>
      <c r="AQ105" s="259"/>
      <c r="AR105" s="259"/>
      <c r="AS105" s="259"/>
      <c r="AT105" s="259"/>
      <c r="AU105" s="260"/>
      <c r="AV105" s="254"/>
      <c r="AW105" s="254"/>
      <c r="AX105" s="254"/>
      <c r="AY105" s="254"/>
      <c r="AZ105" s="254"/>
      <c r="BA105" s="254"/>
      <c r="BB105" s="254"/>
      <c r="BC105" s="254"/>
      <c r="BD105" s="254"/>
      <c r="BE105" s="254"/>
      <c r="BF105" s="254"/>
      <c r="BG105" s="254"/>
      <c r="BH105" s="254"/>
      <c r="BI105" s="254"/>
      <c r="BJ105" s="255"/>
    </row>
    <row r="106" spans="1:62" s="131" customFormat="1" ht="20.25" customHeight="1">
      <c r="A106" s="252"/>
      <c r="B106" s="254"/>
      <c r="C106" s="254"/>
      <c r="F106" s="258"/>
      <c r="G106" s="259"/>
      <c r="H106" s="259" t="s">
        <v>509</v>
      </c>
      <c r="I106" s="259"/>
      <c r="J106" s="259" t="s">
        <v>509</v>
      </c>
      <c r="K106" s="259"/>
      <c r="L106" s="259" t="s">
        <v>507</v>
      </c>
      <c r="M106" s="259"/>
      <c r="N106" s="259" t="s">
        <v>517</v>
      </c>
      <c r="O106" s="259"/>
      <c r="P106" s="259"/>
      <c r="Q106" s="259"/>
      <c r="R106" s="259"/>
      <c r="S106" s="259"/>
      <c r="T106" s="259"/>
      <c r="U106" s="259"/>
      <c r="V106" s="259"/>
      <c r="W106" s="259"/>
      <c r="X106" s="259"/>
      <c r="Y106" s="427">
        <f>AX56</f>
        <v>15000</v>
      </c>
      <c r="Z106" s="427"/>
      <c r="AA106" s="427"/>
      <c r="AB106" s="427"/>
      <c r="AC106" s="427"/>
      <c r="AD106" s="259" t="s">
        <v>518</v>
      </c>
      <c r="AE106" s="259"/>
      <c r="AF106" s="259"/>
      <c r="AG106" s="259"/>
      <c r="AH106" s="259"/>
      <c r="AI106" s="259"/>
      <c r="AJ106" s="259"/>
      <c r="AK106" s="259"/>
      <c r="AL106" s="259"/>
      <c r="AM106" s="259"/>
      <c r="AN106" s="259"/>
      <c r="AO106" s="259"/>
      <c r="AP106" s="259"/>
      <c r="AQ106" s="259"/>
      <c r="AR106" s="259"/>
      <c r="AS106" s="259"/>
      <c r="AT106" s="259"/>
      <c r="AU106" s="260"/>
      <c r="AV106" s="254"/>
      <c r="AW106" s="254"/>
      <c r="AX106" s="254"/>
      <c r="AY106" s="254"/>
      <c r="AZ106" s="254"/>
      <c r="BA106" s="254"/>
      <c r="BB106" s="254"/>
      <c r="BC106" s="254"/>
      <c r="BD106" s="254"/>
      <c r="BE106" s="254"/>
      <c r="BF106" s="254"/>
      <c r="BG106" s="254"/>
      <c r="BH106" s="254"/>
      <c r="BI106" s="254"/>
      <c r="BJ106" s="255"/>
    </row>
    <row r="107" spans="1:62" s="131" customFormat="1" ht="20.25" customHeight="1">
      <c r="A107" s="252"/>
      <c r="B107" s="254"/>
      <c r="C107" s="254"/>
      <c r="F107" s="258"/>
      <c r="G107" s="259"/>
      <c r="H107" s="259" t="s">
        <v>509</v>
      </c>
      <c r="I107" s="259"/>
      <c r="J107" s="259" t="s">
        <v>507</v>
      </c>
      <c r="K107" s="259"/>
      <c r="L107" s="259" t="s">
        <v>513</v>
      </c>
      <c r="M107" s="259"/>
      <c r="N107" s="259"/>
      <c r="O107" s="259"/>
      <c r="P107" s="259"/>
      <c r="Q107" s="259"/>
      <c r="R107" s="259"/>
      <c r="S107" s="259"/>
      <c r="T107" s="259"/>
      <c r="U107" s="259"/>
      <c r="V107" s="259"/>
      <c r="W107" s="259"/>
      <c r="X107" s="259"/>
      <c r="Y107" s="427"/>
      <c r="Z107" s="427"/>
      <c r="AA107" s="427"/>
      <c r="AB107" s="427"/>
      <c r="AC107" s="427"/>
      <c r="AD107" s="259"/>
      <c r="AE107" s="259"/>
      <c r="AF107" s="259"/>
      <c r="AG107" s="259"/>
      <c r="AH107" s="259"/>
      <c r="AI107" s="259"/>
      <c r="AJ107" s="259"/>
      <c r="AK107" s="259"/>
      <c r="AL107" s="259"/>
      <c r="AM107" s="259"/>
      <c r="AN107" s="259"/>
      <c r="AO107" s="259"/>
      <c r="AP107" s="259"/>
      <c r="AQ107" s="259"/>
      <c r="AR107" s="259"/>
      <c r="AS107" s="259"/>
      <c r="AT107" s="259"/>
      <c r="AU107" s="260"/>
      <c r="AV107" s="254"/>
      <c r="AW107" s="254"/>
      <c r="AX107" s="254"/>
      <c r="AY107" s="254"/>
      <c r="AZ107" s="254"/>
      <c r="BA107" s="254"/>
      <c r="BB107" s="254"/>
      <c r="BC107" s="254"/>
      <c r="BD107" s="254"/>
      <c r="BE107" s="254"/>
      <c r="BF107" s="254"/>
      <c r="BG107" s="254"/>
      <c r="BH107" s="254"/>
      <c r="BI107" s="254"/>
      <c r="BJ107" s="255"/>
    </row>
    <row r="108" spans="1:62" s="131" customFormat="1" ht="20.25" customHeight="1">
      <c r="A108" s="252"/>
      <c r="B108" s="254"/>
      <c r="C108" s="254"/>
      <c r="F108" s="258"/>
      <c r="G108" s="259"/>
      <c r="H108" s="259" t="s">
        <v>509</v>
      </c>
      <c r="I108" s="259"/>
      <c r="J108" s="259"/>
      <c r="K108" s="259"/>
      <c r="L108" s="259" t="s">
        <v>505</v>
      </c>
      <c r="M108" s="259"/>
      <c r="N108" s="259" t="s">
        <v>480</v>
      </c>
      <c r="O108" s="259"/>
      <c r="P108" s="259"/>
      <c r="Q108" s="259"/>
      <c r="R108" s="259"/>
      <c r="S108" s="259"/>
      <c r="T108" s="259"/>
      <c r="U108" s="259"/>
      <c r="V108" s="259"/>
      <c r="W108" s="259"/>
      <c r="X108" s="259"/>
      <c r="Y108" s="427">
        <f>AX53</f>
        <v>12000</v>
      </c>
      <c r="Z108" s="427"/>
      <c r="AA108" s="427"/>
      <c r="AB108" s="427"/>
      <c r="AC108" s="427"/>
      <c r="AD108" s="259" t="s">
        <v>515</v>
      </c>
      <c r="AE108" s="259"/>
      <c r="AF108" s="259"/>
      <c r="AG108" s="259"/>
      <c r="AH108" s="259"/>
      <c r="AI108" s="259"/>
      <c r="AJ108" s="259"/>
      <c r="AK108" s="259"/>
      <c r="AL108" s="259"/>
      <c r="AM108" s="259"/>
      <c r="AN108" s="259"/>
      <c r="AO108" s="259"/>
      <c r="AP108" s="259"/>
      <c r="AQ108" s="259"/>
      <c r="AR108" s="259"/>
      <c r="AS108" s="259"/>
      <c r="AT108" s="259"/>
      <c r="AU108" s="260"/>
      <c r="AV108" s="254"/>
      <c r="AW108" s="254"/>
      <c r="AX108" s="254"/>
      <c r="AY108" s="254"/>
      <c r="AZ108" s="254"/>
      <c r="BA108" s="254"/>
      <c r="BB108" s="254"/>
      <c r="BC108" s="254"/>
      <c r="BD108" s="254"/>
      <c r="BE108" s="254"/>
      <c r="BF108" s="254"/>
      <c r="BG108" s="254"/>
      <c r="BH108" s="254"/>
      <c r="BI108" s="254"/>
      <c r="BJ108" s="255"/>
    </row>
    <row r="109" spans="1:62" s="131" customFormat="1" ht="20.25" customHeight="1">
      <c r="A109" s="252"/>
      <c r="B109" s="254"/>
      <c r="C109" s="254"/>
      <c r="F109" s="258"/>
      <c r="G109" s="259"/>
      <c r="H109" s="259" t="s">
        <v>509</v>
      </c>
      <c r="I109" s="259"/>
      <c r="J109" s="259"/>
      <c r="K109" s="259"/>
      <c r="L109" s="259" t="s">
        <v>505</v>
      </c>
      <c r="M109" s="259"/>
      <c r="N109" s="259" t="s">
        <v>482</v>
      </c>
      <c r="O109" s="259"/>
      <c r="P109" s="259"/>
      <c r="Q109" s="259"/>
      <c r="R109" s="259"/>
      <c r="S109" s="259"/>
      <c r="T109" s="259"/>
      <c r="U109" s="259"/>
      <c r="V109" s="259"/>
      <c r="W109" s="259"/>
      <c r="X109" s="259"/>
      <c r="Y109" s="427">
        <f>AX54</f>
        <v>13000</v>
      </c>
      <c r="Z109" s="427"/>
      <c r="AA109" s="427"/>
      <c r="AB109" s="427"/>
      <c r="AC109" s="427"/>
      <c r="AD109" s="259" t="s">
        <v>516</v>
      </c>
      <c r="AE109" s="259"/>
      <c r="AF109" s="259"/>
      <c r="AG109" s="259"/>
      <c r="AH109" s="259"/>
      <c r="AI109" s="259"/>
      <c r="AJ109" s="259"/>
      <c r="AK109" s="259"/>
      <c r="AL109" s="259"/>
      <c r="AM109" s="259"/>
      <c r="AN109" s="259"/>
      <c r="AO109" s="259"/>
      <c r="AP109" s="259"/>
      <c r="AQ109" s="259"/>
      <c r="AR109" s="259"/>
      <c r="AS109" s="259"/>
      <c r="AT109" s="259"/>
      <c r="AU109" s="260"/>
      <c r="AV109" s="254"/>
      <c r="AW109" s="254"/>
      <c r="AX109" s="254"/>
      <c r="AY109" s="254"/>
      <c r="AZ109" s="254"/>
      <c r="BA109" s="254"/>
      <c r="BB109" s="254"/>
      <c r="BC109" s="254"/>
      <c r="BD109" s="254"/>
      <c r="BE109" s="254"/>
      <c r="BF109" s="254"/>
      <c r="BG109" s="254"/>
      <c r="BH109" s="254"/>
      <c r="BI109" s="254"/>
      <c r="BJ109" s="255"/>
    </row>
    <row r="110" spans="1:62" s="131" customFormat="1" ht="20.25" customHeight="1">
      <c r="A110" s="252"/>
      <c r="B110" s="254"/>
      <c r="C110" s="254"/>
      <c r="F110" s="258"/>
      <c r="G110" s="259"/>
      <c r="H110" s="259" t="s">
        <v>509</v>
      </c>
      <c r="I110" s="259"/>
      <c r="J110" s="259"/>
      <c r="K110" s="259"/>
      <c r="L110" s="259" t="s">
        <v>507</v>
      </c>
      <c r="M110" s="259"/>
      <c r="N110" s="259" t="s">
        <v>483</v>
      </c>
      <c r="O110" s="259"/>
      <c r="P110" s="259"/>
      <c r="Q110" s="259"/>
      <c r="R110" s="259"/>
      <c r="S110" s="259"/>
      <c r="T110" s="259"/>
      <c r="U110" s="259"/>
      <c r="V110" s="259"/>
      <c r="W110" s="259"/>
      <c r="X110" s="259"/>
      <c r="Y110" s="427">
        <f>AX55</f>
        <v>14000</v>
      </c>
      <c r="Z110" s="427"/>
      <c r="AA110" s="427"/>
      <c r="AB110" s="427"/>
      <c r="AC110" s="427"/>
      <c r="AD110" s="259" t="s">
        <v>511</v>
      </c>
      <c r="AE110" s="259"/>
      <c r="AF110" s="259"/>
      <c r="AG110" s="259"/>
      <c r="AH110" s="259"/>
      <c r="AI110" s="259"/>
      <c r="AJ110" s="259"/>
      <c r="AK110" s="259"/>
      <c r="AL110" s="259"/>
      <c r="AM110" s="259"/>
      <c r="AN110" s="259"/>
      <c r="AO110" s="259"/>
      <c r="AP110" s="259"/>
      <c r="AQ110" s="259"/>
      <c r="AR110" s="259"/>
      <c r="AS110" s="259"/>
      <c r="AT110" s="259"/>
      <c r="AU110" s="260"/>
      <c r="AV110" s="254"/>
      <c r="AW110" s="254"/>
      <c r="AX110" s="254"/>
      <c r="AY110" s="254"/>
      <c r="AZ110" s="254"/>
      <c r="BA110" s="254"/>
      <c r="BB110" s="254"/>
      <c r="BC110" s="254"/>
      <c r="BD110" s="254"/>
      <c r="BE110" s="254"/>
      <c r="BF110" s="254"/>
      <c r="BG110" s="254"/>
      <c r="BH110" s="254"/>
      <c r="BI110" s="254"/>
      <c r="BJ110" s="255"/>
    </row>
    <row r="111" spans="1:62" s="131" customFormat="1" ht="20.25" customHeight="1">
      <c r="A111" s="252"/>
      <c r="B111" s="254"/>
      <c r="C111" s="254"/>
      <c r="F111" s="258"/>
      <c r="G111" s="259"/>
      <c r="H111" s="259" t="s">
        <v>505</v>
      </c>
      <c r="I111" s="259"/>
      <c r="J111" s="259" t="s">
        <v>521</v>
      </c>
      <c r="K111" s="259"/>
      <c r="L111" s="259"/>
      <c r="M111" s="259"/>
      <c r="N111" s="259"/>
      <c r="O111" s="259"/>
      <c r="P111" s="259"/>
      <c r="Q111" s="259"/>
      <c r="R111" s="259"/>
      <c r="S111" s="259"/>
      <c r="T111" s="259"/>
      <c r="U111" s="259"/>
      <c r="V111" s="259"/>
      <c r="W111" s="259"/>
      <c r="X111" s="259"/>
      <c r="Y111" s="427"/>
      <c r="Z111" s="427"/>
      <c r="AA111" s="427"/>
      <c r="AB111" s="427"/>
      <c r="AC111" s="427"/>
      <c r="AD111" s="259"/>
      <c r="AE111" s="259"/>
      <c r="AF111" s="259"/>
      <c r="AG111" s="259"/>
      <c r="AH111" s="259"/>
      <c r="AI111" s="259"/>
      <c r="AJ111" s="259"/>
      <c r="AK111" s="259"/>
      <c r="AL111" s="259"/>
      <c r="AM111" s="259"/>
      <c r="AN111" s="259"/>
      <c r="AO111" s="259"/>
      <c r="AP111" s="259"/>
      <c r="AQ111" s="259"/>
      <c r="AR111" s="259"/>
      <c r="AS111" s="259"/>
      <c r="AT111" s="259"/>
      <c r="AU111" s="260"/>
      <c r="AV111" s="254"/>
      <c r="AW111" s="254"/>
      <c r="AX111" s="254"/>
      <c r="AY111" s="254"/>
      <c r="AZ111" s="254"/>
      <c r="BA111" s="254"/>
      <c r="BB111" s="254"/>
      <c r="BC111" s="254"/>
      <c r="BD111" s="254"/>
      <c r="BE111" s="254"/>
      <c r="BF111" s="254"/>
      <c r="BG111" s="254"/>
      <c r="BH111" s="254"/>
      <c r="BI111" s="254"/>
      <c r="BJ111" s="255"/>
    </row>
    <row r="112" spans="1:62" s="131" customFormat="1" ht="20.25" customHeight="1">
      <c r="A112" s="252"/>
      <c r="B112" s="254"/>
      <c r="C112" s="254"/>
      <c r="F112" s="258"/>
      <c r="G112" s="259"/>
      <c r="H112" s="259" t="s">
        <v>509</v>
      </c>
      <c r="I112" s="259"/>
      <c r="J112" s="259" t="s">
        <v>505</v>
      </c>
      <c r="K112" s="259"/>
      <c r="L112" s="259" t="s">
        <v>527</v>
      </c>
      <c r="M112" s="259"/>
      <c r="N112" s="259"/>
      <c r="O112" s="259"/>
      <c r="P112" s="259"/>
      <c r="Q112" s="259"/>
      <c r="R112" s="259"/>
      <c r="S112" s="259"/>
      <c r="T112" s="259"/>
      <c r="U112" s="259"/>
      <c r="V112" s="259"/>
      <c r="W112" s="259"/>
      <c r="X112" s="259"/>
      <c r="Y112" s="427"/>
      <c r="Z112" s="427"/>
      <c r="AA112" s="427"/>
      <c r="AB112" s="427"/>
      <c r="AC112" s="427"/>
      <c r="AD112" s="259"/>
      <c r="AE112" s="259"/>
      <c r="AF112" s="259"/>
      <c r="AG112" s="259"/>
      <c r="AH112" s="259"/>
      <c r="AI112" s="259"/>
      <c r="AJ112" s="259"/>
      <c r="AK112" s="259"/>
      <c r="AL112" s="259"/>
      <c r="AM112" s="259"/>
      <c r="AN112" s="259"/>
      <c r="AO112" s="259"/>
      <c r="AP112" s="259"/>
      <c r="AQ112" s="259"/>
      <c r="AR112" s="259"/>
      <c r="AS112" s="259"/>
      <c r="AT112" s="259"/>
      <c r="AU112" s="260"/>
      <c r="AV112" s="254"/>
      <c r="AW112" s="254"/>
      <c r="AX112" s="254"/>
      <c r="AY112" s="254"/>
      <c r="AZ112" s="254"/>
      <c r="BA112" s="254"/>
      <c r="BB112" s="254"/>
      <c r="BC112" s="254"/>
      <c r="BD112" s="254"/>
      <c r="BE112" s="254"/>
      <c r="BF112" s="254"/>
      <c r="BG112" s="254"/>
      <c r="BH112" s="254"/>
      <c r="BI112" s="254"/>
      <c r="BJ112" s="255"/>
    </row>
    <row r="113" spans="1:62" s="131" customFormat="1" ht="20.25" customHeight="1">
      <c r="A113" s="252"/>
      <c r="B113" s="254"/>
      <c r="C113" s="254"/>
      <c r="F113" s="258"/>
      <c r="G113" s="259"/>
      <c r="H113" s="259" t="s">
        <v>509</v>
      </c>
      <c r="I113" s="259"/>
      <c r="J113" s="259" t="s">
        <v>509</v>
      </c>
      <c r="K113" s="259"/>
      <c r="L113" s="259" t="s">
        <v>505</v>
      </c>
      <c r="M113" s="259"/>
      <c r="N113" s="259" t="s">
        <v>512</v>
      </c>
      <c r="O113" s="259"/>
      <c r="P113" s="259"/>
      <c r="Q113" s="259"/>
      <c r="R113" s="259"/>
      <c r="S113" s="259"/>
      <c r="T113" s="259"/>
      <c r="U113" s="259"/>
      <c r="V113" s="259"/>
      <c r="W113" s="259"/>
      <c r="X113" s="259"/>
      <c r="Y113" s="427">
        <f>AX63</f>
        <v>22000</v>
      </c>
      <c r="Z113" s="427"/>
      <c r="AA113" s="427"/>
      <c r="AB113" s="427"/>
      <c r="AC113" s="427"/>
      <c r="AD113" s="259" t="s">
        <v>530</v>
      </c>
      <c r="AE113" s="259"/>
      <c r="AF113" s="259"/>
      <c r="AG113" s="259"/>
      <c r="AH113" s="259"/>
      <c r="AI113" s="259"/>
      <c r="AJ113" s="259"/>
      <c r="AK113" s="259"/>
      <c r="AL113" s="259"/>
      <c r="AM113" s="259"/>
      <c r="AN113" s="259"/>
      <c r="AO113" s="259"/>
      <c r="AP113" s="259"/>
      <c r="AQ113" s="259"/>
      <c r="AR113" s="259"/>
      <c r="AS113" s="259"/>
      <c r="AT113" s="259"/>
      <c r="AU113" s="260"/>
      <c r="AV113" s="254"/>
      <c r="AW113" s="254"/>
      <c r="AX113" s="254"/>
      <c r="AY113" s="254"/>
      <c r="AZ113" s="254"/>
      <c r="BA113" s="254"/>
      <c r="BB113" s="254"/>
      <c r="BC113" s="254"/>
      <c r="BD113" s="254"/>
      <c r="BE113" s="254"/>
      <c r="BF113" s="254"/>
      <c r="BG113" s="254"/>
      <c r="BH113" s="254"/>
      <c r="BI113" s="254"/>
      <c r="BJ113" s="255"/>
    </row>
    <row r="114" spans="1:62" s="131" customFormat="1" ht="20.25" customHeight="1">
      <c r="A114" s="252"/>
      <c r="B114" s="254"/>
      <c r="C114" s="254"/>
      <c r="F114" s="258"/>
      <c r="G114" s="259"/>
      <c r="H114" s="259" t="s">
        <v>509</v>
      </c>
      <c r="I114" s="259"/>
      <c r="J114" s="259" t="s">
        <v>509</v>
      </c>
      <c r="K114" s="259"/>
      <c r="L114" s="259" t="s">
        <v>505</v>
      </c>
      <c r="M114" s="259"/>
      <c r="N114" s="259" t="s">
        <v>433</v>
      </c>
      <c r="O114" s="259"/>
      <c r="P114" s="259"/>
      <c r="Q114" s="259"/>
      <c r="R114" s="259"/>
      <c r="S114" s="259"/>
      <c r="T114" s="259"/>
      <c r="U114" s="259"/>
      <c r="V114" s="259"/>
      <c r="W114" s="259"/>
      <c r="X114" s="259"/>
      <c r="Y114" s="427">
        <f>AX64</f>
        <v>23000</v>
      </c>
      <c r="Z114" s="427"/>
      <c r="AA114" s="427"/>
      <c r="AB114" s="427"/>
      <c r="AC114" s="427"/>
      <c r="AD114" s="259" t="s">
        <v>591</v>
      </c>
      <c r="AE114" s="259"/>
      <c r="AF114" s="259"/>
      <c r="AG114" s="259"/>
      <c r="AH114" s="259"/>
      <c r="AI114" s="259"/>
      <c r="AJ114" s="259"/>
      <c r="AK114" s="259"/>
      <c r="AL114" s="259"/>
      <c r="AM114" s="259"/>
      <c r="AN114" s="259"/>
      <c r="AO114" s="259"/>
      <c r="AP114" s="259"/>
      <c r="AQ114" s="259"/>
      <c r="AR114" s="259"/>
      <c r="AS114" s="259"/>
      <c r="AT114" s="259"/>
      <c r="AU114" s="260"/>
      <c r="AV114" s="254"/>
      <c r="AW114" s="254"/>
      <c r="AX114" s="254"/>
      <c r="AY114" s="254"/>
      <c r="AZ114" s="254"/>
      <c r="BA114" s="254"/>
      <c r="BB114" s="254"/>
      <c r="BC114" s="254"/>
      <c r="BD114" s="254"/>
      <c r="BE114" s="254"/>
      <c r="BF114" s="254"/>
      <c r="BG114" s="254"/>
      <c r="BH114" s="254"/>
      <c r="BI114" s="254"/>
      <c r="BJ114" s="255"/>
    </row>
    <row r="115" spans="1:62" s="131" customFormat="1" ht="20.25" customHeight="1">
      <c r="A115" s="252"/>
      <c r="B115" s="254"/>
      <c r="C115" s="254"/>
      <c r="F115" s="258"/>
      <c r="G115" s="259"/>
      <c r="H115" s="259" t="s">
        <v>509</v>
      </c>
      <c r="I115" s="259"/>
      <c r="J115" s="259" t="s">
        <v>509</v>
      </c>
      <c r="K115" s="259"/>
      <c r="L115" s="259" t="s">
        <v>507</v>
      </c>
      <c r="M115" s="259"/>
      <c r="N115" s="259" t="s">
        <v>467</v>
      </c>
      <c r="O115" s="259"/>
      <c r="P115" s="259"/>
      <c r="Q115" s="259"/>
      <c r="R115" s="259"/>
      <c r="S115" s="259"/>
      <c r="T115" s="259"/>
      <c r="U115" s="259"/>
      <c r="V115" s="259"/>
      <c r="W115" s="259"/>
      <c r="X115" s="259"/>
      <c r="Y115" s="427">
        <f>AX65</f>
        <v>24000</v>
      </c>
      <c r="Z115" s="427"/>
      <c r="AA115" s="427"/>
      <c r="AB115" s="427"/>
      <c r="AC115" s="427"/>
      <c r="AD115" s="259" t="s">
        <v>532</v>
      </c>
      <c r="AE115" s="259"/>
      <c r="AF115" s="259"/>
      <c r="AG115" s="259"/>
      <c r="AH115" s="259"/>
      <c r="AI115" s="259"/>
      <c r="AJ115" s="259"/>
      <c r="AK115" s="259"/>
      <c r="AL115" s="259"/>
      <c r="AM115" s="259"/>
      <c r="AN115" s="259"/>
      <c r="AO115" s="259"/>
      <c r="AP115" s="259"/>
      <c r="AQ115" s="259"/>
      <c r="AR115" s="259"/>
      <c r="AS115" s="259"/>
      <c r="AT115" s="259"/>
      <c r="AU115" s="260"/>
      <c r="AV115" s="254"/>
      <c r="AW115" s="254"/>
      <c r="AX115" s="254"/>
      <c r="AY115" s="254"/>
      <c r="AZ115" s="254"/>
      <c r="BA115" s="254"/>
      <c r="BB115" s="254"/>
      <c r="BC115" s="254"/>
      <c r="BD115" s="254"/>
      <c r="BE115" s="254"/>
      <c r="BF115" s="254"/>
      <c r="BG115" s="254"/>
      <c r="BH115" s="254"/>
      <c r="BI115" s="254"/>
      <c r="BJ115" s="255"/>
    </row>
    <row r="116" spans="1:62" s="131" customFormat="1" ht="20.25" customHeight="1">
      <c r="A116" s="252"/>
      <c r="B116" s="254"/>
      <c r="C116" s="254"/>
      <c r="F116" s="258"/>
      <c r="G116" s="259"/>
      <c r="H116" s="259" t="s">
        <v>509</v>
      </c>
      <c r="I116" s="259"/>
      <c r="J116" s="259" t="s">
        <v>507</v>
      </c>
      <c r="K116" s="259"/>
      <c r="L116" s="259" t="s">
        <v>513</v>
      </c>
      <c r="M116" s="259"/>
      <c r="N116" s="259"/>
      <c r="O116" s="259"/>
      <c r="P116" s="259"/>
      <c r="Q116" s="259"/>
      <c r="R116" s="259"/>
      <c r="S116" s="259"/>
      <c r="T116" s="259"/>
      <c r="U116" s="259"/>
      <c r="V116" s="259"/>
      <c r="W116" s="259"/>
      <c r="X116" s="259"/>
      <c r="Y116" s="427"/>
      <c r="Z116" s="427"/>
      <c r="AA116" s="427"/>
      <c r="AB116" s="427"/>
      <c r="AC116" s="427"/>
      <c r="AD116" s="259"/>
      <c r="AE116" s="259"/>
      <c r="AF116" s="259"/>
      <c r="AG116" s="259"/>
      <c r="AH116" s="259"/>
      <c r="AI116" s="259"/>
      <c r="AJ116" s="259"/>
      <c r="AK116" s="259"/>
      <c r="AL116" s="259"/>
      <c r="AM116" s="259"/>
      <c r="AN116" s="259"/>
      <c r="AO116" s="259"/>
      <c r="AP116" s="259"/>
      <c r="AQ116" s="259"/>
      <c r="AR116" s="259"/>
      <c r="AS116" s="259"/>
      <c r="AT116" s="259"/>
      <c r="AU116" s="260"/>
      <c r="AV116" s="254"/>
      <c r="AW116" s="254"/>
      <c r="AX116" s="254"/>
      <c r="AY116" s="254"/>
      <c r="AZ116" s="254"/>
      <c r="BA116" s="254"/>
      <c r="BB116" s="254"/>
      <c r="BC116" s="254"/>
      <c r="BD116" s="254"/>
      <c r="BE116" s="254"/>
      <c r="BF116" s="254"/>
      <c r="BG116" s="254"/>
      <c r="BH116" s="254"/>
      <c r="BI116" s="254"/>
      <c r="BJ116" s="255"/>
    </row>
    <row r="117" spans="1:62" s="131" customFormat="1" ht="20.25" customHeight="1">
      <c r="A117" s="252"/>
      <c r="B117" s="254"/>
      <c r="C117" s="254"/>
      <c r="F117" s="258"/>
      <c r="G117" s="259"/>
      <c r="H117" s="259" t="s">
        <v>509</v>
      </c>
      <c r="I117" s="259"/>
      <c r="J117" s="259"/>
      <c r="K117" s="259"/>
      <c r="L117" s="259" t="s">
        <v>505</v>
      </c>
      <c r="M117" s="259"/>
      <c r="N117" s="259" t="s">
        <v>488</v>
      </c>
      <c r="O117" s="259"/>
      <c r="P117" s="259"/>
      <c r="Q117" s="259"/>
      <c r="R117" s="259"/>
      <c r="S117" s="259"/>
      <c r="T117" s="259"/>
      <c r="U117" s="259"/>
      <c r="V117" s="259"/>
      <c r="W117" s="259"/>
      <c r="X117" s="259"/>
      <c r="Y117" s="427">
        <f>AX60</f>
        <v>19000</v>
      </c>
      <c r="Z117" s="427"/>
      <c r="AA117" s="427"/>
      <c r="AB117" s="427"/>
      <c r="AC117" s="427"/>
      <c r="AD117" s="259" t="s">
        <v>526</v>
      </c>
      <c r="AE117" s="259"/>
      <c r="AF117" s="259"/>
      <c r="AG117" s="259"/>
      <c r="AH117" s="259"/>
      <c r="AI117" s="259"/>
      <c r="AJ117" s="259"/>
      <c r="AK117" s="259"/>
      <c r="AL117" s="259"/>
      <c r="AM117" s="259"/>
      <c r="AN117" s="259"/>
      <c r="AO117" s="259"/>
      <c r="AP117" s="259"/>
      <c r="AQ117" s="259"/>
      <c r="AR117" s="259"/>
      <c r="AS117" s="259"/>
      <c r="AT117" s="259"/>
      <c r="AU117" s="260"/>
      <c r="AV117" s="254"/>
      <c r="AW117" s="254"/>
      <c r="AX117" s="254"/>
      <c r="AY117" s="254"/>
      <c r="AZ117" s="254"/>
      <c r="BA117" s="254"/>
      <c r="BB117" s="254"/>
      <c r="BC117" s="254"/>
      <c r="BD117" s="254"/>
      <c r="BE117" s="254"/>
      <c r="BF117" s="254"/>
      <c r="BG117" s="254"/>
      <c r="BH117" s="254"/>
      <c r="BI117" s="254"/>
      <c r="BJ117" s="255"/>
    </row>
    <row r="118" spans="1:62" s="131" customFormat="1" ht="20.25" customHeight="1">
      <c r="A118" s="252"/>
      <c r="B118" s="254"/>
      <c r="C118" s="254"/>
      <c r="F118" s="258"/>
      <c r="G118" s="259"/>
      <c r="H118" s="259" t="s">
        <v>509</v>
      </c>
      <c r="I118" s="259"/>
      <c r="J118" s="259"/>
      <c r="K118" s="259"/>
      <c r="L118" s="259" t="s">
        <v>505</v>
      </c>
      <c r="M118" s="259"/>
      <c r="N118" s="259" t="s">
        <v>523</v>
      </c>
      <c r="O118" s="259"/>
      <c r="P118" s="259"/>
      <c r="Q118" s="259"/>
      <c r="R118" s="259"/>
      <c r="S118" s="259"/>
      <c r="T118" s="259"/>
      <c r="U118" s="259"/>
      <c r="V118" s="259"/>
      <c r="W118" s="259"/>
      <c r="X118" s="259"/>
      <c r="Y118" s="427">
        <f>AX61</f>
        <v>20000</v>
      </c>
      <c r="Z118" s="427"/>
      <c r="AA118" s="427"/>
      <c r="AB118" s="427"/>
      <c r="AC118" s="427"/>
      <c r="AD118" s="259" t="s">
        <v>528</v>
      </c>
      <c r="AE118" s="259"/>
      <c r="AF118" s="259"/>
      <c r="AG118" s="259"/>
      <c r="AH118" s="259"/>
      <c r="AI118" s="259"/>
      <c r="AJ118" s="259"/>
      <c r="AK118" s="259"/>
      <c r="AL118" s="259"/>
      <c r="AM118" s="259"/>
      <c r="AN118" s="259"/>
      <c r="AO118" s="259"/>
      <c r="AP118" s="259"/>
      <c r="AQ118" s="259"/>
      <c r="AR118" s="259"/>
      <c r="AS118" s="259"/>
      <c r="AT118" s="259"/>
      <c r="AU118" s="260"/>
      <c r="AV118" s="254"/>
      <c r="AW118" s="254"/>
      <c r="AX118" s="254"/>
      <c r="AY118" s="254"/>
      <c r="AZ118" s="254"/>
      <c r="BA118" s="254"/>
      <c r="BB118" s="254"/>
      <c r="BC118" s="254"/>
      <c r="BD118" s="254"/>
      <c r="BE118" s="254"/>
      <c r="BF118" s="254"/>
      <c r="BG118" s="254"/>
      <c r="BH118" s="254"/>
      <c r="BI118" s="254"/>
      <c r="BJ118" s="255"/>
    </row>
    <row r="119" spans="1:62" s="131" customFormat="1" ht="20.25" customHeight="1">
      <c r="A119" s="252"/>
      <c r="B119" s="254"/>
      <c r="C119" s="254"/>
      <c r="F119" s="258"/>
      <c r="G119" s="259"/>
      <c r="H119" s="259" t="s">
        <v>509</v>
      </c>
      <c r="I119" s="259"/>
      <c r="J119" s="259"/>
      <c r="K119" s="259"/>
      <c r="L119" s="259" t="s">
        <v>507</v>
      </c>
      <c r="M119" s="259"/>
      <c r="N119" s="259" t="s">
        <v>525</v>
      </c>
      <c r="O119" s="259"/>
      <c r="P119" s="259"/>
      <c r="Q119" s="259"/>
      <c r="R119" s="259"/>
      <c r="S119" s="259"/>
      <c r="T119" s="259"/>
      <c r="U119" s="259"/>
      <c r="V119" s="259"/>
      <c r="W119" s="259"/>
      <c r="X119" s="259"/>
      <c r="Y119" s="427">
        <f>AX62</f>
        <v>21000</v>
      </c>
      <c r="Z119" s="427"/>
      <c r="AA119" s="427"/>
      <c r="AB119" s="427"/>
      <c r="AC119" s="427"/>
      <c r="AD119" s="259" t="s">
        <v>529</v>
      </c>
      <c r="AE119" s="259"/>
      <c r="AF119" s="259"/>
      <c r="AG119" s="259"/>
      <c r="AH119" s="259"/>
      <c r="AI119" s="259"/>
      <c r="AJ119" s="259"/>
      <c r="AK119" s="259"/>
      <c r="AL119" s="259"/>
      <c r="AM119" s="259"/>
      <c r="AN119" s="259"/>
      <c r="AO119" s="259"/>
      <c r="AP119" s="259"/>
      <c r="AQ119" s="259"/>
      <c r="AR119" s="259"/>
      <c r="AS119" s="259"/>
      <c r="AT119" s="259"/>
      <c r="AU119" s="260"/>
      <c r="AV119" s="254"/>
      <c r="AW119" s="254"/>
      <c r="AX119" s="254"/>
      <c r="AY119" s="254"/>
      <c r="AZ119" s="254"/>
      <c r="BA119" s="254"/>
      <c r="BB119" s="254"/>
      <c r="BC119" s="254"/>
      <c r="BD119" s="254"/>
      <c r="BE119" s="254"/>
      <c r="BF119" s="254"/>
      <c r="BG119" s="254"/>
      <c r="BH119" s="254"/>
      <c r="BI119" s="254"/>
      <c r="BJ119" s="255"/>
    </row>
    <row r="120" spans="1:62" s="131" customFormat="1" ht="20.25" customHeight="1">
      <c r="A120" s="252"/>
      <c r="B120" s="254"/>
      <c r="C120" s="254"/>
      <c r="F120" s="258"/>
      <c r="G120" s="259"/>
      <c r="H120" s="259" t="s">
        <v>505</v>
      </c>
      <c r="I120" s="259"/>
      <c r="J120" s="259" t="s">
        <v>531</v>
      </c>
      <c r="K120" s="259"/>
      <c r="L120" s="259"/>
      <c r="M120" s="259"/>
      <c r="N120" s="259"/>
      <c r="O120" s="259"/>
      <c r="P120" s="259"/>
      <c r="Q120" s="259"/>
      <c r="R120" s="259"/>
      <c r="S120" s="259"/>
      <c r="T120" s="259"/>
      <c r="U120" s="259"/>
      <c r="V120" s="259"/>
      <c r="W120" s="259"/>
      <c r="X120" s="259"/>
      <c r="Y120" s="427"/>
      <c r="Z120" s="427"/>
      <c r="AA120" s="427"/>
      <c r="AB120" s="427"/>
      <c r="AC120" s="427"/>
      <c r="AD120" s="259"/>
      <c r="AE120" s="259"/>
      <c r="AF120" s="259"/>
      <c r="AG120" s="259"/>
      <c r="AH120" s="259"/>
      <c r="AI120" s="259"/>
      <c r="AJ120" s="259"/>
      <c r="AK120" s="259"/>
      <c r="AL120" s="259"/>
      <c r="AM120" s="259"/>
      <c r="AN120" s="259"/>
      <c r="AO120" s="259"/>
      <c r="AP120" s="259"/>
      <c r="AQ120" s="259"/>
      <c r="AR120" s="259"/>
      <c r="AS120" s="259"/>
      <c r="AT120" s="259"/>
      <c r="AU120" s="260"/>
      <c r="AV120" s="254"/>
      <c r="AW120" s="254"/>
      <c r="AX120" s="254"/>
      <c r="AY120" s="254"/>
      <c r="AZ120" s="254"/>
      <c r="BA120" s="254"/>
      <c r="BB120" s="254"/>
      <c r="BC120" s="254"/>
      <c r="BD120" s="254"/>
      <c r="BE120" s="254"/>
      <c r="BF120" s="254"/>
      <c r="BG120" s="254"/>
      <c r="BH120" s="254"/>
      <c r="BI120" s="254"/>
      <c r="BJ120" s="255"/>
    </row>
    <row r="121" spans="1:62" s="131" customFormat="1" ht="20.25" customHeight="1">
      <c r="A121" s="252"/>
      <c r="B121" s="254"/>
      <c r="C121" s="254"/>
      <c r="F121" s="258"/>
      <c r="G121" s="259"/>
      <c r="H121" s="259" t="s">
        <v>509</v>
      </c>
      <c r="I121" s="259"/>
      <c r="J121" s="259" t="s">
        <v>507</v>
      </c>
      <c r="K121" s="259"/>
      <c r="L121" s="259" t="s">
        <v>513</v>
      </c>
      <c r="M121" s="259"/>
      <c r="N121" s="259"/>
      <c r="O121" s="259"/>
      <c r="P121" s="259"/>
      <c r="Q121" s="259"/>
      <c r="R121" s="259"/>
      <c r="S121" s="259"/>
      <c r="T121" s="259"/>
      <c r="U121" s="259"/>
      <c r="V121" s="259"/>
      <c r="W121" s="259"/>
      <c r="X121" s="259"/>
      <c r="Y121" s="427"/>
      <c r="Z121" s="427"/>
      <c r="AA121" s="427"/>
      <c r="AB121" s="427"/>
      <c r="AC121" s="427"/>
      <c r="AD121" s="259"/>
      <c r="AE121" s="259"/>
      <c r="AF121" s="259"/>
      <c r="AG121" s="259"/>
      <c r="AH121" s="259"/>
      <c r="AI121" s="259"/>
      <c r="AJ121" s="259"/>
      <c r="AK121" s="259"/>
      <c r="AL121" s="259"/>
      <c r="AM121" s="259"/>
      <c r="AN121" s="259"/>
      <c r="AO121" s="259"/>
      <c r="AP121" s="259"/>
      <c r="AQ121" s="259"/>
      <c r="AR121" s="259"/>
      <c r="AS121" s="259"/>
      <c r="AT121" s="259"/>
      <c r="AU121" s="260"/>
      <c r="AV121" s="254"/>
      <c r="AW121" s="254"/>
      <c r="AX121" s="254"/>
      <c r="AY121" s="254"/>
      <c r="AZ121" s="254"/>
      <c r="BA121" s="254"/>
      <c r="BB121" s="254"/>
      <c r="BC121" s="254"/>
      <c r="BD121" s="254"/>
      <c r="BE121" s="254"/>
      <c r="BF121" s="254"/>
      <c r="BG121" s="254"/>
      <c r="BH121" s="254"/>
      <c r="BI121" s="254"/>
      <c r="BJ121" s="255"/>
    </row>
    <row r="122" spans="1:62" s="131" customFormat="1" ht="20.25" customHeight="1">
      <c r="A122" s="252"/>
      <c r="B122" s="254"/>
      <c r="C122" s="254"/>
      <c r="F122" s="258"/>
      <c r="G122" s="259"/>
      <c r="H122" s="259" t="s">
        <v>509</v>
      </c>
      <c r="I122" s="259"/>
      <c r="J122" s="259"/>
      <c r="K122" s="259"/>
      <c r="L122" s="259" t="s">
        <v>505</v>
      </c>
      <c r="M122" s="259"/>
      <c r="N122" s="259" t="s">
        <v>469</v>
      </c>
      <c r="O122" s="259"/>
      <c r="P122" s="259"/>
      <c r="Q122" s="259"/>
      <c r="R122" s="259"/>
      <c r="S122" s="259"/>
      <c r="T122" s="259"/>
      <c r="U122" s="259"/>
      <c r="V122" s="259"/>
      <c r="W122" s="259"/>
      <c r="X122" s="259"/>
      <c r="Y122" s="427">
        <f>AX66</f>
        <v>25000</v>
      </c>
      <c r="Z122" s="427"/>
      <c r="AA122" s="427"/>
      <c r="AB122" s="427"/>
      <c r="AC122" s="427"/>
      <c r="AD122" s="259" t="s">
        <v>592</v>
      </c>
      <c r="AE122" s="259"/>
      <c r="AF122" s="259"/>
      <c r="AG122" s="259"/>
      <c r="AH122" s="259"/>
      <c r="AI122" s="259"/>
      <c r="AJ122" s="259"/>
      <c r="AK122" s="259"/>
      <c r="AL122" s="259"/>
      <c r="AM122" s="259"/>
      <c r="AN122" s="259"/>
      <c r="AO122" s="259"/>
      <c r="AP122" s="259"/>
      <c r="AQ122" s="259"/>
      <c r="AR122" s="259"/>
      <c r="AS122" s="259"/>
      <c r="AT122" s="259"/>
      <c r="AU122" s="260"/>
      <c r="AV122" s="254"/>
      <c r="AW122" s="254"/>
      <c r="AX122" s="254"/>
      <c r="AY122" s="254"/>
      <c r="AZ122" s="254"/>
      <c r="BA122" s="254"/>
      <c r="BB122" s="254"/>
      <c r="BC122" s="254"/>
      <c r="BD122" s="254"/>
      <c r="BE122" s="254"/>
      <c r="BF122" s="254"/>
      <c r="BG122" s="254"/>
      <c r="BH122" s="254"/>
      <c r="BI122" s="254"/>
      <c r="BJ122" s="255"/>
    </row>
    <row r="123" spans="1:62" s="131" customFormat="1" ht="20.25" customHeight="1">
      <c r="A123" s="252"/>
      <c r="B123" s="254"/>
      <c r="C123" s="254"/>
      <c r="F123" s="258"/>
      <c r="G123" s="259"/>
      <c r="H123" s="259" t="s">
        <v>509</v>
      </c>
      <c r="I123" s="259"/>
      <c r="J123" s="259"/>
      <c r="K123" s="259"/>
      <c r="L123" s="259" t="s">
        <v>505</v>
      </c>
      <c r="M123" s="259"/>
      <c r="N123" s="259" t="s">
        <v>470</v>
      </c>
      <c r="O123" s="259"/>
      <c r="P123" s="259"/>
      <c r="Q123" s="259"/>
      <c r="R123" s="259"/>
      <c r="S123" s="259"/>
      <c r="T123" s="259"/>
      <c r="U123" s="259"/>
      <c r="V123" s="259"/>
      <c r="W123" s="259"/>
      <c r="X123" s="259"/>
      <c r="Y123" s="427">
        <f t="shared" ref="Y123:Y125" si="0">AX67</f>
        <v>26000</v>
      </c>
      <c r="Z123" s="427"/>
      <c r="AA123" s="427"/>
      <c r="AB123" s="427"/>
      <c r="AC123" s="427"/>
      <c r="AD123" s="259" t="s">
        <v>533</v>
      </c>
      <c r="AE123" s="259"/>
      <c r="AF123" s="259"/>
      <c r="AG123" s="259"/>
      <c r="AH123" s="259"/>
      <c r="AI123" s="259"/>
      <c r="AJ123" s="259"/>
      <c r="AK123" s="259"/>
      <c r="AL123" s="259"/>
      <c r="AM123" s="259"/>
      <c r="AN123" s="259"/>
      <c r="AO123" s="259"/>
      <c r="AP123" s="259"/>
      <c r="AQ123" s="259"/>
      <c r="AR123" s="259"/>
      <c r="AS123" s="259"/>
      <c r="AT123" s="259"/>
      <c r="AU123" s="260"/>
      <c r="AV123" s="254"/>
      <c r="AW123" s="254"/>
      <c r="AX123" s="254"/>
      <c r="AY123" s="254"/>
      <c r="AZ123" s="254"/>
      <c r="BA123" s="254"/>
      <c r="BB123" s="254"/>
      <c r="BC123" s="254"/>
      <c r="BD123" s="254"/>
      <c r="BE123" s="254"/>
      <c r="BF123" s="254"/>
      <c r="BG123" s="254"/>
      <c r="BH123" s="254"/>
      <c r="BI123" s="254"/>
      <c r="BJ123" s="255"/>
    </row>
    <row r="124" spans="1:62" s="131" customFormat="1" ht="20.25" customHeight="1">
      <c r="A124" s="252"/>
      <c r="B124" s="254"/>
      <c r="C124" s="254"/>
      <c r="F124" s="258"/>
      <c r="G124" s="259"/>
      <c r="H124" s="259" t="s">
        <v>509</v>
      </c>
      <c r="I124" s="259"/>
      <c r="J124" s="259"/>
      <c r="K124" s="259"/>
      <c r="L124" s="259" t="s">
        <v>505</v>
      </c>
      <c r="M124" s="259"/>
      <c r="N124" s="259" t="s">
        <v>471</v>
      </c>
      <c r="O124" s="259"/>
      <c r="P124" s="259"/>
      <c r="Q124" s="259"/>
      <c r="R124" s="259"/>
      <c r="S124" s="259"/>
      <c r="T124" s="259"/>
      <c r="U124" s="259"/>
      <c r="V124" s="259"/>
      <c r="W124" s="259"/>
      <c r="X124" s="259"/>
      <c r="Y124" s="427">
        <f t="shared" si="0"/>
        <v>27000</v>
      </c>
      <c r="Z124" s="427"/>
      <c r="AA124" s="427"/>
      <c r="AB124" s="427"/>
      <c r="AC124" s="427"/>
      <c r="AD124" s="259" t="s">
        <v>593</v>
      </c>
      <c r="AE124" s="259"/>
      <c r="AF124" s="259"/>
      <c r="AG124" s="259"/>
      <c r="AH124" s="259"/>
      <c r="AI124" s="259"/>
      <c r="AJ124" s="259"/>
      <c r="AK124" s="259"/>
      <c r="AL124" s="259"/>
      <c r="AM124" s="259"/>
      <c r="AN124" s="259"/>
      <c r="AO124" s="259"/>
      <c r="AP124" s="259"/>
      <c r="AQ124" s="259"/>
      <c r="AR124" s="259"/>
      <c r="AS124" s="259"/>
      <c r="AT124" s="259"/>
      <c r="AU124" s="260"/>
      <c r="AV124" s="254"/>
      <c r="AW124" s="254"/>
      <c r="AX124" s="254"/>
      <c r="AY124" s="254"/>
      <c r="AZ124" s="254"/>
      <c r="BA124" s="254"/>
      <c r="BB124" s="254"/>
      <c r="BC124" s="254"/>
      <c r="BD124" s="254"/>
      <c r="BE124" s="254"/>
      <c r="BF124" s="254"/>
      <c r="BG124" s="254"/>
      <c r="BH124" s="254"/>
      <c r="BI124" s="254"/>
      <c r="BJ124" s="255"/>
    </row>
    <row r="125" spans="1:62" s="131" customFormat="1" ht="20.25" customHeight="1">
      <c r="A125" s="252"/>
      <c r="B125" s="254"/>
      <c r="C125" s="254"/>
      <c r="F125" s="258"/>
      <c r="G125" s="259"/>
      <c r="H125" s="259" t="s">
        <v>509</v>
      </c>
      <c r="I125" s="259"/>
      <c r="J125" s="259"/>
      <c r="K125" s="259"/>
      <c r="L125" s="259" t="s">
        <v>507</v>
      </c>
      <c r="M125" s="259"/>
      <c r="N125" s="259" t="s">
        <v>472</v>
      </c>
      <c r="O125" s="259"/>
      <c r="P125" s="259"/>
      <c r="Q125" s="259"/>
      <c r="R125" s="259"/>
      <c r="S125" s="259"/>
      <c r="T125" s="259"/>
      <c r="U125" s="259"/>
      <c r="V125" s="259"/>
      <c r="W125" s="259"/>
      <c r="X125" s="259"/>
      <c r="Y125" s="427">
        <f t="shared" si="0"/>
        <v>28000</v>
      </c>
      <c r="Z125" s="427"/>
      <c r="AA125" s="427"/>
      <c r="AB125" s="427"/>
      <c r="AC125" s="427"/>
      <c r="AD125" s="259" t="s">
        <v>594</v>
      </c>
      <c r="AE125" s="259"/>
      <c r="AF125" s="259"/>
      <c r="AG125" s="259"/>
      <c r="AH125" s="259"/>
      <c r="AI125" s="259"/>
      <c r="AJ125" s="259"/>
      <c r="AK125" s="259"/>
      <c r="AL125" s="259"/>
      <c r="AM125" s="259"/>
      <c r="AN125" s="259"/>
      <c r="AO125" s="259"/>
      <c r="AP125" s="259"/>
      <c r="AQ125" s="259"/>
      <c r="AR125" s="259"/>
      <c r="AS125" s="259"/>
      <c r="AT125" s="259"/>
      <c r="AU125" s="260"/>
      <c r="AV125" s="254"/>
      <c r="AW125" s="254"/>
      <c r="AX125" s="254"/>
      <c r="AY125" s="254"/>
      <c r="AZ125" s="254"/>
      <c r="BA125" s="254"/>
      <c r="BB125" s="254"/>
      <c r="BC125" s="254"/>
      <c r="BD125" s="254"/>
      <c r="BE125" s="254"/>
      <c r="BF125" s="254"/>
      <c r="BG125" s="254"/>
      <c r="BH125" s="254"/>
      <c r="BI125" s="254"/>
      <c r="BJ125" s="255"/>
    </row>
    <row r="126" spans="1:62" s="131" customFormat="1" ht="20.25" customHeight="1">
      <c r="A126" s="252"/>
      <c r="B126" s="254"/>
      <c r="C126" s="254"/>
      <c r="F126" s="258"/>
      <c r="G126" s="259"/>
      <c r="H126" s="259" t="s">
        <v>507</v>
      </c>
      <c r="I126" s="259"/>
      <c r="J126" s="259" t="s">
        <v>579</v>
      </c>
      <c r="K126" s="259"/>
      <c r="L126" s="259"/>
      <c r="M126" s="259"/>
      <c r="N126" s="259"/>
      <c r="O126" s="259"/>
      <c r="P126" s="259"/>
      <c r="Q126" s="259"/>
      <c r="R126" s="259"/>
      <c r="S126" s="259"/>
      <c r="T126" s="259"/>
      <c r="U126" s="259"/>
      <c r="V126" s="259"/>
      <c r="W126" s="259"/>
      <c r="X126" s="259"/>
      <c r="Y126" s="427"/>
      <c r="Z126" s="427"/>
      <c r="AA126" s="427"/>
      <c r="AB126" s="427"/>
      <c r="AC126" s="427"/>
      <c r="AD126" s="259"/>
      <c r="AE126" s="259"/>
      <c r="AF126" s="259"/>
      <c r="AG126" s="259"/>
      <c r="AH126" s="259"/>
      <c r="AI126" s="259"/>
      <c r="AJ126" s="259"/>
      <c r="AK126" s="259"/>
      <c r="AL126" s="259"/>
      <c r="AM126" s="259"/>
      <c r="AN126" s="259"/>
      <c r="AO126" s="259"/>
      <c r="AP126" s="259"/>
      <c r="AQ126" s="259"/>
      <c r="AR126" s="259"/>
      <c r="AS126" s="259"/>
      <c r="AT126" s="259"/>
      <c r="AU126" s="260"/>
      <c r="AV126" s="254"/>
      <c r="AW126" s="254"/>
      <c r="AX126" s="254"/>
      <c r="AY126" s="254"/>
      <c r="AZ126" s="254"/>
      <c r="BA126" s="254"/>
      <c r="BB126" s="254"/>
      <c r="BC126" s="254"/>
      <c r="BD126" s="254"/>
      <c r="BE126" s="254"/>
      <c r="BF126" s="254"/>
      <c r="BG126" s="254"/>
      <c r="BH126" s="254"/>
      <c r="BI126" s="254"/>
      <c r="BJ126" s="255"/>
    </row>
    <row r="127" spans="1:62" s="131" customFormat="1" ht="20.25" customHeight="1">
      <c r="A127" s="252"/>
      <c r="B127" s="254"/>
      <c r="C127" s="254"/>
      <c r="F127" s="258"/>
      <c r="G127" s="259"/>
      <c r="H127" s="259"/>
      <c r="I127" s="259"/>
      <c r="J127" s="259" t="s">
        <v>505</v>
      </c>
      <c r="K127" s="259"/>
      <c r="L127" s="259" t="s">
        <v>588</v>
      </c>
      <c r="M127" s="259"/>
      <c r="N127" s="259"/>
      <c r="O127" s="259"/>
      <c r="P127" s="259"/>
      <c r="Q127" s="259"/>
      <c r="R127" s="259"/>
      <c r="S127" s="259"/>
      <c r="T127" s="259"/>
      <c r="U127" s="259"/>
      <c r="V127" s="259"/>
      <c r="W127" s="259"/>
      <c r="X127" s="259"/>
      <c r="Y127" s="427"/>
      <c r="Z127" s="427"/>
      <c r="AA127" s="427"/>
      <c r="AB127" s="427"/>
      <c r="AC127" s="427"/>
      <c r="AD127" s="259"/>
      <c r="AE127" s="259"/>
      <c r="AF127" s="259"/>
      <c r="AG127" s="259"/>
      <c r="AH127" s="259"/>
      <c r="AI127" s="259"/>
      <c r="AJ127" s="259"/>
      <c r="AK127" s="259"/>
      <c r="AL127" s="259"/>
      <c r="AM127" s="259"/>
      <c r="AN127" s="259"/>
      <c r="AO127" s="259"/>
      <c r="AP127" s="259"/>
      <c r="AQ127" s="259"/>
      <c r="AR127" s="259"/>
      <c r="AS127" s="259"/>
      <c r="AT127" s="259"/>
      <c r="AU127" s="260"/>
      <c r="AV127" s="254"/>
      <c r="AW127" s="254"/>
      <c r="AX127" s="254"/>
      <c r="AY127" s="254"/>
      <c r="AZ127" s="254"/>
      <c r="BA127" s="254"/>
      <c r="BB127" s="254"/>
      <c r="BC127" s="254"/>
      <c r="BD127" s="254"/>
      <c r="BE127" s="254"/>
      <c r="BF127" s="254"/>
      <c r="BG127" s="254"/>
      <c r="BH127" s="254"/>
      <c r="BI127" s="254"/>
      <c r="BJ127" s="255"/>
    </row>
    <row r="128" spans="1:62" s="131" customFormat="1" ht="20.25" customHeight="1">
      <c r="A128" s="252"/>
      <c r="B128" s="254"/>
      <c r="C128" s="254"/>
      <c r="F128" s="258"/>
      <c r="G128" s="259"/>
      <c r="H128" s="259"/>
      <c r="I128" s="259"/>
      <c r="J128" s="259" t="s">
        <v>509</v>
      </c>
      <c r="K128" s="259"/>
      <c r="L128" s="259" t="s">
        <v>507</v>
      </c>
      <c r="M128" s="259"/>
      <c r="N128" s="259" t="s">
        <v>584</v>
      </c>
      <c r="O128" s="259"/>
      <c r="P128" s="259"/>
      <c r="Q128" s="259"/>
      <c r="R128" s="259"/>
      <c r="S128" s="259"/>
      <c r="T128" s="259"/>
      <c r="U128" s="259"/>
      <c r="V128" s="259"/>
      <c r="W128" s="259"/>
      <c r="X128" s="259"/>
      <c r="Y128" s="427">
        <f>AX59</f>
        <v>18000</v>
      </c>
      <c r="Z128" s="427"/>
      <c r="AA128" s="427"/>
      <c r="AB128" s="427"/>
      <c r="AC128" s="427"/>
      <c r="AD128" s="259" t="s">
        <v>524</v>
      </c>
      <c r="AE128" s="259"/>
      <c r="AF128" s="259"/>
      <c r="AG128" s="259"/>
      <c r="AH128" s="259"/>
      <c r="AI128" s="259"/>
      <c r="AJ128" s="259"/>
      <c r="AK128" s="259"/>
      <c r="AL128" s="259"/>
      <c r="AM128" s="259"/>
      <c r="AN128" s="259"/>
      <c r="AO128" s="259"/>
      <c r="AP128" s="259"/>
      <c r="AQ128" s="259"/>
      <c r="AR128" s="259"/>
      <c r="AS128" s="259"/>
      <c r="AT128" s="259"/>
      <c r="AU128" s="260"/>
      <c r="AV128" s="254"/>
      <c r="AW128" s="254"/>
      <c r="AX128" s="254"/>
      <c r="AY128" s="254"/>
      <c r="AZ128" s="254"/>
      <c r="BA128" s="254"/>
      <c r="BB128" s="254"/>
      <c r="BC128" s="254"/>
      <c r="BD128" s="254"/>
      <c r="BE128" s="254"/>
      <c r="BF128" s="254"/>
      <c r="BG128" s="254"/>
      <c r="BH128" s="254"/>
      <c r="BI128" s="254"/>
      <c r="BJ128" s="255"/>
    </row>
    <row r="129" spans="1:62" s="131" customFormat="1" ht="20.25" customHeight="1">
      <c r="A129" s="252"/>
      <c r="B129" s="254"/>
      <c r="C129" s="254"/>
      <c r="F129" s="258"/>
      <c r="G129" s="259"/>
      <c r="H129" s="259"/>
      <c r="I129" s="259"/>
      <c r="J129" s="259" t="s">
        <v>507</v>
      </c>
      <c r="K129" s="259"/>
      <c r="L129" s="259" t="s">
        <v>513</v>
      </c>
      <c r="M129" s="259"/>
      <c r="N129" s="259"/>
      <c r="O129" s="259"/>
      <c r="P129" s="259"/>
      <c r="Q129" s="259"/>
      <c r="R129" s="259"/>
      <c r="S129" s="259"/>
      <c r="T129" s="259"/>
      <c r="U129" s="259"/>
      <c r="V129" s="259"/>
      <c r="W129" s="259"/>
      <c r="X129" s="259"/>
      <c r="Y129" s="427"/>
      <c r="Z129" s="427"/>
      <c r="AA129" s="427"/>
      <c r="AB129" s="427"/>
      <c r="AC129" s="427"/>
      <c r="AD129" s="259"/>
      <c r="AE129" s="259"/>
      <c r="AF129" s="259"/>
      <c r="AG129" s="259"/>
      <c r="AH129" s="259"/>
      <c r="AI129" s="259"/>
      <c r="AJ129" s="259"/>
      <c r="AK129" s="259"/>
      <c r="AL129" s="259"/>
      <c r="AM129" s="259"/>
      <c r="AN129" s="259"/>
      <c r="AO129" s="259"/>
      <c r="AP129" s="259"/>
      <c r="AQ129" s="259"/>
      <c r="AR129" s="259"/>
      <c r="AS129" s="259"/>
      <c r="AT129" s="259"/>
      <c r="AU129" s="260"/>
      <c r="AV129" s="254"/>
      <c r="AW129" s="254"/>
      <c r="AX129" s="254"/>
      <c r="AY129" s="254"/>
      <c r="AZ129" s="254"/>
      <c r="BA129" s="254"/>
      <c r="BB129" s="254"/>
      <c r="BC129" s="254"/>
      <c r="BD129" s="254"/>
      <c r="BE129" s="254"/>
      <c r="BF129" s="254"/>
      <c r="BG129" s="254"/>
      <c r="BH129" s="254"/>
      <c r="BI129" s="254"/>
      <c r="BJ129" s="255"/>
    </row>
    <row r="130" spans="1:62" s="131" customFormat="1" ht="20.25" customHeight="1">
      <c r="A130" s="252"/>
      <c r="B130" s="254"/>
      <c r="C130" s="254"/>
      <c r="F130" s="258"/>
      <c r="G130" s="259"/>
      <c r="H130" s="259"/>
      <c r="I130" s="259"/>
      <c r="J130" s="259"/>
      <c r="K130" s="259"/>
      <c r="L130" s="259" t="s">
        <v>505</v>
      </c>
      <c r="M130" s="259"/>
      <c r="N130" s="259" t="s">
        <v>582</v>
      </c>
      <c r="O130" s="259"/>
      <c r="P130" s="259"/>
      <c r="Q130" s="259"/>
      <c r="R130" s="259"/>
      <c r="S130" s="259"/>
      <c r="T130" s="259"/>
      <c r="U130" s="259"/>
      <c r="V130" s="259"/>
      <c r="W130" s="259"/>
      <c r="X130" s="259"/>
      <c r="Y130" s="427">
        <f>AX52</f>
        <v>11000</v>
      </c>
      <c r="Z130" s="427"/>
      <c r="AA130" s="427"/>
      <c r="AB130" s="427"/>
      <c r="AC130" s="427"/>
      <c r="AD130" s="259" t="s">
        <v>514</v>
      </c>
      <c r="AE130" s="259"/>
      <c r="AF130" s="259"/>
      <c r="AG130" s="259"/>
      <c r="AH130" s="259"/>
      <c r="AI130" s="259"/>
      <c r="AJ130" s="259"/>
      <c r="AK130" s="259"/>
      <c r="AL130" s="259"/>
      <c r="AM130" s="259"/>
      <c r="AN130" s="259"/>
      <c r="AO130" s="259"/>
      <c r="AP130" s="259"/>
      <c r="AQ130" s="259"/>
      <c r="AR130" s="259"/>
      <c r="AS130" s="259"/>
      <c r="AT130" s="259"/>
      <c r="AU130" s="260"/>
      <c r="AV130" s="254"/>
      <c r="AW130" s="254"/>
      <c r="AX130" s="254"/>
      <c r="AY130" s="254"/>
      <c r="AZ130" s="254"/>
      <c r="BA130" s="254"/>
      <c r="BB130" s="254"/>
      <c r="BC130" s="254"/>
      <c r="BD130" s="254"/>
      <c r="BE130" s="254"/>
      <c r="BF130" s="254"/>
      <c r="BG130" s="254"/>
      <c r="BH130" s="254"/>
      <c r="BI130" s="254"/>
      <c r="BJ130" s="255"/>
    </row>
    <row r="131" spans="1:62" s="131" customFormat="1" ht="20.25" customHeight="1">
      <c r="A131" s="252"/>
      <c r="B131" s="254"/>
      <c r="C131" s="254"/>
      <c r="F131" s="258"/>
      <c r="G131" s="259"/>
      <c r="H131" s="259"/>
      <c r="I131" s="259"/>
      <c r="J131" s="259"/>
      <c r="K131" s="259"/>
      <c r="L131" s="259" t="s">
        <v>505</v>
      </c>
      <c r="M131" s="259"/>
      <c r="N131" s="259" t="s">
        <v>485</v>
      </c>
      <c r="O131" s="259"/>
      <c r="P131" s="259"/>
      <c r="Q131" s="259"/>
      <c r="R131" s="259"/>
      <c r="S131" s="259"/>
      <c r="T131" s="259"/>
      <c r="U131" s="259"/>
      <c r="V131" s="259"/>
      <c r="W131" s="259"/>
      <c r="X131" s="259"/>
      <c r="Y131" s="427">
        <f>AX57</f>
        <v>16000</v>
      </c>
      <c r="Z131" s="427"/>
      <c r="AA131" s="427"/>
      <c r="AB131" s="427"/>
      <c r="AC131" s="427"/>
      <c r="AD131" s="259" t="s">
        <v>520</v>
      </c>
      <c r="AE131" s="259"/>
      <c r="AF131" s="259"/>
      <c r="AG131" s="259"/>
      <c r="AH131" s="259"/>
      <c r="AI131" s="259"/>
      <c r="AJ131" s="259"/>
      <c r="AK131" s="259"/>
      <c r="AL131" s="259"/>
      <c r="AM131" s="259"/>
      <c r="AN131" s="259"/>
      <c r="AO131" s="259"/>
      <c r="AP131" s="259"/>
      <c r="AQ131" s="259"/>
      <c r="AR131" s="259"/>
      <c r="AS131" s="259"/>
      <c r="AT131" s="259"/>
      <c r="AU131" s="260"/>
      <c r="AV131" s="254"/>
      <c r="AW131" s="254"/>
      <c r="AX131" s="254"/>
      <c r="AY131" s="254"/>
      <c r="AZ131" s="254"/>
      <c r="BA131" s="254"/>
      <c r="BB131" s="254"/>
      <c r="BC131" s="254"/>
      <c r="BD131" s="254"/>
      <c r="BE131" s="254"/>
      <c r="BF131" s="254"/>
      <c r="BG131" s="254"/>
      <c r="BH131" s="254"/>
      <c r="BI131" s="254"/>
      <c r="BJ131" s="255"/>
    </row>
    <row r="132" spans="1:62" s="131" customFormat="1" ht="20.25" customHeight="1">
      <c r="A132" s="252"/>
      <c r="B132" s="254"/>
      <c r="C132" s="254"/>
      <c r="F132" s="258"/>
      <c r="G132" s="259"/>
      <c r="H132" s="259"/>
      <c r="I132" s="259"/>
      <c r="J132" s="259"/>
      <c r="K132" s="259"/>
      <c r="L132" s="259" t="s">
        <v>507</v>
      </c>
      <c r="M132" s="259"/>
      <c r="N132" s="259" t="s">
        <v>519</v>
      </c>
      <c r="O132" s="259"/>
      <c r="P132" s="259"/>
      <c r="Q132" s="259"/>
      <c r="R132" s="259"/>
      <c r="S132" s="259"/>
      <c r="T132" s="259"/>
      <c r="U132" s="259"/>
      <c r="V132" s="259"/>
      <c r="W132" s="259"/>
      <c r="X132" s="259"/>
      <c r="Y132" s="427">
        <f>AX58</f>
        <v>17000</v>
      </c>
      <c r="Z132" s="427"/>
      <c r="AA132" s="427"/>
      <c r="AB132" s="427"/>
      <c r="AC132" s="427"/>
      <c r="AD132" s="259" t="s">
        <v>522</v>
      </c>
      <c r="AE132" s="259"/>
      <c r="AF132" s="259"/>
      <c r="AG132" s="259"/>
      <c r="AH132" s="259"/>
      <c r="AI132" s="259"/>
      <c r="AJ132" s="259"/>
      <c r="AK132" s="259"/>
      <c r="AL132" s="259"/>
      <c r="AM132" s="259"/>
      <c r="AN132" s="259"/>
      <c r="AO132" s="259"/>
      <c r="AP132" s="259"/>
      <c r="AQ132" s="259"/>
      <c r="AR132" s="259"/>
      <c r="AS132" s="259"/>
      <c r="AT132" s="259"/>
      <c r="AU132" s="260"/>
      <c r="AV132" s="254"/>
      <c r="AW132" s="254"/>
      <c r="AX132" s="254"/>
      <c r="AY132" s="254"/>
      <c r="AZ132" s="254"/>
      <c r="BA132" s="254"/>
      <c r="BB132" s="254"/>
      <c r="BC132" s="254"/>
      <c r="BD132" s="254"/>
      <c r="BE132" s="254"/>
      <c r="BF132" s="254"/>
      <c r="BG132" s="254"/>
      <c r="BH132" s="254"/>
      <c r="BI132" s="254"/>
      <c r="BJ132" s="255"/>
    </row>
    <row r="133" spans="1:62" s="131" customFormat="1" ht="20.25" customHeight="1">
      <c r="A133" s="252"/>
      <c r="B133" s="254"/>
      <c r="C133" s="254"/>
      <c r="F133" s="258"/>
      <c r="G133" s="259" t="s">
        <v>585</v>
      </c>
      <c r="H133" s="259"/>
      <c r="I133" s="259"/>
      <c r="J133" s="259"/>
      <c r="K133" s="259"/>
      <c r="L133" s="259"/>
      <c r="M133" s="259"/>
      <c r="N133" s="259"/>
      <c r="O133" s="259"/>
      <c r="P133" s="259"/>
      <c r="Q133" s="259"/>
      <c r="R133" s="259"/>
      <c r="S133" s="259"/>
      <c r="T133" s="259"/>
      <c r="U133" s="259"/>
      <c r="V133" s="259"/>
      <c r="W133" s="259"/>
      <c r="X133" s="259"/>
      <c r="Y133" s="273"/>
      <c r="Z133" s="273"/>
      <c r="AA133" s="273"/>
      <c r="AB133" s="273"/>
      <c r="AC133" s="273"/>
      <c r="AD133" s="259"/>
      <c r="AE133" s="259"/>
      <c r="AF133" s="259"/>
      <c r="AG133" s="259"/>
      <c r="AH133" s="259"/>
      <c r="AI133" s="259"/>
      <c r="AJ133" s="259"/>
      <c r="AK133" s="259"/>
      <c r="AL133" s="259"/>
      <c r="AM133" s="259"/>
      <c r="AN133" s="259"/>
      <c r="AO133" s="259"/>
      <c r="AP133" s="259"/>
      <c r="AQ133" s="259"/>
      <c r="AR133" s="259"/>
      <c r="AS133" s="259"/>
      <c r="AT133" s="259"/>
      <c r="AU133" s="260"/>
      <c r="AV133" s="254"/>
      <c r="AW133" s="254"/>
      <c r="AX133" s="254"/>
      <c r="AY133" s="254"/>
      <c r="AZ133" s="254"/>
      <c r="BA133" s="254"/>
      <c r="BB133" s="254"/>
      <c r="BC133" s="254"/>
      <c r="BD133" s="254"/>
      <c r="BE133" s="254"/>
      <c r="BF133" s="254"/>
      <c r="BG133" s="254"/>
      <c r="BH133" s="254"/>
      <c r="BI133" s="254"/>
      <c r="BJ133" s="255"/>
    </row>
    <row r="134" spans="1:62" s="131" customFormat="1" ht="20.25" customHeight="1">
      <c r="A134" s="252"/>
      <c r="B134" s="254"/>
      <c r="C134" s="254"/>
      <c r="F134" s="258"/>
      <c r="G134" s="259"/>
      <c r="H134" s="259" t="s">
        <v>507</v>
      </c>
      <c r="I134" s="259"/>
      <c r="J134" s="259" t="s">
        <v>579</v>
      </c>
      <c r="K134" s="259"/>
      <c r="L134" s="259"/>
      <c r="M134" s="259"/>
      <c r="N134" s="259"/>
      <c r="O134" s="259"/>
      <c r="P134" s="259"/>
      <c r="Q134" s="259"/>
      <c r="R134" s="259"/>
      <c r="S134" s="259"/>
      <c r="T134" s="259"/>
      <c r="U134" s="259"/>
      <c r="V134" s="259"/>
      <c r="W134" s="259"/>
      <c r="X134" s="259"/>
      <c r="Y134" s="273"/>
      <c r="Z134" s="273"/>
      <c r="AA134" s="273"/>
      <c r="AB134" s="273"/>
      <c r="AC134" s="273"/>
      <c r="AD134" s="259"/>
      <c r="AE134" s="259"/>
      <c r="AF134" s="259"/>
      <c r="AG134" s="259"/>
      <c r="AH134" s="259"/>
      <c r="AI134" s="259"/>
      <c r="AJ134" s="259"/>
      <c r="AK134" s="259"/>
      <c r="AL134" s="259"/>
      <c r="AM134" s="259"/>
      <c r="AN134" s="259"/>
      <c r="AO134" s="259"/>
      <c r="AP134" s="259"/>
      <c r="AQ134" s="259"/>
      <c r="AR134" s="259"/>
      <c r="AS134" s="259"/>
      <c r="AT134" s="259"/>
      <c r="AU134" s="260"/>
      <c r="AV134" s="254"/>
      <c r="AW134" s="254"/>
      <c r="AX134" s="254"/>
      <c r="AY134" s="254"/>
      <c r="AZ134" s="254"/>
      <c r="BA134" s="254"/>
      <c r="BB134" s="254"/>
      <c r="BC134" s="254"/>
      <c r="BD134" s="254"/>
      <c r="BE134" s="254"/>
      <c r="BF134" s="254"/>
      <c r="BG134" s="254"/>
      <c r="BH134" s="254"/>
      <c r="BI134" s="254"/>
      <c r="BJ134" s="255"/>
    </row>
    <row r="135" spans="1:62" s="131" customFormat="1" ht="20.25" customHeight="1">
      <c r="A135" s="252"/>
      <c r="B135" s="254"/>
      <c r="C135" s="254"/>
      <c r="F135" s="258"/>
      <c r="G135" s="259"/>
      <c r="H135" s="259"/>
      <c r="I135" s="259"/>
      <c r="J135" s="259" t="s">
        <v>507</v>
      </c>
      <c r="K135" s="259"/>
      <c r="L135" s="259" t="s">
        <v>513</v>
      </c>
      <c r="M135" s="259"/>
      <c r="N135" s="259"/>
      <c r="O135" s="259"/>
      <c r="P135" s="259"/>
      <c r="Q135" s="259"/>
      <c r="R135" s="259"/>
      <c r="S135" s="259"/>
      <c r="T135" s="259"/>
      <c r="U135" s="259"/>
      <c r="V135" s="259"/>
      <c r="W135" s="259"/>
      <c r="X135" s="259"/>
      <c r="Y135" s="273"/>
      <c r="Z135" s="273"/>
      <c r="AA135" s="273"/>
      <c r="AB135" s="273"/>
      <c r="AC135" s="273"/>
      <c r="AD135" s="259"/>
      <c r="AE135" s="259"/>
      <c r="AF135" s="259"/>
      <c r="AG135" s="259"/>
      <c r="AH135" s="259"/>
      <c r="AI135" s="259"/>
      <c r="AJ135" s="259"/>
      <c r="AK135" s="259"/>
      <c r="AL135" s="259"/>
      <c r="AM135" s="259"/>
      <c r="AN135" s="259"/>
      <c r="AO135" s="259"/>
      <c r="AP135" s="259"/>
      <c r="AQ135" s="259"/>
      <c r="AR135" s="259"/>
      <c r="AS135" s="259"/>
      <c r="AT135" s="259"/>
      <c r="AU135" s="260"/>
      <c r="AV135" s="254"/>
      <c r="AW135" s="254"/>
      <c r="AX135" s="254"/>
      <c r="AY135" s="254"/>
      <c r="AZ135" s="254"/>
      <c r="BA135" s="254"/>
      <c r="BB135" s="254"/>
      <c r="BC135" s="254"/>
      <c r="BD135" s="254"/>
      <c r="BE135" s="254"/>
      <c r="BF135" s="254"/>
      <c r="BG135" s="254"/>
      <c r="BH135" s="254"/>
      <c r="BI135" s="254"/>
      <c r="BJ135" s="255"/>
    </row>
    <row r="136" spans="1:62" s="131" customFormat="1" ht="20.25" customHeight="1">
      <c r="A136" s="252"/>
      <c r="B136" s="254"/>
      <c r="C136" s="254"/>
      <c r="F136" s="267"/>
      <c r="G136" s="268"/>
      <c r="H136" s="268"/>
      <c r="I136" s="268"/>
      <c r="J136" s="268"/>
      <c r="K136" s="268"/>
      <c r="L136" s="268" t="s">
        <v>507</v>
      </c>
      <c r="M136" s="268" t="s">
        <v>585</v>
      </c>
      <c r="N136" s="268"/>
      <c r="O136" s="268"/>
      <c r="P136" s="268"/>
      <c r="Q136" s="268"/>
      <c r="R136" s="268"/>
      <c r="S136" s="268"/>
      <c r="T136" s="268"/>
      <c r="U136" s="268"/>
      <c r="V136" s="268"/>
      <c r="W136" s="268"/>
      <c r="X136" s="268"/>
      <c r="Y136" s="429">
        <f>AX70</f>
        <v>29000</v>
      </c>
      <c r="Z136" s="429"/>
      <c r="AA136" s="429"/>
      <c r="AB136" s="429"/>
      <c r="AC136" s="429"/>
      <c r="AD136" s="268" t="s">
        <v>595</v>
      </c>
      <c r="AE136" s="268"/>
      <c r="AF136" s="268"/>
      <c r="AG136" s="268"/>
      <c r="AH136" s="268"/>
      <c r="AI136" s="268"/>
      <c r="AJ136" s="268"/>
      <c r="AK136" s="268"/>
      <c r="AL136" s="268"/>
      <c r="AM136" s="268"/>
      <c r="AN136" s="268"/>
      <c r="AO136" s="268"/>
      <c r="AP136" s="268"/>
      <c r="AQ136" s="268"/>
      <c r="AR136" s="268"/>
      <c r="AS136" s="268"/>
      <c r="AT136" s="268"/>
      <c r="AU136" s="274"/>
      <c r="AV136" s="254"/>
      <c r="AW136" s="254"/>
      <c r="AX136" s="254"/>
      <c r="AY136" s="254"/>
      <c r="AZ136" s="254"/>
      <c r="BA136" s="254"/>
      <c r="BB136" s="254"/>
      <c r="BC136" s="254"/>
      <c r="BD136" s="254"/>
      <c r="BE136" s="254"/>
      <c r="BF136" s="254"/>
      <c r="BG136" s="254"/>
      <c r="BH136" s="254"/>
      <c r="BI136" s="254"/>
      <c r="BJ136" s="255"/>
    </row>
    <row r="137" spans="1:62" s="131" customFormat="1" ht="20.25" customHeight="1">
      <c r="A137" s="252"/>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5"/>
    </row>
    <row r="138" spans="1:62" s="191" customFormat="1" ht="4.5" customHeight="1">
      <c r="A138" s="256"/>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c r="AD138" s="277"/>
      <c r="AE138" s="277"/>
      <c r="AF138" s="277"/>
      <c r="AG138" s="277"/>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c r="BD138" s="277"/>
      <c r="BE138" s="277"/>
      <c r="BF138" s="277"/>
      <c r="BG138" s="277"/>
      <c r="BH138" s="277"/>
      <c r="BI138" s="277"/>
      <c r="BJ138" s="257"/>
    </row>
    <row r="139" spans="1:62" s="191" customFormat="1" ht="18" customHeight="1"/>
    <row r="140" spans="1:62" s="191" customFormat="1" ht="18" customHeight="1"/>
    <row r="141" spans="1:62" s="191" customFormat="1" ht="18" customHeight="1"/>
    <row r="142" spans="1:62" s="191" customFormat="1" ht="18" customHeight="1"/>
    <row r="143" spans="1:62" s="191" customFormat="1" ht="18" customHeight="1"/>
    <row r="144" spans="1:62" s="191" customFormat="1" ht="18" customHeight="1"/>
    <row r="145" s="191" customFormat="1" ht="18" customHeight="1"/>
    <row r="146" s="191" customFormat="1" ht="18" customHeight="1"/>
    <row r="147" s="191" customFormat="1" ht="18" customHeight="1"/>
    <row r="148" s="191" customFormat="1" ht="18" customHeight="1"/>
    <row r="149" s="191" customFormat="1" ht="18" customHeight="1"/>
    <row r="150" s="191" customFormat="1" ht="18" customHeight="1"/>
    <row r="151" s="191" customFormat="1" ht="18" customHeight="1"/>
    <row r="152" s="191" customFormat="1" ht="18" customHeight="1"/>
    <row r="153" s="191" customFormat="1" ht="18" customHeight="1"/>
    <row r="154" s="191" customFormat="1" ht="18" customHeight="1"/>
    <row r="155" s="191" customFormat="1" ht="18" customHeight="1"/>
    <row r="156" s="191" customFormat="1" ht="18" customHeight="1"/>
    <row r="157" s="191" customFormat="1" ht="18" customHeight="1"/>
    <row r="158" s="191" customFormat="1" ht="18" customHeight="1"/>
    <row r="159" s="191" customFormat="1" ht="18" customHeight="1"/>
    <row r="160" s="191" customFormat="1" ht="18" customHeight="1"/>
    <row r="161" spans="1:62" s="191" customFormat="1" ht="18" customHeight="1"/>
    <row r="162" spans="1:62" s="191" customFormat="1" ht="18" customHeight="1"/>
    <row r="163" spans="1:62" s="191" customFormat="1" ht="18" customHeight="1"/>
    <row r="164" spans="1:62" s="191" customFormat="1" ht="18" customHeight="1"/>
    <row r="165" spans="1:62" s="191" customFormat="1" ht="18" customHeight="1"/>
    <row r="166" spans="1:62" s="191" customFormat="1" ht="18" customHeight="1"/>
    <row r="167" spans="1:62" s="191" customFormat="1" ht="18" customHeight="1"/>
    <row r="168" spans="1:62" s="191" customFormat="1" ht="18" customHeight="1"/>
    <row r="169" spans="1:62" s="191" customFormat="1" ht="18" customHeight="1"/>
    <row r="170" spans="1:62" s="191" customFormat="1" ht="18" customHeight="1"/>
    <row r="171" spans="1:62" s="191" customFormat="1" ht="18" customHeight="1"/>
    <row r="172" spans="1:62" s="191" customFormat="1" ht="18" customHeight="1"/>
    <row r="173" spans="1:62" s="191" customFormat="1" ht="18" customHeight="1"/>
    <row r="174" spans="1:62" s="191" customFormat="1" ht="18" customHeight="1"/>
    <row r="175" spans="1:62" ht="18" customHeight="1">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c r="BF175" s="191"/>
      <c r="BG175" s="191"/>
      <c r="BH175" s="191"/>
      <c r="BI175" s="191"/>
      <c r="BJ175" s="191"/>
    </row>
    <row r="176" spans="1:62"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sheetData>
  <mergeCells count="267">
    <mergeCell ref="F27:J27"/>
    <mergeCell ref="A2:AU2"/>
    <mergeCell ref="AV2:AY2"/>
    <mergeCell ref="AZ2:BC2"/>
    <mergeCell ref="BD2:BG2"/>
    <mergeCell ref="BH2:BJ2"/>
    <mergeCell ref="A3:G4"/>
    <mergeCell ref="H3:AU4"/>
    <mergeCell ref="AV3:AY3"/>
    <mergeCell ref="AZ3:BJ3"/>
    <mergeCell ref="AV4:AY4"/>
    <mergeCell ref="A7:K7"/>
    <mergeCell ref="L7:BJ7"/>
    <mergeCell ref="AZ4:BJ4"/>
    <mergeCell ref="A6:G6"/>
    <mergeCell ref="H6:K6"/>
    <mergeCell ref="L6:P6"/>
    <mergeCell ref="Q6:AU6"/>
    <mergeCell ref="AV6:AY6"/>
    <mergeCell ref="AZ6:BJ6"/>
    <mergeCell ref="Y136:AC136"/>
    <mergeCell ref="Y120:AC120"/>
    <mergeCell ref="Y121:AC121"/>
    <mergeCell ref="Y122:AC122"/>
    <mergeCell ref="Y123:AC123"/>
    <mergeCell ref="Y109:AC109"/>
    <mergeCell ref="Y110:AC110"/>
    <mergeCell ref="Y106:AC106"/>
    <mergeCell ref="Y125:AC125"/>
    <mergeCell ref="Y126:AC126"/>
    <mergeCell ref="Y129:AC129"/>
    <mergeCell ref="Y131:AC131"/>
    <mergeCell ref="Y132:AC132"/>
    <mergeCell ref="Y111:AC111"/>
    <mergeCell ref="Y114:AC114"/>
    <mergeCell ref="Y115:AC115"/>
    <mergeCell ref="Y116:AC116"/>
    <mergeCell ref="Y117:AC117"/>
    <mergeCell ref="Y118:AC118"/>
    <mergeCell ref="Y119:AC119"/>
    <mergeCell ref="Y112:AC112"/>
    <mergeCell ref="Y113:AC113"/>
    <mergeCell ref="Y130:AC130"/>
    <mergeCell ref="Y127:AC127"/>
    <mergeCell ref="F53:J53"/>
    <mergeCell ref="K53:Q53"/>
    <mergeCell ref="R53:X53"/>
    <mergeCell ref="Y53:AG53"/>
    <mergeCell ref="AH53:AU53"/>
    <mergeCell ref="F50:J50"/>
    <mergeCell ref="K50:Q50"/>
    <mergeCell ref="F51:J51"/>
    <mergeCell ref="K51:Q51"/>
    <mergeCell ref="F55:J55"/>
    <mergeCell ref="K55:Q55"/>
    <mergeCell ref="F58:J58"/>
    <mergeCell ref="K58:Q58"/>
    <mergeCell ref="F57:J57"/>
    <mergeCell ref="K57:Q57"/>
    <mergeCell ref="F56:J56"/>
    <mergeCell ref="K56:Q56"/>
    <mergeCell ref="F54:J54"/>
    <mergeCell ref="K54:Q54"/>
    <mergeCell ref="F62:J62"/>
    <mergeCell ref="K62:Q62"/>
    <mergeCell ref="F61:J61"/>
    <mergeCell ref="K61:Q61"/>
    <mergeCell ref="F60:J60"/>
    <mergeCell ref="K60:Q60"/>
    <mergeCell ref="R61:X61"/>
    <mergeCell ref="Y61:AG61"/>
    <mergeCell ref="AH61:AU61"/>
    <mergeCell ref="F65:J65"/>
    <mergeCell ref="K65:Q65"/>
    <mergeCell ref="F64:J64"/>
    <mergeCell ref="K64:Q64"/>
    <mergeCell ref="R64:X64"/>
    <mergeCell ref="Y64:AG64"/>
    <mergeCell ref="AH64:AU64"/>
    <mergeCell ref="F63:J63"/>
    <mergeCell ref="K63:Q63"/>
    <mergeCell ref="F68:J68"/>
    <mergeCell ref="K68:Q68"/>
    <mergeCell ref="F67:J67"/>
    <mergeCell ref="K67:Q67"/>
    <mergeCell ref="F66:J66"/>
    <mergeCell ref="K66:Q66"/>
    <mergeCell ref="R67:X67"/>
    <mergeCell ref="Y67:AG67"/>
    <mergeCell ref="AH67:AU67"/>
    <mergeCell ref="Y128:AC128"/>
    <mergeCell ref="Y95:AC95"/>
    <mergeCell ref="Y90:AC90"/>
    <mergeCell ref="Y93:AC93"/>
    <mergeCell ref="Y98:AC98"/>
    <mergeCell ref="Y101:AC101"/>
    <mergeCell ref="F69:J69"/>
    <mergeCell ref="K69:Q69"/>
    <mergeCell ref="Y124:AC124"/>
    <mergeCell ref="Y89:AC89"/>
    <mergeCell ref="Y92:AC92"/>
    <mergeCell ref="Y102:AC102"/>
    <mergeCell ref="Y80:AC80"/>
    <mergeCell ref="Y105:AC105"/>
    <mergeCell ref="Y78:AC78"/>
    <mergeCell ref="Y104:AC104"/>
    <mergeCell ref="Y107:AC107"/>
    <mergeCell ref="Y108:AC108"/>
    <mergeCell ref="Y81:AC81"/>
    <mergeCell ref="Y82:AC82"/>
    <mergeCell ref="Y85:AC85"/>
    <mergeCell ref="Y86:AC86"/>
    <mergeCell ref="AQ86:AU86"/>
    <mergeCell ref="Y75:AC75"/>
    <mergeCell ref="AQ75:AU75"/>
    <mergeCell ref="Y76:AC76"/>
    <mergeCell ref="AQ77:AU77"/>
    <mergeCell ref="Y77:AC77"/>
    <mergeCell ref="Y97:AC97"/>
    <mergeCell ref="Y83:AC83"/>
    <mergeCell ref="AQ87:AU87"/>
    <mergeCell ref="AQ102:AU102"/>
    <mergeCell ref="AQ103:AU103"/>
    <mergeCell ref="AQ79:AU79"/>
    <mergeCell ref="AQ76:AU76"/>
    <mergeCell ref="AQ78:AU78"/>
    <mergeCell ref="BA29:BE29"/>
    <mergeCell ref="R27:X27"/>
    <mergeCell ref="AY33:AZ33"/>
    <mergeCell ref="AY36:AZ36"/>
    <mergeCell ref="BA36:BE36"/>
    <mergeCell ref="AY37:AZ37"/>
    <mergeCell ref="BA37:BE37"/>
    <mergeCell ref="AP27:AX27"/>
    <mergeCell ref="Y27:AH27"/>
    <mergeCell ref="AI27:AO27"/>
    <mergeCell ref="AY27:AZ27"/>
    <mergeCell ref="BA27:BE27"/>
    <mergeCell ref="AY28:AZ28"/>
    <mergeCell ref="BA28:BE28"/>
    <mergeCell ref="AY30:AZ30"/>
    <mergeCell ref="BA30:BE30"/>
    <mergeCell ref="AY34:AZ34"/>
    <mergeCell ref="BA34:BE34"/>
    <mergeCell ref="AY31:AZ31"/>
    <mergeCell ref="BA31:BE31"/>
    <mergeCell ref="AY32:AZ32"/>
    <mergeCell ref="BA32:BE32"/>
    <mergeCell ref="BA33:BE33"/>
    <mergeCell ref="AY41:AZ41"/>
    <mergeCell ref="BA41:BE41"/>
    <mergeCell ref="AY42:AZ42"/>
    <mergeCell ref="BA42:BE42"/>
    <mergeCell ref="AY43:AZ43"/>
    <mergeCell ref="BA43:BE43"/>
    <mergeCell ref="AY38:AZ38"/>
    <mergeCell ref="BA38:BE38"/>
    <mergeCell ref="AY39:AZ39"/>
    <mergeCell ref="BA39:BE39"/>
    <mergeCell ref="AY40:AZ40"/>
    <mergeCell ref="BA40:BE40"/>
    <mergeCell ref="AY46:AZ46"/>
    <mergeCell ref="BA46:BE46"/>
    <mergeCell ref="AY29:AZ29"/>
    <mergeCell ref="AY35:AZ35"/>
    <mergeCell ref="BA35:BE35"/>
    <mergeCell ref="F52:J52"/>
    <mergeCell ref="K52:Q52"/>
    <mergeCell ref="R50:X50"/>
    <mergeCell ref="Y50:AG50"/>
    <mergeCell ref="AH50:AU50"/>
    <mergeCell ref="AV50:AW51"/>
    <mergeCell ref="AX50:BB51"/>
    <mergeCell ref="R51:X51"/>
    <mergeCell ref="Y51:AG51"/>
    <mergeCell ref="AH51:AU51"/>
    <mergeCell ref="R52:X52"/>
    <mergeCell ref="Y52:AG52"/>
    <mergeCell ref="AH52:AU52"/>
    <mergeCell ref="AV52:AW52"/>
    <mergeCell ref="AX52:BB52"/>
    <mergeCell ref="AY44:AZ44"/>
    <mergeCell ref="BA44:BE44"/>
    <mergeCell ref="AY45:AZ45"/>
    <mergeCell ref="BA45:BE45"/>
    <mergeCell ref="AV53:AW53"/>
    <mergeCell ref="AX53:BB53"/>
    <mergeCell ref="R54:X54"/>
    <mergeCell ref="Y54:AG54"/>
    <mergeCell ref="AH54:AU54"/>
    <mergeCell ref="AV54:AW54"/>
    <mergeCell ref="AX54:BB54"/>
    <mergeCell ref="R55:X55"/>
    <mergeCell ref="Y55:AG55"/>
    <mergeCell ref="AH55:AU55"/>
    <mergeCell ref="AV55:AW55"/>
    <mergeCell ref="AX55:BB55"/>
    <mergeCell ref="R56:X56"/>
    <mergeCell ref="Y56:AG56"/>
    <mergeCell ref="AH56:AU56"/>
    <mergeCell ref="AV56:AW56"/>
    <mergeCell ref="AX56:BB56"/>
    <mergeCell ref="R57:X57"/>
    <mergeCell ref="Y57:AG57"/>
    <mergeCell ref="AH57:AU57"/>
    <mergeCell ref="AV57:AW57"/>
    <mergeCell ref="AX57:BB57"/>
    <mergeCell ref="R58:X58"/>
    <mergeCell ref="Y58:AG58"/>
    <mergeCell ref="AH58:AU58"/>
    <mergeCell ref="AV58:AW58"/>
    <mergeCell ref="AX58:BB58"/>
    <mergeCell ref="R60:X60"/>
    <mergeCell ref="Y60:AG60"/>
    <mergeCell ref="AH60:AU60"/>
    <mergeCell ref="AV60:AW60"/>
    <mergeCell ref="AX60:BB60"/>
    <mergeCell ref="AV61:AW61"/>
    <mergeCell ref="AX61:BB61"/>
    <mergeCell ref="R62:X62"/>
    <mergeCell ref="Y62:AG62"/>
    <mergeCell ref="AH62:AU62"/>
    <mergeCell ref="AV62:AW62"/>
    <mergeCell ref="AX62:BB62"/>
    <mergeCell ref="R63:X63"/>
    <mergeCell ref="Y63:AG63"/>
    <mergeCell ref="AH63:AU63"/>
    <mergeCell ref="AV63:AW63"/>
    <mergeCell ref="AX63:BB63"/>
    <mergeCell ref="AV69:AW69"/>
    <mergeCell ref="AX69:BB69"/>
    <mergeCell ref="AV64:AW64"/>
    <mergeCell ref="AX64:BB64"/>
    <mergeCell ref="R65:X65"/>
    <mergeCell ref="Y65:AG65"/>
    <mergeCell ref="AH65:AU65"/>
    <mergeCell ref="AV65:AW65"/>
    <mergeCell ref="AX65:BB65"/>
    <mergeCell ref="R66:X66"/>
    <mergeCell ref="Y66:AG66"/>
    <mergeCell ref="AH66:AU66"/>
    <mergeCell ref="AV66:AW66"/>
    <mergeCell ref="AX66:BB66"/>
    <mergeCell ref="F59:J59"/>
    <mergeCell ref="K59:Q59"/>
    <mergeCell ref="R59:X59"/>
    <mergeCell ref="Y59:AG59"/>
    <mergeCell ref="AH59:AU59"/>
    <mergeCell ref="AV59:AW59"/>
    <mergeCell ref="AX59:BB59"/>
    <mergeCell ref="F70:J70"/>
    <mergeCell ref="K70:Q70"/>
    <mergeCell ref="R70:X70"/>
    <mergeCell ref="Y70:AG70"/>
    <mergeCell ref="AH70:AU70"/>
    <mergeCell ref="AV70:AW70"/>
    <mergeCell ref="AX70:BB70"/>
    <mergeCell ref="AV67:AW67"/>
    <mergeCell ref="AX67:BB67"/>
    <mergeCell ref="R68:X68"/>
    <mergeCell ref="Y68:AG68"/>
    <mergeCell ref="AH68:AU68"/>
    <mergeCell ref="AV68:AW68"/>
    <mergeCell ref="AX68:BB68"/>
    <mergeCell ref="R69:X69"/>
    <mergeCell ref="Y69:AG69"/>
    <mergeCell ref="AH69:AU69"/>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rowBreaks count="2" manualBreakCount="2">
    <brk id="47" max="61" man="1"/>
    <brk id="101"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1D4B-1D7E-4710-8433-07626B0C1CAD}">
  <sheetPr codeName="Sheet7">
    <pageSetUpPr fitToPage="1"/>
  </sheetPr>
  <dimension ref="A1:BJ129"/>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27</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94</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26" t="s">
        <v>95</v>
      </c>
      <c r="BJ9" s="31"/>
    </row>
    <row r="10" spans="1:62" s="26" customFormat="1" ht="20.25" customHeight="1">
      <c r="A10" s="30"/>
      <c r="BJ10" s="31"/>
    </row>
    <row r="11" spans="1:62" s="26" customFormat="1" ht="20.25" customHeight="1">
      <c r="A11" s="30"/>
      <c r="C11" s="26" t="s">
        <v>96</v>
      </c>
      <c r="BJ11" s="31"/>
    </row>
    <row r="12" spans="1:62" s="26" customFormat="1" ht="20.25" customHeight="1">
      <c r="A12" s="30"/>
      <c r="BJ12" s="31"/>
    </row>
    <row r="13" spans="1:62" s="26" customFormat="1" ht="20.25" customHeight="1">
      <c r="A13" s="30"/>
      <c r="BJ13" s="31"/>
    </row>
    <row r="14" spans="1:62" s="26" customFormat="1" ht="20.25" customHeight="1">
      <c r="A14" s="30"/>
      <c r="B14" s="26" t="s">
        <v>97</v>
      </c>
      <c r="BJ14" s="31"/>
    </row>
    <row r="15" spans="1:62" s="26" customFormat="1" ht="20.25" customHeight="1">
      <c r="A15" s="30"/>
      <c r="BJ15" s="31"/>
    </row>
    <row r="16" spans="1:62" s="26" customFormat="1" ht="20.25" customHeight="1">
      <c r="A16" s="30"/>
      <c r="C16" s="26" t="s">
        <v>98</v>
      </c>
      <c r="BJ16" s="31"/>
    </row>
    <row r="17" spans="1:62" s="26" customFormat="1" ht="20.25" customHeight="1">
      <c r="A17" s="30"/>
      <c r="BJ17" s="31"/>
    </row>
    <row r="18" spans="1:62" s="26" customFormat="1" ht="20.25" customHeight="1">
      <c r="A18" s="30"/>
      <c r="D18" s="26" t="s">
        <v>99</v>
      </c>
      <c r="BJ18" s="31"/>
    </row>
    <row r="19" spans="1:62" s="26" customFormat="1" ht="20.25" customHeight="1">
      <c r="A19" s="30"/>
      <c r="E19" s="26" t="s">
        <v>100</v>
      </c>
      <c r="K19" s="26" t="s">
        <v>101</v>
      </c>
      <c r="N19" s="26" t="s">
        <v>102</v>
      </c>
      <c r="BJ19" s="31"/>
    </row>
    <row r="20" spans="1:62" s="26" customFormat="1" ht="20.25" customHeight="1">
      <c r="A20" s="30"/>
      <c r="E20" s="26" t="s">
        <v>103</v>
      </c>
      <c r="K20" s="26" t="s">
        <v>101</v>
      </c>
      <c r="N20" s="26" t="s">
        <v>104</v>
      </c>
      <c r="BJ20" s="31"/>
    </row>
    <row r="21" spans="1:62" s="26" customFormat="1" ht="20.25" customHeight="1">
      <c r="A21" s="30"/>
      <c r="BJ21" s="31"/>
    </row>
    <row r="22" spans="1:62" s="26" customFormat="1" ht="20.25" customHeight="1">
      <c r="A22" s="30"/>
      <c r="D22" s="26" t="s">
        <v>105</v>
      </c>
      <c r="BJ22" s="31"/>
    </row>
    <row r="23" spans="1:62" s="26" customFormat="1" ht="20.25" customHeight="1">
      <c r="A23" s="30"/>
      <c r="D23" s="26" t="s">
        <v>106</v>
      </c>
      <c r="BJ23" s="31"/>
    </row>
    <row r="24" spans="1:62" s="26" customFormat="1" ht="20.25" customHeight="1">
      <c r="A24" s="30"/>
      <c r="D24" s="26" t="s">
        <v>107</v>
      </c>
      <c r="BJ24" s="31"/>
    </row>
    <row r="25" spans="1:62" s="26" customFormat="1" ht="20.25" customHeight="1">
      <c r="A25" s="30"/>
      <c r="BJ25" s="31"/>
    </row>
    <row r="26" spans="1:62" s="26" customFormat="1" ht="20.25" customHeight="1">
      <c r="A26" s="30"/>
      <c r="D26" s="26" t="s">
        <v>108</v>
      </c>
      <c r="BJ26" s="31"/>
    </row>
    <row r="27" spans="1:62" s="26" customFormat="1" ht="20.25" customHeight="1">
      <c r="A27" s="30"/>
      <c r="D27" s="26" t="s">
        <v>109</v>
      </c>
      <c r="BJ27" s="31"/>
    </row>
    <row r="28" spans="1:62" s="26" customFormat="1" ht="20.25" customHeight="1">
      <c r="A28" s="30"/>
      <c r="D28" s="26" t="s">
        <v>110</v>
      </c>
      <c r="BJ28" s="31"/>
    </row>
    <row r="29" spans="1:62" s="26" customFormat="1" ht="20.25" customHeight="1">
      <c r="A29" s="30"/>
      <c r="BJ29" s="31"/>
    </row>
    <row r="30" spans="1:62" s="26" customFormat="1" ht="20.25" customHeight="1">
      <c r="A30" s="30"/>
      <c r="BJ30" s="31"/>
    </row>
    <row r="31" spans="1:62" s="26" customFormat="1" ht="20.25" customHeight="1">
      <c r="A31" s="30"/>
      <c r="B31" s="26" t="s">
        <v>111</v>
      </c>
      <c r="BJ31" s="31"/>
    </row>
    <row r="32" spans="1:62" s="26" customFormat="1" ht="20.25" customHeight="1">
      <c r="A32" s="30"/>
      <c r="BJ32" s="31"/>
    </row>
    <row r="33" spans="1:62" s="26" customFormat="1" ht="20.25" customHeight="1">
      <c r="A33" s="30"/>
      <c r="C33" s="26" t="s">
        <v>112</v>
      </c>
      <c r="E33" s="26" t="s">
        <v>113</v>
      </c>
      <c r="BJ33" s="31"/>
    </row>
    <row r="34" spans="1:62" s="26" customFormat="1" ht="20.25" customHeight="1">
      <c r="A34" s="30"/>
      <c r="C34" s="26" t="s">
        <v>112</v>
      </c>
      <c r="E34" s="26" t="s">
        <v>114</v>
      </c>
      <c r="BJ34" s="31"/>
    </row>
    <row r="35" spans="1:62" s="26" customFormat="1" ht="20.25" customHeight="1">
      <c r="A35" s="30"/>
      <c r="E35" s="26" t="s">
        <v>115</v>
      </c>
      <c r="BJ35" s="31"/>
    </row>
    <row r="36" spans="1:62" s="26" customFormat="1" ht="20.25" customHeight="1">
      <c r="A36" s="30"/>
      <c r="C36" s="26" t="s">
        <v>112</v>
      </c>
      <c r="E36" s="26" t="s">
        <v>116</v>
      </c>
      <c r="BJ36" s="31"/>
    </row>
    <row r="37" spans="1:62" s="26" customFormat="1" ht="20.25" customHeight="1">
      <c r="A37" s="30"/>
      <c r="C37" s="26" t="s">
        <v>112</v>
      </c>
      <c r="E37" s="26" t="s">
        <v>117</v>
      </c>
      <c r="BJ37" s="31"/>
    </row>
    <row r="38" spans="1:62" s="26" customFormat="1" ht="20.25" customHeight="1">
      <c r="A38" s="30"/>
      <c r="E38" s="26" t="s">
        <v>118</v>
      </c>
      <c r="BJ38" s="31"/>
    </row>
    <row r="39" spans="1:62" s="26" customFormat="1" ht="20.25" customHeight="1">
      <c r="A39" s="30"/>
      <c r="BJ39" s="31"/>
    </row>
    <row r="40" spans="1:62" s="26" customFormat="1" ht="20.25" customHeight="1">
      <c r="A40" s="30"/>
      <c r="BJ40" s="31"/>
    </row>
    <row r="41" spans="1:62" s="26" customFormat="1" ht="20.25" customHeight="1">
      <c r="A41" s="30"/>
      <c r="B41" s="26" t="s">
        <v>119</v>
      </c>
      <c r="BJ41" s="31"/>
    </row>
    <row r="42" spans="1:62" s="26" customFormat="1" ht="20.25" customHeight="1">
      <c r="A42" s="30"/>
      <c r="BJ42" s="31"/>
    </row>
    <row r="43" spans="1:62" s="26" customFormat="1" ht="20.25" customHeight="1">
      <c r="A43" s="30"/>
      <c r="C43" s="26" t="s">
        <v>120</v>
      </c>
      <c r="BJ43" s="31"/>
    </row>
    <row r="44" spans="1:62" s="26" customFormat="1" ht="20.25" customHeight="1">
      <c r="A44" s="30"/>
      <c r="BJ44" s="31"/>
    </row>
    <row r="45" spans="1:62" s="26" customFormat="1" ht="20.25" customHeight="1">
      <c r="A45" s="30"/>
      <c r="E45" s="26" t="s">
        <v>121</v>
      </c>
      <c r="BJ45" s="31"/>
    </row>
    <row r="46" spans="1:62" s="26" customFormat="1" ht="20.25" customHeight="1">
      <c r="A46" s="30"/>
      <c r="BJ46" s="31"/>
    </row>
    <row r="47" spans="1:62" s="26" customFormat="1" ht="20.25" customHeight="1">
      <c r="A47" s="30"/>
      <c r="E47" s="67"/>
      <c r="F47" s="68"/>
      <c r="G47" s="68"/>
      <c r="H47" s="68"/>
      <c r="I47" s="68"/>
      <c r="J47" s="68"/>
      <c r="K47" s="68"/>
      <c r="L47" s="68"/>
      <c r="M47" s="69"/>
      <c r="N47" s="70"/>
      <c r="O47" s="71" t="s">
        <v>122</v>
      </c>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2"/>
      <c r="BJ47" s="31"/>
    </row>
    <row r="48" spans="1:62" s="26" customFormat="1" ht="20.25" customHeight="1">
      <c r="A48" s="30"/>
      <c r="E48" s="73"/>
      <c r="F48" s="74" t="s">
        <v>122</v>
      </c>
      <c r="G48" s="74"/>
      <c r="H48" s="74"/>
      <c r="I48" s="74"/>
      <c r="J48" s="74"/>
      <c r="K48" s="74"/>
      <c r="L48" s="74"/>
      <c r="M48" s="74"/>
      <c r="N48" s="70"/>
      <c r="O48" s="71" t="s">
        <v>123</v>
      </c>
      <c r="P48" s="71"/>
      <c r="Q48" s="71"/>
      <c r="R48" s="71"/>
      <c r="S48" s="71"/>
      <c r="T48" s="71"/>
      <c r="U48" s="71"/>
      <c r="V48" s="70"/>
      <c r="W48" s="71" t="s">
        <v>124</v>
      </c>
      <c r="X48" s="71"/>
      <c r="Y48" s="71"/>
      <c r="Z48" s="71"/>
      <c r="AA48" s="72"/>
      <c r="AB48" s="71"/>
      <c r="AC48" s="71" t="s">
        <v>125</v>
      </c>
      <c r="AD48" s="71"/>
      <c r="AE48" s="71"/>
      <c r="AF48" s="71"/>
      <c r="AG48" s="71"/>
      <c r="AH48" s="71"/>
      <c r="AI48" s="71"/>
      <c r="AJ48" s="70"/>
      <c r="AK48" s="71" t="s">
        <v>126</v>
      </c>
      <c r="AL48" s="71"/>
      <c r="AM48" s="71"/>
      <c r="AN48" s="71"/>
      <c r="AO48" s="72"/>
      <c r="BJ48" s="31"/>
    </row>
    <row r="49" spans="1:62" s="26" customFormat="1" ht="20.25" customHeight="1">
      <c r="A49" s="30"/>
      <c r="E49" s="35"/>
      <c r="F49" s="36" t="s">
        <v>127</v>
      </c>
      <c r="G49" s="36"/>
      <c r="H49" s="36"/>
      <c r="I49" s="36"/>
      <c r="J49" s="36"/>
      <c r="K49" s="36"/>
      <c r="L49" s="36"/>
      <c r="M49" s="36"/>
      <c r="N49" s="35"/>
      <c r="O49" s="36" t="s">
        <v>128</v>
      </c>
      <c r="P49" s="36"/>
      <c r="Q49" s="36"/>
      <c r="R49" s="36"/>
      <c r="S49" s="36"/>
      <c r="T49" s="36"/>
      <c r="U49" s="36"/>
      <c r="V49" s="35"/>
      <c r="W49" s="36" t="s">
        <v>129</v>
      </c>
      <c r="X49" s="36"/>
      <c r="Y49" s="36"/>
      <c r="Z49" s="36"/>
      <c r="AA49" s="38"/>
      <c r="AB49" s="36"/>
      <c r="AC49" s="36" t="s">
        <v>130</v>
      </c>
      <c r="AD49" s="36"/>
      <c r="AE49" s="36"/>
      <c r="AF49" s="36"/>
      <c r="AG49" s="36"/>
      <c r="AH49" s="36"/>
      <c r="AI49" s="36"/>
      <c r="AJ49" s="35"/>
      <c r="AK49" s="36" t="s">
        <v>131</v>
      </c>
      <c r="AL49" s="36"/>
      <c r="AM49" s="36"/>
      <c r="AN49" s="36"/>
      <c r="AO49" s="38"/>
      <c r="BJ49" s="31"/>
    </row>
    <row r="50" spans="1:62" s="26" customFormat="1" ht="20.25" customHeight="1">
      <c r="A50" s="30"/>
      <c r="E50" s="35"/>
      <c r="F50" s="36" t="s">
        <v>132</v>
      </c>
      <c r="G50" s="36"/>
      <c r="H50" s="36"/>
      <c r="I50" s="36"/>
      <c r="J50" s="36"/>
      <c r="K50" s="36"/>
      <c r="L50" s="36"/>
      <c r="M50" s="36"/>
      <c r="N50" s="35"/>
      <c r="O50" s="36" t="s">
        <v>128</v>
      </c>
      <c r="P50" s="36"/>
      <c r="Q50" s="36"/>
      <c r="R50" s="36"/>
      <c r="S50" s="36"/>
      <c r="T50" s="36"/>
      <c r="U50" s="36"/>
      <c r="V50" s="35"/>
      <c r="W50" s="36" t="s">
        <v>129</v>
      </c>
      <c r="X50" s="36"/>
      <c r="Y50" s="36"/>
      <c r="Z50" s="36"/>
      <c r="AA50" s="38"/>
      <c r="AB50" s="36"/>
      <c r="AC50" s="36" t="s">
        <v>133</v>
      </c>
      <c r="AD50" s="36"/>
      <c r="AE50" s="36"/>
      <c r="AF50" s="36"/>
      <c r="AG50" s="36"/>
      <c r="AH50" s="36"/>
      <c r="AI50" s="36"/>
      <c r="AJ50" s="35"/>
      <c r="AK50" s="36" t="s">
        <v>134</v>
      </c>
      <c r="AL50" s="36"/>
      <c r="AM50" s="36"/>
      <c r="AN50" s="36"/>
      <c r="AO50" s="38"/>
      <c r="BJ50" s="31"/>
    </row>
    <row r="51" spans="1:62" s="26" customFormat="1" ht="20.25" customHeight="1">
      <c r="A51" s="30"/>
      <c r="E51" s="35"/>
      <c r="F51" s="36" t="s">
        <v>135</v>
      </c>
      <c r="G51" s="36"/>
      <c r="H51" s="36"/>
      <c r="I51" s="36"/>
      <c r="J51" s="36"/>
      <c r="K51" s="36"/>
      <c r="L51" s="36"/>
      <c r="M51" s="36"/>
      <c r="N51" s="35"/>
      <c r="O51" s="36" t="s">
        <v>128</v>
      </c>
      <c r="P51" s="36"/>
      <c r="Q51" s="36"/>
      <c r="R51" s="36"/>
      <c r="S51" s="36"/>
      <c r="T51" s="36"/>
      <c r="U51" s="36"/>
      <c r="V51" s="35"/>
      <c r="W51" s="36" t="s">
        <v>136</v>
      </c>
      <c r="X51" s="36"/>
      <c r="Y51" s="36"/>
      <c r="Z51" s="36"/>
      <c r="AA51" s="38"/>
      <c r="AB51" s="36"/>
      <c r="AC51" s="36" t="s">
        <v>135</v>
      </c>
      <c r="AD51" s="36"/>
      <c r="AE51" s="36"/>
      <c r="AF51" s="36"/>
      <c r="AG51" s="36"/>
      <c r="AH51" s="36"/>
      <c r="AI51" s="36"/>
      <c r="AJ51" s="35"/>
      <c r="AK51" s="36" t="s">
        <v>131</v>
      </c>
      <c r="AL51" s="36"/>
      <c r="AM51" s="36"/>
      <c r="AN51" s="36"/>
      <c r="AO51" s="38"/>
      <c r="BJ51" s="31"/>
    </row>
    <row r="52" spans="1:62" s="26" customFormat="1" ht="20.25" customHeight="1">
      <c r="A52" s="30"/>
      <c r="BJ52" s="31"/>
    </row>
    <row r="53" spans="1:62" s="26" customFormat="1" ht="20.25" customHeight="1">
      <c r="A53" s="30"/>
      <c r="E53" s="26" t="s">
        <v>137</v>
      </c>
      <c r="G53" s="26" t="s">
        <v>138</v>
      </c>
      <c r="BJ53" s="31"/>
    </row>
    <row r="54" spans="1:62" s="26" customFormat="1" ht="20.25" customHeight="1">
      <c r="A54" s="30"/>
      <c r="G54" s="26" t="s">
        <v>139</v>
      </c>
      <c r="BJ54" s="31"/>
    </row>
    <row r="55" spans="1:62" s="26" customFormat="1" ht="20.25" customHeight="1">
      <c r="A55" s="30"/>
      <c r="BJ55" s="31"/>
    </row>
    <row r="56" spans="1:62" s="26" customFormat="1" ht="20.25" customHeight="1">
      <c r="A56" s="30"/>
      <c r="C56" s="26" t="s">
        <v>140</v>
      </c>
      <c r="BJ56" s="31"/>
    </row>
    <row r="57" spans="1:62" s="26" customFormat="1" ht="20.25" customHeight="1">
      <c r="A57" s="30"/>
      <c r="BJ57" s="31"/>
    </row>
    <row r="58" spans="1:62" s="26" customFormat="1" ht="20.25" customHeight="1">
      <c r="A58" s="30"/>
      <c r="D58" s="26" t="s">
        <v>141</v>
      </c>
      <c r="BJ58" s="31"/>
    </row>
    <row r="59" spans="1:62" s="26" customFormat="1" ht="20.25" customHeight="1">
      <c r="A59" s="30"/>
      <c r="D59" s="26" t="s">
        <v>137</v>
      </c>
      <c r="F59" s="26" t="s">
        <v>142</v>
      </c>
      <c r="BJ59" s="31"/>
    </row>
    <row r="60" spans="1:62" s="26" customFormat="1" ht="20.25" customHeight="1">
      <c r="A60" s="30"/>
      <c r="BJ60" s="31"/>
    </row>
    <row r="61" spans="1:62" s="26" customFormat="1" ht="20.25" customHeight="1">
      <c r="A61" s="30"/>
      <c r="C61" s="26" t="s">
        <v>143</v>
      </c>
      <c r="AW61" s="51"/>
      <c r="BJ61" s="31"/>
    </row>
    <row r="62" spans="1:62" s="26" customFormat="1" ht="20.25" customHeight="1">
      <c r="A62" s="30"/>
      <c r="BJ62" s="31"/>
    </row>
    <row r="63" spans="1:62" s="26" customFormat="1" ht="20.25" customHeight="1">
      <c r="A63" s="30"/>
      <c r="D63" s="26" t="s">
        <v>144</v>
      </c>
      <c r="BJ63" s="31"/>
    </row>
    <row r="64" spans="1:62" s="26" customFormat="1" ht="20.25" customHeight="1">
      <c r="A64" s="42"/>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pans="1:62" s="26" customFormat="1" ht="20.25" customHeight="1">
      <c r="A65" s="30"/>
      <c r="BJ65" s="31"/>
    </row>
    <row r="66" spans="1:62" s="26" customFormat="1" ht="20.25" customHeight="1">
      <c r="A66" s="30"/>
      <c r="B66" s="26" t="s">
        <v>145</v>
      </c>
      <c r="BJ66" s="31"/>
    </row>
    <row r="67" spans="1:62" s="26" customFormat="1" ht="20.25" customHeight="1">
      <c r="A67" s="30"/>
      <c r="BJ67" s="31"/>
    </row>
    <row r="68" spans="1:62" s="26" customFormat="1" ht="20.25" customHeight="1">
      <c r="A68" s="30"/>
      <c r="C68" s="26" t="s">
        <v>146</v>
      </c>
      <c r="BJ68" s="31"/>
    </row>
    <row r="69" spans="1:62" s="26" customFormat="1" ht="20.25" customHeight="1">
      <c r="A69" s="30"/>
      <c r="BJ69" s="31"/>
    </row>
    <row r="70" spans="1:62" s="26" customFormat="1" ht="20.25" customHeight="1">
      <c r="A70" s="30"/>
      <c r="D70" s="26" t="s">
        <v>147</v>
      </c>
      <c r="BJ70" s="31"/>
    </row>
    <row r="71" spans="1:62" s="26" customFormat="1" ht="20.25" customHeight="1">
      <c r="A71" s="30"/>
      <c r="BJ71" s="31"/>
    </row>
    <row r="72" spans="1:62" s="26" customFormat="1" ht="20.25" customHeight="1">
      <c r="A72" s="30"/>
      <c r="BJ72" s="31"/>
    </row>
    <row r="73" spans="1:62" s="26" customFormat="1" ht="20.25" customHeight="1">
      <c r="A73" s="30"/>
      <c r="B73" s="26" t="s">
        <v>148</v>
      </c>
      <c r="BJ73" s="31"/>
    </row>
    <row r="74" spans="1:62" s="26" customFormat="1" ht="20.25" customHeight="1">
      <c r="A74" s="30"/>
      <c r="BJ74" s="31"/>
    </row>
    <row r="75" spans="1:62" s="26" customFormat="1" ht="20.25" customHeight="1">
      <c r="A75" s="30"/>
      <c r="C75" s="26" t="s">
        <v>149</v>
      </c>
      <c r="BJ75" s="31"/>
    </row>
    <row r="76" spans="1:62" s="26" customFormat="1" ht="20.25" customHeight="1">
      <c r="A76" s="30"/>
      <c r="BJ76" s="31"/>
    </row>
    <row r="77" spans="1:62" s="26" customFormat="1" ht="20.25" customHeight="1">
      <c r="A77" s="30"/>
      <c r="D77" s="26" t="s">
        <v>150</v>
      </c>
      <c r="BJ77" s="31"/>
    </row>
    <row r="78" spans="1:62" s="26" customFormat="1" ht="20.25" customHeight="1">
      <c r="A78" s="30"/>
      <c r="D78" s="26" t="s">
        <v>151</v>
      </c>
      <c r="BJ78" s="31"/>
    </row>
    <row r="79" spans="1:62" s="26" customFormat="1" ht="20.25" customHeight="1">
      <c r="A79" s="30"/>
      <c r="BJ79" s="31"/>
    </row>
    <row r="80" spans="1:62" s="26" customFormat="1" ht="20.25" customHeight="1">
      <c r="A80" s="30"/>
      <c r="C80" s="26" t="s">
        <v>152</v>
      </c>
      <c r="BJ80" s="31"/>
    </row>
    <row r="81" spans="1:62" s="26" customFormat="1" ht="20.25" customHeight="1">
      <c r="A81" s="30"/>
      <c r="BJ81" s="31"/>
    </row>
    <row r="82" spans="1:62" s="26" customFormat="1" ht="20.25" customHeight="1">
      <c r="A82" s="30"/>
      <c r="D82" s="26" t="s">
        <v>153</v>
      </c>
      <c r="BJ82" s="31"/>
    </row>
    <row r="83" spans="1:62" s="26" customFormat="1" ht="20.25" customHeight="1">
      <c r="A83" s="30"/>
      <c r="D83" s="26" t="s">
        <v>154</v>
      </c>
      <c r="BJ83" s="31"/>
    </row>
    <row r="84" spans="1:62" s="26" customFormat="1" ht="20.25" customHeight="1">
      <c r="A84" s="30"/>
      <c r="BJ84" s="31"/>
    </row>
    <row r="85" spans="1:62" s="26" customFormat="1" ht="20.25" customHeight="1">
      <c r="A85" s="30"/>
      <c r="C85" s="26" t="s">
        <v>155</v>
      </c>
      <c r="BJ85" s="31"/>
    </row>
    <row r="86" spans="1:62" s="26" customFormat="1" ht="20.25" customHeight="1">
      <c r="A86" s="30"/>
      <c r="BJ86" s="31"/>
    </row>
    <row r="87" spans="1:62" s="26" customFormat="1" ht="20.25" customHeight="1">
      <c r="A87" s="30"/>
      <c r="D87" s="26" t="s">
        <v>156</v>
      </c>
      <c r="BJ87" s="31"/>
    </row>
    <row r="88" spans="1:62" s="26" customFormat="1" ht="20.25" customHeight="1">
      <c r="A88" s="30"/>
      <c r="BJ88" s="31"/>
    </row>
    <row r="89" spans="1:62" s="26" customFormat="1" ht="20.25" customHeight="1">
      <c r="A89" s="30"/>
      <c r="BJ89" s="31"/>
    </row>
    <row r="90" spans="1:62" s="26" customFormat="1" ht="20.25" customHeight="1">
      <c r="A90" s="30"/>
      <c r="BJ90" s="31"/>
    </row>
    <row r="91" spans="1:62" s="26" customFormat="1" ht="20.25" customHeight="1">
      <c r="A91" s="30"/>
      <c r="B91" s="66"/>
      <c r="K91" s="66"/>
      <c r="X91" s="66"/>
      <c r="BJ91" s="31"/>
    </row>
    <row r="92" spans="1:62" s="26" customFormat="1" ht="20.25" customHeight="1">
      <c r="A92" s="30"/>
      <c r="B92" s="66"/>
      <c r="K92" s="66"/>
      <c r="X92" s="66"/>
      <c r="BJ92" s="31"/>
    </row>
    <row r="93" spans="1:62" s="26" customFormat="1" ht="20.25" customHeight="1">
      <c r="A93" s="30"/>
      <c r="B93" s="66"/>
      <c r="K93" s="66"/>
      <c r="X93" s="66"/>
      <c r="BJ93" s="31"/>
    </row>
    <row r="94" spans="1:62" s="26" customFormat="1" ht="20.25" customHeight="1">
      <c r="A94" s="30"/>
      <c r="B94" s="66"/>
      <c r="K94" s="66"/>
      <c r="X94" s="66"/>
      <c r="BJ94" s="31"/>
    </row>
    <row r="95" spans="1:62" s="26" customFormat="1" ht="20.25" customHeight="1">
      <c r="A95" s="30"/>
      <c r="B95" s="66"/>
      <c r="K95" s="66"/>
      <c r="X95" s="66"/>
      <c r="BJ95" s="31"/>
    </row>
    <row r="96" spans="1:62" s="26" customFormat="1" ht="20.25" customHeight="1">
      <c r="A96" s="30"/>
      <c r="B96" s="66"/>
      <c r="K96" s="66"/>
      <c r="X96" s="66"/>
      <c r="BJ96" s="31"/>
    </row>
    <row r="97" spans="1:62" s="26" customFormat="1" ht="20.25" customHeight="1">
      <c r="A97" s="30"/>
      <c r="B97" s="66"/>
      <c r="K97" s="66"/>
      <c r="X97" s="66"/>
      <c r="BJ97" s="31"/>
    </row>
    <row r="98" spans="1:62" s="26" customFormat="1" ht="20.25" customHeight="1">
      <c r="A98" s="30"/>
      <c r="B98" s="66"/>
      <c r="K98" s="66"/>
      <c r="X98" s="66"/>
      <c r="BJ98" s="31"/>
    </row>
    <row r="99" spans="1:62" s="26" customFormat="1" ht="20.25" customHeight="1">
      <c r="A99" s="30"/>
      <c r="B99" s="66"/>
      <c r="K99" s="66"/>
      <c r="X99" s="66"/>
      <c r="BJ99" s="31"/>
    </row>
    <row r="100" spans="1:62" s="26" customFormat="1" ht="20.25" customHeight="1">
      <c r="A100" s="30"/>
      <c r="B100" s="66"/>
      <c r="K100" s="66"/>
      <c r="X100" s="66"/>
      <c r="BJ100" s="31"/>
    </row>
    <row r="101" spans="1:62" s="26" customFormat="1" ht="20.25" customHeight="1">
      <c r="A101" s="30"/>
      <c r="B101" s="66"/>
      <c r="K101" s="66"/>
      <c r="X101" s="66"/>
      <c r="BJ101" s="31"/>
    </row>
    <row r="102" spans="1:62" s="26" customFormat="1" ht="20.25" customHeight="1">
      <c r="A102" s="30"/>
      <c r="B102" s="66"/>
      <c r="K102" s="66"/>
      <c r="X102" s="66"/>
      <c r="BJ102" s="31"/>
    </row>
    <row r="103" spans="1:62" s="26" customFormat="1" ht="20.25" customHeight="1">
      <c r="A103" s="30"/>
      <c r="B103" s="66"/>
      <c r="K103" s="66"/>
      <c r="X103" s="66"/>
      <c r="BJ103" s="31"/>
    </row>
    <row r="104" spans="1:62" s="26" customFormat="1" ht="20.25" customHeight="1">
      <c r="A104" s="30"/>
      <c r="B104" s="66"/>
      <c r="K104" s="66"/>
      <c r="X104" s="66"/>
      <c r="BJ104" s="31"/>
    </row>
    <row r="105" spans="1:62" s="26" customFormat="1" ht="20.25" customHeight="1">
      <c r="A105" s="30"/>
      <c r="B105" s="66"/>
      <c r="K105" s="66"/>
      <c r="X105" s="66"/>
      <c r="BJ105" s="31"/>
    </row>
    <row r="106" spans="1:62" s="26" customFormat="1" ht="20.25" customHeight="1">
      <c r="A106" s="30"/>
      <c r="B106" s="66"/>
      <c r="K106" s="66"/>
      <c r="X106" s="66"/>
      <c r="BJ106" s="31"/>
    </row>
    <row r="107" spans="1:62" s="26" customFormat="1" ht="20.25" customHeight="1">
      <c r="A107" s="30"/>
      <c r="B107" s="66"/>
      <c r="K107" s="66"/>
      <c r="X107" s="66"/>
      <c r="BJ107" s="31"/>
    </row>
    <row r="108" spans="1:62" s="26" customFormat="1" ht="20.25" customHeight="1">
      <c r="A108" s="30"/>
      <c r="B108" s="66"/>
      <c r="K108" s="66"/>
      <c r="X108" s="66"/>
      <c r="BJ108" s="31"/>
    </row>
    <row r="109" spans="1:62" s="26" customFormat="1" ht="20.25" customHeight="1">
      <c r="A109" s="30"/>
      <c r="B109" s="66"/>
      <c r="K109" s="66"/>
      <c r="X109" s="66"/>
      <c r="BJ109" s="31"/>
    </row>
    <row r="110" spans="1:62" s="26" customFormat="1" ht="20.25" customHeight="1">
      <c r="A110" s="30"/>
      <c r="B110" s="66"/>
      <c r="K110" s="66"/>
      <c r="X110" s="66"/>
      <c r="BJ110" s="31"/>
    </row>
    <row r="111" spans="1:62" s="26" customFormat="1" ht="20.25" customHeight="1">
      <c r="A111" s="30"/>
      <c r="B111" s="66"/>
      <c r="K111" s="66"/>
      <c r="X111" s="66"/>
      <c r="BJ111" s="31"/>
    </row>
    <row r="112" spans="1:62" s="26" customFormat="1" ht="20.25" customHeight="1">
      <c r="A112" s="30"/>
      <c r="B112" s="66"/>
      <c r="K112" s="66"/>
      <c r="X112" s="66"/>
      <c r="BJ112" s="31"/>
    </row>
    <row r="113" spans="1:62" s="26" customFormat="1" ht="20.25" customHeight="1">
      <c r="A113" s="30"/>
      <c r="B113" s="66"/>
      <c r="K113" s="66"/>
      <c r="X113" s="66"/>
      <c r="BJ113" s="31"/>
    </row>
    <row r="114" spans="1:62" s="26" customFormat="1" ht="20.25" customHeight="1">
      <c r="A114" s="30"/>
      <c r="B114" s="66"/>
      <c r="K114" s="66"/>
      <c r="X114" s="66"/>
      <c r="BJ114" s="31"/>
    </row>
    <row r="115" spans="1:62" s="26" customFormat="1" ht="20.25" customHeight="1">
      <c r="A115" s="30"/>
      <c r="B115" s="66"/>
      <c r="K115" s="66"/>
      <c r="X115" s="66"/>
      <c r="BJ115" s="31"/>
    </row>
    <row r="116" spans="1:62" s="26" customFormat="1" ht="20.25" customHeight="1">
      <c r="A116" s="30"/>
      <c r="B116" s="66"/>
      <c r="K116" s="66"/>
      <c r="X116" s="66"/>
      <c r="BJ116" s="31"/>
    </row>
    <row r="117" spans="1:62" s="26" customFormat="1" ht="20.25" customHeight="1">
      <c r="A117" s="30"/>
      <c r="B117" s="66"/>
      <c r="K117" s="66"/>
      <c r="X117" s="66"/>
      <c r="BJ117" s="31"/>
    </row>
    <row r="118" spans="1:62" s="26" customFormat="1" ht="20.25" customHeight="1">
      <c r="A118" s="30"/>
      <c r="B118" s="66"/>
      <c r="K118" s="66"/>
      <c r="X118" s="66"/>
      <c r="BJ118" s="31"/>
    </row>
    <row r="119" spans="1:62" s="26" customFormat="1" ht="20.25" customHeight="1">
      <c r="A119" s="30"/>
      <c r="B119" s="66"/>
      <c r="K119" s="66"/>
      <c r="X119" s="66"/>
      <c r="BJ119" s="31"/>
    </row>
    <row r="120" spans="1:62" s="26" customFormat="1" ht="20.25" customHeight="1">
      <c r="A120" s="30"/>
      <c r="B120" s="66"/>
      <c r="K120" s="66"/>
      <c r="X120" s="66"/>
      <c r="BJ120" s="31"/>
    </row>
    <row r="121" spans="1:62" s="26" customFormat="1" ht="20.25" customHeight="1">
      <c r="A121" s="42"/>
      <c r="B121" s="43"/>
      <c r="C121" s="43"/>
      <c r="D121" s="43"/>
      <c r="E121" s="43"/>
      <c r="F121" s="43"/>
      <c r="G121" s="43"/>
      <c r="H121" s="43"/>
      <c r="I121" s="43"/>
      <c r="J121" s="43"/>
      <c r="K121" s="56"/>
      <c r="L121" s="56"/>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4"/>
    </row>
    <row r="122" spans="1:62" s="50" customFormat="1" ht="3.75" customHeight="1"/>
    <row r="123" spans="1:62" s="50" customFormat="1" ht="13.5" customHeight="1"/>
    <row r="124" spans="1:62" ht="18" customHeight="1"/>
    <row r="125" spans="1:62" ht="18" customHeight="1"/>
    <row r="126" spans="1:62" ht="18" customHeight="1"/>
    <row r="127" spans="1:62" ht="18" customHeight="1"/>
    <row r="128" spans="1:62" ht="18" customHeight="1"/>
    <row r="12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70D2-33F7-4AC3-B253-D75E41190E41}">
  <sheetPr codeName="Sheet8">
    <pageSetUpPr fitToPage="1"/>
  </sheetPr>
  <dimension ref="A1:BJ219"/>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389" t="s">
        <v>18</v>
      </c>
      <c r="BA3" s="390"/>
      <c r="BB3" s="390"/>
      <c r="BC3" s="390"/>
      <c r="BD3" s="390"/>
      <c r="BE3" s="390"/>
      <c r="BF3" s="390"/>
      <c r="BG3" s="390"/>
      <c r="BH3" s="390"/>
      <c r="BI3" s="390"/>
      <c r="BJ3" s="391"/>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28</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545</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132" t="s">
        <v>307</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4"/>
    </row>
    <row r="9" spans="1:62" s="131" customFormat="1" ht="20.25" customHeight="1">
      <c r="A9" s="135"/>
      <c r="BJ9" s="136"/>
    </row>
    <row r="10" spans="1:62" s="131" customFormat="1" ht="20.25" customHeight="1">
      <c r="A10" s="135"/>
      <c r="B10" s="137" t="s">
        <v>308</v>
      </c>
      <c r="C10" s="138"/>
      <c r="D10" s="138"/>
      <c r="E10" s="138"/>
      <c r="F10" s="138"/>
      <c r="G10" s="138"/>
      <c r="H10" s="139"/>
      <c r="I10" s="393" t="s">
        <v>535</v>
      </c>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394"/>
      <c r="BI10" s="395"/>
      <c r="BJ10" s="136"/>
    </row>
    <row r="11" spans="1:62" s="131" customFormat="1" ht="20.25" customHeight="1">
      <c r="A11" s="135"/>
      <c r="B11" s="142" t="s">
        <v>319</v>
      </c>
      <c r="C11" s="143"/>
      <c r="D11" s="143"/>
      <c r="E11" s="143"/>
      <c r="F11" s="143"/>
      <c r="G11" s="143"/>
      <c r="H11" s="144"/>
      <c r="I11" s="150"/>
      <c r="J11" s="148"/>
      <c r="K11" s="147"/>
      <c r="L11" s="147"/>
      <c r="M11" s="149"/>
      <c r="N11" s="148"/>
      <c r="O11" s="148"/>
      <c r="P11" s="148"/>
      <c r="Q11" s="148"/>
      <c r="R11" s="148"/>
      <c r="S11" s="148"/>
      <c r="T11" s="148"/>
      <c r="U11" s="148"/>
      <c r="V11" s="148"/>
      <c r="W11" s="148"/>
      <c r="X11" s="148"/>
      <c r="Y11" s="148"/>
      <c r="Z11" s="148"/>
      <c r="AA11" s="148"/>
      <c r="AB11" s="148"/>
      <c r="AC11" s="148"/>
      <c r="AD11" s="148"/>
      <c r="AE11" s="148"/>
      <c r="AF11" s="148"/>
      <c r="AG11" s="149"/>
      <c r="AH11" s="148"/>
      <c r="AI11" s="148"/>
      <c r="AJ11" s="148"/>
      <c r="AK11" s="148"/>
      <c r="AL11" s="148"/>
      <c r="AM11" s="148"/>
      <c r="AN11" s="148"/>
      <c r="AO11" s="148"/>
      <c r="AP11" s="148"/>
      <c r="AQ11" s="148"/>
      <c r="AR11" s="148"/>
      <c r="AS11" s="148"/>
      <c r="AT11" s="148"/>
      <c r="AU11" s="148"/>
      <c r="AV11" s="148"/>
      <c r="AW11" s="148"/>
      <c r="AX11" s="148"/>
      <c r="AY11" s="148"/>
      <c r="AZ11" s="133"/>
      <c r="BA11" s="133"/>
      <c r="BB11" s="133"/>
      <c r="BC11" s="133"/>
      <c r="BD11" s="133"/>
      <c r="BE11" s="133"/>
      <c r="BF11" s="172"/>
      <c r="BG11" s="172"/>
      <c r="BH11" s="172"/>
      <c r="BI11" s="134"/>
      <c r="BJ11" s="136"/>
    </row>
    <row r="12" spans="1:62" s="131" customFormat="1" ht="20.25" customHeight="1">
      <c r="A12" s="135"/>
      <c r="B12" s="151"/>
      <c r="C12" s="152"/>
      <c r="D12" s="152"/>
      <c r="E12" s="152"/>
      <c r="F12" s="152"/>
      <c r="G12" s="152"/>
      <c r="H12" s="153"/>
      <c r="I12" s="145"/>
      <c r="J12" s="191" t="s">
        <v>536</v>
      </c>
      <c r="K12" s="191"/>
      <c r="L12" s="191"/>
      <c r="M12" s="191"/>
      <c r="N12" s="191"/>
      <c r="O12" s="191"/>
      <c r="P12" s="191"/>
      <c r="Q12" s="154"/>
      <c r="R12" s="154"/>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278"/>
      <c r="AS12" s="146"/>
      <c r="AT12" s="146"/>
      <c r="AU12" s="146"/>
      <c r="AV12" s="146"/>
      <c r="AW12" s="146"/>
      <c r="AX12" s="146"/>
      <c r="AY12" s="146"/>
      <c r="AZ12" s="156"/>
      <c r="BA12" s="156"/>
      <c r="BB12" s="176"/>
      <c r="BC12" s="156"/>
      <c r="BD12" s="156"/>
      <c r="BE12" s="156"/>
      <c r="BI12" s="157"/>
      <c r="BJ12" s="136"/>
    </row>
    <row r="13" spans="1:62" s="131" customFormat="1" ht="20.25" customHeight="1">
      <c r="A13" s="135"/>
      <c r="B13" s="151"/>
      <c r="C13" s="152"/>
      <c r="D13" s="152"/>
      <c r="E13" s="152"/>
      <c r="F13" s="152"/>
      <c r="G13" s="152"/>
      <c r="H13" s="153"/>
      <c r="I13" s="145"/>
      <c r="J13" s="191"/>
      <c r="K13" s="173" t="s">
        <v>537</v>
      </c>
      <c r="L13" s="146"/>
      <c r="M13" s="146"/>
      <c r="N13" s="146"/>
      <c r="O13" s="177"/>
      <c r="P13" s="146"/>
      <c r="Q13" s="146" t="s">
        <v>538</v>
      </c>
      <c r="R13" s="154"/>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278"/>
      <c r="AS13" s="146"/>
      <c r="AT13" s="146"/>
      <c r="AU13" s="146"/>
      <c r="AV13" s="146"/>
      <c r="AW13" s="146"/>
      <c r="AX13" s="146"/>
      <c r="AY13" s="146"/>
      <c r="AZ13" s="156"/>
      <c r="BA13" s="156"/>
      <c r="BB13" s="178"/>
      <c r="BC13" s="156"/>
      <c r="BD13" s="156"/>
      <c r="BE13" s="156"/>
      <c r="BI13" s="157"/>
      <c r="BJ13" s="136"/>
    </row>
    <row r="14" spans="1:62" s="131" customFormat="1" ht="20.25" customHeight="1">
      <c r="A14" s="135"/>
      <c r="B14" s="151"/>
      <c r="C14" s="152"/>
      <c r="D14" s="152"/>
      <c r="E14" s="152"/>
      <c r="F14" s="152"/>
      <c r="G14" s="152"/>
      <c r="H14" s="153"/>
      <c r="I14" s="145"/>
      <c r="J14" s="191" t="s">
        <v>539</v>
      </c>
      <c r="K14" s="191"/>
      <c r="L14" s="191"/>
      <c r="M14" s="191"/>
      <c r="N14" s="191"/>
      <c r="O14" s="191"/>
      <c r="P14" s="191"/>
      <c r="Q14" s="181"/>
      <c r="R14" s="181"/>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278"/>
      <c r="AS14" s="146"/>
      <c r="AT14" s="146"/>
      <c r="AU14" s="146"/>
      <c r="AV14" s="146"/>
      <c r="AW14" s="146"/>
      <c r="AX14" s="146"/>
      <c r="AY14" s="146"/>
      <c r="AZ14" s="156"/>
      <c r="BA14" s="156"/>
      <c r="BB14" s="178"/>
      <c r="BC14" s="156"/>
      <c r="BD14" s="156"/>
      <c r="BE14" s="156"/>
      <c r="BI14" s="157"/>
      <c r="BJ14" s="136"/>
    </row>
    <row r="15" spans="1:62" s="131" customFormat="1" ht="20.25" customHeight="1">
      <c r="A15" s="135"/>
      <c r="B15" s="180"/>
      <c r="C15" s="152"/>
      <c r="D15" s="152"/>
      <c r="E15" s="152"/>
      <c r="F15" s="152"/>
      <c r="G15" s="152"/>
      <c r="H15" s="153"/>
      <c r="I15" s="145"/>
      <c r="J15" s="191"/>
      <c r="K15" s="173" t="s">
        <v>540</v>
      </c>
      <c r="L15" s="146"/>
      <c r="M15" s="146"/>
      <c r="N15" s="146"/>
      <c r="O15" s="177"/>
      <c r="P15" s="146"/>
      <c r="Q15" s="146" t="s">
        <v>541</v>
      </c>
      <c r="S15" s="182"/>
      <c r="T15" s="182"/>
      <c r="U15" s="146"/>
      <c r="V15" s="182"/>
      <c r="W15" s="146"/>
      <c r="X15" s="146"/>
      <c r="Y15" s="146"/>
      <c r="Z15" s="146"/>
      <c r="AA15" s="146"/>
      <c r="AB15" s="146"/>
      <c r="AC15" s="146"/>
      <c r="AD15" s="146"/>
      <c r="AE15" s="146"/>
      <c r="AF15" s="146"/>
      <c r="AG15" s="146"/>
      <c r="AH15" s="146"/>
      <c r="AI15" s="146"/>
      <c r="AJ15" s="146"/>
      <c r="AK15" s="146"/>
      <c r="AL15" s="146"/>
      <c r="AM15" s="146"/>
      <c r="AN15" s="146"/>
      <c r="AO15" s="146"/>
      <c r="AP15" s="146"/>
      <c r="AQ15" s="146"/>
      <c r="AR15" s="278"/>
      <c r="AS15" s="146"/>
      <c r="AT15" s="146"/>
      <c r="AU15" s="146"/>
      <c r="AV15" s="146"/>
      <c r="AW15" s="146"/>
      <c r="AX15" s="146"/>
      <c r="AY15" s="146"/>
      <c r="AZ15" s="156"/>
      <c r="BA15" s="156"/>
      <c r="BB15" s="178"/>
      <c r="BC15" s="156"/>
      <c r="BD15" s="156"/>
      <c r="BE15" s="156"/>
      <c r="BI15" s="157"/>
      <c r="BJ15" s="136"/>
    </row>
    <row r="16" spans="1:62" s="131" customFormat="1" ht="20.25" customHeight="1">
      <c r="A16" s="135"/>
      <c r="B16" s="180"/>
      <c r="C16" s="152"/>
      <c r="D16" s="152"/>
      <c r="E16" s="152"/>
      <c r="F16" s="152"/>
      <c r="G16" s="152"/>
      <c r="H16" s="153"/>
      <c r="I16" s="145"/>
      <c r="J16" s="173" t="s">
        <v>542</v>
      </c>
      <c r="K16" s="146"/>
      <c r="L16" s="146"/>
      <c r="M16" s="146"/>
      <c r="N16" s="177"/>
      <c r="O16" s="146"/>
      <c r="P16" s="146"/>
      <c r="Q16" s="181"/>
      <c r="R16" s="181"/>
      <c r="S16" s="182"/>
      <c r="T16" s="182"/>
      <c r="U16" s="146"/>
      <c r="V16" s="182"/>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56"/>
      <c r="BA16" s="156"/>
      <c r="BB16" s="156"/>
      <c r="BC16" s="156"/>
      <c r="BD16" s="156"/>
      <c r="BE16" s="156"/>
      <c r="BI16" s="157"/>
      <c r="BJ16" s="136"/>
    </row>
    <row r="17" spans="1:62" s="131" customFormat="1" ht="20.25" customHeight="1">
      <c r="A17" s="135"/>
      <c r="B17" s="180"/>
      <c r="C17" s="152"/>
      <c r="D17" s="152"/>
      <c r="E17" s="152"/>
      <c r="F17" s="152"/>
      <c r="G17" s="152"/>
      <c r="H17" s="153"/>
      <c r="I17" s="145"/>
      <c r="J17" s="173"/>
      <c r="K17" s="173" t="s">
        <v>543</v>
      </c>
      <c r="L17" s="146"/>
      <c r="M17" s="146"/>
      <c r="N17" s="146"/>
      <c r="O17" s="174"/>
      <c r="P17" s="146"/>
      <c r="Q17" s="146" t="s">
        <v>544</v>
      </c>
      <c r="R17" s="181"/>
      <c r="S17" s="182"/>
      <c r="T17" s="182"/>
      <c r="U17" s="146"/>
      <c r="V17" s="182"/>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56"/>
      <c r="BA17" s="156"/>
      <c r="BB17" s="156"/>
      <c r="BC17" s="156"/>
      <c r="BD17" s="156"/>
      <c r="BE17" s="156"/>
      <c r="BI17" s="157"/>
      <c r="BJ17" s="136"/>
    </row>
    <row r="18" spans="1:62" s="131" customFormat="1" ht="20.25" customHeight="1">
      <c r="A18" s="135"/>
      <c r="B18" s="183"/>
      <c r="C18" s="163"/>
      <c r="D18" s="184"/>
      <c r="E18" s="163"/>
      <c r="F18" s="163"/>
      <c r="G18" s="163"/>
      <c r="H18" s="165"/>
      <c r="I18" s="166"/>
      <c r="J18" s="167"/>
      <c r="K18" s="185"/>
      <c r="L18" s="185"/>
      <c r="M18" s="186"/>
      <c r="N18" s="186"/>
      <c r="O18" s="186"/>
      <c r="P18" s="186"/>
      <c r="Q18" s="167"/>
      <c r="R18" s="167"/>
      <c r="S18" s="167"/>
      <c r="T18" s="167"/>
      <c r="U18" s="167"/>
      <c r="V18" s="167"/>
      <c r="W18" s="167"/>
      <c r="X18" s="167"/>
      <c r="Y18" s="187"/>
      <c r="Z18" s="167"/>
      <c r="AA18" s="167"/>
      <c r="AB18" s="169"/>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70"/>
      <c r="BA18" s="170"/>
      <c r="BB18" s="170"/>
      <c r="BC18" s="170"/>
      <c r="BD18" s="170"/>
      <c r="BE18" s="170"/>
      <c r="BF18" s="170"/>
      <c r="BG18" s="170"/>
      <c r="BH18" s="170"/>
      <c r="BI18" s="171"/>
      <c r="BJ18" s="136"/>
    </row>
    <row r="19" spans="1:62" s="131" customFormat="1" ht="20.25" customHeight="1">
      <c r="A19" s="135"/>
      <c r="B19" s="188"/>
      <c r="C19" s="156"/>
      <c r="D19" s="156"/>
      <c r="E19" s="156"/>
      <c r="F19" s="156"/>
      <c r="G19" s="156"/>
      <c r="H19" s="156"/>
      <c r="I19" s="156"/>
      <c r="J19" s="156"/>
      <c r="K19" s="156"/>
      <c r="L19" s="178"/>
      <c r="M19" s="188"/>
      <c r="N19" s="188"/>
      <c r="O19" s="188"/>
      <c r="P19" s="188"/>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36"/>
    </row>
    <row r="20" spans="1:62" s="131" customFormat="1" ht="20.25" customHeight="1">
      <c r="A20" s="135"/>
      <c r="BJ20" s="136"/>
    </row>
    <row r="21" spans="1:62" s="131" customFormat="1" ht="20.25" customHeight="1">
      <c r="A21" s="135"/>
      <c r="BJ21" s="136"/>
    </row>
    <row r="22" spans="1:62" s="131" customFormat="1" ht="20.25" customHeight="1">
      <c r="A22" s="135"/>
      <c r="BJ22" s="136"/>
    </row>
    <row r="23" spans="1:62" s="131" customFormat="1" ht="20.25" customHeight="1">
      <c r="A23" s="135"/>
      <c r="BJ23" s="136"/>
    </row>
    <row r="24" spans="1:62" s="131" customFormat="1" ht="20.25" customHeight="1">
      <c r="A24" s="135"/>
      <c r="BJ24" s="136"/>
    </row>
    <row r="25" spans="1:62" s="131" customFormat="1" ht="20.25" customHeight="1">
      <c r="A25" s="135"/>
      <c r="BJ25" s="136"/>
    </row>
    <row r="26" spans="1:62" s="131" customFormat="1" ht="20.25" customHeight="1">
      <c r="A26" s="135"/>
      <c r="BJ26" s="136"/>
    </row>
    <row r="27" spans="1:62" s="131" customFormat="1" ht="20.25" customHeight="1">
      <c r="A27" s="135"/>
      <c r="BJ27" s="136"/>
    </row>
    <row r="28" spans="1:62" s="131" customFormat="1" ht="20.25" customHeight="1">
      <c r="A28" s="135"/>
      <c r="BJ28" s="136"/>
    </row>
    <row r="29" spans="1:62" s="131" customFormat="1" ht="20.25" customHeight="1">
      <c r="A29" s="135"/>
      <c r="BJ29" s="136"/>
    </row>
    <row r="30" spans="1:62" s="131" customFormat="1" ht="20.25" customHeight="1">
      <c r="A30" s="135"/>
      <c r="BJ30" s="136"/>
    </row>
    <row r="31" spans="1:62" s="131" customFormat="1" ht="20.25" customHeight="1">
      <c r="A31" s="135"/>
      <c r="BJ31" s="136"/>
    </row>
    <row r="32" spans="1:62" s="131" customFormat="1" ht="20.25" customHeight="1">
      <c r="A32" s="135"/>
      <c r="BJ32" s="136"/>
    </row>
    <row r="33" spans="1:62" s="131" customFormat="1" ht="20.25" customHeight="1">
      <c r="A33" s="135"/>
      <c r="BJ33" s="136"/>
    </row>
    <row r="34" spans="1:62" s="131" customFormat="1" ht="20.25" customHeight="1">
      <c r="A34" s="135"/>
      <c r="BJ34" s="136"/>
    </row>
    <row r="35" spans="1:62" s="131" customFormat="1" ht="20.25" customHeight="1">
      <c r="A35" s="135"/>
      <c r="BJ35" s="136"/>
    </row>
    <row r="36" spans="1:62" s="131" customFormat="1" ht="20.25" customHeight="1">
      <c r="A36" s="135"/>
      <c r="BJ36" s="136"/>
    </row>
    <row r="37" spans="1:62" s="131" customFormat="1" ht="20.25" customHeight="1">
      <c r="A37" s="135"/>
      <c r="BJ37" s="136"/>
    </row>
    <row r="38" spans="1:62" s="131" customFormat="1" ht="20.25" customHeight="1">
      <c r="A38" s="135"/>
      <c r="BJ38" s="136"/>
    </row>
    <row r="39" spans="1:62" s="131" customFormat="1" ht="20.25" customHeight="1">
      <c r="A39" s="135"/>
      <c r="BJ39" s="136"/>
    </row>
    <row r="40" spans="1:62" s="131" customFormat="1" ht="20.25" customHeight="1">
      <c r="A40" s="135"/>
      <c r="BJ40" s="136"/>
    </row>
    <row r="41" spans="1:62" s="131" customFormat="1" ht="20.25" customHeight="1">
      <c r="A41" s="135"/>
      <c r="BJ41" s="136"/>
    </row>
    <row r="42" spans="1:62" s="131" customFormat="1" ht="20.25" customHeight="1">
      <c r="A42" s="135"/>
      <c r="BJ42" s="136"/>
    </row>
    <row r="43" spans="1:62" s="131" customFormat="1" ht="20.25" customHeight="1">
      <c r="A43" s="135"/>
      <c r="BJ43" s="136"/>
    </row>
    <row r="44" spans="1:62" s="131" customFormat="1" ht="20.25" customHeight="1">
      <c r="A44" s="135"/>
      <c r="BJ44" s="136"/>
    </row>
    <row r="45" spans="1:62" s="131" customFormat="1" ht="20.25" customHeight="1">
      <c r="A45" s="135"/>
      <c r="BJ45" s="136"/>
    </row>
    <row r="46" spans="1:62" s="131" customFormat="1" ht="20.25" customHeight="1">
      <c r="A46" s="135"/>
      <c r="BJ46" s="136"/>
    </row>
    <row r="47" spans="1:62" s="131" customFormat="1" ht="20.25" customHeight="1">
      <c r="A47" s="135"/>
      <c r="BJ47" s="136"/>
    </row>
    <row r="48" spans="1:62" s="131" customFormat="1" ht="20.25" customHeight="1">
      <c r="A48" s="135"/>
      <c r="BJ48" s="136"/>
    </row>
    <row r="49" spans="1:62" s="131" customFormat="1" ht="20.25" customHeight="1">
      <c r="A49" s="135"/>
      <c r="BJ49" s="136"/>
    </row>
    <row r="50" spans="1:62" s="131" customFormat="1" ht="20.25" customHeight="1">
      <c r="A50" s="135"/>
      <c r="BJ50" s="136"/>
    </row>
    <row r="51" spans="1:62" s="131" customFormat="1" ht="20.25" customHeight="1">
      <c r="A51" s="135"/>
      <c r="BJ51" s="136"/>
    </row>
    <row r="52" spans="1:62" s="131" customFormat="1" ht="20.25" customHeight="1">
      <c r="A52" s="135"/>
      <c r="BJ52" s="136"/>
    </row>
    <row r="53" spans="1:62" s="131" customFormat="1" ht="20.25" customHeight="1">
      <c r="A53" s="135"/>
      <c r="BJ53" s="136"/>
    </row>
    <row r="54" spans="1:62" s="131" customFormat="1" ht="20.25" customHeight="1">
      <c r="A54" s="135"/>
      <c r="BJ54" s="136"/>
    </row>
    <row r="55" spans="1:62" s="131" customFormat="1" ht="20.25" customHeight="1">
      <c r="A55" s="135"/>
      <c r="BJ55" s="136"/>
    </row>
    <row r="56" spans="1:62" s="131" customFormat="1" ht="20.25" customHeight="1">
      <c r="A56" s="135"/>
      <c r="BJ56" s="136"/>
    </row>
    <row r="57" spans="1:62" s="131" customFormat="1" ht="20.25" customHeight="1">
      <c r="A57" s="135"/>
      <c r="BJ57" s="136"/>
    </row>
    <row r="58" spans="1:62" s="131" customFormat="1" ht="20.25" customHeight="1">
      <c r="A58" s="135"/>
      <c r="BJ58" s="136"/>
    </row>
    <row r="59" spans="1:62" s="131" customFormat="1" ht="20.25" customHeight="1">
      <c r="A59" s="135"/>
      <c r="BJ59" s="136"/>
    </row>
    <row r="60" spans="1:62" s="131" customFormat="1" ht="20.25" customHeight="1">
      <c r="A60" s="135"/>
      <c r="BJ60" s="136"/>
    </row>
    <row r="61" spans="1:62" s="131" customFormat="1" ht="20.25" customHeight="1">
      <c r="A61" s="135"/>
      <c r="BJ61" s="136"/>
    </row>
    <row r="62" spans="1:62" s="131" customFormat="1" ht="20.25" customHeight="1">
      <c r="A62" s="135"/>
      <c r="BJ62" s="136"/>
    </row>
    <row r="63" spans="1:62" s="131" customFormat="1" ht="20.25" customHeight="1">
      <c r="A63" s="135"/>
      <c r="BJ63" s="136"/>
    </row>
    <row r="64" spans="1:62" s="131" customFormat="1" ht="20.25" customHeight="1">
      <c r="A64" s="189"/>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90"/>
    </row>
    <row r="65" s="191" customFormat="1" ht="4.5" customHeight="1"/>
    <row r="66" s="191" customFormat="1" ht="18" customHeight="1"/>
    <row r="67" s="191" customFormat="1" ht="18" customHeight="1"/>
    <row r="68" s="191" customFormat="1" ht="18" customHeight="1"/>
    <row r="69" s="191" customFormat="1" ht="18" customHeight="1"/>
    <row r="70" s="191" customFormat="1" ht="18" customHeight="1"/>
    <row r="71" s="191" customFormat="1" ht="18" customHeight="1"/>
    <row r="72" s="191" customFormat="1" ht="18" customHeight="1"/>
    <row r="73" s="191" customFormat="1" ht="18" customHeight="1"/>
    <row r="74" s="191" customFormat="1" ht="18" customHeight="1"/>
    <row r="75" s="191" customFormat="1" ht="18" customHeight="1"/>
    <row r="76" s="191" customFormat="1" ht="18" customHeight="1"/>
    <row r="77" s="191" customFormat="1" ht="18" customHeight="1"/>
    <row r="78" s="191" customFormat="1" ht="18" customHeight="1"/>
    <row r="79" s="191" customFormat="1" ht="18" customHeight="1"/>
    <row r="80" s="191" customFormat="1" ht="18" customHeight="1"/>
    <row r="81" s="191" customFormat="1" ht="18" customHeight="1"/>
    <row r="82" s="191" customFormat="1" ht="18" customHeight="1"/>
    <row r="83" s="191" customFormat="1" ht="18" customHeight="1"/>
    <row r="84" s="191" customFormat="1" ht="18" customHeight="1"/>
    <row r="85" s="191" customFormat="1" ht="18" customHeight="1"/>
    <row r="86" s="191" customFormat="1" ht="18" customHeight="1"/>
    <row r="87" s="191" customFormat="1" ht="18" customHeight="1"/>
    <row r="88" s="191" customFormat="1" ht="18" customHeight="1"/>
    <row r="89" s="191" customFormat="1" ht="18" customHeight="1"/>
    <row r="90" s="191" customFormat="1" ht="18" customHeight="1"/>
    <row r="91" s="191" customFormat="1" ht="18" customHeight="1"/>
    <row r="92" s="191" customFormat="1" ht="18" customHeight="1"/>
    <row r="93" s="191" customFormat="1" ht="18" customHeight="1"/>
    <row r="94" s="191" customFormat="1" ht="18" customHeight="1"/>
    <row r="95" s="191" customFormat="1" ht="18" customHeight="1"/>
    <row r="96" s="191" customFormat="1" ht="18" customHeight="1"/>
    <row r="97" s="191" customFormat="1" ht="18" customHeight="1"/>
    <row r="98" s="191" customFormat="1" ht="18" customHeight="1"/>
    <row r="99" s="191" customFormat="1" ht="18" customHeight="1"/>
    <row r="100" s="191" customFormat="1" ht="18" customHeight="1"/>
    <row r="101" s="191"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20">
    <mergeCell ref="A2:AU2"/>
    <mergeCell ref="AV2:AY2"/>
    <mergeCell ref="AZ2:BC2"/>
    <mergeCell ref="BD2:BG2"/>
    <mergeCell ref="BH2:BJ2"/>
    <mergeCell ref="A7:K7"/>
    <mergeCell ref="L7:BJ7"/>
    <mergeCell ref="I10:BI10"/>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173-8323-4249-8567-0208BF2DFBE5}">
  <sheetPr codeName="Sheet9">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569</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157</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26" t="s">
        <v>95</v>
      </c>
      <c r="BJ9" s="31"/>
    </row>
    <row r="10" spans="1:62" s="26" customFormat="1" ht="20.25" customHeight="1">
      <c r="A10" s="30"/>
      <c r="BJ10" s="31"/>
    </row>
    <row r="11" spans="1:62" s="26" customFormat="1" ht="20.25" customHeight="1">
      <c r="A11" s="30"/>
      <c r="C11" s="26" t="s">
        <v>158</v>
      </c>
      <c r="BJ11" s="31"/>
    </row>
    <row r="12" spans="1:62" s="26" customFormat="1" ht="20.25" customHeight="1">
      <c r="A12" s="30"/>
      <c r="C12" s="26" t="s">
        <v>159</v>
      </c>
      <c r="BJ12" s="31"/>
    </row>
    <row r="13" spans="1:62" s="26" customFormat="1" ht="20.25" customHeight="1">
      <c r="A13" s="30"/>
      <c r="BJ13" s="31"/>
    </row>
    <row r="14" spans="1:62" s="26" customFormat="1" ht="20.25" customHeight="1">
      <c r="A14" s="30"/>
      <c r="BJ14" s="31"/>
    </row>
    <row r="15" spans="1:62" s="26" customFormat="1" ht="20.25" customHeight="1">
      <c r="A15" s="30"/>
      <c r="B15" s="26" t="s">
        <v>160</v>
      </c>
      <c r="BJ15" s="31"/>
    </row>
    <row r="16" spans="1:62" s="26" customFormat="1" ht="20.25" customHeight="1">
      <c r="A16" s="30"/>
      <c r="BJ16" s="31"/>
    </row>
    <row r="17" spans="1:62" s="26" customFormat="1" ht="20.25" customHeight="1">
      <c r="A17" s="30"/>
      <c r="C17" s="26" t="s">
        <v>161</v>
      </c>
      <c r="BJ17" s="31"/>
    </row>
    <row r="18" spans="1:62" s="26" customFormat="1" ht="20.25" customHeight="1">
      <c r="A18" s="30"/>
      <c r="BJ18" s="31"/>
    </row>
    <row r="19" spans="1:62" s="26" customFormat="1" ht="20.25" customHeight="1">
      <c r="A19" s="30"/>
      <c r="E19" s="26" t="s">
        <v>162</v>
      </c>
      <c r="BJ19" s="31"/>
    </row>
    <row r="20" spans="1:62" s="26" customFormat="1" ht="20.25" customHeight="1">
      <c r="A20" s="30"/>
      <c r="E20" s="26" t="s">
        <v>163</v>
      </c>
      <c r="BJ20" s="31"/>
    </row>
    <row r="21" spans="1:62" s="26" customFormat="1" ht="20.25" customHeight="1">
      <c r="A21" s="30"/>
      <c r="E21" s="26" t="s">
        <v>164</v>
      </c>
      <c r="BJ21" s="31"/>
    </row>
    <row r="22" spans="1:62" s="26" customFormat="1" ht="20.25" customHeight="1">
      <c r="A22" s="30"/>
      <c r="F22" s="40" t="s">
        <v>165</v>
      </c>
      <c r="J22" s="26" t="s">
        <v>101</v>
      </c>
      <c r="M22" s="26" t="s">
        <v>166</v>
      </c>
      <c r="BJ22" s="31"/>
    </row>
    <row r="23" spans="1:62" s="26" customFormat="1" ht="20.25" customHeight="1">
      <c r="A23" s="30"/>
      <c r="F23" s="40" t="s">
        <v>167</v>
      </c>
      <c r="J23" s="26" t="s">
        <v>101</v>
      </c>
      <c r="M23" s="26" t="s">
        <v>166</v>
      </c>
      <c r="BJ23" s="31"/>
    </row>
    <row r="24" spans="1:62" s="26" customFormat="1" ht="20.25" customHeight="1">
      <c r="A24" s="30"/>
      <c r="BJ24" s="31"/>
    </row>
    <row r="25" spans="1:62" s="26" customFormat="1" ht="20.25" customHeight="1">
      <c r="A25" s="30"/>
      <c r="C25" s="26" t="s">
        <v>168</v>
      </c>
      <c r="BJ25" s="31"/>
    </row>
    <row r="26" spans="1:62" s="26" customFormat="1" ht="20.25" customHeight="1">
      <c r="A26" s="30"/>
      <c r="BJ26" s="31"/>
    </row>
    <row r="27" spans="1:62" s="26" customFormat="1" ht="20.25" customHeight="1">
      <c r="A27" s="30"/>
      <c r="E27" s="26" t="s">
        <v>169</v>
      </c>
      <c r="BJ27" s="31"/>
    </row>
    <row r="28" spans="1:62" s="26" customFormat="1" ht="20.25" customHeight="1">
      <c r="A28" s="30"/>
      <c r="BJ28" s="31"/>
    </row>
    <row r="29" spans="1:62" s="26" customFormat="1" ht="20.25" customHeight="1">
      <c r="A29" s="30"/>
      <c r="E29" s="70"/>
      <c r="F29" s="71" t="s">
        <v>170</v>
      </c>
      <c r="G29" s="71"/>
      <c r="H29" s="71"/>
      <c r="I29" s="71"/>
      <c r="J29" s="71"/>
      <c r="K29" s="71"/>
      <c r="L29" s="71"/>
      <c r="M29" s="75"/>
      <c r="N29" s="76"/>
      <c r="O29" s="71"/>
      <c r="P29" s="76"/>
      <c r="Q29" s="72"/>
      <c r="R29" s="71"/>
      <c r="S29" s="71" t="s">
        <v>171</v>
      </c>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2"/>
      <c r="BJ29" s="31"/>
    </row>
    <row r="30" spans="1:62" s="26" customFormat="1" ht="20.25" customHeight="1">
      <c r="A30" s="30"/>
      <c r="E30" s="77"/>
      <c r="F30" s="78" t="s">
        <v>172</v>
      </c>
      <c r="G30" s="36"/>
      <c r="H30" s="36"/>
      <c r="I30" s="36"/>
      <c r="J30" s="79" t="s">
        <v>173</v>
      </c>
      <c r="K30" s="36"/>
      <c r="L30" s="36"/>
      <c r="M30" s="37"/>
      <c r="N30" s="36"/>
      <c r="O30" s="36"/>
      <c r="P30" s="36"/>
      <c r="Q30" s="38"/>
      <c r="R30" s="36"/>
      <c r="S30" s="36" t="s">
        <v>174</v>
      </c>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8"/>
      <c r="BJ30" s="31"/>
    </row>
    <row r="31" spans="1:62" s="26" customFormat="1" ht="20.25" customHeight="1">
      <c r="A31" s="30"/>
      <c r="E31" s="77"/>
      <c r="F31" s="78" t="s">
        <v>175</v>
      </c>
      <c r="G31" s="36"/>
      <c r="H31" s="36"/>
      <c r="I31" s="36"/>
      <c r="J31" s="80" t="s">
        <v>176</v>
      </c>
      <c r="K31" s="36"/>
      <c r="L31" s="36"/>
      <c r="M31" s="37"/>
      <c r="N31" s="36"/>
      <c r="O31" s="36"/>
      <c r="P31" s="36"/>
      <c r="Q31" s="38"/>
      <c r="R31" s="36"/>
      <c r="S31" s="36" t="s">
        <v>174</v>
      </c>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8"/>
      <c r="BJ31" s="31"/>
    </row>
    <row r="32" spans="1:62" s="26" customFormat="1" ht="20.25" customHeight="1">
      <c r="A32" s="30"/>
      <c r="E32" s="81"/>
      <c r="F32" s="82" t="s">
        <v>177</v>
      </c>
      <c r="G32" s="36"/>
      <c r="H32" s="36"/>
      <c r="I32" s="36"/>
      <c r="J32" s="80" t="s">
        <v>178</v>
      </c>
      <c r="K32" s="36"/>
      <c r="L32" s="36"/>
      <c r="M32" s="37"/>
      <c r="N32" s="36"/>
      <c r="O32" s="36"/>
      <c r="P32" s="36"/>
      <c r="Q32" s="38"/>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8"/>
      <c r="BJ32" s="31"/>
    </row>
    <row r="33" spans="1:62" s="26" customFormat="1" ht="20.25" customHeight="1">
      <c r="A33" s="30"/>
      <c r="E33" s="81"/>
      <c r="F33" s="82" t="s">
        <v>179</v>
      </c>
      <c r="G33" s="36"/>
      <c r="H33" s="36"/>
      <c r="I33" s="36"/>
      <c r="J33" s="80" t="s">
        <v>180</v>
      </c>
      <c r="K33" s="36"/>
      <c r="L33" s="36"/>
      <c r="M33" s="83"/>
      <c r="N33" s="24"/>
      <c r="O33" s="24"/>
      <c r="P33" s="24"/>
      <c r="Q33" s="25"/>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8"/>
      <c r="BJ33" s="31"/>
    </row>
    <row r="34" spans="1:62" s="26" customFormat="1" ht="20.25" customHeight="1">
      <c r="A34" s="30"/>
      <c r="E34" s="77"/>
      <c r="F34" s="78" t="s">
        <v>181</v>
      </c>
      <c r="G34" s="36"/>
      <c r="H34" s="36"/>
      <c r="I34" s="36"/>
      <c r="J34" s="80" t="s">
        <v>182</v>
      </c>
      <c r="K34" s="36"/>
      <c r="L34" s="36"/>
      <c r="M34" s="83"/>
      <c r="N34" s="24"/>
      <c r="O34" s="24"/>
      <c r="P34" s="24"/>
      <c r="Q34" s="25"/>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8"/>
      <c r="BJ34" s="31"/>
    </row>
    <row r="35" spans="1:62" s="26" customFormat="1" ht="20.25" customHeight="1">
      <c r="A35" s="30"/>
      <c r="E35" s="77"/>
      <c r="F35" s="78" t="s">
        <v>183</v>
      </c>
      <c r="G35" s="36"/>
      <c r="H35" s="36"/>
      <c r="I35" s="36"/>
      <c r="J35" s="80" t="s">
        <v>184</v>
      </c>
      <c r="K35" s="36"/>
      <c r="L35" s="36"/>
      <c r="M35" s="83"/>
      <c r="N35" s="24"/>
      <c r="O35" s="24"/>
      <c r="P35" s="24"/>
      <c r="Q35" s="25"/>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8"/>
      <c r="BJ35" s="31"/>
    </row>
    <row r="36" spans="1:62" s="26" customFormat="1" ht="20.25" customHeight="1">
      <c r="A36" s="30"/>
      <c r="E36" s="77"/>
      <c r="F36" s="78" t="s">
        <v>185</v>
      </c>
      <c r="G36" s="36"/>
      <c r="H36" s="36"/>
      <c r="I36" s="36"/>
      <c r="J36" s="80" t="s">
        <v>186</v>
      </c>
      <c r="K36" s="36"/>
      <c r="L36" s="36"/>
      <c r="M36" s="83"/>
      <c r="N36" s="24"/>
      <c r="O36" s="24"/>
      <c r="P36" s="24"/>
      <c r="Q36" s="25"/>
      <c r="R36" s="36"/>
      <c r="S36" s="36" t="s">
        <v>187</v>
      </c>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8"/>
      <c r="BJ36" s="31"/>
    </row>
    <row r="37" spans="1:62" s="26" customFormat="1" ht="20.25" customHeight="1">
      <c r="A37" s="30"/>
      <c r="E37" s="77"/>
      <c r="F37" s="78" t="s">
        <v>185</v>
      </c>
      <c r="G37" s="36"/>
      <c r="H37" s="36"/>
      <c r="I37" s="36"/>
      <c r="J37" s="80" t="s">
        <v>186</v>
      </c>
      <c r="K37" s="36"/>
      <c r="L37" s="36"/>
      <c r="M37" s="83"/>
      <c r="N37" s="24"/>
      <c r="O37" s="24"/>
      <c r="P37" s="24"/>
      <c r="Q37" s="25"/>
      <c r="R37" s="36"/>
      <c r="S37" s="36" t="s">
        <v>188</v>
      </c>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8"/>
      <c r="BJ37" s="31"/>
    </row>
    <row r="38" spans="1:62" s="26" customFormat="1" ht="20.25" customHeight="1">
      <c r="A38" s="30"/>
      <c r="E38" s="77"/>
      <c r="F38" s="78" t="s">
        <v>189</v>
      </c>
      <c r="G38" s="36"/>
      <c r="H38" s="36"/>
      <c r="I38" s="36"/>
      <c r="J38" s="36" t="s">
        <v>190</v>
      </c>
      <c r="K38" s="36"/>
      <c r="L38" s="36"/>
      <c r="M38" s="83"/>
      <c r="N38" s="24"/>
      <c r="O38" s="24"/>
      <c r="P38" s="24"/>
      <c r="Q38" s="25"/>
      <c r="R38" s="36"/>
      <c r="S38" s="36" t="s">
        <v>187</v>
      </c>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8"/>
      <c r="BJ38" s="31"/>
    </row>
    <row r="39" spans="1:62" s="26" customFormat="1" ht="20.25" customHeight="1">
      <c r="A39" s="30"/>
      <c r="E39" s="77"/>
      <c r="F39" s="78" t="s">
        <v>189</v>
      </c>
      <c r="G39" s="36"/>
      <c r="H39" s="36"/>
      <c r="I39" s="36"/>
      <c r="J39" s="36" t="s">
        <v>190</v>
      </c>
      <c r="K39" s="36"/>
      <c r="L39" s="36"/>
      <c r="M39" s="83"/>
      <c r="N39" s="24"/>
      <c r="O39" s="24"/>
      <c r="P39" s="24"/>
      <c r="Q39" s="25"/>
      <c r="R39" s="36"/>
      <c r="S39" s="36" t="s">
        <v>188</v>
      </c>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8"/>
      <c r="BJ39" s="31"/>
    </row>
    <row r="40" spans="1:62" s="26" customFormat="1" ht="20.25" customHeight="1">
      <c r="A40" s="30"/>
      <c r="BJ40" s="31"/>
    </row>
    <row r="41" spans="1:62" s="26" customFormat="1" ht="20.25" customHeight="1">
      <c r="A41" s="30"/>
      <c r="BJ41" s="31"/>
    </row>
    <row r="42" spans="1:62" s="26" customFormat="1" ht="20.25" customHeight="1">
      <c r="A42" s="30"/>
      <c r="B42" s="26" t="s">
        <v>191</v>
      </c>
      <c r="BJ42" s="31"/>
    </row>
    <row r="43" spans="1:62" s="26" customFormat="1" ht="20.25" customHeight="1">
      <c r="A43" s="30"/>
      <c r="BJ43" s="31"/>
    </row>
    <row r="44" spans="1:62" s="26" customFormat="1" ht="20.25" customHeight="1">
      <c r="A44" s="30"/>
      <c r="D44" s="26" t="s">
        <v>192</v>
      </c>
      <c r="J44" s="26" t="s">
        <v>101</v>
      </c>
      <c r="M44" s="26" t="s">
        <v>193</v>
      </c>
      <c r="BJ44" s="31"/>
    </row>
    <row r="45" spans="1:62" s="26" customFormat="1" ht="20.25" customHeight="1">
      <c r="A45" s="30"/>
      <c r="M45" s="26" t="s">
        <v>194</v>
      </c>
      <c r="BJ45" s="31"/>
    </row>
    <row r="46" spans="1:62" s="26" customFormat="1" ht="20.25" customHeight="1">
      <c r="A46" s="30"/>
      <c r="D46" s="26" t="s">
        <v>195</v>
      </c>
      <c r="J46" s="26" t="s">
        <v>101</v>
      </c>
      <c r="M46" s="26" t="s">
        <v>196</v>
      </c>
      <c r="BJ46" s="31"/>
    </row>
    <row r="47" spans="1:62" s="26" customFormat="1" ht="20.25" customHeight="1">
      <c r="A47" s="30"/>
      <c r="BJ47" s="31"/>
    </row>
    <row r="48" spans="1:62" s="26" customFormat="1" ht="20.25" customHeight="1">
      <c r="A48" s="30"/>
      <c r="D48" s="26" t="s">
        <v>137</v>
      </c>
      <c r="F48" s="26" t="s">
        <v>197</v>
      </c>
      <c r="BJ48" s="31"/>
    </row>
    <row r="49" spans="1:62" s="26" customFormat="1" ht="20.25" customHeight="1">
      <c r="A49" s="30"/>
      <c r="D49" s="26" t="s">
        <v>137</v>
      </c>
      <c r="F49" s="26" t="s">
        <v>198</v>
      </c>
      <c r="BJ49" s="31"/>
    </row>
    <row r="50" spans="1:62" s="26" customFormat="1" ht="20.25" customHeight="1">
      <c r="A50" s="30"/>
      <c r="B50" s="33"/>
      <c r="K50" s="41"/>
      <c r="L50" s="41"/>
      <c r="M50" s="33"/>
      <c r="N50" s="33"/>
      <c r="O50" s="33"/>
      <c r="P50" s="33"/>
      <c r="BJ50" s="31"/>
    </row>
    <row r="51" spans="1:62" s="26" customFormat="1" ht="20.25" customHeight="1">
      <c r="A51" s="30"/>
      <c r="BJ51" s="31"/>
    </row>
    <row r="52" spans="1:62" s="26" customFormat="1" ht="20.25" customHeight="1">
      <c r="A52" s="30"/>
      <c r="B52" s="26" t="s">
        <v>199</v>
      </c>
      <c r="BJ52" s="31"/>
    </row>
    <row r="53" spans="1:62" s="26" customFormat="1" ht="20.25" customHeight="1">
      <c r="A53" s="30"/>
      <c r="BJ53" s="31"/>
    </row>
    <row r="54" spans="1:62" s="26" customFormat="1" ht="20.25" customHeight="1">
      <c r="A54" s="30"/>
      <c r="C54" s="26" t="s">
        <v>200</v>
      </c>
      <c r="BJ54" s="31"/>
    </row>
    <row r="55" spans="1:62" s="26" customFormat="1" ht="20.25" customHeight="1">
      <c r="A55" s="30"/>
      <c r="BJ55" s="31"/>
    </row>
    <row r="56" spans="1:62" s="26" customFormat="1" ht="20.25" customHeight="1">
      <c r="A56" s="30"/>
      <c r="D56" s="26" t="s">
        <v>201</v>
      </c>
      <c r="BJ56" s="31"/>
    </row>
    <row r="57" spans="1:62" s="26" customFormat="1" ht="20.25" customHeight="1">
      <c r="A57" s="30"/>
      <c r="B57" s="33"/>
      <c r="K57" s="41"/>
      <c r="L57" s="41"/>
      <c r="M57" s="33"/>
      <c r="N57" s="33"/>
      <c r="O57" s="33"/>
      <c r="P57" s="33"/>
      <c r="BJ57" s="31"/>
    </row>
    <row r="58" spans="1:62" s="26" customFormat="1" ht="20.25" customHeight="1">
      <c r="A58" s="30"/>
      <c r="C58" s="26" t="s">
        <v>202</v>
      </c>
      <c r="BJ58" s="31"/>
    </row>
    <row r="59" spans="1:62" s="26" customFormat="1" ht="20.25" customHeight="1">
      <c r="A59" s="30"/>
      <c r="BJ59" s="31"/>
    </row>
    <row r="60" spans="1:62" s="26" customFormat="1" ht="20.25" customHeight="1">
      <c r="A60" s="30"/>
      <c r="D60" s="26" t="s">
        <v>203</v>
      </c>
      <c r="BJ60" s="31"/>
    </row>
    <row r="61" spans="1:62" s="26" customFormat="1" ht="20.25" customHeight="1">
      <c r="A61" s="30"/>
      <c r="B61" s="66"/>
      <c r="K61" s="66"/>
      <c r="X61" s="66"/>
      <c r="BJ61" s="31"/>
    </row>
    <row r="62" spans="1:62" s="26" customFormat="1" ht="20.25" customHeight="1">
      <c r="A62" s="30"/>
      <c r="B62" s="66"/>
      <c r="K62" s="66"/>
      <c r="X62" s="66"/>
      <c r="BJ62" s="31"/>
    </row>
    <row r="63" spans="1:62" s="26" customFormat="1" ht="20.25" customHeight="1">
      <c r="A63" s="30"/>
      <c r="B63" s="66"/>
      <c r="K63" s="66"/>
      <c r="X63" s="66"/>
      <c r="BJ63" s="31"/>
    </row>
    <row r="64" spans="1:62" s="26" customFormat="1" ht="20.25" customHeight="1">
      <c r="A64" s="42"/>
      <c r="B64" s="43"/>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DA24-76C3-4005-A1A1-14A2FBDA9F5D}">
  <sheetPr codeName="Sheet10">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570</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204</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52" t="s">
        <v>205</v>
      </c>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3"/>
    </row>
    <row r="10" spans="1:62" s="26" customFormat="1" ht="20.25" customHeight="1">
      <c r="A10" s="30"/>
      <c r="B10" s="40"/>
      <c r="C10" s="26" t="s">
        <v>206</v>
      </c>
      <c r="D10" s="34"/>
      <c r="E10" s="34"/>
      <c r="F10" s="34"/>
      <c r="G10" s="34"/>
      <c r="H10" s="34"/>
      <c r="I10" s="34"/>
      <c r="J10" s="34"/>
      <c r="L10" s="34"/>
      <c r="M10" s="34"/>
      <c r="N10" s="40"/>
      <c r="P10" s="40"/>
      <c r="AC10" s="40"/>
      <c r="BJ10" s="31"/>
    </row>
    <row r="11" spans="1:62" s="26" customFormat="1" ht="20.25" customHeight="1">
      <c r="A11" s="30"/>
      <c r="D11" s="34"/>
      <c r="E11" s="17"/>
      <c r="F11" s="34"/>
      <c r="G11" s="34"/>
      <c r="H11" s="34"/>
      <c r="I11" s="34"/>
      <c r="J11" s="34"/>
      <c r="L11" s="34"/>
      <c r="M11" s="34"/>
      <c r="BJ11" s="31"/>
    </row>
    <row r="12" spans="1:62" s="26" customFormat="1" ht="20.25" customHeight="1">
      <c r="A12" s="30"/>
      <c r="D12" s="84" t="s">
        <v>207</v>
      </c>
      <c r="L12" s="34"/>
      <c r="M12" s="34"/>
      <c r="N12" s="40"/>
      <c r="P12" s="40"/>
      <c r="AC12" s="40"/>
      <c r="BJ12" s="31"/>
    </row>
    <row r="13" spans="1:62" s="26" customFormat="1" ht="20.25" customHeight="1">
      <c r="A13" s="30"/>
      <c r="E13" s="17"/>
      <c r="L13" s="34"/>
      <c r="M13" s="34"/>
      <c r="N13" s="40"/>
      <c r="P13" s="40"/>
      <c r="AC13" s="40"/>
      <c r="BJ13" s="31"/>
    </row>
    <row r="14" spans="1:62" s="26" customFormat="1" ht="20.25" customHeight="1">
      <c r="A14" s="30"/>
      <c r="E14" s="26" t="s">
        <v>170</v>
      </c>
      <c r="L14" s="34"/>
      <c r="M14" s="34"/>
      <c r="N14" s="40"/>
      <c r="P14" s="40"/>
      <c r="S14" s="26" t="s">
        <v>208</v>
      </c>
      <c r="AF14" s="26" t="s">
        <v>171</v>
      </c>
      <c r="AH14" s="40"/>
      <c r="BJ14" s="31"/>
    </row>
    <row r="15" spans="1:62" s="26" customFormat="1" ht="20.25" customHeight="1">
      <c r="A15" s="30"/>
      <c r="E15" s="85" t="s">
        <v>172</v>
      </c>
      <c r="I15" s="86" t="s">
        <v>173</v>
      </c>
      <c r="L15" s="34"/>
      <c r="M15" s="34"/>
      <c r="S15" s="26">
        <v>3</v>
      </c>
      <c r="U15" s="26" t="s">
        <v>209</v>
      </c>
      <c r="AF15" s="26" t="s">
        <v>174</v>
      </c>
      <c r="BJ15" s="31"/>
    </row>
    <row r="16" spans="1:62" s="26" customFormat="1" ht="20.25" customHeight="1">
      <c r="A16" s="30"/>
      <c r="E16" s="87" t="s">
        <v>210</v>
      </c>
      <c r="F16" s="88"/>
      <c r="G16" s="88"/>
      <c r="H16" s="88"/>
      <c r="I16" s="88" t="s">
        <v>211</v>
      </c>
      <c r="J16" s="88"/>
      <c r="K16" s="88"/>
      <c r="L16" s="89"/>
      <c r="M16" s="89"/>
      <c r="N16" s="88"/>
      <c r="O16" s="88"/>
      <c r="P16" s="88"/>
      <c r="Q16" s="88"/>
      <c r="R16" s="88"/>
      <c r="S16" s="88">
        <v>3</v>
      </c>
      <c r="T16" s="88"/>
      <c r="U16" s="88" t="s">
        <v>209</v>
      </c>
      <c r="V16" s="88"/>
      <c r="W16" s="88"/>
      <c r="X16" s="88"/>
      <c r="Y16" s="88"/>
      <c r="BJ16" s="31"/>
    </row>
    <row r="17" spans="1:62" s="26" customFormat="1" ht="20.25" customHeight="1">
      <c r="A17" s="30"/>
      <c r="E17" s="85" t="s">
        <v>175</v>
      </c>
      <c r="I17" s="90" t="s">
        <v>176</v>
      </c>
      <c r="L17" s="34"/>
      <c r="M17" s="34"/>
      <c r="S17" s="26">
        <v>3</v>
      </c>
      <c r="U17" s="26" t="s">
        <v>209</v>
      </c>
      <c r="AF17" s="26" t="s">
        <v>174</v>
      </c>
      <c r="BJ17" s="31"/>
    </row>
    <row r="18" spans="1:62" s="26" customFormat="1" ht="20.25" customHeight="1">
      <c r="A18" s="30"/>
      <c r="E18" s="91" t="s">
        <v>177</v>
      </c>
      <c r="I18" s="90" t="s">
        <v>178</v>
      </c>
      <c r="L18" s="34"/>
      <c r="M18" s="34"/>
      <c r="S18" s="26">
        <v>1</v>
      </c>
      <c r="U18" s="26" t="s">
        <v>212</v>
      </c>
      <c r="BJ18" s="31"/>
    </row>
    <row r="19" spans="1:62" s="26" customFormat="1" ht="20.25" customHeight="1">
      <c r="A19" s="30"/>
      <c r="B19" s="33"/>
      <c r="C19" s="33"/>
      <c r="E19" s="91" t="s">
        <v>179</v>
      </c>
      <c r="I19" s="90" t="s">
        <v>180</v>
      </c>
      <c r="L19" s="41"/>
      <c r="M19" s="41"/>
      <c r="N19" s="33"/>
      <c r="O19" s="33"/>
      <c r="P19" s="33"/>
      <c r="Q19" s="33"/>
      <c r="S19" s="26">
        <v>2</v>
      </c>
      <c r="U19" s="26" t="s">
        <v>213</v>
      </c>
      <c r="BJ19" s="31"/>
    </row>
    <row r="20" spans="1:62" s="26" customFormat="1" ht="20.25" customHeight="1">
      <c r="A20" s="30"/>
      <c r="B20" s="33"/>
      <c r="C20" s="33"/>
      <c r="E20" s="85" t="s">
        <v>181</v>
      </c>
      <c r="I20" s="90" t="s">
        <v>182</v>
      </c>
      <c r="L20" s="41"/>
      <c r="M20" s="41"/>
      <c r="N20" s="33"/>
      <c r="O20" s="33"/>
      <c r="P20" s="33"/>
      <c r="Q20" s="33"/>
      <c r="S20" s="26">
        <v>1</v>
      </c>
      <c r="U20" s="26" t="s">
        <v>212</v>
      </c>
      <c r="BJ20" s="31"/>
    </row>
    <row r="21" spans="1:62" s="26" customFormat="1" ht="20.25" customHeight="1">
      <c r="A21" s="30"/>
      <c r="B21" s="33"/>
      <c r="C21" s="33"/>
      <c r="E21" s="85" t="s">
        <v>183</v>
      </c>
      <c r="I21" s="90" t="s">
        <v>184</v>
      </c>
      <c r="L21" s="41"/>
      <c r="M21" s="41"/>
      <c r="N21" s="33"/>
      <c r="O21" s="33"/>
      <c r="P21" s="33"/>
      <c r="Q21" s="33"/>
      <c r="S21" s="26">
        <v>2</v>
      </c>
      <c r="U21" s="26" t="s">
        <v>213</v>
      </c>
      <c r="BJ21" s="31"/>
    </row>
    <row r="22" spans="1:62" s="26" customFormat="1" ht="20.25" customHeight="1">
      <c r="A22" s="30"/>
      <c r="B22" s="33"/>
      <c r="C22" s="33"/>
      <c r="E22" s="85" t="s">
        <v>185</v>
      </c>
      <c r="I22" s="90" t="s">
        <v>186</v>
      </c>
      <c r="L22" s="41"/>
      <c r="M22" s="41"/>
      <c r="N22" s="33"/>
      <c r="O22" s="33"/>
      <c r="P22" s="33"/>
      <c r="Q22" s="33"/>
      <c r="S22" s="26">
        <v>3</v>
      </c>
      <c r="U22" s="26" t="s">
        <v>209</v>
      </c>
      <c r="AF22" s="26" t="s">
        <v>187</v>
      </c>
      <c r="BJ22" s="31"/>
    </row>
    <row r="23" spans="1:62" s="26" customFormat="1" ht="20.25" customHeight="1">
      <c r="A23" s="30"/>
      <c r="B23" s="33"/>
      <c r="C23" s="33"/>
      <c r="E23" s="85" t="s">
        <v>185</v>
      </c>
      <c r="I23" s="90" t="s">
        <v>186</v>
      </c>
      <c r="L23" s="41"/>
      <c r="M23" s="41"/>
      <c r="N23" s="33"/>
      <c r="O23" s="33"/>
      <c r="P23" s="33"/>
      <c r="Q23" s="33"/>
      <c r="S23" s="26">
        <v>3</v>
      </c>
      <c r="U23" s="26" t="s">
        <v>209</v>
      </c>
      <c r="AF23" s="26" t="s">
        <v>188</v>
      </c>
      <c r="BJ23" s="31"/>
    </row>
    <row r="24" spans="1:62" s="26" customFormat="1" ht="20.25" customHeight="1">
      <c r="A24" s="30"/>
      <c r="B24" s="33"/>
      <c r="C24" s="33"/>
      <c r="E24" s="87" t="s">
        <v>214</v>
      </c>
      <c r="F24" s="88"/>
      <c r="G24" s="88"/>
      <c r="H24" s="88"/>
      <c r="I24" s="88" t="s">
        <v>215</v>
      </c>
      <c r="J24" s="88"/>
      <c r="K24" s="88"/>
      <c r="L24" s="92"/>
      <c r="M24" s="92"/>
      <c r="N24" s="93"/>
      <c r="O24" s="93"/>
      <c r="P24" s="93"/>
      <c r="Q24" s="93"/>
      <c r="R24" s="88"/>
      <c r="S24" s="88">
        <v>3</v>
      </c>
      <c r="T24" s="88"/>
      <c r="U24" s="88" t="s">
        <v>209</v>
      </c>
      <c r="V24" s="88"/>
      <c r="W24" s="88"/>
      <c r="X24" s="88"/>
      <c r="BJ24" s="31"/>
    </row>
    <row r="25" spans="1:62" s="26" customFormat="1" ht="20.25" customHeight="1">
      <c r="A25" s="30"/>
      <c r="B25" s="33"/>
      <c r="C25" s="33"/>
      <c r="E25" s="85" t="s">
        <v>189</v>
      </c>
      <c r="I25" s="26" t="s">
        <v>190</v>
      </c>
      <c r="L25" s="41"/>
      <c r="M25" s="41"/>
      <c r="N25" s="33"/>
      <c r="O25" s="33"/>
      <c r="P25" s="33"/>
      <c r="Q25" s="33"/>
      <c r="S25" s="26">
        <v>3</v>
      </c>
      <c r="U25" s="26" t="s">
        <v>190</v>
      </c>
      <c r="AC25" s="40"/>
      <c r="AF25" s="26" t="s">
        <v>187</v>
      </c>
      <c r="BJ25" s="31"/>
    </row>
    <row r="26" spans="1:62" s="26" customFormat="1" ht="20.25" customHeight="1">
      <c r="A26" s="30"/>
      <c r="B26" s="33"/>
      <c r="C26" s="33"/>
      <c r="E26" s="85" t="s">
        <v>189</v>
      </c>
      <c r="I26" s="26" t="s">
        <v>190</v>
      </c>
      <c r="L26" s="41"/>
      <c r="M26" s="41"/>
      <c r="N26" s="33"/>
      <c r="O26" s="33"/>
      <c r="P26" s="33"/>
      <c r="Q26" s="33"/>
      <c r="S26" s="26">
        <v>3</v>
      </c>
      <c r="U26" s="26" t="s">
        <v>190</v>
      </c>
      <c r="AC26" s="40"/>
      <c r="AF26" s="26" t="s">
        <v>188</v>
      </c>
      <c r="BJ26" s="31"/>
    </row>
    <row r="27" spans="1:62" s="26" customFormat="1" ht="20.25" customHeight="1">
      <c r="A27" s="30"/>
      <c r="B27" s="33"/>
      <c r="C27" s="33"/>
      <c r="E27" s="85"/>
      <c r="L27" s="41"/>
      <c r="M27" s="41"/>
      <c r="N27" s="33"/>
      <c r="O27" s="33"/>
      <c r="P27" s="33"/>
      <c r="Q27" s="33"/>
      <c r="AC27" s="40"/>
      <c r="BJ27" s="31"/>
    </row>
    <row r="28" spans="1:62" s="26" customFormat="1" ht="20.25" customHeight="1">
      <c r="A28" s="30"/>
      <c r="B28" s="33"/>
      <c r="C28" s="33"/>
      <c r="L28" s="41"/>
      <c r="M28" s="41"/>
      <c r="N28" s="33"/>
      <c r="O28" s="33"/>
      <c r="P28" s="33"/>
      <c r="Q28" s="33"/>
      <c r="AC28" s="40"/>
      <c r="BJ28" s="31"/>
    </row>
    <row r="29" spans="1:62" s="26" customFormat="1" ht="20.25" customHeight="1">
      <c r="A29" s="30"/>
      <c r="B29" s="33"/>
      <c r="C29" s="33"/>
      <c r="D29" s="84" t="s">
        <v>216</v>
      </c>
      <c r="L29" s="41"/>
      <c r="M29" s="41"/>
      <c r="N29" s="33"/>
      <c r="O29" s="33"/>
      <c r="P29" s="33"/>
      <c r="Q29" s="33"/>
      <c r="AC29" s="40"/>
      <c r="BJ29" s="31"/>
    </row>
    <row r="30" spans="1:62" s="26" customFormat="1" ht="20.25" customHeight="1">
      <c r="A30" s="30"/>
      <c r="B30" s="33"/>
      <c r="C30" s="33"/>
      <c r="E30" s="26" t="s">
        <v>170</v>
      </c>
      <c r="L30" s="34"/>
      <c r="M30" s="34"/>
      <c r="N30" s="40"/>
      <c r="P30" s="40"/>
      <c r="S30" s="26" t="s">
        <v>208</v>
      </c>
      <c r="AF30" s="26" t="s">
        <v>171</v>
      </c>
      <c r="AH30" s="40"/>
      <c r="BJ30" s="31"/>
    </row>
    <row r="31" spans="1:62" s="26" customFormat="1" ht="20.25" customHeight="1">
      <c r="A31" s="30"/>
      <c r="E31" s="91" t="s">
        <v>177</v>
      </c>
      <c r="I31" s="90" t="s">
        <v>178</v>
      </c>
      <c r="L31" s="34"/>
      <c r="M31" s="34"/>
      <c r="S31" s="26">
        <v>1</v>
      </c>
      <c r="U31" s="26" t="s">
        <v>212</v>
      </c>
      <c r="AF31" s="26" t="s">
        <v>217</v>
      </c>
      <c r="BJ31" s="31"/>
    </row>
    <row r="32" spans="1:62" s="26" customFormat="1" ht="20.25" customHeight="1">
      <c r="A32" s="30"/>
      <c r="B32" s="33"/>
      <c r="C32" s="33"/>
      <c r="E32" s="91" t="s">
        <v>179</v>
      </c>
      <c r="I32" s="90" t="s">
        <v>180</v>
      </c>
      <c r="L32" s="41"/>
      <c r="M32" s="41"/>
      <c r="N32" s="33"/>
      <c r="O32" s="33"/>
      <c r="P32" s="33"/>
      <c r="Q32" s="33"/>
      <c r="S32" s="26">
        <v>2</v>
      </c>
      <c r="U32" s="26" t="s">
        <v>213</v>
      </c>
      <c r="AF32" s="26" t="s">
        <v>217</v>
      </c>
      <c r="BJ32" s="31"/>
    </row>
    <row r="33" spans="1:62" s="26" customFormat="1" ht="20.25" customHeight="1">
      <c r="A33" s="30"/>
      <c r="B33" s="33"/>
      <c r="C33" s="33"/>
      <c r="E33" s="85" t="s">
        <v>181</v>
      </c>
      <c r="I33" s="90" t="s">
        <v>182</v>
      </c>
      <c r="L33" s="41"/>
      <c r="M33" s="41"/>
      <c r="N33" s="33"/>
      <c r="O33" s="33"/>
      <c r="P33" s="33"/>
      <c r="Q33" s="33"/>
      <c r="S33" s="26">
        <v>1</v>
      </c>
      <c r="U33" s="26" t="s">
        <v>212</v>
      </c>
      <c r="AF33" s="26" t="s">
        <v>217</v>
      </c>
      <c r="BJ33" s="31"/>
    </row>
    <row r="34" spans="1:62" s="26" customFormat="1" ht="20.25" customHeight="1">
      <c r="A34" s="30"/>
      <c r="B34" s="33"/>
      <c r="C34" s="33"/>
      <c r="E34" s="85" t="s">
        <v>183</v>
      </c>
      <c r="I34" s="90" t="s">
        <v>184</v>
      </c>
      <c r="L34" s="41"/>
      <c r="M34" s="41"/>
      <c r="N34" s="33"/>
      <c r="O34" s="33"/>
      <c r="P34" s="33"/>
      <c r="Q34" s="33"/>
      <c r="S34" s="26">
        <v>2</v>
      </c>
      <c r="U34" s="26" t="s">
        <v>213</v>
      </c>
      <c r="AF34" s="26" t="s">
        <v>217</v>
      </c>
      <c r="BJ34" s="31"/>
    </row>
    <row r="35" spans="1:62" s="26" customFormat="1" ht="20.25" customHeight="1">
      <c r="A35" s="30"/>
      <c r="B35" s="33"/>
      <c r="C35" s="33"/>
      <c r="E35" s="85"/>
      <c r="I35" s="90"/>
      <c r="L35" s="41"/>
      <c r="M35" s="41"/>
      <c r="N35" s="33"/>
      <c r="O35" s="33"/>
      <c r="P35" s="33"/>
      <c r="Q35" s="33"/>
      <c r="BJ35" s="31"/>
    </row>
    <row r="36" spans="1:62" s="26" customFormat="1" ht="20.25" customHeight="1">
      <c r="A36" s="30"/>
      <c r="B36" s="33"/>
      <c r="C36" s="33"/>
      <c r="E36" s="85" t="s">
        <v>218</v>
      </c>
      <c r="L36" s="41"/>
      <c r="M36" s="41"/>
      <c r="N36" s="33"/>
      <c r="O36" s="33"/>
      <c r="P36" s="33"/>
      <c r="Q36" s="33"/>
      <c r="AC36" s="40"/>
      <c r="BJ36" s="31"/>
    </row>
    <row r="37" spans="1:62" s="26" customFormat="1" ht="20.25" customHeight="1">
      <c r="A37" s="30"/>
      <c r="B37" s="33"/>
      <c r="C37" s="33"/>
      <c r="E37" s="85" t="s">
        <v>219</v>
      </c>
      <c r="L37" s="41"/>
      <c r="M37" s="41"/>
      <c r="N37" s="33"/>
      <c r="O37" s="33"/>
      <c r="P37" s="33"/>
      <c r="Q37" s="33"/>
      <c r="AC37" s="40"/>
      <c r="BJ37" s="31"/>
    </row>
    <row r="38" spans="1:62" s="26" customFormat="1" ht="20.25" customHeight="1">
      <c r="A38" s="30"/>
      <c r="B38" s="33"/>
      <c r="C38" s="33"/>
      <c r="E38" s="85" t="s">
        <v>220</v>
      </c>
      <c r="L38" s="41"/>
      <c r="M38" s="41"/>
      <c r="N38" s="33"/>
      <c r="O38" s="33"/>
      <c r="P38" s="33"/>
      <c r="Q38" s="33"/>
      <c r="AC38" s="40"/>
      <c r="BJ38" s="31"/>
    </row>
    <row r="39" spans="1:62" s="26" customFormat="1" ht="20.25" customHeight="1">
      <c r="A39" s="30"/>
      <c r="B39" s="33"/>
      <c r="C39" s="33"/>
      <c r="E39" s="85" t="s">
        <v>221</v>
      </c>
      <c r="L39" s="41"/>
      <c r="M39" s="41"/>
      <c r="N39" s="33"/>
      <c r="O39" s="33"/>
      <c r="P39" s="33"/>
      <c r="Q39" s="33"/>
      <c r="AC39" s="40"/>
      <c r="BJ39" s="31"/>
    </row>
    <row r="40" spans="1:62" s="26" customFormat="1" ht="20.25" customHeight="1">
      <c r="A40" s="30"/>
      <c r="B40" s="33"/>
      <c r="C40" s="33"/>
      <c r="E40" s="85" t="s">
        <v>222</v>
      </c>
      <c r="L40" s="41"/>
      <c r="M40" s="41"/>
      <c r="N40" s="33"/>
      <c r="O40" s="33"/>
      <c r="P40" s="33"/>
      <c r="Q40" s="33"/>
      <c r="AC40" s="40"/>
      <c r="BJ40" s="31"/>
    </row>
    <row r="41" spans="1:62" s="26" customFormat="1" ht="20.25" customHeight="1">
      <c r="A41" s="30"/>
      <c r="B41" s="33"/>
      <c r="C41" s="33"/>
      <c r="E41" s="85" t="s">
        <v>223</v>
      </c>
      <c r="L41" s="41"/>
      <c r="M41" s="41"/>
      <c r="N41" s="33"/>
      <c r="O41" s="33"/>
      <c r="P41" s="33"/>
      <c r="Q41" s="33"/>
      <c r="AC41" s="40"/>
      <c r="BJ41" s="31"/>
    </row>
    <row r="42" spans="1:62" s="26" customFormat="1" ht="20.25" customHeight="1">
      <c r="A42" s="30"/>
      <c r="B42" s="33"/>
      <c r="C42" s="33"/>
      <c r="E42" s="85" t="s">
        <v>224</v>
      </c>
      <c r="L42" s="41"/>
      <c r="M42" s="41"/>
      <c r="N42" s="33"/>
      <c r="O42" s="33"/>
      <c r="P42" s="33"/>
      <c r="Q42" s="33"/>
      <c r="AC42" s="40"/>
      <c r="BJ42" s="31"/>
    </row>
    <row r="43" spans="1:62" s="26" customFormat="1" ht="20.25" customHeight="1">
      <c r="A43" s="30"/>
      <c r="B43" s="33"/>
      <c r="C43" s="33"/>
      <c r="E43" s="85" t="s">
        <v>225</v>
      </c>
      <c r="L43" s="41"/>
      <c r="M43" s="41"/>
      <c r="N43" s="33"/>
      <c r="O43" s="33"/>
      <c r="P43" s="33"/>
      <c r="Q43" s="33"/>
      <c r="AC43" s="40"/>
      <c r="BJ43" s="31"/>
    </row>
    <row r="44" spans="1:62" s="26" customFormat="1" ht="20.25" customHeight="1">
      <c r="A44" s="30"/>
      <c r="B44" s="33"/>
      <c r="C44" s="33"/>
      <c r="E44" s="85" t="s">
        <v>226</v>
      </c>
      <c r="L44" s="41"/>
      <c r="M44" s="41"/>
      <c r="N44" s="33"/>
      <c r="O44" s="33"/>
      <c r="P44" s="33"/>
      <c r="Q44" s="33"/>
      <c r="AC44" s="40"/>
      <c r="BJ44" s="31"/>
    </row>
    <row r="45" spans="1:62" s="26" customFormat="1" ht="20.25" customHeight="1">
      <c r="A45" s="30"/>
      <c r="B45" s="33"/>
      <c r="C45" s="33"/>
      <c r="E45" s="85" t="s">
        <v>227</v>
      </c>
      <c r="L45" s="41"/>
      <c r="M45" s="41"/>
      <c r="N45" s="33"/>
      <c r="O45" s="33"/>
      <c r="P45" s="33"/>
      <c r="Q45" s="33"/>
      <c r="AC45" s="40"/>
      <c r="BJ45" s="31"/>
    </row>
    <row r="46" spans="1:62" s="26" customFormat="1" ht="20.25" customHeight="1">
      <c r="A46" s="30"/>
      <c r="B46" s="33"/>
      <c r="C46" s="33"/>
      <c r="L46" s="41"/>
      <c r="M46" s="41"/>
      <c r="N46" s="33"/>
      <c r="O46" s="33"/>
      <c r="P46" s="33"/>
      <c r="Q46" s="33"/>
      <c r="AC46" s="40"/>
      <c r="BJ46" s="31"/>
    </row>
    <row r="47" spans="1:62" s="26" customFormat="1" ht="20.25" customHeight="1">
      <c r="A47" s="30"/>
      <c r="B47" s="66"/>
      <c r="K47" s="66"/>
      <c r="X47" s="66"/>
      <c r="BJ47" s="31"/>
    </row>
    <row r="48" spans="1:62" s="26" customFormat="1" ht="20.25" customHeight="1">
      <c r="A48" s="30"/>
      <c r="B48" s="66"/>
      <c r="K48" s="66"/>
      <c r="X48" s="66"/>
      <c r="BJ48" s="31"/>
    </row>
    <row r="49" spans="1:62" s="26" customFormat="1" ht="20.25" customHeight="1">
      <c r="A49" s="30"/>
      <c r="B49" s="66"/>
      <c r="K49" s="66"/>
      <c r="X49" s="66"/>
      <c r="BJ49" s="31"/>
    </row>
    <row r="50" spans="1:62" s="26" customFormat="1" ht="20.25" customHeight="1">
      <c r="A50" s="30"/>
      <c r="B50" s="66"/>
      <c r="K50" s="66"/>
      <c r="X50" s="66"/>
      <c r="BJ50" s="31"/>
    </row>
    <row r="51" spans="1:62" s="26" customFormat="1" ht="20.25" customHeight="1">
      <c r="A51" s="30"/>
      <c r="B51" s="66"/>
      <c r="K51" s="66"/>
      <c r="X51" s="66"/>
      <c r="BJ51" s="31"/>
    </row>
    <row r="52" spans="1:62" s="26" customFormat="1" ht="20.25" customHeight="1">
      <c r="A52" s="30"/>
      <c r="B52" s="66"/>
      <c r="K52" s="66"/>
      <c r="X52" s="66"/>
      <c r="BJ52" s="31"/>
    </row>
    <row r="53" spans="1:62" s="26" customFormat="1" ht="20.25" customHeight="1">
      <c r="A53" s="30"/>
      <c r="B53" s="66"/>
      <c r="K53" s="66"/>
      <c r="X53" s="66"/>
      <c r="BJ53" s="31"/>
    </row>
    <row r="54" spans="1:62" s="26" customFormat="1" ht="20.25" customHeight="1">
      <c r="A54" s="30"/>
      <c r="B54" s="66"/>
      <c r="K54" s="66"/>
      <c r="X54" s="66"/>
      <c r="BJ54" s="31"/>
    </row>
    <row r="55" spans="1:62" s="26" customFormat="1" ht="20.25" customHeight="1">
      <c r="A55" s="30"/>
      <c r="B55" s="66"/>
      <c r="K55" s="66"/>
      <c r="X55" s="66"/>
      <c r="BJ55" s="31"/>
    </row>
    <row r="56" spans="1:62" s="26" customFormat="1" ht="20.25" customHeight="1">
      <c r="A56" s="30"/>
      <c r="B56" s="66"/>
      <c r="K56" s="66"/>
      <c r="X56" s="66"/>
      <c r="BJ56" s="31"/>
    </row>
    <row r="57" spans="1:62" s="26" customFormat="1" ht="20.25" customHeight="1">
      <c r="A57" s="30"/>
      <c r="B57" s="66"/>
      <c r="K57" s="66"/>
      <c r="X57" s="66"/>
      <c r="BJ57" s="31"/>
    </row>
    <row r="58" spans="1:62" s="26" customFormat="1" ht="20.25" customHeight="1">
      <c r="A58" s="30"/>
      <c r="B58" s="66"/>
      <c r="K58" s="66"/>
      <c r="X58" s="66"/>
      <c r="BJ58" s="31"/>
    </row>
    <row r="59" spans="1:62" s="26" customFormat="1" ht="20.25" customHeight="1">
      <c r="A59" s="30"/>
      <c r="B59" s="66"/>
      <c r="K59" s="66"/>
      <c r="X59" s="66"/>
      <c r="BJ59" s="31"/>
    </row>
    <row r="60" spans="1:62" s="26" customFormat="1" ht="20.25" customHeight="1">
      <c r="A60" s="30"/>
      <c r="B60" s="66"/>
      <c r="K60" s="66"/>
      <c r="X60" s="66"/>
      <c r="BJ60" s="31"/>
    </row>
    <row r="61" spans="1:62" s="26" customFormat="1" ht="20.25" customHeight="1">
      <c r="A61" s="30"/>
      <c r="B61" s="66"/>
      <c r="K61" s="66"/>
      <c r="X61" s="66"/>
      <c r="BJ61" s="31"/>
    </row>
    <row r="62" spans="1:62" s="26" customFormat="1" ht="20.25" customHeight="1">
      <c r="A62" s="30"/>
      <c r="B62" s="66"/>
      <c r="K62" s="66"/>
      <c r="X62" s="66"/>
      <c r="BJ62" s="31"/>
    </row>
    <row r="63" spans="1:62" s="26" customFormat="1" ht="20.25" customHeight="1">
      <c r="A63" s="30"/>
      <c r="B63" s="66"/>
      <c r="K63" s="66"/>
      <c r="X63" s="66"/>
      <c r="BJ63" s="31"/>
    </row>
    <row r="64" spans="1:62" s="26" customFormat="1" ht="20.25" customHeight="1">
      <c r="A64" s="42"/>
      <c r="B64" s="43"/>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A127-784F-45CC-925E-B3BED5BF51B5}">
  <sheetPr codeName="Sheet11">
    <pageSetUpPr fitToPage="1"/>
  </sheetPr>
  <dimension ref="A1:BJ212"/>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18</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571</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323</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132" t="s">
        <v>307</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4"/>
    </row>
    <row r="9" spans="1:62" s="131" customFormat="1" ht="20.25" customHeight="1">
      <c r="A9" s="135"/>
      <c r="BJ9" s="136"/>
    </row>
    <row r="10" spans="1:62" s="131" customFormat="1" ht="20.25" customHeight="1">
      <c r="A10" s="135"/>
      <c r="B10" s="137" t="s">
        <v>308</v>
      </c>
      <c r="C10" s="138"/>
      <c r="D10" s="138"/>
      <c r="E10" s="138"/>
      <c r="F10" s="138"/>
      <c r="G10" s="138"/>
      <c r="H10" s="139"/>
      <c r="I10" s="137" t="s">
        <v>309</v>
      </c>
      <c r="J10" s="138"/>
      <c r="K10" s="138"/>
      <c r="L10" s="138"/>
      <c r="M10" s="138"/>
      <c r="N10" s="138"/>
      <c r="O10" s="138"/>
      <c r="P10" s="138"/>
      <c r="Q10" s="138"/>
      <c r="R10" s="138"/>
      <c r="S10" s="138"/>
      <c r="T10" s="138"/>
      <c r="U10" s="138"/>
      <c r="V10" s="138"/>
      <c r="W10" s="138"/>
      <c r="X10" s="140"/>
      <c r="Y10" s="137" t="s">
        <v>310</v>
      </c>
      <c r="Z10" s="138"/>
      <c r="AA10" s="138"/>
      <c r="AB10" s="138"/>
      <c r="AC10" s="138"/>
      <c r="AD10" s="138"/>
      <c r="AE10" s="138"/>
      <c r="AF10" s="138"/>
      <c r="AG10" s="138"/>
      <c r="AH10" s="138"/>
      <c r="AI10" s="138"/>
      <c r="AJ10" s="138"/>
      <c r="AK10" s="138"/>
      <c r="AL10" s="138"/>
      <c r="AM10" s="138"/>
      <c r="AN10" s="138"/>
      <c r="AO10" s="141"/>
      <c r="AP10" s="138"/>
      <c r="AQ10" s="138"/>
      <c r="AR10" s="137"/>
      <c r="AS10" s="138"/>
      <c r="AT10" s="138"/>
      <c r="AU10" s="138" t="s">
        <v>216</v>
      </c>
      <c r="AV10" s="138"/>
      <c r="AW10" s="138"/>
      <c r="AX10" s="138"/>
      <c r="AY10" s="138"/>
      <c r="AZ10" s="138"/>
      <c r="BA10" s="138"/>
      <c r="BB10" s="138"/>
      <c r="BC10" s="138"/>
      <c r="BD10" s="138"/>
      <c r="BE10" s="138"/>
      <c r="BF10" s="138"/>
      <c r="BG10" s="138"/>
      <c r="BH10" s="138"/>
      <c r="BI10" s="139"/>
      <c r="BJ10" s="136"/>
    </row>
    <row r="11" spans="1:62" s="131" customFormat="1" ht="20.25" customHeight="1">
      <c r="A11" s="135"/>
      <c r="B11" s="142" t="s">
        <v>311</v>
      </c>
      <c r="C11" s="143"/>
      <c r="D11" s="143"/>
      <c r="E11" s="143"/>
      <c r="F11" s="143"/>
      <c r="G11" s="143"/>
      <c r="H11" s="144"/>
      <c r="I11" s="145" t="s">
        <v>312</v>
      </c>
      <c r="J11" s="146"/>
      <c r="K11" s="146"/>
      <c r="L11" s="146"/>
      <c r="M11" s="146"/>
      <c r="N11" s="146"/>
      <c r="O11" s="146"/>
      <c r="P11" s="146"/>
      <c r="Q11" s="146"/>
      <c r="R11" s="146"/>
      <c r="S11" s="146"/>
      <c r="T11" s="146"/>
      <c r="U11" s="146"/>
      <c r="V11" s="146"/>
      <c r="W11" s="146"/>
      <c r="X11" s="147"/>
      <c r="Y11" s="148"/>
      <c r="Z11" s="148"/>
      <c r="AA11" s="148"/>
      <c r="AB11" s="148"/>
      <c r="AC11" s="148"/>
      <c r="AD11" s="148"/>
      <c r="AE11" s="148"/>
      <c r="AF11" s="148"/>
      <c r="AG11" s="148"/>
      <c r="AH11" s="148"/>
      <c r="AI11" s="148"/>
      <c r="AJ11" s="148"/>
      <c r="AK11" s="148"/>
      <c r="AL11" s="148"/>
      <c r="AM11" s="148"/>
      <c r="AN11" s="148"/>
      <c r="AO11" s="149"/>
      <c r="AP11" s="148"/>
      <c r="AQ11" s="148"/>
      <c r="AR11" s="150" t="s">
        <v>313</v>
      </c>
      <c r="AS11" s="148"/>
      <c r="AT11" s="148"/>
      <c r="AU11" s="148"/>
      <c r="AV11" s="148"/>
      <c r="AW11" s="148"/>
      <c r="AX11" s="148"/>
      <c r="AY11" s="148"/>
      <c r="AZ11" s="133"/>
      <c r="BA11" s="133"/>
      <c r="BB11" s="133"/>
      <c r="BC11" s="133"/>
      <c r="BD11" s="133"/>
      <c r="BE11" s="133"/>
      <c r="BI11" s="134"/>
      <c r="BJ11" s="136"/>
    </row>
    <row r="12" spans="1:62" s="131" customFormat="1" ht="20.25" customHeight="1">
      <c r="A12" s="135"/>
      <c r="B12" s="151"/>
      <c r="C12" s="152"/>
      <c r="D12" s="152"/>
      <c r="E12" s="152"/>
      <c r="F12" s="152"/>
      <c r="G12" s="152"/>
      <c r="H12" s="153"/>
      <c r="I12" s="145" t="s">
        <v>166</v>
      </c>
      <c r="J12" s="146"/>
      <c r="K12" s="146"/>
      <c r="L12" s="146"/>
      <c r="M12" s="146"/>
      <c r="N12" s="146"/>
      <c r="O12" s="146"/>
      <c r="P12" s="146"/>
      <c r="Q12" s="146"/>
      <c r="R12" s="146"/>
      <c r="S12" s="146"/>
      <c r="T12" s="146"/>
      <c r="U12" s="146"/>
      <c r="V12" s="146"/>
      <c r="W12" s="146"/>
      <c r="X12" s="154"/>
      <c r="Y12" s="146"/>
      <c r="Z12" s="146"/>
      <c r="AA12" s="146"/>
      <c r="AB12" s="146"/>
      <c r="AC12" s="146"/>
      <c r="AD12" s="146"/>
      <c r="AE12" s="146"/>
      <c r="AF12" s="146"/>
      <c r="AG12" s="146"/>
      <c r="AH12" s="146"/>
      <c r="AI12" s="146"/>
      <c r="AJ12" s="146"/>
      <c r="AK12" s="146"/>
      <c r="AL12" s="146"/>
      <c r="AM12" s="146"/>
      <c r="AN12" s="146"/>
      <c r="AO12" s="155"/>
      <c r="AP12" s="146"/>
      <c r="AQ12" s="146"/>
      <c r="AR12" s="145" t="s">
        <v>314</v>
      </c>
      <c r="AS12" s="146"/>
      <c r="AT12" s="146"/>
      <c r="AU12" s="146"/>
      <c r="AV12" s="146"/>
      <c r="AW12" s="146"/>
      <c r="AX12" s="146"/>
      <c r="AY12" s="146"/>
      <c r="AZ12" s="156"/>
      <c r="BA12" s="156"/>
      <c r="BB12" s="156"/>
      <c r="BC12" s="156"/>
      <c r="BD12" s="156"/>
      <c r="BE12" s="156"/>
      <c r="BI12" s="157"/>
      <c r="BJ12" s="136"/>
    </row>
    <row r="13" spans="1:62" s="131" customFormat="1" ht="20.25" customHeight="1">
      <c r="A13" s="135"/>
      <c r="B13" s="151"/>
      <c r="C13" s="152"/>
      <c r="D13" s="152"/>
      <c r="E13" s="152"/>
      <c r="F13" s="152"/>
      <c r="G13" s="152"/>
      <c r="H13" s="153"/>
      <c r="I13" s="145"/>
      <c r="J13" s="146" t="s">
        <v>220</v>
      </c>
      <c r="K13" s="146"/>
      <c r="L13" s="146"/>
      <c r="M13" s="146"/>
      <c r="N13" s="146"/>
      <c r="O13" s="146"/>
      <c r="P13" s="146"/>
      <c r="Q13" s="146"/>
      <c r="R13" s="146"/>
      <c r="S13" s="146"/>
      <c r="T13" s="146"/>
      <c r="U13" s="146"/>
      <c r="V13" s="146"/>
      <c r="W13" s="146"/>
      <c r="X13" s="154"/>
      <c r="Y13" s="146"/>
      <c r="Z13" s="146"/>
      <c r="AA13" s="146"/>
      <c r="AB13" s="146"/>
      <c r="AC13" s="146"/>
      <c r="AD13" s="146"/>
      <c r="AE13" s="146"/>
      <c r="AF13" s="146"/>
      <c r="AG13" s="146"/>
      <c r="AH13" s="146"/>
      <c r="AI13" s="146"/>
      <c r="AJ13" s="146"/>
      <c r="AK13" s="146"/>
      <c r="AL13" s="146"/>
      <c r="AM13" s="146"/>
      <c r="AN13" s="146"/>
      <c r="AO13" s="155"/>
      <c r="AP13" s="146"/>
      <c r="AQ13" s="146"/>
      <c r="AR13" s="145"/>
      <c r="AS13" s="146" t="s">
        <v>220</v>
      </c>
      <c r="AT13" s="146"/>
      <c r="AU13" s="146"/>
      <c r="AV13" s="146"/>
      <c r="AW13" s="146"/>
      <c r="AX13" s="146"/>
      <c r="AY13" s="146"/>
      <c r="AZ13" s="156"/>
      <c r="BA13" s="156"/>
      <c r="BB13" s="156"/>
      <c r="BC13" s="156"/>
      <c r="BD13" s="156"/>
      <c r="BE13" s="156"/>
      <c r="BI13" s="157"/>
      <c r="BJ13" s="136"/>
    </row>
    <row r="14" spans="1:62" s="131" customFormat="1" ht="20.25" customHeight="1">
      <c r="A14" s="135"/>
      <c r="B14" s="151"/>
      <c r="C14" s="152"/>
      <c r="D14" s="152"/>
      <c r="E14" s="152"/>
      <c r="F14" s="152"/>
      <c r="G14" s="152"/>
      <c r="H14" s="153"/>
      <c r="I14" s="145"/>
      <c r="J14" s="146"/>
      <c r="K14" s="158" t="s">
        <v>315</v>
      </c>
      <c r="L14" s="146"/>
      <c r="M14" s="146"/>
      <c r="N14" s="146"/>
      <c r="O14" s="146"/>
      <c r="P14" s="146"/>
      <c r="Q14" s="146"/>
      <c r="R14" s="146"/>
      <c r="S14" s="146"/>
      <c r="T14" s="146"/>
      <c r="U14" s="146"/>
      <c r="V14" s="146"/>
      <c r="W14" s="146"/>
      <c r="X14" s="154"/>
      <c r="Y14" s="146"/>
      <c r="Z14" s="146"/>
      <c r="AA14" s="146"/>
      <c r="AB14" s="159"/>
      <c r="AC14" s="160"/>
      <c r="AD14" s="146"/>
      <c r="AE14" s="146"/>
      <c r="AF14" s="146"/>
      <c r="AG14" s="146"/>
      <c r="AH14" s="146"/>
      <c r="AI14" s="146"/>
      <c r="AJ14" s="146"/>
      <c r="AK14" s="146"/>
      <c r="AL14" s="146"/>
      <c r="AM14" s="146"/>
      <c r="AN14" s="146"/>
      <c r="AO14" s="155"/>
      <c r="AP14" s="146"/>
      <c r="AQ14" s="146"/>
      <c r="AR14" s="145"/>
      <c r="AS14" s="146"/>
      <c r="AT14" s="161" t="s">
        <v>316</v>
      </c>
      <c r="AU14" s="160"/>
      <c r="AV14" s="146"/>
      <c r="AW14" s="146"/>
      <c r="AX14" s="146"/>
      <c r="AY14" s="146"/>
      <c r="AZ14" s="156"/>
      <c r="BA14" s="156"/>
      <c r="BB14" s="156"/>
      <c r="BC14" s="156"/>
      <c r="BD14" s="156"/>
      <c r="BE14" s="156"/>
      <c r="BI14" s="157"/>
      <c r="BJ14" s="136"/>
    </row>
    <row r="15" spans="1:62" s="131" customFormat="1" ht="18.75" customHeight="1">
      <c r="A15" s="135"/>
      <c r="B15" s="151"/>
      <c r="C15" s="152"/>
      <c r="D15" s="152"/>
      <c r="E15" s="152"/>
      <c r="F15" s="152"/>
      <c r="G15" s="152"/>
      <c r="H15" s="153"/>
      <c r="I15" s="145"/>
      <c r="J15" s="146"/>
      <c r="K15" s="158" t="s">
        <v>317</v>
      </c>
      <c r="L15" s="146"/>
      <c r="M15" s="146"/>
      <c r="N15" s="146"/>
      <c r="O15" s="146"/>
      <c r="P15" s="146"/>
      <c r="Q15" s="146"/>
      <c r="R15" s="146"/>
      <c r="S15" s="146"/>
      <c r="T15" s="146"/>
      <c r="U15" s="146"/>
      <c r="V15" s="146"/>
      <c r="W15" s="146"/>
      <c r="X15" s="154"/>
      <c r="Y15" s="146"/>
      <c r="Z15" s="146"/>
      <c r="AA15" s="146"/>
      <c r="AB15" s="159"/>
      <c r="AC15" s="160"/>
      <c r="AD15" s="146"/>
      <c r="AE15" s="146"/>
      <c r="AF15" s="146"/>
      <c r="AG15" s="146"/>
      <c r="AH15" s="146"/>
      <c r="AI15" s="146"/>
      <c r="AJ15" s="146"/>
      <c r="AK15" s="146"/>
      <c r="AL15" s="146"/>
      <c r="AM15" s="146"/>
      <c r="AN15" s="146"/>
      <c r="AO15" s="155"/>
      <c r="AP15" s="146"/>
      <c r="AQ15" s="146"/>
      <c r="AR15" s="145"/>
      <c r="AS15" s="146"/>
      <c r="AT15" s="161" t="s">
        <v>318</v>
      </c>
      <c r="AU15" s="160"/>
      <c r="AV15" s="146"/>
      <c r="AW15" s="146"/>
      <c r="AX15" s="146"/>
      <c r="AY15" s="146"/>
      <c r="AZ15" s="156"/>
      <c r="BA15" s="156"/>
      <c r="BB15" s="156"/>
      <c r="BC15" s="156"/>
      <c r="BD15" s="156"/>
      <c r="BE15" s="156"/>
      <c r="BI15" s="157"/>
      <c r="BJ15" s="136"/>
    </row>
    <row r="16" spans="1:62" s="131" customFormat="1" ht="20.25" customHeight="1">
      <c r="A16" s="135"/>
      <c r="B16" s="151"/>
      <c r="C16" s="152"/>
      <c r="D16" s="152"/>
      <c r="E16" s="152"/>
      <c r="F16" s="152"/>
      <c r="G16" s="152"/>
      <c r="H16" s="153"/>
      <c r="I16" s="145"/>
      <c r="J16" s="146"/>
      <c r="K16" s="146"/>
      <c r="L16" s="146"/>
      <c r="M16" s="146"/>
      <c r="N16" s="146"/>
      <c r="O16" s="146"/>
      <c r="P16" s="146"/>
      <c r="Q16" s="146"/>
      <c r="R16" s="146"/>
      <c r="S16" s="146"/>
      <c r="T16" s="146"/>
      <c r="U16" s="146"/>
      <c r="V16" s="146"/>
      <c r="W16" s="146"/>
      <c r="X16" s="154"/>
      <c r="Y16" s="146"/>
      <c r="Z16" s="146"/>
      <c r="AA16" s="146"/>
      <c r="AB16" s="159"/>
      <c r="AC16" s="160"/>
      <c r="AD16" s="146"/>
      <c r="AE16" s="146"/>
      <c r="AF16" s="146"/>
      <c r="AG16" s="146"/>
      <c r="AH16" s="146"/>
      <c r="AI16" s="146"/>
      <c r="AJ16" s="146"/>
      <c r="AK16" s="146"/>
      <c r="AL16" s="146"/>
      <c r="AM16" s="146"/>
      <c r="AN16" s="146"/>
      <c r="AO16" s="155"/>
      <c r="AP16" s="146"/>
      <c r="AQ16" s="146"/>
      <c r="AR16" s="145"/>
      <c r="AS16" s="146"/>
      <c r="AT16" s="161" t="s">
        <v>223</v>
      </c>
      <c r="AU16" s="160"/>
      <c r="AV16" s="146"/>
      <c r="AW16" s="146"/>
      <c r="AX16" s="146"/>
      <c r="AY16" s="146"/>
      <c r="AZ16" s="156"/>
      <c r="BA16" s="156"/>
      <c r="BB16" s="156"/>
      <c r="BC16" s="156"/>
      <c r="BD16" s="156"/>
      <c r="BE16" s="156"/>
      <c r="BI16" s="157"/>
      <c r="BJ16" s="136"/>
    </row>
    <row r="17" spans="1:62" s="131" customFormat="1" ht="20.25" customHeight="1">
      <c r="A17" s="135"/>
      <c r="B17" s="151"/>
      <c r="C17" s="152"/>
      <c r="D17" s="152"/>
      <c r="E17" s="152"/>
      <c r="F17" s="152"/>
      <c r="G17" s="152"/>
      <c r="H17" s="153"/>
      <c r="I17" s="145"/>
      <c r="J17" s="146"/>
      <c r="K17" s="146"/>
      <c r="L17" s="146"/>
      <c r="M17" s="146"/>
      <c r="N17" s="146"/>
      <c r="O17" s="146"/>
      <c r="P17" s="146"/>
      <c r="Q17" s="146"/>
      <c r="R17" s="146"/>
      <c r="S17" s="146"/>
      <c r="T17" s="146"/>
      <c r="U17" s="146"/>
      <c r="V17" s="146"/>
      <c r="W17" s="146"/>
      <c r="X17" s="154"/>
      <c r="Y17" s="146"/>
      <c r="Z17" s="146"/>
      <c r="AA17" s="146"/>
      <c r="AB17" s="159"/>
      <c r="AC17" s="160"/>
      <c r="AD17" s="146"/>
      <c r="AE17" s="146"/>
      <c r="AF17" s="146"/>
      <c r="AG17" s="146"/>
      <c r="AH17" s="146"/>
      <c r="AI17" s="146"/>
      <c r="AJ17" s="146"/>
      <c r="AK17" s="146"/>
      <c r="AL17" s="146"/>
      <c r="AM17" s="146"/>
      <c r="AN17" s="146"/>
      <c r="AO17" s="155"/>
      <c r="AP17" s="146"/>
      <c r="AQ17" s="146"/>
      <c r="AR17" s="145"/>
      <c r="AS17" s="146"/>
      <c r="AT17" s="161" t="s">
        <v>224</v>
      </c>
      <c r="AU17" s="160"/>
      <c r="AV17" s="146"/>
      <c r="AW17" s="146"/>
      <c r="AX17" s="146"/>
      <c r="AY17" s="146"/>
      <c r="AZ17" s="156"/>
      <c r="BA17" s="156"/>
      <c r="BB17" s="156"/>
      <c r="BC17" s="156"/>
      <c r="BD17" s="156"/>
      <c r="BE17" s="156"/>
      <c r="BI17" s="157"/>
      <c r="BJ17" s="136"/>
    </row>
    <row r="18" spans="1:62" s="131" customFormat="1" ht="20.25" customHeight="1">
      <c r="A18" s="135"/>
      <c r="B18" s="151"/>
      <c r="C18" s="152"/>
      <c r="D18" s="152"/>
      <c r="E18" s="152"/>
      <c r="F18" s="152"/>
      <c r="G18" s="152"/>
      <c r="H18" s="153"/>
      <c r="I18" s="145"/>
      <c r="J18" s="146"/>
      <c r="K18" s="146"/>
      <c r="L18" s="146"/>
      <c r="M18" s="146"/>
      <c r="N18" s="146"/>
      <c r="O18" s="146"/>
      <c r="P18" s="146"/>
      <c r="Q18" s="146"/>
      <c r="R18" s="146"/>
      <c r="S18" s="146"/>
      <c r="T18" s="146"/>
      <c r="U18" s="146"/>
      <c r="V18" s="146"/>
      <c r="W18" s="146"/>
      <c r="X18" s="154"/>
      <c r="Y18" s="146"/>
      <c r="Z18" s="146"/>
      <c r="AA18" s="146"/>
      <c r="AB18" s="159"/>
      <c r="AC18" s="160"/>
      <c r="AD18" s="146"/>
      <c r="AE18" s="146"/>
      <c r="AF18" s="146"/>
      <c r="AG18" s="146"/>
      <c r="AH18" s="146"/>
      <c r="AI18" s="146"/>
      <c r="AJ18" s="146"/>
      <c r="AK18" s="146"/>
      <c r="AL18" s="146"/>
      <c r="AM18" s="146"/>
      <c r="AN18" s="146"/>
      <c r="AO18" s="155"/>
      <c r="AP18" s="146"/>
      <c r="AQ18" s="146"/>
      <c r="AR18" s="145"/>
      <c r="AS18" s="146"/>
      <c r="AT18" s="161" t="s">
        <v>225</v>
      </c>
      <c r="AU18" s="160"/>
      <c r="AV18" s="146"/>
      <c r="AW18" s="146"/>
      <c r="AX18" s="146"/>
      <c r="AY18" s="146"/>
      <c r="AZ18" s="156"/>
      <c r="BA18" s="156"/>
      <c r="BB18" s="156"/>
      <c r="BC18" s="156"/>
      <c r="BD18" s="156"/>
      <c r="BE18" s="156"/>
      <c r="BI18" s="157"/>
      <c r="BJ18" s="136"/>
    </row>
    <row r="19" spans="1:62" s="131" customFormat="1" ht="20.25" customHeight="1">
      <c r="A19" s="135"/>
      <c r="B19" s="151"/>
      <c r="C19" s="152"/>
      <c r="D19" s="152"/>
      <c r="E19" s="152"/>
      <c r="F19" s="152"/>
      <c r="G19" s="152"/>
      <c r="H19" s="153"/>
      <c r="I19" s="145"/>
      <c r="J19" s="146"/>
      <c r="K19" s="146"/>
      <c r="L19" s="146"/>
      <c r="M19" s="146"/>
      <c r="N19" s="146"/>
      <c r="O19" s="146"/>
      <c r="P19" s="146"/>
      <c r="Q19" s="146"/>
      <c r="R19" s="146"/>
      <c r="S19" s="146"/>
      <c r="T19" s="146"/>
      <c r="U19" s="146"/>
      <c r="V19" s="146"/>
      <c r="W19" s="146"/>
      <c r="X19" s="154"/>
      <c r="Y19" s="146"/>
      <c r="Z19" s="146"/>
      <c r="AA19" s="146"/>
      <c r="AB19" s="159"/>
      <c r="AC19" s="160"/>
      <c r="AD19" s="146"/>
      <c r="AE19" s="146"/>
      <c r="AF19" s="146"/>
      <c r="AG19" s="146"/>
      <c r="AH19" s="146"/>
      <c r="AI19" s="146"/>
      <c r="AJ19" s="146"/>
      <c r="AK19" s="146"/>
      <c r="AL19" s="146"/>
      <c r="AM19" s="146"/>
      <c r="AN19" s="146"/>
      <c r="AO19" s="155"/>
      <c r="AP19" s="146"/>
      <c r="AQ19" s="146"/>
      <c r="AR19" s="145"/>
      <c r="AS19" s="146"/>
      <c r="AT19" s="161" t="s">
        <v>226</v>
      </c>
      <c r="AU19" s="160"/>
      <c r="AV19" s="146"/>
      <c r="AW19" s="146"/>
      <c r="AX19" s="146"/>
      <c r="AY19" s="146"/>
      <c r="AZ19" s="156"/>
      <c r="BA19" s="156"/>
      <c r="BB19" s="156"/>
      <c r="BC19" s="156"/>
      <c r="BD19" s="156"/>
      <c r="BE19" s="156"/>
      <c r="BI19" s="157"/>
      <c r="BJ19" s="136"/>
    </row>
    <row r="20" spans="1:62" s="131" customFormat="1" ht="20.25" customHeight="1">
      <c r="A20" s="135"/>
      <c r="B20" s="151"/>
      <c r="C20" s="152"/>
      <c r="D20" s="152"/>
      <c r="E20" s="152"/>
      <c r="F20" s="152"/>
      <c r="G20" s="152"/>
      <c r="H20" s="153"/>
      <c r="I20" s="145"/>
      <c r="J20" s="146"/>
      <c r="K20" s="146"/>
      <c r="L20" s="146"/>
      <c r="M20" s="146"/>
      <c r="N20" s="146"/>
      <c r="O20" s="146"/>
      <c r="P20" s="146"/>
      <c r="Q20" s="146"/>
      <c r="R20" s="146"/>
      <c r="S20" s="146"/>
      <c r="T20" s="146"/>
      <c r="U20" s="146"/>
      <c r="V20" s="146"/>
      <c r="W20" s="146"/>
      <c r="X20" s="154"/>
      <c r="Y20" s="146"/>
      <c r="Z20" s="146"/>
      <c r="AA20" s="146"/>
      <c r="AB20" s="159"/>
      <c r="AC20" s="160"/>
      <c r="AD20" s="146"/>
      <c r="AE20" s="146"/>
      <c r="AF20" s="146"/>
      <c r="AG20" s="146"/>
      <c r="AH20" s="146"/>
      <c r="AI20" s="146"/>
      <c r="AJ20" s="146"/>
      <c r="AK20" s="146"/>
      <c r="AL20" s="146"/>
      <c r="AM20" s="146"/>
      <c r="AN20" s="146"/>
      <c r="AO20" s="155"/>
      <c r="AP20" s="146"/>
      <c r="AQ20" s="146"/>
      <c r="AR20" s="145"/>
      <c r="AS20" s="146"/>
      <c r="AT20" s="161" t="s">
        <v>227</v>
      </c>
      <c r="AU20" s="160"/>
      <c r="AV20" s="146"/>
      <c r="AW20" s="146"/>
      <c r="AX20" s="146"/>
      <c r="AY20" s="146"/>
      <c r="AZ20" s="156"/>
      <c r="BA20" s="156"/>
      <c r="BB20" s="156"/>
      <c r="BC20" s="156"/>
      <c r="BD20" s="156"/>
      <c r="BE20" s="156"/>
      <c r="BI20" s="157"/>
      <c r="BJ20" s="136"/>
    </row>
    <row r="21" spans="1:62" s="131" customFormat="1" ht="20.25" customHeight="1">
      <c r="A21" s="135"/>
      <c r="B21" s="162"/>
      <c r="C21" s="163"/>
      <c r="D21" s="164"/>
      <c r="E21" s="163"/>
      <c r="F21" s="163"/>
      <c r="G21" s="163"/>
      <c r="H21" s="165"/>
      <c r="I21" s="166"/>
      <c r="J21" s="167"/>
      <c r="K21" s="168"/>
      <c r="L21" s="168"/>
      <c r="M21" s="169"/>
      <c r="N21" s="167"/>
      <c r="O21" s="169"/>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6"/>
      <c r="AS21" s="167"/>
      <c r="AT21" s="167"/>
      <c r="AU21" s="167"/>
      <c r="AV21" s="167"/>
      <c r="AW21" s="167"/>
      <c r="AX21" s="167"/>
      <c r="AY21" s="167"/>
      <c r="AZ21" s="170"/>
      <c r="BA21" s="170"/>
      <c r="BB21" s="170"/>
      <c r="BC21" s="170"/>
      <c r="BD21" s="170"/>
      <c r="BE21" s="170"/>
      <c r="BF21" s="170"/>
      <c r="BG21" s="170"/>
      <c r="BH21" s="170"/>
      <c r="BI21" s="171"/>
      <c r="BJ21" s="136"/>
    </row>
    <row r="22" spans="1:62" s="131" customFormat="1" ht="20.25" customHeight="1">
      <c r="A22" s="135"/>
      <c r="B22" s="142" t="s">
        <v>319</v>
      </c>
      <c r="C22" s="143"/>
      <c r="D22" s="143"/>
      <c r="E22" s="143"/>
      <c r="F22" s="143"/>
      <c r="G22" s="143"/>
      <c r="H22" s="144"/>
      <c r="I22" s="150"/>
      <c r="J22" s="148"/>
      <c r="K22" s="147"/>
      <c r="L22" s="147"/>
      <c r="M22" s="149"/>
      <c r="N22" s="148"/>
      <c r="O22" s="148"/>
      <c r="P22" s="148"/>
      <c r="Q22" s="148"/>
      <c r="R22" s="148"/>
      <c r="S22" s="148"/>
      <c r="T22" s="148"/>
      <c r="U22" s="148"/>
      <c r="V22" s="148"/>
      <c r="W22" s="148"/>
      <c r="X22" s="148"/>
      <c r="Y22" s="148"/>
      <c r="Z22" s="148"/>
      <c r="AA22" s="148"/>
      <c r="AB22" s="148"/>
      <c r="AC22" s="148"/>
      <c r="AD22" s="148"/>
      <c r="AE22" s="148"/>
      <c r="AF22" s="148"/>
      <c r="AG22" s="149"/>
      <c r="AH22" s="148"/>
      <c r="AI22" s="148"/>
      <c r="AJ22" s="148"/>
      <c r="AK22" s="148"/>
      <c r="AL22" s="148"/>
      <c r="AM22" s="148"/>
      <c r="AN22" s="148"/>
      <c r="AO22" s="148"/>
      <c r="AP22" s="148"/>
      <c r="AQ22" s="148"/>
      <c r="AR22" s="150"/>
      <c r="AS22" s="148"/>
      <c r="AT22" s="148"/>
      <c r="AU22" s="148"/>
      <c r="AV22" s="148"/>
      <c r="AW22" s="148"/>
      <c r="AX22" s="148"/>
      <c r="AY22" s="148"/>
      <c r="AZ22" s="133"/>
      <c r="BA22" s="133"/>
      <c r="BB22" s="133"/>
      <c r="BC22" s="133"/>
      <c r="BD22" s="133"/>
      <c r="BE22" s="133"/>
      <c r="BF22" s="172"/>
      <c r="BG22" s="172"/>
      <c r="BH22" s="172"/>
      <c r="BI22" s="134"/>
      <c r="BJ22" s="136"/>
    </row>
    <row r="23" spans="1:62" s="131" customFormat="1" ht="20.25" customHeight="1">
      <c r="A23" s="135"/>
      <c r="B23" s="151" t="s">
        <v>320</v>
      </c>
      <c r="C23" s="152"/>
      <c r="D23" s="152"/>
      <c r="E23" s="152"/>
      <c r="F23" s="152"/>
      <c r="G23" s="152"/>
      <c r="H23" s="153"/>
      <c r="I23" s="145"/>
      <c r="J23" s="173" t="s">
        <v>172</v>
      </c>
      <c r="K23" s="146"/>
      <c r="L23" s="146"/>
      <c r="M23" s="146"/>
      <c r="N23" s="174" t="s">
        <v>173</v>
      </c>
      <c r="O23" s="146"/>
      <c r="P23" s="146"/>
      <c r="Q23" s="154"/>
      <c r="R23" s="154"/>
      <c r="S23" s="146"/>
      <c r="T23" s="146"/>
      <c r="U23" s="146" t="s">
        <v>174</v>
      </c>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75" t="s">
        <v>177</v>
      </c>
      <c r="AS23" s="146"/>
      <c r="AT23" s="146"/>
      <c r="AU23" s="146"/>
      <c r="AV23" s="146" t="s">
        <v>178</v>
      </c>
      <c r="AW23" s="146"/>
      <c r="AX23" s="146"/>
      <c r="AY23" s="146"/>
      <c r="AZ23" s="156"/>
      <c r="BA23" s="156"/>
      <c r="BB23" s="176"/>
      <c r="BC23" s="156"/>
      <c r="BD23" s="156"/>
      <c r="BE23" s="156"/>
      <c r="BI23" s="157"/>
      <c r="BJ23" s="136"/>
    </row>
    <row r="24" spans="1:62" s="131" customFormat="1" ht="20.25" customHeight="1">
      <c r="A24" s="135"/>
      <c r="B24" s="151"/>
      <c r="C24" s="152"/>
      <c r="D24" s="152"/>
      <c r="E24" s="152"/>
      <c r="F24" s="152"/>
      <c r="G24" s="152"/>
      <c r="H24" s="153"/>
      <c r="I24" s="145"/>
      <c r="J24" s="173" t="s">
        <v>175</v>
      </c>
      <c r="K24" s="146"/>
      <c r="L24" s="146"/>
      <c r="M24" s="146"/>
      <c r="N24" s="177" t="s">
        <v>176</v>
      </c>
      <c r="O24" s="146"/>
      <c r="P24" s="146"/>
      <c r="Q24" s="154"/>
      <c r="R24" s="154"/>
      <c r="S24" s="146"/>
      <c r="T24" s="146"/>
      <c r="U24" s="146" t="s">
        <v>174</v>
      </c>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75" t="s">
        <v>179</v>
      </c>
      <c r="AS24" s="146"/>
      <c r="AT24" s="146"/>
      <c r="AU24" s="146"/>
      <c r="AV24" s="146" t="s">
        <v>180</v>
      </c>
      <c r="AW24" s="146"/>
      <c r="AX24" s="146"/>
      <c r="AY24" s="146"/>
      <c r="AZ24" s="156"/>
      <c r="BA24" s="156"/>
      <c r="BB24" s="178"/>
      <c r="BC24" s="156"/>
      <c r="BD24" s="156"/>
      <c r="BE24" s="156"/>
      <c r="BI24" s="157"/>
      <c r="BJ24" s="136"/>
    </row>
    <row r="25" spans="1:62" s="131" customFormat="1" ht="20.25" customHeight="1">
      <c r="A25" s="135"/>
      <c r="B25" s="151"/>
      <c r="C25" s="152"/>
      <c r="D25" s="152"/>
      <c r="E25" s="152"/>
      <c r="F25" s="152"/>
      <c r="G25" s="152"/>
      <c r="H25" s="153"/>
      <c r="I25" s="145"/>
      <c r="J25" s="179" t="s">
        <v>177</v>
      </c>
      <c r="K25" s="146"/>
      <c r="L25" s="146"/>
      <c r="M25" s="146"/>
      <c r="N25" s="177" t="s">
        <v>178</v>
      </c>
      <c r="O25" s="146"/>
      <c r="P25" s="146"/>
      <c r="Q25" s="154"/>
      <c r="R25" s="154"/>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75" t="s">
        <v>181</v>
      </c>
      <c r="AS25" s="146"/>
      <c r="AT25" s="146"/>
      <c r="AU25" s="146"/>
      <c r="AV25" s="146" t="s">
        <v>182</v>
      </c>
      <c r="AW25" s="146"/>
      <c r="AX25" s="146"/>
      <c r="AY25" s="146"/>
      <c r="AZ25" s="156"/>
      <c r="BA25" s="156"/>
      <c r="BB25" s="178"/>
      <c r="BC25" s="156"/>
      <c r="BD25" s="156"/>
      <c r="BE25" s="156"/>
      <c r="BI25" s="157"/>
      <c r="BJ25" s="136"/>
    </row>
    <row r="26" spans="1:62" s="131" customFormat="1" ht="20.25" customHeight="1">
      <c r="A26" s="135"/>
      <c r="B26" s="180"/>
      <c r="C26" s="152"/>
      <c r="D26" s="152"/>
      <c r="E26" s="152"/>
      <c r="F26" s="152"/>
      <c r="G26" s="152"/>
      <c r="H26" s="153"/>
      <c r="I26" s="145"/>
      <c r="J26" s="179" t="s">
        <v>179</v>
      </c>
      <c r="K26" s="146"/>
      <c r="L26" s="146"/>
      <c r="M26" s="146"/>
      <c r="N26" s="177" t="s">
        <v>180</v>
      </c>
      <c r="O26" s="146"/>
      <c r="P26" s="146"/>
      <c r="Q26" s="181"/>
      <c r="R26" s="181"/>
      <c r="S26" s="182"/>
      <c r="T26" s="182"/>
      <c r="U26" s="146"/>
      <c r="V26" s="182"/>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75" t="s">
        <v>183</v>
      </c>
      <c r="AS26" s="146"/>
      <c r="AT26" s="146"/>
      <c r="AU26" s="146"/>
      <c r="AV26" s="146" t="s">
        <v>184</v>
      </c>
      <c r="AW26" s="146"/>
      <c r="AX26" s="146"/>
      <c r="AY26" s="146"/>
      <c r="AZ26" s="156"/>
      <c r="BA26" s="156"/>
      <c r="BB26" s="178"/>
      <c r="BC26" s="156"/>
      <c r="BD26" s="156"/>
      <c r="BE26" s="156"/>
      <c r="BI26" s="157"/>
      <c r="BJ26" s="136"/>
    </row>
    <row r="27" spans="1:62" s="131" customFormat="1" ht="20.25" customHeight="1">
      <c r="A27" s="135"/>
      <c r="B27" s="180"/>
      <c r="C27" s="152"/>
      <c r="D27" s="152"/>
      <c r="E27" s="152"/>
      <c r="F27" s="152"/>
      <c r="G27" s="152"/>
      <c r="H27" s="153"/>
      <c r="I27" s="145"/>
      <c r="J27" s="173" t="s">
        <v>181</v>
      </c>
      <c r="K27" s="146"/>
      <c r="L27" s="146"/>
      <c r="M27" s="146"/>
      <c r="N27" s="177" t="s">
        <v>182</v>
      </c>
      <c r="O27" s="146"/>
      <c r="P27" s="146"/>
      <c r="Q27" s="181"/>
      <c r="R27" s="181"/>
      <c r="S27" s="182"/>
      <c r="T27" s="182"/>
      <c r="U27" s="146"/>
      <c r="V27" s="182"/>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5"/>
      <c r="AS27" s="146"/>
      <c r="AT27" s="146"/>
      <c r="AU27" s="146"/>
      <c r="AV27" s="146"/>
      <c r="AW27" s="146"/>
      <c r="AX27" s="146"/>
      <c r="AY27" s="146"/>
      <c r="AZ27" s="156"/>
      <c r="BA27" s="156"/>
      <c r="BB27" s="156"/>
      <c r="BC27" s="156"/>
      <c r="BD27" s="156"/>
      <c r="BE27" s="156"/>
      <c r="BI27" s="157"/>
      <c r="BJ27" s="136"/>
    </row>
    <row r="28" spans="1:62" s="131" customFormat="1" ht="20.25" customHeight="1">
      <c r="A28" s="135"/>
      <c r="B28" s="180"/>
      <c r="C28" s="152"/>
      <c r="D28" s="152"/>
      <c r="E28" s="152"/>
      <c r="F28" s="152"/>
      <c r="G28" s="152"/>
      <c r="H28" s="153"/>
      <c r="I28" s="145"/>
      <c r="J28" s="173" t="s">
        <v>183</v>
      </c>
      <c r="K28" s="146"/>
      <c r="L28" s="146"/>
      <c r="M28" s="146"/>
      <c r="N28" s="177" t="s">
        <v>184</v>
      </c>
      <c r="O28" s="146"/>
      <c r="P28" s="146"/>
      <c r="Q28" s="181"/>
      <c r="R28" s="181"/>
      <c r="S28" s="182"/>
      <c r="T28" s="182"/>
      <c r="U28" s="146"/>
      <c r="V28" s="182"/>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5"/>
      <c r="AS28" s="146"/>
      <c r="AT28" s="146"/>
      <c r="AU28" s="146"/>
      <c r="AV28" s="146"/>
      <c r="AW28" s="146"/>
      <c r="AX28" s="146"/>
      <c r="AY28" s="146"/>
      <c r="AZ28" s="156"/>
      <c r="BA28" s="156"/>
      <c r="BB28" s="156"/>
      <c r="BC28" s="156"/>
      <c r="BD28" s="156"/>
      <c r="BE28" s="156"/>
      <c r="BI28" s="157"/>
      <c r="BJ28" s="136"/>
    </row>
    <row r="29" spans="1:62" s="131" customFormat="1" ht="20.25" customHeight="1">
      <c r="A29" s="135"/>
      <c r="B29" s="180"/>
      <c r="C29" s="152"/>
      <c r="D29" s="152"/>
      <c r="E29" s="152"/>
      <c r="F29" s="152"/>
      <c r="G29" s="152"/>
      <c r="H29" s="153"/>
      <c r="I29" s="145"/>
      <c r="J29" s="173" t="s">
        <v>185</v>
      </c>
      <c r="K29" s="146"/>
      <c r="L29" s="146"/>
      <c r="M29" s="146"/>
      <c r="N29" s="177" t="s">
        <v>186</v>
      </c>
      <c r="O29" s="146"/>
      <c r="P29" s="146"/>
      <c r="Q29" s="181"/>
      <c r="R29" s="181"/>
      <c r="S29" s="182"/>
      <c r="T29" s="182"/>
      <c r="U29" s="146" t="s">
        <v>187</v>
      </c>
      <c r="V29" s="182"/>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5"/>
      <c r="AS29" s="146"/>
      <c r="AT29" s="146"/>
      <c r="AU29" s="146"/>
      <c r="AV29" s="146"/>
      <c r="AW29" s="146"/>
      <c r="AX29" s="146"/>
      <c r="AY29" s="146"/>
      <c r="AZ29" s="156"/>
      <c r="BA29" s="156"/>
      <c r="BB29" s="156"/>
      <c r="BC29" s="156"/>
      <c r="BD29" s="156"/>
      <c r="BE29" s="156"/>
      <c r="BI29" s="157"/>
      <c r="BJ29" s="136"/>
    </row>
    <row r="30" spans="1:62" s="131" customFormat="1" ht="20.25" customHeight="1">
      <c r="A30" s="135"/>
      <c r="B30" s="180"/>
      <c r="C30" s="152"/>
      <c r="D30" s="152"/>
      <c r="E30" s="152"/>
      <c r="F30" s="152"/>
      <c r="G30" s="152"/>
      <c r="H30" s="153"/>
      <c r="I30" s="145"/>
      <c r="J30" s="173" t="s">
        <v>185</v>
      </c>
      <c r="K30" s="146"/>
      <c r="L30" s="146"/>
      <c r="M30" s="146"/>
      <c r="N30" s="177" t="s">
        <v>186</v>
      </c>
      <c r="O30" s="146"/>
      <c r="P30" s="146"/>
      <c r="Q30" s="181"/>
      <c r="R30" s="181"/>
      <c r="S30" s="182"/>
      <c r="T30" s="182"/>
      <c r="U30" s="146" t="s">
        <v>321</v>
      </c>
      <c r="V30" s="182"/>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5"/>
      <c r="AS30" s="146"/>
      <c r="AT30" s="146"/>
      <c r="AU30" s="146"/>
      <c r="AV30" s="146"/>
      <c r="AW30" s="146"/>
      <c r="AX30" s="146"/>
      <c r="AY30" s="146"/>
      <c r="AZ30" s="156"/>
      <c r="BA30" s="156"/>
      <c r="BB30" s="156"/>
      <c r="BC30" s="156"/>
      <c r="BD30" s="156"/>
      <c r="BE30" s="156"/>
      <c r="BI30" s="157"/>
      <c r="BJ30" s="136"/>
    </row>
    <row r="31" spans="1:62" s="131" customFormat="1" ht="20.25" customHeight="1">
      <c r="A31" s="135"/>
      <c r="B31" s="180"/>
      <c r="C31" s="152"/>
      <c r="D31" s="152"/>
      <c r="E31" s="152"/>
      <c r="F31" s="152"/>
      <c r="G31" s="152"/>
      <c r="H31" s="153"/>
      <c r="I31" s="145"/>
      <c r="J31" s="173"/>
      <c r="K31" s="146"/>
      <c r="L31" s="146"/>
      <c r="M31" s="146"/>
      <c r="N31" s="177"/>
      <c r="O31" s="146"/>
      <c r="P31" s="146"/>
      <c r="Q31" s="181"/>
      <c r="R31" s="181"/>
      <c r="S31" s="182"/>
      <c r="T31" s="182"/>
      <c r="U31" s="146"/>
      <c r="V31" s="146" t="s">
        <v>322</v>
      </c>
      <c r="W31" s="146"/>
      <c r="X31" s="146"/>
      <c r="Z31" s="146"/>
      <c r="AA31" s="146"/>
      <c r="AB31" s="146"/>
      <c r="AC31" s="146"/>
      <c r="AD31" s="146"/>
      <c r="AE31" s="146"/>
      <c r="AF31" s="146"/>
      <c r="AG31" s="146"/>
      <c r="AH31" s="146"/>
      <c r="AI31" s="146"/>
      <c r="AJ31" s="146"/>
      <c r="AK31" s="146"/>
      <c r="AL31" s="146"/>
      <c r="AM31" s="146"/>
      <c r="AN31" s="146"/>
      <c r="AO31" s="146"/>
      <c r="AP31" s="146"/>
      <c r="AQ31" s="146"/>
      <c r="AR31" s="145"/>
      <c r="AS31" s="146"/>
      <c r="AT31" s="146"/>
      <c r="AU31" s="146"/>
      <c r="AV31" s="146"/>
      <c r="AW31" s="146"/>
      <c r="AX31" s="146"/>
      <c r="AY31" s="146"/>
      <c r="AZ31" s="156"/>
      <c r="BA31" s="156"/>
      <c r="BB31" s="156"/>
      <c r="BC31" s="156"/>
      <c r="BD31" s="156"/>
      <c r="BE31" s="156"/>
      <c r="BI31" s="157"/>
      <c r="BJ31" s="136"/>
    </row>
    <row r="32" spans="1:62" s="131" customFormat="1" ht="20.25" customHeight="1">
      <c r="A32" s="135"/>
      <c r="B32" s="180"/>
      <c r="C32" s="152"/>
      <c r="D32" s="152"/>
      <c r="E32" s="152"/>
      <c r="F32" s="152"/>
      <c r="G32" s="152"/>
      <c r="H32" s="153"/>
      <c r="I32" s="145"/>
      <c r="J32" s="173" t="s">
        <v>189</v>
      </c>
      <c r="K32" s="146"/>
      <c r="L32" s="146"/>
      <c r="M32" s="146"/>
      <c r="N32" s="146" t="s">
        <v>190</v>
      </c>
      <c r="O32" s="146"/>
      <c r="P32" s="146"/>
      <c r="Q32" s="181"/>
      <c r="R32" s="181"/>
      <c r="S32" s="182"/>
      <c r="T32" s="182"/>
      <c r="U32" s="146" t="s">
        <v>187</v>
      </c>
      <c r="V32" s="182"/>
      <c r="W32" s="146"/>
      <c r="X32" s="146"/>
      <c r="Y32" s="146"/>
      <c r="Z32" s="146"/>
      <c r="AA32" s="146"/>
      <c r="AB32" s="146"/>
      <c r="AC32" s="146"/>
      <c r="AD32" s="146"/>
      <c r="AE32" s="146"/>
      <c r="AF32" s="146"/>
      <c r="AG32" s="146"/>
      <c r="AH32" s="155"/>
      <c r="AI32" s="146"/>
      <c r="AJ32" s="146"/>
      <c r="AK32" s="146"/>
      <c r="AL32" s="146"/>
      <c r="AM32" s="146"/>
      <c r="AN32" s="146"/>
      <c r="AO32" s="146"/>
      <c r="AP32" s="146"/>
      <c r="AQ32" s="146"/>
      <c r="AR32" s="145"/>
      <c r="AS32" s="146"/>
      <c r="AT32" s="146"/>
      <c r="AU32" s="146"/>
      <c r="AV32" s="146"/>
      <c r="AW32" s="146"/>
      <c r="AX32" s="146"/>
      <c r="AY32" s="146"/>
      <c r="AZ32" s="156"/>
      <c r="BA32" s="156"/>
      <c r="BB32" s="156"/>
      <c r="BC32" s="156"/>
      <c r="BD32" s="156"/>
      <c r="BE32" s="156"/>
      <c r="BI32" s="157"/>
      <c r="BJ32" s="136"/>
    </row>
    <row r="33" spans="1:62" s="131" customFormat="1" ht="20.25" customHeight="1">
      <c r="A33" s="135"/>
      <c r="B33" s="180"/>
      <c r="C33" s="152"/>
      <c r="D33" s="152"/>
      <c r="E33" s="152"/>
      <c r="F33" s="152"/>
      <c r="G33" s="152"/>
      <c r="H33" s="153"/>
      <c r="I33" s="145"/>
      <c r="J33" s="173" t="s">
        <v>189</v>
      </c>
      <c r="K33" s="146"/>
      <c r="L33" s="146"/>
      <c r="M33" s="146"/>
      <c r="N33" s="146" t="s">
        <v>190</v>
      </c>
      <c r="O33" s="146"/>
      <c r="P33" s="146"/>
      <c r="Q33" s="181"/>
      <c r="R33" s="181"/>
      <c r="S33" s="182"/>
      <c r="T33" s="182"/>
      <c r="U33" s="146" t="s">
        <v>321</v>
      </c>
      <c r="V33" s="182"/>
      <c r="W33" s="146"/>
      <c r="X33" s="146"/>
      <c r="Y33" s="146"/>
      <c r="Z33" s="146"/>
      <c r="AA33" s="146"/>
      <c r="AB33" s="146"/>
      <c r="AC33" s="146"/>
      <c r="AD33" s="146"/>
      <c r="AE33" s="146"/>
      <c r="AF33" s="146"/>
      <c r="AG33" s="146"/>
      <c r="AH33" s="155"/>
      <c r="AI33" s="146"/>
      <c r="AJ33" s="146"/>
      <c r="AK33" s="146"/>
      <c r="AL33" s="146"/>
      <c r="AM33" s="146"/>
      <c r="AN33" s="146"/>
      <c r="AO33" s="146"/>
      <c r="AP33" s="146"/>
      <c r="AQ33" s="146"/>
      <c r="AR33" s="145"/>
      <c r="AS33" s="146"/>
      <c r="AT33" s="146"/>
      <c r="AU33" s="146"/>
      <c r="AV33" s="146"/>
      <c r="AW33" s="146"/>
      <c r="AX33" s="146"/>
      <c r="AY33" s="146"/>
      <c r="AZ33" s="156"/>
      <c r="BA33" s="156"/>
      <c r="BB33" s="156"/>
      <c r="BC33" s="156"/>
      <c r="BD33" s="156"/>
      <c r="BE33" s="156"/>
      <c r="BI33" s="157"/>
      <c r="BJ33" s="136"/>
    </row>
    <row r="34" spans="1:62" s="131" customFormat="1" ht="20.25" customHeight="1">
      <c r="A34" s="135"/>
      <c r="B34" s="183"/>
      <c r="C34" s="163"/>
      <c r="D34" s="184"/>
      <c r="E34" s="163"/>
      <c r="F34" s="163"/>
      <c r="G34" s="163"/>
      <c r="H34" s="165"/>
      <c r="I34" s="166"/>
      <c r="J34" s="167"/>
      <c r="K34" s="185"/>
      <c r="L34" s="185"/>
      <c r="M34" s="186"/>
      <c r="N34" s="186"/>
      <c r="O34" s="186"/>
      <c r="P34" s="186"/>
      <c r="Q34" s="167"/>
      <c r="R34" s="167"/>
      <c r="S34" s="167"/>
      <c r="T34" s="167"/>
      <c r="U34" s="167"/>
      <c r="V34" s="167" t="s">
        <v>322</v>
      </c>
      <c r="W34" s="167"/>
      <c r="X34" s="167"/>
      <c r="Y34" s="187"/>
      <c r="Z34" s="167"/>
      <c r="AA34" s="167"/>
      <c r="AB34" s="169"/>
      <c r="AC34" s="167"/>
      <c r="AD34" s="167"/>
      <c r="AE34" s="167"/>
      <c r="AF34" s="167"/>
      <c r="AG34" s="167"/>
      <c r="AH34" s="167"/>
      <c r="AI34" s="167"/>
      <c r="AJ34" s="167"/>
      <c r="AK34" s="167"/>
      <c r="AL34" s="167"/>
      <c r="AM34" s="167"/>
      <c r="AN34" s="167"/>
      <c r="AO34" s="167"/>
      <c r="AP34" s="167"/>
      <c r="AQ34" s="167"/>
      <c r="AR34" s="166"/>
      <c r="AS34" s="167"/>
      <c r="AT34" s="167"/>
      <c r="AU34" s="167"/>
      <c r="AV34" s="167"/>
      <c r="AW34" s="167"/>
      <c r="AX34" s="167"/>
      <c r="AY34" s="167"/>
      <c r="AZ34" s="170"/>
      <c r="BA34" s="170"/>
      <c r="BB34" s="170"/>
      <c r="BC34" s="170"/>
      <c r="BD34" s="170"/>
      <c r="BE34" s="170"/>
      <c r="BF34" s="170"/>
      <c r="BG34" s="170"/>
      <c r="BH34" s="170"/>
      <c r="BI34" s="171"/>
      <c r="BJ34" s="136"/>
    </row>
    <row r="35" spans="1:62" s="131" customFormat="1" ht="20.25" customHeight="1">
      <c r="A35" s="135"/>
      <c r="B35" s="188"/>
      <c r="C35" s="156"/>
      <c r="D35" s="156"/>
      <c r="E35" s="156"/>
      <c r="F35" s="156"/>
      <c r="G35" s="156"/>
      <c r="H35" s="156"/>
      <c r="I35" s="156"/>
      <c r="J35" s="156"/>
      <c r="K35" s="156"/>
      <c r="L35" s="178"/>
      <c r="M35" s="188"/>
      <c r="N35" s="188"/>
      <c r="O35" s="188"/>
      <c r="P35" s="188"/>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36"/>
    </row>
    <row r="36" spans="1:62" s="131" customFormat="1" ht="20.25" customHeight="1">
      <c r="A36" s="135"/>
      <c r="BJ36" s="136"/>
    </row>
    <row r="37" spans="1:62" s="131" customFormat="1" ht="20.25" customHeight="1">
      <c r="A37" s="135"/>
      <c r="BJ37" s="136"/>
    </row>
    <row r="38" spans="1:62" s="131" customFormat="1" ht="20.25" customHeight="1">
      <c r="A38" s="135"/>
      <c r="BJ38" s="136"/>
    </row>
    <row r="39" spans="1:62" s="131" customFormat="1" ht="20.25" customHeight="1">
      <c r="A39" s="135"/>
      <c r="BJ39" s="136"/>
    </row>
    <row r="40" spans="1:62" s="131" customFormat="1" ht="20.25" customHeight="1">
      <c r="A40" s="135"/>
      <c r="BJ40" s="136"/>
    </row>
    <row r="41" spans="1:62" s="131" customFormat="1" ht="20.25" customHeight="1">
      <c r="A41" s="135"/>
      <c r="BJ41" s="136"/>
    </row>
    <row r="42" spans="1:62" s="131" customFormat="1" ht="20.25" customHeight="1">
      <c r="A42" s="135"/>
      <c r="BJ42" s="136"/>
    </row>
    <row r="43" spans="1:62" s="131" customFormat="1" ht="20.25" customHeight="1">
      <c r="A43" s="135"/>
      <c r="BJ43" s="136"/>
    </row>
    <row r="44" spans="1:62" s="131" customFormat="1" ht="20.25" customHeight="1">
      <c r="A44" s="135"/>
      <c r="BJ44" s="136"/>
    </row>
    <row r="45" spans="1:62" s="131" customFormat="1" ht="20.25" customHeight="1">
      <c r="A45" s="135"/>
      <c r="BJ45" s="136"/>
    </row>
    <row r="46" spans="1:62" s="131" customFormat="1" ht="20.25" customHeight="1">
      <c r="A46" s="135"/>
      <c r="BJ46" s="136"/>
    </row>
    <row r="47" spans="1:62" s="131" customFormat="1" ht="20.25" customHeight="1">
      <c r="A47" s="135"/>
      <c r="BJ47" s="136"/>
    </row>
    <row r="48" spans="1:62" s="131" customFormat="1" ht="20.25" customHeight="1">
      <c r="A48" s="135"/>
      <c r="BJ48" s="136"/>
    </row>
    <row r="49" spans="1:62" s="131" customFormat="1" ht="20.25" customHeight="1">
      <c r="A49" s="135"/>
      <c r="BJ49" s="136"/>
    </row>
    <row r="50" spans="1:62" s="131" customFormat="1" ht="20.25" customHeight="1">
      <c r="A50" s="135"/>
      <c r="BJ50" s="136"/>
    </row>
    <row r="51" spans="1:62" s="131" customFormat="1" ht="20.25" customHeight="1">
      <c r="A51" s="135"/>
      <c r="BJ51" s="136"/>
    </row>
    <row r="52" spans="1:62" s="131" customFormat="1" ht="20.25" customHeight="1">
      <c r="A52" s="135"/>
      <c r="BJ52" s="136"/>
    </row>
    <row r="53" spans="1:62" s="131" customFormat="1" ht="20.25" customHeight="1">
      <c r="A53" s="135"/>
      <c r="BJ53" s="136"/>
    </row>
    <row r="54" spans="1:62" s="131" customFormat="1" ht="20.25" customHeight="1">
      <c r="A54" s="135"/>
      <c r="BJ54" s="136"/>
    </row>
    <row r="55" spans="1:62" s="131" customFormat="1" ht="20.25" customHeight="1">
      <c r="A55" s="135"/>
      <c r="BJ55" s="136"/>
    </row>
    <row r="56" spans="1:62" s="131" customFormat="1" ht="20.25" customHeight="1">
      <c r="A56" s="135"/>
      <c r="BJ56" s="136"/>
    </row>
    <row r="57" spans="1:62" s="131" customFormat="1" ht="20.25" customHeight="1">
      <c r="A57" s="189"/>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c r="AI57" s="187"/>
      <c r="AJ57" s="187"/>
      <c r="AK57" s="187"/>
      <c r="AL57" s="187"/>
      <c r="AM57" s="187"/>
      <c r="AN57" s="187"/>
      <c r="AO57" s="187"/>
      <c r="AP57" s="187"/>
      <c r="AQ57" s="187"/>
      <c r="AR57" s="187"/>
      <c r="AS57" s="187"/>
      <c r="AT57" s="187"/>
      <c r="AU57" s="187"/>
      <c r="AV57" s="187"/>
      <c r="AW57" s="187"/>
      <c r="AX57" s="187"/>
      <c r="AY57" s="187"/>
      <c r="AZ57" s="187"/>
      <c r="BA57" s="187"/>
      <c r="BB57" s="187"/>
      <c r="BC57" s="187"/>
      <c r="BD57" s="187"/>
      <c r="BE57" s="187"/>
      <c r="BF57" s="187"/>
      <c r="BG57" s="187"/>
      <c r="BH57" s="187"/>
      <c r="BI57" s="187"/>
      <c r="BJ57" s="190"/>
    </row>
    <row r="58" spans="1:62" s="191" customFormat="1" ht="4.5" customHeight="1"/>
    <row r="59" spans="1:62" s="191" customFormat="1" ht="18" customHeight="1"/>
    <row r="60" spans="1:62" s="191" customFormat="1" ht="18" customHeight="1"/>
    <row r="61" spans="1:62" s="191" customFormat="1" ht="18" customHeight="1"/>
    <row r="62" spans="1:62" s="191" customFormat="1" ht="18" customHeight="1"/>
    <row r="63" spans="1:62" s="191" customFormat="1" ht="18" customHeight="1"/>
    <row r="64" spans="1:62" s="191" customFormat="1" ht="18" customHeight="1"/>
    <row r="65" s="191" customFormat="1" ht="18" customHeight="1"/>
    <row r="66" s="191" customFormat="1" ht="18" customHeight="1"/>
    <row r="67" s="191" customFormat="1" ht="18" customHeight="1"/>
    <row r="68" s="191" customFormat="1" ht="18" customHeight="1"/>
    <row r="69" s="191" customFormat="1" ht="18" customHeight="1"/>
    <row r="70" s="191" customFormat="1" ht="18" customHeight="1"/>
    <row r="71" s="191" customFormat="1" ht="18" customHeight="1"/>
    <row r="72" s="191" customFormat="1" ht="18" customHeight="1"/>
    <row r="73" s="191" customFormat="1" ht="18" customHeight="1"/>
    <row r="74" s="191" customFormat="1" ht="18" customHeight="1"/>
    <row r="75" s="191" customFormat="1" ht="18" customHeight="1"/>
    <row r="76" s="191" customFormat="1" ht="18" customHeight="1"/>
    <row r="77" s="191" customFormat="1" ht="18" customHeight="1"/>
    <row r="78" s="191" customFormat="1" ht="18" customHeight="1"/>
    <row r="79" s="191" customFormat="1" ht="18" customHeight="1"/>
    <row r="80" s="191" customFormat="1" ht="18" customHeight="1"/>
    <row r="81" s="191" customFormat="1" ht="18" customHeight="1"/>
    <row r="82" s="191" customFormat="1" ht="18" customHeight="1"/>
    <row r="83" s="191" customFormat="1" ht="18" customHeight="1"/>
    <row r="84" s="191" customFormat="1" ht="18" customHeight="1"/>
    <row r="85" s="191" customFormat="1" ht="18" customHeight="1"/>
    <row r="86" s="191" customFormat="1" ht="18" customHeight="1"/>
    <row r="87" s="191" customFormat="1" ht="18" customHeight="1"/>
    <row r="88" s="191" customFormat="1" ht="18" customHeight="1"/>
    <row r="89" s="191" customFormat="1" ht="18" customHeight="1"/>
    <row r="90" s="191" customFormat="1" ht="18" customHeight="1"/>
    <row r="91" s="191" customFormat="1" ht="18" customHeight="1"/>
    <row r="92" s="191" customFormat="1" ht="18" customHeight="1"/>
    <row r="93" s="191" customFormat="1" ht="18" customHeight="1"/>
    <row r="94" s="191" customFormat="1"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0B9E-D076-48AD-ACF2-1C19A095A168}">
  <sheetPr codeName="Sheet12">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572</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228</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52" t="s">
        <v>229</v>
      </c>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3"/>
    </row>
    <row r="10" spans="1:62" s="26" customFormat="1" ht="20.25" customHeight="1">
      <c r="A10" s="30"/>
      <c r="B10" s="128"/>
      <c r="C10" s="94" t="s">
        <v>230</v>
      </c>
      <c r="D10" s="95"/>
      <c r="E10" s="96"/>
      <c r="F10" s="96"/>
      <c r="G10" s="96"/>
      <c r="H10" s="97"/>
      <c r="I10" s="94" t="s">
        <v>231</v>
      </c>
      <c r="J10" s="95"/>
      <c r="K10" s="96"/>
      <c r="L10" s="96"/>
      <c r="M10" s="96"/>
      <c r="N10" s="96"/>
      <c r="O10" s="96"/>
      <c r="P10" s="97"/>
      <c r="Q10" s="96"/>
      <c r="R10" s="96"/>
      <c r="S10" s="96"/>
      <c r="T10" s="97"/>
      <c r="U10" s="96"/>
      <c r="V10" s="98"/>
      <c r="W10" s="96" t="s">
        <v>232</v>
      </c>
      <c r="X10" s="96"/>
      <c r="Y10" s="96"/>
      <c r="Z10" s="97"/>
      <c r="AA10" s="97"/>
      <c r="AB10" s="97"/>
      <c r="AC10" s="97"/>
      <c r="AD10" s="94" t="s">
        <v>233</v>
      </c>
      <c r="AE10" s="97"/>
      <c r="AF10" s="97"/>
      <c r="AG10" s="97"/>
      <c r="AH10" s="97"/>
      <c r="AI10" s="97"/>
      <c r="AJ10" s="97"/>
      <c r="AK10" s="97"/>
      <c r="AL10" s="97"/>
      <c r="AM10" s="97"/>
      <c r="AN10" s="97"/>
      <c r="AO10" s="99"/>
      <c r="AP10" s="100" t="s">
        <v>234</v>
      </c>
      <c r="AQ10" s="97"/>
      <c r="AR10" s="97"/>
      <c r="AS10" s="97"/>
      <c r="AT10" s="97"/>
      <c r="AU10" s="97"/>
      <c r="AV10" s="97"/>
      <c r="AW10" s="97"/>
      <c r="AX10" s="97"/>
      <c r="AY10" s="97"/>
      <c r="AZ10" s="99"/>
      <c r="BA10" s="97" t="s">
        <v>235</v>
      </c>
      <c r="BB10" s="97"/>
      <c r="BC10" s="97"/>
      <c r="BD10" s="97"/>
      <c r="BE10" s="97"/>
      <c r="BF10" s="97"/>
      <c r="BG10" s="97"/>
      <c r="BH10" s="97"/>
      <c r="BI10" s="99"/>
      <c r="BJ10" s="31"/>
    </row>
    <row r="11" spans="1:62" s="26" customFormat="1" ht="20.25" customHeight="1">
      <c r="A11" s="30"/>
      <c r="B11" s="128"/>
      <c r="C11" s="101" t="s">
        <v>236</v>
      </c>
      <c r="D11" s="95"/>
      <c r="E11" s="95"/>
      <c r="F11" s="95"/>
      <c r="G11" s="95"/>
      <c r="H11" s="97"/>
      <c r="I11" s="101" t="s">
        <v>237</v>
      </c>
      <c r="J11" s="96"/>
      <c r="K11" s="95"/>
      <c r="L11" s="95"/>
      <c r="M11" s="95"/>
      <c r="N11" s="95"/>
      <c r="O11" s="95"/>
      <c r="P11" s="97"/>
      <c r="Q11" s="95"/>
      <c r="R11" s="95"/>
      <c r="S11" s="95"/>
      <c r="T11" s="97"/>
      <c r="U11" s="95"/>
      <c r="V11" s="102"/>
      <c r="W11" s="95" t="s">
        <v>238</v>
      </c>
      <c r="X11" s="95"/>
      <c r="Y11" s="95"/>
      <c r="Z11" s="97"/>
      <c r="AA11" s="97"/>
      <c r="AB11" s="97"/>
      <c r="AC11" s="97"/>
      <c r="AD11" s="101" t="s">
        <v>239</v>
      </c>
      <c r="AE11" s="97"/>
      <c r="AF11" s="97"/>
      <c r="AG11" s="97"/>
      <c r="AH11" s="97"/>
      <c r="AI11" s="97"/>
      <c r="AJ11" s="97"/>
      <c r="AK11" s="97"/>
      <c r="AL11" s="97"/>
      <c r="AM11" s="97"/>
      <c r="AN11" s="97"/>
      <c r="AO11" s="99"/>
      <c r="AP11" s="100" t="s">
        <v>240</v>
      </c>
      <c r="AQ11" s="97"/>
      <c r="AR11" s="97"/>
      <c r="AS11" s="97"/>
      <c r="AT11" s="97"/>
      <c r="AU11" s="97"/>
      <c r="AV11" s="97"/>
      <c r="AW11" s="97"/>
      <c r="AX11" s="97"/>
      <c r="AY11" s="97"/>
      <c r="AZ11" s="99"/>
      <c r="BA11" s="97" t="s">
        <v>241</v>
      </c>
      <c r="BB11" s="97"/>
      <c r="BC11" s="97"/>
      <c r="BD11" s="97"/>
      <c r="BE11" s="97"/>
      <c r="BF11" s="97"/>
      <c r="BG11" s="97"/>
      <c r="BH11" s="97"/>
      <c r="BI11" s="99"/>
      <c r="BJ11" s="31"/>
    </row>
    <row r="12" spans="1:62" s="26" customFormat="1" ht="20.25" customHeight="1">
      <c r="A12" s="30"/>
      <c r="B12" s="128"/>
      <c r="C12" s="103" t="s">
        <v>242</v>
      </c>
      <c r="D12" s="104"/>
      <c r="E12" s="104"/>
      <c r="F12" s="104"/>
      <c r="G12" s="104"/>
      <c r="H12" s="105"/>
      <c r="I12" s="106" t="s">
        <v>243</v>
      </c>
      <c r="J12" s="104"/>
      <c r="K12" s="104"/>
      <c r="L12" s="104"/>
      <c r="M12" s="104"/>
      <c r="N12" s="104"/>
      <c r="O12" s="104"/>
      <c r="P12" s="104"/>
      <c r="Q12" s="104"/>
      <c r="R12" s="104"/>
      <c r="S12" s="104"/>
      <c r="T12" s="104"/>
      <c r="U12" s="104"/>
      <c r="V12" s="105"/>
      <c r="W12" s="107">
        <v>1</v>
      </c>
      <c r="X12" s="104"/>
      <c r="Y12" s="104"/>
      <c r="Z12" s="104"/>
      <c r="AA12" s="104"/>
      <c r="AB12" s="104"/>
      <c r="AC12" s="105"/>
      <c r="AD12" s="103" t="s">
        <v>244</v>
      </c>
      <c r="AE12" s="104"/>
      <c r="AF12" s="104"/>
      <c r="AG12" s="104"/>
      <c r="AH12" s="104"/>
      <c r="AI12" s="104"/>
      <c r="AJ12" s="104"/>
      <c r="AK12" s="104"/>
      <c r="AL12" s="104"/>
      <c r="AM12" s="104"/>
      <c r="AN12" s="104"/>
      <c r="AO12" s="105"/>
      <c r="AP12" s="108" t="s">
        <v>245</v>
      </c>
      <c r="AQ12" s="104"/>
      <c r="AR12" s="104"/>
      <c r="AS12" s="104"/>
      <c r="AT12" s="104"/>
      <c r="AU12" s="104"/>
      <c r="AV12" s="104"/>
      <c r="AW12" s="104"/>
      <c r="AX12" s="104"/>
      <c r="AY12" s="104"/>
      <c r="AZ12" s="105"/>
      <c r="BA12" s="103" t="s">
        <v>246</v>
      </c>
      <c r="BB12" s="104"/>
      <c r="BC12" s="104"/>
      <c r="BD12" s="104"/>
      <c r="BE12" s="104"/>
      <c r="BF12" s="104"/>
      <c r="BG12" s="104"/>
      <c r="BH12" s="104"/>
      <c r="BI12" s="105"/>
      <c r="BJ12" s="31"/>
    </row>
    <row r="13" spans="1:62" s="26" customFormat="1" ht="20.25" customHeight="1">
      <c r="A13" s="30"/>
      <c r="B13" s="128"/>
      <c r="C13" s="109" t="s">
        <v>242</v>
      </c>
      <c r="D13" s="110"/>
      <c r="E13" s="110"/>
      <c r="F13" s="110"/>
      <c r="G13" s="110"/>
      <c r="H13" s="111"/>
      <c r="I13" s="112" t="s">
        <v>243</v>
      </c>
      <c r="J13" s="110"/>
      <c r="K13" s="110"/>
      <c r="L13" s="110"/>
      <c r="M13" s="110"/>
      <c r="N13" s="110"/>
      <c r="O13" s="110"/>
      <c r="P13" s="110"/>
      <c r="Q13" s="110"/>
      <c r="R13" s="110"/>
      <c r="S13" s="110"/>
      <c r="T13" s="110"/>
      <c r="U13" s="110"/>
      <c r="V13" s="111"/>
      <c r="W13" s="113">
        <v>2</v>
      </c>
      <c r="X13" s="110"/>
      <c r="Y13" s="110"/>
      <c r="Z13" s="110"/>
      <c r="AA13" s="110"/>
      <c r="AB13" s="110"/>
      <c r="AC13" s="111"/>
      <c r="AD13" s="109" t="s">
        <v>247</v>
      </c>
      <c r="AE13" s="110"/>
      <c r="AF13" s="110"/>
      <c r="AG13" s="110"/>
      <c r="AH13" s="110"/>
      <c r="AI13" s="110"/>
      <c r="AJ13" s="110"/>
      <c r="AK13" s="110"/>
      <c r="AL13" s="110"/>
      <c r="AM13" s="110"/>
      <c r="AN13" s="110"/>
      <c r="AO13" s="111"/>
      <c r="AP13" s="114" t="s">
        <v>248</v>
      </c>
      <c r="AQ13" s="110"/>
      <c r="AR13" s="110"/>
      <c r="AS13" s="110"/>
      <c r="AT13" s="110"/>
      <c r="AU13" s="110"/>
      <c r="AV13" s="110"/>
      <c r="AW13" s="110"/>
      <c r="AX13" s="110"/>
      <c r="AY13" s="110"/>
      <c r="AZ13" s="111"/>
      <c r="BA13" s="109" t="s">
        <v>249</v>
      </c>
      <c r="BB13" s="110"/>
      <c r="BC13" s="110"/>
      <c r="BD13" s="110"/>
      <c r="BE13" s="110"/>
      <c r="BF13" s="110"/>
      <c r="BG13" s="110"/>
      <c r="BH13" s="110"/>
      <c r="BI13" s="111"/>
      <c r="BJ13" s="31"/>
    </row>
    <row r="14" spans="1:62" s="26" customFormat="1" ht="20.25" customHeight="1">
      <c r="A14" s="30"/>
      <c r="B14" s="128"/>
      <c r="C14" s="112" t="s">
        <v>250</v>
      </c>
      <c r="D14" s="110"/>
      <c r="E14" s="110"/>
      <c r="F14" s="110"/>
      <c r="G14" s="110"/>
      <c r="H14" s="111"/>
      <c r="I14" s="112" t="s">
        <v>243</v>
      </c>
      <c r="J14" s="110"/>
      <c r="K14" s="110"/>
      <c r="L14" s="110"/>
      <c r="M14" s="110"/>
      <c r="N14" s="110"/>
      <c r="O14" s="110"/>
      <c r="P14" s="110"/>
      <c r="Q14" s="110"/>
      <c r="R14" s="110"/>
      <c r="S14" s="110"/>
      <c r="T14" s="110"/>
      <c r="U14" s="110"/>
      <c r="V14" s="111"/>
      <c r="W14" s="113">
        <v>3</v>
      </c>
      <c r="X14" s="110"/>
      <c r="Y14" s="110"/>
      <c r="Z14" s="110"/>
      <c r="AA14" s="110"/>
      <c r="AB14" s="110"/>
      <c r="AC14" s="111"/>
      <c r="AD14" s="112" t="s">
        <v>251</v>
      </c>
      <c r="AE14" s="110"/>
      <c r="AF14" s="110"/>
      <c r="AG14" s="110"/>
      <c r="AH14" s="110"/>
      <c r="AI14" s="110"/>
      <c r="AJ14" s="110"/>
      <c r="AK14" s="110"/>
      <c r="AL14" s="110"/>
      <c r="AM14" s="110"/>
      <c r="AN14" s="110"/>
      <c r="AO14" s="111"/>
      <c r="AP14" s="114" t="s">
        <v>252</v>
      </c>
      <c r="AQ14" s="110"/>
      <c r="AR14" s="110"/>
      <c r="AS14" s="110"/>
      <c r="AT14" s="110"/>
      <c r="AU14" s="110"/>
      <c r="AV14" s="110"/>
      <c r="AW14" s="110"/>
      <c r="AX14" s="110"/>
      <c r="AY14" s="110"/>
      <c r="AZ14" s="111"/>
      <c r="BA14" s="109" t="s">
        <v>253</v>
      </c>
      <c r="BB14" s="110"/>
      <c r="BC14" s="110"/>
      <c r="BD14" s="110"/>
      <c r="BE14" s="110"/>
      <c r="BF14" s="110"/>
      <c r="BG14" s="110"/>
      <c r="BH14" s="110"/>
      <c r="BI14" s="111"/>
      <c r="BJ14" s="31"/>
    </row>
    <row r="15" spans="1:62" s="26" customFormat="1" ht="20.25" customHeight="1">
      <c r="A15" s="30"/>
      <c r="B15" s="128"/>
      <c r="C15" s="115" t="s">
        <v>254</v>
      </c>
      <c r="D15" s="110"/>
      <c r="E15" s="110"/>
      <c r="F15" s="110"/>
      <c r="G15" s="110"/>
      <c r="H15" s="111"/>
      <c r="I15" s="115" t="s">
        <v>255</v>
      </c>
      <c r="J15" s="110"/>
      <c r="K15" s="110"/>
      <c r="L15" s="110"/>
      <c r="M15" s="110"/>
      <c r="N15" s="110"/>
      <c r="O15" s="110"/>
      <c r="P15" s="110"/>
      <c r="Q15" s="110"/>
      <c r="R15" s="110"/>
      <c r="S15" s="110"/>
      <c r="T15" s="110"/>
      <c r="U15" s="110"/>
      <c r="V15" s="111"/>
      <c r="W15" s="116" t="s">
        <v>256</v>
      </c>
      <c r="X15" s="110"/>
      <c r="Y15" s="110"/>
      <c r="Z15" s="110"/>
      <c r="AA15" s="110"/>
      <c r="AB15" s="110"/>
      <c r="AC15" s="111"/>
      <c r="AD15" s="115" t="s">
        <v>257</v>
      </c>
      <c r="AE15" s="110"/>
      <c r="AF15" s="110"/>
      <c r="AG15" s="110"/>
      <c r="AH15" s="110"/>
      <c r="AI15" s="110"/>
      <c r="AJ15" s="110"/>
      <c r="AK15" s="110"/>
      <c r="AL15" s="110"/>
      <c r="AM15" s="110"/>
      <c r="AN15" s="110"/>
      <c r="AO15" s="111"/>
      <c r="AP15" s="116" t="s">
        <v>258</v>
      </c>
      <c r="AQ15" s="110"/>
      <c r="AR15" s="110"/>
      <c r="AS15" s="110"/>
      <c r="AT15" s="110"/>
      <c r="AU15" s="110"/>
      <c r="AV15" s="110"/>
      <c r="AW15" s="110"/>
      <c r="AX15" s="110"/>
      <c r="AY15" s="110"/>
      <c r="AZ15" s="111"/>
      <c r="BA15" s="115" t="s">
        <v>259</v>
      </c>
      <c r="BB15" s="110"/>
      <c r="BC15" s="110"/>
      <c r="BD15" s="110"/>
      <c r="BE15" s="110"/>
      <c r="BF15" s="110"/>
      <c r="BG15" s="110"/>
      <c r="BH15" s="110"/>
      <c r="BI15" s="111"/>
      <c r="BJ15" s="31"/>
    </row>
    <row r="16" spans="1:62" s="26" customFormat="1" ht="20.25" customHeight="1">
      <c r="A16" s="30"/>
      <c r="B16" s="128"/>
      <c r="C16" s="115" t="s">
        <v>260</v>
      </c>
      <c r="D16" s="110"/>
      <c r="E16" s="110"/>
      <c r="F16" s="110"/>
      <c r="G16" s="110"/>
      <c r="H16" s="111"/>
      <c r="I16" s="115" t="s">
        <v>255</v>
      </c>
      <c r="J16" s="110"/>
      <c r="K16" s="110"/>
      <c r="L16" s="110"/>
      <c r="M16" s="110"/>
      <c r="N16" s="110"/>
      <c r="O16" s="110"/>
      <c r="P16" s="110"/>
      <c r="Q16" s="110"/>
      <c r="R16" s="110"/>
      <c r="S16" s="110"/>
      <c r="T16" s="110"/>
      <c r="U16" s="110"/>
      <c r="V16" s="111"/>
      <c r="W16" s="116" t="s">
        <v>261</v>
      </c>
      <c r="X16" s="110"/>
      <c r="Y16" s="110"/>
      <c r="Z16" s="110"/>
      <c r="AA16" s="110"/>
      <c r="AB16" s="110"/>
      <c r="AC16" s="111"/>
      <c r="AD16" s="115" t="s">
        <v>262</v>
      </c>
      <c r="AE16" s="110"/>
      <c r="AF16" s="110"/>
      <c r="AG16" s="110"/>
      <c r="AH16" s="110"/>
      <c r="AI16" s="110"/>
      <c r="AJ16" s="110"/>
      <c r="AK16" s="110"/>
      <c r="AL16" s="110"/>
      <c r="AM16" s="110"/>
      <c r="AN16" s="110"/>
      <c r="AO16" s="111"/>
      <c r="AP16" s="116" t="s">
        <v>263</v>
      </c>
      <c r="AQ16" s="110"/>
      <c r="AR16" s="110"/>
      <c r="AS16" s="110"/>
      <c r="AT16" s="110"/>
      <c r="AU16" s="110"/>
      <c r="AV16" s="110"/>
      <c r="AW16" s="110"/>
      <c r="AX16" s="110"/>
      <c r="AY16" s="110"/>
      <c r="AZ16" s="111"/>
      <c r="BA16" s="115" t="s">
        <v>264</v>
      </c>
      <c r="BB16" s="110"/>
      <c r="BC16" s="110"/>
      <c r="BD16" s="110"/>
      <c r="BE16" s="110"/>
      <c r="BF16" s="110"/>
      <c r="BG16" s="110"/>
      <c r="BH16" s="110"/>
      <c r="BI16" s="111"/>
      <c r="BJ16" s="31"/>
    </row>
    <row r="17" spans="1:62" s="26" customFormat="1" ht="20.25" customHeight="1">
      <c r="A17" s="30"/>
      <c r="B17" s="128"/>
      <c r="C17" s="115" t="s">
        <v>260</v>
      </c>
      <c r="D17" s="110"/>
      <c r="E17" s="110"/>
      <c r="F17" s="110"/>
      <c r="G17" s="110"/>
      <c r="H17" s="111"/>
      <c r="I17" s="115" t="s">
        <v>255</v>
      </c>
      <c r="J17" s="110"/>
      <c r="K17" s="110"/>
      <c r="L17" s="110"/>
      <c r="M17" s="110"/>
      <c r="N17" s="110"/>
      <c r="O17" s="110"/>
      <c r="P17" s="110"/>
      <c r="Q17" s="110"/>
      <c r="R17" s="110"/>
      <c r="S17" s="110"/>
      <c r="T17" s="110"/>
      <c r="U17" s="110"/>
      <c r="V17" s="111"/>
      <c r="W17" s="116" t="s">
        <v>265</v>
      </c>
      <c r="X17" s="110"/>
      <c r="Y17" s="110"/>
      <c r="Z17" s="110"/>
      <c r="AA17" s="110"/>
      <c r="AB17" s="110"/>
      <c r="AC17" s="111"/>
      <c r="AD17" s="115" t="s">
        <v>266</v>
      </c>
      <c r="AE17" s="110"/>
      <c r="AF17" s="110"/>
      <c r="AG17" s="110"/>
      <c r="AH17" s="110"/>
      <c r="AI17" s="110"/>
      <c r="AJ17" s="110"/>
      <c r="AK17" s="110"/>
      <c r="AL17" s="110"/>
      <c r="AM17" s="110"/>
      <c r="AN17" s="110"/>
      <c r="AO17" s="111"/>
      <c r="AP17" s="116" t="s">
        <v>267</v>
      </c>
      <c r="AQ17" s="110"/>
      <c r="AR17" s="110"/>
      <c r="AS17" s="110"/>
      <c r="AT17" s="110"/>
      <c r="AU17" s="110"/>
      <c r="AV17" s="110"/>
      <c r="AW17" s="110"/>
      <c r="AX17" s="110"/>
      <c r="AY17" s="110"/>
      <c r="AZ17" s="111"/>
      <c r="BA17" s="115" t="s">
        <v>268</v>
      </c>
      <c r="BB17" s="110"/>
      <c r="BC17" s="110"/>
      <c r="BD17" s="110"/>
      <c r="BE17" s="110"/>
      <c r="BF17" s="110"/>
      <c r="BG17" s="110"/>
      <c r="BH17" s="110"/>
      <c r="BI17" s="111"/>
      <c r="BJ17" s="31"/>
    </row>
    <row r="18" spans="1:62" s="26" customFormat="1" ht="20.25" customHeight="1">
      <c r="A18" s="30"/>
      <c r="B18" s="128"/>
      <c r="C18" s="115" t="s">
        <v>260</v>
      </c>
      <c r="D18" s="110"/>
      <c r="E18" s="110"/>
      <c r="F18" s="110"/>
      <c r="G18" s="110"/>
      <c r="H18" s="111"/>
      <c r="I18" s="115" t="s">
        <v>255</v>
      </c>
      <c r="J18" s="110"/>
      <c r="K18" s="110"/>
      <c r="L18" s="110"/>
      <c r="M18" s="110"/>
      <c r="N18" s="110"/>
      <c r="O18" s="110"/>
      <c r="P18" s="110"/>
      <c r="Q18" s="110"/>
      <c r="R18" s="110"/>
      <c r="S18" s="110"/>
      <c r="T18" s="110"/>
      <c r="U18" s="110"/>
      <c r="V18" s="111"/>
      <c r="W18" s="116" t="s">
        <v>269</v>
      </c>
      <c r="X18" s="110"/>
      <c r="Y18" s="110"/>
      <c r="Z18" s="110"/>
      <c r="AA18" s="110"/>
      <c r="AB18" s="110"/>
      <c r="AC18" s="111"/>
      <c r="AD18" s="115" t="s">
        <v>270</v>
      </c>
      <c r="AE18" s="110"/>
      <c r="AF18" s="110"/>
      <c r="AG18" s="110"/>
      <c r="AH18" s="110"/>
      <c r="AI18" s="110"/>
      <c r="AJ18" s="110"/>
      <c r="AK18" s="110"/>
      <c r="AL18" s="110"/>
      <c r="AM18" s="110"/>
      <c r="AN18" s="110"/>
      <c r="AO18" s="111"/>
      <c r="AP18" s="116" t="s">
        <v>271</v>
      </c>
      <c r="AQ18" s="110"/>
      <c r="AR18" s="110"/>
      <c r="AS18" s="110"/>
      <c r="AT18" s="110"/>
      <c r="AU18" s="110"/>
      <c r="AV18" s="110"/>
      <c r="AW18" s="110"/>
      <c r="AX18" s="110"/>
      <c r="AY18" s="110"/>
      <c r="AZ18" s="111"/>
      <c r="BA18" s="115" t="s">
        <v>272</v>
      </c>
      <c r="BB18" s="110"/>
      <c r="BC18" s="110"/>
      <c r="BD18" s="110"/>
      <c r="BE18" s="110"/>
      <c r="BF18" s="110"/>
      <c r="BG18" s="110"/>
      <c r="BH18" s="110"/>
      <c r="BI18" s="111"/>
      <c r="BJ18" s="31"/>
    </row>
    <row r="19" spans="1:62" s="26" customFormat="1" ht="20.25" customHeight="1">
      <c r="A19" s="30"/>
      <c r="B19" s="128"/>
      <c r="C19" s="115" t="s">
        <v>260</v>
      </c>
      <c r="D19" s="110"/>
      <c r="E19" s="110"/>
      <c r="F19" s="110"/>
      <c r="G19" s="110"/>
      <c r="H19" s="111"/>
      <c r="I19" s="115" t="s">
        <v>255</v>
      </c>
      <c r="J19" s="110"/>
      <c r="K19" s="110"/>
      <c r="L19" s="110"/>
      <c r="M19" s="110"/>
      <c r="N19" s="110"/>
      <c r="O19" s="110"/>
      <c r="P19" s="110"/>
      <c r="Q19" s="110"/>
      <c r="R19" s="110"/>
      <c r="S19" s="110"/>
      <c r="T19" s="110"/>
      <c r="U19" s="110"/>
      <c r="V19" s="111"/>
      <c r="W19" s="116" t="s">
        <v>273</v>
      </c>
      <c r="X19" s="110"/>
      <c r="Y19" s="110"/>
      <c r="Z19" s="110"/>
      <c r="AA19" s="110"/>
      <c r="AB19" s="110"/>
      <c r="AC19" s="111"/>
      <c r="AD19" s="115" t="s">
        <v>274</v>
      </c>
      <c r="AE19" s="110"/>
      <c r="AF19" s="110"/>
      <c r="AG19" s="110"/>
      <c r="AH19" s="110"/>
      <c r="AI19" s="110"/>
      <c r="AJ19" s="110"/>
      <c r="AK19" s="110"/>
      <c r="AL19" s="110"/>
      <c r="AM19" s="110"/>
      <c r="AN19" s="110"/>
      <c r="AO19" s="111"/>
      <c r="AP19" s="116" t="s">
        <v>275</v>
      </c>
      <c r="AQ19" s="110"/>
      <c r="AR19" s="110"/>
      <c r="AS19" s="110"/>
      <c r="AT19" s="110"/>
      <c r="AU19" s="110"/>
      <c r="AV19" s="110"/>
      <c r="AW19" s="110"/>
      <c r="AX19" s="110"/>
      <c r="AY19" s="110"/>
      <c r="AZ19" s="111"/>
      <c r="BA19" s="115" t="s">
        <v>276</v>
      </c>
      <c r="BB19" s="110"/>
      <c r="BC19" s="110"/>
      <c r="BD19" s="110"/>
      <c r="BE19" s="110"/>
      <c r="BF19" s="110"/>
      <c r="BG19" s="110"/>
      <c r="BH19" s="110"/>
      <c r="BI19" s="111"/>
      <c r="BJ19" s="31"/>
    </row>
    <row r="20" spans="1:62" s="26" customFormat="1" ht="20.25" customHeight="1">
      <c r="A20" s="30"/>
      <c r="B20" s="128"/>
      <c r="C20" s="115" t="s">
        <v>260</v>
      </c>
      <c r="D20" s="110"/>
      <c r="E20" s="110"/>
      <c r="F20" s="110"/>
      <c r="G20" s="110"/>
      <c r="H20" s="111"/>
      <c r="I20" s="115" t="s">
        <v>255</v>
      </c>
      <c r="J20" s="110"/>
      <c r="K20" s="110"/>
      <c r="L20" s="110"/>
      <c r="M20" s="110"/>
      <c r="N20" s="110"/>
      <c r="O20" s="110"/>
      <c r="P20" s="110"/>
      <c r="Q20" s="110"/>
      <c r="R20" s="110"/>
      <c r="S20" s="110"/>
      <c r="T20" s="110"/>
      <c r="U20" s="110"/>
      <c r="V20" s="111"/>
      <c r="W20" s="116" t="s">
        <v>277</v>
      </c>
      <c r="X20" s="110"/>
      <c r="Y20" s="110"/>
      <c r="Z20" s="110"/>
      <c r="AA20" s="110"/>
      <c r="AB20" s="110"/>
      <c r="AC20" s="111"/>
      <c r="AD20" s="115" t="s">
        <v>278</v>
      </c>
      <c r="AE20" s="110"/>
      <c r="AF20" s="110"/>
      <c r="AG20" s="110"/>
      <c r="AH20" s="110"/>
      <c r="AI20" s="110"/>
      <c r="AJ20" s="110"/>
      <c r="AK20" s="110"/>
      <c r="AL20" s="110"/>
      <c r="AM20" s="110"/>
      <c r="AN20" s="110"/>
      <c r="AO20" s="111"/>
      <c r="AP20" s="116" t="s">
        <v>279</v>
      </c>
      <c r="AQ20" s="110"/>
      <c r="AR20" s="110"/>
      <c r="AS20" s="110"/>
      <c r="AT20" s="110"/>
      <c r="AU20" s="110"/>
      <c r="AV20" s="110"/>
      <c r="AW20" s="110"/>
      <c r="AX20" s="110"/>
      <c r="AY20" s="110"/>
      <c r="AZ20" s="111"/>
      <c r="BA20" s="115" t="s">
        <v>280</v>
      </c>
      <c r="BB20" s="110"/>
      <c r="BC20" s="110"/>
      <c r="BD20" s="110"/>
      <c r="BE20" s="110"/>
      <c r="BF20" s="110"/>
      <c r="BG20" s="110"/>
      <c r="BH20" s="110"/>
      <c r="BI20" s="111"/>
      <c r="BJ20" s="31"/>
    </row>
    <row r="21" spans="1:62" s="26" customFormat="1" ht="20.25" customHeight="1">
      <c r="A21" s="30"/>
      <c r="B21" s="128"/>
      <c r="C21" s="112" t="s">
        <v>281</v>
      </c>
      <c r="D21" s="110"/>
      <c r="E21" s="110"/>
      <c r="F21" s="110"/>
      <c r="G21" s="110"/>
      <c r="H21" s="111"/>
      <c r="I21" s="112" t="s">
        <v>282</v>
      </c>
      <c r="J21" s="110"/>
      <c r="K21" s="110"/>
      <c r="L21" s="110"/>
      <c r="M21" s="110"/>
      <c r="N21" s="110"/>
      <c r="O21" s="110"/>
      <c r="P21" s="110"/>
      <c r="Q21" s="110"/>
      <c r="R21" s="110"/>
      <c r="S21" s="110"/>
      <c r="T21" s="110"/>
      <c r="U21" s="110"/>
      <c r="V21" s="111"/>
      <c r="W21" s="117" t="s">
        <v>283</v>
      </c>
      <c r="X21" s="110"/>
      <c r="Y21" s="110"/>
      <c r="Z21" s="110"/>
      <c r="AA21" s="110"/>
      <c r="AB21" s="110"/>
      <c r="AC21" s="111"/>
      <c r="AD21" s="112" t="s">
        <v>284</v>
      </c>
      <c r="AE21" s="110"/>
      <c r="AF21" s="110"/>
      <c r="AG21" s="110"/>
      <c r="AH21" s="110"/>
      <c r="AI21" s="110"/>
      <c r="AJ21" s="110"/>
      <c r="AK21" s="110"/>
      <c r="AL21" s="110"/>
      <c r="AM21" s="110"/>
      <c r="AN21" s="110"/>
      <c r="AO21" s="111"/>
      <c r="AP21" s="113"/>
      <c r="AQ21" s="110"/>
      <c r="AR21" s="110"/>
      <c r="AS21" s="110"/>
      <c r="AT21" s="110"/>
      <c r="AU21" s="110"/>
      <c r="AV21" s="110"/>
      <c r="AW21" s="110"/>
      <c r="AX21" s="110"/>
      <c r="AY21" s="110"/>
      <c r="AZ21" s="111"/>
      <c r="BA21" s="112" t="s">
        <v>285</v>
      </c>
      <c r="BB21" s="110"/>
      <c r="BC21" s="110"/>
      <c r="BD21" s="110"/>
      <c r="BE21" s="110"/>
      <c r="BF21" s="110"/>
      <c r="BG21" s="110"/>
      <c r="BH21" s="110"/>
      <c r="BI21" s="111"/>
      <c r="BJ21" s="31"/>
    </row>
    <row r="22" spans="1:62" s="26" customFormat="1" ht="20.25" customHeight="1">
      <c r="A22" s="30"/>
      <c r="B22" s="128"/>
      <c r="C22" s="112" t="s">
        <v>281</v>
      </c>
      <c r="D22" s="110"/>
      <c r="E22" s="110"/>
      <c r="F22" s="110"/>
      <c r="G22" s="110"/>
      <c r="H22" s="111"/>
      <c r="I22" s="112" t="s">
        <v>282</v>
      </c>
      <c r="J22" s="110"/>
      <c r="K22" s="110"/>
      <c r="L22" s="110"/>
      <c r="M22" s="110"/>
      <c r="N22" s="110"/>
      <c r="O22" s="110"/>
      <c r="P22" s="110"/>
      <c r="Q22" s="110"/>
      <c r="R22" s="110"/>
      <c r="S22" s="110"/>
      <c r="T22" s="110"/>
      <c r="U22" s="110"/>
      <c r="V22" s="111"/>
      <c r="W22" s="117" t="s">
        <v>286</v>
      </c>
      <c r="X22" s="110"/>
      <c r="Y22" s="110"/>
      <c r="Z22" s="110"/>
      <c r="AA22" s="110"/>
      <c r="AB22" s="110"/>
      <c r="AC22" s="111"/>
      <c r="AD22" s="112" t="s">
        <v>287</v>
      </c>
      <c r="AE22" s="110"/>
      <c r="AF22" s="110"/>
      <c r="AG22" s="110"/>
      <c r="AH22" s="110"/>
      <c r="AI22" s="110"/>
      <c r="AJ22" s="110"/>
      <c r="AK22" s="110"/>
      <c r="AL22" s="110"/>
      <c r="AM22" s="110"/>
      <c r="AN22" s="110"/>
      <c r="AO22" s="111"/>
      <c r="AP22" s="113"/>
      <c r="AQ22" s="110"/>
      <c r="AR22" s="110"/>
      <c r="AS22" s="110"/>
      <c r="AT22" s="110"/>
      <c r="AU22" s="110"/>
      <c r="AV22" s="110"/>
      <c r="AW22" s="110"/>
      <c r="AX22" s="110"/>
      <c r="AY22" s="110"/>
      <c r="AZ22" s="111"/>
      <c r="BA22" s="112" t="s">
        <v>288</v>
      </c>
      <c r="BB22" s="110"/>
      <c r="BC22" s="110"/>
      <c r="BD22" s="110"/>
      <c r="BE22" s="110"/>
      <c r="BF22" s="110"/>
      <c r="BG22" s="110"/>
      <c r="BH22" s="110"/>
      <c r="BI22" s="111"/>
      <c r="BJ22" s="31"/>
    </row>
    <row r="23" spans="1:62" s="26" customFormat="1" ht="20.25" customHeight="1">
      <c r="A23" s="30"/>
      <c r="B23" s="128"/>
      <c r="C23" s="112" t="s">
        <v>281</v>
      </c>
      <c r="D23" s="110"/>
      <c r="E23" s="110"/>
      <c r="F23" s="110"/>
      <c r="G23" s="110"/>
      <c r="H23" s="111"/>
      <c r="I23" s="112" t="s">
        <v>282</v>
      </c>
      <c r="J23" s="110"/>
      <c r="K23" s="110"/>
      <c r="L23" s="110"/>
      <c r="M23" s="110"/>
      <c r="N23" s="110"/>
      <c r="O23" s="110"/>
      <c r="P23" s="110"/>
      <c r="Q23" s="110"/>
      <c r="R23" s="110"/>
      <c r="S23" s="110"/>
      <c r="T23" s="110"/>
      <c r="U23" s="110"/>
      <c r="V23" s="111"/>
      <c r="W23" s="117" t="s">
        <v>289</v>
      </c>
      <c r="X23" s="110"/>
      <c r="Y23" s="110"/>
      <c r="Z23" s="110"/>
      <c r="AA23" s="110"/>
      <c r="AB23" s="110"/>
      <c r="AC23" s="111"/>
      <c r="AD23" s="112" t="s">
        <v>290</v>
      </c>
      <c r="AE23" s="110"/>
      <c r="AF23" s="110"/>
      <c r="AG23" s="110"/>
      <c r="AH23" s="110"/>
      <c r="AI23" s="110"/>
      <c r="AJ23" s="110"/>
      <c r="AK23" s="110"/>
      <c r="AL23" s="110"/>
      <c r="AM23" s="110"/>
      <c r="AN23" s="110"/>
      <c r="AO23" s="111"/>
      <c r="AP23" s="113"/>
      <c r="AQ23" s="110"/>
      <c r="AR23" s="110"/>
      <c r="AS23" s="110"/>
      <c r="AT23" s="110"/>
      <c r="AU23" s="110"/>
      <c r="AV23" s="110"/>
      <c r="AW23" s="110"/>
      <c r="AX23" s="110"/>
      <c r="AY23" s="110"/>
      <c r="AZ23" s="111"/>
      <c r="BA23" s="112" t="s">
        <v>291</v>
      </c>
      <c r="BB23" s="110"/>
      <c r="BC23" s="110"/>
      <c r="BD23" s="110"/>
      <c r="BE23" s="110"/>
      <c r="BF23" s="110"/>
      <c r="BG23" s="110"/>
      <c r="BH23" s="110"/>
      <c r="BI23" s="111"/>
      <c r="BJ23" s="31"/>
    </row>
    <row r="24" spans="1:62" s="26" customFormat="1" ht="20.25" customHeight="1">
      <c r="A24" s="30"/>
      <c r="B24" s="128"/>
      <c r="C24" s="112" t="s">
        <v>281</v>
      </c>
      <c r="D24" s="110"/>
      <c r="E24" s="110"/>
      <c r="F24" s="110"/>
      <c r="G24" s="110"/>
      <c r="H24" s="111"/>
      <c r="I24" s="112" t="s">
        <v>282</v>
      </c>
      <c r="J24" s="110"/>
      <c r="K24" s="110"/>
      <c r="L24" s="110"/>
      <c r="M24" s="110"/>
      <c r="N24" s="110"/>
      <c r="O24" s="110"/>
      <c r="P24" s="110"/>
      <c r="Q24" s="110"/>
      <c r="R24" s="110"/>
      <c r="S24" s="110"/>
      <c r="T24" s="110"/>
      <c r="U24" s="110"/>
      <c r="V24" s="111"/>
      <c r="W24" s="117" t="s">
        <v>292</v>
      </c>
      <c r="X24" s="110"/>
      <c r="Y24" s="110"/>
      <c r="Z24" s="110"/>
      <c r="AA24" s="110"/>
      <c r="AB24" s="110"/>
      <c r="AC24" s="111"/>
      <c r="AD24" s="112" t="s">
        <v>293</v>
      </c>
      <c r="AE24" s="110"/>
      <c r="AF24" s="110"/>
      <c r="AG24" s="110"/>
      <c r="AH24" s="110"/>
      <c r="AI24" s="110"/>
      <c r="AJ24" s="110"/>
      <c r="AK24" s="110"/>
      <c r="AL24" s="110"/>
      <c r="AM24" s="110"/>
      <c r="AN24" s="110"/>
      <c r="AO24" s="111"/>
      <c r="AP24" s="113"/>
      <c r="AQ24" s="110"/>
      <c r="AR24" s="110"/>
      <c r="AS24" s="110"/>
      <c r="AT24" s="110"/>
      <c r="AU24" s="110"/>
      <c r="AV24" s="110"/>
      <c r="AW24" s="110"/>
      <c r="AX24" s="110"/>
      <c r="AY24" s="110"/>
      <c r="AZ24" s="111"/>
      <c r="BA24" s="112" t="s">
        <v>294</v>
      </c>
      <c r="BB24" s="110"/>
      <c r="BC24" s="110"/>
      <c r="BD24" s="110"/>
      <c r="BE24" s="110"/>
      <c r="BF24" s="110"/>
      <c r="BG24" s="110"/>
      <c r="BH24" s="110"/>
      <c r="BI24" s="111"/>
      <c r="BJ24" s="31"/>
    </row>
    <row r="25" spans="1:62" s="26" customFormat="1" ht="20.25" customHeight="1">
      <c r="A25" s="30"/>
      <c r="B25" s="128"/>
      <c r="C25" s="112" t="s">
        <v>281</v>
      </c>
      <c r="D25" s="110"/>
      <c r="E25" s="110"/>
      <c r="F25" s="110"/>
      <c r="G25" s="110"/>
      <c r="H25" s="111"/>
      <c r="I25" s="112" t="s">
        <v>282</v>
      </c>
      <c r="J25" s="110"/>
      <c r="K25" s="110"/>
      <c r="L25" s="110"/>
      <c r="M25" s="110"/>
      <c r="N25" s="110"/>
      <c r="O25" s="110"/>
      <c r="P25" s="110"/>
      <c r="Q25" s="110"/>
      <c r="R25" s="110"/>
      <c r="S25" s="110"/>
      <c r="T25" s="110"/>
      <c r="U25" s="110"/>
      <c r="V25" s="111"/>
      <c r="W25" s="117" t="s">
        <v>295</v>
      </c>
      <c r="X25" s="110"/>
      <c r="Y25" s="110"/>
      <c r="Z25" s="110"/>
      <c r="AA25" s="110"/>
      <c r="AB25" s="110"/>
      <c r="AC25" s="111"/>
      <c r="AD25" s="112" t="s">
        <v>287</v>
      </c>
      <c r="AE25" s="110"/>
      <c r="AF25" s="110"/>
      <c r="AG25" s="110"/>
      <c r="AH25" s="110"/>
      <c r="AI25" s="110"/>
      <c r="AJ25" s="110"/>
      <c r="AK25" s="110"/>
      <c r="AL25" s="110"/>
      <c r="AM25" s="110"/>
      <c r="AN25" s="110"/>
      <c r="AO25" s="111"/>
      <c r="AP25" s="113"/>
      <c r="AQ25" s="110"/>
      <c r="AR25" s="110"/>
      <c r="AS25" s="110"/>
      <c r="AT25" s="110"/>
      <c r="AU25" s="110"/>
      <c r="AV25" s="110"/>
      <c r="AW25" s="110"/>
      <c r="AX25" s="110"/>
      <c r="AY25" s="110"/>
      <c r="AZ25" s="111"/>
      <c r="BA25" s="112" t="s">
        <v>296</v>
      </c>
      <c r="BB25" s="110"/>
      <c r="BC25" s="110"/>
      <c r="BD25" s="110"/>
      <c r="BE25" s="110"/>
      <c r="BF25" s="110"/>
      <c r="BG25" s="110"/>
      <c r="BH25" s="110"/>
      <c r="BI25" s="111"/>
      <c r="BJ25" s="31"/>
    </row>
    <row r="26" spans="1:62" s="26" customFormat="1" ht="20.25" customHeight="1">
      <c r="A26" s="30"/>
      <c r="B26" s="128"/>
      <c r="C26" s="112" t="s">
        <v>281</v>
      </c>
      <c r="D26" s="110"/>
      <c r="E26" s="110"/>
      <c r="F26" s="110"/>
      <c r="G26" s="110"/>
      <c r="H26" s="111"/>
      <c r="I26" s="112" t="s">
        <v>282</v>
      </c>
      <c r="J26" s="110"/>
      <c r="K26" s="110"/>
      <c r="L26" s="110"/>
      <c r="M26" s="110"/>
      <c r="N26" s="110"/>
      <c r="O26" s="110"/>
      <c r="P26" s="110"/>
      <c r="Q26" s="110"/>
      <c r="R26" s="110"/>
      <c r="S26" s="110"/>
      <c r="T26" s="110"/>
      <c r="U26" s="110"/>
      <c r="V26" s="111"/>
      <c r="W26" s="117" t="s">
        <v>297</v>
      </c>
      <c r="X26" s="110"/>
      <c r="Y26" s="110"/>
      <c r="Z26" s="110"/>
      <c r="AA26" s="110"/>
      <c r="AB26" s="110"/>
      <c r="AC26" s="111"/>
      <c r="AD26" s="112" t="s">
        <v>298</v>
      </c>
      <c r="AE26" s="110"/>
      <c r="AF26" s="110"/>
      <c r="AG26" s="110"/>
      <c r="AH26" s="110"/>
      <c r="AI26" s="110"/>
      <c r="AJ26" s="110"/>
      <c r="AK26" s="110"/>
      <c r="AL26" s="110"/>
      <c r="AM26" s="110"/>
      <c r="AN26" s="110"/>
      <c r="AO26" s="111"/>
      <c r="AP26" s="113"/>
      <c r="AQ26" s="110"/>
      <c r="AR26" s="110"/>
      <c r="AS26" s="110"/>
      <c r="AT26" s="110"/>
      <c r="AU26" s="110"/>
      <c r="AV26" s="110"/>
      <c r="AW26" s="110"/>
      <c r="AX26" s="110"/>
      <c r="AY26" s="110"/>
      <c r="AZ26" s="111"/>
      <c r="BA26" s="112" t="s">
        <v>299</v>
      </c>
      <c r="BB26" s="110"/>
      <c r="BC26" s="110"/>
      <c r="BD26" s="110"/>
      <c r="BE26" s="110"/>
      <c r="BF26" s="110"/>
      <c r="BG26" s="110"/>
      <c r="BH26" s="110"/>
      <c r="BI26" s="111"/>
      <c r="BJ26" s="31"/>
    </row>
    <row r="27" spans="1:62" s="26" customFormat="1" ht="20.25" customHeight="1">
      <c r="A27" s="30"/>
      <c r="B27" s="128"/>
      <c r="C27" s="118" t="s">
        <v>281</v>
      </c>
      <c r="D27" s="119"/>
      <c r="E27" s="119"/>
      <c r="F27" s="119"/>
      <c r="G27" s="119"/>
      <c r="H27" s="120"/>
      <c r="I27" s="118" t="s">
        <v>282</v>
      </c>
      <c r="J27" s="119"/>
      <c r="K27" s="119"/>
      <c r="L27" s="119"/>
      <c r="M27" s="119"/>
      <c r="N27" s="119"/>
      <c r="O27" s="119"/>
      <c r="P27" s="119"/>
      <c r="Q27" s="119"/>
      <c r="R27" s="119"/>
      <c r="S27" s="119"/>
      <c r="T27" s="119"/>
      <c r="U27" s="119"/>
      <c r="V27" s="120"/>
      <c r="W27" s="121" t="s">
        <v>300</v>
      </c>
      <c r="X27" s="119"/>
      <c r="Y27" s="119"/>
      <c r="Z27" s="119"/>
      <c r="AA27" s="119"/>
      <c r="AB27" s="119"/>
      <c r="AC27" s="120"/>
      <c r="AD27" s="118" t="s">
        <v>301</v>
      </c>
      <c r="AE27" s="119"/>
      <c r="AF27" s="119"/>
      <c r="AG27" s="119"/>
      <c r="AH27" s="119"/>
      <c r="AI27" s="119"/>
      <c r="AJ27" s="119"/>
      <c r="AK27" s="119"/>
      <c r="AL27" s="119"/>
      <c r="AM27" s="119"/>
      <c r="AN27" s="119"/>
      <c r="AO27" s="120"/>
      <c r="AP27" s="122"/>
      <c r="AQ27" s="119"/>
      <c r="AR27" s="119"/>
      <c r="AS27" s="119"/>
      <c r="AT27" s="119"/>
      <c r="AU27" s="119"/>
      <c r="AV27" s="119"/>
      <c r="AW27" s="119"/>
      <c r="AX27" s="119"/>
      <c r="AY27" s="119"/>
      <c r="AZ27" s="120"/>
      <c r="BA27" s="118" t="s">
        <v>302</v>
      </c>
      <c r="BB27" s="119"/>
      <c r="BC27" s="119"/>
      <c r="BD27" s="119"/>
      <c r="BE27" s="119"/>
      <c r="BF27" s="119"/>
      <c r="BG27" s="119"/>
      <c r="BH27" s="119"/>
      <c r="BI27" s="120"/>
      <c r="BJ27" s="31"/>
    </row>
    <row r="28" spans="1:62" s="26" customFormat="1" ht="20.25" customHeight="1">
      <c r="A28" s="30"/>
      <c r="B28" s="128"/>
      <c r="C28" s="112" t="s">
        <v>281</v>
      </c>
      <c r="D28" s="110"/>
      <c r="E28" s="110"/>
      <c r="F28" s="110"/>
      <c r="G28" s="110"/>
      <c r="H28" s="111"/>
      <c r="I28" s="112" t="s">
        <v>303</v>
      </c>
      <c r="J28" s="110"/>
      <c r="K28" s="110"/>
      <c r="L28" s="110"/>
      <c r="M28" s="110"/>
      <c r="N28" s="110"/>
      <c r="O28" s="110"/>
      <c r="P28" s="110"/>
      <c r="Q28" s="110"/>
      <c r="R28" s="110"/>
      <c r="S28" s="110"/>
      <c r="T28" s="110"/>
      <c r="U28" s="110"/>
      <c r="V28" s="111"/>
      <c r="W28" s="117" t="s">
        <v>165</v>
      </c>
      <c r="X28" s="110"/>
      <c r="Y28" s="110"/>
      <c r="Z28" s="110"/>
      <c r="AA28" s="110"/>
      <c r="AB28" s="110"/>
      <c r="AC28" s="111"/>
      <c r="AD28" s="112" t="s">
        <v>166</v>
      </c>
      <c r="AE28" s="110"/>
      <c r="AF28" s="110"/>
      <c r="AG28" s="110"/>
      <c r="AH28" s="110"/>
      <c r="AI28" s="110"/>
      <c r="AJ28" s="110"/>
      <c r="AK28" s="110"/>
      <c r="AL28" s="110"/>
      <c r="AM28" s="110"/>
      <c r="AN28" s="110"/>
      <c r="AO28" s="111"/>
      <c r="AP28" s="113"/>
      <c r="AQ28" s="110"/>
      <c r="AR28" s="110"/>
      <c r="AS28" s="110"/>
      <c r="AT28" s="110"/>
      <c r="AU28" s="110"/>
      <c r="AV28" s="110"/>
      <c r="AW28" s="110"/>
      <c r="AX28" s="110"/>
      <c r="AY28" s="110"/>
      <c r="AZ28" s="111"/>
      <c r="BA28" s="113"/>
      <c r="BB28" s="110"/>
      <c r="BC28" s="110"/>
      <c r="BD28" s="110"/>
      <c r="BE28" s="110"/>
      <c r="BF28" s="110"/>
      <c r="BG28" s="110"/>
      <c r="BH28" s="110"/>
      <c r="BI28" s="111"/>
      <c r="BJ28" s="31"/>
    </row>
    <row r="29" spans="1:62" s="26" customFormat="1" ht="20.25" customHeight="1">
      <c r="A29" s="30"/>
      <c r="B29" s="128"/>
      <c r="C29" s="123" t="s">
        <v>281</v>
      </c>
      <c r="D29" s="124"/>
      <c r="E29" s="124"/>
      <c r="F29" s="124"/>
      <c r="G29" s="124"/>
      <c r="H29" s="125"/>
      <c r="I29" s="123" t="s">
        <v>303</v>
      </c>
      <c r="J29" s="124"/>
      <c r="K29" s="124"/>
      <c r="L29" s="124"/>
      <c r="M29" s="124"/>
      <c r="N29" s="124"/>
      <c r="O29" s="124"/>
      <c r="P29" s="124"/>
      <c r="Q29" s="124"/>
      <c r="R29" s="124"/>
      <c r="S29" s="124"/>
      <c r="T29" s="124"/>
      <c r="U29" s="124"/>
      <c r="V29" s="125"/>
      <c r="W29" s="126" t="s">
        <v>304</v>
      </c>
      <c r="X29" s="124"/>
      <c r="Y29" s="124"/>
      <c r="Z29" s="124"/>
      <c r="AA29" s="124"/>
      <c r="AB29" s="124"/>
      <c r="AC29" s="125"/>
      <c r="AD29" s="123" t="s">
        <v>166</v>
      </c>
      <c r="AE29" s="124"/>
      <c r="AF29" s="124"/>
      <c r="AG29" s="124"/>
      <c r="AH29" s="124"/>
      <c r="AI29" s="124"/>
      <c r="AJ29" s="124"/>
      <c r="AK29" s="124"/>
      <c r="AL29" s="124"/>
      <c r="AM29" s="124"/>
      <c r="AN29" s="124"/>
      <c r="AO29" s="125"/>
      <c r="AP29" s="127"/>
      <c r="AQ29" s="124"/>
      <c r="AR29" s="124"/>
      <c r="AS29" s="124"/>
      <c r="AT29" s="124"/>
      <c r="AU29" s="124"/>
      <c r="AV29" s="124"/>
      <c r="AW29" s="124"/>
      <c r="AX29" s="124"/>
      <c r="AY29" s="124"/>
      <c r="AZ29" s="125"/>
      <c r="BA29" s="127"/>
      <c r="BB29" s="124"/>
      <c r="BC29" s="124"/>
      <c r="BD29" s="124"/>
      <c r="BE29" s="124"/>
      <c r="BF29" s="124"/>
      <c r="BG29" s="124"/>
      <c r="BH29" s="124"/>
      <c r="BI29" s="125"/>
      <c r="BJ29" s="31"/>
    </row>
    <row r="30" spans="1:62" s="26" customFormat="1" ht="20.25" customHeight="1">
      <c r="A30" s="30"/>
      <c r="BJ30" s="31"/>
    </row>
    <row r="31" spans="1:62" s="26" customFormat="1" ht="20.25" customHeight="1">
      <c r="A31" s="30"/>
      <c r="BJ31" s="31"/>
    </row>
    <row r="32" spans="1:62" s="26" customFormat="1" ht="20.25" customHeight="1">
      <c r="A32" s="30"/>
      <c r="BJ32" s="31"/>
    </row>
    <row r="33" spans="1:62" s="26" customFormat="1" ht="20.25" customHeight="1">
      <c r="A33" s="30"/>
      <c r="BJ33" s="31"/>
    </row>
    <row r="34" spans="1:62" s="26" customFormat="1" ht="20.25" customHeight="1">
      <c r="A34" s="30"/>
      <c r="BJ34" s="31"/>
    </row>
    <row r="35" spans="1:62" s="26" customFormat="1" ht="20.25" customHeight="1">
      <c r="A35" s="30"/>
      <c r="BJ35" s="31"/>
    </row>
    <row r="36" spans="1:62" s="26" customFormat="1" ht="20.25" customHeight="1">
      <c r="A36" s="30"/>
      <c r="BJ36" s="31"/>
    </row>
    <row r="37" spans="1:62" s="26" customFormat="1" ht="20.25" customHeight="1">
      <c r="A37" s="30"/>
      <c r="BJ37" s="31"/>
    </row>
    <row r="38" spans="1:62" s="26" customFormat="1" ht="20.25" customHeight="1">
      <c r="A38" s="30"/>
      <c r="BJ38" s="31"/>
    </row>
    <row r="39" spans="1:62" s="26" customFormat="1" ht="20.25" customHeight="1">
      <c r="A39" s="30"/>
      <c r="BJ39" s="31"/>
    </row>
    <row r="40" spans="1:62" s="26" customFormat="1" ht="20.25" customHeight="1">
      <c r="A40" s="30"/>
      <c r="BJ40" s="31"/>
    </row>
    <row r="41" spans="1:62" s="26" customFormat="1" ht="20.25" customHeight="1">
      <c r="A41" s="30"/>
      <c r="BJ41" s="31"/>
    </row>
    <row r="42" spans="1:62" s="26" customFormat="1" ht="20.25" customHeight="1">
      <c r="A42" s="30"/>
      <c r="BJ42" s="31"/>
    </row>
    <row r="43" spans="1:62" s="26" customFormat="1" ht="20.25" customHeight="1">
      <c r="A43" s="30"/>
      <c r="BJ43" s="31"/>
    </row>
    <row r="44" spans="1:62" s="26" customFormat="1" ht="20.25" customHeight="1">
      <c r="A44" s="30"/>
      <c r="BJ44" s="31"/>
    </row>
    <row r="45" spans="1:62" s="26" customFormat="1" ht="20.25" customHeight="1">
      <c r="A45" s="30"/>
      <c r="BJ45" s="31"/>
    </row>
    <row r="46" spans="1:62" s="26" customFormat="1" ht="20.25" customHeight="1">
      <c r="A46" s="30"/>
      <c r="BJ46" s="31"/>
    </row>
    <row r="47" spans="1:62" s="26" customFormat="1" ht="20.25" customHeight="1">
      <c r="A47" s="30"/>
      <c r="BJ47" s="31"/>
    </row>
    <row r="48" spans="1:62" s="26" customFormat="1" ht="20.25" customHeight="1">
      <c r="A48" s="30"/>
      <c r="BJ48" s="31"/>
    </row>
    <row r="49" spans="1:62" s="26" customFormat="1" ht="20.25" customHeight="1">
      <c r="A49" s="30"/>
      <c r="BJ49" s="31"/>
    </row>
    <row r="50" spans="1:62" s="26" customFormat="1" ht="20.25" customHeight="1">
      <c r="A50" s="30"/>
      <c r="BJ50" s="31"/>
    </row>
    <row r="51" spans="1:62" s="26" customFormat="1" ht="20.25" customHeight="1">
      <c r="A51" s="30"/>
      <c r="BJ51" s="31"/>
    </row>
    <row r="52" spans="1:62" s="26" customFormat="1" ht="20.25" customHeight="1">
      <c r="A52" s="30"/>
      <c r="BJ52" s="31"/>
    </row>
    <row r="53" spans="1:62" s="26" customFormat="1" ht="20.25" customHeight="1">
      <c r="A53" s="30"/>
      <c r="BJ53" s="31"/>
    </row>
    <row r="54" spans="1:62" s="26" customFormat="1" ht="20.25" customHeight="1">
      <c r="A54" s="30"/>
      <c r="BJ54" s="31"/>
    </row>
    <row r="55" spans="1:62" s="26" customFormat="1" ht="20.25" customHeight="1">
      <c r="A55" s="30"/>
      <c r="BJ55" s="31"/>
    </row>
    <row r="56" spans="1:62" s="26" customFormat="1" ht="20.25" customHeight="1">
      <c r="A56" s="30"/>
      <c r="BJ56" s="31"/>
    </row>
    <row r="57" spans="1:62" s="26" customFormat="1" ht="20.25" customHeight="1">
      <c r="A57" s="30"/>
      <c r="BJ57" s="31"/>
    </row>
    <row r="58" spans="1:62" s="26" customFormat="1" ht="20.25" customHeight="1">
      <c r="A58" s="30"/>
      <c r="BJ58" s="31"/>
    </row>
    <row r="59" spans="1:62" s="26" customFormat="1" ht="20.25" customHeight="1">
      <c r="A59" s="30"/>
      <c r="BJ59" s="31"/>
    </row>
    <row r="60" spans="1:62" s="26" customFormat="1" ht="20.25" customHeight="1">
      <c r="A60" s="30"/>
      <c r="BJ60" s="31"/>
    </row>
    <row r="61" spans="1:62" s="26" customFormat="1" ht="20.25" customHeight="1">
      <c r="A61" s="30"/>
      <c r="BJ61" s="31"/>
    </row>
    <row r="62" spans="1:62" s="26" customFormat="1" ht="20.25" customHeight="1">
      <c r="A62" s="30"/>
      <c r="BJ62" s="31"/>
    </row>
    <row r="63" spans="1:62" s="26" customFormat="1" ht="20.25" customHeight="1">
      <c r="A63" s="30"/>
      <c r="BJ63" s="31"/>
    </row>
    <row r="64" spans="1:62" s="26" customFormat="1" ht="20.25" customHeight="1">
      <c r="A64" s="42"/>
      <c r="B64" s="43"/>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conditionalFormatting sqref="C12:C29">
    <cfRule type="cellIs" dxfId="5" priority="6" operator="notEqual">
      <formula>#REF!</formula>
    </cfRule>
  </conditionalFormatting>
  <conditionalFormatting sqref="I12:I29">
    <cfRule type="cellIs" dxfId="4" priority="5" operator="notEqual">
      <formula>#REF!</formula>
    </cfRule>
  </conditionalFormatting>
  <conditionalFormatting sqref="W12:W29">
    <cfRule type="cellIs" dxfId="3" priority="3" operator="notEqual">
      <formula>#REF!</formula>
    </cfRule>
  </conditionalFormatting>
  <conditionalFormatting sqref="AD12:AD29">
    <cfRule type="cellIs" dxfId="2" priority="4" operator="notEqual">
      <formula>#REF!</formula>
    </cfRule>
  </conditionalFormatting>
  <conditionalFormatting sqref="AP12:AP29">
    <cfRule type="cellIs" dxfId="1" priority="2" operator="notEqual">
      <formula>#REF!</formula>
    </cfRule>
  </conditionalFormatting>
  <conditionalFormatting sqref="BA12:BA29">
    <cfRule type="cellIs" dxfId="0" priority="1" operator="notEqual">
      <formula>#REF!</formula>
    </cfRule>
  </conditionalFormatting>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783E-331C-458C-B1DE-D13AD82CD383}">
  <sheetPr codeName="Sheet13">
    <pageSetUpPr fitToPage="1"/>
  </sheetPr>
  <dimension ref="A1:BJ219"/>
  <sheetViews>
    <sheetView view="pageBreakPreview" zoomScaleNormal="100" zoomScaleSheetLayoutView="100" workbookViewId="0"/>
  </sheetViews>
  <sheetFormatPr defaultColWidth="2.125" defaultRowHeight="13.5"/>
  <cols>
    <col min="1" max="62" width="2.5" style="234" customWidth="1"/>
    <col min="63" max="16384" width="2.125" style="234"/>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324</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325</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4" customFormat="1" ht="9" customHeight="1"/>
    <row r="6" spans="1:62" s="1" customFormat="1" ht="20.25" customHeight="1">
      <c r="A6" s="436" t="s">
        <v>8</v>
      </c>
      <c r="B6" s="436"/>
      <c r="C6" s="436"/>
      <c r="D6" s="436"/>
      <c r="E6" s="436"/>
      <c r="F6" s="436"/>
      <c r="G6" s="436"/>
      <c r="H6" s="436" t="s">
        <v>573</v>
      </c>
      <c r="I6" s="436"/>
      <c r="J6" s="436"/>
      <c r="K6" s="436"/>
      <c r="L6" s="294" t="s">
        <v>11</v>
      </c>
      <c r="M6" s="295"/>
      <c r="N6" s="295"/>
      <c r="O6" s="295"/>
      <c r="P6" s="296"/>
      <c r="Q6" s="437" t="s">
        <v>305</v>
      </c>
      <c r="R6" s="437"/>
      <c r="S6" s="437"/>
      <c r="T6" s="437"/>
      <c r="U6" s="437"/>
      <c r="V6" s="437"/>
      <c r="W6" s="437"/>
      <c r="X6" s="437"/>
      <c r="Y6" s="437"/>
      <c r="Z6" s="437"/>
      <c r="AA6" s="437"/>
      <c r="AB6" s="437"/>
      <c r="AC6" s="437"/>
      <c r="AD6" s="437"/>
      <c r="AE6" s="437"/>
      <c r="AF6" s="437"/>
      <c r="AG6" s="437"/>
      <c r="AH6" s="437"/>
      <c r="AI6" s="437"/>
      <c r="AJ6" s="437"/>
      <c r="AK6" s="437"/>
      <c r="AL6" s="437"/>
      <c r="AM6" s="437"/>
      <c r="AN6" s="437"/>
      <c r="AO6" s="437"/>
      <c r="AP6" s="437"/>
      <c r="AQ6" s="437"/>
      <c r="AR6" s="437"/>
      <c r="AS6" s="437"/>
      <c r="AT6" s="437"/>
      <c r="AU6" s="438"/>
      <c r="AV6" s="294" t="s">
        <v>12</v>
      </c>
      <c r="AW6" s="295"/>
      <c r="AX6" s="295"/>
      <c r="AY6" s="296"/>
      <c r="AZ6" s="439" t="s">
        <v>326</v>
      </c>
      <c r="BA6" s="295"/>
      <c r="BB6" s="295"/>
      <c r="BC6" s="295"/>
      <c r="BD6" s="295"/>
      <c r="BE6" s="295"/>
      <c r="BF6" s="295"/>
      <c r="BG6" s="295"/>
      <c r="BH6" s="295"/>
      <c r="BI6" s="295"/>
      <c r="BJ6" s="296"/>
    </row>
    <row r="7" spans="1:62" s="193" customFormat="1" ht="23.1" customHeight="1">
      <c r="A7" s="430" t="s">
        <v>13</v>
      </c>
      <c r="B7" s="431"/>
      <c r="C7" s="431"/>
      <c r="D7" s="431"/>
      <c r="E7" s="431"/>
      <c r="F7" s="431"/>
      <c r="G7" s="431"/>
      <c r="H7" s="431"/>
      <c r="I7" s="431"/>
      <c r="J7" s="431"/>
      <c r="K7" s="432"/>
      <c r="L7" s="433" t="s">
        <v>327</v>
      </c>
      <c r="M7" s="434"/>
      <c r="N7" s="434"/>
      <c r="O7" s="434"/>
      <c r="P7" s="434"/>
      <c r="Q7" s="434"/>
      <c r="R7" s="434"/>
      <c r="S7" s="434"/>
      <c r="T7" s="434"/>
      <c r="U7" s="434"/>
      <c r="V7" s="434"/>
      <c r="W7" s="434"/>
      <c r="X7" s="434"/>
      <c r="Y7" s="434"/>
      <c r="Z7" s="434"/>
      <c r="AA7" s="434"/>
      <c r="AB7" s="434"/>
      <c r="AC7" s="434"/>
      <c r="AD7" s="434"/>
      <c r="AE7" s="434"/>
      <c r="AF7" s="434"/>
      <c r="AG7" s="434"/>
      <c r="AH7" s="434"/>
      <c r="AI7" s="434"/>
      <c r="AJ7" s="434"/>
      <c r="AK7" s="434"/>
      <c r="AL7" s="434"/>
      <c r="AM7" s="434"/>
      <c r="AN7" s="434"/>
      <c r="AO7" s="434"/>
      <c r="AP7" s="434"/>
      <c r="AQ7" s="434"/>
      <c r="AR7" s="434"/>
      <c r="AS7" s="434"/>
      <c r="AT7" s="434"/>
      <c r="AU7" s="434"/>
      <c r="AV7" s="434"/>
      <c r="AW7" s="434"/>
      <c r="AX7" s="434"/>
      <c r="AY7" s="434"/>
      <c r="AZ7" s="434"/>
      <c r="BA7" s="434"/>
      <c r="BB7" s="434"/>
      <c r="BC7" s="434"/>
      <c r="BD7" s="434"/>
      <c r="BE7" s="434"/>
      <c r="BF7" s="434"/>
      <c r="BG7" s="434"/>
      <c r="BH7" s="434"/>
      <c r="BI7" s="434"/>
      <c r="BJ7" s="435"/>
    </row>
    <row r="8" spans="1:62" s="193" customFormat="1" ht="20.25" customHeight="1">
      <c r="A8" s="194"/>
      <c r="BJ8" s="195"/>
    </row>
    <row r="9" spans="1:62" s="199" customFormat="1" ht="20.25" customHeight="1">
      <c r="A9" s="196"/>
      <c r="B9" s="197" t="s">
        <v>328</v>
      </c>
      <c r="C9" s="198"/>
      <c r="H9" s="200"/>
      <c r="I9" s="201"/>
      <c r="J9" s="201"/>
      <c r="K9" s="201"/>
      <c r="L9" s="201"/>
      <c r="M9" s="201"/>
      <c r="N9" s="201"/>
      <c r="O9" s="200"/>
      <c r="P9" s="200"/>
      <c r="Q9" s="200"/>
      <c r="BJ9" s="202"/>
    </row>
    <row r="10" spans="1:62" s="199" customFormat="1" ht="20.25" customHeight="1">
      <c r="A10" s="196"/>
      <c r="H10" s="200"/>
      <c r="I10" s="200"/>
      <c r="J10" s="200"/>
      <c r="K10" s="200"/>
      <c r="L10" s="200"/>
      <c r="M10" s="200"/>
      <c r="N10" s="200"/>
      <c r="O10" s="200"/>
      <c r="P10" s="200"/>
      <c r="Q10" s="200"/>
      <c r="BJ10" s="202"/>
    </row>
    <row r="11" spans="1:62" s="199" customFormat="1" ht="20.25" customHeight="1">
      <c r="A11" s="196"/>
      <c r="D11" s="201" t="s">
        <v>329</v>
      </c>
      <c r="H11" s="200"/>
      <c r="I11" s="201"/>
      <c r="J11" s="201"/>
      <c r="K11" s="201"/>
      <c r="L11" s="201"/>
      <c r="M11" s="200"/>
      <c r="N11" s="200"/>
      <c r="O11" s="200"/>
      <c r="P11" s="200"/>
      <c r="Q11" s="200"/>
      <c r="BJ11" s="202"/>
    </row>
    <row r="12" spans="1:62" s="199" customFormat="1" ht="20.25" customHeight="1">
      <c r="A12" s="196"/>
      <c r="D12" s="201" t="s">
        <v>611</v>
      </c>
      <c r="H12" s="200"/>
      <c r="I12" s="200"/>
      <c r="J12" s="200"/>
      <c r="K12" s="200"/>
      <c r="L12" s="200"/>
      <c r="M12" s="200"/>
      <c r="N12" s="200"/>
      <c r="O12" s="200"/>
      <c r="P12" s="200"/>
      <c r="Q12" s="200"/>
      <c r="BJ12" s="202"/>
    </row>
    <row r="13" spans="1:62" s="199" customFormat="1" ht="20.25" customHeight="1">
      <c r="A13" s="196"/>
      <c r="D13" s="201"/>
      <c r="H13" s="200"/>
      <c r="I13" s="201"/>
      <c r="J13" s="201"/>
      <c r="K13" s="201"/>
      <c r="L13" s="201"/>
      <c r="M13" s="200"/>
      <c r="N13" s="200"/>
      <c r="O13" s="200"/>
      <c r="P13" s="200"/>
      <c r="Q13" s="200"/>
      <c r="BJ13" s="202"/>
    </row>
    <row r="14" spans="1:62" s="199" customFormat="1" ht="20.25" customHeight="1">
      <c r="A14" s="196"/>
      <c r="D14" s="201" t="s">
        <v>612</v>
      </c>
      <c r="H14" s="200"/>
      <c r="I14" s="201"/>
      <c r="J14" s="201"/>
      <c r="K14" s="201"/>
      <c r="L14" s="201"/>
      <c r="M14" s="200"/>
      <c r="N14" s="200"/>
      <c r="O14" s="200"/>
      <c r="P14" s="200"/>
      <c r="Q14" s="200"/>
      <c r="BJ14" s="202"/>
    </row>
    <row r="15" spans="1:62" s="199" customFormat="1" ht="20.25" customHeight="1">
      <c r="A15" s="196"/>
      <c r="D15" s="201" t="s">
        <v>330</v>
      </c>
      <c r="H15" s="200"/>
      <c r="I15" s="201"/>
      <c r="J15" s="201"/>
      <c r="K15" s="201"/>
      <c r="L15" s="201"/>
      <c r="M15" s="200"/>
      <c r="N15" s="200"/>
      <c r="O15" s="200"/>
      <c r="P15" s="200"/>
      <c r="Q15" s="200"/>
      <c r="BJ15" s="202"/>
    </row>
    <row r="16" spans="1:62" s="199" customFormat="1" ht="20.25" customHeight="1">
      <c r="A16" s="196"/>
      <c r="D16" s="201" t="s">
        <v>331</v>
      </c>
      <c r="H16" s="200"/>
      <c r="I16" s="201"/>
      <c r="J16" s="201"/>
      <c r="K16" s="201"/>
      <c r="L16" s="201"/>
      <c r="M16" s="200"/>
      <c r="N16" s="200"/>
      <c r="O16" s="200"/>
      <c r="P16" s="200"/>
      <c r="Q16" s="200"/>
      <c r="BJ16" s="202"/>
    </row>
    <row r="17" spans="1:62" s="199" customFormat="1" ht="20.25" customHeight="1">
      <c r="A17" s="196"/>
      <c r="D17" s="201"/>
      <c r="H17" s="200"/>
      <c r="I17" s="201"/>
      <c r="J17" s="201"/>
      <c r="K17" s="201"/>
      <c r="L17" s="201"/>
      <c r="M17" s="200"/>
      <c r="N17" s="200"/>
      <c r="O17" s="200"/>
      <c r="P17" s="200"/>
      <c r="Q17" s="200"/>
      <c r="BJ17" s="202"/>
    </row>
    <row r="18" spans="1:62" s="199" customFormat="1" ht="18.75" customHeight="1">
      <c r="A18" s="196"/>
      <c r="D18" s="203" t="s">
        <v>332</v>
      </c>
      <c r="H18" s="200"/>
      <c r="I18" s="200"/>
      <c r="J18" s="200"/>
      <c r="K18" s="200"/>
      <c r="L18" s="200"/>
      <c r="M18" s="200"/>
      <c r="N18" s="200"/>
      <c r="O18" s="200"/>
      <c r="P18" s="200"/>
      <c r="Q18" s="200"/>
      <c r="AG18" s="204" t="s">
        <v>613</v>
      </c>
      <c r="BJ18" s="202"/>
    </row>
    <row r="19" spans="1:62" s="199" customFormat="1" ht="20.25" customHeight="1">
      <c r="A19" s="196"/>
      <c r="D19" s="201"/>
      <c r="E19" s="205" t="s">
        <v>333</v>
      </c>
      <c r="F19" s="206"/>
      <c r="G19" s="206"/>
      <c r="H19" s="207" t="s">
        <v>334</v>
      </c>
      <c r="I19" s="207"/>
      <c r="J19" s="207"/>
      <c r="K19" s="208"/>
      <c r="L19" s="208"/>
      <c r="M19" s="208"/>
      <c r="N19" s="208"/>
      <c r="O19" s="208"/>
      <c r="P19" s="208"/>
      <c r="Q19" s="208"/>
      <c r="R19" s="206"/>
      <c r="S19" s="206"/>
      <c r="T19" s="207"/>
      <c r="U19" s="207"/>
      <c r="V19" s="207"/>
      <c r="W19" s="207"/>
      <c r="X19" s="207"/>
      <c r="Y19" s="206"/>
      <c r="Z19" s="206"/>
      <c r="AA19" s="206"/>
      <c r="AB19" s="206"/>
      <c r="AC19" s="206"/>
      <c r="AD19" s="207"/>
      <c r="AE19" s="209"/>
      <c r="AF19" s="201"/>
      <c r="AH19" s="205" t="s">
        <v>335</v>
      </c>
      <c r="AI19" s="206"/>
      <c r="AJ19" s="206"/>
      <c r="AK19" s="207" t="s">
        <v>336</v>
      </c>
      <c r="AL19" s="207"/>
      <c r="AM19" s="207"/>
      <c r="AN19" s="208"/>
      <c r="AO19" s="208"/>
      <c r="AP19" s="208"/>
      <c r="AQ19" s="208"/>
      <c r="AR19" s="208"/>
      <c r="AS19" s="208"/>
      <c r="AT19" s="208"/>
      <c r="AU19" s="206"/>
      <c r="AV19" s="206"/>
      <c r="AW19" s="207"/>
      <c r="AX19" s="207"/>
      <c r="AY19" s="207"/>
      <c r="AZ19" s="207"/>
      <c r="BA19" s="207"/>
      <c r="BB19" s="206"/>
      <c r="BC19" s="206"/>
      <c r="BD19" s="206"/>
      <c r="BE19" s="206"/>
      <c r="BF19" s="206"/>
      <c r="BG19" s="207"/>
      <c r="BH19" s="209"/>
      <c r="BI19" s="201"/>
      <c r="BJ19" s="202"/>
    </row>
    <row r="20" spans="1:62" s="199" customFormat="1" ht="20.25" customHeight="1">
      <c r="A20" s="196"/>
      <c r="D20" s="201"/>
      <c r="E20" s="210" t="s">
        <v>337</v>
      </c>
      <c r="H20" s="201" t="s">
        <v>338</v>
      </c>
      <c r="I20" s="201"/>
      <c r="J20" s="201"/>
      <c r="K20" s="200"/>
      <c r="L20" s="200"/>
      <c r="M20" s="200"/>
      <c r="N20" s="200"/>
      <c r="O20" s="200"/>
      <c r="P20" s="200"/>
      <c r="Q20" s="200"/>
      <c r="T20" s="201"/>
      <c r="U20" s="201"/>
      <c r="V20" s="201"/>
      <c r="W20" s="201"/>
      <c r="X20" s="201"/>
      <c r="AD20" s="201"/>
      <c r="AE20" s="211"/>
      <c r="AF20" s="201"/>
      <c r="AH20" s="210" t="s">
        <v>339</v>
      </c>
      <c r="AK20" s="201" t="s">
        <v>340</v>
      </c>
      <c r="AL20" s="201"/>
      <c r="AM20" s="201"/>
      <c r="AN20" s="200"/>
      <c r="AO20" s="200"/>
      <c r="AP20" s="200"/>
      <c r="AQ20" s="200"/>
      <c r="AR20" s="200"/>
      <c r="AS20" s="200"/>
      <c r="AT20" s="200"/>
      <c r="AW20" s="201"/>
      <c r="AX20" s="201"/>
      <c r="AY20" s="201"/>
      <c r="AZ20" s="201"/>
      <c r="BA20" s="201"/>
      <c r="BG20" s="201"/>
      <c r="BH20" s="211"/>
      <c r="BI20" s="201"/>
      <c r="BJ20" s="202"/>
    </row>
    <row r="21" spans="1:62" s="199" customFormat="1" ht="20.25" customHeight="1">
      <c r="A21" s="196"/>
      <c r="D21" s="201"/>
      <c r="E21" s="210" t="s">
        <v>341</v>
      </c>
      <c r="H21" s="201" t="s">
        <v>342</v>
      </c>
      <c r="I21" s="201"/>
      <c r="J21" s="201"/>
      <c r="K21" s="200"/>
      <c r="L21" s="200"/>
      <c r="M21" s="200"/>
      <c r="N21" s="200"/>
      <c r="O21" s="200"/>
      <c r="P21" s="200"/>
      <c r="Q21" s="200"/>
      <c r="T21" s="201"/>
      <c r="U21" s="201"/>
      <c r="V21" s="201"/>
      <c r="W21" s="201"/>
      <c r="X21" s="201"/>
      <c r="AD21" s="201"/>
      <c r="AE21" s="211"/>
      <c r="AF21" s="201"/>
      <c r="AH21" s="210" t="s">
        <v>343</v>
      </c>
      <c r="AK21" s="201" t="s">
        <v>344</v>
      </c>
      <c r="AL21" s="201"/>
      <c r="AM21" s="201"/>
      <c r="AN21" s="200"/>
      <c r="AO21" s="200"/>
      <c r="AP21" s="200"/>
      <c r="AQ21" s="200"/>
      <c r="AR21" s="200"/>
      <c r="AS21" s="200"/>
      <c r="AT21" s="200"/>
      <c r="AW21" s="201"/>
      <c r="AX21" s="201"/>
      <c r="AY21" s="201"/>
      <c r="AZ21" s="201"/>
      <c r="BA21" s="201"/>
      <c r="BG21" s="201"/>
      <c r="BH21" s="211"/>
      <c r="BI21" s="201"/>
      <c r="BJ21" s="202"/>
    </row>
    <row r="22" spans="1:62" s="199" customFormat="1" ht="20.25" customHeight="1">
      <c r="A22" s="196"/>
      <c r="D22" s="201"/>
      <c r="E22" s="210" t="s">
        <v>345</v>
      </c>
      <c r="H22" s="201" t="s">
        <v>346</v>
      </c>
      <c r="I22" s="201"/>
      <c r="J22" s="201"/>
      <c r="K22" s="200"/>
      <c r="L22" s="200"/>
      <c r="M22" s="200"/>
      <c r="N22" s="200"/>
      <c r="O22" s="200"/>
      <c r="P22" s="200"/>
      <c r="Q22" s="200"/>
      <c r="T22" s="201"/>
      <c r="U22" s="201"/>
      <c r="V22" s="201"/>
      <c r="W22" s="201"/>
      <c r="X22" s="201"/>
      <c r="AD22" s="201"/>
      <c r="AE22" s="211"/>
      <c r="AF22" s="201"/>
      <c r="AH22" s="210" t="s">
        <v>347</v>
      </c>
      <c r="AK22" s="201" t="s">
        <v>348</v>
      </c>
      <c r="AL22" s="201"/>
      <c r="AM22" s="201"/>
      <c r="AN22" s="200"/>
      <c r="AO22" s="200"/>
      <c r="AP22" s="200"/>
      <c r="AQ22" s="200"/>
      <c r="AR22" s="200"/>
      <c r="AS22" s="200"/>
      <c r="AT22" s="200"/>
      <c r="AW22" s="201"/>
      <c r="AX22" s="201"/>
      <c r="AY22" s="201"/>
      <c r="AZ22" s="201"/>
      <c r="BA22" s="201"/>
      <c r="BG22" s="201"/>
      <c r="BH22" s="211"/>
      <c r="BI22" s="201"/>
      <c r="BJ22" s="202"/>
    </row>
    <row r="23" spans="1:62" s="199" customFormat="1" ht="20.25" customHeight="1">
      <c r="A23" s="196"/>
      <c r="D23" s="201"/>
      <c r="E23" s="210" t="s">
        <v>349</v>
      </c>
      <c r="H23" s="201" t="s">
        <v>350</v>
      </c>
      <c r="I23" s="201"/>
      <c r="J23" s="201"/>
      <c r="K23" s="200"/>
      <c r="L23" s="200"/>
      <c r="M23" s="200"/>
      <c r="N23" s="200"/>
      <c r="O23" s="200"/>
      <c r="P23" s="200"/>
      <c r="Q23" s="200"/>
      <c r="T23" s="201"/>
      <c r="U23" s="201"/>
      <c r="V23" s="201"/>
      <c r="W23" s="201"/>
      <c r="X23" s="201"/>
      <c r="AD23" s="201"/>
      <c r="AE23" s="211"/>
      <c r="AF23" s="201"/>
      <c r="AH23" s="210"/>
      <c r="AK23" s="203" t="s">
        <v>351</v>
      </c>
      <c r="AL23" s="201"/>
      <c r="AM23" s="201"/>
      <c r="AN23" s="200"/>
      <c r="AO23" s="200"/>
      <c r="AP23" s="200"/>
      <c r="AQ23" s="200"/>
      <c r="AR23" s="200"/>
      <c r="AS23" s="200"/>
      <c r="AT23" s="200"/>
      <c r="AW23" s="201"/>
      <c r="AX23" s="201"/>
      <c r="AY23" s="201"/>
      <c r="AZ23" s="201"/>
      <c r="BA23" s="201"/>
      <c r="BG23" s="201"/>
      <c r="BH23" s="211"/>
      <c r="BI23" s="201"/>
      <c r="BJ23" s="202"/>
    </row>
    <row r="24" spans="1:62" s="199" customFormat="1" ht="20.25" customHeight="1">
      <c r="A24" s="196"/>
      <c r="D24" s="201"/>
      <c r="E24" s="210" t="s">
        <v>352</v>
      </c>
      <c r="H24" s="201" t="s">
        <v>353</v>
      </c>
      <c r="I24" s="201"/>
      <c r="J24" s="201"/>
      <c r="K24" s="200"/>
      <c r="L24" s="200"/>
      <c r="M24" s="200"/>
      <c r="N24" s="200"/>
      <c r="O24" s="200"/>
      <c r="P24" s="200"/>
      <c r="Q24" s="200"/>
      <c r="T24" s="201"/>
      <c r="U24" s="201"/>
      <c r="V24" s="201"/>
      <c r="W24" s="201"/>
      <c r="X24" s="201"/>
      <c r="AD24" s="201"/>
      <c r="AE24" s="211"/>
      <c r="AF24" s="201"/>
      <c r="AH24" s="212"/>
      <c r="AI24" s="213"/>
      <c r="AJ24" s="213"/>
      <c r="AK24" s="214" t="s">
        <v>354</v>
      </c>
      <c r="AL24" s="215"/>
      <c r="AM24" s="215"/>
      <c r="AN24" s="216"/>
      <c r="AO24" s="216"/>
      <c r="AP24" s="216"/>
      <c r="AQ24" s="216"/>
      <c r="AR24" s="216"/>
      <c r="AS24" s="216"/>
      <c r="AT24" s="216"/>
      <c r="AU24" s="213"/>
      <c r="AV24" s="213"/>
      <c r="AW24" s="215"/>
      <c r="AX24" s="215"/>
      <c r="AY24" s="215"/>
      <c r="AZ24" s="215"/>
      <c r="BA24" s="215"/>
      <c r="BB24" s="213"/>
      <c r="BC24" s="213"/>
      <c r="BD24" s="213"/>
      <c r="BE24" s="213"/>
      <c r="BF24" s="213"/>
      <c r="BG24" s="215"/>
      <c r="BH24" s="217"/>
      <c r="BI24" s="201"/>
      <c r="BJ24" s="202"/>
    </row>
    <row r="25" spans="1:62" s="199" customFormat="1" ht="20.25" customHeight="1">
      <c r="A25" s="196"/>
      <c r="D25" s="201"/>
      <c r="E25" s="210"/>
      <c r="H25" s="201" t="s">
        <v>355</v>
      </c>
      <c r="I25" s="201"/>
      <c r="J25" s="201"/>
      <c r="K25" s="200"/>
      <c r="L25" s="200"/>
      <c r="M25" s="200"/>
      <c r="N25" s="200"/>
      <c r="O25" s="200"/>
      <c r="P25" s="200"/>
      <c r="Q25" s="200"/>
      <c r="T25" s="201"/>
      <c r="U25" s="201"/>
      <c r="V25" s="218"/>
      <c r="W25" s="201"/>
      <c r="X25" s="201"/>
      <c r="AD25" s="218"/>
      <c r="AE25" s="211"/>
      <c r="AF25" s="218"/>
      <c r="AH25" s="205" t="s">
        <v>356</v>
      </c>
      <c r="AI25" s="206"/>
      <c r="AJ25" s="206"/>
      <c r="AK25" s="207" t="s">
        <v>357</v>
      </c>
      <c r="AL25" s="207"/>
      <c r="AM25" s="207"/>
      <c r="AN25" s="208"/>
      <c r="AO25" s="208"/>
      <c r="AP25" s="208"/>
      <c r="AQ25" s="208"/>
      <c r="AR25" s="208"/>
      <c r="AS25" s="208"/>
      <c r="AT25" s="208"/>
      <c r="AU25" s="206"/>
      <c r="AV25" s="206"/>
      <c r="AW25" s="207"/>
      <c r="AX25" s="207"/>
      <c r="AY25" s="219"/>
      <c r="AZ25" s="207"/>
      <c r="BA25" s="207"/>
      <c r="BB25" s="206"/>
      <c r="BC25" s="206"/>
      <c r="BD25" s="206"/>
      <c r="BE25" s="206"/>
      <c r="BF25" s="206"/>
      <c r="BG25" s="219"/>
      <c r="BH25" s="209"/>
      <c r="BI25" s="218"/>
      <c r="BJ25" s="202"/>
    </row>
    <row r="26" spans="1:62" s="199" customFormat="1" ht="20.25" customHeight="1">
      <c r="A26" s="196"/>
      <c r="D26" s="201"/>
      <c r="E26" s="220"/>
      <c r="F26" s="213"/>
      <c r="G26" s="213"/>
      <c r="H26" s="221" t="s">
        <v>358</v>
      </c>
      <c r="I26" s="215"/>
      <c r="J26" s="215"/>
      <c r="K26" s="216"/>
      <c r="L26" s="216"/>
      <c r="M26" s="216"/>
      <c r="N26" s="216"/>
      <c r="O26" s="216"/>
      <c r="P26" s="216"/>
      <c r="Q26" s="216"/>
      <c r="R26" s="213"/>
      <c r="S26" s="213"/>
      <c r="T26" s="213"/>
      <c r="U26" s="213"/>
      <c r="V26" s="213"/>
      <c r="W26" s="215"/>
      <c r="X26" s="215"/>
      <c r="Y26" s="215"/>
      <c r="Z26" s="213"/>
      <c r="AA26" s="213"/>
      <c r="AB26" s="215"/>
      <c r="AC26" s="215"/>
      <c r="AD26" s="215"/>
      <c r="AE26" s="217"/>
      <c r="AF26" s="201"/>
      <c r="AH26" s="210"/>
      <c r="AK26" s="203" t="s">
        <v>359</v>
      </c>
      <c r="AL26" s="201"/>
      <c r="AM26" s="201"/>
      <c r="AN26" s="200"/>
      <c r="AO26" s="200"/>
      <c r="AP26" s="200"/>
      <c r="AQ26" s="200"/>
      <c r="AR26" s="200"/>
      <c r="AS26" s="200"/>
      <c r="AT26" s="200"/>
      <c r="AZ26" s="201"/>
      <c r="BA26" s="201"/>
      <c r="BB26" s="201"/>
      <c r="BE26" s="201"/>
      <c r="BF26" s="201"/>
      <c r="BG26" s="201"/>
      <c r="BH26" s="211"/>
      <c r="BI26" s="201"/>
      <c r="BJ26" s="202"/>
    </row>
    <row r="27" spans="1:62" s="199" customFormat="1" ht="20.25" customHeight="1">
      <c r="A27" s="196"/>
      <c r="D27" s="201"/>
      <c r="E27" s="205" t="s">
        <v>360</v>
      </c>
      <c r="F27" s="207"/>
      <c r="G27" s="206"/>
      <c r="H27" s="207" t="s">
        <v>361</v>
      </c>
      <c r="I27" s="207"/>
      <c r="J27" s="207"/>
      <c r="K27" s="207"/>
      <c r="L27" s="207"/>
      <c r="M27" s="207"/>
      <c r="N27" s="206"/>
      <c r="O27" s="206"/>
      <c r="P27" s="207"/>
      <c r="Q27" s="207"/>
      <c r="R27" s="207"/>
      <c r="S27" s="207"/>
      <c r="T27" s="207"/>
      <c r="U27" s="207"/>
      <c r="V27" s="207"/>
      <c r="W27" s="207"/>
      <c r="X27" s="207"/>
      <c r="Y27" s="207"/>
      <c r="Z27" s="206"/>
      <c r="AA27" s="206"/>
      <c r="AB27" s="206"/>
      <c r="AC27" s="206"/>
      <c r="AD27" s="206"/>
      <c r="AE27" s="222"/>
      <c r="AF27" s="201"/>
      <c r="AG27" s="201"/>
      <c r="AH27" s="220"/>
      <c r="AI27" s="213"/>
      <c r="AJ27" s="215"/>
      <c r="AK27" s="214" t="s">
        <v>362</v>
      </c>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7"/>
      <c r="BI27" s="201"/>
      <c r="BJ27" s="202"/>
    </row>
    <row r="28" spans="1:62" s="199" customFormat="1" ht="20.25" customHeight="1">
      <c r="A28" s="196"/>
      <c r="E28" s="210"/>
      <c r="F28" s="201"/>
      <c r="H28" s="203" t="s">
        <v>363</v>
      </c>
      <c r="I28" s="201"/>
      <c r="J28" s="201"/>
      <c r="K28" s="201"/>
      <c r="L28" s="201"/>
      <c r="M28" s="201"/>
      <c r="P28" s="201"/>
      <c r="Q28" s="201"/>
      <c r="R28" s="201"/>
      <c r="S28" s="201"/>
      <c r="T28" s="201"/>
      <c r="U28" s="201"/>
      <c r="V28" s="201"/>
      <c r="W28" s="201"/>
      <c r="X28" s="201"/>
      <c r="Y28" s="201"/>
      <c r="AE28" s="202"/>
      <c r="AF28" s="201"/>
      <c r="AG28" s="201"/>
      <c r="AH28" s="205" t="s">
        <v>364</v>
      </c>
      <c r="AI28" s="206"/>
      <c r="AJ28" s="207"/>
      <c r="AK28" s="207" t="s">
        <v>365</v>
      </c>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9"/>
      <c r="BI28" s="201"/>
      <c r="BJ28" s="202"/>
    </row>
    <row r="29" spans="1:62" s="199" customFormat="1" ht="20.25" customHeight="1">
      <c r="A29" s="196"/>
      <c r="D29" s="201"/>
      <c r="E29" s="220"/>
      <c r="F29" s="215"/>
      <c r="G29" s="213"/>
      <c r="H29" s="215" t="s">
        <v>366</v>
      </c>
      <c r="I29" s="215"/>
      <c r="J29" s="215"/>
      <c r="K29" s="215"/>
      <c r="L29" s="215"/>
      <c r="M29" s="215"/>
      <c r="N29" s="213"/>
      <c r="O29" s="213"/>
      <c r="P29" s="215"/>
      <c r="Q29" s="215"/>
      <c r="R29" s="215"/>
      <c r="S29" s="215"/>
      <c r="T29" s="215"/>
      <c r="U29" s="215"/>
      <c r="V29" s="215"/>
      <c r="W29" s="215"/>
      <c r="X29" s="215"/>
      <c r="Y29" s="215"/>
      <c r="Z29" s="213"/>
      <c r="AA29" s="213"/>
      <c r="AB29" s="213"/>
      <c r="AC29" s="213"/>
      <c r="AD29" s="213"/>
      <c r="AE29" s="223"/>
      <c r="AF29" s="201"/>
      <c r="AG29" s="201"/>
      <c r="AH29" s="220"/>
      <c r="AI29" s="213"/>
      <c r="AJ29" s="215"/>
      <c r="AK29" s="221" t="s">
        <v>367</v>
      </c>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7"/>
      <c r="BI29" s="201"/>
      <c r="BJ29" s="202"/>
    </row>
    <row r="30" spans="1:62" s="199" customFormat="1" ht="20.25" customHeight="1">
      <c r="A30" s="196"/>
      <c r="D30" s="201"/>
      <c r="E30" s="205" t="s">
        <v>368</v>
      </c>
      <c r="F30" s="207"/>
      <c r="G30" s="206"/>
      <c r="H30" s="207" t="s">
        <v>369</v>
      </c>
      <c r="I30" s="207"/>
      <c r="J30" s="207"/>
      <c r="K30" s="207"/>
      <c r="L30" s="207"/>
      <c r="M30" s="207"/>
      <c r="N30" s="206"/>
      <c r="O30" s="206"/>
      <c r="P30" s="207"/>
      <c r="Q30" s="207"/>
      <c r="R30" s="207"/>
      <c r="S30" s="207"/>
      <c r="T30" s="207"/>
      <c r="U30" s="207"/>
      <c r="V30" s="207"/>
      <c r="W30" s="207"/>
      <c r="X30" s="207"/>
      <c r="Y30" s="207"/>
      <c r="Z30" s="206"/>
      <c r="AA30" s="206"/>
      <c r="AB30" s="206"/>
      <c r="AC30" s="206"/>
      <c r="AD30" s="206"/>
      <c r="AE30" s="222"/>
      <c r="AF30" s="201"/>
      <c r="AG30" s="201"/>
      <c r="AH30" s="201"/>
      <c r="AJ30" s="201"/>
      <c r="AK30" s="224"/>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2"/>
    </row>
    <row r="31" spans="1:62" s="199" customFormat="1" ht="20.25" customHeight="1">
      <c r="A31" s="196"/>
      <c r="D31" s="201"/>
      <c r="E31" s="210"/>
      <c r="F31" s="201"/>
      <c r="H31" s="203" t="s">
        <v>370</v>
      </c>
      <c r="I31" s="201"/>
      <c r="J31" s="201"/>
      <c r="K31" s="201"/>
      <c r="L31" s="201"/>
      <c r="M31" s="201"/>
      <c r="P31" s="201"/>
      <c r="Q31" s="201"/>
      <c r="R31" s="201"/>
      <c r="S31" s="201"/>
      <c r="T31" s="201"/>
      <c r="U31" s="218"/>
      <c r="V31" s="218"/>
      <c r="W31" s="218"/>
      <c r="X31" s="218"/>
      <c r="Y31" s="218"/>
      <c r="AE31" s="202"/>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2"/>
    </row>
    <row r="32" spans="1:62" s="199" customFormat="1" ht="20.25" customHeight="1">
      <c r="A32" s="196"/>
      <c r="D32" s="201"/>
      <c r="E32" s="220"/>
      <c r="F32" s="215"/>
      <c r="G32" s="213"/>
      <c r="H32" s="215" t="s">
        <v>371</v>
      </c>
      <c r="I32" s="215"/>
      <c r="J32" s="225"/>
      <c r="K32" s="215"/>
      <c r="L32" s="225"/>
      <c r="M32" s="215"/>
      <c r="N32" s="213"/>
      <c r="O32" s="213"/>
      <c r="P32" s="215"/>
      <c r="Q32" s="215"/>
      <c r="R32" s="215"/>
      <c r="S32" s="215"/>
      <c r="T32" s="225"/>
      <c r="U32" s="215"/>
      <c r="V32" s="215"/>
      <c r="W32" s="215"/>
      <c r="X32" s="215"/>
      <c r="Y32" s="215"/>
      <c r="Z32" s="213"/>
      <c r="AA32" s="213"/>
      <c r="AB32" s="213"/>
      <c r="AC32" s="213"/>
      <c r="AD32" s="213"/>
      <c r="AE32" s="223"/>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2"/>
    </row>
    <row r="33" spans="1:62" s="199" customFormat="1" ht="20.25" customHeight="1">
      <c r="A33" s="196"/>
      <c r="E33" s="205" t="s">
        <v>372</v>
      </c>
      <c r="F33" s="206"/>
      <c r="G33" s="206"/>
      <c r="H33" s="207" t="s">
        <v>373</v>
      </c>
      <c r="I33" s="207"/>
      <c r="J33" s="207"/>
      <c r="K33" s="207"/>
      <c r="L33" s="207"/>
      <c r="M33" s="207"/>
      <c r="N33" s="226"/>
      <c r="O33" s="208"/>
      <c r="P33" s="208"/>
      <c r="Q33" s="208"/>
      <c r="R33" s="206"/>
      <c r="S33" s="206"/>
      <c r="T33" s="206"/>
      <c r="U33" s="206"/>
      <c r="V33" s="206"/>
      <c r="W33" s="206"/>
      <c r="X33" s="206"/>
      <c r="Y33" s="206"/>
      <c r="Z33" s="206"/>
      <c r="AA33" s="206"/>
      <c r="AB33" s="206"/>
      <c r="AC33" s="206"/>
      <c r="AD33" s="206"/>
      <c r="AE33" s="222"/>
      <c r="BJ33" s="202"/>
    </row>
    <row r="34" spans="1:62" s="199" customFormat="1" ht="20.25" customHeight="1">
      <c r="A34" s="196"/>
      <c r="E34" s="210"/>
      <c r="H34" s="203" t="s">
        <v>374</v>
      </c>
      <c r="I34" s="201"/>
      <c r="J34" s="201"/>
      <c r="K34" s="201"/>
      <c r="L34" s="201"/>
      <c r="M34" s="201"/>
      <c r="N34" s="227"/>
      <c r="O34" s="200"/>
      <c r="P34" s="200"/>
      <c r="Q34" s="200"/>
      <c r="AE34" s="202"/>
      <c r="BJ34" s="202"/>
    </row>
    <row r="35" spans="1:62" s="199" customFormat="1" ht="20.25" customHeight="1">
      <c r="A35" s="196"/>
      <c r="E35" s="220"/>
      <c r="F35" s="213"/>
      <c r="G35" s="213"/>
      <c r="H35" s="215" t="s">
        <v>375</v>
      </c>
      <c r="I35" s="215"/>
      <c r="J35" s="215"/>
      <c r="K35" s="215"/>
      <c r="L35" s="215"/>
      <c r="M35" s="215"/>
      <c r="N35" s="228"/>
      <c r="O35" s="216"/>
      <c r="P35" s="216"/>
      <c r="Q35" s="216"/>
      <c r="R35" s="213"/>
      <c r="S35" s="213"/>
      <c r="T35" s="213"/>
      <c r="U35" s="213"/>
      <c r="V35" s="213"/>
      <c r="W35" s="213"/>
      <c r="X35" s="213"/>
      <c r="Y35" s="213"/>
      <c r="Z35" s="213"/>
      <c r="AA35" s="213"/>
      <c r="AB35" s="213"/>
      <c r="AC35" s="213"/>
      <c r="AD35" s="213"/>
      <c r="AE35" s="223"/>
      <c r="BJ35" s="202"/>
    </row>
    <row r="36" spans="1:62" s="199" customFormat="1" ht="20.25" customHeight="1">
      <c r="A36" s="196"/>
      <c r="E36" s="205" t="s">
        <v>376</v>
      </c>
      <c r="F36" s="206"/>
      <c r="G36" s="206"/>
      <c r="H36" s="207" t="s">
        <v>377</v>
      </c>
      <c r="I36" s="207"/>
      <c r="J36" s="207"/>
      <c r="K36" s="207"/>
      <c r="L36" s="207"/>
      <c r="M36" s="207"/>
      <c r="N36" s="207"/>
      <c r="O36" s="208"/>
      <c r="P36" s="208"/>
      <c r="Q36" s="208"/>
      <c r="R36" s="206"/>
      <c r="S36" s="206"/>
      <c r="T36" s="206"/>
      <c r="U36" s="206"/>
      <c r="V36" s="206"/>
      <c r="W36" s="206"/>
      <c r="X36" s="206"/>
      <c r="Y36" s="206"/>
      <c r="Z36" s="206"/>
      <c r="AA36" s="206"/>
      <c r="AB36" s="206"/>
      <c r="AC36" s="206"/>
      <c r="AD36" s="206"/>
      <c r="AE36" s="222"/>
      <c r="AR36" s="229"/>
      <c r="BJ36" s="202"/>
    </row>
    <row r="37" spans="1:62" s="199" customFormat="1" ht="20.25" customHeight="1">
      <c r="A37" s="196"/>
      <c r="E37" s="210"/>
      <c r="H37" s="203" t="s">
        <v>378</v>
      </c>
      <c r="I37" s="201"/>
      <c r="J37" s="201"/>
      <c r="K37" s="201"/>
      <c r="L37" s="201"/>
      <c r="M37" s="201"/>
      <c r="N37" s="201"/>
      <c r="O37" s="200"/>
      <c r="P37" s="200"/>
      <c r="Q37" s="200"/>
      <c r="AE37" s="202"/>
      <c r="BJ37" s="202"/>
    </row>
    <row r="38" spans="1:62" s="199" customFormat="1" ht="20.25" customHeight="1">
      <c r="A38" s="196"/>
      <c r="E38" s="220"/>
      <c r="F38" s="213"/>
      <c r="G38" s="213"/>
      <c r="H38" s="215" t="s">
        <v>379</v>
      </c>
      <c r="I38" s="215"/>
      <c r="J38" s="215"/>
      <c r="K38" s="215"/>
      <c r="L38" s="215"/>
      <c r="M38" s="215"/>
      <c r="N38" s="215"/>
      <c r="O38" s="216"/>
      <c r="P38" s="216"/>
      <c r="Q38" s="216"/>
      <c r="R38" s="213"/>
      <c r="S38" s="213"/>
      <c r="T38" s="213"/>
      <c r="U38" s="213"/>
      <c r="V38" s="213"/>
      <c r="W38" s="213"/>
      <c r="X38" s="213"/>
      <c r="Y38" s="213"/>
      <c r="Z38" s="213"/>
      <c r="AA38" s="213"/>
      <c r="AB38" s="213"/>
      <c r="AC38" s="213"/>
      <c r="AD38" s="213"/>
      <c r="AE38" s="223"/>
      <c r="BJ38" s="202"/>
    </row>
    <row r="39" spans="1:62" s="199" customFormat="1" ht="20.25" customHeight="1">
      <c r="A39" s="196"/>
      <c r="BJ39" s="202"/>
    </row>
    <row r="40" spans="1:62" s="199" customFormat="1" ht="20.25" customHeight="1">
      <c r="A40" s="196"/>
      <c r="D40" s="199" t="s">
        <v>380</v>
      </c>
      <c r="BJ40" s="202"/>
    </row>
    <row r="41" spans="1:62" s="199" customFormat="1" ht="20.25" customHeight="1">
      <c r="A41" s="196"/>
      <c r="BJ41" s="202"/>
    </row>
    <row r="42" spans="1:62" s="199" customFormat="1" ht="20.25" customHeight="1">
      <c r="A42" s="196"/>
      <c r="BJ42" s="202"/>
    </row>
    <row r="43" spans="1:62" s="199" customFormat="1" ht="20.25" customHeight="1">
      <c r="A43" s="196"/>
      <c r="BJ43" s="202"/>
    </row>
    <row r="44" spans="1:62" s="199" customFormat="1" ht="20.25" customHeight="1">
      <c r="A44" s="196"/>
      <c r="BJ44" s="202"/>
    </row>
    <row r="45" spans="1:62" s="199" customFormat="1" ht="20.25" customHeight="1">
      <c r="A45" s="196"/>
      <c r="BJ45" s="202"/>
    </row>
    <row r="46" spans="1:62" s="199" customFormat="1" ht="20.25" customHeight="1">
      <c r="A46" s="196"/>
      <c r="BJ46" s="202"/>
    </row>
    <row r="47" spans="1:62" s="199" customFormat="1" ht="20.25" customHeight="1">
      <c r="A47" s="196"/>
      <c r="BJ47" s="202"/>
    </row>
    <row r="48" spans="1:62" s="199" customFormat="1" ht="20.25" customHeight="1">
      <c r="A48" s="196"/>
      <c r="BJ48" s="202"/>
    </row>
    <row r="49" spans="1:62" s="199" customFormat="1" ht="20.25" customHeight="1">
      <c r="A49" s="196"/>
      <c r="BJ49" s="202"/>
    </row>
    <row r="50" spans="1:62" s="199" customFormat="1" ht="20.25" customHeight="1">
      <c r="A50" s="196"/>
      <c r="BJ50" s="202"/>
    </row>
    <row r="51" spans="1:62" s="199" customFormat="1" ht="20.25" customHeight="1">
      <c r="A51" s="196"/>
      <c r="BJ51" s="202"/>
    </row>
    <row r="52" spans="1:62" s="199" customFormat="1" ht="20.25" customHeight="1">
      <c r="A52" s="196"/>
      <c r="BJ52" s="202"/>
    </row>
    <row r="53" spans="1:62" s="199" customFormat="1" ht="20.25" customHeight="1">
      <c r="A53" s="196"/>
      <c r="BJ53" s="202"/>
    </row>
    <row r="54" spans="1:62" s="199" customFormat="1" ht="20.25" customHeight="1">
      <c r="A54" s="196"/>
      <c r="BJ54" s="202"/>
    </row>
    <row r="55" spans="1:62" s="199" customFormat="1" ht="20.25" customHeight="1">
      <c r="A55" s="196"/>
      <c r="BJ55" s="202"/>
    </row>
    <row r="56" spans="1:62" s="199" customFormat="1" ht="20.25" customHeight="1">
      <c r="A56" s="196"/>
      <c r="BJ56" s="202"/>
    </row>
    <row r="57" spans="1:62" s="199" customFormat="1" ht="20.25" customHeight="1">
      <c r="A57" s="196"/>
      <c r="BJ57" s="202"/>
    </row>
    <row r="58" spans="1:62" s="199" customFormat="1" ht="20.25" customHeight="1">
      <c r="A58" s="196"/>
      <c r="BJ58" s="202"/>
    </row>
    <row r="59" spans="1:62" s="199" customFormat="1" ht="20.25" customHeight="1">
      <c r="A59" s="196"/>
      <c r="BJ59" s="202"/>
    </row>
    <row r="60" spans="1:62" s="199" customFormat="1" ht="20.25" customHeight="1">
      <c r="A60" s="196"/>
      <c r="BJ60" s="202"/>
    </row>
    <row r="61" spans="1:62" s="199" customFormat="1" ht="20.25" customHeight="1">
      <c r="A61" s="196"/>
      <c r="BJ61" s="202"/>
    </row>
    <row r="62" spans="1:62" s="199" customFormat="1" ht="20.25" customHeight="1">
      <c r="A62" s="196"/>
      <c r="BJ62" s="202"/>
    </row>
    <row r="63" spans="1:62" s="199" customFormat="1" ht="20.25" customHeight="1">
      <c r="A63" s="196"/>
      <c r="BJ63" s="202"/>
    </row>
    <row r="64" spans="1:62" s="193" customFormat="1" ht="20.25" customHeight="1">
      <c r="A64" s="230"/>
      <c r="B64" s="231"/>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c r="AA64" s="231"/>
      <c r="AB64" s="231"/>
      <c r="AC64" s="231"/>
      <c r="AD64" s="231"/>
      <c r="AE64" s="231"/>
      <c r="AF64" s="231"/>
      <c r="AG64" s="231"/>
      <c r="AH64" s="231"/>
      <c r="AI64" s="231"/>
      <c r="AJ64" s="231"/>
      <c r="AK64" s="231"/>
      <c r="AL64" s="231"/>
      <c r="AM64" s="231"/>
      <c r="AN64" s="231"/>
      <c r="AO64" s="231"/>
      <c r="AP64" s="231"/>
      <c r="AQ64" s="231"/>
      <c r="AR64" s="231"/>
      <c r="AS64" s="231"/>
      <c r="AT64" s="231"/>
      <c r="AU64" s="231"/>
      <c r="AV64" s="231"/>
      <c r="AW64" s="231"/>
      <c r="AX64" s="231"/>
      <c r="AY64" s="231"/>
      <c r="AZ64" s="231"/>
      <c r="BA64" s="231"/>
      <c r="BB64" s="231"/>
      <c r="BC64" s="231"/>
      <c r="BD64" s="231"/>
      <c r="BE64" s="231"/>
      <c r="BF64" s="231"/>
      <c r="BG64" s="231"/>
      <c r="BH64" s="231"/>
      <c r="BI64" s="231"/>
      <c r="BJ64" s="232"/>
    </row>
    <row r="65" s="233" customFormat="1" ht="4.5" customHeight="1"/>
    <row r="66" s="233" customFormat="1" ht="18" customHeight="1"/>
    <row r="67" s="233" customFormat="1" ht="18" customHeight="1"/>
    <row r="68" s="233" customFormat="1" ht="18" customHeight="1"/>
    <row r="69" s="233" customFormat="1" ht="18" customHeight="1"/>
    <row r="70" s="233" customFormat="1" ht="18" customHeight="1"/>
    <row r="71" s="233" customFormat="1" ht="18" customHeight="1"/>
    <row r="72" s="233" customFormat="1" ht="18" customHeight="1"/>
    <row r="73" s="233" customFormat="1" ht="18" customHeight="1"/>
    <row r="74" s="233" customFormat="1" ht="18" customHeight="1"/>
    <row r="75" s="233" customFormat="1" ht="18" customHeight="1"/>
    <row r="76" s="233" customFormat="1" ht="18" customHeight="1"/>
    <row r="77" s="233" customFormat="1" ht="18" customHeight="1"/>
    <row r="78" s="233" customFormat="1" ht="18" customHeight="1"/>
    <row r="79" s="233" customFormat="1" ht="18" customHeight="1"/>
    <row r="80" s="233" customFormat="1" ht="18" customHeight="1"/>
    <row r="81" s="233" customFormat="1" ht="18" customHeight="1"/>
    <row r="82" s="233" customFormat="1" ht="18" customHeight="1"/>
    <row r="83" s="233" customFormat="1" ht="18" customHeight="1"/>
    <row r="84" s="233" customFormat="1" ht="18" customHeight="1"/>
    <row r="85" s="233" customFormat="1" ht="18" customHeight="1"/>
    <row r="86" s="233" customFormat="1" ht="18" customHeight="1"/>
    <row r="87" s="233" customFormat="1" ht="18" customHeight="1"/>
    <row r="88" s="233" customFormat="1" ht="18" customHeight="1"/>
    <row r="89" s="233" customFormat="1" ht="18" customHeight="1"/>
    <row r="90" s="233" customFormat="1" ht="18" customHeight="1"/>
    <row r="91" s="233" customFormat="1" ht="18" customHeight="1"/>
    <row r="92" s="233" customFormat="1" ht="18" customHeight="1"/>
    <row r="93" s="233" customFormat="1" ht="18" customHeight="1"/>
    <row r="94" s="233" customFormat="1" ht="18" customHeight="1"/>
    <row r="95" s="233" customFormat="1" ht="18" customHeight="1"/>
    <row r="96" s="233" customFormat="1" ht="18" customHeight="1"/>
    <row r="97" s="233" customFormat="1" ht="18" customHeight="1"/>
    <row r="98" s="233" customFormat="1" ht="18" customHeight="1"/>
    <row r="99" s="233" customFormat="1" ht="18" customHeight="1"/>
    <row r="100" s="233" customFormat="1" ht="18" customHeight="1"/>
    <row r="101" s="233"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7525E-90C6-4CA6-A9BF-FE25E180BEFC}">
  <sheetPr codeName="Sheet14"/>
  <dimension ref="A1:S30"/>
  <sheetViews>
    <sheetView view="pageBreakPreview" zoomScaleNormal="100" zoomScaleSheetLayoutView="100" workbookViewId="0">
      <pane ySplit="1" topLeftCell="A2" activePane="bottomLeft" state="frozen"/>
      <selection activeCell="A2" sqref="A2"/>
      <selection pane="bottomLeft"/>
    </sheetView>
  </sheetViews>
  <sheetFormatPr defaultColWidth="8.875" defaultRowHeight="13.5"/>
  <cols>
    <col min="1" max="1" width="11.5" style="238" bestFit="1" customWidth="1"/>
    <col min="2" max="2" width="23.75" style="238" bestFit="1" customWidth="1"/>
    <col min="3" max="3" width="16" style="238" bestFit="1" customWidth="1"/>
    <col min="4" max="4" width="20.375" style="238" bestFit="1" customWidth="1"/>
    <col min="5" max="5" width="19.125" style="238" customWidth="1"/>
    <col min="6" max="7" width="11.5" style="238" bestFit="1" customWidth="1"/>
    <col min="8" max="8" width="16.25" style="238" customWidth="1"/>
    <col min="9" max="9" width="9.125" style="238" customWidth="1"/>
    <col min="10" max="10" width="16.25" style="238" customWidth="1"/>
    <col min="11" max="11" width="13.625" style="238" customWidth="1"/>
    <col min="12" max="19" width="6.375" style="248" customWidth="1"/>
    <col min="20" max="24" width="6.375" style="238" customWidth="1"/>
    <col min="25" max="16384" width="8.875" style="238"/>
  </cols>
  <sheetData>
    <row r="1" spans="1:19" ht="36.6" customHeight="1">
      <c r="A1" s="235" t="s">
        <v>381</v>
      </c>
      <c r="B1" s="236" t="s">
        <v>382</v>
      </c>
      <c r="C1" s="236" t="s">
        <v>383</v>
      </c>
      <c r="D1" s="236" t="s">
        <v>384</v>
      </c>
      <c r="E1" s="236" t="s">
        <v>385</v>
      </c>
      <c r="F1" s="236" t="s">
        <v>386</v>
      </c>
      <c r="G1" s="236" t="s">
        <v>387</v>
      </c>
      <c r="H1" s="440" t="s">
        <v>388</v>
      </c>
      <c r="I1" s="441"/>
      <c r="J1" s="442"/>
      <c r="K1" s="236" t="s">
        <v>389</v>
      </c>
      <c r="L1" s="237" t="s">
        <v>390</v>
      </c>
      <c r="M1" s="237" t="s">
        <v>391</v>
      </c>
      <c r="N1" s="237" t="s">
        <v>392</v>
      </c>
      <c r="O1" s="237" t="s">
        <v>393</v>
      </c>
      <c r="P1" s="237" t="s">
        <v>394</v>
      </c>
      <c r="Q1" s="237" t="s">
        <v>395</v>
      </c>
      <c r="R1" s="237" t="s">
        <v>396</v>
      </c>
      <c r="S1" s="237" t="s">
        <v>397</v>
      </c>
    </row>
    <row r="2" spans="1:19" ht="18.75">
      <c r="A2" s="239" t="s">
        <v>398</v>
      </c>
      <c r="B2" s="240"/>
      <c r="C2" s="240"/>
      <c r="D2" s="240" t="s">
        <v>399</v>
      </c>
      <c r="E2" s="240" t="s">
        <v>400</v>
      </c>
      <c r="F2" s="240" t="s">
        <v>401</v>
      </c>
      <c r="G2" s="240" t="s">
        <v>401</v>
      </c>
      <c r="H2" s="241" t="s">
        <v>402</v>
      </c>
      <c r="I2" s="241" t="s">
        <v>403</v>
      </c>
      <c r="J2" s="241" t="s">
        <v>404</v>
      </c>
      <c r="K2" s="242">
        <v>1500000</v>
      </c>
      <c r="L2" s="243" t="s">
        <v>405</v>
      </c>
      <c r="M2" s="243" t="s">
        <v>405</v>
      </c>
      <c r="N2" s="243"/>
      <c r="O2" s="243" t="s">
        <v>405</v>
      </c>
      <c r="P2" s="243" t="s">
        <v>405</v>
      </c>
      <c r="Q2" s="243"/>
      <c r="R2" s="243"/>
      <c r="S2" s="243"/>
    </row>
    <row r="3" spans="1:19" ht="18.75">
      <c r="A3" s="239" t="s">
        <v>398</v>
      </c>
      <c r="B3" s="240"/>
      <c r="C3" s="240"/>
      <c r="D3" s="240" t="s">
        <v>406</v>
      </c>
      <c r="E3" s="240" t="s">
        <v>407</v>
      </c>
      <c r="F3" s="240" t="s">
        <v>401</v>
      </c>
      <c r="G3" s="240" t="s">
        <v>408</v>
      </c>
      <c r="H3" s="241" t="s">
        <v>402</v>
      </c>
      <c r="I3" s="241" t="s">
        <v>403</v>
      </c>
      <c r="J3" s="241" t="s">
        <v>404</v>
      </c>
      <c r="K3" s="242">
        <v>2000000</v>
      </c>
      <c r="L3" s="243" t="s">
        <v>405</v>
      </c>
      <c r="M3" s="243" t="s">
        <v>405</v>
      </c>
      <c r="N3" s="243"/>
      <c r="O3" s="243"/>
      <c r="P3" s="243"/>
      <c r="Q3" s="243"/>
      <c r="R3" s="243"/>
      <c r="S3" s="243"/>
    </row>
    <row r="4" spans="1:19" ht="18.75">
      <c r="A4" s="239" t="s">
        <v>398</v>
      </c>
      <c r="B4" s="240"/>
      <c r="C4" s="240"/>
      <c r="D4" s="240" t="s">
        <v>399</v>
      </c>
      <c r="E4" s="240" t="s">
        <v>409</v>
      </c>
      <c r="F4" s="240" t="s">
        <v>410</v>
      </c>
      <c r="G4" s="240" t="s">
        <v>411</v>
      </c>
      <c r="H4" s="241" t="s">
        <v>402</v>
      </c>
      <c r="I4" s="241" t="s">
        <v>403</v>
      </c>
      <c r="J4" s="241" t="s">
        <v>404</v>
      </c>
      <c r="K4" s="242">
        <v>4000000</v>
      </c>
      <c r="L4" s="243" t="s">
        <v>405</v>
      </c>
      <c r="M4" s="243" t="s">
        <v>405</v>
      </c>
      <c r="N4" s="243" t="s">
        <v>405</v>
      </c>
      <c r="O4" s="243"/>
      <c r="P4" s="243"/>
      <c r="Q4" s="243"/>
      <c r="R4" s="243"/>
      <c r="S4" s="243"/>
    </row>
    <row r="5" spans="1:19" ht="18.75">
      <c r="A5" s="239" t="s">
        <v>398</v>
      </c>
      <c r="B5" s="240"/>
      <c r="C5" s="240"/>
      <c r="D5" s="240" t="s">
        <v>399</v>
      </c>
      <c r="E5" s="240" t="s">
        <v>409</v>
      </c>
      <c r="F5" s="240" t="s">
        <v>410</v>
      </c>
      <c r="G5" s="240" t="s">
        <v>412</v>
      </c>
      <c r="H5" s="241" t="s">
        <v>402</v>
      </c>
      <c r="I5" s="241" t="s">
        <v>403</v>
      </c>
      <c r="J5" s="241" t="s">
        <v>404</v>
      </c>
      <c r="K5" s="242">
        <v>1000000</v>
      </c>
      <c r="L5" s="243" t="s">
        <v>405</v>
      </c>
      <c r="M5" s="243" t="s">
        <v>405</v>
      </c>
      <c r="N5" s="243" t="s">
        <v>405</v>
      </c>
      <c r="O5" s="243"/>
      <c r="P5" s="243"/>
      <c r="Q5" s="243"/>
      <c r="R5" s="243"/>
      <c r="S5" s="243"/>
    </row>
    <row r="6" spans="1:19" ht="18.75">
      <c r="A6" s="239" t="s">
        <v>398</v>
      </c>
      <c r="B6" s="240"/>
      <c r="C6" s="240"/>
      <c r="D6" s="240" t="s">
        <v>399</v>
      </c>
      <c r="E6" s="240" t="s">
        <v>409</v>
      </c>
      <c r="F6" s="240" t="s">
        <v>410</v>
      </c>
      <c r="G6" s="240" t="s">
        <v>413</v>
      </c>
      <c r="H6" s="241" t="s">
        <v>402</v>
      </c>
      <c r="I6" s="241" t="s">
        <v>403</v>
      </c>
      <c r="J6" s="241" t="s">
        <v>404</v>
      </c>
      <c r="K6" s="242">
        <v>900000</v>
      </c>
      <c r="L6" s="243" t="s">
        <v>405</v>
      </c>
      <c r="M6" s="243" t="s">
        <v>405</v>
      </c>
      <c r="N6" s="243" t="s">
        <v>405</v>
      </c>
      <c r="O6" s="243"/>
      <c r="P6" s="243"/>
      <c r="Q6" s="243"/>
      <c r="R6" s="243"/>
      <c r="S6" s="243"/>
    </row>
    <row r="7" spans="1:19" ht="18.75">
      <c r="A7" s="239" t="s">
        <v>398</v>
      </c>
      <c r="B7" s="240"/>
      <c r="C7" s="240"/>
      <c r="D7" s="240" t="s">
        <v>414</v>
      </c>
      <c r="E7" s="240" t="s">
        <v>415</v>
      </c>
      <c r="F7" s="240" t="s">
        <v>416</v>
      </c>
      <c r="G7" s="240" t="s">
        <v>417</v>
      </c>
      <c r="H7" s="241" t="s">
        <v>402</v>
      </c>
      <c r="I7" s="241" t="s">
        <v>403</v>
      </c>
      <c r="J7" s="241" t="s">
        <v>404</v>
      </c>
      <c r="K7" s="242">
        <v>1500000</v>
      </c>
      <c r="L7" s="243" t="s">
        <v>405</v>
      </c>
      <c r="M7" s="243" t="s">
        <v>405</v>
      </c>
      <c r="N7" s="243"/>
      <c r="O7" s="243"/>
      <c r="P7" s="243"/>
      <c r="Q7" s="243"/>
      <c r="R7" s="243"/>
      <c r="S7" s="243"/>
    </row>
    <row r="8" spans="1:19" ht="18.75">
      <c r="A8" s="239" t="s">
        <v>398</v>
      </c>
      <c r="B8" s="240"/>
      <c r="C8" s="240"/>
      <c r="D8" s="240" t="s">
        <v>414</v>
      </c>
      <c r="E8" s="240" t="s">
        <v>415</v>
      </c>
      <c r="F8" s="240" t="s">
        <v>416</v>
      </c>
      <c r="G8" s="240" t="s">
        <v>418</v>
      </c>
      <c r="H8" s="241" t="s">
        <v>402</v>
      </c>
      <c r="I8" s="241" t="s">
        <v>403</v>
      </c>
      <c r="J8" s="241" t="s">
        <v>404</v>
      </c>
      <c r="K8" s="242">
        <v>4000000</v>
      </c>
      <c r="L8" s="243" t="s">
        <v>405</v>
      </c>
      <c r="M8" s="243" t="s">
        <v>405</v>
      </c>
      <c r="N8" s="243"/>
      <c r="O8" s="243"/>
      <c r="P8" s="243"/>
      <c r="Q8" s="243"/>
      <c r="R8" s="243"/>
      <c r="S8" s="243"/>
    </row>
    <row r="9" spans="1:19" ht="18.75">
      <c r="A9" s="244" t="s">
        <v>419</v>
      </c>
      <c r="B9" s="240"/>
      <c r="C9" s="240"/>
      <c r="D9" s="240" t="s">
        <v>399</v>
      </c>
      <c r="E9" s="240" t="s">
        <v>400</v>
      </c>
      <c r="F9" s="240" t="s">
        <v>401</v>
      </c>
      <c r="G9" s="240" t="s">
        <v>401</v>
      </c>
      <c r="H9" s="241" t="s">
        <v>402</v>
      </c>
      <c r="I9" s="241" t="s">
        <v>403</v>
      </c>
      <c r="J9" s="241" t="s">
        <v>404</v>
      </c>
      <c r="K9" s="242">
        <v>3000000</v>
      </c>
      <c r="L9" s="243" t="s">
        <v>405</v>
      </c>
      <c r="M9" s="243"/>
      <c r="N9" s="243"/>
      <c r="O9" s="243" t="s">
        <v>405</v>
      </c>
      <c r="P9" s="243"/>
      <c r="Q9" s="243"/>
      <c r="R9" s="243"/>
      <c r="S9" s="243"/>
    </row>
    <row r="10" spans="1:19" ht="18.75">
      <c r="A10" s="244" t="s">
        <v>419</v>
      </c>
      <c r="B10" s="240"/>
      <c r="C10" s="240"/>
      <c r="D10" s="240" t="s">
        <v>406</v>
      </c>
      <c r="E10" s="240" t="s">
        <v>407</v>
      </c>
      <c r="F10" s="240" t="s">
        <v>401</v>
      </c>
      <c r="G10" s="240" t="s">
        <v>408</v>
      </c>
      <c r="H10" s="241" t="s">
        <v>402</v>
      </c>
      <c r="I10" s="241" t="s">
        <v>403</v>
      </c>
      <c r="J10" s="241" t="s">
        <v>404</v>
      </c>
      <c r="K10" s="242">
        <v>1500000</v>
      </c>
      <c r="L10" s="243" t="s">
        <v>405</v>
      </c>
      <c r="M10" s="243"/>
      <c r="N10" s="243"/>
      <c r="O10" s="243"/>
      <c r="P10" s="243"/>
      <c r="Q10" s="243"/>
      <c r="R10" s="243"/>
      <c r="S10" s="243"/>
    </row>
    <row r="11" spans="1:19" ht="18.75">
      <c r="A11" s="244" t="s">
        <v>419</v>
      </c>
      <c r="B11" s="240"/>
      <c r="C11" s="240"/>
      <c r="D11" s="240" t="s">
        <v>399</v>
      </c>
      <c r="E11" s="240" t="s">
        <v>409</v>
      </c>
      <c r="F11" s="240" t="s">
        <v>410</v>
      </c>
      <c r="G11" s="240" t="s">
        <v>411</v>
      </c>
      <c r="H11" s="241" t="s">
        <v>402</v>
      </c>
      <c r="I11" s="241" t="s">
        <v>403</v>
      </c>
      <c r="J11" s="241" t="s">
        <v>404</v>
      </c>
      <c r="K11" s="242">
        <v>2000000</v>
      </c>
      <c r="L11" s="243" t="s">
        <v>405</v>
      </c>
      <c r="M11" s="243"/>
      <c r="N11" s="243" t="s">
        <v>405</v>
      </c>
      <c r="O11" s="243"/>
      <c r="P11" s="243"/>
      <c r="Q11" s="243"/>
      <c r="R11" s="243"/>
      <c r="S11" s="243"/>
    </row>
    <row r="12" spans="1:19" ht="18.75">
      <c r="A12" s="244" t="s">
        <v>419</v>
      </c>
      <c r="B12" s="240"/>
      <c r="C12" s="240"/>
      <c r="D12" s="240" t="s">
        <v>399</v>
      </c>
      <c r="E12" s="240" t="s">
        <v>409</v>
      </c>
      <c r="F12" s="240" t="s">
        <v>410</v>
      </c>
      <c r="G12" s="240" t="s">
        <v>412</v>
      </c>
      <c r="H12" s="241" t="s">
        <v>402</v>
      </c>
      <c r="I12" s="241" t="s">
        <v>403</v>
      </c>
      <c r="J12" s="241" t="s">
        <v>404</v>
      </c>
      <c r="K12" s="242">
        <v>4000000</v>
      </c>
      <c r="L12" s="243" t="s">
        <v>405</v>
      </c>
      <c r="M12" s="243"/>
      <c r="N12" s="243" t="s">
        <v>405</v>
      </c>
      <c r="O12" s="243"/>
      <c r="P12" s="243"/>
      <c r="Q12" s="243"/>
      <c r="R12" s="243"/>
      <c r="S12" s="243"/>
    </row>
    <row r="13" spans="1:19" ht="18.75">
      <c r="A13" s="244" t="s">
        <v>419</v>
      </c>
      <c r="B13" s="240"/>
      <c r="C13" s="240"/>
      <c r="D13" s="240" t="s">
        <v>399</v>
      </c>
      <c r="E13" s="240" t="s">
        <v>409</v>
      </c>
      <c r="F13" s="240" t="s">
        <v>410</v>
      </c>
      <c r="G13" s="240" t="s">
        <v>413</v>
      </c>
      <c r="H13" s="241" t="s">
        <v>402</v>
      </c>
      <c r="I13" s="241" t="s">
        <v>403</v>
      </c>
      <c r="J13" s="241" t="s">
        <v>404</v>
      </c>
      <c r="K13" s="242">
        <v>1000000</v>
      </c>
      <c r="L13" s="243" t="s">
        <v>405</v>
      </c>
      <c r="M13" s="243"/>
      <c r="N13" s="243" t="s">
        <v>405</v>
      </c>
      <c r="O13" s="243"/>
      <c r="P13" s="243"/>
      <c r="Q13" s="243"/>
      <c r="R13" s="243"/>
      <c r="S13" s="243"/>
    </row>
    <row r="14" spans="1:19" ht="18.75">
      <c r="A14" s="244" t="s">
        <v>419</v>
      </c>
      <c r="B14" s="240"/>
      <c r="C14" s="240"/>
      <c r="D14" s="240" t="s">
        <v>414</v>
      </c>
      <c r="E14" s="240" t="s">
        <v>415</v>
      </c>
      <c r="F14" s="240" t="s">
        <v>416</v>
      </c>
      <c r="G14" s="240" t="s">
        <v>417</v>
      </c>
      <c r="H14" s="241" t="s">
        <v>402</v>
      </c>
      <c r="I14" s="241" t="s">
        <v>403</v>
      </c>
      <c r="J14" s="241" t="s">
        <v>404</v>
      </c>
      <c r="K14" s="242">
        <v>800000</v>
      </c>
      <c r="L14" s="243" t="s">
        <v>405</v>
      </c>
      <c r="M14" s="243"/>
      <c r="N14" s="243"/>
      <c r="O14" s="243"/>
      <c r="P14" s="243"/>
      <c r="Q14" s="243"/>
      <c r="R14" s="243"/>
      <c r="S14" s="243"/>
    </row>
    <row r="15" spans="1:19" ht="18.75">
      <c r="A15" s="244" t="s">
        <v>419</v>
      </c>
      <c r="B15" s="240"/>
      <c r="C15" s="240"/>
      <c r="D15" s="240" t="s">
        <v>414</v>
      </c>
      <c r="E15" s="240" t="s">
        <v>415</v>
      </c>
      <c r="F15" s="240" t="s">
        <v>416</v>
      </c>
      <c r="G15" s="240" t="s">
        <v>418</v>
      </c>
      <c r="H15" s="241" t="s">
        <v>402</v>
      </c>
      <c r="I15" s="241" t="s">
        <v>403</v>
      </c>
      <c r="J15" s="241" t="s">
        <v>404</v>
      </c>
      <c r="K15" s="242">
        <v>1500000</v>
      </c>
      <c r="L15" s="243" t="s">
        <v>405</v>
      </c>
      <c r="M15" s="243"/>
      <c r="N15" s="243"/>
      <c r="O15" s="243"/>
      <c r="P15" s="243"/>
      <c r="Q15" s="243"/>
      <c r="R15" s="243"/>
      <c r="S15" s="243"/>
    </row>
    <row r="16" spans="1:19" ht="18.75">
      <c r="A16" s="239" t="s">
        <v>420</v>
      </c>
      <c r="B16" s="240" t="s">
        <v>421</v>
      </c>
      <c r="C16" s="240"/>
      <c r="D16" s="240" t="s">
        <v>422</v>
      </c>
      <c r="E16" s="240" t="s">
        <v>400</v>
      </c>
      <c r="F16" s="240" t="s">
        <v>401</v>
      </c>
      <c r="G16" s="240" t="s">
        <v>401</v>
      </c>
      <c r="H16" s="241" t="s">
        <v>402</v>
      </c>
      <c r="I16" s="241" t="s">
        <v>403</v>
      </c>
      <c r="J16" s="241" t="s">
        <v>404</v>
      </c>
      <c r="K16" s="242">
        <v>4000000</v>
      </c>
      <c r="L16" s="243" t="s">
        <v>405</v>
      </c>
      <c r="M16" s="243"/>
      <c r="N16" s="243"/>
      <c r="O16" s="243" t="s">
        <v>405</v>
      </c>
      <c r="P16" s="243"/>
      <c r="Q16" s="243"/>
      <c r="R16" s="243"/>
      <c r="S16" s="243"/>
    </row>
    <row r="17" spans="1:19" ht="18.75">
      <c r="A17" s="239" t="s">
        <v>420</v>
      </c>
      <c r="B17" s="240" t="s">
        <v>423</v>
      </c>
      <c r="C17" s="240"/>
      <c r="D17" s="240" t="s">
        <v>406</v>
      </c>
      <c r="E17" s="240" t="s">
        <v>400</v>
      </c>
      <c r="F17" s="240" t="s">
        <v>401</v>
      </c>
      <c r="G17" s="240" t="s">
        <v>408</v>
      </c>
      <c r="H17" s="241" t="s">
        <v>402</v>
      </c>
      <c r="I17" s="241" t="s">
        <v>403</v>
      </c>
      <c r="J17" s="241" t="s">
        <v>404</v>
      </c>
      <c r="K17" s="242">
        <v>3000000</v>
      </c>
      <c r="L17" s="243" t="s">
        <v>405</v>
      </c>
      <c r="M17" s="243"/>
      <c r="N17" s="243"/>
      <c r="O17" s="243"/>
      <c r="P17" s="243"/>
      <c r="Q17" s="243"/>
      <c r="R17" s="243"/>
      <c r="S17" s="243"/>
    </row>
    <row r="18" spans="1:19" ht="18.75">
      <c r="A18" s="239" t="s">
        <v>420</v>
      </c>
      <c r="B18" s="240" t="s">
        <v>424</v>
      </c>
      <c r="C18" s="240"/>
      <c r="D18" s="240" t="s">
        <v>425</v>
      </c>
      <c r="E18" s="240" t="s">
        <v>409</v>
      </c>
      <c r="F18" s="240" t="s">
        <v>410</v>
      </c>
      <c r="G18" s="240" t="s">
        <v>411</v>
      </c>
      <c r="H18" s="241" t="s">
        <v>402</v>
      </c>
      <c r="I18" s="241" t="s">
        <v>403</v>
      </c>
      <c r="J18" s="241" t="s">
        <v>404</v>
      </c>
      <c r="K18" s="242">
        <v>1500000</v>
      </c>
      <c r="L18" s="243" t="s">
        <v>405</v>
      </c>
      <c r="M18" s="243"/>
      <c r="N18" s="243" t="s">
        <v>405</v>
      </c>
      <c r="O18" s="243"/>
      <c r="P18" s="243"/>
      <c r="Q18" s="243"/>
      <c r="R18" s="243"/>
      <c r="S18" s="243"/>
    </row>
    <row r="19" spans="1:19" ht="18.75">
      <c r="A19" s="239" t="s">
        <v>420</v>
      </c>
      <c r="B19" s="240" t="s">
        <v>424</v>
      </c>
      <c r="C19" s="240"/>
      <c r="D19" s="240" t="s">
        <v>426</v>
      </c>
      <c r="E19" s="240" t="s">
        <v>409</v>
      </c>
      <c r="F19" s="240" t="s">
        <v>410</v>
      </c>
      <c r="G19" s="240" t="s">
        <v>412</v>
      </c>
      <c r="H19" s="241" t="s">
        <v>402</v>
      </c>
      <c r="I19" s="241" t="s">
        <v>403</v>
      </c>
      <c r="J19" s="241" t="s">
        <v>404</v>
      </c>
      <c r="K19" s="242">
        <v>2000000</v>
      </c>
      <c r="L19" s="243" t="s">
        <v>405</v>
      </c>
      <c r="M19" s="243"/>
      <c r="N19" s="243" t="s">
        <v>405</v>
      </c>
      <c r="O19" s="243"/>
      <c r="P19" s="243"/>
      <c r="Q19" s="243"/>
      <c r="R19" s="243"/>
      <c r="S19" s="243"/>
    </row>
    <row r="20" spans="1:19" ht="18.75">
      <c r="A20" s="239" t="s">
        <v>420</v>
      </c>
      <c r="B20" s="240" t="s">
        <v>424</v>
      </c>
      <c r="C20" s="240"/>
      <c r="D20" s="240" t="s">
        <v>427</v>
      </c>
      <c r="E20" s="240" t="s">
        <v>409</v>
      </c>
      <c r="F20" s="240" t="s">
        <v>410</v>
      </c>
      <c r="G20" s="240" t="s">
        <v>413</v>
      </c>
      <c r="H20" s="241" t="s">
        <v>402</v>
      </c>
      <c r="I20" s="241" t="s">
        <v>403</v>
      </c>
      <c r="J20" s="241" t="s">
        <v>404</v>
      </c>
      <c r="K20" s="242">
        <v>4000000</v>
      </c>
      <c r="L20" s="243" t="s">
        <v>405</v>
      </c>
      <c r="M20" s="243"/>
      <c r="N20" s="243" t="s">
        <v>405</v>
      </c>
      <c r="O20" s="243"/>
      <c r="P20" s="243"/>
      <c r="Q20" s="243"/>
      <c r="R20" s="243"/>
      <c r="S20" s="243"/>
    </row>
    <row r="21" spans="1:19" ht="18.75">
      <c r="A21" s="239" t="s">
        <v>420</v>
      </c>
      <c r="B21" s="241" t="s">
        <v>428</v>
      </c>
      <c r="C21" s="241"/>
      <c r="D21" s="241" t="s">
        <v>429</v>
      </c>
      <c r="E21" s="241" t="s">
        <v>430</v>
      </c>
      <c r="F21" s="241" t="s">
        <v>431</v>
      </c>
      <c r="G21" s="241" t="s">
        <v>431</v>
      </c>
      <c r="H21" s="241" t="s">
        <v>402</v>
      </c>
      <c r="I21" s="241" t="s">
        <v>403</v>
      </c>
      <c r="J21" s="241" t="s">
        <v>404</v>
      </c>
      <c r="K21" s="245">
        <v>1500000</v>
      </c>
      <c r="L21" s="243" t="s">
        <v>405</v>
      </c>
      <c r="M21" s="246"/>
      <c r="N21" s="246"/>
      <c r="O21" s="246"/>
      <c r="P21" s="246"/>
      <c r="Q21" s="246"/>
      <c r="R21" s="246"/>
      <c r="S21" s="246"/>
    </row>
    <row r="22" spans="1:19" ht="18.75">
      <c r="A22" s="239" t="s">
        <v>420</v>
      </c>
      <c r="B22" s="241" t="s">
        <v>428</v>
      </c>
      <c r="C22" s="241" t="s">
        <v>432</v>
      </c>
      <c r="D22" s="241" t="s">
        <v>433</v>
      </c>
      <c r="E22" s="241" t="s">
        <v>430</v>
      </c>
      <c r="F22" s="241" t="s">
        <v>431</v>
      </c>
      <c r="G22" s="241" t="s">
        <v>431</v>
      </c>
      <c r="H22" s="241" t="s">
        <v>402</v>
      </c>
      <c r="I22" s="241" t="s">
        <v>403</v>
      </c>
      <c r="J22" s="241" t="s">
        <v>404</v>
      </c>
      <c r="K22" s="245">
        <v>4000000</v>
      </c>
      <c r="L22" s="243" t="s">
        <v>405</v>
      </c>
      <c r="M22" s="246"/>
      <c r="N22" s="246"/>
      <c r="O22" s="246"/>
      <c r="P22" s="246"/>
      <c r="Q22" s="246"/>
      <c r="R22" s="243" t="s">
        <v>405</v>
      </c>
      <c r="S22" s="246"/>
    </row>
    <row r="23" spans="1:19" ht="18.75">
      <c r="A23" s="239" t="s">
        <v>420</v>
      </c>
      <c r="B23" s="241" t="s">
        <v>428</v>
      </c>
      <c r="C23" s="241" t="s">
        <v>432</v>
      </c>
      <c r="D23" s="241" t="s">
        <v>434</v>
      </c>
      <c r="E23" s="241" t="s">
        <v>430</v>
      </c>
      <c r="F23" s="241" t="s">
        <v>431</v>
      </c>
      <c r="G23" s="241" t="s">
        <v>435</v>
      </c>
      <c r="H23" s="241" t="s">
        <v>402</v>
      </c>
      <c r="I23" s="241" t="s">
        <v>403</v>
      </c>
      <c r="J23" s="241" t="s">
        <v>404</v>
      </c>
      <c r="K23" s="245">
        <v>3000000</v>
      </c>
      <c r="L23" s="243" t="s">
        <v>405</v>
      </c>
      <c r="M23" s="246"/>
      <c r="N23" s="246"/>
      <c r="O23" s="246"/>
      <c r="P23" s="246"/>
      <c r="Q23" s="246"/>
      <c r="R23" s="243" t="s">
        <v>405</v>
      </c>
      <c r="S23" s="246"/>
    </row>
    <row r="24" spans="1:19" ht="18.75">
      <c r="A24" s="239" t="s">
        <v>420</v>
      </c>
      <c r="B24" s="241" t="s">
        <v>436</v>
      </c>
      <c r="C24" s="241"/>
      <c r="D24" s="241" t="s">
        <v>437</v>
      </c>
      <c r="E24" s="241" t="s">
        <v>438</v>
      </c>
      <c r="F24" s="241" t="s">
        <v>439</v>
      </c>
      <c r="G24" s="241" t="s">
        <v>439</v>
      </c>
      <c r="H24" s="241" t="s">
        <v>402</v>
      </c>
      <c r="I24" s="241" t="s">
        <v>403</v>
      </c>
      <c r="J24" s="241" t="s">
        <v>404</v>
      </c>
      <c r="K24" s="242">
        <v>1000000</v>
      </c>
      <c r="L24" s="243" t="s">
        <v>405</v>
      </c>
      <c r="M24" s="243"/>
      <c r="N24" s="243"/>
      <c r="O24" s="243"/>
      <c r="P24" s="243"/>
      <c r="Q24" s="243"/>
      <c r="R24" s="243"/>
      <c r="S24" s="243"/>
    </row>
    <row r="25" spans="1:19" ht="18.75">
      <c r="A25" s="239" t="s">
        <v>420</v>
      </c>
      <c r="B25" s="241" t="s">
        <v>436</v>
      </c>
      <c r="C25" s="241"/>
      <c r="D25" s="241" t="s">
        <v>440</v>
      </c>
      <c r="E25" s="241" t="s">
        <v>438</v>
      </c>
      <c r="F25" s="241" t="s">
        <v>439</v>
      </c>
      <c r="G25" s="241" t="s">
        <v>439</v>
      </c>
      <c r="H25" s="241" t="s">
        <v>402</v>
      </c>
      <c r="I25" s="241" t="s">
        <v>403</v>
      </c>
      <c r="J25" s="241" t="s">
        <v>404</v>
      </c>
      <c r="K25" s="242">
        <v>700000</v>
      </c>
      <c r="L25" s="243" t="s">
        <v>405</v>
      </c>
      <c r="M25" s="243"/>
      <c r="N25" s="243"/>
      <c r="O25" s="243"/>
      <c r="P25" s="243"/>
      <c r="Q25" s="243"/>
      <c r="R25" s="243"/>
      <c r="S25" s="243"/>
    </row>
    <row r="26" spans="1:19" ht="18.75">
      <c r="A26" s="239" t="s">
        <v>420</v>
      </c>
      <c r="B26" s="241" t="s">
        <v>336</v>
      </c>
      <c r="C26" s="241"/>
      <c r="D26" s="241" t="s">
        <v>441</v>
      </c>
      <c r="E26" s="241" t="s">
        <v>438</v>
      </c>
      <c r="F26" s="241" t="s">
        <v>439</v>
      </c>
      <c r="G26" s="241" t="s">
        <v>439</v>
      </c>
      <c r="H26" s="241" t="s">
        <v>402</v>
      </c>
      <c r="I26" s="241" t="s">
        <v>403</v>
      </c>
      <c r="J26" s="241" t="s">
        <v>404</v>
      </c>
      <c r="K26" s="242">
        <v>700000</v>
      </c>
      <c r="L26" s="243" t="s">
        <v>405</v>
      </c>
      <c r="M26" s="243"/>
      <c r="N26" s="243"/>
      <c r="O26" s="243"/>
      <c r="P26" s="243"/>
      <c r="Q26" s="243" t="s">
        <v>405</v>
      </c>
      <c r="R26" s="243"/>
      <c r="S26" s="243"/>
    </row>
    <row r="27" spans="1:19" ht="18.75">
      <c r="A27" s="239" t="s">
        <v>420</v>
      </c>
      <c r="B27" s="241" t="s">
        <v>336</v>
      </c>
      <c r="C27" s="241"/>
      <c r="D27" s="241" t="s">
        <v>442</v>
      </c>
      <c r="E27" s="241" t="s">
        <v>438</v>
      </c>
      <c r="F27" s="241" t="s">
        <v>439</v>
      </c>
      <c r="G27" s="241" t="s">
        <v>439</v>
      </c>
      <c r="H27" s="241" t="s">
        <v>402</v>
      </c>
      <c r="I27" s="241" t="s">
        <v>403</v>
      </c>
      <c r="J27" s="241" t="s">
        <v>404</v>
      </c>
      <c r="K27" s="245">
        <v>1500000</v>
      </c>
      <c r="L27" s="243" t="s">
        <v>405</v>
      </c>
      <c r="M27" s="243"/>
      <c r="N27" s="243"/>
      <c r="O27" s="243"/>
      <c r="P27" s="243"/>
      <c r="Q27" s="243" t="s">
        <v>405</v>
      </c>
      <c r="R27" s="243"/>
      <c r="S27" s="243"/>
    </row>
    <row r="28" spans="1:19" ht="18.75">
      <c r="A28" s="239" t="s">
        <v>420</v>
      </c>
      <c r="B28" s="241" t="s">
        <v>443</v>
      </c>
      <c r="C28" s="241"/>
      <c r="D28" s="241" t="s">
        <v>444</v>
      </c>
      <c r="E28" s="241" t="s">
        <v>365</v>
      </c>
      <c r="F28" s="241" t="s">
        <v>439</v>
      </c>
      <c r="G28" s="241" t="s">
        <v>439</v>
      </c>
      <c r="H28" s="241" t="s">
        <v>402</v>
      </c>
      <c r="I28" s="241" t="s">
        <v>403</v>
      </c>
      <c r="J28" s="241" t="s">
        <v>404</v>
      </c>
      <c r="K28" s="242">
        <v>3000000</v>
      </c>
      <c r="L28" s="243" t="s">
        <v>405</v>
      </c>
      <c r="M28" s="243"/>
      <c r="N28" s="243"/>
      <c r="O28" s="243"/>
      <c r="P28" s="243"/>
      <c r="Q28" s="243"/>
      <c r="R28" s="243"/>
      <c r="S28" s="243" t="s">
        <v>405</v>
      </c>
    </row>
    <row r="29" spans="1:19" ht="18.75">
      <c r="A29" s="239" t="s">
        <v>420</v>
      </c>
      <c r="B29" s="241" t="s">
        <v>443</v>
      </c>
      <c r="C29" s="241" t="s">
        <v>445</v>
      </c>
      <c r="D29" s="241"/>
      <c r="E29" s="241" t="s">
        <v>365</v>
      </c>
      <c r="F29" s="241" t="s">
        <v>439</v>
      </c>
      <c r="G29" s="241" t="s">
        <v>439</v>
      </c>
      <c r="H29" s="241" t="s">
        <v>402</v>
      </c>
      <c r="I29" s="241" t="s">
        <v>403</v>
      </c>
      <c r="J29" s="241" t="s">
        <v>404</v>
      </c>
      <c r="K29" s="242">
        <v>1500000</v>
      </c>
      <c r="L29" s="243" t="s">
        <v>405</v>
      </c>
      <c r="M29" s="243"/>
      <c r="N29" s="243"/>
      <c r="O29" s="243"/>
      <c r="P29" s="243"/>
      <c r="Q29" s="243"/>
      <c r="R29" s="243"/>
      <c r="S29" s="243" t="s">
        <v>405</v>
      </c>
    </row>
    <row r="30" spans="1:19" ht="18.75">
      <c r="A30" s="239" t="s">
        <v>420</v>
      </c>
      <c r="B30" s="241" t="s">
        <v>446</v>
      </c>
      <c r="C30" s="241"/>
      <c r="D30" s="241" t="s">
        <v>447</v>
      </c>
      <c r="E30" s="241" t="s">
        <v>365</v>
      </c>
      <c r="F30" s="241" t="s">
        <v>439</v>
      </c>
      <c r="G30" s="241" t="s">
        <v>439</v>
      </c>
      <c r="H30" s="241" t="s">
        <v>402</v>
      </c>
      <c r="I30" s="241" t="s">
        <v>403</v>
      </c>
      <c r="J30" s="241" t="s">
        <v>404</v>
      </c>
      <c r="K30" s="247">
        <v>1000000</v>
      </c>
      <c r="L30" s="243" t="s">
        <v>405</v>
      </c>
      <c r="M30" s="243"/>
      <c r="N30" s="243"/>
      <c r="O30" s="243"/>
      <c r="P30" s="243"/>
      <c r="Q30" s="243"/>
      <c r="R30" s="243"/>
      <c r="S30" s="243" t="s">
        <v>405</v>
      </c>
    </row>
  </sheetData>
  <autoFilter ref="A1:S30" xr:uid="{4BFE495F-3D30-426C-9A40-F7360ACC74F4}">
    <filterColumn colId="7" showButton="0"/>
    <filterColumn colId="8" showButton="0"/>
  </autoFilter>
  <mergeCells count="1">
    <mergeCell ref="H1:J1"/>
  </mergeCells>
  <phoneticPr fontId="3"/>
  <pageMargins left="0.7" right="0.7" top="0.75" bottom="0.75" header="0.3" footer="0.3"/>
  <pageSetup paperSize="9" scale="6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BEF3C03E-721D-4486-82A0-DE8E8DCEED25}"/>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25</vt:i4>
      </vt:variant>
    </vt:vector>
  </HeadingPairs>
  <TitlesOfParts>
    <vt:vector size="39" baseType="lpstr">
      <vt:lpstr>変更履歴</vt:lpstr>
      <vt:lpstr>補足 (科目別相手先別残高表（目節）（摘要）作成)</vt:lpstr>
      <vt:lpstr>補足 (部門別実績比較損益計算書作成)</vt:lpstr>
      <vt:lpstr>補足 (品目別取扱高計画実績対比表作成)</vt:lpstr>
      <vt:lpstr>部門別品目別の対象科目</vt:lpstr>
      <vt:lpstr>管理会計帳票の組織別出力</vt:lpstr>
      <vt:lpstr>補足 (事業管理費業種配分付表作成)</vt:lpstr>
      <vt:lpstr>事業管理費業種配分付表</vt:lpstr>
      <vt:lpstr>補足 (事業分量割戻データ作成)</vt:lpstr>
      <vt:lpstr>補足・帳票出力制御</vt:lpstr>
      <vt:lpstr>会員別・系統利用高調書抽出条件</vt:lpstr>
      <vt:lpstr>補足 コードデータマスタ</vt:lpstr>
      <vt:lpstr>管理会計参照可能データ範囲</vt:lpstr>
      <vt:lpstr>別紙_参照範囲</vt:lpstr>
      <vt:lpstr>会員別・系統利用高調書抽出条件!Print_Area</vt:lpstr>
      <vt:lpstr>管理会計参照可能データ範囲!Print_Area</vt:lpstr>
      <vt:lpstr>管理会計帳票の組織別出力!Print_Area</vt:lpstr>
      <vt:lpstr>事業管理費業種配分付表!Print_Area</vt:lpstr>
      <vt:lpstr>部門別品目別の対象科目!Print_Area</vt:lpstr>
      <vt:lpstr>変更履歴!Print_Area</vt:lpstr>
      <vt:lpstr>'補足 (科目別相手先別残高表（目節）（摘要）作成)'!Print_Area</vt:lpstr>
      <vt:lpstr>'補足 (事業管理費業種配分付表作成)'!Print_Area</vt:lpstr>
      <vt:lpstr>'補足 (事業分量割戻データ作成)'!Print_Area</vt:lpstr>
      <vt:lpstr>'補足 (品目別取扱高計画実績対比表作成)'!Print_Area</vt:lpstr>
      <vt:lpstr>'補足 (部門別実績比較損益計算書作成)'!Print_Area</vt:lpstr>
      <vt:lpstr>'補足 コードデータマスタ'!Print_Area</vt:lpstr>
      <vt:lpstr>補足・帳票出力制御!Print_Area</vt:lpstr>
      <vt:lpstr>会員別・系統利用高調書抽出条件!Print_Titles</vt:lpstr>
      <vt:lpstr>管理会計参照可能データ範囲!Print_Titles</vt:lpstr>
      <vt:lpstr>管理会計帳票の組織別出力!Print_Titles</vt:lpstr>
      <vt:lpstr>事業管理費業種配分付表!Print_Titles</vt:lpstr>
      <vt:lpstr>部門別品目別の対象科目!Print_Titles</vt:lpstr>
      <vt:lpstr>変更履歴!Print_Titles</vt:lpstr>
      <vt:lpstr>'補足 (事業管理費業種配分付表作成)'!Print_Titles</vt:lpstr>
      <vt:lpstr>'補足 (事業分量割戻データ作成)'!Print_Titles</vt:lpstr>
      <vt:lpstr>'補足 (品目別取扱高計画実績対比表作成)'!Print_Titles</vt:lpstr>
      <vt:lpstr>'補足 (部門別実績比較損益計算書作成)'!Print_Titles</vt:lpstr>
      <vt:lpstr>'補足 コードデータマスタ'!Print_Titles</vt:lpstr>
      <vt:lpstr>補足・帳票出力制御!Print_Titles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2025-08-22T10:59:36Z</cp:lastPrinted>
  <dcterms:created xsi:type="dcterms:W3CDTF">2001-03-06T02:20:07Z</dcterms:created>
  <dcterms:modified xsi:type="dcterms:W3CDTF">2025-09-05T04:10:41Z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