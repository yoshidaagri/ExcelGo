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10_CSVファイル設計書\6.債務管理\6.5.内部振替\"/>
    </mc:Choice>
  </mc:AlternateContent>
  <xr:revisionPtr revIDLastSave="0" documentId="13_ncr:1_{A1E85A5C-84E6-49E4-B1CA-EDFDBD171DFB}" xr6:coauthVersionLast="47" xr6:coauthVersionMax="47" xr10:uidLastSave="{00000000-0000-0000-0000-000000000000}"/>
  <bookViews>
    <workbookView xWindow="28680" yWindow="1605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2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CSVイメージ!$A$1:$BJ$68</definedName>
    <definedName name="_xlnm.Print_Area" localSheetId="1">項目定義書!$A$1:$BJ$58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32" l="1"/>
  <c r="B58" i="32" s="1"/>
  <c r="AA28" i="32"/>
  <c r="AD28" i="32"/>
  <c r="AG20" i="32"/>
  <c r="AH20" i="32" s="1"/>
  <c r="AG19" i="32"/>
  <c r="AH19" i="32" s="1"/>
  <c r="AG18" i="32"/>
  <c r="AH18" i="32" s="1"/>
  <c r="AG17" i="32"/>
  <c r="AH17" i="32" s="1"/>
  <c r="AG16" i="32"/>
  <c r="AH16" i="32" s="1"/>
  <c r="AD15" i="32"/>
  <c r="AE15" i="32" s="1"/>
  <c r="AE14" i="32"/>
  <c r="AD14" i="32"/>
  <c r="AD13" i="32"/>
  <c r="AE13" i="32" s="1"/>
  <c r="AG11" i="32"/>
  <c r="AH11" i="32" s="1"/>
  <c r="AG10" i="32"/>
  <c r="AH10" i="32" s="1"/>
  <c r="AG9" i="32"/>
  <c r="AH9" i="32" s="1"/>
  <c r="AG8" i="32"/>
  <c r="AH8" i="32" s="1"/>
  <c r="AG7" i="32"/>
  <c r="AH7" i="32" s="1"/>
  <c r="AD6" i="32"/>
  <c r="AE6" i="32" s="1"/>
  <c r="AE5" i="32"/>
  <c r="AE4" i="32"/>
  <c r="BF6" i="28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<sst xmlns="http://schemas.openxmlformats.org/spreadsheetml/2006/main" count="830" uniqueCount="205">
  <si>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</si>
  <si>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</si>
  <si>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</si>
  <si>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</si>
  <si>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</si>
  <si>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</si>
  <si>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</si>
  <si>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</si>
  <si>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</si>
  <si>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</si>
  <si>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</si>
  <si>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</si>
  <si>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</si>
  <si>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</si>
  <si>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</si>
  <si>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</si>
  <si>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</si>
  <si>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</si>
  <si>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</si>
  <si>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</si>
  <si>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</si>
  <si>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</si>
  <si>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</si>
  <si>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</si>
  <si>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</si>
  <si>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</si>
  <si>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</si>
  <si>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</si>
  <si>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</si>
  <si>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</si>
  <si>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</si>
  <si>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</si>
  <si>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</si>
  <si>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</si>
  <si>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</si>
  <si>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</si>
  <si>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</si>
  <si>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</si>
  <si>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</si>
  <si>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</si>
  <si>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</si>
  <si>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</si>
  <si>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</si>
  <si>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</si>
  <si>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</si>
  <si>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</si>
  <si>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</si>
  <si>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</si>
  <si>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</si>
  <si>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</si>
  <si>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</si>
  <si>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漢字</t>
    <rPh sb="0" eb="2">
      <t>カンジ</t>
    </rPh>
    <phoneticPr fontId="1"/>
  </si>
  <si>
    <t>D06050201</t>
    <phoneticPr fontId="1"/>
  </si>
  <si>
    <t>振替日</t>
  </si>
  <si>
    <t>英数字</t>
  </si>
  <si>
    <t>数値</t>
  </si>
  <si>
    <t>取引日</t>
  </si>
  <si>
    <t>90</t>
  </si>
  <si>
    <t>本所</t>
    <rPh sb="0" eb="2">
      <t>ホンショ</t>
    </rPh>
    <phoneticPr fontId="1"/>
  </si>
  <si>
    <t>000</t>
  </si>
  <si>
    <t>20250113</t>
    <phoneticPr fontId="1"/>
  </si>
  <si>
    <t>振替区分</t>
  </si>
  <si>
    <t>1000000</t>
    <phoneticPr fontId="1"/>
  </si>
  <si>
    <t>hhh_内部振替結果表("ユーザーID")_yyyyMMdd_HHmmss.csv</t>
    <rPh sb="4" eb="6">
      <t>ナイブ</t>
    </rPh>
    <rPh sb="6" eb="8">
      <t>フリカエ</t>
    </rPh>
    <rPh sb="8" eb="11">
      <t>ケッカヒョウ</t>
    </rPh>
    <phoneticPr fontId="1"/>
  </si>
  <si>
    <t>伝票番号</t>
    <rPh sb="0" eb="2">
      <t>デンピョウ</t>
    </rPh>
    <rPh sb="2" eb="4">
      <t>バンゴウ</t>
    </rPh>
    <phoneticPr fontId="1"/>
  </si>
  <si>
    <t>債権</t>
    <rPh sb="0" eb="2">
      <t>サイケン</t>
    </rPh>
    <phoneticPr fontId="1"/>
  </si>
  <si>
    <t>債務</t>
    <rPh sb="0" eb="2">
      <t>サイム</t>
    </rPh>
    <phoneticPr fontId="1"/>
  </si>
  <si>
    <t>照合区分</t>
    <rPh sb="0" eb="2">
      <t>ショウゴウ</t>
    </rPh>
    <rPh sb="2" eb="4">
      <t>クブン</t>
    </rPh>
    <phoneticPr fontId="1"/>
  </si>
  <si>
    <t>手動</t>
    <rPh sb="0" eb="1">
      <t>シュドウ</t>
    </rPh>
    <phoneticPr fontId="1"/>
  </si>
  <si>
    <t>債務-振替金額</t>
    <rPh sb="0" eb="2">
      <t>サイム</t>
    </rPh>
    <phoneticPr fontId="1"/>
  </si>
  <si>
    <t>債権-振替金額</t>
    <rPh sb="0" eb="2">
      <t>サイケン</t>
    </rPh>
    <phoneticPr fontId="1"/>
  </si>
  <si>
    <t>納品書番号</t>
    <rPh sb="0" eb="3">
      <t>ノウヒンショ</t>
    </rPh>
    <phoneticPr fontId="1"/>
  </si>
  <si>
    <t>1111111</t>
  </si>
  <si>
    <t>1111111</t>
    <phoneticPr fontId="1"/>
  </si>
  <si>
    <t>1111112</t>
  </si>
  <si>
    <t>1111113</t>
  </si>
  <si>
    <t>1111114</t>
  </si>
  <si>
    <t>1111115</t>
  </si>
  <si>
    <t>「自動」または「手動」</t>
    <rPh sb="1" eb="3">
      <t>ジドウ</t>
    </rPh>
    <rPh sb="8" eb="10">
      <t>シュドウ</t>
    </rPh>
    <phoneticPr fontId="1"/>
  </si>
  <si>
    <t>事業所マスタから取得した事業所名（漢字）</t>
    <phoneticPr fontId="1"/>
  </si>
  <si>
    <t>業種マスタから取得した業種名（漢字）</t>
    <phoneticPr fontId="1"/>
  </si>
  <si>
    <t>支払先コードにて取引先マスタから取得した取引先名（漢字）</t>
    <phoneticPr fontId="1"/>
  </si>
  <si>
    <t>請求先コードにて取引先マスタから取得した取引先名（漢字）</t>
    <rPh sb="0" eb="2">
      <t>セイキュウ</t>
    </rPh>
    <phoneticPr fontId="1"/>
  </si>
  <si>
    <t>納品書番号枝番</t>
    <rPh sb="0" eb="3">
      <t>ノウヒンショ</t>
    </rPh>
    <rPh sb="5" eb="7">
      <t>エダバン</t>
    </rPh>
    <phoneticPr fontId="1"/>
  </si>
  <si>
    <t>振替区分が"債務"の場合、債務の取引日
振替区分が"債権"の場合、債権の取引日をセット
「yyyyMMdd」形式。</t>
    <rPh sb="0" eb="1">
      <t>フリカエ</t>
    </rPh>
    <rPh sb="1" eb="3">
      <t>クブン</t>
    </rPh>
    <rPh sb="9" eb="11">
      <t>バアイ</t>
    </rPh>
    <rPh sb="12" eb="14">
      <t>サイム</t>
    </rPh>
    <rPh sb="15" eb="18">
      <t>トリヒキビ</t>
    </rPh>
    <rPh sb="19" eb="21">
      <t>フリカエ</t>
    </rPh>
    <rPh sb="21" eb="23">
      <t>クブン</t>
    </rPh>
    <rPh sb="26" eb="28">
      <t>サイケン</t>
    </rPh>
    <rPh sb="29" eb="31">
      <t>バアイ</t>
    </rPh>
    <rPh sb="32" eb="34">
      <t>サイケン</t>
    </rPh>
    <rPh sb="35" eb="38">
      <t>トリヒキビ</t>
    </rPh>
    <phoneticPr fontId="1"/>
  </si>
  <si>
    <t>振替区分が"債務"の場合、債務の経理日
振替区分が"債権"の場合、債権の経理日をセット
「yyyyMMdd」形式。</t>
    <rPh sb="0" eb="1">
      <t>フリカエ</t>
    </rPh>
    <rPh sb="1" eb="3">
      <t>クブン</t>
    </rPh>
    <rPh sb="9" eb="11">
      <t>バアイ</t>
    </rPh>
    <rPh sb="12" eb="14">
      <t>サイム</t>
    </rPh>
    <rPh sb="16" eb="18">
      <t>ケイリ</t>
    </rPh>
    <rPh sb="18" eb="19">
      <t>ビ</t>
    </rPh>
    <rPh sb="19" eb="21">
      <t>フリカエ</t>
    </rPh>
    <rPh sb="21" eb="23">
      <t>クブン</t>
    </rPh>
    <rPh sb="26" eb="28">
      <t>サイケン</t>
    </rPh>
    <rPh sb="29" eb="31">
      <t>バアイ</t>
    </rPh>
    <rPh sb="32" eb="34">
      <t>サイケン</t>
    </rPh>
    <rPh sb="36" eb="38">
      <t>ケイリ</t>
    </rPh>
    <rPh sb="38" eb="39">
      <t>ビ</t>
    </rPh>
    <phoneticPr fontId="1"/>
  </si>
  <si>
    <t>振替区分が"債務"の場合、債務の振替金額を出力
振替区分が"債権"の場合、空白を出力
3桁区切りの編集なし。</t>
    <rPh sb="13" eb="15">
      <t>サイム</t>
    </rPh>
    <rPh sb="16" eb="18">
      <t>フリカエ</t>
    </rPh>
    <rPh sb="18" eb="20">
      <t>キンガク</t>
    </rPh>
    <rPh sb="20" eb="22">
      <t>シュツリョク</t>
    </rPh>
    <rPh sb="30" eb="32">
      <t>サイケン</t>
    </rPh>
    <rPh sb="33" eb="35">
      <t>バアイ</t>
    </rPh>
    <rPh sb="36" eb="38">
      <t>クウハク</t>
    </rPh>
    <rPh sb="39" eb="41">
      <t>シュツリョク</t>
    </rPh>
    <phoneticPr fontId="1"/>
  </si>
  <si>
    <t>振替区分が"債権"の場合、債権の振替金額を出力
振替区分が"債務"の場合、空白を出力
3桁区切りの編集なし。</t>
    <rPh sb="6" eb="8">
      <t>サイケン</t>
    </rPh>
    <rPh sb="13" eb="15">
      <t>サイケン</t>
    </rPh>
    <rPh sb="16" eb="18">
      <t>フリカエ</t>
    </rPh>
    <rPh sb="18" eb="20">
      <t>キンガク</t>
    </rPh>
    <rPh sb="20" eb="22">
      <t>シュツリョク</t>
    </rPh>
    <rPh sb="30" eb="32">
      <t>サイム</t>
    </rPh>
    <rPh sb="33" eb="35">
      <t>バアイ</t>
    </rPh>
    <rPh sb="36" eb="38">
      <t>クウハク</t>
    </rPh>
    <rPh sb="39" eb="41">
      <t>シュツリョク</t>
    </rPh>
    <phoneticPr fontId="1"/>
  </si>
  <si>
    <t>差額</t>
    <rPh sb="0" eb="2">
      <t>サガク</t>
    </rPh>
    <phoneticPr fontId="1"/>
  </si>
  <si>
    <t>伝票番号（内部振替入力時に採番して付与する）
枝番の意味は以下の通り
登録時の黒伝は"00"
解除時の赤伝は"01"</t>
    <rPh sb="23" eb="25">
      <t>エダバン</t>
    </rPh>
    <rPh sb="26" eb="28">
      <t>イミ</t>
    </rPh>
    <rPh sb="29" eb="31">
      <t>イカ</t>
    </rPh>
    <rPh sb="32" eb="33">
      <t>トオ</t>
    </rPh>
    <phoneticPr fontId="1"/>
  </si>
  <si>
    <t>100007-00</t>
    <phoneticPr fontId="1"/>
  </si>
  <si>
    <t>更新者</t>
    <rPh sb="0" eb="3">
      <t>コウシンシャ</t>
    </rPh>
    <phoneticPr fontId="1"/>
  </si>
  <si>
    <t>12345678</t>
    <phoneticPr fontId="1"/>
  </si>
  <si>
    <t>更新者名</t>
    <rPh sb="0" eb="3">
      <t>コウシンシャ</t>
    </rPh>
    <rPh sb="3" eb="4">
      <t>メイ</t>
    </rPh>
    <phoneticPr fontId="1"/>
  </si>
  <si>
    <t>山田　花子</t>
    <rPh sb="0" eb="1">
      <t>ヤマダ</t>
    </rPh>
    <rPh sb="2" eb="4">
      <t>ハナコ</t>
    </rPh>
    <phoneticPr fontId="1"/>
  </si>
  <si>
    <t>振替日</t>
    <phoneticPr fontId="1"/>
  </si>
  <si>
    <t>90</t>
    <phoneticPr fontId="1"/>
  </si>
  <si>
    <t>管理</t>
    <rPh sb="0" eb="2">
      <t>カンリ</t>
    </rPh>
    <phoneticPr fontId="1"/>
  </si>
  <si>
    <t>貸借</t>
    <rPh sb="0" eb="2">
      <t>タイシャク</t>
    </rPh>
    <phoneticPr fontId="1"/>
  </si>
  <si>
    <t>「債務」、「債権」または「差額」</t>
    <rPh sb="1" eb="3">
      <t>サイム</t>
    </rPh>
    <rPh sb="6" eb="8">
      <t>サイケン</t>
    </rPh>
    <rPh sb="13" eb="15">
      <t>サガク</t>
    </rPh>
    <phoneticPr fontId="1"/>
  </si>
  <si>
    <t>伝票状態</t>
    <rPh sb="0" eb="2">
      <t>デンピョウ</t>
    </rPh>
    <rPh sb="2" eb="4">
      <t>ジョウタイ</t>
    </rPh>
    <phoneticPr fontId="1"/>
  </si>
  <si>
    <t>承認済</t>
    <rPh sb="0" eb="1">
      <t>ショウニン</t>
    </rPh>
    <rPh sb="1" eb="2">
      <t>スミ</t>
    </rPh>
    <phoneticPr fontId="1"/>
  </si>
  <si>
    <t>最終更新者のユーザーID</t>
    <rPh sb="0" eb="4">
      <t>サイシュウコウシンシャ</t>
    </rPh>
    <phoneticPr fontId="1"/>
  </si>
  <si>
    <t>更新者に該当する名称</t>
    <rPh sb="0" eb="2">
      <t>コウシンシャ</t>
    </rPh>
    <rPh sb="3" eb="5">
      <t>ガイトウ</t>
    </rPh>
    <rPh sb="7" eb="9">
      <t>メイショウ</t>
    </rPh>
    <phoneticPr fontId="1"/>
  </si>
  <si>
    <t>「貸借」、「借方片伝」、「貸方片伝」</t>
    <rPh sb="1" eb="3">
      <t>タイシャク</t>
    </rPh>
    <rPh sb="6" eb="8">
      <t>カリカタ</t>
    </rPh>
    <rPh sb="8" eb="9">
      <t>カタ</t>
    </rPh>
    <rPh sb="9" eb="10">
      <t>デン</t>
    </rPh>
    <rPh sb="13" eb="15">
      <t>カシカタ</t>
    </rPh>
    <phoneticPr fontId="1"/>
  </si>
  <si>
    <t>「差戻」、「承認済」、「承認依頼中」</t>
    <rPh sb="1" eb="3">
      <t>サシモドシ</t>
    </rPh>
    <rPh sb="6" eb="8">
      <t>ショウニン</t>
    </rPh>
    <rPh sb="8" eb="9">
      <t>スミ</t>
    </rPh>
    <rPh sb="12" eb="14">
      <t>ショウニン</t>
    </rPh>
    <rPh sb="14" eb="16">
      <t>イライ</t>
    </rPh>
    <rPh sb="16" eb="17">
      <t>チュウ</t>
    </rPh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</si>
  <si>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</si>
  <si>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</si>
  <si>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</si>
  <si>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</si>
  <si>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処置種別</t>
    <rPh sb="0" eb="2">
      <t>ショチ</t>
    </rPh>
    <rPh sb="2" eb="4">
      <t>シュベツ</t>
    </rPh>
    <phoneticPr fontId="1"/>
  </si>
  <si>
    <t>承認者</t>
    <rPh sb="0" eb="2">
      <t>ショウニン</t>
    </rPh>
    <rPh sb="2" eb="3">
      <t>シャ</t>
    </rPh>
    <phoneticPr fontId="1"/>
  </si>
  <si>
    <t>88888888</t>
  </si>
  <si>
    <t>88888888</t>
    <phoneticPr fontId="1"/>
  </si>
  <si>
    <t>田中　次郎</t>
  </si>
  <si>
    <t>田中　次郎</t>
    <phoneticPr fontId="1"/>
  </si>
  <si>
    <t>承認者名</t>
    <rPh sb="0" eb="2">
      <t>ショウニン</t>
    </rPh>
    <rPh sb="2" eb="3">
      <t>シャ</t>
    </rPh>
    <rPh sb="3" eb="4">
      <t>メイ</t>
    </rPh>
    <phoneticPr fontId="1"/>
  </si>
  <si>
    <t>予算組織コード</t>
    <rPh sb="0" eb="2">
      <t>ヨサン</t>
    </rPh>
    <rPh sb="2" eb="4">
      <t>ソシキ</t>
    </rPh>
    <phoneticPr fontId="1"/>
  </si>
  <si>
    <t>予算組織名</t>
    <rPh sb="0" eb="2">
      <t>ヨサン</t>
    </rPh>
    <rPh sb="2" eb="4">
      <t>ソシキ</t>
    </rPh>
    <phoneticPr fontId="1"/>
  </si>
  <si>
    <t>事業所名</t>
  </si>
  <si>
    <t>事業所名</t>
    <phoneticPr fontId="1"/>
  </si>
  <si>
    <t>業種コード</t>
  </si>
  <si>
    <t>業種コード</t>
    <phoneticPr fontId="1"/>
  </si>
  <si>
    <t>業種名</t>
  </si>
  <si>
    <t>業種名</t>
    <phoneticPr fontId="1"/>
  </si>
  <si>
    <t>支払先コード</t>
    <rPh sb="0" eb="2">
      <t>シハラ</t>
    </rPh>
    <phoneticPr fontId="1"/>
  </si>
  <si>
    <t>支払先名</t>
    <rPh sb="0" eb="2">
      <t>シハライ</t>
    </rPh>
    <phoneticPr fontId="1"/>
  </si>
  <si>
    <t>12345678</t>
  </si>
  <si>
    <t>100007-00</t>
  </si>
  <si>
    <t>明細データ連番</t>
    <rPh sb="0" eb="2">
      <t>メイサイ</t>
    </rPh>
    <rPh sb="5" eb="7">
      <t>レンバン</t>
    </rPh>
    <phoneticPr fontId="1"/>
  </si>
  <si>
    <t>00001</t>
    <phoneticPr fontId="1"/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</si>
  <si>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</si>
  <si>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</si>
  <si>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</si>
  <si>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</si>
  <si>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</si>
  <si>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</si>
  <si>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</si>
  <si>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</si>
  <si>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承認者のユーザーID</t>
    <rPh sb="0" eb="2">
      <t>ショウニン</t>
    </rPh>
    <phoneticPr fontId="1"/>
  </si>
  <si>
    <t>承認者に該当する名称</t>
    <rPh sb="0" eb="2">
      <t>ショウニン</t>
    </rPh>
    <rPh sb="3" eb="5">
      <t>ガイトウ</t>
    </rPh>
    <rPh sb="7" eb="9">
      <t>メイショウ</t>
    </rPh>
    <phoneticPr fontId="1"/>
  </si>
  <si>
    <t>伝票内の明細連番</t>
    <rPh sb="1" eb="2">
      <t>ナイ</t>
    </rPh>
    <rPh sb="3" eb="5">
      <t>メイサイ</t>
    </rPh>
    <rPh sb="5" eb="7">
      <t>レンバン</t>
    </rPh>
    <phoneticPr fontId="1"/>
  </si>
  <si>
    <t>YYYYMMDD形式</t>
    <rPh sb="8" eb="10">
      <t>ケイシキ</t>
    </rPh>
    <phoneticPr fontId="1"/>
  </si>
  <si>
    <t>2025/08/29</t>
    <phoneticPr fontId="1"/>
  </si>
  <si>
    <t>統合会計システム</t>
    <phoneticPr fontId="1"/>
  </si>
  <si>
    <t>経理日</t>
    <rPh sb="0" eb="3">
      <t>ケイリビ</t>
    </rPh>
    <phoneticPr fontId="1"/>
  </si>
  <si>
    <t>20250118</t>
    <phoneticPr fontId="1"/>
  </si>
  <si>
    <t>元伝経理日</t>
    <rPh sb="0" eb="2">
      <t>モトデン</t>
    </rPh>
    <rPh sb="2" eb="4">
      <t>ケイリ</t>
    </rPh>
    <phoneticPr fontId="1"/>
  </si>
  <si>
    <t>債務または債権側の事業所コード</t>
    <rPh sb="0" eb="2">
      <t>サイム</t>
    </rPh>
    <rPh sb="5" eb="7">
      <t>サイケン</t>
    </rPh>
    <rPh sb="7" eb="8">
      <t>ガワ</t>
    </rPh>
    <phoneticPr fontId="1"/>
  </si>
  <si>
    <t>事業所コード</t>
    <rPh sb="0" eb="2">
      <t>ジギョウ</t>
    </rPh>
    <phoneticPr fontId="1"/>
  </si>
  <si>
    <t>債務または債権側の業種コード</t>
    <rPh sb="0" eb="2">
      <t>サイム</t>
    </rPh>
    <rPh sb="5" eb="7">
      <t>サイケン</t>
    </rPh>
    <rPh sb="7" eb="8">
      <t>ガワ</t>
    </rPh>
    <rPh sb="9" eb="11">
      <t>ギョウシュ</t>
    </rPh>
    <phoneticPr fontId="1"/>
  </si>
  <si>
    <t>昇順</t>
  </si>
  <si>
    <t>債務側の支払先コード
内部振替結果明細データの支払請求先コード</t>
    <rPh sb="2" eb="3">
      <t>ガワ</t>
    </rPh>
    <rPh sb="4" eb="7">
      <t>シハライサキ</t>
    </rPh>
    <rPh sb="23" eb="25">
      <t>シハライ</t>
    </rPh>
    <rPh sb="25" eb="28">
      <t>セイキュウサキ</t>
    </rPh>
    <phoneticPr fontId="1"/>
  </si>
  <si>
    <t>請求先名</t>
    <rPh sb="0" eb="2">
      <t>セイキュウ</t>
    </rPh>
    <phoneticPr fontId="1"/>
  </si>
  <si>
    <t>請求先コード</t>
    <rPh sb="0" eb="2">
      <t>セイキュウ</t>
    </rPh>
    <phoneticPr fontId="1"/>
  </si>
  <si>
    <t>債権側の請求先コード
内部振替結果明細データの支払請求先コード</t>
    <rPh sb="0" eb="2">
      <t>サイケン</t>
    </rPh>
    <rPh sb="2" eb="3">
      <t>ガワ</t>
    </rPh>
    <rPh sb="4" eb="6">
      <t>セイキュウ</t>
    </rPh>
    <rPh sb="6" eb="7">
      <t>サキ</t>
    </rPh>
    <phoneticPr fontId="1"/>
  </si>
  <si>
    <t>振替区分が"債務"の場合、債務の原取引の明細を特定する番号
振替区分が"債権"の場合、債権の原取引の明細を特定する番号
内部振替結果明細データの受付番号</t>
    <rPh sb="0" eb="1">
      <t>フリカエ</t>
    </rPh>
    <rPh sb="1" eb="3">
      <t>クブン</t>
    </rPh>
    <rPh sb="9" eb="11">
      <t>バアイ</t>
    </rPh>
    <rPh sb="12" eb="14">
      <t>サイム</t>
    </rPh>
    <rPh sb="20" eb="22">
      <t>メイサイ</t>
    </rPh>
    <rPh sb="23" eb="25">
      <t>トクテイ</t>
    </rPh>
    <rPh sb="27" eb="29">
      <t>バンゴウ</t>
    </rPh>
    <rPh sb="29" eb="31">
      <t>フリカエ</t>
    </rPh>
    <rPh sb="31" eb="33">
      <t>クブン</t>
    </rPh>
    <rPh sb="36" eb="38">
      <t>サイケン</t>
    </rPh>
    <rPh sb="39" eb="41">
      <t>バアイ</t>
    </rPh>
    <rPh sb="42" eb="44">
      <t>サイケン</t>
    </rPh>
    <rPh sb="50" eb="52">
      <t>メイサイ</t>
    </rPh>
    <rPh sb="53" eb="55">
      <t>トクテイ</t>
    </rPh>
    <rPh sb="57" eb="59">
      <t>バンゴウ</t>
    </rPh>
    <rPh sb="72" eb="76">
      <t>ウケツケバンゴウ</t>
    </rPh>
    <phoneticPr fontId="1"/>
  </si>
  <si>
    <t>債務、債権の原取引の明細が納品書番号でユニークにならなかった場合に付加される番号
内部振替結果明細データの受付番号枝番</t>
    <rPh sb="12" eb="15">
      <t>ノウヒンショ</t>
    </rPh>
    <rPh sb="15" eb="17">
      <t>バンゴウ</t>
    </rPh>
    <rPh sb="29" eb="31">
      <t>バアイ</t>
    </rPh>
    <rPh sb="32" eb="34">
      <t>フカ</t>
    </rPh>
    <rPh sb="37" eb="39">
      <t>バンゴウ</t>
    </rPh>
    <rPh sb="57" eb="59">
      <t>エダバン</t>
    </rPh>
    <phoneticPr fontId="1"/>
  </si>
  <si>
    <t>数字</t>
    <rPh sb="0" eb="2">
      <t>スウジ</t>
    </rPh>
    <phoneticPr fontId="1"/>
  </si>
  <si>
    <t>内部振替結果</t>
    <phoneticPr fontId="1"/>
  </si>
  <si>
    <t>Shift jis</t>
  </si>
  <si>
    <t>4142</t>
  </si>
  <si>
    <t>4142</t>
    <phoneticPr fontId="1"/>
  </si>
  <si>
    <t>内部消費種苗園芸</t>
  </si>
  <si>
    <t>4174</t>
    <phoneticPr fontId="1"/>
  </si>
  <si>
    <t>施設資材部資材課</t>
    <phoneticPr fontId="1"/>
  </si>
  <si>
    <t>加工食品</t>
    <rPh sb="0" eb="4">
      <t>カコウショクヒン</t>
    </rPh>
    <phoneticPr fontId="1"/>
  </si>
  <si>
    <t>01</t>
  </si>
  <si>
    <t>種苗</t>
    <rPh sb="0" eb="2">
      <t>シュビョウ</t>
    </rPh>
    <phoneticPr fontId="1"/>
  </si>
  <si>
    <t>108481174</t>
  </si>
  <si>
    <t>108481174</t>
    <phoneticPr fontId="1"/>
  </si>
  <si>
    <t>108482142</t>
    <phoneticPr fontId="1"/>
  </si>
  <si>
    <t>20250118</t>
  </si>
  <si>
    <t>取扱区分</t>
    <rPh sb="0" eb="2">
      <t>トリアツカイ</t>
    </rPh>
    <rPh sb="2" eb="4">
      <t>クブン</t>
    </rPh>
    <phoneticPr fontId="23"/>
  </si>
  <si>
    <t>税率</t>
    <rPh sb="0" eb="2">
      <t>ゼイリツ</t>
    </rPh>
    <phoneticPr fontId="23"/>
  </si>
  <si>
    <t>債務-本体</t>
    <rPh sb="0" eb="2">
      <t>サイム</t>
    </rPh>
    <rPh sb="3" eb="5">
      <t>ホンタイ</t>
    </rPh>
    <phoneticPr fontId="23"/>
  </si>
  <si>
    <t>債務‐消費税</t>
    <rPh sb="0" eb="2">
      <t>サイム</t>
    </rPh>
    <rPh sb="3" eb="6">
      <t>ショウヒゼイ</t>
    </rPh>
    <phoneticPr fontId="23"/>
  </si>
  <si>
    <t>債権-本体</t>
    <rPh sb="0" eb="2">
      <t>サイケン</t>
    </rPh>
    <rPh sb="3" eb="5">
      <t>ホンタイ</t>
    </rPh>
    <phoneticPr fontId="23"/>
  </si>
  <si>
    <t>債権‐消費税</t>
    <rPh sb="0" eb="2">
      <t>サイケン</t>
    </rPh>
    <rPh sb="3" eb="6">
      <t>ショウヒゼイ</t>
    </rPh>
    <phoneticPr fontId="23"/>
  </si>
  <si>
    <t>共計</t>
    <rPh sb="0" eb="2">
      <t>キョウケイ</t>
    </rPh>
    <phoneticPr fontId="23"/>
  </si>
  <si>
    <t>買取</t>
    <rPh sb="0" eb="2">
      <t>カイトリ</t>
    </rPh>
    <phoneticPr fontId="23"/>
  </si>
  <si>
    <t>100008-00</t>
    <phoneticPr fontId="1"/>
  </si>
  <si>
    <t>販売共計支払金（品）</t>
    <rPh sb="0" eb="4">
      <t>ハンバイキョウケイ</t>
    </rPh>
    <rPh sb="4" eb="7">
      <t>シハライキン</t>
    </rPh>
    <rPh sb="8" eb="9">
      <t>シナ</t>
    </rPh>
    <phoneticPr fontId="23"/>
  </si>
  <si>
    <t>内部未払金</t>
    <phoneticPr fontId="23"/>
  </si>
  <si>
    <t>販売共計支払金（消）</t>
    <rPh sb="0" eb="4">
      <t>ハンバイキョウケイ</t>
    </rPh>
    <rPh sb="4" eb="7">
      <t>シハライキン</t>
    </rPh>
    <rPh sb="8" eb="9">
      <t>ショウ</t>
    </rPh>
    <phoneticPr fontId="23"/>
  </si>
  <si>
    <t>00001</t>
  </si>
  <si>
    <t>施設資材部資材課</t>
  </si>
  <si>
    <t>10</t>
    <phoneticPr fontId="1"/>
  </si>
  <si>
    <t>24</t>
    <phoneticPr fontId="1"/>
  </si>
  <si>
    <t>20250116</t>
    <phoneticPr fontId="1"/>
  </si>
  <si>
    <t>内部消費種苗園芸</t>
    <phoneticPr fontId="1"/>
  </si>
  <si>
    <t>500000</t>
    <phoneticPr fontId="1"/>
  </si>
  <si>
    <t>454545</t>
    <phoneticPr fontId="1"/>
  </si>
  <si>
    <t>45455</t>
    <phoneticPr fontId="1"/>
  </si>
  <si>
    <t>債権債務明細の取扱区分に対応した名称</t>
    <rPh sb="0" eb="1">
      <t>サイケン</t>
    </rPh>
    <rPh sb="1" eb="3">
      <t>サイム</t>
    </rPh>
    <rPh sb="3" eb="5">
      <t>メイサイ</t>
    </rPh>
    <rPh sb="6" eb="8">
      <t>トリアツカイ</t>
    </rPh>
    <rPh sb="8" eb="10">
      <t>クブン</t>
    </rPh>
    <rPh sb="11" eb="13">
      <t>タイオウ</t>
    </rPh>
    <rPh sb="15" eb="17">
      <t>メイショウ</t>
    </rPh>
    <phoneticPr fontId="1"/>
  </si>
  <si>
    <t>債権債務明細の消費税率</t>
    <rPh sb="0" eb="1">
      <t>サイケン</t>
    </rPh>
    <rPh sb="1" eb="3">
      <t>サイム</t>
    </rPh>
    <rPh sb="3" eb="5">
      <t>メイサイ</t>
    </rPh>
    <rPh sb="7" eb="10">
      <t>ショウヒゼイ</t>
    </rPh>
    <rPh sb="10" eb="11">
      <t>リツ</t>
    </rPh>
    <phoneticPr fontId="1"/>
  </si>
  <si>
    <t>債務の振替金額のうち本体金額</t>
    <rPh sb="9" eb="13">
      <t>ホンタイキンガク</t>
    </rPh>
    <phoneticPr fontId="1"/>
  </si>
  <si>
    <t>債務の振替金額のうち消費税額</t>
    <rPh sb="10" eb="13">
      <t>ショウヒゼイ</t>
    </rPh>
    <rPh sb="13" eb="14">
      <t>ガク</t>
    </rPh>
    <phoneticPr fontId="1"/>
  </si>
  <si>
    <t>債権の振替金額のうち本体金額</t>
    <rPh sb="0" eb="2">
      <t>サイケン</t>
    </rPh>
    <rPh sb="9" eb="13">
      <t>ホンタイキンガク</t>
    </rPh>
    <phoneticPr fontId="1"/>
  </si>
  <si>
    <t>債権の振替金額のうち消費税額</t>
    <rPh sb="0" eb="2">
      <t>サイケン</t>
    </rPh>
    <rPh sb="10" eb="13">
      <t>ショウヒゼイ</t>
    </rPh>
    <rPh sb="13" eb="14">
      <t>ガク</t>
    </rPh>
    <phoneticPr fontId="1"/>
  </si>
  <si>
    <t>F4110-1D</t>
    <phoneticPr fontId="1"/>
  </si>
  <si>
    <t>24058</t>
    <phoneticPr fontId="1"/>
  </si>
  <si>
    <t>基幹システム再構築　会計システム外部設計</t>
    <phoneticPr fontId="1"/>
  </si>
  <si>
    <t>債務または債権側の組織コード
内部振替結果明細データの未収未払管理組織
"4"（固定値） + 課コード（３桁）</t>
    <rPh sb="0" eb="2">
      <t>サイム</t>
    </rPh>
    <rPh sb="5" eb="7">
      <t>サイケン</t>
    </rPh>
    <rPh sb="7" eb="8">
      <t>ガワ</t>
    </rPh>
    <rPh sb="9" eb="11">
      <t>ソシキ</t>
    </rPh>
    <rPh sb="15" eb="17">
      <t>ナイブ</t>
    </rPh>
    <rPh sb="17" eb="19">
      <t>フリカエ</t>
    </rPh>
    <rPh sb="19" eb="21">
      <t>ケッカ</t>
    </rPh>
    <rPh sb="21" eb="23">
      <t>メイサイ</t>
    </rPh>
    <rPh sb="27" eb="29">
      <t>ミシュウ</t>
    </rPh>
    <rPh sb="29" eb="31">
      <t>ミハライ</t>
    </rPh>
    <rPh sb="31" eb="33">
      <t>カンリ</t>
    </rPh>
    <rPh sb="33" eb="35">
      <t>ソシキ</t>
    </rPh>
    <rPh sb="40" eb="43">
      <t>コテイチ</t>
    </rPh>
    <rPh sb="47" eb="48">
      <t>カ</t>
    </rPh>
    <rPh sb="53" eb="54">
      <t>ケタ</t>
    </rPh>
    <phoneticPr fontId="1"/>
  </si>
  <si>
    <t>予算組織コードに対応する名称</t>
    <rPh sb="7" eb="9">
      <t>タイオウ</t>
    </rPh>
    <rPh sb="11" eb="13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</si>
</sst>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1"/>
      <color rgb="FFC00000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6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20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4" xfId="0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6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5" fillId="0" borderId="1" xfId="0" quotePrefix="1" applyFont="1" applyBorder="1"/>
    <xf numFmtId="0" fontId="5" fillId="0" borderId="1" xfId="0" applyFont="1" applyBorder="1"/>
    <xf numFmtId="49" fontId="5" fillId="0" borderId="1" xfId="0" applyNumberFormat="1" applyFont="1" applyBorder="1"/>
    <xf numFmtId="49" fontId="5" fillId="0" borderId="1" xfId="0" quotePrefix="1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5" fillId="2" borderId="1" xfId="0" applyFont="1" applyFill="1" applyBorder="1"/>
    <xf numFmtId="0" fontId="2" fillId="0" borderId="12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" fillId="0" borderId="2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3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1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5" fillId="0" borderId="1" xfId="0" quotePrefix="1" applyNumberFormat="1" applyFont="1" applyBorder="1"/>
    <xf numFmtId="49" fontId="5" fillId="0" borderId="0" xfId="0" applyNumberFormat="1" applyFont="1"/>
    <xf numFmtId="0" fontId="2" fillId="0" borderId="0" xfId="0" quotePrefix="1" applyFont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center"/>
    </xf>
    <xf numFmtId="49" fontId="2" fillId="0" borderId="17" xfId="0" quotePrefix="1" applyNumberFormat="1" applyFont="1" applyBorder="1" applyAlignment="1">
      <alignment vertical="center"/>
    </xf>
    <xf numFmtId="49" fontId="2" fillId="0" borderId="17" xfId="0" applyNumberFormat="1" applyFont="1" applyBorder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5" fillId="0" borderId="1" xfId="1" applyFont="1" applyBorder="1"/>
    <xf numFmtId="49" fontId="5" fillId="0" borderId="1" xfId="1" applyNumberFormat="1" applyFont="1" applyBorder="1"/>
    <xf numFmtId="0" fontId="5" fillId="0" borderId="1" xfId="1" quotePrefix="1" applyFont="1" applyBorder="1"/>
    <xf numFmtId="0" fontId="22" fillId="3" borderId="1" xfId="1" applyFont="1" applyFill="1" applyBorder="1"/>
    <xf numFmtId="0" fontId="5" fillId="2" borderId="1" xfId="1" applyFont="1" applyFill="1" applyBorder="1"/>
    <xf numFmtId="0" fontId="0" fillId="0" borderId="20" xfId="0" applyBorder="1" applyAlignment="1">
      <alignment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49" fontId="2" fillId="0" borderId="24" xfId="0" quotePrefix="1" applyNumberFormat="1" applyFont="1" applyBorder="1" applyAlignment="1">
      <alignment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49" fontId="2" fillId="0" borderId="19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9" xfId="0" quotePrefix="1" applyFont="1" applyBorder="1" applyAlignment="1">
      <alignment horizontal="left" vertical="center" wrapText="1"/>
    </xf>
    <xf numFmtId="0" fontId="2" fillId="0" borderId="20" xfId="0" quotePrefix="1" applyFont="1" applyBorder="1" applyAlignment="1">
      <alignment horizontal="left" vertical="center" wrapText="1"/>
    </xf>
    <xf numFmtId="0" fontId="2" fillId="0" borderId="21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57150</xdr:colOff>
      <xdr:row>2</xdr:row>
      <xdr:rowOff>133350</xdr:rowOff>
    </xdr:from>
    <xdr:to>
      <xdr:col>31</xdr:col>
      <xdr:colOff>76200</xdr:colOff>
      <xdr:row>4</xdr:row>
      <xdr:rowOff>47625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1D6F9A1C-B0E3-8A1B-0370-116F004111BB}"/>
            </a:ext>
          </a:extLst>
        </xdr:cNvPr>
        <xdr:cNvSpPr/>
      </xdr:nvSpPr>
      <xdr:spPr bwMode="auto">
        <a:xfrm>
          <a:off x="34185225" y="476250"/>
          <a:ext cx="1876425" cy="257175"/>
        </a:xfrm>
        <a:prstGeom prst="roundRect">
          <a:avLst/>
        </a:prstGeom>
        <a:noFill/>
        <a:ln w="19050" cap="flat" cmpd="sng" algn="ctr">
          <a:solidFill>
            <a:srgbClr val="FF0000"/>
          </a:solidFill>
          <a:prstDash val="sys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266700</xdr:colOff>
      <xdr:row>21</xdr:row>
      <xdr:rowOff>142876</xdr:rowOff>
    </xdr:from>
    <xdr:to>
      <xdr:col>33</xdr:col>
      <xdr:colOff>485775</xdr:colOff>
      <xdr:row>31</xdr:row>
      <xdr:rowOff>47625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DCD44F1-AA9B-BABB-8FF1-A336A708C43D}"/>
            </a:ext>
          </a:extLst>
        </xdr:cNvPr>
        <xdr:cNvSpPr txBox="1"/>
      </xdr:nvSpPr>
      <xdr:spPr>
        <a:xfrm>
          <a:off x="35194875" y="3743326"/>
          <a:ext cx="3219450" cy="1619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共計の本体</a:t>
          </a:r>
          <a:r>
            <a:rPr kumimoji="1" lang="en-US" altLang="ja-JP" sz="1100"/>
            <a:t>/</a:t>
          </a:r>
          <a:r>
            <a:rPr kumimoji="1" lang="ja-JP" altLang="en-US" sz="1100"/>
            <a:t>消費税の表示は、</a:t>
          </a:r>
          <a:endParaRPr kumimoji="1" lang="en-US" altLang="ja-JP" sz="1100"/>
        </a:p>
        <a:p>
          <a:r>
            <a:rPr kumimoji="1" lang="ja-JP" altLang="en-US" sz="1100"/>
            <a:t>元取引データの設定に従う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このデータが</a:t>
          </a:r>
          <a:endParaRPr kumimoji="1" lang="en-US" altLang="ja-JP" sz="1100"/>
        </a:p>
        <a:p>
          <a:r>
            <a:rPr kumimoji="1" lang="ja-JP" altLang="en-US" sz="1100"/>
            <a:t>本体 </a:t>
          </a:r>
          <a:r>
            <a:rPr kumimoji="1" lang="en-US" altLang="ja-JP" sz="1100"/>
            <a:t>1000000   </a:t>
          </a:r>
          <a:r>
            <a:rPr kumimoji="1" lang="ja-JP" altLang="en-US" sz="1100"/>
            <a:t>消費税   </a:t>
          </a:r>
          <a:r>
            <a:rPr kumimoji="1" lang="en-US" altLang="ja-JP" sz="1100"/>
            <a:t>0   </a:t>
          </a:r>
          <a:r>
            <a:rPr kumimoji="1" lang="ja-JP" altLang="en-US" sz="1100"/>
            <a:t>となっていた場合は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債務</a:t>
          </a:r>
          <a:r>
            <a:rPr kumimoji="1" lang="en-US" altLang="ja-JP" sz="1100"/>
            <a:t>-</a:t>
          </a:r>
          <a:r>
            <a:rPr kumimoji="1" lang="ja-JP" altLang="en-US" sz="1100"/>
            <a:t>本体          債務</a:t>
          </a:r>
          <a:r>
            <a:rPr kumimoji="1" lang="en-US" altLang="ja-JP" sz="1100"/>
            <a:t>‐</a:t>
          </a:r>
          <a:r>
            <a:rPr kumimoji="1" lang="ja-JP" altLang="en-US" sz="1100"/>
            <a:t>消費税   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1000000                 0</a:t>
          </a:r>
          <a:endParaRPr kumimoji="1" lang="en-US" altLang="ja-JP" sz="1100"/>
        </a:p>
      </xdr:txBody>
    </xdr:sp>
    <xdr:clientData/>
  </xdr:twoCellAnchor>
  <xdr:twoCellAnchor>
    <xdr:from>
      <xdr:col>27</xdr:col>
      <xdr:colOff>542925</xdr:colOff>
      <xdr:row>24</xdr:row>
      <xdr:rowOff>142875</xdr:rowOff>
    </xdr:from>
    <xdr:to>
      <xdr:col>30</xdr:col>
      <xdr:colOff>104775</xdr:colOff>
      <xdr:row>26</xdr:row>
      <xdr:rowOff>47625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BA15E1E7-14EC-EEA0-A647-2CF282168AE3}"/>
            </a:ext>
          </a:extLst>
        </xdr:cNvPr>
        <xdr:cNvSpPr/>
      </xdr:nvSpPr>
      <xdr:spPr bwMode="auto">
        <a:xfrm>
          <a:off x="32956500" y="4257675"/>
          <a:ext cx="2076450" cy="247650"/>
        </a:xfrm>
        <a:prstGeom prst="roundRect">
          <a:avLst/>
        </a:prstGeom>
        <a:noFill/>
        <a:ln w="19050" cap="flat" cmpd="sng" algn="ctr">
          <a:solidFill>
            <a:srgbClr val="FF0000"/>
          </a:solidFill>
          <a:prstDash val="sys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628650</xdr:colOff>
      <xdr:row>23</xdr:row>
      <xdr:rowOff>28575</xdr:rowOff>
    </xdr:from>
    <xdr:to>
      <xdr:col>30</xdr:col>
      <xdr:colOff>247650</xdr:colOff>
      <xdr:row>24</xdr:row>
      <xdr:rowOff>114300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E03C9C07-F102-EF60-1225-343F9FE4A906}"/>
            </a:ext>
          </a:extLst>
        </xdr:cNvPr>
        <xdr:cNvCxnSpPr/>
      </xdr:nvCxnSpPr>
      <xdr:spPr bwMode="auto">
        <a:xfrm flipH="1">
          <a:off x="34756725" y="3971925"/>
          <a:ext cx="419100" cy="2571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85725</xdr:colOff>
      <xdr:row>4</xdr:row>
      <xdr:rowOff>57150</xdr:rowOff>
    </xdr:from>
    <xdr:to>
      <xdr:col>31</xdr:col>
      <xdr:colOff>819150</xdr:colOff>
      <xdr:row>21</xdr:row>
      <xdr:rowOff>142876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DF77AE02-74B2-7899-3B7E-022F69B6170A}"/>
            </a:ext>
          </a:extLst>
        </xdr:cNvPr>
        <xdr:cNvCxnSpPr>
          <a:stCxn id="3" idx="0"/>
        </xdr:cNvCxnSpPr>
      </xdr:nvCxnSpPr>
      <xdr:spPr bwMode="auto">
        <a:xfrm flipH="1" flipV="1">
          <a:off x="36071175" y="742950"/>
          <a:ext cx="733425" cy="300037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9" t="s">
        <v>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3" t="s">
        <v>3</v>
      </c>
      <c r="AU2" s="94"/>
      <c r="AV2" s="94"/>
      <c r="AW2" s="94"/>
      <c r="AX2" s="95"/>
      <c r="AY2" s="93" t="s">
        <v>4</v>
      </c>
      <c r="AZ2" s="94"/>
      <c r="BA2" s="94"/>
      <c r="BB2" s="95"/>
      <c r="BC2" s="93" t="s">
        <v>5</v>
      </c>
      <c r="BD2" s="94"/>
      <c r="BE2" s="94"/>
      <c r="BF2" s="95"/>
      <c r="BG2" s="93"/>
      <c r="BH2" s="94"/>
      <c r="BI2" s="94"/>
      <c r="BJ2" s="95"/>
    </row>
    <row r="3" spans="1:62" s="1" customFormat="1" ht="18" customHeight="1">
      <c r="A3" s="102" t="s">
        <v>6</v>
      </c>
      <c r="B3" s="103"/>
      <c r="C3" s="103"/>
      <c r="D3" s="103"/>
      <c r="E3" s="103"/>
      <c r="F3" s="103"/>
      <c r="G3" s="103"/>
      <c r="H3" s="104"/>
      <c r="I3" s="108" t="s">
        <v>144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93" t="s">
        <v>7</v>
      </c>
      <c r="AU3" s="94"/>
      <c r="AV3" s="94"/>
      <c r="AW3" s="94"/>
      <c r="AX3" s="95"/>
      <c r="AY3" s="93" t="s">
        <v>143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2" s="1" customFormat="1" ht="18" customHeight="1">
      <c r="A4" s="105"/>
      <c r="B4" s="106"/>
      <c r="C4" s="106"/>
      <c r="D4" s="106"/>
      <c r="E4" s="106"/>
      <c r="F4" s="106"/>
      <c r="G4" s="106"/>
      <c r="H4" s="107"/>
      <c r="I4" s="111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3"/>
      <c r="AT4" s="93" t="s">
        <v>8</v>
      </c>
      <c r="AU4" s="94"/>
      <c r="AV4" s="94"/>
      <c r="AW4" s="94"/>
      <c r="AX4" s="95"/>
      <c r="AY4" s="93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2" s="16" customFormat="1" ht="9" customHeight="1"/>
    <row r="6" spans="1:62" s="20" customFormat="1" ht="15.75" customHeight="1">
      <c r="A6" s="96" t="s">
        <v>9</v>
      </c>
      <c r="B6" s="97"/>
      <c r="C6" s="97"/>
      <c r="D6" s="97"/>
      <c r="E6" s="97"/>
      <c r="F6" s="97"/>
      <c r="G6" s="98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201</v>
      </c>
      <c r="C8" s="15"/>
      <c r="D8" s="15"/>
      <c r="E8" s="15"/>
      <c r="F8" s="15"/>
      <c r="G8" s="15"/>
      <c r="H8" s="22"/>
      <c r="I8" s="20" t="s">
        <v>202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CG58"/>
  <sheetViews>
    <sheetView view="pageBreakPreview" zoomScaleNormal="100" zoomScaleSheetLayoutView="100" workbookViewId="0"/>
  </sheetViews>
  <sheetFormatPr defaultColWidth="2.109375" defaultRowHeight="13.2"/>
  <cols>
    <col min="26" max="26" width="3.4414062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9" t="s">
        <v>11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3" t="s">
        <v>3</v>
      </c>
      <c r="AU2" s="94"/>
      <c r="AV2" s="94"/>
      <c r="AW2" s="94"/>
      <c r="AX2" s="95"/>
      <c r="AY2" s="93" t="s">
        <v>200</v>
      </c>
      <c r="AZ2" s="94"/>
      <c r="BA2" s="94"/>
      <c r="BB2" s="95"/>
      <c r="BC2" s="93" t="s">
        <v>5</v>
      </c>
      <c r="BD2" s="94"/>
      <c r="BE2" s="94"/>
      <c r="BF2" s="95"/>
      <c r="BG2" s="93"/>
      <c r="BH2" s="94"/>
      <c r="BI2" s="94"/>
      <c r="BJ2" s="95"/>
    </row>
    <row r="3" spans="1:62" s="1" customFormat="1" ht="18" customHeight="1">
      <c r="A3" s="102" t="s">
        <v>6</v>
      </c>
      <c r="B3" s="103"/>
      <c r="C3" s="103"/>
      <c r="D3" s="103"/>
      <c r="E3" s="103"/>
      <c r="F3" s="103"/>
      <c r="G3" s="103"/>
      <c r="H3" s="104"/>
      <c r="I3" s="108" t="s">
        <v>144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93" t="s">
        <v>7</v>
      </c>
      <c r="AU3" s="94"/>
      <c r="AV3" s="94"/>
      <c r="AW3" s="94"/>
      <c r="AX3" s="95"/>
      <c r="AY3" s="93" t="s">
        <v>143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2" s="1" customFormat="1" ht="18" customHeight="1">
      <c r="A4" s="105"/>
      <c r="B4" s="106"/>
      <c r="C4" s="106"/>
      <c r="D4" s="106"/>
      <c r="E4" s="106"/>
      <c r="F4" s="106"/>
      <c r="G4" s="106"/>
      <c r="H4" s="107"/>
      <c r="I4" s="111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3"/>
      <c r="AT4" s="93" t="s">
        <v>8</v>
      </c>
      <c r="AU4" s="94"/>
      <c r="AV4" s="94"/>
      <c r="AW4" s="94"/>
      <c r="AX4" s="95"/>
      <c r="AY4" s="93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2" s="12" customFormat="1" ht="6" customHeight="1"/>
    <row r="6" spans="1:62" s="14" customFormat="1" ht="20.25" customHeight="1">
      <c r="A6" s="133" t="s">
        <v>12</v>
      </c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3" t="s">
        <v>52</v>
      </c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5"/>
      <c r="AB6" s="133" t="s">
        <v>13</v>
      </c>
      <c r="AC6" s="134"/>
      <c r="AD6" s="134"/>
      <c r="AE6" s="134"/>
      <c r="AF6" s="134"/>
      <c r="AG6" s="134"/>
      <c r="AH6" s="134"/>
      <c r="AI6" s="134"/>
      <c r="AJ6" s="135"/>
      <c r="AK6" s="133" t="s">
        <v>32</v>
      </c>
      <c r="AL6" s="134"/>
      <c r="AM6" s="134"/>
      <c r="AN6" s="135"/>
      <c r="AO6" s="133" t="s">
        <v>14</v>
      </c>
      <c r="AP6" s="134"/>
      <c r="AQ6" s="134"/>
      <c r="AR6" s="134"/>
      <c r="AS6" s="134"/>
      <c r="AT6" s="134"/>
      <c r="AU6" s="134"/>
      <c r="AV6" s="134"/>
      <c r="AW6" s="135"/>
      <c r="AX6" s="133" t="s">
        <v>33</v>
      </c>
      <c r="AY6" s="134"/>
      <c r="AZ6" s="134"/>
      <c r="BA6" s="135"/>
      <c r="BB6" s="136" t="s">
        <v>15</v>
      </c>
      <c r="BC6" s="136"/>
      <c r="BD6" s="136"/>
      <c r="BE6" s="136"/>
      <c r="BF6" s="136">
        <f>COUNTA(D18:D430)</f>
        <v>34</v>
      </c>
      <c r="BG6" s="136"/>
      <c r="BH6" s="136"/>
      <c r="BI6" s="136"/>
      <c r="BJ6" s="136"/>
    </row>
    <row r="7" spans="1:62" s="14" customFormat="1" ht="20.25" customHeight="1">
      <c r="A7" s="133" t="s">
        <v>16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3" t="s">
        <v>159</v>
      </c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5"/>
      <c r="AK7" s="133" t="s">
        <v>34</v>
      </c>
      <c r="AL7" s="134"/>
      <c r="AM7" s="134"/>
      <c r="AN7" s="134"/>
      <c r="AO7" s="134"/>
      <c r="AP7" s="134"/>
      <c r="AQ7" s="134"/>
      <c r="AR7" s="135"/>
      <c r="AS7" s="133" t="s">
        <v>160</v>
      </c>
      <c r="AT7" s="134"/>
      <c r="AU7" s="134"/>
      <c r="AV7" s="134"/>
      <c r="AW7" s="134"/>
      <c r="AX7" s="135"/>
      <c r="AY7" s="35" t="s">
        <v>17</v>
      </c>
      <c r="AZ7" s="36"/>
      <c r="BA7" s="36"/>
      <c r="BB7" s="36"/>
      <c r="BC7" s="133" t="s">
        <v>35</v>
      </c>
      <c r="BD7" s="135"/>
      <c r="BE7" s="133" t="s">
        <v>18</v>
      </c>
      <c r="BF7" s="134"/>
      <c r="BG7" s="134"/>
      <c r="BH7" s="135"/>
      <c r="BI7" s="133"/>
      <c r="BJ7" s="135"/>
    </row>
    <row r="8" spans="1:62" s="14" customFormat="1" ht="12.6" customHeight="1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BC8" s="65"/>
      <c r="BD8" s="65"/>
      <c r="BE8" s="65"/>
      <c r="BF8" s="65"/>
      <c r="BG8" s="65"/>
      <c r="BH8" s="65"/>
      <c r="BI8" s="65"/>
      <c r="BJ8" s="65"/>
    </row>
    <row r="9" spans="1:62" s="14" customFormat="1" ht="20.25" customHeight="1">
      <c r="A9" s="66" t="s">
        <v>107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BC9" s="65"/>
      <c r="BD9" s="65"/>
      <c r="BE9" s="65"/>
      <c r="BF9" s="65"/>
      <c r="BG9" s="65"/>
      <c r="BH9" s="65"/>
      <c r="BI9" s="65"/>
      <c r="BJ9" s="65"/>
    </row>
    <row r="10" spans="1:62" s="14" customFormat="1" ht="20.25" customHeight="1">
      <c r="A10" s="136" t="s">
        <v>20</v>
      </c>
      <c r="B10" s="136"/>
      <c r="C10" s="136"/>
      <c r="D10" s="165" t="s">
        <v>108</v>
      </c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36" t="s">
        <v>109</v>
      </c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</row>
    <row r="11" spans="1:62" s="14" customFormat="1" ht="20.25" customHeight="1">
      <c r="A11" s="124">
        <v>1</v>
      </c>
      <c r="B11" s="124"/>
      <c r="C11" s="124"/>
      <c r="D11" s="166" t="s">
        <v>145</v>
      </c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24" t="s">
        <v>151</v>
      </c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</row>
    <row r="12" spans="1:62" s="14" customFormat="1" ht="20.25" customHeight="1">
      <c r="A12" s="167">
        <v>2</v>
      </c>
      <c r="B12" s="167"/>
      <c r="C12" s="167"/>
      <c r="D12" s="168" t="s">
        <v>64</v>
      </c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50" t="s">
        <v>151</v>
      </c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2"/>
    </row>
    <row r="13" spans="1:62" s="14" customFormat="1" ht="20.25" customHeight="1">
      <c r="A13" s="114"/>
      <c r="B13" s="114"/>
      <c r="C13" s="114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18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20"/>
    </row>
    <row r="14" spans="1:62" s="14" customFormat="1" ht="20.25" customHeight="1">
      <c r="A14" s="153"/>
      <c r="B14" s="153"/>
      <c r="C14" s="153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0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2"/>
    </row>
    <row r="15" spans="1:62" s="14" customFormat="1" ht="13.2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BC15" s="65"/>
      <c r="BD15" s="65"/>
      <c r="BE15" s="65"/>
      <c r="BF15" s="65"/>
      <c r="BG15" s="65"/>
      <c r="BH15" s="65"/>
      <c r="BI15" s="65"/>
      <c r="BJ15" s="65"/>
    </row>
    <row r="16" spans="1:62" s="4" customFormat="1">
      <c r="B16" s="29" t="s">
        <v>19</v>
      </c>
      <c r="G16" s="5"/>
    </row>
    <row r="17" spans="1:62" s="14" customFormat="1" ht="42" customHeight="1">
      <c r="A17" s="133" t="s">
        <v>20</v>
      </c>
      <c r="B17" s="134"/>
      <c r="C17" s="135"/>
      <c r="D17" s="133" t="s">
        <v>21</v>
      </c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5"/>
      <c r="U17" s="140" t="s">
        <v>22</v>
      </c>
      <c r="V17" s="141"/>
      <c r="W17" s="141"/>
      <c r="X17" s="141"/>
      <c r="Y17" s="142"/>
      <c r="Z17" s="140" t="s">
        <v>23</v>
      </c>
      <c r="AA17" s="141"/>
      <c r="AB17" s="142"/>
      <c r="AC17" s="140" t="s">
        <v>24</v>
      </c>
      <c r="AD17" s="141"/>
      <c r="AE17" s="142"/>
      <c r="AF17" s="140" t="s">
        <v>25</v>
      </c>
      <c r="AG17" s="141"/>
      <c r="AH17" s="142"/>
      <c r="AI17" s="140" t="s">
        <v>26</v>
      </c>
      <c r="AJ17" s="141"/>
      <c r="AK17" s="142"/>
      <c r="AL17" s="140" t="s">
        <v>27</v>
      </c>
      <c r="AM17" s="141"/>
      <c r="AN17" s="142"/>
      <c r="AO17" s="140" t="s">
        <v>28</v>
      </c>
      <c r="AP17" s="141"/>
      <c r="AQ17" s="142"/>
      <c r="AR17" s="133" t="s">
        <v>29</v>
      </c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5"/>
    </row>
    <row r="18" spans="1:62" s="13" customFormat="1" ht="36" customHeight="1">
      <c r="A18" s="143">
        <v>1</v>
      </c>
      <c r="B18" s="143"/>
      <c r="C18" s="143"/>
      <c r="D18" s="50" t="s">
        <v>91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2"/>
      <c r="U18" s="147" t="s">
        <v>158</v>
      </c>
      <c r="V18" s="148"/>
      <c r="W18" s="148"/>
      <c r="X18" s="148"/>
      <c r="Y18" s="149"/>
      <c r="Z18" s="127">
        <v>8</v>
      </c>
      <c r="AA18" s="128"/>
      <c r="AB18" s="129"/>
      <c r="AC18" s="127"/>
      <c r="AD18" s="128"/>
      <c r="AE18" s="129"/>
      <c r="AF18" s="127"/>
      <c r="AG18" s="128"/>
      <c r="AH18" s="129"/>
      <c r="AI18" s="127"/>
      <c r="AJ18" s="128"/>
      <c r="AK18" s="129"/>
      <c r="AL18" s="127"/>
      <c r="AM18" s="128"/>
      <c r="AN18" s="129"/>
      <c r="AO18" s="127"/>
      <c r="AP18" s="128"/>
      <c r="AQ18" s="129"/>
      <c r="AR18" s="137" t="s">
        <v>102</v>
      </c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9"/>
    </row>
    <row r="19" spans="1:62" s="13" customFormat="1" ht="36" customHeight="1">
      <c r="A19" s="114">
        <v>2</v>
      </c>
      <c r="B19" s="114"/>
      <c r="C19" s="114"/>
      <c r="D19" s="53" t="s">
        <v>93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5"/>
      <c r="U19" s="115" t="s">
        <v>51</v>
      </c>
      <c r="V19" s="116"/>
      <c r="W19" s="116"/>
      <c r="X19" s="116"/>
      <c r="Y19" s="117"/>
      <c r="Z19" s="118">
        <v>10</v>
      </c>
      <c r="AA19" s="119"/>
      <c r="AB19" s="120"/>
      <c r="AC19" s="130"/>
      <c r="AD19" s="131"/>
      <c r="AE19" s="132"/>
      <c r="AF19" s="130"/>
      <c r="AG19" s="131"/>
      <c r="AH19" s="132"/>
      <c r="AI19" s="130"/>
      <c r="AJ19" s="131"/>
      <c r="AK19" s="132"/>
      <c r="AL19" s="130"/>
      <c r="AM19" s="131"/>
      <c r="AN19" s="132"/>
      <c r="AO19" s="130"/>
      <c r="AP19" s="131"/>
      <c r="AQ19" s="132"/>
      <c r="AR19" s="144" t="s">
        <v>103</v>
      </c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6"/>
    </row>
    <row r="20" spans="1:62" s="13" customFormat="1" ht="36" customHeight="1">
      <c r="A20" s="114">
        <v>3</v>
      </c>
      <c r="B20" s="114"/>
      <c r="C20" s="114"/>
      <c r="D20" s="56" t="s">
        <v>111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8"/>
      <c r="U20" s="115" t="s">
        <v>158</v>
      </c>
      <c r="V20" s="125"/>
      <c r="W20" s="125"/>
      <c r="X20" s="125"/>
      <c r="Y20" s="126"/>
      <c r="Z20" s="130">
        <v>8</v>
      </c>
      <c r="AA20" s="131"/>
      <c r="AB20" s="132"/>
      <c r="AC20" s="118"/>
      <c r="AD20" s="119"/>
      <c r="AE20" s="120"/>
      <c r="AF20" s="118"/>
      <c r="AG20" s="119"/>
      <c r="AH20" s="120"/>
      <c r="AI20" s="118"/>
      <c r="AJ20" s="119"/>
      <c r="AK20" s="120"/>
      <c r="AL20" s="118"/>
      <c r="AM20" s="119"/>
      <c r="AN20" s="120"/>
      <c r="AO20" s="118"/>
      <c r="AP20" s="119"/>
      <c r="AQ20" s="120"/>
      <c r="AR20" s="137" t="s">
        <v>139</v>
      </c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9"/>
    </row>
    <row r="21" spans="1:62" s="13" customFormat="1" ht="39.75" customHeight="1">
      <c r="A21" s="114">
        <v>4</v>
      </c>
      <c r="B21" s="114"/>
      <c r="C21" s="114"/>
      <c r="D21" s="56" t="s">
        <v>116</v>
      </c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8"/>
      <c r="U21" s="115" t="s">
        <v>51</v>
      </c>
      <c r="V21" s="116"/>
      <c r="W21" s="116"/>
      <c r="X21" s="116"/>
      <c r="Y21" s="117"/>
      <c r="Z21" s="118">
        <v>10</v>
      </c>
      <c r="AA21" s="119"/>
      <c r="AB21" s="120"/>
      <c r="AC21" s="118"/>
      <c r="AD21" s="119"/>
      <c r="AE21" s="120"/>
      <c r="AF21" s="118"/>
      <c r="AG21" s="119"/>
      <c r="AH21" s="120"/>
      <c r="AI21" s="118"/>
      <c r="AJ21" s="119"/>
      <c r="AK21" s="120"/>
      <c r="AL21" s="118"/>
      <c r="AM21" s="119"/>
      <c r="AN21" s="120"/>
      <c r="AO21" s="118"/>
      <c r="AP21" s="119"/>
      <c r="AQ21" s="120"/>
      <c r="AR21" s="144" t="s">
        <v>140</v>
      </c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6"/>
    </row>
    <row r="22" spans="1:62" s="13" customFormat="1" ht="84" customHeight="1">
      <c r="A22" s="114">
        <v>5</v>
      </c>
      <c r="B22" s="114"/>
      <c r="C22" s="114"/>
      <c r="D22" s="56" t="s">
        <v>64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8"/>
      <c r="U22" s="115" t="s">
        <v>54</v>
      </c>
      <c r="V22" s="116"/>
      <c r="W22" s="116"/>
      <c r="X22" s="116"/>
      <c r="Y22" s="117"/>
      <c r="Z22" s="118">
        <v>12</v>
      </c>
      <c r="AA22" s="119"/>
      <c r="AB22" s="120"/>
      <c r="AC22" s="118"/>
      <c r="AD22" s="119"/>
      <c r="AE22" s="120"/>
      <c r="AF22" s="118"/>
      <c r="AG22" s="119"/>
      <c r="AH22" s="120"/>
      <c r="AI22" s="118"/>
      <c r="AJ22" s="119"/>
      <c r="AK22" s="120"/>
      <c r="AL22" s="118"/>
      <c r="AM22" s="119"/>
      <c r="AN22" s="120"/>
      <c r="AO22" s="118"/>
      <c r="AP22" s="119"/>
      <c r="AQ22" s="120"/>
      <c r="AR22" s="144" t="s">
        <v>89</v>
      </c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6"/>
    </row>
    <row r="23" spans="1:62" s="13" customFormat="1" ht="36" customHeight="1">
      <c r="A23" s="114">
        <v>6</v>
      </c>
      <c r="B23" s="114"/>
      <c r="C23" s="114"/>
      <c r="D23" s="56" t="s">
        <v>129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8"/>
      <c r="U23" s="115" t="s">
        <v>54</v>
      </c>
      <c r="V23" s="116"/>
      <c r="W23" s="116"/>
      <c r="X23" s="116"/>
      <c r="Y23" s="117"/>
      <c r="Z23" s="118">
        <v>5</v>
      </c>
      <c r="AA23" s="119"/>
      <c r="AB23" s="120"/>
      <c r="AC23" s="118"/>
      <c r="AD23" s="119"/>
      <c r="AE23" s="120"/>
      <c r="AF23" s="118"/>
      <c r="AG23" s="119"/>
      <c r="AH23" s="120"/>
      <c r="AI23" s="118"/>
      <c r="AJ23" s="119"/>
      <c r="AK23" s="120"/>
      <c r="AL23" s="118"/>
      <c r="AM23" s="119"/>
      <c r="AN23" s="120"/>
      <c r="AO23" s="118"/>
      <c r="AP23" s="119"/>
      <c r="AQ23" s="120"/>
      <c r="AR23" s="121" t="s">
        <v>141</v>
      </c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3"/>
    </row>
    <row r="24" spans="1:62" s="13" customFormat="1" ht="36" customHeight="1">
      <c r="A24" s="114">
        <v>7</v>
      </c>
      <c r="B24" s="114"/>
      <c r="C24" s="114"/>
      <c r="D24" s="56" t="s">
        <v>53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8"/>
      <c r="U24" s="115" t="s">
        <v>158</v>
      </c>
      <c r="V24" s="125"/>
      <c r="W24" s="125"/>
      <c r="X24" s="125"/>
      <c r="Y24" s="126"/>
      <c r="Z24" s="118">
        <v>8</v>
      </c>
      <c r="AA24" s="119"/>
      <c r="AB24" s="120"/>
      <c r="AC24" s="118"/>
      <c r="AD24" s="119"/>
      <c r="AE24" s="120"/>
      <c r="AF24" s="118"/>
      <c r="AG24" s="119"/>
      <c r="AH24" s="120"/>
      <c r="AI24" s="118"/>
      <c r="AJ24" s="119"/>
      <c r="AK24" s="120"/>
      <c r="AL24" s="118"/>
      <c r="AM24" s="119"/>
      <c r="AN24" s="120"/>
      <c r="AO24" s="118"/>
      <c r="AP24" s="119"/>
      <c r="AQ24" s="120"/>
      <c r="AR24" s="121" t="s">
        <v>142</v>
      </c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3"/>
    </row>
    <row r="25" spans="1:62" s="13" customFormat="1" ht="36" customHeight="1">
      <c r="A25" s="114">
        <v>8</v>
      </c>
      <c r="B25" s="114"/>
      <c r="C25" s="114"/>
      <c r="D25" s="48" t="s">
        <v>145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4"/>
      <c r="U25" s="115" t="s">
        <v>158</v>
      </c>
      <c r="V25" s="125"/>
      <c r="W25" s="125"/>
      <c r="X25" s="125"/>
      <c r="Y25" s="126"/>
      <c r="Z25" s="118">
        <v>8</v>
      </c>
      <c r="AA25" s="119"/>
      <c r="AB25" s="120"/>
      <c r="AC25" s="118"/>
      <c r="AD25" s="119"/>
      <c r="AE25" s="120"/>
      <c r="AF25" s="118"/>
      <c r="AG25" s="119"/>
      <c r="AH25" s="120"/>
      <c r="AI25" s="118"/>
      <c r="AJ25" s="119"/>
      <c r="AK25" s="120"/>
      <c r="AL25" s="118"/>
      <c r="AM25" s="119"/>
      <c r="AN25" s="120"/>
      <c r="AO25" s="118"/>
      <c r="AP25" s="119"/>
      <c r="AQ25" s="120"/>
      <c r="AR25" s="121" t="s">
        <v>142</v>
      </c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3"/>
    </row>
    <row r="26" spans="1:62" s="13" customFormat="1" ht="36" customHeight="1">
      <c r="A26" s="114">
        <v>9</v>
      </c>
      <c r="B26" s="114"/>
      <c r="C26" s="114"/>
      <c r="D26" s="56" t="s">
        <v>67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8"/>
      <c r="U26" s="115" t="s">
        <v>51</v>
      </c>
      <c r="V26" s="116"/>
      <c r="W26" s="116"/>
      <c r="X26" s="116"/>
      <c r="Y26" s="117"/>
      <c r="Z26" s="118">
        <v>5</v>
      </c>
      <c r="AA26" s="119"/>
      <c r="AB26" s="120"/>
      <c r="AC26" s="118"/>
      <c r="AD26" s="119"/>
      <c r="AE26" s="120"/>
      <c r="AF26" s="118"/>
      <c r="AG26" s="119"/>
      <c r="AH26" s="120"/>
      <c r="AI26" s="118"/>
      <c r="AJ26" s="119"/>
      <c r="AK26" s="120"/>
      <c r="AL26" s="118"/>
      <c r="AM26" s="119"/>
      <c r="AN26" s="120"/>
      <c r="AO26" s="118"/>
      <c r="AP26" s="119"/>
      <c r="AQ26" s="120"/>
      <c r="AR26" s="121" t="s">
        <v>78</v>
      </c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3"/>
    </row>
    <row r="27" spans="1:62" s="13" customFormat="1" ht="44.25" customHeight="1">
      <c r="A27" s="114">
        <v>10</v>
      </c>
      <c r="B27" s="114"/>
      <c r="C27" s="114"/>
      <c r="D27" s="56" t="s">
        <v>100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8"/>
      <c r="U27" s="115" t="s">
        <v>51</v>
      </c>
      <c r="V27" s="116"/>
      <c r="W27" s="116"/>
      <c r="X27" s="116"/>
      <c r="Y27" s="117"/>
      <c r="Z27" s="118">
        <v>5</v>
      </c>
      <c r="AA27" s="119"/>
      <c r="AB27" s="120"/>
      <c r="AC27" s="118"/>
      <c r="AD27" s="119"/>
      <c r="AE27" s="120"/>
      <c r="AF27" s="118"/>
      <c r="AG27" s="119"/>
      <c r="AH27" s="120"/>
      <c r="AI27" s="118"/>
      <c r="AJ27" s="119"/>
      <c r="AK27" s="120"/>
      <c r="AL27" s="118"/>
      <c r="AM27" s="119"/>
      <c r="AN27" s="120"/>
      <c r="AO27" s="118"/>
      <c r="AP27" s="119"/>
      <c r="AQ27" s="120"/>
      <c r="AR27" s="121" t="s">
        <v>105</v>
      </c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3"/>
    </row>
    <row r="28" spans="1:62" s="13" customFormat="1" ht="36" customHeight="1">
      <c r="A28" s="114">
        <v>11</v>
      </c>
      <c r="B28" s="114"/>
      <c r="C28" s="114"/>
      <c r="D28" s="56" t="s">
        <v>110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8"/>
      <c r="U28" s="115" t="s">
        <v>51</v>
      </c>
      <c r="V28" s="116"/>
      <c r="W28" s="116"/>
      <c r="X28" s="116"/>
      <c r="Y28" s="117"/>
      <c r="Z28" s="118">
        <v>5</v>
      </c>
      <c r="AA28" s="119"/>
      <c r="AB28" s="120"/>
      <c r="AC28" s="118"/>
      <c r="AD28" s="119"/>
      <c r="AE28" s="120"/>
      <c r="AF28" s="118"/>
      <c r="AG28" s="119"/>
      <c r="AH28" s="120"/>
      <c r="AI28" s="118"/>
      <c r="AJ28" s="119"/>
      <c r="AK28" s="120"/>
      <c r="AL28" s="118"/>
      <c r="AM28" s="119"/>
      <c r="AN28" s="120"/>
      <c r="AO28" s="118"/>
      <c r="AP28" s="119"/>
      <c r="AQ28" s="120"/>
      <c r="AR28" s="121" t="s">
        <v>104</v>
      </c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3"/>
    </row>
    <row r="29" spans="1:62" s="13" customFormat="1" ht="36" customHeight="1">
      <c r="A29" s="114">
        <v>12</v>
      </c>
      <c r="B29" s="114"/>
      <c r="C29" s="114"/>
      <c r="D29" s="56" t="s">
        <v>61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8"/>
      <c r="U29" s="115" t="s">
        <v>51</v>
      </c>
      <c r="V29" s="116"/>
      <c r="W29" s="116"/>
      <c r="X29" s="116"/>
      <c r="Y29" s="117"/>
      <c r="Z29" s="118">
        <v>2</v>
      </c>
      <c r="AA29" s="119"/>
      <c r="AB29" s="120"/>
      <c r="AC29" s="118"/>
      <c r="AD29" s="119"/>
      <c r="AE29" s="120"/>
      <c r="AF29" s="118"/>
      <c r="AG29" s="119"/>
      <c r="AH29" s="120"/>
      <c r="AI29" s="118"/>
      <c r="AJ29" s="119"/>
      <c r="AK29" s="120"/>
      <c r="AL29" s="118"/>
      <c r="AM29" s="119"/>
      <c r="AN29" s="120"/>
      <c r="AO29" s="118"/>
      <c r="AP29" s="119"/>
      <c r="AQ29" s="120"/>
      <c r="AR29" s="121" t="s">
        <v>99</v>
      </c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3"/>
    </row>
    <row r="30" spans="1:62" s="13" customFormat="1" ht="63.75" customHeight="1">
      <c r="A30" s="114">
        <v>13</v>
      </c>
      <c r="B30" s="114"/>
      <c r="C30" s="114"/>
      <c r="D30" s="56" t="s">
        <v>117</v>
      </c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8"/>
      <c r="U30" s="115" t="s">
        <v>54</v>
      </c>
      <c r="V30" s="116"/>
      <c r="W30" s="116"/>
      <c r="X30" s="116"/>
      <c r="Y30" s="117"/>
      <c r="Z30" s="118">
        <v>4</v>
      </c>
      <c r="AA30" s="119"/>
      <c r="AB30" s="120"/>
      <c r="AC30" s="118"/>
      <c r="AD30" s="119"/>
      <c r="AE30" s="120"/>
      <c r="AF30" s="118"/>
      <c r="AG30" s="119"/>
      <c r="AH30" s="120"/>
      <c r="AI30" s="118"/>
      <c r="AJ30" s="119"/>
      <c r="AK30" s="120"/>
      <c r="AL30" s="118"/>
      <c r="AM30" s="119"/>
      <c r="AN30" s="120"/>
      <c r="AO30" s="118"/>
      <c r="AP30" s="119"/>
      <c r="AQ30" s="120"/>
      <c r="AR30" s="121" t="s">
        <v>203</v>
      </c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3"/>
    </row>
    <row r="31" spans="1:62" s="13" customFormat="1" ht="36" customHeight="1">
      <c r="A31" s="114">
        <v>14</v>
      </c>
      <c r="B31" s="114"/>
      <c r="C31" s="114"/>
      <c r="D31" s="56" t="s">
        <v>118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8"/>
      <c r="U31" s="115" t="s">
        <v>51</v>
      </c>
      <c r="V31" s="116"/>
      <c r="W31" s="116"/>
      <c r="X31" s="116"/>
      <c r="Y31" s="117"/>
      <c r="Z31" s="118">
        <v>15</v>
      </c>
      <c r="AA31" s="119"/>
      <c r="AB31" s="120"/>
      <c r="AC31" s="118"/>
      <c r="AD31" s="119"/>
      <c r="AE31" s="120"/>
      <c r="AF31" s="118"/>
      <c r="AG31" s="119"/>
      <c r="AH31" s="120"/>
      <c r="AI31" s="118"/>
      <c r="AJ31" s="119"/>
      <c r="AK31" s="120"/>
      <c r="AL31" s="118"/>
      <c r="AM31" s="119"/>
      <c r="AN31" s="120"/>
      <c r="AO31" s="118"/>
      <c r="AP31" s="119"/>
      <c r="AQ31" s="120"/>
      <c r="AR31" s="121" t="s">
        <v>204</v>
      </c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3"/>
    </row>
    <row r="32" spans="1:62" s="13" customFormat="1" ht="36" customHeight="1">
      <c r="A32" s="114">
        <v>15</v>
      </c>
      <c r="B32" s="114"/>
      <c r="C32" s="114"/>
      <c r="D32" s="56" t="s">
        <v>149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8"/>
      <c r="U32" s="115" t="s">
        <v>54</v>
      </c>
      <c r="V32" s="116"/>
      <c r="W32" s="116"/>
      <c r="X32" s="116"/>
      <c r="Y32" s="117"/>
      <c r="Z32" s="118">
        <v>2</v>
      </c>
      <c r="AA32" s="119"/>
      <c r="AB32" s="120"/>
      <c r="AC32" s="118"/>
      <c r="AD32" s="119"/>
      <c r="AE32" s="120"/>
      <c r="AF32" s="118"/>
      <c r="AG32" s="119"/>
      <c r="AH32" s="120"/>
      <c r="AI32" s="118"/>
      <c r="AJ32" s="119"/>
      <c r="AK32" s="120"/>
      <c r="AL32" s="118"/>
      <c r="AM32" s="119"/>
      <c r="AN32" s="120"/>
      <c r="AO32" s="118"/>
      <c r="AP32" s="119"/>
      <c r="AQ32" s="120"/>
      <c r="AR32" s="121" t="s">
        <v>148</v>
      </c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3"/>
    </row>
    <row r="33" spans="1:85" s="13" customFormat="1" ht="48.75" customHeight="1">
      <c r="A33" s="114">
        <v>16</v>
      </c>
      <c r="B33" s="114"/>
      <c r="C33" s="114"/>
      <c r="D33" s="56" t="s">
        <v>119</v>
      </c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60"/>
      <c r="U33" s="115" t="s">
        <v>51</v>
      </c>
      <c r="V33" s="116"/>
      <c r="W33" s="116"/>
      <c r="X33" s="116"/>
      <c r="Y33" s="117"/>
      <c r="Z33" s="118">
        <v>10</v>
      </c>
      <c r="AA33" s="119"/>
      <c r="AB33" s="120"/>
      <c r="AC33" s="118"/>
      <c r="AD33" s="119"/>
      <c r="AE33" s="120"/>
      <c r="AF33" s="118"/>
      <c r="AG33" s="119"/>
      <c r="AH33" s="120"/>
      <c r="AI33" s="118"/>
      <c r="AJ33" s="119"/>
      <c r="AK33" s="120"/>
      <c r="AL33" s="118"/>
      <c r="AM33" s="119"/>
      <c r="AN33" s="120"/>
      <c r="AO33" s="118"/>
      <c r="AP33" s="119"/>
      <c r="AQ33" s="120"/>
      <c r="AR33" s="121" t="s">
        <v>79</v>
      </c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3"/>
    </row>
    <row r="34" spans="1:85" s="13" customFormat="1" ht="36" customHeight="1">
      <c r="A34" s="114">
        <v>17</v>
      </c>
      <c r="B34" s="114"/>
      <c r="C34" s="114"/>
      <c r="D34" s="56" t="s">
        <v>121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0"/>
      <c r="U34" s="115" t="s">
        <v>54</v>
      </c>
      <c r="V34" s="116"/>
      <c r="W34" s="116"/>
      <c r="X34" s="116"/>
      <c r="Y34" s="117"/>
      <c r="Z34" s="118">
        <v>2</v>
      </c>
      <c r="AA34" s="119"/>
      <c r="AB34" s="120"/>
      <c r="AC34" s="118"/>
      <c r="AD34" s="119"/>
      <c r="AE34" s="120"/>
      <c r="AF34" s="118"/>
      <c r="AG34" s="119"/>
      <c r="AH34" s="120"/>
      <c r="AI34" s="118"/>
      <c r="AJ34" s="119"/>
      <c r="AK34" s="120"/>
      <c r="AL34" s="118"/>
      <c r="AM34" s="119"/>
      <c r="AN34" s="120"/>
      <c r="AO34" s="118"/>
      <c r="AP34" s="119"/>
      <c r="AQ34" s="120"/>
      <c r="AR34" s="121" t="s">
        <v>150</v>
      </c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3"/>
    </row>
    <row r="35" spans="1:85" s="13" customFormat="1" ht="36" customHeight="1">
      <c r="A35" s="114">
        <v>18</v>
      </c>
      <c r="B35" s="114"/>
      <c r="C35" s="114"/>
      <c r="D35" s="61" t="s">
        <v>123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3"/>
      <c r="U35" s="115" t="s">
        <v>51</v>
      </c>
      <c r="V35" s="116"/>
      <c r="W35" s="116"/>
      <c r="X35" s="116"/>
      <c r="Y35" s="117"/>
      <c r="Z35" s="118">
        <v>10</v>
      </c>
      <c r="AA35" s="119"/>
      <c r="AB35" s="120"/>
      <c r="AC35" s="118"/>
      <c r="AD35" s="119"/>
      <c r="AE35" s="120"/>
      <c r="AF35" s="118"/>
      <c r="AG35" s="119"/>
      <c r="AH35" s="120"/>
      <c r="AI35" s="118"/>
      <c r="AJ35" s="119"/>
      <c r="AK35" s="120"/>
      <c r="AL35" s="118"/>
      <c r="AM35" s="119"/>
      <c r="AN35" s="120"/>
      <c r="AO35" s="118"/>
      <c r="AP35" s="119"/>
      <c r="AQ35" s="120"/>
      <c r="AR35" s="121" t="s">
        <v>80</v>
      </c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3"/>
    </row>
    <row r="36" spans="1:85" s="13" customFormat="1" ht="47.25" customHeight="1">
      <c r="A36" s="114">
        <v>19</v>
      </c>
      <c r="B36" s="114"/>
      <c r="C36" s="114"/>
      <c r="D36" s="56" t="s">
        <v>125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0"/>
      <c r="U36" s="115" t="s">
        <v>54</v>
      </c>
      <c r="V36" s="116"/>
      <c r="W36" s="116"/>
      <c r="X36" s="116"/>
      <c r="Y36" s="117"/>
      <c r="Z36" s="150">
        <v>9</v>
      </c>
      <c r="AA36" s="151"/>
      <c r="AB36" s="152"/>
      <c r="AC36" s="118"/>
      <c r="AD36" s="119"/>
      <c r="AE36" s="120"/>
      <c r="AF36" s="118"/>
      <c r="AG36" s="119"/>
      <c r="AH36" s="120"/>
      <c r="AI36" s="118"/>
      <c r="AJ36" s="119"/>
      <c r="AK36" s="120"/>
      <c r="AL36" s="118"/>
      <c r="AM36" s="119"/>
      <c r="AN36" s="120"/>
      <c r="AO36" s="118"/>
      <c r="AP36" s="119"/>
      <c r="AQ36" s="120"/>
      <c r="AR36" s="121" t="s">
        <v>152</v>
      </c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3"/>
    </row>
    <row r="37" spans="1:85" s="13" customFormat="1" ht="48.75" customHeight="1">
      <c r="A37" s="114">
        <v>20</v>
      </c>
      <c r="B37" s="114"/>
      <c r="C37" s="114"/>
      <c r="D37" s="56" t="s">
        <v>126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8"/>
      <c r="U37" s="115" t="s">
        <v>51</v>
      </c>
      <c r="V37" s="116"/>
      <c r="W37" s="116"/>
      <c r="X37" s="116"/>
      <c r="Y37" s="117"/>
      <c r="Z37" s="118">
        <v>15</v>
      </c>
      <c r="AA37" s="119"/>
      <c r="AB37" s="120"/>
      <c r="AC37" s="118"/>
      <c r="AD37" s="119"/>
      <c r="AE37" s="120"/>
      <c r="AF37" s="118"/>
      <c r="AG37" s="119"/>
      <c r="AH37" s="120"/>
      <c r="AI37" s="118"/>
      <c r="AJ37" s="119"/>
      <c r="AK37" s="120"/>
      <c r="AL37" s="118"/>
      <c r="AM37" s="119"/>
      <c r="AN37" s="120"/>
      <c r="AO37" s="118"/>
      <c r="AP37" s="119"/>
      <c r="AQ37" s="120"/>
      <c r="AR37" s="121" t="s">
        <v>81</v>
      </c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3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</row>
    <row r="38" spans="1:85" s="13" customFormat="1" ht="49.5" customHeight="1">
      <c r="A38" s="114">
        <v>21</v>
      </c>
      <c r="B38" s="114"/>
      <c r="C38" s="114"/>
      <c r="D38" s="56" t="s">
        <v>154</v>
      </c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60"/>
      <c r="U38" s="115" t="s">
        <v>54</v>
      </c>
      <c r="V38" s="116"/>
      <c r="W38" s="116"/>
      <c r="X38" s="116"/>
      <c r="Y38" s="117"/>
      <c r="Z38" s="118">
        <v>9</v>
      </c>
      <c r="AA38" s="119"/>
      <c r="AB38" s="120"/>
      <c r="AC38" s="118"/>
      <c r="AD38" s="119"/>
      <c r="AE38" s="120"/>
      <c r="AF38" s="118"/>
      <c r="AG38" s="119"/>
      <c r="AH38" s="120"/>
      <c r="AI38" s="118"/>
      <c r="AJ38" s="119"/>
      <c r="AK38" s="120"/>
      <c r="AL38" s="118"/>
      <c r="AM38" s="119"/>
      <c r="AN38" s="120"/>
      <c r="AO38" s="118"/>
      <c r="AP38" s="119"/>
      <c r="AQ38" s="120"/>
      <c r="AR38" s="121" t="s">
        <v>155</v>
      </c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3"/>
    </row>
    <row r="39" spans="1:85" s="13" customFormat="1" ht="51" customHeight="1">
      <c r="A39" s="114">
        <v>22</v>
      </c>
      <c r="B39" s="114"/>
      <c r="C39" s="114"/>
      <c r="D39" s="56" t="s">
        <v>153</v>
      </c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60"/>
      <c r="U39" s="115" t="s">
        <v>51</v>
      </c>
      <c r="V39" s="116"/>
      <c r="W39" s="116"/>
      <c r="X39" s="116"/>
      <c r="Y39" s="117"/>
      <c r="Z39" s="118">
        <v>15</v>
      </c>
      <c r="AA39" s="119"/>
      <c r="AB39" s="120"/>
      <c r="AC39" s="118"/>
      <c r="AD39" s="119"/>
      <c r="AE39" s="120"/>
      <c r="AF39" s="118"/>
      <c r="AG39" s="119"/>
      <c r="AH39" s="120"/>
      <c r="AI39" s="118"/>
      <c r="AJ39" s="119"/>
      <c r="AK39" s="120"/>
      <c r="AL39" s="118"/>
      <c r="AM39" s="119"/>
      <c r="AN39" s="120"/>
      <c r="AO39" s="118"/>
      <c r="AP39" s="119"/>
      <c r="AQ39" s="120"/>
      <c r="AR39" s="121" t="s">
        <v>82</v>
      </c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3"/>
    </row>
    <row r="40" spans="1:85" s="13" customFormat="1" ht="77.25" customHeight="1">
      <c r="A40" s="114">
        <v>23</v>
      </c>
      <c r="B40" s="114"/>
      <c r="C40" s="114"/>
      <c r="D40" s="56" t="s">
        <v>71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60"/>
      <c r="U40" s="115" t="s">
        <v>54</v>
      </c>
      <c r="V40" s="116"/>
      <c r="W40" s="116"/>
      <c r="X40" s="116"/>
      <c r="Y40" s="117"/>
      <c r="Z40" s="118">
        <v>17</v>
      </c>
      <c r="AA40" s="119"/>
      <c r="AB40" s="120"/>
      <c r="AC40" s="118"/>
      <c r="AD40" s="119"/>
      <c r="AE40" s="120"/>
      <c r="AF40" s="118"/>
      <c r="AG40" s="119"/>
      <c r="AH40" s="120"/>
      <c r="AI40" s="118"/>
      <c r="AJ40" s="119"/>
      <c r="AK40" s="120"/>
      <c r="AL40" s="118"/>
      <c r="AM40" s="119"/>
      <c r="AN40" s="120"/>
      <c r="AO40" s="118"/>
      <c r="AP40" s="119"/>
      <c r="AQ40" s="120"/>
      <c r="AR40" s="121" t="s">
        <v>156</v>
      </c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3"/>
    </row>
    <row r="41" spans="1:85" s="13" customFormat="1" ht="61.5" customHeight="1">
      <c r="A41" s="114">
        <v>24</v>
      </c>
      <c r="B41" s="114"/>
      <c r="C41" s="114"/>
      <c r="D41" s="56" t="s">
        <v>83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60"/>
      <c r="U41" s="115" t="s">
        <v>54</v>
      </c>
      <c r="V41" s="116"/>
      <c r="W41" s="116"/>
      <c r="X41" s="116"/>
      <c r="Y41" s="117"/>
      <c r="Z41" s="118">
        <v>3</v>
      </c>
      <c r="AA41" s="119"/>
      <c r="AB41" s="120"/>
      <c r="AC41" s="118"/>
      <c r="AD41" s="119"/>
      <c r="AE41" s="120"/>
      <c r="AF41" s="118"/>
      <c r="AG41" s="119"/>
      <c r="AH41" s="120"/>
      <c r="AI41" s="118"/>
      <c r="AJ41" s="119"/>
      <c r="AK41" s="120"/>
      <c r="AL41" s="118"/>
      <c r="AM41" s="119"/>
      <c r="AN41" s="120"/>
      <c r="AO41" s="118"/>
      <c r="AP41" s="119"/>
      <c r="AQ41" s="120"/>
      <c r="AR41" s="121" t="s">
        <v>157</v>
      </c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3"/>
    </row>
    <row r="42" spans="1:85" s="13" customFormat="1" ht="61.5" customHeight="1">
      <c r="A42" s="114">
        <v>25</v>
      </c>
      <c r="B42" s="114"/>
      <c r="C42" s="114"/>
      <c r="D42" s="56" t="s">
        <v>56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60"/>
      <c r="U42" s="115" t="s">
        <v>158</v>
      </c>
      <c r="V42" s="125"/>
      <c r="W42" s="125"/>
      <c r="X42" s="125"/>
      <c r="Y42" s="126"/>
      <c r="Z42" s="118">
        <v>8</v>
      </c>
      <c r="AA42" s="119"/>
      <c r="AB42" s="120"/>
      <c r="AC42" s="118"/>
      <c r="AD42" s="119"/>
      <c r="AE42" s="120"/>
      <c r="AF42" s="118"/>
      <c r="AG42" s="119"/>
      <c r="AH42" s="120"/>
      <c r="AI42" s="118"/>
      <c r="AJ42" s="119"/>
      <c r="AK42" s="120"/>
      <c r="AL42" s="118"/>
      <c r="AM42" s="119"/>
      <c r="AN42" s="120"/>
      <c r="AO42" s="118"/>
      <c r="AP42" s="119"/>
      <c r="AQ42" s="120"/>
      <c r="AR42" s="121" t="s">
        <v>84</v>
      </c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3"/>
    </row>
    <row r="43" spans="1:85" s="13" customFormat="1" ht="61.5" customHeight="1">
      <c r="A43" s="114">
        <v>26</v>
      </c>
      <c r="B43" s="114"/>
      <c r="C43" s="114"/>
      <c r="D43" s="56" t="s">
        <v>147</v>
      </c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60"/>
      <c r="U43" s="115" t="s">
        <v>158</v>
      </c>
      <c r="V43" s="125"/>
      <c r="W43" s="125"/>
      <c r="X43" s="125"/>
      <c r="Y43" s="126"/>
      <c r="Z43" s="118">
        <v>8</v>
      </c>
      <c r="AA43" s="119"/>
      <c r="AB43" s="120"/>
      <c r="AC43" s="118"/>
      <c r="AD43" s="119"/>
      <c r="AE43" s="120"/>
      <c r="AF43" s="118"/>
      <c r="AG43" s="119"/>
      <c r="AH43" s="120"/>
      <c r="AI43" s="118"/>
      <c r="AJ43" s="119"/>
      <c r="AK43" s="120"/>
      <c r="AL43" s="118"/>
      <c r="AM43" s="119"/>
      <c r="AN43" s="120"/>
      <c r="AO43" s="118"/>
      <c r="AP43" s="119"/>
      <c r="AQ43" s="120"/>
      <c r="AR43" s="121" t="s">
        <v>85</v>
      </c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3"/>
    </row>
    <row r="44" spans="1:85" s="13" customFormat="1" ht="36.75" customHeight="1">
      <c r="A44" s="124">
        <v>27</v>
      </c>
      <c r="B44" s="124"/>
      <c r="C44" s="124"/>
      <c r="D44" s="56" t="s">
        <v>173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60"/>
      <c r="U44" s="115" t="s">
        <v>51</v>
      </c>
      <c r="V44" s="116"/>
      <c r="W44" s="116"/>
      <c r="X44" s="116"/>
      <c r="Y44" s="117"/>
      <c r="Z44" s="118">
        <v>10</v>
      </c>
      <c r="AA44" s="119"/>
      <c r="AB44" s="120"/>
      <c r="AC44" s="118"/>
      <c r="AD44" s="119"/>
      <c r="AE44" s="120"/>
      <c r="AF44" s="118"/>
      <c r="AG44" s="119"/>
      <c r="AH44" s="120"/>
      <c r="AI44" s="118"/>
      <c r="AJ44" s="119"/>
      <c r="AK44" s="120"/>
      <c r="AL44" s="118"/>
      <c r="AM44" s="119"/>
      <c r="AN44" s="120"/>
      <c r="AO44" s="118"/>
      <c r="AP44" s="119"/>
      <c r="AQ44" s="120"/>
      <c r="AR44" s="121" t="s">
        <v>194</v>
      </c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3"/>
    </row>
    <row r="45" spans="1:85" s="13" customFormat="1" ht="33.75" customHeight="1">
      <c r="A45" s="124">
        <v>28</v>
      </c>
      <c r="B45" s="124"/>
      <c r="C45" s="124"/>
      <c r="D45" s="56" t="s">
        <v>174</v>
      </c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60"/>
      <c r="U45" s="115" t="s">
        <v>158</v>
      </c>
      <c r="V45" s="125"/>
      <c r="W45" s="125"/>
      <c r="X45" s="125"/>
      <c r="Y45" s="126"/>
      <c r="Z45" s="118">
        <v>2</v>
      </c>
      <c r="AA45" s="119"/>
      <c r="AB45" s="120"/>
      <c r="AC45" s="118"/>
      <c r="AD45" s="119"/>
      <c r="AE45" s="120"/>
      <c r="AF45" s="118"/>
      <c r="AG45" s="119"/>
      <c r="AH45" s="120"/>
      <c r="AI45" s="118"/>
      <c r="AJ45" s="119"/>
      <c r="AK45" s="120"/>
      <c r="AL45" s="118"/>
      <c r="AM45" s="119"/>
      <c r="AN45" s="120"/>
      <c r="AO45" s="118"/>
      <c r="AP45" s="119"/>
      <c r="AQ45" s="120"/>
      <c r="AR45" s="121" t="s">
        <v>195</v>
      </c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3"/>
    </row>
    <row r="46" spans="1:85" s="13" customFormat="1" ht="60" customHeight="1">
      <c r="A46" s="124">
        <v>29</v>
      </c>
      <c r="B46" s="124"/>
      <c r="C46" s="124"/>
      <c r="D46" s="48" t="s">
        <v>69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/>
      <c r="U46" s="115" t="s">
        <v>158</v>
      </c>
      <c r="V46" s="125"/>
      <c r="W46" s="125"/>
      <c r="X46" s="125"/>
      <c r="Y46" s="126"/>
      <c r="Z46" s="118">
        <v>14</v>
      </c>
      <c r="AA46" s="119"/>
      <c r="AB46" s="120"/>
      <c r="AC46" s="118" t="s">
        <v>35</v>
      </c>
      <c r="AD46" s="119"/>
      <c r="AE46" s="120"/>
      <c r="AF46" s="118"/>
      <c r="AG46" s="119"/>
      <c r="AH46" s="120"/>
      <c r="AI46" s="118"/>
      <c r="AJ46" s="119"/>
      <c r="AK46" s="120"/>
      <c r="AL46" s="118"/>
      <c r="AM46" s="119"/>
      <c r="AN46" s="120"/>
      <c r="AO46" s="118"/>
      <c r="AP46" s="119"/>
      <c r="AQ46" s="120"/>
      <c r="AR46" s="121" t="s">
        <v>86</v>
      </c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3"/>
    </row>
    <row r="47" spans="1:85" s="13" customFormat="1" ht="36" customHeight="1">
      <c r="A47" s="124">
        <v>30</v>
      </c>
      <c r="B47" s="124"/>
      <c r="C47" s="124"/>
      <c r="D47" s="48" t="s">
        <v>175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/>
      <c r="U47" s="115" t="s">
        <v>158</v>
      </c>
      <c r="V47" s="125"/>
      <c r="W47" s="125"/>
      <c r="X47" s="125"/>
      <c r="Y47" s="126"/>
      <c r="Z47" s="118">
        <v>14</v>
      </c>
      <c r="AA47" s="119"/>
      <c r="AB47" s="120"/>
      <c r="AC47" s="118" t="s">
        <v>35</v>
      </c>
      <c r="AD47" s="119"/>
      <c r="AE47" s="120"/>
      <c r="AF47" s="118"/>
      <c r="AG47" s="119"/>
      <c r="AH47" s="120"/>
      <c r="AI47" s="118"/>
      <c r="AJ47" s="119"/>
      <c r="AK47" s="120"/>
      <c r="AL47" s="118"/>
      <c r="AM47" s="119"/>
      <c r="AN47" s="120"/>
      <c r="AO47" s="118"/>
      <c r="AP47" s="119"/>
      <c r="AQ47" s="120"/>
      <c r="AR47" s="121" t="s">
        <v>196</v>
      </c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3"/>
    </row>
    <row r="48" spans="1:85" s="13" customFormat="1" ht="36" customHeight="1">
      <c r="A48" s="124">
        <v>31</v>
      </c>
      <c r="B48" s="124"/>
      <c r="C48" s="124"/>
      <c r="D48" s="48" t="s">
        <v>176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/>
      <c r="U48" s="115" t="s">
        <v>158</v>
      </c>
      <c r="V48" s="125"/>
      <c r="W48" s="125"/>
      <c r="X48" s="125"/>
      <c r="Y48" s="126"/>
      <c r="Z48" s="118">
        <v>14</v>
      </c>
      <c r="AA48" s="119"/>
      <c r="AB48" s="120"/>
      <c r="AC48" s="118" t="s">
        <v>35</v>
      </c>
      <c r="AD48" s="119"/>
      <c r="AE48" s="120"/>
      <c r="AF48" s="118"/>
      <c r="AG48" s="119"/>
      <c r="AH48" s="120"/>
      <c r="AI48" s="118"/>
      <c r="AJ48" s="119"/>
      <c r="AK48" s="120"/>
      <c r="AL48" s="118"/>
      <c r="AM48" s="119"/>
      <c r="AN48" s="120"/>
      <c r="AO48" s="118"/>
      <c r="AP48" s="119"/>
      <c r="AQ48" s="120"/>
      <c r="AR48" s="121" t="s">
        <v>197</v>
      </c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3"/>
    </row>
    <row r="49" spans="1:62" s="13" customFormat="1" ht="63.75" customHeight="1">
      <c r="A49" s="124">
        <v>32</v>
      </c>
      <c r="B49" s="124"/>
      <c r="C49" s="124"/>
      <c r="D49" s="48" t="s">
        <v>70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4"/>
      <c r="U49" s="115" t="s">
        <v>158</v>
      </c>
      <c r="V49" s="125"/>
      <c r="W49" s="125"/>
      <c r="X49" s="125"/>
      <c r="Y49" s="126"/>
      <c r="Z49" s="118">
        <v>14</v>
      </c>
      <c r="AA49" s="119"/>
      <c r="AB49" s="120"/>
      <c r="AC49" s="118" t="s">
        <v>35</v>
      </c>
      <c r="AD49" s="119"/>
      <c r="AE49" s="120"/>
      <c r="AF49" s="118"/>
      <c r="AG49" s="119"/>
      <c r="AH49" s="120"/>
      <c r="AI49" s="118"/>
      <c r="AJ49" s="119"/>
      <c r="AK49" s="120"/>
      <c r="AL49" s="118"/>
      <c r="AM49" s="119"/>
      <c r="AN49" s="120"/>
      <c r="AO49" s="118"/>
      <c r="AP49" s="119"/>
      <c r="AQ49" s="120"/>
      <c r="AR49" s="121" t="s">
        <v>87</v>
      </c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3"/>
    </row>
    <row r="50" spans="1:62" s="13" customFormat="1" ht="36" customHeight="1">
      <c r="A50" s="124">
        <v>33</v>
      </c>
      <c r="B50" s="124"/>
      <c r="C50" s="124"/>
      <c r="D50" s="48" t="s">
        <v>177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4"/>
      <c r="U50" s="115" t="s">
        <v>158</v>
      </c>
      <c r="V50" s="125"/>
      <c r="W50" s="125"/>
      <c r="X50" s="125"/>
      <c r="Y50" s="126"/>
      <c r="Z50" s="118">
        <v>14</v>
      </c>
      <c r="AA50" s="119"/>
      <c r="AB50" s="120"/>
      <c r="AC50" s="118" t="s">
        <v>35</v>
      </c>
      <c r="AD50" s="119"/>
      <c r="AE50" s="120"/>
      <c r="AF50" s="118"/>
      <c r="AG50" s="119"/>
      <c r="AH50" s="120"/>
      <c r="AI50" s="118"/>
      <c r="AJ50" s="119"/>
      <c r="AK50" s="120"/>
      <c r="AL50" s="118"/>
      <c r="AM50" s="119"/>
      <c r="AN50" s="120"/>
      <c r="AO50" s="118"/>
      <c r="AP50" s="119"/>
      <c r="AQ50" s="120"/>
      <c r="AR50" s="121" t="s">
        <v>198</v>
      </c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3"/>
    </row>
    <row r="51" spans="1:62" s="13" customFormat="1" ht="36" customHeight="1">
      <c r="A51" s="124">
        <v>34</v>
      </c>
      <c r="B51" s="124"/>
      <c r="C51" s="124"/>
      <c r="D51" s="48" t="s">
        <v>178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/>
      <c r="U51" s="115" t="s">
        <v>158</v>
      </c>
      <c r="V51" s="125"/>
      <c r="W51" s="125"/>
      <c r="X51" s="125"/>
      <c r="Y51" s="126"/>
      <c r="Z51" s="118">
        <v>14</v>
      </c>
      <c r="AA51" s="119"/>
      <c r="AB51" s="120"/>
      <c r="AC51" s="118" t="s">
        <v>35</v>
      </c>
      <c r="AD51" s="119"/>
      <c r="AE51" s="120"/>
      <c r="AF51" s="118"/>
      <c r="AG51" s="119"/>
      <c r="AH51" s="120"/>
      <c r="AI51" s="118"/>
      <c r="AJ51" s="119"/>
      <c r="AK51" s="120"/>
      <c r="AL51" s="118"/>
      <c r="AM51" s="119"/>
      <c r="AN51" s="120"/>
      <c r="AO51" s="118"/>
      <c r="AP51" s="119"/>
      <c r="AQ51" s="120"/>
      <c r="AR51" s="121" t="s">
        <v>199</v>
      </c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3"/>
    </row>
    <row r="52" spans="1:62" s="13" customFormat="1" ht="36" customHeight="1">
      <c r="A52" s="114"/>
      <c r="B52" s="114"/>
      <c r="C52" s="114"/>
      <c r="D52" s="48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/>
      <c r="U52" s="115"/>
      <c r="V52" s="116"/>
      <c r="W52" s="116"/>
      <c r="X52" s="116"/>
      <c r="Y52" s="117"/>
      <c r="Z52" s="118"/>
      <c r="AA52" s="119"/>
      <c r="AB52" s="120"/>
      <c r="AC52" s="118"/>
      <c r="AD52" s="119"/>
      <c r="AE52" s="120"/>
      <c r="AF52" s="118"/>
      <c r="AG52" s="119"/>
      <c r="AH52" s="120"/>
      <c r="AI52" s="118"/>
      <c r="AJ52" s="119"/>
      <c r="AK52" s="120"/>
      <c r="AL52" s="118"/>
      <c r="AM52" s="119"/>
      <c r="AN52" s="120"/>
      <c r="AO52" s="118"/>
      <c r="AP52" s="119"/>
      <c r="AQ52" s="120"/>
      <c r="AR52" s="121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3"/>
    </row>
    <row r="53" spans="1:62" s="13" customFormat="1" ht="36" customHeight="1">
      <c r="A53" s="114"/>
      <c r="B53" s="114"/>
      <c r="C53" s="114"/>
      <c r="D53" s="48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4"/>
      <c r="U53" s="115"/>
      <c r="V53" s="116"/>
      <c r="W53" s="116"/>
      <c r="X53" s="116"/>
      <c r="Y53" s="117"/>
      <c r="Z53" s="118"/>
      <c r="AA53" s="119"/>
      <c r="AB53" s="120"/>
      <c r="AC53" s="118"/>
      <c r="AD53" s="119"/>
      <c r="AE53" s="120"/>
      <c r="AF53" s="118"/>
      <c r="AG53" s="119"/>
      <c r="AH53" s="120"/>
      <c r="AI53" s="118"/>
      <c r="AJ53" s="119"/>
      <c r="AK53" s="120"/>
      <c r="AL53" s="118"/>
      <c r="AM53" s="119"/>
      <c r="AN53" s="120"/>
      <c r="AO53" s="118"/>
      <c r="AP53" s="119"/>
      <c r="AQ53" s="120"/>
      <c r="AR53" s="121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3"/>
    </row>
    <row r="54" spans="1:62" s="13" customFormat="1" ht="36" customHeight="1">
      <c r="A54" s="114"/>
      <c r="B54" s="114"/>
      <c r="C54" s="114"/>
      <c r="D54" s="48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4"/>
      <c r="U54" s="115"/>
      <c r="V54" s="116"/>
      <c r="W54" s="116"/>
      <c r="X54" s="116"/>
      <c r="Y54" s="117"/>
      <c r="Z54" s="118"/>
      <c r="AA54" s="119"/>
      <c r="AB54" s="120"/>
      <c r="AC54" s="118"/>
      <c r="AD54" s="119"/>
      <c r="AE54" s="120"/>
      <c r="AF54" s="118"/>
      <c r="AG54" s="119"/>
      <c r="AH54" s="120"/>
      <c r="AI54" s="118"/>
      <c r="AJ54" s="119"/>
      <c r="AK54" s="120"/>
      <c r="AL54" s="118"/>
      <c r="AM54" s="119"/>
      <c r="AN54" s="120"/>
      <c r="AO54" s="118"/>
      <c r="AP54" s="119"/>
      <c r="AQ54" s="120"/>
      <c r="AR54" s="121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3"/>
    </row>
    <row r="55" spans="1:62" s="13" customFormat="1" ht="36" customHeight="1">
      <c r="A55" s="114"/>
      <c r="B55" s="114"/>
      <c r="C55" s="114"/>
      <c r="D55" s="48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4"/>
      <c r="U55" s="115"/>
      <c r="V55" s="116"/>
      <c r="W55" s="116"/>
      <c r="X55" s="116"/>
      <c r="Y55" s="117"/>
      <c r="Z55" s="118"/>
      <c r="AA55" s="119"/>
      <c r="AB55" s="120"/>
      <c r="AC55" s="118"/>
      <c r="AD55" s="119"/>
      <c r="AE55" s="120"/>
      <c r="AF55" s="118"/>
      <c r="AG55" s="119"/>
      <c r="AH55" s="120"/>
      <c r="AI55" s="118"/>
      <c r="AJ55" s="119"/>
      <c r="AK55" s="120"/>
      <c r="AL55" s="118"/>
      <c r="AM55" s="119"/>
      <c r="AN55" s="120"/>
      <c r="AO55" s="118"/>
      <c r="AP55" s="119"/>
      <c r="AQ55" s="120"/>
      <c r="AR55" s="121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3"/>
    </row>
    <row r="56" spans="1:62" s="13" customFormat="1" ht="36" customHeight="1">
      <c r="A56" s="114"/>
      <c r="B56" s="114"/>
      <c r="C56" s="114"/>
      <c r="D56" s="48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4"/>
      <c r="U56" s="115"/>
      <c r="V56" s="116"/>
      <c r="W56" s="116"/>
      <c r="X56" s="116"/>
      <c r="Y56" s="117"/>
      <c r="Z56" s="118"/>
      <c r="AA56" s="119"/>
      <c r="AB56" s="120"/>
      <c r="AC56" s="118"/>
      <c r="AD56" s="119"/>
      <c r="AE56" s="120"/>
      <c r="AF56" s="118"/>
      <c r="AG56" s="119"/>
      <c r="AH56" s="120"/>
      <c r="AI56" s="118"/>
      <c r="AJ56" s="119"/>
      <c r="AK56" s="120"/>
      <c r="AL56" s="118"/>
      <c r="AM56" s="119"/>
      <c r="AN56" s="120"/>
      <c r="AO56" s="118"/>
      <c r="AP56" s="119"/>
      <c r="AQ56" s="120"/>
      <c r="AR56" s="121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3"/>
    </row>
    <row r="57" spans="1:62" s="13" customFormat="1" ht="36" customHeight="1">
      <c r="A57" s="153"/>
      <c r="B57" s="153"/>
      <c r="C57" s="153"/>
      <c r="D57" s="86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8"/>
      <c r="U57" s="157"/>
      <c r="V57" s="158"/>
      <c r="W57" s="158"/>
      <c r="X57" s="158"/>
      <c r="Y57" s="159"/>
      <c r="Z57" s="160"/>
      <c r="AA57" s="161"/>
      <c r="AB57" s="162"/>
      <c r="AC57" s="160"/>
      <c r="AD57" s="161"/>
      <c r="AE57" s="162"/>
      <c r="AF57" s="160"/>
      <c r="AG57" s="161"/>
      <c r="AH57" s="162"/>
      <c r="AI57" s="160"/>
      <c r="AJ57" s="161"/>
      <c r="AK57" s="162"/>
      <c r="AL57" s="160"/>
      <c r="AM57" s="161"/>
      <c r="AN57" s="162"/>
      <c r="AO57" s="160"/>
      <c r="AP57" s="161"/>
      <c r="AQ57" s="162"/>
      <c r="AR57" s="154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6"/>
    </row>
    <row r="58" spans="1:62" ht="6.6" customHeight="1"/>
  </sheetData>
  <mergeCells count="411">
    <mergeCell ref="AR48:BJ48"/>
    <mergeCell ref="A49:C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48:C48"/>
    <mergeCell ref="U48:Y48"/>
    <mergeCell ref="Z48:AB48"/>
    <mergeCell ref="AC48:AE48"/>
    <mergeCell ref="AF48:AH48"/>
    <mergeCell ref="AI48:AK48"/>
    <mergeCell ref="AL48:AN48"/>
    <mergeCell ref="AO48:AQ48"/>
    <mergeCell ref="AR46:BJ46"/>
    <mergeCell ref="A47:C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U46:Y46"/>
    <mergeCell ref="Z46:AB46"/>
    <mergeCell ref="AC46:AE46"/>
    <mergeCell ref="AF46:AH46"/>
    <mergeCell ref="AI46:AK46"/>
    <mergeCell ref="AL46:AN46"/>
    <mergeCell ref="AO46:AQ46"/>
    <mergeCell ref="AR51:BJ51"/>
    <mergeCell ref="A50:C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51:C51"/>
    <mergeCell ref="U51:Y51"/>
    <mergeCell ref="Z51:AB51"/>
    <mergeCell ref="AC51:AE51"/>
    <mergeCell ref="AF51:AH51"/>
    <mergeCell ref="AI51:AK51"/>
    <mergeCell ref="AL51:AN51"/>
    <mergeCell ref="AO51:AQ51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Z57:AB57"/>
    <mergeCell ref="AC57:AE57"/>
    <mergeCell ref="AF57:AH57"/>
    <mergeCell ref="AI57:AK57"/>
    <mergeCell ref="AL57:AN57"/>
    <mergeCell ref="AO57:AQ57"/>
    <mergeCell ref="Z41:AB41"/>
    <mergeCell ref="AC41:AE41"/>
    <mergeCell ref="AF41:AH41"/>
    <mergeCell ref="AI41:AK41"/>
    <mergeCell ref="AL41:AN41"/>
    <mergeCell ref="AO41:AQ41"/>
    <mergeCell ref="AI45:AK45"/>
    <mergeCell ref="AL45:AN45"/>
    <mergeCell ref="Z45:AB45"/>
    <mergeCell ref="AC45:AE45"/>
    <mergeCell ref="AF45:AH45"/>
    <mergeCell ref="AO45:AQ45"/>
    <mergeCell ref="A57:C57"/>
    <mergeCell ref="AR28:BJ28"/>
    <mergeCell ref="AO43:AQ43"/>
    <mergeCell ref="U42:Y42"/>
    <mergeCell ref="Z42:AB42"/>
    <mergeCell ref="AC42:AE42"/>
    <mergeCell ref="AF42:AH42"/>
    <mergeCell ref="AI42:AK42"/>
    <mergeCell ref="AL42:AN42"/>
    <mergeCell ref="AO42:AQ42"/>
    <mergeCell ref="U43:Y43"/>
    <mergeCell ref="Z43:AB43"/>
    <mergeCell ref="AC43:AE43"/>
    <mergeCell ref="A39:C39"/>
    <mergeCell ref="A40:C40"/>
    <mergeCell ref="A43:C43"/>
    <mergeCell ref="AF38:AH38"/>
    <mergeCell ref="AI38:AK38"/>
    <mergeCell ref="AL38:AN38"/>
    <mergeCell ref="AO38:AQ38"/>
    <mergeCell ref="A44:C44"/>
    <mergeCell ref="AR57:BJ57"/>
    <mergeCell ref="U57:Y57"/>
    <mergeCell ref="AR45:BJ45"/>
    <mergeCell ref="A37:C37"/>
    <mergeCell ref="AR42:BJ42"/>
    <mergeCell ref="AR43:BJ43"/>
    <mergeCell ref="AR44:BJ44"/>
    <mergeCell ref="U40:Y40"/>
    <mergeCell ref="U41:Y41"/>
    <mergeCell ref="A38:C38"/>
    <mergeCell ref="Z40:AB40"/>
    <mergeCell ref="AC40:AE40"/>
    <mergeCell ref="AF40:AH40"/>
    <mergeCell ref="AF43:AH43"/>
    <mergeCell ref="AI43:AK43"/>
    <mergeCell ref="AL43:AN43"/>
    <mergeCell ref="AI40:AK40"/>
    <mergeCell ref="AL40:AN40"/>
    <mergeCell ref="AO40:AQ40"/>
    <mergeCell ref="U38:Y38"/>
    <mergeCell ref="AR40:BJ40"/>
    <mergeCell ref="AF39:AH39"/>
    <mergeCell ref="AI39:AK39"/>
    <mergeCell ref="A42:C42"/>
    <mergeCell ref="AR22:BJ22"/>
    <mergeCell ref="A32:C32"/>
    <mergeCell ref="AR35:BJ35"/>
    <mergeCell ref="A33:C33"/>
    <mergeCell ref="U28:Y28"/>
    <mergeCell ref="Z28:AB28"/>
    <mergeCell ref="AC28:AE28"/>
    <mergeCell ref="AF28:AH28"/>
    <mergeCell ref="AI28:AK28"/>
    <mergeCell ref="AL28:AN28"/>
    <mergeCell ref="AO28:AQ28"/>
    <mergeCell ref="U29:Y29"/>
    <mergeCell ref="Z29:AB29"/>
    <mergeCell ref="AC29:AE29"/>
    <mergeCell ref="A23:C23"/>
    <mergeCell ref="A24:C24"/>
    <mergeCell ref="AI30:AK30"/>
    <mergeCell ref="AL30:AN30"/>
    <mergeCell ref="U24:Y24"/>
    <mergeCell ref="AR33:BJ33"/>
    <mergeCell ref="AI24:AK24"/>
    <mergeCell ref="AL24:AN24"/>
    <mergeCell ref="AO24:AQ24"/>
    <mergeCell ref="AR29:BJ29"/>
    <mergeCell ref="AR26:BJ26"/>
    <mergeCell ref="A25:C25"/>
    <mergeCell ref="AR23:BJ23"/>
    <mergeCell ref="AR36:BJ36"/>
    <mergeCell ref="AO29:AQ29"/>
    <mergeCell ref="AR20:BJ20"/>
    <mergeCell ref="U31:Y31"/>
    <mergeCell ref="Z31:AB31"/>
    <mergeCell ref="U32:Y32"/>
    <mergeCell ref="U33:Y33"/>
    <mergeCell ref="Z33:AB33"/>
    <mergeCell ref="AC33:AE33"/>
    <mergeCell ref="U20:Y20"/>
    <mergeCell ref="AO32:AQ32"/>
    <mergeCell ref="AF23:AH23"/>
    <mergeCell ref="AR27:BJ27"/>
    <mergeCell ref="A29:C29"/>
    <mergeCell ref="AR32:BJ32"/>
    <mergeCell ref="A30:C30"/>
    <mergeCell ref="AR31:BJ31"/>
    <mergeCell ref="A31:C31"/>
    <mergeCell ref="AR34:BJ34"/>
    <mergeCell ref="AO31:AQ31"/>
    <mergeCell ref="A26:C26"/>
    <mergeCell ref="AI21:AK21"/>
    <mergeCell ref="AL21:AN21"/>
    <mergeCell ref="AO21:AQ21"/>
    <mergeCell ref="AO36:AQ36"/>
    <mergeCell ref="Z36:AB36"/>
    <mergeCell ref="AC36:AE36"/>
    <mergeCell ref="AI36:AK36"/>
    <mergeCell ref="AL36:AN36"/>
    <mergeCell ref="U36:Y36"/>
    <mergeCell ref="AF33:AH33"/>
    <mergeCell ref="AF34:AH34"/>
    <mergeCell ref="Z34:AB34"/>
    <mergeCell ref="AC34:AE34"/>
    <mergeCell ref="AC35:AE35"/>
    <mergeCell ref="AF35:AH35"/>
    <mergeCell ref="AI27:AK27"/>
    <mergeCell ref="AL27:AN27"/>
    <mergeCell ref="AO27:AQ27"/>
    <mergeCell ref="AF26:AH26"/>
    <mergeCell ref="AL26:AN26"/>
    <mergeCell ref="AO26:AQ26"/>
    <mergeCell ref="AI26:AK26"/>
    <mergeCell ref="U22:Y22"/>
    <mergeCell ref="Z22:AB22"/>
    <mergeCell ref="A20:C20"/>
    <mergeCell ref="Z39:AB39"/>
    <mergeCell ref="AC39:AE39"/>
    <mergeCell ref="Z20:AB20"/>
    <mergeCell ref="Z24:AB24"/>
    <mergeCell ref="AC24:AE24"/>
    <mergeCell ref="AF24:AH24"/>
    <mergeCell ref="Z38:AB38"/>
    <mergeCell ref="AC38:AE38"/>
    <mergeCell ref="A36:C36"/>
    <mergeCell ref="AF36:AH36"/>
    <mergeCell ref="A34:C34"/>
    <mergeCell ref="U37:Y37"/>
    <mergeCell ref="Z37:AB37"/>
    <mergeCell ref="AC37:AE37"/>
    <mergeCell ref="AF37:AH37"/>
    <mergeCell ref="U21:Y21"/>
    <mergeCell ref="Z21:AB21"/>
    <mergeCell ref="AC21:AE21"/>
    <mergeCell ref="AF21:AH21"/>
    <mergeCell ref="AF27:AH27"/>
    <mergeCell ref="U26:Y26"/>
    <mergeCell ref="Z26:AB26"/>
    <mergeCell ref="AC26:AE26"/>
    <mergeCell ref="AR18:BJ18"/>
    <mergeCell ref="A21:C21"/>
    <mergeCell ref="A22:C22"/>
    <mergeCell ref="AI17:AK17"/>
    <mergeCell ref="AL17:AN17"/>
    <mergeCell ref="AO17:AQ17"/>
    <mergeCell ref="A18:C18"/>
    <mergeCell ref="AR19:BJ19"/>
    <mergeCell ref="A19:C19"/>
    <mergeCell ref="AR21:BJ21"/>
    <mergeCell ref="A17:C17"/>
    <mergeCell ref="D17:T17"/>
    <mergeCell ref="U17:Y17"/>
    <mergeCell ref="Z17:AB17"/>
    <mergeCell ref="AC17:AE17"/>
    <mergeCell ref="AF17:AH17"/>
    <mergeCell ref="AR17:BJ17"/>
    <mergeCell ref="U19:Y19"/>
    <mergeCell ref="Z19:AB19"/>
    <mergeCell ref="AC19:AE19"/>
    <mergeCell ref="AF19:AH19"/>
    <mergeCell ref="AI19:AK19"/>
    <mergeCell ref="U18:Y18"/>
    <mergeCell ref="Z18:AB18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C18:AE18"/>
    <mergeCell ref="AF18:AH18"/>
    <mergeCell ref="AI18:AK18"/>
    <mergeCell ref="AL18:AN18"/>
    <mergeCell ref="AO18:AQ18"/>
    <mergeCell ref="AF20:AH20"/>
    <mergeCell ref="AI20:AK20"/>
    <mergeCell ref="AL20:AN20"/>
    <mergeCell ref="AO20:AQ20"/>
    <mergeCell ref="AL19:AN19"/>
    <mergeCell ref="AO19:AQ19"/>
    <mergeCell ref="AC20:AE20"/>
    <mergeCell ref="AC22:AE22"/>
    <mergeCell ref="AF22:AH22"/>
    <mergeCell ref="AI22:AK22"/>
    <mergeCell ref="AL22:AN22"/>
    <mergeCell ref="AO22:AQ22"/>
    <mergeCell ref="U23:Y23"/>
    <mergeCell ref="Z23:AB23"/>
    <mergeCell ref="AC23:AE23"/>
    <mergeCell ref="AI23:AK23"/>
    <mergeCell ref="AL23:AN23"/>
    <mergeCell ref="AO23:AQ23"/>
    <mergeCell ref="AL32:AN32"/>
    <mergeCell ref="U35:Y35"/>
    <mergeCell ref="U30:Y30"/>
    <mergeCell ref="Z30:AB30"/>
    <mergeCell ref="AC30:AE30"/>
    <mergeCell ref="AF30:AH30"/>
    <mergeCell ref="AL39:AN39"/>
    <mergeCell ref="AO39:AQ39"/>
    <mergeCell ref="AI34:AK34"/>
    <mergeCell ref="AL34:AN34"/>
    <mergeCell ref="AO34:AQ34"/>
    <mergeCell ref="Z35:AB35"/>
    <mergeCell ref="AI37:AK37"/>
    <mergeCell ref="AL37:AN37"/>
    <mergeCell ref="AO37:AQ37"/>
    <mergeCell ref="AI33:AK33"/>
    <mergeCell ref="AL33:AN33"/>
    <mergeCell ref="AR24:BJ24"/>
    <mergeCell ref="AR37:BJ37"/>
    <mergeCell ref="U34:Y34"/>
    <mergeCell ref="U39:Y39"/>
    <mergeCell ref="AF29:AH29"/>
    <mergeCell ref="AI29:AK29"/>
    <mergeCell ref="AL29:AN29"/>
    <mergeCell ref="AC31:AE31"/>
    <mergeCell ref="AF31:AH31"/>
    <mergeCell ref="AR39:BJ39"/>
    <mergeCell ref="AO33:AQ33"/>
    <mergeCell ref="AI35:AK35"/>
    <mergeCell ref="AL35:AN35"/>
    <mergeCell ref="AO35:AQ35"/>
    <mergeCell ref="AR38:BJ38"/>
    <mergeCell ref="AO30:AQ30"/>
    <mergeCell ref="U27:Y27"/>
    <mergeCell ref="Z27:AB27"/>
    <mergeCell ref="AC27:AE27"/>
    <mergeCell ref="AL31:AN31"/>
    <mergeCell ref="Z32:AB32"/>
    <mergeCell ref="AC32:AE32"/>
    <mergeCell ref="AF32:AH32"/>
    <mergeCell ref="AI32:AK32"/>
    <mergeCell ref="AR25:BJ25"/>
    <mergeCell ref="AR30:BJ30"/>
    <mergeCell ref="A45:C45"/>
    <mergeCell ref="U25:Y25"/>
    <mergeCell ref="Z25:AB25"/>
    <mergeCell ref="AC25:AE25"/>
    <mergeCell ref="AF25:AH25"/>
    <mergeCell ref="AI25:AK25"/>
    <mergeCell ref="AL25:AN25"/>
    <mergeCell ref="AO25:AQ25"/>
    <mergeCell ref="A27:C27"/>
    <mergeCell ref="AR41:BJ41"/>
    <mergeCell ref="A41:C41"/>
    <mergeCell ref="U44:Y44"/>
    <mergeCell ref="Z44:AB44"/>
    <mergeCell ref="AC44:AE44"/>
    <mergeCell ref="AF44:AH44"/>
    <mergeCell ref="AI44:AK44"/>
    <mergeCell ref="AL44:AN44"/>
    <mergeCell ref="AO44:AQ44"/>
    <mergeCell ref="A28:C28"/>
    <mergeCell ref="A35:C35"/>
    <mergeCell ref="AI31:AK31"/>
    <mergeCell ref="U45:Y45"/>
    <mergeCell ref="A56:C56"/>
    <mergeCell ref="U56:Y56"/>
    <mergeCell ref="Z56:AB56"/>
    <mergeCell ref="AC56:AE56"/>
    <mergeCell ref="AF56:AH56"/>
    <mergeCell ref="AI56:AK56"/>
    <mergeCell ref="AL56:AN56"/>
    <mergeCell ref="AO56:AQ56"/>
    <mergeCell ref="AR56:BJ56"/>
    <mergeCell ref="A55:C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A52:C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4:C54"/>
    <mergeCell ref="U54:Y54"/>
    <mergeCell ref="Z54:AB54"/>
    <mergeCell ref="AC54:AE54"/>
    <mergeCell ref="AF54:AH54"/>
    <mergeCell ref="AI54:AK54"/>
    <mergeCell ref="AL54:AN54"/>
    <mergeCell ref="AO54:AQ54"/>
    <mergeCell ref="AR54:BJ54"/>
    <mergeCell ref="A53:C53"/>
    <mergeCell ref="U53:Y53"/>
    <mergeCell ref="Z53:AB53"/>
    <mergeCell ref="AC53:AE53"/>
    <mergeCell ref="AF53:AH53"/>
    <mergeCell ref="AI53:AK53"/>
    <mergeCell ref="AL53:AN53"/>
    <mergeCell ref="AO53:AQ53"/>
    <mergeCell ref="AR53:BJ53"/>
  </mergeCells>
  <phoneticPr fontId="1"/>
  <dataValidations count="6">
    <dataValidation type="list" allowBlank="1" showInputMessage="1" showErrorMessage="1" sqref="BI15 BC15 BC7:BC9 BI7:BI9 AL18:AQ57 AC18:AH57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4228A3FB-534C-4AD6-AED8-344BB04A138C}">
      <formula1>"utf-8,Shift jis"</formula1>
    </dataValidation>
    <dataValidation type="list" allowBlank="1" showInputMessage="1" sqref="AS11:BJ11" xr:uid="{CF27C649-9D90-4FF1-9D3E-6921E4772A4F}">
      <formula1>"昇順, 降順"</formula1>
    </dataValidation>
    <dataValidation type="list" allowBlank="1" showInputMessage="1" sqref="AS12:BJ14" xr:uid="{93E0BCEB-1C84-4EE6-9B33-1A5D14177C95}">
      <formula1>"昇順,降順"</formula1>
    </dataValidation>
    <dataValidation type="list" allowBlank="1" showInputMessage="1" showErrorMessage="1" sqref="AI18:AK57" xr:uid="{6739CC32-38D8-4C38-B8E8-426F03B3C0AE}">
      <formula1>"右,左"</formula1>
    </dataValidation>
  </dataValidations>
  <pageMargins left="0.70866141732283472" right="0.55118110236220474" top="0.62992125984251968" bottom="0.39370078740157483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68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9" t="s">
        <v>30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3" t="s">
        <v>3</v>
      </c>
      <c r="AU2" s="94"/>
      <c r="AV2" s="94"/>
      <c r="AW2" s="94"/>
      <c r="AX2" s="95"/>
      <c r="AY2" s="93" t="s">
        <v>31</v>
      </c>
      <c r="AZ2" s="94"/>
      <c r="BA2" s="94"/>
      <c r="BB2" s="95"/>
      <c r="BC2" s="93" t="s">
        <v>5</v>
      </c>
      <c r="BD2" s="94"/>
      <c r="BE2" s="94"/>
      <c r="BF2" s="95"/>
      <c r="BG2" s="93"/>
      <c r="BH2" s="94"/>
      <c r="BI2" s="94"/>
      <c r="BJ2" s="95"/>
    </row>
    <row r="3" spans="1:62" s="1" customFormat="1" ht="18" customHeight="1">
      <c r="A3" s="102" t="s">
        <v>6</v>
      </c>
      <c r="B3" s="103"/>
      <c r="C3" s="103"/>
      <c r="D3" s="103"/>
      <c r="E3" s="103"/>
      <c r="F3" s="103"/>
      <c r="G3" s="103"/>
      <c r="H3" s="104"/>
      <c r="I3" s="108" t="s">
        <v>144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93" t="s">
        <v>7</v>
      </c>
      <c r="AU3" s="94"/>
      <c r="AV3" s="94"/>
      <c r="AW3" s="94"/>
      <c r="AX3" s="95"/>
      <c r="AY3" s="93" t="s">
        <v>143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2" s="1" customFormat="1" ht="18" customHeight="1">
      <c r="A4" s="105"/>
      <c r="B4" s="106"/>
      <c r="C4" s="106"/>
      <c r="D4" s="106"/>
      <c r="E4" s="106"/>
      <c r="F4" s="106"/>
      <c r="G4" s="106"/>
      <c r="H4" s="107"/>
      <c r="I4" s="111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3"/>
      <c r="AT4" s="93" t="s">
        <v>8</v>
      </c>
      <c r="AU4" s="94"/>
      <c r="AV4" s="94"/>
      <c r="AW4" s="94"/>
      <c r="AX4" s="95"/>
      <c r="AY4" s="93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2" s="12" customFormat="1" ht="6" customHeight="1"/>
    <row r="6" spans="1:62" s="14" customFormat="1" ht="20.25" customHeight="1">
      <c r="A6" s="133" t="s">
        <v>12</v>
      </c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3" t="s">
        <v>52</v>
      </c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5"/>
      <c r="AB6" s="133" t="s">
        <v>13</v>
      </c>
      <c r="AC6" s="134"/>
      <c r="AD6" s="134"/>
      <c r="AE6" s="134"/>
      <c r="AF6" s="134"/>
      <c r="AG6" s="134"/>
      <c r="AH6" s="134"/>
      <c r="AI6" s="134"/>
      <c r="AJ6" s="135"/>
      <c r="AK6" s="133" t="s">
        <v>32</v>
      </c>
      <c r="AL6" s="134"/>
      <c r="AM6" s="134"/>
      <c r="AN6" s="135"/>
      <c r="AO6" s="133" t="s">
        <v>14</v>
      </c>
      <c r="AP6" s="134"/>
      <c r="AQ6" s="134"/>
      <c r="AR6" s="134"/>
      <c r="AS6" s="134"/>
      <c r="AT6" s="134"/>
      <c r="AU6" s="134"/>
      <c r="AV6" s="134"/>
      <c r="AW6" s="135"/>
      <c r="AX6" s="133" t="s">
        <v>33</v>
      </c>
      <c r="AY6" s="134"/>
      <c r="AZ6" s="134"/>
      <c r="BA6" s="135"/>
      <c r="BB6" s="136" t="s">
        <v>15</v>
      </c>
      <c r="BC6" s="136"/>
      <c r="BD6" s="136"/>
      <c r="BE6" s="136"/>
      <c r="BF6" s="136">
        <f>COUNTA(D10:D441)</f>
        <v>34</v>
      </c>
      <c r="BG6" s="136"/>
      <c r="BH6" s="136"/>
      <c r="BI6" s="136"/>
      <c r="BJ6" s="136"/>
    </row>
    <row r="7" spans="1:62" s="14" customFormat="1" ht="20.25" customHeight="1">
      <c r="A7" s="133" t="s">
        <v>16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3" t="s">
        <v>159</v>
      </c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5"/>
      <c r="AK7" s="133" t="s">
        <v>34</v>
      </c>
      <c r="AL7" s="134"/>
      <c r="AM7" s="134"/>
      <c r="AN7" s="134"/>
      <c r="AO7" s="134"/>
      <c r="AP7" s="134"/>
      <c r="AQ7" s="134"/>
      <c r="AR7" s="135"/>
      <c r="AS7" s="133" t="s">
        <v>160</v>
      </c>
      <c r="AT7" s="134"/>
      <c r="AU7" s="134"/>
      <c r="AV7" s="134"/>
      <c r="AW7" s="134"/>
      <c r="AX7" s="135"/>
      <c r="AY7" s="35" t="s">
        <v>17</v>
      </c>
      <c r="AZ7" s="36"/>
      <c r="BA7" s="36"/>
      <c r="BB7" s="36"/>
      <c r="BC7" s="133" t="s">
        <v>35</v>
      </c>
      <c r="BD7" s="135"/>
      <c r="BE7" s="133" t="s">
        <v>18</v>
      </c>
      <c r="BF7" s="134"/>
      <c r="BG7" s="134"/>
      <c r="BH7" s="135"/>
      <c r="BI7" s="133"/>
      <c r="BJ7" s="135"/>
    </row>
    <row r="8" spans="1:62" s="4" customFormat="1">
      <c r="B8" s="29" t="s">
        <v>19</v>
      </c>
      <c r="G8" s="5"/>
    </row>
    <row r="9" spans="1:62" s="14" customFormat="1" ht="42" customHeight="1">
      <c r="A9" s="133" t="s">
        <v>20</v>
      </c>
      <c r="B9" s="134"/>
      <c r="C9" s="135"/>
      <c r="D9" s="133" t="s">
        <v>36</v>
      </c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5"/>
      <c r="U9" s="140" t="s">
        <v>22</v>
      </c>
      <c r="V9" s="141"/>
      <c r="W9" s="141"/>
      <c r="X9" s="141"/>
      <c r="Y9" s="142"/>
      <c r="Z9" s="140" t="s">
        <v>23</v>
      </c>
      <c r="AA9" s="141"/>
      <c r="AB9" s="142"/>
      <c r="AC9" s="133" t="s">
        <v>37</v>
      </c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5"/>
    </row>
    <row r="10" spans="1:62" s="13" customFormat="1" ht="36" customHeight="1">
      <c r="A10" s="143">
        <v>1</v>
      </c>
      <c r="B10" s="143"/>
      <c r="C10" s="143"/>
      <c r="D10" s="50" t="s">
        <v>91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3"/>
      <c r="U10" s="147" t="s">
        <v>55</v>
      </c>
      <c r="V10" s="148"/>
      <c r="W10" s="148"/>
      <c r="X10" s="148"/>
      <c r="Y10" s="149"/>
      <c r="Z10" s="127">
        <v>8</v>
      </c>
      <c r="AA10" s="128"/>
      <c r="AB10" s="129"/>
      <c r="AC10" s="39" t="s">
        <v>127</v>
      </c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3" customFormat="1" ht="36" customHeight="1">
      <c r="A11" s="114">
        <v>2</v>
      </c>
      <c r="B11" s="114"/>
      <c r="C11" s="114"/>
      <c r="D11" s="53" t="s">
        <v>93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115" t="s">
        <v>51</v>
      </c>
      <c r="V11" s="116"/>
      <c r="W11" s="116"/>
      <c r="X11" s="116"/>
      <c r="Y11" s="117"/>
      <c r="Z11" s="118">
        <v>10</v>
      </c>
      <c r="AA11" s="119"/>
      <c r="AB11" s="120"/>
      <c r="AC11" s="38" t="s">
        <v>94</v>
      </c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4"/>
    </row>
    <row r="12" spans="1:62" s="13" customFormat="1" ht="36" customHeight="1">
      <c r="A12" s="114">
        <v>3</v>
      </c>
      <c r="B12" s="114"/>
      <c r="C12" s="114"/>
      <c r="D12" s="56" t="s">
        <v>111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/>
      <c r="U12" s="115" t="s">
        <v>55</v>
      </c>
      <c r="V12" s="125"/>
      <c r="W12" s="125"/>
      <c r="X12" s="125"/>
      <c r="Y12" s="126"/>
      <c r="Z12" s="130">
        <v>8</v>
      </c>
      <c r="AA12" s="131"/>
      <c r="AB12" s="132"/>
      <c r="AC12" s="38" t="s">
        <v>112</v>
      </c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4"/>
    </row>
    <row r="13" spans="1:62" s="13" customFormat="1" ht="36" customHeight="1">
      <c r="A13" s="114">
        <v>4</v>
      </c>
      <c r="B13" s="114"/>
      <c r="C13" s="114"/>
      <c r="D13" s="56" t="s">
        <v>116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115" t="s">
        <v>51</v>
      </c>
      <c r="V13" s="116"/>
      <c r="W13" s="116"/>
      <c r="X13" s="116"/>
      <c r="Y13" s="117"/>
      <c r="Z13" s="118">
        <v>10</v>
      </c>
      <c r="AA13" s="119"/>
      <c r="AB13" s="120"/>
      <c r="AC13" s="38" t="s">
        <v>114</v>
      </c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4"/>
    </row>
    <row r="14" spans="1:62" s="13" customFormat="1" ht="36" customHeight="1">
      <c r="A14" s="114">
        <v>5</v>
      </c>
      <c r="B14" s="114"/>
      <c r="C14" s="114"/>
      <c r="D14" s="56" t="s">
        <v>64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115" t="s">
        <v>54</v>
      </c>
      <c r="V14" s="116"/>
      <c r="W14" s="116"/>
      <c r="X14" s="116"/>
      <c r="Y14" s="117"/>
      <c r="Z14" s="118">
        <v>12</v>
      </c>
      <c r="AA14" s="119"/>
      <c r="AB14" s="120"/>
      <c r="AC14" s="38" t="s">
        <v>128</v>
      </c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4"/>
    </row>
    <row r="15" spans="1:62" s="13" customFormat="1" ht="36" customHeight="1">
      <c r="A15" s="114">
        <v>6</v>
      </c>
      <c r="B15" s="114"/>
      <c r="C15" s="114"/>
      <c r="D15" s="48" t="s">
        <v>129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115" t="s">
        <v>54</v>
      </c>
      <c r="V15" s="116"/>
      <c r="W15" s="116"/>
      <c r="X15" s="116"/>
      <c r="Y15" s="117"/>
      <c r="Z15" s="118">
        <v>5</v>
      </c>
      <c r="AA15" s="119"/>
      <c r="AB15" s="120"/>
      <c r="AC15" s="37" t="s">
        <v>185</v>
      </c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4"/>
    </row>
    <row r="16" spans="1:62" s="13" customFormat="1" ht="36" customHeight="1">
      <c r="A16" s="114">
        <v>7</v>
      </c>
      <c r="B16" s="114"/>
      <c r="C16" s="114"/>
      <c r="D16" s="56" t="s">
        <v>53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115" t="s">
        <v>158</v>
      </c>
      <c r="V16" s="125"/>
      <c r="W16" s="125"/>
      <c r="X16" s="125"/>
      <c r="Y16" s="126"/>
      <c r="Z16" s="118">
        <v>8</v>
      </c>
      <c r="AA16" s="119"/>
      <c r="AB16" s="120"/>
      <c r="AC16" s="37" t="s">
        <v>172</v>
      </c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4"/>
    </row>
    <row r="17" spans="1:62" s="13" customFormat="1" ht="36" customHeight="1">
      <c r="A17" s="114">
        <v>8</v>
      </c>
      <c r="B17" s="114"/>
      <c r="C17" s="114"/>
      <c r="D17" s="48" t="s">
        <v>145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115" t="s">
        <v>158</v>
      </c>
      <c r="V17" s="125"/>
      <c r="W17" s="125"/>
      <c r="X17" s="125"/>
      <c r="Y17" s="126"/>
      <c r="Z17" s="118">
        <v>8</v>
      </c>
      <c r="AA17" s="119"/>
      <c r="AB17" s="120"/>
      <c r="AC17" s="37" t="s">
        <v>172</v>
      </c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4"/>
    </row>
    <row r="18" spans="1:62" s="13" customFormat="1" ht="36" customHeight="1">
      <c r="A18" s="114">
        <v>9</v>
      </c>
      <c r="B18" s="114"/>
      <c r="C18" s="114"/>
      <c r="D18" s="56" t="s">
        <v>67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115" t="s">
        <v>51</v>
      </c>
      <c r="V18" s="116"/>
      <c r="W18" s="116"/>
      <c r="X18" s="116"/>
      <c r="Y18" s="117"/>
      <c r="Z18" s="118">
        <v>5</v>
      </c>
      <c r="AA18" s="119"/>
      <c r="AB18" s="120"/>
      <c r="AC18" s="38" t="s">
        <v>68</v>
      </c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4"/>
    </row>
    <row r="19" spans="1:62" s="13" customFormat="1" ht="36" customHeight="1">
      <c r="A19" s="114">
        <v>10</v>
      </c>
      <c r="B19" s="114"/>
      <c r="C19" s="114"/>
      <c r="D19" s="56" t="s">
        <v>100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115" t="s">
        <v>51</v>
      </c>
      <c r="V19" s="116"/>
      <c r="W19" s="116"/>
      <c r="X19" s="116"/>
      <c r="Y19" s="117"/>
      <c r="Z19" s="118">
        <v>5</v>
      </c>
      <c r="AA19" s="119"/>
      <c r="AB19" s="120"/>
      <c r="AC19" s="38" t="s">
        <v>101</v>
      </c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4"/>
    </row>
    <row r="20" spans="1:62" s="13" customFormat="1" ht="36" customHeight="1">
      <c r="A20" s="114">
        <v>11</v>
      </c>
      <c r="B20" s="114"/>
      <c r="C20" s="114"/>
      <c r="D20" s="56" t="s">
        <v>110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115" t="s">
        <v>51</v>
      </c>
      <c r="V20" s="116"/>
      <c r="W20" s="116"/>
      <c r="X20" s="116"/>
      <c r="Y20" s="117"/>
      <c r="Z20" s="118">
        <v>5</v>
      </c>
      <c r="AA20" s="119"/>
      <c r="AB20" s="120"/>
      <c r="AC20" s="38" t="s">
        <v>98</v>
      </c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4"/>
    </row>
    <row r="21" spans="1:62" s="13" customFormat="1" ht="36" customHeight="1">
      <c r="A21" s="114">
        <v>12</v>
      </c>
      <c r="B21" s="114"/>
      <c r="C21" s="114"/>
      <c r="D21" s="56" t="s">
        <v>61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115" t="s">
        <v>51</v>
      </c>
      <c r="V21" s="116"/>
      <c r="W21" s="116"/>
      <c r="X21" s="116"/>
      <c r="Y21" s="117"/>
      <c r="Z21" s="118">
        <v>2</v>
      </c>
      <c r="AA21" s="119"/>
      <c r="AB21" s="120"/>
      <c r="AC21" s="38" t="s">
        <v>66</v>
      </c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4"/>
    </row>
    <row r="22" spans="1:62" s="13" customFormat="1" ht="36" customHeight="1">
      <c r="A22" s="114">
        <v>13</v>
      </c>
      <c r="B22" s="114"/>
      <c r="C22" s="114"/>
      <c r="D22" s="56" t="s">
        <v>117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115" t="s">
        <v>54</v>
      </c>
      <c r="V22" s="116"/>
      <c r="W22" s="116"/>
      <c r="X22" s="116"/>
      <c r="Y22" s="117"/>
      <c r="Z22" s="118">
        <v>4</v>
      </c>
      <c r="AA22" s="119"/>
      <c r="AB22" s="120"/>
      <c r="AC22" s="38" t="s">
        <v>161</v>
      </c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4"/>
    </row>
    <row r="23" spans="1:62" s="13" customFormat="1" ht="36" customHeight="1">
      <c r="A23" s="114">
        <v>14</v>
      </c>
      <c r="B23" s="114"/>
      <c r="C23" s="114"/>
      <c r="D23" s="56" t="s">
        <v>118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115" t="s">
        <v>51</v>
      </c>
      <c r="V23" s="116"/>
      <c r="W23" s="116"/>
      <c r="X23" s="116"/>
      <c r="Y23" s="117"/>
      <c r="Z23" s="118">
        <v>15</v>
      </c>
      <c r="AA23" s="119"/>
      <c r="AB23" s="120"/>
      <c r="AC23" s="37" t="s">
        <v>163</v>
      </c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4"/>
    </row>
    <row r="24" spans="1:62" s="13" customFormat="1" ht="36" customHeight="1">
      <c r="A24" s="114">
        <v>15</v>
      </c>
      <c r="B24" s="114"/>
      <c r="C24" s="114"/>
      <c r="D24" s="56" t="s">
        <v>149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115" t="s">
        <v>54</v>
      </c>
      <c r="V24" s="116"/>
      <c r="W24" s="116"/>
      <c r="X24" s="116"/>
      <c r="Y24" s="117"/>
      <c r="Z24" s="118">
        <v>2</v>
      </c>
      <c r="AA24" s="119"/>
      <c r="AB24" s="120"/>
      <c r="AC24" s="37" t="s">
        <v>57</v>
      </c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4"/>
    </row>
    <row r="25" spans="1:62" s="13" customFormat="1" ht="36" customHeight="1">
      <c r="A25" s="114">
        <v>16</v>
      </c>
      <c r="B25" s="114"/>
      <c r="C25" s="114"/>
      <c r="D25" s="56" t="s">
        <v>119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115" t="s">
        <v>51</v>
      </c>
      <c r="V25" s="116"/>
      <c r="W25" s="116"/>
      <c r="X25" s="116"/>
      <c r="Y25" s="117"/>
      <c r="Z25" s="118">
        <v>10</v>
      </c>
      <c r="AA25" s="119"/>
      <c r="AB25" s="120"/>
      <c r="AC25" s="37" t="s">
        <v>58</v>
      </c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4"/>
    </row>
    <row r="26" spans="1:62" s="13" customFormat="1" ht="36" customHeight="1">
      <c r="A26" s="114">
        <v>17</v>
      </c>
      <c r="B26" s="114"/>
      <c r="C26" s="114"/>
      <c r="D26" s="56" t="s">
        <v>121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115" t="s">
        <v>54</v>
      </c>
      <c r="V26" s="116"/>
      <c r="W26" s="116"/>
      <c r="X26" s="116"/>
      <c r="Y26" s="117"/>
      <c r="Z26" s="118">
        <v>2</v>
      </c>
      <c r="AA26" s="119"/>
      <c r="AB26" s="120"/>
      <c r="AC26" s="38" t="s">
        <v>188</v>
      </c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4"/>
    </row>
    <row r="27" spans="1:62" s="13" customFormat="1" ht="36" customHeight="1">
      <c r="A27" s="114">
        <v>18</v>
      </c>
      <c r="B27" s="114"/>
      <c r="C27" s="114"/>
      <c r="D27" s="56" t="s">
        <v>123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/>
      <c r="U27" s="115" t="s">
        <v>51</v>
      </c>
      <c r="V27" s="116"/>
      <c r="W27" s="116"/>
      <c r="X27" s="116"/>
      <c r="Y27" s="117"/>
      <c r="Z27" s="118">
        <v>10</v>
      </c>
      <c r="AA27" s="119"/>
      <c r="AB27" s="120"/>
      <c r="AC27" s="38" t="s">
        <v>166</v>
      </c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4"/>
    </row>
    <row r="28" spans="1:62" s="13" customFormat="1" ht="36" customHeight="1">
      <c r="A28" s="114">
        <v>19</v>
      </c>
      <c r="B28" s="114"/>
      <c r="C28" s="114"/>
      <c r="D28" s="56" t="s">
        <v>125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1"/>
      <c r="U28" s="115" t="s">
        <v>54</v>
      </c>
      <c r="V28" s="116"/>
      <c r="W28" s="116"/>
      <c r="X28" s="116"/>
      <c r="Y28" s="117"/>
      <c r="Z28" s="150">
        <v>9</v>
      </c>
      <c r="AA28" s="151"/>
      <c r="AB28" s="152"/>
      <c r="AC28" s="38" t="s">
        <v>169</v>
      </c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4"/>
    </row>
    <row r="29" spans="1:62" s="13" customFormat="1" ht="36" customHeight="1">
      <c r="A29" s="114">
        <v>20</v>
      </c>
      <c r="B29" s="114"/>
      <c r="C29" s="114"/>
      <c r="D29" s="48" t="s">
        <v>126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115" t="s">
        <v>51</v>
      </c>
      <c r="V29" s="116"/>
      <c r="W29" s="116"/>
      <c r="X29" s="116"/>
      <c r="Y29" s="117"/>
      <c r="Z29" s="118">
        <v>15</v>
      </c>
      <c r="AA29" s="119"/>
      <c r="AB29" s="120"/>
      <c r="AC29" s="37" t="s">
        <v>186</v>
      </c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4"/>
    </row>
    <row r="30" spans="1:62" s="13" customFormat="1" ht="36" customHeight="1">
      <c r="A30" s="114">
        <v>21</v>
      </c>
      <c r="B30" s="114"/>
      <c r="C30" s="114"/>
      <c r="D30" s="56" t="s">
        <v>154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1"/>
      <c r="U30" s="115" t="s">
        <v>54</v>
      </c>
      <c r="V30" s="116"/>
      <c r="W30" s="116"/>
      <c r="X30" s="116"/>
      <c r="Y30" s="117"/>
      <c r="Z30" s="150">
        <v>9</v>
      </c>
      <c r="AA30" s="151"/>
      <c r="AB30" s="152"/>
      <c r="AC30" s="38" t="s">
        <v>171</v>
      </c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4"/>
    </row>
    <row r="31" spans="1:62" s="13" customFormat="1" ht="36" customHeight="1">
      <c r="A31" s="114">
        <v>22</v>
      </c>
      <c r="B31" s="114"/>
      <c r="C31" s="114"/>
      <c r="D31" s="48" t="s">
        <v>153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/>
      <c r="U31" s="115" t="s">
        <v>51</v>
      </c>
      <c r="V31" s="116"/>
      <c r="W31" s="116"/>
      <c r="X31" s="116"/>
      <c r="Y31" s="117"/>
      <c r="Z31" s="118">
        <v>15</v>
      </c>
      <c r="AA31" s="119"/>
      <c r="AB31" s="120"/>
      <c r="AC31" s="37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4"/>
    </row>
    <row r="32" spans="1:62" s="13" customFormat="1" ht="36" customHeight="1">
      <c r="A32" s="114">
        <v>23</v>
      </c>
      <c r="B32" s="114"/>
      <c r="C32" s="114"/>
      <c r="D32" s="61" t="s">
        <v>71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1"/>
      <c r="U32" s="115" t="s">
        <v>54</v>
      </c>
      <c r="V32" s="116"/>
      <c r="W32" s="116"/>
      <c r="X32" s="116"/>
      <c r="Y32" s="117"/>
      <c r="Z32" s="118">
        <v>17</v>
      </c>
      <c r="AA32" s="119"/>
      <c r="AB32" s="120"/>
      <c r="AC32" s="38" t="s">
        <v>72</v>
      </c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4"/>
    </row>
    <row r="33" spans="1:62" s="13" customFormat="1" ht="36" customHeight="1">
      <c r="A33" s="114">
        <v>24</v>
      </c>
      <c r="B33" s="114"/>
      <c r="C33" s="114"/>
      <c r="D33" s="56" t="s">
        <v>83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1"/>
      <c r="U33" s="115" t="s">
        <v>54</v>
      </c>
      <c r="V33" s="116"/>
      <c r="W33" s="116"/>
      <c r="X33" s="116"/>
      <c r="Y33" s="117"/>
      <c r="Z33" s="118">
        <v>3</v>
      </c>
      <c r="AA33" s="119"/>
      <c r="AB33" s="120"/>
      <c r="AC33" s="37" t="s">
        <v>59</v>
      </c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4"/>
    </row>
    <row r="34" spans="1:62" s="13" customFormat="1" ht="36" customHeight="1">
      <c r="A34" s="114">
        <v>25</v>
      </c>
      <c r="B34" s="114"/>
      <c r="C34" s="114"/>
      <c r="D34" s="56" t="s">
        <v>56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1"/>
      <c r="U34" s="115" t="s">
        <v>158</v>
      </c>
      <c r="V34" s="125"/>
      <c r="W34" s="125"/>
      <c r="X34" s="125"/>
      <c r="Y34" s="126"/>
      <c r="Z34" s="118">
        <v>8</v>
      </c>
      <c r="AA34" s="119"/>
      <c r="AB34" s="120"/>
      <c r="AC34" s="38" t="s">
        <v>60</v>
      </c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4"/>
    </row>
    <row r="35" spans="1:62" s="13" customFormat="1" ht="36" customHeight="1">
      <c r="A35" s="114">
        <v>26</v>
      </c>
      <c r="B35" s="114"/>
      <c r="C35" s="114"/>
      <c r="D35" s="56" t="s">
        <v>147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/>
      <c r="U35" s="115" t="s">
        <v>158</v>
      </c>
      <c r="V35" s="125"/>
      <c r="W35" s="125"/>
      <c r="X35" s="125"/>
      <c r="Y35" s="126"/>
      <c r="Z35" s="118">
        <v>8</v>
      </c>
      <c r="AA35" s="119"/>
      <c r="AB35" s="120"/>
      <c r="AC35" s="38" t="s">
        <v>189</v>
      </c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4"/>
    </row>
    <row r="36" spans="1:62" s="13" customFormat="1" ht="36" customHeight="1">
      <c r="A36" s="114">
        <v>27</v>
      </c>
      <c r="B36" s="114"/>
      <c r="C36" s="114"/>
      <c r="D36" s="56" t="s">
        <v>173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1"/>
      <c r="U36" s="115" t="s">
        <v>55</v>
      </c>
      <c r="V36" s="116"/>
      <c r="W36" s="116"/>
      <c r="X36" s="116"/>
      <c r="Y36" s="117"/>
      <c r="Z36" s="118">
        <v>14</v>
      </c>
      <c r="AA36" s="119"/>
      <c r="AB36" s="120"/>
      <c r="AC36" s="38" t="s">
        <v>179</v>
      </c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4"/>
    </row>
    <row r="37" spans="1:62" s="13" customFormat="1" ht="36" customHeight="1">
      <c r="A37" s="167">
        <v>28</v>
      </c>
      <c r="B37" s="167"/>
      <c r="C37" s="167"/>
      <c r="D37" s="61" t="s">
        <v>174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2"/>
      <c r="U37" s="170" t="s">
        <v>55</v>
      </c>
      <c r="V37" s="171"/>
      <c r="W37" s="171"/>
      <c r="X37" s="171"/>
      <c r="Y37" s="172"/>
      <c r="Z37" s="150">
        <v>14</v>
      </c>
      <c r="AA37" s="151"/>
      <c r="AB37" s="152"/>
      <c r="AC37" s="83" t="s">
        <v>187</v>
      </c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5"/>
    </row>
    <row r="38" spans="1:62" s="13" customFormat="1" ht="36" customHeight="1">
      <c r="A38" s="114">
        <v>29</v>
      </c>
      <c r="B38" s="114"/>
      <c r="C38" s="114"/>
      <c r="D38" s="56" t="s">
        <v>69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1"/>
      <c r="U38" s="115" t="s">
        <v>55</v>
      </c>
      <c r="V38" s="116"/>
      <c r="W38" s="116"/>
      <c r="X38" s="116"/>
      <c r="Y38" s="117"/>
      <c r="Z38" s="118">
        <v>14</v>
      </c>
      <c r="AA38" s="119"/>
      <c r="AB38" s="120"/>
      <c r="AC38" s="38" t="s">
        <v>62</v>
      </c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4"/>
    </row>
    <row r="39" spans="1:62" s="13" customFormat="1" ht="36" customHeight="1">
      <c r="A39" s="114">
        <v>30</v>
      </c>
      <c r="B39" s="114"/>
      <c r="C39" s="114"/>
      <c r="D39" s="56" t="s">
        <v>175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1"/>
      <c r="U39" s="115" t="s">
        <v>55</v>
      </c>
      <c r="V39" s="116"/>
      <c r="W39" s="116"/>
      <c r="X39" s="116"/>
      <c r="Y39" s="117"/>
      <c r="Z39" s="118">
        <v>14</v>
      </c>
      <c r="AA39" s="119"/>
      <c r="AB39" s="120"/>
      <c r="AC39" s="38" t="s">
        <v>62</v>
      </c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4"/>
    </row>
    <row r="40" spans="1:62" s="13" customFormat="1" ht="36" customHeight="1">
      <c r="A40" s="114">
        <v>31</v>
      </c>
      <c r="B40" s="114"/>
      <c r="C40" s="114"/>
      <c r="D40" s="56" t="s">
        <v>176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1"/>
      <c r="U40" s="115" t="s">
        <v>55</v>
      </c>
      <c r="V40" s="116"/>
      <c r="W40" s="116"/>
      <c r="X40" s="116"/>
      <c r="Y40" s="117"/>
      <c r="Z40" s="118">
        <v>14</v>
      </c>
      <c r="AA40" s="119"/>
      <c r="AB40" s="120"/>
      <c r="AC40" s="37">
        <v>0</v>
      </c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4"/>
    </row>
    <row r="41" spans="1:62" s="13" customFormat="1" ht="36" customHeight="1">
      <c r="A41" s="114">
        <v>32</v>
      </c>
      <c r="B41" s="114"/>
      <c r="C41" s="114"/>
      <c r="D41" s="56" t="s">
        <v>70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  <c r="U41" s="115" t="s">
        <v>55</v>
      </c>
      <c r="V41" s="116"/>
      <c r="W41" s="116"/>
      <c r="X41" s="116"/>
      <c r="Y41" s="117"/>
      <c r="Z41" s="118">
        <v>14</v>
      </c>
      <c r="AA41" s="119"/>
      <c r="AB41" s="120"/>
      <c r="AC41" s="38" t="s">
        <v>191</v>
      </c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4"/>
    </row>
    <row r="42" spans="1:62" s="13" customFormat="1" ht="36" customHeight="1">
      <c r="A42" s="114">
        <v>33</v>
      </c>
      <c r="B42" s="114"/>
      <c r="C42" s="114"/>
      <c r="D42" s="56" t="s">
        <v>177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1"/>
      <c r="U42" s="115" t="s">
        <v>55</v>
      </c>
      <c r="V42" s="116"/>
      <c r="W42" s="116"/>
      <c r="X42" s="116"/>
      <c r="Y42" s="117"/>
      <c r="Z42" s="118">
        <v>14</v>
      </c>
      <c r="AA42" s="119"/>
      <c r="AB42" s="120"/>
      <c r="AC42" s="38" t="s">
        <v>192</v>
      </c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4"/>
    </row>
    <row r="43" spans="1:62" s="13" customFormat="1" ht="36" customHeight="1">
      <c r="A43" s="114">
        <v>34</v>
      </c>
      <c r="B43" s="114"/>
      <c r="C43" s="114"/>
      <c r="D43" s="56" t="s">
        <v>178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1"/>
      <c r="U43" s="115" t="s">
        <v>55</v>
      </c>
      <c r="V43" s="116"/>
      <c r="W43" s="116"/>
      <c r="X43" s="116"/>
      <c r="Y43" s="117"/>
      <c r="Z43" s="118">
        <v>14</v>
      </c>
      <c r="AA43" s="119"/>
      <c r="AB43" s="120"/>
      <c r="AC43" s="38" t="s">
        <v>193</v>
      </c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4"/>
    </row>
    <row r="44" spans="1:62" s="13" customFormat="1" ht="36" customHeight="1">
      <c r="A44" s="114"/>
      <c r="B44" s="114"/>
      <c r="C44" s="114"/>
      <c r="D44" s="56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1"/>
      <c r="U44" s="115"/>
      <c r="V44" s="116"/>
      <c r="W44" s="116"/>
      <c r="X44" s="116"/>
      <c r="Y44" s="117"/>
      <c r="Z44" s="118"/>
      <c r="AA44" s="119"/>
      <c r="AB44" s="120"/>
      <c r="AC44" s="37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4"/>
    </row>
    <row r="45" spans="1:62" s="13" customFormat="1" ht="36" customHeight="1">
      <c r="A45" s="114"/>
      <c r="B45" s="114"/>
      <c r="C45" s="114"/>
      <c r="D45" s="56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1"/>
      <c r="U45" s="115"/>
      <c r="V45" s="116"/>
      <c r="W45" s="116"/>
      <c r="X45" s="116"/>
      <c r="Y45" s="117"/>
      <c r="Z45" s="118"/>
      <c r="AA45" s="119"/>
      <c r="AB45" s="120"/>
      <c r="AC45" s="37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4"/>
    </row>
    <row r="46" spans="1:62" s="13" customFormat="1" ht="36" customHeight="1">
      <c r="A46" s="114"/>
      <c r="B46" s="114"/>
      <c r="C46" s="114"/>
      <c r="D46" s="56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1"/>
      <c r="U46" s="115"/>
      <c r="V46" s="116"/>
      <c r="W46" s="116"/>
      <c r="X46" s="116"/>
      <c r="Y46" s="117"/>
      <c r="Z46" s="118"/>
      <c r="AA46" s="119"/>
      <c r="AB46" s="120"/>
      <c r="AC46" s="37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4"/>
    </row>
    <row r="47" spans="1:62" s="13" customFormat="1" ht="36" customHeight="1">
      <c r="A47" s="114"/>
      <c r="B47" s="114"/>
      <c r="C47" s="114"/>
      <c r="D47" s="56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1"/>
      <c r="U47" s="115"/>
      <c r="V47" s="116"/>
      <c r="W47" s="116"/>
      <c r="X47" s="116"/>
      <c r="Y47" s="117"/>
      <c r="Z47" s="118"/>
      <c r="AA47" s="119"/>
      <c r="AB47" s="120"/>
      <c r="AC47" s="37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4"/>
    </row>
    <row r="48" spans="1:62" s="13" customFormat="1" ht="36" customHeight="1">
      <c r="A48" s="114"/>
      <c r="B48" s="114"/>
      <c r="C48" s="114"/>
      <c r="D48" s="56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1"/>
      <c r="U48" s="115"/>
      <c r="V48" s="116"/>
      <c r="W48" s="116"/>
      <c r="X48" s="116"/>
      <c r="Y48" s="117"/>
      <c r="Z48" s="118"/>
      <c r="AA48" s="119"/>
      <c r="AB48" s="120"/>
      <c r="AC48" s="37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4"/>
    </row>
    <row r="49" spans="1:62" s="13" customFormat="1" ht="36" customHeight="1">
      <c r="A49" s="114"/>
      <c r="B49" s="114"/>
      <c r="C49" s="114"/>
      <c r="D49" s="56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115"/>
      <c r="V49" s="116"/>
      <c r="W49" s="116"/>
      <c r="X49" s="116"/>
      <c r="Y49" s="117"/>
      <c r="Z49" s="118"/>
      <c r="AA49" s="119"/>
      <c r="AB49" s="120"/>
      <c r="AC49" s="37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4"/>
    </row>
    <row r="50" spans="1:62" s="13" customFormat="1" ht="36" customHeight="1">
      <c r="A50" s="114"/>
      <c r="B50" s="114"/>
      <c r="C50" s="114"/>
      <c r="D50" s="56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1"/>
      <c r="U50" s="115"/>
      <c r="V50" s="116"/>
      <c r="W50" s="116"/>
      <c r="X50" s="116"/>
      <c r="Y50" s="117"/>
      <c r="Z50" s="118"/>
      <c r="AA50" s="119"/>
      <c r="AB50" s="120"/>
      <c r="AC50" s="37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4"/>
    </row>
    <row r="51" spans="1:62" s="13" customFormat="1" ht="36" customHeight="1">
      <c r="A51" s="114"/>
      <c r="B51" s="114"/>
      <c r="C51" s="114"/>
      <c r="D51" s="56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1"/>
      <c r="U51" s="115"/>
      <c r="V51" s="116"/>
      <c r="W51" s="116"/>
      <c r="X51" s="116"/>
      <c r="Y51" s="117"/>
      <c r="Z51" s="118"/>
      <c r="AA51" s="119"/>
      <c r="AB51" s="120"/>
      <c r="AC51" s="37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4"/>
    </row>
    <row r="52" spans="1:62" s="13" customFormat="1" ht="36" customHeight="1">
      <c r="A52" s="114"/>
      <c r="B52" s="114"/>
      <c r="C52" s="114"/>
      <c r="D52" s="56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1"/>
      <c r="U52" s="115"/>
      <c r="V52" s="116"/>
      <c r="W52" s="116"/>
      <c r="X52" s="116"/>
      <c r="Y52" s="117"/>
      <c r="Z52" s="118"/>
      <c r="AA52" s="119"/>
      <c r="AB52" s="120"/>
      <c r="AC52" s="37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4"/>
    </row>
    <row r="53" spans="1:62" s="13" customFormat="1" ht="36" customHeight="1">
      <c r="A53" s="114"/>
      <c r="B53" s="114"/>
      <c r="C53" s="114"/>
      <c r="D53" s="56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1"/>
      <c r="U53" s="115"/>
      <c r="V53" s="116"/>
      <c r="W53" s="116"/>
      <c r="X53" s="116"/>
      <c r="Y53" s="117"/>
      <c r="Z53" s="118"/>
      <c r="AA53" s="119"/>
      <c r="AB53" s="120"/>
      <c r="AC53" s="37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4"/>
    </row>
    <row r="54" spans="1:62" s="13" customFormat="1" ht="36" customHeight="1">
      <c r="A54" s="114"/>
      <c r="B54" s="114"/>
      <c r="C54" s="114"/>
      <c r="D54" s="56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1"/>
      <c r="U54" s="115"/>
      <c r="V54" s="116"/>
      <c r="W54" s="116"/>
      <c r="X54" s="116"/>
      <c r="Y54" s="117"/>
      <c r="Z54" s="118"/>
      <c r="AA54" s="119"/>
      <c r="AB54" s="120"/>
      <c r="AC54" s="37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4"/>
    </row>
    <row r="55" spans="1:62" s="13" customFormat="1" ht="36" customHeight="1">
      <c r="A55" s="114"/>
      <c r="B55" s="114"/>
      <c r="C55" s="114"/>
      <c r="D55" s="56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1"/>
      <c r="U55" s="115"/>
      <c r="V55" s="116"/>
      <c r="W55" s="116"/>
      <c r="X55" s="116"/>
      <c r="Y55" s="117"/>
      <c r="Z55" s="118"/>
      <c r="AA55" s="119"/>
      <c r="AB55" s="120"/>
      <c r="AC55" s="37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4"/>
    </row>
    <row r="56" spans="1:62" s="13" customFormat="1" ht="36" customHeight="1">
      <c r="A56" s="114"/>
      <c r="B56" s="114"/>
      <c r="C56" s="114"/>
      <c r="D56" s="56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1"/>
      <c r="U56" s="115"/>
      <c r="V56" s="116"/>
      <c r="W56" s="116"/>
      <c r="X56" s="116"/>
      <c r="Y56" s="117"/>
      <c r="Z56" s="118"/>
      <c r="AA56" s="119"/>
      <c r="AB56" s="120"/>
      <c r="AC56" s="37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4"/>
    </row>
    <row r="57" spans="1:62" s="13" customFormat="1" ht="36" customHeight="1">
      <c r="A57" s="114"/>
      <c r="B57" s="114"/>
      <c r="C57" s="114"/>
      <c r="D57" s="56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1"/>
      <c r="U57" s="115"/>
      <c r="V57" s="116"/>
      <c r="W57" s="116"/>
      <c r="X57" s="116"/>
      <c r="Y57" s="117"/>
      <c r="Z57" s="118"/>
      <c r="AA57" s="119"/>
      <c r="AB57" s="120"/>
      <c r="AC57" s="37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4"/>
    </row>
    <row r="58" spans="1:62" s="13" customFormat="1" ht="36" customHeight="1">
      <c r="A58" s="114"/>
      <c r="B58" s="114"/>
      <c r="C58" s="114"/>
      <c r="D58" s="56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1"/>
      <c r="U58" s="115"/>
      <c r="V58" s="116"/>
      <c r="W58" s="116"/>
      <c r="X58" s="116"/>
      <c r="Y58" s="117"/>
      <c r="Z58" s="118"/>
      <c r="AA58" s="119"/>
      <c r="AB58" s="120"/>
      <c r="AC58" s="37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4"/>
    </row>
    <row r="59" spans="1:62" s="13" customFormat="1" ht="36" customHeight="1">
      <c r="A59" s="114"/>
      <c r="B59" s="114"/>
      <c r="C59" s="114"/>
      <c r="D59" s="56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115"/>
      <c r="V59" s="116"/>
      <c r="W59" s="116"/>
      <c r="X59" s="116"/>
      <c r="Y59" s="117"/>
      <c r="Z59" s="118"/>
      <c r="AA59" s="119"/>
      <c r="AB59" s="120"/>
      <c r="AC59" s="37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4"/>
    </row>
    <row r="60" spans="1:62" s="13" customFormat="1" ht="36" customHeight="1">
      <c r="A60" s="114"/>
      <c r="B60" s="114"/>
      <c r="C60" s="114"/>
      <c r="D60" s="56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1"/>
      <c r="U60" s="115"/>
      <c r="V60" s="116"/>
      <c r="W60" s="116"/>
      <c r="X60" s="116"/>
      <c r="Y60" s="117"/>
      <c r="Z60" s="118"/>
      <c r="AA60" s="119"/>
      <c r="AB60" s="120"/>
      <c r="AC60" s="37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4"/>
    </row>
    <row r="61" spans="1:62" s="13" customFormat="1" ht="36" customHeight="1">
      <c r="A61" s="114"/>
      <c r="B61" s="114"/>
      <c r="C61" s="114"/>
      <c r="D61" s="56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1"/>
      <c r="U61" s="115"/>
      <c r="V61" s="116"/>
      <c r="W61" s="116"/>
      <c r="X61" s="116"/>
      <c r="Y61" s="117"/>
      <c r="Z61" s="118"/>
      <c r="AA61" s="119"/>
      <c r="AB61" s="120"/>
      <c r="AC61" s="37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4"/>
    </row>
    <row r="62" spans="1:62" s="13" customFormat="1" ht="36" customHeight="1">
      <c r="A62" s="114"/>
      <c r="B62" s="114"/>
      <c r="C62" s="114"/>
      <c r="D62" s="56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1"/>
      <c r="U62" s="115"/>
      <c r="V62" s="116"/>
      <c r="W62" s="116"/>
      <c r="X62" s="116"/>
      <c r="Y62" s="117"/>
      <c r="Z62" s="118"/>
      <c r="AA62" s="119"/>
      <c r="AB62" s="120"/>
      <c r="AC62" s="37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4"/>
    </row>
    <row r="63" spans="1:62" s="13" customFormat="1" ht="36" customHeight="1">
      <c r="A63" s="114"/>
      <c r="B63" s="114"/>
      <c r="C63" s="114"/>
      <c r="D63" s="56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1"/>
      <c r="U63" s="115"/>
      <c r="V63" s="116"/>
      <c r="W63" s="116"/>
      <c r="X63" s="116"/>
      <c r="Y63" s="117"/>
      <c r="Z63" s="118"/>
      <c r="AA63" s="119"/>
      <c r="AB63" s="120"/>
      <c r="AC63" s="37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4"/>
    </row>
    <row r="64" spans="1:62" s="13" customFormat="1" ht="36" customHeight="1">
      <c r="A64" s="114"/>
      <c r="B64" s="114"/>
      <c r="C64" s="114"/>
      <c r="D64" s="56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1"/>
      <c r="U64" s="115"/>
      <c r="V64" s="116"/>
      <c r="W64" s="116"/>
      <c r="X64" s="116"/>
      <c r="Y64" s="117"/>
      <c r="Z64" s="118"/>
      <c r="AA64" s="119"/>
      <c r="AB64" s="120"/>
      <c r="AC64" s="37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4"/>
    </row>
    <row r="65" spans="1:62" s="13" customFormat="1" ht="36" customHeight="1">
      <c r="A65" s="114"/>
      <c r="B65" s="114"/>
      <c r="C65" s="114"/>
      <c r="D65" s="56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1"/>
      <c r="U65" s="115"/>
      <c r="V65" s="116"/>
      <c r="W65" s="116"/>
      <c r="X65" s="116"/>
      <c r="Y65" s="117"/>
      <c r="Z65" s="118"/>
      <c r="AA65" s="119"/>
      <c r="AB65" s="120"/>
      <c r="AC65" s="37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4"/>
    </row>
    <row r="66" spans="1:62" s="13" customFormat="1" ht="36" customHeight="1">
      <c r="A66" s="114"/>
      <c r="B66" s="114"/>
      <c r="C66" s="114"/>
      <c r="D66" s="56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1"/>
      <c r="U66" s="115"/>
      <c r="V66" s="116"/>
      <c r="W66" s="116"/>
      <c r="X66" s="116"/>
      <c r="Y66" s="117"/>
      <c r="Z66" s="118"/>
      <c r="AA66" s="119"/>
      <c r="AB66" s="120"/>
      <c r="AC66" s="37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4"/>
    </row>
    <row r="67" spans="1:62" s="13" customFormat="1" ht="36" customHeight="1">
      <c r="A67" s="153"/>
      <c r="B67" s="153"/>
      <c r="C67" s="153"/>
      <c r="D67" s="89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1"/>
      <c r="U67" s="157"/>
      <c r="V67" s="158"/>
      <c r="W67" s="158"/>
      <c r="X67" s="158"/>
      <c r="Y67" s="159"/>
      <c r="Z67" s="160"/>
      <c r="AA67" s="161"/>
      <c r="AB67" s="162"/>
      <c r="AC67" s="92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8"/>
    </row>
    <row r="68" spans="1:62" ht="6.6" customHeight="1">
      <c r="A68" s="70"/>
      <c r="B68" s="70"/>
      <c r="C68" s="70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2"/>
      <c r="T68" s="72"/>
      <c r="U68" s="169"/>
      <c r="V68" s="169"/>
      <c r="W68" s="169"/>
      <c r="X68" s="169"/>
      <c r="Y68" s="169"/>
      <c r="Z68" s="169"/>
      <c r="AA68" s="169"/>
      <c r="AB68" s="169"/>
      <c r="AC68" s="73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</row>
  </sheetData>
  <mergeCells count="207">
    <mergeCell ref="A43:C43"/>
    <mergeCell ref="U43:Y43"/>
    <mergeCell ref="Z43:AB43"/>
    <mergeCell ref="A40:C40"/>
    <mergeCell ref="U40:Y40"/>
    <mergeCell ref="Z40:AB40"/>
    <mergeCell ref="A37:C37"/>
    <mergeCell ref="U37:Y37"/>
    <mergeCell ref="Z37:AB37"/>
    <mergeCell ref="A38:C38"/>
    <mergeCell ref="U38:Y38"/>
    <mergeCell ref="Z38:AB38"/>
    <mergeCell ref="A39:C39"/>
    <mergeCell ref="U39:Y39"/>
    <mergeCell ref="Z39:AB39"/>
    <mergeCell ref="A41:C41"/>
    <mergeCell ref="U41:Y41"/>
    <mergeCell ref="Z41:AB41"/>
    <mergeCell ref="A42:C42"/>
    <mergeCell ref="U42:Y42"/>
    <mergeCell ref="Z42:AB42"/>
    <mergeCell ref="Z67:AB67"/>
    <mergeCell ref="Z17:AB17"/>
    <mergeCell ref="A26:C26"/>
    <mergeCell ref="U27:Y27"/>
    <mergeCell ref="Z27:AB27"/>
    <mergeCell ref="A29:C29"/>
    <mergeCell ref="U68:Y68"/>
    <mergeCell ref="Z68:AB68"/>
    <mergeCell ref="U35:Y35"/>
    <mergeCell ref="Z34:AB34"/>
    <mergeCell ref="A67:C67"/>
    <mergeCell ref="U36:Y36"/>
    <mergeCell ref="Z35:AB35"/>
    <mergeCell ref="U67:Y67"/>
    <mergeCell ref="Z36:AB36"/>
    <mergeCell ref="U34:Y34"/>
    <mergeCell ref="A36:C36"/>
    <mergeCell ref="A34:C34"/>
    <mergeCell ref="A35:C35"/>
    <mergeCell ref="U31:Y31"/>
    <mergeCell ref="Z31:AB31"/>
    <mergeCell ref="Z33:AB33"/>
    <mergeCell ref="A30:C30"/>
    <mergeCell ref="A31:C31"/>
    <mergeCell ref="U33:Y33"/>
    <mergeCell ref="Z32:AB32"/>
    <mergeCell ref="A33:C33"/>
    <mergeCell ref="Z30:AB30"/>
    <mergeCell ref="A19:C19"/>
    <mergeCell ref="U20:Y20"/>
    <mergeCell ref="Z20:AB20"/>
    <mergeCell ref="A20:C20"/>
    <mergeCell ref="U21:Y21"/>
    <mergeCell ref="Z21:AB21"/>
    <mergeCell ref="U25:Y25"/>
    <mergeCell ref="U30:Y30"/>
    <mergeCell ref="U26:Y26"/>
    <mergeCell ref="Z25:AB25"/>
    <mergeCell ref="Z26:AB26"/>
    <mergeCell ref="A27:C27"/>
    <mergeCell ref="A25:C25"/>
    <mergeCell ref="U28:Y28"/>
    <mergeCell ref="Z28:AB28"/>
    <mergeCell ref="A28:C28"/>
    <mergeCell ref="U19:Y19"/>
    <mergeCell ref="Z19:AB19"/>
    <mergeCell ref="A13:C13"/>
    <mergeCell ref="U12:Y12"/>
    <mergeCell ref="Z14:AB14"/>
    <mergeCell ref="A14:C14"/>
    <mergeCell ref="U15:Y15"/>
    <mergeCell ref="U29:Y29"/>
    <mergeCell ref="Z29:AB29"/>
    <mergeCell ref="A32:C32"/>
    <mergeCell ref="U32:Y32"/>
    <mergeCell ref="Z16:AB16"/>
    <mergeCell ref="A21:C21"/>
    <mergeCell ref="A23:C23"/>
    <mergeCell ref="U24:Y24"/>
    <mergeCell ref="Z24:AB24"/>
    <mergeCell ref="A24:C24"/>
    <mergeCell ref="U22:Y22"/>
    <mergeCell ref="Z22:AB22"/>
    <mergeCell ref="A22:C22"/>
    <mergeCell ref="U23:Y23"/>
    <mergeCell ref="Z23:AB23"/>
    <mergeCell ref="A17:C17"/>
    <mergeCell ref="U18:Y18"/>
    <mergeCell ref="Z18:AB18"/>
    <mergeCell ref="A18:C18"/>
    <mergeCell ref="U17:Y17"/>
    <mergeCell ref="Z15:AB15"/>
    <mergeCell ref="U13:Y13"/>
    <mergeCell ref="L7:AJ7"/>
    <mergeCell ref="AK7:AR7"/>
    <mergeCell ref="AC9:BJ9"/>
    <mergeCell ref="A7:K7"/>
    <mergeCell ref="BI7:BJ7"/>
    <mergeCell ref="U14:Y14"/>
    <mergeCell ref="A16:C16"/>
    <mergeCell ref="U16:Y16"/>
    <mergeCell ref="AS7:AX7"/>
    <mergeCell ref="BC7:BD7"/>
    <mergeCell ref="BE7:BH7"/>
    <mergeCell ref="A15:C15"/>
    <mergeCell ref="Z12:AB12"/>
    <mergeCell ref="A11:C11"/>
    <mergeCell ref="U11:Y11"/>
    <mergeCell ref="Z11:AB11"/>
    <mergeCell ref="A12:C12"/>
    <mergeCell ref="Z13:AB13"/>
    <mergeCell ref="A9:C9"/>
    <mergeCell ref="D9:T9"/>
    <mergeCell ref="U9:Y9"/>
    <mergeCell ref="Z9:AB9"/>
    <mergeCell ref="A10:C10"/>
    <mergeCell ref="U10:Y10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Z10:AB10"/>
    <mergeCell ref="A62:C62"/>
    <mergeCell ref="U62:Y62"/>
    <mergeCell ref="Z62:AB62"/>
    <mergeCell ref="A66:C66"/>
    <mergeCell ref="U66:Y66"/>
    <mergeCell ref="Z66:AB66"/>
    <mergeCell ref="A64:C64"/>
    <mergeCell ref="U64:Y64"/>
    <mergeCell ref="Z64:AB64"/>
    <mergeCell ref="A65:C65"/>
    <mergeCell ref="U65:Y65"/>
    <mergeCell ref="Z65:AB65"/>
    <mergeCell ref="A58:C58"/>
    <mergeCell ref="U58:Y58"/>
    <mergeCell ref="Z58:AB58"/>
    <mergeCell ref="A60:C60"/>
    <mergeCell ref="U60:Y60"/>
    <mergeCell ref="Z60:AB60"/>
    <mergeCell ref="A61:C61"/>
    <mergeCell ref="U61:Y61"/>
    <mergeCell ref="Z61:AB61"/>
    <mergeCell ref="A50:C50"/>
    <mergeCell ref="U50:Y50"/>
    <mergeCell ref="Z50:AB50"/>
    <mergeCell ref="A63:C63"/>
    <mergeCell ref="U63:Y63"/>
    <mergeCell ref="Z63:AB63"/>
    <mergeCell ref="A52:C52"/>
    <mergeCell ref="U52:Y52"/>
    <mergeCell ref="Z52:AB52"/>
    <mergeCell ref="A53:C53"/>
    <mergeCell ref="U53:Y53"/>
    <mergeCell ref="Z53:AB53"/>
    <mergeCell ref="A54:C54"/>
    <mergeCell ref="U54:Y54"/>
    <mergeCell ref="Z54:AB54"/>
    <mergeCell ref="A55:C55"/>
    <mergeCell ref="U55:Y55"/>
    <mergeCell ref="Z55:AB55"/>
    <mergeCell ref="A56:C56"/>
    <mergeCell ref="U56:Y56"/>
    <mergeCell ref="Z56:AB56"/>
    <mergeCell ref="A57:C57"/>
    <mergeCell ref="U57:Y57"/>
    <mergeCell ref="Z57:AB57"/>
    <mergeCell ref="A51:C51"/>
    <mergeCell ref="U51:Y51"/>
    <mergeCell ref="Z51:AB51"/>
    <mergeCell ref="A59:C59"/>
    <mergeCell ref="U59:Y59"/>
    <mergeCell ref="Z59:AB59"/>
    <mergeCell ref="A44:C44"/>
    <mergeCell ref="U44:Y44"/>
    <mergeCell ref="Z44:AB44"/>
    <mergeCell ref="A45:C45"/>
    <mergeCell ref="U45:Y45"/>
    <mergeCell ref="Z45:AB45"/>
    <mergeCell ref="A46:C46"/>
    <mergeCell ref="U46:Y46"/>
    <mergeCell ref="Z46:AB46"/>
    <mergeCell ref="A47:C47"/>
    <mergeCell ref="U47:Y47"/>
    <mergeCell ref="Z47:AB47"/>
    <mergeCell ref="A48:C48"/>
    <mergeCell ref="U48:Y48"/>
    <mergeCell ref="Z48:AB48"/>
    <mergeCell ref="A49:C49"/>
    <mergeCell ref="U49:Y49"/>
    <mergeCell ref="Z49:AB49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55118110236220474" top="0.62992125984251968" bottom="0.39370078740157483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3C7F-9FC3-42D8-873B-15212615F03B}">
  <sheetPr codeName="Sheet4">
    <pageSetUpPr fitToPage="1"/>
  </sheetPr>
  <dimension ref="A1:AH58"/>
  <sheetViews>
    <sheetView zoomScaleNormal="100" workbookViewId="0"/>
  </sheetViews>
  <sheetFormatPr defaultColWidth="9" defaultRowHeight="13.2"/>
  <cols>
    <col min="1" max="1" width="11.6640625" style="4" customWidth="1"/>
    <col min="2" max="2" width="12.88671875" style="4" customWidth="1"/>
    <col min="3" max="3" width="11.77734375" style="4" customWidth="1"/>
    <col min="4" max="4" width="11.88671875" style="4" customWidth="1"/>
    <col min="5" max="5" width="12.44140625" style="4" customWidth="1"/>
    <col min="6" max="6" width="16.109375" style="4" bestFit="1" customWidth="1"/>
    <col min="7" max="7" width="13.88671875" style="4" bestFit="1" customWidth="1"/>
    <col min="8" max="8" width="16.109375" style="4" bestFit="1" customWidth="1"/>
    <col min="9" max="9" width="11.6640625" style="4" bestFit="1" customWidth="1"/>
    <col min="10" max="10" width="18.33203125" style="4" bestFit="1" customWidth="1"/>
    <col min="11" max="11" width="20.44140625" style="4" bestFit="1" customWidth="1"/>
    <col min="12" max="12" width="12.44140625" style="4" customWidth="1"/>
    <col min="13" max="14" width="20.44140625" style="4" bestFit="1" customWidth="1"/>
    <col min="15" max="18" width="18.33203125" style="4" bestFit="1" customWidth="1"/>
    <col min="19" max="19" width="16.109375" style="4" bestFit="1" customWidth="1"/>
    <col min="20" max="22" width="20.44140625" style="4" bestFit="1" customWidth="1"/>
    <col min="23" max="24" width="15" style="4" bestFit="1" customWidth="1"/>
    <col min="25" max="26" width="12" style="4" customWidth="1"/>
    <col min="27" max="27" width="9.44140625" style="4" bestFit="1" customWidth="1"/>
    <col min="28" max="28" width="7.44140625" style="4" bestFit="1" customWidth="1"/>
    <col min="29" max="29" width="15" style="4" bestFit="1" customWidth="1"/>
    <col min="30" max="30" width="10.44140625" style="4" bestFit="1" customWidth="1"/>
    <col min="31" max="31" width="13.88671875" style="4" bestFit="1" customWidth="1"/>
    <col min="32" max="32" width="15" style="4" bestFit="1" customWidth="1"/>
    <col min="33" max="33" width="10.44140625" style="4" bestFit="1" customWidth="1"/>
    <col min="34" max="34" width="13.88671875" style="4" bestFit="1" customWidth="1"/>
    <col min="35" max="16384" width="9" style="4"/>
  </cols>
  <sheetData>
    <row r="1" spans="1:34">
      <c r="A1" s="4" t="s">
        <v>63</v>
      </c>
    </row>
    <row r="3" spans="1:34">
      <c r="A3" s="49" t="s">
        <v>91</v>
      </c>
      <c r="B3" s="49" t="s">
        <v>93</v>
      </c>
      <c r="C3" s="49" t="s">
        <v>111</v>
      </c>
      <c r="D3" s="49" t="s">
        <v>116</v>
      </c>
      <c r="E3" s="49" t="s">
        <v>64</v>
      </c>
      <c r="F3" s="49" t="s">
        <v>129</v>
      </c>
      <c r="G3" s="49" t="s">
        <v>95</v>
      </c>
      <c r="H3" s="49" t="s">
        <v>145</v>
      </c>
      <c r="I3" s="49" t="s">
        <v>67</v>
      </c>
      <c r="J3" s="49" t="s">
        <v>100</v>
      </c>
      <c r="K3" s="49" t="s">
        <v>110</v>
      </c>
      <c r="L3" s="49" t="s">
        <v>61</v>
      </c>
      <c r="M3" s="49" t="s">
        <v>117</v>
      </c>
      <c r="N3" s="49" t="s">
        <v>118</v>
      </c>
      <c r="O3" s="49" t="s">
        <v>149</v>
      </c>
      <c r="P3" s="49" t="s">
        <v>120</v>
      </c>
      <c r="Q3" s="49" t="s">
        <v>122</v>
      </c>
      <c r="R3" s="49" t="s">
        <v>124</v>
      </c>
      <c r="S3" s="49" t="s">
        <v>125</v>
      </c>
      <c r="T3" s="49" t="s">
        <v>126</v>
      </c>
      <c r="U3" s="49" t="s">
        <v>154</v>
      </c>
      <c r="V3" s="49" t="s">
        <v>153</v>
      </c>
      <c r="W3" s="49" t="s">
        <v>71</v>
      </c>
      <c r="X3" s="49" t="s">
        <v>83</v>
      </c>
      <c r="Y3" s="49" t="s">
        <v>56</v>
      </c>
      <c r="Z3" s="49" t="s">
        <v>147</v>
      </c>
      <c r="AA3" s="78" t="s">
        <v>173</v>
      </c>
      <c r="AB3" s="78" t="s">
        <v>174</v>
      </c>
      <c r="AC3" s="79" t="s">
        <v>69</v>
      </c>
      <c r="AD3" s="78" t="s">
        <v>175</v>
      </c>
      <c r="AE3" s="78" t="s">
        <v>176</v>
      </c>
      <c r="AF3" s="79" t="s">
        <v>70</v>
      </c>
      <c r="AG3" s="78" t="s">
        <v>177</v>
      </c>
      <c r="AH3" s="78" t="s">
        <v>178</v>
      </c>
    </row>
    <row r="4" spans="1:34">
      <c r="A4" s="47" t="s">
        <v>92</v>
      </c>
      <c r="B4" s="47" t="s">
        <v>94</v>
      </c>
      <c r="C4" s="47" t="s">
        <v>113</v>
      </c>
      <c r="D4" s="47" t="s">
        <v>115</v>
      </c>
      <c r="E4" s="47" t="s">
        <v>90</v>
      </c>
      <c r="F4" s="47" t="s">
        <v>130</v>
      </c>
      <c r="G4" s="47" t="s">
        <v>146</v>
      </c>
      <c r="H4" s="47" t="s">
        <v>146</v>
      </c>
      <c r="I4" s="44" t="s">
        <v>68</v>
      </c>
      <c r="J4" s="44" t="s">
        <v>101</v>
      </c>
      <c r="K4" s="44" t="s">
        <v>98</v>
      </c>
      <c r="L4" s="45" t="s">
        <v>66</v>
      </c>
      <c r="M4" s="44" t="s">
        <v>162</v>
      </c>
      <c r="N4" s="75" t="s">
        <v>163</v>
      </c>
      <c r="O4" s="45" t="s">
        <v>57</v>
      </c>
      <c r="P4" s="45" t="s">
        <v>58</v>
      </c>
      <c r="Q4" s="76">
        <v>24</v>
      </c>
      <c r="R4" s="75" t="s">
        <v>166</v>
      </c>
      <c r="S4" s="46" t="s">
        <v>170</v>
      </c>
      <c r="T4" s="75" t="s">
        <v>165</v>
      </c>
      <c r="U4" s="45"/>
      <c r="V4" s="45"/>
      <c r="W4" s="77" t="s">
        <v>73</v>
      </c>
      <c r="X4" s="75" t="s">
        <v>59</v>
      </c>
      <c r="Y4" s="75">
        <v>20250113</v>
      </c>
      <c r="Z4" s="75">
        <v>20250116</v>
      </c>
      <c r="AA4" s="78" t="s">
        <v>179</v>
      </c>
      <c r="AB4" s="78">
        <v>10</v>
      </c>
      <c r="AC4" s="75">
        <v>1000000</v>
      </c>
      <c r="AD4" s="78">
        <v>909091</v>
      </c>
      <c r="AE4" s="78">
        <f>AC4-AD4</f>
        <v>90909</v>
      </c>
      <c r="AF4" s="75"/>
      <c r="AG4" s="78"/>
      <c r="AH4" s="78"/>
    </row>
    <row r="5" spans="1:34">
      <c r="A5" s="47" t="s">
        <v>92</v>
      </c>
      <c r="B5" s="47" t="s">
        <v>94</v>
      </c>
      <c r="C5" s="47" t="s">
        <v>113</v>
      </c>
      <c r="D5" s="47" t="s">
        <v>115</v>
      </c>
      <c r="E5" s="47" t="s">
        <v>90</v>
      </c>
      <c r="F5" s="47" t="s">
        <v>131</v>
      </c>
      <c r="G5" s="47" t="s">
        <v>146</v>
      </c>
      <c r="H5" s="47" t="s">
        <v>146</v>
      </c>
      <c r="I5" s="44" t="s">
        <v>68</v>
      </c>
      <c r="J5" s="44" t="s">
        <v>101</v>
      </c>
      <c r="K5" s="44" t="s">
        <v>98</v>
      </c>
      <c r="L5" s="45" t="s">
        <v>66</v>
      </c>
      <c r="M5" s="44" t="s">
        <v>162</v>
      </c>
      <c r="N5" s="75" t="s">
        <v>163</v>
      </c>
      <c r="O5" s="45" t="s">
        <v>57</v>
      </c>
      <c r="P5" s="45" t="s">
        <v>58</v>
      </c>
      <c r="Q5" s="76">
        <v>24</v>
      </c>
      <c r="R5" s="75" t="s">
        <v>166</v>
      </c>
      <c r="S5" s="46" t="s">
        <v>170</v>
      </c>
      <c r="T5" s="75" t="s">
        <v>165</v>
      </c>
      <c r="U5" s="45"/>
      <c r="V5" s="45"/>
      <c r="W5" s="77" t="s">
        <v>74</v>
      </c>
      <c r="X5" s="75" t="s">
        <v>59</v>
      </c>
      <c r="Y5" s="75">
        <v>20250113</v>
      </c>
      <c r="Z5" s="75">
        <v>20250116</v>
      </c>
      <c r="AA5" s="78" t="s">
        <v>179</v>
      </c>
      <c r="AB5" s="78">
        <v>10</v>
      </c>
      <c r="AC5" s="75">
        <v>300000</v>
      </c>
      <c r="AD5" s="78">
        <v>272727</v>
      </c>
      <c r="AE5" s="78">
        <f>AC5-AD5</f>
        <v>27273</v>
      </c>
      <c r="AF5" s="75"/>
      <c r="AG5" s="78"/>
      <c r="AH5" s="78"/>
    </row>
    <row r="6" spans="1:34">
      <c r="A6" s="47" t="s">
        <v>92</v>
      </c>
      <c r="B6" s="47" t="s">
        <v>94</v>
      </c>
      <c r="C6" s="47" t="s">
        <v>113</v>
      </c>
      <c r="D6" s="47" t="s">
        <v>115</v>
      </c>
      <c r="E6" s="47" t="s">
        <v>90</v>
      </c>
      <c r="F6" s="47" t="s">
        <v>132</v>
      </c>
      <c r="G6" s="47" t="s">
        <v>146</v>
      </c>
      <c r="H6" s="47" t="s">
        <v>146</v>
      </c>
      <c r="I6" s="44" t="s">
        <v>68</v>
      </c>
      <c r="J6" s="44" t="s">
        <v>101</v>
      </c>
      <c r="K6" s="44" t="s">
        <v>98</v>
      </c>
      <c r="L6" s="45" t="s">
        <v>66</v>
      </c>
      <c r="M6" s="44" t="s">
        <v>162</v>
      </c>
      <c r="N6" s="75" t="s">
        <v>163</v>
      </c>
      <c r="O6" s="45" t="s">
        <v>57</v>
      </c>
      <c r="P6" s="45" t="s">
        <v>58</v>
      </c>
      <c r="Q6" s="76">
        <v>24</v>
      </c>
      <c r="R6" s="75" t="s">
        <v>166</v>
      </c>
      <c r="S6" s="46" t="s">
        <v>170</v>
      </c>
      <c r="T6" s="75" t="s">
        <v>165</v>
      </c>
      <c r="U6" s="45"/>
      <c r="V6" s="45"/>
      <c r="W6" s="77" t="s">
        <v>75</v>
      </c>
      <c r="X6" s="75" t="s">
        <v>59</v>
      </c>
      <c r="Y6" s="75">
        <v>20250113</v>
      </c>
      <c r="Z6" s="75">
        <v>20250116</v>
      </c>
      <c r="AA6" s="78" t="s">
        <v>180</v>
      </c>
      <c r="AB6" s="78">
        <v>10</v>
      </c>
      <c r="AC6" s="75">
        <v>700000</v>
      </c>
      <c r="AD6" s="78">
        <f t="shared" ref="AD6" si="0">ROUND(AC6/1.1,0)</f>
        <v>636364</v>
      </c>
      <c r="AE6" s="78">
        <f>AC6-AD6</f>
        <v>63636</v>
      </c>
      <c r="AF6" s="75"/>
      <c r="AG6" s="78"/>
      <c r="AH6" s="78"/>
    </row>
    <row r="7" spans="1:34">
      <c r="A7" s="47" t="s">
        <v>92</v>
      </c>
      <c r="B7" s="47" t="s">
        <v>94</v>
      </c>
      <c r="C7" s="47" t="s">
        <v>113</v>
      </c>
      <c r="D7" s="47" t="s">
        <v>115</v>
      </c>
      <c r="E7" s="47" t="s">
        <v>90</v>
      </c>
      <c r="F7" s="47" t="s">
        <v>133</v>
      </c>
      <c r="G7" s="47" t="s">
        <v>146</v>
      </c>
      <c r="H7" s="47" t="s">
        <v>146</v>
      </c>
      <c r="I7" s="44" t="s">
        <v>68</v>
      </c>
      <c r="J7" s="44" t="s">
        <v>101</v>
      </c>
      <c r="K7" s="44" t="s">
        <v>98</v>
      </c>
      <c r="L7" s="45" t="s">
        <v>65</v>
      </c>
      <c r="M7" s="44" t="s">
        <v>164</v>
      </c>
      <c r="N7" s="75" t="s">
        <v>165</v>
      </c>
      <c r="O7" s="45" t="s">
        <v>57</v>
      </c>
      <c r="P7" s="45" t="s">
        <v>58</v>
      </c>
      <c r="Q7" s="75" t="s">
        <v>167</v>
      </c>
      <c r="R7" s="75" t="s">
        <v>168</v>
      </c>
      <c r="S7" s="46"/>
      <c r="T7" s="75"/>
      <c r="U7" s="44" t="s">
        <v>171</v>
      </c>
      <c r="V7" s="75" t="s">
        <v>190</v>
      </c>
      <c r="W7" s="77" t="s">
        <v>73</v>
      </c>
      <c r="X7" s="75" t="s">
        <v>59</v>
      </c>
      <c r="Y7" s="75">
        <v>20250112</v>
      </c>
      <c r="Z7" s="75">
        <v>20250116</v>
      </c>
      <c r="AA7" s="78" t="s">
        <v>180</v>
      </c>
      <c r="AB7" s="78">
        <v>10</v>
      </c>
      <c r="AC7" s="75"/>
      <c r="AD7" s="78"/>
      <c r="AE7" s="78"/>
      <c r="AF7" s="75">
        <v>500000</v>
      </c>
      <c r="AG7" s="78">
        <f>ROUND(AF7/1.1,0)</f>
        <v>454545</v>
      </c>
      <c r="AH7" s="78">
        <f>AF7-AG7</f>
        <v>45455</v>
      </c>
    </row>
    <row r="8" spans="1:34">
      <c r="A8" s="47" t="s">
        <v>92</v>
      </c>
      <c r="B8" s="47" t="s">
        <v>94</v>
      </c>
      <c r="C8" s="47" t="s">
        <v>113</v>
      </c>
      <c r="D8" s="47" t="s">
        <v>115</v>
      </c>
      <c r="E8" s="47" t="s">
        <v>90</v>
      </c>
      <c r="F8" s="47" t="s">
        <v>134</v>
      </c>
      <c r="G8" s="47" t="s">
        <v>146</v>
      </c>
      <c r="H8" s="47" t="s">
        <v>146</v>
      </c>
      <c r="I8" s="44" t="s">
        <v>68</v>
      </c>
      <c r="J8" s="44" t="s">
        <v>101</v>
      </c>
      <c r="K8" s="44" t="s">
        <v>98</v>
      </c>
      <c r="L8" s="45" t="s">
        <v>65</v>
      </c>
      <c r="M8" s="44" t="s">
        <v>164</v>
      </c>
      <c r="N8" s="75" t="s">
        <v>165</v>
      </c>
      <c r="O8" s="45" t="s">
        <v>57</v>
      </c>
      <c r="P8" s="45" t="s">
        <v>58</v>
      </c>
      <c r="Q8" s="75" t="s">
        <v>167</v>
      </c>
      <c r="R8" s="75" t="s">
        <v>168</v>
      </c>
      <c r="S8" s="46"/>
      <c r="T8" s="45"/>
      <c r="U8" s="44" t="s">
        <v>171</v>
      </c>
      <c r="V8" s="75" t="s">
        <v>163</v>
      </c>
      <c r="W8" s="77" t="s">
        <v>74</v>
      </c>
      <c r="X8" s="75" t="s">
        <v>59</v>
      </c>
      <c r="Y8" s="75">
        <v>20250112</v>
      </c>
      <c r="Z8" s="75">
        <v>20250116</v>
      </c>
      <c r="AA8" s="78" t="s">
        <v>180</v>
      </c>
      <c r="AB8" s="78">
        <v>10</v>
      </c>
      <c r="AC8" s="75"/>
      <c r="AD8" s="78"/>
      <c r="AE8" s="78"/>
      <c r="AF8" s="75">
        <v>600000</v>
      </c>
      <c r="AG8" s="78">
        <f t="shared" ref="AG8:AG11" si="1">ROUND(AF8/1.1,0)</f>
        <v>545455</v>
      </c>
      <c r="AH8" s="78">
        <f t="shared" ref="AH8:AH11" si="2">AF8-AG8</f>
        <v>54545</v>
      </c>
    </row>
    <row r="9" spans="1:34">
      <c r="A9" s="47" t="s">
        <v>92</v>
      </c>
      <c r="B9" s="47" t="s">
        <v>94</v>
      </c>
      <c r="C9" s="47" t="s">
        <v>113</v>
      </c>
      <c r="D9" s="47" t="s">
        <v>115</v>
      </c>
      <c r="E9" s="47" t="s">
        <v>90</v>
      </c>
      <c r="F9" s="47" t="s">
        <v>135</v>
      </c>
      <c r="G9" s="47" t="s">
        <v>146</v>
      </c>
      <c r="H9" s="47" t="s">
        <v>146</v>
      </c>
      <c r="I9" s="44" t="s">
        <v>68</v>
      </c>
      <c r="J9" s="44" t="s">
        <v>101</v>
      </c>
      <c r="K9" s="44" t="s">
        <v>98</v>
      </c>
      <c r="L9" s="45" t="s">
        <v>65</v>
      </c>
      <c r="M9" s="44" t="s">
        <v>164</v>
      </c>
      <c r="N9" s="75" t="s">
        <v>165</v>
      </c>
      <c r="O9" s="45" t="s">
        <v>57</v>
      </c>
      <c r="P9" s="45" t="s">
        <v>58</v>
      </c>
      <c r="Q9" s="75" t="s">
        <v>167</v>
      </c>
      <c r="R9" s="75" t="s">
        <v>168</v>
      </c>
      <c r="S9" s="46"/>
      <c r="T9" s="45"/>
      <c r="U9" s="44" t="s">
        <v>171</v>
      </c>
      <c r="V9" s="75" t="s">
        <v>163</v>
      </c>
      <c r="W9" s="77" t="s">
        <v>75</v>
      </c>
      <c r="X9" s="75" t="s">
        <v>59</v>
      </c>
      <c r="Y9" s="75">
        <v>20250111</v>
      </c>
      <c r="Z9" s="75">
        <v>20250116</v>
      </c>
      <c r="AA9" s="78" t="s">
        <v>180</v>
      </c>
      <c r="AB9" s="78">
        <v>10</v>
      </c>
      <c r="AC9" s="75"/>
      <c r="AD9" s="78"/>
      <c r="AE9" s="78"/>
      <c r="AF9" s="75">
        <v>400000</v>
      </c>
      <c r="AG9" s="78">
        <f t="shared" si="1"/>
        <v>363636</v>
      </c>
      <c r="AH9" s="78">
        <f t="shared" si="2"/>
        <v>36364</v>
      </c>
    </row>
    <row r="10" spans="1:34">
      <c r="A10" s="47" t="s">
        <v>92</v>
      </c>
      <c r="B10" s="47" t="s">
        <v>94</v>
      </c>
      <c r="C10" s="47" t="s">
        <v>113</v>
      </c>
      <c r="D10" s="47" t="s">
        <v>115</v>
      </c>
      <c r="E10" s="47" t="s">
        <v>90</v>
      </c>
      <c r="F10" s="47" t="s">
        <v>136</v>
      </c>
      <c r="G10" s="47" t="s">
        <v>146</v>
      </c>
      <c r="H10" s="47" t="s">
        <v>146</v>
      </c>
      <c r="I10" s="44" t="s">
        <v>68</v>
      </c>
      <c r="J10" s="44" t="s">
        <v>101</v>
      </c>
      <c r="K10" s="44" t="s">
        <v>98</v>
      </c>
      <c r="L10" s="45" t="s">
        <v>65</v>
      </c>
      <c r="M10" s="44" t="s">
        <v>164</v>
      </c>
      <c r="N10" s="75" t="s">
        <v>165</v>
      </c>
      <c r="O10" s="45" t="s">
        <v>57</v>
      </c>
      <c r="P10" s="45" t="s">
        <v>58</v>
      </c>
      <c r="Q10" s="75" t="s">
        <v>167</v>
      </c>
      <c r="R10" s="75" t="s">
        <v>168</v>
      </c>
      <c r="S10" s="46"/>
      <c r="T10" s="45"/>
      <c r="U10" s="44" t="s">
        <v>171</v>
      </c>
      <c r="V10" s="75" t="s">
        <v>163</v>
      </c>
      <c r="W10" s="77" t="s">
        <v>76</v>
      </c>
      <c r="X10" s="75" t="s">
        <v>59</v>
      </c>
      <c r="Y10" s="75">
        <v>20250111</v>
      </c>
      <c r="Z10" s="75">
        <v>20250116</v>
      </c>
      <c r="AA10" s="78" t="s">
        <v>180</v>
      </c>
      <c r="AB10" s="78">
        <v>10</v>
      </c>
      <c r="AC10" s="75"/>
      <c r="AD10" s="78"/>
      <c r="AE10" s="78"/>
      <c r="AF10" s="75">
        <v>498800</v>
      </c>
      <c r="AG10" s="78">
        <f t="shared" si="1"/>
        <v>453455</v>
      </c>
      <c r="AH10" s="78">
        <f t="shared" si="2"/>
        <v>45345</v>
      </c>
    </row>
    <row r="11" spans="1:34">
      <c r="A11" s="47" t="s">
        <v>92</v>
      </c>
      <c r="B11" s="47" t="s">
        <v>94</v>
      </c>
      <c r="C11" s="47" t="s">
        <v>113</v>
      </c>
      <c r="D11" s="47" t="s">
        <v>115</v>
      </c>
      <c r="E11" s="47" t="s">
        <v>90</v>
      </c>
      <c r="F11" s="47" t="s">
        <v>137</v>
      </c>
      <c r="G11" s="47" t="s">
        <v>146</v>
      </c>
      <c r="H11" s="47" t="s">
        <v>146</v>
      </c>
      <c r="I11" s="44" t="s">
        <v>68</v>
      </c>
      <c r="J11" s="44" t="s">
        <v>101</v>
      </c>
      <c r="K11" s="44" t="s">
        <v>98</v>
      </c>
      <c r="L11" s="45" t="s">
        <v>65</v>
      </c>
      <c r="M11" s="44" t="s">
        <v>164</v>
      </c>
      <c r="N11" s="75" t="s">
        <v>165</v>
      </c>
      <c r="O11" s="45" t="s">
        <v>57</v>
      </c>
      <c r="P11" s="45" t="s">
        <v>58</v>
      </c>
      <c r="Q11" s="75" t="s">
        <v>167</v>
      </c>
      <c r="R11" s="75" t="s">
        <v>168</v>
      </c>
      <c r="S11" s="46"/>
      <c r="T11" s="45"/>
      <c r="U11" s="44" t="s">
        <v>171</v>
      </c>
      <c r="V11" s="75" t="s">
        <v>163</v>
      </c>
      <c r="W11" s="77" t="s">
        <v>77</v>
      </c>
      <c r="X11" s="75" t="s">
        <v>59</v>
      </c>
      <c r="Y11" s="75">
        <v>20250111</v>
      </c>
      <c r="Z11" s="75">
        <v>20250116</v>
      </c>
      <c r="AA11" s="78" t="s">
        <v>180</v>
      </c>
      <c r="AB11" s="78">
        <v>10</v>
      </c>
      <c r="AC11" s="75"/>
      <c r="AD11" s="78"/>
      <c r="AE11" s="78"/>
      <c r="AF11" s="75">
        <v>1201</v>
      </c>
      <c r="AG11" s="78">
        <f t="shared" si="1"/>
        <v>1092</v>
      </c>
      <c r="AH11" s="78">
        <f t="shared" si="2"/>
        <v>109</v>
      </c>
    </row>
    <row r="12" spans="1:34">
      <c r="A12" s="47" t="s">
        <v>92</v>
      </c>
      <c r="B12" s="47" t="s">
        <v>94</v>
      </c>
      <c r="C12" s="47" t="s">
        <v>113</v>
      </c>
      <c r="D12" s="47" t="s">
        <v>115</v>
      </c>
      <c r="E12" s="47" t="s">
        <v>90</v>
      </c>
      <c r="F12" s="47" t="s">
        <v>138</v>
      </c>
      <c r="G12" s="47" t="s">
        <v>146</v>
      </c>
      <c r="H12" s="47" t="s">
        <v>146</v>
      </c>
      <c r="I12" s="44" t="s">
        <v>68</v>
      </c>
      <c r="J12" s="44" t="s">
        <v>101</v>
      </c>
      <c r="K12" s="44" t="s">
        <v>98</v>
      </c>
      <c r="L12" s="64" t="s">
        <v>88</v>
      </c>
      <c r="M12" s="44" t="s">
        <v>164</v>
      </c>
      <c r="N12" s="75" t="s">
        <v>165</v>
      </c>
      <c r="O12" s="45" t="s">
        <v>57</v>
      </c>
      <c r="P12" s="45" t="s">
        <v>58</v>
      </c>
      <c r="Q12" s="67" t="s">
        <v>96</v>
      </c>
      <c r="R12" s="45" t="s">
        <v>97</v>
      </c>
      <c r="S12" s="46"/>
      <c r="T12" s="45"/>
      <c r="U12" s="44"/>
      <c r="V12" s="45"/>
      <c r="W12" s="44"/>
      <c r="X12" s="45"/>
      <c r="Y12" s="45">
        <v>20250111</v>
      </c>
      <c r="Z12" s="45">
        <v>20250114</v>
      </c>
      <c r="AA12" s="45"/>
      <c r="AB12" s="45"/>
      <c r="AC12" s="45">
        <v>1</v>
      </c>
      <c r="AD12" s="45"/>
      <c r="AE12" s="45"/>
      <c r="AF12" s="45"/>
      <c r="AG12" s="45"/>
      <c r="AH12" s="45"/>
    </row>
    <row r="13" spans="1:34">
      <c r="A13" s="47" t="s">
        <v>92</v>
      </c>
      <c r="B13" s="47" t="s">
        <v>94</v>
      </c>
      <c r="C13" s="47" t="s">
        <v>113</v>
      </c>
      <c r="D13" s="47" t="s">
        <v>115</v>
      </c>
      <c r="E13" s="47" t="s">
        <v>181</v>
      </c>
      <c r="F13" s="47" t="s">
        <v>130</v>
      </c>
      <c r="G13" s="47" t="s">
        <v>146</v>
      </c>
      <c r="H13" s="47" t="s">
        <v>146</v>
      </c>
      <c r="I13" s="44" t="s">
        <v>68</v>
      </c>
      <c r="J13" s="44" t="s">
        <v>101</v>
      </c>
      <c r="K13" s="44" t="s">
        <v>98</v>
      </c>
      <c r="L13" s="45" t="s">
        <v>66</v>
      </c>
      <c r="M13" s="44" t="s">
        <v>162</v>
      </c>
      <c r="N13" s="75" t="s">
        <v>163</v>
      </c>
      <c r="O13" s="45" t="s">
        <v>57</v>
      </c>
      <c r="P13" s="45" t="s">
        <v>58</v>
      </c>
      <c r="Q13" s="76">
        <v>24</v>
      </c>
      <c r="R13" s="75" t="s">
        <v>166</v>
      </c>
      <c r="S13" s="46" t="s">
        <v>170</v>
      </c>
      <c r="T13" s="75" t="s">
        <v>165</v>
      </c>
      <c r="U13" s="45"/>
      <c r="V13" s="45"/>
      <c r="W13" s="77" t="s">
        <v>73</v>
      </c>
      <c r="X13" s="75" t="s">
        <v>59</v>
      </c>
      <c r="Y13" s="75">
        <v>20250113</v>
      </c>
      <c r="Z13" s="75">
        <v>20250116</v>
      </c>
      <c r="AA13" s="78" t="s">
        <v>180</v>
      </c>
      <c r="AB13" s="78">
        <v>10</v>
      </c>
      <c r="AC13" s="75">
        <v>1100000</v>
      </c>
      <c r="AD13" s="78">
        <f>ROUND(AC13/1.1,0)</f>
        <v>1000000</v>
      </c>
      <c r="AE13" s="78">
        <f>AC13-AD13</f>
        <v>100000</v>
      </c>
      <c r="AF13" s="75"/>
      <c r="AG13" s="78"/>
      <c r="AH13" s="78"/>
    </row>
    <row r="14" spans="1:34">
      <c r="A14" s="47" t="s">
        <v>92</v>
      </c>
      <c r="B14" s="47" t="s">
        <v>94</v>
      </c>
      <c r="C14" s="47" t="s">
        <v>113</v>
      </c>
      <c r="D14" s="47" t="s">
        <v>115</v>
      </c>
      <c r="E14" s="47" t="s">
        <v>181</v>
      </c>
      <c r="F14" s="47" t="s">
        <v>131</v>
      </c>
      <c r="G14" s="47" t="s">
        <v>146</v>
      </c>
      <c r="H14" s="47" t="s">
        <v>146</v>
      </c>
      <c r="I14" s="44" t="s">
        <v>68</v>
      </c>
      <c r="J14" s="44" t="s">
        <v>101</v>
      </c>
      <c r="K14" s="44" t="s">
        <v>98</v>
      </c>
      <c r="L14" s="45" t="s">
        <v>66</v>
      </c>
      <c r="M14" s="44" t="s">
        <v>162</v>
      </c>
      <c r="N14" s="75" t="s">
        <v>163</v>
      </c>
      <c r="O14" s="45" t="s">
        <v>57</v>
      </c>
      <c r="P14" s="45" t="s">
        <v>58</v>
      </c>
      <c r="Q14" s="76">
        <v>24</v>
      </c>
      <c r="R14" s="75" t="s">
        <v>166</v>
      </c>
      <c r="S14" s="46" t="s">
        <v>170</v>
      </c>
      <c r="T14" s="75" t="s">
        <v>165</v>
      </c>
      <c r="U14" s="45"/>
      <c r="V14" s="45"/>
      <c r="W14" s="77" t="s">
        <v>74</v>
      </c>
      <c r="X14" s="75" t="s">
        <v>59</v>
      </c>
      <c r="Y14" s="75">
        <v>20250113</v>
      </c>
      <c r="Z14" s="75">
        <v>20250116</v>
      </c>
      <c r="AA14" s="78" t="s">
        <v>180</v>
      </c>
      <c r="AB14" s="78">
        <v>10</v>
      </c>
      <c r="AC14" s="75">
        <v>330000</v>
      </c>
      <c r="AD14" s="78">
        <f t="shared" ref="AD14:AD15" si="3">ROUND(AC14/1.1,0)</f>
        <v>300000</v>
      </c>
      <c r="AE14" s="78">
        <f t="shared" ref="AE14:AE15" si="4">AC14-AD14</f>
        <v>30000</v>
      </c>
      <c r="AF14" s="75"/>
      <c r="AG14" s="78"/>
      <c r="AH14" s="78"/>
    </row>
    <row r="15" spans="1:34">
      <c r="A15" s="47" t="s">
        <v>92</v>
      </c>
      <c r="B15" s="47" t="s">
        <v>94</v>
      </c>
      <c r="C15" s="47" t="s">
        <v>113</v>
      </c>
      <c r="D15" s="47" t="s">
        <v>115</v>
      </c>
      <c r="E15" s="47" t="s">
        <v>181</v>
      </c>
      <c r="F15" s="47" t="s">
        <v>132</v>
      </c>
      <c r="G15" s="47" t="s">
        <v>146</v>
      </c>
      <c r="H15" s="47" t="s">
        <v>146</v>
      </c>
      <c r="I15" s="44" t="s">
        <v>68</v>
      </c>
      <c r="J15" s="44" t="s">
        <v>101</v>
      </c>
      <c r="K15" s="44" t="s">
        <v>98</v>
      </c>
      <c r="L15" s="45" t="s">
        <v>66</v>
      </c>
      <c r="M15" s="44" t="s">
        <v>162</v>
      </c>
      <c r="N15" s="75" t="s">
        <v>163</v>
      </c>
      <c r="O15" s="45" t="s">
        <v>57</v>
      </c>
      <c r="P15" s="45" t="s">
        <v>58</v>
      </c>
      <c r="Q15" s="76">
        <v>24</v>
      </c>
      <c r="R15" s="75" t="s">
        <v>166</v>
      </c>
      <c r="S15" s="46" t="s">
        <v>170</v>
      </c>
      <c r="T15" s="75" t="s">
        <v>165</v>
      </c>
      <c r="U15" s="45"/>
      <c r="V15" s="45"/>
      <c r="W15" s="77" t="s">
        <v>75</v>
      </c>
      <c r="X15" s="75" t="s">
        <v>59</v>
      </c>
      <c r="Y15" s="75">
        <v>20250113</v>
      </c>
      <c r="Z15" s="75">
        <v>20250116</v>
      </c>
      <c r="AA15" s="78" t="s">
        <v>180</v>
      </c>
      <c r="AB15" s="78">
        <v>10</v>
      </c>
      <c r="AC15" s="75">
        <v>770000</v>
      </c>
      <c r="AD15" s="78">
        <f t="shared" si="3"/>
        <v>700000</v>
      </c>
      <c r="AE15" s="78">
        <f t="shared" si="4"/>
        <v>70000</v>
      </c>
      <c r="AF15" s="75"/>
      <c r="AG15" s="78"/>
      <c r="AH15" s="78"/>
    </row>
    <row r="16" spans="1:34">
      <c r="A16" s="47" t="s">
        <v>92</v>
      </c>
      <c r="B16" s="47" t="s">
        <v>94</v>
      </c>
      <c r="C16" s="47" t="s">
        <v>113</v>
      </c>
      <c r="D16" s="47" t="s">
        <v>115</v>
      </c>
      <c r="E16" s="47" t="s">
        <v>181</v>
      </c>
      <c r="F16" s="47" t="s">
        <v>133</v>
      </c>
      <c r="G16" s="47" t="s">
        <v>146</v>
      </c>
      <c r="H16" s="47" t="s">
        <v>146</v>
      </c>
      <c r="I16" s="44" t="s">
        <v>68</v>
      </c>
      <c r="J16" s="44" t="s">
        <v>101</v>
      </c>
      <c r="K16" s="44" t="s">
        <v>98</v>
      </c>
      <c r="L16" s="45" t="s">
        <v>65</v>
      </c>
      <c r="M16" s="44" t="s">
        <v>164</v>
      </c>
      <c r="N16" s="75" t="s">
        <v>165</v>
      </c>
      <c r="O16" s="45" t="s">
        <v>57</v>
      </c>
      <c r="P16" s="45" t="s">
        <v>58</v>
      </c>
      <c r="Q16" s="75" t="s">
        <v>167</v>
      </c>
      <c r="R16" s="75" t="s">
        <v>168</v>
      </c>
      <c r="S16" s="46"/>
      <c r="T16" s="75"/>
      <c r="U16" s="44" t="s">
        <v>171</v>
      </c>
      <c r="V16" s="75" t="s">
        <v>163</v>
      </c>
      <c r="W16" s="77" t="s">
        <v>73</v>
      </c>
      <c r="X16" s="75" t="s">
        <v>59</v>
      </c>
      <c r="Y16" s="75">
        <v>20250112</v>
      </c>
      <c r="Z16" s="75">
        <v>20250116</v>
      </c>
      <c r="AA16" s="78" t="s">
        <v>179</v>
      </c>
      <c r="AB16" s="78">
        <v>10</v>
      </c>
      <c r="AC16" s="75"/>
      <c r="AD16" s="78"/>
      <c r="AE16" s="78"/>
      <c r="AF16" s="75">
        <v>550000</v>
      </c>
      <c r="AG16" s="78">
        <f>ROUND(AF16/1.1,0)</f>
        <v>500000</v>
      </c>
      <c r="AH16" s="78">
        <f>AF16-AG16</f>
        <v>50000</v>
      </c>
    </row>
    <row r="17" spans="1:34">
      <c r="A17" s="47" t="s">
        <v>92</v>
      </c>
      <c r="B17" s="47" t="s">
        <v>94</v>
      </c>
      <c r="C17" s="47" t="s">
        <v>113</v>
      </c>
      <c r="D17" s="47" t="s">
        <v>115</v>
      </c>
      <c r="E17" s="47" t="s">
        <v>181</v>
      </c>
      <c r="F17" s="47" t="s">
        <v>134</v>
      </c>
      <c r="G17" s="47" t="s">
        <v>146</v>
      </c>
      <c r="H17" s="47" t="s">
        <v>146</v>
      </c>
      <c r="I17" s="44" t="s">
        <v>68</v>
      </c>
      <c r="J17" s="44" t="s">
        <v>101</v>
      </c>
      <c r="K17" s="44" t="s">
        <v>98</v>
      </c>
      <c r="L17" s="45" t="s">
        <v>65</v>
      </c>
      <c r="M17" s="44" t="s">
        <v>164</v>
      </c>
      <c r="N17" s="75" t="s">
        <v>165</v>
      </c>
      <c r="O17" s="45" t="s">
        <v>57</v>
      </c>
      <c r="P17" s="45" t="s">
        <v>58</v>
      </c>
      <c r="Q17" s="75" t="s">
        <v>167</v>
      </c>
      <c r="R17" s="75" t="s">
        <v>168</v>
      </c>
      <c r="S17" s="46"/>
      <c r="T17" s="45"/>
      <c r="U17" s="44" t="s">
        <v>171</v>
      </c>
      <c r="V17" s="75" t="s">
        <v>163</v>
      </c>
      <c r="W17" s="77" t="s">
        <v>74</v>
      </c>
      <c r="X17" s="75" t="s">
        <v>59</v>
      </c>
      <c r="Y17" s="75">
        <v>20250112</v>
      </c>
      <c r="Z17" s="75">
        <v>20250116</v>
      </c>
      <c r="AA17" s="78" t="s">
        <v>179</v>
      </c>
      <c r="AB17" s="78">
        <v>10</v>
      </c>
      <c r="AC17" s="75"/>
      <c r="AD17" s="78"/>
      <c r="AE17" s="78"/>
      <c r="AF17" s="75">
        <v>660000</v>
      </c>
      <c r="AG17" s="78">
        <f t="shared" ref="AG17:AG20" si="5">ROUND(AF17/1.1,0)</f>
        <v>600000</v>
      </c>
      <c r="AH17" s="78">
        <f t="shared" ref="AH17:AH20" si="6">AF17-AG17</f>
        <v>60000</v>
      </c>
    </row>
    <row r="18" spans="1:34">
      <c r="A18" s="47" t="s">
        <v>92</v>
      </c>
      <c r="B18" s="47" t="s">
        <v>94</v>
      </c>
      <c r="C18" s="47" t="s">
        <v>113</v>
      </c>
      <c r="D18" s="47" t="s">
        <v>115</v>
      </c>
      <c r="E18" s="47" t="s">
        <v>181</v>
      </c>
      <c r="F18" s="47" t="s">
        <v>135</v>
      </c>
      <c r="G18" s="47" t="s">
        <v>146</v>
      </c>
      <c r="H18" s="47" t="s">
        <v>146</v>
      </c>
      <c r="I18" s="44" t="s">
        <v>68</v>
      </c>
      <c r="J18" s="44" t="s">
        <v>101</v>
      </c>
      <c r="K18" s="44" t="s">
        <v>98</v>
      </c>
      <c r="L18" s="45" t="s">
        <v>65</v>
      </c>
      <c r="M18" s="44" t="s">
        <v>164</v>
      </c>
      <c r="N18" s="75" t="s">
        <v>165</v>
      </c>
      <c r="O18" s="45" t="s">
        <v>57</v>
      </c>
      <c r="P18" s="45" t="s">
        <v>58</v>
      </c>
      <c r="Q18" s="75" t="s">
        <v>167</v>
      </c>
      <c r="R18" s="75" t="s">
        <v>168</v>
      </c>
      <c r="S18" s="46"/>
      <c r="T18" s="45"/>
      <c r="U18" s="44" t="s">
        <v>171</v>
      </c>
      <c r="V18" s="75" t="s">
        <v>163</v>
      </c>
      <c r="W18" s="77" t="s">
        <v>75</v>
      </c>
      <c r="X18" s="75" t="s">
        <v>59</v>
      </c>
      <c r="Y18" s="75">
        <v>20250111</v>
      </c>
      <c r="Z18" s="75">
        <v>20250116</v>
      </c>
      <c r="AA18" s="78" t="s">
        <v>179</v>
      </c>
      <c r="AB18" s="78">
        <v>10</v>
      </c>
      <c r="AC18" s="75"/>
      <c r="AD18" s="78"/>
      <c r="AE18" s="78"/>
      <c r="AF18" s="75">
        <v>440000</v>
      </c>
      <c r="AG18" s="78">
        <f t="shared" si="5"/>
        <v>400000</v>
      </c>
      <c r="AH18" s="78">
        <f t="shared" si="6"/>
        <v>40000</v>
      </c>
    </row>
    <row r="19" spans="1:34">
      <c r="A19" s="47" t="s">
        <v>92</v>
      </c>
      <c r="B19" s="47" t="s">
        <v>94</v>
      </c>
      <c r="C19" s="47" t="s">
        <v>113</v>
      </c>
      <c r="D19" s="47" t="s">
        <v>115</v>
      </c>
      <c r="E19" s="47" t="s">
        <v>181</v>
      </c>
      <c r="F19" s="47" t="s">
        <v>136</v>
      </c>
      <c r="G19" s="47" t="s">
        <v>146</v>
      </c>
      <c r="H19" s="47" t="s">
        <v>146</v>
      </c>
      <c r="I19" s="44" t="s">
        <v>68</v>
      </c>
      <c r="J19" s="44" t="s">
        <v>101</v>
      </c>
      <c r="K19" s="44" t="s">
        <v>98</v>
      </c>
      <c r="L19" s="45" t="s">
        <v>65</v>
      </c>
      <c r="M19" s="44" t="s">
        <v>164</v>
      </c>
      <c r="N19" s="75" t="s">
        <v>165</v>
      </c>
      <c r="O19" s="45" t="s">
        <v>57</v>
      </c>
      <c r="P19" s="45" t="s">
        <v>58</v>
      </c>
      <c r="Q19" s="75" t="s">
        <v>167</v>
      </c>
      <c r="R19" s="75" t="s">
        <v>168</v>
      </c>
      <c r="S19" s="46"/>
      <c r="T19" s="45"/>
      <c r="U19" s="44" t="s">
        <v>171</v>
      </c>
      <c r="V19" s="75" t="s">
        <v>163</v>
      </c>
      <c r="W19" s="77" t="s">
        <v>76</v>
      </c>
      <c r="X19" s="75" t="s">
        <v>59</v>
      </c>
      <c r="Y19" s="75">
        <v>20250111</v>
      </c>
      <c r="Z19" s="75">
        <v>20250116</v>
      </c>
      <c r="AA19" s="78" t="s">
        <v>180</v>
      </c>
      <c r="AB19" s="78">
        <v>10</v>
      </c>
      <c r="AC19" s="75"/>
      <c r="AD19" s="78"/>
      <c r="AE19" s="78"/>
      <c r="AF19" s="75">
        <v>548800</v>
      </c>
      <c r="AG19" s="78">
        <f>ROUND(AF19/1.1,0)</f>
        <v>498909</v>
      </c>
      <c r="AH19" s="78">
        <f t="shared" si="6"/>
        <v>49891</v>
      </c>
    </row>
    <row r="20" spans="1:34">
      <c r="A20" s="47" t="s">
        <v>92</v>
      </c>
      <c r="B20" s="47" t="s">
        <v>94</v>
      </c>
      <c r="C20" s="47" t="s">
        <v>113</v>
      </c>
      <c r="D20" s="47" t="s">
        <v>115</v>
      </c>
      <c r="E20" s="47" t="s">
        <v>181</v>
      </c>
      <c r="F20" s="47" t="s">
        <v>137</v>
      </c>
      <c r="G20" s="47" t="s">
        <v>146</v>
      </c>
      <c r="H20" s="47" t="s">
        <v>146</v>
      </c>
      <c r="I20" s="44" t="s">
        <v>68</v>
      </c>
      <c r="J20" s="44" t="s">
        <v>101</v>
      </c>
      <c r="K20" s="44" t="s">
        <v>98</v>
      </c>
      <c r="L20" s="45" t="s">
        <v>65</v>
      </c>
      <c r="M20" s="44" t="s">
        <v>164</v>
      </c>
      <c r="N20" s="75" t="s">
        <v>165</v>
      </c>
      <c r="O20" s="45" t="s">
        <v>57</v>
      </c>
      <c r="P20" s="45" t="s">
        <v>58</v>
      </c>
      <c r="Q20" s="75" t="s">
        <v>167</v>
      </c>
      <c r="R20" s="75" t="s">
        <v>168</v>
      </c>
      <c r="S20" s="46"/>
      <c r="T20" s="45"/>
      <c r="U20" s="44" t="s">
        <v>171</v>
      </c>
      <c r="V20" s="75" t="s">
        <v>163</v>
      </c>
      <c r="W20" s="77" t="s">
        <v>77</v>
      </c>
      <c r="X20" s="75" t="s">
        <v>59</v>
      </c>
      <c r="Y20" s="75">
        <v>20250111</v>
      </c>
      <c r="Z20" s="75">
        <v>20250116</v>
      </c>
      <c r="AA20" s="78" t="s">
        <v>180</v>
      </c>
      <c r="AB20" s="78">
        <v>10</v>
      </c>
      <c r="AC20" s="75"/>
      <c r="AD20" s="78"/>
      <c r="AE20" s="78"/>
      <c r="AF20" s="75">
        <v>1201</v>
      </c>
      <c r="AG20" s="78">
        <f t="shared" si="5"/>
        <v>1092</v>
      </c>
      <c r="AH20" s="78">
        <f t="shared" si="6"/>
        <v>109</v>
      </c>
    </row>
    <row r="21" spans="1:34">
      <c r="A21" s="47" t="s">
        <v>92</v>
      </c>
      <c r="B21" s="47" t="s">
        <v>94</v>
      </c>
      <c r="C21" s="47" t="s">
        <v>113</v>
      </c>
      <c r="D21" s="47" t="s">
        <v>115</v>
      </c>
      <c r="E21" s="47" t="s">
        <v>181</v>
      </c>
      <c r="F21" s="47" t="s">
        <v>138</v>
      </c>
      <c r="G21" s="47" t="s">
        <v>146</v>
      </c>
      <c r="H21" s="47" t="s">
        <v>146</v>
      </c>
      <c r="I21" s="44" t="s">
        <v>68</v>
      </c>
      <c r="J21" s="44" t="s">
        <v>101</v>
      </c>
      <c r="K21" s="44" t="s">
        <v>98</v>
      </c>
      <c r="L21" s="64" t="s">
        <v>88</v>
      </c>
      <c r="M21" s="44" t="s">
        <v>164</v>
      </c>
      <c r="N21" s="75" t="s">
        <v>165</v>
      </c>
      <c r="O21" s="45" t="s">
        <v>57</v>
      </c>
      <c r="P21" s="45" t="s">
        <v>58</v>
      </c>
      <c r="Q21" s="67" t="s">
        <v>96</v>
      </c>
      <c r="R21" s="45" t="s">
        <v>97</v>
      </c>
      <c r="S21" s="46"/>
      <c r="T21" s="45"/>
      <c r="U21" s="44"/>
      <c r="V21" s="45"/>
      <c r="W21" s="44"/>
      <c r="X21" s="45"/>
      <c r="Y21" s="45">
        <v>20250111</v>
      </c>
      <c r="Z21" s="45">
        <v>20250114</v>
      </c>
      <c r="AA21" s="78"/>
      <c r="AB21" s="78"/>
      <c r="AC21" s="75">
        <v>1</v>
      </c>
      <c r="AD21" s="78"/>
      <c r="AE21" s="78"/>
      <c r="AF21" s="75"/>
      <c r="AG21" s="78"/>
      <c r="AH21" s="78"/>
    </row>
    <row r="25" spans="1:34">
      <c r="A25" s="4" t="s">
        <v>91</v>
      </c>
      <c r="B25" s="4" t="s">
        <v>127</v>
      </c>
    </row>
    <row r="26" spans="1:34">
      <c r="A26" s="4" t="s">
        <v>93</v>
      </c>
      <c r="B26" s="4" t="s">
        <v>94</v>
      </c>
      <c r="Y26" s="54" t="s">
        <v>182</v>
      </c>
      <c r="Z26" s="54"/>
      <c r="AA26" s="54">
        <v>909091</v>
      </c>
      <c r="AB26" s="54"/>
      <c r="AC26" s="54" t="s">
        <v>183</v>
      </c>
      <c r="AD26" s="54">
        <v>1000000</v>
      </c>
    </row>
    <row r="27" spans="1:34">
      <c r="A27" s="4" t="s">
        <v>111</v>
      </c>
      <c r="B27" s="4" t="s">
        <v>112</v>
      </c>
      <c r="Y27" s="80" t="s">
        <v>184</v>
      </c>
      <c r="Z27" s="80"/>
      <c r="AA27" s="80">
        <v>90909</v>
      </c>
      <c r="AB27" s="80"/>
      <c r="AC27" s="80"/>
      <c r="AD27" s="80"/>
    </row>
    <row r="28" spans="1:34">
      <c r="A28" s="4" t="s">
        <v>116</v>
      </c>
      <c r="B28" s="4" t="s">
        <v>114</v>
      </c>
      <c r="Z28" s="54"/>
      <c r="AA28" s="54">
        <f>SUM(AA26:AA27)</f>
        <v>1000000</v>
      </c>
      <c r="AB28" s="54"/>
      <c r="AC28" s="54"/>
      <c r="AD28" s="54">
        <f>SUM(AD26:AD27)</f>
        <v>1000000</v>
      </c>
    </row>
    <row r="29" spans="1:34">
      <c r="A29" s="4" t="s">
        <v>64</v>
      </c>
      <c r="B29" s="4" t="s">
        <v>128</v>
      </c>
    </row>
    <row r="30" spans="1:34">
      <c r="A30" s="4" t="s">
        <v>129</v>
      </c>
      <c r="B30" s="4" t="s">
        <v>185</v>
      </c>
    </row>
    <row r="31" spans="1:34">
      <c r="A31" s="4" t="s">
        <v>53</v>
      </c>
      <c r="B31" s="4" t="s">
        <v>172</v>
      </c>
    </row>
    <row r="32" spans="1:34">
      <c r="A32" s="4" t="s">
        <v>145</v>
      </c>
      <c r="B32" s="68" t="s">
        <v>172</v>
      </c>
    </row>
    <row r="33" spans="1:2">
      <c r="A33" s="4" t="s">
        <v>67</v>
      </c>
      <c r="B33" s="4" t="s">
        <v>68</v>
      </c>
    </row>
    <row r="34" spans="1:2">
      <c r="A34" s="4" t="s">
        <v>100</v>
      </c>
      <c r="B34" s="4" t="s">
        <v>101</v>
      </c>
    </row>
    <row r="35" spans="1:2">
      <c r="A35" s="4" t="s">
        <v>110</v>
      </c>
      <c r="B35" s="4" t="s">
        <v>98</v>
      </c>
    </row>
    <row r="36" spans="1:2">
      <c r="A36" s="4" t="s">
        <v>61</v>
      </c>
      <c r="B36" s="4" t="s">
        <v>66</v>
      </c>
    </row>
    <row r="37" spans="1:2">
      <c r="A37" s="4" t="s">
        <v>117</v>
      </c>
      <c r="B37" s="4" t="s">
        <v>161</v>
      </c>
    </row>
    <row r="38" spans="1:2">
      <c r="A38" s="4" t="s">
        <v>118</v>
      </c>
      <c r="B38" s="4" t="s">
        <v>163</v>
      </c>
    </row>
    <row r="39" spans="1:2">
      <c r="A39" s="4" t="s">
        <v>149</v>
      </c>
      <c r="B39" s="4" t="s">
        <v>57</v>
      </c>
    </row>
    <row r="40" spans="1:2">
      <c r="A40" s="4" t="s">
        <v>119</v>
      </c>
      <c r="B40" s="4" t="s">
        <v>58</v>
      </c>
    </row>
    <row r="41" spans="1:2">
      <c r="A41" s="4" t="s">
        <v>121</v>
      </c>
      <c r="B41" s="4">
        <v>24</v>
      </c>
    </row>
    <row r="42" spans="1:2">
      <c r="A42" s="4" t="s">
        <v>123</v>
      </c>
      <c r="B42" s="4" t="s">
        <v>166</v>
      </c>
    </row>
    <row r="43" spans="1:2">
      <c r="A43" s="4" t="s">
        <v>125</v>
      </c>
      <c r="B43" s="4" t="s">
        <v>169</v>
      </c>
    </row>
    <row r="44" spans="1:2">
      <c r="A44" s="4" t="s">
        <v>126</v>
      </c>
      <c r="B44" s="4" t="s">
        <v>186</v>
      </c>
    </row>
    <row r="45" spans="1:2">
      <c r="A45" s="4" t="s">
        <v>154</v>
      </c>
    </row>
    <row r="46" spans="1:2">
      <c r="A46" s="4" t="s">
        <v>153</v>
      </c>
    </row>
    <row r="47" spans="1:2">
      <c r="A47" s="4" t="s">
        <v>71</v>
      </c>
      <c r="B47" s="4" t="s">
        <v>72</v>
      </c>
    </row>
    <row r="48" spans="1:2">
      <c r="A48" s="4" t="s">
        <v>83</v>
      </c>
      <c r="B48" s="4" t="s">
        <v>59</v>
      </c>
    </row>
    <row r="49" spans="1:2">
      <c r="A49" s="4" t="s">
        <v>56</v>
      </c>
      <c r="B49" s="4">
        <v>20250113</v>
      </c>
    </row>
    <row r="50" spans="1:2">
      <c r="A50" s="4" t="s">
        <v>147</v>
      </c>
      <c r="B50" s="4">
        <v>20250116</v>
      </c>
    </row>
    <row r="51" spans="1:2">
      <c r="A51" s="4" t="s">
        <v>173</v>
      </c>
      <c r="B51" s="4" t="s">
        <v>179</v>
      </c>
    </row>
    <row r="52" spans="1:2">
      <c r="A52" s="4" t="s">
        <v>174</v>
      </c>
      <c r="B52" s="4">
        <v>10</v>
      </c>
    </row>
    <row r="53" spans="1:2">
      <c r="A53" s="4" t="s">
        <v>69</v>
      </c>
      <c r="B53" s="4">
        <v>1000000</v>
      </c>
    </row>
    <row r="54" spans="1:2">
      <c r="A54" s="4" t="s">
        <v>175</v>
      </c>
      <c r="B54" s="4">
        <v>1000000</v>
      </c>
    </row>
    <row r="55" spans="1:2">
      <c r="A55" s="4" t="s">
        <v>176</v>
      </c>
      <c r="B55" s="4">
        <v>0</v>
      </c>
    </row>
    <row r="56" spans="1:2">
      <c r="A56" s="4" t="s">
        <v>70</v>
      </c>
      <c r="B56" s="4">
        <v>500000</v>
      </c>
    </row>
    <row r="57" spans="1:2">
      <c r="A57" s="4" t="s">
        <v>177</v>
      </c>
      <c r="B57" s="4">
        <f>ROUND(B56/1.1,0)</f>
        <v>454545</v>
      </c>
    </row>
    <row r="58" spans="1:2">
      <c r="A58" s="4" t="s">
        <v>178</v>
      </c>
      <c r="B58" s="4">
        <f>B56-B57</f>
        <v>45455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2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99" t="s">
        <v>38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3" t="s">
        <v>3</v>
      </c>
      <c r="AU2" s="94"/>
      <c r="AV2" s="94"/>
      <c r="AW2" s="94"/>
      <c r="AX2" s="95"/>
      <c r="AY2" s="93" t="s">
        <v>39</v>
      </c>
      <c r="AZ2" s="94"/>
      <c r="BA2" s="94"/>
      <c r="BB2" s="95"/>
      <c r="BC2" s="93" t="s">
        <v>5</v>
      </c>
      <c r="BD2" s="94"/>
      <c r="BE2" s="94"/>
      <c r="BF2" s="95"/>
      <c r="BG2" s="93"/>
      <c r="BH2" s="94"/>
      <c r="BI2" s="94"/>
      <c r="BJ2" s="95"/>
    </row>
    <row r="3" spans="1:63" s="1" customFormat="1" ht="18" customHeight="1">
      <c r="A3" s="102" t="s">
        <v>6</v>
      </c>
      <c r="B3" s="103"/>
      <c r="C3" s="103"/>
      <c r="D3" s="103"/>
      <c r="E3" s="103"/>
      <c r="F3" s="103"/>
      <c r="G3" s="103"/>
      <c r="H3" s="104"/>
      <c r="I3" s="108" t="s">
        <v>144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93" t="s">
        <v>7</v>
      </c>
      <c r="AU3" s="94"/>
      <c r="AV3" s="94"/>
      <c r="AW3" s="94"/>
      <c r="AX3" s="95"/>
      <c r="AY3" s="93" t="s">
        <v>143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3" s="1" customFormat="1" ht="18" customHeight="1">
      <c r="A4" s="105"/>
      <c r="B4" s="106"/>
      <c r="C4" s="106"/>
      <c r="D4" s="106"/>
      <c r="E4" s="106"/>
      <c r="F4" s="106"/>
      <c r="G4" s="106"/>
      <c r="H4" s="107"/>
      <c r="I4" s="111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3"/>
      <c r="AT4" s="93" t="s">
        <v>8</v>
      </c>
      <c r="AU4" s="94"/>
      <c r="AV4" s="94"/>
      <c r="AW4" s="94"/>
      <c r="AX4" s="95"/>
      <c r="AY4" s="93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33" t="s">
        <v>16</v>
      </c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3" t="s">
        <v>159</v>
      </c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5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93" t="s">
        <v>20</v>
      </c>
      <c r="B8" s="94"/>
      <c r="C8" s="95"/>
      <c r="D8" s="93" t="s">
        <v>40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5"/>
      <c r="R8" s="173" t="s">
        <v>41</v>
      </c>
      <c r="S8" s="174"/>
      <c r="T8" s="174"/>
      <c r="U8" s="175"/>
      <c r="V8" s="173" t="s">
        <v>42</v>
      </c>
      <c r="W8" s="174"/>
      <c r="X8" s="174"/>
      <c r="Y8" s="175"/>
      <c r="Z8" s="173" t="s">
        <v>43</v>
      </c>
      <c r="AA8" s="174"/>
      <c r="AB8" s="174"/>
      <c r="AC8" s="175"/>
      <c r="AD8" s="173" t="s">
        <v>44</v>
      </c>
      <c r="AE8" s="174"/>
      <c r="AF8" s="174"/>
      <c r="AG8" s="175"/>
      <c r="AH8" s="93" t="s">
        <v>45</v>
      </c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5"/>
      <c r="BD8" s="173" t="s">
        <v>46</v>
      </c>
      <c r="BE8" s="174"/>
      <c r="BF8" s="174"/>
      <c r="BG8" s="174"/>
      <c r="BH8" s="174"/>
      <c r="BI8" s="174"/>
      <c r="BJ8" s="175"/>
    </row>
    <row r="9" spans="1:63" s="11" customFormat="1" ht="40.5" customHeight="1">
      <c r="A9" s="176"/>
      <c r="B9" s="177"/>
      <c r="C9" s="178"/>
      <c r="D9" s="179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1"/>
      <c r="R9" s="176"/>
      <c r="S9" s="177"/>
      <c r="T9" s="177"/>
      <c r="U9" s="178"/>
      <c r="V9" s="176"/>
      <c r="W9" s="177"/>
      <c r="X9" s="177"/>
      <c r="Y9" s="178"/>
      <c r="Z9" s="176"/>
      <c r="AA9" s="177"/>
      <c r="AB9" s="177"/>
      <c r="AC9" s="178"/>
      <c r="AD9" s="176"/>
      <c r="AE9" s="177"/>
      <c r="AF9" s="177"/>
      <c r="AG9" s="178"/>
      <c r="AH9" s="182" t="s">
        <v>50</v>
      </c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4"/>
      <c r="BD9" s="176"/>
      <c r="BE9" s="177"/>
      <c r="BF9" s="177"/>
      <c r="BG9" s="177"/>
      <c r="BH9" s="177"/>
      <c r="BI9" s="177"/>
      <c r="BJ9" s="178"/>
    </row>
    <row r="10" spans="1:63" ht="40.5" customHeight="1">
      <c r="A10" s="188"/>
      <c r="B10" s="189"/>
      <c r="C10" s="190"/>
      <c r="D10" s="191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3"/>
      <c r="R10" s="188"/>
      <c r="S10" s="189"/>
      <c r="T10" s="189"/>
      <c r="U10" s="190"/>
      <c r="V10" s="188"/>
      <c r="W10" s="189"/>
      <c r="X10" s="189"/>
      <c r="Y10" s="190"/>
      <c r="Z10" s="188"/>
      <c r="AA10" s="189"/>
      <c r="AB10" s="189"/>
      <c r="AC10" s="190"/>
      <c r="AD10" s="188"/>
      <c r="AE10" s="189"/>
      <c r="AF10" s="189"/>
      <c r="AG10" s="190"/>
      <c r="AH10" s="185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7"/>
      <c r="BD10" s="188"/>
      <c r="BE10" s="189"/>
      <c r="BF10" s="189"/>
      <c r="BG10" s="189"/>
      <c r="BH10" s="189"/>
      <c r="BI10" s="189"/>
      <c r="BJ10" s="190"/>
    </row>
    <row r="11" spans="1:63" ht="40.5" customHeight="1">
      <c r="A11" s="188"/>
      <c r="B11" s="189"/>
      <c r="C11" s="190"/>
      <c r="D11" s="191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3"/>
      <c r="R11" s="188"/>
      <c r="S11" s="189"/>
      <c r="T11" s="189"/>
      <c r="U11" s="190"/>
      <c r="V11" s="188"/>
      <c r="W11" s="189"/>
      <c r="X11" s="189"/>
      <c r="Y11" s="190"/>
      <c r="Z11" s="188"/>
      <c r="AA11" s="189"/>
      <c r="AB11" s="189"/>
      <c r="AC11" s="190"/>
      <c r="AD11" s="188"/>
      <c r="AE11" s="189"/>
      <c r="AF11" s="189"/>
      <c r="AG11" s="190"/>
      <c r="AH11" s="185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7"/>
      <c r="BD11" s="188"/>
      <c r="BE11" s="189"/>
      <c r="BF11" s="189"/>
      <c r="BG11" s="189"/>
      <c r="BH11" s="189"/>
      <c r="BI11" s="189"/>
      <c r="BJ11" s="190"/>
    </row>
    <row r="12" spans="1:63" ht="40.5" customHeight="1">
      <c r="A12" s="188"/>
      <c r="B12" s="189"/>
      <c r="C12" s="190"/>
      <c r="D12" s="191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3"/>
      <c r="R12" s="188"/>
      <c r="S12" s="189"/>
      <c r="T12" s="189"/>
      <c r="U12" s="190"/>
      <c r="V12" s="188"/>
      <c r="W12" s="189"/>
      <c r="X12" s="189"/>
      <c r="Y12" s="190"/>
      <c r="Z12" s="188"/>
      <c r="AA12" s="189"/>
      <c r="AB12" s="189"/>
      <c r="AC12" s="190"/>
      <c r="AD12" s="188"/>
      <c r="AE12" s="189"/>
      <c r="AF12" s="189"/>
      <c r="AG12" s="190"/>
      <c r="AH12" s="185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7"/>
      <c r="BD12" s="188"/>
      <c r="BE12" s="189"/>
      <c r="BF12" s="189"/>
      <c r="BG12" s="189"/>
      <c r="BH12" s="189"/>
      <c r="BI12" s="189"/>
      <c r="BJ12" s="190"/>
    </row>
    <row r="13" spans="1:63" ht="40.5" customHeight="1">
      <c r="A13" s="188"/>
      <c r="B13" s="189"/>
      <c r="C13" s="190"/>
      <c r="D13" s="191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3"/>
      <c r="R13" s="188"/>
      <c r="S13" s="189"/>
      <c r="T13" s="189"/>
      <c r="U13" s="190"/>
      <c r="V13" s="188"/>
      <c r="W13" s="189"/>
      <c r="X13" s="189"/>
      <c r="Y13" s="190"/>
      <c r="Z13" s="188"/>
      <c r="AA13" s="189"/>
      <c r="AB13" s="189"/>
      <c r="AC13" s="190"/>
      <c r="AD13" s="188"/>
      <c r="AE13" s="189"/>
      <c r="AF13" s="189"/>
      <c r="AG13" s="190"/>
      <c r="AH13" s="185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7"/>
      <c r="BD13" s="188"/>
      <c r="BE13" s="189"/>
      <c r="BF13" s="189"/>
      <c r="BG13" s="189"/>
      <c r="BH13" s="189"/>
      <c r="BI13" s="189"/>
      <c r="BJ13" s="190"/>
    </row>
    <row r="14" spans="1:63" ht="40.5" customHeight="1">
      <c r="A14" s="188"/>
      <c r="B14" s="189"/>
      <c r="C14" s="190"/>
      <c r="D14" s="191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3"/>
      <c r="R14" s="188"/>
      <c r="S14" s="189"/>
      <c r="T14" s="189"/>
      <c r="U14" s="190"/>
      <c r="V14" s="188"/>
      <c r="W14" s="189"/>
      <c r="X14" s="189"/>
      <c r="Y14" s="190"/>
      <c r="Z14" s="188"/>
      <c r="AA14" s="189"/>
      <c r="AB14" s="189"/>
      <c r="AC14" s="190"/>
      <c r="AD14" s="188"/>
      <c r="AE14" s="189"/>
      <c r="AF14" s="189"/>
      <c r="AG14" s="190"/>
      <c r="AH14" s="185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7"/>
      <c r="BD14" s="188"/>
      <c r="BE14" s="189"/>
      <c r="BF14" s="189"/>
      <c r="BG14" s="189"/>
      <c r="BH14" s="189"/>
      <c r="BI14" s="189"/>
      <c r="BJ14" s="190"/>
    </row>
    <row r="15" spans="1:63" ht="40.5" customHeight="1">
      <c r="A15" s="188"/>
      <c r="B15" s="189"/>
      <c r="C15" s="190"/>
      <c r="D15" s="191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3"/>
      <c r="R15" s="188"/>
      <c r="S15" s="189"/>
      <c r="T15" s="189"/>
      <c r="U15" s="190"/>
      <c r="V15" s="188"/>
      <c r="W15" s="189"/>
      <c r="X15" s="189"/>
      <c r="Y15" s="190"/>
      <c r="Z15" s="188"/>
      <c r="AA15" s="189"/>
      <c r="AB15" s="189"/>
      <c r="AC15" s="190"/>
      <c r="AD15" s="188"/>
      <c r="AE15" s="189"/>
      <c r="AF15" s="189"/>
      <c r="AG15" s="190"/>
      <c r="AH15" s="185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7"/>
      <c r="BD15" s="188"/>
      <c r="BE15" s="189"/>
      <c r="BF15" s="189"/>
      <c r="BG15" s="189"/>
      <c r="BH15" s="189"/>
      <c r="BI15" s="189"/>
      <c r="BJ15" s="190"/>
    </row>
    <row r="16" spans="1:63" ht="40.5" customHeight="1">
      <c r="A16" s="188"/>
      <c r="B16" s="189"/>
      <c r="C16" s="190"/>
      <c r="D16" s="191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3"/>
      <c r="R16" s="188"/>
      <c r="S16" s="189"/>
      <c r="T16" s="189"/>
      <c r="U16" s="190"/>
      <c r="V16" s="188"/>
      <c r="W16" s="189"/>
      <c r="X16" s="189"/>
      <c r="Y16" s="190"/>
      <c r="Z16" s="188"/>
      <c r="AA16" s="189"/>
      <c r="AB16" s="189"/>
      <c r="AC16" s="190"/>
      <c r="AD16" s="188"/>
      <c r="AE16" s="189"/>
      <c r="AF16" s="189"/>
      <c r="AG16" s="190"/>
      <c r="AH16" s="185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7"/>
      <c r="BD16" s="188"/>
      <c r="BE16" s="189"/>
      <c r="BF16" s="189"/>
      <c r="BG16" s="189"/>
      <c r="BH16" s="189"/>
      <c r="BI16" s="189"/>
      <c r="BJ16" s="190"/>
    </row>
    <row r="17" spans="1:62" ht="40.5" customHeight="1">
      <c r="A17" s="188"/>
      <c r="B17" s="189"/>
      <c r="C17" s="190"/>
      <c r="D17" s="191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3"/>
      <c r="R17" s="188"/>
      <c r="S17" s="189"/>
      <c r="T17" s="189"/>
      <c r="U17" s="190"/>
      <c r="V17" s="188"/>
      <c r="W17" s="189"/>
      <c r="X17" s="189"/>
      <c r="Y17" s="190"/>
      <c r="Z17" s="188"/>
      <c r="AA17" s="189"/>
      <c r="AB17" s="189"/>
      <c r="AC17" s="190"/>
      <c r="AD17" s="188"/>
      <c r="AE17" s="189"/>
      <c r="AF17" s="189"/>
      <c r="AG17" s="190"/>
      <c r="AH17" s="185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7"/>
      <c r="BD17" s="188"/>
      <c r="BE17" s="189"/>
      <c r="BF17" s="189"/>
      <c r="BG17" s="189"/>
      <c r="BH17" s="189"/>
      <c r="BI17" s="189"/>
      <c r="BJ17" s="190"/>
    </row>
    <row r="18" spans="1:62" ht="40.5" customHeight="1">
      <c r="A18" s="188"/>
      <c r="B18" s="189"/>
      <c r="C18" s="190"/>
      <c r="D18" s="191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3"/>
      <c r="R18" s="188"/>
      <c r="S18" s="189"/>
      <c r="T18" s="189"/>
      <c r="U18" s="190"/>
      <c r="V18" s="188"/>
      <c r="W18" s="189"/>
      <c r="X18" s="189"/>
      <c r="Y18" s="190"/>
      <c r="Z18" s="188"/>
      <c r="AA18" s="189"/>
      <c r="AB18" s="189"/>
      <c r="AC18" s="190"/>
      <c r="AD18" s="188"/>
      <c r="AE18" s="189"/>
      <c r="AF18" s="189"/>
      <c r="AG18" s="190"/>
      <c r="AH18" s="185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7"/>
      <c r="BD18" s="188"/>
      <c r="BE18" s="189"/>
      <c r="BF18" s="189"/>
      <c r="BG18" s="189"/>
      <c r="BH18" s="189"/>
      <c r="BI18" s="189"/>
      <c r="BJ18" s="190"/>
    </row>
    <row r="19" spans="1:62" ht="40.5" customHeight="1">
      <c r="A19" s="188"/>
      <c r="B19" s="189"/>
      <c r="C19" s="190"/>
      <c r="D19" s="191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3"/>
      <c r="R19" s="188"/>
      <c r="S19" s="189"/>
      <c r="T19" s="189"/>
      <c r="U19" s="190"/>
      <c r="V19" s="188"/>
      <c r="W19" s="189"/>
      <c r="X19" s="189"/>
      <c r="Y19" s="190"/>
      <c r="Z19" s="188"/>
      <c r="AA19" s="189"/>
      <c r="AB19" s="189"/>
      <c r="AC19" s="190"/>
      <c r="AD19" s="188"/>
      <c r="AE19" s="189"/>
      <c r="AF19" s="189"/>
      <c r="AG19" s="190"/>
      <c r="AH19" s="185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7"/>
      <c r="BD19" s="188"/>
      <c r="BE19" s="189"/>
      <c r="BF19" s="189"/>
      <c r="BG19" s="189"/>
      <c r="BH19" s="189"/>
      <c r="BI19" s="189"/>
      <c r="BJ19" s="190"/>
    </row>
    <row r="20" spans="1:62" ht="40.5" customHeight="1">
      <c r="A20" s="188"/>
      <c r="B20" s="189"/>
      <c r="C20" s="190"/>
      <c r="D20" s="191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3"/>
      <c r="R20" s="188"/>
      <c r="S20" s="189"/>
      <c r="T20" s="189"/>
      <c r="U20" s="190"/>
      <c r="V20" s="188"/>
      <c r="W20" s="189"/>
      <c r="X20" s="189"/>
      <c r="Y20" s="190"/>
      <c r="Z20" s="188"/>
      <c r="AA20" s="189"/>
      <c r="AB20" s="189"/>
      <c r="AC20" s="190"/>
      <c r="AD20" s="188"/>
      <c r="AE20" s="189"/>
      <c r="AF20" s="189"/>
      <c r="AG20" s="190"/>
      <c r="AH20" s="185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7"/>
      <c r="BD20" s="188"/>
      <c r="BE20" s="189"/>
      <c r="BF20" s="189"/>
      <c r="BG20" s="189"/>
      <c r="BH20" s="189"/>
      <c r="BI20" s="189"/>
      <c r="BJ20" s="190"/>
    </row>
    <row r="21" spans="1:62" ht="40.5" customHeight="1">
      <c r="A21" s="188"/>
      <c r="B21" s="189"/>
      <c r="C21" s="190"/>
      <c r="D21" s="191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3"/>
      <c r="R21" s="188"/>
      <c r="S21" s="189"/>
      <c r="T21" s="189"/>
      <c r="U21" s="190"/>
      <c r="V21" s="188"/>
      <c r="W21" s="189"/>
      <c r="X21" s="189"/>
      <c r="Y21" s="190"/>
      <c r="Z21" s="188"/>
      <c r="AA21" s="189"/>
      <c r="AB21" s="189"/>
      <c r="AC21" s="190"/>
      <c r="AD21" s="188"/>
      <c r="AE21" s="189"/>
      <c r="AF21" s="189"/>
      <c r="AG21" s="190"/>
      <c r="AH21" s="185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7"/>
      <c r="BD21" s="188"/>
      <c r="BE21" s="189"/>
      <c r="BF21" s="189"/>
      <c r="BG21" s="189"/>
      <c r="BH21" s="189"/>
      <c r="BI21" s="189"/>
      <c r="BJ21" s="190"/>
    </row>
    <row r="22" spans="1:62" ht="40.5" customHeight="1">
      <c r="A22" s="188"/>
      <c r="B22" s="189"/>
      <c r="C22" s="190"/>
      <c r="D22" s="191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3"/>
      <c r="R22" s="188"/>
      <c r="S22" s="189"/>
      <c r="T22" s="189"/>
      <c r="U22" s="190"/>
      <c r="V22" s="188"/>
      <c r="W22" s="189"/>
      <c r="X22" s="189"/>
      <c r="Y22" s="190"/>
      <c r="Z22" s="188"/>
      <c r="AA22" s="189"/>
      <c r="AB22" s="189"/>
      <c r="AC22" s="190"/>
      <c r="AD22" s="188"/>
      <c r="AE22" s="189"/>
      <c r="AF22" s="189"/>
      <c r="AG22" s="190"/>
      <c r="AH22" s="185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7"/>
      <c r="BD22" s="188"/>
      <c r="BE22" s="189"/>
      <c r="BF22" s="189"/>
      <c r="BG22" s="189"/>
      <c r="BH22" s="189"/>
      <c r="BI22" s="189"/>
      <c r="BJ22" s="190"/>
    </row>
    <row r="23" spans="1:62" ht="40.5" customHeight="1">
      <c r="A23" s="188"/>
      <c r="B23" s="189"/>
      <c r="C23" s="190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3"/>
      <c r="R23" s="188"/>
      <c r="S23" s="189"/>
      <c r="T23" s="189"/>
      <c r="U23" s="190"/>
      <c r="V23" s="188"/>
      <c r="W23" s="189"/>
      <c r="X23" s="189"/>
      <c r="Y23" s="190"/>
      <c r="Z23" s="188"/>
      <c r="AA23" s="189"/>
      <c r="AB23" s="189"/>
      <c r="AC23" s="190"/>
      <c r="AD23" s="188"/>
      <c r="AE23" s="189"/>
      <c r="AF23" s="189"/>
      <c r="AG23" s="190"/>
      <c r="AH23" s="185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7"/>
      <c r="BD23" s="188"/>
      <c r="BE23" s="189"/>
      <c r="BF23" s="189"/>
      <c r="BG23" s="189"/>
      <c r="BH23" s="189"/>
      <c r="BI23" s="189"/>
      <c r="BJ23" s="190"/>
    </row>
    <row r="24" spans="1:62" ht="40.5" customHeight="1">
      <c r="A24" s="188"/>
      <c r="B24" s="189"/>
      <c r="C24" s="190"/>
      <c r="D24" s="191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3"/>
      <c r="R24" s="188"/>
      <c r="S24" s="189"/>
      <c r="T24" s="189"/>
      <c r="U24" s="190"/>
      <c r="V24" s="188"/>
      <c r="W24" s="189"/>
      <c r="X24" s="189"/>
      <c r="Y24" s="190"/>
      <c r="Z24" s="188"/>
      <c r="AA24" s="189"/>
      <c r="AB24" s="189"/>
      <c r="AC24" s="190"/>
      <c r="AD24" s="188"/>
      <c r="AE24" s="189"/>
      <c r="AF24" s="189"/>
      <c r="AG24" s="190"/>
      <c r="AH24" s="185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7"/>
      <c r="BD24" s="188"/>
      <c r="BE24" s="189"/>
      <c r="BF24" s="189"/>
      <c r="BG24" s="189"/>
      <c r="BH24" s="189"/>
      <c r="BI24" s="189"/>
      <c r="BJ24" s="190"/>
    </row>
    <row r="25" spans="1:62" ht="40.5" customHeight="1">
      <c r="A25" s="188"/>
      <c r="B25" s="189"/>
      <c r="C25" s="190"/>
      <c r="D25" s="191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3"/>
      <c r="R25" s="188"/>
      <c r="S25" s="189"/>
      <c r="T25" s="189"/>
      <c r="U25" s="190"/>
      <c r="V25" s="188"/>
      <c r="W25" s="189"/>
      <c r="X25" s="189"/>
      <c r="Y25" s="190"/>
      <c r="Z25" s="188"/>
      <c r="AA25" s="189"/>
      <c r="AB25" s="189"/>
      <c r="AC25" s="190"/>
      <c r="AD25" s="188"/>
      <c r="AE25" s="189"/>
      <c r="AF25" s="189"/>
      <c r="AG25" s="190"/>
      <c r="AH25" s="185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7"/>
      <c r="BD25" s="188"/>
      <c r="BE25" s="189"/>
      <c r="BF25" s="189"/>
      <c r="BG25" s="189"/>
      <c r="BH25" s="189"/>
      <c r="BI25" s="189"/>
      <c r="BJ25" s="190"/>
    </row>
    <row r="26" spans="1:62" ht="40.5" customHeight="1">
      <c r="A26" s="188"/>
      <c r="B26" s="189"/>
      <c r="C26" s="190"/>
      <c r="D26" s="191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3"/>
      <c r="R26" s="188"/>
      <c r="S26" s="189"/>
      <c r="T26" s="189"/>
      <c r="U26" s="190"/>
      <c r="V26" s="188"/>
      <c r="W26" s="189"/>
      <c r="X26" s="189"/>
      <c r="Y26" s="190"/>
      <c r="Z26" s="188"/>
      <c r="AA26" s="189"/>
      <c r="AB26" s="189"/>
      <c r="AC26" s="190"/>
      <c r="AD26" s="188"/>
      <c r="AE26" s="189"/>
      <c r="AF26" s="189"/>
      <c r="AG26" s="190"/>
      <c r="AH26" s="185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7"/>
      <c r="BD26" s="188"/>
      <c r="BE26" s="189"/>
      <c r="BF26" s="189"/>
      <c r="BG26" s="189"/>
      <c r="BH26" s="189"/>
      <c r="BI26" s="189"/>
      <c r="BJ26" s="190"/>
    </row>
    <row r="27" spans="1:62" ht="40.5" customHeight="1">
      <c r="A27" s="188"/>
      <c r="B27" s="189"/>
      <c r="C27" s="190"/>
      <c r="D27" s="191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3"/>
      <c r="R27" s="188"/>
      <c r="S27" s="189"/>
      <c r="T27" s="189"/>
      <c r="U27" s="190"/>
      <c r="V27" s="188"/>
      <c r="W27" s="189"/>
      <c r="X27" s="189"/>
      <c r="Y27" s="190"/>
      <c r="Z27" s="188"/>
      <c r="AA27" s="189"/>
      <c r="AB27" s="189"/>
      <c r="AC27" s="190"/>
      <c r="AD27" s="188"/>
      <c r="AE27" s="189"/>
      <c r="AF27" s="189"/>
      <c r="AG27" s="190"/>
      <c r="AH27" s="185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7"/>
      <c r="BD27" s="188"/>
      <c r="BE27" s="189"/>
      <c r="BF27" s="189"/>
      <c r="BG27" s="189"/>
      <c r="BH27" s="189"/>
      <c r="BI27" s="189"/>
      <c r="BJ27" s="190"/>
    </row>
    <row r="28" spans="1:62" ht="40.5" customHeight="1">
      <c r="A28" s="188"/>
      <c r="B28" s="189"/>
      <c r="C28" s="190"/>
      <c r="D28" s="191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3"/>
      <c r="R28" s="188"/>
      <c r="S28" s="189"/>
      <c r="T28" s="189"/>
      <c r="U28" s="190"/>
      <c r="V28" s="188"/>
      <c r="W28" s="189"/>
      <c r="X28" s="189"/>
      <c r="Y28" s="190"/>
      <c r="Z28" s="188"/>
      <c r="AA28" s="189"/>
      <c r="AB28" s="189"/>
      <c r="AC28" s="190"/>
      <c r="AD28" s="188"/>
      <c r="AE28" s="189"/>
      <c r="AF28" s="189"/>
      <c r="AG28" s="190"/>
      <c r="AH28" s="185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7"/>
      <c r="BD28" s="188"/>
      <c r="BE28" s="189"/>
      <c r="BF28" s="189"/>
      <c r="BG28" s="189"/>
      <c r="BH28" s="189"/>
      <c r="BI28" s="189"/>
      <c r="BJ28" s="190"/>
    </row>
    <row r="29" spans="1:62" ht="40.5" customHeight="1">
      <c r="A29" s="188"/>
      <c r="B29" s="189"/>
      <c r="C29" s="190"/>
      <c r="D29" s="191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3"/>
      <c r="R29" s="188"/>
      <c r="S29" s="189"/>
      <c r="T29" s="189"/>
      <c r="U29" s="190"/>
      <c r="V29" s="188"/>
      <c r="W29" s="189"/>
      <c r="X29" s="189"/>
      <c r="Y29" s="190"/>
      <c r="Z29" s="188"/>
      <c r="AA29" s="189"/>
      <c r="AB29" s="189"/>
      <c r="AC29" s="190"/>
      <c r="AD29" s="188"/>
      <c r="AE29" s="189"/>
      <c r="AF29" s="189"/>
      <c r="AG29" s="190"/>
      <c r="AH29" s="185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7"/>
      <c r="BD29" s="188"/>
      <c r="BE29" s="189"/>
      <c r="BF29" s="189"/>
      <c r="BG29" s="189"/>
      <c r="BH29" s="189"/>
      <c r="BI29" s="189"/>
      <c r="BJ29" s="190"/>
    </row>
    <row r="30" spans="1:62" ht="40.5" customHeight="1">
      <c r="A30" s="188"/>
      <c r="B30" s="189"/>
      <c r="C30" s="190"/>
      <c r="D30" s="191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3"/>
      <c r="R30" s="188"/>
      <c r="S30" s="189"/>
      <c r="T30" s="189"/>
      <c r="U30" s="190"/>
      <c r="V30" s="188"/>
      <c r="W30" s="189"/>
      <c r="X30" s="189"/>
      <c r="Y30" s="190"/>
      <c r="Z30" s="188"/>
      <c r="AA30" s="189"/>
      <c r="AB30" s="189"/>
      <c r="AC30" s="190"/>
      <c r="AD30" s="188"/>
      <c r="AE30" s="189"/>
      <c r="AF30" s="189"/>
      <c r="AG30" s="190"/>
      <c r="AH30" s="185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7"/>
      <c r="BD30" s="188"/>
      <c r="BE30" s="189"/>
      <c r="BF30" s="189"/>
      <c r="BG30" s="189"/>
      <c r="BH30" s="189"/>
      <c r="BI30" s="189"/>
      <c r="BJ30" s="190"/>
    </row>
    <row r="31" spans="1:62" ht="40.5" customHeight="1">
      <c r="A31" s="188"/>
      <c r="B31" s="189"/>
      <c r="C31" s="190"/>
      <c r="D31" s="191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3"/>
      <c r="R31" s="188"/>
      <c r="S31" s="189"/>
      <c r="T31" s="189"/>
      <c r="U31" s="190"/>
      <c r="V31" s="188"/>
      <c r="W31" s="189"/>
      <c r="X31" s="189"/>
      <c r="Y31" s="190"/>
      <c r="Z31" s="188"/>
      <c r="AA31" s="189"/>
      <c r="AB31" s="189"/>
      <c r="AC31" s="190"/>
      <c r="AD31" s="188"/>
      <c r="AE31" s="189"/>
      <c r="AF31" s="189"/>
      <c r="AG31" s="190"/>
      <c r="AH31" s="185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7"/>
      <c r="BD31" s="188"/>
      <c r="BE31" s="189"/>
      <c r="BF31" s="189"/>
      <c r="BG31" s="189"/>
      <c r="BH31" s="189"/>
      <c r="BI31" s="189"/>
      <c r="BJ31" s="190"/>
    </row>
    <row r="32" spans="1:62" ht="40.5" customHeight="1">
      <c r="A32" s="188"/>
      <c r="B32" s="189"/>
      <c r="C32" s="190"/>
      <c r="D32" s="191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3"/>
      <c r="R32" s="188"/>
      <c r="S32" s="189"/>
      <c r="T32" s="189"/>
      <c r="U32" s="190"/>
      <c r="V32" s="188"/>
      <c r="W32" s="189"/>
      <c r="X32" s="189"/>
      <c r="Y32" s="190"/>
      <c r="Z32" s="188"/>
      <c r="AA32" s="189"/>
      <c r="AB32" s="189"/>
      <c r="AC32" s="190"/>
      <c r="AD32" s="188"/>
      <c r="AE32" s="189"/>
      <c r="AF32" s="189"/>
      <c r="AG32" s="190"/>
      <c r="AH32" s="185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7"/>
      <c r="BD32" s="188"/>
      <c r="BE32" s="189"/>
      <c r="BF32" s="189"/>
      <c r="BG32" s="189"/>
      <c r="BH32" s="189"/>
      <c r="BI32" s="189"/>
      <c r="BJ32" s="190"/>
    </row>
    <row r="33" spans="1:62" ht="40.5" customHeight="1">
      <c r="A33" s="197"/>
      <c r="B33" s="198"/>
      <c r="C33" s="199"/>
      <c r="D33" s="200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2"/>
      <c r="R33" s="197"/>
      <c r="S33" s="198"/>
      <c r="T33" s="198"/>
      <c r="U33" s="199"/>
      <c r="V33" s="197"/>
      <c r="W33" s="198"/>
      <c r="X33" s="198"/>
      <c r="Y33" s="199"/>
      <c r="Z33" s="197"/>
      <c r="AA33" s="198"/>
      <c r="AB33" s="198"/>
      <c r="AC33" s="199"/>
      <c r="AD33" s="197"/>
      <c r="AE33" s="198"/>
      <c r="AF33" s="198"/>
      <c r="AG33" s="199"/>
      <c r="AH33" s="194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5"/>
      <c r="BC33" s="196"/>
      <c r="BD33" s="197"/>
      <c r="BE33" s="198"/>
      <c r="BF33" s="198"/>
      <c r="BG33" s="198"/>
      <c r="BH33" s="198"/>
      <c r="BI33" s="198"/>
      <c r="BJ33" s="199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92913385826772" right="0.55118110236220474" top="0.6692913385826772" bottom="0.55118110236220474" header="0.82677165354330717" footer="0.19685039370078741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99" t="s">
        <v>47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3" t="s">
        <v>3</v>
      </c>
      <c r="AU2" s="94"/>
      <c r="AV2" s="94"/>
      <c r="AW2" s="94"/>
      <c r="AX2" s="95"/>
      <c r="AY2" s="93" t="s">
        <v>48</v>
      </c>
      <c r="AZ2" s="94"/>
      <c r="BA2" s="94"/>
      <c r="BB2" s="95"/>
      <c r="BC2" s="93" t="s">
        <v>5</v>
      </c>
      <c r="BD2" s="94"/>
      <c r="BE2" s="94"/>
      <c r="BF2" s="95"/>
      <c r="BG2" s="93"/>
      <c r="BH2" s="94"/>
      <c r="BI2" s="94"/>
      <c r="BJ2" s="95"/>
    </row>
    <row r="3" spans="1:63" s="1" customFormat="1" ht="18" customHeight="1">
      <c r="A3" s="102" t="s">
        <v>6</v>
      </c>
      <c r="B3" s="103"/>
      <c r="C3" s="103"/>
      <c r="D3" s="103"/>
      <c r="E3" s="103"/>
      <c r="F3" s="103"/>
      <c r="G3" s="103"/>
      <c r="H3" s="104"/>
      <c r="I3" s="108" t="s">
        <v>144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93" t="s">
        <v>7</v>
      </c>
      <c r="AU3" s="94"/>
      <c r="AV3" s="94"/>
      <c r="AW3" s="94"/>
      <c r="AX3" s="95"/>
      <c r="AY3" s="93" t="s">
        <v>143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5"/>
    </row>
    <row r="4" spans="1:63" s="1" customFormat="1" ht="18" customHeight="1">
      <c r="A4" s="105"/>
      <c r="B4" s="106"/>
      <c r="C4" s="106"/>
      <c r="D4" s="106"/>
      <c r="E4" s="106"/>
      <c r="F4" s="106"/>
      <c r="G4" s="106"/>
      <c r="H4" s="107"/>
      <c r="I4" s="111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3"/>
      <c r="AT4" s="93" t="s">
        <v>8</v>
      </c>
      <c r="AU4" s="94"/>
      <c r="AV4" s="94"/>
      <c r="AW4" s="94"/>
      <c r="AX4" s="95"/>
      <c r="AY4" s="93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5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33" t="s">
        <v>16</v>
      </c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3" t="s">
        <v>159</v>
      </c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93" t="s">
        <v>20</v>
      </c>
      <c r="B8" s="94"/>
      <c r="C8" s="95"/>
      <c r="D8" s="93" t="s">
        <v>106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5"/>
      <c r="R8" s="93" t="s">
        <v>49</v>
      </c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5"/>
      <c r="BD8" s="173" t="s">
        <v>46</v>
      </c>
      <c r="BE8" s="174"/>
      <c r="BF8" s="174"/>
      <c r="BG8" s="174"/>
      <c r="BH8" s="174"/>
      <c r="BI8" s="174"/>
      <c r="BJ8" s="175"/>
    </row>
    <row r="9" spans="1:63" s="11" customFormat="1" ht="40.5" customHeight="1">
      <c r="A9" s="176"/>
      <c r="B9" s="177"/>
      <c r="C9" s="178"/>
      <c r="D9" s="179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1"/>
      <c r="R9" s="179" t="s">
        <v>50</v>
      </c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1"/>
      <c r="BD9" s="176"/>
      <c r="BE9" s="177"/>
      <c r="BF9" s="177"/>
      <c r="BG9" s="177"/>
      <c r="BH9" s="177"/>
      <c r="BI9" s="177"/>
      <c r="BJ9" s="178"/>
    </row>
    <row r="10" spans="1:63" ht="40.5" customHeight="1">
      <c r="A10" s="188"/>
      <c r="B10" s="189"/>
      <c r="C10" s="190"/>
      <c r="D10" s="191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3"/>
      <c r="R10" s="191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3"/>
      <c r="BD10" s="188"/>
      <c r="BE10" s="189"/>
      <c r="BF10" s="189"/>
      <c r="BG10" s="189"/>
      <c r="BH10" s="189"/>
      <c r="BI10" s="189"/>
      <c r="BJ10" s="190"/>
    </row>
    <row r="11" spans="1:63" ht="40.5" customHeight="1">
      <c r="A11" s="188"/>
      <c r="B11" s="189"/>
      <c r="C11" s="190"/>
      <c r="D11" s="191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3"/>
      <c r="R11" s="191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3"/>
      <c r="BD11" s="188"/>
      <c r="BE11" s="189"/>
      <c r="BF11" s="189"/>
      <c r="BG11" s="189"/>
      <c r="BH11" s="189"/>
      <c r="BI11" s="189"/>
      <c r="BJ11" s="190"/>
    </row>
    <row r="12" spans="1:63" ht="40.5" customHeight="1">
      <c r="A12" s="188"/>
      <c r="B12" s="189"/>
      <c r="C12" s="190"/>
      <c r="D12" s="191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3"/>
      <c r="R12" s="191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3"/>
      <c r="BD12" s="188"/>
      <c r="BE12" s="189"/>
      <c r="BF12" s="189"/>
      <c r="BG12" s="189"/>
      <c r="BH12" s="189"/>
      <c r="BI12" s="189"/>
      <c r="BJ12" s="190"/>
    </row>
    <row r="13" spans="1:63" ht="40.5" customHeight="1">
      <c r="A13" s="188"/>
      <c r="B13" s="189"/>
      <c r="C13" s="190"/>
      <c r="D13" s="191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3"/>
      <c r="R13" s="191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3"/>
      <c r="BD13" s="188"/>
      <c r="BE13" s="189"/>
      <c r="BF13" s="189"/>
      <c r="BG13" s="189"/>
      <c r="BH13" s="189"/>
      <c r="BI13" s="189"/>
      <c r="BJ13" s="190"/>
    </row>
    <row r="14" spans="1:63" ht="40.5" customHeight="1">
      <c r="A14" s="188"/>
      <c r="B14" s="189"/>
      <c r="C14" s="190"/>
      <c r="D14" s="191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3"/>
      <c r="R14" s="191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3"/>
      <c r="BD14" s="188"/>
      <c r="BE14" s="189"/>
      <c r="BF14" s="189"/>
      <c r="BG14" s="189"/>
      <c r="BH14" s="189"/>
      <c r="BI14" s="189"/>
      <c r="BJ14" s="190"/>
    </row>
    <row r="15" spans="1:63" ht="40.5" customHeight="1">
      <c r="A15" s="188"/>
      <c r="B15" s="189"/>
      <c r="C15" s="190"/>
      <c r="D15" s="191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3"/>
      <c r="R15" s="191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3"/>
      <c r="BD15" s="188"/>
      <c r="BE15" s="189"/>
      <c r="BF15" s="189"/>
      <c r="BG15" s="189"/>
      <c r="BH15" s="189"/>
      <c r="BI15" s="189"/>
      <c r="BJ15" s="190"/>
    </row>
    <row r="16" spans="1:63" ht="40.5" customHeight="1">
      <c r="A16" s="188"/>
      <c r="B16" s="189"/>
      <c r="C16" s="190"/>
      <c r="D16" s="191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3"/>
      <c r="R16" s="191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3"/>
      <c r="BD16" s="188"/>
      <c r="BE16" s="189"/>
      <c r="BF16" s="189"/>
      <c r="BG16" s="189"/>
      <c r="BH16" s="189"/>
      <c r="BI16" s="189"/>
      <c r="BJ16" s="190"/>
    </row>
    <row r="17" spans="1:62" ht="40.5" customHeight="1">
      <c r="A17" s="188"/>
      <c r="B17" s="189"/>
      <c r="C17" s="190"/>
      <c r="D17" s="191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3"/>
      <c r="R17" s="191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3"/>
      <c r="BD17" s="188"/>
      <c r="BE17" s="189"/>
      <c r="BF17" s="189"/>
      <c r="BG17" s="189"/>
      <c r="BH17" s="189"/>
      <c r="BI17" s="189"/>
      <c r="BJ17" s="190"/>
    </row>
    <row r="18" spans="1:62" ht="40.5" customHeight="1">
      <c r="A18" s="188"/>
      <c r="B18" s="189"/>
      <c r="C18" s="190"/>
      <c r="D18" s="191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3"/>
      <c r="R18" s="191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3"/>
      <c r="BD18" s="188"/>
      <c r="BE18" s="189"/>
      <c r="BF18" s="189"/>
      <c r="BG18" s="189"/>
      <c r="BH18" s="189"/>
      <c r="BI18" s="189"/>
      <c r="BJ18" s="190"/>
    </row>
    <row r="19" spans="1:62" ht="40.5" customHeight="1">
      <c r="A19" s="188"/>
      <c r="B19" s="189"/>
      <c r="C19" s="190"/>
      <c r="D19" s="191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3"/>
      <c r="R19" s="191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3"/>
      <c r="BD19" s="188"/>
      <c r="BE19" s="189"/>
      <c r="BF19" s="189"/>
      <c r="BG19" s="189"/>
      <c r="BH19" s="189"/>
      <c r="BI19" s="189"/>
      <c r="BJ19" s="190"/>
    </row>
    <row r="20" spans="1:62" ht="40.5" customHeight="1">
      <c r="A20" s="188"/>
      <c r="B20" s="189"/>
      <c r="C20" s="190"/>
      <c r="D20" s="191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3"/>
      <c r="R20" s="191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3"/>
      <c r="BD20" s="188"/>
      <c r="BE20" s="189"/>
      <c r="BF20" s="189"/>
      <c r="BG20" s="189"/>
      <c r="BH20" s="189"/>
      <c r="BI20" s="189"/>
      <c r="BJ20" s="190"/>
    </row>
    <row r="21" spans="1:62" ht="40.5" customHeight="1">
      <c r="A21" s="188"/>
      <c r="B21" s="189"/>
      <c r="C21" s="190"/>
      <c r="D21" s="191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3"/>
      <c r="R21" s="191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3"/>
      <c r="BD21" s="188"/>
      <c r="BE21" s="189"/>
      <c r="BF21" s="189"/>
      <c r="BG21" s="189"/>
      <c r="BH21" s="189"/>
      <c r="BI21" s="189"/>
      <c r="BJ21" s="190"/>
    </row>
    <row r="22" spans="1:62" ht="40.5" customHeight="1">
      <c r="A22" s="188"/>
      <c r="B22" s="189"/>
      <c r="C22" s="190"/>
      <c r="D22" s="191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3"/>
      <c r="R22" s="191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3"/>
      <c r="BD22" s="188"/>
      <c r="BE22" s="189"/>
      <c r="BF22" s="189"/>
      <c r="BG22" s="189"/>
      <c r="BH22" s="189"/>
      <c r="BI22" s="189"/>
      <c r="BJ22" s="190"/>
    </row>
    <row r="23" spans="1:62" ht="40.5" customHeight="1">
      <c r="A23" s="188"/>
      <c r="B23" s="189"/>
      <c r="C23" s="190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3"/>
      <c r="R23" s="191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3"/>
      <c r="BD23" s="188"/>
      <c r="BE23" s="189"/>
      <c r="BF23" s="189"/>
      <c r="BG23" s="189"/>
      <c r="BH23" s="189"/>
      <c r="BI23" s="189"/>
      <c r="BJ23" s="190"/>
    </row>
    <row r="24" spans="1:62" ht="40.5" customHeight="1">
      <c r="A24" s="188"/>
      <c r="B24" s="189"/>
      <c r="C24" s="190"/>
      <c r="D24" s="191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3"/>
      <c r="R24" s="191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3"/>
      <c r="BD24" s="188"/>
      <c r="BE24" s="189"/>
      <c r="BF24" s="189"/>
      <c r="BG24" s="189"/>
      <c r="BH24" s="189"/>
      <c r="BI24" s="189"/>
      <c r="BJ24" s="190"/>
    </row>
    <row r="25" spans="1:62" ht="40.5" customHeight="1">
      <c r="A25" s="188"/>
      <c r="B25" s="189"/>
      <c r="C25" s="190"/>
      <c r="D25" s="191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3"/>
      <c r="R25" s="191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3"/>
      <c r="BD25" s="188"/>
      <c r="BE25" s="189"/>
      <c r="BF25" s="189"/>
      <c r="BG25" s="189"/>
      <c r="BH25" s="189"/>
      <c r="BI25" s="189"/>
      <c r="BJ25" s="190"/>
    </row>
    <row r="26" spans="1:62" ht="40.5" customHeight="1">
      <c r="A26" s="188"/>
      <c r="B26" s="189"/>
      <c r="C26" s="190"/>
      <c r="D26" s="191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3"/>
      <c r="R26" s="191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3"/>
      <c r="BD26" s="188"/>
      <c r="BE26" s="189"/>
      <c r="BF26" s="189"/>
      <c r="BG26" s="189"/>
      <c r="BH26" s="189"/>
      <c r="BI26" s="189"/>
      <c r="BJ26" s="190"/>
    </row>
    <row r="27" spans="1:62" ht="40.5" customHeight="1">
      <c r="A27" s="188"/>
      <c r="B27" s="189"/>
      <c r="C27" s="190"/>
      <c r="D27" s="191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3"/>
      <c r="R27" s="191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3"/>
      <c r="BD27" s="188"/>
      <c r="BE27" s="189"/>
      <c r="BF27" s="189"/>
      <c r="BG27" s="189"/>
      <c r="BH27" s="189"/>
      <c r="BI27" s="189"/>
      <c r="BJ27" s="190"/>
    </row>
    <row r="28" spans="1:62" ht="40.5" customHeight="1">
      <c r="A28" s="188"/>
      <c r="B28" s="189"/>
      <c r="C28" s="190"/>
      <c r="D28" s="191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3"/>
      <c r="R28" s="191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3"/>
      <c r="BD28" s="188"/>
      <c r="BE28" s="189"/>
      <c r="BF28" s="189"/>
      <c r="BG28" s="189"/>
      <c r="BH28" s="189"/>
      <c r="BI28" s="189"/>
      <c r="BJ28" s="190"/>
    </row>
    <row r="29" spans="1:62" ht="40.5" customHeight="1">
      <c r="A29" s="188"/>
      <c r="B29" s="189"/>
      <c r="C29" s="190"/>
      <c r="D29" s="191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3"/>
      <c r="R29" s="191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3"/>
      <c r="BD29" s="188"/>
      <c r="BE29" s="189"/>
      <c r="BF29" s="189"/>
      <c r="BG29" s="189"/>
      <c r="BH29" s="189"/>
      <c r="BI29" s="189"/>
      <c r="BJ29" s="190"/>
    </row>
    <row r="30" spans="1:62" ht="40.5" customHeight="1">
      <c r="A30" s="188"/>
      <c r="B30" s="189"/>
      <c r="C30" s="190"/>
      <c r="D30" s="191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3"/>
      <c r="R30" s="191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3"/>
      <c r="BD30" s="188"/>
      <c r="BE30" s="189"/>
      <c r="BF30" s="189"/>
      <c r="BG30" s="189"/>
      <c r="BH30" s="189"/>
      <c r="BI30" s="189"/>
      <c r="BJ30" s="190"/>
    </row>
    <row r="31" spans="1:62" ht="40.5" customHeight="1">
      <c r="A31" s="188"/>
      <c r="B31" s="189"/>
      <c r="C31" s="190"/>
      <c r="D31" s="191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3"/>
      <c r="R31" s="191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3"/>
      <c r="BD31" s="188"/>
      <c r="BE31" s="189"/>
      <c r="BF31" s="189"/>
      <c r="BG31" s="189"/>
      <c r="BH31" s="189"/>
      <c r="BI31" s="189"/>
      <c r="BJ31" s="190"/>
    </row>
    <row r="32" spans="1:62" ht="40.5" customHeight="1">
      <c r="A32" s="188"/>
      <c r="B32" s="189"/>
      <c r="C32" s="190"/>
      <c r="D32" s="191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3"/>
      <c r="R32" s="191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3"/>
      <c r="BD32" s="188"/>
      <c r="BE32" s="189"/>
      <c r="BF32" s="189"/>
      <c r="BG32" s="189"/>
      <c r="BH32" s="189"/>
      <c r="BI32" s="189"/>
      <c r="BJ32" s="190"/>
    </row>
    <row r="33" spans="1:62" ht="40.5" customHeight="1">
      <c r="A33" s="197"/>
      <c r="B33" s="198"/>
      <c r="C33" s="199"/>
      <c r="D33" s="200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2"/>
      <c r="R33" s="200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2"/>
      <c r="BD33" s="197"/>
      <c r="BE33" s="198"/>
      <c r="BF33" s="198"/>
      <c r="BG33" s="198"/>
      <c r="BH33" s="198"/>
      <c r="BI33" s="198"/>
      <c r="BJ33" s="199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992125984251968" right="0.55118110236220474" top="0.62992125984251968" bottom="0.47244094488188981" header="0.82677165354330717" footer="0.19685039370078741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D87B93-15D3-41D3-8F26-DBC4809D62BC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4a1f72ec-30b8-4383-892a-fcacdd251f13"/>
    <ds:schemaRef ds:uri="b9cc7365-e218-4624-aedb-0a55e821af1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豊嶋 均</cp:lastModifiedBy>
  <cp:revision/>
  <cp:lastPrinted>2025-08-25T01:32:31Z</cp:lastPrinted>
  <dcterms:created xsi:type="dcterms:W3CDTF">2001-03-06T02:20:07Z</dcterms:created>
  <dcterms:modified xsi:type="dcterms:W3CDTF">2025-09-01T09:44:02Z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