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7.棚卸資産管理\7.6.低価法計算\"/>
    </mc:Choice>
  </mc:AlternateContent>
  <xr:revisionPtr revIDLastSave="0" documentId="13_ncr:1_{5C190370-920E-431D-AA76-03B8F7288945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項目定義書!$A$22:$BJ$22</definedName>
    <definedName name="_xlnm.Print_Area" localSheetId="2">CSVイメージ!$A$1:$BJ$39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項目定義書!$1:$22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" i="28" l="1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1" i="31"/>
  <c r="A20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17" i="31" l="1"/>
  <c r="A16" i="31"/>
  <c r="A15" i="31"/>
  <c r="A14" i="31"/>
  <c r="A13" i="31"/>
  <c r="A12" i="31"/>
  <c r="BF6" i="28"/>
  <c r="A11" i="31" l="1"/>
  <c r="L6" i="31" l="1"/>
  <c r="A38" i="31" l="1"/>
  <c r="A37" i="31"/>
  <c r="A22" i="31"/>
  <c r="A19" i="31"/>
  <c r="A18" i="31"/>
  <c r="A10" i="31"/>
  <c r="BF6" i="31" l="1"/>
  <c r="L7" i="31" l="1"/>
  <c r="L6" i="22"/>
  <c r="L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<sst xmlns="http://schemas.openxmlformats.org/spreadsheetml/2006/main" count="306" uniqueCount="156">
  <si>
    <t>システム名</t>
    <rPh sb="4" eb="5">
      <t>メイ</t>
    </rPh>
    <phoneticPr fontId="1"/>
  </si>
  <si>
    <t>HOKUREN INTERNAL USE ONLY</t>
  </si>
  <si>
    <t>様式No.</t>
    <rPh sb="0" eb="2">
      <t>ヨウシキ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</si>
  <si>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</si>
  <si>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</si>
  <si>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No.</t>
    <phoneticPr fontId="1"/>
  </si>
  <si>
    <t>符号</t>
    <phoneticPr fontId="1"/>
  </si>
  <si>
    <t>項目名称（日本語）</t>
    <rPh sb="5" eb="8">
      <t>ニホンゴ</t>
    </rPh>
    <phoneticPr fontId="1"/>
  </si>
  <si>
    <t>寄せ</t>
    <rPh sb="0" eb="1">
      <t>ヨ</t>
    </rPh>
    <phoneticPr fontId="1"/>
  </si>
  <si>
    <t>PAGE</t>
    <phoneticPr fontId="1"/>
  </si>
  <si>
    <t>データ型</t>
    <rPh sb="3" eb="4">
      <t>カタ</t>
    </rPh>
    <phoneticPr fontId="1"/>
  </si>
  <si>
    <t>ファイル名</t>
    <phoneticPr fontId="1"/>
  </si>
  <si>
    <t>項　目　説　明</t>
  </si>
  <si>
    <t>ヘッダ行</t>
    <rPh sb="3" eb="4">
      <t>ギョウ</t>
    </rPh>
    <phoneticPr fontId="1"/>
  </si>
  <si>
    <t>なし</t>
  </si>
  <si>
    <t>項目数</t>
    <rPh sb="0" eb="2">
      <t>コウモク</t>
    </rPh>
    <rPh sb="2" eb="3">
      <t>スウ</t>
    </rPh>
    <phoneticPr fontId="1"/>
  </si>
  <si>
    <t>文字囲み（"　"）</t>
    <rPh sb="0" eb="2">
      <t>モジ</t>
    </rPh>
    <rPh sb="2" eb="3">
      <t>カコ</t>
    </rPh>
    <phoneticPr fontId="1"/>
  </si>
  <si>
    <t>最大桁数</t>
    <rPh sb="0" eb="2">
      <t>サイダイ</t>
    </rPh>
    <rPh sb="2" eb="4">
      <t>ケタスウ</t>
    </rPh>
    <phoneticPr fontId="1"/>
  </si>
  <si>
    <t>Up
Load</t>
    <phoneticPr fontId="1"/>
  </si>
  <si>
    <t>固定長</t>
    <rPh sb="0" eb="2">
      <t>コテイ</t>
    </rPh>
    <rPh sb="2" eb="3">
      <t>チョウ</t>
    </rPh>
    <phoneticPr fontId="1"/>
  </si>
  <si>
    <t>必須</t>
    <rPh sb="0" eb="2">
      <t>ヒッス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</si>
  <si>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</si>
  <si>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</si>
  <si>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</si>
  <si>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</si>
  <si>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</si>
  <si>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</si>
  <si>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〇</t>
  </si>
  <si>
    <t>セパレータ（,）の記入は省略。</t>
    <rPh sb="9" eb="11">
      <t>キニュウ</t>
    </rPh>
    <rPh sb="12" eb="14">
      <t>ショウリャク</t>
    </rPh>
    <phoneticPr fontId="1"/>
  </si>
  <si>
    <t>あり</t>
  </si>
  <si>
    <t>ＣＳＶ取込みチェック（単体 ）</t>
    <rPh sb="3" eb="5">
      <t>トリコ</t>
    </rPh>
    <rPh sb="11" eb="13">
      <t>タンタイ</t>
    </rPh>
    <phoneticPr fontId="1"/>
  </si>
  <si>
    <t>ＣＳＶ取込みチェック（関連 ）</t>
    <rPh sb="3" eb="5">
      <t>トリコ</t>
    </rPh>
    <rPh sb="11" eb="13">
      <t>カンレン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</si>
  <si>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</si>
  <si>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取込</t>
    <rPh sb="0" eb="2">
      <t>トリコミ</t>
    </rPh>
    <phoneticPr fontId="1"/>
  </si>
  <si>
    <t>書出し</t>
    <rPh sb="0" eb="2">
      <t>カキダ</t>
    </rPh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</si>
  <si>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</si>
  <si>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F4110-0</t>
    <phoneticPr fontId="1"/>
  </si>
  <si>
    <t>F4110-2</t>
    <phoneticPr fontId="1"/>
  </si>
  <si>
    <t>F4110-3</t>
    <phoneticPr fontId="1"/>
  </si>
  <si>
    <t>データストア№</t>
    <phoneticPr fontId="1"/>
  </si>
  <si>
    <t>メッセージ
コード</t>
    <phoneticPr fontId="1"/>
  </si>
  <si>
    <t>チェック補足説明／メッセージ文言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</si>
  <si>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</si>
  <si>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データ格納イメージ</t>
    <rPh sb="3" eb="5">
      <t>カクノウ</t>
    </rPh>
    <phoneticPr fontId="1"/>
  </si>
  <si>
    <t>F4110-4</t>
    <phoneticPr fontId="1"/>
  </si>
  <si>
    <t>ＣＳＶファイル　データイメージ</t>
    <phoneticPr fontId="1"/>
  </si>
  <si>
    <t>文字コード</t>
    <rPh sb="0" eb="2">
      <t>モジ</t>
    </rPh>
    <phoneticPr fontId="1"/>
  </si>
  <si>
    <t>項目名称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</si>
  <si>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</si>
  <si>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</si>
  <si>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数字</t>
    <rPh sb="0" eb="2">
      <t>スウジ</t>
    </rPh>
    <phoneticPr fontId="1"/>
  </si>
  <si>
    <t>会計年度</t>
  </si>
  <si>
    <t>基準年月</t>
  </si>
  <si>
    <t>英数字</t>
  </si>
  <si>
    <t>漢字</t>
  </si>
  <si>
    <t>チェックなし</t>
    <phoneticPr fontId="1"/>
  </si>
  <si>
    <t>会計年度</t>
    <rPh sb="0" eb="2">
      <t>カイケイ</t>
    </rPh>
    <rPh sb="2" eb="4">
      <t>ネンド</t>
    </rPh>
    <phoneticPr fontId="7"/>
  </si>
  <si>
    <t>算出基準となる年月</t>
    <rPh sb="0" eb="2">
      <t>サンシュツ</t>
    </rPh>
    <rPh sb="2" eb="4">
      <t>キジュン</t>
    </rPh>
    <rPh sb="7" eb="9">
      <t>ネンゲツ</t>
    </rPh>
    <phoneticPr fontId="7"/>
  </si>
  <si>
    <t>収支管理品目コード</t>
  </si>
  <si>
    <t>収支管理品目コード</t>
    <rPh sb="0" eb="2">
      <t>シュウシ</t>
    </rPh>
    <rPh sb="2" eb="4">
      <t>カンリ</t>
    </rPh>
    <rPh sb="4" eb="6">
      <t>ヒンモク</t>
    </rPh>
    <phoneticPr fontId="7"/>
  </si>
  <si>
    <t>収支管理品目コードに対する名称</t>
    <rPh sb="0" eb="2">
      <t>シュウシ</t>
    </rPh>
    <rPh sb="2" eb="4">
      <t>カンリ</t>
    </rPh>
    <rPh sb="4" eb="6">
      <t>ヒンモク</t>
    </rPh>
    <rPh sb="10" eb="11">
      <t>タイ</t>
    </rPh>
    <rPh sb="13" eb="15">
      <t>メイショウ</t>
    </rPh>
    <phoneticPr fontId="7"/>
  </si>
  <si>
    <t>業種コード</t>
  </si>
  <si>
    <t>業種名称</t>
  </si>
  <si>
    <t>仕入事業所コード</t>
  </si>
  <si>
    <t>仕入事業所名称</t>
  </si>
  <si>
    <t>仕入組織コード</t>
  </si>
  <si>
    <t>仕入組織名称</t>
  </si>
  <si>
    <t>会計情報品目コード</t>
  </si>
  <si>
    <t>会計情報品目名称</t>
  </si>
  <si>
    <t>収支管理品目名称</t>
  </si>
  <si>
    <t>年産</t>
  </si>
  <si>
    <t>最終仕入単価</t>
  </si>
  <si>
    <t>部門品目数量</t>
  </si>
  <si>
    <t>収支換算数量仮数</t>
  </si>
  <si>
    <t>収支換算数量分子</t>
  </si>
  <si>
    <t>収支換算数量分母</t>
  </si>
  <si>
    <t>収支数量単位区分</t>
  </si>
  <si>
    <t>収支数量単位名称</t>
  </si>
  <si>
    <t>部門品目単価</t>
  </si>
  <si>
    <t>最終仕入経理年月日</t>
  </si>
  <si>
    <t>最終仕入受付番号</t>
  </si>
  <si>
    <t>最終仕入仕訳ﾊﾟﾀｰﾝｺｰﾄﾞ</t>
  </si>
  <si>
    <t>78</t>
  </si>
  <si>
    <t>卸米穀　　　　　　　</t>
  </si>
  <si>
    <t>01</t>
  </si>
  <si>
    <t>函館支所　　　　　　　　　　　</t>
  </si>
  <si>
    <t>760</t>
  </si>
  <si>
    <t>163216</t>
  </si>
  <si>
    <t>検査米新潟コシヒカリ１等３０Ｋ　　　　　　　　　　</t>
  </si>
  <si>
    <t>2009</t>
  </si>
  <si>
    <t>201001</t>
  </si>
  <si>
    <t>20110405</t>
  </si>
  <si>
    <t xml:space="preserve">419520205440000  00 </t>
  </si>
  <si>
    <t>A72</t>
  </si>
  <si>
    <t>12000.00</t>
  </si>
  <si>
    <t>0</t>
  </si>
  <si>
    <t>単位なし</t>
  </si>
  <si>
    <t>100</t>
  </si>
  <si>
    <t>200</t>
  </si>
  <si>
    <t>300</t>
  </si>
  <si>
    <t>400</t>
  </si>
  <si>
    <t>500</t>
  </si>
  <si>
    <t>英数字</t>
    <phoneticPr fontId="1"/>
  </si>
  <si>
    <t>漢字</t>
    <phoneticPr fontId="1"/>
  </si>
  <si>
    <t>最終仕入単価決定時の経理年月日</t>
    <rPh sb="10" eb="12">
      <t>ケイリ</t>
    </rPh>
    <rPh sb="12" eb="15">
      <t>ネンガッピ</t>
    </rPh>
    <phoneticPr fontId="7"/>
  </si>
  <si>
    <t>最終仕入単価決定時の受付番号</t>
    <rPh sb="10" eb="11">
      <t>ウ</t>
    </rPh>
    <rPh sb="11" eb="12">
      <t>ツ</t>
    </rPh>
    <rPh sb="12" eb="14">
      <t>バンゴウ</t>
    </rPh>
    <phoneticPr fontId="7"/>
  </si>
  <si>
    <t>最終仕入単価決定時の仕訳パターンコード</t>
    <rPh sb="0" eb="2">
      <t>サイシュウ</t>
    </rPh>
    <rPh sb="2" eb="4">
      <t>シイレ</t>
    </rPh>
    <rPh sb="4" eb="6">
      <t>タンカ</t>
    </rPh>
    <rPh sb="6" eb="8">
      <t>ケッテイ</t>
    </rPh>
    <rPh sb="8" eb="9">
      <t>ジ</t>
    </rPh>
    <rPh sb="10" eb="12">
      <t>シワケ</t>
    </rPh>
    <phoneticPr fontId="7"/>
  </si>
  <si>
    <t>パールライス販売課　　　　　　</t>
  </si>
  <si>
    <t>仕入組織コードに対する名称</t>
    <rPh sb="0" eb="2">
      <t>シイレ</t>
    </rPh>
    <rPh sb="2" eb="4">
      <t>ソシキ</t>
    </rPh>
    <rPh sb="8" eb="9">
      <t>タイ</t>
    </rPh>
    <rPh sb="11" eb="13">
      <t>メイショウ</t>
    </rPh>
    <phoneticPr fontId="7"/>
  </si>
  <si>
    <t>業種コード</t>
    <rPh sb="0" eb="2">
      <t>ギョウシュ</t>
    </rPh>
    <phoneticPr fontId="7"/>
  </si>
  <si>
    <t>業種コードに対する名称</t>
    <rPh sb="0" eb="2">
      <t>ギョウシュ</t>
    </rPh>
    <rPh sb="6" eb="7">
      <t>タイ</t>
    </rPh>
    <rPh sb="9" eb="11">
      <t>メイショウ</t>
    </rPh>
    <phoneticPr fontId="7"/>
  </si>
  <si>
    <t>仕入事業所コード</t>
    <rPh sb="0" eb="2">
      <t>シイレ</t>
    </rPh>
    <rPh sb="2" eb="5">
      <t>ジギョウショ</t>
    </rPh>
    <phoneticPr fontId="7"/>
  </si>
  <si>
    <t>仕入事業所コードに対する名称</t>
    <rPh sb="0" eb="2">
      <t>シイレ</t>
    </rPh>
    <rPh sb="2" eb="5">
      <t>ジギョウショ</t>
    </rPh>
    <rPh sb="9" eb="10">
      <t>タイ</t>
    </rPh>
    <rPh sb="12" eb="14">
      <t>メイショウ</t>
    </rPh>
    <phoneticPr fontId="7"/>
  </si>
  <si>
    <t>会計情報品目コード</t>
    <rPh sb="0" eb="2">
      <t>カイケイ</t>
    </rPh>
    <rPh sb="2" eb="4">
      <t>ジョウホウ</t>
    </rPh>
    <rPh sb="4" eb="6">
      <t>ヒンモク</t>
    </rPh>
    <phoneticPr fontId="7"/>
  </si>
  <si>
    <t>会計情報品目コードに対する名称</t>
    <rPh sb="0" eb="2">
      <t>カイケイ</t>
    </rPh>
    <rPh sb="2" eb="4">
      <t>ジョウホウ</t>
    </rPh>
    <rPh sb="4" eb="6">
      <t>ヒンモク</t>
    </rPh>
    <rPh sb="10" eb="11">
      <t>タイ</t>
    </rPh>
    <rPh sb="13" eb="15">
      <t>メイショウ</t>
    </rPh>
    <phoneticPr fontId="7"/>
  </si>
  <si>
    <t>年産</t>
    <rPh sb="0" eb="2">
      <t>ネンサン</t>
    </rPh>
    <phoneticPr fontId="7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</si>
  <si>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</si>
  <si>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</si>
  <si>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</si>
  <si>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</si>
  <si>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年産</t>
    <rPh sb="0" eb="2">
      <t>ネンサン</t>
    </rPh>
    <phoneticPr fontId="1"/>
  </si>
  <si>
    <t>仕入事業所コード</t>
    <phoneticPr fontId="1"/>
  </si>
  <si>
    <t>仕入組織コード</t>
    <phoneticPr fontId="1"/>
  </si>
  <si>
    <t>収支管理品目コード</t>
    <phoneticPr fontId="1"/>
  </si>
  <si>
    <t>年産</t>
    <phoneticPr fontId="1"/>
  </si>
  <si>
    <t>収支管理品目（大分類）コード</t>
    <rPh sb="7" eb="10">
      <t>ダイブンルイ</t>
    </rPh>
    <phoneticPr fontId="1"/>
  </si>
  <si>
    <t>収支管理品目（大分類）名称</t>
    <phoneticPr fontId="1"/>
  </si>
  <si>
    <t>XXX</t>
    <phoneticPr fontId="1"/>
  </si>
  <si>
    <t>収支管理品目（大分類）名称</t>
  </si>
  <si>
    <t>ＫＫＫＫＫＫＫＫＫＫＫＫＫ</t>
    <phoneticPr fontId="1"/>
  </si>
  <si>
    <t>最終仕入単価データ</t>
  </si>
  <si>
    <t>収支管理品目（大分類）コード</t>
    <phoneticPr fontId="7"/>
  </si>
  <si>
    <t>収支管理品目（大分類）コードに対する名称</t>
    <phoneticPr fontId="7"/>
  </si>
  <si>
    <t>部門品目単価　×　部門数量　÷ （ 収支換算数量仮数　＋ （ 収支換算数量分子　÷　収支換算数量分母 ））</t>
    <rPh sb="2" eb="4">
      <t>ヒンモク</t>
    </rPh>
    <phoneticPr fontId="7"/>
  </si>
  <si>
    <t>収支管理品目の数量単位区分</t>
    <phoneticPr fontId="7"/>
  </si>
  <si>
    <t>収支数量単位区分に対する名称</t>
    <phoneticPr fontId="7"/>
  </si>
  <si>
    <t>関連チェック概要</t>
    <phoneticPr fontId="1"/>
  </si>
  <si>
    <t>Shift jis</t>
  </si>
  <si>
    <t>仕入事業所コード</t>
    <rPh sb="0" eb="2">
      <t>シイ</t>
    </rPh>
    <phoneticPr fontId="7"/>
  </si>
  <si>
    <t>仕入組織コード</t>
    <rPh sb="0" eb="2">
      <t>シイ</t>
    </rPh>
    <phoneticPr fontId="7"/>
  </si>
  <si>
    <t>2025/08/29</t>
    <phoneticPr fontId="1"/>
  </si>
  <si>
    <t>統合会計システム</t>
    <phoneticPr fontId="1"/>
  </si>
  <si>
    <t>D07060404</t>
    <phoneticPr fontId="1"/>
  </si>
  <si>
    <t>F4110-1D</t>
    <phoneticPr fontId="1"/>
  </si>
  <si>
    <t>基幹システム再構築　会計システム外部設計</t>
  </si>
  <si>
    <t>24058</t>
  </si>
  <si>
    <t>"4"+課コード</t>
    <rPh sb="4" eb="5">
      <t>カ</t>
    </rPh>
    <phoneticPr fontId="7"/>
  </si>
  <si>
    <t>7,2</t>
    <phoneticPr fontId="7"/>
  </si>
  <si>
    <t>8,3</t>
    <phoneticPr fontId="7"/>
  </si>
  <si>
    <t>4195</t>
    <phoneticPr fontId="1"/>
  </si>
  <si>
    <t>統合会計システムに仕入計上された最終受付番号のデータの部門品目数量（直近３カ月間）</t>
  </si>
  <si>
    <t>統合会計システムに仕入計上された最終受付番号のデータの収支換算数量仮数（直近３カ月間）</t>
  </si>
  <si>
    <t>統合会計システムに仕入計上された最終受付番号のデータの収支換算数量分子（直近３カ月間）</t>
  </si>
  <si>
    <t>統合会計システムに仕入計上された最終受付番号のデータの収支換算数量分母（直近３カ月間）</t>
  </si>
  <si>
    <t>統合会計システムに仕入計上された最終受付番号のデータの部門品目単価（直近３カ月間）</t>
  </si>
  <si>
    <t>数字</t>
    <rPh sb="0" eb="2">
      <t>スウジ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</si>
</sst>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20" fillId="0" borderId="0"/>
  </cellStyleXfs>
  <cellXfs count="13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8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2" fillId="2" borderId="11" xfId="0" applyFont="1" applyFill="1" applyBorder="1" applyAlignment="1">
      <alignment horizontal="centerContinuous" vertical="center"/>
    </xf>
    <xf numFmtId="0" fontId="2" fillId="2" borderId="12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2" fillId="2" borderId="15" xfId="0" applyFont="1" applyFill="1" applyBorder="1" applyAlignment="1">
      <alignment horizontal="centerContinuous" vertical="center"/>
    </xf>
    <xf numFmtId="0" fontId="2" fillId="2" borderId="14" xfId="0" applyFont="1" applyFill="1" applyBorder="1" applyAlignment="1">
      <alignment horizontal="centerContinuous" vertical="center"/>
    </xf>
    <xf numFmtId="0" fontId="2" fillId="2" borderId="13" xfId="0" quotePrefix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2" borderId="7" xfId="0" quotePrefix="1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61A4FAB-D360-473F-9EA2-41D9E8521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24" customWidth="1"/>
    <col min="63" max="16384" width="2.21875" style="24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59" t="s">
        <v>35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3" t="s">
        <v>2</v>
      </c>
      <c r="AU2" s="54"/>
      <c r="AV2" s="54"/>
      <c r="AW2" s="54"/>
      <c r="AX2" s="55"/>
      <c r="AY2" s="53" t="s">
        <v>36</v>
      </c>
      <c r="AZ2" s="54"/>
      <c r="BA2" s="54"/>
      <c r="BB2" s="55"/>
      <c r="BC2" s="53" t="s">
        <v>9</v>
      </c>
      <c r="BD2" s="54"/>
      <c r="BE2" s="54"/>
      <c r="BF2" s="55"/>
      <c r="BG2" s="53"/>
      <c r="BH2" s="54"/>
      <c r="BI2" s="54"/>
      <c r="BJ2" s="55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3"/>
      <c r="H3" s="64"/>
      <c r="I3" s="68" t="s">
        <v>141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53" t="s">
        <v>3</v>
      </c>
      <c r="AU3" s="54"/>
      <c r="AV3" s="54"/>
      <c r="AW3" s="54"/>
      <c r="AX3" s="55"/>
      <c r="AY3" s="53" t="s">
        <v>140</v>
      </c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2" s="1" customFormat="1" ht="18" customHeight="1">
      <c r="A4" s="65"/>
      <c r="B4" s="66"/>
      <c r="C4" s="66"/>
      <c r="D4" s="66"/>
      <c r="E4" s="66"/>
      <c r="F4" s="66"/>
      <c r="G4" s="66"/>
      <c r="H4" s="67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53" t="s">
        <v>4</v>
      </c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2" s="13" customFormat="1" ht="9" customHeight="1"/>
    <row r="6" spans="1:62" s="17" customFormat="1" ht="15.75" customHeight="1">
      <c r="A6" s="56" t="s">
        <v>48</v>
      </c>
      <c r="B6" s="57"/>
      <c r="C6" s="57"/>
      <c r="D6" s="57"/>
      <c r="E6" s="57"/>
      <c r="F6" s="57"/>
      <c r="G6" s="58"/>
      <c r="H6" s="14"/>
      <c r="I6" s="15" t="s">
        <v>49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145</v>
      </c>
      <c r="C8" s="28"/>
      <c r="D8" s="28"/>
      <c r="E8" s="28"/>
      <c r="F8" s="28"/>
      <c r="G8" s="28"/>
      <c r="H8" s="19"/>
      <c r="I8" s="17" t="s">
        <v>144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58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59" t="s">
        <v>21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3" t="s">
        <v>2</v>
      </c>
      <c r="AU2" s="54"/>
      <c r="AV2" s="54"/>
      <c r="AW2" s="54"/>
      <c r="AX2" s="55"/>
      <c r="AY2" s="53" t="s">
        <v>143</v>
      </c>
      <c r="AZ2" s="54"/>
      <c r="BA2" s="54"/>
      <c r="BB2" s="55"/>
      <c r="BC2" s="53" t="s">
        <v>9</v>
      </c>
      <c r="BD2" s="54"/>
      <c r="BE2" s="54"/>
      <c r="BF2" s="55"/>
      <c r="BG2" s="53"/>
      <c r="BH2" s="54"/>
      <c r="BI2" s="54"/>
      <c r="BJ2" s="55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3"/>
      <c r="H3" s="64"/>
      <c r="I3" s="68" t="s">
        <v>141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53" t="s">
        <v>3</v>
      </c>
      <c r="AU3" s="54"/>
      <c r="AV3" s="54"/>
      <c r="AW3" s="54"/>
      <c r="AX3" s="55"/>
      <c r="AY3" s="53" t="s">
        <v>140</v>
      </c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2" s="1" customFormat="1" ht="18" customHeight="1">
      <c r="A4" s="65"/>
      <c r="B4" s="66"/>
      <c r="C4" s="66"/>
      <c r="D4" s="66"/>
      <c r="E4" s="66"/>
      <c r="F4" s="66"/>
      <c r="G4" s="66"/>
      <c r="H4" s="67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53" t="s">
        <v>4</v>
      </c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2" s="10" customFormat="1" ht="6" customHeight="1"/>
    <row r="6" spans="1:62" s="12" customFormat="1" ht="20.25" customHeight="1">
      <c r="A6" s="74" t="s">
        <v>39</v>
      </c>
      <c r="B6" s="76"/>
      <c r="C6" s="76"/>
      <c r="D6" s="76"/>
      <c r="E6" s="76"/>
      <c r="F6" s="76"/>
      <c r="G6" s="76"/>
      <c r="H6" s="76"/>
      <c r="I6" s="76"/>
      <c r="J6" s="76"/>
      <c r="K6" s="75"/>
      <c r="L6" s="74" t="s">
        <v>142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5"/>
      <c r="AB6" s="74" t="s">
        <v>16</v>
      </c>
      <c r="AC6" s="76"/>
      <c r="AD6" s="76"/>
      <c r="AE6" s="76"/>
      <c r="AF6" s="76"/>
      <c r="AG6" s="76"/>
      <c r="AH6" s="76"/>
      <c r="AI6" s="76"/>
      <c r="AJ6" s="75"/>
      <c r="AK6" s="74" t="s">
        <v>14</v>
      </c>
      <c r="AL6" s="76"/>
      <c r="AM6" s="76"/>
      <c r="AN6" s="75"/>
      <c r="AO6" s="74" t="s">
        <v>13</v>
      </c>
      <c r="AP6" s="76"/>
      <c r="AQ6" s="76"/>
      <c r="AR6" s="76"/>
      <c r="AS6" s="76"/>
      <c r="AT6" s="76"/>
      <c r="AU6" s="76"/>
      <c r="AV6" s="76"/>
      <c r="AW6" s="75"/>
      <c r="AX6" s="74" t="s">
        <v>29</v>
      </c>
      <c r="AY6" s="76"/>
      <c r="AZ6" s="76"/>
      <c r="BA6" s="75"/>
      <c r="BB6" s="85" t="s">
        <v>15</v>
      </c>
      <c r="BC6" s="85"/>
      <c r="BD6" s="85"/>
      <c r="BE6" s="85"/>
      <c r="BF6" s="85">
        <f>COUNTA(D23:D58)</f>
        <v>26</v>
      </c>
      <c r="BG6" s="85"/>
      <c r="BH6" s="85"/>
      <c r="BI6" s="85"/>
      <c r="BJ6" s="85"/>
    </row>
    <row r="7" spans="1:62" s="12" customFormat="1" ht="20.25" customHeight="1">
      <c r="A7" s="74" t="s">
        <v>11</v>
      </c>
      <c r="B7" s="76"/>
      <c r="C7" s="76"/>
      <c r="D7" s="76"/>
      <c r="E7" s="76"/>
      <c r="F7" s="76"/>
      <c r="G7" s="76"/>
      <c r="H7" s="76"/>
      <c r="I7" s="76"/>
      <c r="J7" s="76"/>
      <c r="K7" s="75"/>
      <c r="L7" s="74" t="s">
        <v>130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5"/>
      <c r="AK7" s="74" t="s">
        <v>46</v>
      </c>
      <c r="AL7" s="76"/>
      <c r="AM7" s="76"/>
      <c r="AN7" s="76"/>
      <c r="AO7" s="76"/>
      <c r="AP7" s="76"/>
      <c r="AQ7" s="76"/>
      <c r="AR7" s="75"/>
      <c r="AS7" s="74" t="s">
        <v>137</v>
      </c>
      <c r="AT7" s="76"/>
      <c r="AU7" s="76"/>
      <c r="AV7" s="76"/>
      <c r="AW7" s="76"/>
      <c r="AX7" s="75"/>
      <c r="AY7" s="26" t="s">
        <v>34</v>
      </c>
      <c r="AZ7" s="27"/>
      <c r="BA7" s="27"/>
      <c r="BB7" s="27"/>
      <c r="BC7" s="74" t="s">
        <v>27</v>
      </c>
      <c r="BD7" s="75"/>
      <c r="BE7" s="74" t="s">
        <v>33</v>
      </c>
      <c r="BF7" s="76"/>
      <c r="BG7" s="76"/>
      <c r="BH7" s="75"/>
      <c r="BI7" s="74"/>
      <c r="BJ7" s="75"/>
    </row>
    <row r="8" spans="1:62" s="12" customFormat="1" ht="5.2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2" customFormat="1" ht="20.25" customHeight="1">
      <c r="A9" s="51" t="s">
        <v>116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BC9" s="50"/>
      <c r="BD9" s="50"/>
      <c r="BE9" s="50"/>
      <c r="BF9" s="50"/>
      <c r="BG9" s="50"/>
      <c r="BH9" s="50"/>
      <c r="BI9" s="50"/>
      <c r="BJ9" s="50"/>
    </row>
    <row r="10" spans="1:62" s="12" customFormat="1" ht="26.25" customHeight="1">
      <c r="A10" s="85" t="s">
        <v>5</v>
      </c>
      <c r="B10" s="85"/>
      <c r="C10" s="85"/>
      <c r="D10" s="86" t="s">
        <v>117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5" t="s">
        <v>118</v>
      </c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</row>
    <row r="11" spans="1:62" s="12" customFormat="1" ht="26.25" customHeight="1">
      <c r="A11" s="87">
        <v>1</v>
      </c>
      <c r="B11" s="87"/>
      <c r="C11" s="87"/>
      <c r="D11" s="30" t="s">
        <v>51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2"/>
      <c r="AS11" s="87" t="s">
        <v>119</v>
      </c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</row>
    <row r="12" spans="1:62" s="12" customFormat="1" ht="26.25" customHeight="1">
      <c r="A12" s="78">
        <v>2</v>
      </c>
      <c r="B12" s="78"/>
      <c r="C12" s="78"/>
      <c r="D12" s="33" t="s">
        <v>52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5"/>
      <c r="AS12" s="78" t="s">
        <v>119</v>
      </c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</row>
    <row r="13" spans="1:62" s="12" customFormat="1" ht="26.25" customHeight="1">
      <c r="A13" s="78">
        <v>3</v>
      </c>
      <c r="B13" s="78"/>
      <c r="C13" s="78"/>
      <c r="D13" s="33" t="s">
        <v>61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5"/>
      <c r="AS13" s="78" t="s">
        <v>119</v>
      </c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</row>
    <row r="14" spans="1:62" s="12" customFormat="1" ht="26.25" customHeight="1">
      <c r="A14" s="78">
        <v>4</v>
      </c>
      <c r="B14" s="78"/>
      <c r="C14" s="78"/>
      <c r="D14" s="33" t="s">
        <v>138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5"/>
      <c r="AS14" s="78" t="s">
        <v>119</v>
      </c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</row>
    <row r="15" spans="1:62" s="12" customFormat="1" ht="26.25" customHeight="1">
      <c r="A15" s="78">
        <v>5</v>
      </c>
      <c r="B15" s="78"/>
      <c r="C15" s="78"/>
      <c r="D15" s="33" t="s">
        <v>139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5"/>
      <c r="AS15" s="78" t="s">
        <v>119</v>
      </c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</row>
    <row r="16" spans="1:62" s="12" customFormat="1" ht="26.25" customHeight="1">
      <c r="A16" s="78">
        <v>6</v>
      </c>
      <c r="B16" s="78"/>
      <c r="C16" s="78"/>
      <c r="D16" s="33" t="s">
        <v>67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5"/>
      <c r="AS16" s="78" t="s">
        <v>119</v>
      </c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</row>
    <row r="17" spans="1:62" s="12" customFormat="1" ht="26.25" customHeight="1">
      <c r="A17" s="78">
        <v>7</v>
      </c>
      <c r="B17" s="78"/>
      <c r="C17" s="78"/>
      <c r="D17" s="33" t="s">
        <v>125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5"/>
      <c r="AS17" s="78" t="s">
        <v>119</v>
      </c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</row>
    <row r="18" spans="1:62" s="12" customFormat="1" ht="26.25" customHeight="1">
      <c r="A18" s="78">
        <v>8</v>
      </c>
      <c r="B18" s="78"/>
      <c r="C18" s="78"/>
      <c r="D18" s="33" t="s">
        <v>58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5"/>
      <c r="AS18" s="78" t="s">
        <v>119</v>
      </c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</row>
    <row r="19" spans="1:62" s="12" customFormat="1" ht="26.25" customHeight="1">
      <c r="A19" s="77">
        <v>9</v>
      </c>
      <c r="B19" s="77"/>
      <c r="C19" s="77"/>
      <c r="D19" s="36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8"/>
      <c r="AS19" s="77" t="s">
        <v>119</v>
      </c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</row>
    <row r="20" spans="1:62" s="12" customFormat="1" ht="10.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BC20" s="50"/>
      <c r="BD20" s="50"/>
      <c r="BE20" s="50"/>
      <c r="BF20" s="50"/>
      <c r="BG20" s="50"/>
      <c r="BH20" s="50"/>
      <c r="BI20" s="50"/>
      <c r="BJ20" s="50"/>
    </row>
    <row r="21" spans="1:62" s="4" customFormat="1">
      <c r="B21" s="25" t="s">
        <v>28</v>
      </c>
      <c r="G21" s="5"/>
    </row>
    <row r="22" spans="1:62" s="12" customFormat="1" ht="42" customHeight="1">
      <c r="A22" s="74" t="s">
        <v>5</v>
      </c>
      <c r="B22" s="76"/>
      <c r="C22" s="75"/>
      <c r="D22" s="74" t="s">
        <v>7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5"/>
      <c r="U22" s="82" t="s">
        <v>10</v>
      </c>
      <c r="V22" s="83"/>
      <c r="W22" s="83"/>
      <c r="X22" s="83"/>
      <c r="Y22" s="84"/>
      <c r="Z22" s="82" t="s">
        <v>17</v>
      </c>
      <c r="AA22" s="83"/>
      <c r="AB22" s="84"/>
      <c r="AC22" s="82" t="s">
        <v>6</v>
      </c>
      <c r="AD22" s="83"/>
      <c r="AE22" s="84"/>
      <c r="AF22" s="82" t="s">
        <v>19</v>
      </c>
      <c r="AG22" s="83"/>
      <c r="AH22" s="84"/>
      <c r="AI22" s="82" t="s">
        <v>8</v>
      </c>
      <c r="AJ22" s="83"/>
      <c r="AK22" s="84"/>
      <c r="AL22" s="82" t="s">
        <v>18</v>
      </c>
      <c r="AM22" s="83"/>
      <c r="AN22" s="84"/>
      <c r="AO22" s="82" t="s">
        <v>20</v>
      </c>
      <c r="AP22" s="83"/>
      <c r="AQ22" s="84"/>
      <c r="AR22" s="74" t="s">
        <v>12</v>
      </c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5"/>
    </row>
    <row r="23" spans="1:62" s="11" customFormat="1" ht="36" customHeight="1">
      <c r="A23" s="78">
        <f>ROW()-22</f>
        <v>1</v>
      </c>
      <c r="B23" s="78"/>
      <c r="C23" s="78"/>
      <c r="D23" s="30" t="s">
        <v>51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9" t="s">
        <v>50</v>
      </c>
      <c r="V23" s="40"/>
      <c r="W23" s="40"/>
      <c r="X23" s="40"/>
      <c r="Y23" s="41"/>
      <c r="Z23" s="45">
        <v>4</v>
      </c>
      <c r="AA23" s="46"/>
      <c r="AB23" s="47"/>
      <c r="AC23" s="79"/>
      <c r="AD23" s="80"/>
      <c r="AE23" s="81"/>
      <c r="AF23" s="79"/>
      <c r="AG23" s="80"/>
      <c r="AH23" s="81"/>
      <c r="AI23" s="79"/>
      <c r="AJ23" s="80"/>
      <c r="AK23" s="81"/>
      <c r="AL23" s="79"/>
      <c r="AM23" s="80"/>
      <c r="AN23" s="81"/>
      <c r="AO23" s="79"/>
      <c r="AP23" s="80"/>
      <c r="AQ23" s="81"/>
      <c r="AR23" s="91" t="s">
        <v>56</v>
      </c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3"/>
    </row>
    <row r="24" spans="1:62" s="11" customFormat="1" ht="36" customHeight="1">
      <c r="A24" s="78">
        <f t="shared" ref="A24:A58" si="0">ROW()-22</f>
        <v>2</v>
      </c>
      <c r="B24" s="78"/>
      <c r="C24" s="78"/>
      <c r="D24" s="33" t="s">
        <v>52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50</v>
      </c>
      <c r="V24" s="40"/>
      <c r="W24" s="40"/>
      <c r="X24" s="40"/>
      <c r="Y24" s="41"/>
      <c r="Z24" s="39">
        <v>6</v>
      </c>
      <c r="AA24" s="40"/>
      <c r="AB24" s="41"/>
      <c r="AC24" s="79"/>
      <c r="AD24" s="80"/>
      <c r="AE24" s="81"/>
      <c r="AF24" s="79"/>
      <c r="AG24" s="80"/>
      <c r="AH24" s="81"/>
      <c r="AI24" s="79"/>
      <c r="AJ24" s="80"/>
      <c r="AK24" s="81"/>
      <c r="AL24" s="79"/>
      <c r="AM24" s="80"/>
      <c r="AN24" s="81"/>
      <c r="AO24" s="79"/>
      <c r="AP24" s="80"/>
      <c r="AQ24" s="81"/>
      <c r="AR24" s="94" t="s">
        <v>57</v>
      </c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6"/>
    </row>
    <row r="25" spans="1:62" s="11" customFormat="1" ht="36" customHeight="1">
      <c r="A25" s="78">
        <f t="shared" si="0"/>
        <v>3</v>
      </c>
      <c r="B25" s="78"/>
      <c r="C25" s="78"/>
      <c r="D25" s="33" t="s">
        <v>61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102</v>
      </c>
      <c r="V25" s="40"/>
      <c r="W25" s="40"/>
      <c r="X25" s="40"/>
      <c r="Y25" s="41"/>
      <c r="Z25" s="39">
        <v>2</v>
      </c>
      <c r="AA25" s="40"/>
      <c r="AB25" s="41"/>
      <c r="AC25" s="79"/>
      <c r="AD25" s="80"/>
      <c r="AE25" s="81"/>
      <c r="AF25" s="79"/>
      <c r="AG25" s="80"/>
      <c r="AH25" s="81"/>
      <c r="AI25" s="79"/>
      <c r="AJ25" s="80"/>
      <c r="AK25" s="81"/>
      <c r="AL25" s="79"/>
      <c r="AM25" s="80"/>
      <c r="AN25" s="81"/>
      <c r="AO25" s="79"/>
      <c r="AP25" s="80"/>
      <c r="AQ25" s="81"/>
      <c r="AR25" s="94" t="s">
        <v>109</v>
      </c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6"/>
    </row>
    <row r="26" spans="1:62" s="11" customFormat="1" ht="36" customHeight="1">
      <c r="A26" s="78">
        <f t="shared" si="0"/>
        <v>4</v>
      </c>
      <c r="B26" s="78"/>
      <c r="C26" s="78"/>
      <c r="D26" s="33" t="s">
        <v>62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103</v>
      </c>
      <c r="V26" s="40"/>
      <c r="W26" s="40"/>
      <c r="X26" s="40"/>
      <c r="Y26" s="41"/>
      <c r="Z26" s="39">
        <v>20</v>
      </c>
      <c r="AA26" s="40"/>
      <c r="AB26" s="41"/>
      <c r="AC26" s="79"/>
      <c r="AD26" s="80"/>
      <c r="AE26" s="81"/>
      <c r="AF26" s="79"/>
      <c r="AG26" s="80"/>
      <c r="AH26" s="81"/>
      <c r="AI26" s="79"/>
      <c r="AJ26" s="80"/>
      <c r="AK26" s="81"/>
      <c r="AL26" s="79"/>
      <c r="AM26" s="80"/>
      <c r="AN26" s="81"/>
      <c r="AO26" s="79"/>
      <c r="AP26" s="80"/>
      <c r="AQ26" s="81"/>
      <c r="AR26" s="94" t="s">
        <v>110</v>
      </c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6"/>
    </row>
    <row r="27" spans="1:62" s="11" customFormat="1" ht="36" customHeight="1">
      <c r="A27" s="78">
        <f t="shared" si="0"/>
        <v>5</v>
      </c>
      <c r="B27" s="78"/>
      <c r="C27" s="78"/>
      <c r="D27" s="33" t="s">
        <v>121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102</v>
      </c>
      <c r="V27" s="40"/>
      <c r="W27" s="40"/>
      <c r="X27" s="40"/>
      <c r="Y27" s="41"/>
      <c r="Z27" s="39">
        <v>2</v>
      </c>
      <c r="AA27" s="40"/>
      <c r="AB27" s="41"/>
      <c r="AC27" s="79"/>
      <c r="AD27" s="80"/>
      <c r="AE27" s="81"/>
      <c r="AF27" s="79"/>
      <c r="AG27" s="80"/>
      <c r="AH27" s="81"/>
      <c r="AI27" s="79"/>
      <c r="AJ27" s="80"/>
      <c r="AK27" s="81"/>
      <c r="AL27" s="79"/>
      <c r="AM27" s="80"/>
      <c r="AN27" s="81"/>
      <c r="AO27" s="79"/>
      <c r="AP27" s="80"/>
      <c r="AQ27" s="81"/>
      <c r="AR27" s="94" t="s">
        <v>111</v>
      </c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6"/>
    </row>
    <row r="28" spans="1:62" s="11" customFormat="1" ht="36" customHeight="1">
      <c r="A28" s="78">
        <f t="shared" si="0"/>
        <v>6</v>
      </c>
      <c r="B28" s="78"/>
      <c r="C28" s="78"/>
      <c r="D28" s="33" t="s">
        <v>64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103</v>
      </c>
      <c r="V28" s="40"/>
      <c r="W28" s="40"/>
      <c r="X28" s="40"/>
      <c r="Y28" s="41"/>
      <c r="Z28" s="39">
        <v>15</v>
      </c>
      <c r="AA28" s="40"/>
      <c r="AB28" s="41"/>
      <c r="AC28" s="79"/>
      <c r="AD28" s="80"/>
      <c r="AE28" s="81"/>
      <c r="AF28" s="79"/>
      <c r="AG28" s="80"/>
      <c r="AH28" s="81"/>
      <c r="AI28" s="79"/>
      <c r="AJ28" s="80"/>
      <c r="AK28" s="81"/>
      <c r="AL28" s="79"/>
      <c r="AM28" s="80"/>
      <c r="AN28" s="81"/>
      <c r="AO28" s="79"/>
      <c r="AP28" s="80"/>
      <c r="AQ28" s="81"/>
      <c r="AR28" s="94" t="s">
        <v>112</v>
      </c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6"/>
    </row>
    <row r="29" spans="1:62" s="11" customFormat="1" ht="36" customHeight="1">
      <c r="A29" s="78">
        <f t="shared" si="0"/>
        <v>7</v>
      </c>
      <c r="B29" s="78"/>
      <c r="C29" s="78"/>
      <c r="D29" s="33" t="s">
        <v>122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102</v>
      </c>
      <c r="V29" s="40"/>
      <c r="W29" s="40"/>
      <c r="X29" s="40"/>
      <c r="Y29" s="41"/>
      <c r="Z29" s="39">
        <v>4</v>
      </c>
      <c r="AA29" s="40"/>
      <c r="AB29" s="41"/>
      <c r="AC29" s="79"/>
      <c r="AD29" s="80"/>
      <c r="AE29" s="81"/>
      <c r="AF29" s="79"/>
      <c r="AG29" s="80"/>
      <c r="AH29" s="81"/>
      <c r="AI29" s="79"/>
      <c r="AJ29" s="80"/>
      <c r="AK29" s="81"/>
      <c r="AL29" s="79"/>
      <c r="AM29" s="80"/>
      <c r="AN29" s="81"/>
      <c r="AO29" s="79"/>
      <c r="AP29" s="80"/>
      <c r="AQ29" s="81"/>
      <c r="AR29" s="94" t="s">
        <v>146</v>
      </c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6"/>
    </row>
    <row r="30" spans="1:62" s="11" customFormat="1" ht="36" customHeight="1">
      <c r="A30" s="78">
        <f t="shared" si="0"/>
        <v>8</v>
      </c>
      <c r="B30" s="78"/>
      <c r="C30" s="78"/>
      <c r="D30" s="33" t="s">
        <v>66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103</v>
      </c>
      <c r="V30" s="40"/>
      <c r="W30" s="40"/>
      <c r="X30" s="40"/>
      <c r="Y30" s="41"/>
      <c r="Z30" s="39">
        <v>15</v>
      </c>
      <c r="AA30" s="40"/>
      <c r="AB30" s="41"/>
      <c r="AC30" s="79"/>
      <c r="AD30" s="80"/>
      <c r="AE30" s="81"/>
      <c r="AF30" s="79"/>
      <c r="AG30" s="80"/>
      <c r="AH30" s="81"/>
      <c r="AI30" s="79"/>
      <c r="AJ30" s="80"/>
      <c r="AK30" s="81"/>
      <c r="AL30" s="79"/>
      <c r="AM30" s="80"/>
      <c r="AN30" s="81"/>
      <c r="AO30" s="79"/>
      <c r="AP30" s="80"/>
      <c r="AQ30" s="81"/>
      <c r="AR30" s="94" t="s">
        <v>108</v>
      </c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6"/>
    </row>
    <row r="31" spans="1:62" s="11" customFormat="1" ht="36" customHeight="1">
      <c r="A31" s="78">
        <f t="shared" si="0"/>
        <v>9</v>
      </c>
      <c r="B31" s="78"/>
      <c r="C31" s="78"/>
      <c r="D31" s="33" t="s">
        <v>67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102</v>
      </c>
      <c r="V31" s="40"/>
      <c r="W31" s="40"/>
      <c r="X31" s="40"/>
      <c r="Y31" s="41"/>
      <c r="Z31" s="39">
        <v>3</v>
      </c>
      <c r="AA31" s="40"/>
      <c r="AB31" s="41"/>
      <c r="AC31" s="79"/>
      <c r="AD31" s="80"/>
      <c r="AE31" s="81"/>
      <c r="AF31" s="79"/>
      <c r="AG31" s="80"/>
      <c r="AH31" s="81"/>
      <c r="AI31" s="79"/>
      <c r="AJ31" s="80"/>
      <c r="AK31" s="81"/>
      <c r="AL31" s="79"/>
      <c r="AM31" s="80"/>
      <c r="AN31" s="81"/>
      <c r="AO31" s="79"/>
      <c r="AP31" s="80"/>
      <c r="AQ31" s="81"/>
      <c r="AR31" s="94" t="s">
        <v>113</v>
      </c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6"/>
    </row>
    <row r="32" spans="1:62" s="11" customFormat="1" ht="36" customHeight="1">
      <c r="A32" s="78">
        <f t="shared" si="0"/>
        <v>10</v>
      </c>
      <c r="B32" s="78"/>
      <c r="C32" s="78"/>
      <c r="D32" s="33" t="s">
        <v>68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103</v>
      </c>
      <c r="V32" s="40"/>
      <c r="W32" s="40"/>
      <c r="X32" s="40"/>
      <c r="Y32" s="41"/>
      <c r="Z32" s="39">
        <v>20</v>
      </c>
      <c r="AA32" s="40"/>
      <c r="AB32" s="41"/>
      <c r="AC32" s="79"/>
      <c r="AD32" s="80"/>
      <c r="AE32" s="81"/>
      <c r="AF32" s="79"/>
      <c r="AG32" s="80"/>
      <c r="AH32" s="81"/>
      <c r="AI32" s="79"/>
      <c r="AJ32" s="80"/>
      <c r="AK32" s="81"/>
      <c r="AL32" s="79"/>
      <c r="AM32" s="80"/>
      <c r="AN32" s="81"/>
      <c r="AO32" s="79"/>
      <c r="AP32" s="80"/>
      <c r="AQ32" s="81"/>
      <c r="AR32" s="94" t="s">
        <v>114</v>
      </c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6"/>
    </row>
    <row r="33" spans="1:62" s="11" customFormat="1" ht="36" customHeight="1">
      <c r="A33" s="78">
        <f t="shared" si="0"/>
        <v>11</v>
      </c>
      <c r="B33" s="78"/>
      <c r="C33" s="78"/>
      <c r="D33" s="33" t="s">
        <v>125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102</v>
      </c>
      <c r="V33" s="40"/>
      <c r="W33" s="40"/>
      <c r="X33" s="40"/>
      <c r="Y33" s="41"/>
      <c r="Z33" s="39">
        <v>6</v>
      </c>
      <c r="AA33" s="40"/>
      <c r="AB33" s="41"/>
      <c r="AC33" s="79"/>
      <c r="AD33" s="80"/>
      <c r="AE33" s="81"/>
      <c r="AF33" s="79"/>
      <c r="AG33" s="80"/>
      <c r="AH33" s="81"/>
      <c r="AI33" s="79"/>
      <c r="AJ33" s="80"/>
      <c r="AK33" s="81"/>
      <c r="AL33" s="79"/>
      <c r="AM33" s="80"/>
      <c r="AN33" s="81"/>
      <c r="AO33" s="79"/>
      <c r="AP33" s="80"/>
      <c r="AQ33" s="81"/>
      <c r="AR33" s="94" t="s">
        <v>131</v>
      </c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6"/>
    </row>
    <row r="34" spans="1:62" s="11" customFormat="1" ht="36" customHeight="1">
      <c r="A34" s="78">
        <f t="shared" si="0"/>
        <v>12</v>
      </c>
      <c r="B34" s="78"/>
      <c r="C34" s="78"/>
      <c r="D34" s="33" t="s">
        <v>126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103</v>
      </c>
      <c r="V34" s="40"/>
      <c r="W34" s="40"/>
      <c r="X34" s="40"/>
      <c r="Y34" s="41"/>
      <c r="Z34" s="39">
        <v>50</v>
      </c>
      <c r="AA34" s="40"/>
      <c r="AB34" s="41"/>
      <c r="AC34" s="79"/>
      <c r="AD34" s="80"/>
      <c r="AE34" s="81"/>
      <c r="AF34" s="79"/>
      <c r="AG34" s="80"/>
      <c r="AH34" s="81"/>
      <c r="AI34" s="79"/>
      <c r="AJ34" s="80"/>
      <c r="AK34" s="81"/>
      <c r="AL34" s="79"/>
      <c r="AM34" s="80"/>
      <c r="AN34" s="81"/>
      <c r="AO34" s="79"/>
      <c r="AP34" s="80"/>
      <c r="AQ34" s="81"/>
      <c r="AR34" s="94" t="s">
        <v>132</v>
      </c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6"/>
    </row>
    <row r="35" spans="1:62" s="11" customFormat="1" ht="36" customHeight="1">
      <c r="A35" s="78">
        <f t="shared" si="0"/>
        <v>13</v>
      </c>
      <c r="B35" s="78"/>
      <c r="C35" s="78"/>
      <c r="D35" s="33" t="s">
        <v>123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102</v>
      </c>
      <c r="V35" s="40"/>
      <c r="W35" s="40"/>
      <c r="X35" s="40"/>
      <c r="Y35" s="41"/>
      <c r="Z35" s="39">
        <v>6</v>
      </c>
      <c r="AA35" s="40"/>
      <c r="AB35" s="41"/>
      <c r="AC35" s="79"/>
      <c r="AD35" s="80"/>
      <c r="AE35" s="81"/>
      <c r="AF35" s="79"/>
      <c r="AG35" s="80"/>
      <c r="AH35" s="81"/>
      <c r="AI35" s="79"/>
      <c r="AJ35" s="80"/>
      <c r="AK35" s="81"/>
      <c r="AL35" s="79"/>
      <c r="AM35" s="80"/>
      <c r="AN35" s="81"/>
      <c r="AO35" s="79"/>
      <c r="AP35" s="80"/>
      <c r="AQ35" s="81"/>
      <c r="AR35" s="94" t="s">
        <v>59</v>
      </c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6"/>
    </row>
    <row r="36" spans="1:62" s="11" customFormat="1" ht="36" customHeight="1">
      <c r="A36" s="78">
        <f t="shared" si="0"/>
        <v>14</v>
      </c>
      <c r="B36" s="78"/>
      <c r="C36" s="78"/>
      <c r="D36" s="33" t="s">
        <v>69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103</v>
      </c>
      <c r="V36" s="40"/>
      <c r="W36" s="40"/>
      <c r="X36" s="40"/>
      <c r="Y36" s="41"/>
      <c r="Z36" s="39">
        <v>50</v>
      </c>
      <c r="AA36" s="40"/>
      <c r="AB36" s="41"/>
      <c r="AC36" s="79"/>
      <c r="AD36" s="80"/>
      <c r="AE36" s="81"/>
      <c r="AF36" s="79"/>
      <c r="AG36" s="80"/>
      <c r="AH36" s="81"/>
      <c r="AI36" s="79"/>
      <c r="AJ36" s="80"/>
      <c r="AK36" s="81"/>
      <c r="AL36" s="79"/>
      <c r="AM36" s="80"/>
      <c r="AN36" s="81"/>
      <c r="AO36" s="79"/>
      <c r="AP36" s="80"/>
      <c r="AQ36" s="81"/>
      <c r="AR36" s="94" t="s">
        <v>60</v>
      </c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6"/>
    </row>
    <row r="37" spans="1:62" s="11" customFormat="1" ht="36" customHeight="1">
      <c r="A37" s="78">
        <f t="shared" si="0"/>
        <v>15</v>
      </c>
      <c r="B37" s="78"/>
      <c r="C37" s="78"/>
      <c r="D37" s="33" t="s">
        <v>124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50</v>
      </c>
      <c r="V37" s="40"/>
      <c r="W37" s="40"/>
      <c r="X37" s="40"/>
      <c r="Y37" s="41"/>
      <c r="Z37" s="39">
        <v>4</v>
      </c>
      <c r="AA37" s="40"/>
      <c r="AB37" s="41"/>
      <c r="AC37" s="79"/>
      <c r="AD37" s="80"/>
      <c r="AE37" s="81"/>
      <c r="AF37" s="79"/>
      <c r="AG37" s="80"/>
      <c r="AH37" s="81"/>
      <c r="AI37" s="79"/>
      <c r="AJ37" s="80"/>
      <c r="AK37" s="81"/>
      <c r="AL37" s="79"/>
      <c r="AM37" s="80"/>
      <c r="AN37" s="81"/>
      <c r="AO37" s="79"/>
      <c r="AP37" s="80"/>
      <c r="AQ37" s="81"/>
      <c r="AR37" s="94" t="s">
        <v>115</v>
      </c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6"/>
    </row>
    <row r="38" spans="1:62" s="11" customFormat="1" ht="64.5" customHeight="1">
      <c r="A38" s="78">
        <f t="shared" si="0"/>
        <v>16</v>
      </c>
      <c r="B38" s="78"/>
      <c r="C38" s="78"/>
      <c r="D38" s="33" t="s">
        <v>71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50</v>
      </c>
      <c r="V38" s="40"/>
      <c r="W38" s="40"/>
      <c r="X38" s="40"/>
      <c r="Y38" s="41"/>
      <c r="Z38" s="39" t="s">
        <v>147</v>
      </c>
      <c r="AA38" s="40"/>
      <c r="AB38" s="41"/>
      <c r="AC38" s="79"/>
      <c r="AD38" s="80"/>
      <c r="AE38" s="81"/>
      <c r="AF38" s="79"/>
      <c r="AG38" s="80"/>
      <c r="AH38" s="81"/>
      <c r="AI38" s="79"/>
      <c r="AJ38" s="80"/>
      <c r="AK38" s="81"/>
      <c r="AL38" s="79"/>
      <c r="AM38" s="80"/>
      <c r="AN38" s="81"/>
      <c r="AO38" s="79"/>
      <c r="AP38" s="80"/>
      <c r="AQ38" s="81"/>
      <c r="AR38" s="94" t="s">
        <v>133</v>
      </c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/>
    </row>
    <row r="39" spans="1:62" s="11" customFormat="1" ht="60.75" customHeight="1">
      <c r="A39" s="78">
        <f t="shared" si="0"/>
        <v>17</v>
      </c>
      <c r="B39" s="78"/>
      <c r="C39" s="78"/>
      <c r="D39" s="33" t="s">
        <v>72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50</v>
      </c>
      <c r="V39" s="40"/>
      <c r="W39" s="40"/>
      <c r="X39" s="40"/>
      <c r="Y39" s="41"/>
      <c r="Z39" s="39" t="s">
        <v>148</v>
      </c>
      <c r="AA39" s="40"/>
      <c r="AB39" s="41"/>
      <c r="AC39" s="79"/>
      <c r="AD39" s="80"/>
      <c r="AE39" s="81"/>
      <c r="AF39" s="79"/>
      <c r="AG39" s="80"/>
      <c r="AH39" s="81"/>
      <c r="AI39" s="79"/>
      <c r="AJ39" s="80"/>
      <c r="AK39" s="81"/>
      <c r="AL39" s="79"/>
      <c r="AM39" s="80"/>
      <c r="AN39" s="81"/>
      <c r="AO39" s="79"/>
      <c r="AP39" s="80"/>
      <c r="AQ39" s="81"/>
      <c r="AR39" s="94" t="s">
        <v>150</v>
      </c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6"/>
    </row>
    <row r="40" spans="1:62" s="11" customFormat="1" ht="69.75" customHeight="1">
      <c r="A40" s="78">
        <f t="shared" si="0"/>
        <v>18</v>
      </c>
      <c r="B40" s="78"/>
      <c r="C40" s="78"/>
      <c r="D40" s="33" t="s">
        <v>73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50</v>
      </c>
      <c r="V40" s="40"/>
      <c r="W40" s="40"/>
      <c r="X40" s="40"/>
      <c r="Y40" s="41"/>
      <c r="Z40" s="39">
        <v>8</v>
      </c>
      <c r="AA40" s="40"/>
      <c r="AB40" s="41"/>
      <c r="AC40" s="79"/>
      <c r="AD40" s="80"/>
      <c r="AE40" s="81"/>
      <c r="AF40" s="79"/>
      <c r="AG40" s="80"/>
      <c r="AH40" s="81"/>
      <c r="AI40" s="79"/>
      <c r="AJ40" s="80"/>
      <c r="AK40" s="81"/>
      <c r="AL40" s="79"/>
      <c r="AM40" s="80"/>
      <c r="AN40" s="81"/>
      <c r="AO40" s="79"/>
      <c r="AP40" s="80"/>
      <c r="AQ40" s="81"/>
      <c r="AR40" s="94" t="s">
        <v>151</v>
      </c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6"/>
    </row>
    <row r="41" spans="1:62" s="11" customFormat="1" ht="63" customHeight="1">
      <c r="A41" s="78">
        <f t="shared" si="0"/>
        <v>19</v>
      </c>
      <c r="B41" s="78"/>
      <c r="C41" s="78"/>
      <c r="D41" s="33" t="s">
        <v>74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50</v>
      </c>
      <c r="V41" s="40"/>
      <c r="W41" s="40"/>
      <c r="X41" s="40"/>
      <c r="Y41" s="41"/>
      <c r="Z41" s="39" t="s">
        <v>148</v>
      </c>
      <c r="AA41" s="40"/>
      <c r="AB41" s="41"/>
      <c r="AC41" s="79"/>
      <c r="AD41" s="80"/>
      <c r="AE41" s="81"/>
      <c r="AF41" s="79"/>
      <c r="AG41" s="80"/>
      <c r="AH41" s="81"/>
      <c r="AI41" s="79"/>
      <c r="AJ41" s="80"/>
      <c r="AK41" s="81"/>
      <c r="AL41" s="79"/>
      <c r="AM41" s="80"/>
      <c r="AN41" s="81"/>
      <c r="AO41" s="79"/>
      <c r="AP41" s="80"/>
      <c r="AQ41" s="81"/>
      <c r="AR41" s="94" t="s">
        <v>152</v>
      </c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6"/>
    </row>
    <row r="42" spans="1:62" s="11" customFormat="1" ht="66" customHeight="1">
      <c r="A42" s="78">
        <f t="shared" si="0"/>
        <v>20</v>
      </c>
      <c r="B42" s="78"/>
      <c r="C42" s="78"/>
      <c r="D42" s="33" t="s">
        <v>75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50</v>
      </c>
      <c r="V42" s="40"/>
      <c r="W42" s="40"/>
      <c r="X42" s="40"/>
      <c r="Y42" s="41"/>
      <c r="Z42" s="39" t="s">
        <v>148</v>
      </c>
      <c r="AA42" s="40"/>
      <c r="AB42" s="41"/>
      <c r="AC42" s="79"/>
      <c r="AD42" s="80"/>
      <c r="AE42" s="81"/>
      <c r="AF42" s="79"/>
      <c r="AG42" s="80"/>
      <c r="AH42" s="81"/>
      <c r="AI42" s="79"/>
      <c r="AJ42" s="80"/>
      <c r="AK42" s="81"/>
      <c r="AL42" s="79"/>
      <c r="AM42" s="80"/>
      <c r="AN42" s="81"/>
      <c r="AO42" s="79"/>
      <c r="AP42" s="80"/>
      <c r="AQ42" s="81"/>
      <c r="AR42" s="94" t="s">
        <v>153</v>
      </c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6"/>
    </row>
    <row r="43" spans="1:62" s="11" customFormat="1" ht="36" customHeight="1">
      <c r="A43" s="78">
        <f t="shared" si="0"/>
        <v>21</v>
      </c>
      <c r="B43" s="78"/>
      <c r="C43" s="78"/>
      <c r="D43" s="33" t="s">
        <v>76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53</v>
      </c>
      <c r="V43" s="40"/>
      <c r="W43" s="40"/>
      <c r="X43" s="40"/>
      <c r="Y43" s="41"/>
      <c r="Z43" s="39">
        <v>2</v>
      </c>
      <c r="AA43" s="40"/>
      <c r="AB43" s="41"/>
      <c r="AC43" s="79"/>
      <c r="AD43" s="80"/>
      <c r="AE43" s="81"/>
      <c r="AF43" s="79"/>
      <c r="AG43" s="80"/>
      <c r="AH43" s="81"/>
      <c r="AI43" s="79"/>
      <c r="AJ43" s="80"/>
      <c r="AK43" s="81"/>
      <c r="AL43" s="79"/>
      <c r="AM43" s="80"/>
      <c r="AN43" s="81"/>
      <c r="AO43" s="79"/>
      <c r="AP43" s="80"/>
      <c r="AQ43" s="81"/>
      <c r="AR43" s="94" t="s">
        <v>134</v>
      </c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6"/>
    </row>
    <row r="44" spans="1:62" s="11" customFormat="1" ht="36" customHeight="1">
      <c r="A44" s="78">
        <f t="shared" si="0"/>
        <v>22</v>
      </c>
      <c r="B44" s="78"/>
      <c r="C44" s="78"/>
      <c r="D44" s="33" t="s">
        <v>77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54</v>
      </c>
      <c r="V44" s="40"/>
      <c r="W44" s="40"/>
      <c r="X44" s="40"/>
      <c r="Y44" s="41"/>
      <c r="Z44" s="39">
        <v>10</v>
      </c>
      <c r="AA44" s="40"/>
      <c r="AB44" s="41"/>
      <c r="AC44" s="79"/>
      <c r="AD44" s="80"/>
      <c r="AE44" s="81"/>
      <c r="AF44" s="79"/>
      <c r="AG44" s="80"/>
      <c r="AH44" s="81"/>
      <c r="AI44" s="79"/>
      <c r="AJ44" s="80"/>
      <c r="AK44" s="81"/>
      <c r="AL44" s="79"/>
      <c r="AM44" s="80"/>
      <c r="AN44" s="81"/>
      <c r="AO44" s="79"/>
      <c r="AP44" s="80"/>
      <c r="AQ44" s="81"/>
      <c r="AR44" s="94" t="s">
        <v>135</v>
      </c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6"/>
    </row>
    <row r="45" spans="1:62" s="11" customFormat="1" ht="66" customHeight="1">
      <c r="A45" s="78">
        <f t="shared" si="0"/>
        <v>23</v>
      </c>
      <c r="B45" s="78"/>
      <c r="C45" s="78"/>
      <c r="D45" s="33" t="s">
        <v>78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 t="s">
        <v>50</v>
      </c>
      <c r="V45" s="40"/>
      <c r="W45" s="40"/>
      <c r="X45" s="40"/>
      <c r="Y45" s="41"/>
      <c r="Z45" s="39" t="s">
        <v>147</v>
      </c>
      <c r="AA45" s="40"/>
      <c r="AB45" s="41"/>
      <c r="AC45" s="79"/>
      <c r="AD45" s="80"/>
      <c r="AE45" s="81"/>
      <c r="AF45" s="79"/>
      <c r="AG45" s="80"/>
      <c r="AH45" s="81"/>
      <c r="AI45" s="79"/>
      <c r="AJ45" s="80"/>
      <c r="AK45" s="81"/>
      <c r="AL45" s="79"/>
      <c r="AM45" s="80"/>
      <c r="AN45" s="81"/>
      <c r="AO45" s="79"/>
      <c r="AP45" s="80"/>
      <c r="AQ45" s="81"/>
      <c r="AR45" s="94" t="s">
        <v>154</v>
      </c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6"/>
    </row>
    <row r="46" spans="1:62" s="11" customFormat="1" ht="36" customHeight="1">
      <c r="A46" s="78">
        <f t="shared" si="0"/>
        <v>24</v>
      </c>
      <c r="B46" s="78"/>
      <c r="C46" s="78"/>
      <c r="D46" s="33" t="s">
        <v>79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 t="s">
        <v>155</v>
      </c>
      <c r="V46" s="40"/>
      <c r="W46" s="40"/>
      <c r="X46" s="40"/>
      <c r="Y46" s="41"/>
      <c r="Z46" s="39">
        <v>8</v>
      </c>
      <c r="AA46" s="40"/>
      <c r="AB46" s="41"/>
      <c r="AC46" s="79"/>
      <c r="AD46" s="80"/>
      <c r="AE46" s="81"/>
      <c r="AF46" s="79"/>
      <c r="AG46" s="80"/>
      <c r="AH46" s="81"/>
      <c r="AI46" s="79"/>
      <c r="AJ46" s="80"/>
      <c r="AK46" s="81"/>
      <c r="AL46" s="79"/>
      <c r="AM46" s="80"/>
      <c r="AN46" s="81"/>
      <c r="AO46" s="79"/>
      <c r="AP46" s="80"/>
      <c r="AQ46" s="81"/>
      <c r="AR46" s="94" t="s">
        <v>104</v>
      </c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6"/>
    </row>
    <row r="47" spans="1:62" s="11" customFormat="1" ht="36" customHeight="1">
      <c r="A47" s="78">
        <f t="shared" si="0"/>
        <v>25</v>
      </c>
      <c r="B47" s="78"/>
      <c r="C47" s="78"/>
      <c r="D47" s="33" t="s">
        <v>80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 t="s">
        <v>53</v>
      </c>
      <c r="V47" s="40"/>
      <c r="W47" s="40"/>
      <c r="X47" s="40"/>
      <c r="Y47" s="41"/>
      <c r="Z47" s="39">
        <v>20</v>
      </c>
      <c r="AA47" s="40"/>
      <c r="AB47" s="41"/>
      <c r="AC47" s="79"/>
      <c r="AD47" s="80"/>
      <c r="AE47" s="81"/>
      <c r="AF47" s="79"/>
      <c r="AG47" s="80"/>
      <c r="AH47" s="81"/>
      <c r="AI47" s="79"/>
      <c r="AJ47" s="80"/>
      <c r="AK47" s="81"/>
      <c r="AL47" s="79"/>
      <c r="AM47" s="80"/>
      <c r="AN47" s="81"/>
      <c r="AO47" s="79"/>
      <c r="AP47" s="80"/>
      <c r="AQ47" s="81"/>
      <c r="AR47" s="94" t="s">
        <v>105</v>
      </c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6"/>
    </row>
    <row r="48" spans="1:62" s="11" customFormat="1" ht="36" customHeight="1">
      <c r="A48" s="78">
        <f t="shared" si="0"/>
        <v>26</v>
      </c>
      <c r="B48" s="78"/>
      <c r="C48" s="78"/>
      <c r="D48" s="33" t="s">
        <v>81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 t="s">
        <v>53</v>
      </c>
      <c r="V48" s="40"/>
      <c r="W48" s="40"/>
      <c r="X48" s="40"/>
      <c r="Y48" s="41"/>
      <c r="Z48" s="39">
        <v>3</v>
      </c>
      <c r="AA48" s="40"/>
      <c r="AB48" s="41"/>
      <c r="AC48" s="79"/>
      <c r="AD48" s="80"/>
      <c r="AE48" s="81"/>
      <c r="AF48" s="79"/>
      <c r="AG48" s="80"/>
      <c r="AH48" s="81"/>
      <c r="AI48" s="79"/>
      <c r="AJ48" s="80"/>
      <c r="AK48" s="81"/>
      <c r="AL48" s="79"/>
      <c r="AM48" s="80"/>
      <c r="AN48" s="81"/>
      <c r="AO48" s="79"/>
      <c r="AP48" s="80"/>
      <c r="AQ48" s="81"/>
      <c r="AR48" s="94" t="s">
        <v>106</v>
      </c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6"/>
    </row>
    <row r="49" spans="1:62" s="11" customFormat="1" ht="36" customHeight="1">
      <c r="A49" s="78">
        <f t="shared" si="0"/>
        <v>27</v>
      </c>
      <c r="B49" s="78"/>
      <c r="C49" s="78"/>
      <c r="D49" s="33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/>
      <c r="V49" s="40"/>
      <c r="W49" s="40"/>
      <c r="X49" s="40"/>
      <c r="Y49" s="41"/>
      <c r="Z49" s="39"/>
      <c r="AA49" s="40"/>
      <c r="AB49" s="41"/>
      <c r="AC49" s="79"/>
      <c r="AD49" s="80"/>
      <c r="AE49" s="81"/>
      <c r="AF49" s="79"/>
      <c r="AG49" s="80"/>
      <c r="AH49" s="81"/>
      <c r="AI49" s="79"/>
      <c r="AJ49" s="80"/>
      <c r="AK49" s="81"/>
      <c r="AL49" s="79"/>
      <c r="AM49" s="80"/>
      <c r="AN49" s="81"/>
      <c r="AO49" s="79"/>
      <c r="AP49" s="80"/>
      <c r="AQ49" s="81"/>
      <c r="AR49" s="97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9"/>
    </row>
    <row r="50" spans="1:62" s="11" customFormat="1" ht="36" customHeight="1">
      <c r="A50" s="78">
        <f t="shared" si="0"/>
        <v>28</v>
      </c>
      <c r="B50" s="78"/>
      <c r="C50" s="78"/>
      <c r="D50" s="33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/>
      <c r="V50" s="40"/>
      <c r="W50" s="40"/>
      <c r="X50" s="40"/>
      <c r="Y50" s="41"/>
      <c r="Z50" s="39"/>
      <c r="AA50" s="40"/>
      <c r="AB50" s="41"/>
      <c r="AC50" s="79"/>
      <c r="AD50" s="80"/>
      <c r="AE50" s="81"/>
      <c r="AF50" s="79"/>
      <c r="AG50" s="80"/>
      <c r="AH50" s="81"/>
      <c r="AI50" s="79"/>
      <c r="AJ50" s="80"/>
      <c r="AK50" s="81"/>
      <c r="AL50" s="79"/>
      <c r="AM50" s="80"/>
      <c r="AN50" s="81"/>
      <c r="AO50" s="79"/>
      <c r="AP50" s="80"/>
      <c r="AQ50" s="81"/>
      <c r="AR50" s="97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9"/>
    </row>
    <row r="51" spans="1:62" s="11" customFormat="1" ht="36" customHeight="1">
      <c r="A51" s="78">
        <f t="shared" si="0"/>
        <v>29</v>
      </c>
      <c r="B51" s="78"/>
      <c r="C51" s="78"/>
      <c r="D51" s="33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/>
      <c r="V51" s="40"/>
      <c r="W51" s="40"/>
      <c r="X51" s="40"/>
      <c r="Y51" s="41"/>
      <c r="Z51" s="39"/>
      <c r="AA51" s="40"/>
      <c r="AB51" s="41"/>
      <c r="AC51" s="79"/>
      <c r="AD51" s="80"/>
      <c r="AE51" s="81"/>
      <c r="AF51" s="79"/>
      <c r="AG51" s="80"/>
      <c r="AH51" s="81"/>
      <c r="AI51" s="79"/>
      <c r="AJ51" s="80"/>
      <c r="AK51" s="81"/>
      <c r="AL51" s="79"/>
      <c r="AM51" s="80"/>
      <c r="AN51" s="81"/>
      <c r="AO51" s="79"/>
      <c r="AP51" s="80"/>
      <c r="AQ51" s="81"/>
      <c r="AR51" s="97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9"/>
    </row>
    <row r="52" spans="1:62" s="11" customFormat="1" ht="36" customHeight="1">
      <c r="A52" s="78">
        <f t="shared" si="0"/>
        <v>30</v>
      </c>
      <c r="B52" s="78"/>
      <c r="C52" s="78"/>
      <c r="D52" s="33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/>
      <c r="V52" s="40"/>
      <c r="W52" s="40"/>
      <c r="X52" s="40"/>
      <c r="Y52" s="41"/>
      <c r="Z52" s="39"/>
      <c r="AA52" s="40"/>
      <c r="AB52" s="41"/>
      <c r="AC52" s="79"/>
      <c r="AD52" s="80"/>
      <c r="AE52" s="81"/>
      <c r="AF52" s="79"/>
      <c r="AG52" s="80"/>
      <c r="AH52" s="81"/>
      <c r="AI52" s="79"/>
      <c r="AJ52" s="80"/>
      <c r="AK52" s="81"/>
      <c r="AL52" s="79"/>
      <c r="AM52" s="80"/>
      <c r="AN52" s="81"/>
      <c r="AO52" s="79"/>
      <c r="AP52" s="80"/>
      <c r="AQ52" s="81"/>
      <c r="AR52" s="97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9"/>
    </row>
    <row r="53" spans="1:62" s="11" customFormat="1" ht="36" customHeight="1">
      <c r="A53" s="78">
        <f t="shared" si="0"/>
        <v>31</v>
      </c>
      <c r="B53" s="78"/>
      <c r="C53" s="78"/>
      <c r="D53" s="33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/>
      <c r="V53" s="40"/>
      <c r="W53" s="40"/>
      <c r="X53" s="40"/>
      <c r="Y53" s="41"/>
      <c r="Z53" s="39"/>
      <c r="AA53" s="40"/>
      <c r="AB53" s="41"/>
      <c r="AC53" s="79"/>
      <c r="AD53" s="80"/>
      <c r="AE53" s="81"/>
      <c r="AF53" s="79"/>
      <c r="AG53" s="80"/>
      <c r="AH53" s="81"/>
      <c r="AI53" s="79"/>
      <c r="AJ53" s="80"/>
      <c r="AK53" s="81"/>
      <c r="AL53" s="79"/>
      <c r="AM53" s="80"/>
      <c r="AN53" s="81"/>
      <c r="AO53" s="79"/>
      <c r="AP53" s="80"/>
      <c r="AQ53" s="81"/>
      <c r="AR53" s="97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9"/>
    </row>
    <row r="54" spans="1:62" s="11" customFormat="1" ht="36" customHeight="1">
      <c r="A54" s="78">
        <f t="shared" si="0"/>
        <v>32</v>
      </c>
      <c r="B54" s="78"/>
      <c r="C54" s="78"/>
      <c r="D54" s="33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/>
      <c r="V54" s="40"/>
      <c r="W54" s="40"/>
      <c r="X54" s="40"/>
      <c r="Y54" s="41"/>
      <c r="Z54" s="39"/>
      <c r="AA54" s="40"/>
      <c r="AB54" s="41"/>
      <c r="AC54" s="79"/>
      <c r="AD54" s="80"/>
      <c r="AE54" s="81"/>
      <c r="AF54" s="79"/>
      <c r="AG54" s="80"/>
      <c r="AH54" s="81"/>
      <c r="AI54" s="79"/>
      <c r="AJ54" s="80"/>
      <c r="AK54" s="81"/>
      <c r="AL54" s="79"/>
      <c r="AM54" s="80"/>
      <c r="AN54" s="81"/>
      <c r="AO54" s="79"/>
      <c r="AP54" s="80"/>
      <c r="AQ54" s="81"/>
      <c r="AR54" s="97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9"/>
    </row>
    <row r="55" spans="1:62" s="11" customFormat="1" ht="36" customHeight="1">
      <c r="A55" s="78">
        <f t="shared" si="0"/>
        <v>33</v>
      </c>
      <c r="B55" s="78"/>
      <c r="C55" s="78"/>
      <c r="D55" s="33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/>
      <c r="V55" s="40"/>
      <c r="W55" s="40"/>
      <c r="X55" s="40"/>
      <c r="Y55" s="41"/>
      <c r="Z55" s="39"/>
      <c r="AA55" s="40"/>
      <c r="AB55" s="41"/>
      <c r="AC55" s="79"/>
      <c r="AD55" s="80"/>
      <c r="AE55" s="81"/>
      <c r="AF55" s="79"/>
      <c r="AG55" s="80"/>
      <c r="AH55" s="81"/>
      <c r="AI55" s="79"/>
      <c r="AJ55" s="80"/>
      <c r="AK55" s="81"/>
      <c r="AL55" s="79"/>
      <c r="AM55" s="80"/>
      <c r="AN55" s="81"/>
      <c r="AO55" s="79"/>
      <c r="AP55" s="80"/>
      <c r="AQ55" s="81"/>
      <c r="AR55" s="33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5"/>
    </row>
    <row r="56" spans="1:62" s="11" customFormat="1" ht="36" customHeight="1">
      <c r="A56" s="78">
        <f t="shared" si="0"/>
        <v>34</v>
      </c>
      <c r="B56" s="78"/>
      <c r="C56" s="78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/>
      <c r="V56" s="40"/>
      <c r="W56" s="40"/>
      <c r="X56" s="40"/>
      <c r="Y56" s="41"/>
      <c r="Z56" s="39"/>
      <c r="AA56" s="40"/>
      <c r="AB56" s="41"/>
      <c r="AC56" s="79"/>
      <c r="AD56" s="80"/>
      <c r="AE56" s="81"/>
      <c r="AF56" s="79"/>
      <c r="AG56" s="80"/>
      <c r="AH56" s="81"/>
      <c r="AI56" s="79"/>
      <c r="AJ56" s="80"/>
      <c r="AK56" s="81"/>
      <c r="AL56" s="79"/>
      <c r="AM56" s="80"/>
      <c r="AN56" s="81"/>
      <c r="AO56" s="79"/>
      <c r="AP56" s="80"/>
      <c r="AQ56" s="81"/>
      <c r="AR56" s="33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1" customFormat="1" ht="36" customHeight="1">
      <c r="A57" s="78">
        <f t="shared" si="0"/>
        <v>35</v>
      </c>
      <c r="B57" s="78"/>
      <c r="C57" s="78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9"/>
      <c r="V57" s="40"/>
      <c r="W57" s="40"/>
      <c r="X57" s="40"/>
      <c r="Y57" s="41"/>
      <c r="Z57" s="39"/>
      <c r="AA57" s="40"/>
      <c r="AB57" s="41"/>
      <c r="AC57" s="79"/>
      <c r="AD57" s="80"/>
      <c r="AE57" s="81"/>
      <c r="AF57" s="79"/>
      <c r="AG57" s="80"/>
      <c r="AH57" s="81"/>
      <c r="AI57" s="79"/>
      <c r="AJ57" s="80"/>
      <c r="AK57" s="81"/>
      <c r="AL57" s="79"/>
      <c r="AM57" s="80"/>
      <c r="AN57" s="81"/>
      <c r="AO57" s="79"/>
      <c r="AP57" s="80"/>
      <c r="AQ57" s="81"/>
      <c r="AR57" s="33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5"/>
    </row>
    <row r="58" spans="1:62" s="11" customFormat="1" ht="36" customHeight="1">
      <c r="A58" s="77">
        <f t="shared" si="0"/>
        <v>36</v>
      </c>
      <c r="B58" s="77"/>
      <c r="C58" s="77"/>
      <c r="D58" s="36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42"/>
      <c r="V58" s="43"/>
      <c r="W58" s="43"/>
      <c r="X58" s="43"/>
      <c r="Y58" s="44"/>
      <c r="Z58" s="42"/>
      <c r="AA58" s="43"/>
      <c r="AB58" s="44"/>
      <c r="AC58" s="88"/>
      <c r="AD58" s="89"/>
      <c r="AE58" s="90"/>
      <c r="AF58" s="88"/>
      <c r="AG58" s="89"/>
      <c r="AH58" s="90"/>
      <c r="AI58" s="88"/>
      <c r="AJ58" s="89"/>
      <c r="AK58" s="90"/>
      <c r="AL58" s="88"/>
      <c r="AM58" s="89"/>
      <c r="AN58" s="90"/>
      <c r="AO58" s="88"/>
      <c r="AP58" s="89"/>
      <c r="AQ58" s="90"/>
      <c r="AR58" s="36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8"/>
    </row>
  </sheetData>
  <mergeCells count="305">
    <mergeCell ref="AS15:BJ15"/>
    <mergeCell ref="A16:C16"/>
    <mergeCell ref="AS16:BJ16"/>
    <mergeCell ref="A17:C17"/>
    <mergeCell ref="AS17:BJ17"/>
    <mergeCell ref="A18:C18"/>
    <mergeCell ref="AS18:BJ18"/>
    <mergeCell ref="AR50:BJ50"/>
    <mergeCell ref="AR51:BJ51"/>
    <mergeCell ref="A50:C50"/>
    <mergeCell ref="AC50:AE50"/>
    <mergeCell ref="AF50:AH50"/>
    <mergeCell ref="AI50:AK50"/>
    <mergeCell ref="AL50:AN50"/>
    <mergeCell ref="AO50:AQ50"/>
    <mergeCell ref="A47:C47"/>
    <mergeCell ref="AC47:AE47"/>
    <mergeCell ref="AF47:AH47"/>
    <mergeCell ref="AI47:AK47"/>
    <mergeCell ref="AL47:AN47"/>
    <mergeCell ref="AO47:AQ47"/>
    <mergeCell ref="A49:C49"/>
    <mergeCell ref="AC49:AE49"/>
    <mergeCell ref="AF49:AH49"/>
    <mergeCell ref="AR52:BJ52"/>
    <mergeCell ref="AR53:BJ53"/>
    <mergeCell ref="AR54:BJ54"/>
    <mergeCell ref="AR41:BJ41"/>
    <mergeCell ref="AR42:BJ42"/>
    <mergeCell ref="AR43:BJ43"/>
    <mergeCell ref="AR44:BJ44"/>
    <mergeCell ref="AR45:BJ45"/>
    <mergeCell ref="AR46:BJ46"/>
    <mergeCell ref="AR47:BJ47"/>
    <mergeCell ref="AR48:BJ48"/>
    <mergeCell ref="AR49:BJ49"/>
    <mergeCell ref="A55:C55"/>
    <mergeCell ref="AC55:AE55"/>
    <mergeCell ref="AF55:AH55"/>
    <mergeCell ref="AI55:AK55"/>
    <mergeCell ref="AL55:AN55"/>
    <mergeCell ref="AO55:AQ55"/>
    <mergeCell ref="AR23:BJ23"/>
    <mergeCell ref="AR24:BJ24"/>
    <mergeCell ref="AR25:BJ25"/>
    <mergeCell ref="AR26:BJ26"/>
    <mergeCell ref="AR27:BJ27"/>
    <mergeCell ref="AR28:BJ28"/>
    <mergeCell ref="AR29:BJ29"/>
    <mergeCell ref="AR30:BJ30"/>
    <mergeCell ref="AR31:BJ31"/>
    <mergeCell ref="AR32:BJ32"/>
    <mergeCell ref="AR33:BJ33"/>
    <mergeCell ref="AR34:BJ34"/>
    <mergeCell ref="AR35:BJ35"/>
    <mergeCell ref="AR36:BJ36"/>
    <mergeCell ref="AR37:BJ37"/>
    <mergeCell ref="AR38:BJ38"/>
    <mergeCell ref="AR39:BJ39"/>
    <mergeCell ref="AR40:BJ40"/>
    <mergeCell ref="A57:C57"/>
    <mergeCell ref="AC57:AE57"/>
    <mergeCell ref="AF57:AH57"/>
    <mergeCell ref="AI57:AK57"/>
    <mergeCell ref="AL57:AN57"/>
    <mergeCell ref="AO57:AQ57"/>
    <mergeCell ref="A56:C56"/>
    <mergeCell ref="AC56:AE56"/>
    <mergeCell ref="AF56:AH56"/>
    <mergeCell ref="AI56:AK56"/>
    <mergeCell ref="AL56:AN56"/>
    <mergeCell ref="AO56:AQ56"/>
    <mergeCell ref="A54:C54"/>
    <mergeCell ref="AC54:AE54"/>
    <mergeCell ref="AF54:AH54"/>
    <mergeCell ref="AI54:AK54"/>
    <mergeCell ref="AL54:AN54"/>
    <mergeCell ref="AO54:AQ54"/>
    <mergeCell ref="A53:C53"/>
    <mergeCell ref="AC53:AE53"/>
    <mergeCell ref="AF53:AH53"/>
    <mergeCell ref="AI53:AK53"/>
    <mergeCell ref="AL53:AN53"/>
    <mergeCell ref="AO53:AQ53"/>
    <mergeCell ref="A52:C52"/>
    <mergeCell ref="AC52:AE52"/>
    <mergeCell ref="AF52:AH52"/>
    <mergeCell ref="AI52:AK52"/>
    <mergeCell ref="AL52:AN52"/>
    <mergeCell ref="AO52:AQ52"/>
    <mergeCell ref="A51:C51"/>
    <mergeCell ref="AC51:AE51"/>
    <mergeCell ref="AF51:AH51"/>
    <mergeCell ref="AI51:AK51"/>
    <mergeCell ref="AL51:AN51"/>
    <mergeCell ref="AO51:AQ51"/>
    <mergeCell ref="AI46:AK46"/>
    <mergeCell ref="AL46:AN46"/>
    <mergeCell ref="AO46:AQ46"/>
    <mergeCell ref="AI49:AK49"/>
    <mergeCell ref="AL49:AN49"/>
    <mergeCell ref="AO49:AQ49"/>
    <mergeCell ref="A48:C48"/>
    <mergeCell ref="AC48:AE48"/>
    <mergeCell ref="AF48:AH48"/>
    <mergeCell ref="AI48:AK48"/>
    <mergeCell ref="AL48:AN48"/>
    <mergeCell ref="AO48:AQ48"/>
    <mergeCell ref="AI42:AK42"/>
    <mergeCell ref="AL42:AN42"/>
    <mergeCell ref="AO42:AQ42"/>
    <mergeCell ref="AF58:AH58"/>
    <mergeCell ref="AI58:AK58"/>
    <mergeCell ref="AL58:AN58"/>
    <mergeCell ref="AO58:AQ58"/>
    <mergeCell ref="A58:C58"/>
    <mergeCell ref="AC58:AE58"/>
    <mergeCell ref="AF44:AH44"/>
    <mergeCell ref="AI44:AK44"/>
    <mergeCell ref="AL44:AN44"/>
    <mergeCell ref="AO44:AQ44"/>
    <mergeCell ref="A44:C44"/>
    <mergeCell ref="AC44:AE44"/>
    <mergeCell ref="A45:C45"/>
    <mergeCell ref="AC45:AE45"/>
    <mergeCell ref="AF45:AH45"/>
    <mergeCell ref="AI45:AK45"/>
    <mergeCell ref="AL45:AN45"/>
    <mergeCell ref="AO45:AQ45"/>
    <mergeCell ref="A46:C46"/>
    <mergeCell ref="AC46:AE46"/>
    <mergeCell ref="AF46:AH46"/>
    <mergeCell ref="L7:AJ7"/>
    <mergeCell ref="AK7:AR7"/>
    <mergeCell ref="AS7:AX7"/>
    <mergeCell ref="A42:C42"/>
    <mergeCell ref="AC42:AE42"/>
    <mergeCell ref="A43:C43"/>
    <mergeCell ref="A33:C33"/>
    <mergeCell ref="AC33:AE33"/>
    <mergeCell ref="AF33:AH33"/>
    <mergeCell ref="AI33:AK33"/>
    <mergeCell ref="AL33:AN33"/>
    <mergeCell ref="AO33:AQ33"/>
    <mergeCell ref="A34:C34"/>
    <mergeCell ref="AC34:AE34"/>
    <mergeCell ref="AF34:AH34"/>
    <mergeCell ref="AI34:AK34"/>
    <mergeCell ref="AL34:AN34"/>
    <mergeCell ref="AO34:AQ34"/>
    <mergeCell ref="AC43:AE43"/>
    <mergeCell ref="AF43:AH43"/>
    <mergeCell ref="AI43:AK43"/>
    <mergeCell ref="AL43:AN43"/>
    <mergeCell ref="AO43:AQ43"/>
    <mergeCell ref="AF42:AH42"/>
    <mergeCell ref="A14:C14"/>
    <mergeCell ref="AS14:BJ14"/>
    <mergeCell ref="A15:C15"/>
    <mergeCell ref="A2:AS2"/>
    <mergeCell ref="AT2:AX2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A10:C10"/>
    <mergeCell ref="D10:AR10"/>
    <mergeCell ref="AS10:BJ10"/>
    <mergeCell ref="A11:C11"/>
    <mergeCell ref="AS11:BJ11"/>
    <mergeCell ref="A12:C12"/>
    <mergeCell ref="AS12:BJ12"/>
    <mergeCell ref="A13:C13"/>
    <mergeCell ref="AS13:BJ13"/>
    <mergeCell ref="AO24:AQ24"/>
    <mergeCell ref="A23:C23"/>
    <mergeCell ref="AC23:AE23"/>
    <mergeCell ref="AF23:AH23"/>
    <mergeCell ref="AI23:AK23"/>
    <mergeCell ref="AL23:AN23"/>
    <mergeCell ref="AO23:AQ23"/>
    <mergeCell ref="AR22:BJ22"/>
    <mergeCell ref="AI22:AK22"/>
    <mergeCell ref="AL22:AN22"/>
    <mergeCell ref="AO22:AQ22"/>
    <mergeCell ref="U22:Y22"/>
    <mergeCell ref="Z22:AB22"/>
    <mergeCell ref="AC22:AE22"/>
    <mergeCell ref="AF22:AH22"/>
    <mergeCell ref="A24:C24"/>
    <mergeCell ref="AC24:AE24"/>
    <mergeCell ref="AF24:AH24"/>
    <mergeCell ref="AI24:AK24"/>
    <mergeCell ref="AL24:AN24"/>
    <mergeCell ref="A28:C28"/>
    <mergeCell ref="A29:C29"/>
    <mergeCell ref="AC28:AE28"/>
    <mergeCell ref="AF28:AH28"/>
    <mergeCell ref="AI28:AK28"/>
    <mergeCell ref="AL28:AN28"/>
    <mergeCell ref="AO28:AQ28"/>
    <mergeCell ref="AO29:AQ29"/>
    <mergeCell ref="AC29:AE29"/>
    <mergeCell ref="AF29:AH29"/>
    <mergeCell ref="AI29:AK29"/>
    <mergeCell ref="AL29:AN29"/>
    <mergeCell ref="A30:C30"/>
    <mergeCell ref="A31:C31"/>
    <mergeCell ref="A32:C32"/>
    <mergeCell ref="AC31:AE31"/>
    <mergeCell ref="AF31:AH31"/>
    <mergeCell ref="AI31:AK31"/>
    <mergeCell ref="AL31:AN31"/>
    <mergeCell ref="AO31:AQ31"/>
    <mergeCell ref="AC30:AE30"/>
    <mergeCell ref="AF30:AH30"/>
    <mergeCell ref="AI30:AK30"/>
    <mergeCell ref="AL30:AN30"/>
    <mergeCell ref="AO30:AQ30"/>
    <mergeCell ref="AO32:AQ32"/>
    <mergeCell ref="AC32:AE32"/>
    <mergeCell ref="AF32:AH32"/>
    <mergeCell ref="AI32:AK32"/>
    <mergeCell ref="AL32:AN32"/>
    <mergeCell ref="A35:C35"/>
    <mergeCell ref="A36:C36"/>
    <mergeCell ref="A37:C37"/>
    <mergeCell ref="AC36:AE36"/>
    <mergeCell ref="AF36:AH36"/>
    <mergeCell ref="AI36:AK36"/>
    <mergeCell ref="AL36:AN36"/>
    <mergeCell ref="AO36:AQ36"/>
    <mergeCell ref="AO37:AQ37"/>
    <mergeCell ref="AC35:AE35"/>
    <mergeCell ref="AF35:AH35"/>
    <mergeCell ref="AI35:AK35"/>
    <mergeCell ref="AL35:AN35"/>
    <mergeCell ref="AO35:AQ35"/>
    <mergeCell ref="AC37:AE37"/>
    <mergeCell ref="AF37:AH37"/>
    <mergeCell ref="AI37:AK37"/>
    <mergeCell ref="AL37:AN37"/>
    <mergeCell ref="A38:C38"/>
    <mergeCell ref="A39:C39"/>
    <mergeCell ref="A40:C40"/>
    <mergeCell ref="A41:C41"/>
    <mergeCell ref="AC40:AE40"/>
    <mergeCell ref="AF40:AH40"/>
    <mergeCell ref="AI40:AK40"/>
    <mergeCell ref="AL40:AN40"/>
    <mergeCell ref="AO40:AQ40"/>
    <mergeCell ref="AC38:AE38"/>
    <mergeCell ref="AF38:AH38"/>
    <mergeCell ref="AI38:AK38"/>
    <mergeCell ref="AL38:AN38"/>
    <mergeCell ref="AO38:AQ38"/>
    <mergeCell ref="AC39:AE39"/>
    <mergeCell ref="AF39:AH39"/>
    <mergeCell ref="AI39:AK39"/>
    <mergeCell ref="AL39:AN39"/>
    <mergeCell ref="AO39:AQ39"/>
    <mergeCell ref="AO41:AQ41"/>
    <mergeCell ref="AC41:AE41"/>
    <mergeCell ref="AF41:AH41"/>
    <mergeCell ref="AI41:AK41"/>
    <mergeCell ref="AL41:AN41"/>
    <mergeCell ref="BC7:BD7"/>
    <mergeCell ref="BE7:BH7"/>
    <mergeCell ref="A19:C19"/>
    <mergeCell ref="AS19:BJ19"/>
    <mergeCell ref="A27:C27"/>
    <mergeCell ref="AC27:AE27"/>
    <mergeCell ref="AF27:AH27"/>
    <mergeCell ref="AI27:AK27"/>
    <mergeCell ref="AL27:AN27"/>
    <mergeCell ref="AO27:AQ27"/>
    <mergeCell ref="A26:C26"/>
    <mergeCell ref="AC26:AE26"/>
    <mergeCell ref="AF26:AH26"/>
    <mergeCell ref="AI26:AK26"/>
    <mergeCell ref="AL26:AN26"/>
    <mergeCell ref="AO26:AQ26"/>
    <mergeCell ref="A25:C25"/>
    <mergeCell ref="AC25:AE25"/>
    <mergeCell ref="AF25:AH25"/>
    <mergeCell ref="AI25:AK25"/>
    <mergeCell ref="AL25:AN25"/>
    <mergeCell ref="AO25:AQ25"/>
    <mergeCell ref="A22:C22"/>
    <mergeCell ref="D22:T22"/>
  </mergeCells>
  <phoneticPr fontId="7"/>
  <dataValidations count="6">
    <dataValidation type="list" allowBlank="1" showInputMessage="1" showErrorMessage="1" sqref="BI7:BI9 AC39:AH58 AG35:AH35 AP37:AQ37 AP39:AQ39 AC23:AH23 AL23:AQ24 AC24:AF24 AM35:AN35 AP35:AQ35 AC38 AD35:AE35 AF38 AL38 BC20 AC37:AH37 AL37:AN37 AL43:AQ58 AL39:AN42 AO40:AQ42 AC25:AC36 BI20 BC7:BC9 AF25:AF36 AL25:AL36 AD25:AE33 AP25:AQ33 AM25:AN33 AG24:AH33 AO25:AO3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37:AK37 AI39:AK58 AI38 AI23:AI36 AJ23:AK33 AJ35:AK35" xr:uid="{580139DB-08A3-4AEF-A80E-509BB3D280B7}">
      <formula1>"右,左"</formula1>
    </dataValidation>
    <dataValidation type="list" allowBlank="1" showInputMessage="1" sqref="AS11:BJ11" xr:uid="{E10A87C5-E0F7-4C42-9CD9-9F17AA762F46}">
      <formula1>"昇順, 降順"</formula1>
    </dataValidation>
    <dataValidation type="list" allowBlank="1" showInputMessage="1" sqref="AS20:AX20 AT8:AX9 AS8:AS10 AS7:AX7" xr:uid="{FACB2089-45D2-4D4C-97C1-490413F43FBC}">
      <formula1>"utf-8,Shift jis"</formula1>
    </dataValidation>
    <dataValidation type="list" allowBlank="1" showInputMessage="1" sqref="AS12:BJ19" xr:uid="{BE3A5510-95AD-4694-A803-C3032CBD943B}">
      <formula1>"昇順,降順"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8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59" t="s">
        <v>45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3" t="s">
        <v>2</v>
      </c>
      <c r="AU2" s="54"/>
      <c r="AV2" s="54"/>
      <c r="AW2" s="54"/>
      <c r="AX2" s="55"/>
      <c r="AY2" s="53" t="s">
        <v>37</v>
      </c>
      <c r="AZ2" s="54"/>
      <c r="BA2" s="54"/>
      <c r="BB2" s="55"/>
      <c r="BC2" s="53" t="s">
        <v>9</v>
      </c>
      <c r="BD2" s="54"/>
      <c r="BE2" s="54"/>
      <c r="BF2" s="55"/>
      <c r="BG2" s="53"/>
      <c r="BH2" s="54"/>
      <c r="BI2" s="54"/>
      <c r="BJ2" s="55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3"/>
      <c r="H3" s="64"/>
      <c r="I3" s="68" t="s">
        <v>141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53" t="s">
        <v>3</v>
      </c>
      <c r="AU3" s="54"/>
      <c r="AV3" s="54"/>
      <c r="AW3" s="54"/>
      <c r="AX3" s="55"/>
      <c r="AY3" s="53" t="s">
        <v>140</v>
      </c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2" s="1" customFormat="1" ht="18" customHeight="1">
      <c r="A4" s="65"/>
      <c r="B4" s="66"/>
      <c r="C4" s="66"/>
      <c r="D4" s="66"/>
      <c r="E4" s="66"/>
      <c r="F4" s="66"/>
      <c r="G4" s="66"/>
      <c r="H4" s="67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53" t="s">
        <v>4</v>
      </c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2" s="10" customFormat="1" ht="6" customHeight="1"/>
    <row r="6" spans="1:62" s="12" customFormat="1" ht="20.25" customHeight="1">
      <c r="A6" s="74" t="s">
        <v>39</v>
      </c>
      <c r="B6" s="76"/>
      <c r="C6" s="76"/>
      <c r="D6" s="76"/>
      <c r="E6" s="76"/>
      <c r="F6" s="76"/>
      <c r="G6" s="76"/>
      <c r="H6" s="76"/>
      <c r="I6" s="76"/>
      <c r="J6" s="76"/>
      <c r="K6" s="75"/>
      <c r="L6" s="74" t="str">
        <f>項目定義書!L6</f>
        <v>D07060404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5"/>
      <c r="AB6" s="74" t="s">
        <v>16</v>
      </c>
      <c r="AC6" s="76"/>
      <c r="AD6" s="76"/>
      <c r="AE6" s="76"/>
      <c r="AF6" s="76"/>
      <c r="AG6" s="76"/>
      <c r="AH6" s="76"/>
      <c r="AI6" s="76"/>
      <c r="AJ6" s="75"/>
      <c r="AK6" s="74" t="s">
        <v>14</v>
      </c>
      <c r="AL6" s="76"/>
      <c r="AM6" s="76"/>
      <c r="AN6" s="75"/>
      <c r="AO6" s="74" t="s">
        <v>13</v>
      </c>
      <c r="AP6" s="76"/>
      <c r="AQ6" s="76"/>
      <c r="AR6" s="76"/>
      <c r="AS6" s="76"/>
      <c r="AT6" s="76"/>
      <c r="AU6" s="76"/>
      <c r="AV6" s="76"/>
      <c r="AW6" s="75"/>
      <c r="AX6" s="74" t="s">
        <v>29</v>
      </c>
      <c r="AY6" s="76"/>
      <c r="AZ6" s="76"/>
      <c r="BA6" s="75"/>
      <c r="BB6" s="85" t="s">
        <v>15</v>
      </c>
      <c r="BC6" s="85"/>
      <c r="BD6" s="85"/>
      <c r="BE6" s="85"/>
      <c r="BF6" s="85">
        <f>COUNTA(D10:D396)</f>
        <v>26</v>
      </c>
      <c r="BG6" s="85"/>
      <c r="BH6" s="85"/>
      <c r="BI6" s="85"/>
      <c r="BJ6" s="85"/>
    </row>
    <row r="7" spans="1:62" s="12" customFormat="1" ht="20.25" customHeight="1">
      <c r="A7" s="74" t="s">
        <v>11</v>
      </c>
      <c r="B7" s="76"/>
      <c r="C7" s="76"/>
      <c r="D7" s="76"/>
      <c r="E7" s="76"/>
      <c r="F7" s="76"/>
      <c r="G7" s="76"/>
      <c r="H7" s="76"/>
      <c r="I7" s="76"/>
      <c r="J7" s="76"/>
      <c r="K7" s="75"/>
      <c r="L7" s="74" t="str">
        <f>項目定義書!L7</f>
        <v>最終仕入単価データ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5"/>
      <c r="AK7" s="74" t="s">
        <v>46</v>
      </c>
      <c r="AL7" s="76"/>
      <c r="AM7" s="76"/>
      <c r="AN7" s="76"/>
      <c r="AO7" s="76"/>
      <c r="AP7" s="76"/>
      <c r="AQ7" s="76"/>
      <c r="AR7" s="75"/>
      <c r="AS7" s="74" t="s">
        <v>137</v>
      </c>
      <c r="AT7" s="76"/>
      <c r="AU7" s="76"/>
      <c r="AV7" s="76"/>
      <c r="AW7" s="76"/>
      <c r="AX7" s="75"/>
      <c r="AY7" s="26" t="s">
        <v>34</v>
      </c>
      <c r="AZ7" s="27"/>
      <c r="BA7" s="27"/>
      <c r="BB7" s="27"/>
      <c r="BC7" s="74" t="s">
        <v>27</v>
      </c>
      <c r="BD7" s="75"/>
      <c r="BE7" s="74" t="s">
        <v>33</v>
      </c>
      <c r="BF7" s="76"/>
      <c r="BG7" s="76"/>
      <c r="BH7" s="75"/>
      <c r="BI7" s="74"/>
      <c r="BJ7" s="75"/>
    </row>
    <row r="8" spans="1:62" s="4" customFormat="1">
      <c r="B8" s="25" t="s">
        <v>28</v>
      </c>
      <c r="G8" s="5"/>
    </row>
    <row r="9" spans="1:62" s="12" customFormat="1" ht="42" customHeight="1">
      <c r="A9" s="74" t="s">
        <v>5</v>
      </c>
      <c r="B9" s="76"/>
      <c r="C9" s="75"/>
      <c r="D9" s="74" t="s">
        <v>47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5"/>
      <c r="U9" s="82" t="s">
        <v>10</v>
      </c>
      <c r="V9" s="83"/>
      <c r="W9" s="83"/>
      <c r="X9" s="83"/>
      <c r="Y9" s="84"/>
      <c r="Z9" s="82" t="s">
        <v>17</v>
      </c>
      <c r="AA9" s="83"/>
      <c r="AB9" s="84"/>
      <c r="AC9" s="74" t="s">
        <v>43</v>
      </c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5"/>
    </row>
    <row r="10" spans="1:62" s="11" customFormat="1" ht="30" customHeight="1">
      <c r="A10" s="87">
        <f>ROW()-9</f>
        <v>1</v>
      </c>
      <c r="B10" s="87"/>
      <c r="C10" s="87"/>
      <c r="D10" s="30" t="s">
        <v>51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39" t="s">
        <v>50</v>
      </c>
      <c r="V10" s="40"/>
      <c r="W10" s="40"/>
      <c r="X10" s="40"/>
      <c r="Y10" s="41"/>
      <c r="Z10" s="45">
        <v>4</v>
      </c>
      <c r="AA10" s="46"/>
      <c r="AB10" s="47"/>
      <c r="AC10" s="48" t="s">
        <v>89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78">
        <f>ROW()-9</f>
        <v>2</v>
      </c>
      <c r="B11" s="78"/>
      <c r="C11" s="78"/>
      <c r="D11" s="33" t="s">
        <v>52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9" t="s">
        <v>50</v>
      </c>
      <c r="V11" s="40"/>
      <c r="W11" s="40"/>
      <c r="X11" s="40"/>
      <c r="Y11" s="41"/>
      <c r="Z11" s="39">
        <v>6</v>
      </c>
      <c r="AA11" s="40"/>
      <c r="AB11" s="41"/>
      <c r="AC11" s="33" t="s">
        <v>90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78">
        <f t="shared" ref="A12:A38" si="0">ROW()-9</f>
        <v>3</v>
      </c>
      <c r="B12" s="78"/>
      <c r="C12" s="78"/>
      <c r="D12" s="33" t="s">
        <v>61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9" t="s">
        <v>102</v>
      </c>
      <c r="V12" s="40"/>
      <c r="W12" s="40"/>
      <c r="X12" s="40"/>
      <c r="Y12" s="41"/>
      <c r="Z12" s="39">
        <v>2</v>
      </c>
      <c r="AA12" s="40"/>
      <c r="AB12" s="41"/>
      <c r="AC12" s="33" t="s">
        <v>82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78">
        <f t="shared" si="0"/>
        <v>4</v>
      </c>
      <c r="B13" s="78"/>
      <c r="C13" s="78"/>
      <c r="D13" s="33" t="s">
        <v>62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9" t="s">
        <v>103</v>
      </c>
      <c r="V13" s="40"/>
      <c r="W13" s="40"/>
      <c r="X13" s="40"/>
      <c r="Y13" s="41"/>
      <c r="Z13" s="39">
        <v>20</v>
      </c>
      <c r="AA13" s="40"/>
      <c r="AB13" s="41"/>
      <c r="AC13" s="33" t="s">
        <v>83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78">
        <f t="shared" si="0"/>
        <v>5</v>
      </c>
      <c r="B14" s="78"/>
      <c r="C14" s="78"/>
      <c r="D14" s="33" t="s">
        <v>63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9" t="s">
        <v>102</v>
      </c>
      <c r="V14" s="40"/>
      <c r="W14" s="40"/>
      <c r="X14" s="40"/>
      <c r="Y14" s="41"/>
      <c r="Z14" s="39">
        <v>2</v>
      </c>
      <c r="AA14" s="40"/>
      <c r="AB14" s="41"/>
      <c r="AC14" s="33" t="s">
        <v>84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78">
        <f t="shared" si="0"/>
        <v>6</v>
      </c>
      <c r="B15" s="78"/>
      <c r="C15" s="78"/>
      <c r="D15" s="33" t="s">
        <v>64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9" t="s">
        <v>103</v>
      </c>
      <c r="V15" s="40"/>
      <c r="W15" s="40"/>
      <c r="X15" s="40"/>
      <c r="Y15" s="41"/>
      <c r="Z15" s="39">
        <v>15</v>
      </c>
      <c r="AA15" s="40"/>
      <c r="AB15" s="41"/>
      <c r="AC15" s="49" t="s">
        <v>85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78">
        <f t="shared" si="0"/>
        <v>7</v>
      </c>
      <c r="B16" s="78"/>
      <c r="C16" s="78"/>
      <c r="D16" s="33" t="s">
        <v>65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9" t="s">
        <v>102</v>
      </c>
      <c r="V16" s="40"/>
      <c r="W16" s="40"/>
      <c r="X16" s="40"/>
      <c r="Y16" s="41"/>
      <c r="Z16" s="39">
        <v>4</v>
      </c>
      <c r="AA16" s="40"/>
      <c r="AB16" s="41"/>
      <c r="AC16" s="52" t="s">
        <v>149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78">
        <f t="shared" si="0"/>
        <v>8</v>
      </c>
      <c r="B17" s="78"/>
      <c r="C17" s="78"/>
      <c r="D17" s="33" t="s">
        <v>66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9" t="s">
        <v>103</v>
      </c>
      <c r="V17" s="40"/>
      <c r="W17" s="40"/>
      <c r="X17" s="40"/>
      <c r="Y17" s="41"/>
      <c r="Z17" s="39">
        <v>15</v>
      </c>
      <c r="AA17" s="40"/>
      <c r="AB17" s="41"/>
      <c r="AC17" s="49" t="s">
        <v>107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78">
        <f t="shared" si="0"/>
        <v>9</v>
      </c>
      <c r="B18" s="78"/>
      <c r="C18" s="78"/>
      <c r="D18" s="33" t="s">
        <v>67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9" t="s">
        <v>102</v>
      </c>
      <c r="V18" s="40"/>
      <c r="W18" s="40"/>
      <c r="X18" s="40"/>
      <c r="Y18" s="41"/>
      <c r="Z18" s="39">
        <v>3</v>
      </c>
      <c r="AA18" s="40"/>
      <c r="AB18" s="41"/>
      <c r="AC18" s="49" t="s">
        <v>86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78">
        <f t="shared" si="0"/>
        <v>10</v>
      </c>
      <c r="B19" s="78"/>
      <c r="C19" s="78"/>
      <c r="D19" s="33" t="s">
        <v>68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9" t="s">
        <v>103</v>
      </c>
      <c r="V19" s="40"/>
      <c r="W19" s="40"/>
      <c r="X19" s="40"/>
      <c r="Y19" s="41"/>
      <c r="Z19" s="39">
        <v>20</v>
      </c>
      <c r="AA19" s="40"/>
      <c r="AB19" s="41"/>
      <c r="AC19" s="49" t="s">
        <v>83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78">
        <f t="shared" si="0"/>
        <v>11</v>
      </c>
      <c r="B20" s="78"/>
      <c r="C20" s="78"/>
      <c r="D20" s="33" t="s">
        <v>125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9" t="s">
        <v>53</v>
      </c>
      <c r="V20" s="40"/>
      <c r="W20" s="40"/>
      <c r="X20" s="40"/>
      <c r="Y20" s="41"/>
      <c r="Z20" s="39">
        <v>6</v>
      </c>
      <c r="AA20" s="40"/>
      <c r="AB20" s="41"/>
      <c r="AC20" s="33" t="s">
        <v>127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78">
        <f t="shared" si="0"/>
        <v>12</v>
      </c>
      <c r="B21" s="78"/>
      <c r="C21" s="78"/>
      <c r="D21" s="33" t="s">
        <v>128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54</v>
      </c>
      <c r="V21" s="40"/>
      <c r="W21" s="40"/>
      <c r="X21" s="40"/>
      <c r="Y21" s="41"/>
      <c r="Z21" s="39">
        <v>50</v>
      </c>
      <c r="AA21" s="40"/>
      <c r="AB21" s="41"/>
      <c r="AC21" s="33" t="s">
        <v>129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78">
        <f t="shared" si="0"/>
        <v>13</v>
      </c>
      <c r="B22" s="78"/>
      <c r="C22" s="78"/>
      <c r="D22" s="33" t="s">
        <v>58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102</v>
      </c>
      <c r="V22" s="40"/>
      <c r="W22" s="40"/>
      <c r="X22" s="40"/>
      <c r="Y22" s="41"/>
      <c r="Z22" s="39">
        <v>6</v>
      </c>
      <c r="AA22" s="40"/>
      <c r="AB22" s="41"/>
      <c r="AC22" s="49" t="s">
        <v>87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78">
        <f t="shared" si="0"/>
        <v>14</v>
      </c>
      <c r="B23" s="78"/>
      <c r="C23" s="78"/>
      <c r="D23" s="33" t="s">
        <v>69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103</v>
      </c>
      <c r="V23" s="40"/>
      <c r="W23" s="40"/>
      <c r="X23" s="40"/>
      <c r="Y23" s="41"/>
      <c r="Z23" s="39">
        <v>50</v>
      </c>
      <c r="AA23" s="40"/>
      <c r="AB23" s="41"/>
      <c r="AC23" s="49" t="s">
        <v>88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78">
        <f t="shared" si="0"/>
        <v>15</v>
      </c>
      <c r="B24" s="78"/>
      <c r="C24" s="78"/>
      <c r="D24" s="33" t="s">
        <v>70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50</v>
      </c>
      <c r="V24" s="40"/>
      <c r="W24" s="40"/>
      <c r="X24" s="40"/>
      <c r="Y24" s="41"/>
      <c r="Z24" s="39">
        <v>4</v>
      </c>
      <c r="AA24" s="40"/>
      <c r="AB24" s="41"/>
      <c r="AC24" s="49" t="s">
        <v>89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78">
        <f t="shared" si="0"/>
        <v>16</v>
      </c>
      <c r="B25" s="78"/>
      <c r="C25" s="78"/>
      <c r="D25" s="33" t="s">
        <v>71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50</v>
      </c>
      <c r="V25" s="40"/>
      <c r="W25" s="40"/>
      <c r="X25" s="40"/>
      <c r="Y25" s="41"/>
      <c r="Z25" s="39" t="s">
        <v>147</v>
      </c>
      <c r="AA25" s="40"/>
      <c r="AB25" s="41"/>
      <c r="AC25" s="49" t="s">
        <v>94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78">
        <f t="shared" si="0"/>
        <v>17</v>
      </c>
      <c r="B26" s="78"/>
      <c r="C26" s="78"/>
      <c r="D26" s="33" t="s">
        <v>72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50</v>
      </c>
      <c r="V26" s="40"/>
      <c r="W26" s="40"/>
      <c r="X26" s="40"/>
      <c r="Y26" s="41"/>
      <c r="Z26" s="39" t="s">
        <v>148</v>
      </c>
      <c r="AA26" s="40"/>
      <c r="AB26" s="41"/>
      <c r="AC26" s="49" t="s">
        <v>97</v>
      </c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78">
        <f t="shared" si="0"/>
        <v>18</v>
      </c>
      <c r="B27" s="78"/>
      <c r="C27" s="78"/>
      <c r="D27" s="33" t="s">
        <v>73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50</v>
      </c>
      <c r="V27" s="40"/>
      <c r="W27" s="40"/>
      <c r="X27" s="40"/>
      <c r="Y27" s="41"/>
      <c r="Z27" s="39">
        <v>8</v>
      </c>
      <c r="AA27" s="40"/>
      <c r="AB27" s="41"/>
      <c r="AC27" s="49" t="s">
        <v>98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78">
        <f t="shared" si="0"/>
        <v>19</v>
      </c>
      <c r="B28" s="78"/>
      <c r="C28" s="78"/>
      <c r="D28" s="33" t="s">
        <v>74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50</v>
      </c>
      <c r="V28" s="40"/>
      <c r="W28" s="40"/>
      <c r="X28" s="40"/>
      <c r="Y28" s="41"/>
      <c r="Z28" s="39" t="s">
        <v>148</v>
      </c>
      <c r="AA28" s="40"/>
      <c r="AB28" s="41"/>
      <c r="AC28" s="49" t="s">
        <v>99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78">
        <f t="shared" si="0"/>
        <v>20</v>
      </c>
      <c r="B29" s="78"/>
      <c r="C29" s="78"/>
      <c r="D29" s="33" t="s">
        <v>75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50</v>
      </c>
      <c r="V29" s="40"/>
      <c r="W29" s="40"/>
      <c r="X29" s="40"/>
      <c r="Y29" s="41"/>
      <c r="Z29" s="39" t="s">
        <v>148</v>
      </c>
      <c r="AA29" s="40"/>
      <c r="AB29" s="41"/>
      <c r="AC29" s="49" t="s">
        <v>100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78">
        <f t="shared" si="0"/>
        <v>21</v>
      </c>
      <c r="B30" s="78"/>
      <c r="C30" s="78"/>
      <c r="D30" s="33" t="s">
        <v>76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53</v>
      </c>
      <c r="V30" s="40"/>
      <c r="W30" s="40"/>
      <c r="X30" s="40"/>
      <c r="Y30" s="41"/>
      <c r="Z30" s="39">
        <v>2</v>
      </c>
      <c r="AA30" s="40"/>
      <c r="AB30" s="41"/>
      <c r="AC30" s="49" t="s">
        <v>95</v>
      </c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78">
        <f t="shared" si="0"/>
        <v>22</v>
      </c>
      <c r="B31" s="78"/>
      <c r="C31" s="78"/>
      <c r="D31" s="33" t="s">
        <v>77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54</v>
      </c>
      <c r="V31" s="40"/>
      <c r="W31" s="40"/>
      <c r="X31" s="40"/>
      <c r="Y31" s="41"/>
      <c r="Z31" s="39">
        <v>10</v>
      </c>
      <c r="AA31" s="40"/>
      <c r="AB31" s="41"/>
      <c r="AC31" s="49" t="s">
        <v>96</v>
      </c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78">
        <f t="shared" si="0"/>
        <v>23</v>
      </c>
      <c r="B32" s="78"/>
      <c r="C32" s="78"/>
      <c r="D32" s="33" t="s">
        <v>78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50</v>
      </c>
      <c r="V32" s="40"/>
      <c r="W32" s="40"/>
      <c r="X32" s="40"/>
      <c r="Y32" s="41"/>
      <c r="Z32" s="39" t="s">
        <v>147</v>
      </c>
      <c r="AA32" s="40"/>
      <c r="AB32" s="41"/>
      <c r="AC32" s="49" t="s">
        <v>101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78">
        <f t="shared" si="0"/>
        <v>24</v>
      </c>
      <c r="B33" s="78"/>
      <c r="C33" s="78"/>
      <c r="D33" s="33" t="s">
        <v>79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50</v>
      </c>
      <c r="V33" s="40"/>
      <c r="W33" s="40"/>
      <c r="X33" s="40"/>
      <c r="Y33" s="41"/>
      <c r="Z33" s="39">
        <v>8</v>
      </c>
      <c r="AA33" s="40"/>
      <c r="AB33" s="41"/>
      <c r="AC33" s="49" t="s">
        <v>91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78">
        <f t="shared" si="0"/>
        <v>25</v>
      </c>
      <c r="B34" s="78"/>
      <c r="C34" s="78"/>
      <c r="D34" s="33" t="s">
        <v>80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53</v>
      </c>
      <c r="V34" s="40"/>
      <c r="W34" s="40"/>
      <c r="X34" s="40"/>
      <c r="Y34" s="41"/>
      <c r="Z34" s="39">
        <v>20</v>
      </c>
      <c r="AA34" s="40"/>
      <c r="AB34" s="41"/>
      <c r="AC34" s="49" t="s">
        <v>92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78">
        <f t="shared" si="0"/>
        <v>26</v>
      </c>
      <c r="B35" s="78"/>
      <c r="C35" s="78"/>
      <c r="D35" s="33" t="s">
        <v>81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53</v>
      </c>
      <c r="V35" s="40"/>
      <c r="W35" s="40"/>
      <c r="X35" s="40"/>
      <c r="Y35" s="41"/>
      <c r="Z35" s="39">
        <v>3</v>
      </c>
      <c r="AA35" s="40"/>
      <c r="AB35" s="41"/>
      <c r="AC35" s="49" t="s">
        <v>93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78">
        <f t="shared" si="0"/>
        <v>27</v>
      </c>
      <c r="B36" s="78"/>
      <c r="C36" s="78"/>
      <c r="D36" s="33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/>
      <c r="V36" s="40"/>
      <c r="W36" s="40"/>
      <c r="X36" s="40"/>
      <c r="Y36" s="41"/>
      <c r="Z36" s="39"/>
      <c r="AA36" s="40"/>
      <c r="AB36" s="41"/>
      <c r="AC36" s="49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78">
        <f t="shared" si="0"/>
        <v>28</v>
      </c>
      <c r="B37" s="78"/>
      <c r="C37" s="78"/>
      <c r="D37" s="33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/>
      <c r="V37" s="40"/>
      <c r="W37" s="40"/>
      <c r="X37" s="40"/>
      <c r="Y37" s="41"/>
      <c r="Z37" s="39"/>
      <c r="AA37" s="40"/>
      <c r="AB37" s="41"/>
      <c r="AC37" s="49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77">
        <f t="shared" si="0"/>
        <v>29</v>
      </c>
      <c r="B38" s="77"/>
      <c r="C38" s="77"/>
      <c r="D38" s="36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8"/>
      <c r="U38" s="42"/>
      <c r="V38" s="43"/>
      <c r="W38" s="43"/>
      <c r="X38" s="43"/>
      <c r="Y38" s="44"/>
      <c r="Z38" s="42"/>
      <c r="AA38" s="43"/>
      <c r="AB38" s="44"/>
      <c r="AC38" s="36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8"/>
    </row>
  </sheetData>
  <mergeCells count="60">
    <mergeCell ref="L6:AA6"/>
    <mergeCell ref="AB6:AJ6"/>
    <mergeCell ref="AK6:AN6"/>
    <mergeCell ref="AO6:AW6"/>
    <mergeCell ref="BG2:BJ2"/>
    <mergeCell ref="A2:AS2"/>
    <mergeCell ref="AT2:AX2"/>
    <mergeCell ref="AY2:BB2"/>
    <mergeCell ref="BC2:BF2"/>
    <mergeCell ref="A3:H4"/>
    <mergeCell ref="I3:AS4"/>
    <mergeCell ref="AT3:AX3"/>
    <mergeCell ref="AY3:BJ3"/>
    <mergeCell ref="AT4:AX4"/>
    <mergeCell ref="AY4:BJ4"/>
    <mergeCell ref="AC9:BJ9"/>
    <mergeCell ref="AX6:BA6"/>
    <mergeCell ref="BB6:BE6"/>
    <mergeCell ref="BF6:BJ6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6:K6"/>
    <mergeCell ref="A10:C10"/>
    <mergeCell ref="A19:C19"/>
    <mergeCell ref="A22:C22"/>
    <mergeCell ref="A18:C18"/>
    <mergeCell ref="A11:C11"/>
    <mergeCell ref="A20:C20"/>
    <mergeCell ref="A21:C21"/>
    <mergeCell ref="A37:C37"/>
    <mergeCell ref="A38:C38"/>
    <mergeCell ref="A12:C12"/>
    <mergeCell ref="A13:C13"/>
    <mergeCell ref="A14:C14"/>
    <mergeCell ref="A15:C15"/>
    <mergeCell ref="A16:C16"/>
    <mergeCell ref="A17:C17"/>
    <mergeCell ref="A23:C23"/>
    <mergeCell ref="A24:C24"/>
    <mergeCell ref="A25:C25"/>
    <mergeCell ref="A26:C26"/>
    <mergeCell ref="A27:C27"/>
    <mergeCell ref="A28:C28"/>
    <mergeCell ref="A29:C29"/>
    <mergeCell ref="A30:C30"/>
    <mergeCell ref="A36:C36"/>
    <mergeCell ref="A31:C31"/>
    <mergeCell ref="A32:C32"/>
    <mergeCell ref="A33:C33"/>
    <mergeCell ref="A34:C34"/>
    <mergeCell ref="A35:C35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9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3" t="s">
        <v>2</v>
      </c>
      <c r="AU2" s="54"/>
      <c r="AV2" s="54"/>
      <c r="AW2" s="54"/>
      <c r="AX2" s="55"/>
      <c r="AY2" s="53" t="s">
        <v>38</v>
      </c>
      <c r="AZ2" s="54"/>
      <c r="BA2" s="54"/>
      <c r="BB2" s="55"/>
      <c r="BC2" s="53" t="s">
        <v>9</v>
      </c>
      <c r="BD2" s="54"/>
      <c r="BE2" s="54"/>
      <c r="BF2" s="55"/>
      <c r="BG2" s="53"/>
      <c r="BH2" s="54"/>
      <c r="BI2" s="54"/>
      <c r="BJ2" s="55"/>
    </row>
    <row r="3" spans="1:63" s="1" customFormat="1" ht="18" customHeight="1">
      <c r="A3" s="62" t="s">
        <v>0</v>
      </c>
      <c r="B3" s="63"/>
      <c r="C3" s="63"/>
      <c r="D3" s="63"/>
      <c r="E3" s="63"/>
      <c r="F3" s="63"/>
      <c r="G3" s="63"/>
      <c r="H3" s="64"/>
      <c r="I3" s="68" t="s">
        <v>141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53" t="s">
        <v>3</v>
      </c>
      <c r="AU3" s="54"/>
      <c r="AV3" s="54"/>
      <c r="AW3" s="54"/>
      <c r="AX3" s="55"/>
      <c r="AY3" s="53" t="s">
        <v>140</v>
      </c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3" s="1" customFormat="1" ht="18" customHeight="1">
      <c r="A4" s="65"/>
      <c r="B4" s="66"/>
      <c r="C4" s="66"/>
      <c r="D4" s="66"/>
      <c r="E4" s="66"/>
      <c r="F4" s="66"/>
      <c r="G4" s="66"/>
      <c r="H4" s="67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53" t="s">
        <v>4</v>
      </c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4" t="s">
        <v>11</v>
      </c>
      <c r="B6" s="76"/>
      <c r="C6" s="76"/>
      <c r="D6" s="76"/>
      <c r="E6" s="76"/>
      <c r="F6" s="76"/>
      <c r="G6" s="76"/>
      <c r="H6" s="76"/>
      <c r="I6" s="76"/>
      <c r="J6" s="76"/>
      <c r="K6" s="75"/>
      <c r="L6" s="74" t="str">
        <f>項目定義書!L7</f>
        <v>最終仕入単価データ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3" t="s">
        <v>5</v>
      </c>
      <c r="B8" s="54"/>
      <c r="C8" s="55"/>
      <c r="D8" s="53" t="s">
        <v>22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5"/>
      <c r="R8" s="118" t="s">
        <v>23</v>
      </c>
      <c r="S8" s="119"/>
      <c r="T8" s="119"/>
      <c r="U8" s="120"/>
      <c r="V8" s="118" t="s">
        <v>24</v>
      </c>
      <c r="W8" s="119"/>
      <c r="X8" s="119"/>
      <c r="Y8" s="120"/>
      <c r="Z8" s="118" t="s">
        <v>25</v>
      </c>
      <c r="AA8" s="119"/>
      <c r="AB8" s="119"/>
      <c r="AC8" s="120"/>
      <c r="AD8" s="118" t="s">
        <v>26</v>
      </c>
      <c r="AE8" s="119"/>
      <c r="AF8" s="119"/>
      <c r="AG8" s="120"/>
      <c r="AH8" s="53" t="s">
        <v>41</v>
      </c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5"/>
      <c r="BD8" s="118" t="s">
        <v>40</v>
      </c>
      <c r="BE8" s="119"/>
      <c r="BF8" s="119"/>
      <c r="BG8" s="119"/>
      <c r="BH8" s="119"/>
      <c r="BI8" s="119"/>
      <c r="BJ8" s="120"/>
    </row>
    <row r="9" spans="1:63" s="9" customFormat="1" ht="40.5" customHeight="1">
      <c r="A9" s="121"/>
      <c r="B9" s="122"/>
      <c r="C9" s="123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  <c r="R9" s="121"/>
      <c r="S9" s="122"/>
      <c r="T9" s="122"/>
      <c r="U9" s="123"/>
      <c r="V9" s="121"/>
      <c r="W9" s="122"/>
      <c r="X9" s="122"/>
      <c r="Y9" s="123"/>
      <c r="Z9" s="121"/>
      <c r="AA9" s="122"/>
      <c r="AB9" s="122"/>
      <c r="AC9" s="123"/>
      <c r="AD9" s="121"/>
      <c r="AE9" s="122"/>
      <c r="AF9" s="122"/>
      <c r="AG9" s="123"/>
      <c r="AH9" s="127" t="s">
        <v>55</v>
      </c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9"/>
      <c r="BD9" s="121"/>
      <c r="BE9" s="122"/>
      <c r="BF9" s="122"/>
      <c r="BG9" s="122"/>
      <c r="BH9" s="122"/>
      <c r="BI9" s="122"/>
      <c r="BJ9" s="123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2"/>
      <c r="S10" s="113"/>
      <c r="T10" s="113"/>
      <c r="U10" s="114"/>
      <c r="V10" s="112"/>
      <c r="W10" s="113"/>
      <c r="X10" s="113"/>
      <c r="Y10" s="114"/>
      <c r="Z10" s="112"/>
      <c r="AA10" s="113"/>
      <c r="AB10" s="113"/>
      <c r="AC10" s="114"/>
      <c r="AD10" s="112"/>
      <c r="AE10" s="113"/>
      <c r="AF10" s="113"/>
      <c r="AG10" s="114"/>
      <c r="AH10" s="109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1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2"/>
      <c r="S11" s="113"/>
      <c r="T11" s="113"/>
      <c r="U11" s="114"/>
      <c r="V11" s="112"/>
      <c r="W11" s="113"/>
      <c r="X11" s="113"/>
      <c r="Y11" s="114"/>
      <c r="Z11" s="112"/>
      <c r="AA11" s="113"/>
      <c r="AB11" s="113"/>
      <c r="AC11" s="114"/>
      <c r="AD11" s="112"/>
      <c r="AE11" s="113"/>
      <c r="AF11" s="113"/>
      <c r="AG11" s="114"/>
      <c r="AH11" s="109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2"/>
      <c r="S12" s="113"/>
      <c r="T12" s="113"/>
      <c r="U12" s="114"/>
      <c r="V12" s="112"/>
      <c r="W12" s="113"/>
      <c r="X12" s="113"/>
      <c r="Y12" s="114"/>
      <c r="Z12" s="112"/>
      <c r="AA12" s="113"/>
      <c r="AB12" s="113"/>
      <c r="AC12" s="114"/>
      <c r="AD12" s="112"/>
      <c r="AE12" s="113"/>
      <c r="AF12" s="113"/>
      <c r="AG12" s="114"/>
      <c r="AH12" s="109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1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2"/>
      <c r="S13" s="113"/>
      <c r="T13" s="113"/>
      <c r="U13" s="114"/>
      <c r="V13" s="112"/>
      <c r="W13" s="113"/>
      <c r="X13" s="113"/>
      <c r="Y13" s="114"/>
      <c r="Z13" s="112"/>
      <c r="AA13" s="113"/>
      <c r="AB13" s="113"/>
      <c r="AC13" s="114"/>
      <c r="AD13" s="112"/>
      <c r="AE13" s="113"/>
      <c r="AF13" s="113"/>
      <c r="AG13" s="114"/>
      <c r="AH13" s="109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1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2"/>
      <c r="S14" s="113"/>
      <c r="T14" s="113"/>
      <c r="U14" s="114"/>
      <c r="V14" s="112"/>
      <c r="W14" s="113"/>
      <c r="X14" s="113"/>
      <c r="Y14" s="114"/>
      <c r="Z14" s="112"/>
      <c r="AA14" s="113"/>
      <c r="AB14" s="113"/>
      <c r="AC14" s="114"/>
      <c r="AD14" s="112"/>
      <c r="AE14" s="113"/>
      <c r="AF14" s="113"/>
      <c r="AG14" s="114"/>
      <c r="AH14" s="109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2"/>
      <c r="S15" s="113"/>
      <c r="T15" s="113"/>
      <c r="U15" s="114"/>
      <c r="V15" s="112"/>
      <c r="W15" s="113"/>
      <c r="X15" s="113"/>
      <c r="Y15" s="114"/>
      <c r="Z15" s="112"/>
      <c r="AA15" s="113"/>
      <c r="AB15" s="113"/>
      <c r="AC15" s="114"/>
      <c r="AD15" s="112"/>
      <c r="AE15" s="113"/>
      <c r="AF15" s="113"/>
      <c r="AG15" s="114"/>
      <c r="AH15" s="109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1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2"/>
      <c r="S16" s="113"/>
      <c r="T16" s="113"/>
      <c r="U16" s="114"/>
      <c r="V16" s="112"/>
      <c r="W16" s="113"/>
      <c r="X16" s="113"/>
      <c r="Y16" s="114"/>
      <c r="Z16" s="112"/>
      <c r="AA16" s="113"/>
      <c r="AB16" s="113"/>
      <c r="AC16" s="114"/>
      <c r="AD16" s="112"/>
      <c r="AE16" s="113"/>
      <c r="AF16" s="113"/>
      <c r="AG16" s="114"/>
      <c r="AH16" s="109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1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2"/>
      <c r="S17" s="113"/>
      <c r="T17" s="113"/>
      <c r="U17" s="114"/>
      <c r="V17" s="112"/>
      <c r="W17" s="113"/>
      <c r="X17" s="113"/>
      <c r="Y17" s="114"/>
      <c r="Z17" s="112"/>
      <c r="AA17" s="113"/>
      <c r="AB17" s="113"/>
      <c r="AC17" s="114"/>
      <c r="AD17" s="112"/>
      <c r="AE17" s="113"/>
      <c r="AF17" s="113"/>
      <c r="AG17" s="114"/>
      <c r="AH17" s="109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1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12"/>
      <c r="B18" s="113"/>
      <c r="C18" s="114"/>
      <c r="D18" s="115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2"/>
      <c r="S18" s="113"/>
      <c r="T18" s="113"/>
      <c r="U18" s="114"/>
      <c r="V18" s="112"/>
      <c r="W18" s="113"/>
      <c r="X18" s="113"/>
      <c r="Y18" s="114"/>
      <c r="Z18" s="112"/>
      <c r="AA18" s="113"/>
      <c r="AB18" s="113"/>
      <c r="AC18" s="114"/>
      <c r="AD18" s="112"/>
      <c r="AE18" s="113"/>
      <c r="AF18" s="113"/>
      <c r="AG18" s="114"/>
      <c r="AH18" s="109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1"/>
      <c r="BD18" s="112"/>
      <c r="BE18" s="113"/>
      <c r="BF18" s="113"/>
      <c r="BG18" s="113"/>
      <c r="BH18" s="113"/>
      <c r="BI18" s="113"/>
      <c r="BJ18" s="114"/>
    </row>
    <row r="19" spans="1:62" ht="40.5" customHeight="1">
      <c r="A19" s="112"/>
      <c r="B19" s="113"/>
      <c r="C19" s="114"/>
      <c r="D19" s="115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2"/>
      <c r="S19" s="113"/>
      <c r="T19" s="113"/>
      <c r="U19" s="114"/>
      <c r="V19" s="112"/>
      <c r="W19" s="113"/>
      <c r="X19" s="113"/>
      <c r="Y19" s="114"/>
      <c r="Z19" s="112"/>
      <c r="AA19" s="113"/>
      <c r="AB19" s="113"/>
      <c r="AC19" s="114"/>
      <c r="AD19" s="112"/>
      <c r="AE19" s="113"/>
      <c r="AF19" s="113"/>
      <c r="AG19" s="114"/>
      <c r="AH19" s="109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1"/>
      <c r="BD19" s="112"/>
      <c r="BE19" s="113"/>
      <c r="BF19" s="113"/>
      <c r="BG19" s="113"/>
      <c r="BH19" s="113"/>
      <c r="BI19" s="113"/>
      <c r="BJ19" s="114"/>
    </row>
    <row r="20" spans="1:62" ht="40.5" customHeight="1">
      <c r="A20" s="112"/>
      <c r="B20" s="113"/>
      <c r="C20" s="11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2"/>
      <c r="S20" s="113"/>
      <c r="T20" s="113"/>
      <c r="U20" s="114"/>
      <c r="V20" s="112"/>
      <c r="W20" s="113"/>
      <c r="X20" s="113"/>
      <c r="Y20" s="114"/>
      <c r="Z20" s="112"/>
      <c r="AA20" s="113"/>
      <c r="AB20" s="113"/>
      <c r="AC20" s="114"/>
      <c r="AD20" s="112"/>
      <c r="AE20" s="113"/>
      <c r="AF20" s="113"/>
      <c r="AG20" s="114"/>
      <c r="AH20" s="109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1"/>
      <c r="BD20" s="112"/>
      <c r="BE20" s="113"/>
      <c r="BF20" s="113"/>
      <c r="BG20" s="113"/>
      <c r="BH20" s="113"/>
      <c r="BI20" s="113"/>
      <c r="BJ20" s="114"/>
    </row>
    <row r="21" spans="1:62" ht="40.5" customHeight="1">
      <c r="A21" s="112"/>
      <c r="B21" s="113"/>
      <c r="C21" s="114"/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2"/>
      <c r="S21" s="113"/>
      <c r="T21" s="113"/>
      <c r="U21" s="114"/>
      <c r="V21" s="112"/>
      <c r="W21" s="113"/>
      <c r="X21" s="113"/>
      <c r="Y21" s="114"/>
      <c r="Z21" s="112"/>
      <c r="AA21" s="113"/>
      <c r="AB21" s="113"/>
      <c r="AC21" s="114"/>
      <c r="AD21" s="112"/>
      <c r="AE21" s="113"/>
      <c r="AF21" s="113"/>
      <c r="AG21" s="114"/>
      <c r="AH21" s="109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1"/>
      <c r="BD21" s="112"/>
      <c r="BE21" s="113"/>
      <c r="BF21" s="113"/>
      <c r="BG21" s="113"/>
      <c r="BH21" s="113"/>
      <c r="BI21" s="113"/>
      <c r="BJ21" s="114"/>
    </row>
    <row r="22" spans="1:62" ht="40.5" customHeight="1">
      <c r="A22" s="112"/>
      <c r="B22" s="113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2"/>
      <c r="S22" s="113"/>
      <c r="T22" s="113"/>
      <c r="U22" s="114"/>
      <c r="V22" s="112"/>
      <c r="W22" s="113"/>
      <c r="X22" s="113"/>
      <c r="Y22" s="114"/>
      <c r="Z22" s="112"/>
      <c r="AA22" s="113"/>
      <c r="AB22" s="113"/>
      <c r="AC22" s="114"/>
      <c r="AD22" s="112"/>
      <c r="AE22" s="113"/>
      <c r="AF22" s="113"/>
      <c r="AG22" s="114"/>
      <c r="AH22" s="109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1"/>
      <c r="BD22" s="112"/>
      <c r="BE22" s="113"/>
      <c r="BF22" s="113"/>
      <c r="BG22" s="113"/>
      <c r="BH22" s="113"/>
      <c r="BI22" s="113"/>
      <c r="BJ22" s="114"/>
    </row>
    <row r="23" spans="1:62" ht="40.5" customHeight="1">
      <c r="A23" s="112"/>
      <c r="B23" s="113"/>
      <c r="C23" s="114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7"/>
      <c r="R23" s="112"/>
      <c r="S23" s="113"/>
      <c r="T23" s="113"/>
      <c r="U23" s="114"/>
      <c r="V23" s="112"/>
      <c r="W23" s="113"/>
      <c r="X23" s="113"/>
      <c r="Y23" s="114"/>
      <c r="Z23" s="112"/>
      <c r="AA23" s="113"/>
      <c r="AB23" s="113"/>
      <c r="AC23" s="114"/>
      <c r="AD23" s="112"/>
      <c r="AE23" s="113"/>
      <c r="AF23" s="113"/>
      <c r="AG23" s="114"/>
      <c r="AH23" s="109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1"/>
      <c r="BD23" s="112"/>
      <c r="BE23" s="113"/>
      <c r="BF23" s="113"/>
      <c r="BG23" s="113"/>
      <c r="BH23" s="113"/>
      <c r="BI23" s="113"/>
      <c r="BJ23" s="114"/>
    </row>
    <row r="24" spans="1:62" ht="40.5" customHeight="1">
      <c r="A24" s="112"/>
      <c r="B24" s="113"/>
      <c r="C24" s="114"/>
      <c r="D24" s="115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2"/>
      <c r="S24" s="113"/>
      <c r="T24" s="113"/>
      <c r="U24" s="114"/>
      <c r="V24" s="112"/>
      <c r="W24" s="113"/>
      <c r="X24" s="113"/>
      <c r="Y24" s="114"/>
      <c r="Z24" s="112"/>
      <c r="AA24" s="113"/>
      <c r="AB24" s="113"/>
      <c r="AC24" s="114"/>
      <c r="AD24" s="112"/>
      <c r="AE24" s="113"/>
      <c r="AF24" s="113"/>
      <c r="AG24" s="114"/>
      <c r="AH24" s="109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1"/>
      <c r="BD24" s="112"/>
      <c r="BE24" s="113"/>
      <c r="BF24" s="113"/>
      <c r="BG24" s="113"/>
      <c r="BH24" s="113"/>
      <c r="BI24" s="113"/>
      <c r="BJ24" s="114"/>
    </row>
    <row r="25" spans="1:62" ht="40.5" customHeight="1">
      <c r="A25" s="112"/>
      <c r="B25" s="113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2"/>
      <c r="S25" s="113"/>
      <c r="T25" s="113"/>
      <c r="U25" s="114"/>
      <c r="V25" s="112"/>
      <c r="W25" s="113"/>
      <c r="X25" s="113"/>
      <c r="Y25" s="114"/>
      <c r="Z25" s="112"/>
      <c r="AA25" s="113"/>
      <c r="AB25" s="113"/>
      <c r="AC25" s="114"/>
      <c r="AD25" s="112"/>
      <c r="AE25" s="113"/>
      <c r="AF25" s="113"/>
      <c r="AG25" s="114"/>
      <c r="AH25" s="109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1"/>
      <c r="BD25" s="112"/>
      <c r="BE25" s="113"/>
      <c r="BF25" s="113"/>
      <c r="BG25" s="113"/>
      <c r="BH25" s="113"/>
      <c r="BI25" s="113"/>
      <c r="BJ25" s="114"/>
    </row>
    <row r="26" spans="1:62" ht="40.5" customHeight="1">
      <c r="A26" s="112"/>
      <c r="B26" s="113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7"/>
      <c r="R26" s="112"/>
      <c r="S26" s="113"/>
      <c r="T26" s="113"/>
      <c r="U26" s="114"/>
      <c r="V26" s="112"/>
      <c r="W26" s="113"/>
      <c r="X26" s="113"/>
      <c r="Y26" s="114"/>
      <c r="Z26" s="112"/>
      <c r="AA26" s="113"/>
      <c r="AB26" s="113"/>
      <c r="AC26" s="114"/>
      <c r="AD26" s="112"/>
      <c r="AE26" s="113"/>
      <c r="AF26" s="113"/>
      <c r="AG26" s="114"/>
      <c r="AH26" s="109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1"/>
      <c r="BD26" s="112"/>
      <c r="BE26" s="113"/>
      <c r="BF26" s="113"/>
      <c r="BG26" s="113"/>
      <c r="BH26" s="113"/>
      <c r="BI26" s="113"/>
      <c r="BJ26" s="114"/>
    </row>
    <row r="27" spans="1:62" ht="40.5" customHeight="1">
      <c r="A27" s="112"/>
      <c r="B27" s="113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2"/>
      <c r="S27" s="113"/>
      <c r="T27" s="113"/>
      <c r="U27" s="114"/>
      <c r="V27" s="112"/>
      <c r="W27" s="113"/>
      <c r="X27" s="113"/>
      <c r="Y27" s="114"/>
      <c r="Z27" s="112"/>
      <c r="AA27" s="113"/>
      <c r="AB27" s="113"/>
      <c r="AC27" s="114"/>
      <c r="AD27" s="112"/>
      <c r="AE27" s="113"/>
      <c r="AF27" s="113"/>
      <c r="AG27" s="114"/>
      <c r="AH27" s="109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1"/>
      <c r="BD27" s="112"/>
      <c r="BE27" s="113"/>
      <c r="BF27" s="113"/>
      <c r="BG27" s="113"/>
      <c r="BH27" s="113"/>
      <c r="BI27" s="113"/>
      <c r="BJ27" s="114"/>
    </row>
    <row r="28" spans="1:62" ht="40.5" customHeight="1">
      <c r="A28" s="112"/>
      <c r="B28" s="113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7"/>
      <c r="R28" s="112"/>
      <c r="S28" s="113"/>
      <c r="T28" s="113"/>
      <c r="U28" s="114"/>
      <c r="V28" s="112"/>
      <c r="W28" s="113"/>
      <c r="X28" s="113"/>
      <c r="Y28" s="114"/>
      <c r="Z28" s="112"/>
      <c r="AA28" s="113"/>
      <c r="AB28" s="113"/>
      <c r="AC28" s="114"/>
      <c r="AD28" s="112"/>
      <c r="AE28" s="113"/>
      <c r="AF28" s="113"/>
      <c r="AG28" s="114"/>
      <c r="AH28" s="109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1"/>
      <c r="BD28" s="112"/>
      <c r="BE28" s="113"/>
      <c r="BF28" s="113"/>
      <c r="BG28" s="113"/>
      <c r="BH28" s="113"/>
      <c r="BI28" s="113"/>
      <c r="BJ28" s="114"/>
    </row>
    <row r="29" spans="1:62" ht="40.5" customHeight="1">
      <c r="A29" s="112"/>
      <c r="B29" s="113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  <c r="R29" s="112"/>
      <c r="S29" s="113"/>
      <c r="T29" s="113"/>
      <c r="U29" s="114"/>
      <c r="V29" s="112"/>
      <c r="W29" s="113"/>
      <c r="X29" s="113"/>
      <c r="Y29" s="114"/>
      <c r="Z29" s="112"/>
      <c r="AA29" s="113"/>
      <c r="AB29" s="113"/>
      <c r="AC29" s="114"/>
      <c r="AD29" s="112"/>
      <c r="AE29" s="113"/>
      <c r="AF29" s="113"/>
      <c r="AG29" s="114"/>
      <c r="AH29" s="109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1"/>
      <c r="BD29" s="112"/>
      <c r="BE29" s="113"/>
      <c r="BF29" s="113"/>
      <c r="BG29" s="113"/>
      <c r="BH29" s="113"/>
      <c r="BI29" s="113"/>
      <c r="BJ29" s="114"/>
    </row>
    <row r="30" spans="1:62" ht="40.5" customHeight="1">
      <c r="A30" s="112"/>
      <c r="B30" s="113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2"/>
      <c r="S30" s="113"/>
      <c r="T30" s="113"/>
      <c r="U30" s="114"/>
      <c r="V30" s="112"/>
      <c r="W30" s="113"/>
      <c r="X30" s="113"/>
      <c r="Y30" s="114"/>
      <c r="Z30" s="112"/>
      <c r="AA30" s="113"/>
      <c r="AB30" s="113"/>
      <c r="AC30" s="114"/>
      <c r="AD30" s="112"/>
      <c r="AE30" s="113"/>
      <c r="AF30" s="113"/>
      <c r="AG30" s="114"/>
      <c r="AH30" s="109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1"/>
      <c r="BD30" s="112"/>
      <c r="BE30" s="113"/>
      <c r="BF30" s="113"/>
      <c r="BG30" s="113"/>
      <c r="BH30" s="113"/>
      <c r="BI30" s="113"/>
      <c r="BJ30" s="114"/>
    </row>
    <row r="31" spans="1:62" ht="40.5" customHeight="1">
      <c r="A31" s="112"/>
      <c r="B31" s="113"/>
      <c r="C31" s="114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112"/>
      <c r="S31" s="113"/>
      <c r="T31" s="113"/>
      <c r="U31" s="114"/>
      <c r="V31" s="112"/>
      <c r="W31" s="113"/>
      <c r="X31" s="113"/>
      <c r="Y31" s="114"/>
      <c r="Z31" s="112"/>
      <c r="AA31" s="113"/>
      <c r="AB31" s="113"/>
      <c r="AC31" s="114"/>
      <c r="AD31" s="112"/>
      <c r="AE31" s="113"/>
      <c r="AF31" s="113"/>
      <c r="AG31" s="114"/>
      <c r="AH31" s="109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1"/>
      <c r="BD31" s="112"/>
      <c r="BE31" s="113"/>
      <c r="BF31" s="113"/>
      <c r="BG31" s="113"/>
      <c r="BH31" s="113"/>
      <c r="BI31" s="113"/>
      <c r="BJ31" s="114"/>
    </row>
    <row r="32" spans="1:62" ht="41.1" customHeight="1">
      <c r="A32" s="103"/>
      <c r="B32" s="104"/>
      <c r="C32" s="105"/>
      <c r="D32" s="10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R32" s="103"/>
      <c r="S32" s="104"/>
      <c r="T32" s="104"/>
      <c r="U32" s="105"/>
      <c r="V32" s="103"/>
      <c r="W32" s="104"/>
      <c r="X32" s="104"/>
      <c r="Y32" s="105"/>
      <c r="Z32" s="103"/>
      <c r="AA32" s="104"/>
      <c r="AB32" s="104"/>
      <c r="AC32" s="105"/>
      <c r="AD32" s="103"/>
      <c r="AE32" s="104"/>
      <c r="AF32" s="104"/>
      <c r="AG32" s="105"/>
      <c r="AH32" s="100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2"/>
      <c r="BD32" s="103"/>
      <c r="BE32" s="104"/>
      <c r="BF32" s="104"/>
      <c r="BG32" s="104"/>
      <c r="BH32" s="104"/>
      <c r="BI32" s="104"/>
      <c r="BJ32" s="105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</mergeCells>
  <phoneticPr fontId="1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9" t="s">
        <v>31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3" t="s">
        <v>2</v>
      </c>
      <c r="AU2" s="54"/>
      <c r="AV2" s="54"/>
      <c r="AW2" s="54"/>
      <c r="AX2" s="55"/>
      <c r="AY2" s="53" t="s">
        <v>44</v>
      </c>
      <c r="AZ2" s="54"/>
      <c r="BA2" s="54"/>
      <c r="BB2" s="55"/>
      <c r="BC2" s="53" t="s">
        <v>9</v>
      </c>
      <c r="BD2" s="54"/>
      <c r="BE2" s="54"/>
      <c r="BF2" s="55"/>
      <c r="BG2" s="53"/>
      <c r="BH2" s="54"/>
      <c r="BI2" s="54"/>
      <c r="BJ2" s="55"/>
    </row>
    <row r="3" spans="1:63" s="1" customFormat="1" ht="18" customHeight="1">
      <c r="A3" s="62" t="s">
        <v>0</v>
      </c>
      <c r="B3" s="63"/>
      <c r="C3" s="63"/>
      <c r="D3" s="63"/>
      <c r="E3" s="63"/>
      <c r="F3" s="63"/>
      <c r="G3" s="63"/>
      <c r="H3" s="64"/>
      <c r="I3" s="68" t="s">
        <v>141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70"/>
      <c r="AT3" s="53" t="s">
        <v>3</v>
      </c>
      <c r="AU3" s="54"/>
      <c r="AV3" s="54"/>
      <c r="AW3" s="54"/>
      <c r="AX3" s="55"/>
      <c r="AY3" s="53" t="s">
        <v>140</v>
      </c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3" s="1" customFormat="1" ht="18" customHeight="1">
      <c r="A4" s="65"/>
      <c r="B4" s="66"/>
      <c r="C4" s="66"/>
      <c r="D4" s="66"/>
      <c r="E4" s="66"/>
      <c r="F4" s="66"/>
      <c r="G4" s="66"/>
      <c r="H4" s="67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53" t="s">
        <v>4</v>
      </c>
      <c r="AU4" s="54"/>
      <c r="AV4" s="54"/>
      <c r="AW4" s="54"/>
      <c r="AX4" s="55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4" t="s">
        <v>11</v>
      </c>
      <c r="B6" s="76"/>
      <c r="C6" s="76"/>
      <c r="D6" s="76"/>
      <c r="E6" s="76"/>
      <c r="F6" s="76"/>
      <c r="G6" s="76"/>
      <c r="H6" s="76"/>
      <c r="I6" s="76"/>
      <c r="J6" s="76"/>
      <c r="K6" s="75"/>
      <c r="L6" s="74" t="str">
        <f>取込チェック・単体!L6</f>
        <v>最終仕入単価データ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3" t="s">
        <v>5</v>
      </c>
      <c r="B8" s="54"/>
      <c r="C8" s="55"/>
      <c r="D8" s="53" t="s">
        <v>136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5"/>
      <c r="R8" s="53" t="s">
        <v>42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5"/>
      <c r="BD8" s="118" t="s">
        <v>40</v>
      </c>
      <c r="BE8" s="119"/>
      <c r="BF8" s="119"/>
      <c r="BG8" s="119"/>
      <c r="BH8" s="119"/>
      <c r="BI8" s="119"/>
      <c r="BJ8" s="120"/>
    </row>
    <row r="9" spans="1:63" s="9" customFormat="1" ht="40.5" customHeight="1">
      <c r="A9" s="121"/>
      <c r="B9" s="122"/>
      <c r="C9" s="123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  <c r="R9" s="124" t="s">
        <v>55</v>
      </c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121"/>
      <c r="BE9" s="122"/>
      <c r="BF9" s="122"/>
      <c r="BG9" s="122"/>
      <c r="BH9" s="122"/>
      <c r="BI9" s="122"/>
      <c r="BJ9" s="123"/>
    </row>
    <row r="10" spans="1:63" ht="40.5" customHeight="1">
      <c r="A10" s="112"/>
      <c r="B10" s="113"/>
      <c r="C10" s="114"/>
      <c r="D10" s="115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5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  <c r="BD10" s="112"/>
      <c r="BE10" s="113"/>
      <c r="BF10" s="113"/>
      <c r="BG10" s="113"/>
      <c r="BH10" s="113"/>
      <c r="BI10" s="113"/>
      <c r="BJ10" s="114"/>
    </row>
    <row r="11" spans="1:63" ht="40.5" customHeight="1">
      <c r="A11" s="112"/>
      <c r="B11" s="113"/>
      <c r="C11" s="114"/>
      <c r="D11" s="115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5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  <c r="BD11" s="112"/>
      <c r="BE11" s="113"/>
      <c r="BF11" s="113"/>
      <c r="BG11" s="113"/>
      <c r="BH11" s="113"/>
      <c r="BI11" s="113"/>
      <c r="BJ11" s="114"/>
    </row>
    <row r="12" spans="1:63" ht="40.5" customHeight="1">
      <c r="A12" s="112"/>
      <c r="B12" s="113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5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  <c r="BD12" s="112"/>
      <c r="BE12" s="113"/>
      <c r="BF12" s="113"/>
      <c r="BG12" s="113"/>
      <c r="BH12" s="113"/>
      <c r="BI12" s="113"/>
      <c r="BJ12" s="114"/>
    </row>
    <row r="13" spans="1:63" ht="40.5" customHeight="1">
      <c r="A13" s="112"/>
      <c r="B13" s="113"/>
      <c r="C13" s="11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15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  <c r="BD13" s="112"/>
      <c r="BE13" s="113"/>
      <c r="BF13" s="113"/>
      <c r="BG13" s="113"/>
      <c r="BH13" s="113"/>
      <c r="BI13" s="113"/>
      <c r="BJ13" s="114"/>
    </row>
    <row r="14" spans="1:63" ht="40.5" customHeight="1">
      <c r="A14" s="112"/>
      <c r="B14" s="113"/>
      <c r="C14" s="11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5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7"/>
      <c r="BD14" s="112"/>
      <c r="BE14" s="113"/>
      <c r="BF14" s="113"/>
      <c r="BG14" s="113"/>
      <c r="BH14" s="113"/>
      <c r="BI14" s="113"/>
      <c r="BJ14" s="114"/>
    </row>
    <row r="15" spans="1:63" ht="40.5" customHeight="1">
      <c r="A15" s="112"/>
      <c r="B15" s="113"/>
      <c r="C15" s="11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5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7"/>
      <c r="BD15" s="112"/>
      <c r="BE15" s="113"/>
      <c r="BF15" s="113"/>
      <c r="BG15" s="113"/>
      <c r="BH15" s="113"/>
      <c r="BI15" s="113"/>
      <c r="BJ15" s="114"/>
    </row>
    <row r="16" spans="1:63" ht="40.5" customHeight="1">
      <c r="A16" s="112"/>
      <c r="B16" s="113"/>
      <c r="C16" s="11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5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  <c r="BD16" s="112"/>
      <c r="BE16" s="113"/>
      <c r="BF16" s="113"/>
      <c r="BG16" s="113"/>
      <c r="BH16" s="113"/>
      <c r="BI16" s="113"/>
      <c r="BJ16" s="114"/>
    </row>
    <row r="17" spans="1:62" ht="40.5" customHeight="1">
      <c r="A17" s="112"/>
      <c r="B17" s="113"/>
      <c r="C17" s="114"/>
      <c r="D17" s="115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5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7"/>
      <c r="BD17" s="112"/>
      <c r="BE17" s="113"/>
      <c r="BF17" s="113"/>
      <c r="BG17" s="113"/>
      <c r="BH17" s="113"/>
      <c r="BI17" s="113"/>
      <c r="BJ17" s="114"/>
    </row>
    <row r="18" spans="1:62" ht="40.5" customHeight="1">
      <c r="A18" s="112"/>
      <c r="B18" s="113"/>
      <c r="C18" s="114"/>
      <c r="D18" s="115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5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7"/>
      <c r="BD18" s="112"/>
      <c r="BE18" s="113"/>
      <c r="BF18" s="113"/>
      <c r="BG18" s="113"/>
      <c r="BH18" s="113"/>
      <c r="BI18" s="113"/>
      <c r="BJ18" s="114"/>
    </row>
    <row r="19" spans="1:62" ht="40.5" customHeight="1">
      <c r="A19" s="112"/>
      <c r="B19" s="113"/>
      <c r="C19" s="114"/>
      <c r="D19" s="115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5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  <c r="BD19" s="112"/>
      <c r="BE19" s="113"/>
      <c r="BF19" s="113"/>
      <c r="BG19" s="113"/>
      <c r="BH19" s="113"/>
      <c r="BI19" s="113"/>
      <c r="BJ19" s="114"/>
    </row>
    <row r="20" spans="1:62" ht="40.5" customHeight="1">
      <c r="A20" s="112"/>
      <c r="B20" s="113"/>
      <c r="C20" s="11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5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7"/>
      <c r="BD20" s="112"/>
      <c r="BE20" s="113"/>
      <c r="BF20" s="113"/>
      <c r="BG20" s="113"/>
      <c r="BH20" s="113"/>
      <c r="BI20" s="113"/>
      <c r="BJ20" s="114"/>
    </row>
    <row r="21" spans="1:62" ht="40.5" customHeight="1">
      <c r="A21" s="112"/>
      <c r="B21" s="113"/>
      <c r="C21" s="114"/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5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7"/>
      <c r="BD21" s="112"/>
      <c r="BE21" s="113"/>
      <c r="BF21" s="113"/>
      <c r="BG21" s="113"/>
      <c r="BH21" s="113"/>
      <c r="BI21" s="113"/>
      <c r="BJ21" s="114"/>
    </row>
    <row r="22" spans="1:62" ht="40.5" customHeight="1">
      <c r="A22" s="112"/>
      <c r="B22" s="113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5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7"/>
      <c r="BD22" s="112"/>
      <c r="BE22" s="113"/>
      <c r="BF22" s="113"/>
      <c r="BG22" s="113"/>
      <c r="BH22" s="113"/>
      <c r="BI22" s="113"/>
      <c r="BJ22" s="114"/>
    </row>
    <row r="23" spans="1:62" ht="40.5" customHeight="1">
      <c r="A23" s="112"/>
      <c r="B23" s="113"/>
      <c r="C23" s="114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7"/>
      <c r="R23" s="115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7"/>
      <c r="BD23" s="112"/>
      <c r="BE23" s="113"/>
      <c r="BF23" s="113"/>
      <c r="BG23" s="113"/>
      <c r="BH23" s="113"/>
      <c r="BI23" s="113"/>
      <c r="BJ23" s="114"/>
    </row>
    <row r="24" spans="1:62" ht="40.5" customHeight="1">
      <c r="A24" s="112"/>
      <c r="B24" s="113"/>
      <c r="C24" s="114"/>
      <c r="D24" s="115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5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7"/>
      <c r="BD24" s="112"/>
      <c r="BE24" s="113"/>
      <c r="BF24" s="113"/>
      <c r="BG24" s="113"/>
      <c r="BH24" s="113"/>
      <c r="BI24" s="113"/>
      <c r="BJ24" s="114"/>
    </row>
    <row r="25" spans="1:62" ht="40.5" customHeight="1">
      <c r="A25" s="112"/>
      <c r="B25" s="113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5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7"/>
      <c r="BD25" s="112"/>
      <c r="BE25" s="113"/>
      <c r="BF25" s="113"/>
      <c r="BG25" s="113"/>
      <c r="BH25" s="113"/>
      <c r="BI25" s="113"/>
      <c r="BJ25" s="114"/>
    </row>
    <row r="26" spans="1:62" ht="40.5" customHeight="1">
      <c r="A26" s="112"/>
      <c r="B26" s="113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7"/>
      <c r="R26" s="115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7"/>
      <c r="BD26" s="112"/>
      <c r="BE26" s="113"/>
      <c r="BF26" s="113"/>
      <c r="BG26" s="113"/>
      <c r="BH26" s="113"/>
      <c r="BI26" s="113"/>
      <c r="BJ26" s="114"/>
    </row>
    <row r="27" spans="1:62" ht="40.5" customHeight="1">
      <c r="A27" s="112"/>
      <c r="B27" s="113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5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7"/>
      <c r="BD27" s="112"/>
      <c r="BE27" s="113"/>
      <c r="BF27" s="113"/>
      <c r="BG27" s="113"/>
      <c r="BH27" s="113"/>
      <c r="BI27" s="113"/>
      <c r="BJ27" s="114"/>
    </row>
    <row r="28" spans="1:62" ht="40.5" customHeight="1">
      <c r="A28" s="112"/>
      <c r="B28" s="113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7"/>
      <c r="R28" s="115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7"/>
      <c r="BD28" s="112"/>
      <c r="BE28" s="113"/>
      <c r="BF28" s="113"/>
      <c r="BG28" s="113"/>
      <c r="BH28" s="113"/>
      <c r="BI28" s="113"/>
      <c r="BJ28" s="114"/>
    </row>
    <row r="29" spans="1:62" ht="40.5" customHeight="1">
      <c r="A29" s="112"/>
      <c r="B29" s="113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  <c r="R29" s="115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7"/>
      <c r="BD29" s="112"/>
      <c r="BE29" s="113"/>
      <c r="BF29" s="113"/>
      <c r="BG29" s="113"/>
      <c r="BH29" s="113"/>
      <c r="BI29" s="113"/>
      <c r="BJ29" s="114"/>
    </row>
    <row r="30" spans="1:62" ht="40.5" customHeight="1">
      <c r="A30" s="112"/>
      <c r="B30" s="113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5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7"/>
      <c r="BD30" s="112"/>
      <c r="BE30" s="113"/>
      <c r="BF30" s="113"/>
      <c r="BG30" s="113"/>
      <c r="BH30" s="113"/>
      <c r="BI30" s="113"/>
      <c r="BJ30" s="114"/>
    </row>
    <row r="31" spans="1:62" ht="40.5" customHeight="1">
      <c r="A31" s="112"/>
      <c r="B31" s="113"/>
      <c r="C31" s="114"/>
      <c r="D31" s="115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115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7"/>
      <c r="BD31" s="112"/>
      <c r="BE31" s="113"/>
      <c r="BF31" s="113"/>
      <c r="BG31" s="113"/>
      <c r="BH31" s="113"/>
      <c r="BI31" s="113"/>
      <c r="BJ31" s="114"/>
    </row>
    <row r="32" spans="1:62" ht="40.5" customHeight="1">
      <c r="A32" s="103"/>
      <c r="B32" s="104"/>
      <c r="C32" s="105"/>
      <c r="D32" s="10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R32" s="106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8"/>
      <c r="BD32" s="103"/>
      <c r="BE32" s="104"/>
      <c r="BF32" s="104"/>
      <c r="BG32" s="104"/>
      <c r="BH32" s="104"/>
      <c r="BI32" s="104"/>
      <c r="BJ32" s="105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</mergeCells>
  <phoneticPr fontId="1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1C7F89-1325-4268-8AA6-AFBDB3A524ED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4a1f72ec-30b8-4383-892a-fcacdd251f13"/>
    <ds:schemaRef ds:uri="http://schemas.openxmlformats.org/package/2006/metadata/core-properties"/>
    <ds:schemaRef ds:uri="b9cc7365-e218-4624-aedb-0a55e821af1f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2025-06-16T13:21:32Z</cp:lastPrinted>
  <dcterms:created xsi:type="dcterms:W3CDTF">2001-03-06T02:20:07Z</dcterms:created>
  <dcterms:modified xsi:type="dcterms:W3CDTF">2025-08-22T04:01:52Z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