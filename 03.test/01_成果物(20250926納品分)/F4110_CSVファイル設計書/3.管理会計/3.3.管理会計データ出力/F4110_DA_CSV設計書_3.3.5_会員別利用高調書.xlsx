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3.管理会計データ出力\"/>
    </mc:Choice>
  </mc:AlternateContent>
  <xr:revisionPtr revIDLastSave="0" documentId="13_ncr:1_{038B2445-3F35-44F4-81F5-3F40EF2E5835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(参考資料-合計サンプル）" sheetId="34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3" hidden="1">'CSVイメージ_データ(参考資料-合計サンプル）'!$A$1:$U$1</definedName>
    <definedName name="_xlnm._FilterDatabase" localSheetId="1" hidden="1">項目定義書!$A$18:$BJ$18</definedName>
    <definedName name="_xlnm.Print_Area" localSheetId="2">CSVイメージ!$A$1:$BJ$33</definedName>
    <definedName name="_xlnm.Print_Area" localSheetId="1">項目定義書!$A$1:$BJ$58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項目定義書!$1:$18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" i="34" l="1"/>
  <c r="S40" i="34"/>
  <c r="R40" i="34"/>
  <c r="P40" i="34"/>
  <c r="N40" i="34"/>
  <c r="T39" i="34"/>
  <c r="S39" i="34"/>
  <c r="R39" i="34"/>
  <c r="P39" i="34"/>
  <c r="N39" i="34"/>
  <c r="S38" i="34"/>
  <c r="R38" i="34"/>
  <c r="P38" i="34"/>
  <c r="N38" i="34"/>
  <c r="T38" i="34" s="1"/>
  <c r="S37" i="34"/>
  <c r="R37" i="34"/>
  <c r="P37" i="34"/>
  <c r="T37" i="34" s="1"/>
  <c r="N37" i="34"/>
  <c r="S36" i="34"/>
  <c r="R36" i="34"/>
  <c r="P36" i="34"/>
  <c r="N36" i="34"/>
  <c r="T36" i="34" s="1"/>
  <c r="S35" i="34"/>
  <c r="R35" i="34"/>
  <c r="P35" i="34"/>
  <c r="N35" i="34"/>
  <c r="T35" i="34" s="1"/>
  <c r="T34" i="34"/>
  <c r="S34" i="34"/>
  <c r="R34" i="34"/>
  <c r="P34" i="34"/>
  <c r="N34" i="34"/>
  <c r="S33" i="34"/>
  <c r="R33" i="34"/>
  <c r="P33" i="34"/>
  <c r="N33" i="34"/>
  <c r="T33" i="34" s="1"/>
  <c r="T32" i="34"/>
  <c r="S32" i="34"/>
  <c r="R32" i="34"/>
  <c r="R12" i="34" s="1"/>
  <c r="P32" i="34"/>
  <c r="N32" i="34"/>
  <c r="S31" i="34"/>
  <c r="R31" i="34"/>
  <c r="P31" i="34"/>
  <c r="N31" i="34"/>
  <c r="T31" i="34" s="1"/>
  <c r="S30" i="34"/>
  <c r="R30" i="34"/>
  <c r="P30" i="34"/>
  <c r="N30" i="34"/>
  <c r="T30" i="34" s="1"/>
  <c r="S29" i="34"/>
  <c r="R29" i="34"/>
  <c r="P29" i="34"/>
  <c r="N29" i="34"/>
  <c r="T29" i="34" s="1"/>
  <c r="S28" i="34"/>
  <c r="R28" i="34"/>
  <c r="R7" i="34" s="1"/>
  <c r="P28" i="34"/>
  <c r="P12" i="34" s="1"/>
  <c r="N28" i="34"/>
  <c r="N7" i="34" s="1"/>
  <c r="T27" i="34"/>
  <c r="S27" i="34"/>
  <c r="R27" i="34"/>
  <c r="P27" i="34"/>
  <c r="N27" i="34"/>
  <c r="S26" i="34"/>
  <c r="R26" i="34"/>
  <c r="P26" i="34"/>
  <c r="N26" i="34"/>
  <c r="T26" i="34" s="1"/>
  <c r="S25" i="34"/>
  <c r="R25" i="34"/>
  <c r="P25" i="34"/>
  <c r="T25" i="34" s="1"/>
  <c r="N25" i="34"/>
  <c r="S24" i="34"/>
  <c r="R24" i="34"/>
  <c r="P24" i="34"/>
  <c r="N24" i="34"/>
  <c r="T24" i="34" s="1"/>
  <c r="S23" i="34"/>
  <c r="R23" i="34"/>
  <c r="R11" i="34" s="1"/>
  <c r="P23" i="34"/>
  <c r="P11" i="34" s="1"/>
  <c r="N23" i="34"/>
  <c r="T23" i="34" s="1"/>
  <c r="T22" i="34"/>
  <c r="S22" i="34"/>
  <c r="R22" i="34"/>
  <c r="P22" i="34"/>
  <c r="N22" i="34"/>
  <c r="S21" i="34"/>
  <c r="R21" i="34"/>
  <c r="P21" i="34"/>
  <c r="P6" i="34" s="1"/>
  <c r="N21" i="34"/>
  <c r="N6" i="34" s="1"/>
  <c r="T6" i="34" s="1"/>
  <c r="T20" i="34"/>
  <c r="S20" i="34"/>
  <c r="R20" i="34"/>
  <c r="P20" i="34"/>
  <c r="N20" i="34"/>
  <c r="S19" i="34"/>
  <c r="R19" i="34"/>
  <c r="P19" i="34"/>
  <c r="N19" i="34"/>
  <c r="T19" i="34" s="1"/>
  <c r="S18" i="34"/>
  <c r="R18" i="34"/>
  <c r="R10" i="34" s="1"/>
  <c r="P18" i="34"/>
  <c r="P5" i="34" s="1"/>
  <c r="N18" i="34"/>
  <c r="N10" i="34" s="1"/>
  <c r="S17" i="34"/>
  <c r="P17" i="34"/>
  <c r="N17" i="34"/>
  <c r="T17" i="34" s="1"/>
  <c r="S16" i="34"/>
  <c r="P16" i="34"/>
  <c r="P9" i="34" s="1"/>
  <c r="N16" i="34"/>
  <c r="N9" i="34" s="1"/>
  <c r="S15" i="34"/>
  <c r="P15" i="34"/>
  <c r="N15" i="34"/>
  <c r="T15" i="34" s="1"/>
  <c r="S14" i="34"/>
  <c r="P14" i="34"/>
  <c r="N14" i="34"/>
  <c r="T14" i="34" s="1"/>
  <c r="S13" i="34"/>
  <c r="P13" i="34"/>
  <c r="P4" i="34" s="1"/>
  <c r="N13" i="34"/>
  <c r="N4" i="34" s="1"/>
  <c r="T4" i="34" s="1"/>
  <c r="S12" i="34"/>
  <c r="Q12" i="34"/>
  <c r="O12" i="34"/>
  <c r="M12" i="34"/>
  <c r="Q11" i="34"/>
  <c r="O11" i="34"/>
  <c r="N11" i="34"/>
  <c r="M11" i="34"/>
  <c r="S11" i="34" s="1"/>
  <c r="Q10" i="34"/>
  <c r="O10" i="34"/>
  <c r="M10" i="34"/>
  <c r="S10" i="34" s="1"/>
  <c r="S9" i="34"/>
  <c r="R9" i="34"/>
  <c r="Q9" i="34"/>
  <c r="O9" i="34"/>
  <c r="M9" i="34"/>
  <c r="R8" i="34"/>
  <c r="Q8" i="34"/>
  <c r="P8" i="34"/>
  <c r="O8" i="34"/>
  <c r="M8" i="34"/>
  <c r="S8" i="34" s="1"/>
  <c r="Q7" i="34"/>
  <c r="O7" i="34"/>
  <c r="M7" i="34"/>
  <c r="S7" i="34" s="1"/>
  <c r="S6" i="34"/>
  <c r="R6" i="34"/>
  <c r="Q6" i="34"/>
  <c r="Q2" i="34" s="1"/>
  <c r="O6" i="34"/>
  <c r="M6" i="34"/>
  <c r="Q5" i="34"/>
  <c r="O5" i="34"/>
  <c r="M5" i="34"/>
  <c r="S5" i="34" s="1"/>
  <c r="R4" i="34"/>
  <c r="Q4" i="34"/>
  <c r="O4" i="34"/>
  <c r="M4" i="34"/>
  <c r="S4" i="34" s="1"/>
  <c r="S3" i="34"/>
  <c r="R3" i="34"/>
  <c r="Q3" i="34"/>
  <c r="O3" i="34"/>
  <c r="M3" i="34"/>
  <c r="O2" i="34"/>
  <c r="M2" i="34"/>
  <c r="S2" i="34" s="1"/>
  <c r="R2" i="34" l="1"/>
  <c r="T11" i="34"/>
  <c r="T9" i="34"/>
  <c r="T10" i="34"/>
  <c r="N2" i="34"/>
  <c r="N8" i="34"/>
  <c r="T8" i="34" s="1"/>
  <c r="R5" i="34"/>
  <c r="T28" i="34"/>
  <c r="T13" i="34"/>
  <c r="T21" i="34"/>
  <c r="N12" i="34"/>
  <c r="T12" i="34" s="1"/>
  <c r="N5" i="34"/>
  <c r="T5" i="34" s="1"/>
  <c r="T18" i="34"/>
  <c r="P10" i="34"/>
  <c r="T16" i="34"/>
  <c r="N3" i="34"/>
  <c r="T3" i="34" s="1"/>
  <c r="P7" i="34"/>
  <c r="P2" i="34" s="1"/>
  <c r="P3" i="34"/>
  <c r="T7" i="34" l="1"/>
  <c r="T2" i="34"/>
  <c r="BF6" i="31" l="1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<sst xmlns="http://schemas.openxmlformats.org/spreadsheetml/2006/main" count="628" uniqueCount="179">
  <si>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</si>
  <si>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</si>
  <si>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</si>
  <si>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</si>
  <si>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</si>
  <si>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</si>
  <si>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</si>
  <si>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</si>
  <si>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</si>
  <si>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</si>
  <si>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</si>
  <si>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</si>
  <si>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</si>
  <si>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</si>
  <si>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</si>
  <si>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</si>
  <si>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</si>
  <si>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</si>
  <si>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</si>
  <si>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</si>
  <si>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</si>
  <si>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</si>
  <si>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</si>
  <si>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</si>
  <si>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</si>
  <si>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</si>
  <si>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</si>
  <si>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</si>
  <si>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</si>
  <si>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</si>
  <si>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</si>
  <si>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</si>
  <si>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</si>
  <si>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</si>
  <si>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</si>
  <si>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</si>
  <si>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</si>
  <si>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</si>
  <si>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</si>
  <si>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</si>
  <si>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</si>
  <si>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</si>
  <si>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</si>
  <si>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</si>
  <si>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</si>
  <si>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</si>
  <si>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</si>
  <si>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</si>
  <si>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</si>
  <si>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</si>
  <si>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</si>
  <si>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</si>
  <si>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</si>
  <si>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業種コード</t>
    <phoneticPr fontId="1"/>
  </si>
  <si>
    <t>業種名称</t>
    <phoneticPr fontId="1"/>
  </si>
  <si>
    <t>取引先コード</t>
    <phoneticPr fontId="1"/>
  </si>
  <si>
    <t>取引先名称</t>
    <phoneticPr fontId="1"/>
  </si>
  <si>
    <t>漢字</t>
    <rPh sb="0" eb="2">
      <t>カンジ</t>
    </rPh>
    <phoneticPr fontId="1"/>
  </si>
  <si>
    <t>漢字</t>
  </si>
  <si>
    <t>数字</t>
    <rPh sb="0" eb="2">
      <t>スウジ</t>
    </rPh>
    <phoneticPr fontId="1"/>
  </si>
  <si>
    <t>英数字</t>
  </si>
  <si>
    <t>未収金（本体）</t>
    <phoneticPr fontId="1"/>
  </si>
  <si>
    <t>未収金（消費税）</t>
    <phoneticPr fontId="1"/>
  </si>
  <si>
    <t>未払金（本体）</t>
    <phoneticPr fontId="1"/>
  </si>
  <si>
    <t>未払金（消費税）</t>
    <phoneticPr fontId="1"/>
  </si>
  <si>
    <t>共計支払金（本体）</t>
    <phoneticPr fontId="1"/>
  </si>
  <si>
    <t>共計支払金（消費税）</t>
    <phoneticPr fontId="1"/>
  </si>
  <si>
    <t>合計（本体）</t>
    <phoneticPr fontId="1"/>
  </si>
  <si>
    <t>合計（消費税）</t>
    <phoneticPr fontId="1"/>
  </si>
  <si>
    <t>会員別利用高調書</t>
    <phoneticPr fontId="1"/>
  </si>
  <si>
    <t>種苗</t>
    <phoneticPr fontId="1"/>
  </si>
  <si>
    <t>雑穀種子</t>
    <phoneticPr fontId="1"/>
  </si>
  <si>
    <t>野菜種苗</t>
    <phoneticPr fontId="1"/>
  </si>
  <si>
    <t>採種馬鈴薯</t>
    <phoneticPr fontId="1"/>
  </si>
  <si>
    <t>麦種子</t>
    <phoneticPr fontId="1"/>
  </si>
  <si>
    <t>花き種苗</t>
    <phoneticPr fontId="1"/>
  </si>
  <si>
    <t>移出用種馬鈴しょ</t>
    <phoneticPr fontId="1"/>
  </si>
  <si>
    <t>原々種馬鈴薯</t>
    <phoneticPr fontId="1"/>
  </si>
  <si>
    <t>原種馬鈴薯</t>
    <phoneticPr fontId="1"/>
  </si>
  <si>
    <t>函館市亀田農業協同組合　生産資材課</t>
    <phoneticPr fontId="1"/>
  </si>
  <si>
    <t>01</t>
    <phoneticPr fontId="1"/>
  </si>
  <si>
    <t>020</t>
    <phoneticPr fontId="1"/>
  </si>
  <si>
    <t>030</t>
    <phoneticPr fontId="1"/>
  </si>
  <si>
    <t>028</t>
    <phoneticPr fontId="1"/>
  </si>
  <si>
    <t>025</t>
    <phoneticPr fontId="1"/>
  </si>
  <si>
    <t>026</t>
    <phoneticPr fontId="1"/>
  </si>
  <si>
    <t>027</t>
    <phoneticPr fontId="1"/>
  </si>
  <si>
    <t>035</t>
    <phoneticPr fontId="1"/>
  </si>
  <si>
    <t>015</t>
    <phoneticPr fontId="1"/>
  </si>
  <si>
    <t>購買</t>
    <phoneticPr fontId="1"/>
  </si>
  <si>
    <t>販売</t>
    <phoneticPr fontId="1"/>
  </si>
  <si>
    <t>1</t>
    <phoneticPr fontId="1"/>
  </si>
  <si>
    <t>100000</t>
    <phoneticPr fontId="1"/>
  </si>
  <si>
    <t>1000</t>
    <phoneticPr fontId="1"/>
  </si>
  <si>
    <t>函館市亀田農協生産資材課</t>
    <phoneticPr fontId="1"/>
  </si>
  <si>
    <t>新函館農協上ノ国資材店舗</t>
    <phoneticPr fontId="1"/>
  </si>
  <si>
    <t>松前農協本所</t>
    <phoneticPr fontId="1"/>
  </si>
  <si>
    <t>福島町農協本所</t>
    <phoneticPr fontId="1"/>
  </si>
  <si>
    <t>新函館農協厚沢部支店</t>
    <phoneticPr fontId="1"/>
  </si>
  <si>
    <t>対象の業種名称</t>
    <phoneticPr fontId="1"/>
  </si>
  <si>
    <t>対象の取引先名称</t>
    <phoneticPr fontId="1"/>
  </si>
  <si>
    <t>対象の勘定区分名称</t>
    <phoneticPr fontId="1"/>
  </si>
  <si>
    <t>英数字</t>
    <phoneticPr fontId="1"/>
  </si>
  <si>
    <t>会計年度</t>
    <phoneticPr fontId="1"/>
  </si>
  <si>
    <t>数字</t>
    <phoneticPr fontId="1"/>
  </si>
  <si>
    <t>2025</t>
    <phoneticPr fontId="1"/>
  </si>
  <si>
    <t>米穀</t>
    <rPh sb="0" eb="2">
      <t>ベイコク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</si>
  <si>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</si>
  <si>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</si>
  <si>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</si>
  <si>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</si>
  <si>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データ区分</t>
    <phoneticPr fontId="1"/>
  </si>
  <si>
    <t>明細</t>
    <rPh sb="0" eb="2">
      <t>メイサイ</t>
    </rPh>
    <phoneticPr fontId="1"/>
  </si>
  <si>
    <t>明細か合計項目を表示する。</t>
    <phoneticPr fontId="1"/>
  </si>
  <si>
    <t>経理年月</t>
    <phoneticPr fontId="1"/>
  </si>
  <si>
    <t>出力対象の経理年月</t>
    <phoneticPr fontId="1"/>
  </si>
  <si>
    <t>202601</t>
    <phoneticPr fontId="1"/>
  </si>
  <si>
    <t>未収金
（本体）</t>
    <phoneticPr fontId="1"/>
  </si>
  <si>
    <t>未収金
（消費税）</t>
    <phoneticPr fontId="1"/>
  </si>
  <si>
    <t>未払金
（本体）</t>
    <phoneticPr fontId="1"/>
  </si>
  <si>
    <t>未払金
（消費税）</t>
    <phoneticPr fontId="1"/>
  </si>
  <si>
    <t>共計支払金
（本体）</t>
    <phoneticPr fontId="1"/>
  </si>
  <si>
    <t>共計支払金
（消費税）</t>
    <phoneticPr fontId="1"/>
  </si>
  <si>
    <t>合計
（本体）</t>
    <phoneticPr fontId="1"/>
  </si>
  <si>
    <t>合計
（消費税）</t>
    <phoneticPr fontId="1"/>
  </si>
  <si>
    <t>05</t>
    <phoneticPr fontId="1"/>
  </si>
  <si>
    <t>購買販売区分</t>
    <phoneticPr fontId="1"/>
  </si>
  <si>
    <t>購買販売区分名称</t>
    <phoneticPr fontId="1"/>
  </si>
  <si>
    <t>関連チェック概要</t>
    <phoneticPr fontId="1"/>
  </si>
  <si>
    <t>10</t>
  </si>
  <si>
    <t>10</t>
    <phoneticPr fontId="1"/>
  </si>
  <si>
    <t>米穀</t>
    <phoneticPr fontId="1"/>
  </si>
  <si>
    <t>政府米</t>
    <phoneticPr fontId="1"/>
  </si>
  <si>
    <t>一般うるち米　</t>
    <phoneticPr fontId="1"/>
  </si>
  <si>
    <t>001</t>
    <phoneticPr fontId="1"/>
  </si>
  <si>
    <t>002</t>
    <phoneticPr fontId="1"/>
  </si>
  <si>
    <t>02</t>
    <phoneticPr fontId="1"/>
  </si>
  <si>
    <t>業種計</t>
    <phoneticPr fontId="1"/>
  </si>
  <si>
    <t>03</t>
    <phoneticPr fontId="1"/>
  </si>
  <si>
    <t>農協計</t>
    <rPh sb="2" eb="3">
      <t>ケイ</t>
    </rPh>
    <phoneticPr fontId="1"/>
  </si>
  <si>
    <t>00117</t>
    <phoneticPr fontId="1"/>
  </si>
  <si>
    <t>函館市亀田農業協同組合</t>
    <phoneticPr fontId="1"/>
  </si>
  <si>
    <t>00118</t>
    <phoneticPr fontId="1"/>
  </si>
  <si>
    <t>福島町農協</t>
    <phoneticPr fontId="1"/>
  </si>
  <si>
    <t>00119</t>
    <phoneticPr fontId="1"/>
  </si>
  <si>
    <t>松前農協</t>
    <phoneticPr fontId="1"/>
  </si>
  <si>
    <t>00120</t>
    <phoneticPr fontId="1"/>
  </si>
  <si>
    <t>新函館農協</t>
    <phoneticPr fontId="1"/>
  </si>
  <si>
    <t>業種別農協計</t>
    <rPh sb="0" eb="2">
      <t>ギョウシュ</t>
    </rPh>
    <rPh sb="2" eb="3">
      <t>ベツ</t>
    </rPh>
    <rPh sb="3" eb="5">
      <t>ノウキョウ</t>
    </rPh>
    <phoneticPr fontId="1"/>
  </si>
  <si>
    <t>00117001</t>
  </si>
  <si>
    <t>00118001</t>
  </si>
  <si>
    <t>00119001</t>
  </si>
  <si>
    <t>00120033</t>
  </si>
  <si>
    <t>00120051</t>
  </si>
  <si>
    <t>00117001</t>
    <phoneticPr fontId="1"/>
  </si>
  <si>
    <t>00118001</t>
    <phoneticPr fontId="1"/>
  </si>
  <si>
    <t>00107002</t>
    <phoneticPr fontId="1"/>
  </si>
  <si>
    <t>対象の取引先コード
取引先コード(5桁） + 取引先枝番（3桁）</t>
    <phoneticPr fontId="1"/>
  </si>
  <si>
    <t>明細か合計項目をデータ区分で表示する。
01 業種計
02 農協計
03 業種別農協計
10 明細</t>
    <rPh sb="2" eb="4">
      <t>ゴウケイ</t>
    </rPh>
    <rPh sb="4" eb="6">
      <t>コウモク</t>
    </rPh>
    <rPh sb="11" eb="13">
      <t>クブン</t>
    </rPh>
    <rPh sb="14" eb="16">
      <t>ヒョウジ</t>
    </rPh>
    <phoneticPr fontId="1"/>
  </si>
  <si>
    <t>集計区分名称</t>
    <phoneticPr fontId="1"/>
  </si>
  <si>
    <t>集計区分名称</t>
    <rPh sb="0" eb="2">
      <t>シュウケイ</t>
    </rPh>
    <rPh sb="2" eb="4">
      <t>クブン</t>
    </rPh>
    <rPh sb="4" eb="6">
      <t>メイショウ</t>
    </rPh>
    <phoneticPr fontId="1"/>
  </si>
  <si>
    <t>集計区分</t>
    <rPh sb="0" eb="2">
      <t>シュウケイ</t>
    </rPh>
    <rPh sb="2" eb="4">
      <t>クブン</t>
    </rPh>
    <phoneticPr fontId="1"/>
  </si>
  <si>
    <t>集計区分</t>
    <phoneticPr fontId="1"/>
  </si>
  <si>
    <t>収支管理品目大分類コードに紐づく並び順</t>
    <rPh sb="13" eb="14">
      <t>ヒモ</t>
    </rPh>
    <phoneticPr fontId="1"/>
  </si>
  <si>
    <t>収支管理品目大分類コード</t>
  </si>
  <si>
    <t>収支管理品目大分類名称</t>
  </si>
  <si>
    <t>2025/08/29</t>
    <phoneticPr fontId="1"/>
  </si>
  <si>
    <t>統合会計システム</t>
    <phoneticPr fontId="1"/>
  </si>
  <si>
    <t>D03030502</t>
    <phoneticPr fontId="1"/>
  </si>
  <si>
    <t>Shift jis</t>
  </si>
  <si>
    <t>24058</t>
  </si>
  <si>
    <t>基幹システム再構築　会計システム外部設計</t>
  </si>
  <si>
    <t>F4110-1D</t>
    <phoneticPr fontId="1"/>
  </si>
  <si>
    <t>集計元の勘定科目が「購買未収金」「購買未払金」「購買共計支払金」の場合は購買、
「販売未収金」「販売未払金」「販売共計支払金」の場合は販売を設定する。
1：購買　2：販売　</t>
    <phoneticPr fontId="1"/>
  </si>
  <si>
    <t>明細</t>
    <rPh sb="0" eb="2">
      <t>メイサイ</t>
    </rPh>
    <phoneticPr fontId="1"/>
  </si>
  <si>
    <t>明細</t>
    <phoneticPr fontId="1"/>
  </si>
  <si>
    <t>対象となる収支管理品目大分類コード</t>
    <phoneticPr fontId="1"/>
  </si>
  <si>
    <t>収支管理品目大分類コード</t>
    <phoneticPr fontId="1"/>
  </si>
  <si>
    <t>収支管理品目大分類マスタより取得した名称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</si>
</sst>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color theme="1"/>
      <name val="ＭＳ 明朝"/>
      <family val="1"/>
      <charset val="128"/>
    </font>
    <font>
      <b/>
      <sz val="12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20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/>
    <xf numFmtId="0" fontId="2" fillId="2" borderId="5" xfId="0" quotePrefix="1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/>
    <xf numFmtId="0" fontId="2" fillId="3" borderId="5" xfId="0" quotePrefix="1" applyFont="1" applyFill="1" applyBorder="1" applyAlignment="1">
      <alignment vertical="center"/>
    </xf>
    <xf numFmtId="49" fontId="2" fillId="3" borderId="6" xfId="0" applyNumberFormat="1" applyFont="1" applyFill="1" applyBorder="1" applyAlignment="1">
      <alignment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0" fillId="0" borderId="0" xfId="0" applyAlignment="1">
      <alignment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49" fontId="22" fillId="4" borderId="16" xfId="0" applyNumberFormat="1" applyFont="1" applyFill="1" applyBorder="1" applyAlignment="1">
      <alignment vertical="center"/>
    </xf>
    <xf numFmtId="0" fontId="22" fillId="4" borderId="16" xfId="0" applyFont="1" applyFill="1" applyBorder="1" applyAlignment="1">
      <alignment horizontal="left" vertical="center"/>
    </xf>
    <xf numFmtId="0" fontId="22" fillId="4" borderId="16" xfId="0" applyFont="1" applyFill="1" applyBorder="1" applyAlignment="1">
      <alignment vertical="center"/>
    </xf>
    <xf numFmtId="0" fontId="22" fillId="4" borderId="16" xfId="0" applyFont="1" applyFill="1" applyBorder="1"/>
    <xf numFmtId="49" fontId="22" fillId="2" borderId="5" xfId="0" applyNumberFormat="1" applyFont="1" applyFill="1" applyBorder="1" applyAlignment="1">
      <alignment vertical="center"/>
    </xf>
    <xf numFmtId="0" fontId="22" fillId="2" borderId="5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vertical="center"/>
    </xf>
    <xf numFmtId="0" fontId="22" fillId="2" borderId="5" xfId="0" applyFont="1" applyFill="1" applyBorder="1"/>
    <xf numFmtId="0" fontId="22" fillId="2" borderId="26" xfId="0" applyFont="1" applyFill="1" applyBorder="1"/>
    <xf numFmtId="49" fontId="22" fillId="4" borderId="5" xfId="0" applyNumberFormat="1" applyFont="1" applyFill="1" applyBorder="1" applyAlignment="1">
      <alignment vertical="center"/>
    </xf>
    <xf numFmtId="0" fontId="22" fillId="4" borderId="5" xfId="0" applyFont="1" applyFill="1" applyBorder="1" applyAlignment="1">
      <alignment vertical="center"/>
    </xf>
    <xf numFmtId="0" fontId="22" fillId="4" borderId="5" xfId="0" applyFont="1" applyFill="1" applyBorder="1" applyAlignment="1">
      <alignment horizontal="left" vertical="center"/>
    </xf>
    <xf numFmtId="0" fontId="22" fillId="4" borderId="5" xfId="0" quotePrefix="1" applyFont="1" applyFill="1" applyBorder="1" applyAlignment="1">
      <alignment horizontal="left"/>
    </xf>
    <xf numFmtId="0" fontId="22" fillId="4" borderId="5" xfId="0" applyFont="1" applyFill="1" applyBorder="1"/>
    <xf numFmtId="0" fontId="22" fillId="2" borderId="5" xfId="0" quotePrefix="1" applyFont="1" applyFill="1" applyBorder="1" applyAlignment="1">
      <alignment horizontal="left"/>
    </xf>
    <xf numFmtId="0" fontId="22" fillId="2" borderId="5" xfId="0" quotePrefix="1" applyFont="1" applyFill="1" applyBorder="1" applyAlignment="1">
      <alignment horizontal="left" vertical="center"/>
    </xf>
    <xf numFmtId="0" fontId="22" fillId="4" borderId="5" xfId="0" quotePrefix="1" applyFont="1" applyFill="1" applyBorder="1" applyAlignment="1">
      <alignment horizontal="left" vertical="center"/>
    </xf>
    <xf numFmtId="0" fontId="2" fillId="4" borderId="5" xfId="0" quotePrefix="1" applyFont="1" applyFill="1" applyBorder="1" applyAlignment="1">
      <alignment vertical="center"/>
    </xf>
    <xf numFmtId="0" fontId="2" fillId="3" borderId="5" xfId="0" quotePrefix="1" applyFont="1" applyFill="1" applyBorder="1"/>
    <xf numFmtId="0" fontId="2" fillId="2" borderId="5" xfId="0" quotePrefix="1" applyFont="1" applyFill="1" applyBorder="1"/>
    <xf numFmtId="0" fontId="2" fillId="3" borderId="6" xfId="0" quotePrefix="1" applyFont="1" applyFill="1" applyBorder="1"/>
    <xf numFmtId="0" fontId="0" fillId="0" borderId="18" xfId="0" applyBorder="1"/>
    <xf numFmtId="20" fontId="2" fillId="0" borderId="0" xfId="0" applyNumberFormat="1" applyFont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FFCCFF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2" customWidth="1"/>
    <col min="63" max="159" width="1.6640625" style="32" customWidth="1"/>
    <col min="160" max="16384" width="9" style="32"/>
  </cols>
  <sheetData>
    <row r="1" spans="1:62" s="1" customFormat="1" ht="18" customHeight="1">
      <c r="A1" s="90" t="s">
        <v>0</v>
      </c>
      <c r="BJ1" s="2" t="s">
        <v>1</v>
      </c>
    </row>
    <row r="2" spans="1:62" s="3" customFormat="1" ht="18" customHeight="1">
      <c r="A2" s="97" t="s">
        <v>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9"/>
      <c r="AT2" s="91" t="s">
        <v>3</v>
      </c>
      <c r="AU2" s="92"/>
      <c r="AV2" s="92"/>
      <c r="AW2" s="92"/>
      <c r="AX2" s="93"/>
      <c r="AY2" s="91" t="s">
        <v>4</v>
      </c>
      <c r="AZ2" s="92"/>
      <c r="BA2" s="92"/>
      <c r="BB2" s="93"/>
      <c r="BC2" s="91" t="s">
        <v>5</v>
      </c>
      <c r="BD2" s="92"/>
      <c r="BE2" s="92"/>
      <c r="BF2" s="93"/>
      <c r="BG2" s="91"/>
      <c r="BH2" s="92"/>
      <c r="BI2" s="92"/>
      <c r="BJ2" s="93"/>
    </row>
    <row r="3" spans="1:62" s="1" customFormat="1" ht="18" customHeight="1">
      <c r="A3" s="100" t="s">
        <v>6</v>
      </c>
      <c r="B3" s="101"/>
      <c r="C3" s="101"/>
      <c r="D3" s="101"/>
      <c r="E3" s="101"/>
      <c r="F3" s="101"/>
      <c r="G3" s="101"/>
      <c r="H3" s="102"/>
      <c r="I3" s="106" t="s">
        <v>167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8"/>
      <c r="AT3" s="91" t="s">
        <v>7</v>
      </c>
      <c r="AU3" s="92"/>
      <c r="AV3" s="92"/>
      <c r="AW3" s="92"/>
      <c r="AX3" s="93"/>
      <c r="AY3" s="91" t="s">
        <v>166</v>
      </c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3"/>
    </row>
    <row r="4" spans="1:62" s="1" customFormat="1" ht="18" customHeight="1">
      <c r="A4" s="103"/>
      <c r="B4" s="104"/>
      <c r="C4" s="104"/>
      <c r="D4" s="104"/>
      <c r="E4" s="104"/>
      <c r="F4" s="104"/>
      <c r="G4" s="104"/>
      <c r="H4" s="105"/>
      <c r="I4" s="109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91" t="s">
        <v>8</v>
      </c>
      <c r="AU4" s="92"/>
      <c r="AV4" s="92"/>
      <c r="AW4" s="92"/>
      <c r="AX4" s="93"/>
      <c r="AY4" s="91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20" customFormat="1" ht="9" customHeight="1"/>
    <row r="6" spans="1:62" s="24" customFormat="1" ht="15.75" customHeight="1">
      <c r="A6" s="94" t="s">
        <v>9</v>
      </c>
      <c r="B6" s="95"/>
      <c r="C6" s="95"/>
      <c r="D6" s="95"/>
      <c r="E6" s="95"/>
      <c r="F6" s="95"/>
      <c r="G6" s="96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19"/>
      <c r="D7" s="19"/>
      <c r="E7" s="19"/>
      <c r="F7" s="19"/>
      <c r="G7" s="19"/>
      <c r="H7" s="26"/>
      <c r="O7" s="27"/>
      <c r="P7" s="27"/>
      <c r="Q7" s="27"/>
      <c r="R7" s="27"/>
      <c r="S7" s="27"/>
      <c r="T7" s="27"/>
      <c r="U7" s="27"/>
      <c r="V7" s="27"/>
      <c r="W7" s="27"/>
      <c r="X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BJ7" s="28"/>
    </row>
    <row r="8" spans="1:62" s="24" customFormat="1" ht="20.25" customHeight="1">
      <c r="A8" s="25"/>
      <c r="B8" s="24" t="s">
        <v>170</v>
      </c>
      <c r="C8" s="19"/>
      <c r="D8" s="19"/>
      <c r="E8" s="19"/>
      <c r="F8" s="19"/>
      <c r="G8" s="19"/>
      <c r="H8" s="26"/>
      <c r="I8" s="24" t="s">
        <v>171</v>
      </c>
      <c r="O8" s="27"/>
      <c r="P8" s="27"/>
      <c r="Q8" s="27"/>
      <c r="R8" s="27"/>
      <c r="S8" s="27"/>
      <c r="T8" s="27"/>
      <c r="U8" s="27"/>
      <c r="V8" s="27"/>
      <c r="W8" s="27"/>
      <c r="X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BJ8" s="28"/>
    </row>
    <row r="9" spans="1:62" s="24" customFormat="1" ht="20.25" customHeight="1">
      <c r="A9" s="25"/>
      <c r="H9" s="25"/>
      <c r="BJ9" s="28"/>
    </row>
    <row r="10" spans="1:62" s="24" customFormat="1" ht="20.25" customHeight="1">
      <c r="A10" s="25"/>
      <c r="H10" s="25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BJ10" s="28"/>
    </row>
    <row r="11" spans="1:62" s="24" customFormat="1" ht="20.25" customHeight="1">
      <c r="A11" s="25"/>
      <c r="H11" s="25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BJ11" s="28"/>
    </row>
    <row r="12" spans="1:62" s="24" customFormat="1" ht="20.25" customHeight="1">
      <c r="A12" s="25"/>
      <c r="H12" s="25"/>
      <c r="BJ12" s="28"/>
    </row>
    <row r="13" spans="1:62" s="24" customFormat="1" ht="20.25" customHeight="1">
      <c r="A13" s="25"/>
      <c r="H13" s="25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BJ13" s="28"/>
    </row>
    <row r="14" spans="1:62" s="24" customFormat="1" ht="20.25" customHeight="1">
      <c r="A14" s="25"/>
      <c r="H14" s="25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BJ14" s="28"/>
    </row>
    <row r="15" spans="1:62" s="24" customFormat="1" ht="20.25" customHeight="1">
      <c r="A15" s="25"/>
      <c r="H15" s="25"/>
      <c r="BJ15" s="28"/>
    </row>
    <row r="16" spans="1:62" s="24" customFormat="1" ht="20.25" customHeight="1">
      <c r="A16" s="25"/>
      <c r="H16" s="25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BJ16" s="28"/>
    </row>
    <row r="17" spans="1:62" s="24" customFormat="1" ht="20.25" customHeight="1">
      <c r="A17" s="25"/>
      <c r="H17" s="25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BJ17" s="28"/>
    </row>
    <row r="18" spans="1:62" s="24" customFormat="1" ht="20.25" customHeight="1">
      <c r="A18" s="25"/>
      <c r="H18" s="25"/>
      <c r="BJ18" s="28"/>
    </row>
    <row r="19" spans="1:62" s="24" customFormat="1" ht="20.25" customHeight="1">
      <c r="A19" s="25"/>
      <c r="H19" s="25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BJ19" s="28"/>
    </row>
    <row r="20" spans="1:62" s="24" customFormat="1" ht="20.25" customHeight="1">
      <c r="A20" s="25"/>
      <c r="H20" s="25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BJ20" s="28"/>
    </row>
    <row r="21" spans="1:62" s="24" customFormat="1" ht="20.25" customHeight="1">
      <c r="A21" s="25"/>
      <c r="H21" s="25"/>
      <c r="BJ21" s="28"/>
    </row>
    <row r="22" spans="1:62" s="24" customFormat="1" ht="20.25" customHeight="1">
      <c r="A22" s="25"/>
      <c r="H22" s="25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BJ22" s="28"/>
    </row>
    <row r="23" spans="1:62" s="24" customFormat="1" ht="20.25" customHeight="1">
      <c r="A23" s="25"/>
      <c r="H23" s="25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BJ23" s="28"/>
    </row>
    <row r="24" spans="1:62" s="24" customFormat="1" ht="20.25" customHeight="1">
      <c r="A24" s="25"/>
      <c r="H24" s="25"/>
      <c r="BJ24" s="28"/>
    </row>
    <row r="25" spans="1:62" s="24" customFormat="1" ht="20.25" customHeight="1">
      <c r="A25" s="25"/>
      <c r="H25" s="25"/>
      <c r="O25" s="27"/>
      <c r="P25" s="27"/>
      <c r="Q25" s="27"/>
      <c r="R25" s="27"/>
      <c r="S25" s="27"/>
      <c r="T25" s="27"/>
      <c r="U25" s="27"/>
      <c r="V25" s="27"/>
      <c r="W25" s="27"/>
      <c r="X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BJ25" s="28"/>
    </row>
    <row r="26" spans="1:62" s="24" customFormat="1" ht="20.25" customHeight="1">
      <c r="A26" s="25"/>
      <c r="H26" s="25"/>
      <c r="O26" s="27"/>
      <c r="P26" s="27"/>
      <c r="Q26" s="27"/>
      <c r="R26" s="27"/>
      <c r="S26" s="27"/>
      <c r="T26" s="27"/>
      <c r="U26" s="27"/>
      <c r="V26" s="27"/>
      <c r="W26" s="27"/>
      <c r="X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BJ26" s="28"/>
    </row>
    <row r="27" spans="1:62" s="24" customFormat="1" ht="20.25" customHeight="1">
      <c r="A27" s="25"/>
      <c r="H27" s="25"/>
      <c r="BJ27" s="28"/>
    </row>
    <row r="28" spans="1:62" s="24" customFormat="1" ht="20.25" customHeight="1">
      <c r="A28" s="25"/>
      <c r="H28" s="25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BJ28" s="28"/>
    </row>
    <row r="29" spans="1:62" s="24" customFormat="1" ht="20.25" customHeight="1">
      <c r="A29" s="25"/>
      <c r="H29" s="25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BJ29" s="28"/>
    </row>
    <row r="30" spans="1:62" s="24" customFormat="1" ht="20.25" customHeight="1">
      <c r="A30" s="25"/>
      <c r="H30" s="25"/>
      <c r="BJ30" s="28"/>
    </row>
    <row r="31" spans="1:62" s="24" customFormat="1" ht="20.25" customHeight="1">
      <c r="A31" s="25"/>
      <c r="H31" s="25"/>
      <c r="BJ31" s="28"/>
    </row>
    <row r="32" spans="1:62" s="24" customFormat="1" ht="20.25" customHeight="1">
      <c r="A32" s="25"/>
      <c r="H32" s="25"/>
      <c r="BJ32" s="28"/>
    </row>
    <row r="33" spans="1:62" s="24" customFormat="1" ht="20.25" customHeight="1">
      <c r="A33" s="25"/>
      <c r="H33" s="25"/>
      <c r="BJ33" s="28"/>
    </row>
    <row r="34" spans="1:62" s="24" customFormat="1" ht="20.25" customHeight="1">
      <c r="A34" s="25"/>
      <c r="H34" s="25"/>
      <c r="BJ34" s="28"/>
    </row>
    <row r="35" spans="1:62" s="24" customFormat="1" ht="20.25" customHeight="1">
      <c r="A35" s="25"/>
      <c r="H35" s="25"/>
      <c r="BJ35" s="28"/>
    </row>
    <row r="36" spans="1:62" s="24" customFormat="1" ht="20.25" customHeight="1">
      <c r="A36" s="25"/>
      <c r="H36" s="25"/>
      <c r="BJ36" s="28"/>
    </row>
    <row r="37" spans="1:62" s="24" customFormat="1" ht="20.25" customHeight="1">
      <c r="A37" s="25"/>
      <c r="H37" s="25"/>
      <c r="BJ37" s="28"/>
    </row>
    <row r="38" spans="1:62" s="24" customFormat="1" ht="20.25" customHeight="1">
      <c r="A38" s="25"/>
      <c r="H38" s="25"/>
      <c r="BJ38" s="28"/>
    </row>
    <row r="39" spans="1:62" s="24" customFormat="1" ht="20.25" customHeight="1">
      <c r="A39" s="25"/>
      <c r="H39" s="25"/>
      <c r="BJ39" s="28"/>
    </row>
    <row r="40" spans="1:62" s="24" customFormat="1" ht="20.25" customHeight="1">
      <c r="A40" s="25"/>
      <c r="H40" s="25"/>
      <c r="BJ40" s="28"/>
    </row>
    <row r="41" spans="1:62" s="24" customFormat="1" ht="20.25" customHeight="1">
      <c r="A41" s="25"/>
      <c r="H41" s="25"/>
      <c r="BJ41" s="28"/>
    </row>
    <row r="42" spans="1:62" s="24" customFormat="1" ht="20.25" customHeight="1">
      <c r="A42" s="25"/>
      <c r="H42" s="25"/>
      <c r="BJ42" s="28"/>
    </row>
    <row r="43" spans="1:62" s="24" customFormat="1" ht="20.25" customHeight="1">
      <c r="A43" s="25"/>
      <c r="H43" s="25"/>
      <c r="BJ43" s="28"/>
    </row>
    <row r="44" spans="1:62" s="24" customFormat="1" ht="20.25" customHeight="1">
      <c r="A44" s="25"/>
      <c r="H44" s="25"/>
      <c r="BJ44" s="28"/>
    </row>
    <row r="45" spans="1:62" s="24" customFormat="1" ht="20.25" customHeight="1">
      <c r="A45" s="25"/>
      <c r="H45" s="25"/>
      <c r="BJ45" s="28"/>
    </row>
    <row r="46" spans="1:62" s="24" customFormat="1" ht="20.25" customHeight="1">
      <c r="A46" s="25"/>
      <c r="H46" s="25"/>
      <c r="BJ46" s="28"/>
    </row>
    <row r="47" spans="1:62" s="24" customFormat="1" ht="20.25" customHeight="1">
      <c r="A47" s="25"/>
      <c r="H47" s="25"/>
      <c r="BJ47" s="28"/>
    </row>
    <row r="48" spans="1:62" s="24" customFormat="1" ht="20.25" customHeight="1">
      <c r="A48" s="25"/>
      <c r="H48" s="25"/>
      <c r="BJ48" s="28"/>
    </row>
    <row r="49" spans="1:62" s="24" customFormat="1" ht="20.25" customHeight="1">
      <c r="A49" s="25"/>
      <c r="H49" s="25"/>
      <c r="BJ49" s="28"/>
    </row>
    <row r="50" spans="1:62" s="24" customFormat="1" ht="20.25" customHeight="1">
      <c r="A50" s="25"/>
      <c r="H50" s="25"/>
      <c r="BJ50" s="28"/>
    </row>
    <row r="51" spans="1:62" s="24" customFormat="1" ht="20.25" customHeight="1">
      <c r="A51" s="25"/>
      <c r="H51" s="25"/>
      <c r="BJ51" s="28"/>
    </row>
    <row r="52" spans="1:62" s="24" customFormat="1" ht="20.25" customHeight="1">
      <c r="A52" s="25"/>
      <c r="H52" s="25"/>
      <c r="BJ52" s="28"/>
    </row>
    <row r="53" spans="1:62" s="24" customFormat="1" ht="20.25" customHeight="1">
      <c r="A53" s="25"/>
      <c r="H53" s="25"/>
      <c r="BJ53" s="28"/>
    </row>
    <row r="54" spans="1:62" s="24" customFormat="1" ht="20.25" customHeight="1">
      <c r="A54" s="25"/>
      <c r="H54" s="25"/>
      <c r="BJ54" s="28"/>
    </row>
    <row r="55" spans="1:62" s="24" customFormat="1" ht="20.25" customHeight="1">
      <c r="A55" s="25"/>
      <c r="H55" s="25"/>
      <c r="BJ55" s="28"/>
    </row>
    <row r="56" spans="1:62" s="24" customFormat="1" ht="20.25" customHeight="1">
      <c r="A56" s="25"/>
      <c r="H56" s="25"/>
      <c r="BJ56" s="28"/>
    </row>
    <row r="57" spans="1:62" s="24" customFormat="1" ht="20.25" customHeight="1">
      <c r="A57" s="25"/>
      <c r="H57" s="25"/>
      <c r="BJ57" s="28"/>
    </row>
    <row r="58" spans="1:62" s="24" customFormat="1" ht="20.25" customHeight="1">
      <c r="A58" s="25"/>
      <c r="H58" s="25"/>
      <c r="BJ58" s="28"/>
    </row>
    <row r="59" spans="1:62" s="24" customFormat="1" ht="20.25" customHeight="1">
      <c r="A59" s="29"/>
      <c r="B59" s="30"/>
      <c r="C59" s="30"/>
      <c r="D59" s="30"/>
      <c r="E59" s="30"/>
      <c r="F59" s="30"/>
      <c r="G59" s="30"/>
      <c r="H59" s="29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1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5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90" t="s">
        <v>0</v>
      </c>
      <c r="BJ1" s="2" t="s">
        <v>1</v>
      </c>
    </row>
    <row r="2" spans="1:62" s="3" customFormat="1" ht="18" customHeight="1">
      <c r="A2" s="97" t="s">
        <v>11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9"/>
      <c r="AT2" s="91" t="s">
        <v>3</v>
      </c>
      <c r="AU2" s="92"/>
      <c r="AV2" s="92"/>
      <c r="AW2" s="92"/>
      <c r="AX2" s="93"/>
      <c r="AY2" s="91" t="s">
        <v>172</v>
      </c>
      <c r="AZ2" s="92"/>
      <c r="BA2" s="92"/>
      <c r="BB2" s="93"/>
      <c r="BC2" s="91" t="s">
        <v>5</v>
      </c>
      <c r="BD2" s="92"/>
      <c r="BE2" s="92"/>
      <c r="BF2" s="93"/>
      <c r="BG2" s="91"/>
      <c r="BH2" s="92"/>
      <c r="BI2" s="92"/>
      <c r="BJ2" s="93"/>
    </row>
    <row r="3" spans="1:62" s="1" customFormat="1" ht="18" customHeight="1">
      <c r="A3" s="100" t="s">
        <v>6</v>
      </c>
      <c r="B3" s="101"/>
      <c r="C3" s="101"/>
      <c r="D3" s="101"/>
      <c r="E3" s="101"/>
      <c r="F3" s="101"/>
      <c r="G3" s="101"/>
      <c r="H3" s="102"/>
      <c r="I3" s="106" t="s">
        <v>167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8"/>
      <c r="AT3" s="91" t="s">
        <v>7</v>
      </c>
      <c r="AU3" s="92"/>
      <c r="AV3" s="92"/>
      <c r="AW3" s="92"/>
      <c r="AX3" s="93"/>
      <c r="AY3" s="91" t="s">
        <v>166</v>
      </c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3"/>
    </row>
    <row r="4" spans="1:62" s="1" customFormat="1" ht="18" customHeight="1">
      <c r="A4" s="103"/>
      <c r="B4" s="104"/>
      <c r="C4" s="104"/>
      <c r="D4" s="104"/>
      <c r="E4" s="104"/>
      <c r="F4" s="104"/>
      <c r="G4" s="104"/>
      <c r="H4" s="105"/>
      <c r="I4" s="109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91" t="s">
        <v>8</v>
      </c>
      <c r="AU4" s="92"/>
      <c r="AV4" s="92"/>
      <c r="AW4" s="92"/>
      <c r="AX4" s="93"/>
      <c r="AY4" s="91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12" customFormat="1" ht="6" customHeight="1"/>
    <row r="6" spans="1:62" s="17" customFormat="1" ht="20.25" customHeight="1">
      <c r="A6" s="141" t="s">
        <v>12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168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3"/>
      <c r="AB6" s="141" t="s">
        <v>13</v>
      </c>
      <c r="AC6" s="142"/>
      <c r="AD6" s="142"/>
      <c r="AE6" s="142"/>
      <c r="AF6" s="142"/>
      <c r="AG6" s="142"/>
      <c r="AH6" s="142"/>
      <c r="AI6" s="142"/>
      <c r="AJ6" s="143"/>
      <c r="AK6" s="141" t="s">
        <v>32</v>
      </c>
      <c r="AL6" s="142"/>
      <c r="AM6" s="142"/>
      <c r="AN6" s="143"/>
      <c r="AO6" s="141" t="s">
        <v>14</v>
      </c>
      <c r="AP6" s="142"/>
      <c r="AQ6" s="142"/>
      <c r="AR6" s="142"/>
      <c r="AS6" s="142"/>
      <c r="AT6" s="142"/>
      <c r="AU6" s="142"/>
      <c r="AV6" s="142"/>
      <c r="AW6" s="143"/>
      <c r="AX6" s="141" t="s">
        <v>33</v>
      </c>
      <c r="AY6" s="142"/>
      <c r="AZ6" s="142"/>
      <c r="BA6" s="143"/>
      <c r="BB6" s="151" t="s">
        <v>15</v>
      </c>
      <c r="BC6" s="151"/>
      <c r="BD6" s="151"/>
      <c r="BE6" s="151"/>
      <c r="BF6" s="151">
        <f>COUNTA(D19:D407)</f>
        <v>20</v>
      </c>
      <c r="BG6" s="151"/>
      <c r="BH6" s="151"/>
      <c r="BI6" s="151"/>
      <c r="BJ6" s="151"/>
    </row>
    <row r="7" spans="1:62" s="17" customFormat="1" ht="20.25" customHeight="1">
      <c r="A7" s="141" t="s">
        <v>16</v>
      </c>
      <c r="B7" s="142"/>
      <c r="C7" s="142"/>
      <c r="D7" s="142"/>
      <c r="E7" s="142"/>
      <c r="F7" s="142"/>
      <c r="G7" s="142"/>
      <c r="H7" s="142"/>
      <c r="I7" s="142"/>
      <c r="J7" s="142"/>
      <c r="K7" s="143"/>
      <c r="L7" s="160" t="s">
        <v>69</v>
      </c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2"/>
      <c r="AK7" s="141" t="s">
        <v>34</v>
      </c>
      <c r="AL7" s="142"/>
      <c r="AM7" s="142"/>
      <c r="AN7" s="142"/>
      <c r="AO7" s="142"/>
      <c r="AP7" s="142"/>
      <c r="AQ7" s="142"/>
      <c r="AR7" s="143"/>
      <c r="AS7" s="141" t="s">
        <v>169</v>
      </c>
      <c r="AT7" s="142"/>
      <c r="AU7" s="142"/>
      <c r="AV7" s="142"/>
      <c r="AW7" s="142"/>
      <c r="AX7" s="143"/>
      <c r="AY7" s="37" t="s">
        <v>17</v>
      </c>
      <c r="AZ7" s="38"/>
      <c r="BA7" s="38"/>
      <c r="BB7" s="38"/>
      <c r="BC7" s="141" t="s">
        <v>35</v>
      </c>
      <c r="BD7" s="143"/>
      <c r="BE7" s="141" t="s">
        <v>18</v>
      </c>
      <c r="BF7" s="142"/>
      <c r="BG7" s="142"/>
      <c r="BH7" s="143"/>
      <c r="BI7" s="141"/>
      <c r="BJ7" s="143"/>
    </row>
    <row r="8" spans="1:62" s="17" customFormat="1" ht="5.2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BC8" s="40"/>
      <c r="BD8" s="40"/>
      <c r="BE8" s="40"/>
      <c r="BF8" s="40"/>
      <c r="BG8" s="40"/>
      <c r="BH8" s="40"/>
      <c r="BI8" s="40"/>
      <c r="BJ8" s="40"/>
    </row>
    <row r="9" spans="1:62" s="17" customFormat="1" ht="20.25" customHeight="1">
      <c r="A9" s="41" t="s">
        <v>107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BC9" s="40"/>
      <c r="BD9" s="40"/>
      <c r="BE9" s="40"/>
      <c r="BF9" s="40"/>
      <c r="BG9" s="40"/>
      <c r="BH9" s="40"/>
      <c r="BI9" s="40"/>
      <c r="BJ9" s="40"/>
    </row>
    <row r="10" spans="1:62" s="17" customFormat="1" ht="26.25" customHeight="1">
      <c r="A10" s="151" t="s">
        <v>20</v>
      </c>
      <c r="B10" s="151"/>
      <c r="C10" s="151"/>
      <c r="D10" s="150" t="s">
        <v>108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1" t="s">
        <v>109</v>
      </c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</row>
    <row r="11" spans="1:62" s="17" customFormat="1" ht="26.25" customHeight="1">
      <c r="A11" s="152">
        <v>1</v>
      </c>
      <c r="B11" s="152"/>
      <c r="C11" s="152"/>
      <c r="D11" s="153" t="s">
        <v>111</v>
      </c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2" t="s">
        <v>110</v>
      </c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</row>
    <row r="12" spans="1:62" s="17" customFormat="1" ht="26.25" customHeight="1">
      <c r="A12" s="125">
        <v>2</v>
      </c>
      <c r="B12" s="125"/>
      <c r="C12" s="125"/>
      <c r="D12" s="146" t="s">
        <v>53</v>
      </c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25" t="s">
        <v>110</v>
      </c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</row>
    <row r="13" spans="1:62" s="17" customFormat="1" ht="26.25" customHeight="1">
      <c r="A13" s="125">
        <v>3</v>
      </c>
      <c r="B13" s="125"/>
      <c r="C13" s="125"/>
      <c r="D13" s="146" t="s">
        <v>55</v>
      </c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25" t="s">
        <v>110</v>
      </c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</row>
    <row r="14" spans="1:62" s="17" customFormat="1" ht="26.25" customHeight="1">
      <c r="A14" s="125">
        <v>4</v>
      </c>
      <c r="B14" s="125"/>
      <c r="C14" s="125"/>
      <c r="D14" s="146" t="s">
        <v>163</v>
      </c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25" t="s">
        <v>110</v>
      </c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</row>
    <row r="15" spans="1:62" s="17" customFormat="1" ht="26.25" customHeight="1">
      <c r="A15" s="144">
        <v>5</v>
      </c>
      <c r="B15" s="144"/>
      <c r="C15" s="144"/>
      <c r="D15" s="145" t="s">
        <v>126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4" t="s">
        <v>110</v>
      </c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</row>
    <row r="16" spans="1:62" s="17" customFormat="1" ht="10.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BC16" s="40"/>
      <c r="BD16" s="40"/>
      <c r="BE16" s="40"/>
      <c r="BF16" s="40"/>
      <c r="BG16" s="40"/>
      <c r="BH16" s="40"/>
      <c r="BI16" s="40"/>
      <c r="BJ16" s="40"/>
    </row>
    <row r="17" spans="1:62" s="4" customFormat="1">
      <c r="B17" s="33" t="s">
        <v>19</v>
      </c>
      <c r="G17" s="5"/>
    </row>
    <row r="18" spans="1:62" s="17" customFormat="1" ht="42" customHeight="1">
      <c r="A18" s="141" t="s">
        <v>20</v>
      </c>
      <c r="B18" s="142"/>
      <c r="C18" s="143"/>
      <c r="D18" s="141" t="s">
        <v>21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3"/>
      <c r="U18" s="138" t="s">
        <v>22</v>
      </c>
      <c r="V18" s="139"/>
      <c r="W18" s="139"/>
      <c r="X18" s="139"/>
      <c r="Y18" s="140"/>
      <c r="Z18" s="138" t="s">
        <v>23</v>
      </c>
      <c r="AA18" s="139"/>
      <c r="AB18" s="140"/>
      <c r="AC18" s="138" t="s">
        <v>24</v>
      </c>
      <c r="AD18" s="139"/>
      <c r="AE18" s="140"/>
      <c r="AF18" s="138" t="s">
        <v>25</v>
      </c>
      <c r="AG18" s="139"/>
      <c r="AH18" s="140"/>
      <c r="AI18" s="138" t="s">
        <v>26</v>
      </c>
      <c r="AJ18" s="139"/>
      <c r="AK18" s="140"/>
      <c r="AL18" s="138" t="s">
        <v>27</v>
      </c>
      <c r="AM18" s="139"/>
      <c r="AN18" s="140"/>
      <c r="AO18" s="138" t="s">
        <v>28</v>
      </c>
      <c r="AP18" s="139"/>
      <c r="AQ18" s="140"/>
      <c r="AR18" s="141" t="s">
        <v>29</v>
      </c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3"/>
    </row>
    <row r="19" spans="1:62" s="13" customFormat="1" ht="93" customHeight="1">
      <c r="A19" s="152">
        <v>1</v>
      </c>
      <c r="B19" s="152"/>
      <c r="C19" s="152"/>
      <c r="D19" s="157" t="s">
        <v>162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9"/>
      <c r="U19" s="147" t="s">
        <v>104</v>
      </c>
      <c r="V19" s="148"/>
      <c r="W19" s="148"/>
      <c r="X19" s="148"/>
      <c r="Y19" s="149"/>
      <c r="Z19" s="147">
        <v>2</v>
      </c>
      <c r="AA19" s="148"/>
      <c r="AB19" s="149"/>
      <c r="AC19" s="147"/>
      <c r="AD19" s="148"/>
      <c r="AE19" s="149"/>
      <c r="AF19" s="147"/>
      <c r="AG19" s="148"/>
      <c r="AH19" s="149"/>
      <c r="AI19" s="147"/>
      <c r="AJ19" s="148"/>
      <c r="AK19" s="149"/>
      <c r="AL19" s="147"/>
      <c r="AM19" s="148"/>
      <c r="AN19" s="149"/>
      <c r="AO19" s="147"/>
      <c r="AP19" s="148"/>
      <c r="AQ19" s="149"/>
      <c r="AR19" s="154" t="s">
        <v>158</v>
      </c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6"/>
    </row>
    <row r="20" spans="1:62" s="13" customFormat="1" ht="36" customHeight="1">
      <c r="A20" s="125">
        <v>2</v>
      </c>
      <c r="B20" s="125"/>
      <c r="C20" s="125"/>
      <c r="D20" s="126" t="s">
        <v>159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8"/>
      <c r="U20" s="129" t="s">
        <v>58</v>
      </c>
      <c r="V20" s="130"/>
      <c r="W20" s="130"/>
      <c r="X20" s="130"/>
      <c r="Y20" s="131"/>
      <c r="Z20" s="129">
        <v>100</v>
      </c>
      <c r="AA20" s="130"/>
      <c r="AB20" s="131"/>
      <c r="AC20" s="129"/>
      <c r="AD20" s="130"/>
      <c r="AE20" s="131"/>
      <c r="AF20" s="129"/>
      <c r="AG20" s="130"/>
      <c r="AH20" s="131"/>
      <c r="AI20" s="129"/>
      <c r="AJ20" s="130"/>
      <c r="AK20" s="131"/>
      <c r="AL20" s="129"/>
      <c r="AM20" s="130"/>
      <c r="AN20" s="131"/>
      <c r="AO20" s="129"/>
      <c r="AP20" s="130"/>
      <c r="AQ20" s="131"/>
      <c r="AR20" s="122" t="s">
        <v>113</v>
      </c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4"/>
    </row>
    <row r="21" spans="1:62" s="13" customFormat="1" ht="39" customHeight="1">
      <c r="A21" s="125">
        <v>3</v>
      </c>
      <c r="B21" s="125"/>
      <c r="C21" s="125"/>
      <c r="D21" s="126" t="s">
        <v>114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129" t="s">
        <v>104</v>
      </c>
      <c r="V21" s="130"/>
      <c r="W21" s="130"/>
      <c r="X21" s="130"/>
      <c r="Y21" s="131"/>
      <c r="Z21" s="129">
        <v>6</v>
      </c>
      <c r="AA21" s="130"/>
      <c r="AB21" s="131"/>
      <c r="AC21" s="129"/>
      <c r="AD21" s="130"/>
      <c r="AE21" s="131"/>
      <c r="AF21" s="129"/>
      <c r="AG21" s="130"/>
      <c r="AH21" s="131"/>
      <c r="AI21" s="129"/>
      <c r="AJ21" s="130"/>
      <c r="AK21" s="131"/>
      <c r="AL21" s="129"/>
      <c r="AM21" s="130"/>
      <c r="AN21" s="131"/>
      <c r="AO21" s="129"/>
      <c r="AP21" s="130"/>
      <c r="AQ21" s="131"/>
      <c r="AR21" s="135" t="s">
        <v>115</v>
      </c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7"/>
    </row>
    <row r="22" spans="1:62" s="13" customFormat="1" ht="39" customHeight="1">
      <c r="A22" s="125">
        <v>4</v>
      </c>
      <c r="B22" s="125"/>
      <c r="C22" s="125"/>
      <c r="D22" s="126" t="s">
        <v>103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29" t="s">
        <v>104</v>
      </c>
      <c r="V22" s="130"/>
      <c r="W22" s="130"/>
      <c r="X22" s="130"/>
      <c r="Y22" s="131"/>
      <c r="Z22" s="129">
        <v>4</v>
      </c>
      <c r="AA22" s="130"/>
      <c r="AB22" s="131"/>
      <c r="AC22" s="129"/>
      <c r="AD22" s="130"/>
      <c r="AE22" s="131"/>
      <c r="AF22" s="129"/>
      <c r="AG22" s="130"/>
      <c r="AH22" s="131"/>
      <c r="AI22" s="129"/>
      <c r="AJ22" s="130"/>
      <c r="AK22" s="131"/>
      <c r="AL22" s="129"/>
      <c r="AM22" s="130"/>
      <c r="AN22" s="131"/>
      <c r="AO22" s="129"/>
      <c r="AP22" s="130"/>
      <c r="AQ22" s="131"/>
      <c r="AR22" s="135" t="s">
        <v>103</v>
      </c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7"/>
    </row>
    <row r="23" spans="1:62" s="13" customFormat="1" ht="39" customHeight="1">
      <c r="A23" s="125">
        <v>5</v>
      </c>
      <c r="B23" s="125"/>
      <c r="C23" s="125"/>
      <c r="D23" s="126" t="s">
        <v>53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29" t="s">
        <v>102</v>
      </c>
      <c r="V23" s="130"/>
      <c r="W23" s="130"/>
      <c r="X23" s="130"/>
      <c r="Y23" s="131"/>
      <c r="Z23" s="129">
        <v>2</v>
      </c>
      <c r="AA23" s="130"/>
      <c r="AB23" s="131"/>
      <c r="AC23" s="129"/>
      <c r="AD23" s="130"/>
      <c r="AE23" s="131"/>
      <c r="AF23" s="129"/>
      <c r="AG23" s="130"/>
      <c r="AH23" s="131"/>
      <c r="AI23" s="129"/>
      <c r="AJ23" s="130"/>
      <c r="AK23" s="131"/>
      <c r="AL23" s="129"/>
      <c r="AM23" s="130"/>
      <c r="AN23" s="131"/>
      <c r="AO23" s="129"/>
      <c r="AP23" s="130"/>
      <c r="AQ23" s="131"/>
      <c r="AR23" s="122" t="s">
        <v>99</v>
      </c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4"/>
    </row>
    <row r="24" spans="1:62" s="13" customFormat="1" ht="39" customHeight="1">
      <c r="A24" s="125">
        <v>6</v>
      </c>
      <c r="B24" s="125"/>
      <c r="C24" s="125"/>
      <c r="D24" s="126" t="s">
        <v>54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8"/>
      <c r="U24" s="129" t="s">
        <v>58</v>
      </c>
      <c r="V24" s="130"/>
      <c r="W24" s="130"/>
      <c r="X24" s="130"/>
      <c r="Y24" s="131"/>
      <c r="Z24" s="129">
        <v>10</v>
      </c>
      <c r="AA24" s="130"/>
      <c r="AB24" s="131"/>
      <c r="AC24" s="129"/>
      <c r="AD24" s="130"/>
      <c r="AE24" s="131"/>
      <c r="AF24" s="129"/>
      <c r="AG24" s="130"/>
      <c r="AH24" s="131"/>
      <c r="AI24" s="129"/>
      <c r="AJ24" s="130"/>
      <c r="AK24" s="131"/>
      <c r="AL24" s="129"/>
      <c r="AM24" s="130"/>
      <c r="AN24" s="131"/>
      <c r="AO24" s="129"/>
      <c r="AP24" s="130"/>
      <c r="AQ24" s="131"/>
      <c r="AR24" s="122" t="s">
        <v>99</v>
      </c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4"/>
    </row>
    <row r="25" spans="1:62" s="13" customFormat="1" ht="58.2" customHeight="1">
      <c r="A25" s="125">
        <v>7</v>
      </c>
      <c r="B25" s="125"/>
      <c r="C25" s="125"/>
      <c r="D25" s="126" t="s">
        <v>55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129" t="s">
        <v>60</v>
      </c>
      <c r="V25" s="130"/>
      <c r="W25" s="130"/>
      <c r="X25" s="130"/>
      <c r="Y25" s="131"/>
      <c r="Z25" s="129">
        <v>8</v>
      </c>
      <c r="AA25" s="130"/>
      <c r="AB25" s="131"/>
      <c r="AC25" s="129"/>
      <c r="AD25" s="130"/>
      <c r="AE25" s="131"/>
      <c r="AF25" s="129"/>
      <c r="AG25" s="130"/>
      <c r="AH25" s="131"/>
      <c r="AI25" s="129"/>
      <c r="AJ25" s="130"/>
      <c r="AK25" s="131"/>
      <c r="AL25" s="129"/>
      <c r="AM25" s="130"/>
      <c r="AN25" s="131"/>
      <c r="AO25" s="129"/>
      <c r="AP25" s="130"/>
      <c r="AQ25" s="131"/>
      <c r="AR25" s="135" t="s">
        <v>157</v>
      </c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4"/>
    </row>
    <row r="26" spans="1:62" s="13" customFormat="1" ht="39" customHeight="1">
      <c r="A26" s="125">
        <v>8</v>
      </c>
      <c r="B26" s="125"/>
      <c r="C26" s="125"/>
      <c r="D26" s="126" t="s">
        <v>56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8"/>
      <c r="U26" s="129" t="s">
        <v>58</v>
      </c>
      <c r="V26" s="130"/>
      <c r="W26" s="130"/>
      <c r="X26" s="130"/>
      <c r="Y26" s="131"/>
      <c r="Z26" s="129">
        <v>35</v>
      </c>
      <c r="AA26" s="130"/>
      <c r="AB26" s="131"/>
      <c r="AC26" s="129"/>
      <c r="AD26" s="130"/>
      <c r="AE26" s="131"/>
      <c r="AF26" s="129"/>
      <c r="AG26" s="130"/>
      <c r="AH26" s="131"/>
      <c r="AI26" s="129"/>
      <c r="AJ26" s="130"/>
      <c r="AK26" s="131"/>
      <c r="AL26" s="129"/>
      <c r="AM26" s="130"/>
      <c r="AN26" s="131"/>
      <c r="AO26" s="129"/>
      <c r="AP26" s="130"/>
      <c r="AQ26" s="131"/>
      <c r="AR26" s="122" t="s">
        <v>100</v>
      </c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4"/>
    </row>
    <row r="27" spans="1:62" s="13" customFormat="1" ht="39" customHeight="1">
      <c r="A27" s="125">
        <v>9</v>
      </c>
      <c r="B27" s="125"/>
      <c r="C27" s="125"/>
      <c r="D27" s="132" t="s">
        <v>177</v>
      </c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29" t="s">
        <v>60</v>
      </c>
      <c r="V27" s="130"/>
      <c r="W27" s="130"/>
      <c r="X27" s="130"/>
      <c r="Y27" s="131"/>
      <c r="Z27" s="129">
        <v>3</v>
      </c>
      <c r="AA27" s="130"/>
      <c r="AB27" s="131"/>
      <c r="AC27" s="129"/>
      <c r="AD27" s="130"/>
      <c r="AE27" s="131"/>
      <c r="AF27" s="129"/>
      <c r="AG27" s="130"/>
      <c r="AH27" s="131"/>
      <c r="AI27" s="129"/>
      <c r="AJ27" s="130"/>
      <c r="AK27" s="131"/>
      <c r="AL27" s="129"/>
      <c r="AM27" s="130"/>
      <c r="AN27" s="131"/>
      <c r="AO27" s="129"/>
      <c r="AP27" s="130"/>
      <c r="AQ27" s="131"/>
      <c r="AR27" s="135" t="s">
        <v>176</v>
      </c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4"/>
    </row>
    <row r="28" spans="1:62" s="13" customFormat="1" ht="39" customHeight="1">
      <c r="A28" s="125">
        <v>10</v>
      </c>
      <c r="B28" s="125"/>
      <c r="C28" s="125"/>
      <c r="D28" s="132" t="s">
        <v>165</v>
      </c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29" t="s">
        <v>58</v>
      </c>
      <c r="V28" s="130"/>
      <c r="W28" s="130"/>
      <c r="X28" s="130"/>
      <c r="Y28" s="131"/>
      <c r="Z28" s="129">
        <v>15</v>
      </c>
      <c r="AA28" s="130"/>
      <c r="AB28" s="131"/>
      <c r="AC28" s="129"/>
      <c r="AD28" s="130"/>
      <c r="AE28" s="131"/>
      <c r="AF28" s="129"/>
      <c r="AG28" s="130"/>
      <c r="AH28" s="131"/>
      <c r="AI28" s="129"/>
      <c r="AJ28" s="130"/>
      <c r="AK28" s="131"/>
      <c r="AL28" s="129"/>
      <c r="AM28" s="130"/>
      <c r="AN28" s="131"/>
      <c r="AO28" s="129"/>
      <c r="AP28" s="130"/>
      <c r="AQ28" s="131"/>
      <c r="AR28" s="122" t="s">
        <v>178</v>
      </c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4"/>
    </row>
    <row r="29" spans="1:62" s="13" customFormat="1" ht="114" customHeight="1">
      <c r="A29" s="125">
        <v>11</v>
      </c>
      <c r="B29" s="125"/>
      <c r="C29" s="125"/>
      <c r="D29" s="132" t="s">
        <v>126</v>
      </c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29" t="s">
        <v>60</v>
      </c>
      <c r="V29" s="130"/>
      <c r="W29" s="130"/>
      <c r="X29" s="130"/>
      <c r="Y29" s="131"/>
      <c r="Z29" s="129">
        <v>1</v>
      </c>
      <c r="AA29" s="130"/>
      <c r="AB29" s="131"/>
      <c r="AC29" s="129"/>
      <c r="AD29" s="130"/>
      <c r="AE29" s="131"/>
      <c r="AF29" s="129"/>
      <c r="AG29" s="130"/>
      <c r="AH29" s="131"/>
      <c r="AI29" s="129"/>
      <c r="AJ29" s="130"/>
      <c r="AK29" s="131"/>
      <c r="AL29" s="129"/>
      <c r="AM29" s="130"/>
      <c r="AN29" s="131"/>
      <c r="AO29" s="129"/>
      <c r="AP29" s="130"/>
      <c r="AQ29" s="131"/>
      <c r="AR29" s="122" t="s">
        <v>173</v>
      </c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4"/>
    </row>
    <row r="30" spans="1:62" s="13" customFormat="1" ht="39" customHeight="1">
      <c r="A30" s="125">
        <v>12</v>
      </c>
      <c r="B30" s="125"/>
      <c r="C30" s="125"/>
      <c r="D30" s="126" t="s">
        <v>127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8"/>
      <c r="U30" s="129" t="s">
        <v>58</v>
      </c>
      <c r="V30" s="130"/>
      <c r="W30" s="130"/>
      <c r="X30" s="130"/>
      <c r="Y30" s="131"/>
      <c r="Z30" s="129">
        <v>2</v>
      </c>
      <c r="AA30" s="130"/>
      <c r="AB30" s="131"/>
      <c r="AC30" s="129"/>
      <c r="AD30" s="130"/>
      <c r="AE30" s="131"/>
      <c r="AF30" s="129"/>
      <c r="AG30" s="130"/>
      <c r="AH30" s="131"/>
      <c r="AI30" s="129"/>
      <c r="AJ30" s="130"/>
      <c r="AK30" s="131"/>
      <c r="AL30" s="129"/>
      <c r="AM30" s="130"/>
      <c r="AN30" s="131"/>
      <c r="AO30" s="129"/>
      <c r="AP30" s="130"/>
      <c r="AQ30" s="131"/>
      <c r="AR30" s="122" t="s">
        <v>101</v>
      </c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4"/>
    </row>
    <row r="31" spans="1:62" s="13" customFormat="1" ht="39" customHeight="1">
      <c r="A31" s="125">
        <v>13</v>
      </c>
      <c r="B31" s="125"/>
      <c r="C31" s="125"/>
      <c r="D31" s="126" t="s">
        <v>61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8"/>
      <c r="U31" s="129" t="s">
        <v>50</v>
      </c>
      <c r="V31" s="130"/>
      <c r="W31" s="130"/>
      <c r="X31" s="130"/>
      <c r="Y31" s="131"/>
      <c r="Z31" s="129">
        <v>14</v>
      </c>
      <c r="AA31" s="130"/>
      <c r="AB31" s="131"/>
      <c r="AC31" s="129" t="s">
        <v>35</v>
      </c>
      <c r="AD31" s="130"/>
      <c r="AE31" s="131"/>
      <c r="AF31" s="129"/>
      <c r="AG31" s="130"/>
      <c r="AH31" s="131"/>
      <c r="AI31" s="129"/>
      <c r="AJ31" s="130"/>
      <c r="AK31" s="131"/>
      <c r="AL31" s="129"/>
      <c r="AM31" s="130"/>
      <c r="AN31" s="131"/>
      <c r="AO31" s="129"/>
      <c r="AP31" s="130"/>
      <c r="AQ31" s="131"/>
      <c r="AR31" s="122" t="s">
        <v>61</v>
      </c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4"/>
    </row>
    <row r="32" spans="1:62" s="13" customFormat="1" ht="39" customHeight="1">
      <c r="A32" s="125">
        <v>14</v>
      </c>
      <c r="B32" s="125"/>
      <c r="C32" s="125"/>
      <c r="D32" s="126" t="s">
        <v>62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8"/>
      <c r="U32" s="129" t="s">
        <v>59</v>
      </c>
      <c r="V32" s="130"/>
      <c r="W32" s="130"/>
      <c r="X32" s="130"/>
      <c r="Y32" s="131"/>
      <c r="Z32" s="129">
        <v>14</v>
      </c>
      <c r="AA32" s="130"/>
      <c r="AB32" s="131"/>
      <c r="AC32" s="129" t="s">
        <v>35</v>
      </c>
      <c r="AD32" s="130"/>
      <c r="AE32" s="131"/>
      <c r="AF32" s="129"/>
      <c r="AG32" s="130"/>
      <c r="AH32" s="131"/>
      <c r="AI32" s="129"/>
      <c r="AJ32" s="130"/>
      <c r="AK32" s="131"/>
      <c r="AL32" s="129"/>
      <c r="AM32" s="130"/>
      <c r="AN32" s="131"/>
      <c r="AO32" s="129"/>
      <c r="AP32" s="130"/>
      <c r="AQ32" s="131"/>
      <c r="AR32" s="122" t="s">
        <v>62</v>
      </c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4"/>
    </row>
    <row r="33" spans="1:62" s="13" customFormat="1" ht="39" customHeight="1">
      <c r="A33" s="125">
        <v>15</v>
      </c>
      <c r="B33" s="125"/>
      <c r="C33" s="125"/>
      <c r="D33" s="126" t="s">
        <v>63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8"/>
      <c r="U33" s="129" t="s">
        <v>59</v>
      </c>
      <c r="V33" s="130"/>
      <c r="W33" s="130"/>
      <c r="X33" s="130"/>
      <c r="Y33" s="131"/>
      <c r="Z33" s="129">
        <v>14</v>
      </c>
      <c r="AA33" s="130"/>
      <c r="AB33" s="131"/>
      <c r="AC33" s="129" t="s">
        <v>35</v>
      </c>
      <c r="AD33" s="130"/>
      <c r="AE33" s="131"/>
      <c r="AF33" s="129"/>
      <c r="AG33" s="130"/>
      <c r="AH33" s="131"/>
      <c r="AI33" s="129"/>
      <c r="AJ33" s="130"/>
      <c r="AK33" s="131"/>
      <c r="AL33" s="129"/>
      <c r="AM33" s="130"/>
      <c r="AN33" s="131"/>
      <c r="AO33" s="129"/>
      <c r="AP33" s="130"/>
      <c r="AQ33" s="131"/>
      <c r="AR33" s="122" t="s">
        <v>63</v>
      </c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4"/>
    </row>
    <row r="34" spans="1:62" s="13" customFormat="1" ht="39" customHeight="1">
      <c r="A34" s="125">
        <v>16</v>
      </c>
      <c r="B34" s="125"/>
      <c r="C34" s="125"/>
      <c r="D34" s="126" t="s">
        <v>64</v>
      </c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8"/>
      <c r="U34" s="129" t="s">
        <v>59</v>
      </c>
      <c r="V34" s="130"/>
      <c r="W34" s="130"/>
      <c r="X34" s="130"/>
      <c r="Y34" s="131"/>
      <c r="Z34" s="129">
        <v>14</v>
      </c>
      <c r="AA34" s="130"/>
      <c r="AB34" s="131"/>
      <c r="AC34" s="129" t="s">
        <v>35</v>
      </c>
      <c r="AD34" s="130"/>
      <c r="AE34" s="131"/>
      <c r="AF34" s="129"/>
      <c r="AG34" s="130"/>
      <c r="AH34" s="131"/>
      <c r="AI34" s="129"/>
      <c r="AJ34" s="130"/>
      <c r="AK34" s="131"/>
      <c r="AL34" s="129"/>
      <c r="AM34" s="130"/>
      <c r="AN34" s="131"/>
      <c r="AO34" s="129"/>
      <c r="AP34" s="130"/>
      <c r="AQ34" s="131"/>
      <c r="AR34" s="122" t="s">
        <v>64</v>
      </c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4"/>
    </row>
    <row r="35" spans="1:62" s="13" customFormat="1" ht="39" customHeight="1">
      <c r="A35" s="125">
        <v>17</v>
      </c>
      <c r="B35" s="125"/>
      <c r="C35" s="125"/>
      <c r="D35" s="126" t="s">
        <v>65</v>
      </c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8"/>
      <c r="U35" s="129" t="s">
        <v>59</v>
      </c>
      <c r="V35" s="130"/>
      <c r="W35" s="130"/>
      <c r="X35" s="130"/>
      <c r="Y35" s="131"/>
      <c r="Z35" s="129">
        <v>14</v>
      </c>
      <c r="AA35" s="130"/>
      <c r="AB35" s="131"/>
      <c r="AC35" s="129" t="s">
        <v>35</v>
      </c>
      <c r="AD35" s="130"/>
      <c r="AE35" s="131"/>
      <c r="AF35" s="129"/>
      <c r="AG35" s="130"/>
      <c r="AH35" s="131"/>
      <c r="AI35" s="129"/>
      <c r="AJ35" s="130"/>
      <c r="AK35" s="131"/>
      <c r="AL35" s="129"/>
      <c r="AM35" s="130"/>
      <c r="AN35" s="131"/>
      <c r="AO35" s="129"/>
      <c r="AP35" s="130"/>
      <c r="AQ35" s="131"/>
      <c r="AR35" s="122" t="s">
        <v>65</v>
      </c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4"/>
    </row>
    <row r="36" spans="1:62" s="13" customFormat="1" ht="39" customHeight="1">
      <c r="A36" s="125">
        <v>18</v>
      </c>
      <c r="B36" s="125"/>
      <c r="C36" s="125"/>
      <c r="D36" s="126" t="s">
        <v>66</v>
      </c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8"/>
      <c r="U36" s="129" t="s">
        <v>59</v>
      </c>
      <c r="V36" s="130"/>
      <c r="W36" s="130"/>
      <c r="X36" s="130"/>
      <c r="Y36" s="131"/>
      <c r="Z36" s="129">
        <v>14</v>
      </c>
      <c r="AA36" s="130"/>
      <c r="AB36" s="131"/>
      <c r="AC36" s="129" t="s">
        <v>35</v>
      </c>
      <c r="AD36" s="130"/>
      <c r="AE36" s="131"/>
      <c r="AF36" s="129"/>
      <c r="AG36" s="130"/>
      <c r="AH36" s="131"/>
      <c r="AI36" s="129"/>
      <c r="AJ36" s="130"/>
      <c r="AK36" s="131"/>
      <c r="AL36" s="129"/>
      <c r="AM36" s="130"/>
      <c r="AN36" s="131"/>
      <c r="AO36" s="129"/>
      <c r="AP36" s="130"/>
      <c r="AQ36" s="131"/>
      <c r="AR36" s="122" t="s">
        <v>66</v>
      </c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4"/>
    </row>
    <row r="37" spans="1:62" s="13" customFormat="1" ht="39" customHeight="1">
      <c r="A37" s="125">
        <v>19</v>
      </c>
      <c r="B37" s="125"/>
      <c r="C37" s="125"/>
      <c r="D37" s="126" t="s">
        <v>67</v>
      </c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8"/>
      <c r="U37" s="129" t="s">
        <v>50</v>
      </c>
      <c r="V37" s="130"/>
      <c r="W37" s="130"/>
      <c r="X37" s="130"/>
      <c r="Y37" s="131"/>
      <c r="Z37" s="129">
        <v>14</v>
      </c>
      <c r="AA37" s="130"/>
      <c r="AB37" s="131"/>
      <c r="AC37" s="129" t="s">
        <v>35</v>
      </c>
      <c r="AD37" s="130"/>
      <c r="AE37" s="131"/>
      <c r="AF37" s="129"/>
      <c r="AG37" s="130"/>
      <c r="AH37" s="131"/>
      <c r="AI37" s="129"/>
      <c r="AJ37" s="130"/>
      <c r="AK37" s="131"/>
      <c r="AL37" s="129"/>
      <c r="AM37" s="130"/>
      <c r="AN37" s="131"/>
      <c r="AO37" s="129"/>
      <c r="AP37" s="130"/>
      <c r="AQ37" s="131"/>
      <c r="AR37" s="122" t="s">
        <v>67</v>
      </c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4"/>
    </row>
    <row r="38" spans="1:62" s="13" customFormat="1" ht="36" customHeight="1">
      <c r="A38" s="125">
        <v>20</v>
      </c>
      <c r="B38" s="125"/>
      <c r="C38" s="125"/>
      <c r="D38" s="126" t="s">
        <v>68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8"/>
      <c r="U38" s="129" t="s">
        <v>50</v>
      </c>
      <c r="V38" s="130"/>
      <c r="W38" s="130"/>
      <c r="X38" s="130"/>
      <c r="Y38" s="131"/>
      <c r="Z38" s="129">
        <v>14</v>
      </c>
      <c r="AA38" s="130"/>
      <c r="AB38" s="131"/>
      <c r="AC38" s="129" t="s">
        <v>35</v>
      </c>
      <c r="AD38" s="130"/>
      <c r="AE38" s="131"/>
      <c r="AF38" s="129"/>
      <c r="AG38" s="130"/>
      <c r="AH38" s="131"/>
      <c r="AI38" s="129"/>
      <c r="AJ38" s="130"/>
      <c r="AK38" s="131"/>
      <c r="AL38" s="129"/>
      <c r="AM38" s="130"/>
      <c r="AN38" s="131"/>
      <c r="AO38" s="129"/>
      <c r="AP38" s="130"/>
      <c r="AQ38" s="131"/>
      <c r="AR38" s="122" t="s">
        <v>68</v>
      </c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4"/>
    </row>
    <row r="39" spans="1:62" s="13" customFormat="1" ht="36" customHeight="1">
      <c r="A39" s="118"/>
      <c r="B39" s="118"/>
      <c r="C39" s="118"/>
      <c r="D39" s="119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1"/>
      <c r="U39" s="112"/>
      <c r="V39" s="113"/>
      <c r="W39" s="113"/>
      <c r="X39" s="113"/>
      <c r="Y39" s="114"/>
      <c r="Z39" s="112"/>
      <c r="AA39" s="113"/>
      <c r="AB39" s="114"/>
      <c r="AC39" s="112"/>
      <c r="AD39" s="113"/>
      <c r="AE39" s="114"/>
      <c r="AF39" s="112"/>
      <c r="AG39" s="113"/>
      <c r="AH39" s="114"/>
      <c r="AI39" s="112"/>
      <c r="AJ39" s="113"/>
      <c r="AK39" s="114"/>
      <c r="AL39" s="112"/>
      <c r="AM39" s="113"/>
      <c r="AN39" s="114"/>
      <c r="AO39" s="112"/>
      <c r="AP39" s="113"/>
      <c r="AQ39" s="114"/>
      <c r="AR39" s="115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7"/>
    </row>
    <row r="40" spans="1:62" s="13" customFormat="1" ht="36" customHeight="1">
      <c r="A40" s="118"/>
      <c r="B40" s="118"/>
      <c r="C40" s="118"/>
      <c r="D40" s="119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1"/>
      <c r="U40" s="112"/>
      <c r="V40" s="113"/>
      <c r="W40" s="113"/>
      <c r="X40" s="113"/>
      <c r="Y40" s="114"/>
      <c r="Z40" s="112"/>
      <c r="AA40" s="113"/>
      <c r="AB40" s="114"/>
      <c r="AC40" s="112"/>
      <c r="AD40" s="113"/>
      <c r="AE40" s="114"/>
      <c r="AF40" s="112"/>
      <c r="AG40" s="113"/>
      <c r="AH40" s="114"/>
      <c r="AI40" s="112"/>
      <c r="AJ40" s="113"/>
      <c r="AK40" s="114"/>
      <c r="AL40" s="112"/>
      <c r="AM40" s="113"/>
      <c r="AN40" s="114"/>
      <c r="AO40" s="112"/>
      <c r="AP40" s="113"/>
      <c r="AQ40" s="114"/>
      <c r="AR40" s="115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7"/>
    </row>
    <row r="41" spans="1:62" s="13" customFormat="1" ht="36" customHeight="1">
      <c r="A41" s="118"/>
      <c r="B41" s="118"/>
      <c r="C41" s="118"/>
      <c r="D41" s="119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1"/>
      <c r="U41" s="112"/>
      <c r="V41" s="113"/>
      <c r="W41" s="113"/>
      <c r="X41" s="113"/>
      <c r="Y41" s="114"/>
      <c r="Z41" s="112"/>
      <c r="AA41" s="113"/>
      <c r="AB41" s="114"/>
      <c r="AC41" s="112"/>
      <c r="AD41" s="113"/>
      <c r="AE41" s="114"/>
      <c r="AF41" s="112"/>
      <c r="AG41" s="113"/>
      <c r="AH41" s="114"/>
      <c r="AI41" s="112"/>
      <c r="AJ41" s="113"/>
      <c r="AK41" s="114"/>
      <c r="AL41" s="112"/>
      <c r="AM41" s="113"/>
      <c r="AN41" s="114"/>
      <c r="AO41" s="112"/>
      <c r="AP41" s="113"/>
      <c r="AQ41" s="114"/>
      <c r="AR41" s="115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7"/>
    </row>
    <row r="42" spans="1:62" s="13" customFormat="1" ht="36" customHeight="1">
      <c r="A42" s="118"/>
      <c r="B42" s="118"/>
      <c r="C42" s="118"/>
      <c r="D42" s="119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1"/>
      <c r="U42" s="112"/>
      <c r="V42" s="113"/>
      <c r="W42" s="113"/>
      <c r="X42" s="113"/>
      <c r="Y42" s="114"/>
      <c r="Z42" s="112"/>
      <c r="AA42" s="113"/>
      <c r="AB42" s="114"/>
      <c r="AC42" s="112"/>
      <c r="AD42" s="113"/>
      <c r="AE42" s="114"/>
      <c r="AF42" s="112"/>
      <c r="AG42" s="113"/>
      <c r="AH42" s="114"/>
      <c r="AI42" s="112"/>
      <c r="AJ42" s="113"/>
      <c r="AK42" s="114"/>
      <c r="AL42" s="112"/>
      <c r="AM42" s="113"/>
      <c r="AN42" s="114"/>
      <c r="AO42" s="112"/>
      <c r="AP42" s="113"/>
      <c r="AQ42" s="114"/>
      <c r="AR42" s="115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7"/>
    </row>
    <row r="43" spans="1:62" s="13" customFormat="1" ht="36" customHeight="1">
      <c r="A43" s="118"/>
      <c r="B43" s="118"/>
      <c r="C43" s="118"/>
      <c r="D43" s="119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1"/>
      <c r="U43" s="112"/>
      <c r="V43" s="113"/>
      <c r="W43" s="113"/>
      <c r="X43" s="113"/>
      <c r="Y43" s="114"/>
      <c r="Z43" s="112"/>
      <c r="AA43" s="113"/>
      <c r="AB43" s="114"/>
      <c r="AC43" s="112"/>
      <c r="AD43" s="113"/>
      <c r="AE43" s="114"/>
      <c r="AF43" s="112"/>
      <c r="AG43" s="113"/>
      <c r="AH43" s="114"/>
      <c r="AI43" s="112"/>
      <c r="AJ43" s="113"/>
      <c r="AK43" s="114"/>
      <c r="AL43" s="112"/>
      <c r="AM43" s="113"/>
      <c r="AN43" s="114"/>
      <c r="AO43" s="112"/>
      <c r="AP43" s="113"/>
      <c r="AQ43" s="114"/>
      <c r="AR43" s="115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7"/>
    </row>
    <row r="44" spans="1:62" s="13" customFormat="1" ht="36" customHeight="1">
      <c r="A44" s="118"/>
      <c r="B44" s="118"/>
      <c r="C44" s="118"/>
      <c r="D44" s="119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1"/>
      <c r="U44" s="112"/>
      <c r="V44" s="113"/>
      <c r="W44" s="113"/>
      <c r="X44" s="113"/>
      <c r="Y44" s="114"/>
      <c r="Z44" s="112"/>
      <c r="AA44" s="113"/>
      <c r="AB44" s="114"/>
      <c r="AC44" s="112"/>
      <c r="AD44" s="113"/>
      <c r="AE44" s="114"/>
      <c r="AF44" s="112"/>
      <c r="AG44" s="113"/>
      <c r="AH44" s="114"/>
      <c r="AI44" s="112"/>
      <c r="AJ44" s="113"/>
      <c r="AK44" s="114"/>
      <c r="AL44" s="112"/>
      <c r="AM44" s="113"/>
      <c r="AN44" s="114"/>
      <c r="AO44" s="112"/>
      <c r="AP44" s="113"/>
      <c r="AQ44" s="114"/>
      <c r="AR44" s="115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7"/>
    </row>
    <row r="45" spans="1:62" s="13" customFormat="1" ht="36" customHeight="1">
      <c r="A45" s="118"/>
      <c r="B45" s="118"/>
      <c r="C45" s="118"/>
      <c r="D45" s="119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1"/>
      <c r="U45" s="112"/>
      <c r="V45" s="113"/>
      <c r="W45" s="113"/>
      <c r="X45" s="113"/>
      <c r="Y45" s="114"/>
      <c r="Z45" s="112"/>
      <c r="AA45" s="113"/>
      <c r="AB45" s="114"/>
      <c r="AC45" s="112"/>
      <c r="AD45" s="113"/>
      <c r="AE45" s="114"/>
      <c r="AF45" s="112"/>
      <c r="AG45" s="113"/>
      <c r="AH45" s="114"/>
      <c r="AI45" s="112"/>
      <c r="AJ45" s="113"/>
      <c r="AK45" s="114"/>
      <c r="AL45" s="112"/>
      <c r="AM45" s="113"/>
      <c r="AN45" s="114"/>
      <c r="AO45" s="112"/>
      <c r="AP45" s="113"/>
      <c r="AQ45" s="114"/>
      <c r="AR45" s="115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7"/>
    </row>
    <row r="46" spans="1:62" s="13" customFormat="1" ht="36" customHeight="1">
      <c r="A46" s="118"/>
      <c r="B46" s="118"/>
      <c r="C46" s="118"/>
      <c r="D46" s="11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1"/>
      <c r="U46" s="112"/>
      <c r="V46" s="113"/>
      <c r="W46" s="113"/>
      <c r="X46" s="113"/>
      <c r="Y46" s="114"/>
      <c r="Z46" s="112"/>
      <c r="AA46" s="113"/>
      <c r="AB46" s="114"/>
      <c r="AC46" s="112"/>
      <c r="AD46" s="113"/>
      <c r="AE46" s="114"/>
      <c r="AF46" s="112"/>
      <c r="AG46" s="113"/>
      <c r="AH46" s="114"/>
      <c r="AI46" s="112"/>
      <c r="AJ46" s="113"/>
      <c r="AK46" s="114"/>
      <c r="AL46" s="112"/>
      <c r="AM46" s="113"/>
      <c r="AN46" s="114"/>
      <c r="AO46" s="112"/>
      <c r="AP46" s="113"/>
      <c r="AQ46" s="114"/>
      <c r="AR46" s="115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7"/>
    </row>
    <row r="47" spans="1:62" s="13" customFormat="1" ht="36" customHeight="1">
      <c r="A47" s="118"/>
      <c r="B47" s="118"/>
      <c r="C47" s="118"/>
      <c r="D47" s="119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1"/>
      <c r="U47" s="112"/>
      <c r="V47" s="113"/>
      <c r="W47" s="113"/>
      <c r="X47" s="113"/>
      <c r="Y47" s="114"/>
      <c r="Z47" s="112"/>
      <c r="AA47" s="113"/>
      <c r="AB47" s="114"/>
      <c r="AC47" s="112"/>
      <c r="AD47" s="113"/>
      <c r="AE47" s="114"/>
      <c r="AF47" s="112"/>
      <c r="AG47" s="113"/>
      <c r="AH47" s="114"/>
      <c r="AI47" s="112"/>
      <c r="AJ47" s="113"/>
      <c r="AK47" s="114"/>
      <c r="AL47" s="112"/>
      <c r="AM47" s="113"/>
      <c r="AN47" s="114"/>
      <c r="AO47" s="112"/>
      <c r="AP47" s="113"/>
      <c r="AQ47" s="114"/>
      <c r="AR47" s="115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7"/>
    </row>
    <row r="48" spans="1:62" s="13" customFormat="1" ht="36" customHeight="1">
      <c r="A48" s="118"/>
      <c r="B48" s="118"/>
      <c r="C48" s="118"/>
      <c r="D48" s="11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1"/>
      <c r="U48" s="112"/>
      <c r="V48" s="113"/>
      <c r="W48" s="113"/>
      <c r="X48" s="113"/>
      <c r="Y48" s="114"/>
      <c r="Z48" s="112"/>
      <c r="AA48" s="113"/>
      <c r="AB48" s="114"/>
      <c r="AC48" s="112"/>
      <c r="AD48" s="113"/>
      <c r="AE48" s="114"/>
      <c r="AF48" s="112"/>
      <c r="AG48" s="113"/>
      <c r="AH48" s="114"/>
      <c r="AI48" s="112"/>
      <c r="AJ48" s="113"/>
      <c r="AK48" s="114"/>
      <c r="AL48" s="112"/>
      <c r="AM48" s="113"/>
      <c r="AN48" s="114"/>
      <c r="AO48" s="112"/>
      <c r="AP48" s="113"/>
      <c r="AQ48" s="114"/>
      <c r="AR48" s="115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7"/>
    </row>
    <row r="49" spans="1:62" s="13" customFormat="1" ht="36" customHeight="1">
      <c r="A49" s="118"/>
      <c r="B49" s="118"/>
      <c r="C49" s="118"/>
      <c r="D49" s="11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1"/>
      <c r="U49" s="112"/>
      <c r="V49" s="113"/>
      <c r="W49" s="113"/>
      <c r="X49" s="113"/>
      <c r="Y49" s="114"/>
      <c r="Z49" s="112"/>
      <c r="AA49" s="113"/>
      <c r="AB49" s="114"/>
      <c r="AC49" s="112"/>
      <c r="AD49" s="113"/>
      <c r="AE49" s="114"/>
      <c r="AF49" s="112"/>
      <c r="AG49" s="113"/>
      <c r="AH49" s="114"/>
      <c r="AI49" s="112"/>
      <c r="AJ49" s="113"/>
      <c r="AK49" s="114"/>
      <c r="AL49" s="112"/>
      <c r="AM49" s="113"/>
      <c r="AN49" s="114"/>
      <c r="AO49" s="112"/>
      <c r="AP49" s="113"/>
      <c r="AQ49" s="114"/>
      <c r="AR49" s="115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7"/>
    </row>
    <row r="50" spans="1:62" s="13" customFormat="1" ht="36" customHeight="1">
      <c r="A50" s="118"/>
      <c r="B50" s="118"/>
      <c r="C50" s="118"/>
      <c r="D50" s="11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1"/>
      <c r="U50" s="112"/>
      <c r="V50" s="113"/>
      <c r="W50" s="113"/>
      <c r="X50" s="113"/>
      <c r="Y50" s="114"/>
      <c r="Z50" s="112"/>
      <c r="AA50" s="113"/>
      <c r="AB50" s="114"/>
      <c r="AC50" s="112"/>
      <c r="AD50" s="113"/>
      <c r="AE50" s="114"/>
      <c r="AF50" s="112"/>
      <c r="AG50" s="113"/>
      <c r="AH50" s="114"/>
      <c r="AI50" s="112"/>
      <c r="AJ50" s="113"/>
      <c r="AK50" s="114"/>
      <c r="AL50" s="112"/>
      <c r="AM50" s="113"/>
      <c r="AN50" s="114"/>
      <c r="AO50" s="112"/>
      <c r="AP50" s="113"/>
      <c r="AQ50" s="114"/>
      <c r="AR50" s="115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7"/>
    </row>
    <row r="51" spans="1:62" s="13" customFormat="1" ht="36" customHeight="1">
      <c r="A51" s="118"/>
      <c r="B51" s="118"/>
      <c r="C51" s="118"/>
      <c r="D51" s="11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1"/>
      <c r="U51" s="112"/>
      <c r="V51" s="113"/>
      <c r="W51" s="113"/>
      <c r="X51" s="113"/>
      <c r="Y51" s="114"/>
      <c r="Z51" s="112"/>
      <c r="AA51" s="113"/>
      <c r="AB51" s="114"/>
      <c r="AC51" s="112"/>
      <c r="AD51" s="113"/>
      <c r="AE51" s="114"/>
      <c r="AF51" s="112"/>
      <c r="AG51" s="113"/>
      <c r="AH51" s="114"/>
      <c r="AI51" s="112"/>
      <c r="AJ51" s="113"/>
      <c r="AK51" s="114"/>
      <c r="AL51" s="112"/>
      <c r="AM51" s="113"/>
      <c r="AN51" s="114"/>
      <c r="AO51" s="112"/>
      <c r="AP51" s="113"/>
      <c r="AQ51" s="114"/>
      <c r="AR51" s="115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7"/>
    </row>
    <row r="52" spans="1:62" s="13" customFormat="1" ht="36" customHeight="1">
      <c r="A52" s="118"/>
      <c r="B52" s="118"/>
      <c r="C52" s="118"/>
      <c r="D52" s="11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1"/>
      <c r="U52" s="112"/>
      <c r="V52" s="113"/>
      <c r="W52" s="113"/>
      <c r="X52" s="113"/>
      <c r="Y52" s="114"/>
      <c r="Z52" s="112"/>
      <c r="AA52" s="113"/>
      <c r="AB52" s="114"/>
      <c r="AC52" s="112"/>
      <c r="AD52" s="113"/>
      <c r="AE52" s="114"/>
      <c r="AF52" s="112"/>
      <c r="AG52" s="113"/>
      <c r="AH52" s="114"/>
      <c r="AI52" s="112"/>
      <c r="AJ52" s="113"/>
      <c r="AK52" s="114"/>
      <c r="AL52" s="112"/>
      <c r="AM52" s="113"/>
      <c r="AN52" s="114"/>
      <c r="AO52" s="112"/>
      <c r="AP52" s="113"/>
      <c r="AQ52" s="114"/>
      <c r="AR52" s="115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7"/>
    </row>
    <row r="53" spans="1:62" s="13" customFormat="1" ht="36" customHeight="1">
      <c r="A53" s="118"/>
      <c r="B53" s="118"/>
      <c r="C53" s="118"/>
      <c r="D53" s="11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1"/>
      <c r="U53" s="112"/>
      <c r="V53" s="113"/>
      <c r="W53" s="113"/>
      <c r="X53" s="113"/>
      <c r="Y53" s="114"/>
      <c r="Z53" s="112"/>
      <c r="AA53" s="113"/>
      <c r="AB53" s="114"/>
      <c r="AC53" s="112"/>
      <c r="AD53" s="113"/>
      <c r="AE53" s="114"/>
      <c r="AF53" s="112"/>
      <c r="AG53" s="113"/>
      <c r="AH53" s="114"/>
      <c r="AI53" s="112"/>
      <c r="AJ53" s="113"/>
      <c r="AK53" s="114"/>
      <c r="AL53" s="112"/>
      <c r="AM53" s="113"/>
      <c r="AN53" s="114"/>
      <c r="AO53" s="112"/>
      <c r="AP53" s="113"/>
      <c r="AQ53" s="114"/>
      <c r="AR53" s="115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7"/>
    </row>
    <row r="54" spans="1:62" s="13" customFormat="1" ht="36" customHeight="1">
      <c r="A54" s="118"/>
      <c r="B54" s="118"/>
      <c r="C54" s="118"/>
      <c r="D54" s="119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1"/>
      <c r="U54" s="112"/>
      <c r="V54" s="113"/>
      <c r="W54" s="113"/>
      <c r="X54" s="113"/>
      <c r="Y54" s="114"/>
      <c r="Z54" s="112"/>
      <c r="AA54" s="113"/>
      <c r="AB54" s="114"/>
      <c r="AC54" s="112"/>
      <c r="AD54" s="113"/>
      <c r="AE54" s="114"/>
      <c r="AF54" s="112"/>
      <c r="AG54" s="113"/>
      <c r="AH54" s="114"/>
      <c r="AI54" s="112"/>
      <c r="AJ54" s="113"/>
      <c r="AK54" s="114"/>
      <c r="AL54" s="112"/>
      <c r="AM54" s="113"/>
      <c r="AN54" s="114"/>
      <c r="AO54" s="112"/>
      <c r="AP54" s="113"/>
      <c r="AQ54" s="114"/>
      <c r="AR54" s="115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7"/>
    </row>
    <row r="55" spans="1:62" s="13" customFormat="1" ht="36" customHeight="1">
      <c r="A55" s="118"/>
      <c r="B55" s="118"/>
      <c r="C55" s="118"/>
      <c r="D55" s="119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1"/>
      <c r="U55" s="112"/>
      <c r="V55" s="113"/>
      <c r="W55" s="113"/>
      <c r="X55" s="113"/>
      <c r="Y55" s="114"/>
      <c r="Z55" s="112"/>
      <c r="AA55" s="113"/>
      <c r="AB55" s="114"/>
      <c r="AC55" s="112"/>
      <c r="AD55" s="113"/>
      <c r="AE55" s="114"/>
      <c r="AF55" s="112"/>
      <c r="AG55" s="113"/>
      <c r="AH55" s="114"/>
      <c r="AI55" s="112"/>
      <c r="AJ55" s="113"/>
      <c r="AK55" s="114"/>
      <c r="AL55" s="112"/>
      <c r="AM55" s="113"/>
      <c r="AN55" s="114"/>
      <c r="AO55" s="112"/>
      <c r="AP55" s="113"/>
      <c r="AQ55" s="114"/>
      <c r="AR55" s="115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7"/>
    </row>
    <row r="56" spans="1:62" s="13" customFormat="1" ht="36" customHeight="1">
      <c r="A56" s="118"/>
      <c r="B56" s="118"/>
      <c r="C56" s="118"/>
      <c r="D56" s="119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1"/>
      <c r="U56" s="112"/>
      <c r="V56" s="113"/>
      <c r="W56" s="113"/>
      <c r="X56" s="113"/>
      <c r="Y56" s="114"/>
      <c r="Z56" s="112"/>
      <c r="AA56" s="113"/>
      <c r="AB56" s="114"/>
      <c r="AC56" s="112"/>
      <c r="AD56" s="113"/>
      <c r="AE56" s="114"/>
      <c r="AF56" s="112"/>
      <c r="AG56" s="113"/>
      <c r="AH56" s="114"/>
      <c r="AI56" s="112"/>
      <c r="AJ56" s="113"/>
      <c r="AK56" s="114"/>
      <c r="AL56" s="112"/>
      <c r="AM56" s="113"/>
      <c r="AN56" s="114"/>
      <c r="AO56" s="112"/>
      <c r="AP56" s="113"/>
      <c r="AQ56" s="114"/>
      <c r="AR56" s="115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7"/>
    </row>
    <row r="57" spans="1:62" s="13" customFormat="1" ht="39" customHeight="1">
      <c r="A57" s="144"/>
      <c r="B57" s="144"/>
      <c r="C57" s="144"/>
      <c r="D57" s="166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8"/>
      <c r="U57" s="169"/>
      <c r="V57" s="170"/>
      <c r="W57" s="170"/>
      <c r="X57" s="170"/>
      <c r="Y57" s="171"/>
      <c r="Z57" s="169"/>
      <c r="AA57" s="170"/>
      <c r="AB57" s="171"/>
      <c r="AC57" s="169"/>
      <c r="AD57" s="170"/>
      <c r="AE57" s="171"/>
      <c r="AF57" s="169"/>
      <c r="AG57" s="170"/>
      <c r="AH57" s="171"/>
      <c r="AI57" s="169"/>
      <c r="AJ57" s="170"/>
      <c r="AK57" s="171"/>
      <c r="AL57" s="169"/>
      <c r="AM57" s="170"/>
      <c r="AN57" s="171"/>
      <c r="AO57" s="169"/>
      <c r="AP57" s="170"/>
      <c r="AQ57" s="171"/>
      <c r="AR57" s="163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5"/>
    </row>
    <row r="58" spans="1:62" ht="6.6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</row>
  </sheetData>
  <mergeCells count="444">
    <mergeCell ref="U19:Y19"/>
    <mergeCell ref="Z19:AB19"/>
    <mergeCell ref="AI30:AK30"/>
    <mergeCell ref="AL30:AN30"/>
    <mergeCell ref="AO30:AQ30"/>
    <mergeCell ref="AI32:AK32"/>
    <mergeCell ref="AL32:AN32"/>
    <mergeCell ref="AR57:BJ57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U31:Y31"/>
    <mergeCell ref="Z31:AB31"/>
    <mergeCell ref="AC31:AE31"/>
    <mergeCell ref="AF31:AH31"/>
    <mergeCell ref="AI31:AK31"/>
    <mergeCell ref="AL31:AN31"/>
    <mergeCell ref="AO31:AQ31"/>
    <mergeCell ref="AO32:AQ32"/>
    <mergeCell ref="U33:Y33"/>
    <mergeCell ref="Z33:AB33"/>
    <mergeCell ref="AC33:AE33"/>
    <mergeCell ref="AF33:AH33"/>
    <mergeCell ref="AI33:AK33"/>
    <mergeCell ref="AL33:AN33"/>
    <mergeCell ref="AO33:AQ33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Z36:AB36"/>
    <mergeCell ref="AC36:AE36"/>
    <mergeCell ref="AF36:AH36"/>
    <mergeCell ref="AI36:AK36"/>
    <mergeCell ref="AL36:AN36"/>
    <mergeCell ref="AO36:AQ36"/>
    <mergeCell ref="AF35:AH35"/>
    <mergeCell ref="AI35:AK35"/>
    <mergeCell ref="U27:Y27"/>
    <mergeCell ref="Z27:AB27"/>
    <mergeCell ref="AC27:AE27"/>
    <mergeCell ref="AF27:AH27"/>
    <mergeCell ref="AI27:AK27"/>
    <mergeCell ref="AL27:AN27"/>
    <mergeCell ref="AO27:AQ27"/>
    <mergeCell ref="U28:Y28"/>
    <mergeCell ref="Z28:AB28"/>
    <mergeCell ref="AC28:AE28"/>
    <mergeCell ref="AF28:AH28"/>
    <mergeCell ref="AI28:AK28"/>
    <mergeCell ref="AL28:AN28"/>
    <mergeCell ref="AO28:AQ28"/>
    <mergeCell ref="AY2:BB2"/>
    <mergeCell ref="AI23:AK23"/>
    <mergeCell ref="AL23:AN23"/>
    <mergeCell ref="AI24:AK24"/>
    <mergeCell ref="AL24:AN24"/>
    <mergeCell ref="AO24:AQ24"/>
    <mergeCell ref="AR23:BJ23"/>
    <mergeCell ref="AO23:AQ23"/>
    <mergeCell ref="AI25:AK25"/>
    <mergeCell ref="AL25:AN25"/>
    <mergeCell ref="AO25:AQ25"/>
    <mergeCell ref="BC2:BF2"/>
    <mergeCell ref="BG2:BJ2"/>
    <mergeCell ref="AO22:AQ22"/>
    <mergeCell ref="AO6:AW6"/>
    <mergeCell ref="AX6:BA6"/>
    <mergeCell ref="BB6:BE6"/>
    <mergeCell ref="BF6:BJ6"/>
    <mergeCell ref="L7:AJ7"/>
    <mergeCell ref="AK7:AR7"/>
    <mergeCell ref="AS7:AX7"/>
    <mergeCell ref="A2:AS2"/>
    <mergeCell ref="AT2:AX2"/>
    <mergeCell ref="A10:C10"/>
    <mergeCell ref="D24:T24"/>
    <mergeCell ref="D25:T25"/>
    <mergeCell ref="D26:T26"/>
    <mergeCell ref="AC19:AE19"/>
    <mergeCell ref="AF19:AH19"/>
    <mergeCell ref="D23:T23"/>
    <mergeCell ref="U23:Y23"/>
    <mergeCell ref="Z23:AB23"/>
    <mergeCell ref="AC23:AE23"/>
    <mergeCell ref="AF23:AH23"/>
    <mergeCell ref="AF22:AH22"/>
    <mergeCell ref="U24:Y24"/>
    <mergeCell ref="Z24:AB24"/>
    <mergeCell ref="AC24:AE24"/>
    <mergeCell ref="AF24:AH24"/>
    <mergeCell ref="Z26:AB26"/>
    <mergeCell ref="AC26:AE26"/>
    <mergeCell ref="AF26:AH26"/>
    <mergeCell ref="AC25:AE25"/>
    <mergeCell ref="AF25:AH25"/>
    <mergeCell ref="U26:Y26"/>
    <mergeCell ref="U25:Y25"/>
    <mergeCell ref="D20:T20"/>
    <mergeCell ref="AF20:AH20"/>
    <mergeCell ref="A13:C13"/>
    <mergeCell ref="D13:AR13"/>
    <mergeCell ref="AS13:BJ13"/>
    <mergeCell ref="AI22:AK22"/>
    <mergeCell ref="AL22:AN22"/>
    <mergeCell ref="AI19:AK19"/>
    <mergeCell ref="AL19:AN19"/>
    <mergeCell ref="AO19:AQ19"/>
    <mergeCell ref="D10:AR10"/>
    <mergeCell ref="AS10:BJ10"/>
    <mergeCell ref="A11:C11"/>
    <mergeCell ref="D11:AR11"/>
    <mergeCell ref="AS11:BJ11"/>
    <mergeCell ref="A14:C14"/>
    <mergeCell ref="D14:AR14"/>
    <mergeCell ref="AS14:BJ14"/>
    <mergeCell ref="AR19:BJ19"/>
    <mergeCell ref="A20:C20"/>
    <mergeCell ref="AI20:AK20"/>
    <mergeCell ref="AL20:AN20"/>
    <mergeCell ref="AO20:AQ20"/>
    <mergeCell ref="AR20:BJ20"/>
    <mergeCell ref="A19:C19"/>
    <mergeCell ref="D19:T19"/>
    <mergeCell ref="AI26:AK26"/>
    <mergeCell ref="AL26:AN26"/>
    <mergeCell ref="AO26:AQ26"/>
    <mergeCell ref="A7:K7"/>
    <mergeCell ref="BI7:BJ7"/>
    <mergeCell ref="AY4:BJ4"/>
    <mergeCell ref="A6:K6"/>
    <mergeCell ref="L6:AA6"/>
    <mergeCell ref="AB6:AJ6"/>
    <mergeCell ref="AK6:AN6"/>
    <mergeCell ref="A3:H4"/>
    <mergeCell ref="I3:AS4"/>
    <mergeCell ref="AT3:AX3"/>
    <mergeCell ref="BC7:BD7"/>
    <mergeCell ref="BE7:BH7"/>
    <mergeCell ref="AY3:BJ3"/>
    <mergeCell ref="AT4:AX4"/>
    <mergeCell ref="Z25:AB25"/>
    <mergeCell ref="A15:C15"/>
    <mergeCell ref="D15:AR15"/>
    <mergeCell ref="AS15:BJ15"/>
    <mergeCell ref="A12:C12"/>
    <mergeCell ref="D12:AR12"/>
    <mergeCell ref="AS12:BJ12"/>
    <mergeCell ref="A27:C27"/>
    <mergeCell ref="AR27:BJ27"/>
    <mergeCell ref="AI18:AK18"/>
    <mergeCell ref="AL18:AN18"/>
    <mergeCell ref="AO18:AQ18"/>
    <mergeCell ref="A22:C22"/>
    <mergeCell ref="AR22:BJ22"/>
    <mergeCell ref="A24:C24"/>
    <mergeCell ref="AR24:BJ24"/>
    <mergeCell ref="A18:C18"/>
    <mergeCell ref="D18:T18"/>
    <mergeCell ref="U18:Y18"/>
    <mergeCell ref="Z18:AB18"/>
    <mergeCell ref="AC18:AE18"/>
    <mergeCell ref="AF18:AH18"/>
    <mergeCell ref="AR18:BJ18"/>
    <mergeCell ref="D22:T22"/>
    <mergeCell ref="U22:Y22"/>
    <mergeCell ref="Z22:AB22"/>
    <mergeCell ref="AC22:AE22"/>
    <mergeCell ref="U20:Y20"/>
    <mergeCell ref="Z20:AB20"/>
    <mergeCell ref="AC20:AE20"/>
    <mergeCell ref="A23:C23"/>
    <mergeCell ref="A33:C33"/>
    <mergeCell ref="AR33:BJ33"/>
    <mergeCell ref="A28:C28"/>
    <mergeCell ref="AR28:BJ28"/>
    <mergeCell ref="A29:C29"/>
    <mergeCell ref="AR29:BJ29"/>
    <mergeCell ref="A30:C30"/>
    <mergeCell ref="AR30:BJ30"/>
    <mergeCell ref="U29:Y29"/>
    <mergeCell ref="Z29:AB29"/>
    <mergeCell ref="AC29:AE29"/>
    <mergeCell ref="AF29:AH29"/>
    <mergeCell ref="AI29:AK29"/>
    <mergeCell ref="AL29:AN29"/>
    <mergeCell ref="AO29:AQ29"/>
    <mergeCell ref="U30:Y30"/>
    <mergeCell ref="Z30:AB30"/>
    <mergeCell ref="AC30:AE30"/>
    <mergeCell ref="D33:T33"/>
    <mergeCell ref="AF30:AH30"/>
    <mergeCell ref="U32:Y32"/>
    <mergeCell ref="Z32:AB32"/>
    <mergeCell ref="AC32:AE32"/>
    <mergeCell ref="AF32:AH32"/>
    <mergeCell ref="A37:C37"/>
    <mergeCell ref="AR37:BJ37"/>
    <mergeCell ref="A34:C34"/>
    <mergeCell ref="AR34:BJ34"/>
    <mergeCell ref="A35:C35"/>
    <mergeCell ref="AR35:BJ35"/>
    <mergeCell ref="A36:C36"/>
    <mergeCell ref="AR36:BJ36"/>
    <mergeCell ref="U34:Y34"/>
    <mergeCell ref="Z34:AB34"/>
    <mergeCell ref="AC34:AE34"/>
    <mergeCell ref="AF34:AH34"/>
    <mergeCell ref="AI34:AK34"/>
    <mergeCell ref="AL34:AN34"/>
    <mergeCell ref="AO34:AQ34"/>
    <mergeCell ref="U35:Y35"/>
    <mergeCell ref="Z35:AB35"/>
    <mergeCell ref="AC35:AE35"/>
    <mergeCell ref="D34:T34"/>
    <mergeCell ref="D35:T35"/>
    <mergeCell ref="D36:T36"/>
    <mergeCell ref="U36:Y36"/>
    <mergeCell ref="AL35:AN35"/>
    <mergeCell ref="AO35:AQ35"/>
    <mergeCell ref="D27:T27"/>
    <mergeCell ref="D28:T28"/>
    <mergeCell ref="D29:T29"/>
    <mergeCell ref="D30:T30"/>
    <mergeCell ref="D31:T31"/>
    <mergeCell ref="D32:T32"/>
    <mergeCell ref="AR21:BJ21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31:C31"/>
    <mergeCell ref="AR31:BJ31"/>
    <mergeCell ref="A32:C32"/>
    <mergeCell ref="AR32:BJ32"/>
    <mergeCell ref="A25:C25"/>
    <mergeCell ref="AR25:BJ25"/>
    <mergeCell ref="A26:C26"/>
    <mergeCell ref="AR26:BJ26"/>
    <mergeCell ref="AR38:BJ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8:BJ48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L55:AN55"/>
    <mergeCell ref="AO55:AQ55"/>
    <mergeCell ref="AR50:BJ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I53:AK53"/>
    <mergeCell ref="AL53:AN53"/>
    <mergeCell ref="AO53:AQ53"/>
    <mergeCell ref="AR53:BJ53"/>
    <mergeCell ref="A54:C54"/>
    <mergeCell ref="D54:T54"/>
    <mergeCell ref="U54:Y54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5:BJ55"/>
    <mergeCell ref="A55:C55"/>
    <mergeCell ref="D55:T55"/>
    <mergeCell ref="U55:Y55"/>
    <mergeCell ref="Z55:AB55"/>
    <mergeCell ref="AC55:AE55"/>
    <mergeCell ref="AF55:AH55"/>
    <mergeCell ref="AI55:AK55"/>
    <mergeCell ref="Z54:AB54"/>
    <mergeCell ref="AC54:AE54"/>
    <mergeCell ref="AF54:AH54"/>
    <mergeCell ref="AI54:AK54"/>
    <mergeCell ref="AL54:AN54"/>
    <mergeCell ref="AO54:AQ54"/>
    <mergeCell ref="AR54:BJ54"/>
    <mergeCell ref="AR56:BJ56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3:C53"/>
    <mergeCell ref="D53:T53"/>
    <mergeCell ref="U53:Y53"/>
    <mergeCell ref="Z53:AB53"/>
    <mergeCell ref="AC53:AE53"/>
    <mergeCell ref="AF53:AH53"/>
  </mergeCells>
  <phoneticPr fontId="1"/>
  <dataValidations count="6">
    <dataValidation type="list" allowBlank="1" showInputMessage="1" showErrorMessage="1" sqref="BI7:BI9 BC16 BC7:BC9 BI16 AL19:AQ57 AC19:AH5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B68B3216-C246-474B-B8C2-A1B662286372}">
      <formula1>"昇順, 降順"</formula1>
    </dataValidation>
    <dataValidation type="list" allowBlank="1" showInputMessage="1" sqref="AS12:BJ15" xr:uid="{056F1746-0165-4942-BA91-AB314C1DB5C9}">
      <formula1>"昇順,降順"</formula1>
    </dataValidation>
    <dataValidation type="list" allowBlank="1" showInputMessage="1" sqref="AS16:AX16 AT8:AX9 AS7:AX7 AS8:AS10" xr:uid="{00C19743-E613-4BD2-AF07-3F38EB8FAB20}">
      <formula1>"utf-8,Shift jis"</formula1>
    </dataValidation>
    <dataValidation type="list" allowBlank="1" showInputMessage="1" showErrorMessage="1" sqref="AI19:AK57" xr:uid="{6739CC32-38D8-4C38-B8E8-426F03B3C0AE}">
      <formula1>"右,左"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3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90" t="s">
        <v>0</v>
      </c>
      <c r="BJ1" s="2" t="s">
        <v>1</v>
      </c>
    </row>
    <row r="2" spans="1:62" s="3" customFormat="1" ht="18" customHeight="1">
      <c r="A2" s="97" t="s">
        <v>30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9"/>
      <c r="AT2" s="91" t="s">
        <v>3</v>
      </c>
      <c r="AU2" s="92"/>
      <c r="AV2" s="92"/>
      <c r="AW2" s="92"/>
      <c r="AX2" s="93"/>
      <c r="AY2" s="91" t="s">
        <v>31</v>
      </c>
      <c r="AZ2" s="92"/>
      <c r="BA2" s="92"/>
      <c r="BB2" s="93"/>
      <c r="BC2" s="91" t="s">
        <v>5</v>
      </c>
      <c r="BD2" s="92"/>
      <c r="BE2" s="92"/>
      <c r="BF2" s="93"/>
      <c r="BG2" s="91"/>
      <c r="BH2" s="92"/>
      <c r="BI2" s="92"/>
      <c r="BJ2" s="93"/>
    </row>
    <row r="3" spans="1:62" s="1" customFormat="1" ht="18" customHeight="1">
      <c r="A3" s="100" t="s">
        <v>6</v>
      </c>
      <c r="B3" s="101"/>
      <c r="C3" s="101"/>
      <c r="D3" s="101"/>
      <c r="E3" s="101"/>
      <c r="F3" s="101"/>
      <c r="G3" s="101"/>
      <c r="H3" s="102"/>
      <c r="I3" s="106" t="s">
        <v>167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8"/>
      <c r="AT3" s="91" t="s">
        <v>7</v>
      </c>
      <c r="AU3" s="92"/>
      <c r="AV3" s="92"/>
      <c r="AW3" s="92"/>
      <c r="AX3" s="93"/>
      <c r="AY3" s="91" t="s">
        <v>166</v>
      </c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3"/>
    </row>
    <row r="4" spans="1:62" s="1" customFormat="1" ht="18" customHeight="1">
      <c r="A4" s="103"/>
      <c r="B4" s="104"/>
      <c r="C4" s="104"/>
      <c r="D4" s="104"/>
      <c r="E4" s="104"/>
      <c r="F4" s="104"/>
      <c r="G4" s="104"/>
      <c r="H4" s="105"/>
      <c r="I4" s="109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91" t="s">
        <v>8</v>
      </c>
      <c r="AU4" s="92"/>
      <c r="AV4" s="92"/>
      <c r="AW4" s="92"/>
      <c r="AX4" s="93"/>
      <c r="AY4" s="91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12" customFormat="1" ht="6" customHeight="1"/>
    <row r="6" spans="1:62" s="17" customFormat="1" ht="20.25" customHeight="1">
      <c r="A6" s="141" t="s">
        <v>12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168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3"/>
      <c r="AB6" s="141" t="s">
        <v>13</v>
      </c>
      <c r="AC6" s="142"/>
      <c r="AD6" s="142"/>
      <c r="AE6" s="142"/>
      <c r="AF6" s="142"/>
      <c r="AG6" s="142"/>
      <c r="AH6" s="142"/>
      <c r="AI6" s="142"/>
      <c r="AJ6" s="143"/>
      <c r="AK6" s="141" t="s">
        <v>32</v>
      </c>
      <c r="AL6" s="142"/>
      <c r="AM6" s="142"/>
      <c r="AN6" s="143"/>
      <c r="AO6" s="141" t="s">
        <v>14</v>
      </c>
      <c r="AP6" s="142"/>
      <c r="AQ6" s="142"/>
      <c r="AR6" s="142"/>
      <c r="AS6" s="142"/>
      <c r="AT6" s="142"/>
      <c r="AU6" s="142"/>
      <c r="AV6" s="142"/>
      <c r="AW6" s="143"/>
      <c r="AX6" s="141" t="s">
        <v>33</v>
      </c>
      <c r="AY6" s="142"/>
      <c r="AZ6" s="142"/>
      <c r="BA6" s="143"/>
      <c r="BB6" s="151" t="s">
        <v>15</v>
      </c>
      <c r="BC6" s="151"/>
      <c r="BD6" s="151"/>
      <c r="BE6" s="151"/>
      <c r="BF6" s="151">
        <f>COUNTA(D10:D383)</f>
        <v>20</v>
      </c>
      <c r="BG6" s="151"/>
      <c r="BH6" s="151"/>
      <c r="BI6" s="151"/>
      <c r="BJ6" s="151"/>
    </row>
    <row r="7" spans="1:62" s="17" customFormat="1" ht="20.25" customHeight="1">
      <c r="A7" s="141" t="s">
        <v>16</v>
      </c>
      <c r="B7" s="142"/>
      <c r="C7" s="142"/>
      <c r="D7" s="142"/>
      <c r="E7" s="142"/>
      <c r="F7" s="142"/>
      <c r="G7" s="142"/>
      <c r="H7" s="142"/>
      <c r="I7" s="142"/>
      <c r="J7" s="142"/>
      <c r="K7" s="143"/>
      <c r="L7" s="160" t="s">
        <v>69</v>
      </c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2"/>
      <c r="AK7" s="141" t="s">
        <v>34</v>
      </c>
      <c r="AL7" s="142"/>
      <c r="AM7" s="142"/>
      <c r="AN7" s="142"/>
      <c r="AO7" s="142"/>
      <c r="AP7" s="142"/>
      <c r="AQ7" s="142"/>
      <c r="AR7" s="143"/>
      <c r="AS7" s="141" t="s">
        <v>169</v>
      </c>
      <c r="AT7" s="142"/>
      <c r="AU7" s="142"/>
      <c r="AV7" s="142"/>
      <c r="AW7" s="142"/>
      <c r="AX7" s="143"/>
      <c r="AY7" s="37" t="s">
        <v>17</v>
      </c>
      <c r="AZ7" s="38"/>
      <c r="BA7" s="38"/>
      <c r="BB7" s="38"/>
      <c r="BC7" s="141" t="s">
        <v>35</v>
      </c>
      <c r="BD7" s="143"/>
      <c r="BE7" s="141" t="s">
        <v>18</v>
      </c>
      <c r="BF7" s="142"/>
      <c r="BG7" s="142"/>
      <c r="BH7" s="143"/>
      <c r="BI7" s="141"/>
      <c r="BJ7" s="143"/>
    </row>
    <row r="8" spans="1:62" s="4" customFormat="1">
      <c r="B8" s="33" t="s">
        <v>19</v>
      </c>
      <c r="G8" s="5"/>
    </row>
    <row r="9" spans="1:62" s="17" customFormat="1" ht="42" customHeight="1">
      <c r="A9" s="141" t="s">
        <v>20</v>
      </c>
      <c r="B9" s="142"/>
      <c r="C9" s="143"/>
      <c r="D9" s="141" t="s">
        <v>36</v>
      </c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3"/>
      <c r="U9" s="138" t="s">
        <v>22</v>
      </c>
      <c r="V9" s="139"/>
      <c r="W9" s="139"/>
      <c r="X9" s="139"/>
      <c r="Y9" s="140"/>
      <c r="Z9" s="138" t="s">
        <v>23</v>
      </c>
      <c r="AA9" s="139"/>
      <c r="AB9" s="140"/>
      <c r="AC9" s="141" t="s">
        <v>37</v>
      </c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3"/>
    </row>
    <row r="10" spans="1:62" s="13" customFormat="1" ht="40.5" customHeight="1">
      <c r="A10" s="152">
        <v>1</v>
      </c>
      <c r="B10" s="152"/>
      <c r="C10" s="152"/>
      <c r="D10" s="157" t="s">
        <v>162</v>
      </c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9"/>
      <c r="U10" s="147" t="s">
        <v>104</v>
      </c>
      <c r="V10" s="148"/>
      <c r="W10" s="148"/>
      <c r="X10" s="148"/>
      <c r="Y10" s="149"/>
      <c r="Z10" s="147">
        <v>2</v>
      </c>
      <c r="AA10" s="148"/>
      <c r="AB10" s="149"/>
      <c r="AC10" s="154">
        <v>10</v>
      </c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3"/>
    </row>
    <row r="11" spans="1:62" s="13" customFormat="1" ht="40.5" customHeight="1">
      <c r="A11" s="125">
        <v>2</v>
      </c>
      <c r="B11" s="125"/>
      <c r="C11" s="125"/>
      <c r="D11" s="126" t="s">
        <v>159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8"/>
      <c r="U11" s="129" t="s">
        <v>58</v>
      </c>
      <c r="V11" s="130"/>
      <c r="W11" s="130"/>
      <c r="X11" s="130"/>
      <c r="Y11" s="131"/>
      <c r="Z11" s="129">
        <v>100</v>
      </c>
      <c r="AA11" s="130"/>
      <c r="AB11" s="131"/>
      <c r="AC11" s="122" t="s">
        <v>112</v>
      </c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4"/>
    </row>
    <row r="12" spans="1:62" s="13" customFormat="1" ht="41.25" customHeight="1">
      <c r="A12" s="125">
        <v>3</v>
      </c>
      <c r="B12" s="125"/>
      <c r="C12" s="125"/>
      <c r="D12" s="126" t="s">
        <v>114</v>
      </c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8"/>
      <c r="U12" s="129" t="s">
        <v>50</v>
      </c>
      <c r="V12" s="130"/>
      <c r="W12" s="130"/>
      <c r="X12" s="130"/>
      <c r="Y12" s="131"/>
      <c r="Z12" s="129">
        <v>6</v>
      </c>
      <c r="AA12" s="130"/>
      <c r="AB12" s="131"/>
      <c r="AC12" s="60" t="s">
        <v>116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9"/>
    </row>
    <row r="13" spans="1:62" s="13" customFormat="1" ht="41.25" customHeight="1">
      <c r="A13" s="125">
        <v>4</v>
      </c>
      <c r="B13" s="125"/>
      <c r="C13" s="125"/>
      <c r="D13" s="126" t="s">
        <v>103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8"/>
      <c r="U13" s="129" t="s">
        <v>50</v>
      </c>
      <c r="V13" s="130"/>
      <c r="W13" s="130"/>
      <c r="X13" s="130"/>
      <c r="Y13" s="131"/>
      <c r="Z13" s="129">
        <v>4</v>
      </c>
      <c r="AA13" s="130"/>
      <c r="AB13" s="131"/>
      <c r="AC13" s="60" t="s">
        <v>105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3" customFormat="1" ht="41.25" customHeight="1">
      <c r="A14" s="125">
        <v>5</v>
      </c>
      <c r="B14" s="125"/>
      <c r="C14" s="125"/>
      <c r="D14" s="126" t="s">
        <v>53</v>
      </c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8"/>
      <c r="U14" s="129" t="s">
        <v>52</v>
      </c>
      <c r="V14" s="130"/>
      <c r="W14" s="130"/>
      <c r="X14" s="130"/>
      <c r="Y14" s="131"/>
      <c r="Z14" s="129">
        <v>2</v>
      </c>
      <c r="AA14" s="130"/>
      <c r="AB14" s="131"/>
      <c r="AC14" s="60" t="s">
        <v>80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/>
    </row>
    <row r="15" spans="1:62" s="13" customFormat="1" ht="41.25" customHeight="1">
      <c r="A15" s="125">
        <v>6</v>
      </c>
      <c r="B15" s="125"/>
      <c r="C15" s="125"/>
      <c r="D15" s="126" t="s">
        <v>54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8"/>
      <c r="U15" s="129" t="s">
        <v>57</v>
      </c>
      <c r="V15" s="130"/>
      <c r="W15" s="130"/>
      <c r="X15" s="130"/>
      <c r="Y15" s="131"/>
      <c r="Z15" s="129">
        <v>10</v>
      </c>
      <c r="AA15" s="130"/>
      <c r="AB15" s="131"/>
      <c r="AC15" s="60" t="s">
        <v>106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9"/>
    </row>
    <row r="16" spans="1:62" s="13" customFormat="1" ht="41.25" customHeight="1">
      <c r="A16" s="125">
        <v>7</v>
      </c>
      <c r="B16" s="125"/>
      <c r="C16" s="125"/>
      <c r="D16" s="126" t="s">
        <v>55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8"/>
      <c r="U16" s="129" t="s">
        <v>52</v>
      </c>
      <c r="V16" s="130"/>
      <c r="W16" s="130"/>
      <c r="X16" s="130"/>
      <c r="Y16" s="131"/>
      <c r="Z16" s="129">
        <v>8</v>
      </c>
      <c r="AA16" s="130"/>
      <c r="AB16" s="131"/>
      <c r="AC16" s="60" t="s">
        <v>156</v>
      </c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9"/>
    </row>
    <row r="17" spans="1:62" s="13" customFormat="1" ht="41.25" customHeight="1">
      <c r="A17" s="125">
        <v>8</v>
      </c>
      <c r="B17" s="125"/>
      <c r="C17" s="125"/>
      <c r="D17" s="126" t="s">
        <v>56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8"/>
      <c r="U17" s="129" t="s">
        <v>57</v>
      </c>
      <c r="V17" s="130"/>
      <c r="W17" s="130"/>
      <c r="X17" s="130"/>
      <c r="Y17" s="131"/>
      <c r="Z17" s="129">
        <v>35</v>
      </c>
      <c r="AA17" s="130"/>
      <c r="AB17" s="131"/>
      <c r="AC17" s="60" t="s">
        <v>79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</row>
    <row r="18" spans="1:62" s="13" customFormat="1" ht="41.25" customHeight="1">
      <c r="A18" s="125">
        <v>9</v>
      </c>
      <c r="B18" s="125"/>
      <c r="C18" s="125"/>
      <c r="D18" s="126" t="s">
        <v>164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129" t="s">
        <v>52</v>
      </c>
      <c r="V18" s="130"/>
      <c r="W18" s="130"/>
      <c r="X18" s="130"/>
      <c r="Y18" s="131"/>
      <c r="Z18" s="129">
        <v>3</v>
      </c>
      <c r="AA18" s="130"/>
      <c r="AB18" s="131"/>
      <c r="AC18" s="60" t="s">
        <v>81</v>
      </c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</row>
    <row r="19" spans="1:62" s="13" customFormat="1" ht="41.25" customHeight="1">
      <c r="A19" s="125">
        <v>10</v>
      </c>
      <c r="B19" s="125"/>
      <c r="C19" s="125"/>
      <c r="D19" s="126" t="s">
        <v>165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8"/>
      <c r="U19" s="129" t="s">
        <v>57</v>
      </c>
      <c r="V19" s="130"/>
      <c r="W19" s="130"/>
      <c r="X19" s="130"/>
      <c r="Y19" s="131"/>
      <c r="Z19" s="129">
        <v>15</v>
      </c>
      <c r="AA19" s="130"/>
      <c r="AB19" s="131"/>
      <c r="AC19" s="60" t="s">
        <v>71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41.25" customHeight="1">
      <c r="A20" s="125">
        <v>11</v>
      </c>
      <c r="B20" s="125"/>
      <c r="C20" s="125"/>
      <c r="D20" s="126" t="s">
        <v>126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8"/>
      <c r="U20" s="129" t="s">
        <v>52</v>
      </c>
      <c r="V20" s="130"/>
      <c r="W20" s="130"/>
      <c r="X20" s="130"/>
      <c r="Y20" s="131"/>
      <c r="Z20" s="129">
        <v>1</v>
      </c>
      <c r="AA20" s="130"/>
      <c r="AB20" s="131"/>
      <c r="AC20" s="60" t="s">
        <v>91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</row>
    <row r="21" spans="1:62" s="13" customFormat="1" ht="41.25" customHeight="1">
      <c r="A21" s="125">
        <v>12</v>
      </c>
      <c r="B21" s="125"/>
      <c r="C21" s="125"/>
      <c r="D21" s="126" t="s">
        <v>127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129" t="s">
        <v>57</v>
      </c>
      <c r="V21" s="130"/>
      <c r="W21" s="130"/>
      <c r="X21" s="130"/>
      <c r="Y21" s="131"/>
      <c r="Z21" s="129">
        <v>2</v>
      </c>
      <c r="AA21" s="130"/>
      <c r="AB21" s="131"/>
      <c r="AC21" s="60" t="s">
        <v>89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9"/>
    </row>
    <row r="22" spans="1:62" s="13" customFormat="1" ht="41.25" customHeight="1">
      <c r="A22" s="125">
        <v>13</v>
      </c>
      <c r="B22" s="125"/>
      <c r="C22" s="125"/>
      <c r="D22" s="126" t="s">
        <v>61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29" t="s">
        <v>50</v>
      </c>
      <c r="V22" s="130"/>
      <c r="W22" s="130"/>
      <c r="X22" s="130"/>
      <c r="Y22" s="131"/>
      <c r="Z22" s="129">
        <v>14</v>
      </c>
      <c r="AA22" s="130"/>
      <c r="AB22" s="131"/>
      <c r="AC22" s="60" t="s">
        <v>92</v>
      </c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</row>
    <row r="23" spans="1:62" s="13" customFormat="1" ht="41.25" customHeight="1">
      <c r="A23" s="125">
        <v>14</v>
      </c>
      <c r="B23" s="125"/>
      <c r="C23" s="125"/>
      <c r="D23" s="126" t="s">
        <v>62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29" t="s">
        <v>50</v>
      </c>
      <c r="V23" s="130"/>
      <c r="W23" s="130"/>
      <c r="X23" s="130"/>
      <c r="Y23" s="131"/>
      <c r="Z23" s="129">
        <v>14</v>
      </c>
      <c r="AA23" s="130"/>
      <c r="AB23" s="131"/>
      <c r="AC23" s="60" t="s">
        <v>93</v>
      </c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9"/>
    </row>
    <row r="24" spans="1:62" s="13" customFormat="1" ht="41.25" customHeight="1">
      <c r="A24" s="125">
        <v>15</v>
      </c>
      <c r="B24" s="125"/>
      <c r="C24" s="125"/>
      <c r="D24" s="126" t="s">
        <v>63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8"/>
      <c r="U24" s="129" t="s">
        <v>50</v>
      </c>
      <c r="V24" s="130"/>
      <c r="W24" s="130"/>
      <c r="X24" s="130"/>
      <c r="Y24" s="131"/>
      <c r="Z24" s="129">
        <v>14</v>
      </c>
      <c r="AA24" s="130"/>
      <c r="AB24" s="131"/>
      <c r="AC24" s="60" t="s">
        <v>92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</row>
    <row r="25" spans="1:62" s="13" customFormat="1" ht="41.25" customHeight="1">
      <c r="A25" s="125">
        <v>16</v>
      </c>
      <c r="B25" s="125"/>
      <c r="C25" s="125"/>
      <c r="D25" s="126" t="s">
        <v>64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129" t="s">
        <v>50</v>
      </c>
      <c r="V25" s="130"/>
      <c r="W25" s="130"/>
      <c r="X25" s="130"/>
      <c r="Y25" s="131"/>
      <c r="Z25" s="129">
        <v>14</v>
      </c>
      <c r="AA25" s="130"/>
      <c r="AB25" s="131"/>
      <c r="AC25" s="60" t="s">
        <v>93</v>
      </c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9"/>
    </row>
    <row r="26" spans="1:62" s="13" customFormat="1" ht="41.25" customHeight="1">
      <c r="A26" s="125">
        <v>17</v>
      </c>
      <c r="B26" s="125"/>
      <c r="C26" s="125"/>
      <c r="D26" s="126" t="s">
        <v>65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8"/>
      <c r="U26" s="129" t="s">
        <v>50</v>
      </c>
      <c r="V26" s="130"/>
      <c r="W26" s="130"/>
      <c r="X26" s="130"/>
      <c r="Y26" s="131"/>
      <c r="Z26" s="129">
        <v>14</v>
      </c>
      <c r="AA26" s="130"/>
      <c r="AB26" s="131"/>
      <c r="AC26" s="60" t="s">
        <v>92</v>
      </c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9"/>
    </row>
    <row r="27" spans="1:62" s="13" customFormat="1" ht="41.25" customHeight="1">
      <c r="A27" s="125">
        <v>18</v>
      </c>
      <c r="B27" s="125"/>
      <c r="C27" s="125"/>
      <c r="D27" s="126" t="s">
        <v>66</v>
      </c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8"/>
      <c r="U27" s="129" t="s">
        <v>50</v>
      </c>
      <c r="V27" s="130"/>
      <c r="W27" s="130"/>
      <c r="X27" s="130"/>
      <c r="Y27" s="131"/>
      <c r="Z27" s="129">
        <v>14</v>
      </c>
      <c r="AA27" s="130"/>
      <c r="AB27" s="131"/>
      <c r="AC27" s="60" t="s">
        <v>93</v>
      </c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9"/>
    </row>
    <row r="28" spans="1:62" s="13" customFormat="1" ht="41.25" customHeight="1">
      <c r="A28" s="125">
        <v>19</v>
      </c>
      <c r="B28" s="125"/>
      <c r="C28" s="125"/>
      <c r="D28" s="126" t="s">
        <v>67</v>
      </c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  <c r="U28" s="129" t="s">
        <v>50</v>
      </c>
      <c r="V28" s="130"/>
      <c r="W28" s="130"/>
      <c r="X28" s="130"/>
      <c r="Y28" s="131"/>
      <c r="Z28" s="129">
        <v>14</v>
      </c>
      <c r="AA28" s="130"/>
      <c r="AB28" s="131"/>
      <c r="AC28" s="60" t="s">
        <v>92</v>
      </c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9"/>
    </row>
    <row r="29" spans="1:62" s="13" customFormat="1" ht="41.25" customHeight="1">
      <c r="A29" s="125">
        <v>20</v>
      </c>
      <c r="B29" s="125"/>
      <c r="C29" s="125"/>
      <c r="D29" s="126" t="s">
        <v>68</v>
      </c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8"/>
      <c r="U29" s="129" t="s">
        <v>50</v>
      </c>
      <c r="V29" s="130"/>
      <c r="W29" s="130"/>
      <c r="X29" s="130"/>
      <c r="Y29" s="131"/>
      <c r="Z29" s="129">
        <v>14</v>
      </c>
      <c r="AA29" s="130"/>
      <c r="AB29" s="131"/>
      <c r="AC29" s="60" t="s">
        <v>93</v>
      </c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9"/>
    </row>
    <row r="30" spans="1:62" s="13" customFormat="1" ht="41.25" customHeight="1">
      <c r="A30" s="125"/>
      <c r="B30" s="125"/>
      <c r="C30" s="125"/>
      <c r="D30" s="126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8"/>
      <c r="U30" s="129"/>
      <c r="V30" s="130"/>
      <c r="W30" s="130"/>
      <c r="X30" s="130"/>
      <c r="Y30" s="131"/>
      <c r="Z30" s="129"/>
      <c r="AA30" s="130"/>
      <c r="AB30" s="131"/>
      <c r="AC30" s="57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2"/>
    </row>
    <row r="31" spans="1:62" s="13" customFormat="1" ht="40.5" customHeight="1">
      <c r="A31" s="125"/>
      <c r="B31" s="125"/>
      <c r="C31" s="125"/>
      <c r="D31" s="126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8"/>
      <c r="U31" s="129"/>
      <c r="V31" s="130"/>
      <c r="W31" s="130"/>
      <c r="X31" s="130"/>
      <c r="Y31" s="131"/>
      <c r="Z31" s="129"/>
      <c r="AA31" s="130"/>
      <c r="AB31" s="131"/>
      <c r="AC31" s="57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</row>
    <row r="32" spans="1:62" s="13" customFormat="1" ht="40.5" customHeight="1">
      <c r="A32" s="144"/>
      <c r="B32" s="144"/>
      <c r="C32" s="144"/>
      <c r="D32" s="1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5"/>
      <c r="T32" s="16"/>
      <c r="U32" s="169"/>
      <c r="V32" s="170"/>
      <c r="W32" s="170"/>
      <c r="X32" s="170"/>
      <c r="Y32" s="171"/>
      <c r="Z32" s="169"/>
      <c r="AA32" s="170"/>
      <c r="AB32" s="171"/>
      <c r="AC32" s="34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6"/>
    </row>
    <row r="33" ht="6.6" customHeight="1"/>
  </sheetData>
  <mergeCells count="124">
    <mergeCell ref="AC11:BJ11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5:C15"/>
    <mergeCell ref="U15:Y15"/>
    <mergeCell ref="Z15:AB15"/>
    <mergeCell ref="D13:T13"/>
    <mergeCell ref="D15:T15"/>
    <mergeCell ref="U13:Y13"/>
    <mergeCell ref="Z13:AB13"/>
    <mergeCell ref="A14:C14"/>
    <mergeCell ref="D14:T14"/>
    <mergeCell ref="U14:Y14"/>
    <mergeCell ref="Z14:AB14"/>
    <mergeCell ref="A10:C10"/>
    <mergeCell ref="D10:T10"/>
    <mergeCell ref="U10:Y10"/>
    <mergeCell ref="Z10:AB10"/>
    <mergeCell ref="AC10:BJ10"/>
    <mergeCell ref="A9:C9"/>
    <mergeCell ref="D9:T9"/>
    <mergeCell ref="U9:Y9"/>
    <mergeCell ref="Z9:AB9"/>
    <mergeCell ref="A13:C13"/>
    <mergeCell ref="A11:C11"/>
    <mergeCell ref="D11:T11"/>
    <mergeCell ref="U11:Y11"/>
    <mergeCell ref="Z11:AB11"/>
    <mergeCell ref="A17:C17"/>
    <mergeCell ref="U17:Y17"/>
    <mergeCell ref="Z17:AB17"/>
    <mergeCell ref="A18:C18"/>
    <mergeCell ref="U18:Y18"/>
    <mergeCell ref="Z18:AB18"/>
    <mergeCell ref="D12:T12"/>
    <mergeCell ref="A12:C12"/>
    <mergeCell ref="U12:Y12"/>
    <mergeCell ref="Z12:AB12"/>
    <mergeCell ref="D16:T16"/>
    <mergeCell ref="D17:T17"/>
    <mergeCell ref="D18:T18"/>
    <mergeCell ref="A16:C16"/>
    <mergeCell ref="U16:Y16"/>
    <mergeCell ref="Z16:AB16"/>
    <mergeCell ref="A27:C27"/>
    <mergeCell ref="U27:Y27"/>
    <mergeCell ref="Z27:AB27"/>
    <mergeCell ref="A28:C28"/>
    <mergeCell ref="U28:Y28"/>
    <mergeCell ref="Z28:AB28"/>
    <mergeCell ref="A25:C25"/>
    <mergeCell ref="U25:Y25"/>
    <mergeCell ref="Z25:AB25"/>
    <mergeCell ref="A26:C26"/>
    <mergeCell ref="U26:Y26"/>
    <mergeCell ref="Z26:AB26"/>
    <mergeCell ref="D25:T25"/>
    <mergeCell ref="D26:T26"/>
    <mergeCell ref="D27:T27"/>
    <mergeCell ref="D28:T28"/>
    <mergeCell ref="A23:C23"/>
    <mergeCell ref="U23:Y23"/>
    <mergeCell ref="Z23:AB23"/>
    <mergeCell ref="A24:C24"/>
    <mergeCell ref="A19:C19"/>
    <mergeCell ref="U19:Y19"/>
    <mergeCell ref="Z19:AB19"/>
    <mergeCell ref="A20:C20"/>
    <mergeCell ref="U20:Y20"/>
    <mergeCell ref="Z20:AB20"/>
    <mergeCell ref="D24:T24"/>
    <mergeCell ref="U24:Y24"/>
    <mergeCell ref="Z24:AB24"/>
    <mergeCell ref="A21:C21"/>
    <mergeCell ref="U21:Y21"/>
    <mergeCell ref="Z21:AB21"/>
    <mergeCell ref="A22:C22"/>
    <mergeCell ref="U22:Y22"/>
    <mergeCell ref="Z22:AB22"/>
    <mergeCell ref="D19:T19"/>
    <mergeCell ref="D20:T20"/>
    <mergeCell ref="D21:T21"/>
    <mergeCell ref="D22:T22"/>
    <mergeCell ref="D23:T23"/>
    <mergeCell ref="A32:C32"/>
    <mergeCell ref="U32:Y32"/>
    <mergeCell ref="Z32:AB32"/>
    <mergeCell ref="A31:C31"/>
    <mergeCell ref="U31:Y31"/>
    <mergeCell ref="Z31:AB31"/>
    <mergeCell ref="A29:C29"/>
    <mergeCell ref="U29:Y29"/>
    <mergeCell ref="Z29:AB29"/>
    <mergeCell ref="D29:T29"/>
    <mergeCell ref="D31:T31"/>
    <mergeCell ref="D30:T30"/>
    <mergeCell ref="A30:C30"/>
    <mergeCell ref="U30:Y30"/>
    <mergeCell ref="Z30:AB30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59055118110236227" right="0.19685039370078741" top="0.39370078740157483" bottom="0.39370078740157483" header="0.55118110236220474" footer="0.19685039370078741"/>
  <pageSetup paperSize="9" scale="74" fitToHeight="0" orientation="portrait" r:id="rId1"/>
  <headerFooter>
    <oddHeader xml:space="preserve">&amp;R&amp;P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513C-A669-4D43-8027-68D2BAF83264}">
  <sheetPr codeName="Sheet4">
    <pageSetUpPr fitToPage="1"/>
  </sheetPr>
  <dimension ref="A1:U53"/>
  <sheetViews>
    <sheetView view="pageBreakPreview" zoomScaleNormal="85" zoomScaleSheetLayoutView="100" workbookViewId="0"/>
  </sheetViews>
  <sheetFormatPr defaultRowHeight="13.2"/>
  <cols>
    <col min="1" max="1" width="9.21875" customWidth="1"/>
    <col min="2" max="2" width="14.6640625" customWidth="1"/>
    <col min="3" max="3" width="8.88671875" customWidth="1"/>
    <col min="5" max="5" width="11.6640625" bestFit="1" customWidth="1"/>
    <col min="6" max="6" width="9.44140625" bestFit="1" customWidth="1"/>
    <col min="7" max="7" width="13.88671875" bestFit="1" customWidth="1"/>
    <col min="8" max="8" width="28.109375" customWidth="1"/>
    <col min="9" max="9" width="18.33203125" bestFit="1" customWidth="1"/>
    <col min="10" max="10" width="18.21875" customWidth="1"/>
    <col min="11" max="11" width="9.44140625" customWidth="1"/>
    <col min="12" max="12" width="13.88671875" customWidth="1"/>
    <col min="13" max="20" width="14.6640625" customWidth="1"/>
  </cols>
  <sheetData>
    <row r="1" spans="1:21" ht="39" customHeight="1">
      <c r="A1" s="63" t="s">
        <v>161</v>
      </c>
      <c r="B1" s="64" t="s">
        <v>160</v>
      </c>
      <c r="C1" s="64" t="s">
        <v>114</v>
      </c>
      <c r="D1" s="65" t="s">
        <v>103</v>
      </c>
      <c r="E1" s="65" t="s">
        <v>53</v>
      </c>
      <c r="F1" s="65" t="s">
        <v>54</v>
      </c>
      <c r="G1" s="65" t="s">
        <v>55</v>
      </c>
      <c r="H1" s="65" t="s">
        <v>56</v>
      </c>
      <c r="I1" s="66" t="s">
        <v>164</v>
      </c>
      <c r="J1" s="66" t="s">
        <v>165</v>
      </c>
      <c r="K1" s="66" t="s">
        <v>126</v>
      </c>
      <c r="L1" s="66" t="s">
        <v>127</v>
      </c>
      <c r="M1" s="67" t="s">
        <v>117</v>
      </c>
      <c r="N1" s="67" t="s">
        <v>118</v>
      </c>
      <c r="O1" s="67" t="s">
        <v>119</v>
      </c>
      <c r="P1" s="67" t="s">
        <v>120</v>
      </c>
      <c r="Q1" s="67" t="s">
        <v>121</v>
      </c>
      <c r="R1" s="67" t="s">
        <v>122</v>
      </c>
      <c r="S1" s="67" t="s">
        <v>123</v>
      </c>
      <c r="T1" s="67" t="s">
        <v>124</v>
      </c>
    </row>
    <row r="2" spans="1:21" ht="15.75" customHeight="1">
      <c r="A2" s="68" t="s">
        <v>80</v>
      </c>
      <c r="B2" s="68" t="s">
        <v>137</v>
      </c>
      <c r="C2" s="68" t="s">
        <v>116</v>
      </c>
      <c r="D2" s="69">
        <v>2025</v>
      </c>
      <c r="E2" s="68" t="s">
        <v>80</v>
      </c>
      <c r="F2" s="70" t="s">
        <v>70</v>
      </c>
      <c r="G2" s="71"/>
      <c r="H2" s="70"/>
      <c r="I2" s="71"/>
      <c r="J2" s="71"/>
      <c r="K2" s="71"/>
      <c r="L2" s="71"/>
      <c r="M2" s="71">
        <f t="shared" ref="M2:R2" si="0">M7+M6+M5+M4</f>
        <v>5482500</v>
      </c>
      <c r="N2" s="71">
        <f t="shared" si="0"/>
        <v>548250</v>
      </c>
      <c r="O2" s="71">
        <f t="shared" si="0"/>
        <v>4390000</v>
      </c>
      <c r="P2" s="71">
        <f t="shared" si="0"/>
        <v>439000</v>
      </c>
      <c r="Q2" s="71">
        <f t="shared" si="0"/>
        <v>0</v>
      </c>
      <c r="R2" s="71">
        <f t="shared" si="0"/>
        <v>0</v>
      </c>
      <c r="S2" s="71">
        <f>M2+O2</f>
        <v>9872500</v>
      </c>
      <c r="T2" s="71">
        <f>N2+P2</f>
        <v>987250</v>
      </c>
      <c r="U2" s="39"/>
    </row>
    <row r="3" spans="1:21" ht="15.75" customHeight="1">
      <c r="A3" s="72" t="s">
        <v>80</v>
      </c>
      <c r="B3" s="72" t="s">
        <v>137</v>
      </c>
      <c r="C3" s="72" t="s">
        <v>116</v>
      </c>
      <c r="D3" s="73">
        <v>2025</v>
      </c>
      <c r="E3" s="72" t="s">
        <v>125</v>
      </c>
      <c r="F3" s="74" t="s">
        <v>106</v>
      </c>
      <c r="G3" s="75"/>
      <c r="H3" s="74"/>
      <c r="I3" s="75"/>
      <c r="J3" s="75"/>
      <c r="K3" s="75"/>
      <c r="L3" s="75"/>
      <c r="M3" s="75">
        <f>SUM(M16:M17)</f>
        <v>750000</v>
      </c>
      <c r="N3" s="75">
        <f t="shared" ref="N3:R3" si="1">SUM(N16:N17)</f>
        <v>75000</v>
      </c>
      <c r="O3" s="75">
        <f t="shared" si="1"/>
        <v>0</v>
      </c>
      <c r="P3" s="75">
        <f t="shared" si="1"/>
        <v>0</v>
      </c>
      <c r="Q3" s="75">
        <f t="shared" si="1"/>
        <v>0</v>
      </c>
      <c r="R3" s="75">
        <f t="shared" si="1"/>
        <v>0</v>
      </c>
      <c r="S3" s="76">
        <f>M3+O3</f>
        <v>750000</v>
      </c>
      <c r="T3" s="76">
        <f>N3+P3</f>
        <v>75000</v>
      </c>
      <c r="U3" s="39"/>
    </row>
    <row r="4" spans="1:21" ht="15.75" customHeight="1">
      <c r="A4" s="77" t="s">
        <v>136</v>
      </c>
      <c r="B4" s="78" t="s">
        <v>139</v>
      </c>
      <c r="C4" s="77" t="s">
        <v>116</v>
      </c>
      <c r="D4" s="79">
        <v>2025</v>
      </c>
      <c r="E4" s="77"/>
      <c r="F4" s="78"/>
      <c r="G4" s="80" t="s">
        <v>140</v>
      </c>
      <c r="H4" s="78" t="s">
        <v>141</v>
      </c>
      <c r="I4" s="81"/>
      <c r="J4" s="81"/>
      <c r="K4" s="81"/>
      <c r="L4" s="81"/>
      <c r="M4" s="81">
        <f>SUM(M13:M17)</f>
        <v>1650000</v>
      </c>
      <c r="N4" s="81">
        <f t="shared" ref="N4:R4" si="2">SUM(N13:N17)</f>
        <v>165000</v>
      </c>
      <c r="O4" s="81">
        <f t="shared" si="2"/>
        <v>0</v>
      </c>
      <c r="P4" s="81">
        <f t="shared" si="2"/>
        <v>0</v>
      </c>
      <c r="Q4" s="81">
        <f t="shared" si="2"/>
        <v>0</v>
      </c>
      <c r="R4" s="81">
        <f t="shared" si="2"/>
        <v>0</v>
      </c>
      <c r="S4" s="81">
        <f t="shared" ref="S4:T40" si="3">M4+O4</f>
        <v>1650000</v>
      </c>
      <c r="T4" s="81">
        <f t="shared" si="3"/>
        <v>165000</v>
      </c>
      <c r="U4" s="39"/>
    </row>
    <row r="5" spans="1:21" ht="15.75" customHeight="1">
      <c r="A5" s="72" t="s">
        <v>136</v>
      </c>
      <c r="B5" s="74" t="s">
        <v>139</v>
      </c>
      <c r="C5" s="72" t="s">
        <v>116</v>
      </c>
      <c r="D5" s="73">
        <v>2025</v>
      </c>
      <c r="E5" s="72"/>
      <c r="F5" s="74"/>
      <c r="G5" s="82" t="s">
        <v>142</v>
      </c>
      <c r="H5" s="74" t="s">
        <v>143</v>
      </c>
      <c r="I5" s="72"/>
      <c r="J5" s="74"/>
      <c r="K5" s="75"/>
      <c r="L5" s="75"/>
      <c r="M5" s="74">
        <f>SUM(M18:M20)</f>
        <v>3402500</v>
      </c>
      <c r="N5" s="74">
        <f t="shared" ref="N5:R5" si="4">SUM(N18:N20)</f>
        <v>340250</v>
      </c>
      <c r="O5" s="74">
        <f t="shared" si="4"/>
        <v>0</v>
      </c>
      <c r="P5" s="74">
        <f t="shared" si="4"/>
        <v>0</v>
      </c>
      <c r="Q5" s="74">
        <f t="shared" si="4"/>
        <v>0</v>
      </c>
      <c r="R5" s="74">
        <f t="shared" si="4"/>
        <v>0</v>
      </c>
      <c r="S5" s="75">
        <f t="shared" si="3"/>
        <v>3402500</v>
      </c>
      <c r="T5" s="75">
        <f t="shared" si="3"/>
        <v>340250</v>
      </c>
      <c r="U5" s="39"/>
    </row>
    <row r="6" spans="1:21" ht="15.75" customHeight="1">
      <c r="A6" s="77" t="s">
        <v>136</v>
      </c>
      <c r="B6" s="78" t="s">
        <v>139</v>
      </c>
      <c r="C6" s="77" t="s">
        <v>116</v>
      </c>
      <c r="D6" s="79">
        <v>2025</v>
      </c>
      <c r="E6" s="77"/>
      <c r="F6" s="78"/>
      <c r="G6" s="80" t="s">
        <v>144</v>
      </c>
      <c r="H6" s="78" t="s">
        <v>145</v>
      </c>
      <c r="I6" s="78"/>
      <c r="J6" s="78"/>
      <c r="K6" s="78"/>
      <c r="L6" s="78"/>
      <c r="M6" s="78">
        <f>SUM(M21:M26)</f>
        <v>45000</v>
      </c>
      <c r="N6" s="78">
        <f t="shared" ref="N6:R6" si="5">SUM(N21:N26)</f>
        <v>4500</v>
      </c>
      <c r="O6" s="78">
        <f t="shared" si="5"/>
        <v>0</v>
      </c>
      <c r="P6" s="78">
        <f t="shared" si="5"/>
        <v>0</v>
      </c>
      <c r="Q6" s="78">
        <f t="shared" si="5"/>
        <v>0</v>
      </c>
      <c r="R6" s="78">
        <f t="shared" si="5"/>
        <v>0</v>
      </c>
      <c r="S6" s="81">
        <f t="shared" si="3"/>
        <v>45000</v>
      </c>
      <c r="T6" s="81">
        <f t="shared" si="3"/>
        <v>4500</v>
      </c>
      <c r="U6" s="39"/>
    </row>
    <row r="7" spans="1:21" ht="15.75" customHeight="1">
      <c r="A7" s="72" t="s">
        <v>136</v>
      </c>
      <c r="B7" s="74" t="s">
        <v>139</v>
      </c>
      <c r="C7" s="72" t="s">
        <v>116</v>
      </c>
      <c r="D7" s="73">
        <v>2025</v>
      </c>
      <c r="E7" s="72"/>
      <c r="F7" s="74"/>
      <c r="G7" s="83" t="s">
        <v>146</v>
      </c>
      <c r="H7" s="74" t="s">
        <v>147</v>
      </c>
      <c r="I7" s="74"/>
      <c r="J7" s="74"/>
      <c r="K7" s="74"/>
      <c r="L7" s="74"/>
      <c r="M7" s="74">
        <f>M27+M28+M29+M30+M31+M32+M33+M34+M35+M36+M37+M38+M39+M40</f>
        <v>385000</v>
      </c>
      <c r="N7" s="74">
        <f t="shared" ref="N7:R7" si="6">N27+N28+N29+N30+N31+N32+N33+N34+N35+N36+N37+N38+N39+N40</f>
        <v>38500</v>
      </c>
      <c r="O7" s="74">
        <f t="shared" si="6"/>
        <v>4390000</v>
      </c>
      <c r="P7" s="74">
        <f t="shared" si="6"/>
        <v>439000</v>
      </c>
      <c r="Q7" s="74">
        <f t="shared" si="6"/>
        <v>0</v>
      </c>
      <c r="R7" s="74">
        <f t="shared" si="6"/>
        <v>0</v>
      </c>
      <c r="S7" s="75">
        <f t="shared" si="3"/>
        <v>4775000</v>
      </c>
      <c r="T7" s="75">
        <f t="shared" si="3"/>
        <v>477500</v>
      </c>
      <c r="U7" s="39"/>
    </row>
    <row r="8" spans="1:21" ht="15.75" customHeight="1">
      <c r="A8" s="77" t="s">
        <v>138</v>
      </c>
      <c r="B8" s="78" t="s">
        <v>148</v>
      </c>
      <c r="C8" s="77" t="s">
        <v>116</v>
      </c>
      <c r="D8" s="79">
        <v>2025</v>
      </c>
      <c r="E8" s="77" t="s">
        <v>80</v>
      </c>
      <c r="F8" s="78" t="s">
        <v>70</v>
      </c>
      <c r="G8" s="80" t="s">
        <v>140</v>
      </c>
      <c r="H8" s="78" t="s">
        <v>141</v>
      </c>
      <c r="I8" s="77"/>
      <c r="J8" s="78"/>
      <c r="K8" s="81"/>
      <c r="L8" s="81"/>
      <c r="M8" s="78">
        <f>+M13+M14+M15</f>
        <v>900000</v>
      </c>
      <c r="N8" s="78">
        <f t="shared" ref="N8:R8" si="7">+N13+N14+N15</f>
        <v>90000</v>
      </c>
      <c r="O8" s="78">
        <f t="shared" si="7"/>
        <v>0</v>
      </c>
      <c r="P8" s="78">
        <f t="shared" si="7"/>
        <v>0</v>
      </c>
      <c r="Q8" s="78">
        <f t="shared" si="7"/>
        <v>0</v>
      </c>
      <c r="R8" s="78">
        <f t="shared" si="7"/>
        <v>0</v>
      </c>
      <c r="S8" s="81">
        <f t="shared" si="3"/>
        <v>900000</v>
      </c>
      <c r="T8" s="81">
        <f t="shared" si="3"/>
        <v>90000</v>
      </c>
      <c r="U8" s="39"/>
    </row>
    <row r="9" spans="1:21" ht="15.75" customHeight="1">
      <c r="A9" s="72" t="s">
        <v>138</v>
      </c>
      <c r="B9" s="74" t="s">
        <v>148</v>
      </c>
      <c r="C9" s="72" t="s">
        <v>116</v>
      </c>
      <c r="D9" s="73">
        <v>2025</v>
      </c>
      <c r="E9" s="72" t="s">
        <v>125</v>
      </c>
      <c r="F9" s="74" t="s">
        <v>106</v>
      </c>
      <c r="G9" s="82" t="s">
        <v>140</v>
      </c>
      <c r="H9" s="74" t="s">
        <v>141</v>
      </c>
      <c r="I9" s="72"/>
      <c r="J9" s="74"/>
      <c r="K9" s="75"/>
      <c r="L9" s="75"/>
      <c r="M9" s="75">
        <f>M16+M17</f>
        <v>750000</v>
      </c>
      <c r="N9" s="75">
        <f t="shared" ref="N9:R9" si="8">N16+N17</f>
        <v>75000</v>
      </c>
      <c r="O9" s="75">
        <f t="shared" si="8"/>
        <v>0</v>
      </c>
      <c r="P9" s="75">
        <f t="shared" si="8"/>
        <v>0</v>
      </c>
      <c r="Q9" s="75">
        <f t="shared" si="8"/>
        <v>0</v>
      </c>
      <c r="R9" s="75">
        <f t="shared" si="8"/>
        <v>0</v>
      </c>
      <c r="S9" s="75">
        <f t="shared" si="3"/>
        <v>750000</v>
      </c>
      <c r="T9" s="75">
        <f t="shared" si="3"/>
        <v>75000</v>
      </c>
      <c r="U9" s="39"/>
    </row>
    <row r="10" spans="1:21" ht="15.75" customHeight="1">
      <c r="A10" s="77" t="s">
        <v>138</v>
      </c>
      <c r="B10" s="78" t="s">
        <v>148</v>
      </c>
      <c r="C10" s="77" t="s">
        <v>116</v>
      </c>
      <c r="D10" s="79">
        <v>2025</v>
      </c>
      <c r="E10" s="77" t="s">
        <v>80</v>
      </c>
      <c r="F10" s="78" t="s">
        <v>70</v>
      </c>
      <c r="G10" s="84" t="s">
        <v>146</v>
      </c>
      <c r="H10" s="78" t="s">
        <v>143</v>
      </c>
      <c r="I10" s="78"/>
      <c r="J10" s="78"/>
      <c r="K10" s="78"/>
      <c r="L10" s="78"/>
      <c r="M10" s="78">
        <f>SUM(M18:M20)</f>
        <v>3402500</v>
      </c>
      <c r="N10" s="78">
        <f t="shared" ref="N10:R10" si="9">SUM(N18:N20)</f>
        <v>340250</v>
      </c>
      <c r="O10" s="78">
        <f t="shared" si="9"/>
        <v>0</v>
      </c>
      <c r="P10" s="78">
        <f t="shared" si="9"/>
        <v>0</v>
      </c>
      <c r="Q10" s="78">
        <f t="shared" si="9"/>
        <v>0</v>
      </c>
      <c r="R10" s="78">
        <f t="shared" si="9"/>
        <v>0</v>
      </c>
      <c r="S10" s="81">
        <f t="shared" si="3"/>
        <v>3402500</v>
      </c>
      <c r="T10" s="81">
        <f t="shared" si="3"/>
        <v>340250</v>
      </c>
      <c r="U10" s="39"/>
    </row>
    <row r="11" spans="1:21" ht="15.75" customHeight="1">
      <c r="A11" s="72" t="s">
        <v>138</v>
      </c>
      <c r="B11" s="74" t="s">
        <v>148</v>
      </c>
      <c r="C11" s="72" t="s">
        <v>116</v>
      </c>
      <c r="D11" s="73">
        <v>2025</v>
      </c>
      <c r="E11" s="72" t="s">
        <v>80</v>
      </c>
      <c r="F11" s="74" t="s">
        <v>70</v>
      </c>
      <c r="G11" s="83" t="s">
        <v>146</v>
      </c>
      <c r="H11" s="74" t="s">
        <v>145</v>
      </c>
      <c r="I11" s="74"/>
      <c r="J11" s="74"/>
      <c r="K11" s="74"/>
      <c r="L11" s="74"/>
      <c r="M11" s="74">
        <f>SUM(M21:M26)</f>
        <v>45000</v>
      </c>
      <c r="N11" s="74">
        <f t="shared" ref="N11:R11" si="10">SUM(N21:N26)</f>
        <v>4500</v>
      </c>
      <c r="O11" s="74">
        <f t="shared" si="10"/>
        <v>0</v>
      </c>
      <c r="P11" s="74">
        <f t="shared" si="10"/>
        <v>0</v>
      </c>
      <c r="Q11" s="74">
        <f t="shared" si="10"/>
        <v>0</v>
      </c>
      <c r="R11" s="74">
        <f t="shared" si="10"/>
        <v>0</v>
      </c>
      <c r="S11" s="75">
        <f t="shared" si="3"/>
        <v>45000</v>
      </c>
      <c r="T11" s="75">
        <f t="shared" si="3"/>
        <v>4500</v>
      </c>
      <c r="U11" s="39"/>
    </row>
    <row r="12" spans="1:21" ht="15.75" customHeight="1">
      <c r="A12" s="77" t="s">
        <v>138</v>
      </c>
      <c r="B12" s="78" t="s">
        <v>148</v>
      </c>
      <c r="C12" s="77" t="s">
        <v>116</v>
      </c>
      <c r="D12" s="79">
        <v>2025</v>
      </c>
      <c r="E12" s="77" t="s">
        <v>80</v>
      </c>
      <c r="F12" s="78" t="s">
        <v>70</v>
      </c>
      <c r="G12" s="84" t="s">
        <v>146</v>
      </c>
      <c r="H12" s="78" t="s">
        <v>147</v>
      </c>
      <c r="I12" s="78"/>
      <c r="J12" s="78"/>
      <c r="K12" s="78"/>
      <c r="L12" s="78"/>
      <c r="M12" s="78">
        <f>M27+M28+M29+M30+M31+M32+M33+M34+M35+M36+M37+M38+M39+M40</f>
        <v>385000</v>
      </c>
      <c r="N12" s="78">
        <f t="shared" ref="N12:R12" si="11">N27+N28+N29+N30+N31+N32+N33+N34+N35+N36+N37+N38+N39+N40</f>
        <v>38500</v>
      </c>
      <c r="O12" s="78">
        <f t="shared" si="11"/>
        <v>4390000</v>
      </c>
      <c r="P12" s="78">
        <f t="shared" si="11"/>
        <v>439000</v>
      </c>
      <c r="Q12" s="78">
        <f t="shared" si="11"/>
        <v>0</v>
      </c>
      <c r="R12" s="78">
        <f t="shared" si="11"/>
        <v>0</v>
      </c>
      <c r="S12" s="81">
        <f t="shared" si="3"/>
        <v>4775000</v>
      </c>
      <c r="T12" s="81">
        <f t="shared" si="3"/>
        <v>477500</v>
      </c>
      <c r="U12" s="39"/>
    </row>
    <row r="13" spans="1:21" ht="15.75" customHeight="1">
      <c r="A13" s="42" t="s">
        <v>130</v>
      </c>
      <c r="B13" s="42" t="s">
        <v>174</v>
      </c>
      <c r="C13" s="42" t="s">
        <v>116</v>
      </c>
      <c r="D13" s="44">
        <v>2025</v>
      </c>
      <c r="E13" s="42" t="s">
        <v>80</v>
      </c>
      <c r="F13" s="43" t="s">
        <v>70</v>
      </c>
      <c r="G13" s="46" t="s">
        <v>154</v>
      </c>
      <c r="H13" s="43" t="s">
        <v>94</v>
      </c>
      <c r="I13" s="42" t="s">
        <v>81</v>
      </c>
      <c r="J13" s="43" t="s">
        <v>71</v>
      </c>
      <c r="K13" s="45">
        <v>1</v>
      </c>
      <c r="L13" s="45" t="s">
        <v>89</v>
      </c>
      <c r="M13" s="43">
        <v>150000</v>
      </c>
      <c r="N13" s="43">
        <f>M13*0.1</f>
        <v>15000</v>
      </c>
      <c r="O13" s="43">
        <v>0</v>
      </c>
      <c r="P13" s="43">
        <f>O13*0.1</f>
        <v>0</v>
      </c>
      <c r="Q13" s="43">
        <v>0</v>
      </c>
      <c r="R13" s="43">
        <v>0</v>
      </c>
      <c r="S13" s="45">
        <f t="shared" si="3"/>
        <v>150000</v>
      </c>
      <c r="T13" s="45">
        <f t="shared" si="3"/>
        <v>15000</v>
      </c>
    </row>
    <row r="14" spans="1:21" ht="15.75" customHeight="1">
      <c r="A14" s="47" t="s">
        <v>130</v>
      </c>
      <c r="B14" s="47" t="s">
        <v>175</v>
      </c>
      <c r="C14" s="47" t="s">
        <v>116</v>
      </c>
      <c r="D14" s="49">
        <v>2025</v>
      </c>
      <c r="E14" s="47" t="s">
        <v>80</v>
      </c>
      <c r="F14" s="48" t="s">
        <v>70</v>
      </c>
      <c r="G14" s="85" t="s">
        <v>154</v>
      </c>
      <c r="H14" s="48" t="s">
        <v>94</v>
      </c>
      <c r="I14" s="47" t="s">
        <v>82</v>
      </c>
      <c r="J14" s="48" t="s">
        <v>72</v>
      </c>
      <c r="K14" s="50">
        <v>1</v>
      </c>
      <c r="L14" s="50" t="s">
        <v>89</v>
      </c>
      <c r="M14" s="48">
        <v>250000</v>
      </c>
      <c r="N14" s="48">
        <f t="shared" ref="N14:N40" si="12">M14*0.1</f>
        <v>25000</v>
      </c>
      <c r="O14" s="48">
        <v>0</v>
      </c>
      <c r="P14" s="48">
        <f t="shared" ref="P14:P40" si="13">O14*0.1</f>
        <v>0</v>
      </c>
      <c r="Q14" s="48">
        <v>0</v>
      </c>
      <c r="R14" s="48">
        <v>0</v>
      </c>
      <c r="S14" s="50">
        <f t="shared" si="3"/>
        <v>250000</v>
      </c>
      <c r="T14" s="50">
        <f t="shared" si="3"/>
        <v>25000</v>
      </c>
    </row>
    <row r="15" spans="1:21" ht="15.75" customHeight="1">
      <c r="A15" s="42" t="s">
        <v>129</v>
      </c>
      <c r="B15" s="42" t="s">
        <v>174</v>
      </c>
      <c r="C15" s="42" t="s">
        <v>116</v>
      </c>
      <c r="D15" s="44">
        <v>2025</v>
      </c>
      <c r="E15" s="42" t="s">
        <v>80</v>
      </c>
      <c r="F15" s="43" t="s">
        <v>70</v>
      </c>
      <c r="G15" s="46" t="s">
        <v>149</v>
      </c>
      <c r="H15" s="43" t="s">
        <v>94</v>
      </c>
      <c r="I15" s="42" t="s">
        <v>83</v>
      </c>
      <c r="J15" s="43" t="s">
        <v>73</v>
      </c>
      <c r="K15" s="45">
        <v>1</v>
      </c>
      <c r="L15" s="45" t="s">
        <v>89</v>
      </c>
      <c r="M15" s="43">
        <v>500000</v>
      </c>
      <c r="N15" s="43">
        <f t="shared" si="12"/>
        <v>50000</v>
      </c>
      <c r="O15" s="43">
        <v>0</v>
      </c>
      <c r="P15" s="43">
        <f t="shared" si="13"/>
        <v>0</v>
      </c>
      <c r="Q15" s="43">
        <v>0</v>
      </c>
      <c r="R15" s="43">
        <v>0</v>
      </c>
      <c r="S15" s="45">
        <f t="shared" si="3"/>
        <v>500000</v>
      </c>
      <c r="T15" s="45">
        <f t="shared" si="3"/>
        <v>50000</v>
      </c>
    </row>
    <row r="16" spans="1:21" ht="15.75" customHeight="1">
      <c r="A16" s="47" t="s">
        <v>130</v>
      </c>
      <c r="B16" s="47" t="s">
        <v>175</v>
      </c>
      <c r="C16" s="47" t="s">
        <v>116</v>
      </c>
      <c r="D16" s="49">
        <v>2025</v>
      </c>
      <c r="E16" s="47" t="s">
        <v>125</v>
      </c>
      <c r="F16" s="48" t="s">
        <v>131</v>
      </c>
      <c r="G16" s="85" t="s">
        <v>149</v>
      </c>
      <c r="H16" s="48" t="s">
        <v>94</v>
      </c>
      <c r="I16" s="47" t="s">
        <v>134</v>
      </c>
      <c r="J16" s="48" t="s">
        <v>132</v>
      </c>
      <c r="K16" s="50">
        <v>1</v>
      </c>
      <c r="L16" s="50" t="s">
        <v>89</v>
      </c>
      <c r="M16" s="48">
        <v>250000</v>
      </c>
      <c r="N16" s="48">
        <f t="shared" si="12"/>
        <v>25000</v>
      </c>
      <c r="O16" s="48">
        <v>0</v>
      </c>
      <c r="P16" s="48">
        <f t="shared" si="13"/>
        <v>0</v>
      </c>
      <c r="Q16" s="48">
        <v>0</v>
      </c>
      <c r="R16" s="48">
        <v>0</v>
      </c>
      <c r="S16" s="50">
        <f t="shared" si="3"/>
        <v>250000</v>
      </c>
      <c r="T16" s="50">
        <f t="shared" si="3"/>
        <v>25000</v>
      </c>
    </row>
    <row r="17" spans="1:20" ht="15.75" customHeight="1">
      <c r="A17" s="42" t="s">
        <v>129</v>
      </c>
      <c r="B17" s="42" t="s">
        <v>174</v>
      </c>
      <c r="C17" s="42" t="s">
        <v>116</v>
      </c>
      <c r="D17" s="44">
        <v>2025</v>
      </c>
      <c r="E17" s="47" t="s">
        <v>125</v>
      </c>
      <c r="F17" s="43" t="s">
        <v>131</v>
      </c>
      <c r="G17" s="46" t="s">
        <v>149</v>
      </c>
      <c r="H17" s="43" t="s">
        <v>94</v>
      </c>
      <c r="I17" s="42" t="s">
        <v>135</v>
      </c>
      <c r="J17" s="43" t="s">
        <v>133</v>
      </c>
      <c r="K17" s="45">
        <v>1</v>
      </c>
      <c r="L17" s="45" t="s">
        <v>89</v>
      </c>
      <c r="M17" s="43">
        <v>500000</v>
      </c>
      <c r="N17" s="43">
        <f t="shared" si="12"/>
        <v>50000</v>
      </c>
      <c r="O17" s="43">
        <v>0</v>
      </c>
      <c r="P17" s="43">
        <f t="shared" si="13"/>
        <v>0</v>
      </c>
      <c r="Q17" s="43">
        <v>0</v>
      </c>
      <c r="R17" s="43">
        <v>0</v>
      </c>
      <c r="S17" s="45">
        <f t="shared" si="3"/>
        <v>500000</v>
      </c>
      <c r="T17" s="45">
        <f t="shared" si="3"/>
        <v>50000</v>
      </c>
    </row>
    <row r="18" spans="1:20" ht="15.75" customHeight="1">
      <c r="A18" s="47" t="s">
        <v>129</v>
      </c>
      <c r="B18" s="47" t="s">
        <v>175</v>
      </c>
      <c r="C18" s="47" t="s">
        <v>116</v>
      </c>
      <c r="D18" s="49">
        <v>2025</v>
      </c>
      <c r="E18" s="47" t="s">
        <v>80</v>
      </c>
      <c r="F18" s="48" t="s">
        <v>70</v>
      </c>
      <c r="G18" s="51" t="s">
        <v>155</v>
      </c>
      <c r="H18" s="48" t="s">
        <v>97</v>
      </c>
      <c r="I18" s="47" t="s">
        <v>81</v>
      </c>
      <c r="J18" s="48" t="s">
        <v>71</v>
      </c>
      <c r="K18" s="50">
        <v>1</v>
      </c>
      <c r="L18" s="50" t="s">
        <v>89</v>
      </c>
      <c r="M18" s="48">
        <v>2500</v>
      </c>
      <c r="N18" s="48">
        <f t="shared" si="12"/>
        <v>250</v>
      </c>
      <c r="O18" s="48">
        <v>0</v>
      </c>
      <c r="P18" s="48">
        <f t="shared" si="13"/>
        <v>0</v>
      </c>
      <c r="Q18" s="48">
        <v>0</v>
      </c>
      <c r="R18" s="48">
        <f t="shared" ref="R18:R40" si="14">Q18*0.1</f>
        <v>0</v>
      </c>
      <c r="S18" s="50">
        <f t="shared" si="3"/>
        <v>2500</v>
      </c>
      <c r="T18" s="50">
        <f t="shared" si="3"/>
        <v>250</v>
      </c>
    </row>
    <row r="19" spans="1:20" ht="15.75" customHeight="1">
      <c r="A19" s="42" t="s">
        <v>129</v>
      </c>
      <c r="B19" s="42" t="s">
        <v>174</v>
      </c>
      <c r="C19" s="42" t="s">
        <v>116</v>
      </c>
      <c r="D19" s="44">
        <v>2025</v>
      </c>
      <c r="E19" s="42" t="s">
        <v>80</v>
      </c>
      <c r="F19" s="43" t="s">
        <v>70</v>
      </c>
      <c r="G19" s="46" t="s">
        <v>150</v>
      </c>
      <c r="H19" s="43" t="s">
        <v>97</v>
      </c>
      <c r="I19" s="42" t="s">
        <v>82</v>
      </c>
      <c r="J19" s="43" t="s">
        <v>72</v>
      </c>
      <c r="K19" s="45">
        <v>1</v>
      </c>
      <c r="L19" s="45" t="s">
        <v>89</v>
      </c>
      <c r="M19" s="43">
        <v>600000</v>
      </c>
      <c r="N19" s="43">
        <f t="shared" si="12"/>
        <v>60000</v>
      </c>
      <c r="O19" s="43">
        <v>0</v>
      </c>
      <c r="P19" s="43">
        <f t="shared" si="13"/>
        <v>0</v>
      </c>
      <c r="Q19" s="43">
        <v>0</v>
      </c>
      <c r="R19" s="43">
        <f t="shared" si="14"/>
        <v>0</v>
      </c>
      <c r="S19" s="45">
        <f t="shared" si="3"/>
        <v>600000</v>
      </c>
      <c r="T19" s="45">
        <f t="shared" si="3"/>
        <v>60000</v>
      </c>
    </row>
    <row r="20" spans="1:20" ht="15.75" customHeight="1">
      <c r="A20" s="47" t="s">
        <v>129</v>
      </c>
      <c r="B20" s="47" t="s">
        <v>175</v>
      </c>
      <c r="C20" s="47" t="s">
        <v>116</v>
      </c>
      <c r="D20" s="49">
        <v>2025</v>
      </c>
      <c r="E20" s="47" t="s">
        <v>80</v>
      </c>
      <c r="F20" s="48" t="s">
        <v>70</v>
      </c>
      <c r="G20" s="51" t="s">
        <v>150</v>
      </c>
      <c r="H20" s="48" t="s">
        <v>97</v>
      </c>
      <c r="I20" s="47" t="s">
        <v>83</v>
      </c>
      <c r="J20" s="48" t="s">
        <v>73</v>
      </c>
      <c r="K20" s="50">
        <v>1</v>
      </c>
      <c r="L20" s="50" t="s">
        <v>89</v>
      </c>
      <c r="M20" s="48">
        <v>2800000</v>
      </c>
      <c r="N20" s="48">
        <f t="shared" si="12"/>
        <v>280000</v>
      </c>
      <c r="O20" s="48">
        <v>0</v>
      </c>
      <c r="P20" s="48">
        <f t="shared" si="13"/>
        <v>0</v>
      </c>
      <c r="Q20" s="48">
        <v>0</v>
      </c>
      <c r="R20" s="48">
        <f t="shared" si="14"/>
        <v>0</v>
      </c>
      <c r="S20" s="50">
        <f t="shared" si="3"/>
        <v>2800000</v>
      </c>
      <c r="T20" s="50">
        <f t="shared" si="3"/>
        <v>280000</v>
      </c>
    </row>
    <row r="21" spans="1:20" ht="15.75" customHeight="1">
      <c r="A21" s="42" t="s">
        <v>129</v>
      </c>
      <c r="B21" s="42" t="s">
        <v>174</v>
      </c>
      <c r="C21" s="42" t="s">
        <v>116</v>
      </c>
      <c r="D21" s="44">
        <v>2025</v>
      </c>
      <c r="E21" s="42" t="s">
        <v>80</v>
      </c>
      <c r="F21" s="43" t="s">
        <v>70</v>
      </c>
      <c r="G21" s="46" t="s">
        <v>151</v>
      </c>
      <c r="H21" s="43" t="s">
        <v>96</v>
      </c>
      <c r="I21" s="42" t="s">
        <v>88</v>
      </c>
      <c r="J21" s="43" t="s">
        <v>74</v>
      </c>
      <c r="K21" s="45">
        <v>1</v>
      </c>
      <c r="L21" s="45" t="s">
        <v>89</v>
      </c>
      <c r="M21" s="43">
        <v>5000</v>
      </c>
      <c r="N21" s="43">
        <f t="shared" si="12"/>
        <v>500</v>
      </c>
      <c r="O21" s="43">
        <v>0</v>
      </c>
      <c r="P21" s="43">
        <f t="shared" si="13"/>
        <v>0</v>
      </c>
      <c r="Q21" s="43">
        <v>0</v>
      </c>
      <c r="R21" s="43">
        <f t="shared" si="14"/>
        <v>0</v>
      </c>
      <c r="S21" s="45">
        <f t="shared" si="3"/>
        <v>5000</v>
      </c>
      <c r="T21" s="45">
        <f t="shared" si="3"/>
        <v>500</v>
      </c>
    </row>
    <row r="22" spans="1:20" ht="15.75" customHeight="1">
      <c r="A22" s="47" t="s">
        <v>129</v>
      </c>
      <c r="B22" s="47" t="s">
        <v>175</v>
      </c>
      <c r="C22" s="47" t="s">
        <v>116</v>
      </c>
      <c r="D22" s="49">
        <v>2025</v>
      </c>
      <c r="E22" s="47" t="s">
        <v>80</v>
      </c>
      <c r="F22" s="48" t="s">
        <v>70</v>
      </c>
      <c r="G22" s="51" t="s">
        <v>151</v>
      </c>
      <c r="H22" s="48" t="s">
        <v>96</v>
      </c>
      <c r="I22" s="47" t="s">
        <v>81</v>
      </c>
      <c r="J22" s="48" t="s">
        <v>71</v>
      </c>
      <c r="K22" s="50">
        <v>1</v>
      </c>
      <c r="L22" s="50" t="s">
        <v>89</v>
      </c>
      <c r="M22" s="48">
        <v>6000</v>
      </c>
      <c r="N22" s="48">
        <f t="shared" si="12"/>
        <v>600</v>
      </c>
      <c r="O22" s="48">
        <v>0</v>
      </c>
      <c r="P22" s="48">
        <f t="shared" si="13"/>
        <v>0</v>
      </c>
      <c r="Q22" s="48">
        <v>0</v>
      </c>
      <c r="R22" s="48">
        <f t="shared" si="14"/>
        <v>0</v>
      </c>
      <c r="S22" s="50">
        <f t="shared" si="3"/>
        <v>6000</v>
      </c>
      <c r="T22" s="50">
        <f t="shared" si="3"/>
        <v>600</v>
      </c>
    </row>
    <row r="23" spans="1:20" ht="15.75" customHeight="1">
      <c r="A23" s="42" t="s">
        <v>129</v>
      </c>
      <c r="B23" s="42" t="s">
        <v>174</v>
      </c>
      <c r="C23" s="42" t="s">
        <v>116</v>
      </c>
      <c r="D23" s="44">
        <v>2025</v>
      </c>
      <c r="E23" s="42" t="s">
        <v>80</v>
      </c>
      <c r="F23" s="43" t="s">
        <v>70</v>
      </c>
      <c r="G23" s="46" t="s">
        <v>151</v>
      </c>
      <c r="H23" s="43" t="s">
        <v>96</v>
      </c>
      <c r="I23" s="42" t="s">
        <v>82</v>
      </c>
      <c r="J23" s="43" t="s">
        <v>72</v>
      </c>
      <c r="K23" s="45">
        <v>1</v>
      </c>
      <c r="L23" s="45" t="s">
        <v>89</v>
      </c>
      <c r="M23" s="43">
        <v>7000</v>
      </c>
      <c r="N23" s="43">
        <f t="shared" si="12"/>
        <v>700</v>
      </c>
      <c r="O23" s="43">
        <v>0</v>
      </c>
      <c r="P23" s="43">
        <f t="shared" si="13"/>
        <v>0</v>
      </c>
      <c r="Q23" s="43">
        <v>0</v>
      </c>
      <c r="R23" s="43">
        <f t="shared" si="14"/>
        <v>0</v>
      </c>
      <c r="S23" s="45">
        <f t="shared" si="3"/>
        <v>7000</v>
      </c>
      <c r="T23" s="45">
        <f t="shared" si="3"/>
        <v>700</v>
      </c>
    </row>
    <row r="24" spans="1:20" ht="15.75" customHeight="1">
      <c r="A24" s="47" t="s">
        <v>129</v>
      </c>
      <c r="B24" s="47" t="s">
        <v>175</v>
      </c>
      <c r="C24" s="47" t="s">
        <v>116</v>
      </c>
      <c r="D24" s="49">
        <v>2025</v>
      </c>
      <c r="E24" s="47" t="s">
        <v>80</v>
      </c>
      <c r="F24" s="48" t="s">
        <v>70</v>
      </c>
      <c r="G24" s="51" t="s">
        <v>151</v>
      </c>
      <c r="H24" s="48" t="s">
        <v>96</v>
      </c>
      <c r="I24" s="47" t="s">
        <v>83</v>
      </c>
      <c r="J24" s="48" t="s">
        <v>73</v>
      </c>
      <c r="K24" s="50">
        <v>1</v>
      </c>
      <c r="L24" s="50" t="s">
        <v>89</v>
      </c>
      <c r="M24" s="48">
        <v>8000</v>
      </c>
      <c r="N24" s="48">
        <f t="shared" si="12"/>
        <v>800</v>
      </c>
      <c r="O24" s="48">
        <v>0</v>
      </c>
      <c r="P24" s="48">
        <f t="shared" si="13"/>
        <v>0</v>
      </c>
      <c r="Q24" s="48">
        <v>0</v>
      </c>
      <c r="R24" s="48">
        <f t="shared" si="14"/>
        <v>0</v>
      </c>
      <c r="S24" s="50">
        <f t="shared" si="3"/>
        <v>8000</v>
      </c>
      <c r="T24" s="50">
        <f t="shared" si="3"/>
        <v>800</v>
      </c>
    </row>
    <row r="25" spans="1:20" ht="15.75" customHeight="1">
      <c r="A25" s="42" t="s">
        <v>129</v>
      </c>
      <c r="B25" s="42" t="s">
        <v>174</v>
      </c>
      <c r="C25" s="42" t="s">
        <v>116</v>
      </c>
      <c r="D25" s="44">
        <v>2025</v>
      </c>
      <c r="E25" s="42" t="s">
        <v>80</v>
      </c>
      <c r="F25" s="43" t="s">
        <v>70</v>
      </c>
      <c r="G25" s="46" t="s">
        <v>151</v>
      </c>
      <c r="H25" s="43" t="s">
        <v>96</v>
      </c>
      <c r="I25" s="42" t="s">
        <v>87</v>
      </c>
      <c r="J25" s="43" t="s">
        <v>75</v>
      </c>
      <c r="K25" s="45">
        <v>1</v>
      </c>
      <c r="L25" s="45" t="s">
        <v>89</v>
      </c>
      <c r="M25" s="43">
        <v>9000</v>
      </c>
      <c r="N25" s="43">
        <f t="shared" si="12"/>
        <v>900</v>
      </c>
      <c r="O25" s="43">
        <v>0</v>
      </c>
      <c r="P25" s="43">
        <f t="shared" si="13"/>
        <v>0</v>
      </c>
      <c r="Q25" s="43">
        <v>0</v>
      </c>
      <c r="R25" s="43">
        <f t="shared" si="14"/>
        <v>0</v>
      </c>
      <c r="S25" s="45">
        <f t="shared" si="3"/>
        <v>9000</v>
      </c>
      <c r="T25" s="45">
        <f t="shared" si="3"/>
        <v>900</v>
      </c>
    </row>
    <row r="26" spans="1:20" ht="15.75" customHeight="1">
      <c r="A26" s="47" t="s">
        <v>129</v>
      </c>
      <c r="B26" s="47" t="s">
        <v>175</v>
      </c>
      <c r="C26" s="47" t="s">
        <v>116</v>
      </c>
      <c r="D26" s="49">
        <v>2025</v>
      </c>
      <c r="E26" s="47" t="s">
        <v>80</v>
      </c>
      <c r="F26" s="48" t="s">
        <v>70</v>
      </c>
      <c r="G26" s="51" t="s">
        <v>151</v>
      </c>
      <c r="H26" s="48" t="s">
        <v>96</v>
      </c>
      <c r="I26" s="47" t="s">
        <v>88</v>
      </c>
      <c r="J26" s="48" t="s">
        <v>74</v>
      </c>
      <c r="K26" s="50">
        <v>1</v>
      </c>
      <c r="L26" s="50" t="s">
        <v>89</v>
      </c>
      <c r="M26" s="48">
        <v>10000</v>
      </c>
      <c r="N26" s="48">
        <f t="shared" si="12"/>
        <v>1000</v>
      </c>
      <c r="O26" s="48">
        <v>0</v>
      </c>
      <c r="P26" s="48">
        <f t="shared" si="13"/>
        <v>0</v>
      </c>
      <c r="Q26" s="48">
        <v>0</v>
      </c>
      <c r="R26" s="48">
        <f t="shared" si="14"/>
        <v>0</v>
      </c>
      <c r="S26" s="50">
        <f t="shared" si="3"/>
        <v>10000</v>
      </c>
      <c r="T26" s="50">
        <f t="shared" si="3"/>
        <v>1000</v>
      </c>
    </row>
    <row r="27" spans="1:20" ht="15.75" customHeight="1">
      <c r="A27" s="42" t="s">
        <v>129</v>
      </c>
      <c r="B27" s="42" t="s">
        <v>174</v>
      </c>
      <c r="C27" s="42" t="s">
        <v>116</v>
      </c>
      <c r="D27" s="44">
        <v>2025</v>
      </c>
      <c r="E27" s="42" t="s">
        <v>80</v>
      </c>
      <c r="F27" s="43" t="s">
        <v>70</v>
      </c>
      <c r="G27" s="46" t="s">
        <v>152</v>
      </c>
      <c r="H27" s="43" t="s">
        <v>95</v>
      </c>
      <c r="I27" s="42" t="s">
        <v>81</v>
      </c>
      <c r="J27" s="43" t="s">
        <v>71</v>
      </c>
      <c r="K27" s="45">
        <v>1</v>
      </c>
      <c r="L27" s="45" t="s">
        <v>89</v>
      </c>
      <c r="M27" s="43">
        <v>25000</v>
      </c>
      <c r="N27" s="43">
        <f t="shared" si="12"/>
        <v>2500</v>
      </c>
      <c r="O27" s="43">
        <v>0</v>
      </c>
      <c r="P27" s="43">
        <f t="shared" si="13"/>
        <v>0</v>
      </c>
      <c r="Q27" s="43">
        <v>0</v>
      </c>
      <c r="R27" s="43">
        <f t="shared" si="14"/>
        <v>0</v>
      </c>
      <c r="S27" s="45">
        <f t="shared" si="3"/>
        <v>25000</v>
      </c>
      <c r="T27" s="45">
        <f t="shared" si="3"/>
        <v>2500</v>
      </c>
    </row>
    <row r="28" spans="1:20" ht="15.75" customHeight="1">
      <c r="A28" s="47" t="s">
        <v>129</v>
      </c>
      <c r="B28" s="47" t="s">
        <v>175</v>
      </c>
      <c r="C28" s="47" t="s">
        <v>116</v>
      </c>
      <c r="D28" s="49">
        <v>2025</v>
      </c>
      <c r="E28" s="47" t="s">
        <v>80</v>
      </c>
      <c r="F28" s="48" t="s">
        <v>70</v>
      </c>
      <c r="G28" s="51" t="s">
        <v>152</v>
      </c>
      <c r="H28" s="48" t="s">
        <v>95</v>
      </c>
      <c r="I28" s="47" t="s">
        <v>82</v>
      </c>
      <c r="J28" s="48" t="s">
        <v>72</v>
      </c>
      <c r="K28" s="50">
        <v>1</v>
      </c>
      <c r="L28" s="50" t="s">
        <v>89</v>
      </c>
      <c r="M28" s="48">
        <v>35000</v>
      </c>
      <c r="N28" s="48">
        <f t="shared" si="12"/>
        <v>3500</v>
      </c>
      <c r="O28" s="48">
        <v>0</v>
      </c>
      <c r="P28" s="48">
        <f t="shared" si="13"/>
        <v>0</v>
      </c>
      <c r="Q28" s="48">
        <v>0</v>
      </c>
      <c r="R28" s="48">
        <f t="shared" si="14"/>
        <v>0</v>
      </c>
      <c r="S28" s="50">
        <f t="shared" si="3"/>
        <v>35000</v>
      </c>
      <c r="T28" s="50">
        <f t="shared" si="3"/>
        <v>3500</v>
      </c>
    </row>
    <row r="29" spans="1:20" ht="15.75" customHeight="1">
      <c r="A29" s="42" t="s">
        <v>129</v>
      </c>
      <c r="B29" s="42" t="s">
        <v>174</v>
      </c>
      <c r="C29" s="42" t="s">
        <v>116</v>
      </c>
      <c r="D29" s="44">
        <v>2025</v>
      </c>
      <c r="E29" s="42" t="s">
        <v>80</v>
      </c>
      <c r="F29" s="43" t="s">
        <v>70</v>
      </c>
      <c r="G29" s="46" t="s">
        <v>152</v>
      </c>
      <c r="H29" s="43" t="s">
        <v>95</v>
      </c>
      <c r="I29" s="42" t="s">
        <v>84</v>
      </c>
      <c r="J29" s="43" t="s">
        <v>76</v>
      </c>
      <c r="K29" s="45">
        <v>1</v>
      </c>
      <c r="L29" s="45" t="s">
        <v>89</v>
      </c>
      <c r="M29" s="43">
        <v>45000</v>
      </c>
      <c r="N29" s="43">
        <f t="shared" si="12"/>
        <v>4500</v>
      </c>
      <c r="O29" s="43">
        <v>0</v>
      </c>
      <c r="P29" s="43">
        <f t="shared" si="13"/>
        <v>0</v>
      </c>
      <c r="Q29" s="43">
        <v>0</v>
      </c>
      <c r="R29" s="43">
        <f t="shared" si="14"/>
        <v>0</v>
      </c>
      <c r="S29" s="45">
        <f t="shared" si="3"/>
        <v>45000</v>
      </c>
      <c r="T29" s="45">
        <f t="shared" si="3"/>
        <v>4500</v>
      </c>
    </row>
    <row r="30" spans="1:20" ht="14.4">
      <c r="A30" s="47" t="s">
        <v>129</v>
      </c>
      <c r="B30" s="47" t="s">
        <v>175</v>
      </c>
      <c r="C30" s="47" t="s">
        <v>116</v>
      </c>
      <c r="D30" s="49">
        <v>2025</v>
      </c>
      <c r="E30" s="47" t="s">
        <v>80</v>
      </c>
      <c r="F30" s="48" t="s">
        <v>70</v>
      </c>
      <c r="G30" s="86" t="s">
        <v>152</v>
      </c>
      <c r="H30" s="50" t="s">
        <v>95</v>
      </c>
      <c r="I30" s="47" t="s">
        <v>85</v>
      </c>
      <c r="J30" s="48" t="s">
        <v>77</v>
      </c>
      <c r="K30" s="50">
        <v>1</v>
      </c>
      <c r="L30" s="50" t="s">
        <v>89</v>
      </c>
      <c r="M30" s="48">
        <v>55000</v>
      </c>
      <c r="N30" s="48">
        <f t="shared" si="12"/>
        <v>5500</v>
      </c>
      <c r="O30" s="48">
        <v>0</v>
      </c>
      <c r="P30" s="48">
        <f t="shared" si="13"/>
        <v>0</v>
      </c>
      <c r="Q30" s="48">
        <v>0</v>
      </c>
      <c r="R30" s="48">
        <f t="shared" si="14"/>
        <v>0</v>
      </c>
      <c r="S30" s="50">
        <f t="shared" si="3"/>
        <v>55000</v>
      </c>
      <c r="T30" s="50">
        <f t="shared" si="3"/>
        <v>5500</v>
      </c>
    </row>
    <row r="31" spans="1:20" ht="14.4">
      <c r="A31" s="42" t="s">
        <v>129</v>
      </c>
      <c r="B31" s="42" t="s">
        <v>174</v>
      </c>
      <c r="C31" s="42" t="s">
        <v>116</v>
      </c>
      <c r="D31" s="44">
        <v>2025</v>
      </c>
      <c r="E31" s="42" t="s">
        <v>80</v>
      </c>
      <c r="F31" s="43" t="s">
        <v>70</v>
      </c>
      <c r="G31" s="87" t="s">
        <v>152</v>
      </c>
      <c r="H31" s="45" t="s">
        <v>95</v>
      </c>
      <c r="I31" s="42" t="s">
        <v>86</v>
      </c>
      <c r="J31" s="43" t="s">
        <v>78</v>
      </c>
      <c r="K31" s="45">
        <v>1</v>
      </c>
      <c r="L31" s="45" t="s">
        <v>89</v>
      </c>
      <c r="M31" s="43">
        <v>65000</v>
      </c>
      <c r="N31" s="43">
        <f t="shared" si="12"/>
        <v>6500</v>
      </c>
      <c r="O31" s="43">
        <v>0</v>
      </c>
      <c r="P31" s="43">
        <f t="shared" si="13"/>
        <v>0</v>
      </c>
      <c r="Q31" s="43">
        <v>0</v>
      </c>
      <c r="R31" s="43">
        <f t="shared" si="14"/>
        <v>0</v>
      </c>
      <c r="S31" s="45">
        <f t="shared" si="3"/>
        <v>65000</v>
      </c>
      <c r="T31" s="45">
        <f t="shared" si="3"/>
        <v>6500</v>
      </c>
    </row>
    <row r="32" spans="1:20" ht="14.4">
      <c r="A32" s="47" t="s">
        <v>129</v>
      </c>
      <c r="B32" s="47" t="s">
        <v>175</v>
      </c>
      <c r="C32" s="47" t="s">
        <v>116</v>
      </c>
      <c r="D32" s="49">
        <v>2025</v>
      </c>
      <c r="E32" s="47" t="s">
        <v>80</v>
      </c>
      <c r="F32" s="48" t="s">
        <v>70</v>
      </c>
      <c r="G32" s="86" t="s">
        <v>152</v>
      </c>
      <c r="H32" s="50" t="s">
        <v>95</v>
      </c>
      <c r="I32" s="47" t="s">
        <v>83</v>
      </c>
      <c r="J32" s="48" t="s">
        <v>73</v>
      </c>
      <c r="K32" s="50">
        <v>1</v>
      </c>
      <c r="L32" s="50" t="s">
        <v>89</v>
      </c>
      <c r="M32" s="48">
        <v>75000</v>
      </c>
      <c r="N32" s="48">
        <f t="shared" si="12"/>
        <v>7500</v>
      </c>
      <c r="O32" s="48">
        <v>0</v>
      </c>
      <c r="P32" s="48">
        <f t="shared" si="13"/>
        <v>0</v>
      </c>
      <c r="Q32" s="48">
        <v>0</v>
      </c>
      <c r="R32" s="48">
        <f t="shared" si="14"/>
        <v>0</v>
      </c>
      <c r="S32" s="50">
        <f t="shared" si="3"/>
        <v>75000</v>
      </c>
      <c r="T32" s="50">
        <f t="shared" si="3"/>
        <v>7500</v>
      </c>
    </row>
    <row r="33" spans="1:20" ht="14.4">
      <c r="A33" s="42" t="s">
        <v>129</v>
      </c>
      <c r="B33" s="42" t="s">
        <v>174</v>
      </c>
      <c r="C33" s="42" t="s">
        <v>116</v>
      </c>
      <c r="D33" s="44">
        <v>2025</v>
      </c>
      <c r="E33" s="42" t="s">
        <v>80</v>
      </c>
      <c r="F33" s="43" t="s">
        <v>70</v>
      </c>
      <c r="G33" s="87" t="s">
        <v>152</v>
      </c>
      <c r="H33" s="45" t="s">
        <v>95</v>
      </c>
      <c r="I33" s="42" t="s">
        <v>87</v>
      </c>
      <c r="J33" s="43" t="s">
        <v>75</v>
      </c>
      <c r="K33" s="45">
        <v>1</v>
      </c>
      <c r="L33" s="45" t="s">
        <v>89</v>
      </c>
      <c r="M33" s="43">
        <v>85000</v>
      </c>
      <c r="N33" s="43">
        <f t="shared" si="12"/>
        <v>8500</v>
      </c>
      <c r="O33" s="43">
        <v>0</v>
      </c>
      <c r="P33" s="43">
        <f t="shared" si="13"/>
        <v>0</v>
      </c>
      <c r="Q33" s="43">
        <v>0</v>
      </c>
      <c r="R33" s="43">
        <f t="shared" si="14"/>
        <v>0</v>
      </c>
      <c r="S33" s="45">
        <f t="shared" si="3"/>
        <v>85000</v>
      </c>
      <c r="T33" s="45">
        <f t="shared" si="3"/>
        <v>8500</v>
      </c>
    </row>
    <row r="34" spans="1:20" ht="14.4">
      <c r="A34" s="47" t="s">
        <v>129</v>
      </c>
      <c r="B34" s="47" t="s">
        <v>175</v>
      </c>
      <c r="C34" s="47" t="s">
        <v>116</v>
      </c>
      <c r="D34" s="49">
        <v>2025</v>
      </c>
      <c r="E34" s="47" t="s">
        <v>80</v>
      </c>
      <c r="F34" s="48" t="s">
        <v>70</v>
      </c>
      <c r="G34" s="51" t="s">
        <v>153</v>
      </c>
      <c r="H34" s="48" t="s">
        <v>98</v>
      </c>
      <c r="I34" s="47" t="s">
        <v>81</v>
      </c>
      <c r="J34" s="48" t="s">
        <v>71</v>
      </c>
      <c r="K34" s="50">
        <v>2</v>
      </c>
      <c r="L34" s="50" t="s">
        <v>90</v>
      </c>
      <c r="M34" s="48">
        <v>0</v>
      </c>
      <c r="N34" s="48">
        <f t="shared" si="12"/>
        <v>0</v>
      </c>
      <c r="O34" s="48">
        <v>180000</v>
      </c>
      <c r="P34" s="48">
        <f t="shared" si="13"/>
        <v>18000</v>
      </c>
      <c r="Q34" s="48">
        <v>0</v>
      </c>
      <c r="R34" s="48">
        <f t="shared" si="14"/>
        <v>0</v>
      </c>
      <c r="S34" s="50">
        <f t="shared" si="3"/>
        <v>180000</v>
      </c>
      <c r="T34" s="50">
        <f t="shared" si="3"/>
        <v>18000</v>
      </c>
    </row>
    <row r="35" spans="1:20" ht="14.4">
      <c r="A35" s="42" t="s">
        <v>129</v>
      </c>
      <c r="B35" s="42" t="s">
        <v>174</v>
      </c>
      <c r="C35" s="42" t="s">
        <v>116</v>
      </c>
      <c r="D35" s="44">
        <v>2025</v>
      </c>
      <c r="E35" s="42" t="s">
        <v>80</v>
      </c>
      <c r="F35" s="43" t="s">
        <v>70</v>
      </c>
      <c r="G35" s="87" t="s">
        <v>152</v>
      </c>
      <c r="H35" s="45" t="s">
        <v>98</v>
      </c>
      <c r="I35" s="42" t="s">
        <v>82</v>
      </c>
      <c r="J35" s="43" t="s">
        <v>73</v>
      </c>
      <c r="K35" s="45">
        <v>2</v>
      </c>
      <c r="L35" s="45" t="s">
        <v>90</v>
      </c>
      <c r="M35" s="43">
        <v>0</v>
      </c>
      <c r="N35" s="43">
        <f t="shared" si="12"/>
        <v>0</v>
      </c>
      <c r="O35" s="43">
        <v>250000</v>
      </c>
      <c r="P35" s="43">
        <f t="shared" si="13"/>
        <v>25000</v>
      </c>
      <c r="Q35" s="43">
        <v>0</v>
      </c>
      <c r="R35" s="43">
        <f t="shared" si="14"/>
        <v>0</v>
      </c>
      <c r="S35" s="45">
        <f t="shared" si="3"/>
        <v>250000</v>
      </c>
      <c r="T35" s="45">
        <f t="shared" si="3"/>
        <v>25000</v>
      </c>
    </row>
    <row r="36" spans="1:20" ht="14.4">
      <c r="A36" s="47" t="s">
        <v>129</v>
      </c>
      <c r="B36" s="47" t="s">
        <v>175</v>
      </c>
      <c r="C36" s="47" t="s">
        <v>116</v>
      </c>
      <c r="D36" s="49">
        <v>2025</v>
      </c>
      <c r="E36" s="47" t="s">
        <v>80</v>
      </c>
      <c r="F36" s="48" t="s">
        <v>70</v>
      </c>
      <c r="G36" s="51" t="s">
        <v>153</v>
      </c>
      <c r="H36" s="48" t="s">
        <v>98</v>
      </c>
      <c r="I36" s="47" t="s">
        <v>84</v>
      </c>
      <c r="J36" s="48" t="s">
        <v>72</v>
      </c>
      <c r="K36" s="50">
        <v>2</v>
      </c>
      <c r="L36" s="50" t="s">
        <v>90</v>
      </c>
      <c r="M36" s="48">
        <v>0</v>
      </c>
      <c r="N36" s="48">
        <f t="shared" si="12"/>
        <v>0</v>
      </c>
      <c r="O36" s="48">
        <v>600000</v>
      </c>
      <c r="P36" s="48">
        <f t="shared" si="13"/>
        <v>60000</v>
      </c>
      <c r="Q36" s="48">
        <v>0</v>
      </c>
      <c r="R36" s="48">
        <f t="shared" si="14"/>
        <v>0</v>
      </c>
      <c r="S36" s="50">
        <f t="shared" si="3"/>
        <v>600000</v>
      </c>
      <c r="T36" s="50">
        <f t="shared" si="3"/>
        <v>60000</v>
      </c>
    </row>
    <row r="37" spans="1:20" ht="14.4">
      <c r="A37" s="42" t="s">
        <v>129</v>
      </c>
      <c r="B37" s="42" t="s">
        <v>174</v>
      </c>
      <c r="C37" s="42" t="s">
        <v>116</v>
      </c>
      <c r="D37" s="44">
        <v>2025</v>
      </c>
      <c r="E37" s="42" t="s">
        <v>80</v>
      </c>
      <c r="F37" s="43" t="s">
        <v>70</v>
      </c>
      <c r="G37" s="87" t="s">
        <v>152</v>
      </c>
      <c r="H37" s="43" t="s">
        <v>98</v>
      </c>
      <c r="I37" s="42" t="s">
        <v>85</v>
      </c>
      <c r="J37" s="43" t="s">
        <v>76</v>
      </c>
      <c r="K37" s="45">
        <v>2</v>
      </c>
      <c r="L37" s="45" t="s">
        <v>90</v>
      </c>
      <c r="M37" s="43">
        <v>0</v>
      </c>
      <c r="N37" s="43">
        <f t="shared" si="12"/>
        <v>0</v>
      </c>
      <c r="O37" s="43">
        <v>60000</v>
      </c>
      <c r="P37" s="43">
        <f t="shared" si="13"/>
        <v>6000</v>
      </c>
      <c r="Q37" s="43">
        <v>0</v>
      </c>
      <c r="R37" s="43">
        <f t="shared" si="14"/>
        <v>0</v>
      </c>
      <c r="S37" s="45">
        <f t="shared" si="3"/>
        <v>60000</v>
      </c>
      <c r="T37" s="45">
        <f t="shared" si="3"/>
        <v>6000</v>
      </c>
    </row>
    <row r="38" spans="1:20" ht="14.4">
      <c r="A38" s="47" t="s">
        <v>129</v>
      </c>
      <c r="B38" s="47" t="s">
        <v>175</v>
      </c>
      <c r="C38" s="47" t="s">
        <v>116</v>
      </c>
      <c r="D38" s="49">
        <v>2025</v>
      </c>
      <c r="E38" s="47" t="s">
        <v>80</v>
      </c>
      <c r="F38" s="48" t="s">
        <v>70</v>
      </c>
      <c r="G38" s="51" t="s">
        <v>153</v>
      </c>
      <c r="H38" s="50" t="s">
        <v>98</v>
      </c>
      <c r="I38" s="47" t="s">
        <v>86</v>
      </c>
      <c r="J38" s="48" t="s">
        <v>77</v>
      </c>
      <c r="K38" s="50">
        <v>2</v>
      </c>
      <c r="L38" s="50" t="s">
        <v>90</v>
      </c>
      <c r="M38" s="48">
        <v>0</v>
      </c>
      <c r="N38" s="48">
        <f t="shared" si="12"/>
        <v>0</v>
      </c>
      <c r="O38" s="48">
        <v>2800000</v>
      </c>
      <c r="P38" s="48">
        <f t="shared" si="13"/>
        <v>280000</v>
      </c>
      <c r="Q38" s="48">
        <v>0</v>
      </c>
      <c r="R38" s="48">
        <f t="shared" si="14"/>
        <v>0</v>
      </c>
      <c r="S38" s="50">
        <f t="shared" si="3"/>
        <v>2800000</v>
      </c>
      <c r="T38" s="50">
        <f t="shared" si="3"/>
        <v>280000</v>
      </c>
    </row>
    <row r="39" spans="1:20" ht="14.4">
      <c r="A39" s="42" t="s">
        <v>129</v>
      </c>
      <c r="B39" s="42" t="s">
        <v>174</v>
      </c>
      <c r="C39" s="42" t="s">
        <v>116</v>
      </c>
      <c r="D39" s="44">
        <v>2025</v>
      </c>
      <c r="E39" s="42" t="s">
        <v>80</v>
      </c>
      <c r="F39" s="43" t="s">
        <v>70</v>
      </c>
      <c r="G39" s="87" t="s">
        <v>152</v>
      </c>
      <c r="H39" s="45" t="s">
        <v>98</v>
      </c>
      <c r="I39" s="42" t="s">
        <v>83</v>
      </c>
      <c r="J39" s="43" t="s">
        <v>78</v>
      </c>
      <c r="K39" s="45">
        <v>2</v>
      </c>
      <c r="L39" s="45" t="s">
        <v>90</v>
      </c>
      <c r="M39" s="43">
        <v>0</v>
      </c>
      <c r="N39" s="43">
        <f t="shared" si="12"/>
        <v>0</v>
      </c>
      <c r="O39" s="43">
        <v>300000</v>
      </c>
      <c r="P39" s="43">
        <f t="shared" si="13"/>
        <v>30000</v>
      </c>
      <c r="Q39" s="43">
        <v>0</v>
      </c>
      <c r="R39" s="43">
        <f t="shared" si="14"/>
        <v>0</v>
      </c>
      <c r="S39" s="45">
        <f t="shared" si="3"/>
        <v>300000</v>
      </c>
      <c r="T39" s="45">
        <f t="shared" si="3"/>
        <v>30000</v>
      </c>
    </row>
    <row r="40" spans="1:20" ht="14.4">
      <c r="A40" s="52" t="s">
        <v>129</v>
      </c>
      <c r="B40" s="52" t="s">
        <v>174</v>
      </c>
      <c r="C40" s="52" t="s">
        <v>116</v>
      </c>
      <c r="D40" s="53">
        <v>2025</v>
      </c>
      <c r="E40" s="52" t="s">
        <v>80</v>
      </c>
      <c r="F40" s="54" t="s">
        <v>70</v>
      </c>
      <c r="G40" s="88" t="s">
        <v>153</v>
      </c>
      <c r="H40" s="55" t="s">
        <v>98</v>
      </c>
      <c r="I40" s="52" t="s">
        <v>87</v>
      </c>
      <c r="J40" s="54" t="s">
        <v>75</v>
      </c>
      <c r="K40" s="55">
        <v>2</v>
      </c>
      <c r="L40" s="55" t="s">
        <v>90</v>
      </c>
      <c r="M40" s="54">
        <v>0</v>
      </c>
      <c r="N40" s="54">
        <f t="shared" si="12"/>
        <v>0</v>
      </c>
      <c r="O40" s="54">
        <v>200000</v>
      </c>
      <c r="P40" s="54">
        <f t="shared" si="13"/>
        <v>20000</v>
      </c>
      <c r="Q40" s="54">
        <v>0</v>
      </c>
      <c r="R40" s="54">
        <f t="shared" si="14"/>
        <v>0</v>
      </c>
      <c r="S40" s="55">
        <f t="shared" si="3"/>
        <v>200000</v>
      </c>
      <c r="T40" s="55">
        <f t="shared" si="3"/>
        <v>20000</v>
      </c>
    </row>
    <row r="41" spans="1:20" ht="14.4"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 spans="1:20" ht="14.4"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1:20" ht="14.4"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53" spans="9:9">
      <c r="I53" s="56"/>
    </row>
  </sheetData>
  <autoFilter ref="A1:U1" xr:uid="{79AC513C-A669-4D43-8027-68D2BAF83264}"/>
  <phoneticPr fontId="1"/>
  <pageMargins left="0.6692913385826772" right="0.39370078740157483" top="0.39370078740157483" bottom="0.39370078740157483" header="0.55118110236220474" footer="0.51181102362204722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9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97" t="s">
        <v>38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9"/>
      <c r="AT2" s="91" t="s">
        <v>3</v>
      </c>
      <c r="AU2" s="92"/>
      <c r="AV2" s="92"/>
      <c r="AW2" s="92"/>
      <c r="AX2" s="93"/>
      <c r="AY2" s="91" t="s">
        <v>39</v>
      </c>
      <c r="AZ2" s="92"/>
      <c r="BA2" s="92"/>
      <c r="BB2" s="93"/>
      <c r="BC2" s="91" t="s">
        <v>5</v>
      </c>
      <c r="BD2" s="92"/>
      <c r="BE2" s="92"/>
      <c r="BF2" s="93"/>
      <c r="BG2" s="91"/>
      <c r="BH2" s="92"/>
      <c r="BI2" s="92"/>
      <c r="BJ2" s="93"/>
    </row>
    <row r="3" spans="1:63" s="1" customFormat="1" ht="18" customHeight="1">
      <c r="A3" s="100" t="s">
        <v>6</v>
      </c>
      <c r="B3" s="101"/>
      <c r="C3" s="101"/>
      <c r="D3" s="101"/>
      <c r="E3" s="101"/>
      <c r="F3" s="101"/>
      <c r="G3" s="101"/>
      <c r="H3" s="102"/>
      <c r="I3" s="106" t="s">
        <v>167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8"/>
      <c r="AT3" s="91" t="s">
        <v>7</v>
      </c>
      <c r="AU3" s="92"/>
      <c r="AV3" s="92"/>
      <c r="AW3" s="92"/>
      <c r="AX3" s="93"/>
      <c r="AY3" s="91" t="s">
        <v>166</v>
      </c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3"/>
    </row>
    <row r="4" spans="1:63" s="1" customFormat="1" ht="18" customHeight="1">
      <c r="A4" s="103"/>
      <c r="B4" s="104"/>
      <c r="C4" s="104"/>
      <c r="D4" s="104"/>
      <c r="E4" s="104"/>
      <c r="F4" s="104"/>
      <c r="G4" s="104"/>
      <c r="H4" s="105"/>
      <c r="I4" s="109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91" t="s">
        <v>8</v>
      </c>
      <c r="AU4" s="92"/>
      <c r="AV4" s="92"/>
      <c r="AW4" s="92"/>
      <c r="AX4" s="93"/>
      <c r="AY4" s="91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69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91" t="s">
        <v>20</v>
      </c>
      <c r="B8" s="92"/>
      <c r="C8" s="93"/>
      <c r="D8" s="91" t="s">
        <v>40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3"/>
      <c r="R8" s="192" t="s">
        <v>41</v>
      </c>
      <c r="S8" s="193"/>
      <c r="T8" s="193"/>
      <c r="U8" s="194"/>
      <c r="V8" s="192" t="s">
        <v>42</v>
      </c>
      <c r="W8" s="193"/>
      <c r="X8" s="193"/>
      <c r="Y8" s="194"/>
      <c r="Z8" s="192" t="s">
        <v>43</v>
      </c>
      <c r="AA8" s="193"/>
      <c r="AB8" s="193"/>
      <c r="AC8" s="194"/>
      <c r="AD8" s="192" t="s">
        <v>44</v>
      </c>
      <c r="AE8" s="193"/>
      <c r="AF8" s="193"/>
      <c r="AG8" s="194"/>
      <c r="AH8" s="91" t="s">
        <v>45</v>
      </c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3"/>
      <c r="BD8" s="192" t="s">
        <v>46</v>
      </c>
      <c r="BE8" s="193"/>
      <c r="BF8" s="193"/>
      <c r="BG8" s="193"/>
      <c r="BH8" s="193"/>
      <c r="BI8" s="193"/>
      <c r="BJ8" s="194"/>
    </row>
    <row r="9" spans="1:63" s="11" customFormat="1" ht="40.5" customHeight="1">
      <c r="A9" s="195"/>
      <c r="B9" s="196"/>
      <c r="C9" s="197"/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200"/>
      <c r="R9" s="195"/>
      <c r="S9" s="196"/>
      <c r="T9" s="196"/>
      <c r="U9" s="197"/>
      <c r="V9" s="195"/>
      <c r="W9" s="196"/>
      <c r="X9" s="196"/>
      <c r="Y9" s="197"/>
      <c r="Z9" s="195"/>
      <c r="AA9" s="196"/>
      <c r="AB9" s="196"/>
      <c r="AC9" s="197"/>
      <c r="AD9" s="195"/>
      <c r="AE9" s="196"/>
      <c r="AF9" s="196"/>
      <c r="AG9" s="197"/>
      <c r="AH9" s="201" t="s">
        <v>51</v>
      </c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3"/>
      <c r="BD9" s="195"/>
      <c r="BE9" s="196"/>
      <c r="BF9" s="196"/>
      <c r="BG9" s="196"/>
      <c r="BH9" s="196"/>
      <c r="BI9" s="196"/>
      <c r="BJ9" s="197"/>
    </row>
    <row r="10" spans="1:63" ht="40.5" customHeight="1">
      <c r="A10" s="177"/>
      <c r="B10" s="178"/>
      <c r="C10" s="179"/>
      <c r="D10" s="180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  <c r="R10" s="177"/>
      <c r="S10" s="178"/>
      <c r="T10" s="178"/>
      <c r="U10" s="179"/>
      <c r="V10" s="177"/>
      <c r="W10" s="178"/>
      <c r="X10" s="178"/>
      <c r="Y10" s="179"/>
      <c r="Z10" s="177"/>
      <c r="AA10" s="178"/>
      <c r="AB10" s="178"/>
      <c r="AC10" s="179"/>
      <c r="AD10" s="177"/>
      <c r="AE10" s="178"/>
      <c r="AF10" s="178"/>
      <c r="AG10" s="179"/>
      <c r="AH10" s="174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6"/>
      <c r="BD10" s="177"/>
      <c r="BE10" s="178"/>
      <c r="BF10" s="178"/>
      <c r="BG10" s="178"/>
      <c r="BH10" s="178"/>
      <c r="BI10" s="178"/>
      <c r="BJ10" s="179"/>
    </row>
    <row r="11" spans="1:63" ht="40.5" customHeight="1">
      <c r="A11" s="177"/>
      <c r="B11" s="178"/>
      <c r="C11" s="179"/>
      <c r="D11" s="180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2"/>
      <c r="R11" s="177"/>
      <c r="S11" s="178"/>
      <c r="T11" s="178"/>
      <c r="U11" s="179"/>
      <c r="V11" s="177"/>
      <c r="W11" s="178"/>
      <c r="X11" s="178"/>
      <c r="Y11" s="179"/>
      <c r="Z11" s="177"/>
      <c r="AA11" s="178"/>
      <c r="AB11" s="178"/>
      <c r="AC11" s="179"/>
      <c r="AD11" s="177"/>
      <c r="AE11" s="178"/>
      <c r="AF11" s="178"/>
      <c r="AG11" s="179"/>
      <c r="AH11" s="174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  <c r="BB11" s="175"/>
      <c r="BC11" s="176"/>
      <c r="BD11" s="177"/>
      <c r="BE11" s="178"/>
      <c r="BF11" s="178"/>
      <c r="BG11" s="178"/>
      <c r="BH11" s="178"/>
      <c r="BI11" s="178"/>
      <c r="BJ11" s="179"/>
    </row>
    <row r="12" spans="1:63" ht="40.5" customHeight="1">
      <c r="A12" s="177"/>
      <c r="B12" s="178"/>
      <c r="C12" s="179"/>
      <c r="D12" s="180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  <c r="R12" s="177"/>
      <c r="S12" s="178"/>
      <c r="T12" s="178"/>
      <c r="U12" s="179"/>
      <c r="V12" s="177"/>
      <c r="W12" s="178"/>
      <c r="X12" s="178"/>
      <c r="Y12" s="179"/>
      <c r="Z12" s="177"/>
      <c r="AA12" s="178"/>
      <c r="AB12" s="178"/>
      <c r="AC12" s="179"/>
      <c r="AD12" s="177"/>
      <c r="AE12" s="178"/>
      <c r="AF12" s="178"/>
      <c r="AG12" s="179"/>
      <c r="AH12" s="174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6"/>
      <c r="BD12" s="177"/>
      <c r="BE12" s="178"/>
      <c r="BF12" s="178"/>
      <c r="BG12" s="178"/>
      <c r="BH12" s="178"/>
      <c r="BI12" s="178"/>
      <c r="BJ12" s="179"/>
    </row>
    <row r="13" spans="1:63" ht="40.5" customHeight="1">
      <c r="A13" s="177"/>
      <c r="B13" s="178"/>
      <c r="C13" s="179"/>
      <c r="D13" s="180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2"/>
      <c r="R13" s="177"/>
      <c r="S13" s="178"/>
      <c r="T13" s="178"/>
      <c r="U13" s="179"/>
      <c r="V13" s="177"/>
      <c r="W13" s="178"/>
      <c r="X13" s="178"/>
      <c r="Y13" s="179"/>
      <c r="Z13" s="177"/>
      <c r="AA13" s="178"/>
      <c r="AB13" s="178"/>
      <c r="AC13" s="179"/>
      <c r="AD13" s="177"/>
      <c r="AE13" s="178"/>
      <c r="AF13" s="178"/>
      <c r="AG13" s="179"/>
      <c r="AH13" s="174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6"/>
      <c r="BD13" s="177"/>
      <c r="BE13" s="178"/>
      <c r="BF13" s="178"/>
      <c r="BG13" s="178"/>
      <c r="BH13" s="178"/>
      <c r="BI13" s="178"/>
      <c r="BJ13" s="179"/>
    </row>
    <row r="14" spans="1:63" ht="40.5" customHeight="1">
      <c r="A14" s="177"/>
      <c r="B14" s="178"/>
      <c r="C14" s="179"/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  <c r="R14" s="177"/>
      <c r="S14" s="178"/>
      <c r="T14" s="178"/>
      <c r="U14" s="179"/>
      <c r="V14" s="177"/>
      <c r="W14" s="178"/>
      <c r="X14" s="178"/>
      <c r="Y14" s="179"/>
      <c r="Z14" s="177"/>
      <c r="AA14" s="178"/>
      <c r="AB14" s="178"/>
      <c r="AC14" s="179"/>
      <c r="AD14" s="177"/>
      <c r="AE14" s="178"/>
      <c r="AF14" s="178"/>
      <c r="AG14" s="179"/>
      <c r="AH14" s="174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6"/>
      <c r="BD14" s="177"/>
      <c r="BE14" s="178"/>
      <c r="BF14" s="178"/>
      <c r="BG14" s="178"/>
      <c r="BH14" s="178"/>
      <c r="BI14" s="178"/>
      <c r="BJ14" s="179"/>
    </row>
    <row r="15" spans="1:63" ht="40.5" customHeight="1">
      <c r="A15" s="177"/>
      <c r="B15" s="178"/>
      <c r="C15" s="179"/>
      <c r="D15" s="180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77"/>
      <c r="S15" s="178"/>
      <c r="T15" s="178"/>
      <c r="U15" s="179"/>
      <c r="V15" s="177"/>
      <c r="W15" s="178"/>
      <c r="X15" s="178"/>
      <c r="Y15" s="179"/>
      <c r="Z15" s="177"/>
      <c r="AA15" s="178"/>
      <c r="AB15" s="178"/>
      <c r="AC15" s="179"/>
      <c r="AD15" s="177"/>
      <c r="AE15" s="178"/>
      <c r="AF15" s="178"/>
      <c r="AG15" s="179"/>
      <c r="AH15" s="174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6"/>
      <c r="BD15" s="177"/>
      <c r="BE15" s="178"/>
      <c r="BF15" s="178"/>
      <c r="BG15" s="178"/>
      <c r="BH15" s="178"/>
      <c r="BI15" s="178"/>
      <c r="BJ15" s="179"/>
    </row>
    <row r="16" spans="1:63" ht="40.5" customHeight="1">
      <c r="A16" s="177"/>
      <c r="B16" s="178"/>
      <c r="C16" s="179"/>
      <c r="D16" s="180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  <c r="R16" s="177"/>
      <c r="S16" s="178"/>
      <c r="T16" s="178"/>
      <c r="U16" s="179"/>
      <c r="V16" s="177"/>
      <c r="W16" s="178"/>
      <c r="X16" s="178"/>
      <c r="Y16" s="179"/>
      <c r="Z16" s="177"/>
      <c r="AA16" s="178"/>
      <c r="AB16" s="178"/>
      <c r="AC16" s="179"/>
      <c r="AD16" s="177"/>
      <c r="AE16" s="178"/>
      <c r="AF16" s="178"/>
      <c r="AG16" s="179"/>
      <c r="AH16" s="174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6"/>
      <c r="BD16" s="177"/>
      <c r="BE16" s="178"/>
      <c r="BF16" s="178"/>
      <c r="BG16" s="178"/>
      <c r="BH16" s="178"/>
      <c r="BI16" s="178"/>
      <c r="BJ16" s="179"/>
    </row>
    <row r="17" spans="1:62" ht="40.5" customHeight="1">
      <c r="A17" s="177"/>
      <c r="B17" s="178"/>
      <c r="C17" s="179"/>
      <c r="D17" s="180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/>
      <c r="R17" s="177"/>
      <c r="S17" s="178"/>
      <c r="T17" s="178"/>
      <c r="U17" s="179"/>
      <c r="V17" s="177"/>
      <c r="W17" s="178"/>
      <c r="X17" s="178"/>
      <c r="Y17" s="179"/>
      <c r="Z17" s="177"/>
      <c r="AA17" s="178"/>
      <c r="AB17" s="178"/>
      <c r="AC17" s="179"/>
      <c r="AD17" s="177"/>
      <c r="AE17" s="178"/>
      <c r="AF17" s="178"/>
      <c r="AG17" s="179"/>
      <c r="AH17" s="174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6"/>
      <c r="BD17" s="177"/>
      <c r="BE17" s="178"/>
      <c r="BF17" s="178"/>
      <c r="BG17" s="178"/>
      <c r="BH17" s="178"/>
      <c r="BI17" s="178"/>
      <c r="BJ17" s="179"/>
    </row>
    <row r="18" spans="1:62" ht="40.5" customHeight="1">
      <c r="A18" s="177"/>
      <c r="B18" s="178"/>
      <c r="C18" s="179"/>
      <c r="D18" s="180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2"/>
      <c r="R18" s="177"/>
      <c r="S18" s="178"/>
      <c r="T18" s="178"/>
      <c r="U18" s="179"/>
      <c r="V18" s="177"/>
      <c r="W18" s="178"/>
      <c r="X18" s="178"/>
      <c r="Y18" s="179"/>
      <c r="Z18" s="177"/>
      <c r="AA18" s="178"/>
      <c r="AB18" s="178"/>
      <c r="AC18" s="179"/>
      <c r="AD18" s="177"/>
      <c r="AE18" s="178"/>
      <c r="AF18" s="178"/>
      <c r="AG18" s="179"/>
      <c r="AH18" s="174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6"/>
      <c r="BD18" s="177"/>
      <c r="BE18" s="178"/>
      <c r="BF18" s="178"/>
      <c r="BG18" s="178"/>
      <c r="BH18" s="178"/>
      <c r="BI18" s="178"/>
      <c r="BJ18" s="179"/>
    </row>
    <row r="19" spans="1:62" ht="40.5" customHeight="1">
      <c r="A19" s="177"/>
      <c r="B19" s="178"/>
      <c r="C19" s="179"/>
      <c r="D19" s="180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2"/>
      <c r="R19" s="177"/>
      <c r="S19" s="178"/>
      <c r="T19" s="178"/>
      <c r="U19" s="179"/>
      <c r="V19" s="177"/>
      <c r="W19" s="178"/>
      <c r="X19" s="178"/>
      <c r="Y19" s="179"/>
      <c r="Z19" s="177"/>
      <c r="AA19" s="178"/>
      <c r="AB19" s="178"/>
      <c r="AC19" s="179"/>
      <c r="AD19" s="177"/>
      <c r="AE19" s="178"/>
      <c r="AF19" s="178"/>
      <c r="AG19" s="179"/>
      <c r="AH19" s="174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5"/>
      <c r="BB19" s="175"/>
      <c r="BC19" s="176"/>
      <c r="BD19" s="177"/>
      <c r="BE19" s="178"/>
      <c r="BF19" s="178"/>
      <c r="BG19" s="178"/>
      <c r="BH19" s="178"/>
      <c r="BI19" s="178"/>
      <c r="BJ19" s="179"/>
    </row>
    <row r="20" spans="1:62" ht="40.5" customHeight="1">
      <c r="A20" s="177"/>
      <c r="B20" s="178"/>
      <c r="C20" s="179"/>
      <c r="D20" s="180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2"/>
      <c r="R20" s="177"/>
      <c r="S20" s="178"/>
      <c r="T20" s="178"/>
      <c r="U20" s="179"/>
      <c r="V20" s="177"/>
      <c r="W20" s="178"/>
      <c r="X20" s="178"/>
      <c r="Y20" s="179"/>
      <c r="Z20" s="177"/>
      <c r="AA20" s="178"/>
      <c r="AB20" s="178"/>
      <c r="AC20" s="179"/>
      <c r="AD20" s="177"/>
      <c r="AE20" s="178"/>
      <c r="AF20" s="178"/>
      <c r="AG20" s="179"/>
      <c r="AH20" s="174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6"/>
      <c r="BD20" s="177"/>
      <c r="BE20" s="178"/>
      <c r="BF20" s="178"/>
      <c r="BG20" s="178"/>
      <c r="BH20" s="178"/>
      <c r="BI20" s="178"/>
      <c r="BJ20" s="179"/>
    </row>
    <row r="21" spans="1:62" ht="40.5" customHeight="1">
      <c r="A21" s="177"/>
      <c r="B21" s="178"/>
      <c r="C21" s="179"/>
      <c r="D21" s="180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2"/>
      <c r="R21" s="177"/>
      <c r="S21" s="178"/>
      <c r="T21" s="178"/>
      <c r="U21" s="179"/>
      <c r="V21" s="177"/>
      <c r="W21" s="178"/>
      <c r="X21" s="178"/>
      <c r="Y21" s="179"/>
      <c r="Z21" s="177"/>
      <c r="AA21" s="178"/>
      <c r="AB21" s="178"/>
      <c r="AC21" s="179"/>
      <c r="AD21" s="177"/>
      <c r="AE21" s="178"/>
      <c r="AF21" s="178"/>
      <c r="AG21" s="179"/>
      <c r="AH21" s="174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6"/>
      <c r="BD21" s="177"/>
      <c r="BE21" s="178"/>
      <c r="BF21" s="178"/>
      <c r="BG21" s="178"/>
      <c r="BH21" s="178"/>
      <c r="BI21" s="178"/>
      <c r="BJ21" s="179"/>
    </row>
    <row r="22" spans="1:62" ht="40.5" customHeight="1">
      <c r="A22" s="177"/>
      <c r="B22" s="178"/>
      <c r="C22" s="179"/>
      <c r="D22" s="180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/>
      <c r="R22" s="177"/>
      <c r="S22" s="178"/>
      <c r="T22" s="178"/>
      <c r="U22" s="179"/>
      <c r="V22" s="177"/>
      <c r="W22" s="178"/>
      <c r="X22" s="178"/>
      <c r="Y22" s="179"/>
      <c r="Z22" s="177"/>
      <c r="AA22" s="178"/>
      <c r="AB22" s="178"/>
      <c r="AC22" s="179"/>
      <c r="AD22" s="177"/>
      <c r="AE22" s="178"/>
      <c r="AF22" s="178"/>
      <c r="AG22" s="179"/>
      <c r="AH22" s="174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6"/>
      <c r="BD22" s="177"/>
      <c r="BE22" s="178"/>
      <c r="BF22" s="178"/>
      <c r="BG22" s="178"/>
      <c r="BH22" s="178"/>
      <c r="BI22" s="178"/>
      <c r="BJ22" s="179"/>
    </row>
    <row r="23" spans="1:62" ht="40.5" customHeight="1">
      <c r="A23" s="177"/>
      <c r="B23" s="178"/>
      <c r="C23" s="179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2"/>
      <c r="R23" s="177"/>
      <c r="S23" s="178"/>
      <c r="T23" s="178"/>
      <c r="U23" s="179"/>
      <c r="V23" s="177"/>
      <c r="W23" s="178"/>
      <c r="X23" s="178"/>
      <c r="Y23" s="179"/>
      <c r="Z23" s="177"/>
      <c r="AA23" s="178"/>
      <c r="AB23" s="178"/>
      <c r="AC23" s="179"/>
      <c r="AD23" s="177"/>
      <c r="AE23" s="178"/>
      <c r="AF23" s="178"/>
      <c r="AG23" s="179"/>
      <c r="AH23" s="174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6"/>
      <c r="BD23" s="177"/>
      <c r="BE23" s="178"/>
      <c r="BF23" s="178"/>
      <c r="BG23" s="178"/>
      <c r="BH23" s="178"/>
      <c r="BI23" s="178"/>
      <c r="BJ23" s="179"/>
    </row>
    <row r="24" spans="1:62" ht="40.5" customHeight="1">
      <c r="A24" s="177"/>
      <c r="B24" s="178"/>
      <c r="C24" s="179"/>
      <c r="D24" s="180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2"/>
      <c r="R24" s="177"/>
      <c r="S24" s="178"/>
      <c r="T24" s="178"/>
      <c r="U24" s="179"/>
      <c r="V24" s="177"/>
      <c r="W24" s="178"/>
      <c r="X24" s="178"/>
      <c r="Y24" s="179"/>
      <c r="Z24" s="177"/>
      <c r="AA24" s="178"/>
      <c r="AB24" s="178"/>
      <c r="AC24" s="179"/>
      <c r="AD24" s="177"/>
      <c r="AE24" s="178"/>
      <c r="AF24" s="178"/>
      <c r="AG24" s="179"/>
      <c r="AH24" s="174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6"/>
      <c r="BD24" s="177"/>
      <c r="BE24" s="178"/>
      <c r="BF24" s="178"/>
      <c r="BG24" s="178"/>
      <c r="BH24" s="178"/>
      <c r="BI24" s="178"/>
      <c r="BJ24" s="179"/>
    </row>
    <row r="25" spans="1:62" ht="40.5" customHeight="1">
      <c r="A25" s="177"/>
      <c r="B25" s="178"/>
      <c r="C25" s="179"/>
      <c r="D25" s="180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2"/>
      <c r="R25" s="177"/>
      <c r="S25" s="178"/>
      <c r="T25" s="178"/>
      <c r="U25" s="179"/>
      <c r="V25" s="177"/>
      <c r="W25" s="178"/>
      <c r="X25" s="178"/>
      <c r="Y25" s="179"/>
      <c r="Z25" s="177"/>
      <c r="AA25" s="178"/>
      <c r="AB25" s="178"/>
      <c r="AC25" s="179"/>
      <c r="AD25" s="177"/>
      <c r="AE25" s="178"/>
      <c r="AF25" s="178"/>
      <c r="AG25" s="179"/>
      <c r="AH25" s="174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6"/>
      <c r="BD25" s="177"/>
      <c r="BE25" s="178"/>
      <c r="BF25" s="178"/>
      <c r="BG25" s="178"/>
      <c r="BH25" s="178"/>
      <c r="BI25" s="178"/>
      <c r="BJ25" s="179"/>
    </row>
    <row r="26" spans="1:62" ht="40.5" customHeight="1">
      <c r="A26" s="177"/>
      <c r="B26" s="178"/>
      <c r="C26" s="179"/>
      <c r="D26" s="180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2"/>
      <c r="R26" s="177"/>
      <c r="S26" s="178"/>
      <c r="T26" s="178"/>
      <c r="U26" s="179"/>
      <c r="V26" s="177"/>
      <c r="W26" s="178"/>
      <c r="X26" s="178"/>
      <c r="Y26" s="179"/>
      <c r="Z26" s="177"/>
      <c r="AA26" s="178"/>
      <c r="AB26" s="178"/>
      <c r="AC26" s="179"/>
      <c r="AD26" s="177"/>
      <c r="AE26" s="178"/>
      <c r="AF26" s="178"/>
      <c r="AG26" s="179"/>
      <c r="AH26" s="174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6"/>
      <c r="BD26" s="177"/>
      <c r="BE26" s="178"/>
      <c r="BF26" s="178"/>
      <c r="BG26" s="178"/>
      <c r="BH26" s="178"/>
      <c r="BI26" s="178"/>
      <c r="BJ26" s="179"/>
    </row>
    <row r="27" spans="1:62" ht="40.5" customHeight="1">
      <c r="A27" s="177"/>
      <c r="B27" s="178"/>
      <c r="C27" s="179"/>
      <c r="D27" s="180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2"/>
      <c r="R27" s="177"/>
      <c r="S27" s="178"/>
      <c r="T27" s="178"/>
      <c r="U27" s="179"/>
      <c r="V27" s="177"/>
      <c r="W27" s="178"/>
      <c r="X27" s="178"/>
      <c r="Y27" s="179"/>
      <c r="Z27" s="177"/>
      <c r="AA27" s="178"/>
      <c r="AB27" s="178"/>
      <c r="AC27" s="179"/>
      <c r="AD27" s="177"/>
      <c r="AE27" s="178"/>
      <c r="AF27" s="178"/>
      <c r="AG27" s="179"/>
      <c r="AH27" s="174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6"/>
      <c r="BD27" s="177"/>
      <c r="BE27" s="178"/>
      <c r="BF27" s="178"/>
      <c r="BG27" s="178"/>
      <c r="BH27" s="178"/>
      <c r="BI27" s="178"/>
      <c r="BJ27" s="179"/>
    </row>
    <row r="28" spans="1:62" ht="40.5" customHeight="1">
      <c r="A28" s="177"/>
      <c r="B28" s="178"/>
      <c r="C28" s="179"/>
      <c r="D28" s="180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2"/>
      <c r="R28" s="177"/>
      <c r="S28" s="178"/>
      <c r="T28" s="178"/>
      <c r="U28" s="179"/>
      <c r="V28" s="177"/>
      <c r="W28" s="178"/>
      <c r="X28" s="178"/>
      <c r="Y28" s="179"/>
      <c r="Z28" s="177"/>
      <c r="AA28" s="178"/>
      <c r="AB28" s="178"/>
      <c r="AC28" s="179"/>
      <c r="AD28" s="177"/>
      <c r="AE28" s="178"/>
      <c r="AF28" s="178"/>
      <c r="AG28" s="179"/>
      <c r="AH28" s="174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6"/>
      <c r="BD28" s="177"/>
      <c r="BE28" s="178"/>
      <c r="BF28" s="178"/>
      <c r="BG28" s="178"/>
      <c r="BH28" s="178"/>
      <c r="BI28" s="178"/>
      <c r="BJ28" s="179"/>
    </row>
    <row r="29" spans="1:62" ht="40.5" customHeight="1">
      <c r="A29" s="177"/>
      <c r="B29" s="178"/>
      <c r="C29" s="179"/>
      <c r="D29" s="180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2"/>
      <c r="R29" s="177"/>
      <c r="S29" s="178"/>
      <c r="T29" s="178"/>
      <c r="U29" s="179"/>
      <c r="V29" s="177"/>
      <c r="W29" s="178"/>
      <c r="X29" s="178"/>
      <c r="Y29" s="179"/>
      <c r="Z29" s="177"/>
      <c r="AA29" s="178"/>
      <c r="AB29" s="178"/>
      <c r="AC29" s="179"/>
      <c r="AD29" s="177"/>
      <c r="AE29" s="178"/>
      <c r="AF29" s="178"/>
      <c r="AG29" s="179"/>
      <c r="AH29" s="174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5"/>
      <c r="BB29" s="175"/>
      <c r="BC29" s="176"/>
      <c r="BD29" s="177"/>
      <c r="BE29" s="178"/>
      <c r="BF29" s="178"/>
      <c r="BG29" s="178"/>
      <c r="BH29" s="178"/>
      <c r="BI29" s="178"/>
      <c r="BJ29" s="179"/>
    </row>
    <row r="30" spans="1:62" ht="40.5" customHeight="1">
      <c r="A30" s="177"/>
      <c r="B30" s="178"/>
      <c r="C30" s="179"/>
      <c r="D30" s="180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2"/>
      <c r="R30" s="177"/>
      <c r="S30" s="178"/>
      <c r="T30" s="178"/>
      <c r="U30" s="179"/>
      <c r="V30" s="177"/>
      <c r="W30" s="178"/>
      <c r="X30" s="178"/>
      <c r="Y30" s="179"/>
      <c r="Z30" s="177"/>
      <c r="AA30" s="178"/>
      <c r="AB30" s="178"/>
      <c r="AC30" s="179"/>
      <c r="AD30" s="177"/>
      <c r="AE30" s="178"/>
      <c r="AF30" s="178"/>
      <c r="AG30" s="179"/>
      <c r="AH30" s="174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6"/>
      <c r="BD30" s="177"/>
      <c r="BE30" s="178"/>
      <c r="BF30" s="178"/>
      <c r="BG30" s="178"/>
      <c r="BH30" s="178"/>
      <c r="BI30" s="178"/>
      <c r="BJ30" s="179"/>
    </row>
    <row r="31" spans="1:62" ht="40.5" customHeight="1">
      <c r="A31" s="177"/>
      <c r="B31" s="178"/>
      <c r="C31" s="179"/>
      <c r="D31" s="180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2"/>
      <c r="R31" s="177"/>
      <c r="S31" s="178"/>
      <c r="T31" s="178"/>
      <c r="U31" s="179"/>
      <c r="V31" s="177"/>
      <c r="W31" s="178"/>
      <c r="X31" s="178"/>
      <c r="Y31" s="179"/>
      <c r="Z31" s="177"/>
      <c r="AA31" s="178"/>
      <c r="AB31" s="178"/>
      <c r="AC31" s="179"/>
      <c r="AD31" s="177"/>
      <c r="AE31" s="178"/>
      <c r="AF31" s="178"/>
      <c r="AG31" s="179"/>
      <c r="AH31" s="174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6"/>
      <c r="BD31" s="177"/>
      <c r="BE31" s="178"/>
      <c r="BF31" s="178"/>
      <c r="BG31" s="178"/>
      <c r="BH31" s="178"/>
      <c r="BI31" s="178"/>
      <c r="BJ31" s="179"/>
    </row>
    <row r="32" spans="1:62" ht="40.5" customHeight="1">
      <c r="A32" s="177"/>
      <c r="B32" s="178"/>
      <c r="C32" s="179"/>
      <c r="D32" s="180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2"/>
      <c r="R32" s="177"/>
      <c r="S32" s="178"/>
      <c r="T32" s="178"/>
      <c r="U32" s="179"/>
      <c r="V32" s="177"/>
      <c r="W32" s="178"/>
      <c r="X32" s="178"/>
      <c r="Y32" s="179"/>
      <c r="Z32" s="177"/>
      <c r="AA32" s="178"/>
      <c r="AB32" s="178"/>
      <c r="AC32" s="179"/>
      <c r="AD32" s="177"/>
      <c r="AE32" s="178"/>
      <c r="AF32" s="178"/>
      <c r="AG32" s="179"/>
      <c r="AH32" s="174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6"/>
      <c r="BD32" s="177"/>
      <c r="BE32" s="178"/>
      <c r="BF32" s="178"/>
      <c r="BG32" s="178"/>
      <c r="BH32" s="178"/>
      <c r="BI32" s="178"/>
      <c r="BJ32" s="179"/>
    </row>
    <row r="33" spans="1:62" ht="40.5" customHeight="1">
      <c r="A33" s="186"/>
      <c r="B33" s="187"/>
      <c r="C33" s="188"/>
      <c r="D33" s="189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1"/>
      <c r="R33" s="186"/>
      <c r="S33" s="187"/>
      <c r="T33" s="187"/>
      <c r="U33" s="188"/>
      <c r="V33" s="186"/>
      <c r="W33" s="187"/>
      <c r="X33" s="187"/>
      <c r="Y33" s="188"/>
      <c r="Z33" s="186"/>
      <c r="AA33" s="187"/>
      <c r="AB33" s="187"/>
      <c r="AC33" s="188"/>
      <c r="AD33" s="186"/>
      <c r="AE33" s="187"/>
      <c r="AF33" s="187"/>
      <c r="AG33" s="188"/>
      <c r="AH33" s="183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5"/>
      <c r="BD33" s="186"/>
      <c r="BE33" s="187"/>
      <c r="BF33" s="187"/>
      <c r="BG33" s="187"/>
      <c r="BH33" s="187"/>
      <c r="BI33" s="187"/>
      <c r="BJ33" s="18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9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97" t="s">
        <v>47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9"/>
      <c r="AT2" s="91" t="s">
        <v>3</v>
      </c>
      <c r="AU2" s="92"/>
      <c r="AV2" s="92"/>
      <c r="AW2" s="92"/>
      <c r="AX2" s="93"/>
      <c r="AY2" s="91" t="s">
        <v>48</v>
      </c>
      <c r="AZ2" s="92"/>
      <c r="BA2" s="92"/>
      <c r="BB2" s="93"/>
      <c r="BC2" s="91" t="s">
        <v>5</v>
      </c>
      <c r="BD2" s="92"/>
      <c r="BE2" s="92"/>
      <c r="BF2" s="93"/>
      <c r="BG2" s="91"/>
      <c r="BH2" s="92"/>
      <c r="BI2" s="92"/>
      <c r="BJ2" s="93"/>
    </row>
    <row r="3" spans="1:63" s="1" customFormat="1" ht="18" customHeight="1">
      <c r="A3" s="100" t="s">
        <v>6</v>
      </c>
      <c r="B3" s="101"/>
      <c r="C3" s="101"/>
      <c r="D3" s="101"/>
      <c r="E3" s="101"/>
      <c r="F3" s="101"/>
      <c r="G3" s="101"/>
      <c r="H3" s="102"/>
      <c r="I3" s="106" t="s">
        <v>167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8"/>
      <c r="AT3" s="91" t="s">
        <v>7</v>
      </c>
      <c r="AU3" s="92"/>
      <c r="AV3" s="92"/>
      <c r="AW3" s="92"/>
      <c r="AX3" s="93"/>
      <c r="AY3" s="91" t="s">
        <v>166</v>
      </c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3"/>
    </row>
    <row r="4" spans="1:63" s="1" customFormat="1" ht="18" customHeight="1">
      <c r="A4" s="103"/>
      <c r="B4" s="104"/>
      <c r="C4" s="104"/>
      <c r="D4" s="104"/>
      <c r="E4" s="104"/>
      <c r="F4" s="104"/>
      <c r="G4" s="104"/>
      <c r="H4" s="105"/>
      <c r="I4" s="109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91" t="s">
        <v>8</v>
      </c>
      <c r="AU4" s="92"/>
      <c r="AV4" s="92"/>
      <c r="AW4" s="92"/>
      <c r="AX4" s="93"/>
      <c r="AY4" s="91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69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91" t="s">
        <v>20</v>
      </c>
      <c r="B8" s="92"/>
      <c r="C8" s="93"/>
      <c r="D8" s="91" t="s">
        <v>128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3"/>
      <c r="R8" s="91" t="s">
        <v>49</v>
      </c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3"/>
      <c r="BD8" s="192" t="s">
        <v>46</v>
      </c>
      <c r="BE8" s="193"/>
      <c r="BF8" s="193"/>
      <c r="BG8" s="193"/>
      <c r="BH8" s="193"/>
      <c r="BI8" s="193"/>
      <c r="BJ8" s="194"/>
    </row>
    <row r="9" spans="1:63" s="11" customFormat="1" ht="40.5" customHeight="1">
      <c r="A9" s="195"/>
      <c r="B9" s="196"/>
      <c r="C9" s="197"/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200"/>
      <c r="R9" s="198" t="s">
        <v>51</v>
      </c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200"/>
      <c r="BD9" s="195"/>
      <c r="BE9" s="196"/>
      <c r="BF9" s="196"/>
      <c r="BG9" s="196"/>
      <c r="BH9" s="196"/>
      <c r="BI9" s="196"/>
      <c r="BJ9" s="197"/>
    </row>
    <row r="10" spans="1:63" ht="40.5" customHeight="1">
      <c r="A10" s="177"/>
      <c r="B10" s="178"/>
      <c r="C10" s="179"/>
      <c r="D10" s="180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  <c r="R10" s="180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2"/>
      <c r="BD10" s="177"/>
      <c r="BE10" s="178"/>
      <c r="BF10" s="178"/>
      <c r="BG10" s="178"/>
      <c r="BH10" s="178"/>
      <c r="BI10" s="178"/>
      <c r="BJ10" s="179"/>
    </row>
    <row r="11" spans="1:63" ht="40.5" customHeight="1">
      <c r="A11" s="177"/>
      <c r="B11" s="178"/>
      <c r="C11" s="179"/>
      <c r="D11" s="180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2"/>
      <c r="R11" s="180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2"/>
      <c r="BD11" s="177"/>
      <c r="BE11" s="178"/>
      <c r="BF11" s="178"/>
      <c r="BG11" s="178"/>
      <c r="BH11" s="178"/>
      <c r="BI11" s="178"/>
      <c r="BJ11" s="179"/>
    </row>
    <row r="12" spans="1:63" ht="40.5" customHeight="1">
      <c r="A12" s="177"/>
      <c r="B12" s="178"/>
      <c r="C12" s="179"/>
      <c r="D12" s="180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  <c r="R12" s="180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2"/>
      <c r="BD12" s="177"/>
      <c r="BE12" s="178"/>
      <c r="BF12" s="178"/>
      <c r="BG12" s="178"/>
      <c r="BH12" s="178"/>
      <c r="BI12" s="178"/>
      <c r="BJ12" s="179"/>
    </row>
    <row r="13" spans="1:63" ht="40.5" customHeight="1">
      <c r="A13" s="177"/>
      <c r="B13" s="178"/>
      <c r="C13" s="179"/>
      <c r="D13" s="180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2"/>
      <c r="R13" s="180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181"/>
      <c r="BC13" s="182"/>
      <c r="BD13" s="177"/>
      <c r="BE13" s="178"/>
      <c r="BF13" s="178"/>
      <c r="BG13" s="178"/>
      <c r="BH13" s="178"/>
      <c r="BI13" s="178"/>
      <c r="BJ13" s="179"/>
    </row>
    <row r="14" spans="1:63" ht="40.5" customHeight="1">
      <c r="A14" s="177"/>
      <c r="B14" s="178"/>
      <c r="C14" s="179"/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  <c r="R14" s="180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2"/>
      <c r="BD14" s="177"/>
      <c r="BE14" s="178"/>
      <c r="BF14" s="178"/>
      <c r="BG14" s="178"/>
      <c r="BH14" s="178"/>
      <c r="BI14" s="178"/>
      <c r="BJ14" s="179"/>
    </row>
    <row r="15" spans="1:63" ht="40.5" customHeight="1">
      <c r="A15" s="177"/>
      <c r="B15" s="178"/>
      <c r="C15" s="179"/>
      <c r="D15" s="180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80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2"/>
      <c r="BD15" s="177"/>
      <c r="BE15" s="178"/>
      <c r="BF15" s="178"/>
      <c r="BG15" s="178"/>
      <c r="BH15" s="178"/>
      <c r="BI15" s="178"/>
      <c r="BJ15" s="179"/>
    </row>
    <row r="16" spans="1:63" ht="40.5" customHeight="1">
      <c r="A16" s="177"/>
      <c r="B16" s="178"/>
      <c r="C16" s="179"/>
      <c r="D16" s="180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  <c r="R16" s="180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2"/>
      <c r="BD16" s="177"/>
      <c r="BE16" s="178"/>
      <c r="BF16" s="178"/>
      <c r="BG16" s="178"/>
      <c r="BH16" s="178"/>
      <c r="BI16" s="178"/>
      <c r="BJ16" s="179"/>
    </row>
    <row r="17" spans="1:62" ht="40.5" customHeight="1">
      <c r="A17" s="177"/>
      <c r="B17" s="178"/>
      <c r="C17" s="179"/>
      <c r="D17" s="180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/>
      <c r="R17" s="180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2"/>
      <c r="BD17" s="177"/>
      <c r="BE17" s="178"/>
      <c r="BF17" s="178"/>
      <c r="BG17" s="178"/>
      <c r="BH17" s="178"/>
      <c r="BI17" s="178"/>
      <c r="BJ17" s="179"/>
    </row>
    <row r="18" spans="1:62" ht="40.5" customHeight="1">
      <c r="A18" s="177"/>
      <c r="B18" s="178"/>
      <c r="C18" s="179"/>
      <c r="D18" s="180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2"/>
      <c r="R18" s="180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2"/>
      <c r="BD18" s="177"/>
      <c r="BE18" s="178"/>
      <c r="BF18" s="178"/>
      <c r="BG18" s="178"/>
      <c r="BH18" s="178"/>
      <c r="BI18" s="178"/>
      <c r="BJ18" s="179"/>
    </row>
    <row r="19" spans="1:62" ht="40.5" customHeight="1">
      <c r="A19" s="177"/>
      <c r="B19" s="178"/>
      <c r="C19" s="179"/>
      <c r="D19" s="180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2"/>
      <c r="R19" s="180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2"/>
      <c r="BD19" s="177"/>
      <c r="BE19" s="178"/>
      <c r="BF19" s="178"/>
      <c r="BG19" s="178"/>
      <c r="BH19" s="178"/>
      <c r="BI19" s="178"/>
      <c r="BJ19" s="179"/>
    </row>
    <row r="20" spans="1:62" ht="40.5" customHeight="1">
      <c r="A20" s="177"/>
      <c r="B20" s="178"/>
      <c r="C20" s="179"/>
      <c r="D20" s="180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2"/>
      <c r="R20" s="180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2"/>
      <c r="BD20" s="177"/>
      <c r="BE20" s="178"/>
      <c r="BF20" s="178"/>
      <c r="BG20" s="178"/>
      <c r="BH20" s="178"/>
      <c r="BI20" s="178"/>
      <c r="BJ20" s="179"/>
    </row>
    <row r="21" spans="1:62" ht="40.5" customHeight="1">
      <c r="A21" s="177"/>
      <c r="B21" s="178"/>
      <c r="C21" s="179"/>
      <c r="D21" s="180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2"/>
      <c r="R21" s="180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2"/>
      <c r="BD21" s="177"/>
      <c r="BE21" s="178"/>
      <c r="BF21" s="178"/>
      <c r="BG21" s="178"/>
      <c r="BH21" s="178"/>
      <c r="BI21" s="178"/>
      <c r="BJ21" s="179"/>
    </row>
    <row r="22" spans="1:62" ht="40.5" customHeight="1">
      <c r="A22" s="177"/>
      <c r="B22" s="178"/>
      <c r="C22" s="179"/>
      <c r="D22" s="180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/>
      <c r="R22" s="180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2"/>
      <c r="BD22" s="177"/>
      <c r="BE22" s="178"/>
      <c r="BF22" s="178"/>
      <c r="BG22" s="178"/>
      <c r="BH22" s="178"/>
      <c r="BI22" s="178"/>
      <c r="BJ22" s="179"/>
    </row>
    <row r="23" spans="1:62" ht="40.5" customHeight="1">
      <c r="A23" s="177"/>
      <c r="B23" s="178"/>
      <c r="C23" s="179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2"/>
      <c r="R23" s="180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2"/>
      <c r="BD23" s="177"/>
      <c r="BE23" s="178"/>
      <c r="BF23" s="178"/>
      <c r="BG23" s="178"/>
      <c r="BH23" s="178"/>
      <c r="BI23" s="178"/>
      <c r="BJ23" s="179"/>
    </row>
    <row r="24" spans="1:62" ht="40.5" customHeight="1">
      <c r="A24" s="177"/>
      <c r="B24" s="178"/>
      <c r="C24" s="179"/>
      <c r="D24" s="180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2"/>
      <c r="R24" s="180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2"/>
      <c r="BD24" s="177"/>
      <c r="BE24" s="178"/>
      <c r="BF24" s="178"/>
      <c r="BG24" s="178"/>
      <c r="BH24" s="178"/>
      <c r="BI24" s="178"/>
      <c r="BJ24" s="179"/>
    </row>
    <row r="25" spans="1:62" ht="40.5" customHeight="1">
      <c r="A25" s="177"/>
      <c r="B25" s="178"/>
      <c r="C25" s="179"/>
      <c r="D25" s="180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2"/>
      <c r="R25" s="180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2"/>
      <c r="BD25" s="177"/>
      <c r="BE25" s="178"/>
      <c r="BF25" s="178"/>
      <c r="BG25" s="178"/>
      <c r="BH25" s="178"/>
      <c r="BI25" s="178"/>
      <c r="BJ25" s="179"/>
    </row>
    <row r="26" spans="1:62" ht="40.5" customHeight="1">
      <c r="A26" s="177"/>
      <c r="B26" s="178"/>
      <c r="C26" s="179"/>
      <c r="D26" s="180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2"/>
      <c r="R26" s="180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2"/>
      <c r="BD26" s="177"/>
      <c r="BE26" s="178"/>
      <c r="BF26" s="178"/>
      <c r="BG26" s="178"/>
      <c r="BH26" s="178"/>
      <c r="BI26" s="178"/>
      <c r="BJ26" s="179"/>
    </row>
    <row r="27" spans="1:62" ht="40.5" customHeight="1">
      <c r="A27" s="177"/>
      <c r="B27" s="178"/>
      <c r="C27" s="179"/>
      <c r="D27" s="180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2"/>
      <c r="R27" s="180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2"/>
      <c r="BD27" s="177"/>
      <c r="BE27" s="178"/>
      <c r="BF27" s="178"/>
      <c r="BG27" s="178"/>
      <c r="BH27" s="178"/>
      <c r="BI27" s="178"/>
      <c r="BJ27" s="179"/>
    </row>
    <row r="28" spans="1:62" ht="40.5" customHeight="1">
      <c r="A28" s="177"/>
      <c r="B28" s="178"/>
      <c r="C28" s="179"/>
      <c r="D28" s="180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2"/>
      <c r="R28" s="180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2"/>
      <c r="BD28" s="177"/>
      <c r="BE28" s="178"/>
      <c r="BF28" s="178"/>
      <c r="BG28" s="178"/>
      <c r="BH28" s="178"/>
      <c r="BI28" s="178"/>
      <c r="BJ28" s="179"/>
    </row>
    <row r="29" spans="1:62" ht="40.5" customHeight="1">
      <c r="A29" s="177"/>
      <c r="B29" s="178"/>
      <c r="C29" s="179"/>
      <c r="D29" s="180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2"/>
      <c r="R29" s="180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2"/>
      <c r="BD29" s="177"/>
      <c r="BE29" s="178"/>
      <c r="BF29" s="178"/>
      <c r="BG29" s="178"/>
      <c r="BH29" s="178"/>
      <c r="BI29" s="178"/>
      <c r="BJ29" s="179"/>
    </row>
    <row r="30" spans="1:62" ht="40.5" customHeight="1">
      <c r="A30" s="177"/>
      <c r="B30" s="178"/>
      <c r="C30" s="179"/>
      <c r="D30" s="180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2"/>
      <c r="R30" s="180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2"/>
      <c r="BD30" s="177"/>
      <c r="BE30" s="178"/>
      <c r="BF30" s="178"/>
      <c r="BG30" s="178"/>
      <c r="BH30" s="178"/>
      <c r="BI30" s="178"/>
      <c r="BJ30" s="179"/>
    </row>
    <row r="31" spans="1:62" ht="40.5" customHeight="1">
      <c r="A31" s="177"/>
      <c r="B31" s="178"/>
      <c r="C31" s="179"/>
      <c r="D31" s="180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2"/>
      <c r="R31" s="180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2"/>
      <c r="BD31" s="177"/>
      <c r="BE31" s="178"/>
      <c r="BF31" s="178"/>
      <c r="BG31" s="178"/>
      <c r="BH31" s="178"/>
      <c r="BI31" s="178"/>
      <c r="BJ31" s="179"/>
    </row>
    <row r="32" spans="1:62" ht="40.5" customHeight="1">
      <c r="A32" s="177"/>
      <c r="B32" s="178"/>
      <c r="C32" s="179"/>
      <c r="D32" s="180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2"/>
      <c r="R32" s="180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2"/>
      <c r="BD32" s="177"/>
      <c r="BE32" s="178"/>
      <c r="BF32" s="178"/>
      <c r="BG32" s="178"/>
      <c r="BH32" s="178"/>
      <c r="BI32" s="178"/>
      <c r="BJ32" s="179"/>
    </row>
    <row r="33" spans="1:62" ht="40.5" customHeight="1">
      <c r="A33" s="186"/>
      <c r="B33" s="187"/>
      <c r="C33" s="188"/>
      <c r="D33" s="189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1"/>
      <c r="R33" s="189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0"/>
      <c r="BC33" s="191"/>
      <c r="BD33" s="186"/>
      <c r="BE33" s="187"/>
      <c r="BF33" s="187"/>
      <c r="BG33" s="187"/>
      <c r="BH33" s="187"/>
      <c r="BI33" s="187"/>
      <c r="BJ33" s="188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BD5D3-0F24-4382-A596-82ED4631FAA9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4a1f72ec-30b8-4383-892a-fcacdd251f13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9cc7365-e218-4624-aedb-0a55e821af1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CSVイメージ_データ(参考資料-合計サンプル）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2025-07-09T02:39:47Z</cp:lastPrinted>
  <dcterms:created xsi:type="dcterms:W3CDTF">2001-03-06T02:20:07Z</dcterms:created>
  <dcterms:modified xsi:type="dcterms:W3CDTF">2025-08-26T06:06:06Z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