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3.管理会計データ出力\"/>
    </mc:Choice>
  </mc:AlternateContent>
  <xr:revisionPtr revIDLastSave="0" documentId="13_ncr:1_{82ECC74D-BCC0-416C-8AE2-995F4B825C15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 _データ_1" sheetId="35" r:id="rId4"/>
    <sheet name="CSVイメージ _データ_2" sheetId="36" r:id="rId5"/>
    <sheet name="取込チェック・単体" sheetId="22" r:id="rId6"/>
    <sheet name="取込チェック・関連" sheetId="23" r:id="rId7"/>
  </sheets>
  <definedNames>
    <definedName name="_xlnm._FilterDatabase" localSheetId="2" hidden="1">CSVイメージ!$A$9:$BJ$9</definedName>
    <definedName name="_xlnm._FilterDatabase" localSheetId="1" hidden="1">項目定義書!$A$28:$BJ$28</definedName>
    <definedName name="_xlnm.Print_Area" localSheetId="2">CSVイメージ!$A$1:$BJ$54</definedName>
    <definedName name="_xlnm.Print_Area" localSheetId="1">項目定義書!$A$1:$BJ$63</definedName>
    <definedName name="_xlnm.Print_Area" localSheetId="6">取込チェック・関連!$A$1:$BJ$33</definedName>
    <definedName name="_xlnm.Print_Area" localSheetId="5">取込チェック・単体!$A$1:$BJ$33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項目定義書!$1:$28</definedName>
    <definedName name="_xlnm.Print_Titles" localSheetId="6">取込チェック・関連!$1:$8</definedName>
    <definedName name="_xlnm.Print_Titles" localSheetId="5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3" i="36" l="1"/>
  <c r="AC253" i="36"/>
  <c r="Z253" i="36"/>
  <c r="AE252" i="36"/>
  <c r="AC252" i="36"/>
  <c r="Z252" i="36"/>
  <c r="X254" i="36"/>
  <c r="Y254" i="36"/>
  <c r="AA254" i="36"/>
  <c r="AB254" i="36"/>
  <c r="AC254" i="36"/>
  <c r="AD254" i="36"/>
  <c r="X266" i="36"/>
  <c r="X260" i="36"/>
  <c r="X259" i="36"/>
  <c r="Z259" i="36" s="1"/>
  <c r="X247" i="36"/>
  <c r="Y247" i="36"/>
  <c r="AA247" i="36"/>
  <c r="AB247" i="36"/>
  <c r="AD247" i="36"/>
  <c r="X248" i="36"/>
  <c r="Y248" i="36"/>
  <c r="AA248" i="36"/>
  <c r="AB248" i="36"/>
  <c r="AD248" i="36"/>
  <c r="X249" i="36"/>
  <c r="Y249" i="36"/>
  <c r="AA249" i="36"/>
  <c r="AB249" i="36"/>
  <c r="AD249" i="36"/>
  <c r="Z250" i="36"/>
  <c r="AC250" i="36"/>
  <c r="AE250" i="36"/>
  <c r="X251" i="36"/>
  <c r="Y251" i="36"/>
  <c r="AA251" i="36"/>
  <c r="AB251" i="36"/>
  <c r="AD251" i="36"/>
  <c r="Y246" i="36"/>
  <c r="AA246" i="36"/>
  <c r="AB246" i="36"/>
  <c r="AD246" i="36"/>
  <c r="X246" i="36"/>
  <c r="X245" i="36"/>
  <c r="Y245" i="36"/>
  <c r="AA245" i="36"/>
  <c r="AB245" i="36"/>
  <c r="AD245" i="36"/>
  <c r="X241" i="36"/>
  <c r="Y241" i="36"/>
  <c r="AA241" i="36"/>
  <c r="AB241" i="36"/>
  <c r="AD241" i="36"/>
  <c r="X242" i="36"/>
  <c r="Y242" i="36"/>
  <c r="AA242" i="36"/>
  <c r="AB242" i="36"/>
  <c r="AD242" i="36"/>
  <c r="X243" i="36"/>
  <c r="Y243" i="36"/>
  <c r="Z243" i="36"/>
  <c r="AA243" i="36"/>
  <c r="AB243" i="36"/>
  <c r="AC243" i="36" s="1"/>
  <c r="AD243" i="36"/>
  <c r="Y240" i="36"/>
  <c r="AA240" i="36"/>
  <c r="AB240" i="36"/>
  <c r="AD240" i="36"/>
  <c r="X240" i="36"/>
  <c r="Y237" i="36"/>
  <c r="AA237" i="36"/>
  <c r="AB237" i="36"/>
  <c r="AD237" i="36"/>
  <c r="X237" i="36"/>
  <c r="AD271" i="36"/>
  <c r="AB271" i="36"/>
  <c r="AE271" i="36" s="1"/>
  <c r="AA271" i="36"/>
  <c r="Y271" i="36"/>
  <c r="X271" i="36"/>
  <c r="Z271" i="36" s="1"/>
  <c r="AD269" i="36"/>
  <c r="AB269" i="36"/>
  <c r="AE269" i="36" s="1"/>
  <c r="AA269" i="36"/>
  <c r="Y269" i="36"/>
  <c r="X269" i="36"/>
  <c r="Z269" i="36" s="1"/>
  <c r="AD268" i="36"/>
  <c r="AB268" i="36"/>
  <c r="AE268" i="36" s="1"/>
  <c r="AA268" i="36"/>
  <c r="Y268" i="36"/>
  <c r="X268" i="36"/>
  <c r="Z268" i="36" s="1"/>
  <c r="AD267" i="36"/>
  <c r="AB267" i="36"/>
  <c r="AE267" i="36" s="1"/>
  <c r="AA267" i="36"/>
  <c r="Y267" i="36"/>
  <c r="X267" i="36"/>
  <c r="Z267" i="36" s="1"/>
  <c r="AD266" i="36"/>
  <c r="AB266" i="36"/>
  <c r="AA266" i="36"/>
  <c r="Y266" i="36"/>
  <c r="AD265" i="36"/>
  <c r="AB265" i="36"/>
  <c r="AA265" i="36"/>
  <c r="Y265" i="36"/>
  <c r="X265" i="36"/>
  <c r="AD263" i="36"/>
  <c r="AB263" i="36"/>
  <c r="AE263" i="36" s="1"/>
  <c r="AA263" i="36"/>
  <c r="Y263" i="36"/>
  <c r="X263" i="36"/>
  <c r="AD262" i="36"/>
  <c r="AB262" i="36"/>
  <c r="AE262" i="36" s="1"/>
  <c r="AA262" i="36"/>
  <c r="Y262" i="36"/>
  <c r="X262" i="36"/>
  <c r="Z262" i="36" s="1"/>
  <c r="AD261" i="36"/>
  <c r="AB261" i="36"/>
  <c r="AA261" i="36"/>
  <c r="Y261" i="36"/>
  <c r="X261" i="36"/>
  <c r="AD260" i="36"/>
  <c r="AB260" i="36"/>
  <c r="AA260" i="36"/>
  <c r="Y260" i="36"/>
  <c r="AD259" i="36"/>
  <c r="AB259" i="36"/>
  <c r="AA259" i="36"/>
  <c r="Y259" i="36"/>
  <c r="AD257" i="36"/>
  <c r="AB257" i="36"/>
  <c r="AA257" i="36"/>
  <c r="Y257" i="36"/>
  <c r="X257" i="36"/>
  <c r="AD256" i="36"/>
  <c r="AB256" i="36"/>
  <c r="AE256" i="36" s="1"/>
  <c r="AA256" i="36"/>
  <c r="Y256" i="36"/>
  <c r="X256" i="36"/>
  <c r="Z256" i="36" s="1"/>
  <c r="AD255" i="36"/>
  <c r="AB255" i="36"/>
  <c r="AA255" i="36"/>
  <c r="Y255" i="36"/>
  <c r="X255" i="36"/>
  <c r="Z255" i="36" s="1"/>
  <c r="AE220" i="36"/>
  <c r="AC220" i="36"/>
  <c r="Z220" i="36"/>
  <c r="AE219" i="36"/>
  <c r="AC219" i="36"/>
  <c r="Z219" i="36"/>
  <c r="AE205" i="36"/>
  <c r="AC205" i="36"/>
  <c r="Z205" i="36"/>
  <c r="AE204" i="36"/>
  <c r="AC204" i="36"/>
  <c r="Z204" i="36"/>
  <c r="AE241" i="36" l="1"/>
  <c r="Z260" i="36"/>
  <c r="AC266" i="36"/>
  <c r="AE237" i="36"/>
  <c r="Z237" i="36"/>
  <c r="AE254" i="36"/>
  <c r="Z240" i="36"/>
  <c r="AE240" i="36"/>
  <c r="Z254" i="36"/>
  <c r="Z266" i="36"/>
  <c r="AE261" i="36"/>
  <c r="Z265" i="36"/>
  <c r="AC265" i="36"/>
  <c r="AC240" i="36"/>
  <c r="Z245" i="36"/>
  <c r="AE243" i="36"/>
  <c r="Z242" i="36"/>
  <c r="AC241" i="36"/>
  <c r="Z257" i="36"/>
  <c r="AC255" i="36"/>
  <c r="AC237" i="36"/>
  <c r="AC259" i="36"/>
  <c r="Z241" i="36"/>
  <c r="AE260" i="36"/>
  <c r="Z263" i="36"/>
  <c r="AC242" i="36"/>
  <c r="AC245" i="36"/>
  <c r="AC257" i="36"/>
  <c r="Z261" i="36"/>
  <c r="AE245" i="36"/>
  <c r="AE242" i="36"/>
  <c r="AE259" i="36"/>
  <c r="AE266" i="36"/>
  <c r="AC261" i="36"/>
  <c r="AE265" i="36"/>
  <c r="AC256" i="36"/>
  <c r="AC260" i="36"/>
  <c r="AC263" i="36"/>
  <c r="AC267" i="36"/>
  <c r="AC271" i="36"/>
  <c r="AC262" i="36"/>
  <c r="AE255" i="36"/>
  <c r="AC268" i="36"/>
  <c r="AE257" i="36"/>
  <c r="AC269" i="36"/>
  <c r="Z20" i="36"/>
  <c r="AC20" i="36"/>
  <c r="AE20" i="36"/>
  <c r="AE322" i="36"/>
  <c r="AC322" i="36"/>
  <c r="Z322" i="36"/>
  <c r="AE321" i="36"/>
  <c r="AC321" i="36"/>
  <c r="Z321" i="36"/>
  <c r="AE320" i="36"/>
  <c r="AE251" i="36" s="1"/>
  <c r="AC320" i="36"/>
  <c r="AC251" i="36" s="1"/>
  <c r="Z320" i="36"/>
  <c r="Z251" i="36" s="1"/>
  <c r="AE318" i="36"/>
  <c r="AE249" i="36" s="1"/>
  <c r="AC318" i="36"/>
  <c r="AC249" i="36" s="1"/>
  <c r="Z318" i="36"/>
  <c r="Z249" i="36" s="1"/>
  <c r="AE317" i="36"/>
  <c r="AE248" i="36" s="1"/>
  <c r="AC317" i="36"/>
  <c r="AC248" i="36" s="1"/>
  <c r="Z317" i="36"/>
  <c r="Z248" i="36" s="1"/>
  <c r="AE316" i="36"/>
  <c r="AE247" i="36" s="1"/>
  <c r="AC316" i="36"/>
  <c r="AC247" i="36" s="1"/>
  <c r="Z316" i="36"/>
  <c r="Z247" i="36" s="1"/>
  <c r="AE315" i="36"/>
  <c r="AE246" i="36" s="1"/>
  <c r="AC315" i="36"/>
  <c r="AC246" i="36" s="1"/>
  <c r="Z315" i="36"/>
  <c r="Z246" i="36" s="1"/>
  <c r="AE137" i="36"/>
  <c r="AC137" i="36"/>
  <c r="Z137" i="36"/>
  <c r="AE136" i="36"/>
  <c r="AC136" i="36"/>
  <c r="Z136" i="36"/>
  <c r="AE68" i="36"/>
  <c r="AC68" i="36"/>
  <c r="Z68" i="36"/>
  <c r="AE67" i="36"/>
  <c r="AC67" i="36"/>
  <c r="Z67" i="36"/>
  <c r="AE35" i="36"/>
  <c r="AC35" i="36"/>
  <c r="Z35" i="36"/>
  <c r="AE34" i="36"/>
  <c r="AC34" i="36"/>
  <c r="Z34" i="36"/>
  <c r="Z46" i="36"/>
  <c r="AC46" i="36"/>
  <c r="AE46" i="36"/>
  <c r="Z40" i="36"/>
  <c r="AC40" i="36"/>
  <c r="AE40" i="36"/>
  <c r="X82" i="36"/>
  <c r="X43" i="36" s="1"/>
  <c r="Y82" i="36"/>
  <c r="Y43" i="36" s="1"/>
  <c r="AA82" i="36"/>
  <c r="AA43" i="36" s="1"/>
  <c r="AB82" i="36"/>
  <c r="AD82" i="36"/>
  <c r="AD43" i="36" s="1"/>
  <c r="X83" i="36"/>
  <c r="Y83" i="36"/>
  <c r="Y44" i="36" s="1"/>
  <c r="AA83" i="36"/>
  <c r="AA44" i="36" s="1"/>
  <c r="AB83" i="36"/>
  <c r="AD83" i="36"/>
  <c r="AD44" i="36" s="1"/>
  <c r="X84" i="36"/>
  <c r="X45" i="36" s="1"/>
  <c r="Y84" i="36"/>
  <c r="Y45" i="36" s="1"/>
  <c r="AA84" i="36"/>
  <c r="AA45" i="36" s="1"/>
  <c r="AB84" i="36"/>
  <c r="AD84" i="36"/>
  <c r="AD45" i="36" s="1"/>
  <c r="X86" i="36"/>
  <c r="X47" i="36" s="1"/>
  <c r="Y86" i="36"/>
  <c r="Y47" i="36" s="1"/>
  <c r="AA86" i="36"/>
  <c r="AA47" i="36" s="1"/>
  <c r="AB86" i="36"/>
  <c r="AD86" i="36"/>
  <c r="AD47" i="36" s="1"/>
  <c r="Y81" i="36"/>
  <c r="Y42" i="36" s="1"/>
  <c r="AA81" i="36"/>
  <c r="AA42" i="36" s="1"/>
  <c r="AB81" i="36"/>
  <c r="AD81" i="36"/>
  <c r="AD42" i="36" s="1"/>
  <c r="X81" i="36"/>
  <c r="X76" i="36"/>
  <c r="Y76" i="36"/>
  <c r="Y37" i="36" s="1"/>
  <c r="AA76" i="36"/>
  <c r="AA37" i="36" s="1"/>
  <c r="AB76" i="36"/>
  <c r="AD76" i="36"/>
  <c r="AD37" i="36" s="1"/>
  <c r="X77" i="36"/>
  <c r="X38" i="36" s="1"/>
  <c r="Y77" i="36"/>
  <c r="Y38" i="36" s="1"/>
  <c r="AA77" i="36"/>
  <c r="AA38" i="36" s="1"/>
  <c r="AB77" i="36"/>
  <c r="AD77" i="36"/>
  <c r="AD38" i="36" s="1"/>
  <c r="X78" i="36"/>
  <c r="Y78" i="36"/>
  <c r="Y39" i="36" s="1"/>
  <c r="AA78" i="36"/>
  <c r="AA39" i="36" s="1"/>
  <c r="AB78" i="36"/>
  <c r="AB39" i="36" s="1"/>
  <c r="AD78" i="36"/>
  <c r="AD39" i="36" s="1"/>
  <c r="X80" i="36"/>
  <c r="X41" i="36" s="1"/>
  <c r="Y80" i="36"/>
  <c r="Y41" i="36" s="1"/>
  <c r="AA80" i="36"/>
  <c r="AA41" i="36" s="1"/>
  <c r="AB80" i="36"/>
  <c r="AD80" i="36"/>
  <c r="AD41" i="36" s="1"/>
  <c r="Y75" i="36"/>
  <c r="AA75" i="36"/>
  <c r="AB75" i="36"/>
  <c r="AD75" i="36"/>
  <c r="AD36" i="36" s="1"/>
  <c r="X75" i="36"/>
  <c r="X36" i="36" s="1"/>
  <c r="X70" i="36"/>
  <c r="Y70" i="36"/>
  <c r="AA70" i="36"/>
  <c r="AB70" i="36"/>
  <c r="AD70" i="36"/>
  <c r="X71" i="36"/>
  <c r="Y71" i="36"/>
  <c r="AA71" i="36"/>
  <c r="AB71" i="36"/>
  <c r="AD71" i="36"/>
  <c r="X72" i="36"/>
  <c r="Y72" i="36"/>
  <c r="AA72" i="36"/>
  <c r="AB72" i="36"/>
  <c r="AD72" i="36"/>
  <c r="X74" i="36"/>
  <c r="Y74" i="36"/>
  <c r="AA74" i="36"/>
  <c r="AB74" i="36"/>
  <c r="AC74" i="36"/>
  <c r="AD74" i="36"/>
  <c r="AB69" i="36"/>
  <c r="AD69" i="36"/>
  <c r="Y69" i="36"/>
  <c r="AA69" i="36"/>
  <c r="X69" i="36"/>
  <c r="X62" i="36"/>
  <c r="Y62" i="36"/>
  <c r="AA62" i="36"/>
  <c r="AB62" i="36"/>
  <c r="AD62" i="36"/>
  <c r="X63" i="36"/>
  <c r="X30" i="36" s="1"/>
  <c r="Y63" i="36"/>
  <c r="AA63" i="36"/>
  <c r="AB63" i="36"/>
  <c r="AD63" i="36"/>
  <c r="X64" i="36"/>
  <c r="Y64" i="36"/>
  <c r="AA64" i="36"/>
  <c r="AB64" i="36"/>
  <c r="AD64" i="36"/>
  <c r="X66" i="36"/>
  <c r="Y66" i="36"/>
  <c r="AA66" i="36"/>
  <c r="AB66" i="36"/>
  <c r="AD66" i="36"/>
  <c r="AD61" i="36"/>
  <c r="AB61" i="36"/>
  <c r="AA61" i="36"/>
  <c r="Y61" i="36"/>
  <c r="X61" i="36"/>
  <c r="X56" i="36"/>
  <c r="X23" i="36" s="1"/>
  <c r="Y56" i="36"/>
  <c r="Y23" i="36" s="1"/>
  <c r="AA56" i="36"/>
  <c r="AA23" i="36" s="1"/>
  <c r="AB56" i="36"/>
  <c r="AD56" i="36"/>
  <c r="X58" i="36"/>
  <c r="Y58" i="36"/>
  <c r="AA58" i="36"/>
  <c r="AB58" i="36"/>
  <c r="AD58" i="36"/>
  <c r="X60" i="36"/>
  <c r="Y60" i="36"/>
  <c r="AA60" i="36"/>
  <c r="AB60" i="36"/>
  <c r="AD60" i="36"/>
  <c r="AB55" i="36"/>
  <c r="AD55" i="36"/>
  <c r="AD22" i="36" s="1"/>
  <c r="AA55" i="36"/>
  <c r="AA22" i="36" s="1"/>
  <c r="Y55" i="36"/>
  <c r="X55" i="36"/>
  <c r="X22" i="36" s="1"/>
  <c r="AD52" i="36"/>
  <c r="AB52" i="36"/>
  <c r="AB25" i="36" s="1"/>
  <c r="AA52" i="36"/>
  <c r="Y52" i="36"/>
  <c r="Y54" i="36" s="1"/>
  <c r="X52" i="36"/>
  <c r="AE135" i="36"/>
  <c r="AC135" i="36"/>
  <c r="Z135" i="36"/>
  <c r="AE133" i="36"/>
  <c r="AC133" i="36"/>
  <c r="Z133" i="36"/>
  <c r="AE132" i="36"/>
  <c r="AC132" i="36"/>
  <c r="Z132" i="36"/>
  <c r="AE131" i="36"/>
  <c r="AC131" i="36"/>
  <c r="Z131" i="36"/>
  <c r="AE130" i="36"/>
  <c r="AC130" i="36"/>
  <c r="Z130" i="36"/>
  <c r="AC56" i="36" l="1"/>
  <c r="AC81" i="36"/>
  <c r="AC42" i="36" s="1"/>
  <c r="AC63" i="36"/>
  <c r="AC64" i="36"/>
  <c r="AC72" i="36"/>
  <c r="AC86" i="36"/>
  <c r="AC47" i="36" s="1"/>
  <c r="AD25" i="36"/>
  <c r="AE25" i="36" s="1"/>
  <c r="Z58" i="36"/>
  <c r="Z74" i="36"/>
  <c r="Z60" i="36"/>
  <c r="AC84" i="36"/>
  <c r="AC45" i="36" s="1"/>
  <c r="Z83" i="36"/>
  <c r="Z44" i="36" s="1"/>
  <c r="AB28" i="36"/>
  <c r="AD30" i="36"/>
  <c r="AE84" i="36"/>
  <c r="AE45" i="36" s="1"/>
  <c r="AC82" i="36"/>
  <c r="AC43" i="36" s="1"/>
  <c r="Z72" i="36"/>
  <c r="AE75" i="36"/>
  <c r="AE36" i="36" s="1"/>
  <c r="AE60" i="36"/>
  <c r="AE74" i="36"/>
  <c r="Z75" i="36"/>
  <c r="Z36" i="36" s="1"/>
  <c r="AC77" i="36"/>
  <c r="AC38" i="36" s="1"/>
  <c r="AC55" i="36"/>
  <c r="AE71" i="36"/>
  <c r="AE69" i="36"/>
  <c r="Z56" i="36"/>
  <c r="Y27" i="36"/>
  <c r="AD31" i="36"/>
  <c r="AC80" i="36"/>
  <c r="AC41" i="36" s="1"/>
  <c r="Z23" i="36"/>
  <c r="AE78" i="36"/>
  <c r="AE39" i="36" s="1"/>
  <c r="AD33" i="36"/>
  <c r="AA30" i="36"/>
  <c r="Z76" i="36"/>
  <c r="Z37" i="36" s="1"/>
  <c r="AB45" i="36"/>
  <c r="AC66" i="36"/>
  <c r="Y30" i="36"/>
  <c r="Z30" i="36" s="1"/>
  <c r="Z81" i="36"/>
  <c r="Z42" i="36" s="1"/>
  <c r="X25" i="36"/>
  <c r="AC60" i="36"/>
  <c r="Y33" i="36"/>
  <c r="Z66" i="36"/>
  <c r="Y29" i="36"/>
  <c r="X57" i="36"/>
  <c r="AA31" i="36"/>
  <c r="AB47" i="36"/>
  <c r="Y57" i="36"/>
  <c r="Y24" i="36" s="1"/>
  <c r="Y28" i="36"/>
  <c r="Z63" i="36"/>
  <c r="X33" i="36"/>
  <c r="Z71" i="36"/>
  <c r="Z69" i="36"/>
  <c r="AC75" i="36"/>
  <c r="AC36" i="36" s="1"/>
  <c r="AA25" i="36"/>
  <c r="AC25" i="36" s="1"/>
  <c r="Z64" i="36"/>
  <c r="AA28" i="36"/>
  <c r="AB36" i="36"/>
  <c r="AD54" i="36"/>
  <c r="AD27" i="36" s="1"/>
  <c r="AC69" i="36"/>
  <c r="Z70" i="36"/>
  <c r="AC76" i="36"/>
  <c r="AC37" i="36" s="1"/>
  <c r="AC83" i="36"/>
  <c r="AC44" i="36" s="1"/>
  <c r="AB22" i="36"/>
  <c r="AE22" i="36" s="1"/>
  <c r="AB42" i="36"/>
  <c r="AC61" i="36"/>
  <c r="X28" i="36"/>
  <c r="AE61" i="36"/>
  <c r="AE81" i="36"/>
  <c r="AE42" i="36" s="1"/>
  <c r="X44" i="36"/>
  <c r="Z84" i="36"/>
  <c r="Z45" i="36" s="1"/>
  <c r="AB41" i="36"/>
  <c r="AA33" i="36"/>
  <c r="AB43" i="36"/>
  <c r="AD29" i="36"/>
  <c r="Y31" i="36"/>
  <c r="Z86" i="36"/>
  <c r="Z47" i="36" s="1"/>
  <c r="Z78" i="36"/>
  <c r="Z39" i="36" s="1"/>
  <c r="AE55" i="36"/>
  <c r="AE70" i="36"/>
  <c r="AA54" i="36"/>
  <c r="AA27" i="36" s="1"/>
  <c r="AA57" i="36"/>
  <c r="AA24" i="36" s="1"/>
  <c r="AC62" i="36"/>
  <c r="Y25" i="36"/>
  <c r="Z62" i="36"/>
  <c r="AD57" i="36"/>
  <c r="AD24" i="36" s="1"/>
  <c r="AB54" i="36"/>
  <c r="AB27" i="36" s="1"/>
  <c r="AC58" i="36"/>
  <c r="Z61" i="36"/>
  <c r="AA29" i="36"/>
  <c r="X42" i="36"/>
  <c r="Z55" i="36"/>
  <c r="Y22" i="36"/>
  <c r="Z22" i="36" s="1"/>
  <c r="AA36" i="36"/>
  <c r="AB44" i="36"/>
  <c r="AD28" i="36"/>
  <c r="X39" i="36"/>
  <c r="AB37" i="36"/>
  <c r="AE56" i="36"/>
  <c r="AC71" i="36"/>
  <c r="AE52" i="36"/>
  <c r="AE58" i="36"/>
  <c r="AE64" i="36"/>
  <c r="Z80" i="36"/>
  <c r="Z41" i="36" s="1"/>
  <c r="Z77" i="36"/>
  <c r="Z38" i="36" s="1"/>
  <c r="AE82" i="36"/>
  <c r="AE43" i="36" s="1"/>
  <c r="AB31" i="36"/>
  <c r="AB38" i="36"/>
  <c r="X37" i="36"/>
  <c r="X54" i="36"/>
  <c r="X27" i="36" s="1"/>
  <c r="AC52" i="36"/>
  <c r="AE62" i="36"/>
  <c r="AE72" i="36"/>
  <c r="AE76" i="36"/>
  <c r="AE37" i="36" s="1"/>
  <c r="AD23" i="36"/>
  <c r="Y36" i="36"/>
  <c r="Z52" i="36"/>
  <c r="AC78" i="36"/>
  <c r="AC39" i="36" s="1"/>
  <c r="AB23" i="36"/>
  <c r="AC23" i="36" s="1"/>
  <c r="AB29" i="36"/>
  <c r="AB33" i="36"/>
  <c r="X29" i="36"/>
  <c r="X31" i="36"/>
  <c r="AC70" i="36"/>
  <c r="AB57" i="36"/>
  <c r="Z82" i="36"/>
  <c r="Z43" i="36" s="1"/>
  <c r="AB30" i="36"/>
  <c r="AE86" i="36"/>
  <c r="AE47" i="36" s="1"/>
  <c r="AE83" i="36"/>
  <c r="AE44" i="36" s="1"/>
  <c r="AE80" i="36"/>
  <c r="AE41" i="36" s="1"/>
  <c r="AE77" i="36"/>
  <c r="AE38" i="36" s="1"/>
  <c r="AE66" i="36"/>
  <c r="AE63" i="36"/>
  <c r="AE405" i="36"/>
  <c r="AC405" i="36"/>
  <c r="Z405" i="36"/>
  <c r="AE403" i="36"/>
  <c r="AC403" i="36"/>
  <c r="Z403" i="36"/>
  <c r="AE402" i="36"/>
  <c r="AC402" i="36"/>
  <c r="Z402" i="36"/>
  <c r="AE401" i="36"/>
  <c r="AC401" i="36"/>
  <c r="Z401" i="36"/>
  <c r="AE400" i="36"/>
  <c r="AC400" i="36"/>
  <c r="Z400" i="36"/>
  <c r="AE390" i="36"/>
  <c r="AC390" i="36"/>
  <c r="Z390" i="36"/>
  <c r="AE388" i="36"/>
  <c r="AC388" i="36"/>
  <c r="Z388" i="36"/>
  <c r="AE387" i="36"/>
  <c r="AC387" i="36"/>
  <c r="Z387" i="36"/>
  <c r="AE386" i="36"/>
  <c r="AC386" i="36"/>
  <c r="Z386" i="36"/>
  <c r="AE385" i="36"/>
  <c r="AC385" i="36"/>
  <c r="Z385" i="36"/>
  <c r="AE376" i="36"/>
  <c r="AC376" i="36"/>
  <c r="Z376" i="36"/>
  <c r="AE374" i="36"/>
  <c r="AC374" i="36"/>
  <c r="Z374" i="36"/>
  <c r="AE373" i="36"/>
  <c r="AC373" i="36"/>
  <c r="Z373" i="36"/>
  <c r="AE372" i="36"/>
  <c r="AC372" i="36"/>
  <c r="Z372" i="36"/>
  <c r="AE371" i="36"/>
  <c r="AC371" i="36"/>
  <c r="Z371" i="36"/>
  <c r="AE370" i="36"/>
  <c r="AC370" i="36"/>
  <c r="Z370" i="36"/>
  <c r="AE368" i="36"/>
  <c r="AC368" i="36"/>
  <c r="Z368" i="36"/>
  <c r="AE367" i="36"/>
  <c r="AC367" i="36"/>
  <c r="Z367" i="36"/>
  <c r="AE366" i="36"/>
  <c r="AC366" i="36"/>
  <c r="Z366" i="36"/>
  <c r="AE365" i="36"/>
  <c r="AC365" i="36"/>
  <c r="Z365" i="36"/>
  <c r="AE364" i="36"/>
  <c r="AC364" i="36"/>
  <c r="Z364" i="36"/>
  <c r="AE362" i="36"/>
  <c r="AC362" i="36"/>
  <c r="Z362" i="36"/>
  <c r="AE361" i="36"/>
  <c r="AC361" i="36"/>
  <c r="Z361" i="36"/>
  <c r="AE360" i="36"/>
  <c r="AC360" i="36"/>
  <c r="Z360" i="36"/>
  <c r="AE359" i="36"/>
  <c r="AC359" i="36"/>
  <c r="Z359" i="36"/>
  <c r="AE358" i="36"/>
  <c r="AC358" i="36"/>
  <c r="Z358" i="36"/>
  <c r="AE356" i="36"/>
  <c r="AC356" i="36"/>
  <c r="Z356" i="36"/>
  <c r="AE355" i="36"/>
  <c r="AC355" i="36"/>
  <c r="Z355" i="36"/>
  <c r="AE354" i="36"/>
  <c r="AC354" i="36"/>
  <c r="Z354" i="36"/>
  <c r="AE353" i="36"/>
  <c r="AC353" i="36"/>
  <c r="Z353" i="36"/>
  <c r="AE352" i="36"/>
  <c r="AC352" i="36"/>
  <c r="Z352" i="36"/>
  <c r="AE350" i="36"/>
  <c r="AC350" i="36"/>
  <c r="Z350" i="36"/>
  <c r="AE349" i="36"/>
  <c r="AC349" i="36"/>
  <c r="Z349" i="36"/>
  <c r="AE348" i="36"/>
  <c r="AC348" i="36"/>
  <c r="Z348" i="36"/>
  <c r="AE347" i="36"/>
  <c r="AC347" i="36"/>
  <c r="Z347" i="36"/>
  <c r="AE346" i="36"/>
  <c r="AC346" i="36"/>
  <c r="Z346" i="36"/>
  <c r="AE344" i="36"/>
  <c r="AC344" i="36"/>
  <c r="Z344" i="36"/>
  <c r="AE343" i="36"/>
  <c r="AC343" i="36"/>
  <c r="Z343" i="36"/>
  <c r="AE342" i="36"/>
  <c r="AC342" i="36"/>
  <c r="Z342" i="36"/>
  <c r="AE341" i="36"/>
  <c r="AC341" i="36"/>
  <c r="Z341" i="36"/>
  <c r="AE340" i="36"/>
  <c r="AC340" i="36"/>
  <c r="Z340" i="36"/>
  <c r="AE338" i="36"/>
  <c r="AC338" i="36"/>
  <c r="Z338" i="36"/>
  <c r="AE337" i="36"/>
  <c r="AC337" i="36"/>
  <c r="Z337" i="36"/>
  <c r="AE336" i="36"/>
  <c r="AC336" i="36"/>
  <c r="Z336" i="36"/>
  <c r="AE335" i="36"/>
  <c r="AC335" i="36"/>
  <c r="Z335" i="36"/>
  <c r="AE334" i="36"/>
  <c r="AC334" i="36"/>
  <c r="Z334" i="36"/>
  <c r="AE332" i="36"/>
  <c r="AC332" i="36"/>
  <c r="Z332" i="36"/>
  <c r="AE331" i="36"/>
  <c r="AC331" i="36"/>
  <c r="Z331" i="36"/>
  <c r="AE330" i="36"/>
  <c r="AC330" i="36"/>
  <c r="Z330" i="36"/>
  <c r="AE329" i="36"/>
  <c r="AC329" i="36"/>
  <c r="Z329" i="36"/>
  <c r="AE328" i="36"/>
  <c r="AC328" i="36"/>
  <c r="Z328" i="36"/>
  <c r="AE326" i="36"/>
  <c r="AC326" i="36"/>
  <c r="Z326" i="36"/>
  <c r="AE325" i="36"/>
  <c r="AC325" i="36"/>
  <c r="Z325" i="36"/>
  <c r="AE324" i="36"/>
  <c r="AC324" i="36"/>
  <c r="Z324" i="36"/>
  <c r="AE323" i="36"/>
  <c r="AC323" i="36"/>
  <c r="Z323" i="36"/>
  <c r="AE314" i="36"/>
  <c r="AC314" i="36"/>
  <c r="Z314" i="36"/>
  <c r="AE312" i="36"/>
  <c r="AC312" i="36"/>
  <c r="Z312" i="36"/>
  <c r="AE311" i="36"/>
  <c r="AC311" i="36"/>
  <c r="Z311" i="36"/>
  <c r="AE310" i="36"/>
  <c r="AC310" i="36"/>
  <c r="Z310" i="36"/>
  <c r="AE309" i="36"/>
  <c r="AC309" i="36"/>
  <c r="Z309" i="36"/>
  <c r="AE308" i="36"/>
  <c r="AC308" i="36"/>
  <c r="Z308" i="36"/>
  <c r="AE306" i="36"/>
  <c r="AC306" i="36"/>
  <c r="Z306" i="36"/>
  <c r="AE305" i="36"/>
  <c r="AC305" i="36"/>
  <c r="Z305" i="36"/>
  <c r="AE304" i="36"/>
  <c r="AC304" i="36"/>
  <c r="Z304" i="36"/>
  <c r="AE303" i="36"/>
  <c r="AC303" i="36"/>
  <c r="Z303" i="36"/>
  <c r="AE302" i="36"/>
  <c r="AC302" i="36"/>
  <c r="Z302" i="36"/>
  <c r="AE300" i="36"/>
  <c r="AC300" i="36"/>
  <c r="Z300" i="36"/>
  <c r="AE299" i="36"/>
  <c r="AC299" i="36"/>
  <c r="Z299" i="36"/>
  <c r="AE298" i="36"/>
  <c r="AC298" i="36"/>
  <c r="Z298" i="36"/>
  <c r="AE297" i="36"/>
  <c r="AC297" i="36"/>
  <c r="Z297" i="36"/>
  <c r="AE232" i="36"/>
  <c r="AA232" i="36"/>
  <c r="AC232" i="36" s="1"/>
  <c r="Y232" i="36"/>
  <c r="X232" i="36"/>
  <c r="AD230" i="36"/>
  <c r="AB230" i="36"/>
  <c r="AA230" i="36"/>
  <c r="Y230" i="36"/>
  <c r="X230" i="36"/>
  <c r="AD228" i="36"/>
  <c r="AB228" i="36"/>
  <c r="AA228" i="36"/>
  <c r="Y228" i="36"/>
  <c r="X228" i="36"/>
  <c r="AD227" i="36"/>
  <c r="AB227" i="36"/>
  <c r="AA227" i="36"/>
  <c r="Y227" i="36"/>
  <c r="X227" i="36"/>
  <c r="AD224" i="36"/>
  <c r="AD226" i="36" s="1"/>
  <c r="AB224" i="36"/>
  <c r="AB226" i="36" s="1"/>
  <c r="AA224" i="36"/>
  <c r="AA226" i="36" s="1"/>
  <c r="Y224" i="36"/>
  <c r="X224" i="36"/>
  <c r="X226" i="36" s="1"/>
  <c r="AD222" i="36"/>
  <c r="AB222" i="36"/>
  <c r="AA222" i="36"/>
  <c r="Y222" i="36"/>
  <c r="X222" i="36"/>
  <c r="AD221" i="36"/>
  <c r="AB221" i="36"/>
  <c r="AA221" i="36"/>
  <c r="Y221" i="36"/>
  <c r="X221" i="36"/>
  <c r="AD216" i="36"/>
  <c r="AB216" i="36"/>
  <c r="AA216" i="36"/>
  <c r="AA218" i="36" s="1"/>
  <c r="Y216" i="36"/>
  <c r="Y218" i="36" s="1"/>
  <c r="X216" i="36"/>
  <c r="AD214" i="36"/>
  <c r="AB214" i="36"/>
  <c r="AA214" i="36"/>
  <c r="Y214" i="36"/>
  <c r="X214" i="36"/>
  <c r="AD213" i="36"/>
  <c r="AB213" i="36"/>
  <c r="AA213" i="36"/>
  <c r="Y213" i="36"/>
  <c r="X213" i="36"/>
  <c r="AD210" i="36"/>
  <c r="AD212" i="36" s="1"/>
  <c r="AB210" i="36"/>
  <c r="AA210" i="36"/>
  <c r="AA212" i="36" s="1"/>
  <c r="Y210" i="36"/>
  <c r="Y212" i="36" s="1"/>
  <c r="X210" i="36"/>
  <c r="AE209" i="36"/>
  <c r="AA209" i="36"/>
  <c r="AC209" i="36" s="1"/>
  <c r="AD208" i="36"/>
  <c r="AB208" i="36"/>
  <c r="AA208" i="36"/>
  <c r="Y208" i="36"/>
  <c r="X208" i="36"/>
  <c r="AD207" i="36"/>
  <c r="AB207" i="36"/>
  <c r="AA207" i="36"/>
  <c r="Y207" i="36"/>
  <c r="X207" i="36"/>
  <c r="AE191" i="36"/>
  <c r="AC191" i="36"/>
  <c r="Z191" i="36"/>
  <c r="AE189" i="36"/>
  <c r="AC189" i="36"/>
  <c r="Z189" i="36"/>
  <c r="AE188" i="36"/>
  <c r="AC188" i="36"/>
  <c r="Z188" i="36"/>
  <c r="AE187" i="36"/>
  <c r="AC187" i="36"/>
  <c r="Z187" i="36"/>
  <c r="AE186" i="36"/>
  <c r="AC186" i="36"/>
  <c r="Z186" i="36"/>
  <c r="AE185" i="36"/>
  <c r="AC185" i="36"/>
  <c r="Z185" i="36"/>
  <c r="AE183" i="36"/>
  <c r="AC183" i="36"/>
  <c r="Z183" i="36"/>
  <c r="AE182" i="36"/>
  <c r="AC182" i="36"/>
  <c r="Z182" i="36"/>
  <c r="AE181" i="36"/>
  <c r="AC181" i="36"/>
  <c r="Z181" i="36"/>
  <c r="AE180" i="36"/>
  <c r="AC180" i="36"/>
  <c r="Z180" i="36"/>
  <c r="AE179" i="36"/>
  <c r="AC179" i="36"/>
  <c r="Z179" i="36"/>
  <c r="AE177" i="36"/>
  <c r="AC177" i="36"/>
  <c r="Z177" i="36"/>
  <c r="AE176" i="36"/>
  <c r="AC176" i="36"/>
  <c r="Z176" i="36"/>
  <c r="AE175" i="36"/>
  <c r="AC175" i="36"/>
  <c r="Z175" i="36"/>
  <c r="AE174" i="36"/>
  <c r="AC174" i="36"/>
  <c r="Z174" i="36"/>
  <c r="AE173" i="36"/>
  <c r="AC173" i="36"/>
  <c r="Z173" i="36"/>
  <c r="AE171" i="36"/>
  <c r="AC171" i="36"/>
  <c r="Z171" i="36"/>
  <c r="AE170" i="36"/>
  <c r="AC170" i="36"/>
  <c r="Z170" i="36"/>
  <c r="AE169" i="36"/>
  <c r="AC169" i="36"/>
  <c r="Z169" i="36"/>
  <c r="AE168" i="36"/>
  <c r="AC168" i="36"/>
  <c r="Z168" i="36"/>
  <c r="AE167" i="36"/>
  <c r="AC167" i="36"/>
  <c r="Z167" i="36"/>
  <c r="AE165" i="36"/>
  <c r="AC165" i="36"/>
  <c r="Z165" i="36"/>
  <c r="AE164" i="36"/>
  <c r="AC164" i="36"/>
  <c r="Z164" i="36"/>
  <c r="AE163" i="36"/>
  <c r="AC163" i="36"/>
  <c r="Z163" i="36"/>
  <c r="AE162" i="36"/>
  <c r="AC162" i="36"/>
  <c r="Z162" i="36"/>
  <c r="AE161" i="36"/>
  <c r="AC161" i="36"/>
  <c r="Z161" i="36"/>
  <c r="AE159" i="36"/>
  <c r="AC159" i="36"/>
  <c r="Z159" i="36"/>
  <c r="AE158" i="36"/>
  <c r="AC158" i="36"/>
  <c r="Z158" i="36"/>
  <c r="AE157" i="36"/>
  <c r="AC157" i="36"/>
  <c r="Z157" i="36"/>
  <c r="AE156" i="36"/>
  <c r="AC156" i="36"/>
  <c r="Z156" i="36"/>
  <c r="AE155" i="36"/>
  <c r="AC155" i="36"/>
  <c r="Z155" i="36"/>
  <c r="AE153" i="36"/>
  <c r="AC153" i="36"/>
  <c r="Z153" i="36"/>
  <c r="AE152" i="36"/>
  <c r="AC152" i="36"/>
  <c r="Z152" i="36"/>
  <c r="AE151" i="36"/>
  <c r="AC151" i="36"/>
  <c r="Z151" i="36"/>
  <c r="AE150" i="36"/>
  <c r="AC150" i="36"/>
  <c r="Z150" i="36"/>
  <c r="AE149" i="36"/>
  <c r="AC149" i="36"/>
  <c r="Z149" i="36"/>
  <c r="AE147" i="36"/>
  <c r="AC147" i="36"/>
  <c r="Z147" i="36"/>
  <c r="AE146" i="36"/>
  <c r="AC146" i="36"/>
  <c r="Z146" i="36"/>
  <c r="AE145" i="36"/>
  <c r="AC145" i="36"/>
  <c r="Z145" i="36"/>
  <c r="AE144" i="36"/>
  <c r="AC144" i="36"/>
  <c r="Z144" i="36"/>
  <c r="AE143" i="36"/>
  <c r="AC143" i="36"/>
  <c r="Z143" i="36"/>
  <c r="AE141" i="36"/>
  <c r="AC141" i="36"/>
  <c r="Z141" i="36"/>
  <c r="AE140" i="36"/>
  <c r="AC140" i="36"/>
  <c r="Z140" i="36"/>
  <c r="AE139" i="36"/>
  <c r="AC139" i="36"/>
  <c r="Z139" i="36"/>
  <c r="AE138" i="36"/>
  <c r="AC138" i="36"/>
  <c r="Z138" i="36"/>
  <c r="AE129" i="36"/>
  <c r="AC129" i="36"/>
  <c r="Z129" i="36"/>
  <c r="AE127" i="36"/>
  <c r="AC127" i="36"/>
  <c r="Z127" i="36"/>
  <c r="AE126" i="36"/>
  <c r="AC126" i="36"/>
  <c r="Z126" i="36"/>
  <c r="AE125" i="36"/>
  <c r="AC125" i="36"/>
  <c r="Z125" i="36"/>
  <c r="AE124" i="36"/>
  <c r="AC124" i="36"/>
  <c r="Z124" i="36"/>
  <c r="AE123" i="36"/>
  <c r="AC123" i="36"/>
  <c r="Z123" i="36"/>
  <c r="AE121" i="36"/>
  <c r="AC121" i="36"/>
  <c r="Z121" i="36"/>
  <c r="AE120" i="36"/>
  <c r="AC120" i="36"/>
  <c r="Z120" i="36"/>
  <c r="AE119" i="36"/>
  <c r="AC119" i="36"/>
  <c r="Z119" i="36"/>
  <c r="AE118" i="36"/>
  <c r="AC118" i="36"/>
  <c r="Z118" i="36"/>
  <c r="AE117" i="36"/>
  <c r="AC117" i="36"/>
  <c r="Z117" i="36"/>
  <c r="AE115" i="36"/>
  <c r="AC115" i="36"/>
  <c r="Z115" i="36"/>
  <c r="AE114" i="36"/>
  <c r="AC114" i="36"/>
  <c r="Z114" i="36"/>
  <c r="AE113" i="36"/>
  <c r="AC113" i="36"/>
  <c r="Z113" i="36"/>
  <c r="AE112" i="36"/>
  <c r="AC112" i="36"/>
  <c r="Z112" i="36"/>
  <c r="AE19" i="36"/>
  <c r="AC19" i="36"/>
  <c r="Z19" i="36"/>
  <c r="Z33" i="36" l="1"/>
  <c r="Z27" i="36"/>
  <c r="Z25" i="36"/>
  <c r="AE28" i="36"/>
  <c r="AC28" i="36"/>
  <c r="AC30" i="36"/>
  <c r="Z28" i="36"/>
  <c r="Z57" i="36"/>
  <c r="X13" i="36"/>
  <c r="X24" i="36"/>
  <c r="Z24" i="36" s="1"/>
  <c r="AC33" i="36"/>
  <c r="Z216" i="36"/>
  <c r="AC22" i="36"/>
  <c r="AE27" i="36"/>
  <c r="AC27" i="36"/>
  <c r="Z31" i="36"/>
  <c r="X16" i="36"/>
  <c r="X18" i="36" s="1"/>
  <c r="Z29" i="36"/>
  <c r="X14" i="36"/>
  <c r="AB24" i="36"/>
  <c r="AC57" i="36"/>
  <c r="AE57" i="36"/>
  <c r="AC29" i="36"/>
  <c r="AE29" i="36"/>
  <c r="AE23" i="36"/>
  <c r="AE30" i="36"/>
  <c r="AE33" i="36"/>
  <c r="AC31" i="36"/>
  <c r="AE31" i="36"/>
  <c r="Z213" i="36"/>
  <c r="Z232" i="36"/>
  <c r="Z228" i="36"/>
  <c r="AE227" i="36"/>
  <c r="Z230" i="36"/>
  <c r="AE208" i="36"/>
  <c r="Z221" i="36"/>
  <c r="Z207" i="36"/>
  <c r="Z210" i="36"/>
  <c r="AC207" i="36"/>
  <c r="Z222" i="36"/>
  <c r="AD229" i="36"/>
  <c r="Y14" i="36"/>
  <c r="AE230" i="36"/>
  <c r="AB199" i="36"/>
  <c r="AD199" i="36"/>
  <c r="Z214" i="36"/>
  <c r="Y201" i="36"/>
  <c r="Y203" i="36" s="1"/>
  <c r="Y199" i="36"/>
  <c r="AD13" i="36"/>
  <c r="AE210" i="36"/>
  <c r="AA215" i="36"/>
  <c r="Y223" i="36"/>
  <c r="X218" i="36"/>
  <c r="Z218" i="36" s="1"/>
  <c r="AE207" i="36"/>
  <c r="AE214" i="36"/>
  <c r="AA198" i="36"/>
  <c r="AD201" i="36"/>
  <c r="AD203" i="36" s="1"/>
  <c r="Z208" i="36"/>
  <c r="X212" i="36"/>
  <c r="Z212" i="36" s="1"/>
  <c r="AB16" i="36"/>
  <c r="AB18" i="36" s="1"/>
  <c r="AD16" i="36"/>
  <c r="AD18" i="36" s="1"/>
  <c r="AA14" i="36"/>
  <c r="AB212" i="36"/>
  <c r="AC212" i="36" s="1"/>
  <c r="X215" i="36"/>
  <c r="AC228" i="36"/>
  <c r="AD14" i="36"/>
  <c r="AA199" i="36"/>
  <c r="Y215" i="36"/>
  <c r="AB223" i="36"/>
  <c r="AB229" i="36"/>
  <c r="X229" i="36"/>
  <c r="Y13" i="36"/>
  <c r="AB198" i="36"/>
  <c r="Y229" i="36"/>
  <c r="AC224" i="36"/>
  <c r="AD223" i="36"/>
  <c r="Y209" i="36"/>
  <c r="AA13" i="36"/>
  <c r="AD198" i="36"/>
  <c r="AE216" i="36"/>
  <c r="AA229" i="36"/>
  <c r="AC226" i="36"/>
  <c r="AC213" i="36"/>
  <c r="X201" i="36"/>
  <c r="Y198" i="36"/>
  <c r="AE213" i="36"/>
  <c r="AB14" i="36"/>
  <c r="X223" i="36"/>
  <c r="AC208" i="36"/>
  <c r="AE221" i="36"/>
  <c r="AA223" i="36"/>
  <c r="AE224" i="36"/>
  <c r="AE228" i="36"/>
  <c r="AC216" i="36"/>
  <c r="AC222" i="36"/>
  <c r="Z224" i="36"/>
  <c r="AB215" i="36"/>
  <c r="AB201" i="36"/>
  <c r="AD215" i="36"/>
  <c r="Y16" i="36"/>
  <c r="Y18" i="36" s="1"/>
  <c r="AA201" i="36"/>
  <c r="AA203" i="36" s="1"/>
  <c r="AC221" i="36"/>
  <c r="Z227" i="36"/>
  <c r="AB13" i="36"/>
  <c r="AC210" i="36"/>
  <c r="AC214" i="36"/>
  <c r="Y226" i="36"/>
  <c r="Z226" i="36" s="1"/>
  <c r="AC227" i="36"/>
  <c r="AC230" i="36"/>
  <c r="X198" i="36"/>
  <c r="AE222" i="36"/>
  <c r="AE226" i="36"/>
  <c r="AB218" i="36"/>
  <c r="X199" i="36"/>
  <c r="X209" i="36"/>
  <c r="AD218" i="36"/>
  <c r="AA16" i="36"/>
  <c r="AA18" i="36" s="1"/>
  <c r="X15" i="36" l="1"/>
  <c r="AE24" i="36"/>
  <c r="AC24" i="36"/>
  <c r="AE199" i="36"/>
  <c r="AC229" i="36"/>
  <c r="AE223" i="36"/>
  <c r="AC223" i="36"/>
  <c r="AD200" i="36"/>
  <c r="AB200" i="36"/>
  <c r="AA15" i="36"/>
  <c r="Z215" i="36"/>
  <c r="Y15" i="36"/>
  <c r="Z14" i="36"/>
  <c r="AD15" i="36"/>
  <c r="Z223" i="36"/>
  <c r="Z199" i="36"/>
  <c r="Y200" i="36"/>
  <c r="AE16" i="36"/>
  <c r="AC199" i="36"/>
  <c r="AA200" i="36"/>
  <c r="AE198" i="36"/>
  <c r="Z209" i="36"/>
  <c r="AC198" i="36"/>
  <c r="AE229" i="36"/>
  <c r="Z229" i="36"/>
  <c r="AE212" i="36"/>
  <c r="AC215" i="36"/>
  <c r="AE215" i="36"/>
  <c r="Z16" i="36"/>
  <c r="Z18" i="36"/>
  <c r="AC16" i="36"/>
  <c r="AE18" i="36"/>
  <c r="AC18" i="36"/>
  <c r="AE218" i="36"/>
  <c r="AC218" i="36"/>
  <c r="Z198" i="36"/>
  <c r="X200" i="36"/>
  <c r="Z13" i="36"/>
  <c r="AE14" i="36"/>
  <c r="AC14" i="36"/>
  <c r="AE13" i="36"/>
  <c r="AC13" i="36"/>
  <c r="AB15" i="36"/>
  <c r="X203" i="36"/>
  <c r="Z203" i="36" s="1"/>
  <c r="Z201" i="36"/>
  <c r="AE201" i="36"/>
  <c r="AB203" i="36"/>
  <c r="AC201" i="36"/>
  <c r="AE19" i="35"/>
  <c r="AC19" i="35"/>
  <c r="Z19" i="35"/>
  <c r="AE18" i="35"/>
  <c r="AC18" i="35"/>
  <c r="Z18" i="35"/>
  <c r="AE200" i="36" l="1"/>
  <c r="Z200" i="36"/>
  <c r="AC200" i="36"/>
  <c r="Z15" i="36"/>
  <c r="AE15" i="36"/>
  <c r="AC15" i="36"/>
  <c r="AE203" i="36"/>
  <c r="AC203" i="36"/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<sst xmlns="http://schemas.openxmlformats.org/spreadsheetml/2006/main" count="6140" uniqueCount="322">
  <si>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</si>
  <si>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</si>
  <si>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</si>
  <si>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</si>
  <si>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</si>
  <si>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</si>
  <si>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</si>
  <si>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</si>
  <si>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</si>
  <si>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</si>
  <si>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</si>
  <si>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</si>
  <si>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</si>
  <si>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</si>
  <si>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</si>
  <si>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</si>
  <si>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</si>
  <si>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</si>
  <si>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</si>
  <si>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</si>
  <si>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</si>
  <si>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</si>
  <si>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</si>
  <si>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</si>
  <si>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</si>
  <si>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</si>
  <si>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</si>
  <si>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</si>
  <si>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</si>
  <si>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</si>
  <si>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</si>
  <si>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</si>
  <si>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</si>
  <si>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</si>
  <si>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</si>
  <si>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</si>
  <si>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</si>
  <si>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</si>
  <si>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</si>
  <si>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</si>
  <si>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</si>
  <si>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</si>
  <si>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</si>
  <si>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</si>
  <si>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</si>
  <si>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</si>
  <si>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</si>
  <si>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</si>
  <si>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</si>
  <si>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</si>
  <si>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対象期間(From)</t>
    <rPh sb="0" eb="2">
      <t>タイショウ</t>
    </rPh>
    <rPh sb="2" eb="4">
      <t>キカン</t>
    </rPh>
    <phoneticPr fontId="6"/>
  </si>
  <si>
    <t>対象期間(To)</t>
    <rPh sb="0" eb="2">
      <t>タイショウ</t>
    </rPh>
    <rPh sb="2" eb="4">
      <t>キカン</t>
    </rPh>
    <phoneticPr fontId="6"/>
  </si>
  <si>
    <t>単位</t>
    <rPh sb="0" eb="2">
      <t>タンイ</t>
    </rPh>
    <phoneticPr fontId="6"/>
  </si>
  <si>
    <t>事業所コード</t>
  </si>
  <si>
    <t>事業所名称</t>
    <rPh sb="3" eb="5">
      <t>メイショウ</t>
    </rPh>
    <phoneticPr fontId="2"/>
  </si>
  <si>
    <t>事業本部コード</t>
    <rPh sb="0" eb="2">
      <t>ジギョウ</t>
    </rPh>
    <rPh sb="2" eb="4">
      <t>ホンブ</t>
    </rPh>
    <phoneticPr fontId="6"/>
  </si>
  <si>
    <t>事業本部名称</t>
    <rPh sb="0" eb="2">
      <t>ジギョウ</t>
    </rPh>
    <rPh sb="2" eb="4">
      <t>ホンブ</t>
    </rPh>
    <rPh sb="4" eb="6">
      <t>メイショウ</t>
    </rPh>
    <phoneticPr fontId="6"/>
  </si>
  <si>
    <t>部門コード</t>
    <rPh sb="0" eb="2">
      <t>ブモン</t>
    </rPh>
    <phoneticPr fontId="6"/>
  </si>
  <si>
    <t>部門名称</t>
    <rPh sb="0" eb="2">
      <t>ブモン</t>
    </rPh>
    <rPh sb="2" eb="4">
      <t>メイショウ</t>
    </rPh>
    <phoneticPr fontId="6"/>
  </si>
  <si>
    <t>業種コード</t>
    <rPh sb="0" eb="2">
      <t>ギョウシュ</t>
    </rPh>
    <phoneticPr fontId="6"/>
  </si>
  <si>
    <t>業種名称</t>
    <rPh sb="0" eb="2">
      <t>ギョウシュ</t>
    </rPh>
    <rPh sb="2" eb="4">
      <t>メイショウ</t>
    </rPh>
    <phoneticPr fontId="6"/>
  </si>
  <si>
    <t>集計科目区分</t>
    <rPh sb="0" eb="2">
      <t>シュウケイ</t>
    </rPh>
    <rPh sb="2" eb="4">
      <t>カモク</t>
    </rPh>
    <rPh sb="4" eb="6">
      <t>クブン</t>
    </rPh>
    <phoneticPr fontId="6"/>
  </si>
  <si>
    <t>科目コード</t>
    <rPh sb="0" eb="2">
      <t>カモク</t>
    </rPh>
    <phoneticPr fontId="6"/>
  </si>
  <si>
    <t>科目名称</t>
    <rPh sb="0" eb="2">
      <t>カモク</t>
    </rPh>
    <rPh sb="2" eb="4">
      <t>メイショウ</t>
    </rPh>
    <phoneticPr fontId="6"/>
  </si>
  <si>
    <t>月度</t>
    <rPh sb="0" eb="1">
      <t>ツキ</t>
    </rPh>
    <rPh sb="1" eb="2">
      <t>ド</t>
    </rPh>
    <phoneticPr fontId="6"/>
  </si>
  <si>
    <t>実績(単月)</t>
    <rPh sb="0" eb="2">
      <t>ジッセキ</t>
    </rPh>
    <rPh sb="3" eb="4">
      <t>タン</t>
    </rPh>
    <rPh sb="4" eb="5">
      <t>ゲツ</t>
    </rPh>
    <phoneticPr fontId="6"/>
  </si>
  <si>
    <t>前年同月実績(単月)</t>
    <rPh sb="0" eb="2">
      <t>ゼンネン</t>
    </rPh>
    <rPh sb="2" eb="4">
      <t>ドウゲツ</t>
    </rPh>
    <rPh sb="4" eb="6">
      <t>ジッセキ</t>
    </rPh>
    <rPh sb="7" eb="8">
      <t>タン</t>
    </rPh>
    <rPh sb="8" eb="9">
      <t>ゲツ</t>
    </rPh>
    <phoneticPr fontId="6"/>
  </si>
  <si>
    <t>前年比(単月)</t>
    <rPh sb="0" eb="3">
      <t>ゼンネンヒ</t>
    </rPh>
    <rPh sb="4" eb="5">
      <t>タン</t>
    </rPh>
    <rPh sb="5" eb="6">
      <t>ゲツ</t>
    </rPh>
    <phoneticPr fontId="6"/>
  </si>
  <si>
    <t>実績(累計)</t>
    <rPh sb="0" eb="2">
      <t>ジッセキ</t>
    </rPh>
    <phoneticPr fontId="6"/>
  </si>
  <si>
    <t>進度率(累計)</t>
    <rPh sb="0" eb="2">
      <t>シンド</t>
    </rPh>
    <rPh sb="2" eb="3">
      <t>リツ</t>
    </rPh>
    <phoneticPr fontId="6"/>
  </si>
  <si>
    <t>前年比(累計)</t>
    <rPh sb="0" eb="3">
      <t>ゼンネンヒ</t>
    </rPh>
    <phoneticPr fontId="6"/>
  </si>
  <si>
    <t>並び順</t>
    <rPh sb="0" eb="1">
      <t>ナラ</t>
    </rPh>
    <rPh sb="2" eb="3">
      <t>ジュン</t>
    </rPh>
    <phoneticPr fontId="2"/>
  </si>
  <si>
    <t>数字</t>
    <rPh sb="0" eb="2">
      <t>スウジ</t>
    </rPh>
    <phoneticPr fontId="2"/>
  </si>
  <si>
    <t>漢字</t>
    <rPh sb="0" eb="2">
      <t>カンジ</t>
    </rPh>
    <phoneticPr fontId="2"/>
  </si>
  <si>
    <t>英数字</t>
    <rPh sb="0" eb="3">
      <t>エイスウジ</t>
    </rPh>
    <phoneticPr fontId="2"/>
  </si>
  <si>
    <t>1</t>
    <phoneticPr fontId="1"/>
  </si>
  <si>
    <t>22</t>
  </si>
  <si>
    <t>6</t>
  </si>
  <si>
    <t>2</t>
  </si>
  <si>
    <t>1</t>
  </si>
  <si>
    <t>13</t>
  </si>
  <si>
    <t>5</t>
  </si>
  <si>
    <t>4</t>
  </si>
  <si>
    <t>出力対象の期間(To)を出力する。</t>
    <rPh sb="12" eb="14">
      <t>シュツリョク</t>
    </rPh>
    <phoneticPr fontId="1"/>
  </si>
  <si>
    <t>出力対象の期間(From)を出力する。</t>
    <phoneticPr fontId="1"/>
  </si>
  <si>
    <t>金額の単位を出力する。</t>
    <phoneticPr fontId="1"/>
  </si>
  <si>
    <t>事務所コードを出力する。</t>
    <rPh sb="0" eb="2">
      <t>ジムショ</t>
    </rPh>
    <rPh sb="6" eb="8">
      <t>シュツリョク</t>
    </rPh>
    <phoneticPr fontId="1"/>
  </si>
  <si>
    <t>事業所コードに該当する名称を出力する。</t>
    <rPh sb="0" eb="3">
      <t>ジギョウショ</t>
    </rPh>
    <rPh sb="7" eb="9">
      <t>ガイトウ</t>
    </rPh>
    <rPh sb="11" eb="13">
      <t>メイショウ</t>
    </rPh>
    <rPh sb="14" eb="16">
      <t>シュツリョク</t>
    </rPh>
    <phoneticPr fontId="1"/>
  </si>
  <si>
    <t>事業本部コードを出力する。</t>
    <rPh sb="0" eb="2">
      <t>ジギョウ</t>
    </rPh>
    <rPh sb="2" eb="4">
      <t>ホンブ</t>
    </rPh>
    <rPh sb="8" eb="10">
      <t>シュツリョク</t>
    </rPh>
    <phoneticPr fontId="1"/>
  </si>
  <si>
    <t>事業本部コードに該当する名称を出力する。</t>
    <rPh sb="0" eb="2">
      <t>ジギョウ</t>
    </rPh>
    <rPh sb="2" eb="4">
      <t>ホンブ</t>
    </rPh>
    <rPh sb="8" eb="10">
      <t>ガイトウ</t>
    </rPh>
    <rPh sb="12" eb="14">
      <t>メイショウ</t>
    </rPh>
    <rPh sb="15" eb="17">
      <t>シュツリョク</t>
    </rPh>
    <phoneticPr fontId="1"/>
  </si>
  <si>
    <t>部門コードを出力する。</t>
    <rPh sb="0" eb="2">
      <t>ブモン</t>
    </rPh>
    <rPh sb="6" eb="8">
      <t>シュツリョク</t>
    </rPh>
    <phoneticPr fontId="1"/>
  </si>
  <si>
    <t>部門コードに該当する名称を出力する。</t>
    <rPh sb="0" eb="2">
      <t>ブモン</t>
    </rPh>
    <rPh sb="6" eb="8">
      <t>ガイトウ</t>
    </rPh>
    <rPh sb="10" eb="12">
      <t>メイショウ</t>
    </rPh>
    <rPh sb="13" eb="15">
      <t>シュツリョク</t>
    </rPh>
    <phoneticPr fontId="1"/>
  </si>
  <si>
    <t>勘定科目の集計科目区分を出力する。
０：明細科目
１：集計科目</t>
    <rPh sb="12" eb="14">
      <t>シュツリョク</t>
    </rPh>
    <phoneticPr fontId="1"/>
  </si>
  <si>
    <t>項科目コードに該当する名称を出力する。</t>
    <rPh sb="0" eb="1">
      <t>コウ</t>
    </rPh>
    <rPh sb="1" eb="3">
      <t>カモク</t>
    </rPh>
    <rPh sb="7" eb="9">
      <t>ガイトウ</t>
    </rPh>
    <rPh sb="11" eb="13">
      <t>メイショウ</t>
    </rPh>
    <rPh sb="14" eb="16">
      <t>シュツリョク</t>
    </rPh>
    <phoneticPr fontId="1"/>
  </si>
  <si>
    <t>対象期間(To)で指定された月を出力する。</t>
    <rPh sb="0" eb="4">
      <t>タイショウキカン</t>
    </rPh>
    <rPh sb="9" eb="11">
      <t>シテイ</t>
    </rPh>
    <rPh sb="14" eb="15">
      <t>ツキ</t>
    </rPh>
    <rPh sb="16" eb="18">
      <t>シュツリョク</t>
    </rPh>
    <phoneticPr fontId="1"/>
  </si>
  <si>
    <t>勘定科目のソート順を出力する。</t>
    <rPh sb="10" eb="12">
      <t>シュツリョク</t>
    </rPh>
    <phoneticPr fontId="1"/>
  </si>
  <si>
    <t>千円</t>
    <phoneticPr fontId="1"/>
  </si>
  <si>
    <t>90</t>
    <phoneticPr fontId="1"/>
  </si>
  <si>
    <t>本所</t>
    <phoneticPr fontId="1"/>
  </si>
  <si>
    <t>0</t>
    <phoneticPr fontId="1"/>
  </si>
  <si>
    <t>400101</t>
    <phoneticPr fontId="1"/>
  </si>
  <si>
    <t>購買手数料</t>
    <phoneticPr fontId="1"/>
  </si>
  <si>
    <t>チェックなし</t>
    <phoneticPr fontId="1"/>
  </si>
  <si>
    <t>対象期間From</t>
    <phoneticPr fontId="1"/>
  </si>
  <si>
    <t>対象期間
To</t>
    <rPh sb="0" eb="2">
      <t>タイショウ</t>
    </rPh>
    <rPh sb="2" eb="4">
      <t>キカン</t>
    </rPh>
    <phoneticPr fontId="21"/>
  </si>
  <si>
    <t>単位</t>
    <phoneticPr fontId="21"/>
  </si>
  <si>
    <t>事業所
コード</t>
    <phoneticPr fontId="21"/>
  </si>
  <si>
    <t>事業所
名称</t>
    <rPh sb="4" eb="6">
      <t>メイショウ</t>
    </rPh>
    <phoneticPr fontId="21"/>
  </si>
  <si>
    <t>事業本部
コード</t>
    <rPh sb="0" eb="2">
      <t>ジギョウ</t>
    </rPh>
    <rPh sb="2" eb="4">
      <t>ホンブ</t>
    </rPh>
    <phoneticPr fontId="1"/>
  </si>
  <si>
    <t>事業本部
名称</t>
    <rPh sb="0" eb="2">
      <t>ジギョウ</t>
    </rPh>
    <rPh sb="2" eb="4">
      <t>ホンブ</t>
    </rPh>
    <rPh sb="5" eb="7">
      <t>メイショウ</t>
    </rPh>
    <phoneticPr fontId="1"/>
  </si>
  <si>
    <t>部門
コード</t>
    <rPh sb="0" eb="2">
      <t>ブモン</t>
    </rPh>
    <phoneticPr fontId="1"/>
  </si>
  <si>
    <t>部門
名称</t>
    <rPh sb="0" eb="2">
      <t>ブモン</t>
    </rPh>
    <rPh sb="3" eb="5">
      <t>メイショウ</t>
    </rPh>
    <phoneticPr fontId="1"/>
  </si>
  <si>
    <t>業種
コード</t>
    <rPh sb="0" eb="2">
      <t>ギョウシュ</t>
    </rPh>
    <phoneticPr fontId="1"/>
  </si>
  <si>
    <t>業種
名称</t>
    <rPh sb="0" eb="2">
      <t>ギョウシュ</t>
    </rPh>
    <rPh sb="3" eb="5">
      <t>メイショウ</t>
    </rPh>
    <phoneticPr fontId="1"/>
  </si>
  <si>
    <t>集計科目
区分</t>
    <rPh sb="0" eb="2">
      <t>シュウケイ</t>
    </rPh>
    <rPh sb="2" eb="4">
      <t>カモク</t>
    </rPh>
    <rPh sb="5" eb="7">
      <t>クブン</t>
    </rPh>
    <phoneticPr fontId="1"/>
  </si>
  <si>
    <t>科目コード</t>
    <rPh sb="0" eb="2">
      <t>カモク</t>
    </rPh>
    <phoneticPr fontId="21"/>
  </si>
  <si>
    <t>科目名称</t>
    <rPh sb="0" eb="2">
      <t>カモク</t>
    </rPh>
    <rPh sb="2" eb="4">
      <t>メイショウ</t>
    </rPh>
    <phoneticPr fontId="21"/>
  </si>
  <si>
    <t>月度</t>
    <rPh sb="0" eb="2">
      <t>ツキド</t>
    </rPh>
    <phoneticPr fontId="21"/>
  </si>
  <si>
    <t>実績(単月)</t>
  </si>
  <si>
    <t>前年同月実績(単月)</t>
  </si>
  <si>
    <t>前年比(単月)</t>
  </si>
  <si>
    <t>年間計画(累計)</t>
  </si>
  <si>
    <t>実績(累計)</t>
  </si>
  <si>
    <t>進度率(累計)</t>
  </si>
  <si>
    <t>前年同期実績(累計)</t>
  </si>
  <si>
    <t>前年比(累計)</t>
  </si>
  <si>
    <t>並び順</t>
  </si>
  <si>
    <t>千円</t>
  </si>
  <si>
    <t>本所</t>
    <rPh sb="0" eb="2">
      <t>ホンショ</t>
    </rPh>
    <phoneticPr fontId="1"/>
  </si>
  <si>
    <t>一般取扱高購買（Ａ）</t>
  </si>
  <si>
    <t>90</t>
  </si>
  <si>
    <t>一般取扱高販売（Ａ）</t>
  </si>
  <si>
    <t>一般取扱高（Ａ）</t>
  </si>
  <si>
    <t>3</t>
    <phoneticPr fontId="1"/>
  </si>
  <si>
    <t>その他取扱高購買（Ｂ）</t>
  </si>
  <si>
    <t>4</t>
    <phoneticPr fontId="1"/>
  </si>
  <si>
    <t>その他取扱高販売（Ｂ）</t>
  </si>
  <si>
    <t>5</t>
    <phoneticPr fontId="1"/>
  </si>
  <si>
    <t>その他取扱高（Ｂ）</t>
  </si>
  <si>
    <t>6</t>
    <phoneticPr fontId="1"/>
  </si>
  <si>
    <t>～</t>
    <phoneticPr fontId="1"/>
  </si>
  <si>
    <t>2</t>
    <phoneticPr fontId="1"/>
  </si>
  <si>
    <t>業種コードを出力する。</t>
    <rPh sb="0" eb="2">
      <t>ギョウシュ</t>
    </rPh>
    <rPh sb="6" eb="8">
      <t>シュツリョク</t>
    </rPh>
    <phoneticPr fontId="1"/>
  </si>
  <si>
    <t>業種コードに該当する名称を出力する。</t>
    <rPh sb="0" eb="2">
      <t>ギョウシュ</t>
    </rPh>
    <rPh sb="6" eb="8">
      <t>ガイトウ</t>
    </rPh>
    <rPh sb="10" eb="12">
      <t>メイショウ</t>
    </rPh>
    <rPh sb="13" eb="15">
      <t>シュツリョク</t>
    </rPh>
    <phoneticPr fontId="1"/>
  </si>
  <si>
    <t>200000</t>
    <phoneticPr fontId="1"/>
  </si>
  <si>
    <t>195000</t>
    <phoneticPr fontId="1"/>
  </si>
  <si>
    <t>102.6</t>
    <phoneticPr fontId="1"/>
  </si>
  <si>
    <t>5800000</t>
    <phoneticPr fontId="1"/>
  </si>
  <si>
    <t>2600000</t>
    <phoneticPr fontId="1"/>
  </si>
  <si>
    <t>44.8</t>
    <phoneticPr fontId="1"/>
  </si>
  <si>
    <t>2145000</t>
    <phoneticPr fontId="1"/>
  </si>
  <si>
    <t>121.2</t>
    <phoneticPr fontId="1"/>
  </si>
  <si>
    <t>年間計画</t>
    <rPh sb="0" eb="2">
      <t>ネンカン</t>
    </rPh>
    <rPh sb="2" eb="4">
      <t>ケイカク</t>
    </rPh>
    <phoneticPr fontId="6"/>
  </si>
  <si>
    <t>農産事業本部</t>
    <rPh sb="0" eb="2">
      <t>ノウサン</t>
    </rPh>
    <rPh sb="2" eb="4">
      <t>ジギョウ</t>
    </rPh>
    <rPh sb="4" eb="6">
      <t>ホンブ</t>
    </rPh>
    <phoneticPr fontId="1"/>
  </si>
  <si>
    <t>41</t>
  </si>
  <si>
    <t>41</t>
    <phoneticPr fontId="1"/>
  </si>
  <si>
    <t>種苗園芸</t>
  </si>
  <si>
    <t>種苗園芸</t>
    <phoneticPr fontId="1"/>
  </si>
  <si>
    <t>04</t>
  </si>
  <si>
    <t>04</t>
    <phoneticPr fontId="1"/>
  </si>
  <si>
    <t>01</t>
  </si>
  <si>
    <t>01</t>
    <phoneticPr fontId="1"/>
  </si>
  <si>
    <t>種苗</t>
  </si>
  <si>
    <t>種苗</t>
    <phoneticPr fontId="1"/>
  </si>
  <si>
    <t>種苗園芸部</t>
    <phoneticPr fontId="1"/>
  </si>
  <si>
    <t>361</t>
    <phoneticPr fontId="1"/>
  </si>
  <si>
    <t>農産事業本部</t>
    <phoneticPr fontId="1"/>
  </si>
  <si>
    <t>集計区分</t>
    <rPh sb="0" eb="4">
      <t>シュウケイクブン</t>
    </rPh>
    <phoneticPr fontId="1"/>
  </si>
  <si>
    <t>英数字</t>
    <rPh sb="0" eb="3">
      <t>エイスウジ</t>
    </rPh>
    <phoneticPr fontId="1"/>
  </si>
  <si>
    <t>集計区分を出力する。</t>
    <phoneticPr fontId="1"/>
  </si>
  <si>
    <t>集計区分名称</t>
    <rPh sb="0" eb="4">
      <t>シュウケイクブン</t>
    </rPh>
    <rPh sb="4" eb="6">
      <t>メイショウ</t>
    </rPh>
    <phoneticPr fontId="1"/>
  </si>
  <si>
    <t>漢字</t>
    <rPh sb="0" eb="2">
      <t>カンジ</t>
    </rPh>
    <phoneticPr fontId="1"/>
  </si>
  <si>
    <t>総合</t>
    <rPh sb="0" eb="2">
      <t>ソウゴウ</t>
    </rPh>
    <phoneticPr fontId="1"/>
  </si>
  <si>
    <t>集計区分</t>
    <phoneticPr fontId="1"/>
  </si>
  <si>
    <t>集計区分名称</t>
    <phoneticPr fontId="1"/>
  </si>
  <si>
    <t>12</t>
  </si>
  <si>
    <t>22</t>
    <phoneticPr fontId="1"/>
  </si>
  <si>
    <t>23</t>
  </si>
  <si>
    <t>24</t>
  </si>
  <si>
    <t>00</t>
  </si>
  <si>
    <t>00</t>
    <phoneticPr fontId="1"/>
  </si>
  <si>
    <t>0.0</t>
  </si>
  <si>
    <t>0.0</t>
    <phoneticPr fontId="1"/>
  </si>
  <si>
    <t>総合選択時</t>
    <rPh sb="0" eb="5">
      <t>ソウゴウセンタクジ</t>
    </rPh>
    <phoneticPr fontId="1"/>
  </si>
  <si>
    <t>事業所選択時</t>
    <rPh sb="0" eb="3">
      <t>ジギョウショ</t>
    </rPh>
    <rPh sb="3" eb="5">
      <t>センタク</t>
    </rPh>
    <rPh sb="5" eb="6">
      <t>ジ</t>
    </rPh>
    <phoneticPr fontId="1"/>
  </si>
  <si>
    <t>02</t>
  </si>
  <si>
    <t>02</t>
    <phoneticPr fontId="1"/>
  </si>
  <si>
    <t>畜産販売部</t>
    <rPh sb="0" eb="2">
      <t>チクサン</t>
    </rPh>
    <rPh sb="2" eb="5">
      <t>ハンバイブ</t>
    </rPh>
    <phoneticPr fontId="1"/>
  </si>
  <si>
    <t>てん菜生産部</t>
  </si>
  <si>
    <t>てん菜生産部</t>
    <phoneticPr fontId="1"/>
  </si>
  <si>
    <t>肥料農薬部</t>
  </si>
  <si>
    <t>てん菜企画課</t>
  </si>
  <si>
    <t>てん菜企画課</t>
    <phoneticPr fontId="1"/>
  </si>
  <si>
    <t>369</t>
  </si>
  <si>
    <t>365</t>
  </si>
  <si>
    <t>365</t>
    <phoneticPr fontId="1"/>
  </si>
  <si>
    <t>370</t>
  </si>
  <si>
    <t>370</t>
    <phoneticPr fontId="1"/>
  </si>
  <si>
    <t>4145</t>
  </si>
  <si>
    <t>4145</t>
    <phoneticPr fontId="1"/>
  </si>
  <si>
    <t>部コード</t>
    <rPh sb="0" eb="1">
      <t>ブ</t>
    </rPh>
    <phoneticPr fontId="1"/>
  </si>
  <si>
    <t>部名称</t>
    <rPh sb="0" eb="1">
      <t>ブ</t>
    </rPh>
    <rPh sb="1" eb="3">
      <t>メイショウ</t>
    </rPh>
    <phoneticPr fontId="1"/>
  </si>
  <si>
    <t>ビーフ課</t>
    <rPh sb="3" eb="4">
      <t>カ</t>
    </rPh>
    <phoneticPr fontId="1"/>
  </si>
  <si>
    <t>4167</t>
  </si>
  <si>
    <t>4167</t>
    <phoneticPr fontId="1"/>
  </si>
  <si>
    <t>ポーク課</t>
  </si>
  <si>
    <t>ポーク課</t>
    <phoneticPr fontId="1"/>
  </si>
  <si>
    <t>4562</t>
  </si>
  <si>
    <t>4562</t>
    <phoneticPr fontId="1"/>
  </si>
  <si>
    <t>食肉加工工場</t>
  </si>
  <si>
    <t>食肉加工工場</t>
    <phoneticPr fontId="1"/>
  </si>
  <si>
    <t>5648</t>
  </si>
  <si>
    <t>5648</t>
    <phoneticPr fontId="1"/>
  </si>
  <si>
    <t>原料課</t>
  </si>
  <si>
    <t>原料課</t>
    <phoneticPr fontId="1"/>
  </si>
  <si>
    <t>砂糖製造課</t>
  </si>
  <si>
    <t>砂糖製造課</t>
    <phoneticPr fontId="1"/>
  </si>
  <si>
    <t>女満別種子工場</t>
  </si>
  <si>
    <t>女満別種子工場</t>
    <phoneticPr fontId="1"/>
  </si>
  <si>
    <t>4152</t>
  </si>
  <si>
    <t>4152</t>
    <phoneticPr fontId="1"/>
  </si>
  <si>
    <t>4153</t>
  </si>
  <si>
    <t>4153</t>
    <phoneticPr fontId="1"/>
  </si>
  <si>
    <t>5615</t>
  </si>
  <si>
    <t>5615</t>
    <phoneticPr fontId="1"/>
  </si>
  <si>
    <t>4171</t>
  </si>
  <si>
    <t>4171</t>
    <phoneticPr fontId="1"/>
  </si>
  <si>
    <t>業務課</t>
  </si>
  <si>
    <t>業務課</t>
    <phoneticPr fontId="1"/>
  </si>
  <si>
    <t>4510</t>
  </si>
  <si>
    <t>4510</t>
    <phoneticPr fontId="1"/>
  </si>
  <si>
    <t>農務技術課</t>
  </si>
  <si>
    <t>農務技術課</t>
    <phoneticPr fontId="1"/>
  </si>
  <si>
    <t>4511</t>
  </si>
  <si>
    <t>4511</t>
    <phoneticPr fontId="1"/>
  </si>
  <si>
    <t>本所</t>
  </si>
  <si>
    <t>事業本部別</t>
    <rPh sb="0" eb="2">
      <t>ジギョウ</t>
    </rPh>
    <rPh sb="2" eb="4">
      <t>ホンブ</t>
    </rPh>
    <rPh sb="4" eb="5">
      <t>ベツ</t>
    </rPh>
    <phoneticPr fontId="1"/>
  </si>
  <si>
    <t>部門別</t>
    <rPh sb="0" eb="2">
      <t>ブモン</t>
    </rPh>
    <rPh sb="2" eb="3">
      <t>ベツ</t>
    </rPh>
    <phoneticPr fontId="1"/>
  </si>
  <si>
    <t>業種別</t>
    <rPh sb="0" eb="2">
      <t>ギョウシュ</t>
    </rPh>
    <rPh sb="2" eb="3">
      <t>ベツ</t>
    </rPh>
    <phoneticPr fontId="1"/>
  </si>
  <si>
    <t>部コード</t>
    <rPh sb="0" eb="1">
      <t>ブ</t>
    </rPh>
    <phoneticPr fontId="6"/>
  </si>
  <si>
    <t>部名称</t>
    <rPh sb="0" eb="1">
      <t>ブ</t>
    </rPh>
    <rPh sb="1" eb="3">
      <t>メイショウ</t>
    </rPh>
    <phoneticPr fontId="6"/>
  </si>
  <si>
    <t>部コードに該当する名称を出力する。</t>
    <rPh sb="0" eb="1">
      <t>ブ</t>
    </rPh>
    <rPh sb="5" eb="7">
      <t>ガイトウ</t>
    </rPh>
    <rPh sb="9" eb="11">
      <t>メイショウ</t>
    </rPh>
    <rPh sb="12" eb="14">
      <t>シュツリョク</t>
    </rPh>
    <phoneticPr fontId="1"/>
  </si>
  <si>
    <t>部コードを出力する。</t>
    <rPh sb="0" eb="1">
      <t>ブ</t>
    </rPh>
    <rPh sb="5" eb="7">
      <t>シュツリョク</t>
    </rPh>
    <phoneticPr fontId="1"/>
  </si>
  <si>
    <t>24</t>
    <phoneticPr fontId="1"/>
  </si>
  <si>
    <t>前年同月実績(累計)</t>
    <phoneticPr fontId="6"/>
  </si>
  <si>
    <t>51</t>
  </si>
  <si>
    <t>肥料</t>
    <rPh sb="0" eb="1">
      <t>ヒリョウ</t>
    </rPh>
    <phoneticPr fontId="1"/>
  </si>
  <si>
    <t>52</t>
  </si>
  <si>
    <t>農薬</t>
    <rPh sb="0" eb="2">
      <t>ノウヤク</t>
    </rPh>
    <phoneticPr fontId="1"/>
  </si>
  <si>
    <t>21</t>
  </si>
  <si>
    <t>てん菜</t>
    <rPh sb="1" eb="2">
      <t>サイ</t>
    </rPh>
    <phoneticPr fontId="1"/>
  </si>
  <si>
    <t>採取</t>
    <rPh sb="0" eb="2">
      <t>サイシュ</t>
    </rPh>
    <phoneticPr fontId="1"/>
  </si>
  <si>
    <t>肥料農薬部</t>
    <phoneticPr fontId="1"/>
  </si>
  <si>
    <t>技術普及課</t>
  </si>
  <si>
    <t>技術普及課</t>
    <phoneticPr fontId="1"/>
  </si>
  <si>
    <t>45</t>
  </si>
  <si>
    <t>畜産　</t>
  </si>
  <si>
    <t>畜産　</t>
    <phoneticPr fontId="1"/>
  </si>
  <si>
    <t>運送収入</t>
    <phoneticPr fontId="1"/>
  </si>
  <si>
    <t>27</t>
  </si>
  <si>
    <t>27</t>
    <phoneticPr fontId="1"/>
  </si>
  <si>
    <t>施設コード</t>
    <rPh sb="0" eb="2">
      <t>シセツ</t>
    </rPh>
    <phoneticPr fontId="1"/>
  </si>
  <si>
    <t>施設名称</t>
    <rPh sb="0" eb="2">
      <t>シセツ</t>
    </rPh>
    <rPh sb="2" eb="4">
      <t>メイショウ</t>
    </rPh>
    <phoneticPr fontId="1"/>
  </si>
  <si>
    <t>予算組織コード</t>
    <rPh sb="0" eb="4">
      <t>ヨサンソシキ</t>
    </rPh>
    <phoneticPr fontId="1"/>
  </si>
  <si>
    <t>予算組織名称</t>
    <rPh sb="0" eb="2">
      <t>ヨサン</t>
    </rPh>
    <rPh sb="2" eb="4">
      <t>ソシキ</t>
    </rPh>
    <rPh sb="4" eb="6">
      <t>メイショウ</t>
    </rPh>
    <phoneticPr fontId="1"/>
  </si>
  <si>
    <t>施設コード</t>
    <rPh sb="0" eb="2">
      <t>シセツ</t>
    </rPh>
    <phoneticPr fontId="6"/>
  </si>
  <si>
    <t>施設名称</t>
    <rPh sb="0" eb="2">
      <t>シセツ</t>
    </rPh>
    <rPh sb="2" eb="4">
      <t>メイショウ</t>
    </rPh>
    <phoneticPr fontId="6"/>
  </si>
  <si>
    <t>施設コードを出力する。</t>
    <rPh sb="0" eb="2">
      <t>シセツ</t>
    </rPh>
    <rPh sb="6" eb="8">
      <t>シュツリョク</t>
    </rPh>
    <phoneticPr fontId="1"/>
  </si>
  <si>
    <t>施設コードに該当する名称を出力する。</t>
    <rPh sb="0" eb="2">
      <t>シセツ</t>
    </rPh>
    <rPh sb="6" eb="8">
      <t>ガイトウ</t>
    </rPh>
    <rPh sb="10" eb="12">
      <t>メイショウ</t>
    </rPh>
    <rPh sb="13" eb="15">
      <t>シュツリョク</t>
    </rPh>
    <phoneticPr fontId="1"/>
  </si>
  <si>
    <t>予算組織コード</t>
    <rPh sb="0" eb="4">
      <t>ヨサンソシキ</t>
    </rPh>
    <phoneticPr fontId="6"/>
  </si>
  <si>
    <t>予算組織名称</t>
    <rPh sb="2" eb="4">
      <t>ソシキ</t>
    </rPh>
    <rPh sb="4" eb="6">
      <t>メイショウ</t>
    </rPh>
    <phoneticPr fontId="6"/>
  </si>
  <si>
    <t>部門別実績比較損益計算書</t>
    <phoneticPr fontId="1"/>
  </si>
  <si>
    <t>事業所別</t>
    <rPh sb="0" eb="3">
      <t>ジギョウショ</t>
    </rPh>
    <rPh sb="3" eb="4">
      <t>ベツ</t>
    </rPh>
    <phoneticPr fontId="1"/>
  </si>
  <si>
    <t>予算組織（部、課、施設課）コードを出力する。</t>
    <rPh sb="0" eb="2">
      <t>ヨサン</t>
    </rPh>
    <rPh sb="2" eb="4">
      <t>ソシキ</t>
    </rPh>
    <rPh sb="5" eb="6">
      <t>ブ</t>
    </rPh>
    <rPh sb="7" eb="8">
      <t>カ</t>
    </rPh>
    <rPh sb="9" eb="12">
      <t>シセツカ</t>
    </rPh>
    <rPh sb="17" eb="19">
      <t>シュツリョク</t>
    </rPh>
    <phoneticPr fontId="1"/>
  </si>
  <si>
    <t>予算組織（部、課、施設課）コードに該当する名称を出力する。</t>
    <rPh sb="0" eb="2">
      <t>ヨサン</t>
    </rPh>
    <rPh sb="2" eb="4">
      <t>ソシキ</t>
    </rPh>
    <rPh sb="17" eb="19">
      <t>ガイトウ</t>
    </rPh>
    <rPh sb="21" eb="23">
      <t>メイショウ</t>
    </rPh>
    <rPh sb="24" eb="26">
      <t>シュツリョク</t>
    </rPh>
    <phoneticPr fontId="1"/>
  </si>
  <si>
    <t>項科目コードを出力する
※発生のない科目（年間計画、実績ともに存在しない場合）は出力しない。</t>
    <rPh sb="7" eb="9">
      <t>シュツリョク</t>
    </rPh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</si>
  <si>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</si>
  <si>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</si>
  <si>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</si>
  <si>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</si>
  <si>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業種別検索時</t>
    <rPh sb="0" eb="3">
      <t>ギョウシュベツ</t>
    </rPh>
    <rPh sb="3" eb="6">
      <t>ケンサクジ</t>
    </rPh>
    <phoneticPr fontId="1"/>
  </si>
  <si>
    <t>事業所コード</t>
    <rPh sb="0" eb="3">
      <t>ジギョウショ</t>
    </rPh>
    <phoneticPr fontId="1"/>
  </si>
  <si>
    <t>事業本部コード</t>
    <rPh sb="0" eb="4">
      <t>ジギョウホンブ</t>
    </rPh>
    <phoneticPr fontId="1"/>
  </si>
  <si>
    <t>部門コード</t>
    <rPh sb="0" eb="2">
      <t>ブモン</t>
    </rPh>
    <phoneticPr fontId="1"/>
  </si>
  <si>
    <t>業種コード</t>
    <rPh sb="0" eb="2">
      <t>ギョウシュ</t>
    </rPh>
    <phoneticPr fontId="1"/>
  </si>
  <si>
    <t>並び順</t>
    <rPh sb="0" eb="1">
      <t>ナラ</t>
    </rPh>
    <rPh sb="2" eb="3">
      <t>ジュン</t>
    </rPh>
    <phoneticPr fontId="1"/>
  </si>
  <si>
    <t>昇順</t>
  </si>
  <si>
    <t>組織別検索時</t>
    <rPh sb="0" eb="2">
      <t>ソシキ</t>
    </rPh>
    <rPh sb="2" eb="3">
      <t>ベツ</t>
    </rPh>
    <rPh sb="3" eb="6">
      <t>ケンサクジ</t>
    </rPh>
    <phoneticPr fontId="1"/>
  </si>
  <si>
    <t>1.対象期間で指定された期間の実績額を出力する。
2.残高が0円ではないが、単位未満の場合は0を出力する。
3.単位未満は切り捨てとする。</t>
    <rPh sb="19" eb="21">
      <t>シュツリョク</t>
    </rPh>
    <phoneticPr fontId="1"/>
  </si>
  <si>
    <t>1.対象期間で指定された期間の前年同月実績額を出力する。
2.残高が0円ではないが、単位未満の場合は0を出力する。
3.単位未満は切り捨てとする。</t>
    <rPh sb="23" eb="25">
      <t>シュツリョク</t>
    </rPh>
    <phoneticPr fontId="1"/>
  </si>
  <si>
    <t xml:space="preserve">1.対象期間(To)で指定された月(MM)の前年同月実績を出力する。
2.残高が0円ではないが、単位未満の場合は０を出力する。
3.単位未満は切り捨てとする。
</t>
    <rPh sb="29" eb="31">
      <t>シュツリョク</t>
    </rPh>
    <phoneticPr fontId="1"/>
  </si>
  <si>
    <t xml:space="preserve">1.対象期間(To)で指定された月(MM)の実績金額を出力する。
2.残高が0円ではないが、単位未満の場合は0を出力する。
3.単位未満は切り捨てとする。
</t>
    <rPh sb="27" eb="29">
      <t>シュツリョク</t>
    </rPh>
    <phoneticPr fontId="1"/>
  </si>
  <si>
    <t>1.実績(単月)と前年同月実績(単月)の比率を出力する。（小数第二位四捨五入）
式)前年比(単月) = 実績(単月)/前年同月実績額(単月)*100
2.999.9を超える場合は、999.9と表示する。
3.-999.9を下回る場合は-999.9と表示する。
4.除算エラーの場合は0を表示する。</t>
    <rPh sb="23" eb="25">
      <t>シュツリョク</t>
    </rPh>
    <rPh sb="96" eb="98">
      <t>ヒョウジ</t>
    </rPh>
    <rPh sb="111" eb="113">
      <t>シタマワ</t>
    </rPh>
    <rPh sb="114" eb="116">
      <t>バアイ</t>
    </rPh>
    <rPh sb="124" eb="126">
      <t>ヒョウジ</t>
    </rPh>
    <rPh sb="132" eb="134">
      <t>ジョサン</t>
    </rPh>
    <rPh sb="138" eb="140">
      <t>バアイ</t>
    </rPh>
    <rPh sb="143" eb="145">
      <t>ヒョウジ</t>
    </rPh>
    <phoneticPr fontId="1"/>
  </si>
  <si>
    <t>1.実績(累計)と年間計画の比率を出力する。（小数第二位四捨五入）
式)進度率(累計) = 実績(累計)/年間計画 *100
2.999.9を超える場合は、999.9と表示する。
3.-999.9を下回る場合は-999.9と表示する。
4.除算エラーの場合は0を表示する。</t>
    <rPh sb="17" eb="19">
      <t>シュツリョク</t>
    </rPh>
    <phoneticPr fontId="1"/>
  </si>
  <si>
    <t>1.実績(累計)と前年同月実績(累計)の比率を出力する。（小数第二位四捨五入）
式)前年比(累計) = 実績(累計)/前年同月実績額(累計)*100
2.999.9を超える場合は、999.9と表示する。
3.-999.9を下回る場合は-999.9と表示する。
4.除算エラーの場合は0を表示する。</t>
    <rPh sb="2" eb="4">
      <t>ジッセキ</t>
    </rPh>
    <rPh sb="5" eb="7">
      <t>ルイケイ</t>
    </rPh>
    <rPh sb="9" eb="11">
      <t>ケイカク</t>
    </rPh>
    <rPh sb="12" eb="14">
      <t>ルイケイ</t>
    </rPh>
    <rPh sb="16" eb="18">
      <t>ヒリツ</t>
    </rPh>
    <phoneticPr fontId="1"/>
  </si>
  <si>
    <t>集計区分</t>
    <rPh sb="0" eb="2">
      <t>シュウケイ</t>
    </rPh>
    <rPh sb="2" eb="4">
      <t>クブン</t>
    </rPh>
    <phoneticPr fontId="1"/>
  </si>
  <si>
    <t>202404</t>
  </si>
  <si>
    <t>202404</t>
    <phoneticPr fontId="1"/>
  </si>
  <si>
    <t>202407</t>
  </si>
  <si>
    <t>202407</t>
    <phoneticPr fontId="1"/>
  </si>
  <si>
    <t>202404</t>
    <phoneticPr fontId="1"/>
  </si>
  <si>
    <t>202407</t>
    <phoneticPr fontId="1"/>
  </si>
  <si>
    <t>部別</t>
    <rPh sb="0" eb="2">
      <t>ブベツ</t>
    </rPh>
    <phoneticPr fontId="1"/>
  </si>
  <si>
    <t>施設別</t>
    <rPh sb="0" eb="2">
      <t>シセツ</t>
    </rPh>
    <rPh sb="2" eb="3">
      <t>ベツ</t>
    </rPh>
    <phoneticPr fontId="1"/>
  </si>
  <si>
    <t>予算組織別</t>
    <rPh sb="0" eb="4">
      <t>ヨサンソシキ</t>
    </rPh>
    <rPh sb="4" eb="5">
      <t>ベツ</t>
    </rPh>
    <phoneticPr fontId="1"/>
  </si>
  <si>
    <t>予算組織別</t>
    <rPh sb="0" eb="2">
      <t>ヨサン</t>
    </rPh>
    <rPh sb="2" eb="4">
      <t>ソシキ</t>
    </rPh>
    <rPh sb="4" eb="5">
      <t>ベツ</t>
    </rPh>
    <phoneticPr fontId="1"/>
  </si>
  <si>
    <t>2025/08/29</t>
    <phoneticPr fontId="1"/>
  </si>
  <si>
    <t>統合会計システム</t>
    <phoneticPr fontId="1"/>
  </si>
  <si>
    <t>D03030201</t>
    <phoneticPr fontId="1"/>
  </si>
  <si>
    <t>1.最新の年間計画を出力する。（計画情報．当初金額）
※ヘッダ部分も画面で指定した値を出力する。
2.金額が0の場合は空欄とする。
3.金額が0円ではないが、単位未満の場合は0を出力する。
4.単位未満は切り捨てとする。
5.年間計画値は項科目単位の計画データまたは、会計情報品目単位で集計して表示する。
6.年間計画値は千円単位で登録するが、画面で指定された金額単位に応じて、実績値と同じ単位に編集して表示する。</t>
    <rPh sb="2" eb="4">
      <t>サイシン</t>
    </rPh>
    <rPh sb="5" eb="7">
      <t>ネンカン</t>
    </rPh>
    <rPh sb="7" eb="9">
      <t>ケイカク</t>
    </rPh>
    <rPh sb="10" eb="12">
      <t>シュツリョク</t>
    </rPh>
    <rPh sb="31" eb="33">
      <t>ブブン</t>
    </rPh>
    <rPh sb="34" eb="36">
      <t>ガメン</t>
    </rPh>
    <rPh sb="37" eb="39">
      <t>シテイ</t>
    </rPh>
    <rPh sb="41" eb="42">
      <t>アタイ</t>
    </rPh>
    <rPh sb="43" eb="45">
      <t>シュツリョク</t>
    </rPh>
    <rPh sb="51" eb="53">
      <t>キンガク</t>
    </rPh>
    <rPh sb="56" eb="58">
      <t>バアイ</t>
    </rPh>
    <rPh sb="59" eb="61">
      <t>クウラン</t>
    </rPh>
    <phoneticPr fontId="1"/>
  </si>
  <si>
    <t>Shift jis</t>
  </si>
  <si>
    <t>4,1</t>
    <phoneticPr fontId="1"/>
  </si>
  <si>
    <t>基幹システム再構築　会計システム外部設計</t>
  </si>
  <si>
    <t>24058</t>
  </si>
  <si>
    <t>F4110-1D</t>
    <phoneticPr fontId="1"/>
  </si>
  <si>
    <t>値は以下
・総合
・事業所別
・事業本部別
・部門別
・業種別
・部別
・施設別
・予算組織別</t>
    <rPh sb="0" eb="1">
      <t>アタイ</t>
    </rPh>
    <rPh sb="2" eb="4">
      <t>イカ</t>
    </rPh>
    <rPh sb="10" eb="14">
      <t>ジギョウショベツ</t>
    </rPh>
    <rPh sb="16" eb="21">
      <t>ジギョウホンブベツ</t>
    </rPh>
    <rPh sb="23" eb="26">
      <t>ブモンベツ</t>
    </rPh>
    <rPh sb="28" eb="31">
      <t>ギョウシュベツ</t>
    </rPh>
    <rPh sb="33" eb="35">
      <t>ブベツ</t>
    </rPh>
    <rPh sb="37" eb="39">
      <t>シセツ</t>
    </rPh>
    <rPh sb="39" eb="40">
      <t>ベツ</t>
    </rPh>
    <rPh sb="42" eb="44">
      <t>ヨサン</t>
    </rPh>
    <rPh sb="44" eb="46">
      <t>ソシキ</t>
    </rPh>
    <rPh sb="46" eb="47">
      <t>ベツ</t>
    </rPh>
    <phoneticPr fontId="1"/>
  </si>
  <si>
    <t>3</t>
  </si>
  <si>
    <t>7</t>
  </si>
  <si>
    <t>8</t>
  </si>
  <si>
    <t>運送費用</t>
    <rPh sb="2" eb="4">
      <t>ヒヨウ</t>
    </rPh>
    <phoneticPr fontId="1"/>
  </si>
  <si>
    <t>7</t>
    <phoneticPr fontId="1"/>
  </si>
  <si>
    <t>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</si>
</sst>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;[Red]\-0\ "/>
    <numFmt numFmtId="177" formatCode="0.0"/>
    <numFmt numFmtId="178" formatCode="0.0_ 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6"/>
      <name val="ＭＳ 明朝"/>
      <family val="1"/>
      <charset val="128"/>
    </font>
    <font>
      <b/>
      <sz val="14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0" fontId="15" fillId="0" borderId="0"/>
    <xf numFmtId="0" fontId="15" fillId="0" borderId="0">
      <alignment vertical="center"/>
    </xf>
    <xf numFmtId="38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22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5" xfId="0" applyFont="1" applyBorder="1" applyAlignment="1">
      <alignment horizontal="left" vertical="center"/>
    </xf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49" fontId="5" fillId="0" borderId="1" xfId="4" applyNumberFormat="1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49" fontId="5" fillId="0" borderId="1" xfId="2" applyNumberFormat="1" applyFont="1" applyBorder="1" applyAlignment="1">
      <alignment horizontal="center" vertical="center" wrapText="1"/>
    </xf>
    <xf numFmtId="49" fontId="0" fillId="4" borderId="2" xfId="4" applyNumberFormat="1" applyFont="1" applyFill="1" applyBorder="1">
      <alignment vertical="center"/>
    </xf>
    <xf numFmtId="49" fontId="0" fillId="4" borderId="2" xfId="4" applyNumberFormat="1" applyFont="1" applyFill="1" applyBorder="1" applyAlignment="1">
      <alignment vertical="center" textRotation="255"/>
    </xf>
    <xf numFmtId="49" fontId="0" fillId="4" borderId="2" xfId="2" applyNumberFormat="1" applyFont="1" applyFill="1" applyBorder="1">
      <alignment vertical="center"/>
    </xf>
    <xf numFmtId="49" fontId="0" fillId="4" borderId="2" xfId="2" applyNumberFormat="1" applyFont="1" applyFill="1" applyBorder="1" applyAlignment="1">
      <alignment horizontal="center" vertical="center" textRotation="255"/>
    </xf>
    <xf numFmtId="49" fontId="5" fillId="0" borderId="0" xfId="5" applyNumberFormat="1" applyFont="1" applyAlignment="1">
      <alignment horizontal="left" vertical="center"/>
    </xf>
    <xf numFmtId="49" fontId="5" fillId="0" borderId="0" xfId="5" applyNumberFormat="1" applyFont="1" applyAlignment="1">
      <alignment horizontal="center" vertical="center"/>
    </xf>
    <xf numFmtId="49" fontId="5" fillId="0" borderId="0" xfId="5" applyNumberFormat="1" applyFont="1" applyAlignment="1">
      <alignment horizontal="center" vertical="center" wrapText="1"/>
    </xf>
    <xf numFmtId="49" fontId="0" fillId="0" borderId="0" xfId="5" applyNumberFormat="1" applyFont="1">
      <alignment vertical="center"/>
    </xf>
    <xf numFmtId="49" fontId="0" fillId="4" borderId="18" xfId="4" applyNumberFormat="1" applyFont="1" applyFill="1" applyBorder="1" applyAlignment="1">
      <alignment vertical="center" textRotation="255"/>
    </xf>
    <xf numFmtId="49" fontId="0" fillId="4" borderId="18" xfId="4" applyNumberFormat="1" applyFont="1" applyFill="1" applyBorder="1">
      <alignment vertical="center"/>
    </xf>
    <xf numFmtId="49" fontId="0" fillId="4" borderId="18" xfId="2" applyNumberFormat="1" applyFont="1" applyFill="1" applyBorder="1">
      <alignment vertical="center"/>
    </xf>
    <xf numFmtId="49" fontId="0" fillId="4" borderId="18" xfId="2" applyNumberFormat="1" applyFont="1" applyFill="1" applyBorder="1" applyAlignment="1">
      <alignment horizontal="center" vertical="center" textRotation="255"/>
    </xf>
    <xf numFmtId="0" fontId="22" fillId="0" borderId="0" xfId="5" applyFont="1">
      <alignment vertical="center"/>
    </xf>
    <xf numFmtId="0" fontId="5" fillId="0" borderId="1" xfId="2" applyFont="1" applyBorder="1" applyAlignment="1">
      <alignment horizontal="center" vertical="center" wrapText="1"/>
    </xf>
    <xf numFmtId="0" fontId="5" fillId="0" borderId="0" xfId="5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0" xfId="5" applyFont="1">
      <alignment vertical="center"/>
    </xf>
    <xf numFmtId="0" fontId="0" fillId="0" borderId="0" xfId="2" applyFont="1" applyAlignment="1">
      <alignment horizontal="center" vertical="center"/>
    </xf>
    <xf numFmtId="0" fontId="0" fillId="2" borderId="1" xfId="0" quotePrefix="1" applyFill="1" applyBorder="1"/>
    <xf numFmtId="0" fontId="0" fillId="2" borderId="1" xfId="0" applyFill="1" applyBorder="1"/>
    <xf numFmtId="177" fontId="0" fillId="2" borderId="1" xfId="0" applyNumberFormat="1" applyFill="1" applyBorder="1"/>
    <xf numFmtId="0" fontId="0" fillId="0" borderId="0" xfId="2" applyFont="1">
      <alignment vertical="center"/>
    </xf>
    <xf numFmtId="49" fontId="0" fillId="0" borderId="0" xfId="2" applyNumberFormat="1" applyFont="1">
      <alignment vertical="center"/>
    </xf>
    <xf numFmtId="0" fontId="0" fillId="3" borderId="1" xfId="0" applyFill="1" applyBorder="1"/>
    <xf numFmtId="177" fontId="0" fillId="3" borderId="1" xfId="0" applyNumberFormat="1" applyFill="1" applyBorder="1"/>
    <xf numFmtId="0" fontId="0" fillId="2" borderId="1" xfId="0" quotePrefix="1" applyFill="1" applyBorder="1" applyAlignment="1">
      <alignment horizontal="right"/>
    </xf>
    <xf numFmtId="0" fontId="0" fillId="3" borderId="1" xfId="0" quotePrefix="1" applyFill="1" applyBorder="1" applyAlignment="1">
      <alignment horizontal="right"/>
    </xf>
    <xf numFmtId="0" fontId="0" fillId="4" borderId="2" xfId="4" applyFont="1" applyFill="1" applyBorder="1">
      <alignment vertical="center"/>
    </xf>
    <xf numFmtId="176" fontId="0" fillId="4" borderId="2" xfId="3" applyNumberFormat="1" applyFont="1" applyFill="1" applyBorder="1" applyAlignment="1">
      <alignment horizontal="right" vertical="center"/>
    </xf>
    <xf numFmtId="0" fontId="0" fillId="4" borderId="2" xfId="3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49" fontId="0" fillId="0" borderId="0" xfId="5" applyNumberFormat="1" applyFont="1" applyAlignment="1">
      <alignment horizontal="centerContinuous" vertical="center"/>
    </xf>
    <xf numFmtId="0" fontId="0" fillId="3" borderId="1" xfId="0" quotePrefix="1" applyFill="1" applyBorder="1"/>
    <xf numFmtId="3" fontId="0" fillId="2" borderId="1" xfId="0" applyNumberFormat="1" applyFill="1" applyBorder="1"/>
    <xf numFmtId="3" fontId="0" fillId="3" borderId="1" xfId="0" applyNumberFormat="1" applyFill="1" applyBorder="1"/>
    <xf numFmtId="0" fontId="0" fillId="4" borderId="18" xfId="4" applyFont="1" applyFill="1" applyBorder="1">
      <alignment vertical="center"/>
    </xf>
    <xf numFmtId="176" fontId="0" fillId="4" borderId="18" xfId="3" applyNumberFormat="1" applyFont="1" applyFill="1" applyBorder="1" applyAlignment="1">
      <alignment horizontal="right" vertical="center"/>
    </xf>
    <xf numFmtId="176" fontId="0" fillId="4" borderId="0" xfId="3" applyNumberFormat="1" applyFont="1" applyFill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22" xfId="0" quotePrefix="1" applyNumberFormat="1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177" fontId="0" fillId="2" borderId="1" xfId="0" applyNumberFormat="1" applyFill="1" applyBorder="1" applyAlignment="1">
      <alignment horizontal="right"/>
    </xf>
    <xf numFmtId="177" fontId="0" fillId="3" borderId="1" xfId="0" applyNumberFormat="1" applyFill="1" applyBorder="1" applyAlignment="1">
      <alignment horizontal="right"/>
    </xf>
    <xf numFmtId="178" fontId="0" fillId="2" borderId="1" xfId="0" applyNumberFormat="1" applyFill="1" applyBorder="1" applyAlignment="1">
      <alignment horizontal="right"/>
    </xf>
    <xf numFmtId="177" fontId="0" fillId="2" borderId="1" xfId="0" quotePrefix="1" applyNumberFormat="1" applyFill="1" applyBorder="1" applyAlignment="1">
      <alignment horizontal="right"/>
    </xf>
    <xf numFmtId="177" fontId="0" fillId="3" borderId="1" xfId="0" quotePrefix="1" applyNumberFormat="1" applyFill="1" applyBorder="1" applyAlignment="1">
      <alignment horizontal="right"/>
    </xf>
    <xf numFmtId="177" fontId="0" fillId="4" borderId="2" xfId="3" applyNumberFormat="1" applyFont="1" applyFill="1" applyBorder="1" applyAlignment="1">
      <alignment horizontal="righ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6">
    <cellStyle name="桁区切り" xfId="3" builtinId="6"/>
    <cellStyle name="標準" xfId="0" builtinId="0"/>
    <cellStyle name="標準 2" xfId="1" xr:uid="{F3DA1E75-CB94-4872-A43E-FD70FF50C795}"/>
    <cellStyle name="標準 2 2" xfId="4" xr:uid="{B96690DA-9A83-4E82-89A9-13C4345A92EF}"/>
    <cellStyle name="標準 3" xfId="2" xr:uid="{B510914E-5582-4FC2-8AAD-CAD5A78C9221}"/>
    <cellStyle name="標準 5" xfId="5" xr:uid="{D0FBBEE1-2C93-4E4A-B8B2-DD2500D77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530823</xdr:colOff>
      <xdr:row>0</xdr:row>
      <xdr:rowOff>97267</xdr:rowOff>
    </xdr:from>
    <xdr:to>
      <xdr:col>8</xdr:col>
      <xdr:colOff>242383</xdr:colOff>
      <xdr:row>8</xdr:row>
      <xdr:rowOff>21179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DD34BC1-AE03-46FF-AF7E-830D11120D11}"/>
            </a:ext>
          </a:extLst>
        </xdr:cNvPr>
        <xdr:cNvSpPr txBox="1"/>
      </xdr:nvSpPr>
      <xdr:spPr>
        <a:xfrm>
          <a:off x="530823" y="97267"/>
          <a:ext cx="6533701" cy="21381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画面の出力グループで業種別を選択した場合</a:t>
          </a:r>
        </a:p>
      </xdr:txBody>
    </xdr:sp>
    <xdr:clientData/>
  </xdr:twoCellAnchor>
  <xdr:twoCellAnchor>
    <xdr:from>
      <xdr:col>0</xdr:col>
      <xdr:colOff>188259</xdr:colOff>
      <xdr:row>75</xdr:row>
      <xdr:rowOff>98612</xdr:rowOff>
    </xdr:from>
    <xdr:to>
      <xdr:col>7</xdr:col>
      <xdr:colOff>501382</xdr:colOff>
      <xdr:row>80</xdr:row>
      <xdr:rowOff>640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5F14E22-66A9-4DCA-BE46-096B476D9262}"/>
            </a:ext>
          </a:extLst>
        </xdr:cNvPr>
        <xdr:cNvSpPr txBox="1"/>
      </xdr:nvSpPr>
      <xdr:spPr>
        <a:xfrm>
          <a:off x="188259" y="12577483"/>
          <a:ext cx="6436017" cy="753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画面の出力グループで業種別・総合・業種を選択した場合</a:t>
          </a:r>
        </a:p>
      </xdr:txBody>
    </xdr:sp>
    <xdr:clientData/>
  </xdr:twoCellAnchor>
  <xdr:twoCellAnchor>
    <xdr:from>
      <xdr:col>0</xdr:col>
      <xdr:colOff>259976</xdr:colOff>
      <xdr:row>89</xdr:row>
      <xdr:rowOff>35859</xdr:rowOff>
    </xdr:from>
    <xdr:to>
      <xdr:col>7</xdr:col>
      <xdr:colOff>573099</xdr:colOff>
      <xdr:row>93</xdr:row>
      <xdr:rowOff>108216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FFB8485-5C5A-49D6-B48F-4B2EE58E87A0}"/>
            </a:ext>
          </a:extLst>
        </xdr:cNvPr>
        <xdr:cNvSpPr txBox="1"/>
      </xdr:nvSpPr>
      <xdr:spPr>
        <a:xfrm>
          <a:off x="259976" y="15060706"/>
          <a:ext cx="6436017" cy="753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画面の出力グループで業種別・事業所・業種を選択した場合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430306</xdr:colOff>
      <xdr:row>0</xdr:row>
      <xdr:rowOff>116541</xdr:rowOff>
    </xdr:from>
    <xdr:to>
      <xdr:col>9</xdr:col>
      <xdr:colOff>493058</xdr:colOff>
      <xdr:row>8</xdr:row>
      <xdr:rowOff>53788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EEF1FA3-4443-41B8-8F68-3D92D70BED95}"/>
            </a:ext>
          </a:extLst>
        </xdr:cNvPr>
        <xdr:cNvSpPr txBox="1"/>
      </xdr:nvSpPr>
      <xdr:spPr>
        <a:xfrm>
          <a:off x="432211" y="116541"/>
          <a:ext cx="7280797" cy="13126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画面の出力グループで組織別を選択した場合</a:t>
          </a:r>
        </a:p>
      </xdr:txBody>
    </xdr:sp>
    <xdr:clientData/>
  </xdr:twoCellAnchor>
  <xdr:twoCellAnchor>
    <xdr:from>
      <xdr:col>0</xdr:col>
      <xdr:colOff>0</xdr:colOff>
      <xdr:row>377</xdr:row>
      <xdr:rowOff>0</xdr:rowOff>
    </xdr:from>
    <xdr:to>
      <xdr:col>7</xdr:col>
      <xdr:colOff>305632</xdr:colOff>
      <xdr:row>382</xdr:row>
      <xdr:rowOff>9093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F89870D-429B-4D97-88A0-8D66C9E998CF}"/>
            </a:ext>
          </a:extLst>
        </xdr:cNvPr>
        <xdr:cNvSpPr txBox="1"/>
      </xdr:nvSpPr>
      <xdr:spPr>
        <a:xfrm>
          <a:off x="0" y="52778025"/>
          <a:ext cx="5611057" cy="8682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画面の出力グループで組織別・総合・所属（課）を選択した場合</a:t>
          </a:r>
        </a:p>
      </xdr:txBody>
    </xdr:sp>
    <xdr:clientData/>
  </xdr:twoCellAnchor>
  <xdr:twoCellAnchor>
    <xdr:from>
      <xdr:col>0</xdr:col>
      <xdr:colOff>215153</xdr:colOff>
      <xdr:row>392</xdr:row>
      <xdr:rowOff>8964</xdr:rowOff>
    </xdr:from>
    <xdr:to>
      <xdr:col>7</xdr:col>
      <xdr:colOff>530310</xdr:colOff>
      <xdr:row>397</xdr:row>
      <xdr:rowOff>16151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0B4849D-CC61-4C13-8634-5FD1DACB0F04}"/>
            </a:ext>
          </a:extLst>
        </xdr:cNvPr>
        <xdr:cNvSpPr txBox="1"/>
      </xdr:nvSpPr>
      <xdr:spPr>
        <a:xfrm>
          <a:off x="211343" y="55617819"/>
          <a:ext cx="5624392" cy="8663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画面の出力グループで組織別・事業所・所属（課）を選択した場合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112" t="s">
        <v>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4"/>
      <c r="AT2" s="106" t="s">
        <v>3</v>
      </c>
      <c r="AU2" s="107"/>
      <c r="AV2" s="107"/>
      <c r="AW2" s="107"/>
      <c r="AX2" s="108"/>
      <c r="AY2" s="106" t="s">
        <v>4</v>
      </c>
      <c r="AZ2" s="107"/>
      <c r="BA2" s="107"/>
      <c r="BB2" s="108"/>
      <c r="BC2" s="106" t="s">
        <v>5</v>
      </c>
      <c r="BD2" s="107"/>
      <c r="BE2" s="107"/>
      <c r="BF2" s="108"/>
      <c r="BG2" s="106"/>
      <c r="BH2" s="107"/>
      <c r="BI2" s="107"/>
      <c r="BJ2" s="108"/>
    </row>
    <row r="3" spans="1:62" s="1" customFormat="1" ht="18" customHeight="1">
      <c r="A3" s="115" t="s">
        <v>6</v>
      </c>
      <c r="B3" s="116"/>
      <c r="C3" s="116"/>
      <c r="D3" s="116"/>
      <c r="E3" s="116"/>
      <c r="F3" s="116"/>
      <c r="G3" s="116"/>
      <c r="H3" s="117"/>
      <c r="I3" s="121" t="s">
        <v>307</v>
      </c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3"/>
      <c r="AT3" s="106" t="s">
        <v>7</v>
      </c>
      <c r="AU3" s="107"/>
      <c r="AV3" s="107"/>
      <c r="AW3" s="107"/>
      <c r="AX3" s="108"/>
      <c r="AY3" s="106" t="s">
        <v>306</v>
      </c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8"/>
    </row>
    <row r="4" spans="1:62" s="1" customFormat="1" ht="18" customHeight="1">
      <c r="A4" s="118"/>
      <c r="B4" s="119"/>
      <c r="C4" s="119"/>
      <c r="D4" s="119"/>
      <c r="E4" s="119"/>
      <c r="F4" s="119"/>
      <c r="G4" s="119"/>
      <c r="H4" s="120"/>
      <c r="I4" s="124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6"/>
      <c r="AT4" s="106" t="s">
        <v>8</v>
      </c>
      <c r="AU4" s="107"/>
      <c r="AV4" s="107"/>
      <c r="AW4" s="107"/>
      <c r="AX4" s="108"/>
      <c r="AY4" s="106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8"/>
    </row>
    <row r="5" spans="1:62" s="16" customFormat="1" ht="9" customHeight="1"/>
    <row r="6" spans="1:62" s="20" customFormat="1" ht="15.75" customHeight="1">
      <c r="A6" s="109" t="s">
        <v>9</v>
      </c>
      <c r="B6" s="110"/>
      <c r="C6" s="110"/>
      <c r="D6" s="110"/>
      <c r="E6" s="110"/>
      <c r="F6" s="110"/>
      <c r="G6" s="111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313</v>
      </c>
      <c r="C8" s="15"/>
      <c r="D8" s="15"/>
      <c r="E8" s="15"/>
      <c r="F8" s="15"/>
      <c r="G8" s="15"/>
      <c r="H8" s="22"/>
      <c r="I8" s="20" t="s">
        <v>312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63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112" t="s">
        <v>11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4"/>
      <c r="AT2" s="106" t="s">
        <v>3</v>
      </c>
      <c r="AU2" s="107"/>
      <c r="AV2" s="107"/>
      <c r="AW2" s="107"/>
      <c r="AX2" s="108"/>
      <c r="AY2" s="106" t="s">
        <v>314</v>
      </c>
      <c r="AZ2" s="107"/>
      <c r="BA2" s="107"/>
      <c r="BB2" s="108"/>
      <c r="BC2" s="106" t="s">
        <v>5</v>
      </c>
      <c r="BD2" s="107"/>
      <c r="BE2" s="107"/>
      <c r="BF2" s="108"/>
      <c r="BG2" s="106"/>
      <c r="BH2" s="107"/>
      <c r="BI2" s="107"/>
      <c r="BJ2" s="108"/>
    </row>
    <row r="3" spans="1:62" s="1" customFormat="1" ht="18" customHeight="1">
      <c r="A3" s="115" t="s">
        <v>6</v>
      </c>
      <c r="B3" s="116"/>
      <c r="C3" s="116"/>
      <c r="D3" s="116"/>
      <c r="E3" s="116"/>
      <c r="F3" s="116"/>
      <c r="G3" s="116"/>
      <c r="H3" s="117"/>
      <c r="I3" s="121" t="s">
        <v>307</v>
      </c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3"/>
      <c r="AT3" s="106" t="s">
        <v>7</v>
      </c>
      <c r="AU3" s="107"/>
      <c r="AV3" s="107"/>
      <c r="AW3" s="107"/>
      <c r="AX3" s="108"/>
      <c r="AY3" s="106" t="s">
        <v>306</v>
      </c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8"/>
    </row>
    <row r="4" spans="1:62" s="1" customFormat="1" ht="18" customHeight="1">
      <c r="A4" s="118"/>
      <c r="B4" s="119"/>
      <c r="C4" s="119"/>
      <c r="D4" s="119"/>
      <c r="E4" s="119"/>
      <c r="F4" s="119"/>
      <c r="G4" s="119"/>
      <c r="H4" s="120"/>
      <c r="I4" s="124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6"/>
      <c r="AT4" s="106" t="s">
        <v>8</v>
      </c>
      <c r="AU4" s="107"/>
      <c r="AV4" s="107"/>
      <c r="AW4" s="107"/>
      <c r="AX4" s="108"/>
      <c r="AY4" s="106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8"/>
    </row>
    <row r="5" spans="1:62" s="12" customFormat="1" ht="6" customHeight="1"/>
    <row r="6" spans="1:62" s="14" customFormat="1" ht="20.25" customHeight="1">
      <c r="A6" s="162" t="s">
        <v>12</v>
      </c>
      <c r="B6" s="163"/>
      <c r="C6" s="163"/>
      <c r="D6" s="163"/>
      <c r="E6" s="163"/>
      <c r="F6" s="163"/>
      <c r="G6" s="163"/>
      <c r="H6" s="163"/>
      <c r="I6" s="163"/>
      <c r="J6" s="163"/>
      <c r="K6" s="164"/>
      <c r="L6" s="162" t="s">
        <v>308</v>
      </c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4"/>
      <c r="AB6" s="162" t="s">
        <v>13</v>
      </c>
      <c r="AC6" s="163"/>
      <c r="AD6" s="163"/>
      <c r="AE6" s="163"/>
      <c r="AF6" s="163"/>
      <c r="AG6" s="163"/>
      <c r="AH6" s="163"/>
      <c r="AI6" s="163"/>
      <c r="AJ6" s="164"/>
      <c r="AK6" s="162" t="s">
        <v>32</v>
      </c>
      <c r="AL6" s="163"/>
      <c r="AM6" s="163"/>
      <c r="AN6" s="164"/>
      <c r="AO6" s="162" t="s">
        <v>14</v>
      </c>
      <c r="AP6" s="163"/>
      <c r="AQ6" s="163"/>
      <c r="AR6" s="163"/>
      <c r="AS6" s="163"/>
      <c r="AT6" s="163"/>
      <c r="AU6" s="163"/>
      <c r="AV6" s="163"/>
      <c r="AW6" s="164"/>
      <c r="AX6" s="162" t="s">
        <v>33</v>
      </c>
      <c r="AY6" s="163"/>
      <c r="AZ6" s="163"/>
      <c r="BA6" s="164"/>
      <c r="BB6" s="132" t="s">
        <v>15</v>
      </c>
      <c r="BC6" s="132"/>
      <c r="BD6" s="132"/>
      <c r="BE6" s="132"/>
      <c r="BF6" s="132">
        <f>COUNTA(D29:D430)</f>
        <v>32</v>
      </c>
      <c r="BG6" s="132"/>
      <c r="BH6" s="132"/>
      <c r="BI6" s="132"/>
      <c r="BJ6" s="132"/>
    </row>
    <row r="7" spans="1:62" s="14" customFormat="1" ht="20.25" customHeight="1">
      <c r="A7" s="162" t="s">
        <v>16</v>
      </c>
      <c r="B7" s="163"/>
      <c r="C7" s="163"/>
      <c r="D7" s="163"/>
      <c r="E7" s="163"/>
      <c r="F7" s="163"/>
      <c r="G7" s="163"/>
      <c r="H7" s="163"/>
      <c r="I7" s="163"/>
      <c r="J7" s="163"/>
      <c r="K7" s="164"/>
      <c r="L7" s="162" t="s">
        <v>271</v>
      </c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4"/>
      <c r="AK7" s="162" t="s">
        <v>34</v>
      </c>
      <c r="AL7" s="163"/>
      <c r="AM7" s="163"/>
      <c r="AN7" s="163"/>
      <c r="AO7" s="163"/>
      <c r="AP7" s="163"/>
      <c r="AQ7" s="163"/>
      <c r="AR7" s="164"/>
      <c r="AS7" s="162" t="s">
        <v>310</v>
      </c>
      <c r="AT7" s="163"/>
      <c r="AU7" s="163"/>
      <c r="AV7" s="163"/>
      <c r="AW7" s="163"/>
      <c r="AX7" s="164"/>
      <c r="AY7" s="33" t="s">
        <v>17</v>
      </c>
      <c r="AZ7" s="34"/>
      <c r="BA7" s="34"/>
      <c r="BB7" s="34"/>
      <c r="BC7" s="162" t="s">
        <v>35</v>
      </c>
      <c r="BD7" s="164"/>
      <c r="BE7" s="162" t="s">
        <v>18</v>
      </c>
      <c r="BF7" s="163"/>
      <c r="BG7" s="163"/>
      <c r="BH7" s="164"/>
      <c r="BI7" s="162"/>
      <c r="BJ7" s="164"/>
    </row>
    <row r="8" spans="1:62" s="14" customFormat="1" ht="16.2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BC8" s="56"/>
      <c r="BD8" s="56"/>
      <c r="BE8" s="56"/>
      <c r="BF8" s="56"/>
      <c r="BG8" s="56"/>
      <c r="BH8" s="56"/>
      <c r="BI8" s="56"/>
      <c r="BJ8" s="56"/>
    </row>
    <row r="9" spans="1:62" s="14" customFormat="1" ht="20.25" customHeight="1">
      <c r="A9" s="55" t="s">
        <v>277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BC9" s="56"/>
      <c r="BD9" s="56"/>
      <c r="BE9" s="56"/>
      <c r="BF9" s="56"/>
      <c r="BG9" s="56"/>
      <c r="BH9" s="56"/>
      <c r="BI9" s="56"/>
      <c r="BJ9" s="56"/>
    </row>
    <row r="10" spans="1:62" s="14" customFormat="1" ht="26.25" customHeight="1">
      <c r="A10" s="132" t="s">
        <v>20</v>
      </c>
      <c r="B10" s="132"/>
      <c r="C10" s="132"/>
      <c r="D10" s="133" t="s">
        <v>278</v>
      </c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2" t="s">
        <v>279</v>
      </c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</row>
    <row r="11" spans="1:62" s="14" customFormat="1" ht="26.25" customHeight="1">
      <c r="A11" s="137" t="s">
        <v>280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9"/>
    </row>
    <row r="12" spans="1:62" s="14" customFormat="1" ht="26.25" customHeight="1">
      <c r="A12" s="131">
        <v>1</v>
      </c>
      <c r="B12" s="131"/>
      <c r="C12" s="131"/>
      <c r="D12" s="130" t="s">
        <v>295</v>
      </c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1" t="s">
        <v>286</v>
      </c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</row>
    <row r="13" spans="1:62" s="14" customFormat="1" ht="26.25" customHeight="1">
      <c r="A13" s="127">
        <v>2</v>
      </c>
      <c r="B13" s="128"/>
      <c r="C13" s="129"/>
      <c r="D13" s="130" t="s">
        <v>281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1" t="s">
        <v>286</v>
      </c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</row>
    <row r="14" spans="1:62" s="14" customFormat="1" ht="26.25" customHeight="1">
      <c r="A14" s="131">
        <v>3</v>
      </c>
      <c r="B14" s="131"/>
      <c r="C14" s="131"/>
      <c r="D14" s="130" t="s">
        <v>282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1" t="s">
        <v>286</v>
      </c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</row>
    <row r="15" spans="1:62" s="14" customFormat="1" ht="26.25" customHeight="1">
      <c r="A15" s="127">
        <v>4</v>
      </c>
      <c r="B15" s="128"/>
      <c r="C15" s="129"/>
      <c r="D15" s="130" t="s">
        <v>283</v>
      </c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1" t="s">
        <v>286</v>
      </c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</row>
    <row r="16" spans="1:62" s="14" customFormat="1" ht="26.25" customHeight="1">
      <c r="A16" s="131">
        <v>5</v>
      </c>
      <c r="B16" s="131"/>
      <c r="C16" s="131"/>
      <c r="D16" s="130" t="s">
        <v>284</v>
      </c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1" t="s">
        <v>286</v>
      </c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</row>
    <row r="17" spans="1:62" s="14" customFormat="1" ht="26.25" customHeight="1">
      <c r="A17" s="127">
        <v>6</v>
      </c>
      <c r="B17" s="128"/>
      <c r="C17" s="129"/>
      <c r="D17" s="130" t="s">
        <v>285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1" t="s">
        <v>286</v>
      </c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</row>
    <row r="18" spans="1:62" s="14" customFormat="1" ht="26.25" customHeight="1">
      <c r="A18" s="137" t="s">
        <v>287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9"/>
    </row>
    <row r="19" spans="1:62" s="14" customFormat="1" ht="26.25" customHeight="1">
      <c r="A19" s="131">
        <v>1</v>
      </c>
      <c r="B19" s="131"/>
      <c r="C19" s="131"/>
      <c r="D19" s="130" t="s">
        <v>295</v>
      </c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1" t="s">
        <v>286</v>
      </c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</row>
    <row r="20" spans="1:62" s="14" customFormat="1" ht="26.25" customHeight="1">
      <c r="A20" s="127">
        <v>2</v>
      </c>
      <c r="B20" s="128"/>
      <c r="C20" s="129"/>
      <c r="D20" s="130" t="s">
        <v>281</v>
      </c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1" t="s">
        <v>286</v>
      </c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</row>
    <row r="21" spans="1:62" s="14" customFormat="1" ht="26.25" customHeight="1">
      <c r="A21" s="131">
        <v>3</v>
      </c>
      <c r="B21" s="131"/>
      <c r="C21" s="131"/>
      <c r="D21" s="130" t="s">
        <v>200</v>
      </c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1" t="s">
        <v>286</v>
      </c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</row>
    <row r="22" spans="1:62" s="14" customFormat="1" ht="26.25" customHeight="1">
      <c r="A22" s="127">
        <v>4</v>
      </c>
      <c r="B22" s="128"/>
      <c r="C22" s="129"/>
      <c r="D22" s="130" t="s">
        <v>261</v>
      </c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1" t="s">
        <v>286</v>
      </c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</row>
    <row r="23" spans="1:62" s="14" customFormat="1" ht="26.25" customHeight="1">
      <c r="A23" s="131">
        <v>5</v>
      </c>
      <c r="B23" s="131"/>
      <c r="C23" s="131"/>
      <c r="D23" s="130" t="s">
        <v>263</v>
      </c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1" t="s">
        <v>286</v>
      </c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</row>
    <row r="24" spans="1:62" s="14" customFormat="1" ht="26.25" customHeight="1">
      <c r="A24" s="127">
        <v>6</v>
      </c>
      <c r="B24" s="128"/>
      <c r="C24" s="129"/>
      <c r="D24" s="130" t="s">
        <v>284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1" t="s">
        <v>286</v>
      </c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</row>
    <row r="25" spans="1:62" s="14" customFormat="1" ht="26.25" customHeight="1">
      <c r="A25" s="134">
        <v>7</v>
      </c>
      <c r="B25" s="134"/>
      <c r="C25" s="134"/>
      <c r="D25" s="135" t="s">
        <v>285</v>
      </c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6" t="s">
        <v>286</v>
      </c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</row>
    <row r="26" spans="1:62" s="14" customFormat="1" ht="10.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BC26" s="56"/>
      <c r="BD26" s="56"/>
      <c r="BE26" s="56"/>
      <c r="BF26" s="56"/>
      <c r="BG26" s="56"/>
      <c r="BH26" s="56"/>
      <c r="BI26" s="56"/>
      <c r="BJ26" s="56"/>
    </row>
    <row r="27" spans="1:62" s="4" customFormat="1">
      <c r="B27" s="29" t="s">
        <v>19</v>
      </c>
      <c r="G27" s="5"/>
    </row>
    <row r="28" spans="1:62" s="14" customFormat="1" ht="42" customHeight="1">
      <c r="A28" s="162" t="s">
        <v>20</v>
      </c>
      <c r="B28" s="163"/>
      <c r="C28" s="164"/>
      <c r="D28" s="162" t="s">
        <v>21</v>
      </c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4"/>
      <c r="U28" s="166" t="s">
        <v>22</v>
      </c>
      <c r="V28" s="167"/>
      <c r="W28" s="167"/>
      <c r="X28" s="167"/>
      <c r="Y28" s="168"/>
      <c r="Z28" s="166" t="s">
        <v>23</v>
      </c>
      <c r="AA28" s="167"/>
      <c r="AB28" s="168"/>
      <c r="AC28" s="166" t="s">
        <v>24</v>
      </c>
      <c r="AD28" s="167"/>
      <c r="AE28" s="168"/>
      <c r="AF28" s="166" t="s">
        <v>25</v>
      </c>
      <c r="AG28" s="167"/>
      <c r="AH28" s="168"/>
      <c r="AI28" s="166" t="s">
        <v>26</v>
      </c>
      <c r="AJ28" s="167"/>
      <c r="AK28" s="168"/>
      <c r="AL28" s="166" t="s">
        <v>27</v>
      </c>
      <c r="AM28" s="167"/>
      <c r="AN28" s="168"/>
      <c r="AO28" s="166" t="s">
        <v>28</v>
      </c>
      <c r="AP28" s="167"/>
      <c r="AQ28" s="168"/>
      <c r="AR28" s="162" t="s">
        <v>29</v>
      </c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4"/>
    </row>
    <row r="29" spans="1:62" s="13" customFormat="1" ht="48" customHeight="1">
      <c r="A29" s="169">
        <v>1</v>
      </c>
      <c r="B29" s="169"/>
      <c r="C29" s="169"/>
      <c r="D29" s="173" t="s">
        <v>50</v>
      </c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5"/>
      <c r="U29" s="176" t="s">
        <v>72</v>
      </c>
      <c r="V29" s="177"/>
      <c r="W29" s="177"/>
      <c r="X29" s="177"/>
      <c r="Y29" s="178"/>
      <c r="Z29" s="176">
        <v>6</v>
      </c>
      <c r="AA29" s="177"/>
      <c r="AB29" s="178"/>
      <c r="AC29" s="176"/>
      <c r="AD29" s="177"/>
      <c r="AE29" s="178"/>
      <c r="AF29" s="176"/>
      <c r="AG29" s="177"/>
      <c r="AH29" s="178"/>
      <c r="AI29" s="176"/>
      <c r="AJ29" s="177"/>
      <c r="AK29" s="178"/>
      <c r="AL29" s="176"/>
      <c r="AM29" s="177"/>
      <c r="AN29" s="178"/>
      <c r="AO29" s="176"/>
      <c r="AP29" s="177"/>
      <c r="AQ29" s="178"/>
      <c r="AR29" s="170" t="s">
        <v>84</v>
      </c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2"/>
    </row>
    <row r="30" spans="1:62" s="13" customFormat="1" ht="75" customHeight="1">
      <c r="A30" s="143">
        <v>2</v>
      </c>
      <c r="B30" s="143"/>
      <c r="C30" s="143"/>
      <c r="D30" s="147" t="s">
        <v>51</v>
      </c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9"/>
      <c r="U30" s="127" t="s">
        <v>72</v>
      </c>
      <c r="V30" s="128"/>
      <c r="W30" s="128"/>
      <c r="X30" s="128"/>
      <c r="Y30" s="129"/>
      <c r="Z30" s="127">
        <v>6</v>
      </c>
      <c r="AA30" s="128"/>
      <c r="AB30" s="129"/>
      <c r="AC30" s="127"/>
      <c r="AD30" s="128"/>
      <c r="AE30" s="129"/>
      <c r="AF30" s="127"/>
      <c r="AG30" s="128"/>
      <c r="AH30" s="129"/>
      <c r="AI30" s="127"/>
      <c r="AJ30" s="128"/>
      <c r="AK30" s="129"/>
      <c r="AL30" s="127"/>
      <c r="AM30" s="128"/>
      <c r="AN30" s="129"/>
      <c r="AO30" s="127"/>
      <c r="AP30" s="128"/>
      <c r="AQ30" s="129"/>
      <c r="AR30" s="140" t="s">
        <v>83</v>
      </c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2"/>
    </row>
    <row r="31" spans="1:62" s="13" customFormat="1" ht="45" customHeight="1">
      <c r="A31" s="143">
        <v>3</v>
      </c>
      <c r="B31" s="143"/>
      <c r="C31" s="143"/>
      <c r="D31" s="144" t="s">
        <v>167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6"/>
      <c r="U31" s="127" t="s">
        <v>168</v>
      </c>
      <c r="V31" s="128"/>
      <c r="W31" s="128"/>
      <c r="X31" s="128"/>
      <c r="Y31" s="129"/>
      <c r="Z31" s="127">
        <v>2</v>
      </c>
      <c r="AA31" s="128"/>
      <c r="AB31" s="129"/>
      <c r="AC31" s="127"/>
      <c r="AD31" s="128"/>
      <c r="AE31" s="129"/>
      <c r="AF31" s="127"/>
      <c r="AG31" s="128"/>
      <c r="AH31" s="129"/>
      <c r="AI31" s="127"/>
      <c r="AJ31" s="128"/>
      <c r="AK31" s="129"/>
      <c r="AL31" s="127"/>
      <c r="AM31" s="128"/>
      <c r="AN31" s="129"/>
      <c r="AO31" s="127"/>
      <c r="AP31" s="128"/>
      <c r="AQ31" s="129"/>
      <c r="AR31" s="140" t="s">
        <v>169</v>
      </c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2"/>
    </row>
    <row r="32" spans="1:62" s="13" customFormat="1" ht="144.6" customHeight="1">
      <c r="A32" s="143">
        <v>4</v>
      </c>
      <c r="B32" s="143"/>
      <c r="C32" s="143"/>
      <c r="D32" s="144" t="s">
        <v>170</v>
      </c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6"/>
      <c r="U32" s="127" t="s">
        <v>171</v>
      </c>
      <c r="V32" s="128"/>
      <c r="W32" s="128"/>
      <c r="X32" s="128"/>
      <c r="Y32" s="129"/>
      <c r="Z32" s="127">
        <v>10</v>
      </c>
      <c r="AA32" s="128"/>
      <c r="AB32" s="129"/>
      <c r="AC32" s="127"/>
      <c r="AD32" s="128"/>
      <c r="AE32" s="129"/>
      <c r="AF32" s="127"/>
      <c r="AG32" s="128"/>
      <c r="AH32" s="129"/>
      <c r="AI32" s="127"/>
      <c r="AJ32" s="128"/>
      <c r="AK32" s="129"/>
      <c r="AL32" s="127"/>
      <c r="AM32" s="128"/>
      <c r="AN32" s="129"/>
      <c r="AO32" s="127"/>
      <c r="AP32" s="128"/>
      <c r="AQ32" s="129"/>
      <c r="AR32" s="140" t="s">
        <v>315</v>
      </c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2"/>
    </row>
    <row r="33" spans="1:62" s="13" customFormat="1" ht="45" customHeight="1">
      <c r="A33" s="143">
        <v>5</v>
      </c>
      <c r="B33" s="143"/>
      <c r="C33" s="143"/>
      <c r="D33" s="147" t="s">
        <v>52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9"/>
      <c r="U33" s="127" t="s">
        <v>73</v>
      </c>
      <c r="V33" s="128"/>
      <c r="W33" s="128"/>
      <c r="X33" s="128"/>
      <c r="Y33" s="129"/>
      <c r="Z33" s="127" t="s">
        <v>77</v>
      </c>
      <c r="AA33" s="128"/>
      <c r="AB33" s="129"/>
      <c r="AC33" s="127"/>
      <c r="AD33" s="128"/>
      <c r="AE33" s="129"/>
      <c r="AF33" s="127"/>
      <c r="AG33" s="128"/>
      <c r="AH33" s="129"/>
      <c r="AI33" s="127"/>
      <c r="AJ33" s="128"/>
      <c r="AK33" s="129"/>
      <c r="AL33" s="127"/>
      <c r="AM33" s="128"/>
      <c r="AN33" s="129"/>
      <c r="AO33" s="127"/>
      <c r="AP33" s="128"/>
      <c r="AQ33" s="129"/>
      <c r="AR33" s="140" t="s">
        <v>85</v>
      </c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2"/>
    </row>
    <row r="34" spans="1:62" s="13" customFormat="1" ht="36" customHeight="1">
      <c r="A34" s="143">
        <v>6</v>
      </c>
      <c r="B34" s="143"/>
      <c r="C34" s="143"/>
      <c r="D34" s="147" t="s">
        <v>53</v>
      </c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9"/>
      <c r="U34" s="127" t="s">
        <v>74</v>
      </c>
      <c r="V34" s="128"/>
      <c r="W34" s="128"/>
      <c r="X34" s="128"/>
      <c r="Y34" s="129"/>
      <c r="Z34" s="127">
        <v>2</v>
      </c>
      <c r="AA34" s="128"/>
      <c r="AB34" s="129"/>
      <c r="AC34" s="127"/>
      <c r="AD34" s="128"/>
      <c r="AE34" s="129"/>
      <c r="AF34" s="127"/>
      <c r="AG34" s="128"/>
      <c r="AH34" s="129"/>
      <c r="AI34" s="127"/>
      <c r="AJ34" s="128"/>
      <c r="AK34" s="129"/>
      <c r="AL34" s="127"/>
      <c r="AM34" s="128"/>
      <c r="AN34" s="129"/>
      <c r="AO34" s="127"/>
      <c r="AP34" s="128"/>
      <c r="AQ34" s="129"/>
      <c r="AR34" s="165" t="s">
        <v>86</v>
      </c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2"/>
    </row>
    <row r="35" spans="1:62" s="13" customFormat="1" ht="36" customHeight="1">
      <c r="A35" s="143">
        <v>7</v>
      </c>
      <c r="B35" s="143"/>
      <c r="C35" s="143"/>
      <c r="D35" s="147" t="s">
        <v>54</v>
      </c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9"/>
      <c r="U35" s="127" t="s">
        <v>73</v>
      </c>
      <c r="V35" s="128"/>
      <c r="W35" s="128"/>
      <c r="X35" s="128"/>
      <c r="Y35" s="129"/>
      <c r="Z35" s="127">
        <v>15</v>
      </c>
      <c r="AA35" s="128"/>
      <c r="AB35" s="129"/>
      <c r="AC35" s="127"/>
      <c r="AD35" s="128"/>
      <c r="AE35" s="129"/>
      <c r="AF35" s="127"/>
      <c r="AG35" s="128"/>
      <c r="AH35" s="129"/>
      <c r="AI35" s="127"/>
      <c r="AJ35" s="128"/>
      <c r="AK35" s="129"/>
      <c r="AL35" s="127"/>
      <c r="AM35" s="128"/>
      <c r="AN35" s="129"/>
      <c r="AO35" s="127"/>
      <c r="AP35" s="128"/>
      <c r="AQ35" s="129"/>
      <c r="AR35" s="140" t="s">
        <v>87</v>
      </c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2"/>
    </row>
    <row r="36" spans="1:62" s="13" customFormat="1" ht="60" customHeight="1">
      <c r="A36" s="143">
        <v>8</v>
      </c>
      <c r="B36" s="143"/>
      <c r="C36" s="143"/>
      <c r="D36" s="147" t="s">
        <v>55</v>
      </c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9"/>
      <c r="U36" s="127" t="s">
        <v>74</v>
      </c>
      <c r="V36" s="128"/>
      <c r="W36" s="128"/>
      <c r="X36" s="128"/>
      <c r="Y36" s="129"/>
      <c r="Z36" s="127">
        <v>2</v>
      </c>
      <c r="AA36" s="128"/>
      <c r="AB36" s="129"/>
      <c r="AC36" s="127"/>
      <c r="AD36" s="128"/>
      <c r="AE36" s="129"/>
      <c r="AF36" s="127"/>
      <c r="AG36" s="128"/>
      <c r="AH36" s="129"/>
      <c r="AI36" s="127"/>
      <c r="AJ36" s="128"/>
      <c r="AK36" s="129"/>
      <c r="AL36" s="127"/>
      <c r="AM36" s="128"/>
      <c r="AN36" s="129"/>
      <c r="AO36" s="127"/>
      <c r="AP36" s="128"/>
      <c r="AQ36" s="129"/>
      <c r="AR36" s="140" t="s">
        <v>88</v>
      </c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2"/>
    </row>
    <row r="37" spans="1:62" s="13" customFormat="1" ht="36" customHeight="1">
      <c r="A37" s="136">
        <v>9</v>
      </c>
      <c r="B37" s="136"/>
      <c r="C37" s="136"/>
      <c r="D37" s="179" t="s">
        <v>56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1"/>
      <c r="U37" s="156" t="s">
        <v>73</v>
      </c>
      <c r="V37" s="157"/>
      <c r="W37" s="157"/>
      <c r="X37" s="157"/>
      <c r="Y37" s="158"/>
      <c r="Z37" s="156">
        <v>15</v>
      </c>
      <c r="AA37" s="157"/>
      <c r="AB37" s="158"/>
      <c r="AC37" s="156"/>
      <c r="AD37" s="157"/>
      <c r="AE37" s="158"/>
      <c r="AF37" s="156"/>
      <c r="AG37" s="157"/>
      <c r="AH37" s="158"/>
      <c r="AI37" s="156"/>
      <c r="AJ37" s="157"/>
      <c r="AK37" s="158"/>
      <c r="AL37" s="156"/>
      <c r="AM37" s="157"/>
      <c r="AN37" s="158"/>
      <c r="AO37" s="156"/>
      <c r="AP37" s="157"/>
      <c r="AQ37" s="158"/>
      <c r="AR37" s="150" t="s">
        <v>89</v>
      </c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2"/>
    </row>
    <row r="38" spans="1:62" s="13" customFormat="1" ht="36" customHeight="1">
      <c r="A38" s="131">
        <v>10</v>
      </c>
      <c r="B38" s="131"/>
      <c r="C38" s="131"/>
      <c r="D38" s="182" t="s">
        <v>57</v>
      </c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4"/>
      <c r="U38" s="153" t="s">
        <v>74</v>
      </c>
      <c r="V38" s="154"/>
      <c r="W38" s="154"/>
      <c r="X38" s="154"/>
      <c r="Y38" s="155"/>
      <c r="Z38" s="153">
        <v>2</v>
      </c>
      <c r="AA38" s="154"/>
      <c r="AB38" s="155"/>
      <c r="AC38" s="153"/>
      <c r="AD38" s="154"/>
      <c r="AE38" s="155"/>
      <c r="AF38" s="153"/>
      <c r="AG38" s="154"/>
      <c r="AH38" s="155"/>
      <c r="AI38" s="153"/>
      <c r="AJ38" s="154"/>
      <c r="AK38" s="155"/>
      <c r="AL38" s="153"/>
      <c r="AM38" s="154"/>
      <c r="AN38" s="155"/>
      <c r="AO38" s="153"/>
      <c r="AP38" s="154"/>
      <c r="AQ38" s="155"/>
      <c r="AR38" s="159" t="s">
        <v>90</v>
      </c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1"/>
    </row>
    <row r="39" spans="1:62" s="13" customFormat="1" ht="36" customHeight="1">
      <c r="A39" s="143">
        <v>11</v>
      </c>
      <c r="B39" s="143"/>
      <c r="C39" s="143"/>
      <c r="D39" s="147" t="s">
        <v>58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9"/>
      <c r="U39" s="127" t="s">
        <v>73</v>
      </c>
      <c r="V39" s="128"/>
      <c r="W39" s="128"/>
      <c r="X39" s="128"/>
      <c r="Y39" s="129"/>
      <c r="Z39" s="127">
        <v>10</v>
      </c>
      <c r="AA39" s="128"/>
      <c r="AB39" s="129"/>
      <c r="AC39" s="127"/>
      <c r="AD39" s="128"/>
      <c r="AE39" s="129"/>
      <c r="AF39" s="127"/>
      <c r="AG39" s="128"/>
      <c r="AH39" s="129"/>
      <c r="AI39" s="127"/>
      <c r="AJ39" s="128"/>
      <c r="AK39" s="129"/>
      <c r="AL39" s="127"/>
      <c r="AM39" s="128"/>
      <c r="AN39" s="129"/>
      <c r="AO39" s="127"/>
      <c r="AP39" s="128"/>
      <c r="AQ39" s="129"/>
      <c r="AR39" s="140" t="s">
        <v>91</v>
      </c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2"/>
    </row>
    <row r="40" spans="1:62" s="13" customFormat="1" ht="36" customHeight="1">
      <c r="A40" s="143">
        <v>12</v>
      </c>
      <c r="B40" s="143"/>
      <c r="C40" s="143"/>
      <c r="D40" s="147" t="s">
        <v>239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9"/>
      <c r="U40" s="127" t="s">
        <v>74</v>
      </c>
      <c r="V40" s="128"/>
      <c r="W40" s="128"/>
      <c r="X40" s="128"/>
      <c r="Y40" s="129"/>
      <c r="Z40" s="127">
        <v>3</v>
      </c>
      <c r="AA40" s="128"/>
      <c r="AB40" s="129"/>
      <c r="AC40" s="127"/>
      <c r="AD40" s="128"/>
      <c r="AE40" s="129"/>
      <c r="AF40" s="127"/>
      <c r="AG40" s="128"/>
      <c r="AH40" s="129"/>
      <c r="AI40" s="127"/>
      <c r="AJ40" s="128"/>
      <c r="AK40" s="129"/>
      <c r="AL40" s="127"/>
      <c r="AM40" s="128"/>
      <c r="AN40" s="129"/>
      <c r="AO40" s="127"/>
      <c r="AP40" s="128"/>
      <c r="AQ40" s="129"/>
      <c r="AR40" s="140" t="s">
        <v>242</v>
      </c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2"/>
    </row>
    <row r="41" spans="1:62" s="13" customFormat="1" ht="36" customHeight="1">
      <c r="A41" s="143">
        <v>13</v>
      </c>
      <c r="B41" s="143"/>
      <c r="C41" s="143"/>
      <c r="D41" s="147" t="s">
        <v>240</v>
      </c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9"/>
      <c r="U41" s="127" t="s">
        <v>73</v>
      </c>
      <c r="V41" s="128"/>
      <c r="W41" s="128"/>
      <c r="X41" s="128"/>
      <c r="Y41" s="129"/>
      <c r="Z41" s="127">
        <v>15</v>
      </c>
      <c r="AA41" s="128"/>
      <c r="AB41" s="129"/>
      <c r="AC41" s="127"/>
      <c r="AD41" s="128"/>
      <c r="AE41" s="129"/>
      <c r="AF41" s="127"/>
      <c r="AG41" s="128"/>
      <c r="AH41" s="129"/>
      <c r="AI41" s="127"/>
      <c r="AJ41" s="128"/>
      <c r="AK41" s="129"/>
      <c r="AL41" s="127"/>
      <c r="AM41" s="128"/>
      <c r="AN41" s="129"/>
      <c r="AO41" s="127"/>
      <c r="AP41" s="128"/>
      <c r="AQ41" s="129"/>
      <c r="AR41" s="140" t="s">
        <v>241</v>
      </c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2"/>
    </row>
    <row r="42" spans="1:62" s="13" customFormat="1" ht="36" customHeight="1">
      <c r="A42" s="143">
        <v>14</v>
      </c>
      <c r="B42" s="143"/>
      <c r="C42" s="143"/>
      <c r="D42" s="147" t="s">
        <v>265</v>
      </c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9"/>
      <c r="U42" s="127" t="s">
        <v>74</v>
      </c>
      <c r="V42" s="128"/>
      <c r="W42" s="128"/>
      <c r="X42" s="128"/>
      <c r="Y42" s="129"/>
      <c r="Z42" s="127">
        <v>4</v>
      </c>
      <c r="AA42" s="128"/>
      <c r="AB42" s="129"/>
      <c r="AC42" s="127"/>
      <c r="AD42" s="128"/>
      <c r="AE42" s="129"/>
      <c r="AF42" s="127"/>
      <c r="AG42" s="128"/>
      <c r="AH42" s="129"/>
      <c r="AI42" s="127"/>
      <c r="AJ42" s="128"/>
      <c r="AK42" s="129"/>
      <c r="AL42" s="127"/>
      <c r="AM42" s="128"/>
      <c r="AN42" s="129"/>
      <c r="AO42" s="127"/>
      <c r="AP42" s="128"/>
      <c r="AQ42" s="129"/>
      <c r="AR42" s="140" t="s">
        <v>267</v>
      </c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2"/>
    </row>
    <row r="43" spans="1:62" s="13" customFormat="1" ht="50.4" customHeight="1">
      <c r="A43" s="143">
        <v>15</v>
      </c>
      <c r="B43" s="143"/>
      <c r="C43" s="143"/>
      <c r="D43" s="147" t="s">
        <v>266</v>
      </c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9"/>
      <c r="U43" s="127" t="s">
        <v>73</v>
      </c>
      <c r="V43" s="128"/>
      <c r="W43" s="128"/>
      <c r="X43" s="128"/>
      <c r="Y43" s="129"/>
      <c r="Z43" s="127">
        <v>25</v>
      </c>
      <c r="AA43" s="128"/>
      <c r="AB43" s="129"/>
      <c r="AC43" s="127"/>
      <c r="AD43" s="128"/>
      <c r="AE43" s="129"/>
      <c r="AF43" s="127"/>
      <c r="AG43" s="128"/>
      <c r="AH43" s="129"/>
      <c r="AI43" s="127"/>
      <c r="AJ43" s="128"/>
      <c r="AK43" s="129"/>
      <c r="AL43" s="127"/>
      <c r="AM43" s="128"/>
      <c r="AN43" s="129"/>
      <c r="AO43" s="127"/>
      <c r="AP43" s="128"/>
      <c r="AQ43" s="129"/>
      <c r="AR43" s="140" t="s">
        <v>268</v>
      </c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2"/>
    </row>
    <row r="44" spans="1:62" s="13" customFormat="1" ht="36" customHeight="1">
      <c r="A44" s="143">
        <v>16</v>
      </c>
      <c r="B44" s="143"/>
      <c r="C44" s="143"/>
      <c r="D44" s="147" t="s">
        <v>269</v>
      </c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9"/>
      <c r="U44" s="127" t="s">
        <v>74</v>
      </c>
      <c r="V44" s="128"/>
      <c r="W44" s="128"/>
      <c r="X44" s="128"/>
      <c r="Y44" s="129"/>
      <c r="Z44" s="127">
        <v>4</v>
      </c>
      <c r="AA44" s="128"/>
      <c r="AB44" s="129"/>
      <c r="AC44" s="127"/>
      <c r="AD44" s="128"/>
      <c r="AE44" s="129"/>
      <c r="AF44" s="127"/>
      <c r="AG44" s="128"/>
      <c r="AH44" s="129"/>
      <c r="AI44" s="127"/>
      <c r="AJ44" s="128"/>
      <c r="AK44" s="129"/>
      <c r="AL44" s="127"/>
      <c r="AM44" s="128"/>
      <c r="AN44" s="129"/>
      <c r="AO44" s="127"/>
      <c r="AP44" s="128"/>
      <c r="AQ44" s="129"/>
      <c r="AR44" s="140" t="s">
        <v>273</v>
      </c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2"/>
    </row>
    <row r="45" spans="1:62" s="13" customFormat="1" ht="57.6" customHeight="1">
      <c r="A45" s="143">
        <v>17</v>
      </c>
      <c r="B45" s="143"/>
      <c r="C45" s="143"/>
      <c r="D45" s="147" t="s">
        <v>270</v>
      </c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9"/>
      <c r="U45" s="127" t="s">
        <v>73</v>
      </c>
      <c r="V45" s="128"/>
      <c r="W45" s="128"/>
      <c r="X45" s="128"/>
      <c r="Y45" s="129"/>
      <c r="Z45" s="127">
        <v>15</v>
      </c>
      <c r="AA45" s="128"/>
      <c r="AB45" s="129"/>
      <c r="AC45" s="127"/>
      <c r="AD45" s="128"/>
      <c r="AE45" s="129"/>
      <c r="AF45" s="127"/>
      <c r="AG45" s="128"/>
      <c r="AH45" s="129"/>
      <c r="AI45" s="127"/>
      <c r="AJ45" s="128"/>
      <c r="AK45" s="129"/>
      <c r="AL45" s="127"/>
      <c r="AM45" s="128"/>
      <c r="AN45" s="129"/>
      <c r="AO45" s="127"/>
      <c r="AP45" s="128"/>
      <c r="AQ45" s="129"/>
      <c r="AR45" s="140" t="s">
        <v>274</v>
      </c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2"/>
    </row>
    <row r="46" spans="1:62" s="13" customFormat="1" ht="57.6" customHeight="1">
      <c r="A46" s="143">
        <v>18</v>
      </c>
      <c r="B46" s="143"/>
      <c r="C46" s="143"/>
      <c r="D46" s="147" t="s">
        <v>59</v>
      </c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9"/>
      <c r="U46" s="127" t="s">
        <v>74</v>
      </c>
      <c r="V46" s="128"/>
      <c r="W46" s="128"/>
      <c r="X46" s="128"/>
      <c r="Y46" s="129"/>
      <c r="Z46" s="127" t="s">
        <v>78</v>
      </c>
      <c r="AA46" s="128"/>
      <c r="AB46" s="129"/>
      <c r="AC46" s="127"/>
      <c r="AD46" s="128"/>
      <c r="AE46" s="129"/>
      <c r="AF46" s="127"/>
      <c r="AG46" s="128"/>
      <c r="AH46" s="129"/>
      <c r="AI46" s="127"/>
      <c r="AJ46" s="128"/>
      <c r="AK46" s="129"/>
      <c r="AL46" s="127"/>
      <c r="AM46" s="128"/>
      <c r="AN46" s="129"/>
      <c r="AO46" s="127"/>
      <c r="AP46" s="128"/>
      <c r="AQ46" s="129"/>
      <c r="AR46" s="140" t="s">
        <v>142</v>
      </c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2"/>
    </row>
    <row r="47" spans="1:62" s="13" customFormat="1" ht="57.6" customHeight="1">
      <c r="A47" s="143">
        <v>19</v>
      </c>
      <c r="B47" s="143"/>
      <c r="C47" s="143"/>
      <c r="D47" s="147" t="s">
        <v>60</v>
      </c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9"/>
      <c r="U47" s="127" t="s">
        <v>73</v>
      </c>
      <c r="V47" s="128"/>
      <c r="W47" s="128"/>
      <c r="X47" s="128"/>
      <c r="Y47" s="129"/>
      <c r="Z47" s="127">
        <v>10</v>
      </c>
      <c r="AA47" s="128"/>
      <c r="AB47" s="129"/>
      <c r="AC47" s="127"/>
      <c r="AD47" s="128"/>
      <c r="AE47" s="129"/>
      <c r="AF47" s="127"/>
      <c r="AG47" s="128"/>
      <c r="AH47" s="129"/>
      <c r="AI47" s="127"/>
      <c r="AJ47" s="128"/>
      <c r="AK47" s="129"/>
      <c r="AL47" s="127"/>
      <c r="AM47" s="128"/>
      <c r="AN47" s="129"/>
      <c r="AO47" s="127"/>
      <c r="AP47" s="128"/>
      <c r="AQ47" s="129"/>
      <c r="AR47" s="140" t="s">
        <v>143</v>
      </c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2"/>
    </row>
    <row r="48" spans="1:62" s="13" customFormat="1" ht="69" customHeight="1">
      <c r="A48" s="136">
        <v>20</v>
      </c>
      <c r="B48" s="136"/>
      <c r="C48" s="136"/>
      <c r="D48" s="179" t="s">
        <v>61</v>
      </c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1"/>
      <c r="U48" s="156" t="s">
        <v>74</v>
      </c>
      <c r="V48" s="157"/>
      <c r="W48" s="157"/>
      <c r="X48" s="157"/>
      <c r="Y48" s="158"/>
      <c r="Z48" s="156" t="s">
        <v>79</v>
      </c>
      <c r="AA48" s="157"/>
      <c r="AB48" s="158"/>
      <c r="AC48" s="156"/>
      <c r="AD48" s="157"/>
      <c r="AE48" s="158"/>
      <c r="AF48" s="156"/>
      <c r="AG48" s="157"/>
      <c r="AH48" s="158"/>
      <c r="AI48" s="156"/>
      <c r="AJ48" s="157"/>
      <c r="AK48" s="158"/>
      <c r="AL48" s="156"/>
      <c r="AM48" s="157"/>
      <c r="AN48" s="158"/>
      <c r="AO48" s="156"/>
      <c r="AP48" s="157"/>
      <c r="AQ48" s="158"/>
      <c r="AR48" s="150" t="s">
        <v>92</v>
      </c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2"/>
    </row>
    <row r="49" spans="1:62" s="13" customFormat="1" ht="120" customHeight="1">
      <c r="A49" s="131">
        <v>21</v>
      </c>
      <c r="B49" s="131"/>
      <c r="C49" s="131"/>
      <c r="D49" s="182" t="s">
        <v>62</v>
      </c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4"/>
      <c r="U49" s="153" t="s">
        <v>74</v>
      </c>
      <c r="V49" s="154"/>
      <c r="W49" s="154"/>
      <c r="X49" s="154"/>
      <c r="Y49" s="155"/>
      <c r="Z49" s="153" t="s">
        <v>77</v>
      </c>
      <c r="AA49" s="154"/>
      <c r="AB49" s="155"/>
      <c r="AC49" s="153"/>
      <c r="AD49" s="154"/>
      <c r="AE49" s="155"/>
      <c r="AF49" s="153"/>
      <c r="AG49" s="154"/>
      <c r="AH49" s="155"/>
      <c r="AI49" s="153"/>
      <c r="AJ49" s="154"/>
      <c r="AK49" s="155"/>
      <c r="AL49" s="153"/>
      <c r="AM49" s="154"/>
      <c r="AN49" s="155"/>
      <c r="AO49" s="153"/>
      <c r="AP49" s="154"/>
      <c r="AQ49" s="155"/>
      <c r="AR49" s="159" t="s">
        <v>275</v>
      </c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1"/>
    </row>
    <row r="50" spans="1:62" s="13" customFormat="1" ht="96" customHeight="1">
      <c r="A50" s="143">
        <v>22</v>
      </c>
      <c r="B50" s="143"/>
      <c r="C50" s="143"/>
      <c r="D50" s="147" t="s">
        <v>63</v>
      </c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9"/>
      <c r="U50" s="127" t="s">
        <v>73</v>
      </c>
      <c r="V50" s="128"/>
      <c r="W50" s="128"/>
      <c r="X50" s="128"/>
      <c r="Y50" s="129"/>
      <c r="Z50" s="127">
        <v>14</v>
      </c>
      <c r="AA50" s="128"/>
      <c r="AB50" s="129"/>
      <c r="AC50" s="127"/>
      <c r="AD50" s="128"/>
      <c r="AE50" s="129"/>
      <c r="AF50" s="127"/>
      <c r="AG50" s="128"/>
      <c r="AH50" s="129"/>
      <c r="AI50" s="127"/>
      <c r="AJ50" s="128"/>
      <c r="AK50" s="129"/>
      <c r="AL50" s="127"/>
      <c r="AM50" s="128"/>
      <c r="AN50" s="129"/>
      <c r="AO50" s="127"/>
      <c r="AP50" s="128"/>
      <c r="AQ50" s="129"/>
      <c r="AR50" s="140" t="s">
        <v>93</v>
      </c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2"/>
    </row>
    <row r="51" spans="1:62" s="13" customFormat="1" ht="96" customHeight="1">
      <c r="A51" s="143">
        <v>23</v>
      </c>
      <c r="B51" s="143"/>
      <c r="C51" s="143"/>
      <c r="D51" s="147" t="s">
        <v>64</v>
      </c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9"/>
      <c r="U51" s="127" t="s">
        <v>72</v>
      </c>
      <c r="V51" s="128"/>
      <c r="W51" s="128"/>
      <c r="X51" s="128"/>
      <c r="Y51" s="129"/>
      <c r="Z51" s="127">
        <v>2</v>
      </c>
      <c r="AA51" s="128"/>
      <c r="AB51" s="129"/>
      <c r="AC51" s="127"/>
      <c r="AD51" s="128"/>
      <c r="AE51" s="129"/>
      <c r="AF51" s="127"/>
      <c r="AG51" s="128"/>
      <c r="AH51" s="129"/>
      <c r="AI51" s="127"/>
      <c r="AJ51" s="128"/>
      <c r="AK51" s="129"/>
      <c r="AL51" s="127"/>
      <c r="AM51" s="128"/>
      <c r="AN51" s="129"/>
      <c r="AO51" s="127"/>
      <c r="AP51" s="128"/>
      <c r="AQ51" s="129"/>
      <c r="AR51" s="140" t="s">
        <v>94</v>
      </c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2"/>
    </row>
    <row r="52" spans="1:62" s="13" customFormat="1" ht="93" customHeight="1">
      <c r="A52" s="143">
        <v>24</v>
      </c>
      <c r="B52" s="143"/>
      <c r="C52" s="143"/>
      <c r="D52" s="147" t="s">
        <v>65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9"/>
      <c r="U52" s="127" t="s">
        <v>72</v>
      </c>
      <c r="V52" s="128"/>
      <c r="W52" s="128"/>
      <c r="X52" s="128"/>
      <c r="Y52" s="129"/>
      <c r="Z52" s="127">
        <v>14</v>
      </c>
      <c r="AA52" s="128"/>
      <c r="AB52" s="129"/>
      <c r="AC52" s="127" t="s">
        <v>35</v>
      </c>
      <c r="AD52" s="128"/>
      <c r="AE52" s="129"/>
      <c r="AF52" s="127"/>
      <c r="AG52" s="128"/>
      <c r="AH52" s="129"/>
      <c r="AI52" s="127"/>
      <c r="AJ52" s="128"/>
      <c r="AK52" s="129"/>
      <c r="AL52" s="127"/>
      <c r="AM52" s="128"/>
      <c r="AN52" s="129"/>
      <c r="AO52" s="127"/>
      <c r="AP52" s="128"/>
      <c r="AQ52" s="129"/>
      <c r="AR52" s="140" t="s">
        <v>291</v>
      </c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2"/>
    </row>
    <row r="53" spans="1:62" s="13" customFormat="1" ht="96" customHeight="1">
      <c r="A53" s="136">
        <v>25</v>
      </c>
      <c r="B53" s="136"/>
      <c r="C53" s="136"/>
      <c r="D53" s="179" t="s">
        <v>66</v>
      </c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1"/>
      <c r="U53" s="156" t="s">
        <v>72</v>
      </c>
      <c r="V53" s="157"/>
      <c r="W53" s="157"/>
      <c r="X53" s="157"/>
      <c r="Y53" s="158"/>
      <c r="Z53" s="156">
        <v>14</v>
      </c>
      <c r="AA53" s="157"/>
      <c r="AB53" s="158"/>
      <c r="AC53" s="156" t="s">
        <v>35</v>
      </c>
      <c r="AD53" s="157"/>
      <c r="AE53" s="158"/>
      <c r="AF53" s="156"/>
      <c r="AG53" s="157"/>
      <c r="AH53" s="158"/>
      <c r="AI53" s="156"/>
      <c r="AJ53" s="157"/>
      <c r="AK53" s="158"/>
      <c r="AL53" s="156"/>
      <c r="AM53" s="157"/>
      <c r="AN53" s="158"/>
      <c r="AO53" s="156"/>
      <c r="AP53" s="157"/>
      <c r="AQ53" s="158"/>
      <c r="AR53" s="150" t="s">
        <v>290</v>
      </c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2"/>
    </row>
    <row r="54" spans="1:62" s="13" customFormat="1" ht="155.4" customHeight="1">
      <c r="A54" s="131">
        <v>26</v>
      </c>
      <c r="B54" s="131"/>
      <c r="C54" s="131"/>
      <c r="D54" s="182" t="s">
        <v>67</v>
      </c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4"/>
      <c r="U54" s="153" t="s">
        <v>72</v>
      </c>
      <c r="V54" s="154"/>
      <c r="W54" s="154"/>
      <c r="X54" s="154"/>
      <c r="Y54" s="155"/>
      <c r="Z54" s="153" t="s">
        <v>311</v>
      </c>
      <c r="AA54" s="154"/>
      <c r="AB54" s="155"/>
      <c r="AC54" s="153" t="s">
        <v>35</v>
      </c>
      <c r="AD54" s="154"/>
      <c r="AE54" s="155"/>
      <c r="AF54" s="153"/>
      <c r="AG54" s="154"/>
      <c r="AH54" s="155"/>
      <c r="AI54" s="153"/>
      <c r="AJ54" s="154"/>
      <c r="AK54" s="155"/>
      <c r="AL54" s="153"/>
      <c r="AM54" s="154"/>
      <c r="AN54" s="155"/>
      <c r="AO54" s="153"/>
      <c r="AP54" s="154"/>
      <c r="AQ54" s="155"/>
      <c r="AR54" s="159" t="s">
        <v>292</v>
      </c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1"/>
    </row>
    <row r="55" spans="1:62" s="13" customFormat="1" ht="228.6" customHeight="1">
      <c r="A55" s="143">
        <v>27</v>
      </c>
      <c r="B55" s="143"/>
      <c r="C55" s="143"/>
      <c r="D55" s="147" t="s">
        <v>152</v>
      </c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9"/>
      <c r="U55" s="127" t="s">
        <v>72</v>
      </c>
      <c r="V55" s="128"/>
      <c r="W55" s="128"/>
      <c r="X55" s="128"/>
      <c r="Y55" s="129"/>
      <c r="Z55" s="127">
        <v>14</v>
      </c>
      <c r="AA55" s="128"/>
      <c r="AB55" s="129"/>
      <c r="AC55" s="127" t="s">
        <v>35</v>
      </c>
      <c r="AD55" s="128"/>
      <c r="AE55" s="129"/>
      <c r="AF55" s="127"/>
      <c r="AG55" s="128"/>
      <c r="AH55" s="129"/>
      <c r="AI55" s="127"/>
      <c r="AJ55" s="128"/>
      <c r="AK55" s="129"/>
      <c r="AL55" s="127"/>
      <c r="AM55" s="128"/>
      <c r="AN55" s="129"/>
      <c r="AO55" s="127"/>
      <c r="AP55" s="128"/>
      <c r="AQ55" s="129"/>
      <c r="AR55" s="140" t="s">
        <v>309</v>
      </c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2"/>
    </row>
    <row r="56" spans="1:62" s="13" customFormat="1" ht="138.6" customHeight="1">
      <c r="A56" s="136">
        <v>28</v>
      </c>
      <c r="B56" s="136"/>
      <c r="C56" s="136"/>
      <c r="D56" s="179" t="s">
        <v>68</v>
      </c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1"/>
      <c r="U56" s="156" t="s">
        <v>72</v>
      </c>
      <c r="V56" s="157"/>
      <c r="W56" s="157"/>
      <c r="X56" s="157"/>
      <c r="Y56" s="158"/>
      <c r="Z56" s="156">
        <v>14</v>
      </c>
      <c r="AA56" s="157"/>
      <c r="AB56" s="158"/>
      <c r="AC56" s="156" t="s">
        <v>35</v>
      </c>
      <c r="AD56" s="157"/>
      <c r="AE56" s="158"/>
      <c r="AF56" s="156"/>
      <c r="AG56" s="157"/>
      <c r="AH56" s="158"/>
      <c r="AI56" s="156"/>
      <c r="AJ56" s="157"/>
      <c r="AK56" s="158"/>
      <c r="AL56" s="156"/>
      <c r="AM56" s="157"/>
      <c r="AN56" s="158"/>
      <c r="AO56" s="156"/>
      <c r="AP56" s="157"/>
      <c r="AQ56" s="158"/>
      <c r="AR56" s="150" t="s">
        <v>288</v>
      </c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2"/>
    </row>
    <row r="57" spans="1:62" s="13" customFormat="1" ht="148.94999999999999" customHeight="1">
      <c r="A57" s="131">
        <v>29</v>
      </c>
      <c r="B57" s="131"/>
      <c r="C57" s="131"/>
      <c r="D57" s="182" t="s">
        <v>69</v>
      </c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4"/>
      <c r="U57" s="153" t="s">
        <v>72</v>
      </c>
      <c r="V57" s="154"/>
      <c r="W57" s="154"/>
      <c r="X57" s="154"/>
      <c r="Y57" s="155"/>
      <c r="Z57" s="153" t="s">
        <v>311</v>
      </c>
      <c r="AA57" s="154"/>
      <c r="AB57" s="155"/>
      <c r="AC57" s="153" t="s">
        <v>35</v>
      </c>
      <c r="AD57" s="154"/>
      <c r="AE57" s="155"/>
      <c r="AF57" s="153"/>
      <c r="AG57" s="154"/>
      <c r="AH57" s="155"/>
      <c r="AI57" s="153"/>
      <c r="AJ57" s="154"/>
      <c r="AK57" s="155"/>
      <c r="AL57" s="153"/>
      <c r="AM57" s="154"/>
      <c r="AN57" s="155"/>
      <c r="AO57" s="153"/>
      <c r="AP57" s="154"/>
      <c r="AQ57" s="155"/>
      <c r="AR57" s="159" t="s">
        <v>293</v>
      </c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1"/>
    </row>
    <row r="58" spans="1:62" s="13" customFormat="1" ht="81" customHeight="1">
      <c r="A58" s="143">
        <v>30</v>
      </c>
      <c r="B58" s="143"/>
      <c r="C58" s="143"/>
      <c r="D58" s="147" t="s">
        <v>244</v>
      </c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9"/>
      <c r="U58" s="127" t="s">
        <v>72</v>
      </c>
      <c r="V58" s="128"/>
      <c r="W58" s="128"/>
      <c r="X58" s="128"/>
      <c r="Y58" s="129"/>
      <c r="Z58" s="127">
        <v>14</v>
      </c>
      <c r="AA58" s="128"/>
      <c r="AB58" s="129"/>
      <c r="AC58" s="127" t="s">
        <v>35</v>
      </c>
      <c r="AD58" s="128"/>
      <c r="AE58" s="129"/>
      <c r="AF58" s="127"/>
      <c r="AG58" s="128"/>
      <c r="AH58" s="129"/>
      <c r="AI58" s="127"/>
      <c r="AJ58" s="128"/>
      <c r="AK58" s="129"/>
      <c r="AL58" s="127"/>
      <c r="AM58" s="128"/>
      <c r="AN58" s="129"/>
      <c r="AO58" s="127"/>
      <c r="AP58" s="128"/>
      <c r="AQ58" s="129"/>
      <c r="AR58" s="140" t="s">
        <v>289</v>
      </c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2"/>
    </row>
    <row r="59" spans="1:62" s="13" customFormat="1" ht="148.19999999999999" customHeight="1">
      <c r="A59" s="143">
        <v>31</v>
      </c>
      <c r="B59" s="143"/>
      <c r="C59" s="143"/>
      <c r="D59" s="147" t="s">
        <v>70</v>
      </c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9"/>
      <c r="U59" s="127" t="s">
        <v>72</v>
      </c>
      <c r="V59" s="128"/>
      <c r="W59" s="128"/>
      <c r="X59" s="128"/>
      <c r="Y59" s="129"/>
      <c r="Z59" s="127" t="s">
        <v>311</v>
      </c>
      <c r="AA59" s="128"/>
      <c r="AB59" s="129"/>
      <c r="AC59" s="127" t="s">
        <v>35</v>
      </c>
      <c r="AD59" s="128"/>
      <c r="AE59" s="129"/>
      <c r="AF59" s="127"/>
      <c r="AG59" s="128"/>
      <c r="AH59" s="129"/>
      <c r="AI59" s="127"/>
      <c r="AJ59" s="128"/>
      <c r="AK59" s="129"/>
      <c r="AL59" s="127"/>
      <c r="AM59" s="128"/>
      <c r="AN59" s="129"/>
      <c r="AO59" s="127"/>
      <c r="AP59" s="128"/>
      <c r="AQ59" s="129"/>
      <c r="AR59" s="140" t="s">
        <v>294</v>
      </c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2"/>
    </row>
    <row r="60" spans="1:62" s="13" customFormat="1" ht="64.5" customHeight="1">
      <c r="A60" s="143">
        <v>32</v>
      </c>
      <c r="B60" s="143"/>
      <c r="C60" s="143"/>
      <c r="D60" s="147" t="s">
        <v>71</v>
      </c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9"/>
      <c r="U60" s="127" t="s">
        <v>72</v>
      </c>
      <c r="V60" s="128"/>
      <c r="W60" s="128"/>
      <c r="X60" s="128"/>
      <c r="Y60" s="129"/>
      <c r="Z60" s="127" t="s">
        <v>82</v>
      </c>
      <c r="AA60" s="128"/>
      <c r="AB60" s="129"/>
      <c r="AC60" s="127"/>
      <c r="AD60" s="128"/>
      <c r="AE60" s="129"/>
      <c r="AF60" s="127"/>
      <c r="AG60" s="128"/>
      <c r="AH60" s="129"/>
      <c r="AI60" s="127"/>
      <c r="AJ60" s="128"/>
      <c r="AK60" s="129"/>
      <c r="AL60" s="127"/>
      <c r="AM60" s="128"/>
      <c r="AN60" s="129"/>
      <c r="AO60" s="127"/>
      <c r="AP60" s="128"/>
      <c r="AQ60" s="129"/>
      <c r="AR60" s="140" t="s">
        <v>95</v>
      </c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1"/>
      <c r="BE60" s="141"/>
      <c r="BF60" s="141"/>
      <c r="BG60" s="141"/>
      <c r="BH60" s="141"/>
      <c r="BI60" s="141"/>
      <c r="BJ60" s="142"/>
    </row>
    <row r="61" spans="1:62" s="13" customFormat="1" ht="36" customHeight="1">
      <c r="A61" s="143"/>
      <c r="B61" s="143"/>
      <c r="C61" s="143"/>
      <c r="D61" s="144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6"/>
      <c r="U61" s="127"/>
      <c r="V61" s="128"/>
      <c r="W61" s="128"/>
      <c r="X61" s="128"/>
      <c r="Y61" s="129"/>
      <c r="Z61" s="127"/>
      <c r="AA61" s="128"/>
      <c r="AB61" s="129"/>
      <c r="AC61" s="127"/>
      <c r="AD61" s="128"/>
      <c r="AE61" s="129"/>
      <c r="AF61" s="127"/>
      <c r="AG61" s="128"/>
      <c r="AH61" s="129"/>
      <c r="AI61" s="127"/>
      <c r="AJ61" s="128"/>
      <c r="AK61" s="129"/>
      <c r="AL61" s="127"/>
      <c r="AM61" s="128"/>
      <c r="AN61" s="129"/>
      <c r="AO61" s="127"/>
      <c r="AP61" s="128"/>
      <c r="AQ61" s="129"/>
      <c r="AR61" s="140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2"/>
    </row>
    <row r="62" spans="1:62" s="13" customFormat="1" ht="36" customHeight="1">
      <c r="A62" s="136"/>
      <c r="B62" s="136"/>
      <c r="C62" s="136"/>
      <c r="D62" s="185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7"/>
      <c r="U62" s="156"/>
      <c r="V62" s="157"/>
      <c r="W62" s="157"/>
      <c r="X62" s="157"/>
      <c r="Y62" s="158"/>
      <c r="Z62" s="156"/>
      <c r="AA62" s="157"/>
      <c r="AB62" s="158"/>
      <c r="AC62" s="156"/>
      <c r="AD62" s="157"/>
      <c r="AE62" s="158"/>
      <c r="AF62" s="156"/>
      <c r="AG62" s="157"/>
      <c r="AH62" s="158"/>
      <c r="AI62" s="156"/>
      <c r="AJ62" s="157"/>
      <c r="AK62" s="158"/>
      <c r="AL62" s="156"/>
      <c r="AM62" s="157"/>
      <c r="AN62" s="158"/>
      <c r="AO62" s="156"/>
      <c r="AP62" s="157"/>
      <c r="AQ62" s="158"/>
      <c r="AR62" s="150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2"/>
    </row>
    <row r="63" spans="1:62" ht="6.6" customHeight="1"/>
  </sheetData>
  <mergeCells count="420"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D60:T60"/>
    <mergeCell ref="U60:Y60"/>
    <mergeCell ref="A59:C59"/>
    <mergeCell ref="D59:T59"/>
    <mergeCell ref="U59:Y59"/>
    <mergeCell ref="Z59:AB59"/>
    <mergeCell ref="AC59:AE59"/>
    <mergeCell ref="AF59:AH59"/>
    <mergeCell ref="AI59:AK59"/>
    <mergeCell ref="A60:C60"/>
    <mergeCell ref="Z60:AB60"/>
    <mergeCell ref="AC60:AE60"/>
    <mergeCell ref="AF60:AH60"/>
    <mergeCell ref="AI60:AK60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L62:AN62"/>
    <mergeCell ref="AO62:AQ62"/>
    <mergeCell ref="A61:C61"/>
    <mergeCell ref="AR61:BJ61"/>
    <mergeCell ref="AR62:BJ62"/>
    <mergeCell ref="D61:T61"/>
    <mergeCell ref="U61:Y61"/>
    <mergeCell ref="Z61:AB61"/>
    <mergeCell ref="AC61:AE61"/>
    <mergeCell ref="A62:C62"/>
    <mergeCell ref="D62:T62"/>
    <mergeCell ref="U62:Y62"/>
    <mergeCell ref="Z62:AB62"/>
    <mergeCell ref="AC62:AE62"/>
    <mergeCell ref="AF62:AH62"/>
    <mergeCell ref="AI62:AK62"/>
    <mergeCell ref="AF61:AH61"/>
    <mergeCell ref="AI61:AK61"/>
    <mergeCell ref="A52:C52"/>
    <mergeCell ref="A51:C51"/>
    <mergeCell ref="D57:T57"/>
    <mergeCell ref="U57:Y57"/>
    <mergeCell ref="Z57:AB57"/>
    <mergeCell ref="AC57:AE57"/>
    <mergeCell ref="AF57:AH57"/>
    <mergeCell ref="AI57:AK57"/>
    <mergeCell ref="AR57:BJ57"/>
    <mergeCell ref="A54:C54"/>
    <mergeCell ref="AR54:BJ54"/>
    <mergeCell ref="A55:C55"/>
    <mergeCell ref="AR55:BJ55"/>
    <mergeCell ref="A56:C56"/>
    <mergeCell ref="AR56:BJ56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D56:T56"/>
    <mergeCell ref="A57:C57"/>
    <mergeCell ref="AI54:AK54"/>
    <mergeCell ref="AL54:AN54"/>
    <mergeCell ref="AO54:AQ54"/>
    <mergeCell ref="AF56:AH56"/>
    <mergeCell ref="AI56:AK56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U56:Y56"/>
    <mergeCell ref="Z56:AB56"/>
    <mergeCell ref="AC56:AE56"/>
    <mergeCell ref="D54:T54"/>
    <mergeCell ref="U54:Y54"/>
    <mergeCell ref="Z54:AB54"/>
    <mergeCell ref="AC54:AE54"/>
    <mergeCell ref="AF54:AH54"/>
    <mergeCell ref="AL57:AN57"/>
    <mergeCell ref="A47:C47"/>
    <mergeCell ref="AR47:BJ47"/>
    <mergeCell ref="A48:C48"/>
    <mergeCell ref="AR48:BJ48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D48:T48"/>
    <mergeCell ref="U48:Y48"/>
    <mergeCell ref="Z48:AB48"/>
    <mergeCell ref="AC48:AE48"/>
    <mergeCell ref="AO48:AQ48"/>
    <mergeCell ref="AR38:BJ38"/>
    <mergeCell ref="A39:C39"/>
    <mergeCell ref="AR39:BJ39"/>
    <mergeCell ref="A46:C46"/>
    <mergeCell ref="AR46:BJ46"/>
    <mergeCell ref="A35:C35"/>
    <mergeCell ref="AR35:BJ35"/>
    <mergeCell ref="A36:C36"/>
    <mergeCell ref="AR36:BJ36"/>
    <mergeCell ref="A37:C37"/>
    <mergeCell ref="AR37:BJ37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7:T37"/>
    <mergeCell ref="U37:Y37"/>
    <mergeCell ref="Z37:AB37"/>
    <mergeCell ref="AC37:AE37"/>
    <mergeCell ref="D38:T38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38:C38"/>
    <mergeCell ref="U38:Y38"/>
    <mergeCell ref="Z38:AB38"/>
    <mergeCell ref="AC38:AE38"/>
    <mergeCell ref="AF38:AH38"/>
    <mergeCell ref="AI38:AK38"/>
    <mergeCell ref="AL38:AN38"/>
    <mergeCell ref="AO38:AQ38"/>
    <mergeCell ref="A31:C31"/>
    <mergeCell ref="AF37:AH37"/>
    <mergeCell ref="AI37:AK37"/>
    <mergeCell ref="AL37:AN37"/>
    <mergeCell ref="AO37:AQ37"/>
    <mergeCell ref="AI30:AK30"/>
    <mergeCell ref="AL30:AN30"/>
    <mergeCell ref="AO30:AQ30"/>
    <mergeCell ref="A33:C33"/>
    <mergeCell ref="AR33:BJ33"/>
    <mergeCell ref="A34:C34"/>
    <mergeCell ref="AR34:BJ34"/>
    <mergeCell ref="AI28:AK28"/>
    <mergeCell ref="AL28:AN28"/>
    <mergeCell ref="AO28:AQ28"/>
    <mergeCell ref="A29:C29"/>
    <mergeCell ref="AR29:BJ29"/>
    <mergeCell ref="A30:C30"/>
    <mergeCell ref="AR30:BJ30"/>
    <mergeCell ref="A28:C28"/>
    <mergeCell ref="D28:T28"/>
    <mergeCell ref="U28:Y28"/>
    <mergeCell ref="Z28:AB28"/>
    <mergeCell ref="AC28:AE28"/>
    <mergeCell ref="AF28:AH28"/>
    <mergeCell ref="AR28:BJ28"/>
    <mergeCell ref="D29:T29"/>
    <mergeCell ref="U29:Y29"/>
    <mergeCell ref="Z29:AB29"/>
    <mergeCell ref="AC29:AE29"/>
    <mergeCell ref="AF30:AH30"/>
    <mergeCell ref="D33:T33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U33:Y33"/>
    <mergeCell ref="Z33:AB33"/>
    <mergeCell ref="AC33:AE33"/>
    <mergeCell ref="AF33:AH33"/>
    <mergeCell ref="AI33:AK33"/>
    <mergeCell ref="AL33:AN33"/>
    <mergeCell ref="AO33:AQ33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34:T34"/>
    <mergeCell ref="U34:Y34"/>
    <mergeCell ref="Z34:AB34"/>
    <mergeCell ref="AC34:AE34"/>
    <mergeCell ref="AF34:AH34"/>
    <mergeCell ref="AI34:AK34"/>
    <mergeCell ref="AL34:AN34"/>
    <mergeCell ref="AO39:AQ39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I42:AK42"/>
    <mergeCell ref="AL42:AN42"/>
    <mergeCell ref="AO42:AQ42"/>
    <mergeCell ref="D45:T45"/>
    <mergeCell ref="D39:T39"/>
    <mergeCell ref="U39:Y39"/>
    <mergeCell ref="Z39:AB39"/>
    <mergeCell ref="AC39:AE39"/>
    <mergeCell ref="AF39:AH39"/>
    <mergeCell ref="AI39:AK39"/>
    <mergeCell ref="AL39:AN39"/>
    <mergeCell ref="AL51:AN51"/>
    <mergeCell ref="AO51:AQ51"/>
    <mergeCell ref="D52:T52"/>
    <mergeCell ref="U52:Y52"/>
    <mergeCell ref="Z52:AB52"/>
    <mergeCell ref="AC52:AE52"/>
    <mergeCell ref="AI52:AK52"/>
    <mergeCell ref="AR51:BJ51"/>
    <mergeCell ref="AF48:AH48"/>
    <mergeCell ref="AI48:AK48"/>
    <mergeCell ref="AL48:AN48"/>
    <mergeCell ref="AR52:BJ52"/>
    <mergeCell ref="AF52:AH52"/>
    <mergeCell ref="D51:T51"/>
    <mergeCell ref="U51:Y51"/>
    <mergeCell ref="Z51:AB51"/>
    <mergeCell ref="AC51:AE51"/>
    <mergeCell ref="AF51:AH51"/>
    <mergeCell ref="AI51:AK51"/>
    <mergeCell ref="AR49:BJ49"/>
    <mergeCell ref="AR50:BJ50"/>
    <mergeCell ref="AL52:AN52"/>
    <mergeCell ref="AO52:AQ52"/>
    <mergeCell ref="AR58:BJ58"/>
    <mergeCell ref="AR59:BJ59"/>
    <mergeCell ref="AR60:BJ60"/>
    <mergeCell ref="AL60:AN60"/>
    <mergeCell ref="AO60:AQ60"/>
    <mergeCell ref="AR53:BJ53"/>
    <mergeCell ref="AL61:AN61"/>
    <mergeCell ref="AO61:AQ61"/>
    <mergeCell ref="AO57:AQ57"/>
    <mergeCell ref="AL59:AN59"/>
    <mergeCell ref="AO59:AQ59"/>
    <mergeCell ref="AL56:AN56"/>
    <mergeCell ref="AO56:AQ56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Z42:AB42"/>
    <mergeCell ref="AC42:AE42"/>
    <mergeCell ref="AF42:AH42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45:C45"/>
    <mergeCell ref="AO45:AQ45"/>
    <mergeCell ref="AR45:BJ45"/>
    <mergeCell ref="AR44:BJ44"/>
    <mergeCell ref="AL45:AN45"/>
    <mergeCell ref="AI45:AK45"/>
    <mergeCell ref="AF45:AH45"/>
    <mergeCell ref="AC45:AE45"/>
    <mergeCell ref="Z45:AB45"/>
    <mergeCell ref="U45:Y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31:BJ31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10:C10"/>
    <mergeCell ref="D10:AR10"/>
    <mergeCell ref="AS10:BJ10"/>
    <mergeCell ref="A25:C25"/>
    <mergeCell ref="D25:AR25"/>
    <mergeCell ref="AS25:BJ25"/>
    <mergeCell ref="A24:C24"/>
    <mergeCell ref="D24:AR24"/>
    <mergeCell ref="AS24:BJ24"/>
    <mergeCell ref="A19:C19"/>
    <mergeCell ref="D19:AR19"/>
    <mergeCell ref="AS19:BJ19"/>
    <mergeCell ref="A21:C21"/>
    <mergeCell ref="D21:AR21"/>
    <mergeCell ref="AS21:BJ21"/>
    <mergeCell ref="A11:BJ11"/>
    <mergeCell ref="A18:BJ18"/>
    <mergeCell ref="A23:C23"/>
    <mergeCell ref="D23:AR23"/>
    <mergeCell ref="AS23:BJ23"/>
    <mergeCell ref="A22:C22"/>
    <mergeCell ref="D22:AR22"/>
    <mergeCell ref="AS22:BJ22"/>
    <mergeCell ref="A12:C12"/>
    <mergeCell ref="D12:AR12"/>
    <mergeCell ref="AS12:BJ12"/>
    <mergeCell ref="A14:C14"/>
    <mergeCell ref="D14:AR14"/>
    <mergeCell ref="AS14:BJ14"/>
    <mergeCell ref="A15:C15"/>
    <mergeCell ref="D15:AR15"/>
    <mergeCell ref="AS15:BJ15"/>
    <mergeCell ref="A16:C16"/>
    <mergeCell ref="D16:AR16"/>
    <mergeCell ref="AS16:BJ16"/>
    <mergeCell ref="A17:C17"/>
    <mergeCell ref="D17:AR17"/>
    <mergeCell ref="AS17:BJ17"/>
    <mergeCell ref="A13:C13"/>
    <mergeCell ref="D13:AR13"/>
    <mergeCell ref="AS13:BJ13"/>
    <mergeCell ref="A20:C20"/>
    <mergeCell ref="D20:AR20"/>
    <mergeCell ref="AS20:BJ20"/>
  </mergeCells>
  <phoneticPr fontId="1"/>
  <dataValidations count="5">
    <dataValidation type="list" allowBlank="1" showInputMessage="1" showErrorMessage="1" sqref="BC7:BC9 BI7:BI9 BC26 BI26 AL29:AQ62 AC29:AH6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26:AX26 AT9:AX9 AS9:AS10" xr:uid="{A28D54F1-9D2B-45B7-967C-1F377298CF87}">
      <formula1>"utf-8,Shift jis"</formula1>
    </dataValidation>
    <dataValidation type="list" allowBlank="1" showInputMessage="1" sqref="AS12:BJ17 AS19:BJ25" xr:uid="{2DA0E268-AAF3-423A-A39A-BD2F16A7B20D}">
      <formula1>"昇順, 降順"</formula1>
    </dataValidation>
    <dataValidation type="list" allowBlank="1" showInputMessage="1" showErrorMessage="1" sqref="AI29:AK62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54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112" t="s">
        <v>30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4"/>
      <c r="AT2" s="106" t="s">
        <v>3</v>
      </c>
      <c r="AU2" s="107"/>
      <c r="AV2" s="107"/>
      <c r="AW2" s="107"/>
      <c r="AX2" s="108"/>
      <c r="AY2" s="106" t="s">
        <v>31</v>
      </c>
      <c r="AZ2" s="107"/>
      <c r="BA2" s="107"/>
      <c r="BB2" s="108"/>
      <c r="BC2" s="106" t="s">
        <v>5</v>
      </c>
      <c r="BD2" s="107"/>
      <c r="BE2" s="107"/>
      <c r="BF2" s="108"/>
      <c r="BG2" s="106"/>
      <c r="BH2" s="107"/>
      <c r="BI2" s="107"/>
      <c r="BJ2" s="108"/>
    </row>
    <row r="3" spans="1:62" s="1" customFormat="1" ht="18" customHeight="1">
      <c r="A3" s="115" t="s">
        <v>6</v>
      </c>
      <c r="B3" s="116"/>
      <c r="C3" s="116"/>
      <c r="D3" s="116"/>
      <c r="E3" s="116"/>
      <c r="F3" s="116"/>
      <c r="G3" s="116"/>
      <c r="H3" s="117"/>
      <c r="I3" s="121" t="s">
        <v>307</v>
      </c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3"/>
      <c r="AT3" s="106" t="s">
        <v>7</v>
      </c>
      <c r="AU3" s="107"/>
      <c r="AV3" s="107"/>
      <c r="AW3" s="107"/>
      <c r="AX3" s="108"/>
      <c r="AY3" s="106" t="s">
        <v>306</v>
      </c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8"/>
    </row>
    <row r="4" spans="1:62" s="1" customFormat="1" ht="18" customHeight="1">
      <c r="A4" s="118"/>
      <c r="B4" s="119"/>
      <c r="C4" s="119"/>
      <c r="D4" s="119"/>
      <c r="E4" s="119"/>
      <c r="F4" s="119"/>
      <c r="G4" s="119"/>
      <c r="H4" s="120"/>
      <c r="I4" s="124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6"/>
      <c r="AT4" s="106" t="s">
        <v>8</v>
      </c>
      <c r="AU4" s="107"/>
      <c r="AV4" s="107"/>
      <c r="AW4" s="107"/>
      <c r="AX4" s="108"/>
      <c r="AY4" s="106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8"/>
    </row>
    <row r="5" spans="1:62" s="12" customFormat="1" ht="6" customHeight="1"/>
    <row r="6" spans="1:62" s="14" customFormat="1" ht="20.25" customHeight="1">
      <c r="A6" s="162" t="s">
        <v>12</v>
      </c>
      <c r="B6" s="163"/>
      <c r="C6" s="163"/>
      <c r="D6" s="163"/>
      <c r="E6" s="163"/>
      <c r="F6" s="163"/>
      <c r="G6" s="163"/>
      <c r="H6" s="163"/>
      <c r="I6" s="163"/>
      <c r="J6" s="163"/>
      <c r="K6" s="164"/>
      <c r="L6" s="162" t="s">
        <v>308</v>
      </c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4"/>
      <c r="AB6" s="162" t="s">
        <v>13</v>
      </c>
      <c r="AC6" s="163"/>
      <c r="AD6" s="163"/>
      <c r="AE6" s="163"/>
      <c r="AF6" s="163"/>
      <c r="AG6" s="163"/>
      <c r="AH6" s="163"/>
      <c r="AI6" s="163"/>
      <c r="AJ6" s="164"/>
      <c r="AK6" s="162" t="s">
        <v>32</v>
      </c>
      <c r="AL6" s="163"/>
      <c r="AM6" s="163"/>
      <c r="AN6" s="164"/>
      <c r="AO6" s="162" t="s">
        <v>14</v>
      </c>
      <c r="AP6" s="163"/>
      <c r="AQ6" s="163"/>
      <c r="AR6" s="163"/>
      <c r="AS6" s="163"/>
      <c r="AT6" s="163"/>
      <c r="AU6" s="163"/>
      <c r="AV6" s="163"/>
      <c r="AW6" s="164"/>
      <c r="AX6" s="162" t="s">
        <v>33</v>
      </c>
      <c r="AY6" s="163"/>
      <c r="AZ6" s="163"/>
      <c r="BA6" s="164"/>
      <c r="BB6" s="132" t="s">
        <v>15</v>
      </c>
      <c r="BC6" s="132"/>
      <c r="BD6" s="132"/>
      <c r="BE6" s="132"/>
      <c r="BF6" s="132">
        <f>COUNTA(D10:D426)</f>
        <v>32</v>
      </c>
      <c r="BG6" s="132"/>
      <c r="BH6" s="132"/>
      <c r="BI6" s="132"/>
      <c r="BJ6" s="132"/>
    </row>
    <row r="7" spans="1:62" s="14" customFormat="1" ht="20.25" customHeight="1">
      <c r="A7" s="162" t="s">
        <v>16</v>
      </c>
      <c r="B7" s="163"/>
      <c r="C7" s="163"/>
      <c r="D7" s="163"/>
      <c r="E7" s="163"/>
      <c r="F7" s="163"/>
      <c r="G7" s="163"/>
      <c r="H7" s="163"/>
      <c r="I7" s="163"/>
      <c r="J7" s="163"/>
      <c r="K7" s="164"/>
      <c r="L7" s="162" t="s">
        <v>271</v>
      </c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4"/>
      <c r="AK7" s="162" t="s">
        <v>34</v>
      </c>
      <c r="AL7" s="163"/>
      <c r="AM7" s="163"/>
      <c r="AN7" s="163"/>
      <c r="AO7" s="163"/>
      <c r="AP7" s="163"/>
      <c r="AQ7" s="163"/>
      <c r="AR7" s="164"/>
      <c r="AS7" s="162" t="s">
        <v>310</v>
      </c>
      <c r="AT7" s="163"/>
      <c r="AU7" s="163"/>
      <c r="AV7" s="163"/>
      <c r="AW7" s="163"/>
      <c r="AX7" s="164"/>
      <c r="AY7" s="33" t="s">
        <v>17</v>
      </c>
      <c r="AZ7" s="34"/>
      <c r="BA7" s="34"/>
      <c r="BB7" s="34"/>
      <c r="BC7" s="162" t="s">
        <v>35</v>
      </c>
      <c r="BD7" s="164"/>
      <c r="BE7" s="162" t="s">
        <v>18</v>
      </c>
      <c r="BF7" s="163"/>
      <c r="BG7" s="163"/>
      <c r="BH7" s="164"/>
      <c r="BI7" s="162"/>
      <c r="BJ7" s="164"/>
    </row>
    <row r="8" spans="1:62" s="4" customFormat="1">
      <c r="B8" s="29" t="s">
        <v>19</v>
      </c>
      <c r="G8" s="5"/>
    </row>
    <row r="9" spans="1:62" s="14" customFormat="1" ht="42" customHeight="1">
      <c r="A9" s="162" t="s">
        <v>20</v>
      </c>
      <c r="B9" s="163"/>
      <c r="C9" s="164"/>
      <c r="D9" s="162" t="s">
        <v>36</v>
      </c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4"/>
      <c r="U9" s="166" t="s">
        <v>22</v>
      </c>
      <c r="V9" s="167"/>
      <c r="W9" s="167"/>
      <c r="X9" s="167"/>
      <c r="Y9" s="168"/>
      <c r="Z9" s="166" t="s">
        <v>23</v>
      </c>
      <c r="AA9" s="167"/>
      <c r="AB9" s="168"/>
      <c r="AC9" s="162" t="s">
        <v>37</v>
      </c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4"/>
    </row>
    <row r="10" spans="1:62" s="13" customFormat="1" ht="58.2" customHeight="1">
      <c r="A10" s="188">
        <v>1</v>
      </c>
      <c r="B10" s="188"/>
      <c r="C10" s="188"/>
      <c r="D10" s="173" t="s">
        <v>50</v>
      </c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5"/>
      <c r="U10" s="176" t="s">
        <v>72</v>
      </c>
      <c r="V10" s="177"/>
      <c r="W10" s="177"/>
      <c r="X10" s="177"/>
      <c r="Y10" s="178"/>
      <c r="Z10" s="176">
        <v>6</v>
      </c>
      <c r="AA10" s="177"/>
      <c r="AB10" s="178"/>
      <c r="AC10" s="35" t="s">
        <v>297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3" customFormat="1" ht="40.5" customHeight="1">
      <c r="A11" s="143">
        <v>2</v>
      </c>
      <c r="B11" s="143"/>
      <c r="C11" s="143"/>
      <c r="D11" s="147" t="s">
        <v>51</v>
      </c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9"/>
      <c r="U11" s="127" t="s">
        <v>72</v>
      </c>
      <c r="V11" s="128"/>
      <c r="W11" s="128"/>
      <c r="X11" s="128"/>
      <c r="Y11" s="129"/>
      <c r="Z11" s="127">
        <v>6</v>
      </c>
      <c r="AA11" s="128"/>
      <c r="AB11" s="129"/>
      <c r="AC11" s="36" t="s">
        <v>299</v>
      </c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9"/>
    </row>
    <row r="12" spans="1:62" s="13" customFormat="1" ht="40.5" customHeight="1">
      <c r="A12" s="143">
        <v>3</v>
      </c>
      <c r="B12" s="143"/>
      <c r="C12" s="143"/>
      <c r="D12" s="144" t="s">
        <v>167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6"/>
      <c r="U12" s="127" t="s">
        <v>168</v>
      </c>
      <c r="V12" s="128"/>
      <c r="W12" s="128"/>
      <c r="X12" s="128"/>
      <c r="Y12" s="129"/>
      <c r="Z12" s="127">
        <v>2</v>
      </c>
      <c r="AA12" s="128"/>
      <c r="AB12" s="129"/>
      <c r="AC12" s="36" t="s">
        <v>161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9"/>
    </row>
    <row r="13" spans="1:62" s="13" customFormat="1" ht="40.5" customHeight="1">
      <c r="A13" s="143">
        <v>4</v>
      </c>
      <c r="B13" s="143"/>
      <c r="C13" s="143"/>
      <c r="D13" s="144" t="s">
        <v>170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27" t="s">
        <v>171</v>
      </c>
      <c r="V13" s="128"/>
      <c r="W13" s="128"/>
      <c r="X13" s="128"/>
      <c r="Y13" s="129"/>
      <c r="Z13" s="127">
        <v>10</v>
      </c>
      <c r="AA13" s="128"/>
      <c r="AB13" s="129"/>
      <c r="AC13" s="57" t="s">
        <v>172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</row>
    <row r="14" spans="1:62" s="13" customFormat="1" ht="40.5" customHeight="1">
      <c r="A14" s="143">
        <v>5</v>
      </c>
      <c r="B14" s="143"/>
      <c r="C14" s="143"/>
      <c r="D14" s="147" t="s">
        <v>52</v>
      </c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9"/>
      <c r="U14" s="127" t="s">
        <v>73</v>
      </c>
      <c r="V14" s="128"/>
      <c r="W14" s="128"/>
      <c r="X14" s="128"/>
      <c r="Y14" s="129"/>
      <c r="Z14" s="127" t="s">
        <v>77</v>
      </c>
      <c r="AA14" s="128"/>
      <c r="AB14" s="129"/>
      <c r="AC14" s="57" t="s">
        <v>96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9"/>
    </row>
    <row r="15" spans="1:62" s="13" customFormat="1" ht="40.5" customHeight="1">
      <c r="A15" s="143">
        <v>6</v>
      </c>
      <c r="B15" s="143"/>
      <c r="C15" s="143"/>
      <c r="D15" s="147" t="s">
        <v>53</v>
      </c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9"/>
      <c r="U15" s="127" t="s">
        <v>74</v>
      </c>
      <c r="V15" s="128"/>
      <c r="W15" s="128"/>
      <c r="X15" s="128"/>
      <c r="Y15" s="129"/>
      <c r="Z15" s="127">
        <v>2</v>
      </c>
      <c r="AA15" s="128"/>
      <c r="AB15" s="129"/>
      <c r="AC15" s="36" t="s">
        <v>97</v>
      </c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9"/>
    </row>
    <row r="16" spans="1:62" s="13" customFormat="1" ht="40.5" customHeight="1">
      <c r="A16" s="143">
        <v>7</v>
      </c>
      <c r="B16" s="143"/>
      <c r="C16" s="143"/>
      <c r="D16" s="147" t="s">
        <v>54</v>
      </c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9"/>
      <c r="U16" s="127" t="s">
        <v>73</v>
      </c>
      <c r="V16" s="128"/>
      <c r="W16" s="128"/>
      <c r="X16" s="128"/>
      <c r="Y16" s="129"/>
      <c r="Z16" s="127">
        <v>15</v>
      </c>
      <c r="AA16" s="128"/>
      <c r="AB16" s="129"/>
      <c r="AC16" s="36" t="s">
        <v>98</v>
      </c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9"/>
    </row>
    <row r="17" spans="1:62" s="13" customFormat="1" ht="40.5" customHeight="1">
      <c r="A17" s="143">
        <v>8</v>
      </c>
      <c r="B17" s="143"/>
      <c r="C17" s="143"/>
      <c r="D17" s="147" t="s">
        <v>55</v>
      </c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9"/>
      <c r="U17" s="127" t="s">
        <v>74</v>
      </c>
      <c r="V17" s="128"/>
      <c r="W17" s="128"/>
      <c r="X17" s="128"/>
      <c r="Y17" s="129"/>
      <c r="Z17" s="127">
        <v>2</v>
      </c>
      <c r="AA17" s="128"/>
      <c r="AB17" s="129"/>
      <c r="AC17" s="36" t="s">
        <v>155</v>
      </c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/>
    </row>
    <row r="18" spans="1:62" s="13" customFormat="1" ht="40.5" customHeight="1">
      <c r="A18" s="143">
        <v>9</v>
      </c>
      <c r="B18" s="143"/>
      <c r="C18" s="143"/>
      <c r="D18" s="147" t="s">
        <v>56</v>
      </c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9"/>
      <c r="U18" s="127" t="s">
        <v>73</v>
      </c>
      <c r="V18" s="128"/>
      <c r="W18" s="128"/>
      <c r="X18" s="128"/>
      <c r="Y18" s="129"/>
      <c r="Z18" s="127">
        <v>15</v>
      </c>
      <c r="AA18" s="128"/>
      <c r="AB18" s="129"/>
      <c r="AC18" s="36" t="s">
        <v>166</v>
      </c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</row>
    <row r="19" spans="1:62" s="13" customFormat="1" ht="40.5" customHeight="1">
      <c r="A19" s="143">
        <v>10</v>
      </c>
      <c r="B19" s="143"/>
      <c r="C19" s="143"/>
      <c r="D19" s="147" t="s">
        <v>57</v>
      </c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9"/>
      <c r="U19" s="127" t="s">
        <v>74</v>
      </c>
      <c r="V19" s="128"/>
      <c r="W19" s="128"/>
      <c r="X19" s="128"/>
      <c r="Y19" s="129"/>
      <c r="Z19" s="127">
        <v>2</v>
      </c>
      <c r="AA19" s="128"/>
      <c r="AB19" s="129"/>
      <c r="AC19" s="36" t="s">
        <v>159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40.5" customHeight="1">
      <c r="A20" s="143">
        <v>11</v>
      </c>
      <c r="B20" s="143"/>
      <c r="C20" s="143"/>
      <c r="D20" s="147" t="s">
        <v>58</v>
      </c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9"/>
      <c r="U20" s="127" t="s">
        <v>73</v>
      </c>
      <c r="V20" s="128"/>
      <c r="W20" s="128"/>
      <c r="X20" s="128"/>
      <c r="Y20" s="129"/>
      <c r="Z20" s="127">
        <v>10</v>
      </c>
      <c r="AA20" s="128"/>
      <c r="AB20" s="129"/>
      <c r="AC20" s="36" t="s">
        <v>157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</row>
    <row r="21" spans="1:62" s="13" customFormat="1" ht="40.5" customHeight="1">
      <c r="A21" s="143">
        <v>12</v>
      </c>
      <c r="B21" s="143"/>
      <c r="C21" s="143"/>
      <c r="D21" s="147" t="s">
        <v>239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27" t="s">
        <v>74</v>
      </c>
      <c r="V21" s="128"/>
      <c r="W21" s="128"/>
      <c r="X21" s="128"/>
      <c r="Y21" s="129"/>
      <c r="Z21" s="127">
        <v>3</v>
      </c>
      <c r="AA21" s="128"/>
      <c r="AB21" s="129"/>
      <c r="AC21" s="36" t="s">
        <v>165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9"/>
    </row>
    <row r="22" spans="1:62" s="13" customFormat="1" ht="40.5" customHeight="1">
      <c r="A22" s="143">
        <v>13</v>
      </c>
      <c r="B22" s="143"/>
      <c r="C22" s="143"/>
      <c r="D22" s="147" t="s">
        <v>240</v>
      </c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9"/>
      <c r="U22" s="127" t="s">
        <v>73</v>
      </c>
      <c r="V22" s="128"/>
      <c r="W22" s="128"/>
      <c r="X22" s="128"/>
      <c r="Y22" s="129"/>
      <c r="Z22" s="127">
        <v>15</v>
      </c>
      <c r="AA22" s="128"/>
      <c r="AB22" s="129"/>
      <c r="AC22" s="36" t="s">
        <v>164</v>
      </c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/>
    </row>
    <row r="23" spans="1:62" s="13" customFormat="1" ht="40.5" customHeight="1">
      <c r="A23" s="143">
        <v>14</v>
      </c>
      <c r="B23" s="143"/>
      <c r="C23" s="143"/>
      <c r="D23" s="147" t="s">
        <v>265</v>
      </c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9"/>
      <c r="U23" s="127" t="s">
        <v>74</v>
      </c>
      <c r="V23" s="128"/>
      <c r="W23" s="128"/>
      <c r="X23" s="128"/>
      <c r="Y23" s="129"/>
      <c r="Z23" s="127">
        <v>4</v>
      </c>
      <c r="AA23" s="128"/>
      <c r="AB23" s="129"/>
      <c r="AC23" s="36" t="s">
        <v>224</v>
      </c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9"/>
    </row>
    <row r="24" spans="1:62" s="13" customFormat="1" ht="40.5" customHeight="1">
      <c r="A24" s="143">
        <v>15</v>
      </c>
      <c r="B24" s="143"/>
      <c r="C24" s="143"/>
      <c r="D24" s="147" t="s">
        <v>266</v>
      </c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9"/>
      <c r="U24" s="127" t="s">
        <v>73</v>
      </c>
      <c r="V24" s="128"/>
      <c r="W24" s="128"/>
      <c r="X24" s="128"/>
      <c r="Y24" s="129"/>
      <c r="Z24" s="127">
        <v>25</v>
      </c>
      <c r="AA24" s="128"/>
      <c r="AB24" s="129"/>
      <c r="AC24" s="36" t="s">
        <v>218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9"/>
    </row>
    <row r="25" spans="1:62" s="13" customFormat="1" ht="40.5" customHeight="1">
      <c r="A25" s="143">
        <v>16</v>
      </c>
      <c r="B25" s="143"/>
      <c r="C25" s="143"/>
      <c r="D25" s="147" t="s">
        <v>269</v>
      </c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9"/>
      <c r="U25" s="127" t="s">
        <v>74</v>
      </c>
      <c r="V25" s="128"/>
      <c r="W25" s="128"/>
      <c r="X25" s="128"/>
      <c r="Y25" s="129"/>
      <c r="Z25" s="127">
        <v>4</v>
      </c>
      <c r="AA25" s="128"/>
      <c r="AB25" s="129"/>
      <c r="AC25" s="36" t="s">
        <v>234</v>
      </c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9"/>
    </row>
    <row r="26" spans="1:62" s="13" customFormat="1" ht="40.5" customHeight="1">
      <c r="A26" s="143">
        <v>17</v>
      </c>
      <c r="B26" s="143"/>
      <c r="C26" s="143"/>
      <c r="D26" s="147" t="s">
        <v>270</v>
      </c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9"/>
      <c r="U26" s="127" t="s">
        <v>73</v>
      </c>
      <c r="V26" s="128"/>
      <c r="W26" s="128"/>
      <c r="X26" s="128"/>
      <c r="Y26" s="129"/>
      <c r="Z26" s="127">
        <v>15</v>
      </c>
      <c r="AA26" s="128"/>
      <c r="AB26" s="129"/>
      <c r="AC26" s="36" t="s">
        <v>232</v>
      </c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9"/>
    </row>
    <row r="27" spans="1:62" s="13" customFormat="1" ht="40.5" customHeight="1">
      <c r="A27" s="143">
        <v>18</v>
      </c>
      <c r="B27" s="143"/>
      <c r="C27" s="143"/>
      <c r="D27" s="147" t="s">
        <v>59</v>
      </c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9"/>
      <c r="U27" s="127" t="s">
        <v>74</v>
      </c>
      <c r="V27" s="128"/>
      <c r="W27" s="128"/>
      <c r="X27" s="128"/>
      <c r="Y27" s="129"/>
      <c r="Z27" s="127" t="s">
        <v>78</v>
      </c>
      <c r="AA27" s="128"/>
      <c r="AB27" s="129"/>
      <c r="AC27" s="36" t="s">
        <v>161</v>
      </c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9"/>
    </row>
    <row r="28" spans="1:62" s="13" customFormat="1" ht="40.5" customHeight="1">
      <c r="A28" s="143">
        <v>19</v>
      </c>
      <c r="B28" s="143"/>
      <c r="C28" s="143"/>
      <c r="D28" s="147" t="s">
        <v>60</v>
      </c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9"/>
      <c r="U28" s="127" t="s">
        <v>73</v>
      </c>
      <c r="V28" s="128"/>
      <c r="W28" s="128"/>
      <c r="X28" s="128"/>
      <c r="Y28" s="129"/>
      <c r="Z28" s="127">
        <v>10</v>
      </c>
      <c r="AA28" s="128"/>
      <c r="AB28" s="129"/>
      <c r="AC28" s="36" t="s">
        <v>163</v>
      </c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9"/>
    </row>
    <row r="29" spans="1:62" s="13" customFormat="1" ht="40.5" customHeight="1">
      <c r="A29" s="143">
        <v>20</v>
      </c>
      <c r="B29" s="143"/>
      <c r="C29" s="143"/>
      <c r="D29" s="147" t="s">
        <v>61</v>
      </c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9"/>
      <c r="U29" s="127" t="s">
        <v>74</v>
      </c>
      <c r="V29" s="128"/>
      <c r="W29" s="128"/>
      <c r="X29" s="128"/>
      <c r="Y29" s="129"/>
      <c r="Z29" s="127" t="s">
        <v>79</v>
      </c>
      <c r="AA29" s="128"/>
      <c r="AB29" s="129"/>
      <c r="AC29" s="36" t="s">
        <v>99</v>
      </c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9"/>
    </row>
    <row r="30" spans="1:62" s="13" customFormat="1" ht="40.5" customHeight="1">
      <c r="A30" s="143">
        <v>21</v>
      </c>
      <c r="B30" s="143"/>
      <c r="C30" s="143"/>
      <c r="D30" s="147" t="s">
        <v>62</v>
      </c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9"/>
      <c r="U30" s="127" t="s">
        <v>74</v>
      </c>
      <c r="V30" s="128"/>
      <c r="W30" s="128"/>
      <c r="X30" s="128"/>
      <c r="Y30" s="129"/>
      <c r="Z30" s="127" t="s">
        <v>77</v>
      </c>
      <c r="AA30" s="128"/>
      <c r="AB30" s="129"/>
      <c r="AC30" s="36" t="s">
        <v>100</v>
      </c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9"/>
    </row>
    <row r="31" spans="1:62" s="13" customFormat="1" ht="40.5" customHeight="1">
      <c r="A31" s="143">
        <v>22</v>
      </c>
      <c r="B31" s="143"/>
      <c r="C31" s="143"/>
      <c r="D31" s="147" t="s">
        <v>63</v>
      </c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9"/>
      <c r="U31" s="127" t="s">
        <v>73</v>
      </c>
      <c r="V31" s="128"/>
      <c r="W31" s="128"/>
      <c r="X31" s="128"/>
      <c r="Y31" s="129"/>
      <c r="Z31" s="127">
        <v>14</v>
      </c>
      <c r="AA31" s="128"/>
      <c r="AB31" s="129"/>
      <c r="AC31" s="36" t="s">
        <v>101</v>
      </c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9"/>
    </row>
    <row r="32" spans="1:62" s="13" customFormat="1" ht="40.5" customHeight="1">
      <c r="A32" s="136">
        <v>23</v>
      </c>
      <c r="B32" s="136"/>
      <c r="C32" s="136"/>
      <c r="D32" s="179" t="s">
        <v>64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1"/>
      <c r="U32" s="156" t="s">
        <v>72</v>
      </c>
      <c r="V32" s="157"/>
      <c r="W32" s="157"/>
      <c r="X32" s="157"/>
      <c r="Y32" s="158"/>
      <c r="Z32" s="156">
        <v>2</v>
      </c>
      <c r="AA32" s="157"/>
      <c r="AB32" s="158"/>
      <c r="AC32" s="88" t="s">
        <v>135</v>
      </c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4"/>
    </row>
    <row r="33" spans="1:62" s="13" customFormat="1" ht="67.95" customHeight="1">
      <c r="A33" s="131">
        <v>24</v>
      </c>
      <c r="B33" s="131"/>
      <c r="C33" s="131"/>
      <c r="D33" s="182" t="s">
        <v>65</v>
      </c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4"/>
      <c r="U33" s="153" t="s">
        <v>72</v>
      </c>
      <c r="V33" s="154"/>
      <c r="W33" s="154"/>
      <c r="X33" s="154"/>
      <c r="Y33" s="155"/>
      <c r="Z33" s="127">
        <v>14</v>
      </c>
      <c r="AA33" s="128"/>
      <c r="AB33" s="129"/>
      <c r="AC33" s="85" t="s">
        <v>144</v>
      </c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7"/>
    </row>
    <row r="34" spans="1:62" s="13" customFormat="1" ht="68.400000000000006" customHeight="1">
      <c r="A34" s="143">
        <v>25</v>
      </c>
      <c r="B34" s="143"/>
      <c r="C34" s="143"/>
      <c r="D34" s="147" t="s">
        <v>66</v>
      </c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9"/>
      <c r="U34" s="127" t="s">
        <v>72</v>
      </c>
      <c r="V34" s="128"/>
      <c r="W34" s="128"/>
      <c r="X34" s="128"/>
      <c r="Y34" s="129"/>
      <c r="Z34" s="127">
        <v>14</v>
      </c>
      <c r="AA34" s="128"/>
      <c r="AB34" s="129"/>
      <c r="AC34" s="36" t="s">
        <v>145</v>
      </c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</row>
    <row r="35" spans="1:62" s="13" customFormat="1" ht="62.4" customHeight="1">
      <c r="A35" s="143">
        <v>26</v>
      </c>
      <c r="B35" s="143"/>
      <c r="C35" s="143"/>
      <c r="D35" s="147" t="s">
        <v>67</v>
      </c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9"/>
      <c r="U35" s="127" t="s">
        <v>72</v>
      </c>
      <c r="V35" s="128"/>
      <c r="W35" s="128"/>
      <c r="X35" s="128"/>
      <c r="Y35" s="129"/>
      <c r="Z35" s="127" t="s">
        <v>311</v>
      </c>
      <c r="AA35" s="128"/>
      <c r="AB35" s="129"/>
      <c r="AC35" s="36" t="s">
        <v>146</v>
      </c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9"/>
    </row>
    <row r="36" spans="1:62" s="13" customFormat="1" ht="62.4" customHeight="1">
      <c r="A36" s="143">
        <v>27</v>
      </c>
      <c r="B36" s="143"/>
      <c r="C36" s="143"/>
      <c r="D36" s="147" t="s">
        <v>152</v>
      </c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9"/>
      <c r="U36" s="127" t="s">
        <v>72</v>
      </c>
      <c r="V36" s="128"/>
      <c r="W36" s="128"/>
      <c r="X36" s="128"/>
      <c r="Y36" s="129"/>
      <c r="Z36" s="127">
        <v>14</v>
      </c>
      <c r="AA36" s="128"/>
      <c r="AB36" s="129"/>
      <c r="AC36" s="36" t="s">
        <v>147</v>
      </c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9"/>
    </row>
    <row r="37" spans="1:62" s="13" customFormat="1" ht="40.5" customHeight="1">
      <c r="A37" s="143">
        <v>28</v>
      </c>
      <c r="B37" s="143"/>
      <c r="C37" s="143"/>
      <c r="D37" s="147" t="s">
        <v>68</v>
      </c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9"/>
      <c r="U37" s="127" t="s">
        <v>72</v>
      </c>
      <c r="V37" s="128"/>
      <c r="W37" s="128"/>
      <c r="X37" s="128"/>
      <c r="Y37" s="129"/>
      <c r="Z37" s="127">
        <v>14</v>
      </c>
      <c r="AA37" s="128"/>
      <c r="AB37" s="129"/>
      <c r="AC37" s="36" t="s">
        <v>148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9"/>
    </row>
    <row r="38" spans="1:62" s="13" customFormat="1" ht="40.5" customHeight="1">
      <c r="A38" s="143">
        <v>29</v>
      </c>
      <c r="B38" s="143"/>
      <c r="C38" s="143"/>
      <c r="D38" s="147" t="s">
        <v>69</v>
      </c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9"/>
      <c r="U38" s="127" t="s">
        <v>72</v>
      </c>
      <c r="V38" s="128"/>
      <c r="W38" s="128"/>
      <c r="X38" s="128"/>
      <c r="Y38" s="129"/>
      <c r="Z38" s="127" t="s">
        <v>311</v>
      </c>
      <c r="AA38" s="128"/>
      <c r="AB38" s="129"/>
      <c r="AC38" s="36" t="s">
        <v>149</v>
      </c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9"/>
    </row>
    <row r="39" spans="1:62" s="13" customFormat="1" ht="40.5" customHeight="1">
      <c r="A39" s="143">
        <v>30</v>
      </c>
      <c r="B39" s="143"/>
      <c r="C39" s="143"/>
      <c r="D39" s="147" t="s">
        <v>244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9"/>
      <c r="U39" s="127" t="s">
        <v>72</v>
      </c>
      <c r="V39" s="128"/>
      <c r="W39" s="128"/>
      <c r="X39" s="128"/>
      <c r="Y39" s="129"/>
      <c r="Z39" s="127">
        <v>14</v>
      </c>
      <c r="AA39" s="128"/>
      <c r="AB39" s="129"/>
      <c r="AC39" s="36" t="s">
        <v>150</v>
      </c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9"/>
    </row>
    <row r="40" spans="1:62" s="13" customFormat="1" ht="40.5" customHeight="1">
      <c r="A40" s="143">
        <v>31</v>
      </c>
      <c r="B40" s="143"/>
      <c r="C40" s="143"/>
      <c r="D40" s="147" t="s">
        <v>70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9"/>
      <c r="U40" s="127" t="s">
        <v>72</v>
      </c>
      <c r="V40" s="128"/>
      <c r="W40" s="128"/>
      <c r="X40" s="128"/>
      <c r="Y40" s="129"/>
      <c r="Z40" s="127" t="s">
        <v>311</v>
      </c>
      <c r="AA40" s="128"/>
      <c r="AB40" s="129"/>
      <c r="AC40" s="36" t="s">
        <v>151</v>
      </c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9"/>
    </row>
    <row r="41" spans="1:62" s="13" customFormat="1" ht="40.5" customHeight="1">
      <c r="A41" s="143">
        <v>32</v>
      </c>
      <c r="B41" s="143"/>
      <c r="C41" s="143"/>
      <c r="D41" s="147" t="s">
        <v>71</v>
      </c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9"/>
      <c r="U41" s="127" t="s">
        <v>72</v>
      </c>
      <c r="V41" s="128"/>
      <c r="W41" s="128"/>
      <c r="X41" s="128"/>
      <c r="Y41" s="129"/>
      <c r="Z41" s="127" t="s">
        <v>82</v>
      </c>
      <c r="AA41" s="128"/>
      <c r="AB41" s="129"/>
      <c r="AC41" s="36" t="s">
        <v>75</v>
      </c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9"/>
    </row>
    <row r="42" spans="1:62" s="13" customFormat="1" ht="40.5" customHeight="1">
      <c r="A42" s="143"/>
      <c r="B42" s="143"/>
      <c r="C42" s="143"/>
      <c r="D42" s="96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8"/>
      <c r="T42" s="99"/>
      <c r="U42" s="127"/>
      <c r="V42" s="128"/>
      <c r="W42" s="128"/>
      <c r="X42" s="128"/>
      <c r="Y42" s="129"/>
      <c r="Z42" s="127"/>
      <c r="AA42" s="128"/>
      <c r="AB42" s="129"/>
      <c r="AC42" s="57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9"/>
    </row>
    <row r="43" spans="1:62" s="13" customFormat="1" ht="40.5" customHeight="1">
      <c r="A43" s="143"/>
      <c r="B43" s="143"/>
      <c r="C43" s="143"/>
      <c r="D43" s="96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8"/>
      <c r="T43" s="99"/>
      <c r="U43" s="127"/>
      <c r="V43" s="128"/>
      <c r="W43" s="128"/>
      <c r="X43" s="128"/>
      <c r="Y43" s="129"/>
      <c r="Z43" s="127"/>
      <c r="AA43" s="128"/>
      <c r="AB43" s="129"/>
      <c r="AC43" s="57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9"/>
    </row>
    <row r="44" spans="1:62" s="13" customFormat="1" ht="40.5" customHeight="1">
      <c r="A44" s="143"/>
      <c r="B44" s="143"/>
      <c r="C44" s="143"/>
      <c r="D44" s="96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8"/>
      <c r="T44" s="99"/>
      <c r="U44" s="127"/>
      <c r="V44" s="128"/>
      <c r="W44" s="128"/>
      <c r="X44" s="128"/>
      <c r="Y44" s="129"/>
      <c r="Z44" s="127"/>
      <c r="AA44" s="128"/>
      <c r="AB44" s="129"/>
      <c r="AC44" s="57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9"/>
    </row>
    <row r="45" spans="1:62" s="13" customFormat="1" ht="40.5" customHeight="1">
      <c r="A45" s="143"/>
      <c r="B45" s="143"/>
      <c r="C45" s="143"/>
      <c r="D45" s="96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8"/>
      <c r="T45" s="99"/>
      <c r="U45" s="127"/>
      <c r="V45" s="128"/>
      <c r="W45" s="128"/>
      <c r="X45" s="128"/>
      <c r="Y45" s="129"/>
      <c r="Z45" s="127"/>
      <c r="AA45" s="128"/>
      <c r="AB45" s="129"/>
      <c r="AC45" s="57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9"/>
    </row>
    <row r="46" spans="1:62" s="13" customFormat="1" ht="40.5" customHeight="1">
      <c r="A46" s="143"/>
      <c r="B46" s="143"/>
      <c r="C46" s="143"/>
      <c r="D46" s="96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8"/>
      <c r="T46" s="99"/>
      <c r="U46" s="127"/>
      <c r="V46" s="128"/>
      <c r="W46" s="128"/>
      <c r="X46" s="128"/>
      <c r="Y46" s="129"/>
      <c r="Z46" s="127"/>
      <c r="AA46" s="128"/>
      <c r="AB46" s="129"/>
      <c r="AC46" s="57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9"/>
    </row>
    <row r="47" spans="1:62" s="13" customFormat="1" ht="40.5" customHeight="1">
      <c r="A47" s="143"/>
      <c r="B47" s="143"/>
      <c r="C47" s="143"/>
      <c r="D47" s="96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8"/>
      <c r="T47" s="99"/>
      <c r="U47" s="127"/>
      <c r="V47" s="128"/>
      <c r="W47" s="128"/>
      <c r="X47" s="128"/>
      <c r="Y47" s="129"/>
      <c r="Z47" s="127"/>
      <c r="AA47" s="128"/>
      <c r="AB47" s="129"/>
      <c r="AC47" s="57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9"/>
    </row>
    <row r="48" spans="1:62" s="13" customFormat="1" ht="40.5" customHeight="1">
      <c r="A48" s="143"/>
      <c r="B48" s="143"/>
      <c r="C48" s="143"/>
      <c r="D48" s="96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8"/>
      <c r="T48" s="99"/>
      <c r="U48" s="127"/>
      <c r="V48" s="128"/>
      <c r="W48" s="128"/>
      <c r="X48" s="128"/>
      <c r="Y48" s="129"/>
      <c r="Z48" s="127"/>
      <c r="AA48" s="128"/>
      <c r="AB48" s="129"/>
      <c r="AC48" s="57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9"/>
    </row>
    <row r="49" spans="1:62" s="13" customFormat="1" ht="40.5" customHeight="1">
      <c r="A49" s="143"/>
      <c r="B49" s="143"/>
      <c r="C49" s="143"/>
      <c r="D49" s="96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8"/>
      <c r="T49" s="99"/>
      <c r="U49" s="127"/>
      <c r="V49" s="128"/>
      <c r="W49" s="128"/>
      <c r="X49" s="128"/>
      <c r="Y49" s="129"/>
      <c r="Z49" s="127"/>
      <c r="AA49" s="128"/>
      <c r="AB49" s="129"/>
      <c r="AC49" s="57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9"/>
    </row>
    <row r="50" spans="1:62" s="13" customFormat="1" ht="40.5" customHeight="1">
      <c r="A50" s="143"/>
      <c r="B50" s="143"/>
      <c r="C50" s="143"/>
      <c r="D50" s="96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8"/>
      <c r="T50" s="99"/>
      <c r="U50" s="127"/>
      <c r="V50" s="128"/>
      <c r="W50" s="128"/>
      <c r="X50" s="128"/>
      <c r="Y50" s="129"/>
      <c r="Z50" s="127"/>
      <c r="AA50" s="128"/>
      <c r="AB50" s="129"/>
      <c r="AC50" s="57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9"/>
    </row>
    <row r="51" spans="1:62" s="13" customFormat="1" ht="40.5" customHeight="1">
      <c r="A51" s="143"/>
      <c r="B51" s="143"/>
      <c r="C51" s="143"/>
      <c r="D51" s="96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8"/>
      <c r="T51" s="99"/>
      <c r="U51" s="127"/>
      <c r="V51" s="128"/>
      <c r="W51" s="128"/>
      <c r="X51" s="128"/>
      <c r="Y51" s="129"/>
      <c r="Z51" s="127"/>
      <c r="AA51" s="128"/>
      <c r="AB51" s="129"/>
      <c r="AC51" s="57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9"/>
    </row>
    <row r="52" spans="1:62" s="13" customFormat="1" ht="40.5" customHeight="1">
      <c r="A52" s="143"/>
      <c r="B52" s="143"/>
      <c r="C52" s="143"/>
      <c r="D52" s="96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8"/>
      <c r="T52" s="99"/>
      <c r="U52" s="127"/>
      <c r="V52" s="128"/>
      <c r="W52" s="128"/>
      <c r="X52" s="128"/>
      <c r="Y52" s="129"/>
      <c r="Z52" s="127"/>
      <c r="AA52" s="128"/>
      <c r="AB52" s="129"/>
      <c r="AC52" s="57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9"/>
    </row>
    <row r="53" spans="1:62" s="13" customFormat="1" ht="40.5" customHeight="1">
      <c r="A53" s="134"/>
      <c r="B53" s="134"/>
      <c r="C53" s="134"/>
      <c r="D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1"/>
      <c r="T53" s="92"/>
      <c r="U53" s="189"/>
      <c r="V53" s="190"/>
      <c r="W53" s="190"/>
      <c r="X53" s="190"/>
      <c r="Y53" s="191"/>
      <c r="Z53" s="189"/>
      <c r="AA53" s="190"/>
      <c r="AB53" s="191"/>
      <c r="AC53" s="93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5"/>
    </row>
    <row r="54" spans="1:62" ht="6.6" customHeight="1"/>
  </sheetData>
  <mergeCells count="195">
    <mergeCell ref="A53:C53"/>
    <mergeCell ref="U53:Y53"/>
    <mergeCell ref="Z53:AB53"/>
    <mergeCell ref="D10:T10"/>
    <mergeCell ref="D11:T11"/>
    <mergeCell ref="D14:T14"/>
    <mergeCell ref="D15:T15"/>
    <mergeCell ref="D16:T16"/>
    <mergeCell ref="D17:T17"/>
    <mergeCell ref="D18:T18"/>
    <mergeCell ref="D19:T19"/>
    <mergeCell ref="A40:C40"/>
    <mergeCell ref="U40:Y40"/>
    <mergeCell ref="Z40:AB40"/>
    <mergeCell ref="A41:C41"/>
    <mergeCell ref="U41:Y41"/>
    <mergeCell ref="Z41:AB41"/>
    <mergeCell ref="D40:T40"/>
    <mergeCell ref="D41:T41"/>
    <mergeCell ref="A38:C38"/>
    <mergeCell ref="U38:Y38"/>
    <mergeCell ref="Z38:AB38"/>
    <mergeCell ref="A39:C39"/>
    <mergeCell ref="U39:Y39"/>
    <mergeCell ref="Z39:AB39"/>
    <mergeCell ref="A36:C36"/>
    <mergeCell ref="U36:Y36"/>
    <mergeCell ref="Z36:AB36"/>
    <mergeCell ref="A37:C37"/>
    <mergeCell ref="U37:Y37"/>
    <mergeCell ref="Z37:AB37"/>
    <mergeCell ref="D36:T36"/>
    <mergeCell ref="D37:T37"/>
    <mergeCell ref="D38:T38"/>
    <mergeCell ref="D39:T39"/>
    <mergeCell ref="A35:C35"/>
    <mergeCell ref="U35:Y35"/>
    <mergeCell ref="Z35:AB35"/>
    <mergeCell ref="A32:C32"/>
    <mergeCell ref="U32:Y32"/>
    <mergeCell ref="Z32:AB32"/>
    <mergeCell ref="A33:C33"/>
    <mergeCell ref="U33:Y33"/>
    <mergeCell ref="Z33:AB33"/>
    <mergeCell ref="D32:T32"/>
    <mergeCell ref="D33:T33"/>
    <mergeCell ref="D34:T34"/>
    <mergeCell ref="D35:T35"/>
    <mergeCell ref="A30:C30"/>
    <mergeCell ref="D30:T30"/>
    <mergeCell ref="U30:Y30"/>
    <mergeCell ref="Z30:AB30"/>
    <mergeCell ref="A34:C34"/>
    <mergeCell ref="U34:Y34"/>
    <mergeCell ref="Z34:AB34"/>
    <mergeCell ref="A31:C31"/>
    <mergeCell ref="D31:T31"/>
    <mergeCell ref="U31:Y31"/>
    <mergeCell ref="Z31:AB31"/>
    <mergeCell ref="D25:T25"/>
    <mergeCell ref="U25:Y25"/>
    <mergeCell ref="Z25:AB25"/>
    <mergeCell ref="A23:C23"/>
    <mergeCell ref="D23:T23"/>
    <mergeCell ref="U23:Y23"/>
    <mergeCell ref="Z23:AB23"/>
    <mergeCell ref="A24:C24"/>
    <mergeCell ref="D24:T24"/>
    <mergeCell ref="U24:Y24"/>
    <mergeCell ref="Z24:AB24"/>
    <mergeCell ref="A27:C27"/>
    <mergeCell ref="U27:Y27"/>
    <mergeCell ref="Z27:AB27"/>
    <mergeCell ref="A28:C28"/>
    <mergeCell ref="U28:Y28"/>
    <mergeCell ref="Z28:AB28"/>
    <mergeCell ref="A29:C29"/>
    <mergeCell ref="U29:Y29"/>
    <mergeCell ref="Z29:AB29"/>
    <mergeCell ref="D28:T28"/>
    <mergeCell ref="D29:T29"/>
    <mergeCell ref="A18:C18"/>
    <mergeCell ref="U18:Y18"/>
    <mergeCell ref="Z18:AB18"/>
    <mergeCell ref="A19:C19"/>
    <mergeCell ref="U19:Y19"/>
    <mergeCell ref="Z19:AB19"/>
    <mergeCell ref="D20:T20"/>
    <mergeCell ref="D27:T27"/>
    <mergeCell ref="A26:C26"/>
    <mergeCell ref="D26:T26"/>
    <mergeCell ref="U26:Y26"/>
    <mergeCell ref="Z26:AB26"/>
    <mergeCell ref="A21:C21"/>
    <mergeCell ref="D21:T21"/>
    <mergeCell ref="U21:Y21"/>
    <mergeCell ref="Z21:AB21"/>
    <mergeCell ref="A22:C22"/>
    <mergeCell ref="D22:T22"/>
    <mergeCell ref="U22:Y22"/>
    <mergeCell ref="Z22:AB22"/>
    <mergeCell ref="A25:C25"/>
    <mergeCell ref="A20:C20"/>
    <mergeCell ref="U20:Y20"/>
    <mergeCell ref="Z20:AB20"/>
    <mergeCell ref="A17:C17"/>
    <mergeCell ref="U17:Y17"/>
    <mergeCell ref="Z17:AB17"/>
    <mergeCell ref="A14:C14"/>
    <mergeCell ref="U14:Y14"/>
    <mergeCell ref="Z14:AB14"/>
    <mergeCell ref="A15:C15"/>
    <mergeCell ref="U15:Y15"/>
    <mergeCell ref="Z15:AB15"/>
    <mergeCell ref="A16:C16"/>
    <mergeCell ref="U16:Y16"/>
    <mergeCell ref="Z16:AB16"/>
    <mergeCell ref="AT3:AX3"/>
    <mergeCell ref="Z12:AB12"/>
    <mergeCell ref="A13:C13"/>
    <mergeCell ref="D13:T13"/>
    <mergeCell ref="U13:Y13"/>
    <mergeCell ref="Z13:AB13"/>
    <mergeCell ref="BF6:BJ6"/>
    <mergeCell ref="A6:K6"/>
    <mergeCell ref="A10:C10"/>
    <mergeCell ref="U10:Y10"/>
    <mergeCell ref="Z10:AB10"/>
    <mergeCell ref="L6:AA6"/>
    <mergeCell ref="AB6:AJ6"/>
    <mergeCell ref="AK6:AN6"/>
    <mergeCell ref="AO6:AW6"/>
    <mergeCell ref="A11:C11"/>
    <mergeCell ref="U11:Y11"/>
    <mergeCell ref="Z11:AB11"/>
    <mergeCell ref="A12:C12"/>
    <mergeCell ref="D12:T12"/>
    <mergeCell ref="U12:Y12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BG2:BJ2"/>
    <mergeCell ref="A3:H4"/>
    <mergeCell ref="I3:AS4"/>
    <mergeCell ref="AY3:BJ3"/>
    <mergeCell ref="AT4:AX4"/>
    <mergeCell ref="AY4:BJ4"/>
    <mergeCell ref="AX6:BA6"/>
    <mergeCell ref="BB6:BE6"/>
    <mergeCell ref="A52:C52"/>
    <mergeCell ref="U52:Y52"/>
    <mergeCell ref="Z52:AB52"/>
    <mergeCell ref="A51:C51"/>
    <mergeCell ref="U51:Y51"/>
    <mergeCell ref="Z51:AB51"/>
    <mergeCell ref="A49:C49"/>
    <mergeCell ref="U49:Y49"/>
    <mergeCell ref="Z49:AB49"/>
    <mergeCell ref="A50:C50"/>
    <mergeCell ref="U50:Y50"/>
    <mergeCell ref="Z50:AB50"/>
    <mergeCell ref="A48:C48"/>
    <mergeCell ref="U48:Y48"/>
    <mergeCell ref="Z48:AB48"/>
    <mergeCell ref="A42:C42"/>
    <mergeCell ref="U42:Y42"/>
    <mergeCell ref="Z42:AB42"/>
    <mergeCell ref="A43:C43"/>
    <mergeCell ref="U43:Y43"/>
    <mergeCell ref="Z43:AB43"/>
    <mergeCell ref="A44:C44"/>
    <mergeCell ref="U44:Y44"/>
    <mergeCell ref="Z44:AB44"/>
    <mergeCell ref="A45:C45"/>
    <mergeCell ref="U45:Y45"/>
    <mergeCell ref="Z45:AB45"/>
    <mergeCell ref="A46:C46"/>
    <mergeCell ref="U46:Y46"/>
    <mergeCell ref="Z46:AB46"/>
    <mergeCell ref="A47:C47"/>
    <mergeCell ref="U47:Y47"/>
    <mergeCell ref="Z47:AB4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BF97-0C45-45BC-B48B-8E6B98668F17}">
  <sheetPr codeName="Sheet4">
    <pageSetUpPr fitToPage="1"/>
  </sheetPr>
  <dimension ref="A10:AO102"/>
  <sheetViews>
    <sheetView view="pageBreakPreview" zoomScaleNormal="85" zoomScaleSheetLayoutView="100" workbookViewId="0"/>
  </sheetViews>
  <sheetFormatPr defaultColWidth="9" defaultRowHeight="13.2"/>
  <cols>
    <col min="1" max="2" width="11.33203125" style="60" customWidth="1"/>
    <col min="3" max="3" width="9.88671875" style="47" bestFit="1" customWidth="1"/>
    <col min="4" max="4" width="14.109375" style="47" bestFit="1" customWidth="1"/>
    <col min="5" max="5" width="8.44140625" style="47" customWidth="1"/>
    <col min="6" max="6" width="10.109375" style="60" customWidth="1"/>
    <col min="7" max="7" width="11.6640625" style="60" customWidth="1"/>
    <col min="8" max="8" width="10.21875" style="60" customWidth="1"/>
    <col min="9" max="9" width="17.6640625" style="47" customWidth="1"/>
    <col min="10" max="10" width="10.6640625" style="47" customWidth="1"/>
    <col min="11" max="11" width="15.6640625" style="47" customWidth="1"/>
    <col min="12" max="12" width="10.33203125" style="47" customWidth="1"/>
    <col min="13" max="13" width="13.109375" style="47" customWidth="1"/>
    <col min="14" max="14" width="10.33203125" style="47" customWidth="1"/>
    <col min="15" max="15" width="13.109375" style="47" customWidth="1"/>
    <col min="16" max="16" width="10.33203125" style="47" customWidth="1"/>
    <col min="17" max="17" width="13.109375" style="47" customWidth="1"/>
    <col min="18" max="18" width="10.33203125" style="47" customWidth="1"/>
    <col min="19" max="20" width="13.109375" style="47" customWidth="1"/>
    <col min="21" max="21" width="13.44140625" style="47" customWidth="1"/>
    <col min="22" max="22" width="18.109375" style="47" customWidth="1"/>
    <col min="23" max="23" width="13.44140625" style="47" customWidth="1"/>
    <col min="24" max="24" width="18.109375" style="47" customWidth="1"/>
    <col min="25" max="26" width="16.109375" style="47" bestFit="1" customWidth="1"/>
    <col min="27" max="27" width="16.77734375" style="47" customWidth="1"/>
    <col min="28" max="28" width="10" style="47" customWidth="1"/>
    <col min="29" max="29" width="16.44140625" style="47" customWidth="1"/>
    <col min="30" max="30" width="16.109375" style="47" bestFit="1" customWidth="1"/>
    <col min="31" max="31" width="10" style="47" customWidth="1"/>
    <col min="32" max="32" width="17.33203125" style="47" customWidth="1"/>
    <col min="33" max="34" width="10" style="47" customWidth="1"/>
    <col min="35" max="35" width="17.21875" style="47" customWidth="1"/>
    <col min="36" max="38" width="17.21875" style="60" customWidth="1"/>
    <col min="39" max="39" width="12.109375" style="60" bestFit="1" customWidth="1"/>
    <col min="40" max="40" width="11" style="60" bestFit="1" customWidth="1"/>
    <col min="41" max="41" width="8" style="47" bestFit="1" customWidth="1"/>
    <col min="42" max="42" width="13.44140625" style="60" bestFit="1" customWidth="1"/>
    <col min="43" max="50" width="6" style="60" bestFit="1" customWidth="1"/>
    <col min="51" max="51" width="7" style="60" bestFit="1" customWidth="1"/>
    <col min="52" max="52" width="6" style="60" bestFit="1" customWidth="1"/>
    <col min="53" max="53" width="7" style="60" bestFit="1" customWidth="1"/>
    <col min="54" max="54" width="6" style="60" bestFit="1" customWidth="1"/>
    <col min="55" max="16384" width="9" style="60"/>
  </cols>
  <sheetData>
    <row r="10" spans="1:34" ht="16.2">
      <c r="A10" s="52" t="s">
        <v>183</v>
      </c>
    </row>
    <row r="11" spans="1:34" s="61" customFormat="1" ht="33.75" customHeight="1">
      <c r="A11" s="37" t="s">
        <v>103</v>
      </c>
      <c r="B11" s="37" t="s">
        <v>104</v>
      </c>
      <c r="C11" s="38" t="s">
        <v>173</v>
      </c>
      <c r="D11" s="38" t="s">
        <v>174</v>
      </c>
      <c r="E11" s="38" t="s">
        <v>105</v>
      </c>
      <c r="F11" s="37" t="s">
        <v>106</v>
      </c>
      <c r="G11" s="37" t="s">
        <v>107</v>
      </c>
      <c r="H11" s="39" t="s">
        <v>108</v>
      </c>
      <c r="I11" s="39" t="s">
        <v>109</v>
      </c>
      <c r="J11" s="39" t="s">
        <v>110</v>
      </c>
      <c r="K11" s="39" t="s">
        <v>111</v>
      </c>
      <c r="L11" s="39" t="s">
        <v>200</v>
      </c>
      <c r="M11" s="39" t="s">
        <v>201</v>
      </c>
      <c r="N11" s="39" t="s">
        <v>261</v>
      </c>
      <c r="O11" s="39" t="s">
        <v>262</v>
      </c>
      <c r="P11" s="39" t="s">
        <v>263</v>
      </c>
      <c r="Q11" s="39" t="s">
        <v>264</v>
      </c>
      <c r="R11" s="39" t="s">
        <v>112</v>
      </c>
      <c r="S11" s="39" t="s">
        <v>113</v>
      </c>
      <c r="T11" s="39" t="s">
        <v>114</v>
      </c>
      <c r="U11" s="39" t="s">
        <v>115</v>
      </c>
      <c r="V11" s="39" t="s">
        <v>116</v>
      </c>
      <c r="W11" s="39" t="s">
        <v>117</v>
      </c>
      <c r="X11" s="39" t="s">
        <v>118</v>
      </c>
      <c r="Y11" s="39" t="s">
        <v>119</v>
      </c>
      <c r="Z11" s="39" t="s">
        <v>120</v>
      </c>
      <c r="AA11" s="39" t="s">
        <v>121</v>
      </c>
      <c r="AB11" s="39" t="s">
        <v>122</v>
      </c>
      <c r="AC11" s="39" t="s">
        <v>123</v>
      </c>
      <c r="AD11" s="39" t="s">
        <v>124</v>
      </c>
      <c r="AE11" s="39" t="s">
        <v>125</v>
      </c>
      <c r="AF11" s="39" t="s">
        <v>126</v>
      </c>
    </row>
    <row r="12" spans="1:34" s="65" customFormat="1">
      <c r="A12" s="62" t="s">
        <v>300</v>
      </c>
      <c r="B12" s="62" t="s">
        <v>301</v>
      </c>
      <c r="C12" s="62" t="s">
        <v>180</v>
      </c>
      <c r="D12" s="63" t="s">
        <v>172</v>
      </c>
      <c r="E12" s="63" t="s">
        <v>127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v>0</v>
      </c>
      <c r="U12" s="63">
        <v>118001</v>
      </c>
      <c r="V12" s="63" t="s">
        <v>129</v>
      </c>
      <c r="W12" s="63">
        <v>4</v>
      </c>
      <c r="X12" s="63">
        <v>200000</v>
      </c>
      <c r="Y12" s="63">
        <v>195000</v>
      </c>
      <c r="Z12" s="63">
        <v>102.6</v>
      </c>
      <c r="AA12" s="63">
        <v>5800000</v>
      </c>
      <c r="AB12" s="78">
        <v>2600000</v>
      </c>
      <c r="AC12" s="63">
        <v>44.8</v>
      </c>
      <c r="AD12" s="78">
        <v>2145000</v>
      </c>
      <c r="AE12" s="63">
        <v>121.2</v>
      </c>
      <c r="AF12" s="63" t="s">
        <v>75</v>
      </c>
      <c r="AH12" s="66"/>
    </row>
    <row r="13" spans="1:34" s="65" customFormat="1">
      <c r="A13" s="67" t="s">
        <v>296</v>
      </c>
      <c r="B13" s="67" t="s">
        <v>298</v>
      </c>
      <c r="C13" s="67" t="s">
        <v>179</v>
      </c>
      <c r="D13" s="67" t="s">
        <v>172</v>
      </c>
      <c r="E13" s="67" t="s">
        <v>127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>
        <v>0</v>
      </c>
      <c r="U13" s="67">
        <v>118002</v>
      </c>
      <c r="V13" s="67" t="s">
        <v>131</v>
      </c>
      <c r="W13" s="67">
        <v>4</v>
      </c>
      <c r="X13" s="67">
        <v>100000</v>
      </c>
      <c r="Y13" s="67">
        <v>95000</v>
      </c>
      <c r="Z13" s="67">
        <v>105.3</v>
      </c>
      <c r="AA13" s="67">
        <v>2400000</v>
      </c>
      <c r="AB13" s="79">
        <v>1300000</v>
      </c>
      <c r="AC13" s="67">
        <v>54.2</v>
      </c>
      <c r="AD13" s="79">
        <v>1045000</v>
      </c>
      <c r="AE13" s="67">
        <v>124.4</v>
      </c>
      <c r="AF13" s="67" t="s">
        <v>78</v>
      </c>
      <c r="AH13" s="66"/>
    </row>
    <row r="14" spans="1:34" s="65" customFormat="1">
      <c r="A14" s="63" t="s">
        <v>296</v>
      </c>
      <c r="B14" s="63" t="s">
        <v>298</v>
      </c>
      <c r="C14" s="63" t="s">
        <v>179</v>
      </c>
      <c r="D14" s="63" t="s">
        <v>172</v>
      </c>
      <c r="E14" s="63" t="s">
        <v>96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1</v>
      </c>
      <c r="U14" s="63"/>
      <c r="V14" s="63" t="s">
        <v>132</v>
      </c>
      <c r="W14" s="63">
        <v>4</v>
      </c>
      <c r="X14" s="63">
        <v>300000</v>
      </c>
      <c r="Y14" s="78">
        <v>290000</v>
      </c>
      <c r="Z14" s="63">
        <v>103.4</v>
      </c>
      <c r="AA14" s="63">
        <v>8200000</v>
      </c>
      <c r="AB14" s="78">
        <v>3900000</v>
      </c>
      <c r="AC14" s="63">
        <v>47.6</v>
      </c>
      <c r="AD14" s="78">
        <v>3190000</v>
      </c>
      <c r="AE14" s="63">
        <v>122.3</v>
      </c>
      <c r="AF14" s="63" t="s">
        <v>133</v>
      </c>
      <c r="AH14" s="66"/>
    </row>
    <row r="15" spans="1:34" s="65" customFormat="1">
      <c r="A15" s="67" t="s">
        <v>296</v>
      </c>
      <c r="B15" s="67" t="s">
        <v>298</v>
      </c>
      <c r="C15" s="67" t="s">
        <v>179</v>
      </c>
      <c r="D15" s="67" t="s">
        <v>172</v>
      </c>
      <c r="E15" s="67" t="s">
        <v>96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>
        <v>0</v>
      </c>
      <c r="U15" s="67">
        <v>118003</v>
      </c>
      <c r="V15" s="67" t="s">
        <v>134</v>
      </c>
      <c r="W15" s="67">
        <v>4</v>
      </c>
      <c r="X15" s="67">
        <v>50000</v>
      </c>
      <c r="Y15" s="79">
        <v>45000</v>
      </c>
      <c r="Z15" s="67">
        <v>111.1</v>
      </c>
      <c r="AA15" s="67">
        <v>1200000</v>
      </c>
      <c r="AB15" s="79">
        <v>650000</v>
      </c>
      <c r="AC15" s="67">
        <v>54.2</v>
      </c>
      <c r="AD15" s="79">
        <v>495000</v>
      </c>
      <c r="AE15" s="67">
        <v>131.30000000000001</v>
      </c>
      <c r="AF15" s="67" t="s">
        <v>135</v>
      </c>
      <c r="AH15" s="66"/>
    </row>
    <row r="16" spans="1:34" s="65" customFormat="1">
      <c r="A16" s="63" t="s">
        <v>296</v>
      </c>
      <c r="B16" s="63" t="s">
        <v>298</v>
      </c>
      <c r="C16" s="63" t="s">
        <v>179</v>
      </c>
      <c r="D16" s="63" t="s">
        <v>172</v>
      </c>
      <c r="E16" s="63" t="s">
        <v>96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0</v>
      </c>
      <c r="U16" s="63">
        <v>118004</v>
      </c>
      <c r="V16" s="63" t="s">
        <v>136</v>
      </c>
      <c r="W16" s="63">
        <v>4</v>
      </c>
      <c r="X16" s="63">
        <v>40000</v>
      </c>
      <c r="Y16" s="78">
        <v>35000</v>
      </c>
      <c r="Z16" s="63">
        <v>114.3</v>
      </c>
      <c r="AA16" s="63">
        <v>960000</v>
      </c>
      <c r="AB16" s="78">
        <v>520000</v>
      </c>
      <c r="AC16" s="63">
        <v>54.2</v>
      </c>
      <c r="AD16" s="78">
        <v>385000</v>
      </c>
      <c r="AE16" s="63">
        <v>135.1</v>
      </c>
      <c r="AF16" s="63" t="s">
        <v>137</v>
      </c>
      <c r="AH16" s="66"/>
    </row>
    <row r="17" spans="1:34" s="65" customFormat="1">
      <c r="A17" s="67" t="s">
        <v>296</v>
      </c>
      <c r="B17" s="67" t="s">
        <v>298</v>
      </c>
      <c r="C17" s="67" t="s">
        <v>179</v>
      </c>
      <c r="D17" s="67" t="s">
        <v>172</v>
      </c>
      <c r="E17" s="67" t="s">
        <v>96</v>
      </c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>
        <v>1</v>
      </c>
      <c r="U17" s="67"/>
      <c r="V17" s="67" t="s">
        <v>138</v>
      </c>
      <c r="W17" s="67">
        <v>4</v>
      </c>
      <c r="X17" s="67">
        <v>90000</v>
      </c>
      <c r="Y17" s="79">
        <v>80000</v>
      </c>
      <c r="Z17" s="67">
        <v>112.5</v>
      </c>
      <c r="AA17" s="67">
        <v>2160000</v>
      </c>
      <c r="AB17" s="79">
        <v>1170000</v>
      </c>
      <c r="AC17" s="67">
        <v>54.2</v>
      </c>
      <c r="AD17" s="79">
        <v>880000</v>
      </c>
      <c r="AE17" s="67">
        <v>133</v>
      </c>
      <c r="AF17" s="67" t="s">
        <v>139</v>
      </c>
      <c r="AH17" s="66"/>
    </row>
    <row r="18" spans="1:34" s="65" customFormat="1">
      <c r="A18" s="63" t="s">
        <v>296</v>
      </c>
      <c r="B18" s="63" t="s">
        <v>298</v>
      </c>
      <c r="C18" s="63" t="s">
        <v>179</v>
      </c>
      <c r="D18" s="63" t="s">
        <v>172</v>
      </c>
      <c r="E18" s="63" t="s">
        <v>96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>
        <v>0</v>
      </c>
      <c r="U18" s="63">
        <v>400107</v>
      </c>
      <c r="V18" s="63" t="s">
        <v>258</v>
      </c>
      <c r="W18" s="63">
        <v>4</v>
      </c>
      <c r="X18" s="63">
        <v>1000</v>
      </c>
      <c r="Y18" s="63">
        <v>1000</v>
      </c>
      <c r="Z18" s="69">
        <f t="shared" ref="Z18:Z19" si="0">X18/Y18*100</f>
        <v>100</v>
      </c>
      <c r="AA18" s="63">
        <v>1000</v>
      </c>
      <c r="AB18" s="63">
        <v>1000</v>
      </c>
      <c r="AC18" s="69">
        <f>AA18/AB18*100</f>
        <v>100</v>
      </c>
      <c r="AD18" s="63">
        <v>1000</v>
      </c>
      <c r="AE18" s="63">
        <f>AB18/AD18*100</f>
        <v>100</v>
      </c>
      <c r="AF18" s="62" t="s">
        <v>260</v>
      </c>
      <c r="AH18" s="66"/>
    </row>
    <row r="19" spans="1:34" s="65" customFormat="1">
      <c r="A19" s="67" t="s">
        <v>296</v>
      </c>
      <c r="B19" s="67" t="s">
        <v>298</v>
      </c>
      <c r="C19" s="67" t="s">
        <v>179</v>
      </c>
      <c r="D19" s="67" t="s">
        <v>172</v>
      </c>
      <c r="E19" s="67" t="s">
        <v>96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>
        <v>0</v>
      </c>
      <c r="U19" s="67">
        <v>400107</v>
      </c>
      <c r="V19" s="67" t="s">
        <v>258</v>
      </c>
      <c r="W19" s="67">
        <v>4</v>
      </c>
      <c r="X19" s="67">
        <v>1000</v>
      </c>
      <c r="Y19" s="67">
        <v>1000</v>
      </c>
      <c r="Z19" s="70">
        <f t="shared" si="0"/>
        <v>100</v>
      </c>
      <c r="AA19" s="67">
        <v>1000</v>
      </c>
      <c r="AB19" s="67">
        <v>1000</v>
      </c>
      <c r="AC19" s="70">
        <f>AA19/AB19*100</f>
        <v>100</v>
      </c>
      <c r="AD19" s="67">
        <v>1000</v>
      </c>
      <c r="AE19" s="67">
        <f>AB19/AD19*100</f>
        <v>100</v>
      </c>
      <c r="AF19" s="67" t="s">
        <v>259</v>
      </c>
      <c r="AH19" s="66"/>
    </row>
    <row r="20" spans="1:34" s="65" customFormat="1" ht="14.4">
      <c r="A20" s="40"/>
      <c r="B20" s="40"/>
      <c r="C20" s="71"/>
      <c r="D20" s="71"/>
      <c r="E20" s="71"/>
      <c r="F20" s="40"/>
      <c r="G20" s="40"/>
      <c r="H20" s="40"/>
      <c r="I20" s="41" t="s">
        <v>140</v>
      </c>
      <c r="J20" s="41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H20" s="66"/>
    </row>
    <row r="21" spans="1:34" s="65" customFormat="1">
      <c r="A21" s="63" t="s">
        <v>296</v>
      </c>
      <c r="B21" s="63" t="s">
        <v>298</v>
      </c>
      <c r="C21" s="62" t="s">
        <v>186</v>
      </c>
      <c r="D21" s="63" t="s">
        <v>236</v>
      </c>
      <c r="E21" s="63" t="s">
        <v>96</v>
      </c>
      <c r="F21" s="63"/>
      <c r="G21" s="63"/>
      <c r="H21" s="62" t="s">
        <v>155</v>
      </c>
      <c r="I21" s="63" t="s">
        <v>153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>
        <v>0</v>
      </c>
      <c r="U21" s="63">
        <v>118001</v>
      </c>
      <c r="V21" s="63" t="s">
        <v>129</v>
      </c>
      <c r="W21" s="63">
        <v>4</v>
      </c>
      <c r="X21" s="63">
        <v>200000</v>
      </c>
      <c r="Y21" s="63">
        <v>195000</v>
      </c>
      <c r="Z21" s="63">
        <v>102.6</v>
      </c>
      <c r="AA21" s="63">
        <v>5800000</v>
      </c>
      <c r="AB21" s="63">
        <v>2600000</v>
      </c>
      <c r="AC21" s="63">
        <v>44.8</v>
      </c>
      <c r="AD21" s="63">
        <v>2145000</v>
      </c>
      <c r="AE21" s="63">
        <v>121.2</v>
      </c>
      <c r="AF21" s="63" t="s">
        <v>75</v>
      </c>
      <c r="AH21" s="66"/>
    </row>
    <row r="22" spans="1:34" s="65" customFormat="1">
      <c r="A22" s="67" t="s">
        <v>296</v>
      </c>
      <c r="B22" s="67" t="s">
        <v>298</v>
      </c>
      <c r="C22" s="67" t="s">
        <v>185</v>
      </c>
      <c r="D22" s="67" t="s">
        <v>236</v>
      </c>
      <c r="E22" s="67" t="s">
        <v>96</v>
      </c>
      <c r="F22" s="67"/>
      <c r="G22" s="67"/>
      <c r="H22" s="67" t="s">
        <v>154</v>
      </c>
      <c r="I22" s="67" t="s">
        <v>153</v>
      </c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>
        <v>0</v>
      </c>
      <c r="U22" s="67">
        <v>118002</v>
      </c>
      <c r="V22" s="67" t="s">
        <v>131</v>
      </c>
      <c r="W22" s="67">
        <v>4</v>
      </c>
      <c r="X22" s="67">
        <v>100000</v>
      </c>
      <c r="Y22" s="67">
        <v>95000</v>
      </c>
      <c r="Z22" s="67">
        <v>105.3</v>
      </c>
      <c r="AA22" s="67">
        <v>2400000</v>
      </c>
      <c r="AB22" s="67">
        <v>1300000</v>
      </c>
      <c r="AC22" s="67">
        <v>54.2</v>
      </c>
      <c r="AD22" s="67">
        <v>1045000</v>
      </c>
      <c r="AE22" s="67">
        <v>124.4</v>
      </c>
      <c r="AF22" s="67" t="s">
        <v>141</v>
      </c>
      <c r="AH22" s="66"/>
    </row>
    <row r="23" spans="1:34" s="65" customFormat="1">
      <c r="A23" s="63" t="s">
        <v>296</v>
      </c>
      <c r="B23" s="63" t="s">
        <v>298</v>
      </c>
      <c r="C23" s="63" t="s">
        <v>185</v>
      </c>
      <c r="D23" s="63" t="s">
        <v>236</v>
      </c>
      <c r="E23" s="63" t="s">
        <v>96</v>
      </c>
      <c r="F23" s="63"/>
      <c r="G23" s="63"/>
      <c r="H23" s="63" t="s">
        <v>154</v>
      </c>
      <c r="I23" s="63" t="s">
        <v>153</v>
      </c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>
        <v>1</v>
      </c>
      <c r="U23" s="63"/>
      <c r="V23" s="63" t="s">
        <v>132</v>
      </c>
      <c r="W23" s="63">
        <v>4</v>
      </c>
      <c r="X23" s="63">
        <v>300000</v>
      </c>
      <c r="Y23" s="78">
        <v>290000</v>
      </c>
      <c r="Z23" s="63">
        <v>103.4</v>
      </c>
      <c r="AA23" s="63">
        <v>8200000</v>
      </c>
      <c r="AB23" s="63">
        <v>3900000</v>
      </c>
      <c r="AC23" s="63">
        <v>47.6</v>
      </c>
      <c r="AD23" s="63">
        <v>3190000</v>
      </c>
      <c r="AE23" s="63">
        <v>122.3</v>
      </c>
      <c r="AF23" s="63" t="s">
        <v>133</v>
      </c>
      <c r="AH23" s="66"/>
    </row>
    <row r="24" spans="1:34" s="65" customFormat="1">
      <c r="A24" s="67" t="s">
        <v>296</v>
      </c>
      <c r="B24" s="67" t="s">
        <v>298</v>
      </c>
      <c r="C24" s="67" t="s">
        <v>185</v>
      </c>
      <c r="D24" s="67" t="s">
        <v>236</v>
      </c>
      <c r="E24" s="67" t="s">
        <v>96</v>
      </c>
      <c r="F24" s="67"/>
      <c r="G24" s="67"/>
      <c r="H24" s="67" t="s">
        <v>154</v>
      </c>
      <c r="I24" s="67" t="s">
        <v>153</v>
      </c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>
        <v>0</v>
      </c>
      <c r="U24" s="67">
        <v>118003</v>
      </c>
      <c r="V24" s="67" t="s">
        <v>134</v>
      </c>
      <c r="W24" s="67">
        <v>4</v>
      </c>
      <c r="X24" s="67">
        <v>50000</v>
      </c>
      <c r="Y24" s="79">
        <v>45000</v>
      </c>
      <c r="Z24" s="67">
        <v>111.1</v>
      </c>
      <c r="AA24" s="67">
        <v>1200000</v>
      </c>
      <c r="AB24" s="67">
        <v>650000</v>
      </c>
      <c r="AC24" s="67">
        <v>54.2</v>
      </c>
      <c r="AD24" s="67">
        <v>495000</v>
      </c>
      <c r="AE24" s="67">
        <v>131.30000000000001</v>
      </c>
      <c r="AF24" s="67" t="s">
        <v>135</v>
      </c>
      <c r="AH24" s="66"/>
    </row>
    <row r="25" spans="1:34" s="65" customFormat="1">
      <c r="A25" s="63" t="s">
        <v>296</v>
      </c>
      <c r="B25" s="63" t="s">
        <v>298</v>
      </c>
      <c r="C25" s="63" t="s">
        <v>185</v>
      </c>
      <c r="D25" s="63" t="s">
        <v>236</v>
      </c>
      <c r="E25" s="63" t="s">
        <v>96</v>
      </c>
      <c r="F25" s="63"/>
      <c r="G25" s="63"/>
      <c r="H25" s="63" t="s">
        <v>154</v>
      </c>
      <c r="I25" s="63" t="s">
        <v>153</v>
      </c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>
        <v>0</v>
      </c>
      <c r="U25" s="63">
        <v>118004</v>
      </c>
      <c r="V25" s="63" t="s">
        <v>136</v>
      </c>
      <c r="W25" s="63">
        <v>4</v>
      </c>
      <c r="X25" s="63">
        <v>40000</v>
      </c>
      <c r="Y25" s="78">
        <v>35000</v>
      </c>
      <c r="Z25" s="63">
        <v>114.3</v>
      </c>
      <c r="AA25" s="63">
        <v>960000</v>
      </c>
      <c r="AB25" s="63">
        <v>520000</v>
      </c>
      <c r="AC25" s="63">
        <v>54.2</v>
      </c>
      <c r="AD25" s="63">
        <v>385000</v>
      </c>
      <c r="AE25" s="63">
        <v>135.1</v>
      </c>
      <c r="AF25" s="63" t="s">
        <v>137</v>
      </c>
      <c r="AH25" s="66"/>
    </row>
    <row r="26" spans="1:34" s="65" customFormat="1">
      <c r="A26" s="67" t="s">
        <v>296</v>
      </c>
      <c r="B26" s="67" t="s">
        <v>298</v>
      </c>
      <c r="C26" s="67" t="s">
        <v>185</v>
      </c>
      <c r="D26" s="67" t="s">
        <v>236</v>
      </c>
      <c r="E26" s="67" t="s">
        <v>96</v>
      </c>
      <c r="F26" s="67"/>
      <c r="G26" s="67"/>
      <c r="H26" s="67" t="s">
        <v>154</v>
      </c>
      <c r="I26" s="67" t="s">
        <v>153</v>
      </c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>
        <v>1</v>
      </c>
      <c r="U26" s="67"/>
      <c r="V26" s="67" t="s">
        <v>138</v>
      </c>
      <c r="W26" s="67">
        <v>4</v>
      </c>
      <c r="X26" s="67">
        <v>90000</v>
      </c>
      <c r="Y26" s="79">
        <v>80000</v>
      </c>
      <c r="Z26" s="67">
        <v>112.5</v>
      </c>
      <c r="AA26" s="67">
        <v>2160000</v>
      </c>
      <c r="AB26" s="67">
        <v>1170000</v>
      </c>
      <c r="AC26" s="67">
        <v>54.2</v>
      </c>
      <c r="AD26" s="67">
        <v>880000</v>
      </c>
      <c r="AE26" s="67">
        <v>133</v>
      </c>
      <c r="AF26" s="67" t="s">
        <v>139</v>
      </c>
      <c r="AH26" s="66"/>
    </row>
    <row r="27" spans="1:34" s="65" customFormat="1" ht="14.4">
      <c r="A27" s="40"/>
      <c r="B27" s="40"/>
      <c r="C27" s="71"/>
      <c r="D27" s="71"/>
      <c r="E27" s="71"/>
      <c r="F27" s="40"/>
      <c r="G27" s="40"/>
      <c r="H27" s="40"/>
      <c r="I27" s="41" t="s">
        <v>140</v>
      </c>
      <c r="J27" s="41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  <c r="V27" s="4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H27" s="66"/>
    </row>
    <row r="28" spans="1:34" s="65" customFormat="1">
      <c r="A28" s="63" t="s">
        <v>296</v>
      </c>
      <c r="B28" s="63" t="s">
        <v>298</v>
      </c>
      <c r="C28" s="63" t="s">
        <v>175</v>
      </c>
      <c r="D28" s="63" t="s">
        <v>237</v>
      </c>
      <c r="E28" s="63" t="s">
        <v>96</v>
      </c>
      <c r="F28" s="63"/>
      <c r="G28" s="63"/>
      <c r="H28" s="63" t="s">
        <v>154</v>
      </c>
      <c r="I28" s="63" t="s">
        <v>153</v>
      </c>
      <c r="J28" s="62" t="s">
        <v>159</v>
      </c>
      <c r="K28" s="63" t="s">
        <v>157</v>
      </c>
      <c r="L28" s="63"/>
      <c r="M28" s="63"/>
      <c r="N28" s="63"/>
      <c r="O28" s="63"/>
      <c r="P28" s="63"/>
      <c r="Q28" s="63"/>
      <c r="R28" s="62"/>
      <c r="S28" s="63"/>
      <c r="T28" s="63">
        <v>0</v>
      </c>
      <c r="U28" s="63">
        <v>118001</v>
      </c>
      <c r="V28" s="63" t="s">
        <v>129</v>
      </c>
      <c r="W28" s="63">
        <v>4</v>
      </c>
      <c r="X28" s="63">
        <v>200000</v>
      </c>
      <c r="Y28" s="63">
        <v>195000</v>
      </c>
      <c r="Z28" s="63">
        <v>102.6</v>
      </c>
      <c r="AA28" s="63">
        <v>5800000</v>
      </c>
      <c r="AB28" s="63">
        <v>2600000</v>
      </c>
      <c r="AC28" s="63">
        <v>44.8</v>
      </c>
      <c r="AD28" s="63">
        <v>2145000</v>
      </c>
      <c r="AE28" s="63">
        <v>121.2</v>
      </c>
      <c r="AF28" s="63" t="s">
        <v>75</v>
      </c>
      <c r="AH28" s="66"/>
    </row>
    <row r="29" spans="1:34" s="65" customFormat="1">
      <c r="A29" s="67" t="s">
        <v>296</v>
      </c>
      <c r="B29" s="67" t="s">
        <v>298</v>
      </c>
      <c r="C29" s="67" t="s">
        <v>175</v>
      </c>
      <c r="D29" s="67" t="s">
        <v>237</v>
      </c>
      <c r="E29" s="67" t="s">
        <v>96</v>
      </c>
      <c r="F29" s="67"/>
      <c r="G29" s="67"/>
      <c r="H29" s="67" t="s">
        <v>154</v>
      </c>
      <c r="I29" s="67" t="s">
        <v>153</v>
      </c>
      <c r="J29" s="67" t="s">
        <v>158</v>
      </c>
      <c r="K29" s="67" t="s">
        <v>156</v>
      </c>
      <c r="L29" s="67"/>
      <c r="M29" s="67"/>
      <c r="N29" s="67"/>
      <c r="O29" s="67"/>
      <c r="P29" s="67"/>
      <c r="Q29" s="67"/>
      <c r="R29" s="67"/>
      <c r="S29" s="67"/>
      <c r="T29" s="67">
        <v>0</v>
      </c>
      <c r="U29" s="67">
        <v>118002</v>
      </c>
      <c r="V29" s="67" t="s">
        <v>131</v>
      </c>
      <c r="W29" s="67">
        <v>4</v>
      </c>
      <c r="X29" s="67">
        <v>100000</v>
      </c>
      <c r="Y29" s="67">
        <v>95000</v>
      </c>
      <c r="Z29" s="67">
        <v>105.3</v>
      </c>
      <c r="AA29" s="67">
        <v>2400000</v>
      </c>
      <c r="AB29" s="67">
        <v>1300000</v>
      </c>
      <c r="AC29" s="67">
        <v>54.2</v>
      </c>
      <c r="AD29" s="67">
        <v>1045000</v>
      </c>
      <c r="AE29" s="67">
        <v>124.4</v>
      </c>
      <c r="AF29" s="67" t="s">
        <v>141</v>
      </c>
      <c r="AH29" s="66"/>
    </row>
    <row r="30" spans="1:34" s="65" customFormat="1">
      <c r="A30" s="63" t="s">
        <v>296</v>
      </c>
      <c r="B30" s="63" t="s">
        <v>298</v>
      </c>
      <c r="C30" s="63" t="s">
        <v>175</v>
      </c>
      <c r="D30" s="63" t="s">
        <v>237</v>
      </c>
      <c r="E30" s="63" t="s">
        <v>96</v>
      </c>
      <c r="F30" s="63"/>
      <c r="G30" s="63"/>
      <c r="H30" s="63" t="s">
        <v>154</v>
      </c>
      <c r="I30" s="63" t="s">
        <v>153</v>
      </c>
      <c r="J30" s="63" t="s">
        <v>158</v>
      </c>
      <c r="K30" s="63" t="s">
        <v>156</v>
      </c>
      <c r="L30" s="63"/>
      <c r="M30" s="63"/>
      <c r="N30" s="63"/>
      <c r="O30" s="63"/>
      <c r="P30" s="63"/>
      <c r="Q30" s="63"/>
      <c r="R30" s="63"/>
      <c r="S30" s="63"/>
      <c r="T30" s="63">
        <v>1</v>
      </c>
      <c r="U30" s="63"/>
      <c r="V30" s="63" t="s">
        <v>132</v>
      </c>
      <c r="W30" s="63">
        <v>4</v>
      </c>
      <c r="X30" s="63">
        <v>300000</v>
      </c>
      <c r="Y30" s="78">
        <v>290000</v>
      </c>
      <c r="Z30" s="63">
        <v>103.4</v>
      </c>
      <c r="AA30" s="63">
        <v>8200000</v>
      </c>
      <c r="AB30" s="63">
        <v>3900000</v>
      </c>
      <c r="AC30" s="63">
        <v>47.6</v>
      </c>
      <c r="AD30" s="63">
        <v>3190000</v>
      </c>
      <c r="AE30" s="63">
        <v>122.3</v>
      </c>
      <c r="AF30" s="63" t="s">
        <v>133</v>
      </c>
      <c r="AH30" s="66"/>
    </row>
    <row r="31" spans="1:34" s="65" customFormat="1">
      <c r="A31" s="67" t="s">
        <v>296</v>
      </c>
      <c r="B31" s="67" t="s">
        <v>298</v>
      </c>
      <c r="C31" s="67" t="s">
        <v>175</v>
      </c>
      <c r="D31" s="67" t="s">
        <v>237</v>
      </c>
      <c r="E31" s="67" t="s">
        <v>96</v>
      </c>
      <c r="F31" s="67"/>
      <c r="G31" s="67"/>
      <c r="H31" s="67" t="s">
        <v>154</v>
      </c>
      <c r="I31" s="67" t="s">
        <v>153</v>
      </c>
      <c r="J31" s="67" t="s">
        <v>158</v>
      </c>
      <c r="K31" s="67" t="s">
        <v>156</v>
      </c>
      <c r="L31" s="67"/>
      <c r="M31" s="67"/>
      <c r="N31" s="67"/>
      <c r="O31" s="67"/>
      <c r="P31" s="67"/>
      <c r="Q31" s="67"/>
      <c r="R31" s="67"/>
      <c r="S31" s="67"/>
      <c r="T31" s="67">
        <v>0</v>
      </c>
      <c r="U31" s="67">
        <v>118003</v>
      </c>
      <c r="V31" s="67" t="s">
        <v>134</v>
      </c>
      <c r="W31" s="67">
        <v>4</v>
      </c>
      <c r="X31" s="67">
        <v>50000</v>
      </c>
      <c r="Y31" s="79">
        <v>45000</v>
      </c>
      <c r="Z31" s="67">
        <v>111.1</v>
      </c>
      <c r="AA31" s="67">
        <v>1200000</v>
      </c>
      <c r="AB31" s="67">
        <v>650000</v>
      </c>
      <c r="AC31" s="67">
        <v>54.2</v>
      </c>
      <c r="AD31" s="67">
        <v>495000</v>
      </c>
      <c r="AE31" s="67">
        <v>131.30000000000001</v>
      </c>
      <c r="AF31" s="67" t="s">
        <v>135</v>
      </c>
      <c r="AH31" s="66"/>
    </row>
    <row r="32" spans="1:34" s="65" customFormat="1">
      <c r="A32" s="63" t="s">
        <v>296</v>
      </c>
      <c r="B32" s="63" t="s">
        <v>298</v>
      </c>
      <c r="C32" s="63" t="s">
        <v>175</v>
      </c>
      <c r="D32" s="63" t="s">
        <v>237</v>
      </c>
      <c r="E32" s="63" t="s">
        <v>96</v>
      </c>
      <c r="F32" s="63"/>
      <c r="G32" s="63"/>
      <c r="H32" s="63" t="s">
        <v>154</v>
      </c>
      <c r="I32" s="63" t="s">
        <v>153</v>
      </c>
      <c r="J32" s="63" t="s">
        <v>158</v>
      </c>
      <c r="K32" s="63" t="s">
        <v>156</v>
      </c>
      <c r="L32" s="63"/>
      <c r="M32" s="63"/>
      <c r="N32" s="63"/>
      <c r="O32" s="63"/>
      <c r="P32" s="63"/>
      <c r="Q32" s="63"/>
      <c r="R32" s="63"/>
      <c r="S32" s="63"/>
      <c r="T32" s="63">
        <v>0</v>
      </c>
      <c r="U32" s="63">
        <v>118004</v>
      </c>
      <c r="V32" s="63" t="s">
        <v>136</v>
      </c>
      <c r="W32" s="63">
        <v>4</v>
      </c>
      <c r="X32" s="63"/>
      <c r="Y32" s="63"/>
      <c r="Z32" s="74" t="s">
        <v>181</v>
      </c>
      <c r="AA32" s="63"/>
      <c r="AB32" s="63"/>
      <c r="AC32" s="74" t="s">
        <v>181</v>
      </c>
      <c r="AD32" s="63"/>
      <c r="AE32" s="74" t="s">
        <v>181</v>
      </c>
      <c r="AF32" s="63" t="s">
        <v>81</v>
      </c>
      <c r="AH32" s="66"/>
    </row>
    <row r="33" spans="1:40" s="65" customFormat="1">
      <c r="A33" s="67" t="s">
        <v>296</v>
      </c>
      <c r="B33" s="67" t="s">
        <v>298</v>
      </c>
      <c r="C33" s="67" t="s">
        <v>175</v>
      </c>
      <c r="D33" s="67" t="s">
        <v>237</v>
      </c>
      <c r="E33" s="67" t="s">
        <v>96</v>
      </c>
      <c r="F33" s="67"/>
      <c r="G33" s="67"/>
      <c r="H33" s="67" t="s">
        <v>154</v>
      </c>
      <c r="I33" s="67" t="s">
        <v>153</v>
      </c>
      <c r="J33" s="67" t="s">
        <v>158</v>
      </c>
      <c r="K33" s="67" t="s">
        <v>156</v>
      </c>
      <c r="L33" s="67"/>
      <c r="M33" s="67"/>
      <c r="N33" s="67"/>
      <c r="O33" s="67"/>
      <c r="P33" s="67"/>
      <c r="Q33" s="67"/>
      <c r="R33" s="67"/>
      <c r="S33" s="67"/>
      <c r="T33" s="67">
        <v>1</v>
      </c>
      <c r="U33" s="67"/>
      <c r="V33" s="67" t="s">
        <v>138</v>
      </c>
      <c r="W33" s="67">
        <v>4</v>
      </c>
      <c r="X33" s="67">
        <v>50000</v>
      </c>
      <c r="Y33" s="67">
        <v>45000</v>
      </c>
      <c r="Z33" s="67">
        <v>111.1</v>
      </c>
      <c r="AA33" s="67">
        <v>1200000</v>
      </c>
      <c r="AB33" s="67">
        <v>650000</v>
      </c>
      <c r="AC33" s="67">
        <v>54.2</v>
      </c>
      <c r="AD33" s="67">
        <v>495000</v>
      </c>
      <c r="AE33" s="67">
        <v>131.30000000000001</v>
      </c>
      <c r="AF33" s="67" t="s">
        <v>139</v>
      </c>
      <c r="AH33" s="66"/>
    </row>
    <row r="34" spans="1:40" s="65" customFormat="1" ht="14.4">
      <c r="A34" s="40"/>
      <c r="B34" s="40"/>
      <c r="C34" s="71"/>
      <c r="D34" s="71"/>
      <c r="E34" s="71"/>
      <c r="F34" s="40"/>
      <c r="G34" s="40"/>
      <c r="H34" s="40"/>
      <c r="I34" s="41" t="s">
        <v>140</v>
      </c>
      <c r="J34" s="41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  <c r="V34" s="4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H34" s="66"/>
    </row>
    <row r="35" spans="1:40" s="65" customFormat="1">
      <c r="A35" s="63" t="s">
        <v>296</v>
      </c>
      <c r="B35" s="63" t="s">
        <v>298</v>
      </c>
      <c r="C35" s="63" t="s">
        <v>80</v>
      </c>
      <c r="D35" s="63" t="s">
        <v>238</v>
      </c>
      <c r="E35" s="63" t="s">
        <v>96</v>
      </c>
      <c r="F35" s="63"/>
      <c r="G35" s="63"/>
      <c r="H35" s="63" t="s">
        <v>154</v>
      </c>
      <c r="I35" s="63" t="s">
        <v>153</v>
      </c>
      <c r="J35" s="62" t="s">
        <v>159</v>
      </c>
      <c r="K35" s="63" t="s">
        <v>157</v>
      </c>
      <c r="L35" s="63"/>
      <c r="M35" s="63"/>
      <c r="N35" s="63"/>
      <c r="O35" s="63"/>
      <c r="P35" s="63"/>
      <c r="Q35" s="63"/>
      <c r="R35" s="62" t="s">
        <v>161</v>
      </c>
      <c r="S35" s="63" t="s">
        <v>163</v>
      </c>
      <c r="T35" s="63">
        <v>0</v>
      </c>
      <c r="U35" s="63">
        <v>118001</v>
      </c>
      <c r="V35" s="63" t="s">
        <v>129</v>
      </c>
      <c r="W35" s="63">
        <v>4</v>
      </c>
      <c r="X35" s="63">
        <v>200000</v>
      </c>
      <c r="Y35" s="63">
        <v>195000</v>
      </c>
      <c r="Z35" s="63">
        <v>102.6</v>
      </c>
      <c r="AA35" s="63">
        <v>5800000</v>
      </c>
      <c r="AB35" s="63">
        <v>2600000</v>
      </c>
      <c r="AC35" s="63">
        <v>44.8</v>
      </c>
      <c r="AD35" s="63">
        <v>2145000</v>
      </c>
      <c r="AE35" s="63">
        <v>121.2</v>
      </c>
      <c r="AF35" s="63" t="s">
        <v>75</v>
      </c>
      <c r="AH35" s="66"/>
    </row>
    <row r="36" spans="1:40" s="65" customFormat="1">
      <c r="A36" s="67" t="s">
        <v>296</v>
      </c>
      <c r="B36" s="67" t="s">
        <v>298</v>
      </c>
      <c r="C36" s="67" t="s">
        <v>80</v>
      </c>
      <c r="D36" s="67" t="s">
        <v>238</v>
      </c>
      <c r="E36" s="67" t="s">
        <v>96</v>
      </c>
      <c r="F36" s="67"/>
      <c r="G36" s="67"/>
      <c r="H36" s="67" t="s">
        <v>154</v>
      </c>
      <c r="I36" s="67" t="s">
        <v>153</v>
      </c>
      <c r="J36" s="67" t="s">
        <v>158</v>
      </c>
      <c r="K36" s="67" t="s">
        <v>156</v>
      </c>
      <c r="L36" s="67"/>
      <c r="M36" s="67"/>
      <c r="N36" s="67"/>
      <c r="O36" s="67"/>
      <c r="P36" s="67"/>
      <c r="Q36" s="67"/>
      <c r="R36" s="67" t="s">
        <v>160</v>
      </c>
      <c r="S36" s="67" t="s">
        <v>162</v>
      </c>
      <c r="T36" s="67">
        <v>0</v>
      </c>
      <c r="U36" s="67">
        <v>118002</v>
      </c>
      <c r="V36" s="67" t="s">
        <v>131</v>
      </c>
      <c r="W36" s="67">
        <v>4</v>
      </c>
      <c r="X36" s="67">
        <v>100000</v>
      </c>
      <c r="Y36" s="67">
        <v>95000</v>
      </c>
      <c r="Z36" s="67">
        <v>105.3</v>
      </c>
      <c r="AA36" s="67">
        <v>2400000</v>
      </c>
      <c r="AB36" s="67">
        <v>1300000</v>
      </c>
      <c r="AC36" s="67">
        <v>54.2</v>
      </c>
      <c r="AD36" s="67">
        <v>1045000</v>
      </c>
      <c r="AE36" s="67">
        <v>124.4</v>
      </c>
      <c r="AF36" s="67" t="s">
        <v>141</v>
      </c>
      <c r="AH36" s="66"/>
    </row>
    <row r="37" spans="1:40" s="65" customFormat="1">
      <c r="A37" s="63" t="s">
        <v>296</v>
      </c>
      <c r="B37" s="63" t="s">
        <v>298</v>
      </c>
      <c r="C37" s="63" t="s">
        <v>80</v>
      </c>
      <c r="D37" s="63" t="s">
        <v>238</v>
      </c>
      <c r="E37" s="63" t="s">
        <v>96</v>
      </c>
      <c r="F37" s="63"/>
      <c r="G37" s="63"/>
      <c r="H37" s="63" t="s">
        <v>154</v>
      </c>
      <c r="I37" s="63" t="s">
        <v>153</v>
      </c>
      <c r="J37" s="63" t="s">
        <v>158</v>
      </c>
      <c r="K37" s="63" t="s">
        <v>156</v>
      </c>
      <c r="L37" s="63"/>
      <c r="M37" s="63"/>
      <c r="N37" s="63"/>
      <c r="O37" s="63"/>
      <c r="P37" s="63"/>
      <c r="Q37" s="63"/>
      <c r="R37" s="63" t="s">
        <v>160</v>
      </c>
      <c r="S37" s="63" t="s">
        <v>162</v>
      </c>
      <c r="T37" s="63">
        <v>1</v>
      </c>
      <c r="U37" s="63"/>
      <c r="V37" s="63" t="s">
        <v>132</v>
      </c>
      <c r="W37" s="63">
        <v>4</v>
      </c>
      <c r="X37" s="63">
        <v>300000</v>
      </c>
      <c r="Y37" s="78">
        <v>290000</v>
      </c>
      <c r="Z37" s="63">
        <v>103.4</v>
      </c>
      <c r="AA37" s="63">
        <v>8200000</v>
      </c>
      <c r="AB37" s="63">
        <v>3900000</v>
      </c>
      <c r="AC37" s="63">
        <v>47.6</v>
      </c>
      <c r="AD37" s="63">
        <v>3190000</v>
      </c>
      <c r="AE37" s="63">
        <v>122.3</v>
      </c>
      <c r="AF37" s="63" t="s">
        <v>133</v>
      </c>
      <c r="AH37" s="66"/>
    </row>
    <row r="38" spans="1:40" s="65" customFormat="1">
      <c r="A38" s="67" t="s">
        <v>296</v>
      </c>
      <c r="B38" s="67" t="s">
        <v>298</v>
      </c>
      <c r="C38" s="67" t="s">
        <v>80</v>
      </c>
      <c r="D38" s="67" t="s">
        <v>238</v>
      </c>
      <c r="E38" s="67" t="s">
        <v>96</v>
      </c>
      <c r="F38" s="67"/>
      <c r="G38" s="67"/>
      <c r="H38" s="67" t="s">
        <v>154</v>
      </c>
      <c r="I38" s="67" t="s">
        <v>153</v>
      </c>
      <c r="J38" s="67" t="s">
        <v>158</v>
      </c>
      <c r="K38" s="67" t="s">
        <v>156</v>
      </c>
      <c r="L38" s="67"/>
      <c r="M38" s="67"/>
      <c r="N38" s="67"/>
      <c r="O38" s="67"/>
      <c r="P38" s="67"/>
      <c r="Q38" s="67"/>
      <c r="R38" s="67" t="s">
        <v>160</v>
      </c>
      <c r="S38" s="67" t="s">
        <v>162</v>
      </c>
      <c r="T38" s="67">
        <v>0</v>
      </c>
      <c r="U38" s="67">
        <v>118003</v>
      </c>
      <c r="V38" s="67" t="s">
        <v>134</v>
      </c>
      <c r="W38" s="67">
        <v>4</v>
      </c>
      <c r="X38" s="67">
        <v>50000</v>
      </c>
      <c r="Y38" s="79">
        <v>45000</v>
      </c>
      <c r="Z38" s="67">
        <v>111.1</v>
      </c>
      <c r="AA38" s="67">
        <v>1200000</v>
      </c>
      <c r="AB38" s="67">
        <v>650000</v>
      </c>
      <c r="AC38" s="67">
        <v>54.2</v>
      </c>
      <c r="AD38" s="67">
        <v>495000</v>
      </c>
      <c r="AE38" s="67">
        <v>131.30000000000001</v>
      </c>
      <c r="AF38" s="67" t="s">
        <v>135</v>
      </c>
      <c r="AH38" s="66"/>
    </row>
    <row r="39" spans="1:40" s="65" customFormat="1">
      <c r="A39" s="63" t="s">
        <v>296</v>
      </c>
      <c r="B39" s="63" t="s">
        <v>298</v>
      </c>
      <c r="C39" s="63" t="s">
        <v>80</v>
      </c>
      <c r="D39" s="63" t="s">
        <v>238</v>
      </c>
      <c r="E39" s="63" t="s">
        <v>96</v>
      </c>
      <c r="F39" s="63"/>
      <c r="G39" s="63"/>
      <c r="H39" s="63" t="s">
        <v>154</v>
      </c>
      <c r="I39" s="63" t="s">
        <v>153</v>
      </c>
      <c r="J39" s="63" t="s">
        <v>158</v>
      </c>
      <c r="K39" s="63" t="s">
        <v>156</v>
      </c>
      <c r="L39" s="63"/>
      <c r="M39" s="63"/>
      <c r="N39" s="63"/>
      <c r="O39" s="63"/>
      <c r="P39" s="63"/>
      <c r="Q39" s="63"/>
      <c r="R39" s="63" t="s">
        <v>160</v>
      </c>
      <c r="S39" s="63" t="s">
        <v>162</v>
      </c>
      <c r="T39" s="63">
        <v>0</v>
      </c>
      <c r="U39" s="63">
        <v>118004</v>
      </c>
      <c r="V39" s="63" t="s">
        <v>136</v>
      </c>
      <c r="W39" s="63">
        <v>4</v>
      </c>
      <c r="X39" s="63"/>
      <c r="Y39" s="63"/>
      <c r="Z39" s="74" t="s">
        <v>181</v>
      </c>
      <c r="AA39" s="63"/>
      <c r="AB39" s="63"/>
      <c r="AC39" s="74" t="s">
        <v>181</v>
      </c>
      <c r="AD39" s="63"/>
      <c r="AE39" s="74" t="s">
        <v>181</v>
      </c>
      <c r="AF39" s="63" t="s">
        <v>81</v>
      </c>
      <c r="AH39" s="66"/>
    </row>
    <row r="40" spans="1:40" s="65" customFormat="1">
      <c r="A40" s="67" t="s">
        <v>296</v>
      </c>
      <c r="B40" s="67" t="s">
        <v>298</v>
      </c>
      <c r="C40" s="67" t="s">
        <v>80</v>
      </c>
      <c r="D40" s="67" t="s">
        <v>238</v>
      </c>
      <c r="E40" s="67" t="s">
        <v>96</v>
      </c>
      <c r="F40" s="67"/>
      <c r="G40" s="67"/>
      <c r="H40" s="67" t="s">
        <v>154</v>
      </c>
      <c r="I40" s="67" t="s">
        <v>153</v>
      </c>
      <c r="J40" s="67" t="s">
        <v>158</v>
      </c>
      <c r="K40" s="67" t="s">
        <v>156</v>
      </c>
      <c r="L40" s="67"/>
      <c r="M40" s="67"/>
      <c r="N40" s="67"/>
      <c r="O40" s="67"/>
      <c r="P40" s="67"/>
      <c r="Q40" s="67"/>
      <c r="R40" s="67" t="s">
        <v>160</v>
      </c>
      <c r="S40" s="67" t="s">
        <v>162</v>
      </c>
      <c r="T40" s="67">
        <v>1</v>
      </c>
      <c r="U40" s="67"/>
      <c r="V40" s="67" t="s">
        <v>138</v>
      </c>
      <c r="W40" s="67">
        <v>4</v>
      </c>
      <c r="X40" s="67">
        <v>50000</v>
      </c>
      <c r="Y40" s="67">
        <v>45000</v>
      </c>
      <c r="Z40" s="67">
        <v>111.1</v>
      </c>
      <c r="AA40" s="67">
        <v>1200000</v>
      </c>
      <c r="AB40" s="67">
        <v>650000</v>
      </c>
      <c r="AC40" s="67">
        <v>54.2</v>
      </c>
      <c r="AD40" s="67">
        <v>495000</v>
      </c>
      <c r="AE40" s="67">
        <v>131.30000000000001</v>
      </c>
      <c r="AF40" s="67" t="s">
        <v>139</v>
      </c>
      <c r="AH40" s="66"/>
    </row>
    <row r="41" spans="1:40" s="65" customFormat="1" ht="14.4">
      <c r="A41" s="49"/>
      <c r="B41" s="49"/>
      <c r="C41" s="80"/>
      <c r="D41" s="80"/>
      <c r="E41" s="80"/>
      <c r="F41" s="49"/>
      <c r="G41" s="49"/>
      <c r="H41" s="49"/>
      <c r="I41" s="48" t="s">
        <v>140</v>
      </c>
      <c r="J41" s="48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1"/>
      <c r="V41" s="50"/>
      <c r="W41" s="51"/>
      <c r="X41" s="50"/>
      <c r="Y41" s="81"/>
      <c r="Z41" s="81"/>
      <c r="AA41" s="81"/>
      <c r="AB41" s="81"/>
      <c r="AC41" s="81"/>
      <c r="AD41" s="81"/>
      <c r="AE41" s="81"/>
      <c r="AF41" s="81"/>
      <c r="AG41" s="82"/>
      <c r="AH41" s="82"/>
      <c r="AJ41" s="66"/>
    </row>
    <row r="42" spans="1:40" s="47" customFormat="1">
      <c r="B42" s="60"/>
      <c r="V42" s="44"/>
      <c r="X42" s="44"/>
      <c r="Y42" s="45"/>
      <c r="Z42" s="45"/>
      <c r="AA42" s="45"/>
      <c r="AB42" s="45"/>
      <c r="AC42" s="46"/>
      <c r="AD42" s="45"/>
      <c r="AE42" s="45"/>
      <c r="AF42" s="45"/>
      <c r="AG42" s="45"/>
      <c r="AH42" s="45"/>
      <c r="AJ42" s="60"/>
      <c r="AK42" s="60"/>
      <c r="AL42" s="60"/>
      <c r="AM42" s="60"/>
      <c r="AN42" s="60"/>
    </row>
    <row r="43" spans="1:40" s="47" customFormat="1">
      <c r="B43" s="60"/>
      <c r="AJ43" s="60"/>
      <c r="AK43" s="60"/>
      <c r="AL43" s="60"/>
      <c r="AM43" s="60"/>
      <c r="AN43" s="60"/>
    </row>
    <row r="44" spans="1:40" s="47" customFormat="1">
      <c r="A44" s="60"/>
      <c r="B44" s="60"/>
      <c r="C44" s="76"/>
      <c r="D44" s="76"/>
      <c r="E44" s="76"/>
      <c r="F44" s="60"/>
      <c r="G44" s="60"/>
      <c r="H44" s="60"/>
      <c r="AJ44" s="60"/>
      <c r="AK44" s="60"/>
      <c r="AL44" s="60"/>
      <c r="AM44" s="60"/>
      <c r="AN44" s="60"/>
    </row>
    <row r="45" spans="1:40" s="47" customFormat="1" ht="16.2">
      <c r="A45" s="52" t="s">
        <v>184</v>
      </c>
      <c r="B45" s="60"/>
      <c r="C45" s="60"/>
      <c r="D45" s="60"/>
      <c r="E45" s="60"/>
      <c r="K45" s="60"/>
      <c r="AJ45" s="60"/>
      <c r="AK45" s="60"/>
      <c r="AL45" s="60"/>
      <c r="AM45" s="60"/>
      <c r="AN45" s="60"/>
    </row>
    <row r="46" spans="1:40" s="47" customFormat="1" ht="26.4">
      <c r="A46" s="37" t="s">
        <v>103</v>
      </c>
      <c r="B46" s="37" t="s">
        <v>104</v>
      </c>
      <c r="C46" s="38" t="s">
        <v>173</v>
      </c>
      <c r="D46" s="38" t="s">
        <v>174</v>
      </c>
      <c r="E46" s="38" t="s">
        <v>105</v>
      </c>
      <c r="F46" s="37" t="s">
        <v>106</v>
      </c>
      <c r="G46" s="37" t="s">
        <v>107</v>
      </c>
      <c r="H46" s="39" t="s">
        <v>108</v>
      </c>
      <c r="I46" s="39" t="s">
        <v>109</v>
      </c>
      <c r="J46" s="39" t="s">
        <v>110</v>
      </c>
      <c r="K46" s="39" t="s">
        <v>111</v>
      </c>
      <c r="L46" s="39" t="s">
        <v>200</v>
      </c>
      <c r="M46" s="39" t="s">
        <v>201</v>
      </c>
      <c r="N46" s="39" t="s">
        <v>261</v>
      </c>
      <c r="O46" s="39" t="s">
        <v>262</v>
      </c>
      <c r="P46" s="39" t="s">
        <v>263</v>
      </c>
      <c r="Q46" s="39" t="s">
        <v>264</v>
      </c>
      <c r="R46" s="39" t="s">
        <v>112</v>
      </c>
      <c r="S46" s="39" t="s">
        <v>113</v>
      </c>
      <c r="T46" s="39" t="s">
        <v>114</v>
      </c>
      <c r="U46" s="39" t="s">
        <v>115</v>
      </c>
      <c r="V46" s="39" t="s">
        <v>116</v>
      </c>
      <c r="W46" s="39" t="s">
        <v>117</v>
      </c>
      <c r="X46" s="39" t="s">
        <v>118</v>
      </c>
      <c r="Y46" s="39" t="s">
        <v>119</v>
      </c>
      <c r="Z46" s="39" t="s">
        <v>120</v>
      </c>
      <c r="AA46" s="39" t="s">
        <v>121</v>
      </c>
      <c r="AB46" s="39" t="s">
        <v>122</v>
      </c>
      <c r="AC46" s="39" t="s">
        <v>123</v>
      </c>
      <c r="AD46" s="39" t="s">
        <v>124</v>
      </c>
      <c r="AE46" s="39" t="s">
        <v>125</v>
      </c>
      <c r="AF46" s="39" t="s">
        <v>126</v>
      </c>
      <c r="AH46" s="60"/>
      <c r="AI46" s="60"/>
      <c r="AJ46" s="60"/>
      <c r="AK46" s="60"/>
      <c r="AL46" s="60"/>
    </row>
    <row r="47" spans="1:40" s="47" customFormat="1">
      <c r="A47" s="63" t="s">
        <v>296</v>
      </c>
      <c r="B47" s="63" t="s">
        <v>298</v>
      </c>
      <c r="C47" s="62" t="s">
        <v>161</v>
      </c>
      <c r="D47" s="63" t="s">
        <v>272</v>
      </c>
      <c r="E47" s="63" t="s">
        <v>127</v>
      </c>
      <c r="F47" s="63" t="s">
        <v>130</v>
      </c>
      <c r="G47" s="63" t="s">
        <v>128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>
        <v>0</v>
      </c>
      <c r="U47" s="63">
        <v>118001</v>
      </c>
      <c r="V47" s="63" t="s">
        <v>129</v>
      </c>
      <c r="W47" s="63">
        <v>4</v>
      </c>
      <c r="X47" s="63">
        <v>200000</v>
      </c>
      <c r="Y47" s="63">
        <v>195000</v>
      </c>
      <c r="Z47" s="63">
        <v>102.6</v>
      </c>
      <c r="AA47" s="63">
        <v>5800000</v>
      </c>
      <c r="AB47" s="78">
        <v>2600000</v>
      </c>
      <c r="AC47" s="63">
        <v>44.8</v>
      </c>
      <c r="AD47" s="78">
        <v>2145000</v>
      </c>
      <c r="AE47" s="63">
        <v>121.2</v>
      </c>
      <c r="AF47" s="63" t="s">
        <v>75</v>
      </c>
      <c r="AH47" s="60"/>
      <c r="AI47" s="60"/>
      <c r="AJ47" s="60"/>
      <c r="AK47" s="60"/>
      <c r="AL47" s="60"/>
    </row>
    <row r="48" spans="1:40" s="47" customFormat="1">
      <c r="A48" s="67" t="s">
        <v>296</v>
      </c>
      <c r="B48" s="67" t="s">
        <v>298</v>
      </c>
      <c r="C48" s="67" t="s">
        <v>160</v>
      </c>
      <c r="D48" s="67" t="s">
        <v>272</v>
      </c>
      <c r="E48" s="67" t="s">
        <v>127</v>
      </c>
      <c r="F48" s="67" t="s">
        <v>130</v>
      </c>
      <c r="G48" s="67" t="s">
        <v>128</v>
      </c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>
        <v>0</v>
      </c>
      <c r="U48" s="67">
        <v>118002</v>
      </c>
      <c r="V48" s="67" t="s">
        <v>131</v>
      </c>
      <c r="W48" s="67">
        <v>4</v>
      </c>
      <c r="X48" s="67">
        <v>100000</v>
      </c>
      <c r="Y48" s="67">
        <v>95000</v>
      </c>
      <c r="Z48" s="67">
        <v>105.3</v>
      </c>
      <c r="AA48" s="67">
        <v>2400000</v>
      </c>
      <c r="AB48" s="79">
        <v>1300000</v>
      </c>
      <c r="AC48" s="67">
        <v>54.2</v>
      </c>
      <c r="AD48" s="79">
        <v>1045000</v>
      </c>
      <c r="AE48" s="67">
        <v>124.4</v>
      </c>
      <c r="AF48" s="67" t="s">
        <v>78</v>
      </c>
      <c r="AH48" s="60"/>
      <c r="AI48" s="60"/>
      <c r="AJ48" s="60"/>
      <c r="AK48" s="60"/>
      <c r="AL48" s="60"/>
    </row>
    <row r="49" spans="1:41" s="47" customFormat="1">
      <c r="A49" s="63" t="s">
        <v>296</v>
      </c>
      <c r="B49" s="63" t="s">
        <v>298</v>
      </c>
      <c r="C49" s="63" t="s">
        <v>160</v>
      </c>
      <c r="D49" s="63" t="s">
        <v>272</v>
      </c>
      <c r="E49" s="63" t="s">
        <v>96</v>
      </c>
      <c r="F49" s="63" t="s">
        <v>130</v>
      </c>
      <c r="G49" s="63" t="s">
        <v>128</v>
      </c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>
        <v>1</v>
      </c>
      <c r="U49" s="63"/>
      <c r="V49" s="63" t="s">
        <v>132</v>
      </c>
      <c r="W49" s="63">
        <v>4</v>
      </c>
      <c r="X49" s="63">
        <v>300000</v>
      </c>
      <c r="Y49" s="78">
        <v>290000</v>
      </c>
      <c r="Z49" s="63">
        <v>103.4</v>
      </c>
      <c r="AA49" s="63">
        <v>8200000</v>
      </c>
      <c r="AB49" s="78">
        <v>3900000</v>
      </c>
      <c r="AC49" s="63">
        <v>47.6</v>
      </c>
      <c r="AD49" s="78">
        <v>3190000</v>
      </c>
      <c r="AE49" s="63">
        <v>122.3</v>
      </c>
      <c r="AF49" s="63" t="s">
        <v>133</v>
      </c>
      <c r="AH49" s="60"/>
      <c r="AI49" s="60"/>
      <c r="AJ49" s="60"/>
      <c r="AK49" s="60"/>
      <c r="AL49" s="60"/>
    </row>
    <row r="50" spans="1:41" s="47" customFormat="1">
      <c r="A50" s="67" t="s">
        <v>296</v>
      </c>
      <c r="B50" s="67" t="s">
        <v>298</v>
      </c>
      <c r="C50" s="67" t="s">
        <v>160</v>
      </c>
      <c r="D50" s="67" t="s">
        <v>272</v>
      </c>
      <c r="E50" s="67" t="s">
        <v>96</v>
      </c>
      <c r="F50" s="67" t="s">
        <v>130</v>
      </c>
      <c r="G50" s="67" t="s">
        <v>128</v>
      </c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>
        <v>0</v>
      </c>
      <c r="U50" s="67">
        <v>118003</v>
      </c>
      <c r="V50" s="67" t="s">
        <v>134</v>
      </c>
      <c r="W50" s="67">
        <v>4</v>
      </c>
      <c r="X50" s="67">
        <v>50000</v>
      </c>
      <c r="Y50" s="79">
        <v>45000</v>
      </c>
      <c r="Z50" s="67">
        <v>111.1</v>
      </c>
      <c r="AA50" s="67">
        <v>1200000</v>
      </c>
      <c r="AB50" s="79">
        <v>650000</v>
      </c>
      <c r="AC50" s="67">
        <v>54.2</v>
      </c>
      <c r="AD50" s="79">
        <v>495000</v>
      </c>
      <c r="AE50" s="67">
        <v>131.30000000000001</v>
      </c>
      <c r="AF50" s="67" t="s">
        <v>135</v>
      </c>
      <c r="AH50" s="60"/>
      <c r="AI50" s="60"/>
      <c r="AJ50" s="60"/>
      <c r="AK50" s="60"/>
      <c r="AL50" s="60"/>
    </row>
    <row r="51" spans="1:41" s="47" customFormat="1">
      <c r="A51" s="63" t="s">
        <v>296</v>
      </c>
      <c r="B51" s="63" t="s">
        <v>298</v>
      </c>
      <c r="C51" s="63" t="s">
        <v>160</v>
      </c>
      <c r="D51" s="63" t="s">
        <v>272</v>
      </c>
      <c r="E51" s="63" t="s">
        <v>96</v>
      </c>
      <c r="F51" s="63" t="s">
        <v>130</v>
      </c>
      <c r="G51" s="63" t="s">
        <v>128</v>
      </c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>
        <v>0</v>
      </c>
      <c r="U51" s="63">
        <v>118004</v>
      </c>
      <c r="V51" s="63" t="s">
        <v>136</v>
      </c>
      <c r="W51" s="63">
        <v>4</v>
      </c>
      <c r="X51" s="63">
        <v>40000</v>
      </c>
      <c r="Y51" s="78">
        <v>35000</v>
      </c>
      <c r="Z51" s="63">
        <v>114.3</v>
      </c>
      <c r="AA51" s="63">
        <v>960000</v>
      </c>
      <c r="AB51" s="78">
        <v>520000</v>
      </c>
      <c r="AC51" s="63">
        <v>54.2</v>
      </c>
      <c r="AD51" s="78">
        <v>385000</v>
      </c>
      <c r="AE51" s="63">
        <v>135.1</v>
      </c>
      <c r="AF51" s="63" t="s">
        <v>137</v>
      </c>
      <c r="AH51" s="60"/>
      <c r="AI51" s="60"/>
      <c r="AJ51" s="60"/>
      <c r="AK51" s="60"/>
      <c r="AL51" s="60"/>
    </row>
    <row r="52" spans="1:41" s="47" customFormat="1">
      <c r="A52" s="67" t="s">
        <v>296</v>
      </c>
      <c r="B52" s="67" t="s">
        <v>298</v>
      </c>
      <c r="C52" s="67" t="s">
        <v>160</v>
      </c>
      <c r="D52" s="67" t="s">
        <v>272</v>
      </c>
      <c r="E52" s="67" t="s">
        <v>96</v>
      </c>
      <c r="F52" s="67" t="s">
        <v>130</v>
      </c>
      <c r="G52" s="67" t="s">
        <v>128</v>
      </c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>
        <v>1</v>
      </c>
      <c r="U52" s="67"/>
      <c r="V52" s="67" t="s">
        <v>138</v>
      </c>
      <c r="W52" s="67">
        <v>4</v>
      </c>
      <c r="X52" s="67">
        <v>90000</v>
      </c>
      <c r="Y52" s="79">
        <v>80000</v>
      </c>
      <c r="Z52" s="67">
        <v>112.5</v>
      </c>
      <c r="AA52" s="67">
        <v>2160000</v>
      </c>
      <c r="AB52" s="79">
        <v>1170000</v>
      </c>
      <c r="AC52" s="67">
        <v>54.2</v>
      </c>
      <c r="AD52" s="79">
        <v>880000</v>
      </c>
      <c r="AE52" s="67">
        <v>133</v>
      </c>
      <c r="AF52" s="67" t="s">
        <v>139</v>
      </c>
      <c r="AH52" s="60"/>
      <c r="AI52" s="60"/>
      <c r="AJ52" s="60"/>
      <c r="AK52" s="60"/>
      <c r="AL52" s="60"/>
    </row>
    <row r="53" spans="1:41" s="47" customFormat="1" ht="14.4">
      <c r="A53" s="40"/>
      <c r="B53" s="40"/>
      <c r="C53" s="71"/>
      <c r="D53" s="71"/>
      <c r="E53" s="71"/>
      <c r="F53" s="40"/>
      <c r="G53" s="40"/>
      <c r="H53" s="40"/>
      <c r="I53" s="41" t="s">
        <v>140</v>
      </c>
      <c r="J53" s="41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3"/>
      <c r="V53" s="4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H53" s="60"/>
      <c r="AI53" s="60"/>
      <c r="AJ53" s="60"/>
      <c r="AK53" s="60"/>
      <c r="AL53" s="60"/>
    </row>
    <row r="54" spans="1:41" s="47" customFormat="1">
      <c r="A54" s="63" t="s">
        <v>296</v>
      </c>
      <c r="B54" s="63" t="s">
        <v>298</v>
      </c>
      <c r="C54" s="62" t="s">
        <v>186</v>
      </c>
      <c r="D54" s="63" t="s">
        <v>236</v>
      </c>
      <c r="E54" s="63" t="s">
        <v>96</v>
      </c>
      <c r="F54" s="63" t="s">
        <v>130</v>
      </c>
      <c r="G54" s="63" t="s">
        <v>128</v>
      </c>
      <c r="H54" s="62" t="s">
        <v>155</v>
      </c>
      <c r="I54" s="63" t="s">
        <v>153</v>
      </c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>
        <v>0</v>
      </c>
      <c r="U54" s="63">
        <v>118001</v>
      </c>
      <c r="V54" s="63" t="s">
        <v>129</v>
      </c>
      <c r="W54" s="63">
        <v>4</v>
      </c>
      <c r="X54" s="63">
        <v>200000</v>
      </c>
      <c r="Y54" s="63">
        <v>195000</v>
      </c>
      <c r="Z54" s="63">
        <v>102.6</v>
      </c>
      <c r="AA54" s="63">
        <v>5800000</v>
      </c>
      <c r="AB54" s="63">
        <v>2600000</v>
      </c>
      <c r="AC54" s="63">
        <v>44.8</v>
      </c>
      <c r="AD54" s="63">
        <v>2145000</v>
      </c>
      <c r="AE54" s="63">
        <v>121.2</v>
      </c>
      <c r="AF54" s="63" t="s">
        <v>75</v>
      </c>
      <c r="AH54" s="60"/>
      <c r="AI54" s="60"/>
      <c r="AJ54" s="60"/>
      <c r="AK54" s="60"/>
      <c r="AL54" s="60"/>
    </row>
    <row r="55" spans="1:41">
      <c r="A55" s="67" t="s">
        <v>296</v>
      </c>
      <c r="B55" s="67" t="s">
        <v>298</v>
      </c>
      <c r="C55" s="67" t="s">
        <v>185</v>
      </c>
      <c r="D55" s="67" t="s">
        <v>236</v>
      </c>
      <c r="E55" s="67" t="s">
        <v>96</v>
      </c>
      <c r="F55" s="67" t="s">
        <v>130</v>
      </c>
      <c r="G55" s="67" t="s">
        <v>128</v>
      </c>
      <c r="H55" s="67" t="s">
        <v>154</v>
      </c>
      <c r="I55" s="67" t="s">
        <v>153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>
        <v>0</v>
      </c>
      <c r="U55" s="67">
        <v>118002</v>
      </c>
      <c r="V55" s="67" t="s">
        <v>131</v>
      </c>
      <c r="W55" s="67">
        <v>4</v>
      </c>
      <c r="X55" s="67">
        <v>100000</v>
      </c>
      <c r="Y55" s="67">
        <v>95000</v>
      </c>
      <c r="Z55" s="67">
        <v>105.3</v>
      </c>
      <c r="AA55" s="67">
        <v>2400000</v>
      </c>
      <c r="AB55" s="67">
        <v>1300000</v>
      </c>
      <c r="AC55" s="67">
        <v>54.2</v>
      </c>
      <c r="AD55" s="67">
        <v>1045000</v>
      </c>
      <c r="AE55" s="67">
        <v>124.4</v>
      </c>
      <c r="AF55" s="67" t="s">
        <v>141</v>
      </c>
      <c r="AH55" s="60"/>
      <c r="AI55" s="60"/>
      <c r="AM55" s="47"/>
      <c r="AO55" s="60"/>
    </row>
    <row r="56" spans="1:41">
      <c r="A56" s="63" t="s">
        <v>296</v>
      </c>
      <c r="B56" s="63" t="s">
        <v>298</v>
      </c>
      <c r="C56" s="63" t="s">
        <v>185</v>
      </c>
      <c r="D56" s="63" t="s">
        <v>236</v>
      </c>
      <c r="E56" s="63" t="s">
        <v>96</v>
      </c>
      <c r="F56" s="63" t="s">
        <v>130</v>
      </c>
      <c r="G56" s="63" t="s">
        <v>128</v>
      </c>
      <c r="H56" s="63" t="s">
        <v>154</v>
      </c>
      <c r="I56" s="63" t="s">
        <v>153</v>
      </c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>
        <v>1</v>
      </c>
      <c r="U56" s="63"/>
      <c r="V56" s="63" t="s">
        <v>132</v>
      </c>
      <c r="W56" s="63">
        <v>4</v>
      </c>
      <c r="X56" s="63">
        <v>300000</v>
      </c>
      <c r="Y56" s="78">
        <v>290000</v>
      </c>
      <c r="Z56" s="63">
        <v>103.4</v>
      </c>
      <c r="AA56" s="63">
        <v>8200000</v>
      </c>
      <c r="AB56" s="63">
        <v>3900000</v>
      </c>
      <c r="AC56" s="63">
        <v>47.6</v>
      </c>
      <c r="AD56" s="63">
        <v>3190000</v>
      </c>
      <c r="AE56" s="63">
        <v>122.3</v>
      </c>
      <c r="AF56" s="63" t="s">
        <v>133</v>
      </c>
      <c r="AH56" s="60"/>
      <c r="AI56" s="60"/>
      <c r="AM56" s="47"/>
      <c r="AO56" s="60"/>
    </row>
    <row r="57" spans="1:41">
      <c r="A57" s="67" t="s">
        <v>296</v>
      </c>
      <c r="B57" s="67" t="s">
        <v>298</v>
      </c>
      <c r="C57" s="67" t="s">
        <v>185</v>
      </c>
      <c r="D57" s="67" t="s">
        <v>236</v>
      </c>
      <c r="E57" s="67" t="s">
        <v>96</v>
      </c>
      <c r="F57" s="67" t="s">
        <v>130</v>
      </c>
      <c r="G57" s="67" t="s">
        <v>128</v>
      </c>
      <c r="H57" s="67" t="s">
        <v>154</v>
      </c>
      <c r="I57" s="67" t="s">
        <v>153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>
        <v>0</v>
      </c>
      <c r="U57" s="67">
        <v>118003</v>
      </c>
      <c r="V57" s="67" t="s">
        <v>134</v>
      </c>
      <c r="W57" s="67">
        <v>4</v>
      </c>
      <c r="X57" s="67">
        <v>50000</v>
      </c>
      <c r="Y57" s="79">
        <v>45000</v>
      </c>
      <c r="Z57" s="67">
        <v>111.1</v>
      </c>
      <c r="AA57" s="67">
        <v>1200000</v>
      </c>
      <c r="AB57" s="67">
        <v>650000</v>
      </c>
      <c r="AC57" s="67">
        <v>54.2</v>
      </c>
      <c r="AD57" s="67">
        <v>495000</v>
      </c>
      <c r="AE57" s="67">
        <v>131.30000000000001</v>
      </c>
      <c r="AF57" s="67" t="s">
        <v>135</v>
      </c>
      <c r="AH57" s="60"/>
      <c r="AI57" s="60"/>
      <c r="AM57" s="47"/>
      <c r="AO57" s="60"/>
    </row>
    <row r="58" spans="1:41">
      <c r="A58" s="63" t="s">
        <v>296</v>
      </c>
      <c r="B58" s="63" t="s">
        <v>298</v>
      </c>
      <c r="C58" s="63" t="s">
        <v>185</v>
      </c>
      <c r="D58" s="63" t="s">
        <v>236</v>
      </c>
      <c r="E58" s="63" t="s">
        <v>96</v>
      </c>
      <c r="F58" s="63" t="s">
        <v>130</v>
      </c>
      <c r="G58" s="63" t="s">
        <v>128</v>
      </c>
      <c r="H58" s="63" t="s">
        <v>154</v>
      </c>
      <c r="I58" s="63" t="s">
        <v>153</v>
      </c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>
        <v>0</v>
      </c>
      <c r="U58" s="63">
        <v>118004</v>
      </c>
      <c r="V58" s="63" t="s">
        <v>136</v>
      </c>
      <c r="W58" s="63">
        <v>4</v>
      </c>
      <c r="X58" s="63">
        <v>40000</v>
      </c>
      <c r="Y58" s="78">
        <v>35000</v>
      </c>
      <c r="Z58" s="63">
        <v>114.3</v>
      </c>
      <c r="AA58" s="63">
        <v>960000</v>
      </c>
      <c r="AB58" s="63">
        <v>520000</v>
      </c>
      <c r="AC58" s="63">
        <v>54.2</v>
      </c>
      <c r="AD58" s="63">
        <v>385000</v>
      </c>
      <c r="AE58" s="63">
        <v>135.1</v>
      </c>
      <c r="AF58" s="63" t="s">
        <v>137</v>
      </c>
      <c r="AH58" s="60"/>
      <c r="AI58" s="60"/>
      <c r="AM58" s="47"/>
      <c r="AO58" s="60"/>
    </row>
    <row r="59" spans="1:41">
      <c r="A59" s="67" t="s">
        <v>296</v>
      </c>
      <c r="B59" s="67" t="s">
        <v>298</v>
      </c>
      <c r="C59" s="67" t="s">
        <v>185</v>
      </c>
      <c r="D59" s="67" t="s">
        <v>236</v>
      </c>
      <c r="E59" s="67" t="s">
        <v>96</v>
      </c>
      <c r="F59" s="67" t="s">
        <v>130</v>
      </c>
      <c r="G59" s="67" t="s">
        <v>128</v>
      </c>
      <c r="H59" s="67" t="s">
        <v>154</v>
      </c>
      <c r="I59" s="67" t="s">
        <v>153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>
        <v>1</v>
      </c>
      <c r="U59" s="67"/>
      <c r="V59" s="67" t="s">
        <v>138</v>
      </c>
      <c r="W59" s="67">
        <v>4</v>
      </c>
      <c r="X59" s="67">
        <v>90000</v>
      </c>
      <c r="Y59" s="79">
        <v>80000</v>
      </c>
      <c r="Z59" s="67">
        <v>112.5</v>
      </c>
      <c r="AA59" s="67">
        <v>2160000</v>
      </c>
      <c r="AB59" s="67">
        <v>1170000</v>
      </c>
      <c r="AC59" s="67">
        <v>54.2</v>
      </c>
      <c r="AD59" s="67">
        <v>880000</v>
      </c>
      <c r="AE59" s="67">
        <v>133</v>
      </c>
      <c r="AF59" s="67" t="s">
        <v>139</v>
      </c>
      <c r="AH59" s="60"/>
      <c r="AI59" s="60"/>
      <c r="AM59" s="47"/>
      <c r="AO59" s="60"/>
    </row>
    <row r="60" spans="1:41" ht="14.4">
      <c r="A60" s="40"/>
      <c r="B60" s="40"/>
      <c r="C60" s="71"/>
      <c r="D60" s="71"/>
      <c r="E60" s="71"/>
      <c r="F60" s="40"/>
      <c r="G60" s="40"/>
      <c r="H60" s="40"/>
      <c r="I60" s="41" t="s">
        <v>140</v>
      </c>
      <c r="J60" s="4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3"/>
      <c r="V60" s="4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H60" s="60"/>
      <c r="AI60" s="60"/>
      <c r="AM60" s="47"/>
      <c r="AO60" s="60"/>
    </row>
    <row r="61" spans="1:41">
      <c r="A61" s="63" t="s">
        <v>296</v>
      </c>
      <c r="B61" s="63" t="s">
        <v>298</v>
      </c>
      <c r="C61" s="63" t="s">
        <v>175</v>
      </c>
      <c r="D61" s="63" t="s">
        <v>237</v>
      </c>
      <c r="E61" s="63" t="s">
        <v>96</v>
      </c>
      <c r="F61" s="63" t="s">
        <v>130</v>
      </c>
      <c r="G61" s="63" t="s">
        <v>128</v>
      </c>
      <c r="H61" s="63" t="s">
        <v>154</v>
      </c>
      <c r="I61" s="63" t="s">
        <v>153</v>
      </c>
      <c r="J61" s="62" t="s">
        <v>159</v>
      </c>
      <c r="K61" s="63" t="s">
        <v>157</v>
      </c>
      <c r="L61" s="63"/>
      <c r="M61" s="63"/>
      <c r="N61" s="63"/>
      <c r="O61" s="63"/>
      <c r="P61" s="63"/>
      <c r="Q61" s="63"/>
      <c r="R61" s="62"/>
      <c r="S61" s="63"/>
      <c r="T61" s="63">
        <v>0</v>
      </c>
      <c r="U61" s="63">
        <v>118001</v>
      </c>
      <c r="V61" s="63" t="s">
        <v>129</v>
      </c>
      <c r="W61" s="63">
        <v>4</v>
      </c>
      <c r="X61" s="63">
        <v>200000</v>
      </c>
      <c r="Y61" s="63">
        <v>195000</v>
      </c>
      <c r="Z61" s="63">
        <v>102.6</v>
      </c>
      <c r="AA61" s="63">
        <v>5800000</v>
      </c>
      <c r="AB61" s="63">
        <v>2600000</v>
      </c>
      <c r="AC61" s="63">
        <v>44.8</v>
      </c>
      <c r="AD61" s="63">
        <v>2145000</v>
      </c>
      <c r="AE61" s="63">
        <v>121.2</v>
      </c>
      <c r="AF61" s="63" t="s">
        <v>75</v>
      </c>
      <c r="AH61" s="60"/>
      <c r="AI61" s="60"/>
      <c r="AM61" s="47"/>
      <c r="AO61" s="60"/>
    </row>
    <row r="62" spans="1:41">
      <c r="A62" s="67" t="s">
        <v>296</v>
      </c>
      <c r="B62" s="67" t="s">
        <v>298</v>
      </c>
      <c r="C62" s="67" t="s">
        <v>175</v>
      </c>
      <c r="D62" s="67" t="s">
        <v>237</v>
      </c>
      <c r="E62" s="67" t="s">
        <v>96</v>
      </c>
      <c r="F62" s="67" t="s">
        <v>130</v>
      </c>
      <c r="G62" s="67" t="s">
        <v>128</v>
      </c>
      <c r="H62" s="67" t="s">
        <v>154</v>
      </c>
      <c r="I62" s="67" t="s">
        <v>153</v>
      </c>
      <c r="J62" s="67" t="s">
        <v>158</v>
      </c>
      <c r="K62" s="67" t="s">
        <v>156</v>
      </c>
      <c r="L62" s="67"/>
      <c r="M62" s="67"/>
      <c r="N62" s="67"/>
      <c r="O62" s="67"/>
      <c r="P62" s="67"/>
      <c r="Q62" s="67"/>
      <c r="R62" s="67"/>
      <c r="S62" s="67"/>
      <c r="T62" s="67">
        <v>0</v>
      </c>
      <c r="U62" s="67">
        <v>118002</v>
      </c>
      <c r="V62" s="67" t="s">
        <v>131</v>
      </c>
      <c r="W62" s="67">
        <v>4</v>
      </c>
      <c r="X62" s="67">
        <v>100000</v>
      </c>
      <c r="Y62" s="67">
        <v>95000</v>
      </c>
      <c r="Z62" s="67">
        <v>105.3</v>
      </c>
      <c r="AA62" s="67">
        <v>2400000</v>
      </c>
      <c r="AB62" s="67">
        <v>1300000</v>
      </c>
      <c r="AC62" s="67">
        <v>54.2</v>
      </c>
      <c r="AD62" s="67">
        <v>1045000</v>
      </c>
      <c r="AE62" s="67">
        <v>124.4</v>
      </c>
      <c r="AF62" s="67" t="s">
        <v>141</v>
      </c>
      <c r="AH62" s="60"/>
      <c r="AI62" s="60"/>
      <c r="AM62" s="47"/>
      <c r="AO62" s="60"/>
    </row>
    <row r="63" spans="1:41">
      <c r="A63" s="63" t="s">
        <v>296</v>
      </c>
      <c r="B63" s="63" t="s">
        <v>298</v>
      </c>
      <c r="C63" s="63" t="s">
        <v>175</v>
      </c>
      <c r="D63" s="63" t="s">
        <v>237</v>
      </c>
      <c r="E63" s="63" t="s">
        <v>96</v>
      </c>
      <c r="F63" s="63" t="s">
        <v>130</v>
      </c>
      <c r="G63" s="63" t="s">
        <v>128</v>
      </c>
      <c r="H63" s="63" t="s">
        <v>154</v>
      </c>
      <c r="I63" s="63" t="s">
        <v>153</v>
      </c>
      <c r="J63" s="63" t="s">
        <v>158</v>
      </c>
      <c r="K63" s="63" t="s">
        <v>156</v>
      </c>
      <c r="L63" s="63"/>
      <c r="M63" s="63"/>
      <c r="N63" s="63"/>
      <c r="O63" s="63"/>
      <c r="P63" s="63"/>
      <c r="Q63" s="63"/>
      <c r="R63" s="63"/>
      <c r="S63" s="63"/>
      <c r="T63" s="63">
        <v>1</v>
      </c>
      <c r="U63" s="63"/>
      <c r="V63" s="63" t="s">
        <v>132</v>
      </c>
      <c r="W63" s="63">
        <v>4</v>
      </c>
      <c r="X63" s="63">
        <v>300000</v>
      </c>
      <c r="Y63" s="78">
        <v>290000</v>
      </c>
      <c r="Z63" s="63">
        <v>103.4</v>
      </c>
      <c r="AA63" s="63">
        <v>8200000</v>
      </c>
      <c r="AB63" s="63">
        <v>3900000</v>
      </c>
      <c r="AC63" s="63">
        <v>47.6</v>
      </c>
      <c r="AD63" s="63">
        <v>3190000</v>
      </c>
      <c r="AE63" s="63">
        <v>122.3</v>
      </c>
      <c r="AF63" s="63" t="s">
        <v>133</v>
      </c>
      <c r="AH63" s="60"/>
      <c r="AI63" s="60"/>
      <c r="AM63" s="47"/>
      <c r="AO63" s="60"/>
    </row>
    <row r="64" spans="1:41">
      <c r="A64" s="67" t="s">
        <v>296</v>
      </c>
      <c r="B64" s="67" t="s">
        <v>298</v>
      </c>
      <c r="C64" s="67" t="s">
        <v>175</v>
      </c>
      <c r="D64" s="67" t="s">
        <v>237</v>
      </c>
      <c r="E64" s="67" t="s">
        <v>96</v>
      </c>
      <c r="F64" s="67" t="s">
        <v>130</v>
      </c>
      <c r="G64" s="67" t="s">
        <v>128</v>
      </c>
      <c r="H64" s="67" t="s">
        <v>154</v>
      </c>
      <c r="I64" s="67" t="s">
        <v>153</v>
      </c>
      <c r="J64" s="67" t="s">
        <v>158</v>
      </c>
      <c r="K64" s="67" t="s">
        <v>156</v>
      </c>
      <c r="L64" s="67"/>
      <c r="M64" s="67"/>
      <c r="N64" s="67"/>
      <c r="O64" s="67"/>
      <c r="P64" s="67"/>
      <c r="Q64" s="67"/>
      <c r="R64" s="67"/>
      <c r="S64" s="67"/>
      <c r="T64" s="67">
        <v>0</v>
      </c>
      <c r="U64" s="67">
        <v>118003</v>
      </c>
      <c r="V64" s="67" t="s">
        <v>134</v>
      </c>
      <c r="W64" s="67">
        <v>4</v>
      </c>
      <c r="X64" s="67">
        <v>50000</v>
      </c>
      <c r="Y64" s="79">
        <v>45000</v>
      </c>
      <c r="Z64" s="67">
        <v>111.1</v>
      </c>
      <c r="AA64" s="67">
        <v>1200000</v>
      </c>
      <c r="AB64" s="67">
        <v>650000</v>
      </c>
      <c r="AC64" s="67">
        <v>54.2</v>
      </c>
      <c r="AD64" s="67">
        <v>495000</v>
      </c>
      <c r="AE64" s="67">
        <v>131.30000000000001</v>
      </c>
      <c r="AF64" s="67" t="s">
        <v>135</v>
      </c>
      <c r="AH64" s="60"/>
      <c r="AI64" s="60"/>
      <c r="AM64" s="47"/>
      <c r="AO64" s="60"/>
    </row>
    <row r="65" spans="1:41">
      <c r="A65" s="63" t="s">
        <v>296</v>
      </c>
      <c r="B65" s="63" t="s">
        <v>298</v>
      </c>
      <c r="C65" s="63" t="s">
        <v>175</v>
      </c>
      <c r="D65" s="63" t="s">
        <v>237</v>
      </c>
      <c r="E65" s="63" t="s">
        <v>96</v>
      </c>
      <c r="F65" s="63" t="s">
        <v>130</v>
      </c>
      <c r="G65" s="63" t="s">
        <v>128</v>
      </c>
      <c r="H65" s="63" t="s">
        <v>154</v>
      </c>
      <c r="I65" s="63" t="s">
        <v>153</v>
      </c>
      <c r="J65" s="63" t="s">
        <v>158</v>
      </c>
      <c r="K65" s="63" t="s">
        <v>156</v>
      </c>
      <c r="L65" s="63"/>
      <c r="M65" s="63"/>
      <c r="N65" s="63"/>
      <c r="O65" s="63"/>
      <c r="P65" s="63"/>
      <c r="Q65" s="63"/>
      <c r="R65" s="63"/>
      <c r="S65" s="63"/>
      <c r="T65" s="63">
        <v>0</v>
      </c>
      <c r="U65" s="63">
        <v>118004</v>
      </c>
      <c r="V65" s="63" t="s">
        <v>136</v>
      </c>
      <c r="W65" s="63">
        <v>4</v>
      </c>
      <c r="X65" s="63"/>
      <c r="Y65" s="63"/>
      <c r="Z65" s="74" t="s">
        <v>181</v>
      </c>
      <c r="AA65" s="63"/>
      <c r="AB65" s="63"/>
      <c r="AC65" s="74" t="s">
        <v>181</v>
      </c>
      <c r="AD65" s="63"/>
      <c r="AE65" s="74" t="s">
        <v>181</v>
      </c>
      <c r="AF65" s="63" t="s">
        <v>81</v>
      </c>
      <c r="AH65" s="60"/>
      <c r="AI65" s="60"/>
      <c r="AM65" s="47"/>
      <c r="AO65" s="60"/>
    </row>
    <row r="66" spans="1:41">
      <c r="A66" s="67" t="s">
        <v>296</v>
      </c>
      <c r="B66" s="67" t="s">
        <v>298</v>
      </c>
      <c r="C66" s="67" t="s">
        <v>175</v>
      </c>
      <c r="D66" s="67" t="s">
        <v>237</v>
      </c>
      <c r="E66" s="67" t="s">
        <v>96</v>
      </c>
      <c r="F66" s="67" t="s">
        <v>130</v>
      </c>
      <c r="G66" s="67" t="s">
        <v>128</v>
      </c>
      <c r="H66" s="67" t="s">
        <v>154</v>
      </c>
      <c r="I66" s="67" t="s">
        <v>153</v>
      </c>
      <c r="J66" s="67" t="s">
        <v>158</v>
      </c>
      <c r="K66" s="67" t="s">
        <v>156</v>
      </c>
      <c r="L66" s="67"/>
      <c r="M66" s="67"/>
      <c r="N66" s="67"/>
      <c r="O66" s="67"/>
      <c r="P66" s="67"/>
      <c r="Q66" s="67"/>
      <c r="R66" s="67"/>
      <c r="S66" s="67"/>
      <c r="T66" s="67">
        <v>1</v>
      </c>
      <c r="U66" s="67"/>
      <c r="V66" s="67" t="s">
        <v>138</v>
      </c>
      <c r="W66" s="67">
        <v>4</v>
      </c>
      <c r="X66" s="67">
        <v>50000</v>
      </c>
      <c r="Y66" s="67">
        <v>45000</v>
      </c>
      <c r="Z66" s="67">
        <v>111.1</v>
      </c>
      <c r="AA66" s="67">
        <v>1200000</v>
      </c>
      <c r="AB66" s="67">
        <v>650000</v>
      </c>
      <c r="AC66" s="67">
        <v>54.2</v>
      </c>
      <c r="AD66" s="67">
        <v>495000</v>
      </c>
      <c r="AE66" s="67">
        <v>131.30000000000001</v>
      </c>
      <c r="AF66" s="67" t="s">
        <v>139</v>
      </c>
      <c r="AH66" s="60"/>
      <c r="AI66" s="60"/>
      <c r="AM66" s="47"/>
      <c r="AO66" s="60"/>
    </row>
    <row r="67" spans="1:41" ht="14.4">
      <c r="A67" s="40"/>
      <c r="B67" s="40"/>
      <c r="C67" s="71"/>
      <c r="D67" s="71"/>
      <c r="E67" s="71"/>
      <c r="F67" s="40"/>
      <c r="G67" s="40"/>
      <c r="H67" s="40"/>
      <c r="I67" s="41" t="s">
        <v>140</v>
      </c>
      <c r="J67" s="41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3"/>
      <c r="V67" s="4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H67" s="60"/>
      <c r="AI67" s="60"/>
      <c r="AM67" s="47"/>
      <c r="AO67" s="60"/>
    </row>
    <row r="68" spans="1:41">
      <c r="A68" s="63" t="s">
        <v>296</v>
      </c>
      <c r="B68" s="63" t="s">
        <v>298</v>
      </c>
      <c r="C68" s="63" t="s">
        <v>80</v>
      </c>
      <c r="D68" s="63" t="s">
        <v>238</v>
      </c>
      <c r="E68" s="63" t="s">
        <v>96</v>
      </c>
      <c r="F68" s="63" t="s">
        <v>130</v>
      </c>
      <c r="G68" s="63" t="s">
        <v>128</v>
      </c>
      <c r="H68" s="63" t="s">
        <v>154</v>
      </c>
      <c r="I68" s="63" t="s">
        <v>153</v>
      </c>
      <c r="J68" s="62" t="s">
        <v>159</v>
      </c>
      <c r="K68" s="63" t="s">
        <v>157</v>
      </c>
      <c r="L68" s="63"/>
      <c r="M68" s="63"/>
      <c r="N68" s="63"/>
      <c r="O68" s="63"/>
      <c r="P68" s="63"/>
      <c r="Q68" s="63"/>
      <c r="R68" s="62" t="s">
        <v>161</v>
      </c>
      <c r="S68" s="63" t="s">
        <v>163</v>
      </c>
      <c r="T68" s="63">
        <v>0</v>
      </c>
      <c r="U68" s="63">
        <v>118001</v>
      </c>
      <c r="V68" s="63" t="s">
        <v>129</v>
      </c>
      <c r="W68" s="63">
        <v>4</v>
      </c>
      <c r="X68" s="63">
        <v>200000</v>
      </c>
      <c r="Y68" s="63">
        <v>195000</v>
      </c>
      <c r="Z68" s="63">
        <v>102.6</v>
      </c>
      <c r="AA68" s="63">
        <v>5800000</v>
      </c>
      <c r="AB68" s="63">
        <v>2600000</v>
      </c>
      <c r="AC68" s="63">
        <v>44.8</v>
      </c>
      <c r="AD68" s="63">
        <v>2145000</v>
      </c>
      <c r="AE68" s="63">
        <v>121.2</v>
      </c>
      <c r="AF68" s="63" t="s">
        <v>75</v>
      </c>
      <c r="AH68" s="60"/>
      <c r="AI68" s="60"/>
      <c r="AM68" s="47"/>
      <c r="AO68" s="60"/>
    </row>
    <row r="69" spans="1:41">
      <c r="A69" s="67" t="s">
        <v>296</v>
      </c>
      <c r="B69" s="67" t="s">
        <v>298</v>
      </c>
      <c r="C69" s="67" t="s">
        <v>80</v>
      </c>
      <c r="D69" s="67" t="s">
        <v>238</v>
      </c>
      <c r="E69" s="67" t="s">
        <v>96</v>
      </c>
      <c r="F69" s="67" t="s">
        <v>130</v>
      </c>
      <c r="G69" s="67" t="s">
        <v>128</v>
      </c>
      <c r="H69" s="67" t="s">
        <v>154</v>
      </c>
      <c r="I69" s="67" t="s">
        <v>153</v>
      </c>
      <c r="J69" s="67" t="s">
        <v>158</v>
      </c>
      <c r="K69" s="67" t="s">
        <v>156</v>
      </c>
      <c r="L69" s="67"/>
      <c r="M69" s="67"/>
      <c r="N69" s="67"/>
      <c r="O69" s="67"/>
      <c r="P69" s="67"/>
      <c r="Q69" s="67"/>
      <c r="R69" s="67" t="s">
        <v>160</v>
      </c>
      <c r="S69" s="67" t="s">
        <v>162</v>
      </c>
      <c r="T69" s="67">
        <v>0</v>
      </c>
      <c r="U69" s="67">
        <v>118002</v>
      </c>
      <c r="V69" s="67" t="s">
        <v>131</v>
      </c>
      <c r="W69" s="67">
        <v>4</v>
      </c>
      <c r="X69" s="67">
        <v>100000</v>
      </c>
      <c r="Y69" s="67">
        <v>95000</v>
      </c>
      <c r="Z69" s="67">
        <v>105.3</v>
      </c>
      <c r="AA69" s="67">
        <v>2400000</v>
      </c>
      <c r="AB69" s="67">
        <v>1300000</v>
      </c>
      <c r="AC69" s="67">
        <v>54.2</v>
      </c>
      <c r="AD69" s="67">
        <v>1045000</v>
      </c>
      <c r="AE69" s="67">
        <v>124.4</v>
      </c>
      <c r="AF69" s="67" t="s">
        <v>141</v>
      </c>
      <c r="AH69" s="60"/>
      <c r="AI69" s="60"/>
      <c r="AM69" s="47"/>
      <c r="AO69" s="60"/>
    </row>
    <row r="70" spans="1:41">
      <c r="A70" s="63" t="s">
        <v>296</v>
      </c>
      <c r="B70" s="63" t="s">
        <v>298</v>
      </c>
      <c r="C70" s="63" t="s">
        <v>80</v>
      </c>
      <c r="D70" s="63" t="s">
        <v>238</v>
      </c>
      <c r="E70" s="63" t="s">
        <v>96</v>
      </c>
      <c r="F70" s="63" t="s">
        <v>130</v>
      </c>
      <c r="G70" s="63" t="s">
        <v>128</v>
      </c>
      <c r="H70" s="63" t="s">
        <v>154</v>
      </c>
      <c r="I70" s="63" t="s">
        <v>153</v>
      </c>
      <c r="J70" s="63" t="s">
        <v>158</v>
      </c>
      <c r="K70" s="63" t="s">
        <v>156</v>
      </c>
      <c r="L70" s="63"/>
      <c r="M70" s="63"/>
      <c r="N70" s="63"/>
      <c r="O70" s="63"/>
      <c r="P70" s="63"/>
      <c r="Q70" s="63"/>
      <c r="R70" s="63" t="s">
        <v>160</v>
      </c>
      <c r="S70" s="63" t="s">
        <v>162</v>
      </c>
      <c r="T70" s="63">
        <v>1</v>
      </c>
      <c r="U70" s="63"/>
      <c r="V70" s="63" t="s">
        <v>132</v>
      </c>
      <c r="W70" s="63">
        <v>4</v>
      </c>
      <c r="X70" s="63">
        <v>300000</v>
      </c>
      <c r="Y70" s="78">
        <v>290000</v>
      </c>
      <c r="Z70" s="63">
        <v>103.4</v>
      </c>
      <c r="AA70" s="63">
        <v>8200000</v>
      </c>
      <c r="AB70" s="63">
        <v>3900000</v>
      </c>
      <c r="AC70" s="63">
        <v>47.6</v>
      </c>
      <c r="AD70" s="63">
        <v>3190000</v>
      </c>
      <c r="AE70" s="63">
        <v>122.3</v>
      </c>
      <c r="AF70" s="63" t="s">
        <v>133</v>
      </c>
      <c r="AH70" s="60"/>
      <c r="AI70" s="60"/>
      <c r="AM70" s="47"/>
      <c r="AO70" s="60"/>
    </row>
    <row r="71" spans="1:41">
      <c r="A71" s="67" t="s">
        <v>296</v>
      </c>
      <c r="B71" s="67" t="s">
        <v>298</v>
      </c>
      <c r="C71" s="67" t="s">
        <v>80</v>
      </c>
      <c r="D71" s="67" t="s">
        <v>238</v>
      </c>
      <c r="E71" s="67" t="s">
        <v>96</v>
      </c>
      <c r="F71" s="67" t="s">
        <v>130</v>
      </c>
      <c r="G71" s="67" t="s">
        <v>128</v>
      </c>
      <c r="H71" s="67" t="s">
        <v>154</v>
      </c>
      <c r="I71" s="67" t="s">
        <v>153</v>
      </c>
      <c r="J71" s="67" t="s">
        <v>158</v>
      </c>
      <c r="K71" s="67" t="s">
        <v>156</v>
      </c>
      <c r="L71" s="67"/>
      <c r="M71" s="67"/>
      <c r="N71" s="67"/>
      <c r="O71" s="67"/>
      <c r="P71" s="67"/>
      <c r="Q71" s="67"/>
      <c r="R71" s="67" t="s">
        <v>160</v>
      </c>
      <c r="S71" s="67" t="s">
        <v>162</v>
      </c>
      <c r="T71" s="67">
        <v>0</v>
      </c>
      <c r="U71" s="67">
        <v>118003</v>
      </c>
      <c r="V71" s="67" t="s">
        <v>134</v>
      </c>
      <c r="W71" s="67">
        <v>4</v>
      </c>
      <c r="X71" s="67">
        <v>50000</v>
      </c>
      <c r="Y71" s="79">
        <v>45000</v>
      </c>
      <c r="Z71" s="67">
        <v>111.1</v>
      </c>
      <c r="AA71" s="67">
        <v>1200000</v>
      </c>
      <c r="AB71" s="67">
        <v>650000</v>
      </c>
      <c r="AC71" s="67">
        <v>54.2</v>
      </c>
      <c r="AD71" s="67">
        <v>495000</v>
      </c>
      <c r="AE71" s="67">
        <v>131.30000000000001</v>
      </c>
      <c r="AF71" s="67" t="s">
        <v>135</v>
      </c>
      <c r="AH71" s="60"/>
      <c r="AI71" s="60"/>
      <c r="AM71" s="47"/>
      <c r="AO71" s="60"/>
    </row>
    <row r="72" spans="1:41">
      <c r="A72" s="63" t="s">
        <v>296</v>
      </c>
      <c r="B72" s="63" t="s">
        <v>298</v>
      </c>
      <c r="C72" s="63" t="s">
        <v>80</v>
      </c>
      <c r="D72" s="63" t="s">
        <v>238</v>
      </c>
      <c r="E72" s="63" t="s">
        <v>96</v>
      </c>
      <c r="F72" s="63" t="s">
        <v>130</v>
      </c>
      <c r="G72" s="63" t="s">
        <v>128</v>
      </c>
      <c r="H72" s="63" t="s">
        <v>154</v>
      </c>
      <c r="I72" s="63" t="s">
        <v>153</v>
      </c>
      <c r="J72" s="63" t="s">
        <v>158</v>
      </c>
      <c r="K72" s="63" t="s">
        <v>156</v>
      </c>
      <c r="L72" s="63"/>
      <c r="M72" s="63"/>
      <c r="N72" s="63"/>
      <c r="O72" s="63"/>
      <c r="P72" s="63"/>
      <c r="Q72" s="63"/>
      <c r="R72" s="63" t="s">
        <v>160</v>
      </c>
      <c r="S72" s="63" t="s">
        <v>162</v>
      </c>
      <c r="T72" s="63">
        <v>0</v>
      </c>
      <c r="U72" s="63">
        <v>118004</v>
      </c>
      <c r="V72" s="63" t="s">
        <v>136</v>
      </c>
      <c r="W72" s="63">
        <v>4</v>
      </c>
      <c r="X72" s="63"/>
      <c r="Y72" s="63"/>
      <c r="Z72" s="74" t="s">
        <v>181</v>
      </c>
      <c r="AA72" s="63"/>
      <c r="AB72" s="63"/>
      <c r="AC72" s="74" t="s">
        <v>181</v>
      </c>
      <c r="AD72" s="63"/>
      <c r="AE72" s="74" t="s">
        <v>181</v>
      </c>
      <c r="AF72" s="63" t="s">
        <v>81</v>
      </c>
      <c r="AH72" s="60"/>
      <c r="AI72" s="60"/>
      <c r="AM72" s="47"/>
      <c r="AO72" s="60"/>
    </row>
    <row r="73" spans="1:41">
      <c r="A73" s="67" t="s">
        <v>296</v>
      </c>
      <c r="B73" s="67" t="s">
        <v>298</v>
      </c>
      <c r="C73" s="67" t="s">
        <v>80</v>
      </c>
      <c r="D73" s="67" t="s">
        <v>238</v>
      </c>
      <c r="E73" s="67" t="s">
        <v>96</v>
      </c>
      <c r="F73" s="67" t="s">
        <v>130</v>
      </c>
      <c r="G73" s="67" t="s">
        <v>128</v>
      </c>
      <c r="H73" s="67" t="s">
        <v>154</v>
      </c>
      <c r="I73" s="67" t="s">
        <v>153</v>
      </c>
      <c r="J73" s="67" t="s">
        <v>158</v>
      </c>
      <c r="K73" s="67" t="s">
        <v>156</v>
      </c>
      <c r="L73" s="67"/>
      <c r="M73" s="67"/>
      <c r="N73" s="67"/>
      <c r="O73" s="67"/>
      <c r="P73" s="67"/>
      <c r="Q73" s="67"/>
      <c r="R73" s="67" t="s">
        <v>160</v>
      </c>
      <c r="S73" s="67" t="s">
        <v>162</v>
      </c>
      <c r="T73" s="67">
        <v>1</v>
      </c>
      <c r="U73" s="67"/>
      <c r="V73" s="67" t="s">
        <v>138</v>
      </c>
      <c r="W73" s="67">
        <v>4</v>
      </c>
      <c r="X73" s="67">
        <v>50000</v>
      </c>
      <c r="Y73" s="67">
        <v>45000</v>
      </c>
      <c r="Z73" s="67">
        <v>111.1</v>
      </c>
      <c r="AA73" s="67">
        <v>1200000</v>
      </c>
      <c r="AB73" s="67">
        <v>650000</v>
      </c>
      <c r="AC73" s="67">
        <v>54.2</v>
      </c>
      <c r="AD73" s="67">
        <v>495000</v>
      </c>
      <c r="AE73" s="67">
        <v>131.30000000000001</v>
      </c>
      <c r="AF73" s="67" t="s">
        <v>139</v>
      </c>
      <c r="AH73" s="60"/>
      <c r="AI73" s="60"/>
      <c r="AM73" s="47"/>
      <c r="AO73" s="60"/>
    </row>
    <row r="74" spans="1:41">
      <c r="AH74" s="60"/>
      <c r="AI74" s="60"/>
      <c r="AM74" s="47"/>
      <c r="AO74" s="60"/>
    </row>
    <row r="75" spans="1:41">
      <c r="AH75" s="60"/>
      <c r="AI75" s="60"/>
      <c r="AM75" s="47"/>
      <c r="AO75" s="60"/>
    </row>
    <row r="76" spans="1:41">
      <c r="AH76" s="60"/>
      <c r="AI76" s="60"/>
      <c r="AM76" s="47"/>
      <c r="AO76" s="60"/>
    </row>
    <row r="77" spans="1:41">
      <c r="AH77" s="60"/>
      <c r="AI77" s="60"/>
      <c r="AM77" s="47"/>
      <c r="AO77" s="60"/>
    </row>
    <row r="78" spans="1:41">
      <c r="AH78" s="60"/>
      <c r="AI78" s="60"/>
      <c r="AM78" s="47"/>
      <c r="AO78" s="60"/>
    </row>
    <row r="79" spans="1:41">
      <c r="AH79" s="60"/>
      <c r="AI79" s="60"/>
      <c r="AM79" s="47"/>
      <c r="AO79" s="60"/>
    </row>
    <row r="80" spans="1:41">
      <c r="AH80" s="60"/>
      <c r="AI80" s="60"/>
      <c r="AM80" s="47"/>
      <c r="AO80" s="60"/>
    </row>
    <row r="81" spans="1:41">
      <c r="AH81" s="60"/>
      <c r="AI81" s="60"/>
      <c r="AM81" s="47"/>
      <c r="AO81" s="60"/>
    </row>
    <row r="82" spans="1:41" s="47" customFormat="1" ht="26.4">
      <c r="A82" s="37" t="s">
        <v>103</v>
      </c>
      <c r="B82" s="37" t="s">
        <v>104</v>
      </c>
      <c r="C82" s="38" t="s">
        <v>173</v>
      </c>
      <c r="D82" s="38" t="s">
        <v>174</v>
      </c>
      <c r="E82" s="38" t="s">
        <v>105</v>
      </c>
      <c r="F82" s="37" t="s">
        <v>106</v>
      </c>
      <c r="G82" s="37" t="s">
        <v>107</v>
      </c>
      <c r="H82" s="39" t="s">
        <v>108</v>
      </c>
      <c r="I82" s="39" t="s">
        <v>109</v>
      </c>
      <c r="J82" s="39" t="s">
        <v>110</v>
      </c>
      <c r="K82" s="39" t="s">
        <v>111</v>
      </c>
      <c r="L82" s="39" t="s">
        <v>200</v>
      </c>
      <c r="M82" s="39" t="s">
        <v>201</v>
      </c>
      <c r="N82" s="39" t="s">
        <v>261</v>
      </c>
      <c r="O82" s="39" t="s">
        <v>262</v>
      </c>
      <c r="P82" s="39" t="s">
        <v>263</v>
      </c>
      <c r="Q82" s="39" t="s">
        <v>264</v>
      </c>
      <c r="R82" s="39" t="s">
        <v>112</v>
      </c>
      <c r="S82" s="39" t="s">
        <v>113</v>
      </c>
      <c r="T82" s="39" t="s">
        <v>114</v>
      </c>
      <c r="U82" s="39" t="s">
        <v>115</v>
      </c>
      <c r="V82" s="39" t="s">
        <v>116</v>
      </c>
      <c r="W82" s="39" t="s">
        <v>117</v>
      </c>
      <c r="X82" s="39" t="s">
        <v>118</v>
      </c>
      <c r="Y82" s="39" t="s">
        <v>119</v>
      </c>
      <c r="Z82" s="39" t="s">
        <v>120</v>
      </c>
      <c r="AA82" s="39" t="s">
        <v>121</v>
      </c>
      <c r="AB82" s="39" t="s">
        <v>122</v>
      </c>
      <c r="AC82" s="39" t="s">
        <v>123</v>
      </c>
      <c r="AD82" s="39" t="s">
        <v>124</v>
      </c>
      <c r="AE82" s="39" t="s">
        <v>125</v>
      </c>
      <c r="AF82" s="39" t="s">
        <v>126</v>
      </c>
      <c r="AH82" s="60"/>
      <c r="AI82" s="60"/>
      <c r="AJ82" s="60"/>
      <c r="AK82" s="60"/>
      <c r="AL82" s="60"/>
    </row>
    <row r="83" spans="1:41" s="65" customFormat="1">
      <c r="A83" s="63" t="s">
        <v>296</v>
      </c>
      <c r="B83" s="63" t="s">
        <v>298</v>
      </c>
      <c r="C83" s="63" t="s">
        <v>80</v>
      </c>
      <c r="D83" s="63" t="s">
        <v>238</v>
      </c>
      <c r="E83" s="63" t="s">
        <v>96</v>
      </c>
      <c r="F83" s="63"/>
      <c r="G83" s="63"/>
      <c r="H83" s="63" t="s">
        <v>154</v>
      </c>
      <c r="I83" s="63" t="s">
        <v>153</v>
      </c>
      <c r="J83" s="62" t="s">
        <v>159</v>
      </c>
      <c r="K83" s="63" t="s">
        <v>157</v>
      </c>
      <c r="L83" s="63"/>
      <c r="M83" s="63"/>
      <c r="N83" s="63"/>
      <c r="O83" s="63"/>
      <c r="P83" s="63"/>
      <c r="Q83" s="63"/>
      <c r="R83" s="62" t="s">
        <v>161</v>
      </c>
      <c r="S83" s="63" t="s">
        <v>163</v>
      </c>
      <c r="T83" s="63">
        <v>0</v>
      </c>
      <c r="U83" s="63">
        <v>118001</v>
      </c>
      <c r="V83" s="63" t="s">
        <v>129</v>
      </c>
      <c r="W83" s="63">
        <v>4</v>
      </c>
      <c r="X83" s="63">
        <v>200000</v>
      </c>
      <c r="Y83" s="63">
        <v>195000</v>
      </c>
      <c r="Z83" s="63">
        <v>102.6</v>
      </c>
      <c r="AA83" s="63">
        <v>5800000</v>
      </c>
      <c r="AB83" s="63">
        <v>2600000</v>
      </c>
      <c r="AC83" s="63">
        <v>44.8</v>
      </c>
      <c r="AD83" s="63">
        <v>2145000</v>
      </c>
      <c r="AE83" s="63">
        <v>121.2</v>
      </c>
      <c r="AF83" s="63" t="s">
        <v>75</v>
      </c>
      <c r="AH83" s="66"/>
    </row>
    <row r="84" spans="1:41" s="65" customFormat="1">
      <c r="A84" s="67" t="s">
        <v>296</v>
      </c>
      <c r="B84" s="67" t="s">
        <v>298</v>
      </c>
      <c r="C84" s="67" t="s">
        <v>80</v>
      </c>
      <c r="D84" s="67" t="s">
        <v>238</v>
      </c>
      <c r="E84" s="67" t="s">
        <v>96</v>
      </c>
      <c r="F84" s="67"/>
      <c r="G84" s="67"/>
      <c r="H84" s="67" t="s">
        <v>154</v>
      </c>
      <c r="I84" s="67" t="s">
        <v>153</v>
      </c>
      <c r="J84" s="67" t="s">
        <v>158</v>
      </c>
      <c r="K84" s="67" t="s">
        <v>156</v>
      </c>
      <c r="L84" s="67"/>
      <c r="M84" s="67"/>
      <c r="N84" s="67"/>
      <c r="O84" s="67"/>
      <c r="P84" s="67"/>
      <c r="Q84" s="67"/>
      <c r="R84" s="67" t="s">
        <v>160</v>
      </c>
      <c r="S84" s="67" t="s">
        <v>162</v>
      </c>
      <c r="T84" s="67">
        <v>0</v>
      </c>
      <c r="U84" s="67">
        <v>118002</v>
      </c>
      <c r="V84" s="67" t="s">
        <v>131</v>
      </c>
      <c r="W84" s="67">
        <v>4</v>
      </c>
      <c r="X84" s="67">
        <v>100000</v>
      </c>
      <c r="Y84" s="67">
        <v>95000</v>
      </c>
      <c r="Z84" s="67">
        <v>105.3</v>
      </c>
      <c r="AA84" s="67">
        <v>2400000</v>
      </c>
      <c r="AB84" s="67">
        <v>1300000</v>
      </c>
      <c r="AC84" s="67">
        <v>54.2</v>
      </c>
      <c r="AD84" s="67">
        <v>1045000</v>
      </c>
      <c r="AE84" s="67">
        <v>124.4</v>
      </c>
      <c r="AF84" s="67" t="s">
        <v>141</v>
      </c>
      <c r="AH84" s="66"/>
    </row>
    <row r="85" spans="1:41" s="65" customFormat="1">
      <c r="A85" s="63" t="s">
        <v>296</v>
      </c>
      <c r="B85" s="63" t="s">
        <v>298</v>
      </c>
      <c r="C85" s="63" t="s">
        <v>80</v>
      </c>
      <c r="D85" s="63" t="s">
        <v>238</v>
      </c>
      <c r="E85" s="63" t="s">
        <v>96</v>
      </c>
      <c r="F85" s="63"/>
      <c r="G85" s="63"/>
      <c r="H85" s="63" t="s">
        <v>154</v>
      </c>
      <c r="I85" s="63" t="s">
        <v>153</v>
      </c>
      <c r="J85" s="63" t="s">
        <v>158</v>
      </c>
      <c r="K85" s="63" t="s">
        <v>156</v>
      </c>
      <c r="L85" s="63"/>
      <c r="M85" s="63"/>
      <c r="N85" s="63"/>
      <c r="O85" s="63"/>
      <c r="P85" s="63"/>
      <c r="Q85" s="63"/>
      <c r="R85" s="63" t="s">
        <v>160</v>
      </c>
      <c r="S85" s="63" t="s">
        <v>162</v>
      </c>
      <c r="T85" s="63">
        <v>1</v>
      </c>
      <c r="U85" s="63"/>
      <c r="V85" s="63" t="s">
        <v>132</v>
      </c>
      <c r="W85" s="63">
        <v>4</v>
      </c>
      <c r="X85" s="63">
        <v>300000</v>
      </c>
      <c r="Y85" s="78">
        <v>290000</v>
      </c>
      <c r="Z85" s="63">
        <v>103.4</v>
      </c>
      <c r="AA85" s="63">
        <v>8200000</v>
      </c>
      <c r="AB85" s="63">
        <v>3900000</v>
      </c>
      <c r="AC85" s="63">
        <v>47.6</v>
      </c>
      <c r="AD85" s="63">
        <v>3190000</v>
      </c>
      <c r="AE85" s="63">
        <v>122.3</v>
      </c>
      <c r="AF85" s="63" t="s">
        <v>133</v>
      </c>
      <c r="AH85" s="66"/>
    </row>
    <row r="86" spans="1:41" s="65" customFormat="1">
      <c r="A86" s="67" t="s">
        <v>296</v>
      </c>
      <c r="B86" s="67" t="s">
        <v>298</v>
      </c>
      <c r="C86" s="67" t="s">
        <v>80</v>
      </c>
      <c r="D86" s="67" t="s">
        <v>238</v>
      </c>
      <c r="E86" s="67" t="s">
        <v>96</v>
      </c>
      <c r="F86" s="67"/>
      <c r="G86" s="67"/>
      <c r="H86" s="67" t="s">
        <v>154</v>
      </c>
      <c r="I86" s="67" t="s">
        <v>153</v>
      </c>
      <c r="J86" s="67" t="s">
        <v>158</v>
      </c>
      <c r="K86" s="67" t="s">
        <v>156</v>
      </c>
      <c r="L86" s="67"/>
      <c r="M86" s="67"/>
      <c r="N86" s="67"/>
      <c r="O86" s="67"/>
      <c r="P86" s="67"/>
      <c r="Q86" s="67"/>
      <c r="R86" s="67" t="s">
        <v>160</v>
      </c>
      <c r="S86" s="67" t="s">
        <v>162</v>
      </c>
      <c r="T86" s="67">
        <v>0</v>
      </c>
      <c r="U86" s="67">
        <v>118003</v>
      </c>
      <c r="V86" s="67" t="s">
        <v>134</v>
      </c>
      <c r="W86" s="67">
        <v>4</v>
      </c>
      <c r="X86" s="67">
        <v>50000</v>
      </c>
      <c r="Y86" s="79">
        <v>45000</v>
      </c>
      <c r="Z86" s="67">
        <v>111.1</v>
      </c>
      <c r="AA86" s="67">
        <v>1200000</v>
      </c>
      <c r="AB86" s="67">
        <v>650000</v>
      </c>
      <c r="AC86" s="67">
        <v>54.2</v>
      </c>
      <c r="AD86" s="67">
        <v>495000</v>
      </c>
      <c r="AE86" s="67">
        <v>131.30000000000001</v>
      </c>
      <c r="AF86" s="67" t="s">
        <v>135</v>
      </c>
      <c r="AH86" s="66"/>
    </row>
    <row r="87" spans="1:41" s="65" customFormat="1">
      <c r="A87" s="63" t="s">
        <v>296</v>
      </c>
      <c r="B87" s="63" t="s">
        <v>298</v>
      </c>
      <c r="C87" s="63" t="s">
        <v>80</v>
      </c>
      <c r="D87" s="63" t="s">
        <v>238</v>
      </c>
      <c r="E87" s="63" t="s">
        <v>96</v>
      </c>
      <c r="F87" s="63"/>
      <c r="G87" s="63"/>
      <c r="H87" s="63" t="s">
        <v>154</v>
      </c>
      <c r="I87" s="63" t="s">
        <v>153</v>
      </c>
      <c r="J87" s="63" t="s">
        <v>158</v>
      </c>
      <c r="K87" s="63" t="s">
        <v>156</v>
      </c>
      <c r="L87" s="63"/>
      <c r="M87" s="63"/>
      <c r="N87" s="63"/>
      <c r="O87" s="63"/>
      <c r="P87" s="63"/>
      <c r="Q87" s="63"/>
      <c r="R87" s="63" t="s">
        <v>160</v>
      </c>
      <c r="S87" s="63" t="s">
        <v>162</v>
      </c>
      <c r="T87" s="63">
        <v>0</v>
      </c>
      <c r="U87" s="63">
        <v>118004</v>
      </c>
      <c r="V87" s="63" t="s">
        <v>136</v>
      </c>
      <c r="W87" s="63">
        <v>4</v>
      </c>
      <c r="X87" s="63"/>
      <c r="Y87" s="63"/>
      <c r="Z87" s="74" t="s">
        <v>181</v>
      </c>
      <c r="AA87" s="63"/>
      <c r="AB87" s="63"/>
      <c r="AC87" s="74" t="s">
        <v>181</v>
      </c>
      <c r="AD87" s="63"/>
      <c r="AE87" s="74" t="s">
        <v>181</v>
      </c>
      <c r="AF87" s="63" t="s">
        <v>81</v>
      </c>
      <c r="AH87" s="66"/>
    </row>
    <row r="88" spans="1:41" s="65" customFormat="1">
      <c r="A88" s="67" t="s">
        <v>296</v>
      </c>
      <c r="B88" s="67" t="s">
        <v>298</v>
      </c>
      <c r="C88" s="67" t="s">
        <v>80</v>
      </c>
      <c r="D88" s="67" t="s">
        <v>238</v>
      </c>
      <c r="E88" s="67" t="s">
        <v>96</v>
      </c>
      <c r="F88" s="67"/>
      <c r="G88" s="67"/>
      <c r="H88" s="67" t="s">
        <v>154</v>
      </c>
      <c r="I88" s="67" t="s">
        <v>153</v>
      </c>
      <c r="J88" s="67" t="s">
        <v>158</v>
      </c>
      <c r="K88" s="67" t="s">
        <v>156</v>
      </c>
      <c r="L88" s="67"/>
      <c r="M88" s="67"/>
      <c r="N88" s="67"/>
      <c r="O88" s="67"/>
      <c r="P88" s="67"/>
      <c r="Q88" s="67"/>
      <c r="R88" s="67" t="s">
        <v>160</v>
      </c>
      <c r="S88" s="67" t="s">
        <v>162</v>
      </c>
      <c r="T88" s="67">
        <v>1</v>
      </c>
      <c r="U88" s="67"/>
      <c r="V88" s="67" t="s">
        <v>138</v>
      </c>
      <c r="W88" s="67">
        <v>4</v>
      </c>
      <c r="X88" s="67">
        <v>50000</v>
      </c>
      <c r="Y88" s="67">
        <v>45000</v>
      </c>
      <c r="Z88" s="67">
        <v>111.1</v>
      </c>
      <c r="AA88" s="67">
        <v>1200000</v>
      </c>
      <c r="AB88" s="67">
        <v>650000</v>
      </c>
      <c r="AC88" s="67">
        <v>54.2</v>
      </c>
      <c r="AD88" s="67">
        <v>495000</v>
      </c>
      <c r="AE88" s="67">
        <v>131.30000000000001</v>
      </c>
      <c r="AF88" s="67" t="s">
        <v>139</v>
      </c>
      <c r="AH88" s="66"/>
    </row>
    <row r="89" spans="1:41">
      <c r="AH89" s="60"/>
      <c r="AI89" s="60"/>
      <c r="AM89" s="47"/>
      <c r="AO89" s="60"/>
    </row>
    <row r="90" spans="1:41">
      <c r="AH90" s="60"/>
      <c r="AI90" s="60"/>
      <c r="AM90" s="47"/>
      <c r="AO90" s="60"/>
    </row>
    <row r="91" spans="1:41">
      <c r="AH91" s="60"/>
      <c r="AI91" s="60"/>
      <c r="AM91" s="47"/>
      <c r="AO91" s="60"/>
    </row>
    <row r="92" spans="1:41">
      <c r="AH92" s="60"/>
      <c r="AI92" s="60"/>
      <c r="AM92" s="47"/>
      <c r="AO92" s="60"/>
    </row>
    <row r="93" spans="1:41">
      <c r="AH93" s="60"/>
      <c r="AI93" s="60"/>
      <c r="AM93" s="47"/>
      <c r="AO93" s="60"/>
    </row>
    <row r="94" spans="1:41">
      <c r="AH94" s="60"/>
      <c r="AI94" s="60"/>
      <c r="AM94" s="47"/>
      <c r="AO94" s="60"/>
    </row>
    <row r="95" spans="1:41" s="47" customFormat="1" ht="26.4">
      <c r="A95" s="37" t="s">
        <v>103</v>
      </c>
      <c r="B95" s="37" t="s">
        <v>104</v>
      </c>
      <c r="C95" s="38" t="s">
        <v>173</v>
      </c>
      <c r="D95" s="38" t="s">
        <v>174</v>
      </c>
      <c r="E95" s="38" t="s">
        <v>105</v>
      </c>
      <c r="F95" s="37" t="s">
        <v>106</v>
      </c>
      <c r="G95" s="37" t="s">
        <v>107</v>
      </c>
      <c r="H95" s="39" t="s">
        <v>108</v>
      </c>
      <c r="I95" s="39" t="s">
        <v>109</v>
      </c>
      <c r="J95" s="39" t="s">
        <v>110</v>
      </c>
      <c r="K95" s="39" t="s">
        <v>111</v>
      </c>
      <c r="L95" s="39" t="s">
        <v>200</v>
      </c>
      <c r="M95" s="39" t="s">
        <v>201</v>
      </c>
      <c r="N95" s="39" t="s">
        <v>261</v>
      </c>
      <c r="O95" s="39" t="s">
        <v>262</v>
      </c>
      <c r="P95" s="39" t="s">
        <v>263</v>
      </c>
      <c r="Q95" s="39" t="s">
        <v>264</v>
      </c>
      <c r="R95" s="39" t="s">
        <v>112</v>
      </c>
      <c r="S95" s="39" t="s">
        <v>113</v>
      </c>
      <c r="T95" s="39" t="s">
        <v>114</v>
      </c>
      <c r="U95" s="39" t="s">
        <v>115</v>
      </c>
      <c r="V95" s="39" t="s">
        <v>116</v>
      </c>
      <c r="W95" s="39" t="s">
        <v>117</v>
      </c>
      <c r="X95" s="39" t="s">
        <v>118</v>
      </c>
      <c r="Y95" s="39" t="s">
        <v>119</v>
      </c>
      <c r="Z95" s="39" t="s">
        <v>120</v>
      </c>
      <c r="AA95" s="39" t="s">
        <v>121</v>
      </c>
      <c r="AB95" s="39" t="s">
        <v>122</v>
      </c>
      <c r="AC95" s="39" t="s">
        <v>123</v>
      </c>
      <c r="AD95" s="39" t="s">
        <v>124</v>
      </c>
      <c r="AE95" s="39" t="s">
        <v>125</v>
      </c>
      <c r="AF95" s="39" t="s">
        <v>126</v>
      </c>
      <c r="AH95" s="60"/>
      <c r="AI95" s="60"/>
      <c r="AJ95" s="60"/>
      <c r="AK95" s="60"/>
      <c r="AL95" s="60"/>
    </row>
    <row r="96" spans="1:41">
      <c r="A96" s="63" t="s">
        <v>296</v>
      </c>
      <c r="B96" s="63" t="s">
        <v>298</v>
      </c>
      <c r="C96" s="63" t="s">
        <v>80</v>
      </c>
      <c r="D96" s="63" t="s">
        <v>238</v>
      </c>
      <c r="E96" s="63" t="s">
        <v>96</v>
      </c>
      <c r="F96" s="63" t="s">
        <v>130</v>
      </c>
      <c r="G96" s="63" t="s">
        <v>128</v>
      </c>
      <c r="H96" s="63" t="s">
        <v>154</v>
      </c>
      <c r="I96" s="63" t="s">
        <v>153</v>
      </c>
      <c r="J96" s="62" t="s">
        <v>159</v>
      </c>
      <c r="K96" s="63" t="s">
        <v>157</v>
      </c>
      <c r="L96" s="63"/>
      <c r="M96" s="63"/>
      <c r="N96" s="63"/>
      <c r="O96" s="63"/>
      <c r="P96" s="63"/>
      <c r="Q96" s="63"/>
      <c r="R96" s="62" t="s">
        <v>161</v>
      </c>
      <c r="S96" s="63" t="s">
        <v>163</v>
      </c>
      <c r="T96" s="63">
        <v>0</v>
      </c>
      <c r="U96" s="63">
        <v>118001</v>
      </c>
      <c r="V96" s="63" t="s">
        <v>129</v>
      </c>
      <c r="W96" s="63">
        <v>4</v>
      </c>
      <c r="X96" s="63">
        <v>200000</v>
      </c>
      <c r="Y96" s="63">
        <v>195000</v>
      </c>
      <c r="Z96" s="63">
        <v>102.6</v>
      </c>
      <c r="AA96" s="63">
        <v>5800000</v>
      </c>
      <c r="AB96" s="63">
        <v>2600000</v>
      </c>
      <c r="AC96" s="63">
        <v>44.8</v>
      </c>
      <c r="AD96" s="63">
        <v>2145000</v>
      </c>
      <c r="AE96" s="63">
        <v>121.2</v>
      </c>
      <c r="AF96" s="63" t="s">
        <v>75</v>
      </c>
      <c r="AH96" s="60"/>
      <c r="AI96" s="60"/>
      <c r="AM96" s="47"/>
      <c r="AO96" s="60"/>
    </row>
    <row r="97" spans="1:41">
      <c r="A97" s="67" t="s">
        <v>296</v>
      </c>
      <c r="B97" s="67" t="s">
        <v>298</v>
      </c>
      <c r="C97" s="67" t="s">
        <v>80</v>
      </c>
      <c r="D97" s="67" t="s">
        <v>238</v>
      </c>
      <c r="E97" s="67" t="s">
        <v>96</v>
      </c>
      <c r="F97" s="67" t="s">
        <v>130</v>
      </c>
      <c r="G97" s="67" t="s">
        <v>128</v>
      </c>
      <c r="H97" s="67" t="s">
        <v>154</v>
      </c>
      <c r="I97" s="67" t="s">
        <v>153</v>
      </c>
      <c r="J97" s="67" t="s">
        <v>158</v>
      </c>
      <c r="K97" s="67" t="s">
        <v>156</v>
      </c>
      <c r="L97" s="67"/>
      <c r="M97" s="67"/>
      <c r="N97" s="67"/>
      <c r="O97" s="67"/>
      <c r="P97" s="67"/>
      <c r="Q97" s="67"/>
      <c r="R97" s="67" t="s">
        <v>160</v>
      </c>
      <c r="S97" s="67" t="s">
        <v>162</v>
      </c>
      <c r="T97" s="67">
        <v>0</v>
      </c>
      <c r="U97" s="67">
        <v>118002</v>
      </c>
      <c r="V97" s="67" t="s">
        <v>131</v>
      </c>
      <c r="W97" s="67">
        <v>4</v>
      </c>
      <c r="X97" s="67">
        <v>100000</v>
      </c>
      <c r="Y97" s="67">
        <v>95000</v>
      </c>
      <c r="Z97" s="67">
        <v>105.3</v>
      </c>
      <c r="AA97" s="67">
        <v>2400000</v>
      </c>
      <c r="AB97" s="67">
        <v>1300000</v>
      </c>
      <c r="AC97" s="67">
        <v>54.2</v>
      </c>
      <c r="AD97" s="67">
        <v>1045000</v>
      </c>
      <c r="AE97" s="67">
        <v>124.4</v>
      </c>
      <c r="AF97" s="67" t="s">
        <v>141</v>
      </c>
      <c r="AH97" s="60"/>
      <c r="AI97" s="60"/>
      <c r="AM97" s="47"/>
      <c r="AO97" s="60"/>
    </row>
    <row r="98" spans="1:41">
      <c r="A98" s="63" t="s">
        <v>296</v>
      </c>
      <c r="B98" s="63" t="s">
        <v>298</v>
      </c>
      <c r="C98" s="63" t="s">
        <v>80</v>
      </c>
      <c r="D98" s="63" t="s">
        <v>238</v>
      </c>
      <c r="E98" s="63" t="s">
        <v>96</v>
      </c>
      <c r="F98" s="63" t="s">
        <v>130</v>
      </c>
      <c r="G98" s="63" t="s">
        <v>128</v>
      </c>
      <c r="H98" s="63" t="s">
        <v>154</v>
      </c>
      <c r="I98" s="63" t="s">
        <v>153</v>
      </c>
      <c r="J98" s="63" t="s">
        <v>158</v>
      </c>
      <c r="K98" s="63" t="s">
        <v>156</v>
      </c>
      <c r="L98" s="63"/>
      <c r="M98" s="63"/>
      <c r="N98" s="63"/>
      <c r="O98" s="63"/>
      <c r="P98" s="63"/>
      <c r="Q98" s="63"/>
      <c r="R98" s="63" t="s">
        <v>160</v>
      </c>
      <c r="S98" s="63" t="s">
        <v>162</v>
      </c>
      <c r="T98" s="63">
        <v>1</v>
      </c>
      <c r="U98" s="63"/>
      <c r="V98" s="63" t="s">
        <v>132</v>
      </c>
      <c r="W98" s="63">
        <v>4</v>
      </c>
      <c r="X98" s="63">
        <v>300000</v>
      </c>
      <c r="Y98" s="78">
        <v>290000</v>
      </c>
      <c r="Z98" s="63">
        <v>103.4</v>
      </c>
      <c r="AA98" s="63">
        <v>8200000</v>
      </c>
      <c r="AB98" s="63">
        <v>3900000</v>
      </c>
      <c r="AC98" s="63">
        <v>47.6</v>
      </c>
      <c r="AD98" s="63">
        <v>3190000</v>
      </c>
      <c r="AE98" s="63">
        <v>122.3</v>
      </c>
      <c r="AF98" s="63" t="s">
        <v>133</v>
      </c>
      <c r="AH98" s="60"/>
      <c r="AI98" s="60"/>
      <c r="AM98" s="47"/>
      <c r="AO98" s="60"/>
    </row>
    <row r="99" spans="1:41">
      <c r="A99" s="67" t="s">
        <v>296</v>
      </c>
      <c r="B99" s="67" t="s">
        <v>298</v>
      </c>
      <c r="C99" s="67" t="s">
        <v>80</v>
      </c>
      <c r="D99" s="67" t="s">
        <v>238</v>
      </c>
      <c r="E99" s="67" t="s">
        <v>96</v>
      </c>
      <c r="F99" s="67" t="s">
        <v>130</v>
      </c>
      <c r="G99" s="67" t="s">
        <v>128</v>
      </c>
      <c r="H99" s="67" t="s">
        <v>154</v>
      </c>
      <c r="I99" s="67" t="s">
        <v>153</v>
      </c>
      <c r="J99" s="67" t="s">
        <v>158</v>
      </c>
      <c r="K99" s="67" t="s">
        <v>156</v>
      </c>
      <c r="L99" s="67"/>
      <c r="M99" s="67"/>
      <c r="N99" s="67"/>
      <c r="O99" s="67"/>
      <c r="P99" s="67"/>
      <c r="Q99" s="67"/>
      <c r="R99" s="67" t="s">
        <v>160</v>
      </c>
      <c r="S99" s="67" t="s">
        <v>162</v>
      </c>
      <c r="T99" s="67">
        <v>0</v>
      </c>
      <c r="U99" s="67">
        <v>118003</v>
      </c>
      <c r="V99" s="67" t="s">
        <v>134</v>
      </c>
      <c r="W99" s="67">
        <v>4</v>
      </c>
      <c r="X99" s="67">
        <v>50000</v>
      </c>
      <c r="Y99" s="79">
        <v>45000</v>
      </c>
      <c r="Z99" s="67">
        <v>111.1</v>
      </c>
      <c r="AA99" s="67">
        <v>1200000</v>
      </c>
      <c r="AB99" s="67">
        <v>650000</v>
      </c>
      <c r="AC99" s="67">
        <v>54.2</v>
      </c>
      <c r="AD99" s="67">
        <v>495000</v>
      </c>
      <c r="AE99" s="67">
        <v>131.30000000000001</v>
      </c>
      <c r="AF99" s="67" t="s">
        <v>135</v>
      </c>
      <c r="AH99" s="60"/>
      <c r="AI99" s="60"/>
      <c r="AM99" s="47"/>
      <c r="AO99" s="60"/>
    </row>
    <row r="100" spans="1:41">
      <c r="A100" s="63" t="s">
        <v>296</v>
      </c>
      <c r="B100" s="63" t="s">
        <v>298</v>
      </c>
      <c r="C100" s="63" t="s">
        <v>80</v>
      </c>
      <c r="D100" s="63" t="s">
        <v>238</v>
      </c>
      <c r="E100" s="63" t="s">
        <v>96</v>
      </c>
      <c r="F100" s="63" t="s">
        <v>130</v>
      </c>
      <c r="G100" s="63" t="s">
        <v>128</v>
      </c>
      <c r="H100" s="63" t="s">
        <v>154</v>
      </c>
      <c r="I100" s="63" t="s">
        <v>153</v>
      </c>
      <c r="J100" s="63" t="s">
        <v>158</v>
      </c>
      <c r="K100" s="63" t="s">
        <v>156</v>
      </c>
      <c r="L100" s="63"/>
      <c r="M100" s="63"/>
      <c r="N100" s="63"/>
      <c r="O100" s="63"/>
      <c r="P100" s="63"/>
      <c r="Q100" s="63"/>
      <c r="R100" s="63" t="s">
        <v>160</v>
      </c>
      <c r="S100" s="63" t="s">
        <v>162</v>
      </c>
      <c r="T100" s="63">
        <v>0</v>
      </c>
      <c r="U100" s="63">
        <v>118004</v>
      </c>
      <c r="V100" s="63" t="s">
        <v>136</v>
      </c>
      <c r="W100" s="63">
        <v>4</v>
      </c>
      <c r="X100" s="63"/>
      <c r="Y100" s="63"/>
      <c r="Z100" s="74" t="s">
        <v>181</v>
      </c>
      <c r="AA100" s="63"/>
      <c r="AB100" s="63"/>
      <c r="AC100" s="74" t="s">
        <v>181</v>
      </c>
      <c r="AD100" s="63"/>
      <c r="AE100" s="74" t="s">
        <v>181</v>
      </c>
      <c r="AF100" s="63" t="s">
        <v>81</v>
      </c>
      <c r="AH100" s="60"/>
      <c r="AI100" s="60"/>
      <c r="AM100" s="47"/>
      <c r="AO100" s="60"/>
    </row>
    <row r="101" spans="1:41">
      <c r="A101" s="67" t="s">
        <v>296</v>
      </c>
      <c r="B101" s="67" t="s">
        <v>298</v>
      </c>
      <c r="C101" s="67" t="s">
        <v>80</v>
      </c>
      <c r="D101" s="67" t="s">
        <v>238</v>
      </c>
      <c r="E101" s="67" t="s">
        <v>96</v>
      </c>
      <c r="F101" s="67" t="s">
        <v>130</v>
      </c>
      <c r="G101" s="67" t="s">
        <v>128</v>
      </c>
      <c r="H101" s="67" t="s">
        <v>154</v>
      </c>
      <c r="I101" s="67" t="s">
        <v>153</v>
      </c>
      <c r="J101" s="67" t="s">
        <v>158</v>
      </c>
      <c r="K101" s="67" t="s">
        <v>156</v>
      </c>
      <c r="L101" s="67"/>
      <c r="M101" s="67"/>
      <c r="N101" s="67"/>
      <c r="O101" s="67"/>
      <c r="P101" s="67"/>
      <c r="Q101" s="67"/>
      <c r="R101" s="67" t="s">
        <v>160</v>
      </c>
      <c r="S101" s="67" t="s">
        <v>162</v>
      </c>
      <c r="T101" s="67">
        <v>1</v>
      </c>
      <c r="U101" s="67"/>
      <c r="V101" s="67" t="s">
        <v>138</v>
      </c>
      <c r="W101" s="67">
        <v>4</v>
      </c>
      <c r="X101" s="67">
        <v>50000</v>
      </c>
      <c r="Y101" s="67">
        <v>45000</v>
      </c>
      <c r="Z101" s="67">
        <v>111.1</v>
      </c>
      <c r="AA101" s="67">
        <v>1200000</v>
      </c>
      <c r="AB101" s="67">
        <v>650000</v>
      </c>
      <c r="AC101" s="67">
        <v>54.2</v>
      </c>
      <c r="AD101" s="67">
        <v>495000</v>
      </c>
      <c r="AE101" s="67">
        <v>131.30000000000001</v>
      </c>
      <c r="AF101" s="67" t="s">
        <v>139</v>
      </c>
      <c r="AH101" s="60"/>
      <c r="AI101" s="60"/>
      <c r="AM101" s="47"/>
      <c r="AO101" s="60"/>
    </row>
    <row r="102" spans="1:41">
      <c r="AH102" s="60"/>
      <c r="AI102" s="60"/>
      <c r="AM102" s="47"/>
      <c r="AO102" s="60"/>
    </row>
  </sheetData>
  <phoneticPr fontId="1"/>
  <pageMargins left="0.70866141732283472" right="0.70866141732283472" top="0.74803149606299213" bottom="0.74803149606299213" header="0.31496062992125984" footer="0.31496062992125984"/>
  <pageSetup paperSize="9" scale="30" fitToHeight="0" orientation="landscape" r:id="rId1"/>
  <headerFooter>
    <oddHeader>&amp;L&amp;A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E573-5180-49A9-AE4A-21466B0616C8}">
  <sheetPr codeName="Sheet5">
    <pageSetUpPr fitToPage="1"/>
  </sheetPr>
  <dimension ref="A11:AO406"/>
  <sheetViews>
    <sheetView view="pageBreakPreview" zoomScaleNormal="40" zoomScaleSheetLayoutView="100" workbookViewId="0"/>
  </sheetViews>
  <sheetFormatPr defaultColWidth="9" defaultRowHeight="13.2"/>
  <cols>
    <col min="1" max="2" width="11.33203125" style="60" customWidth="1"/>
    <col min="3" max="3" width="9.88671875" style="60" bestFit="1" customWidth="1"/>
    <col min="4" max="4" width="14.44140625" style="60" bestFit="1" customWidth="1"/>
    <col min="5" max="5" width="8.44140625" style="47" customWidth="1"/>
    <col min="6" max="6" width="10.109375" style="60" customWidth="1"/>
    <col min="7" max="7" width="11.6640625" style="60" customWidth="1"/>
    <col min="8" max="8" width="10.21875" style="60" customWidth="1"/>
    <col min="9" max="9" width="17.6640625" style="47" customWidth="1"/>
    <col min="10" max="10" width="10.6640625" style="47" customWidth="1"/>
    <col min="11" max="11" width="15.6640625" style="47" customWidth="1"/>
    <col min="12" max="12" width="22.44140625" style="47" customWidth="1"/>
    <col min="13" max="13" width="21.44140625" style="47" customWidth="1"/>
    <col min="14" max="14" width="23.21875" style="47" customWidth="1"/>
    <col min="15" max="15" width="23.109375" style="47" customWidth="1"/>
    <col min="16" max="16" width="21.44140625" style="47" customWidth="1"/>
    <col min="17" max="17" width="24.88671875" style="47" customWidth="1"/>
    <col min="18" max="18" width="10.33203125" style="47" customWidth="1"/>
    <col min="19" max="20" width="13.109375" style="47" customWidth="1"/>
    <col min="21" max="21" width="13.44140625" style="47" customWidth="1"/>
    <col min="22" max="22" width="23.33203125" style="47" bestFit="1" customWidth="1"/>
    <col min="23" max="23" width="13.44140625" style="47" customWidth="1"/>
    <col min="24" max="24" width="23.33203125" style="47" bestFit="1" customWidth="1"/>
    <col min="25" max="26" width="16.109375" style="47" bestFit="1" customWidth="1"/>
    <col min="27" max="27" width="16.77734375" style="60" customWidth="1"/>
    <col min="28" max="28" width="10" style="47" customWidth="1"/>
    <col min="29" max="29" width="16.44140625" style="47" customWidth="1"/>
    <col min="30" max="30" width="16.109375" style="47" bestFit="1" customWidth="1"/>
    <col min="31" max="31" width="10" style="47" customWidth="1"/>
    <col min="32" max="32" width="17.33203125" style="47" customWidth="1"/>
    <col min="33" max="34" width="10" style="47" customWidth="1"/>
    <col min="35" max="35" width="17.21875" style="47" customWidth="1"/>
    <col min="36" max="38" width="17.21875" style="60" customWidth="1"/>
    <col min="39" max="39" width="12.109375" style="60" bestFit="1" customWidth="1"/>
    <col min="40" max="40" width="11" style="60" bestFit="1" customWidth="1"/>
    <col min="41" max="41" width="8" style="47" bestFit="1" customWidth="1"/>
    <col min="42" max="42" width="13.44140625" style="60" bestFit="1" customWidth="1"/>
    <col min="43" max="50" width="6" style="60" bestFit="1" customWidth="1"/>
    <col min="51" max="51" width="7" style="60" bestFit="1" customWidth="1"/>
    <col min="52" max="52" width="6" style="60" bestFit="1" customWidth="1"/>
    <col min="53" max="53" width="7" style="60" bestFit="1" customWidth="1"/>
    <col min="54" max="54" width="6" style="60" bestFit="1" customWidth="1"/>
    <col min="55" max="16384" width="9" style="60"/>
  </cols>
  <sheetData>
    <row r="11" spans="1:34" ht="16.2">
      <c r="A11" s="52" t="s">
        <v>183</v>
      </c>
      <c r="C11" s="47"/>
      <c r="D11" s="47"/>
    </row>
    <row r="12" spans="1:34" s="61" customFormat="1" ht="33.75" customHeight="1">
      <c r="A12" s="37" t="s">
        <v>103</v>
      </c>
      <c r="B12" s="37" t="s">
        <v>104</v>
      </c>
      <c r="C12" s="38" t="s">
        <v>173</v>
      </c>
      <c r="D12" s="38" t="s">
        <v>174</v>
      </c>
      <c r="E12" s="38" t="s">
        <v>105</v>
      </c>
      <c r="F12" s="37" t="s">
        <v>106</v>
      </c>
      <c r="G12" s="37" t="s">
        <v>107</v>
      </c>
      <c r="H12" s="39" t="s">
        <v>108</v>
      </c>
      <c r="I12" s="39" t="s">
        <v>109</v>
      </c>
      <c r="J12" s="39" t="s">
        <v>110</v>
      </c>
      <c r="K12" s="39" t="s">
        <v>111</v>
      </c>
      <c r="L12" s="39" t="s">
        <v>200</v>
      </c>
      <c r="M12" s="39" t="s">
        <v>201</v>
      </c>
      <c r="N12" s="39" t="s">
        <v>261</v>
      </c>
      <c r="O12" s="39" t="s">
        <v>262</v>
      </c>
      <c r="P12" s="39" t="s">
        <v>263</v>
      </c>
      <c r="Q12" s="39" t="s">
        <v>264</v>
      </c>
      <c r="R12" s="39" t="s">
        <v>112</v>
      </c>
      <c r="S12" s="39" t="s">
        <v>113</v>
      </c>
      <c r="T12" s="39" t="s">
        <v>114</v>
      </c>
      <c r="U12" s="39" t="s">
        <v>115</v>
      </c>
      <c r="V12" s="39" t="s">
        <v>116</v>
      </c>
      <c r="W12" s="39" t="s">
        <v>117</v>
      </c>
      <c r="X12" s="39" t="s">
        <v>118</v>
      </c>
      <c r="Y12" s="53" t="s">
        <v>119</v>
      </c>
      <c r="Z12" s="39" t="s">
        <v>120</v>
      </c>
      <c r="AA12" s="39" t="s">
        <v>121</v>
      </c>
      <c r="AB12" s="39" t="s">
        <v>122</v>
      </c>
      <c r="AC12" s="39" t="s">
        <v>123</v>
      </c>
      <c r="AD12" s="39" t="s">
        <v>124</v>
      </c>
      <c r="AE12" s="39" t="s">
        <v>125</v>
      </c>
      <c r="AF12" s="39" t="s">
        <v>126</v>
      </c>
    </row>
    <row r="13" spans="1:34" s="65" customFormat="1">
      <c r="A13" s="62" t="s">
        <v>297</v>
      </c>
      <c r="B13" s="62" t="s">
        <v>299</v>
      </c>
      <c r="C13" s="62" t="s">
        <v>180</v>
      </c>
      <c r="D13" s="63" t="s">
        <v>172</v>
      </c>
      <c r="E13" s="63" t="s">
        <v>127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>
        <v>0</v>
      </c>
      <c r="U13" s="63">
        <v>118001</v>
      </c>
      <c r="V13" s="63" t="s">
        <v>129</v>
      </c>
      <c r="W13" s="63">
        <v>4</v>
      </c>
      <c r="X13" s="63">
        <f>SUM(X28,X22,X36,X42)</f>
        <v>5200000</v>
      </c>
      <c r="Y13" s="63">
        <f>SUM(Y28,Y22,Y36,Y42)</f>
        <v>5070000</v>
      </c>
      <c r="Z13" s="64">
        <f>X13/Y13*100</f>
        <v>102.56410256410255</v>
      </c>
      <c r="AA13" s="63">
        <f>SUM(AA28,AA22,AA36,AA42)</f>
        <v>150800000</v>
      </c>
      <c r="AB13" s="63">
        <f>SUM(AB28,AB22,AB36,AB42)</f>
        <v>67600000</v>
      </c>
      <c r="AC13" s="64">
        <f>AB13/AA13*100</f>
        <v>44.827586206896555</v>
      </c>
      <c r="AD13" s="63">
        <f>SUM(AD28,AD22,AD36,AD42)</f>
        <v>55770000</v>
      </c>
      <c r="AE13" s="64">
        <f>AB13/AD13*100</f>
        <v>121.21212121212122</v>
      </c>
      <c r="AF13" s="63" t="s">
        <v>75</v>
      </c>
      <c r="AH13" s="66"/>
    </row>
    <row r="14" spans="1:34" s="65" customFormat="1">
      <c r="A14" s="67" t="s">
        <v>296</v>
      </c>
      <c r="B14" s="67" t="s">
        <v>298</v>
      </c>
      <c r="C14" s="67" t="s">
        <v>179</v>
      </c>
      <c r="D14" s="67" t="s">
        <v>172</v>
      </c>
      <c r="E14" s="67" t="s">
        <v>127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>
        <v>0</v>
      </c>
      <c r="U14" s="67">
        <v>118002</v>
      </c>
      <c r="V14" s="67" t="s">
        <v>131</v>
      </c>
      <c r="W14" s="67">
        <v>4</v>
      </c>
      <c r="X14" s="67">
        <f>SUM(X29,X23,X37,X43)</f>
        <v>2600000</v>
      </c>
      <c r="Y14" s="67">
        <f>SUM(Y29,Y23,Y37,Y43)</f>
        <v>2470000</v>
      </c>
      <c r="Z14" s="68">
        <f t="shared" ref="Z14:Z16" si="0">X14/Y14*100</f>
        <v>105.26315789473684</v>
      </c>
      <c r="AA14" s="67">
        <f>SUM(AA29,AA23,AA37,AA43)</f>
        <v>62400000</v>
      </c>
      <c r="AB14" s="67">
        <f>SUM(AB29,AB23,AB37,AB43)</f>
        <v>33800000</v>
      </c>
      <c r="AC14" s="68">
        <f t="shared" ref="AC14:AC16" si="1">AB14/AA14*100</f>
        <v>54.166666666666664</v>
      </c>
      <c r="AD14" s="67">
        <f>SUM(AD29,AD23,AD37,AD43)</f>
        <v>27170000</v>
      </c>
      <c r="AE14" s="68">
        <f t="shared" ref="AE14:AE18" si="2">AB14/AD14*100</f>
        <v>124.4019138755981</v>
      </c>
      <c r="AF14" s="67" t="s">
        <v>78</v>
      </c>
      <c r="AH14" s="66"/>
    </row>
    <row r="15" spans="1:34" s="65" customFormat="1">
      <c r="A15" s="63" t="s">
        <v>296</v>
      </c>
      <c r="B15" s="63" t="s">
        <v>298</v>
      </c>
      <c r="C15" s="63" t="s">
        <v>179</v>
      </c>
      <c r="D15" s="63" t="s">
        <v>172</v>
      </c>
      <c r="E15" s="63" t="s">
        <v>96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>
        <v>1</v>
      </c>
      <c r="U15" s="63"/>
      <c r="V15" s="63" t="s">
        <v>132</v>
      </c>
      <c r="W15" s="63">
        <v>4</v>
      </c>
      <c r="X15" s="63">
        <f>SUM(X13:X14)</f>
        <v>7800000</v>
      </c>
      <c r="Y15" s="63">
        <f>SUM(Y13:Y14)</f>
        <v>7540000</v>
      </c>
      <c r="Z15" s="64">
        <f t="shared" si="0"/>
        <v>103.44827586206897</v>
      </c>
      <c r="AA15" s="63">
        <f>SUM(AA13:AA14)</f>
        <v>213200000</v>
      </c>
      <c r="AB15" s="63">
        <f>SUM(AB13:AB14)</f>
        <v>101400000</v>
      </c>
      <c r="AC15" s="64">
        <f t="shared" si="1"/>
        <v>47.560975609756099</v>
      </c>
      <c r="AD15" s="63">
        <f>SUM(AD13:AD14)</f>
        <v>82940000</v>
      </c>
      <c r="AE15" s="64">
        <f t="shared" si="2"/>
        <v>122.25705329153604</v>
      </c>
      <c r="AF15" s="63" t="s">
        <v>316</v>
      </c>
      <c r="AH15" s="66"/>
    </row>
    <row r="16" spans="1:34" s="65" customFormat="1">
      <c r="A16" s="67" t="s">
        <v>296</v>
      </c>
      <c r="B16" s="67" t="s">
        <v>298</v>
      </c>
      <c r="C16" s="67" t="s">
        <v>179</v>
      </c>
      <c r="D16" s="67" t="s">
        <v>172</v>
      </c>
      <c r="E16" s="67" t="s">
        <v>96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>
        <v>0</v>
      </c>
      <c r="U16" s="67">
        <v>118003</v>
      </c>
      <c r="V16" s="67" t="s">
        <v>134</v>
      </c>
      <c r="W16" s="67">
        <v>4</v>
      </c>
      <c r="X16" s="67">
        <f>SUM(X31,X25,X39,X45)</f>
        <v>750000</v>
      </c>
      <c r="Y16" s="67">
        <f>SUM(Y31,Y25,Y39,Y45)</f>
        <v>675000</v>
      </c>
      <c r="Z16" s="68">
        <f t="shared" si="0"/>
        <v>111.11111111111111</v>
      </c>
      <c r="AA16" s="67">
        <f>SUM(AA31,AA25,AA39,AA45)</f>
        <v>18000000</v>
      </c>
      <c r="AB16" s="67">
        <f>SUM(AB31,AB25,AB39,AB45)</f>
        <v>9750000</v>
      </c>
      <c r="AC16" s="68">
        <f t="shared" si="1"/>
        <v>54.166666666666664</v>
      </c>
      <c r="AD16" s="67">
        <f>SUM(AD31,AD25,AD39,AD45)</f>
        <v>7425000</v>
      </c>
      <c r="AE16" s="68">
        <f t="shared" si="2"/>
        <v>131.31313131313132</v>
      </c>
      <c r="AF16" s="67" t="s">
        <v>82</v>
      </c>
      <c r="AH16" s="66"/>
    </row>
    <row r="17" spans="1:34" s="65" customFormat="1">
      <c r="A17" s="63" t="s">
        <v>296</v>
      </c>
      <c r="B17" s="63" t="s">
        <v>298</v>
      </c>
      <c r="C17" s="63" t="s">
        <v>179</v>
      </c>
      <c r="D17" s="63" t="s">
        <v>172</v>
      </c>
      <c r="E17" s="63" t="s">
        <v>96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>
        <v>0</v>
      </c>
      <c r="U17" s="63">
        <v>118004</v>
      </c>
      <c r="V17" s="63" t="s">
        <v>136</v>
      </c>
      <c r="W17" s="63">
        <v>4</v>
      </c>
      <c r="X17" s="63"/>
      <c r="Y17" s="63"/>
      <c r="Z17" s="69" t="s">
        <v>182</v>
      </c>
      <c r="AA17" s="63"/>
      <c r="AB17" s="63"/>
      <c r="AC17" s="69" t="s">
        <v>182</v>
      </c>
      <c r="AD17" s="63"/>
      <c r="AE17" s="64">
        <v>0</v>
      </c>
      <c r="AF17" s="63" t="s">
        <v>81</v>
      </c>
      <c r="AH17" s="66"/>
    </row>
    <row r="18" spans="1:34" s="65" customFormat="1">
      <c r="A18" s="67" t="s">
        <v>296</v>
      </c>
      <c r="B18" s="67" t="s">
        <v>298</v>
      </c>
      <c r="C18" s="67" t="s">
        <v>179</v>
      </c>
      <c r="D18" s="67" t="s">
        <v>172</v>
      </c>
      <c r="E18" s="67" t="s">
        <v>96</v>
      </c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>
        <v>1</v>
      </c>
      <c r="U18" s="67"/>
      <c r="V18" s="67" t="s">
        <v>138</v>
      </c>
      <c r="W18" s="67">
        <v>4</v>
      </c>
      <c r="X18" s="67">
        <f>SUM(X16:X17)</f>
        <v>750000</v>
      </c>
      <c r="Y18" s="67">
        <f t="shared" ref="Y18" si="3">SUM(Y16:Y17)</f>
        <v>675000</v>
      </c>
      <c r="Z18" s="68">
        <f>X18/Y18*100</f>
        <v>111.11111111111111</v>
      </c>
      <c r="AA18" s="67">
        <f t="shared" ref="AA18:AB18" si="4">SUM(AA16:AA17)</f>
        <v>18000000</v>
      </c>
      <c r="AB18" s="67">
        <f t="shared" si="4"/>
        <v>9750000</v>
      </c>
      <c r="AC18" s="68">
        <f>AB18/AA18*100</f>
        <v>54.166666666666664</v>
      </c>
      <c r="AD18" s="67">
        <f>SUM(AD16:AD17)</f>
        <v>7425000</v>
      </c>
      <c r="AE18" s="68">
        <f t="shared" si="2"/>
        <v>131.31313131313132</v>
      </c>
      <c r="AF18" s="67" t="s">
        <v>77</v>
      </c>
      <c r="AH18" s="66"/>
    </row>
    <row r="19" spans="1:34" s="65" customFormat="1">
      <c r="A19" s="63" t="s">
        <v>296</v>
      </c>
      <c r="B19" s="63" t="s">
        <v>298</v>
      </c>
      <c r="C19" s="63" t="s">
        <v>179</v>
      </c>
      <c r="D19" s="63" t="s">
        <v>172</v>
      </c>
      <c r="E19" s="63" t="s">
        <v>96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>
        <v>0</v>
      </c>
      <c r="U19" s="63">
        <v>300106</v>
      </c>
      <c r="V19" s="63" t="s">
        <v>319</v>
      </c>
      <c r="W19" s="63">
        <v>4</v>
      </c>
      <c r="X19" s="63">
        <v>1000</v>
      </c>
      <c r="Y19" s="63">
        <v>1000</v>
      </c>
      <c r="Z19" s="103">
        <f t="shared" ref="Z19:Z20" si="5">X19/Y19*100</f>
        <v>100</v>
      </c>
      <c r="AA19" s="63">
        <v>1000</v>
      </c>
      <c r="AB19" s="63">
        <v>1000</v>
      </c>
      <c r="AC19" s="103">
        <f>AA19/AB19*100</f>
        <v>100</v>
      </c>
      <c r="AD19" s="63">
        <v>1000</v>
      </c>
      <c r="AE19" s="64">
        <f>AB19/AD19*100</f>
        <v>100</v>
      </c>
      <c r="AF19" s="63" t="s">
        <v>317</v>
      </c>
      <c r="AH19" s="66"/>
    </row>
    <row r="20" spans="1:34" s="65" customFormat="1">
      <c r="A20" s="67" t="s">
        <v>296</v>
      </c>
      <c r="B20" s="67" t="s">
        <v>298</v>
      </c>
      <c r="C20" s="67" t="s">
        <v>179</v>
      </c>
      <c r="D20" s="67" t="s">
        <v>172</v>
      </c>
      <c r="E20" s="67" t="s">
        <v>96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>
        <v>0</v>
      </c>
      <c r="U20" s="67">
        <v>400107</v>
      </c>
      <c r="V20" s="67" t="s">
        <v>258</v>
      </c>
      <c r="W20" s="67">
        <v>4</v>
      </c>
      <c r="X20" s="67">
        <v>1000</v>
      </c>
      <c r="Y20" s="67">
        <v>1000</v>
      </c>
      <c r="Z20" s="104">
        <f t="shared" si="5"/>
        <v>100</v>
      </c>
      <c r="AA20" s="67">
        <v>1000</v>
      </c>
      <c r="AB20" s="67">
        <v>1000</v>
      </c>
      <c r="AC20" s="104">
        <f>AA20/AB20*100</f>
        <v>100</v>
      </c>
      <c r="AD20" s="67">
        <v>1000</v>
      </c>
      <c r="AE20" s="68">
        <f>AB20/AD20*100</f>
        <v>100</v>
      </c>
      <c r="AF20" s="67" t="s">
        <v>318</v>
      </c>
      <c r="AH20" s="66"/>
    </row>
    <row r="21" spans="1:34" s="65" customFormat="1" ht="14.4">
      <c r="A21" s="40"/>
      <c r="B21" s="40"/>
      <c r="C21" s="40"/>
      <c r="D21" s="40"/>
      <c r="E21" s="71"/>
      <c r="F21" s="40"/>
      <c r="G21" s="40"/>
      <c r="H21" s="40"/>
      <c r="I21" s="41" t="s">
        <v>140</v>
      </c>
      <c r="J21" s="41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  <c r="V21" s="42"/>
      <c r="W21" s="72"/>
      <c r="X21" s="72"/>
      <c r="Y21" s="73"/>
      <c r="Z21" s="72"/>
      <c r="AA21" s="72"/>
      <c r="AB21" s="72"/>
      <c r="AC21" s="105"/>
      <c r="AD21" s="72"/>
      <c r="AE21" s="72"/>
      <c r="AF21" s="72"/>
      <c r="AH21" s="66"/>
    </row>
    <row r="22" spans="1:34" s="65" customFormat="1">
      <c r="A22" s="63" t="s">
        <v>296</v>
      </c>
      <c r="B22" s="63" t="s">
        <v>298</v>
      </c>
      <c r="C22" s="62" t="s">
        <v>176</v>
      </c>
      <c r="D22" s="63" t="s">
        <v>302</v>
      </c>
      <c r="E22" s="63" t="s">
        <v>96</v>
      </c>
      <c r="F22" s="63"/>
      <c r="G22" s="63"/>
      <c r="H22" s="62"/>
      <c r="I22" s="63"/>
      <c r="J22" s="62"/>
      <c r="K22" s="63"/>
      <c r="L22" s="63" t="s">
        <v>194</v>
      </c>
      <c r="M22" s="63" t="s">
        <v>188</v>
      </c>
      <c r="N22" s="63"/>
      <c r="O22" s="63"/>
      <c r="P22" s="63"/>
      <c r="Q22" s="63"/>
      <c r="R22" s="62"/>
      <c r="S22" s="63"/>
      <c r="T22" s="63">
        <v>0</v>
      </c>
      <c r="U22" s="63">
        <v>118001</v>
      </c>
      <c r="V22" s="63" t="s">
        <v>129</v>
      </c>
      <c r="W22" s="63">
        <v>4</v>
      </c>
      <c r="X22" s="63">
        <f>X49+X55</f>
        <v>1200000</v>
      </c>
      <c r="Y22" s="63">
        <f>Y49+Y55</f>
        <v>1170000</v>
      </c>
      <c r="Z22" s="64">
        <f>X22/Y22*100</f>
        <v>102.56410256410255</v>
      </c>
      <c r="AA22" s="63">
        <f>AA49+AA55</f>
        <v>34800000</v>
      </c>
      <c r="AB22" s="63">
        <f>AB49+AB55</f>
        <v>15600000</v>
      </c>
      <c r="AC22" s="64">
        <f>AB22/AA22*100</f>
        <v>44.827586206896555</v>
      </c>
      <c r="AD22" s="63">
        <f>AD49+AD55</f>
        <v>12870000</v>
      </c>
      <c r="AE22" s="64">
        <f>AB22/AD22*100</f>
        <v>121.21212121212122</v>
      </c>
      <c r="AF22" s="63" t="s">
        <v>75</v>
      </c>
      <c r="AH22" s="66"/>
    </row>
    <row r="23" spans="1:34" s="65" customFormat="1">
      <c r="A23" s="67" t="s">
        <v>296</v>
      </c>
      <c r="B23" s="67" t="s">
        <v>298</v>
      </c>
      <c r="C23" s="67" t="s">
        <v>76</v>
      </c>
      <c r="D23" s="67" t="s">
        <v>302</v>
      </c>
      <c r="E23" s="67" t="s">
        <v>96</v>
      </c>
      <c r="F23" s="67"/>
      <c r="G23" s="67"/>
      <c r="H23" s="67"/>
      <c r="I23" s="67"/>
      <c r="J23" s="67"/>
      <c r="K23" s="67"/>
      <c r="L23" s="67" t="s">
        <v>194</v>
      </c>
      <c r="M23" s="67" t="s">
        <v>188</v>
      </c>
      <c r="N23" s="67"/>
      <c r="O23" s="67"/>
      <c r="P23" s="67"/>
      <c r="Q23" s="67"/>
      <c r="R23" s="67"/>
      <c r="S23" s="67"/>
      <c r="T23" s="67">
        <v>0</v>
      </c>
      <c r="U23" s="67">
        <v>118002</v>
      </c>
      <c r="V23" s="67" t="s">
        <v>131</v>
      </c>
      <c r="W23" s="67">
        <v>4</v>
      </c>
      <c r="X23" s="67">
        <f t="shared" ref="X23:Y23" si="6">X50+X56</f>
        <v>600000</v>
      </c>
      <c r="Y23" s="67">
        <f t="shared" si="6"/>
        <v>570000</v>
      </c>
      <c r="Z23" s="68">
        <f t="shared" ref="Z23:Z27" si="7">X23/Y23*100</f>
        <v>105.26315789473684</v>
      </c>
      <c r="AA23" s="67">
        <f t="shared" ref="AA23:AB23" si="8">AA50+AA56</f>
        <v>14400000</v>
      </c>
      <c r="AB23" s="67">
        <f t="shared" si="8"/>
        <v>7800000</v>
      </c>
      <c r="AC23" s="68">
        <f t="shared" ref="AC23:AC27" si="9">AB23/AA23*100</f>
        <v>54.166666666666664</v>
      </c>
      <c r="AD23" s="67">
        <f t="shared" ref="AD23" si="10">AD50+AD56</f>
        <v>6270000</v>
      </c>
      <c r="AE23" s="68">
        <f t="shared" ref="AE23:AE27" si="11">AB23/AD23*100</f>
        <v>124.4019138755981</v>
      </c>
      <c r="AF23" s="67" t="s">
        <v>141</v>
      </c>
      <c r="AH23" s="66"/>
    </row>
    <row r="24" spans="1:34" s="65" customFormat="1">
      <c r="A24" s="63" t="s">
        <v>296</v>
      </c>
      <c r="B24" s="63" t="s">
        <v>298</v>
      </c>
      <c r="C24" s="63" t="s">
        <v>76</v>
      </c>
      <c r="D24" s="63" t="s">
        <v>302</v>
      </c>
      <c r="E24" s="63" t="s">
        <v>96</v>
      </c>
      <c r="F24" s="63"/>
      <c r="G24" s="63"/>
      <c r="H24" s="63"/>
      <c r="I24" s="63"/>
      <c r="J24" s="63"/>
      <c r="K24" s="63"/>
      <c r="L24" s="63" t="s">
        <v>194</v>
      </c>
      <c r="M24" s="63" t="s">
        <v>188</v>
      </c>
      <c r="N24" s="63"/>
      <c r="O24" s="63"/>
      <c r="P24" s="63"/>
      <c r="Q24" s="63"/>
      <c r="R24" s="63"/>
      <c r="S24" s="63"/>
      <c r="T24" s="63">
        <v>1</v>
      </c>
      <c r="U24" s="63"/>
      <c r="V24" s="63" t="s">
        <v>132</v>
      </c>
      <c r="W24" s="63">
        <v>4</v>
      </c>
      <c r="X24" s="63">
        <f t="shared" ref="X24:Y24" si="12">X51+X57</f>
        <v>1800000</v>
      </c>
      <c r="Y24" s="63">
        <f t="shared" si="12"/>
        <v>1740000</v>
      </c>
      <c r="Z24" s="64">
        <f t="shared" si="7"/>
        <v>103.44827586206897</v>
      </c>
      <c r="AA24" s="63">
        <f t="shared" ref="AA24:AB24" si="13">AA51+AA57</f>
        <v>49200000</v>
      </c>
      <c r="AB24" s="63">
        <f t="shared" si="13"/>
        <v>23400000</v>
      </c>
      <c r="AC24" s="64">
        <f t="shared" si="9"/>
        <v>47.560975609756099</v>
      </c>
      <c r="AD24" s="63">
        <f t="shared" ref="AD24" si="14">AD51+AD57</f>
        <v>19140000</v>
      </c>
      <c r="AE24" s="64">
        <f t="shared" si="11"/>
        <v>122.25705329153604</v>
      </c>
      <c r="AF24" s="63" t="s">
        <v>316</v>
      </c>
      <c r="AH24" s="66"/>
    </row>
    <row r="25" spans="1:34" s="65" customFormat="1">
      <c r="A25" s="67" t="s">
        <v>296</v>
      </c>
      <c r="B25" s="67" t="s">
        <v>298</v>
      </c>
      <c r="C25" s="67" t="s">
        <v>76</v>
      </c>
      <c r="D25" s="67" t="s">
        <v>302</v>
      </c>
      <c r="E25" s="67" t="s">
        <v>96</v>
      </c>
      <c r="F25" s="67"/>
      <c r="G25" s="67"/>
      <c r="H25" s="67"/>
      <c r="I25" s="67"/>
      <c r="J25" s="67"/>
      <c r="K25" s="67"/>
      <c r="L25" s="67" t="s">
        <v>194</v>
      </c>
      <c r="M25" s="67" t="s">
        <v>188</v>
      </c>
      <c r="N25" s="67"/>
      <c r="O25" s="67"/>
      <c r="P25" s="67"/>
      <c r="Q25" s="67"/>
      <c r="R25" s="67"/>
      <c r="S25" s="67"/>
      <c r="T25" s="67">
        <v>0</v>
      </c>
      <c r="U25" s="67">
        <v>118003</v>
      </c>
      <c r="V25" s="67" t="s">
        <v>134</v>
      </c>
      <c r="W25" s="67">
        <v>4</v>
      </c>
      <c r="X25" s="67">
        <f t="shared" ref="X25:Y25" si="15">X52+X58</f>
        <v>250000</v>
      </c>
      <c r="Y25" s="67">
        <f t="shared" si="15"/>
        <v>225000</v>
      </c>
      <c r="Z25" s="68">
        <f t="shared" si="7"/>
        <v>111.11111111111111</v>
      </c>
      <c r="AA25" s="67">
        <f t="shared" ref="AA25:AB25" si="16">AA52+AA58</f>
        <v>6000000</v>
      </c>
      <c r="AB25" s="67">
        <f t="shared" si="16"/>
        <v>3250000</v>
      </c>
      <c r="AC25" s="68">
        <f t="shared" si="9"/>
        <v>54.166666666666664</v>
      </c>
      <c r="AD25" s="67">
        <f t="shared" ref="AD25" si="17">AD52+AD58</f>
        <v>2475000</v>
      </c>
      <c r="AE25" s="68">
        <f t="shared" si="11"/>
        <v>131.31313131313132</v>
      </c>
      <c r="AF25" s="67" t="s">
        <v>82</v>
      </c>
      <c r="AH25" s="66"/>
    </row>
    <row r="26" spans="1:34" s="65" customFormat="1">
      <c r="A26" s="63" t="s">
        <v>296</v>
      </c>
      <c r="B26" s="63" t="s">
        <v>298</v>
      </c>
      <c r="C26" s="63" t="s">
        <v>76</v>
      </c>
      <c r="D26" s="63" t="s">
        <v>302</v>
      </c>
      <c r="E26" s="63" t="s">
        <v>96</v>
      </c>
      <c r="F26" s="63"/>
      <c r="G26" s="63"/>
      <c r="H26" s="63"/>
      <c r="I26" s="63"/>
      <c r="J26" s="63"/>
      <c r="K26" s="63"/>
      <c r="L26" s="63" t="s">
        <v>194</v>
      </c>
      <c r="M26" s="63" t="s">
        <v>188</v>
      </c>
      <c r="N26" s="63"/>
      <c r="O26" s="63"/>
      <c r="P26" s="63"/>
      <c r="Q26" s="63"/>
      <c r="R26" s="63"/>
      <c r="S26" s="63"/>
      <c r="T26" s="63">
        <v>0</v>
      </c>
      <c r="U26" s="63">
        <v>118004</v>
      </c>
      <c r="V26" s="63" t="s">
        <v>136</v>
      </c>
      <c r="W26" s="63">
        <v>4</v>
      </c>
      <c r="X26" s="63"/>
      <c r="Y26" s="63"/>
      <c r="Z26" s="103">
        <v>0</v>
      </c>
      <c r="AA26" s="63"/>
      <c r="AB26" s="63"/>
      <c r="AC26" s="103">
        <v>0</v>
      </c>
      <c r="AD26" s="63"/>
      <c r="AE26" s="103">
        <v>0</v>
      </c>
      <c r="AF26" s="63" t="s">
        <v>81</v>
      </c>
      <c r="AH26" s="66"/>
    </row>
    <row r="27" spans="1:34" s="65" customFormat="1">
      <c r="A27" s="67" t="s">
        <v>296</v>
      </c>
      <c r="B27" s="67" t="s">
        <v>298</v>
      </c>
      <c r="C27" s="67" t="s">
        <v>76</v>
      </c>
      <c r="D27" s="67" t="s">
        <v>302</v>
      </c>
      <c r="E27" s="67" t="s">
        <v>96</v>
      </c>
      <c r="F27" s="67"/>
      <c r="G27" s="67"/>
      <c r="H27" s="67"/>
      <c r="I27" s="67"/>
      <c r="J27" s="67"/>
      <c r="K27" s="67"/>
      <c r="L27" s="67" t="s">
        <v>194</v>
      </c>
      <c r="M27" s="67" t="s">
        <v>188</v>
      </c>
      <c r="N27" s="67"/>
      <c r="O27" s="67"/>
      <c r="P27" s="67"/>
      <c r="Q27" s="67"/>
      <c r="R27" s="67"/>
      <c r="S27" s="67"/>
      <c r="T27" s="67">
        <v>1</v>
      </c>
      <c r="U27" s="67"/>
      <c r="V27" s="67" t="s">
        <v>138</v>
      </c>
      <c r="W27" s="67">
        <v>4</v>
      </c>
      <c r="X27" s="67">
        <f t="shared" ref="X27:Y27" si="18">X54+X60</f>
        <v>250000</v>
      </c>
      <c r="Y27" s="67">
        <f t="shared" si="18"/>
        <v>225000</v>
      </c>
      <c r="Z27" s="68">
        <f t="shared" si="7"/>
        <v>111.11111111111111</v>
      </c>
      <c r="AA27" s="67">
        <f t="shared" ref="AA27:AB27" si="19">AA54+AA60</f>
        <v>6000000</v>
      </c>
      <c r="AB27" s="67">
        <f t="shared" si="19"/>
        <v>3250000</v>
      </c>
      <c r="AC27" s="68">
        <f t="shared" si="9"/>
        <v>54.166666666666664</v>
      </c>
      <c r="AD27" s="67">
        <f t="shared" ref="AD27" si="20">AD54+AD60</f>
        <v>2475000</v>
      </c>
      <c r="AE27" s="68">
        <f t="shared" si="11"/>
        <v>131.31313131313132</v>
      </c>
      <c r="AF27" s="67" t="s">
        <v>77</v>
      </c>
      <c r="AH27" s="66"/>
    </row>
    <row r="28" spans="1:34" s="65" customFormat="1">
      <c r="A28" s="63" t="s">
        <v>296</v>
      </c>
      <c r="B28" s="63" t="s">
        <v>298</v>
      </c>
      <c r="C28" s="62" t="s">
        <v>176</v>
      </c>
      <c r="D28" s="63" t="s">
        <v>302</v>
      </c>
      <c r="E28" s="63" t="s">
        <v>96</v>
      </c>
      <c r="F28" s="63"/>
      <c r="G28" s="63"/>
      <c r="H28" s="62"/>
      <c r="I28" s="63"/>
      <c r="J28" s="62"/>
      <c r="K28" s="63"/>
      <c r="L28" s="63" t="s">
        <v>193</v>
      </c>
      <c r="M28" s="63" t="s">
        <v>187</v>
      </c>
      <c r="N28" s="63"/>
      <c r="O28" s="63"/>
      <c r="P28" s="63"/>
      <c r="Q28" s="63"/>
      <c r="R28" s="62"/>
      <c r="S28" s="63"/>
      <c r="T28" s="63">
        <v>0</v>
      </c>
      <c r="U28" s="63">
        <v>118001</v>
      </c>
      <c r="V28" s="63" t="s">
        <v>129</v>
      </c>
      <c r="W28" s="63">
        <v>4</v>
      </c>
      <c r="X28" s="63">
        <f>X61+X69</f>
        <v>1600000</v>
      </c>
      <c r="Y28" s="63">
        <f>Y61+Y69</f>
        <v>1560000</v>
      </c>
      <c r="Z28" s="64">
        <f>X28/Y28*100</f>
        <v>102.56410256410255</v>
      </c>
      <c r="AA28" s="63">
        <f>AA61+AA69</f>
        <v>46400000</v>
      </c>
      <c r="AB28" s="63">
        <f>AB61+AB69</f>
        <v>20800000</v>
      </c>
      <c r="AC28" s="64">
        <f>AB28/AA28*100</f>
        <v>44.827586206896555</v>
      </c>
      <c r="AD28" s="63">
        <f>AD61+AD69</f>
        <v>17160000</v>
      </c>
      <c r="AE28" s="64">
        <f>AB28/AD28*100</f>
        <v>121.21212121212122</v>
      </c>
      <c r="AF28" s="62" t="s">
        <v>75</v>
      </c>
      <c r="AH28" s="66"/>
    </row>
    <row r="29" spans="1:34" s="65" customFormat="1">
      <c r="A29" s="67" t="s">
        <v>296</v>
      </c>
      <c r="B29" s="67" t="s">
        <v>298</v>
      </c>
      <c r="C29" s="67" t="s">
        <v>76</v>
      </c>
      <c r="D29" s="67" t="s">
        <v>302</v>
      </c>
      <c r="E29" s="67" t="s">
        <v>96</v>
      </c>
      <c r="F29" s="67"/>
      <c r="G29" s="67"/>
      <c r="H29" s="67"/>
      <c r="I29" s="67"/>
      <c r="J29" s="67"/>
      <c r="K29" s="67"/>
      <c r="L29" s="67" t="s">
        <v>193</v>
      </c>
      <c r="M29" s="67" t="s">
        <v>187</v>
      </c>
      <c r="N29" s="67"/>
      <c r="O29" s="67"/>
      <c r="P29" s="67"/>
      <c r="Q29" s="67"/>
      <c r="R29" s="67"/>
      <c r="S29" s="67"/>
      <c r="T29" s="67">
        <v>0</v>
      </c>
      <c r="U29" s="67">
        <v>118002</v>
      </c>
      <c r="V29" s="67" t="s">
        <v>131</v>
      </c>
      <c r="W29" s="67">
        <v>4</v>
      </c>
      <c r="X29" s="67">
        <f t="shared" ref="X29:Y29" si="21">X62+X70</f>
        <v>800000</v>
      </c>
      <c r="Y29" s="67">
        <f t="shared" si="21"/>
        <v>760000</v>
      </c>
      <c r="Z29" s="68">
        <f t="shared" ref="Z29:Z35" si="22">X29/Y29*100</f>
        <v>105.26315789473684</v>
      </c>
      <c r="AA29" s="67">
        <f t="shared" ref="AA29:AB29" si="23">AA62+AA70</f>
        <v>19200000</v>
      </c>
      <c r="AB29" s="67">
        <f t="shared" si="23"/>
        <v>10400000</v>
      </c>
      <c r="AC29" s="68">
        <f t="shared" ref="AC29:AC33" si="24">AB29/AA29*100</f>
        <v>54.166666666666664</v>
      </c>
      <c r="AD29" s="67">
        <f t="shared" ref="AD29" si="25">AD62+AD70</f>
        <v>8360000</v>
      </c>
      <c r="AE29" s="68">
        <f t="shared" ref="AE29:AE33" si="26">AB29/AD29*100</f>
        <v>124.4019138755981</v>
      </c>
      <c r="AF29" s="77" t="s">
        <v>141</v>
      </c>
      <c r="AH29" s="66"/>
    </row>
    <row r="30" spans="1:34" s="65" customFormat="1">
      <c r="A30" s="63" t="s">
        <v>296</v>
      </c>
      <c r="B30" s="63" t="s">
        <v>298</v>
      </c>
      <c r="C30" s="63" t="s">
        <v>76</v>
      </c>
      <c r="D30" s="63" t="s">
        <v>302</v>
      </c>
      <c r="E30" s="63" t="s">
        <v>96</v>
      </c>
      <c r="F30" s="63"/>
      <c r="G30" s="63"/>
      <c r="H30" s="63"/>
      <c r="I30" s="63"/>
      <c r="J30" s="63"/>
      <c r="K30" s="63"/>
      <c r="L30" s="63" t="s">
        <v>193</v>
      </c>
      <c r="M30" s="63" t="s">
        <v>187</v>
      </c>
      <c r="N30" s="63"/>
      <c r="O30" s="63"/>
      <c r="P30" s="63"/>
      <c r="Q30" s="63"/>
      <c r="R30" s="63"/>
      <c r="S30" s="63"/>
      <c r="T30" s="63">
        <v>1</v>
      </c>
      <c r="U30" s="63"/>
      <c r="V30" s="63" t="s">
        <v>132</v>
      </c>
      <c r="W30" s="63">
        <v>4</v>
      </c>
      <c r="X30" s="63">
        <f t="shared" ref="X30:Y30" si="27">X63+X71</f>
        <v>2400000</v>
      </c>
      <c r="Y30" s="63">
        <f t="shared" si="27"/>
        <v>2320000</v>
      </c>
      <c r="Z30" s="64">
        <f t="shared" si="22"/>
        <v>103.44827586206897</v>
      </c>
      <c r="AA30" s="63">
        <f t="shared" ref="AA30:AB30" si="28">AA63+AA71</f>
        <v>65600000</v>
      </c>
      <c r="AB30" s="63">
        <f t="shared" si="28"/>
        <v>31200000</v>
      </c>
      <c r="AC30" s="64">
        <f t="shared" si="24"/>
        <v>47.560975609756099</v>
      </c>
      <c r="AD30" s="63">
        <f t="shared" ref="AD30" si="29">AD63+AD71</f>
        <v>25520000</v>
      </c>
      <c r="AE30" s="64">
        <f t="shared" si="26"/>
        <v>122.25705329153604</v>
      </c>
      <c r="AF30" s="62" t="s">
        <v>316</v>
      </c>
      <c r="AH30" s="66"/>
    </row>
    <row r="31" spans="1:34" s="65" customFormat="1">
      <c r="A31" s="67" t="s">
        <v>296</v>
      </c>
      <c r="B31" s="67" t="s">
        <v>298</v>
      </c>
      <c r="C31" s="67" t="s">
        <v>76</v>
      </c>
      <c r="D31" s="67" t="s">
        <v>302</v>
      </c>
      <c r="E31" s="67" t="s">
        <v>96</v>
      </c>
      <c r="F31" s="67"/>
      <c r="G31" s="67"/>
      <c r="H31" s="67"/>
      <c r="I31" s="67"/>
      <c r="J31" s="67"/>
      <c r="K31" s="67"/>
      <c r="L31" s="67" t="s">
        <v>193</v>
      </c>
      <c r="M31" s="67" t="s">
        <v>187</v>
      </c>
      <c r="N31" s="67"/>
      <c r="O31" s="67"/>
      <c r="P31" s="67"/>
      <c r="Q31" s="67"/>
      <c r="R31" s="67"/>
      <c r="S31" s="67"/>
      <c r="T31" s="67">
        <v>0</v>
      </c>
      <c r="U31" s="67">
        <v>118003</v>
      </c>
      <c r="V31" s="67" t="s">
        <v>134</v>
      </c>
      <c r="W31" s="67">
        <v>4</v>
      </c>
      <c r="X31" s="67">
        <f t="shared" ref="X31:Y31" si="30">X64+X72</f>
        <v>200000</v>
      </c>
      <c r="Y31" s="67">
        <f t="shared" si="30"/>
        <v>180000</v>
      </c>
      <c r="Z31" s="68">
        <f t="shared" si="22"/>
        <v>111.11111111111111</v>
      </c>
      <c r="AA31" s="67">
        <f t="shared" ref="AA31:AB31" si="31">AA64+AA72</f>
        <v>4800000</v>
      </c>
      <c r="AB31" s="67">
        <f t="shared" si="31"/>
        <v>2600000</v>
      </c>
      <c r="AC31" s="68">
        <f t="shared" si="24"/>
        <v>54.166666666666664</v>
      </c>
      <c r="AD31" s="67">
        <f t="shared" ref="AD31" si="32">AD64+AD72</f>
        <v>1980000</v>
      </c>
      <c r="AE31" s="68">
        <f t="shared" si="26"/>
        <v>131.31313131313132</v>
      </c>
      <c r="AF31" s="77" t="s">
        <v>82</v>
      </c>
      <c r="AH31" s="66"/>
    </row>
    <row r="32" spans="1:34" s="65" customFormat="1">
      <c r="A32" s="63" t="s">
        <v>296</v>
      </c>
      <c r="B32" s="63" t="s">
        <v>298</v>
      </c>
      <c r="C32" s="63" t="s">
        <v>76</v>
      </c>
      <c r="D32" s="63" t="s">
        <v>302</v>
      </c>
      <c r="E32" s="63" t="s">
        <v>96</v>
      </c>
      <c r="F32" s="63"/>
      <c r="G32" s="63"/>
      <c r="H32" s="63"/>
      <c r="I32" s="63"/>
      <c r="J32" s="63"/>
      <c r="K32" s="63"/>
      <c r="L32" s="63" t="s">
        <v>193</v>
      </c>
      <c r="M32" s="63" t="s">
        <v>187</v>
      </c>
      <c r="N32" s="63"/>
      <c r="O32" s="63"/>
      <c r="P32" s="63"/>
      <c r="Q32" s="63"/>
      <c r="R32" s="63"/>
      <c r="S32" s="63"/>
      <c r="T32" s="63">
        <v>0</v>
      </c>
      <c r="U32" s="63">
        <v>118004</v>
      </c>
      <c r="V32" s="63" t="s">
        <v>136</v>
      </c>
      <c r="W32" s="63">
        <v>4</v>
      </c>
      <c r="X32" s="63"/>
      <c r="Y32" s="63"/>
      <c r="Z32" s="103">
        <v>0</v>
      </c>
      <c r="AA32" s="63"/>
      <c r="AB32" s="63"/>
      <c r="AC32" s="103">
        <v>0</v>
      </c>
      <c r="AD32" s="63"/>
      <c r="AE32" s="103">
        <v>0</v>
      </c>
      <c r="AF32" s="62" t="s">
        <v>81</v>
      </c>
      <c r="AH32" s="66"/>
    </row>
    <row r="33" spans="1:34" s="65" customFormat="1">
      <c r="A33" s="67" t="s">
        <v>296</v>
      </c>
      <c r="B33" s="67" t="s">
        <v>298</v>
      </c>
      <c r="C33" s="67" t="s">
        <v>76</v>
      </c>
      <c r="D33" s="67" t="s">
        <v>302</v>
      </c>
      <c r="E33" s="67" t="s">
        <v>96</v>
      </c>
      <c r="F33" s="67"/>
      <c r="G33" s="67"/>
      <c r="H33" s="67"/>
      <c r="I33" s="67"/>
      <c r="J33" s="67"/>
      <c r="K33" s="67"/>
      <c r="L33" s="67" t="s">
        <v>193</v>
      </c>
      <c r="M33" s="67" t="s">
        <v>187</v>
      </c>
      <c r="N33" s="67"/>
      <c r="O33" s="67"/>
      <c r="P33" s="67"/>
      <c r="Q33" s="67"/>
      <c r="R33" s="67"/>
      <c r="S33" s="67"/>
      <c r="T33" s="67">
        <v>1</v>
      </c>
      <c r="U33" s="67"/>
      <c r="V33" s="67" t="s">
        <v>138</v>
      </c>
      <c r="W33" s="67">
        <v>4</v>
      </c>
      <c r="X33" s="67">
        <f t="shared" ref="X33:Y33" si="33">X66+X74</f>
        <v>200000</v>
      </c>
      <c r="Y33" s="67">
        <f t="shared" si="33"/>
        <v>180000</v>
      </c>
      <c r="Z33" s="68">
        <f t="shared" si="22"/>
        <v>111.11111111111111</v>
      </c>
      <c r="AA33" s="67">
        <f t="shared" ref="AA33:AB33" si="34">AA66+AA74</f>
        <v>4800000</v>
      </c>
      <c r="AB33" s="67">
        <f t="shared" si="34"/>
        <v>2600000</v>
      </c>
      <c r="AC33" s="68">
        <f t="shared" si="24"/>
        <v>54.166666666666664</v>
      </c>
      <c r="AD33" s="67">
        <f t="shared" ref="AD33" si="35">AD66+AD74</f>
        <v>1980000</v>
      </c>
      <c r="AE33" s="68">
        <f t="shared" si="26"/>
        <v>131.31313131313132</v>
      </c>
      <c r="AF33" s="77" t="s">
        <v>77</v>
      </c>
      <c r="AH33" s="66"/>
    </row>
    <row r="34" spans="1:34" s="65" customFormat="1">
      <c r="A34" s="63" t="s">
        <v>296</v>
      </c>
      <c r="B34" s="63" t="s">
        <v>298</v>
      </c>
      <c r="C34" s="63" t="s">
        <v>76</v>
      </c>
      <c r="D34" s="63" t="s">
        <v>302</v>
      </c>
      <c r="E34" s="63" t="s">
        <v>96</v>
      </c>
      <c r="F34" s="63"/>
      <c r="G34" s="63"/>
      <c r="H34" s="63"/>
      <c r="I34" s="63"/>
      <c r="J34" s="63"/>
      <c r="K34" s="63"/>
      <c r="L34" s="63" t="s">
        <v>193</v>
      </c>
      <c r="M34" s="63" t="s">
        <v>187</v>
      </c>
      <c r="N34" s="63"/>
      <c r="O34" s="63"/>
      <c r="P34" s="63"/>
      <c r="Q34" s="63"/>
      <c r="R34" s="63"/>
      <c r="S34" s="63"/>
      <c r="T34" s="63">
        <v>0</v>
      </c>
      <c r="U34" s="63">
        <v>300106</v>
      </c>
      <c r="V34" s="63" t="s">
        <v>319</v>
      </c>
      <c r="W34" s="63">
        <v>4</v>
      </c>
      <c r="X34" s="63">
        <v>1000</v>
      </c>
      <c r="Y34" s="63">
        <v>1000</v>
      </c>
      <c r="Z34" s="103">
        <f t="shared" si="22"/>
        <v>100</v>
      </c>
      <c r="AA34" s="63">
        <v>1000</v>
      </c>
      <c r="AB34" s="63">
        <v>1000</v>
      </c>
      <c r="AC34" s="103">
        <f>AA34/AB34*100</f>
        <v>100</v>
      </c>
      <c r="AD34" s="63">
        <v>1000</v>
      </c>
      <c r="AE34" s="64">
        <f>AB34/AD34*100</f>
        <v>100</v>
      </c>
      <c r="AF34" s="62" t="s">
        <v>317</v>
      </c>
      <c r="AH34" s="66"/>
    </row>
    <row r="35" spans="1:34" s="65" customFormat="1">
      <c r="A35" s="67" t="s">
        <v>296</v>
      </c>
      <c r="B35" s="67" t="s">
        <v>298</v>
      </c>
      <c r="C35" s="67" t="s">
        <v>76</v>
      </c>
      <c r="D35" s="67" t="s">
        <v>302</v>
      </c>
      <c r="E35" s="67" t="s">
        <v>96</v>
      </c>
      <c r="F35" s="67"/>
      <c r="G35" s="67"/>
      <c r="H35" s="67"/>
      <c r="I35" s="67"/>
      <c r="J35" s="67"/>
      <c r="K35" s="67"/>
      <c r="L35" s="67" t="s">
        <v>193</v>
      </c>
      <c r="M35" s="67" t="s">
        <v>187</v>
      </c>
      <c r="N35" s="67"/>
      <c r="O35" s="67"/>
      <c r="P35" s="67"/>
      <c r="Q35" s="67"/>
      <c r="R35" s="67"/>
      <c r="S35" s="67"/>
      <c r="T35" s="67">
        <v>0</v>
      </c>
      <c r="U35" s="67">
        <v>400107</v>
      </c>
      <c r="V35" s="67" t="s">
        <v>258</v>
      </c>
      <c r="W35" s="67">
        <v>4</v>
      </c>
      <c r="X35" s="67">
        <v>1000</v>
      </c>
      <c r="Y35" s="67">
        <v>1000</v>
      </c>
      <c r="Z35" s="104">
        <f t="shared" si="22"/>
        <v>100</v>
      </c>
      <c r="AA35" s="67">
        <v>1000</v>
      </c>
      <c r="AB35" s="67">
        <v>1000</v>
      </c>
      <c r="AC35" s="104">
        <f>AA35/AB35*100</f>
        <v>100</v>
      </c>
      <c r="AD35" s="67">
        <v>1000</v>
      </c>
      <c r="AE35" s="68">
        <f>AB35/AD35*100</f>
        <v>100</v>
      </c>
      <c r="AF35" s="77" t="s">
        <v>318</v>
      </c>
      <c r="AH35" s="66"/>
    </row>
    <row r="36" spans="1:34" s="65" customFormat="1">
      <c r="A36" s="63" t="s">
        <v>296</v>
      </c>
      <c r="B36" s="63" t="s">
        <v>298</v>
      </c>
      <c r="C36" s="62" t="s">
        <v>176</v>
      </c>
      <c r="D36" s="63" t="s">
        <v>302</v>
      </c>
      <c r="E36" s="63" t="s">
        <v>96</v>
      </c>
      <c r="F36" s="63"/>
      <c r="G36" s="63"/>
      <c r="H36" s="62"/>
      <c r="I36" s="63"/>
      <c r="J36" s="62"/>
      <c r="K36" s="63"/>
      <c r="L36" s="63" t="s">
        <v>196</v>
      </c>
      <c r="M36" s="63" t="s">
        <v>190</v>
      </c>
      <c r="N36" s="63"/>
      <c r="O36" s="63"/>
      <c r="P36" s="63"/>
      <c r="Q36" s="63"/>
      <c r="R36" s="62"/>
      <c r="S36" s="63"/>
      <c r="T36" s="63">
        <v>0</v>
      </c>
      <c r="U36" s="63">
        <v>118001</v>
      </c>
      <c r="V36" s="63" t="s">
        <v>129</v>
      </c>
      <c r="W36" s="63">
        <v>4</v>
      </c>
      <c r="X36" s="63">
        <f>X75</f>
        <v>1600000</v>
      </c>
      <c r="Y36" s="63">
        <f t="shared" ref="Y36:AE36" si="36">Y75</f>
        <v>1560000</v>
      </c>
      <c r="Z36" s="64">
        <f t="shared" si="36"/>
        <v>102.56410256410255</v>
      </c>
      <c r="AA36" s="63">
        <f t="shared" si="36"/>
        <v>46400000</v>
      </c>
      <c r="AB36" s="63">
        <f t="shared" si="36"/>
        <v>20800000</v>
      </c>
      <c r="AC36" s="64">
        <f t="shared" si="36"/>
        <v>44.827586206896555</v>
      </c>
      <c r="AD36" s="63">
        <f t="shared" si="36"/>
        <v>17160000</v>
      </c>
      <c r="AE36" s="64">
        <f t="shared" si="36"/>
        <v>121.21212121212122</v>
      </c>
      <c r="AF36" s="62" t="s">
        <v>75</v>
      </c>
      <c r="AH36" s="66"/>
    </row>
    <row r="37" spans="1:34" s="65" customFormat="1">
      <c r="A37" s="67" t="s">
        <v>296</v>
      </c>
      <c r="B37" s="67" t="s">
        <v>298</v>
      </c>
      <c r="C37" s="67" t="s">
        <v>76</v>
      </c>
      <c r="D37" s="67" t="s">
        <v>302</v>
      </c>
      <c r="E37" s="67" t="s">
        <v>96</v>
      </c>
      <c r="F37" s="67"/>
      <c r="G37" s="67"/>
      <c r="H37" s="67"/>
      <c r="I37" s="67"/>
      <c r="J37" s="67"/>
      <c r="K37" s="67"/>
      <c r="L37" s="67" t="s">
        <v>196</v>
      </c>
      <c r="M37" s="67" t="s">
        <v>190</v>
      </c>
      <c r="N37" s="67"/>
      <c r="O37" s="67"/>
      <c r="P37" s="67"/>
      <c r="Q37" s="67"/>
      <c r="R37" s="67"/>
      <c r="S37" s="67"/>
      <c r="T37" s="67">
        <v>0</v>
      </c>
      <c r="U37" s="67">
        <v>118002</v>
      </c>
      <c r="V37" s="67" t="s">
        <v>131</v>
      </c>
      <c r="W37" s="67">
        <v>4</v>
      </c>
      <c r="X37" s="67">
        <f t="shared" ref="X37:AE37" si="37">X76</f>
        <v>800000</v>
      </c>
      <c r="Y37" s="67">
        <f t="shared" si="37"/>
        <v>760000</v>
      </c>
      <c r="Z37" s="68">
        <f t="shared" si="37"/>
        <v>105.26315789473684</v>
      </c>
      <c r="AA37" s="67">
        <f t="shared" si="37"/>
        <v>19200000</v>
      </c>
      <c r="AB37" s="67">
        <f t="shared" si="37"/>
        <v>10400000</v>
      </c>
      <c r="AC37" s="68">
        <f t="shared" si="37"/>
        <v>54.166666666666664</v>
      </c>
      <c r="AD37" s="67">
        <f t="shared" si="37"/>
        <v>8360000</v>
      </c>
      <c r="AE37" s="68">
        <f t="shared" si="37"/>
        <v>124.4019138755981</v>
      </c>
      <c r="AF37" s="77" t="s">
        <v>141</v>
      </c>
      <c r="AH37" s="66"/>
    </row>
    <row r="38" spans="1:34" s="65" customFormat="1">
      <c r="A38" s="63" t="s">
        <v>296</v>
      </c>
      <c r="B38" s="63" t="s">
        <v>298</v>
      </c>
      <c r="C38" s="63" t="s">
        <v>76</v>
      </c>
      <c r="D38" s="63" t="s">
        <v>302</v>
      </c>
      <c r="E38" s="63" t="s">
        <v>96</v>
      </c>
      <c r="F38" s="63"/>
      <c r="G38" s="63"/>
      <c r="H38" s="63"/>
      <c r="I38" s="63"/>
      <c r="J38" s="63"/>
      <c r="K38" s="63"/>
      <c r="L38" s="63" t="s">
        <v>196</v>
      </c>
      <c r="M38" s="63" t="s">
        <v>190</v>
      </c>
      <c r="N38" s="63"/>
      <c r="O38" s="63"/>
      <c r="P38" s="63"/>
      <c r="Q38" s="63"/>
      <c r="R38" s="63"/>
      <c r="S38" s="63"/>
      <c r="T38" s="63">
        <v>1</v>
      </c>
      <c r="U38" s="63"/>
      <c r="V38" s="63" t="s">
        <v>132</v>
      </c>
      <c r="W38" s="63">
        <v>4</v>
      </c>
      <c r="X38" s="63">
        <f t="shared" ref="X38:AE38" si="38">X77</f>
        <v>2400000</v>
      </c>
      <c r="Y38" s="63">
        <f t="shared" si="38"/>
        <v>2320000</v>
      </c>
      <c r="Z38" s="64">
        <f t="shared" si="38"/>
        <v>103.44827586206897</v>
      </c>
      <c r="AA38" s="63">
        <f t="shared" si="38"/>
        <v>65600000</v>
      </c>
      <c r="AB38" s="63">
        <f t="shared" si="38"/>
        <v>31200000</v>
      </c>
      <c r="AC38" s="64">
        <f t="shared" si="38"/>
        <v>47.560975609756099</v>
      </c>
      <c r="AD38" s="63">
        <f t="shared" si="38"/>
        <v>25520000</v>
      </c>
      <c r="AE38" s="64">
        <f t="shared" si="38"/>
        <v>122.25705329153604</v>
      </c>
      <c r="AF38" s="62" t="s">
        <v>316</v>
      </c>
      <c r="AH38" s="66"/>
    </row>
    <row r="39" spans="1:34" s="65" customFormat="1">
      <c r="A39" s="67" t="s">
        <v>296</v>
      </c>
      <c r="B39" s="67" t="s">
        <v>298</v>
      </c>
      <c r="C39" s="67" t="s">
        <v>76</v>
      </c>
      <c r="D39" s="67" t="s">
        <v>302</v>
      </c>
      <c r="E39" s="67" t="s">
        <v>96</v>
      </c>
      <c r="F39" s="67"/>
      <c r="G39" s="67"/>
      <c r="H39" s="67"/>
      <c r="I39" s="67"/>
      <c r="J39" s="67"/>
      <c r="K39" s="67"/>
      <c r="L39" s="67" t="s">
        <v>196</v>
      </c>
      <c r="M39" s="67" t="s">
        <v>190</v>
      </c>
      <c r="N39" s="67"/>
      <c r="O39" s="67"/>
      <c r="P39" s="67"/>
      <c r="Q39" s="67"/>
      <c r="R39" s="67"/>
      <c r="S39" s="67"/>
      <c r="T39" s="67">
        <v>0</v>
      </c>
      <c r="U39" s="67">
        <v>118003</v>
      </c>
      <c r="V39" s="67" t="s">
        <v>134</v>
      </c>
      <c r="W39" s="67">
        <v>4</v>
      </c>
      <c r="X39" s="67">
        <f t="shared" ref="X39:AE39" si="39">X78</f>
        <v>200000</v>
      </c>
      <c r="Y39" s="67">
        <f t="shared" si="39"/>
        <v>180000</v>
      </c>
      <c r="Z39" s="68">
        <f t="shared" si="39"/>
        <v>111.11111111111111</v>
      </c>
      <c r="AA39" s="67">
        <f t="shared" si="39"/>
        <v>4800000</v>
      </c>
      <c r="AB39" s="67">
        <f t="shared" si="39"/>
        <v>2600000</v>
      </c>
      <c r="AC39" s="68">
        <f t="shared" si="39"/>
        <v>54.166666666666664</v>
      </c>
      <c r="AD39" s="67">
        <f t="shared" si="39"/>
        <v>1980000</v>
      </c>
      <c r="AE39" s="68">
        <f t="shared" si="39"/>
        <v>131.31313131313132</v>
      </c>
      <c r="AF39" s="77" t="s">
        <v>82</v>
      </c>
      <c r="AH39" s="66"/>
    </row>
    <row r="40" spans="1:34" s="65" customFormat="1">
      <c r="A40" s="63" t="s">
        <v>296</v>
      </c>
      <c r="B40" s="63" t="s">
        <v>298</v>
      </c>
      <c r="C40" s="63" t="s">
        <v>76</v>
      </c>
      <c r="D40" s="63" t="s">
        <v>302</v>
      </c>
      <c r="E40" s="63" t="s">
        <v>96</v>
      </c>
      <c r="F40" s="63"/>
      <c r="G40" s="63"/>
      <c r="H40" s="63"/>
      <c r="I40" s="63"/>
      <c r="J40" s="63"/>
      <c r="K40" s="63"/>
      <c r="L40" s="63" t="s">
        <v>196</v>
      </c>
      <c r="M40" s="63" t="s">
        <v>190</v>
      </c>
      <c r="N40" s="63"/>
      <c r="O40" s="63"/>
      <c r="P40" s="63"/>
      <c r="Q40" s="63"/>
      <c r="R40" s="63"/>
      <c r="S40" s="63"/>
      <c r="T40" s="63">
        <v>0</v>
      </c>
      <c r="U40" s="63">
        <v>118004</v>
      </c>
      <c r="V40" s="63" t="s">
        <v>136</v>
      </c>
      <c r="W40" s="63">
        <v>4</v>
      </c>
      <c r="X40" s="63"/>
      <c r="Y40" s="63"/>
      <c r="Z40" s="103">
        <f>Z79</f>
        <v>0</v>
      </c>
      <c r="AA40" s="63"/>
      <c r="AB40" s="63"/>
      <c r="AC40" s="103">
        <f>AC79</f>
        <v>0</v>
      </c>
      <c r="AD40" s="63"/>
      <c r="AE40" s="103">
        <f>AE79</f>
        <v>0</v>
      </c>
      <c r="AF40" s="62" t="s">
        <v>81</v>
      </c>
      <c r="AH40" s="66"/>
    </row>
    <row r="41" spans="1:34" s="65" customFormat="1">
      <c r="A41" s="67" t="s">
        <v>296</v>
      </c>
      <c r="B41" s="67" t="s">
        <v>298</v>
      </c>
      <c r="C41" s="67" t="s">
        <v>76</v>
      </c>
      <c r="D41" s="67" t="s">
        <v>302</v>
      </c>
      <c r="E41" s="67" t="s">
        <v>96</v>
      </c>
      <c r="F41" s="67"/>
      <c r="G41" s="67"/>
      <c r="H41" s="67"/>
      <c r="I41" s="67"/>
      <c r="J41" s="67"/>
      <c r="K41" s="67"/>
      <c r="L41" s="67" t="s">
        <v>196</v>
      </c>
      <c r="M41" s="67" t="s">
        <v>190</v>
      </c>
      <c r="N41" s="67"/>
      <c r="O41" s="67"/>
      <c r="P41" s="67"/>
      <c r="Q41" s="67"/>
      <c r="R41" s="67"/>
      <c r="S41" s="67"/>
      <c r="T41" s="67">
        <v>1</v>
      </c>
      <c r="U41" s="67"/>
      <c r="V41" s="67" t="s">
        <v>138</v>
      </c>
      <c r="W41" s="67">
        <v>4</v>
      </c>
      <c r="X41" s="67">
        <f t="shared" ref="X41:AE41" si="40">X80</f>
        <v>200000</v>
      </c>
      <c r="Y41" s="67">
        <f t="shared" si="40"/>
        <v>180000</v>
      </c>
      <c r="Z41" s="68">
        <f t="shared" si="40"/>
        <v>111.11111111111111</v>
      </c>
      <c r="AA41" s="67">
        <f t="shared" si="40"/>
        <v>4800000</v>
      </c>
      <c r="AB41" s="67">
        <f t="shared" si="40"/>
        <v>2600000</v>
      </c>
      <c r="AC41" s="68">
        <f t="shared" si="40"/>
        <v>54.166666666666664</v>
      </c>
      <c r="AD41" s="67">
        <f t="shared" si="40"/>
        <v>1980000</v>
      </c>
      <c r="AE41" s="68">
        <f t="shared" si="40"/>
        <v>131.31313131313132</v>
      </c>
      <c r="AF41" s="77" t="s">
        <v>77</v>
      </c>
      <c r="AH41" s="66"/>
    </row>
    <row r="42" spans="1:34" s="65" customFormat="1">
      <c r="A42" s="63" t="s">
        <v>296</v>
      </c>
      <c r="B42" s="63" t="s">
        <v>298</v>
      </c>
      <c r="C42" s="62" t="s">
        <v>176</v>
      </c>
      <c r="D42" s="63" t="s">
        <v>302</v>
      </c>
      <c r="E42" s="63" t="s">
        <v>96</v>
      </c>
      <c r="F42" s="63"/>
      <c r="G42" s="63"/>
      <c r="H42" s="62"/>
      <c r="I42" s="63"/>
      <c r="J42" s="62"/>
      <c r="K42" s="63"/>
      <c r="L42" s="63"/>
      <c r="M42" s="63"/>
      <c r="N42" s="63"/>
      <c r="O42" s="63"/>
      <c r="P42" s="63"/>
      <c r="Q42" s="63"/>
      <c r="R42" s="62"/>
      <c r="S42" s="63"/>
      <c r="T42" s="63">
        <v>0</v>
      </c>
      <c r="U42" s="63">
        <v>118001</v>
      </c>
      <c r="V42" s="63" t="s">
        <v>129</v>
      </c>
      <c r="W42" s="63">
        <v>4</v>
      </c>
      <c r="X42" s="63">
        <f t="shared" ref="X42:AE42" si="41">X81</f>
        <v>800000</v>
      </c>
      <c r="Y42" s="63">
        <f t="shared" si="41"/>
        <v>780000</v>
      </c>
      <c r="Z42" s="64">
        <f t="shared" si="41"/>
        <v>102.56410256410255</v>
      </c>
      <c r="AA42" s="63">
        <f t="shared" si="41"/>
        <v>23200000</v>
      </c>
      <c r="AB42" s="63">
        <f t="shared" si="41"/>
        <v>10400000</v>
      </c>
      <c r="AC42" s="64">
        <f t="shared" si="41"/>
        <v>44.827586206896555</v>
      </c>
      <c r="AD42" s="63">
        <f t="shared" si="41"/>
        <v>8580000</v>
      </c>
      <c r="AE42" s="64">
        <f t="shared" si="41"/>
        <v>121.21212121212122</v>
      </c>
      <c r="AF42" s="62" t="s">
        <v>75</v>
      </c>
      <c r="AH42" s="66"/>
    </row>
    <row r="43" spans="1:34" s="65" customFormat="1">
      <c r="A43" s="67" t="s">
        <v>296</v>
      </c>
      <c r="B43" s="67" t="s">
        <v>298</v>
      </c>
      <c r="C43" s="67" t="s">
        <v>76</v>
      </c>
      <c r="D43" s="67" t="s">
        <v>302</v>
      </c>
      <c r="E43" s="67" t="s">
        <v>96</v>
      </c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>
        <v>0</v>
      </c>
      <c r="U43" s="67">
        <v>118002</v>
      </c>
      <c r="V43" s="67" t="s">
        <v>131</v>
      </c>
      <c r="W43" s="67">
        <v>4</v>
      </c>
      <c r="X43" s="67">
        <f t="shared" ref="X43:AE43" si="42">X82</f>
        <v>400000</v>
      </c>
      <c r="Y43" s="67">
        <f t="shared" si="42"/>
        <v>380000</v>
      </c>
      <c r="Z43" s="68">
        <f t="shared" si="42"/>
        <v>105.26315789473684</v>
      </c>
      <c r="AA43" s="67">
        <f t="shared" si="42"/>
        <v>9600000</v>
      </c>
      <c r="AB43" s="67">
        <f t="shared" si="42"/>
        <v>5200000</v>
      </c>
      <c r="AC43" s="68">
        <f t="shared" si="42"/>
        <v>54.166666666666664</v>
      </c>
      <c r="AD43" s="67">
        <f t="shared" si="42"/>
        <v>4180000</v>
      </c>
      <c r="AE43" s="68">
        <f t="shared" si="42"/>
        <v>124.4019138755981</v>
      </c>
      <c r="AF43" s="77" t="s">
        <v>141</v>
      </c>
      <c r="AH43" s="66"/>
    </row>
    <row r="44" spans="1:34" s="65" customFormat="1">
      <c r="A44" s="63" t="s">
        <v>296</v>
      </c>
      <c r="B44" s="63" t="s">
        <v>298</v>
      </c>
      <c r="C44" s="63" t="s">
        <v>76</v>
      </c>
      <c r="D44" s="63" t="s">
        <v>302</v>
      </c>
      <c r="E44" s="63" t="s">
        <v>96</v>
      </c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>
        <v>1</v>
      </c>
      <c r="U44" s="63"/>
      <c r="V44" s="63" t="s">
        <v>132</v>
      </c>
      <c r="W44" s="63">
        <v>4</v>
      </c>
      <c r="X44" s="63">
        <f t="shared" ref="X44:AE44" si="43">X83</f>
        <v>1200000</v>
      </c>
      <c r="Y44" s="63">
        <f t="shared" si="43"/>
        <v>1160000</v>
      </c>
      <c r="Z44" s="64">
        <f t="shared" si="43"/>
        <v>103.44827586206897</v>
      </c>
      <c r="AA44" s="63">
        <f t="shared" si="43"/>
        <v>32800000</v>
      </c>
      <c r="AB44" s="63">
        <f t="shared" si="43"/>
        <v>15600000</v>
      </c>
      <c r="AC44" s="64">
        <f t="shared" si="43"/>
        <v>47.560975609756099</v>
      </c>
      <c r="AD44" s="63">
        <f t="shared" si="43"/>
        <v>12760000</v>
      </c>
      <c r="AE44" s="64">
        <f t="shared" si="43"/>
        <v>122.25705329153604</v>
      </c>
      <c r="AF44" s="62" t="s">
        <v>316</v>
      </c>
      <c r="AH44" s="66"/>
    </row>
    <row r="45" spans="1:34" s="65" customFormat="1">
      <c r="A45" s="67" t="s">
        <v>296</v>
      </c>
      <c r="B45" s="67" t="s">
        <v>298</v>
      </c>
      <c r="C45" s="67" t="s">
        <v>76</v>
      </c>
      <c r="D45" s="67" t="s">
        <v>302</v>
      </c>
      <c r="E45" s="67" t="s">
        <v>96</v>
      </c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>
        <v>0</v>
      </c>
      <c r="U45" s="67">
        <v>118003</v>
      </c>
      <c r="V45" s="67" t="s">
        <v>134</v>
      </c>
      <c r="W45" s="67">
        <v>4</v>
      </c>
      <c r="X45" s="67">
        <f t="shared" ref="X45:AE45" si="44">X84</f>
        <v>100000</v>
      </c>
      <c r="Y45" s="67">
        <f t="shared" si="44"/>
        <v>90000</v>
      </c>
      <c r="Z45" s="68">
        <f t="shared" si="44"/>
        <v>111.11111111111111</v>
      </c>
      <c r="AA45" s="67">
        <f t="shared" si="44"/>
        <v>2400000</v>
      </c>
      <c r="AB45" s="67">
        <f t="shared" si="44"/>
        <v>1300000</v>
      </c>
      <c r="AC45" s="68">
        <f t="shared" si="44"/>
        <v>54.166666666666664</v>
      </c>
      <c r="AD45" s="67">
        <f t="shared" si="44"/>
        <v>990000</v>
      </c>
      <c r="AE45" s="68">
        <f t="shared" si="44"/>
        <v>131.31313131313132</v>
      </c>
      <c r="AF45" s="77" t="s">
        <v>82</v>
      </c>
      <c r="AH45" s="66"/>
    </row>
    <row r="46" spans="1:34" s="65" customFormat="1">
      <c r="A46" s="63" t="s">
        <v>296</v>
      </c>
      <c r="B46" s="63" t="s">
        <v>298</v>
      </c>
      <c r="C46" s="63" t="s">
        <v>76</v>
      </c>
      <c r="D46" s="63" t="s">
        <v>302</v>
      </c>
      <c r="E46" s="63" t="s">
        <v>96</v>
      </c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>
        <v>0</v>
      </c>
      <c r="U46" s="63">
        <v>118004</v>
      </c>
      <c r="V46" s="63" t="s">
        <v>136</v>
      </c>
      <c r="W46" s="63">
        <v>4</v>
      </c>
      <c r="X46" s="63"/>
      <c r="Y46" s="63"/>
      <c r="Z46" s="103">
        <f>Z85</f>
        <v>0</v>
      </c>
      <c r="AA46" s="63"/>
      <c r="AB46" s="63"/>
      <c r="AC46" s="103">
        <f>AC85</f>
        <v>0</v>
      </c>
      <c r="AD46" s="63"/>
      <c r="AE46" s="103">
        <f>AE85</f>
        <v>0</v>
      </c>
      <c r="AF46" s="62" t="s">
        <v>81</v>
      </c>
      <c r="AH46" s="66"/>
    </row>
    <row r="47" spans="1:34" s="65" customFormat="1">
      <c r="A47" s="67" t="s">
        <v>296</v>
      </c>
      <c r="B47" s="67" t="s">
        <v>298</v>
      </c>
      <c r="C47" s="67" t="s">
        <v>76</v>
      </c>
      <c r="D47" s="67" t="s">
        <v>302</v>
      </c>
      <c r="E47" s="67" t="s">
        <v>96</v>
      </c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>
        <v>1</v>
      </c>
      <c r="U47" s="67"/>
      <c r="V47" s="67" t="s">
        <v>138</v>
      </c>
      <c r="W47" s="67">
        <v>4</v>
      </c>
      <c r="X47" s="67">
        <f t="shared" ref="X47:AE47" si="45">X86</f>
        <v>100000</v>
      </c>
      <c r="Y47" s="67">
        <f t="shared" si="45"/>
        <v>90000</v>
      </c>
      <c r="Z47" s="68">
        <f t="shared" si="45"/>
        <v>111.11111111111111</v>
      </c>
      <c r="AA47" s="67">
        <f t="shared" si="45"/>
        <v>2400000</v>
      </c>
      <c r="AB47" s="67">
        <f t="shared" si="45"/>
        <v>1300000</v>
      </c>
      <c r="AC47" s="68">
        <f t="shared" si="45"/>
        <v>54.166666666666664</v>
      </c>
      <c r="AD47" s="67">
        <f t="shared" si="45"/>
        <v>990000</v>
      </c>
      <c r="AE47" s="68">
        <f t="shared" si="45"/>
        <v>131.31313131313132</v>
      </c>
      <c r="AF47" s="77" t="s">
        <v>77</v>
      </c>
      <c r="AH47" s="66"/>
    </row>
    <row r="48" spans="1:34" s="65" customFormat="1" ht="14.4">
      <c r="A48" s="40"/>
      <c r="B48" s="40"/>
      <c r="C48" s="40"/>
      <c r="D48" s="40"/>
      <c r="E48" s="71"/>
      <c r="F48" s="40"/>
      <c r="G48" s="40"/>
      <c r="H48" s="40"/>
      <c r="I48" s="41" t="s">
        <v>140</v>
      </c>
      <c r="J48" s="41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3"/>
      <c r="V48" s="42"/>
      <c r="W48" s="72"/>
      <c r="X48" s="72"/>
      <c r="Y48" s="73"/>
      <c r="Z48" s="72"/>
      <c r="AA48" s="72"/>
      <c r="AB48" s="72"/>
      <c r="AC48" s="72"/>
      <c r="AD48" s="72"/>
      <c r="AE48" s="72"/>
      <c r="AF48" s="72"/>
      <c r="AH48" s="66"/>
    </row>
    <row r="49" spans="1:34" s="65" customFormat="1">
      <c r="A49" s="63" t="s">
        <v>296</v>
      </c>
      <c r="B49" s="63" t="s">
        <v>298</v>
      </c>
      <c r="C49" s="62" t="s">
        <v>177</v>
      </c>
      <c r="D49" s="63" t="s">
        <v>303</v>
      </c>
      <c r="E49" s="63" t="s">
        <v>96</v>
      </c>
      <c r="F49" s="63"/>
      <c r="G49" s="63"/>
      <c r="H49" s="62"/>
      <c r="I49" s="63"/>
      <c r="J49" s="62"/>
      <c r="K49" s="63"/>
      <c r="L49" s="63" t="s">
        <v>194</v>
      </c>
      <c r="M49" s="63" t="s">
        <v>189</v>
      </c>
      <c r="N49" s="62" t="s">
        <v>224</v>
      </c>
      <c r="O49" s="63" t="s">
        <v>218</v>
      </c>
      <c r="P49" s="63"/>
      <c r="Q49" s="63"/>
      <c r="R49" s="62"/>
      <c r="S49" s="63"/>
      <c r="T49" s="63">
        <v>0</v>
      </c>
      <c r="U49" s="63">
        <v>118001</v>
      </c>
      <c r="V49" s="63" t="s">
        <v>129</v>
      </c>
      <c r="W49" s="63">
        <v>4</v>
      </c>
      <c r="X49" s="74"/>
      <c r="Y49" s="74"/>
      <c r="Z49" s="100">
        <v>0</v>
      </c>
      <c r="AA49" s="74"/>
      <c r="AB49" s="74"/>
      <c r="AC49" s="74" t="s">
        <v>181</v>
      </c>
      <c r="AD49" s="74"/>
      <c r="AE49" s="74" t="s">
        <v>181</v>
      </c>
      <c r="AF49" s="63" t="s">
        <v>75</v>
      </c>
      <c r="AH49" s="66"/>
    </row>
    <row r="50" spans="1:34" s="65" customFormat="1">
      <c r="A50" s="67" t="s">
        <v>296</v>
      </c>
      <c r="B50" s="67" t="s">
        <v>298</v>
      </c>
      <c r="C50" s="67" t="s">
        <v>177</v>
      </c>
      <c r="D50" s="67" t="s">
        <v>303</v>
      </c>
      <c r="E50" s="67" t="s">
        <v>96</v>
      </c>
      <c r="F50" s="67"/>
      <c r="G50" s="67"/>
      <c r="H50" s="67"/>
      <c r="I50" s="67"/>
      <c r="J50" s="67"/>
      <c r="K50" s="67"/>
      <c r="L50" s="67" t="s">
        <v>194</v>
      </c>
      <c r="M50" s="67" t="s">
        <v>188</v>
      </c>
      <c r="N50" s="67" t="s">
        <v>223</v>
      </c>
      <c r="O50" s="67" t="s">
        <v>217</v>
      </c>
      <c r="P50" s="67"/>
      <c r="Q50" s="67"/>
      <c r="R50" s="67"/>
      <c r="S50" s="67"/>
      <c r="T50" s="67">
        <v>0</v>
      </c>
      <c r="U50" s="67">
        <v>118002</v>
      </c>
      <c r="V50" s="67" t="s">
        <v>131</v>
      </c>
      <c r="W50" s="67">
        <v>4</v>
      </c>
      <c r="X50" s="75"/>
      <c r="Y50" s="75"/>
      <c r="Z50" s="101">
        <v>0</v>
      </c>
      <c r="AA50" s="75"/>
      <c r="AB50" s="75"/>
      <c r="AC50" s="75" t="s">
        <v>181</v>
      </c>
      <c r="AD50" s="75"/>
      <c r="AE50" s="75" t="s">
        <v>181</v>
      </c>
      <c r="AF50" s="67" t="s">
        <v>141</v>
      </c>
      <c r="AH50" s="66"/>
    </row>
    <row r="51" spans="1:34" s="65" customFormat="1">
      <c r="A51" s="63" t="s">
        <v>296</v>
      </c>
      <c r="B51" s="63" t="s">
        <v>298</v>
      </c>
      <c r="C51" s="63" t="s">
        <v>177</v>
      </c>
      <c r="D51" s="63" t="s">
        <v>303</v>
      </c>
      <c r="E51" s="63" t="s">
        <v>96</v>
      </c>
      <c r="F51" s="63"/>
      <c r="G51" s="63"/>
      <c r="H51" s="63"/>
      <c r="I51" s="63"/>
      <c r="J51" s="63"/>
      <c r="K51" s="63"/>
      <c r="L51" s="63" t="s">
        <v>194</v>
      </c>
      <c r="M51" s="63" t="s">
        <v>188</v>
      </c>
      <c r="N51" s="63" t="s">
        <v>223</v>
      </c>
      <c r="O51" s="63" t="s">
        <v>217</v>
      </c>
      <c r="P51" s="63"/>
      <c r="Q51" s="63"/>
      <c r="R51" s="63"/>
      <c r="S51" s="63"/>
      <c r="T51" s="63">
        <v>1</v>
      </c>
      <c r="U51" s="63"/>
      <c r="V51" s="63" t="s">
        <v>132</v>
      </c>
      <c r="W51" s="63">
        <v>4</v>
      </c>
      <c r="X51" s="74"/>
      <c r="Y51" s="74"/>
      <c r="Z51" s="100">
        <v>0</v>
      </c>
      <c r="AA51" s="74"/>
      <c r="AB51" s="74"/>
      <c r="AC51" s="74" t="s">
        <v>181</v>
      </c>
      <c r="AD51" s="74"/>
      <c r="AE51" s="74" t="s">
        <v>181</v>
      </c>
      <c r="AF51" s="63" t="s">
        <v>316</v>
      </c>
      <c r="AH51" s="66"/>
    </row>
    <row r="52" spans="1:34" s="65" customFormat="1">
      <c r="A52" s="67" t="s">
        <v>296</v>
      </c>
      <c r="B52" s="67" t="s">
        <v>298</v>
      </c>
      <c r="C52" s="67" t="s">
        <v>177</v>
      </c>
      <c r="D52" s="67" t="s">
        <v>303</v>
      </c>
      <c r="E52" s="67" t="s">
        <v>96</v>
      </c>
      <c r="F52" s="67"/>
      <c r="G52" s="67"/>
      <c r="H52" s="67"/>
      <c r="I52" s="67"/>
      <c r="J52" s="67"/>
      <c r="K52" s="67"/>
      <c r="L52" s="67" t="s">
        <v>194</v>
      </c>
      <c r="M52" s="67" t="s">
        <v>188</v>
      </c>
      <c r="N52" s="67" t="s">
        <v>223</v>
      </c>
      <c r="O52" s="67" t="s">
        <v>217</v>
      </c>
      <c r="P52" s="67"/>
      <c r="Q52" s="67"/>
      <c r="R52" s="67"/>
      <c r="S52" s="67"/>
      <c r="T52" s="67">
        <v>0</v>
      </c>
      <c r="U52" s="67">
        <v>118003</v>
      </c>
      <c r="V52" s="67" t="s">
        <v>134</v>
      </c>
      <c r="W52" s="67">
        <v>4</v>
      </c>
      <c r="X52" s="67">
        <f>X91+X97+X103+X109</f>
        <v>100000</v>
      </c>
      <c r="Y52" s="67">
        <f>Y91+Y97+Y103+Y109</f>
        <v>90000</v>
      </c>
      <c r="Z52" s="68">
        <f>X52/Y52*100</f>
        <v>111.11111111111111</v>
      </c>
      <c r="AA52" s="67">
        <f>AA91+AA97+AA103+AA109</f>
        <v>2400000</v>
      </c>
      <c r="AB52" s="67">
        <f>AB91+AB97+AB103+AB109</f>
        <v>1300000</v>
      </c>
      <c r="AC52" s="68">
        <f>AB52/AA52*100</f>
        <v>54.166666666666664</v>
      </c>
      <c r="AD52" s="67">
        <f>AD91+AD97+AD103+AD109</f>
        <v>990000</v>
      </c>
      <c r="AE52" s="68">
        <f>AB52/AD52*100</f>
        <v>131.31313131313132</v>
      </c>
      <c r="AF52" s="67" t="s">
        <v>82</v>
      </c>
      <c r="AH52" s="66"/>
    </row>
    <row r="53" spans="1:34" s="65" customFormat="1">
      <c r="A53" s="63" t="s">
        <v>296</v>
      </c>
      <c r="B53" s="63" t="s">
        <v>298</v>
      </c>
      <c r="C53" s="63" t="s">
        <v>177</v>
      </c>
      <c r="D53" s="63" t="s">
        <v>303</v>
      </c>
      <c r="E53" s="63" t="s">
        <v>96</v>
      </c>
      <c r="F53" s="63"/>
      <c r="G53" s="63"/>
      <c r="H53" s="63"/>
      <c r="I53" s="63"/>
      <c r="J53" s="63"/>
      <c r="K53" s="63"/>
      <c r="L53" s="63" t="s">
        <v>194</v>
      </c>
      <c r="M53" s="63" t="s">
        <v>188</v>
      </c>
      <c r="N53" s="63" t="s">
        <v>223</v>
      </c>
      <c r="O53" s="63" t="s">
        <v>217</v>
      </c>
      <c r="P53" s="63"/>
      <c r="Q53" s="63"/>
      <c r="R53" s="63"/>
      <c r="S53" s="63"/>
      <c r="T53" s="63">
        <v>0</v>
      </c>
      <c r="U53" s="63">
        <v>118004</v>
      </c>
      <c r="V53" s="63" t="s">
        <v>136</v>
      </c>
      <c r="W53" s="63">
        <v>4</v>
      </c>
      <c r="X53" s="63"/>
      <c r="Y53" s="63"/>
      <c r="Z53" s="69" t="s">
        <v>182</v>
      </c>
      <c r="AA53" s="63"/>
      <c r="AB53" s="63"/>
      <c r="AC53" s="69" t="s">
        <v>182</v>
      </c>
      <c r="AD53" s="63"/>
      <c r="AE53" s="69" t="s">
        <v>182</v>
      </c>
      <c r="AF53" s="63" t="s">
        <v>81</v>
      </c>
      <c r="AH53" s="66"/>
    </row>
    <row r="54" spans="1:34" s="65" customFormat="1">
      <c r="A54" s="67" t="s">
        <v>296</v>
      </c>
      <c r="B54" s="67" t="s">
        <v>298</v>
      </c>
      <c r="C54" s="67" t="s">
        <v>177</v>
      </c>
      <c r="D54" s="67" t="s">
        <v>303</v>
      </c>
      <c r="E54" s="67" t="s">
        <v>96</v>
      </c>
      <c r="F54" s="67"/>
      <c r="G54" s="67"/>
      <c r="H54" s="67"/>
      <c r="I54" s="67"/>
      <c r="J54" s="67"/>
      <c r="K54" s="67"/>
      <c r="L54" s="67" t="s">
        <v>194</v>
      </c>
      <c r="M54" s="67" t="s">
        <v>188</v>
      </c>
      <c r="N54" s="67" t="s">
        <v>223</v>
      </c>
      <c r="O54" s="67" t="s">
        <v>217</v>
      </c>
      <c r="P54" s="67"/>
      <c r="Q54" s="67"/>
      <c r="R54" s="67"/>
      <c r="S54" s="67"/>
      <c r="T54" s="67">
        <v>1</v>
      </c>
      <c r="U54" s="67"/>
      <c r="V54" s="67" t="s">
        <v>138</v>
      </c>
      <c r="W54" s="67">
        <v>4</v>
      </c>
      <c r="X54" s="67">
        <f>X52</f>
        <v>100000</v>
      </c>
      <c r="Y54" s="67">
        <f>Y52</f>
        <v>90000</v>
      </c>
      <c r="Z54" s="67">
        <v>111.1</v>
      </c>
      <c r="AA54" s="67">
        <f>AA52</f>
        <v>2400000</v>
      </c>
      <c r="AB54" s="67">
        <f>AB52</f>
        <v>1300000</v>
      </c>
      <c r="AC54" s="67">
        <v>54.2</v>
      </c>
      <c r="AD54" s="67">
        <f>AD52</f>
        <v>990000</v>
      </c>
      <c r="AE54" s="67">
        <v>131.30000000000001</v>
      </c>
      <c r="AF54" s="67" t="s">
        <v>77</v>
      </c>
      <c r="AH54" s="66"/>
    </row>
    <row r="55" spans="1:34" s="65" customFormat="1">
      <c r="A55" s="63" t="s">
        <v>296</v>
      </c>
      <c r="B55" s="63" t="s">
        <v>298</v>
      </c>
      <c r="C55" s="62" t="s">
        <v>177</v>
      </c>
      <c r="D55" s="63" t="s">
        <v>303</v>
      </c>
      <c r="E55" s="63" t="s">
        <v>96</v>
      </c>
      <c r="F55" s="63"/>
      <c r="G55" s="63"/>
      <c r="H55" s="62"/>
      <c r="I55" s="63"/>
      <c r="J55" s="62"/>
      <c r="K55" s="63"/>
      <c r="L55" s="63" t="s">
        <v>194</v>
      </c>
      <c r="M55" s="63" t="s">
        <v>189</v>
      </c>
      <c r="N55" s="62"/>
      <c r="O55" s="63"/>
      <c r="P55" s="63"/>
      <c r="Q55" s="63"/>
      <c r="R55" s="62"/>
      <c r="S55" s="63"/>
      <c r="T55" s="63">
        <v>0</v>
      </c>
      <c r="U55" s="63">
        <v>118001</v>
      </c>
      <c r="V55" s="63" t="s">
        <v>129</v>
      </c>
      <c r="W55" s="63">
        <v>4</v>
      </c>
      <c r="X55" s="74">
        <f>X112+X118+X124</f>
        <v>1200000</v>
      </c>
      <c r="Y55" s="74">
        <f>Y112+Y118+Y124</f>
        <v>1170000</v>
      </c>
      <c r="Z55" s="100">
        <f>X55/Y55*100</f>
        <v>102.56410256410255</v>
      </c>
      <c r="AA55" s="74">
        <f>AA112+AA118+AA124</f>
        <v>34800000</v>
      </c>
      <c r="AB55" s="74">
        <f t="shared" ref="AB55:AD55" si="46">AB112+AB118+AB124</f>
        <v>15600000</v>
      </c>
      <c r="AC55" s="100">
        <f>AB55/AA55*100</f>
        <v>44.827586206896555</v>
      </c>
      <c r="AD55" s="74">
        <f t="shared" si="46"/>
        <v>12870000</v>
      </c>
      <c r="AE55" s="102">
        <f>AB55/AD55*100</f>
        <v>121.21212121212122</v>
      </c>
      <c r="AF55" s="62" t="s">
        <v>75</v>
      </c>
      <c r="AH55" s="66"/>
    </row>
    <row r="56" spans="1:34" s="65" customFormat="1">
      <c r="A56" s="67" t="s">
        <v>296</v>
      </c>
      <c r="B56" s="67" t="s">
        <v>298</v>
      </c>
      <c r="C56" s="67" t="s">
        <v>177</v>
      </c>
      <c r="D56" s="67" t="s">
        <v>303</v>
      </c>
      <c r="E56" s="67" t="s">
        <v>96</v>
      </c>
      <c r="F56" s="67"/>
      <c r="G56" s="67"/>
      <c r="H56" s="67"/>
      <c r="I56" s="67"/>
      <c r="J56" s="67"/>
      <c r="K56" s="67"/>
      <c r="L56" s="67" t="s">
        <v>194</v>
      </c>
      <c r="M56" s="67" t="s">
        <v>188</v>
      </c>
      <c r="N56" s="67"/>
      <c r="O56" s="67"/>
      <c r="P56" s="67"/>
      <c r="Q56" s="67"/>
      <c r="R56" s="67"/>
      <c r="S56" s="67"/>
      <c r="T56" s="67">
        <v>0</v>
      </c>
      <c r="U56" s="67">
        <v>118002</v>
      </c>
      <c r="V56" s="67" t="s">
        <v>131</v>
      </c>
      <c r="W56" s="67">
        <v>4</v>
      </c>
      <c r="X56" s="75">
        <f t="shared" ref="X56:Y56" si="47">X113+X119+X125</f>
        <v>600000</v>
      </c>
      <c r="Y56" s="75">
        <f t="shared" si="47"/>
        <v>570000</v>
      </c>
      <c r="Z56" s="101">
        <f t="shared" ref="Z56:Z60" si="48">X56/Y56*100</f>
        <v>105.26315789473684</v>
      </c>
      <c r="AA56" s="75">
        <f t="shared" ref="AA56:AB56" si="49">AA113+AA119+AA125</f>
        <v>14400000</v>
      </c>
      <c r="AB56" s="75">
        <f t="shared" si="49"/>
        <v>7800000</v>
      </c>
      <c r="AC56" s="101">
        <f t="shared" ref="AC56:AC60" si="50">AB56/AA56*100</f>
        <v>54.166666666666664</v>
      </c>
      <c r="AD56" s="75">
        <f t="shared" ref="AD56" si="51">AD113+AD119+AD125</f>
        <v>6270000</v>
      </c>
      <c r="AE56" s="101">
        <f t="shared" ref="AE56:AE60" si="52">AB56/AD56*100</f>
        <v>124.4019138755981</v>
      </c>
      <c r="AF56" s="77" t="s">
        <v>141</v>
      </c>
      <c r="AH56" s="66"/>
    </row>
    <row r="57" spans="1:34" s="65" customFormat="1">
      <c r="A57" s="63" t="s">
        <v>296</v>
      </c>
      <c r="B57" s="63" t="s">
        <v>298</v>
      </c>
      <c r="C57" s="63" t="s">
        <v>177</v>
      </c>
      <c r="D57" s="63" t="s">
        <v>303</v>
      </c>
      <c r="E57" s="63" t="s">
        <v>96</v>
      </c>
      <c r="F57" s="63"/>
      <c r="G57" s="63"/>
      <c r="H57" s="63"/>
      <c r="I57" s="63"/>
      <c r="J57" s="63"/>
      <c r="K57" s="63"/>
      <c r="L57" s="63" t="s">
        <v>194</v>
      </c>
      <c r="M57" s="63" t="s">
        <v>188</v>
      </c>
      <c r="N57" s="63"/>
      <c r="O57" s="63"/>
      <c r="P57" s="63"/>
      <c r="Q57" s="63"/>
      <c r="R57" s="63"/>
      <c r="S57" s="63"/>
      <c r="T57" s="63">
        <v>1</v>
      </c>
      <c r="U57" s="63"/>
      <c r="V57" s="63" t="s">
        <v>132</v>
      </c>
      <c r="W57" s="63">
        <v>4</v>
      </c>
      <c r="X57" s="74">
        <f>X55+X56</f>
        <v>1800000</v>
      </c>
      <c r="Y57" s="74">
        <f>Y55+Y56</f>
        <v>1740000</v>
      </c>
      <c r="Z57" s="100">
        <f>X57/Y57*100</f>
        <v>103.44827586206897</v>
      </c>
      <c r="AA57" s="74">
        <f>AA55+AA56</f>
        <v>49200000</v>
      </c>
      <c r="AB57" s="74">
        <f>AB55+AB56</f>
        <v>23400000</v>
      </c>
      <c r="AC57" s="100">
        <f>AB57/AA57*100</f>
        <v>47.560975609756099</v>
      </c>
      <c r="AD57" s="74">
        <f>AD55+AD56</f>
        <v>19140000</v>
      </c>
      <c r="AE57" s="100">
        <f>AB57/AD57*100</f>
        <v>122.25705329153604</v>
      </c>
      <c r="AF57" s="62" t="s">
        <v>316</v>
      </c>
      <c r="AH57" s="66"/>
    </row>
    <row r="58" spans="1:34" s="65" customFormat="1">
      <c r="A58" s="67" t="s">
        <v>296</v>
      </c>
      <c r="B58" s="67" t="s">
        <v>298</v>
      </c>
      <c r="C58" s="67" t="s">
        <v>177</v>
      </c>
      <c r="D58" s="67" t="s">
        <v>303</v>
      </c>
      <c r="E58" s="67" t="s">
        <v>96</v>
      </c>
      <c r="F58" s="67"/>
      <c r="G58" s="67"/>
      <c r="H58" s="67"/>
      <c r="I58" s="67"/>
      <c r="J58" s="67"/>
      <c r="K58" s="67"/>
      <c r="L58" s="67" t="s">
        <v>194</v>
      </c>
      <c r="M58" s="67" t="s">
        <v>188</v>
      </c>
      <c r="N58" s="67"/>
      <c r="O58" s="67"/>
      <c r="P58" s="67"/>
      <c r="Q58" s="67"/>
      <c r="R58" s="67"/>
      <c r="S58" s="67"/>
      <c r="T58" s="67">
        <v>0</v>
      </c>
      <c r="U58" s="67">
        <v>118003</v>
      </c>
      <c r="V58" s="67" t="s">
        <v>134</v>
      </c>
      <c r="W58" s="67">
        <v>4</v>
      </c>
      <c r="X58" s="67">
        <f t="shared" ref="X58:Y58" si="53">X115+X121+X127</f>
        <v>150000</v>
      </c>
      <c r="Y58" s="67">
        <f t="shared" si="53"/>
        <v>135000</v>
      </c>
      <c r="Z58" s="68">
        <f t="shared" si="48"/>
        <v>111.11111111111111</v>
      </c>
      <c r="AA58" s="67">
        <f t="shared" ref="AA58:AB58" si="54">AA115+AA121+AA127</f>
        <v>3600000</v>
      </c>
      <c r="AB58" s="67">
        <f t="shared" si="54"/>
        <v>1950000</v>
      </c>
      <c r="AC58" s="68">
        <f t="shared" si="50"/>
        <v>54.166666666666664</v>
      </c>
      <c r="AD58" s="67">
        <f t="shared" ref="AD58" si="55">AD115+AD121+AD127</f>
        <v>1485000</v>
      </c>
      <c r="AE58" s="68">
        <f t="shared" si="52"/>
        <v>131.31313131313132</v>
      </c>
      <c r="AF58" s="77" t="s">
        <v>82</v>
      </c>
      <c r="AH58" s="66"/>
    </row>
    <row r="59" spans="1:34" s="65" customFormat="1">
      <c r="A59" s="63" t="s">
        <v>296</v>
      </c>
      <c r="B59" s="63" t="s">
        <v>298</v>
      </c>
      <c r="C59" s="63" t="s">
        <v>177</v>
      </c>
      <c r="D59" s="63" t="s">
        <v>303</v>
      </c>
      <c r="E59" s="63" t="s">
        <v>96</v>
      </c>
      <c r="F59" s="63"/>
      <c r="G59" s="63"/>
      <c r="H59" s="63"/>
      <c r="I59" s="63"/>
      <c r="J59" s="63"/>
      <c r="K59" s="63"/>
      <c r="L59" s="63" t="s">
        <v>194</v>
      </c>
      <c r="M59" s="63" t="s">
        <v>188</v>
      </c>
      <c r="N59" s="63"/>
      <c r="O59" s="63"/>
      <c r="P59" s="63"/>
      <c r="Q59" s="63"/>
      <c r="R59" s="63"/>
      <c r="S59" s="63"/>
      <c r="T59" s="63">
        <v>0</v>
      </c>
      <c r="U59" s="63">
        <v>118004</v>
      </c>
      <c r="V59" s="63" t="s">
        <v>136</v>
      </c>
      <c r="W59" s="63">
        <v>4</v>
      </c>
      <c r="X59" s="63"/>
      <c r="Y59" s="63"/>
      <c r="Z59" s="103">
        <v>0</v>
      </c>
      <c r="AA59" s="63"/>
      <c r="AB59" s="63"/>
      <c r="AC59" s="103">
        <v>0</v>
      </c>
      <c r="AD59" s="63"/>
      <c r="AE59" s="103">
        <v>0</v>
      </c>
      <c r="AF59" s="62" t="s">
        <v>81</v>
      </c>
      <c r="AH59" s="66"/>
    </row>
    <row r="60" spans="1:34" s="65" customFormat="1">
      <c r="A60" s="67" t="s">
        <v>296</v>
      </c>
      <c r="B60" s="67" t="s">
        <v>298</v>
      </c>
      <c r="C60" s="67" t="s">
        <v>177</v>
      </c>
      <c r="D60" s="67" t="s">
        <v>303</v>
      </c>
      <c r="E60" s="67" t="s">
        <v>96</v>
      </c>
      <c r="F60" s="67"/>
      <c r="G60" s="67"/>
      <c r="H60" s="67"/>
      <c r="I60" s="67"/>
      <c r="J60" s="67"/>
      <c r="K60" s="67"/>
      <c r="L60" s="67" t="s">
        <v>194</v>
      </c>
      <c r="M60" s="67" t="s">
        <v>188</v>
      </c>
      <c r="N60" s="67"/>
      <c r="O60" s="67"/>
      <c r="P60" s="67"/>
      <c r="Q60" s="67"/>
      <c r="R60" s="67"/>
      <c r="S60" s="67"/>
      <c r="T60" s="67">
        <v>1</v>
      </c>
      <c r="U60" s="67"/>
      <c r="V60" s="67" t="s">
        <v>138</v>
      </c>
      <c r="W60" s="67">
        <v>4</v>
      </c>
      <c r="X60" s="67">
        <f t="shared" ref="X60:Y60" si="56">X117+X123+X129</f>
        <v>150000</v>
      </c>
      <c r="Y60" s="67">
        <f t="shared" si="56"/>
        <v>135000</v>
      </c>
      <c r="Z60" s="68">
        <f t="shared" si="48"/>
        <v>111.11111111111111</v>
      </c>
      <c r="AA60" s="67">
        <f t="shared" ref="AA60:AB60" si="57">AA117+AA123+AA129</f>
        <v>3600000</v>
      </c>
      <c r="AB60" s="67">
        <f t="shared" si="57"/>
        <v>1950000</v>
      </c>
      <c r="AC60" s="68">
        <f t="shared" si="50"/>
        <v>54.166666666666664</v>
      </c>
      <c r="AD60" s="67">
        <f t="shared" ref="AD60" si="58">AD117+AD123+AD129</f>
        <v>1485000</v>
      </c>
      <c r="AE60" s="68">
        <f t="shared" si="52"/>
        <v>131.31313131313132</v>
      </c>
      <c r="AF60" s="77" t="s">
        <v>77</v>
      </c>
      <c r="AH60" s="66"/>
    </row>
    <row r="61" spans="1:34" s="65" customFormat="1">
      <c r="A61" s="63" t="s">
        <v>296</v>
      </c>
      <c r="B61" s="63" t="s">
        <v>298</v>
      </c>
      <c r="C61" s="62" t="s">
        <v>177</v>
      </c>
      <c r="D61" s="63" t="s">
        <v>303</v>
      </c>
      <c r="E61" s="63" t="s">
        <v>96</v>
      </c>
      <c r="F61" s="63"/>
      <c r="G61" s="63"/>
      <c r="H61" s="62"/>
      <c r="I61" s="63"/>
      <c r="J61" s="62"/>
      <c r="K61" s="63"/>
      <c r="L61" s="63" t="s">
        <v>193</v>
      </c>
      <c r="M61" s="63" t="s">
        <v>187</v>
      </c>
      <c r="N61" s="62" t="s">
        <v>212</v>
      </c>
      <c r="O61" s="63" t="s">
        <v>210</v>
      </c>
      <c r="P61" s="63"/>
      <c r="Q61" s="63"/>
      <c r="R61" s="62"/>
      <c r="S61" s="63"/>
      <c r="T61" s="63">
        <v>0</v>
      </c>
      <c r="U61" s="63">
        <v>118001</v>
      </c>
      <c r="V61" s="63" t="s">
        <v>129</v>
      </c>
      <c r="W61" s="63">
        <v>4</v>
      </c>
      <c r="X61" s="63">
        <f>X130</f>
        <v>400000</v>
      </c>
      <c r="Y61" s="63">
        <f>Y130</f>
        <v>390000</v>
      </c>
      <c r="Z61" s="103">
        <f>X61/Y61*100</f>
        <v>102.56410256410255</v>
      </c>
      <c r="AA61" s="63">
        <f>AA130</f>
        <v>11600000</v>
      </c>
      <c r="AB61" s="63">
        <f>AB130</f>
        <v>5200000</v>
      </c>
      <c r="AC61" s="103">
        <f>AB61/AA61*100</f>
        <v>44.827586206896555</v>
      </c>
      <c r="AD61" s="63">
        <f>AD130</f>
        <v>4290000</v>
      </c>
      <c r="AE61" s="103">
        <f>AB61/AD61*100</f>
        <v>121.21212121212122</v>
      </c>
      <c r="AF61" s="62" t="s">
        <v>75</v>
      </c>
      <c r="AH61" s="66"/>
    </row>
    <row r="62" spans="1:34" s="65" customFormat="1">
      <c r="A62" s="67" t="s">
        <v>296</v>
      </c>
      <c r="B62" s="67" t="s">
        <v>298</v>
      </c>
      <c r="C62" s="67" t="s">
        <v>177</v>
      </c>
      <c r="D62" s="67" t="s">
        <v>303</v>
      </c>
      <c r="E62" s="67" t="s">
        <v>96</v>
      </c>
      <c r="F62" s="67"/>
      <c r="G62" s="67"/>
      <c r="H62" s="67"/>
      <c r="I62" s="67"/>
      <c r="J62" s="67"/>
      <c r="K62" s="67"/>
      <c r="L62" s="67" t="s">
        <v>193</v>
      </c>
      <c r="M62" s="67" t="s">
        <v>187</v>
      </c>
      <c r="N62" s="67" t="s">
        <v>211</v>
      </c>
      <c r="O62" s="67" t="s">
        <v>209</v>
      </c>
      <c r="P62" s="67"/>
      <c r="Q62" s="67"/>
      <c r="R62" s="67"/>
      <c r="S62" s="67"/>
      <c r="T62" s="67">
        <v>0</v>
      </c>
      <c r="U62" s="67">
        <v>118002</v>
      </c>
      <c r="V62" s="67" t="s">
        <v>131</v>
      </c>
      <c r="W62" s="67">
        <v>4</v>
      </c>
      <c r="X62" s="67">
        <f t="shared" ref="X62:Y62" si="59">X131</f>
        <v>200000</v>
      </c>
      <c r="Y62" s="67">
        <f t="shared" si="59"/>
        <v>190000</v>
      </c>
      <c r="Z62" s="104">
        <f t="shared" ref="Z62:Z68" si="60">X62/Y62*100</f>
        <v>105.26315789473684</v>
      </c>
      <c r="AA62" s="67">
        <f t="shared" ref="AA62:AB62" si="61">AA131</f>
        <v>4800000</v>
      </c>
      <c r="AB62" s="67">
        <f t="shared" si="61"/>
        <v>2600000</v>
      </c>
      <c r="AC62" s="104">
        <f t="shared" ref="AC62:AC66" si="62">AB62/AA62*100</f>
        <v>54.166666666666664</v>
      </c>
      <c r="AD62" s="67">
        <f t="shared" ref="AD62:AD66" si="63">AD131</f>
        <v>2090000</v>
      </c>
      <c r="AE62" s="104">
        <f t="shared" ref="AE62:AE66" si="64">AB62/AD62*100</f>
        <v>124.4019138755981</v>
      </c>
      <c r="AF62" s="77" t="s">
        <v>141</v>
      </c>
      <c r="AH62" s="66"/>
    </row>
    <row r="63" spans="1:34" s="65" customFormat="1">
      <c r="A63" s="63" t="s">
        <v>296</v>
      </c>
      <c r="B63" s="63" t="s">
        <v>298</v>
      </c>
      <c r="C63" s="63" t="s">
        <v>177</v>
      </c>
      <c r="D63" s="63" t="s">
        <v>303</v>
      </c>
      <c r="E63" s="63" t="s">
        <v>96</v>
      </c>
      <c r="F63" s="63"/>
      <c r="G63" s="63"/>
      <c r="H63" s="63"/>
      <c r="I63" s="63"/>
      <c r="J63" s="63"/>
      <c r="K63" s="63"/>
      <c r="L63" s="63" t="s">
        <v>193</v>
      </c>
      <c r="M63" s="63" t="s">
        <v>187</v>
      </c>
      <c r="N63" s="63" t="s">
        <v>211</v>
      </c>
      <c r="O63" s="63" t="s">
        <v>209</v>
      </c>
      <c r="P63" s="63"/>
      <c r="Q63" s="63"/>
      <c r="R63" s="63"/>
      <c r="S63" s="63"/>
      <c r="T63" s="63">
        <v>1</v>
      </c>
      <c r="U63" s="63"/>
      <c r="V63" s="63" t="s">
        <v>132</v>
      </c>
      <c r="W63" s="63">
        <v>4</v>
      </c>
      <c r="X63" s="63">
        <f t="shared" ref="X63:Y63" si="65">X132</f>
        <v>600000</v>
      </c>
      <c r="Y63" s="63">
        <f t="shared" si="65"/>
        <v>580000</v>
      </c>
      <c r="Z63" s="103">
        <f>X63/Y63*100</f>
        <v>103.44827586206897</v>
      </c>
      <c r="AA63" s="63">
        <f t="shared" ref="AA63:AB63" si="66">AA132</f>
        <v>16400000</v>
      </c>
      <c r="AB63" s="63">
        <f t="shared" si="66"/>
        <v>7800000</v>
      </c>
      <c r="AC63" s="103">
        <f t="shared" si="62"/>
        <v>47.560975609756099</v>
      </c>
      <c r="AD63" s="63">
        <f t="shared" si="63"/>
        <v>6380000</v>
      </c>
      <c r="AE63" s="103">
        <f t="shared" si="64"/>
        <v>122.25705329153604</v>
      </c>
      <c r="AF63" s="62" t="s">
        <v>316</v>
      </c>
      <c r="AH63" s="66"/>
    </row>
    <row r="64" spans="1:34" s="65" customFormat="1">
      <c r="A64" s="67" t="s">
        <v>296</v>
      </c>
      <c r="B64" s="67" t="s">
        <v>298</v>
      </c>
      <c r="C64" s="67" t="s">
        <v>177</v>
      </c>
      <c r="D64" s="67" t="s">
        <v>303</v>
      </c>
      <c r="E64" s="67" t="s">
        <v>96</v>
      </c>
      <c r="F64" s="67"/>
      <c r="G64" s="67"/>
      <c r="H64" s="67"/>
      <c r="I64" s="67"/>
      <c r="J64" s="67"/>
      <c r="K64" s="67"/>
      <c r="L64" s="67" t="s">
        <v>193</v>
      </c>
      <c r="M64" s="67" t="s">
        <v>187</v>
      </c>
      <c r="N64" s="67" t="s">
        <v>211</v>
      </c>
      <c r="O64" s="67" t="s">
        <v>209</v>
      </c>
      <c r="P64" s="67"/>
      <c r="Q64" s="67"/>
      <c r="R64" s="67"/>
      <c r="S64" s="67"/>
      <c r="T64" s="67">
        <v>0</v>
      </c>
      <c r="U64" s="67">
        <v>118003</v>
      </c>
      <c r="V64" s="67" t="s">
        <v>134</v>
      </c>
      <c r="W64" s="67">
        <v>4</v>
      </c>
      <c r="X64" s="67">
        <f t="shared" ref="X64:Y64" si="67">X133</f>
        <v>50000</v>
      </c>
      <c r="Y64" s="67">
        <f t="shared" si="67"/>
        <v>45000</v>
      </c>
      <c r="Z64" s="68">
        <f t="shared" si="60"/>
        <v>111.11111111111111</v>
      </c>
      <c r="AA64" s="67">
        <f t="shared" ref="AA64:AB64" si="68">AA133</f>
        <v>1200000</v>
      </c>
      <c r="AB64" s="67">
        <f t="shared" si="68"/>
        <v>650000</v>
      </c>
      <c r="AC64" s="68">
        <f t="shared" si="62"/>
        <v>54.166666666666664</v>
      </c>
      <c r="AD64" s="67">
        <f t="shared" si="63"/>
        <v>495000</v>
      </c>
      <c r="AE64" s="68">
        <f t="shared" si="64"/>
        <v>131.31313131313132</v>
      </c>
      <c r="AF64" s="77" t="s">
        <v>82</v>
      </c>
      <c r="AH64" s="66"/>
    </row>
    <row r="65" spans="1:34" s="65" customFormat="1">
      <c r="A65" s="63" t="s">
        <v>296</v>
      </c>
      <c r="B65" s="63" t="s">
        <v>298</v>
      </c>
      <c r="C65" s="63" t="s">
        <v>177</v>
      </c>
      <c r="D65" s="63" t="s">
        <v>303</v>
      </c>
      <c r="E65" s="63" t="s">
        <v>96</v>
      </c>
      <c r="F65" s="63"/>
      <c r="G65" s="63"/>
      <c r="H65" s="63"/>
      <c r="I65" s="63"/>
      <c r="J65" s="63"/>
      <c r="K65" s="63"/>
      <c r="L65" s="63" t="s">
        <v>193</v>
      </c>
      <c r="M65" s="63" t="s">
        <v>187</v>
      </c>
      <c r="N65" s="63" t="s">
        <v>211</v>
      </c>
      <c r="O65" s="63" t="s">
        <v>209</v>
      </c>
      <c r="P65" s="63"/>
      <c r="Q65" s="63"/>
      <c r="R65" s="63"/>
      <c r="S65" s="63"/>
      <c r="T65" s="63">
        <v>0</v>
      </c>
      <c r="U65" s="63">
        <v>118004</v>
      </c>
      <c r="V65" s="63" t="s">
        <v>136</v>
      </c>
      <c r="W65" s="63">
        <v>4</v>
      </c>
      <c r="X65" s="63"/>
      <c r="Y65" s="63"/>
      <c r="Z65" s="103">
        <v>0</v>
      </c>
      <c r="AA65" s="63"/>
      <c r="AB65" s="63"/>
      <c r="AC65" s="103">
        <v>0</v>
      </c>
      <c r="AD65" s="63"/>
      <c r="AE65" s="103">
        <v>0</v>
      </c>
      <c r="AF65" s="62" t="s">
        <v>81</v>
      </c>
      <c r="AH65" s="66"/>
    </row>
    <row r="66" spans="1:34" s="65" customFormat="1">
      <c r="A66" s="67" t="s">
        <v>296</v>
      </c>
      <c r="B66" s="67" t="s">
        <v>298</v>
      </c>
      <c r="C66" s="67" t="s">
        <v>177</v>
      </c>
      <c r="D66" s="67" t="s">
        <v>303</v>
      </c>
      <c r="E66" s="67" t="s">
        <v>96</v>
      </c>
      <c r="F66" s="67"/>
      <c r="G66" s="67"/>
      <c r="H66" s="67"/>
      <c r="I66" s="67"/>
      <c r="J66" s="67"/>
      <c r="K66" s="67"/>
      <c r="L66" s="67" t="s">
        <v>193</v>
      </c>
      <c r="M66" s="67" t="s">
        <v>187</v>
      </c>
      <c r="N66" s="67" t="s">
        <v>211</v>
      </c>
      <c r="O66" s="67" t="s">
        <v>209</v>
      </c>
      <c r="P66" s="67"/>
      <c r="Q66" s="67"/>
      <c r="R66" s="67"/>
      <c r="S66" s="67"/>
      <c r="T66" s="67">
        <v>1</v>
      </c>
      <c r="U66" s="67"/>
      <c r="V66" s="67" t="s">
        <v>138</v>
      </c>
      <c r="W66" s="67">
        <v>4</v>
      </c>
      <c r="X66" s="67">
        <f t="shared" ref="X66:Y66" si="69">X135</f>
        <v>50000</v>
      </c>
      <c r="Y66" s="67">
        <f t="shared" si="69"/>
        <v>45000</v>
      </c>
      <c r="Z66" s="68">
        <f t="shared" si="60"/>
        <v>111.11111111111111</v>
      </c>
      <c r="AA66" s="67">
        <f t="shared" ref="AA66:AB66" si="70">AA135</f>
        <v>1200000</v>
      </c>
      <c r="AB66" s="67">
        <f t="shared" si="70"/>
        <v>650000</v>
      </c>
      <c r="AC66" s="68">
        <f t="shared" si="62"/>
        <v>54.166666666666664</v>
      </c>
      <c r="AD66" s="67">
        <f t="shared" si="63"/>
        <v>495000</v>
      </c>
      <c r="AE66" s="68">
        <f t="shared" si="64"/>
        <v>131.31313131313132</v>
      </c>
      <c r="AF66" s="77" t="s">
        <v>77</v>
      </c>
      <c r="AH66" s="66"/>
    </row>
    <row r="67" spans="1:34" s="65" customFormat="1">
      <c r="A67" s="63" t="s">
        <v>296</v>
      </c>
      <c r="B67" s="63" t="s">
        <v>298</v>
      </c>
      <c r="C67" s="63" t="s">
        <v>177</v>
      </c>
      <c r="D67" s="63" t="s">
        <v>303</v>
      </c>
      <c r="E67" s="63" t="s">
        <v>96</v>
      </c>
      <c r="F67" s="63"/>
      <c r="G67" s="63"/>
      <c r="H67" s="63"/>
      <c r="I67" s="63"/>
      <c r="J67" s="63"/>
      <c r="K67" s="63"/>
      <c r="L67" s="63" t="s">
        <v>193</v>
      </c>
      <c r="M67" s="63" t="s">
        <v>187</v>
      </c>
      <c r="N67" s="63" t="s">
        <v>211</v>
      </c>
      <c r="O67" s="63" t="s">
        <v>209</v>
      </c>
      <c r="P67" s="63"/>
      <c r="Q67" s="63"/>
      <c r="R67" s="63"/>
      <c r="S67" s="63"/>
      <c r="T67" s="63">
        <v>0</v>
      </c>
      <c r="U67" s="63">
        <v>300106</v>
      </c>
      <c r="V67" s="63" t="s">
        <v>319</v>
      </c>
      <c r="W67" s="63">
        <v>4</v>
      </c>
      <c r="X67" s="63">
        <v>1000</v>
      </c>
      <c r="Y67" s="63">
        <v>1000</v>
      </c>
      <c r="Z67" s="103">
        <f t="shared" si="60"/>
        <v>100</v>
      </c>
      <c r="AA67" s="63">
        <v>1000</v>
      </c>
      <c r="AB67" s="63">
        <v>1000</v>
      </c>
      <c r="AC67" s="103">
        <f>AA67/AB67*100</f>
        <v>100</v>
      </c>
      <c r="AD67" s="63">
        <v>1000</v>
      </c>
      <c r="AE67" s="64">
        <f>AB67/AD67*100</f>
        <v>100</v>
      </c>
      <c r="AF67" s="62" t="s">
        <v>317</v>
      </c>
      <c r="AH67" s="66"/>
    </row>
    <row r="68" spans="1:34" s="65" customFormat="1">
      <c r="A68" s="67" t="s">
        <v>296</v>
      </c>
      <c r="B68" s="67" t="s">
        <v>298</v>
      </c>
      <c r="C68" s="67" t="s">
        <v>177</v>
      </c>
      <c r="D68" s="67" t="s">
        <v>303</v>
      </c>
      <c r="E68" s="67" t="s">
        <v>96</v>
      </c>
      <c r="F68" s="67"/>
      <c r="G68" s="67"/>
      <c r="H68" s="67"/>
      <c r="I68" s="67"/>
      <c r="J68" s="67"/>
      <c r="K68" s="67"/>
      <c r="L68" s="67" t="s">
        <v>193</v>
      </c>
      <c r="M68" s="67" t="s">
        <v>187</v>
      </c>
      <c r="N68" s="67" t="s">
        <v>211</v>
      </c>
      <c r="O68" s="67" t="s">
        <v>209</v>
      </c>
      <c r="P68" s="67"/>
      <c r="Q68" s="67"/>
      <c r="R68" s="67"/>
      <c r="S68" s="67"/>
      <c r="T68" s="67">
        <v>0</v>
      </c>
      <c r="U68" s="67">
        <v>400107</v>
      </c>
      <c r="V68" s="67" t="s">
        <v>258</v>
      </c>
      <c r="W68" s="67">
        <v>4</v>
      </c>
      <c r="X68" s="67">
        <v>1000</v>
      </c>
      <c r="Y68" s="67">
        <v>1000</v>
      </c>
      <c r="Z68" s="104">
        <f t="shared" si="60"/>
        <v>100</v>
      </c>
      <c r="AA68" s="67">
        <v>1000</v>
      </c>
      <c r="AB68" s="67">
        <v>1000</v>
      </c>
      <c r="AC68" s="104">
        <f>AA68/AB68*100</f>
        <v>100</v>
      </c>
      <c r="AD68" s="67">
        <v>1000</v>
      </c>
      <c r="AE68" s="68">
        <f>AB68/AD68*100</f>
        <v>100</v>
      </c>
      <c r="AF68" s="77" t="s">
        <v>318</v>
      </c>
      <c r="AH68" s="66"/>
    </row>
    <row r="69" spans="1:34" s="65" customFormat="1">
      <c r="A69" s="63" t="s">
        <v>296</v>
      </c>
      <c r="B69" s="63" t="s">
        <v>298</v>
      </c>
      <c r="C69" s="62" t="s">
        <v>177</v>
      </c>
      <c r="D69" s="63" t="s">
        <v>303</v>
      </c>
      <c r="E69" s="63" t="s">
        <v>96</v>
      </c>
      <c r="F69" s="63"/>
      <c r="G69" s="63"/>
      <c r="H69" s="62"/>
      <c r="I69" s="63"/>
      <c r="J69" s="62"/>
      <c r="K69" s="63"/>
      <c r="L69" s="63" t="s">
        <v>193</v>
      </c>
      <c r="M69" s="63" t="s">
        <v>187</v>
      </c>
      <c r="N69" s="62"/>
      <c r="O69" s="63"/>
      <c r="P69" s="63"/>
      <c r="Q69" s="63"/>
      <c r="R69" s="62"/>
      <c r="S69" s="63"/>
      <c r="T69" s="63">
        <v>0</v>
      </c>
      <c r="U69" s="63">
        <v>118001</v>
      </c>
      <c r="V69" s="63" t="s">
        <v>129</v>
      </c>
      <c r="W69" s="63">
        <v>4</v>
      </c>
      <c r="X69" s="63">
        <f>X138+X144+X150</f>
        <v>1200000</v>
      </c>
      <c r="Y69" s="63">
        <f>Y138+Y144+Y150</f>
        <v>1170000</v>
      </c>
      <c r="Z69" s="64">
        <f>X69/Y69*100</f>
        <v>102.56410256410255</v>
      </c>
      <c r="AA69" s="63">
        <f>AA138+AA144+AA150</f>
        <v>34800000</v>
      </c>
      <c r="AB69" s="63">
        <f>AB138+AB144+AB150</f>
        <v>15600000</v>
      </c>
      <c r="AC69" s="64">
        <f>AB69/AA69*100</f>
        <v>44.827586206896555</v>
      </c>
      <c r="AD69" s="63">
        <f>AD138+AD144+AD150</f>
        <v>12870000</v>
      </c>
      <c r="AE69" s="103">
        <f>AB69/AD69*100</f>
        <v>121.21212121212122</v>
      </c>
      <c r="AF69" s="62" t="s">
        <v>75</v>
      </c>
      <c r="AH69" s="66"/>
    </row>
    <row r="70" spans="1:34" s="65" customFormat="1">
      <c r="A70" s="67" t="s">
        <v>296</v>
      </c>
      <c r="B70" s="67" t="s">
        <v>298</v>
      </c>
      <c r="C70" s="67" t="s">
        <v>177</v>
      </c>
      <c r="D70" s="67" t="s">
        <v>303</v>
      </c>
      <c r="E70" s="67" t="s">
        <v>96</v>
      </c>
      <c r="F70" s="67"/>
      <c r="G70" s="67"/>
      <c r="H70" s="67"/>
      <c r="I70" s="67"/>
      <c r="J70" s="67"/>
      <c r="K70" s="67"/>
      <c r="L70" s="67" t="s">
        <v>193</v>
      </c>
      <c r="M70" s="67" t="s">
        <v>187</v>
      </c>
      <c r="N70" s="67"/>
      <c r="O70" s="67"/>
      <c r="P70" s="67"/>
      <c r="Q70" s="67"/>
      <c r="R70" s="67"/>
      <c r="S70" s="67"/>
      <c r="T70" s="67">
        <v>0</v>
      </c>
      <c r="U70" s="67">
        <v>118002</v>
      </c>
      <c r="V70" s="67" t="s">
        <v>131</v>
      </c>
      <c r="W70" s="67">
        <v>4</v>
      </c>
      <c r="X70" s="67">
        <f t="shared" ref="X70:Y70" si="71">X139+X145+X151</f>
        <v>600000</v>
      </c>
      <c r="Y70" s="67">
        <f t="shared" si="71"/>
        <v>570000</v>
      </c>
      <c r="Z70" s="104">
        <f t="shared" ref="Z70:Z74" si="72">X70/Y70*100</f>
        <v>105.26315789473684</v>
      </c>
      <c r="AA70" s="67">
        <f t="shared" ref="AA70:AB70" si="73">AA139+AA145+AA151</f>
        <v>14400000</v>
      </c>
      <c r="AB70" s="67">
        <f t="shared" si="73"/>
        <v>7800000</v>
      </c>
      <c r="AC70" s="104">
        <f t="shared" ref="AC70:AC74" si="74">AB70/AA70*100</f>
        <v>54.166666666666664</v>
      </c>
      <c r="AD70" s="67">
        <f t="shared" ref="AD70" si="75">AD139+AD145+AD151</f>
        <v>6270000</v>
      </c>
      <c r="AE70" s="104">
        <f t="shared" ref="AE70:AE74" si="76">AB70/AD70*100</f>
        <v>124.4019138755981</v>
      </c>
      <c r="AF70" s="77" t="s">
        <v>141</v>
      </c>
      <c r="AH70" s="66"/>
    </row>
    <row r="71" spans="1:34" s="65" customFormat="1">
      <c r="A71" s="63" t="s">
        <v>296</v>
      </c>
      <c r="B71" s="63" t="s">
        <v>298</v>
      </c>
      <c r="C71" s="63" t="s">
        <v>177</v>
      </c>
      <c r="D71" s="63" t="s">
        <v>303</v>
      </c>
      <c r="E71" s="63" t="s">
        <v>96</v>
      </c>
      <c r="F71" s="63"/>
      <c r="G71" s="63"/>
      <c r="H71" s="63"/>
      <c r="I71" s="63"/>
      <c r="J71" s="63"/>
      <c r="K71" s="63"/>
      <c r="L71" s="63" t="s">
        <v>193</v>
      </c>
      <c r="M71" s="63" t="s">
        <v>187</v>
      </c>
      <c r="N71" s="63"/>
      <c r="O71" s="63"/>
      <c r="P71" s="63"/>
      <c r="Q71" s="63"/>
      <c r="R71" s="63"/>
      <c r="S71" s="63"/>
      <c r="T71" s="63">
        <v>1</v>
      </c>
      <c r="U71" s="63"/>
      <c r="V71" s="63" t="s">
        <v>132</v>
      </c>
      <c r="W71" s="63">
        <v>4</v>
      </c>
      <c r="X71" s="63">
        <f t="shared" ref="X71:Y71" si="77">X140+X146+X152</f>
        <v>1800000</v>
      </c>
      <c r="Y71" s="63">
        <f t="shared" si="77"/>
        <v>1740000</v>
      </c>
      <c r="Z71" s="103">
        <f>X71/Y71*100</f>
        <v>103.44827586206897</v>
      </c>
      <c r="AA71" s="63">
        <f t="shared" ref="AA71:AB71" si="78">AA140+AA146+AA152</f>
        <v>49200000</v>
      </c>
      <c r="AB71" s="63">
        <f t="shared" si="78"/>
        <v>23400000</v>
      </c>
      <c r="AC71" s="103">
        <f>AB71/AA71*100</f>
        <v>47.560975609756099</v>
      </c>
      <c r="AD71" s="63">
        <f t="shared" ref="AD71" si="79">AD140+AD146+AD152</f>
        <v>19140000</v>
      </c>
      <c r="AE71" s="103">
        <f>AB71/AD71*100</f>
        <v>122.25705329153604</v>
      </c>
      <c r="AF71" s="62" t="s">
        <v>316</v>
      </c>
      <c r="AH71" s="66"/>
    </row>
    <row r="72" spans="1:34" s="65" customFormat="1">
      <c r="A72" s="67" t="s">
        <v>296</v>
      </c>
      <c r="B72" s="67" t="s">
        <v>298</v>
      </c>
      <c r="C72" s="67" t="s">
        <v>177</v>
      </c>
      <c r="D72" s="67" t="s">
        <v>303</v>
      </c>
      <c r="E72" s="67" t="s">
        <v>96</v>
      </c>
      <c r="F72" s="67"/>
      <c r="G72" s="67"/>
      <c r="H72" s="67"/>
      <c r="I72" s="67"/>
      <c r="J72" s="67"/>
      <c r="K72" s="67"/>
      <c r="L72" s="67" t="s">
        <v>193</v>
      </c>
      <c r="M72" s="67" t="s">
        <v>187</v>
      </c>
      <c r="N72" s="67"/>
      <c r="O72" s="67"/>
      <c r="P72" s="67"/>
      <c r="Q72" s="67"/>
      <c r="R72" s="67"/>
      <c r="S72" s="67"/>
      <c r="T72" s="67">
        <v>0</v>
      </c>
      <c r="U72" s="67">
        <v>118003</v>
      </c>
      <c r="V72" s="67" t="s">
        <v>134</v>
      </c>
      <c r="W72" s="67">
        <v>4</v>
      </c>
      <c r="X72" s="67">
        <f t="shared" ref="X72:Y72" si="80">X141+X147+X153</f>
        <v>150000</v>
      </c>
      <c r="Y72" s="67">
        <f t="shared" si="80"/>
        <v>135000</v>
      </c>
      <c r="Z72" s="68">
        <f t="shared" si="72"/>
        <v>111.11111111111111</v>
      </c>
      <c r="AA72" s="67">
        <f t="shared" ref="AA72:AB72" si="81">AA141+AA147+AA153</f>
        <v>3600000</v>
      </c>
      <c r="AB72" s="67">
        <f t="shared" si="81"/>
        <v>1950000</v>
      </c>
      <c r="AC72" s="68">
        <f t="shared" si="74"/>
        <v>54.166666666666664</v>
      </c>
      <c r="AD72" s="67">
        <f t="shared" ref="AD72" si="82">AD141+AD147+AD153</f>
        <v>1485000</v>
      </c>
      <c r="AE72" s="68">
        <f t="shared" si="76"/>
        <v>131.31313131313132</v>
      </c>
      <c r="AF72" s="77" t="s">
        <v>82</v>
      </c>
      <c r="AH72" s="66"/>
    </row>
    <row r="73" spans="1:34" s="65" customFormat="1">
      <c r="A73" s="63" t="s">
        <v>296</v>
      </c>
      <c r="B73" s="63" t="s">
        <v>298</v>
      </c>
      <c r="C73" s="63" t="s">
        <v>177</v>
      </c>
      <c r="D73" s="63" t="s">
        <v>303</v>
      </c>
      <c r="E73" s="63" t="s">
        <v>96</v>
      </c>
      <c r="F73" s="63"/>
      <c r="G73" s="63"/>
      <c r="H73" s="63"/>
      <c r="I73" s="63"/>
      <c r="J73" s="63"/>
      <c r="K73" s="63"/>
      <c r="L73" s="63" t="s">
        <v>193</v>
      </c>
      <c r="M73" s="63" t="s">
        <v>187</v>
      </c>
      <c r="N73" s="63"/>
      <c r="O73" s="63"/>
      <c r="P73" s="63"/>
      <c r="Q73" s="63"/>
      <c r="R73" s="63"/>
      <c r="S73" s="63"/>
      <c r="T73" s="63">
        <v>0</v>
      </c>
      <c r="U73" s="63">
        <v>118004</v>
      </c>
      <c r="V73" s="63" t="s">
        <v>136</v>
      </c>
      <c r="W73" s="63">
        <v>4</v>
      </c>
      <c r="X73" s="63"/>
      <c r="Y73" s="63"/>
      <c r="Z73" s="103">
        <v>0</v>
      </c>
      <c r="AA73" s="63"/>
      <c r="AB73" s="63"/>
      <c r="AC73" s="103">
        <v>0</v>
      </c>
      <c r="AD73" s="63"/>
      <c r="AE73" s="103">
        <v>0</v>
      </c>
      <c r="AF73" s="62" t="s">
        <v>81</v>
      </c>
      <c r="AH73" s="66"/>
    </row>
    <row r="74" spans="1:34" s="65" customFormat="1">
      <c r="A74" s="67" t="s">
        <v>296</v>
      </c>
      <c r="B74" s="67" t="s">
        <v>298</v>
      </c>
      <c r="C74" s="67" t="s">
        <v>177</v>
      </c>
      <c r="D74" s="67" t="s">
        <v>303</v>
      </c>
      <c r="E74" s="67" t="s">
        <v>96</v>
      </c>
      <c r="F74" s="67"/>
      <c r="G74" s="67"/>
      <c r="H74" s="67"/>
      <c r="I74" s="67"/>
      <c r="J74" s="67"/>
      <c r="K74" s="67"/>
      <c r="L74" s="67" t="s">
        <v>193</v>
      </c>
      <c r="M74" s="67" t="s">
        <v>187</v>
      </c>
      <c r="N74" s="67"/>
      <c r="O74" s="67"/>
      <c r="P74" s="67"/>
      <c r="Q74" s="67"/>
      <c r="R74" s="67"/>
      <c r="S74" s="67"/>
      <c r="T74" s="67">
        <v>1</v>
      </c>
      <c r="U74" s="67"/>
      <c r="V74" s="67" t="s">
        <v>138</v>
      </c>
      <c r="W74" s="67">
        <v>4</v>
      </c>
      <c r="X74" s="67">
        <f t="shared" ref="X74:Y74" si="83">X143+X149+X155</f>
        <v>150000</v>
      </c>
      <c r="Y74" s="67">
        <f t="shared" si="83"/>
        <v>135000</v>
      </c>
      <c r="Z74" s="68">
        <f t="shared" si="72"/>
        <v>111.11111111111111</v>
      </c>
      <c r="AA74" s="67">
        <f t="shared" ref="AA74:AB74" si="84">AA143+AA149+AA155</f>
        <v>3600000</v>
      </c>
      <c r="AB74" s="67">
        <f t="shared" si="84"/>
        <v>1950000</v>
      </c>
      <c r="AC74" s="68">
        <f t="shared" si="74"/>
        <v>54.166666666666664</v>
      </c>
      <c r="AD74" s="67">
        <f t="shared" ref="AD74" si="85">AD143+AD149+AD155</f>
        <v>1485000</v>
      </c>
      <c r="AE74" s="68">
        <f t="shared" si="76"/>
        <v>131.31313131313132</v>
      </c>
      <c r="AF74" s="77" t="s">
        <v>77</v>
      </c>
      <c r="AH74" s="66"/>
    </row>
    <row r="75" spans="1:34" s="65" customFormat="1">
      <c r="A75" s="63" t="s">
        <v>296</v>
      </c>
      <c r="B75" s="63" t="s">
        <v>298</v>
      </c>
      <c r="C75" s="62" t="s">
        <v>177</v>
      </c>
      <c r="D75" s="63" t="s">
        <v>303</v>
      </c>
      <c r="E75" s="63" t="s">
        <v>96</v>
      </c>
      <c r="F75" s="63"/>
      <c r="G75" s="63"/>
      <c r="H75" s="62"/>
      <c r="I75" s="63"/>
      <c r="J75" s="62"/>
      <c r="K75" s="63"/>
      <c r="L75" s="62" t="s">
        <v>197</v>
      </c>
      <c r="M75" s="63" t="s">
        <v>252</v>
      </c>
      <c r="N75" s="62"/>
      <c r="O75" s="63"/>
      <c r="P75" s="63"/>
      <c r="Q75" s="63"/>
      <c r="R75" s="62"/>
      <c r="S75" s="63"/>
      <c r="T75" s="63">
        <v>0</v>
      </c>
      <c r="U75" s="63">
        <v>118001</v>
      </c>
      <c r="V75" s="63" t="s">
        <v>129</v>
      </c>
      <c r="W75" s="63">
        <v>4</v>
      </c>
      <c r="X75" s="63">
        <f>X156+X162+X168+X174</f>
        <v>1600000</v>
      </c>
      <c r="Y75" s="63">
        <f>Y156+Y162+Y168+Y174</f>
        <v>1560000</v>
      </c>
      <c r="Z75" s="64">
        <f>X75/Y75*100</f>
        <v>102.56410256410255</v>
      </c>
      <c r="AA75" s="63">
        <f>AA156+AA162+AA168+AA174</f>
        <v>46400000</v>
      </c>
      <c r="AB75" s="63">
        <f>AB156+AB162+AB168+AB174</f>
        <v>20800000</v>
      </c>
      <c r="AC75" s="64">
        <f>AB75/AA75*100</f>
        <v>44.827586206896555</v>
      </c>
      <c r="AD75" s="63">
        <f>AD156+AD162+AD168+AD174</f>
        <v>17160000</v>
      </c>
      <c r="AE75" s="103">
        <f>AB75/AD75*100</f>
        <v>121.21212121212122</v>
      </c>
      <c r="AF75" s="62" t="s">
        <v>75</v>
      </c>
      <c r="AH75" s="66"/>
    </row>
    <row r="76" spans="1:34" s="65" customFormat="1">
      <c r="A76" s="67" t="s">
        <v>296</v>
      </c>
      <c r="B76" s="67" t="s">
        <v>298</v>
      </c>
      <c r="C76" s="67" t="s">
        <v>177</v>
      </c>
      <c r="D76" s="67" t="s">
        <v>303</v>
      </c>
      <c r="E76" s="67" t="s">
        <v>96</v>
      </c>
      <c r="F76" s="67"/>
      <c r="G76" s="67"/>
      <c r="H76" s="67"/>
      <c r="I76" s="67"/>
      <c r="J76" s="67"/>
      <c r="K76" s="67"/>
      <c r="L76" s="77" t="s">
        <v>197</v>
      </c>
      <c r="M76" s="67" t="s">
        <v>252</v>
      </c>
      <c r="N76" s="67"/>
      <c r="O76" s="67"/>
      <c r="P76" s="67"/>
      <c r="Q76" s="67"/>
      <c r="R76" s="67"/>
      <c r="S76" s="67"/>
      <c r="T76" s="67">
        <v>0</v>
      </c>
      <c r="U76" s="67">
        <v>118002</v>
      </c>
      <c r="V76" s="67" t="s">
        <v>131</v>
      </c>
      <c r="W76" s="67">
        <v>4</v>
      </c>
      <c r="X76" s="67">
        <f t="shared" ref="X76:Y76" si="86">X157+X163+X169+X175</f>
        <v>800000</v>
      </c>
      <c r="Y76" s="67">
        <f t="shared" si="86"/>
        <v>760000</v>
      </c>
      <c r="Z76" s="104">
        <f t="shared" ref="Z76:Z80" si="87">X76/Y76*100</f>
        <v>105.26315789473684</v>
      </c>
      <c r="AA76" s="67">
        <f t="shared" ref="AA76:AB76" si="88">AA157+AA163+AA169+AA175</f>
        <v>19200000</v>
      </c>
      <c r="AB76" s="67">
        <f t="shared" si="88"/>
        <v>10400000</v>
      </c>
      <c r="AC76" s="104">
        <f t="shared" ref="AC76:AC80" si="89">AB76/AA76*100</f>
        <v>54.166666666666664</v>
      </c>
      <c r="AD76" s="67">
        <f t="shared" ref="AD76" si="90">AD157+AD163+AD169+AD175</f>
        <v>8360000</v>
      </c>
      <c r="AE76" s="104">
        <f t="shared" ref="AE76:AE80" si="91">AB76/AD76*100</f>
        <v>124.4019138755981</v>
      </c>
      <c r="AF76" s="77" t="s">
        <v>141</v>
      </c>
      <c r="AH76" s="66"/>
    </row>
    <row r="77" spans="1:34" s="65" customFormat="1">
      <c r="A77" s="63" t="s">
        <v>296</v>
      </c>
      <c r="B77" s="63" t="s">
        <v>298</v>
      </c>
      <c r="C77" s="63" t="s">
        <v>177</v>
      </c>
      <c r="D77" s="63" t="s">
        <v>303</v>
      </c>
      <c r="E77" s="63" t="s">
        <v>96</v>
      </c>
      <c r="F77" s="63"/>
      <c r="G77" s="63"/>
      <c r="H77" s="63"/>
      <c r="I77" s="63"/>
      <c r="J77" s="63"/>
      <c r="K77" s="63"/>
      <c r="L77" s="62" t="s">
        <v>196</v>
      </c>
      <c r="M77" s="63" t="s">
        <v>252</v>
      </c>
      <c r="N77" s="63"/>
      <c r="O77" s="63"/>
      <c r="P77" s="63"/>
      <c r="Q77" s="63"/>
      <c r="R77" s="63"/>
      <c r="S77" s="63"/>
      <c r="T77" s="63">
        <v>1</v>
      </c>
      <c r="U77" s="63"/>
      <c r="V77" s="63" t="s">
        <v>132</v>
      </c>
      <c r="W77" s="63">
        <v>4</v>
      </c>
      <c r="X77" s="63">
        <f t="shared" ref="X77:Y77" si="92">X158+X164+X170+X176</f>
        <v>2400000</v>
      </c>
      <c r="Y77" s="63">
        <f t="shared" si="92"/>
        <v>2320000</v>
      </c>
      <c r="Z77" s="103">
        <f t="shared" si="87"/>
        <v>103.44827586206897</v>
      </c>
      <c r="AA77" s="63">
        <f t="shared" ref="AA77:AB77" si="93">AA158+AA164+AA170+AA176</f>
        <v>65600000</v>
      </c>
      <c r="AB77" s="63">
        <f t="shared" si="93"/>
        <v>31200000</v>
      </c>
      <c r="AC77" s="103">
        <f t="shared" si="89"/>
        <v>47.560975609756099</v>
      </c>
      <c r="AD77" s="63">
        <f t="shared" ref="AD77" si="94">AD158+AD164+AD170+AD176</f>
        <v>25520000</v>
      </c>
      <c r="AE77" s="103">
        <f t="shared" si="91"/>
        <v>122.25705329153604</v>
      </c>
      <c r="AF77" s="62" t="s">
        <v>316</v>
      </c>
      <c r="AH77" s="66"/>
    </row>
    <row r="78" spans="1:34" s="65" customFormat="1">
      <c r="A78" s="67" t="s">
        <v>296</v>
      </c>
      <c r="B78" s="67" t="s">
        <v>298</v>
      </c>
      <c r="C78" s="67" t="s">
        <v>177</v>
      </c>
      <c r="D78" s="67" t="s">
        <v>303</v>
      </c>
      <c r="E78" s="67" t="s">
        <v>96</v>
      </c>
      <c r="F78" s="67"/>
      <c r="G78" s="67"/>
      <c r="H78" s="67"/>
      <c r="I78" s="67"/>
      <c r="J78" s="67"/>
      <c r="K78" s="67"/>
      <c r="L78" s="77" t="s">
        <v>196</v>
      </c>
      <c r="M78" s="67" t="s">
        <v>252</v>
      </c>
      <c r="N78" s="67"/>
      <c r="O78" s="67"/>
      <c r="P78" s="67"/>
      <c r="Q78" s="67"/>
      <c r="R78" s="67"/>
      <c r="S78" s="67"/>
      <c r="T78" s="67">
        <v>0</v>
      </c>
      <c r="U78" s="67">
        <v>118003</v>
      </c>
      <c r="V78" s="67" t="s">
        <v>134</v>
      </c>
      <c r="W78" s="67">
        <v>4</v>
      </c>
      <c r="X78" s="67">
        <f t="shared" ref="X78:Y78" si="95">X159+X165+X171+X177</f>
        <v>200000</v>
      </c>
      <c r="Y78" s="67">
        <f t="shared" si="95"/>
        <v>180000</v>
      </c>
      <c r="Z78" s="68">
        <f t="shared" si="87"/>
        <v>111.11111111111111</v>
      </c>
      <c r="AA78" s="67">
        <f t="shared" ref="AA78:AB78" si="96">AA159+AA165+AA171+AA177</f>
        <v>4800000</v>
      </c>
      <c r="AB78" s="67">
        <f t="shared" si="96"/>
        <v>2600000</v>
      </c>
      <c r="AC78" s="68">
        <f t="shared" si="89"/>
        <v>54.166666666666664</v>
      </c>
      <c r="AD78" s="67">
        <f t="shared" ref="AD78" si="97">AD159+AD165+AD171+AD177</f>
        <v>1980000</v>
      </c>
      <c r="AE78" s="68">
        <f t="shared" si="91"/>
        <v>131.31313131313132</v>
      </c>
      <c r="AF78" s="77" t="s">
        <v>82</v>
      </c>
      <c r="AH78" s="66"/>
    </row>
    <row r="79" spans="1:34" s="65" customFormat="1">
      <c r="A79" s="63" t="s">
        <v>296</v>
      </c>
      <c r="B79" s="63" t="s">
        <v>298</v>
      </c>
      <c r="C79" s="63" t="s">
        <v>177</v>
      </c>
      <c r="D79" s="63" t="s">
        <v>303</v>
      </c>
      <c r="E79" s="63" t="s">
        <v>96</v>
      </c>
      <c r="F79" s="63"/>
      <c r="G79" s="63"/>
      <c r="H79" s="63"/>
      <c r="I79" s="63"/>
      <c r="J79" s="63"/>
      <c r="K79" s="63"/>
      <c r="L79" s="62" t="s">
        <v>196</v>
      </c>
      <c r="M79" s="63" t="s">
        <v>252</v>
      </c>
      <c r="N79" s="63"/>
      <c r="O79" s="63"/>
      <c r="P79" s="63"/>
      <c r="Q79" s="63"/>
      <c r="R79" s="63"/>
      <c r="S79" s="63"/>
      <c r="T79" s="63">
        <v>0</v>
      </c>
      <c r="U79" s="63">
        <v>118004</v>
      </c>
      <c r="V79" s="63" t="s">
        <v>136</v>
      </c>
      <c r="W79" s="63">
        <v>4</v>
      </c>
      <c r="X79" s="63"/>
      <c r="Y79" s="63"/>
      <c r="Z79" s="103">
        <v>0</v>
      </c>
      <c r="AA79" s="63"/>
      <c r="AB79" s="63"/>
      <c r="AC79" s="103">
        <v>0</v>
      </c>
      <c r="AD79" s="63"/>
      <c r="AE79" s="103">
        <v>0</v>
      </c>
      <c r="AF79" s="62" t="s">
        <v>81</v>
      </c>
      <c r="AH79" s="66"/>
    </row>
    <row r="80" spans="1:34" s="65" customFormat="1">
      <c r="A80" s="67" t="s">
        <v>296</v>
      </c>
      <c r="B80" s="67" t="s">
        <v>298</v>
      </c>
      <c r="C80" s="67" t="s">
        <v>177</v>
      </c>
      <c r="D80" s="67" t="s">
        <v>303</v>
      </c>
      <c r="E80" s="67" t="s">
        <v>96</v>
      </c>
      <c r="F80" s="67"/>
      <c r="G80" s="67"/>
      <c r="H80" s="67"/>
      <c r="I80" s="67"/>
      <c r="J80" s="67"/>
      <c r="K80" s="67"/>
      <c r="L80" s="77" t="s">
        <v>196</v>
      </c>
      <c r="M80" s="67" t="s">
        <v>252</v>
      </c>
      <c r="N80" s="67"/>
      <c r="O80" s="67"/>
      <c r="P80" s="67"/>
      <c r="Q80" s="67"/>
      <c r="R80" s="67"/>
      <c r="S80" s="67"/>
      <c r="T80" s="67">
        <v>1</v>
      </c>
      <c r="U80" s="67"/>
      <c r="V80" s="67" t="s">
        <v>138</v>
      </c>
      <c r="W80" s="67">
        <v>4</v>
      </c>
      <c r="X80" s="67">
        <f t="shared" ref="X80:Y80" si="98">X161+X167+X173+X179</f>
        <v>200000</v>
      </c>
      <c r="Y80" s="67">
        <f t="shared" si="98"/>
        <v>180000</v>
      </c>
      <c r="Z80" s="68">
        <f t="shared" si="87"/>
        <v>111.11111111111111</v>
      </c>
      <c r="AA80" s="67">
        <f t="shared" ref="AA80:AB80" si="99">AA161+AA167+AA173+AA179</f>
        <v>4800000</v>
      </c>
      <c r="AB80" s="67">
        <f t="shared" si="99"/>
        <v>2600000</v>
      </c>
      <c r="AC80" s="68">
        <f t="shared" si="89"/>
        <v>54.166666666666664</v>
      </c>
      <c r="AD80" s="67">
        <f t="shared" ref="AD80" si="100">AD161+AD167+AD173+AD179</f>
        <v>1980000</v>
      </c>
      <c r="AE80" s="68">
        <f t="shared" si="91"/>
        <v>131.31313131313132</v>
      </c>
      <c r="AF80" s="77" t="s">
        <v>77</v>
      </c>
      <c r="AH80" s="66"/>
    </row>
    <row r="81" spans="1:34" s="65" customFormat="1">
      <c r="A81" s="63" t="s">
        <v>296</v>
      </c>
      <c r="B81" s="63" t="s">
        <v>298</v>
      </c>
      <c r="C81" s="62" t="s">
        <v>177</v>
      </c>
      <c r="D81" s="63" t="s">
        <v>303</v>
      </c>
      <c r="E81" s="63" t="s">
        <v>96</v>
      </c>
      <c r="F81" s="63"/>
      <c r="G81" s="63"/>
      <c r="H81" s="62"/>
      <c r="I81" s="63"/>
      <c r="J81" s="62"/>
      <c r="K81" s="63"/>
      <c r="L81" s="63"/>
      <c r="M81" s="63"/>
      <c r="N81" s="62"/>
      <c r="O81" s="63"/>
      <c r="P81" s="63"/>
      <c r="Q81" s="63"/>
      <c r="R81" s="62"/>
      <c r="S81" s="63"/>
      <c r="T81" s="63">
        <v>0</v>
      </c>
      <c r="U81" s="63">
        <v>118001</v>
      </c>
      <c r="V81" s="63" t="s">
        <v>129</v>
      </c>
      <c r="W81" s="63">
        <v>4</v>
      </c>
      <c r="X81" s="63">
        <f>X180+X186</f>
        <v>800000</v>
      </c>
      <c r="Y81" s="63">
        <f>Y180+Y186</f>
        <v>780000</v>
      </c>
      <c r="Z81" s="64">
        <f>X81/Y81*100</f>
        <v>102.56410256410255</v>
      </c>
      <c r="AA81" s="63">
        <f>AA180+AA186</f>
        <v>23200000</v>
      </c>
      <c r="AB81" s="63">
        <f>AB180+AB186</f>
        <v>10400000</v>
      </c>
      <c r="AC81" s="64">
        <f>AB81/AA81*100</f>
        <v>44.827586206896555</v>
      </c>
      <c r="AD81" s="63">
        <f>AD180+AD186</f>
        <v>8580000</v>
      </c>
      <c r="AE81" s="103">
        <f>AB81/AD81*100</f>
        <v>121.21212121212122</v>
      </c>
      <c r="AF81" s="62" t="s">
        <v>75</v>
      </c>
      <c r="AH81" s="66"/>
    </row>
    <row r="82" spans="1:34" s="65" customFormat="1">
      <c r="A82" s="67" t="s">
        <v>296</v>
      </c>
      <c r="B82" s="67" t="s">
        <v>298</v>
      </c>
      <c r="C82" s="67" t="s">
        <v>177</v>
      </c>
      <c r="D82" s="67" t="s">
        <v>303</v>
      </c>
      <c r="E82" s="67" t="s">
        <v>96</v>
      </c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>
        <v>0</v>
      </c>
      <c r="U82" s="67">
        <v>118002</v>
      </c>
      <c r="V82" s="67" t="s">
        <v>131</v>
      </c>
      <c r="W82" s="67">
        <v>4</v>
      </c>
      <c r="X82" s="67">
        <f t="shared" ref="X82:Y82" si="101">X181+X187</f>
        <v>400000</v>
      </c>
      <c r="Y82" s="67">
        <f t="shared" si="101"/>
        <v>380000</v>
      </c>
      <c r="Z82" s="104">
        <f t="shared" ref="Z82:Z86" si="102">X82/Y82*100</f>
        <v>105.26315789473684</v>
      </c>
      <c r="AA82" s="67">
        <f t="shared" ref="AA82:AB82" si="103">AA181+AA187</f>
        <v>9600000</v>
      </c>
      <c r="AB82" s="67">
        <f t="shared" si="103"/>
        <v>5200000</v>
      </c>
      <c r="AC82" s="104">
        <f t="shared" ref="AC82:AC86" si="104">AB82/AA82*100</f>
        <v>54.166666666666664</v>
      </c>
      <c r="AD82" s="67">
        <f t="shared" ref="AD82" si="105">AD181+AD187</f>
        <v>4180000</v>
      </c>
      <c r="AE82" s="104">
        <f t="shared" ref="AE82:AE86" si="106">AB82/AD82*100</f>
        <v>124.4019138755981</v>
      </c>
      <c r="AF82" s="77" t="s">
        <v>141</v>
      </c>
      <c r="AH82" s="66"/>
    </row>
    <row r="83" spans="1:34" s="65" customFormat="1">
      <c r="A83" s="63" t="s">
        <v>296</v>
      </c>
      <c r="B83" s="63" t="s">
        <v>298</v>
      </c>
      <c r="C83" s="63" t="s">
        <v>177</v>
      </c>
      <c r="D83" s="63" t="s">
        <v>303</v>
      </c>
      <c r="E83" s="63" t="s">
        <v>96</v>
      </c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>
        <v>1</v>
      </c>
      <c r="U83" s="63"/>
      <c r="V83" s="63" t="s">
        <v>132</v>
      </c>
      <c r="W83" s="63">
        <v>4</v>
      </c>
      <c r="X83" s="63">
        <f t="shared" ref="X83:Y83" si="107">X182+X188</f>
        <v>1200000</v>
      </c>
      <c r="Y83" s="63">
        <f t="shared" si="107"/>
        <v>1160000</v>
      </c>
      <c r="Z83" s="103">
        <f t="shared" si="102"/>
        <v>103.44827586206897</v>
      </c>
      <c r="AA83" s="63">
        <f t="shared" ref="AA83:AB83" si="108">AA182+AA188</f>
        <v>32800000</v>
      </c>
      <c r="AB83" s="63">
        <f t="shared" si="108"/>
        <v>15600000</v>
      </c>
      <c r="AC83" s="103">
        <f t="shared" si="104"/>
        <v>47.560975609756099</v>
      </c>
      <c r="AD83" s="63">
        <f t="shared" ref="AD83" si="109">AD182+AD188</f>
        <v>12760000</v>
      </c>
      <c r="AE83" s="103">
        <f t="shared" si="106"/>
        <v>122.25705329153604</v>
      </c>
      <c r="AF83" s="62" t="s">
        <v>316</v>
      </c>
      <c r="AH83" s="66"/>
    </row>
    <row r="84" spans="1:34" s="65" customFormat="1">
      <c r="A84" s="67" t="s">
        <v>296</v>
      </c>
      <c r="B84" s="67" t="s">
        <v>298</v>
      </c>
      <c r="C84" s="67" t="s">
        <v>177</v>
      </c>
      <c r="D84" s="67" t="s">
        <v>303</v>
      </c>
      <c r="E84" s="67" t="s">
        <v>96</v>
      </c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>
        <v>0</v>
      </c>
      <c r="U84" s="67">
        <v>118003</v>
      </c>
      <c r="V84" s="67" t="s">
        <v>134</v>
      </c>
      <c r="W84" s="67">
        <v>4</v>
      </c>
      <c r="X84" s="67">
        <f t="shared" ref="X84:Y84" si="110">X183+X189</f>
        <v>100000</v>
      </c>
      <c r="Y84" s="67">
        <f t="shared" si="110"/>
        <v>90000</v>
      </c>
      <c r="Z84" s="68">
        <f t="shared" si="102"/>
        <v>111.11111111111111</v>
      </c>
      <c r="AA84" s="67">
        <f t="shared" ref="AA84:AB84" si="111">AA183+AA189</f>
        <v>2400000</v>
      </c>
      <c r="AB84" s="67">
        <f t="shared" si="111"/>
        <v>1300000</v>
      </c>
      <c r="AC84" s="68">
        <f t="shared" si="104"/>
        <v>54.166666666666664</v>
      </c>
      <c r="AD84" s="67">
        <f t="shared" ref="AD84" si="112">AD183+AD189</f>
        <v>990000</v>
      </c>
      <c r="AE84" s="68">
        <f t="shared" si="106"/>
        <v>131.31313131313132</v>
      </c>
      <c r="AF84" s="77" t="s">
        <v>82</v>
      </c>
      <c r="AH84" s="66"/>
    </row>
    <row r="85" spans="1:34" s="65" customFormat="1">
      <c r="A85" s="63" t="s">
        <v>296</v>
      </c>
      <c r="B85" s="63" t="s">
        <v>298</v>
      </c>
      <c r="C85" s="63" t="s">
        <v>177</v>
      </c>
      <c r="D85" s="63" t="s">
        <v>303</v>
      </c>
      <c r="E85" s="63" t="s">
        <v>96</v>
      </c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>
        <v>0</v>
      </c>
      <c r="U85" s="63">
        <v>118004</v>
      </c>
      <c r="V85" s="63" t="s">
        <v>136</v>
      </c>
      <c r="W85" s="63">
        <v>4</v>
      </c>
      <c r="X85" s="63"/>
      <c r="Y85" s="63"/>
      <c r="Z85" s="103">
        <v>0</v>
      </c>
      <c r="AA85" s="63"/>
      <c r="AB85" s="63"/>
      <c r="AC85" s="103">
        <v>0</v>
      </c>
      <c r="AD85" s="63"/>
      <c r="AE85" s="103">
        <v>0</v>
      </c>
      <c r="AF85" s="62" t="s">
        <v>81</v>
      </c>
      <c r="AH85" s="66"/>
    </row>
    <row r="86" spans="1:34" s="65" customFormat="1">
      <c r="A86" s="67" t="s">
        <v>296</v>
      </c>
      <c r="B86" s="67" t="s">
        <v>298</v>
      </c>
      <c r="C86" s="67" t="s">
        <v>177</v>
      </c>
      <c r="D86" s="67" t="s">
        <v>303</v>
      </c>
      <c r="E86" s="67" t="s">
        <v>96</v>
      </c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>
        <v>1</v>
      </c>
      <c r="U86" s="67"/>
      <c r="V86" s="67" t="s">
        <v>138</v>
      </c>
      <c r="W86" s="67">
        <v>4</v>
      </c>
      <c r="X86" s="67">
        <f t="shared" ref="X86:Y86" si="113">X185+X191</f>
        <v>100000</v>
      </c>
      <c r="Y86" s="67">
        <f t="shared" si="113"/>
        <v>90000</v>
      </c>
      <c r="Z86" s="68">
        <f t="shared" si="102"/>
        <v>111.11111111111111</v>
      </c>
      <c r="AA86" s="67">
        <f t="shared" ref="AA86:AB86" si="114">AA185+AA191</f>
        <v>2400000</v>
      </c>
      <c r="AB86" s="67">
        <f t="shared" si="114"/>
        <v>1300000</v>
      </c>
      <c r="AC86" s="68">
        <f t="shared" si="104"/>
        <v>54.166666666666664</v>
      </c>
      <c r="AD86" s="67">
        <f t="shared" ref="AD86" si="115">AD185+AD191</f>
        <v>990000</v>
      </c>
      <c r="AE86" s="68">
        <f t="shared" si="106"/>
        <v>131.31313131313132</v>
      </c>
      <c r="AF86" s="77" t="s">
        <v>77</v>
      </c>
      <c r="AH86" s="66"/>
    </row>
    <row r="87" spans="1:34" s="65" customFormat="1" ht="14.4">
      <c r="A87" s="40"/>
      <c r="B87" s="40"/>
      <c r="C87" s="40"/>
      <c r="D87" s="40"/>
      <c r="E87" s="71"/>
      <c r="F87" s="40"/>
      <c r="G87" s="40"/>
      <c r="H87" s="40"/>
      <c r="I87" s="41" t="s">
        <v>140</v>
      </c>
      <c r="J87" s="41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3"/>
      <c r="V87" s="42"/>
      <c r="W87" s="72"/>
      <c r="X87" s="72"/>
      <c r="Y87" s="73"/>
      <c r="Z87" s="72"/>
      <c r="AA87" s="72"/>
      <c r="AB87" s="72"/>
      <c r="AC87" s="72"/>
      <c r="AD87" s="72"/>
      <c r="AE87" s="72"/>
      <c r="AF87" s="72"/>
      <c r="AH87" s="66"/>
    </row>
    <row r="88" spans="1:34" s="65" customFormat="1">
      <c r="A88" s="63" t="s">
        <v>296</v>
      </c>
      <c r="B88" s="63" t="s">
        <v>298</v>
      </c>
      <c r="C88" s="62" t="s">
        <v>243</v>
      </c>
      <c r="D88" s="63" t="s">
        <v>304</v>
      </c>
      <c r="E88" s="63" t="s">
        <v>96</v>
      </c>
      <c r="F88" s="63"/>
      <c r="G88" s="63"/>
      <c r="H88" s="63"/>
      <c r="I88" s="63"/>
      <c r="J88" s="63"/>
      <c r="K88" s="63"/>
      <c r="L88" s="63" t="s">
        <v>194</v>
      </c>
      <c r="M88" s="63" t="s">
        <v>188</v>
      </c>
      <c r="N88" s="62" t="s">
        <v>224</v>
      </c>
      <c r="O88" s="63" t="s">
        <v>218</v>
      </c>
      <c r="P88" s="62" t="s">
        <v>230</v>
      </c>
      <c r="Q88" s="63" t="s">
        <v>228</v>
      </c>
      <c r="R88" s="62" t="s">
        <v>249</v>
      </c>
      <c r="S88" s="63" t="s">
        <v>250</v>
      </c>
      <c r="T88" s="63">
        <v>0</v>
      </c>
      <c r="U88" s="63">
        <v>118001</v>
      </c>
      <c r="V88" s="63" t="s">
        <v>129</v>
      </c>
      <c r="W88" s="63">
        <v>4</v>
      </c>
      <c r="X88" s="63"/>
      <c r="Y88" s="63"/>
      <c r="Z88" s="69" t="s">
        <v>182</v>
      </c>
      <c r="AA88" s="63"/>
      <c r="AB88" s="63"/>
      <c r="AC88" s="69" t="s">
        <v>182</v>
      </c>
      <c r="AD88" s="63"/>
      <c r="AE88" s="69" t="s">
        <v>182</v>
      </c>
      <c r="AF88" s="63" t="s">
        <v>75</v>
      </c>
      <c r="AH88" s="66"/>
    </row>
    <row r="89" spans="1:34" s="65" customFormat="1">
      <c r="A89" s="67" t="s">
        <v>296</v>
      </c>
      <c r="B89" s="67" t="s">
        <v>298</v>
      </c>
      <c r="C89" s="67" t="s">
        <v>178</v>
      </c>
      <c r="D89" s="67" t="s">
        <v>305</v>
      </c>
      <c r="E89" s="67" t="s">
        <v>96</v>
      </c>
      <c r="F89" s="67"/>
      <c r="G89" s="67"/>
      <c r="H89" s="67"/>
      <c r="I89" s="67"/>
      <c r="J89" s="67"/>
      <c r="K89" s="67"/>
      <c r="L89" s="67" t="s">
        <v>194</v>
      </c>
      <c r="M89" s="67" t="s">
        <v>188</v>
      </c>
      <c r="N89" s="67" t="s">
        <v>223</v>
      </c>
      <c r="O89" s="67" t="s">
        <v>217</v>
      </c>
      <c r="P89" s="67" t="s">
        <v>229</v>
      </c>
      <c r="Q89" s="67" t="s">
        <v>227</v>
      </c>
      <c r="R89" s="67" t="s">
        <v>249</v>
      </c>
      <c r="S89" s="67" t="s">
        <v>250</v>
      </c>
      <c r="T89" s="67">
        <v>0</v>
      </c>
      <c r="U89" s="67">
        <v>118002</v>
      </c>
      <c r="V89" s="67" t="s">
        <v>131</v>
      </c>
      <c r="W89" s="67">
        <v>4</v>
      </c>
      <c r="X89" s="67"/>
      <c r="Y89" s="67"/>
      <c r="Z89" s="75" t="s">
        <v>181</v>
      </c>
      <c r="AA89" s="67"/>
      <c r="AB89" s="67"/>
      <c r="AC89" s="75" t="s">
        <v>181</v>
      </c>
      <c r="AD89" s="67"/>
      <c r="AE89" s="75" t="s">
        <v>181</v>
      </c>
      <c r="AF89" s="67" t="s">
        <v>141</v>
      </c>
      <c r="AH89" s="66"/>
    </row>
    <row r="90" spans="1:34" s="65" customFormat="1">
      <c r="A90" s="63" t="s">
        <v>296</v>
      </c>
      <c r="B90" s="63" t="s">
        <v>298</v>
      </c>
      <c r="C90" s="62" t="s">
        <v>178</v>
      </c>
      <c r="D90" s="63" t="s">
        <v>304</v>
      </c>
      <c r="E90" s="63" t="s">
        <v>96</v>
      </c>
      <c r="F90" s="63"/>
      <c r="G90" s="63"/>
      <c r="H90" s="63"/>
      <c r="I90" s="63"/>
      <c r="J90" s="63"/>
      <c r="K90" s="63"/>
      <c r="L90" s="63" t="s">
        <v>194</v>
      </c>
      <c r="M90" s="63" t="s">
        <v>188</v>
      </c>
      <c r="N90" s="63" t="s">
        <v>223</v>
      </c>
      <c r="O90" s="63" t="s">
        <v>217</v>
      </c>
      <c r="P90" s="63" t="s">
        <v>229</v>
      </c>
      <c r="Q90" s="63" t="s">
        <v>227</v>
      </c>
      <c r="R90" s="63" t="s">
        <v>249</v>
      </c>
      <c r="S90" s="63" t="s">
        <v>250</v>
      </c>
      <c r="T90" s="63">
        <v>1</v>
      </c>
      <c r="U90" s="63"/>
      <c r="V90" s="63" t="s">
        <v>132</v>
      </c>
      <c r="W90" s="63">
        <v>4</v>
      </c>
      <c r="X90" s="63"/>
      <c r="Y90" s="63"/>
      <c r="Z90" s="74" t="s">
        <v>181</v>
      </c>
      <c r="AA90" s="63"/>
      <c r="AB90" s="63"/>
      <c r="AC90" s="74" t="s">
        <v>181</v>
      </c>
      <c r="AD90" s="63"/>
      <c r="AE90" s="74" t="s">
        <v>181</v>
      </c>
      <c r="AF90" s="63" t="s">
        <v>316</v>
      </c>
      <c r="AH90" s="66"/>
    </row>
    <row r="91" spans="1:34" s="65" customFormat="1">
      <c r="A91" s="67" t="s">
        <v>296</v>
      </c>
      <c r="B91" s="67" t="s">
        <v>298</v>
      </c>
      <c r="C91" s="67" t="s">
        <v>178</v>
      </c>
      <c r="D91" s="67" t="s">
        <v>305</v>
      </c>
      <c r="E91" s="67" t="s">
        <v>96</v>
      </c>
      <c r="F91" s="67"/>
      <c r="G91" s="67"/>
      <c r="H91" s="67"/>
      <c r="I91" s="67"/>
      <c r="J91" s="67"/>
      <c r="K91" s="67"/>
      <c r="L91" s="67" t="s">
        <v>194</v>
      </c>
      <c r="M91" s="67" t="s">
        <v>188</v>
      </c>
      <c r="N91" s="67" t="s">
        <v>223</v>
      </c>
      <c r="O91" s="67" t="s">
        <v>217</v>
      </c>
      <c r="P91" s="67" t="s">
        <v>229</v>
      </c>
      <c r="Q91" s="67" t="s">
        <v>227</v>
      </c>
      <c r="R91" s="67" t="s">
        <v>249</v>
      </c>
      <c r="S91" s="67" t="s">
        <v>250</v>
      </c>
      <c r="T91" s="67">
        <v>0</v>
      </c>
      <c r="U91" s="67">
        <v>118003</v>
      </c>
      <c r="V91" s="67" t="s">
        <v>134</v>
      </c>
      <c r="W91" s="67">
        <v>4</v>
      </c>
      <c r="X91" s="67">
        <v>25000</v>
      </c>
      <c r="Y91" s="67">
        <v>22500</v>
      </c>
      <c r="Z91" s="67">
        <v>111.1</v>
      </c>
      <c r="AA91" s="67">
        <v>600000</v>
      </c>
      <c r="AB91" s="67">
        <v>325000</v>
      </c>
      <c r="AC91" s="67">
        <v>54.2</v>
      </c>
      <c r="AD91" s="67">
        <v>247500</v>
      </c>
      <c r="AE91" s="67">
        <v>131.30000000000001</v>
      </c>
      <c r="AF91" s="67" t="s">
        <v>82</v>
      </c>
      <c r="AH91" s="66"/>
    </row>
    <row r="92" spans="1:34" s="65" customFormat="1">
      <c r="A92" s="63" t="s">
        <v>296</v>
      </c>
      <c r="B92" s="63" t="s">
        <v>298</v>
      </c>
      <c r="C92" s="62" t="s">
        <v>178</v>
      </c>
      <c r="D92" s="63" t="s">
        <v>304</v>
      </c>
      <c r="E92" s="63" t="s">
        <v>96</v>
      </c>
      <c r="F92" s="63"/>
      <c r="G92" s="63"/>
      <c r="H92" s="63"/>
      <c r="I92" s="63"/>
      <c r="J92" s="63"/>
      <c r="K92" s="63"/>
      <c r="L92" s="63" t="s">
        <v>194</v>
      </c>
      <c r="M92" s="63" t="s">
        <v>188</v>
      </c>
      <c r="N92" s="63" t="s">
        <v>223</v>
      </c>
      <c r="O92" s="63" t="s">
        <v>217</v>
      </c>
      <c r="P92" s="63" t="s">
        <v>229</v>
      </c>
      <c r="Q92" s="63" t="s">
        <v>227</v>
      </c>
      <c r="R92" s="63" t="s">
        <v>249</v>
      </c>
      <c r="S92" s="63" t="s">
        <v>250</v>
      </c>
      <c r="T92" s="63">
        <v>0</v>
      </c>
      <c r="U92" s="63">
        <v>118004</v>
      </c>
      <c r="V92" s="63" t="s">
        <v>136</v>
      </c>
      <c r="W92" s="63">
        <v>4</v>
      </c>
      <c r="X92" s="63"/>
      <c r="Y92" s="63"/>
      <c r="Z92" s="69" t="s">
        <v>182</v>
      </c>
      <c r="AA92" s="63"/>
      <c r="AB92" s="63"/>
      <c r="AC92" s="69" t="s">
        <v>182</v>
      </c>
      <c r="AD92" s="63"/>
      <c r="AE92" s="69" t="s">
        <v>182</v>
      </c>
      <c r="AF92" s="63" t="s">
        <v>81</v>
      </c>
      <c r="AH92" s="66"/>
    </row>
    <row r="93" spans="1:34" s="65" customFormat="1">
      <c r="A93" s="67" t="s">
        <v>296</v>
      </c>
      <c r="B93" s="67" t="s">
        <v>298</v>
      </c>
      <c r="C93" s="67" t="s">
        <v>178</v>
      </c>
      <c r="D93" s="67" t="s">
        <v>305</v>
      </c>
      <c r="E93" s="67" t="s">
        <v>96</v>
      </c>
      <c r="F93" s="67"/>
      <c r="G93" s="67"/>
      <c r="H93" s="67"/>
      <c r="I93" s="67"/>
      <c r="J93" s="67"/>
      <c r="K93" s="67"/>
      <c r="L93" s="67" t="s">
        <v>194</v>
      </c>
      <c r="M93" s="67" t="s">
        <v>188</v>
      </c>
      <c r="N93" s="67" t="s">
        <v>223</v>
      </c>
      <c r="O93" s="67" t="s">
        <v>217</v>
      </c>
      <c r="P93" s="67" t="s">
        <v>229</v>
      </c>
      <c r="Q93" s="67" t="s">
        <v>227</v>
      </c>
      <c r="R93" s="67" t="s">
        <v>249</v>
      </c>
      <c r="S93" s="67" t="s">
        <v>250</v>
      </c>
      <c r="T93" s="67">
        <v>1</v>
      </c>
      <c r="U93" s="67"/>
      <c r="V93" s="67" t="s">
        <v>138</v>
      </c>
      <c r="W93" s="67">
        <v>4</v>
      </c>
      <c r="X93" s="67">
        <v>25000</v>
      </c>
      <c r="Y93" s="67">
        <v>22500</v>
      </c>
      <c r="Z93" s="67">
        <v>111.1</v>
      </c>
      <c r="AA93" s="67">
        <v>600000</v>
      </c>
      <c r="AB93" s="67">
        <v>325000</v>
      </c>
      <c r="AC93" s="67">
        <v>54.2</v>
      </c>
      <c r="AD93" s="67">
        <v>247500</v>
      </c>
      <c r="AE93" s="67">
        <v>131.30000000000001</v>
      </c>
      <c r="AF93" s="67" t="s">
        <v>77</v>
      </c>
      <c r="AH93" s="66"/>
    </row>
    <row r="94" spans="1:34" s="65" customFormat="1">
      <c r="A94" s="63" t="s">
        <v>296</v>
      </c>
      <c r="B94" s="63" t="s">
        <v>298</v>
      </c>
      <c r="C94" s="62" t="s">
        <v>178</v>
      </c>
      <c r="D94" s="63" t="s">
        <v>304</v>
      </c>
      <c r="E94" s="63" t="s">
        <v>96</v>
      </c>
      <c r="F94" s="63"/>
      <c r="G94" s="63"/>
      <c r="H94" s="63"/>
      <c r="I94" s="63"/>
      <c r="J94" s="63"/>
      <c r="K94" s="63"/>
      <c r="L94" s="63" t="s">
        <v>194</v>
      </c>
      <c r="M94" s="63" t="s">
        <v>188</v>
      </c>
      <c r="N94" s="62" t="s">
        <v>224</v>
      </c>
      <c r="O94" s="63" t="s">
        <v>218</v>
      </c>
      <c r="P94" s="62" t="s">
        <v>230</v>
      </c>
      <c r="Q94" s="63" t="s">
        <v>228</v>
      </c>
      <c r="R94" s="62" t="s">
        <v>76</v>
      </c>
      <c r="S94" s="63" t="s">
        <v>251</v>
      </c>
      <c r="T94" s="63">
        <v>0</v>
      </c>
      <c r="U94" s="63">
        <v>118001</v>
      </c>
      <c r="V94" s="63" t="s">
        <v>129</v>
      </c>
      <c r="W94" s="63">
        <v>4</v>
      </c>
      <c r="X94" s="63"/>
      <c r="Y94" s="63"/>
      <c r="Z94" s="69" t="s">
        <v>182</v>
      </c>
      <c r="AA94" s="63"/>
      <c r="AB94" s="63"/>
      <c r="AC94" s="69" t="s">
        <v>182</v>
      </c>
      <c r="AD94" s="63"/>
      <c r="AE94" s="69" t="s">
        <v>182</v>
      </c>
      <c r="AF94" s="62" t="s">
        <v>75</v>
      </c>
      <c r="AH94" s="66"/>
    </row>
    <row r="95" spans="1:34" s="65" customFormat="1">
      <c r="A95" s="67" t="s">
        <v>296</v>
      </c>
      <c r="B95" s="67" t="s">
        <v>298</v>
      </c>
      <c r="C95" s="67" t="s">
        <v>178</v>
      </c>
      <c r="D95" s="67" t="s">
        <v>305</v>
      </c>
      <c r="E95" s="67" t="s">
        <v>96</v>
      </c>
      <c r="F95" s="67"/>
      <c r="G95" s="67"/>
      <c r="H95" s="67"/>
      <c r="I95" s="67"/>
      <c r="J95" s="67"/>
      <c r="K95" s="67"/>
      <c r="L95" s="67" t="s">
        <v>194</v>
      </c>
      <c r="M95" s="67" t="s">
        <v>188</v>
      </c>
      <c r="N95" s="67" t="s">
        <v>223</v>
      </c>
      <c r="O95" s="67" t="s">
        <v>217</v>
      </c>
      <c r="P95" s="67" t="s">
        <v>229</v>
      </c>
      <c r="Q95" s="67" t="s">
        <v>227</v>
      </c>
      <c r="R95" s="67" t="s">
        <v>76</v>
      </c>
      <c r="S95" s="67" t="s">
        <v>251</v>
      </c>
      <c r="T95" s="67">
        <v>0</v>
      </c>
      <c r="U95" s="67">
        <v>118002</v>
      </c>
      <c r="V95" s="67" t="s">
        <v>131</v>
      </c>
      <c r="W95" s="67">
        <v>4</v>
      </c>
      <c r="X95" s="67"/>
      <c r="Y95" s="67"/>
      <c r="Z95" s="75" t="s">
        <v>181</v>
      </c>
      <c r="AA95" s="67"/>
      <c r="AB95" s="67"/>
      <c r="AC95" s="75" t="s">
        <v>181</v>
      </c>
      <c r="AD95" s="67"/>
      <c r="AE95" s="75" t="s">
        <v>181</v>
      </c>
      <c r="AF95" s="77" t="s">
        <v>141</v>
      </c>
      <c r="AH95" s="66"/>
    </row>
    <row r="96" spans="1:34" s="65" customFormat="1">
      <c r="A96" s="63" t="s">
        <v>296</v>
      </c>
      <c r="B96" s="63" t="s">
        <v>298</v>
      </c>
      <c r="C96" s="62" t="s">
        <v>178</v>
      </c>
      <c r="D96" s="63" t="s">
        <v>304</v>
      </c>
      <c r="E96" s="63" t="s">
        <v>96</v>
      </c>
      <c r="F96" s="63"/>
      <c r="G96" s="63"/>
      <c r="H96" s="63"/>
      <c r="I96" s="63"/>
      <c r="J96" s="63"/>
      <c r="K96" s="63"/>
      <c r="L96" s="63" t="s">
        <v>194</v>
      </c>
      <c r="M96" s="63" t="s">
        <v>188</v>
      </c>
      <c r="N96" s="63" t="s">
        <v>223</v>
      </c>
      <c r="O96" s="63" t="s">
        <v>217</v>
      </c>
      <c r="P96" s="63" t="s">
        <v>229</v>
      </c>
      <c r="Q96" s="63" t="s">
        <v>227</v>
      </c>
      <c r="R96" s="63" t="s">
        <v>76</v>
      </c>
      <c r="S96" s="63" t="s">
        <v>251</v>
      </c>
      <c r="T96" s="63">
        <v>1</v>
      </c>
      <c r="U96" s="63"/>
      <c r="V96" s="63" t="s">
        <v>132</v>
      </c>
      <c r="W96" s="63">
        <v>4</v>
      </c>
      <c r="X96" s="63"/>
      <c r="Y96" s="63"/>
      <c r="Z96" s="74" t="s">
        <v>181</v>
      </c>
      <c r="AA96" s="63"/>
      <c r="AB96" s="63"/>
      <c r="AC96" s="74" t="s">
        <v>181</v>
      </c>
      <c r="AD96" s="63"/>
      <c r="AE96" s="74" t="s">
        <v>181</v>
      </c>
      <c r="AF96" s="62" t="s">
        <v>316</v>
      </c>
      <c r="AH96" s="66"/>
    </row>
    <row r="97" spans="1:34" s="65" customFormat="1">
      <c r="A97" s="67" t="s">
        <v>296</v>
      </c>
      <c r="B97" s="67" t="s">
        <v>298</v>
      </c>
      <c r="C97" s="67" t="s">
        <v>178</v>
      </c>
      <c r="D97" s="67" t="s">
        <v>305</v>
      </c>
      <c r="E97" s="67" t="s">
        <v>96</v>
      </c>
      <c r="F97" s="67"/>
      <c r="G97" s="67"/>
      <c r="H97" s="67"/>
      <c r="I97" s="67"/>
      <c r="J97" s="67"/>
      <c r="K97" s="67"/>
      <c r="L97" s="67" t="s">
        <v>194</v>
      </c>
      <c r="M97" s="67" t="s">
        <v>188</v>
      </c>
      <c r="N97" s="67" t="s">
        <v>223</v>
      </c>
      <c r="O97" s="67" t="s">
        <v>217</v>
      </c>
      <c r="P97" s="67" t="s">
        <v>229</v>
      </c>
      <c r="Q97" s="67" t="s">
        <v>227</v>
      </c>
      <c r="R97" s="67" t="s">
        <v>76</v>
      </c>
      <c r="S97" s="67" t="s">
        <v>251</v>
      </c>
      <c r="T97" s="67">
        <v>0</v>
      </c>
      <c r="U97" s="67">
        <v>118003</v>
      </c>
      <c r="V97" s="67" t="s">
        <v>134</v>
      </c>
      <c r="W97" s="67">
        <v>4</v>
      </c>
      <c r="X97" s="67">
        <v>25000</v>
      </c>
      <c r="Y97" s="67">
        <v>22500</v>
      </c>
      <c r="Z97" s="67">
        <v>111.1</v>
      </c>
      <c r="AA97" s="67">
        <v>600000</v>
      </c>
      <c r="AB97" s="67">
        <v>325000</v>
      </c>
      <c r="AC97" s="67">
        <v>54.2</v>
      </c>
      <c r="AD97" s="67">
        <v>247500</v>
      </c>
      <c r="AE97" s="67">
        <v>131.30000000000001</v>
      </c>
      <c r="AF97" s="77" t="s">
        <v>82</v>
      </c>
      <c r="AH97" s="66"/>
    </row>
    <row r="98" spans="1:34" s="65" customFormat="1">
      <c r="A98" s="63" t="s">
        <v>296</v>
      </c>
      <c r="B98" s="63" t="s">
        <v>298</v>
      </c>
      <c r="C98" s="62" t="s">
        <v>178</v>
      </c>
      <c r="D98" s="63" t="s">
        <v>304</v>
      </c>
      <c r="E98" s="63" t="s">
        <v>96</v>
      </c>
      <c r="F98" s="63"/>
      <c r="G98" s="63"/>
      <c r="H98" s="63"/>
      <c r="I98" s="63"/>
      <c r="J98" s="63"/>
      <c r="K98" s="63"/>
      <c r="L98" s="63" t="s">
        <v>194</v>
      </c>
      <c r="M98" s="63" t="s">
        <v>188</v>
      </c>
      <c r="N98" s="63" t="s">
        <v>223</v>
      </c>
      <c r="O98" s="63" t="s">
        <v>217</v>
      </c>
      <c r="P98" s="63" t="s">
        <v>229</v>
      </c>
      <c r="Q98" s="63" t="s">
        <v>227</v>
      </c>
      <c r="R98" s="63" t="s">
        <v>76</v>
      </c>
      <c r="S98" s="63" t="s">
        <v>251</v>
      </c>
      <c r="T98" s="63">
        <v>0</v>
      </c>
      <c r="U98" s="63">
        <v>118004</v>
      </c>
      <c r="V98" s="63" t="s">
        <v>136</v>
      </c>
      <c r="W98" s="63">
        <v>4</v>
      </c>
      <c r="X98" s="63"/>
      <c r="Y98" s="63"/>
      <c r="Z98" s="69" t="s">
        <v>182</v>
      </c>
      <c r="AA98" s="63"/>
      <c r="AB98" s="63"/>
      <c r="AC98" s="69" t="s">
        <v>182</v>
      </c>
      <c r="AD98" s="63"/>
      <c r="AE98" s="69" t="s">
        <v>182</v>
      </c>
      <c r="AF98" s="62" t="s">
        <v>81</v>
      </c>
      <c r="AH98" s="66"/>
    </row>
    <row r="99" spans="1:34" s="65" customFormat="1">
      <c r="A99" s="67" t="s">
        <v>296</v>
      </c>
      <c r="B99" s="67" t="s">
        <v>298</v>
      </c>
      <c r="C99" s="67" t="s">
        <v>178</v>
      </c>
      <c r="D99" s="67" t="s">
        <v>305</v>
      </c>
      <c r="E99" s="67" t="s">
        <v>96</v>
      </c>
      <c r="F99" s="67"/>
      <c r="G99" s="67"/>
      <c r="H99" s="67"/>
      <c r="I99" s="67"/>
      <c r="J99" s="67"/>
      <c r="K99" s="67"/>
      <c r="L99" s="67" t="s">
        <v>194</v>
      </c>
      <c r="M99" s="67" t="s">
        <v>188</v>
      </c>
      <c r="N99" s="67" t="s">
        <v>223</v>
      </c>
      <c r="O99" s="67" t="s">
        <v>217</v>
      </c>
      <c r="P99" s="67" t="s">
        <v>229</v>
      </c>
      <c r="Q99" s="67" t="s">
        <v>227</v>
      </c>
      <c r="R99" s="67" t="s">
        <v>76</v>
      </c>
      <c r="S99" s="67" t="s">
        <v>251</v>
      </c>
      <c r="T99" s="67">
        <v>1</v>
      </c>
      <c r="U99" s="67"/>
      <c r="V99" s="67" t="s">
        <v>138</v>
      </c>
      <c r="W99" s="67">
        <v>4</v>
      </c>
      <c r="X99" s="67">
        <v>25000</v>
      </c>
      <c r="Y99" s="67">
        <v>22500</v>
      </c>
      <c r="Z99" s="67">
        <v>111.1</v>
      </c>
      <c r="AA99" s="67">
        <v>600000</v>
      </c>
      <c r="AB99" s="67">
        <v>325000</v>
      </c>
      <c r="AC99" s="67">
        <v>54.2</v>
      </c>
      <c r="AD99" s="67">
        <v>247500</v>
      </c>
      <c r="AE99" s="67">
        <v>131.30000000000001</v>
      </c>
      <c r="AF99" s="77" t="s">
        <v>77</v>
      </c>
      <c r="AH99" s="66"/>
    </row>
    <row r="100" spans="1:34" s="65" customFormat="1">
      <c r="A100" s="63" t="s">
        <v>296</v>
      </c>
      <c r="B100" s="63" t="s">
        <v>298</v>
      </c>
      <c r="C100" s="62" t="s">
        <v>178</v>
      </c>
      <c r="D100" s="63" t="s">
        <v>304</v>
      </c>
      <c r="E100" s="63" t="s">
        <v>96</v>
      </c>
      <c r="F100" s="63"/>
      <c r="G100" s="63"/>
      <c r="H100" s="63"/>
      <c r="I100" s="63"/>
      <c r="J100" s="63"/>
      <c r="K100" s="63"/>
      <c r="L100" s="63" t="s">
        <v>194</v>
      </c>
      <c r="M100" s="63" t="s">
        <v>188</v>
      </c>
      <c r="N100" s="62" t="s">
        <v>224</v>
      </c>
      <c r="O100" s="63" t="s">
        <v>218</v>
      </c>
      <c r="P100" s="62" t="s">
        <v>234</v>
      </c>
      <c r="Q100" s="63" t="s">
        <v>232</v>
      </c>
      <c r="R100" s="62" t="s">
        <v>249</v>
      </c>
      <c r="S100" s="63" t="s">
        <v>250</v>
      </c>
      <c r="T100" s="63">
        <v>0</v>
      </c>
      <c r="U100" s="63">
        <v>118001</v>
      </c>
      <c r="V100" s="63" t="s">
        <v>129</v>
      </c>
      <c r="W100" s="63">
        <v>4</v>
      </c>
      <c r="X100" s="63"/>
      <c r="Y100" s="63"/>
      <c r="Z100" s="69" t="s">
        <v>182</v>
      </c>
      <c r="AA100" s="63"/>
      <c r="AB100" s="63"/>
      <c r="AC100" s="69" t="s">
        <v>182</v>
      </c>
      <c r="AD100" s="63"/>
      <c r="AE100" s="69" t="s">
        <v>182</v>
      </c>
      <c r="AF100" s="62" t="s">
        <v>75</v>
      </c>
      <c r="AH100" s="66"/>
    </row>
    <row r="101" spans="1:34" s="65" customFormat="1">
      <c r="A101" s="67" t="s">
        <v>296</v>
      </c>
      <c r="B101" s="67" t="s">
        <v>298</v>
      </c>
      <c r="C101" s="67" t="s">
        <v>178</v>
      </c>
      <c r="D101" s="67" t="s">
        <v>305</v>
      </c>
      <c r="E101" s="67" t="s">
        <v>96</v>
      </c>
      <c r="F101" s="67"/>
      <c r="G101" s="67"/>
      <c r="H101" s="67"/>
      <c r="I101" s="67"/>
      <c r="J101" s="67"/>
      <c r="K101" s="67"/>
      <c r="L101" s="67" t="s">
        <v>194</v>
      </c>
      <c r="M101" s="67" t="s">
        <v>188</v>
      </c>
      <c r="N101" s="67" t="s">
        <v>223</v>
      </c>
      <c r="O101" s="67" t="s">
        <v>217</v>
      </c>
      <c r="P101" s="67" t="s">
        <v>233</v>
      </c>
      <c r="Q101" s="67" t="s">
        <v>231</v>
      </c>
      <c r="R101" s="67" t="s">
        <v>249</v>
      </c>
      <c r="S101" s="67" t="s">
        <v>250</v>
      </c>
      <c r="T101" s="67">
        <v>0</v>
      </c>
      <c r="U101" s="67">
        <v>118002</v>
      </c>
      <c r="V101" s="67" t="s">
        <v>131</v>
      </c>
      <c r="W101" s="67">
        <v>4</v>
      </c>
      <c r="X101" s="67"/>
      <c r="Y101" s="67"/>
      <c r="Z101" s="75" t="s">
        <v>181</v>
      </c>
      <c r="AA101" s="67"/>
      <c r="AB101" s="67"/>
      <c r="AC101" s="75" t="s">
        <v>181</v>
      </c>
      <c r="AD101" s="67"/>
      <c r="AE101" s="75" t="s">
        <v>181</v>
      </c>
      <c r="AF101" s="77" t="s">
        <v>141</v>
      </c>
      <c r="AH101" s="66"/>
    </row>
    <row r="102" spans="1:34" s="65" customFormat="1">
      <c r="A102" s="63" t="s">
        <v>296</v>
      </c>
      <c r="B102" s="63" t="s">
        <v>298</v>
      </c>
      <c r="C102" s="62" t="s">
        <v>178</v>
      </c>
      <c r="D102" s="63" t="s">
        <v>304</v>
      </c>
      <c r="E102" s="63" t="s">
        <v>96</v>
      </c>
      <c r="F102" s="63"/>
      <c r="G102" s="63"/>
      <c r="H102" s="63"/>
      <c r="I102" s="63"/>
      <c r="J102" s="63"/>
      <c r="K102" s="63"/>
      <c r="L102" s="63" t="s">
        <v>194</v>
      </c>
      <c r="M102" s="63" t="s">
        <v>188</v>
      </c>
      <c r="N102" s="63" t="s">
        <v>223</v>
      </c>
      <c r="O102" s="63" t="s">
        <v>217</v>
      </c>
      <c r="P102" s="63" t="s">
        <v>233</v>
      </c>
      <c r="Q102" s="63" t="s">
        <v>231</v>
      </c>
      <c r="R102" s="63" t="s">
        <v>249</v>
      </c>
      <c r="S102" s="63" t="s">
        <v>250</v>
      </c>
      <c r="T102" s="63">
        <v>1</v>
      </c>
      <c r="U102" s="63"/>
      <c r="V102" s="63" t="s">
        <v>132</v>
      </c>
      <c r="W102" s="63">
        <v>4</v>
      </c>
      <c r="X102" s="63"/>
      <c r="Y102" s="63"/>
      <c r="Z102" s="74" t="s">
        <v>181</v>
      </c>
      <c r="AA102" s="63"/>
      <c r="AB102" s="63"/>
      <c r="AC102" s="74" t="s">
        <v>181</v>
      </c>
      <c r="AD102" s="63"/>
      <c r="AE102" s="74" t="s">
        <v>181</v>
      </c>
      <c r="AF102" s="62" t="s">
        <v>316</v>
      </c>
      <c r="AH102" s="66"/>
    </row>
    <row r="103" spans="1:34" s="65" customFormat="1">
      <c r="A103" s="67" t="s">
        <v>296</v>
      </c>
      <c r="B103" s="67" t="s">
        <v>298</v>
      </c>
      <c r="C103" s="67" t="s">
        <v>178</v>
      </c>
      <c r="D103" s="67" t="s">
        <v>305</v>
      </c>
      <c r="E103" s="67" t="s">
        <v>96</v>
      </c>
      <c r="F103" s="67"/>
      <c r="G103" s="67"/>
      <c r="H103" s="67"/>
      <c r="I103" s="67"/>
      <c r="J103" s="67"/>
      <c r="K103" s="67"/>
      <c r="L103" s="67" t="s">
        <v>194</v>
      </c>
      <c r="M103" s="67" t="s">
        <v>188</v>
      </c>
      <c r="N103" s="67" t="s">
        <v>223</v>
      </c>
      <c r="O103" s="67" t="s">
        <v>217</v>
      </c>
      <c r="P103" s="67" t="s">
        <v>233</v>
      </c>
      <c r="Q103" s="67" t="s">
        <v>231</v>
      </c>
      <c r="R103" s="67" t="s">
        <v>249</v>
      </c>
      <c r="S103" s="67" t="s">
        <v>250</v>
      </c>
      <c r="T103" s="67">
        <v>0</v>
      </c>
      <c r="U103" s="67">
        <v>118003</v>
      </c>
      <c r="V103" s="67" t="s">
        <v>134</v>
      </c>
      <c r="W103" s="67">
        <v>4</v>
      </c>
      <c r="X103" s="67">
        <v>25000</v>
      </c>
      <c r="Y103" s="67">
        <v>22500</v>
      </c>
      <c r="Z103" s="67">
        <v>111.1</v>
      </c>
      <c r="AA103" s="67">
        <v>600000</v>
      </c>
      <c r="AB103" s="67">
        <v>325000</v>
      </c>
      <c r="AC103" s="67">
        <v>54.2</v>
      </c>
      <c r="AD103" s="67">
        <v>247500</v>
      </c>
      <c r="AE103" s="67">
        <v>131.30000000000001</v>
      </c>
      <c r="AF103" s="77" t="s">
        <v>82</v>
      </c>
      <c r="AH103" s="66"/>
    </row>
    <row r="104" spans="1:34" s="65" customFormat="1">
      <c r="A104" s="63" t="s">
        <v>296</v>
      </c>
      <c r="B104" s="63" t="s">
        <v>298</v>
      </c>
      <c r="C104" s="62" t="s">
        <v>178</v>
      </c>
      <c r="D104" s="63" t="s">
        <v>304</v>
      </c>
      <c r="E104" s="63" t="s">
        <v>96</v>
      </c>
      <c r="F104" s="63"/>
      <c r="G104" s="63"/>
      <c r="H104" s="63"/>
      <c r="I104" s="63"/>
      <c r="J104" s="63"/>
      <c r="K104" s="63"/>
      <c r="L104" s="63" t="s">
        <v>194</v>
      </c>
      <c r="M104" s="63" t="s">
        <v>188</v>
      </c>
      <c r="N104" s="63" t="s">
        <v>223</v>
      </c>
      <c r="O104" s="63" t="s">
        <v>217</v>
      </c>
      <c r="P104" s="63" t="s">
        <v>233</v>
      </c>
      <c r="Q104" s="63" t="s">
        <v>231</v>
      </c>
      <c r="R104" s="63" t="s">
        <v>249</v>
      </c>
      <c r="S104" s="63" t="s">
        <v>250</v>
      </c>
      <c r="T104" s="63">
        <v>0</v>
      </c>
      <c r="U104" s="63">
        <v>118004</v>
      </c>
      <c r="V104" s="63" t="s">
        <v>136</v>
      </c>
      <c r="W104" s="63">
        <v>4</v>
      </c>
      <c r="X104" s="63"/>
      <c r="Y104" s="63"/>
      <c r="Z104" s="69" t="s">
        <v>182</v>
      </c>
      <c r="AA104" s="63"/>
      <c r="AB104" s="63"/>
      <c r="AC104" s="69" t="s">
        <v>182</v>
      </c>
      <c r="AD104" s="63"/>
      <c r="AE104" s="69" t="s">
        <v>182</v>
      </c>
      <c r="AF104" s="62" t="s">
        <v>81</v>
      </c>
      <c r="AH104" s="66"/>
    </row>
    <row r="105" spans="1:34" s="65" customFormat="1">
      <c r="A105" s="67" t="s">
        <v>296</v>
      </c>
      <c r="B105" s="67" t="s">
        <v>298</v>
      </c>
      <c r="C105" s="67" t="s">
        <v>178</v>
      </c>
      <c r="D105" s="67" t="s">
        <v>305</v>
      </c>
      <c r="E105" s="67" t="s">
        <v>96</v>
      </c>
      <c r="F105" s="67"/>
      <c r="G105" s="67"/>
      <c r="H105" s="67"/>
      <c r="I105" s="67"/>
      <c r="J105" s="67"/>
      <c r="K105" s="67"/>
      <c r="L105" s="67" t="s">
        <v>194</v>
      </c>
      <c r="M105" s="67" t="s">
        <v>188</v>
      </c>
      <c r="N105" s="67" t="s">
        <v>223</v>
      </c>
      <c r="O105" s="67" t="s">
        <v>217</v>
      </c>
      <c r="P105" s="67" t="s">
        <v>233</v>
      </c>
      <c r="Q105" s="67" t="s">
        <v>231</v>
      </c>
      <c r="R105" s="67" t="s">
        <v>249</v>
      </c>
      <c r="S105" s="67" t="s">
        <v>250</v>
      </c>
      <c r="T105" s="67">
        <v>1</v>
      </c>
      <c r="U105" s="67"/>
      <c r="V105" s="67" t="s">
        <v>138</v>
      </c>
      <c r="W105" s="67">
        <v>4</v>
      </c>
      <c r="X105" s="67">
        <v>25000</v>
      </c>
      <c r="Y105" s="67">
        <v>22500</v>
      </c>
      <c r="Z105" s="67">
        <v>111.1</v>
      </c>
      <c r="AA105" s="67">
        <v>600000</v>
      </c>
      <c r="AB105" s="67">
        <v>325000</v>
      </c>
      <c r="AC105" s="67">
        <v>54.2</v>
      </c>
      <c r="AD105" s="67">
        <v>247500</v>
      </c>
      <c r="AE105" s="67">
        <v>131.30000000000001</v>
      </c>
      <c r="AF105" s="77" t="s">
        <v>77</v>
      </c>
      <c r="AH105" s="66"/>
    </row>
    <row r="106" spans="1:34" s="65" customFormat="1">
      <c r="A106" s="63" t="s">
        <v>296</v>
      </c>
      <c r="B106" s="63" t="s">
        <v>298</v>
      </c>
      <c r="C106" s="62" t="s">
        <v>178</v>
      </c>
      <c r="D106" s="63" t="s">
        <v>304</v>
      </c>
      <c r="E106" s="63" t="s">
        <v>96</v>
      </c>
      <c r="F106" s="63"/>
      <c r="G106" s="63"/>
      <c r="H106" s="63"/>
      <c r="I106" s="63"/>
      <c r="J106" s="63"/>
      <c r="K106" s="63"/>
      <c r="L106" s="63" t="s">
        <v>194</v>
      </c>
      <c r="M106" s="63" t="s">
        <v>188</v>
      </c>
      <c r="N106" s="62" t="s">
        <v>224</v>
      </c>
      <c r="O106" s="63" t="s">
        <v>218</v>
      </c>
      <c r="P106" s="62" t="s">
        <v>234</v>
      </c>
      <c r="Q106" s="63" t="s">
        <v>232</v>
      </c>
      <c r="R106" s="62" t="s">
        <v>76</v>
      </c>
      <c r="S106" s="63" t="s">
        <v>251</v>
      </c>
      <c r="T106" s="63">
        <v>0</v>
      </c>
      <c r="U106" s="63">
        <v>118001</v>
      </c>
      <c r="V106" s="63" t="s">
        <v>129</v>
      </c>
      <c r="W106" s="63">
        <v>4</v>
      </c>
      <c r="X106" s="63"/>
      <c r="Y106" s="63"/>
      <c r="Z106" s="69" t="s">
        <v>182</v>
      </c>
      <c r="AA106" s="63"/>
      <c r="AB106" s="63"/>
      <c r="AC106" s="69" t="s">
        <v>182</v>
      </c>
      <c r="AD106" s="63"/>
      <c r="AE106" s="69" t="s">
        <v>182</v>
      </c>
      <c r="AF106" s="62" t="s">
        <v>75</v>
      </c>
      <c r="AH106" s="66"/>
    </row>
    <row r="107" spans="1:34" s="65" customFormat="1">
      <c r="A107" s="67" t="s">
        <v>296</v>
      </c>
      <c r="B107" s="67" t="s">
        <v>298</v>
      </c>
      <c r="C107" s="67" t="s">
        <v>178</v>
      </c>
      <c r="D107" s="67" t="s">
        <v>305</v>
      </c>
      <c r="E107" s="67" t="s">
        <v>96</v>
      </c>
      <c r="F107" s="67"/>
      <c r="G107" s="67"/>
      <c r="H107" s="67"/>
      <c r="I107" s="67"/>
      <c r="J107" s="67"/>
      <c r="K107" s="67"/>
      <c r="L107" s="67" t="s">
        <v>194</v>
      </c>
      <c r="M107" s="67" t="s">
        <v>188</v>
      </c>
      <c r="N107" s="67" t="s">
        <v>223</v>
      </c>
      <c r="O107" s="67" t="s">
        <v>217</v>
      </c>
      <c r="P107" s="67" t="s">
        <v>233</v>
      </c>
      <c r="Q107" s="67" t="s">
        <v>231</v>
      </c>
      <c r="R107" s="67" t="s">
        <v>76</v>
      </c>
      <c r="S107" s="67" t="s">
        <v>251</v>
      </c>
      <c r="T107" s="67">
        <v>0</v>
      </c>
      <c r="U107" s="67">
        <v>118002</v>
      </c>
      <c r="V107" s="67" t="s">
        <v>131</v>
      </c>
      <c r="W107" s="67">
        <v>4</v>
      </c>
      <c r="X107" s="67"/>
      <c r="Y107" s="67"/>
      <c r="Z107" s="75" t="s">
        <v>181</v>
      </c>
      <c r="AA107" s="67"/>
      <c r="AB107" s="67"/>
      <c r="AC107" s="75" t="s">
        <v>181</v>
      </c>
      <c r="AD107" s="67"/>
      <c r="AE107" s="75" t="s">
        <v>181</v>
      </c>
      <c r="AF107" s="77" t="s">
        <v>141</v>
      </c>
      <c r="AH107" s="66"/>
    </row>
    <row r="108" spans="1:34" s="65" customFormat="1">
      <c r="A108" s="63" t="s">
        <v>296</v>
      </c>
      <c r="B108" s="63" t="s">
        <v>298</v>
      </c>
      <c r="C108" s="62" t="s">
        <v>178</v>
      </c>
      <c r="D108" s="63" t="s">
        <v>304</v>
      </c>
      <c r="E108" s="63" t="s">
        <v>96</v>
      </c>
      <c r="F108" s="63"/>
      <c r="G108" s="63"/>
      <c r="H108" s="63"/>
      <c r="I108" s="63"/>
      <c r="J108" s="63"/>
      <c r="K108" s="63"/>
      <c r="L108" s="63" t="s">
        <v>194</v>
      </c>
      <c r="M108" s="63" t="s">
        <v>188</v>
      </c>
      <c r="N108" s="63" t="s">
        <v>223</v>
      </c>
      <c r="O108" s="63" t="s">
        <v>217</v>
      </c>
      <c r="P108" s="63" t="s">
        <v>233</v>
      </c>
      <c r="Q108" s="63" t="s">
        <v>231</v>
      </c>
      <c r="R108" s="63" t="s">
        <v>76</v>
      </c>
      <c r="S108" s="63" t="s">
        <v>251</v>
      </c>
      <c r="T108" s="63">
        <v>1</v>
      </c>
      <c r="U108" s="63"/>
      <c r="V108" s="63" t="s">
        <v>132</v>
      </c>
      <c r="W108" s="63">
        <v>4</v>
      </c>
      <c r="X108" s="63"/>
      <c r="Y108" s="63"/>
      <c r="Z108" s="74" t="s">
        <v>181</v>
      </c>
      <c r="AA108" s="63"/>
      <c r="AB108" s="63"/>
      <c r="AC108" s="74" t="s">
        <v>181</v>
      </c>
      <c r="AD108" s="63"/>
      <c r="AE108" s="74" t="s">
        <v>181</v>
      </c>
      <c r="AF108" s="62" t="s">
        <v>316</v>
      </c>
      <c r="AH108" s="66"/>
    </row>
    <row r="109" spans="1:34" s="65" customFormat="1">
      <c r="A109" s="67" t="s">
        <v>296</v>
      </c>
      <c r="B109" s="67" t="s">
        <v>298</v>
      </c>
      <c r="C109" s="67" t="s">
        <v>178</v>
      </c>
      <c r="D109" s="67" t="s">
        <v>305</v>
      </c>
      <c r="E109" s="67" t="s">
        <v>96</v>
      </c>
      <c r="F109" s="67"/>
      <c r="G109" s="67"/>
      <c r="H109" s="67"/>
      <c r="I109" s="67"/>
      <c r="J109" s="67"/>
      <c r="K109" s="67"/>
      <c r="L109" s="67" t="s">
        <v>194</v>
      </c>
      <c r="M109" s="67" t="s">
        <v>188</v>
      </c>
      <c r="N109" s="67" t="s">
        <v>223</v>
      </c>
      <c r="O109" s="67" t="s">
        <v>217</v>
      </c>
      <c r="P109" s="67" t="s">
        <v>233</v>
      </c>
      <c r="Q109" s="67" t="s">
        <v>231</v>
      </c>
      <c r="R109" s="67" t="s">
        <v>76</v>
      </c>
      <c r="S109" s="67" t="s">
        <v>251</v>
      </c>
      <c r="T109" s="67">
        <v>0</v>
      </c>
      <c r="U109" s="67">
        <v>118003</v>
      </c>
      <c r="V109" s="67" t="s">
        <v>134</v>
      </c>
      <c r="W109" s="67">
        <v>4</v>
      </c>
      <c r="X109" s="67">
        <v>25000</v>
      </c>
      <c r="Y109" s="67">
        <v>22500</v>
      </c>
      <c r="Z109" s="67">
        <v>111.1</v>
      </c>
      <c r="AA109" s="67">
        <v>600000</v>
      </c>
      <c r="AB109" s="67">
        <v>325000</v>
      </c>
      <c r="AC109" s="67">
        <v>54.2</v>
      </c>
      <c r="AD109" s="67">
        <v>247500</v>
      </c>
      <c r="AE109" s="67">
        <v>131.30000000000001</v>
      </c>
      <c r="AF109" s="77" t="s">
        <v>82</v>
      </c>
      <c r="AH109" s="66"/>
    </row>
    <row r="110" spans="1:34" s="65" customFormat="1">
      <c r="A110" s="63" t="s">
        <v>296</v>
      </c>
      <c r="B110" s="63" t="s">
        <v>298</v>
      </c>
      <c r="C110" s="62" t="s">
        <v>178</v>
      </c>
      <c r="D110" s="63" t="s">
        <v>304</v>
      </c>
      <c r="E110" s="63" t="s">
        <v>96</v>
      </c>
      <c r="F110" s="63"/>
      <c r="G110" s="63"/>
      <c r="H110" s="63"/>
      <c r="I110" s="63"/>
      <c r="J110" s="63"/>
      <c r="K110" s="63"/>
      <c r="L110" s="63" t="s">
        <v>194</v>
      </c>
      <c r="M110" s="63" t="s">
        <v>188</v>
      </c>
      <c r="N110" s="63" t="s">
        <v>223</v>
      </c>
      <c r="O110" s="63" t="s">
        <v>217</v>
      </c>
      <c r="P110" s="63" t="s">
        <v>233</v>
      </c>
      <c r="Q110" s="63" t="s">
        <v>231</v>
      </c>
      <c r="R110" s="63" t="s">
        <v>76</v>
      </c>
      <c r="S110" s="63" t="s">
        <v>251</v>
      </c>
      <c r="T110" s="63">
        <v>0</v>
      </c>
      <c r="U110" s="63">
        <v>118004</v>
      </c>
      <c r="V110" s="63" t="s">
        <v>136</v>
      </c>
      <c r="W110" s="63">
        <v>4</v>
      </c>
      <c r="X110" s="63"/>
      <c r="Y110" s="63"/>
      <c r="Z110" s="69" t="s">
        <v>182</v>
      </c>
      <c r="AA110" s="63"/>
      <c r="AB110" s="63"/>
      <c r="AC110" s="69" t="s">
        <v>182</v>
      </c>
      <c r="AD110" s="63"/>
      <c r="AE110" s="69" t="s">
        <v>182</v>
      </c>
      <c r="AF110" s="62" t="s">
        <v>81</v>
      </c>
      <c r="AH110" s="66"/>
    </row>
    <row r="111" spans="1:34" s="65" customFormat="1">
      <c r="A111" s="67" t="s">
        <v>296</v>
      </c>
      <c r="B111" s="67" t="s">
        <v>298</v>
      </c>
      <c r="C111" s="67" t="s">
        <v>178</v>
      </c>
      <c r="D111" s="67" t="s">
        <v>305</v>
      </c>
      <c r="E111" s="67" t="s">
        <v>96</v>
      </c>
      <c r="F111" s="67"/>
      <c r="G111" s="67"/>
      <c r="H111" s="67"/>
      <c r="I111" s="67"/>
      <c r="J111" s="67"/>
      <c r="K111" s="67"/>
      <c r="L111" s="67" t="s">
        <v>194</v>
      </c>
      <c r="M111" s="67" t="s">
        <v>188</v>
      </c>
      <c r="N111" s="67" t="s">
        <v>223</v>
      </c>
      <c r="O111" s="67" t="s">
        <v>217</v>
      </c>
      <c r="P111" s="67" t="s">
        <v>233</v>
      </c>
      <c r="Q111" s="67" t="s">
        <v>231</v>
      </c>
      <c r="R111" s="67" t="s">
        <v>76</v>
      </c>
      <c r="S111" s="67" t="s">
        <v>251</v>
      </c>
      <c r="T111" s="67">
        <v>1</v>
      </c>
      <c r="U111" s="67"/>
      <c r="V111" s="67" t="s">
        <v>138</v>
      </c>
      <c r="W111" s="67">
        <v>4</v>
      </c>
      <c r="X111" s="67">
        <v>25000</v>
      </c>
      <c r="Y111" s="67">
        <v>22500</v>
      </c>
      <c r="Z111" s="67">
        <v>111.1</v>
      </c>
      <c r="AA111" s="67">
        <v>600000</v>
      </c>
      <c r="AB111" s="67">
        <v>325000</v>
      </c>
      <c r="AC111" s="67">
        <v>54.2</v>
      </c>
      <c r="AD111" s="67">
        <v>247500</v>
      </c>
      <c r="AE111" s="67">
        <v>131.30000000000001</v>
      </c>
      <c r="AF111" s="77" t="s">
        <v>77</v>
      </c>
      <c r="AH111" s="66"/>
    </row>
    <row r="112" spans="1:34" s="65" customFormat="1">
      <c r="A112" s="63" t="s">
        <v>296</v>
      </c>
      <c r="B112" s="63" t="s">
        <v>298</v>
      </c>
      <c r="C112" s="62" t="s">
        <v>178</v>
      </c>
      <c r="D112" s="63" t="s">
        <v>304</v>
      </c>
      <c r="E112" s="63" t="s">
        <v>96</v>
      </c>
      <c r="F112" s="63"/>
      <c r="G112" s="63"/>
      <c r="H112" s="62"/>
      <c r="I112" s="63"/>
      <c r="J112" s="62"/>
      <c r="K112" s="63"/>
      <c r="L112" s="63" t="s">
        <v>194</v>
      </c>
      <c r="M112" s="63" t="s">
        <v>188</v>
      </c>
      <c r="N112" s="62"/>
      <c r="O112" s="63"/>
      <c r="P112" s="62" t="s">
        <v>195</v>
      </c>
      <c r="Q112" s="63" t="s">
        <v>189</v>
      </c>
      <c r="R112" s="62" t="s">
        <v>249</v>
      </c>
      <c r="S112" s="63" t="s">
        <v>250</v>
      </c>
      <c r="T112" s="63">
        <v>0</v>
      </c>
      <c r="U112" s="63">
        <v>118001</v>
      </c>
      <c r="V112" s="63" t="s">
        <v>129</v>
      </c>
      <c r="W112" s="63">
        <v>4</v>
      </c>
      <c r="X112" s="63">
        <v>400000</v>
      </c>
      <c r="Y112" s="63">
        <v>390000</v>
      </c>
      <c r="Z112" s="64">
        <f>X112/Y112*100</f>
        <v>102.56410256410255</v>
      </c>
      <c r="AA112" s="63">
        <v>11600000</v>
      </c>
      <c r="AB112" s="63">
        <v>5200000</v>
      </c>
      <c r="AC112" s="64">
        <f>AB112/AA112*100</f>
        <v>44.827586206896555</v>
      </c>
      <c r="AD112" s="63">
        <v>4290000</v>
      </c>
      <c r="AE112" s="64">
        <f>AB112/AD112*100</f>
        <v>121.21212121212122</v>
      </c>
      <c r="AF112" s="62" t="s">
        <v>75</v>
      </c>
      <c r="AH112" s="66"/>
    </row>
    <row r="113" spans="1:34" s="65" customFormat="1">
      <c r="A113" s="67" t="s">
        <v>296</v>
      </c>
      <c r="B113" s="67" t="s">
        <v>298</v>
      </c>
      <c r="C113" s="67" t="s">
        <v>178</v>
      </c>
      <c r="D113" s="67" t="s">
        <v>305</v>
      </c>
      <c r="E113" s="67" t="s">
        <v>96</v>
      </c>
      <c r="F113" s="67"/>
      <c r="G113" s="67"/>
      <c r="H113" s="67"/>
      <c r="I113" s="67"/>
      <c r="J113" s="67"/>
      <c r="K113" s="67"/>
      <c r="L113" s="67" t="s">
        <v>194</v>
      </c>
      <c r="M113" s="67" t="s">
        <v>188</v>
      </c>
      <c r="N113" s="67"/>
      <c r="O113" s="67"/>
      <c r="P113" s="67" t="s">
        <v>194</v>
      </c>
      <c r="Q113" s="67" t="s">
        <v>188</v>
      </c>
      <c r="R113" s="67" t="s">
        <v>249</v>
      </c>
      <c r="S113" s="67" t="s">
        <v>250</v>
      </c>
      <c r="T113" s="67">
        <v>0</v>
      </c>
      <c r="U113" s="67">
        <v>118002</v>
      </c>
      <c r="V113" s="67" t="s">
        <v>131</v>
      </c>
      <c r="W113" s="67">
        <v>4</v>
      </c>
      <c r="X113" s="67">
        <v>200000</v>
      </c>
      <c r="Y113" s="67">
        <v>190000</v>
      </c>
      <c r="Z113" s="68">
        <f t="shared" ref="Z113:Z117" si="116">X113/Y113*100</f>
        <v>105.26315789473684</v>
      </c>
      <c r="AA113" s="67">
        <v>4800000</v>
      </c>
      <c r="AB113" s="67">
        <v>2600000</v>
      </c>
      <c r="AC113" s="68">
        <f t="shared" ref="AC113:AC117" si="117">AB113/AA113*100</f>
        <v>54.166666666666664</v>
      </c>
      <c r="AD113" s="67">
        <v>2090000</v>
      </c>
      <c r="AE113" s="68">
        <f t="shared" ref="AE113:AE117" si="118">AB113/AD113*100</f>
        <v>124.4019138755981</v>
      </c>
      <c r="AF113" s="77" t="s">
        <v>141</v>
      </c>
      <c r="AH113" s="66"/>
    </row>
    <row r="114" spans="1:34" s="65" customFormat="1">
      <c r="A114" s="63" t="s">
        <v>296</v>
      </c>
      <c r="B114" s="63" t="s">
        <v>298</v>
      </c>
      <c r="C114" s="62" t="s">
        <v>178</v>
      </c>
      <c r="D114" s="63" t="s">
        <v>304</v>
      </c>
      <c r="E114" s="63" t="s">
        <v>96</v>
      </c>
      <c r="F114" s="63"/>
      <c r="G114" s="63"/>
      <c r="H114" s="63"/>
      <c r="I114" s="63"/>
      <c r="J114" s="63"/>
      <c r="K114" s="63"/>
      <c r="L114" s="63" t="s">
        <v>194</v>
      </c>
      <c r="M114" s="63" t="s">
        <v>188</v>
      </c>
      <c r="N114" s="63"/>
      <c r="O114" s="63"/>
      <c r="P114" s="63" t="s">
        <v>194</v>
      </c>
      <c r="Q114" s="63" t="s">
        <v>188</v>
      </c>
      <c r="R114" s="63" t="s">
        <v>249</v>
      </c>
      <c r="S114" s="63" t="s">
        <v>250</v>
      </c>
      <c r="T114" s="63">
        <v>1</v>
      </c>
      <c r="U114" s="63"/>
      <c r="V114" s="63" t="s">
        <v>132</v>
      </c>
      <c r="W114" s="63">
        <v>4</v>
      </c>
      <c r="X114" s="63">
        <v>600000</v>
      </c>
      <c r="Y114" s="63">
        <v>580000</v>
      </c>
      <c r="Z114" s="64">
        <f t="shared" si="116"/>
        <v>103.44827586206897</v>
      </c>
      <c r="AA114" s="63">
        <v>16400000</v>
      </c>
      <c r="AB114" s="63">
        <v>7800000</v>
      </c>
      <c r="AC114" s="64">
        <f t="shared" si="117"/>
        <v>47.560975609756099</v>
      </c>
      <c r="AD114" s="63">
        <v>6380000</v>
      </c>
      <c r="AE114" s="64">
        <f t="shared" si="118"/>
        <v>122.25705329153604</v>
      </c>
      <c r="AF114" s="62" t="s">
        <v>316</v>
      </c>
      <c r="AH114" s="66"/>
    </row>
    <row r="115" spans="1:34" s="65" customFormat="1">
      <c r="A115" s="67" t="s">
        <v>296</v>
      </c>
      <c r="B115" s="67" t="s">
        <v>298</v>
      </c>
      <c r="C115" s="67" t="s">
        <v>178</v>
      </c>
      <c r="D115" s="67" t="s">
        <v>305</v>
      </c>
      <c r="E115" s="67" t="s">
        <v>96</v>
      </c>
      <c r="F115" s="67"/>
      <c r="G115" s="67"/>
      <c r="H115" s="67"/>
      <c r="I115" s="67"/>
      <c r="J115" s="67"/>
      <c r="K115" s="67"/>
      <c r="L115" s="67" t="s">
        <v>194</v>
      </c>
      <c r="M115" s="67" t="s">
        <v>188</v>
      </c>
      <c r="N115" s="67"/>
      <c r="O115" s="67"/>
      <c r="P115" s="67" t="s">
        <v>194</v>
      </c>
      <c r="Q115" s="67" t="s">
        <v>188</v>
      </c>
      <c r="R115" s="67" t="s">
        <v>249</v>
      </c>
      <c r="S115" s="67" t="s">
        <v>250</v>
      </c>
      <c r="T115" s="67">
        <v>0</v>
      </c>
      <c r="U115" s="67">
        <v>118003</v>
      </c>
      <c r="V115" s="67" t="s">
        <v>134</v>
      </c>
      <c r="W115" s="67">
        <v>4</v>
      </c>
      <c r="X115" s="67">
        <v>50000</v>
      </c>
      <c r="Y115" s="67">
        <v>45000</v>
      </c>
      <c r="Z115" s="68">
        <f t="shared" si="116"/>
        <v>111.11111111111111</v>
      </c>
      <c r="AA115" s="67">
        <v>1200000</v>
      </c>
      <c r="AB115" s="67">
        <v>650000</v>
      </c>
      <c r="AC115" s="68">
        <f t="shared" si="117"/>
        <v>54.166666666666664</v>
      </c>
      <c r="AD115" s="67">
        <v>495000</v>
      </c>
      <c r="AE115" s="68">
        <f t="shared" si="118"/>
        <v>131.31313131313132</v>
      </c>
      <c r="AF115" s="77" t="s">
        <v>82</v>
      </c>
      <c r="AH115" s="66"/>
    </row>
    <row r="116" spans="1:34" s="65" customFormat="1">
      <c r="A116" s="63" t="s">
        <v>296</v>
      </c>
      <c r="B116" s="63" t="s">
        <v>298</v>
      </c>
      <c r="C116" s="62" t="s">
        <v>178</v>
      </c>
      <c r="D116" s="63" t="s">
        <v>304</v>
      </c>
      <c r="E116" s="63" t="s">
        <v>96</v>
      </c>
      <c r="F116" s="63"/>
      <c r="G116" s="63"/>
      <c r="H116" s="63"/>
      <c r="I116" s="63"/>
      <c r="J116" s="63"/>
      <c r="K116" s="63"/>
      <c r="L116" s="63" t="s">
        <v>194</v>
      </c>
      <c r="M116" s="63" t="s">
        <v>188</v>
      </c>
      <c r="N116" s="63"/>
      <c r="O116" s="63"/>
      <c r="P116" s="63" t="s">
        <v>194</v>
      </c>
      <c r="Q116" s="63" t="s">
        <v>188</v>
      </c>
      <c r="R116" s="63" t="s">
        <v>249</v>
      </c>
      <c r="S116" s="63" t="s">
        <v>250</v>
      </c>
      <c r="T116" s="63">
        <v>0</v>
      </c>
      <c r="U116" s="63">
        <v>118004</v>
      </c>
      <c r="V116" s="63" t="s">
        <v>136</v>
      </c>
      <c r="W116" s="63">
        <v>4</v>
      </c>
      <c r="X116" s="63"/>
      <c r="Y116" s="63"/>
      <c r="Z116" s="69" t="s">
        <v>182</v>
      </c>
      <c r="AA116" s="63"/>
      <c r="AB116" s="63"/>
      <c r="AC116" s="69" t="s">
        <v>182</v>
      </c>
      <c r="AD116" s="63"/>
      <c r="AE116" s="69" t="s">
        <v>182</v>
      </c>
      <c r="AF116" s="62" t="s">
        <v>81</v>
      </c>
      <c r="AH116" s="66"/>
    </row>
    <row r="117" spans="1:34" s="65" customFormat="1">
      <c r="A117" s="67" t="s">
        <v>296</v>
      </c>
      <c r="B117" s="67" t="s">
        <v>298</v>
      </c>
      <c r="C117" s="67" t="s">
        <v>178</v>
      </c>
      <c r="D117" s="67" t="s">
        <v>305</v>
      </c>
      <c r="E117" s="67" t="s">
        <v>96</v>
      </c>
      <c r="F117" s="67"/>
      <c r="G117" s="67"/>
      <c r="H117" s="67"/>
      <c r="I117" s="67"/>
      <c r="J117" s="67"/>
      <c r="K117" s="67"/>
      <c r="L117" s="67" t="s">
        <v>194</v>
      </c>
      <c r="M117" s="67" t="s">
        <v>188</v>
      </c>
      <c r="N117" s="67"/>
      <c r="O117" s="67"/>
      <c r="P117" s="67" t="s">
        <v>194</v>
      </c>
      <c r="Q117" s="67" t="s">
        <v>188</v>
      </c>
      <c r="R117" s="67" t="s">
        <v>249</v>
      </c>
      <c r="S117" s="67" t="s">
        <v>250</v>
      </c>
      <c r="T117" s="67">
        <v>1</v>
      </c>
      <c r="U117" s="67"/>
      <c r="V117" s="67" t="s">
        <v>138</v>
      </c>
      <c r="W117" s="67">
        <v>4</v>
      </c>
      <c r="X117" s="67">
        <v>50000</v>
      </c>
      <c r="Y117" s="67">
        <v>45000</v>
      </c>
      <c r="Z117" s="68">
        <f t="shared" si="116"/>
        <v>111.11111111111111</v>
      </c>
      <c r="AA117" s="67">
        <v>1200000</v>
      </c>
      <c r="AB117" s="67">
        <v>650000</v>
      </c>
      <c r="AC117" s="68">
        <f t="shared" si="117"/>
        <v>54.166666666666664</v>
      </c>
      <c r="AD117" s="67">
        <v>495000</v>
      </c>
      <c r="AE117" s="68">
        <f t="shared" si="118"/>
        <v>131.31313131313132</v>
      </c>
      <c r="AF117" s="77" t="s">
        <v>77</v>
      </c>
      <c r="AH117" s="66"/>
    </row>
    <row r="118" spans="1:34" s="65" customFormat="1">
      <c r="A118" s="63" t="s">
        <v>296</v>
      </c>
      <c r="B118" s="63" t="s">
        <v>298</v>
      </c>
      <c r="C118" s="62" t="s">
        <v>178</v>
      </c>
      <c r="D118" s="63" t="s">
        <v>304</v>
      </c>
      <c r="E118" s="63" t="s">
        <v>96</v>
      </c>
      <c r="F118" s="63"/>
      <c r="G118" s="63"/>
      <c r="H118" s="62"/>
      <c r="I118" s="63"/>
      <c r="J118" s="62"/>
      <c r="K118" s="63"/>
      <c r="L118" s="63" t="s">
        <v>194</v>
      </c>
      <c r="M118" s="63" t="s">
        <v>188</v>
      </c>
      <c r="N118" s="62"/>
      <c r="O118" s="63"/>
      <c r="P118" s="62" t="s">
        <v>220</v>
      </c>
      <c r="Q118" s="63" t="s">
        <v>214</v>
      </c>
      <c r="R118" s="62" t="s">
        <v>76</v>
      </c>
      <c r="S118" s="63" t="s">
        <v>251</v>
      </c>
      <c r="T118" s="63">
        <v>0</v>
      </c>
      <c r="U118" s="63">
        <v>118001</v>
      </c>
      <c r="V118" s="63" t="s">
        <v>129</v>
      </c>
      <c r="W118" s="63">
        <v>4</v>
      </c>
      <c r="X118" s="63">
        <v>400000</v>
      </c>
      <c r="Y118" s="63">
        <v>390000</v>
      </c>
      <c r="Z118" s="64">
        <f>X118/Y118*100</f>
        <v>102.56410256410255</v>
      </c>
      <c r="AA118" s="63">
        <v>11600000</v>
      </c>
      <c r="AB118" s="63">
        <v>5200000</v>
      </c>
      <c r="AC118" s="64">
        <f>AB118/AA118*100</f>
        <v>44.827586206896555</v>
      </c>
      <c r="AD118" s="63">
        <v>4290000</v>
      </c>
      <c r="AE118" s="64">
        <f>AB118/AD118*100</f>
        <v>121.21212121212122</v>
      </c>
      <c r="AF118" s="62" t="s">
        <v>75</v>
      </c>
      <c r="AH118" s="66"/>
    </row>
    <row r="119" spans="1:34" s="65" customFormat="1">
      <c r="A119" s="67" t="s">
        <v>296</v>
      </c>
      <c r="B119" s="67" t="s">
        <v>298</v>
      </c>
      <c r="C119" s="67" t="s">
        <v>178</v>
      </c>
      <c r="D119" s="67" t="s">
        <v>305</v>
      </c>
      <c r="E119" s="67" t="s">
        <v>96</v>
      </c>
      <c r="F119" s="67"/>
      <c r="G119" s="67"/>
      <c r="H119" s="67"/>
      <c r="I119" s="67"/>
      <c r="J119" s="67"/>
      <c r="K119" s="67"/>
      <c r="L119" s="67" t="s">
        <v>194</v>
      </c>
      <c r="M119" s="67" t="s">
        <v>188</v>
      </c>
      <c r="N119" s="67"/>
      <c r="O119" s="67"/>
      <c r="P119" s="67" t="s">
        <v>219</v>
      </c>
      <c r="Q119" s="67" t="s">
        <v>213</v>
      </c>
      <c r="R119" s="67" t="s">
        <v>76</v>
      </c>
      <c r="S119" s="67" t="s">
        <v>251</v>
      </c>
      <c r="T119" s="67">
        <v>0</v>
      </c>
      <c r="U119" s="67">
        <v>118002</v>
      </c>
      <c r="V119" s="67" t="s">
        <v>131</v>
      </c>
      <c r="W119" s="67">
        <v>4</v>
      </c>
      <c r="X119" s="67">
        <v>200000</v>
      </c>
      <c r="Y119" s="67">
        <v>190000</v>
      </c>
      <c r="Z119" s="68">
        <f t="shared" ref="Z119:Z123" si="119">X119/Y119*100</f>
        <v>105.26315789473684</v>
      </c>
      <c r="AA119" s="67">
        <v>4800000</v>
      </c>
      <c r="AB119" s="67">
        <v>2600000</v>
      </c>
      <c r="AC119" s="68">
        <f t="shared" ref="AC119:AC123" si="120">AB119/AA119*100</f>
        <v>54.166666666666664</v>
      </c>
      <c r="AD119" s="67">
        <v>2090000</v>
      </c>
      <c r="AE119" s="68">
        <f t="shared" ref="AE119:AE123" si="121">AB119/AD119*100</f>
        <v>124.4019138755981</v>
      </c>
      <c r="AF119" s="77" t="s">
        <v>141</v>
      </c>
      <c r="AH119" s="66"/>
    </row>
    <row r="120" spans="1:34" s="65" customFormat="1">
      <c r="A120" s="63" t="s">
        <v>296</v>
      </c>
      <c r="B120" s="63" t="s">
        <v>298</v>
      </c>
      <c r="C120" s="62" t="s">
        <v>178</v>
      </c>
      <c r="D120" s="63" t="s">
        <v>304</v>
      </c>
      <c r="E120" s="63" t="s">
        <v>96</v>
      </c>
      <c r="F120" s="63"/>
      <c r="G120" s="63"/>
      <c r="H120" s="63"/>
      <c r="I120" s="63"/>
      <c r="J120" s="63"/>
      <c r="K120" s="63"/>
      <c r="L120" s="63" t="s">
        <v>194</v>
      </c>
      <c r="M120" s="63" t="s">
        <v>188</v>
      </c>
      <c r="N120" s="63"/>
      <c r="O120" s="63"/>
      <c r="P120" s="63" t="s">
        <v>219</v>
      </c>
      <c r="Q120" s="63" t="s">
        <v>213</v>
      </c>
      <c r="R120" s="63" t="s">
        <v>76</v>
      </c>
      <c r="S120" s="63" t="s">
        <v>251</v>
      </c>
      <c r="T120" s="63">
        <v>1</v>
      </c>
      <c r="U120" s="63"/>
      <c r="V120" s="63" t="s">
        <v>132</v>
      </c>
      <c r="W120" s="63">
        <v>4</v>
      </c>
      <c r="X120" s="63">
        <v>600000</v>
      </c>
      <c r="Y120" s="63">
        <v>580000</v>
      </c>
      <c r="Z120" s="64">
        <f t="shared" si="119"/>
        <v>103.44827586206897</v>
      </c>
      <c r="AA120" s="63">
        <v>16400000</v>
      </c>
      <c r="AB120" s="63">
        <v>7800000</v>
      </c>
      <c r="AC120" s="64">
        <f t="shared" si="120"/>
        <v>47.560975609756099</v>
      </c>
      <c r="AD120" s="63">
        <v>6380000</v>
      </c>
      <c r="AE120" s="64">
        <f t="shared" si="121"/>
        <v>122.25705329153604</v>
      </c>
      <c r="AF120" s="62" t="s">
        <v>316</v>
      </c>
      <c r="AH120" s="66"/>
    </row>
    <row r="121" spans="1:34" s="65" customFormat="1">
      <c r="A121" s="67" t="s">
        <v>296</v>
      </c>
      <c r="B121" s="67" t="s">
        <v>298</v>
      </c>
      <c r="C121" s="67" t="s">
        <v>178</v>
      </c>
      <c r="D121" s="67" t="s">
        <v>305</v>
      </c>
      <c r="E121" s="67" t="s">
        <v>96</v>
      </c>
      <c r="F121" s="67"/>
      <c r="G121" s="67"/>
      <c r="H121" s="67"/>
      <c r="I121" s="67"/>
      <c r="J121" s="67"/>
      <c r="K121" s="67"/>
      <c r="L121" s="67" t="s">
        <v>194</v>
      </c>
      <c r="M121" s="67" t="s">
        <v>188</v>
      </c>
      <c r="N121" s="67"/>
      <c r="O121" s="67"/>
      <c r="P121" s="67" t="s">
        <v>219</v>
      </c>
      <c r="Q121" s="67" t="s">
        <v>213</v>
      </c>
      <c r="R121" s="67" t="s">
        <v>76</v>
      </c>
      <c r="S121" s="67" t="s">
        <v>251</v>
      </c>
      <c r="T121" s="67">
        <v>0</v>
      </c>
      <c r="U121" s="67">
        <v>118003</v>
      </c>
      <c r="V121" s="67" t="s">
        <v>134</v>
      </c>
      <c r="W121" s="67">
        <v>4</v>
      </c>
      <c r="X121" s="67">
        <v>50000</v>
      </c>
      <c r="Y121" s="67">
        <v>45000</v>
      </c>
      <c r="Z121" s="68">
        <f t="shared" si="119"/>
        <v>111.11111111111111</v>
      </c>
      <c r="AA121" s="67">
        <v>1200000</v>
      </c>
      <c r="AB121" s="67">
        <v>650000</v>
      </c>
      <c r="AC121" s="68">
        <f t="shared" si="120"/>
        <v>54.166666666666664</v>
      </c>
      <c r="AD121" s="67">
        <v>495000</v>
      </c>
      <c r="AE121" s="68">
        <f t="shared" si="121"/>
        <v>131.31313131313132</v>
      </c>
      <c r="AF121" s="77" t="s">
        <v>82</v>
      </c>
      <c r="AH121" s="66"/>
    </row>
    <row r="122" spans="1:34" s="65" customFormat="1">
      <c r="A122" s="63" t="s">
        <v>296</v>
      </c>
      <c r="B122" s="63" t="s">
        <v>298</v>
      </c>
      <c r="C122" s="62" t="s">
        <v>178</v>
      </c>
      <c r="D122" s="63" t="s">
        <v>304</v>
      </c>
      <c r="E122" s="63" t="s">
        <v>96</v>
      </c>
      <c r="F122" s="63"/>
      <c r="G122" s="63"/>
      <c r="H122" s="63"/>
      <c r="I122" s="63"/>
      <c r="J122" s="63"/>
      <c r="K122" s="63"/>
      <c r="L122" s="63" t="s">
        <v>194</v>
      </c>
      <c r="M122" s="63" t="s">
        <v>188</v>
      </c>
      <c r="N122" s="63"/>
      <c r="O122" s="63"/>
      <c r="P122" s="63" t="s">
        <v>219</v>
      </c>
      <c r="Q122" s="63" t="s">
        <v>213</v>
      </c>
      <c r="R122" s="63" t="s">
        <v>76</v>
      </c>
      <c r="S122" s="63" t="s">
        <v>251</v>
      </c>
      <c r="T122" s="63">
        <v>0</v>
      </c>
      <c r="U122" s="63">
        <v>118004</v>
      </c>
      <c r="V122" s="63" t="s">
        <v>136</v>
      </c>
      <c r="W122" s="63">
        <v>4</v>
      </c>
      <c r="X122" s="63"/>
      <c r="Y122" s="63"/>
      <c r="Z122" s="69" t="s">
        <v>182</v>
      </c>
      <c r="AA122" s="63"/>
      <c r="AB122" s="63"/>
      <c r="AC122" s="69" t="s">
        <v>182</v>
      </c>
      <c r="AD122" s="63"/>
      <c r="AE122" s="69" t="s">
        <v>182</v>
      </c>
      <c r="AF122" s="62" t="s">
        <v>81</v>
      </c>
      <c r="AH122" s="66"/>
    </row>
    <row r="123" spans="1:34" s="65" customFormat="1">
      <c r="A123" s="67" t="s">
        <v>296</v>
      </c>
      <c r="B123" s="67" t="s">
        <v>298</v>
      </c>
      <c r="C123" s="67" t="s">
        <v>178</v>
      </c>
      <c r="D123" s="67" t="s">
        <v>305</v>
      </c>
      <c r="E123" s="67" t="s">
        <v>96</v>
      </c>
      <c r="F123" s="67"/>
      <c r="G123" s="67"/>
      <c r="H123" s="67"/>
      <c r="I123" s="67"/>
      <c r="J123" s="67"/>
      <c r="K123" s="67"/>
      <c r="L123" s="67" t="s">
        <v>194</v>
      </c>
      <c r="M123" s="67" t="s">
        <v>188</v>
      </c>
      <c r="N123" s="67"/>
      <c r="O123" s="67"/>
      <c r="P123" s="67" t="s">
        <v>219</v>
      </c>
      <c r="Q123" s="67" t="s">
        <v>213</v>
      </c>
      <c r="R123" s="67" t="s">
        <v>76</v>
      </c>
      <c r="S123" s="67" t="s">
        <v>251</v>
      </c>
      <c r="T123" s="67">
        <v>1</v>
      </c>
      <c r="U123" s="67"/>
      <c r="V123" s="67" t="s">
        <v>138</v>
      </c>
      <c r="W123" s="67">
        <v>4</v>
      </c>
      <c r="X123" s="67">
        <v>50000</v>
      </c>
      <c r="Y123" s="67">
        <v>45000</v>
      </c>
      <c r="Z123" s="68">
        <f t="shared" si="119"/>
        <v>111.11111111111111</v>
      </c>
      <c r="AA123" s="67">
        <v>1200000</v>
      </c>
      <c r="AB123" s="67">
        <v>650000</v>
      </c>
      <c r="AC123" s="68">
        <f t="shared" si="120"/>
        <v>54.166666666666664</v>
      </c>
      <c r="AD123" s="67">
        <v>495000</v>
      </c>
      <c r="AE123" s="68">
        <f t="shared" si="121"/>
        <v>131.31313131313132</v>
      </c>
      <c r="AF123" s="77" t="s">
        <v>77</v>
      </c>
      <c r="AH123" s="66"/>
    </row>
    <row r="124" spans="1:34" s="65" customFormat="1">
      <c r="A124" s="63" t="s">
        <v>296</v>
      </c>
      <c r="B124" s="63" t="s">
        <v>298</v>
      </c>
      <c r="C124" s="62" t="s">
        <v>178</v>
      </c>
      <c r="D124" s="63" t="s">
        <v>304</v>
      </c>
      <c r="E124" s="63" t="s">
        <v>96</v>
      </c>
      <c r="F124" s="63"/>
      <c r="G124" s="63"/>
      <c r="H124" s="62"/>
      <c r="I124" s="63"/>
      <c r="J124" s="62"/>
      <c r="K124" s="63"/>
      <c r="L124" s="63" t="s">
        <v>194</v>
      </c>
      <c r="M124" s="63" t="s">
        <v>188</v>
      </c>
      <c r="N124" s="62"/>
      <c r="O124" s="63"/>
      <c r="P124" s="62" t="s">
        <v>222</v>
      </c>
      <c r="Q124" s="63" t="s">
        <v>216</v>
      </c>
      <c r="R124" s="62" t="s">
        <v>249</v>
      </c>
      <c r="S124" s="63" t="s">
        <v>250</v>
      </c>
      <c r="T124" s="63">
        <v>0</v>
      </c>
      <c r="U124" s="63">
        <v>118001</v>
      </c>
      <c r="V124" s="63" t="s">
        <v>129</v>
      </c>
      <c r="W124" s="63">
        <v>4</v>
      </c>
      <c r="X124" s="63">
        <v>400000</v>
      </c>
      <c r="Y124" s="63">
        <v>390000</v>
      </c>
      <c r="Z124" s="64">
        <f>X124/Y124*100</f>
        <v>102.56410256410255</v>
      </c>
      <c r="AA124" s="63">
        <v>11600000</v>
      </c>
      <c r="AB124" s="63">
        <v>5200000</v>
      </c>
      <c r="AC124" s="64">
        <f>AB124/AA124*100</f>
        <v>44.827586206896555</v>
      </c>
      <c r="AD124" s="63">
        <v>4290000</v>
      </c>
      <c r="AE124" s="64">
        <f>AB124/AD124*100</f>
        <v>121.21212121212122</v>
      </c>
      <c r="AF124" s="62" t="s">
        <v>75</v>
      </c>
      <c r="AH124" s="66"/>
    </row>
    <row r="125" spans="1:34" s="65" customFormat="1">
      <c r="A125" s="67" t="s">
        <v>296</v>
      </c>
      <c r="B125" s="67" t="s">
        <v>298</v>
      </c>
      <c r="C125" s="67" t="s">
        <v>178</v>
      </c>
      <c r="D125" s="67" t="s">
        <v>305</v>
      </c>
      <c r="E125" s="67" t="s">
        <v>96</v>
      </c>
      <c r="F125" s="67"/>
      <c r="G125" s="67"/>
      <c r="H125" s="67"/>
      <c r="I125" s="67"/>
      <c r="J125" s="67"/>
      <c r="K125" s="67"/>
      <c r="L125" s="67" t="s">
        <v>194</v>
      </c>
      <c r="M125" s="67" t="s">
        <v>188</v>
      </c>
      <c r="N125" s="67"/>
      <c r="O125" s="67"/>
      <c r="P125" s="67" t="s">
        <v>221</v>
      </c>
      <c r="Q125" s="67" t="s">
        <v>215</v>
      </c>
      <c r="R125" s="67" t="s">
        <v>249</v>
      </c>
      <c r="S125" s="67" t="s">
        <v>250</v>
      </c>
      <c r="T125" s="67">
        <v>0</v>
      </c>
      <c r="U125" s="67">
        <v>118002</v>
      </c>
      <c r="V125" s="67" t="s">
        <v>131</v>
      </c>
      <c r="W125" s="67">
        <v>4</v>
      </c>
      <c r="X125" s="67">
        <v>200000</v>
      </c>
      <c r="Y125" s="67">
        <v>190000</v>
      </c>
      <c r="Z125" s="68">
        <f t="shared" ref="Z125:Z129" si="122">X125/Y125*100</f>
        <v>105.26315789473684</v>
      </c>
      <c r="AA125" s="67">
        <v>4800000</v>
      </c>
      <c r="AB125" s="67">
        <v>2600000</v>
      </c>
      <c r="AC125" s="68">
        <f t="shared" ref="AC125:AC129" si="123">AB125/AA125*100</f>
        <v>54.166666666666664</v>
      </c>
      <c r="AD125" s="67">
        <v>2090000</v>
      </c>
      <c r="AE125" s="68">
        <f t="shared" ref="AE125:AE129" si="124">AB125/AD125*100</f>
        <v>124.4019138755981</v>
      </c>
      <c r="AF125" s="77" t="s">
        <v>141</v>
      </c>
      <c r="AH125" s="66"/>
    </row>
    <row r="126" spans="1:34" s="65" customFormat="1">
      <c r="A126" s="63" t="s">
        <v>296</v>
      </c>
      <c r="B126" s="63" t="s">
        <v>298</v>
      </c>
      <c r="C126" s="62" t="s">
        <v>178</v>
      </c>
      <c r="D126" s="63" t="s">
        <v>304</v>
      </c>
      <c r="E126" s="63" t="s">
        <v>96</v>
      </c>
      <c r="F126" s="63"/>
      <c r="G126" s="63"/>
      <c r="H126" s="63"/>
      <c r="I126" s="63"/>
      <c r="J126" s="63"/>
      <c r="K126" s="63"/>
      <c r="L126" s="63" t="s">
        <v>194</v>
      </c>
      <c r="M126" s="63" t="s">
        <v>188</v>
      </c>
      <c r="N126" s="63"/>
      <c r="O126" s="63"/>
      <c r="P126" s="63" t="s">
        <v>221</v>
      </c>
      <c r="Q126" s="63" t="s">
        <v>215</v>
      </c>
      <c r="R126" s="63" t="s">
        <v>249</v>
      </c>
      <c r="S126" s="63" t="s">
        <v>250</v>
      </c>
      <c r="T126" s="63">
        <v>1</v>
      </c>
      <c r="U126" s="63"/>
      <c r="V126" s="63" t="s">
        <v>132</v>
      </c>
      <c r="W126" s="63">
        <v>4</v>
      </c>
      <c r="X126" s="63">
        <v>600000</v>
      </c>
      <c r="Y126" s="63">
        <v>580000</v>
      </c>
      <c r="Z126" s="64">
        <f t="shared" si="122"/>
        <v>103.44827586206897</v>
      </c>
      <c r="AA126" s="63">
        <v>16400000</v>
      </c>
      <c r="AB126" s="63">
        <v>7800000</v>
      </c>
      <c r="AC126" s="64">
        <f t="shared" si="123"/>
        <v>47.560975609756099</v>
      </c>
      <c r="AD126" s="63">
        <v>6380000</v>
      </c>
      <c r="AE126" s="64">
        <f t="shared" si="124"/>
        <v>122.25705329153604</v>
      </c>
      <c r="AF126" s="62" t="s">
        <v>316</v>
      </c>
      <c r="AH126" s="66"/>
    </row>
    <row r="127" spans="1:34" s="65" customFormat="1">
      <c r="A127" s="67" t="s">
        <v>296</v>
      </c>
      <c r="B127" s="67" t="s">
        <v>298</v>
      </c>
      <c r="C127" s="67" t="s">
        <v>178</v>
      </c>
      <c r="D127" s="67" t="s">
        <v>305</v>
      </c>
      <c r="E127" s="67" t="s">
        <v>96</v>
      </c>
      <c r="F127" s="67"/>
      <c r="G127" s="67"/>
      <c r="H127" s="67"/>
      <c r="I127" s="67"/>
      <c r="J127" s="67"/>
      <c r="K127" s="67"/>
      <c r="L127" s="67" t="s">
        <v>194</v>
      </c>
      <c r="M127" s="67" t="s">
        <v>188</v>
      </c>
      <c r="N127" s="67"/>
      <c r="O127" s="67"/>
      <c r="P127" s="67" t="s">
        <v>221</v>
      </c>
      <c r="Q127" s="67" t="s">
        <v>215</v>
      </c>
      <c r="R127" s="67" t="s">
        <v>249</v>
      </c>
      <c r="S127" s="67" t="s">
        <v>250</v>
      </c>
      <c r="T127" s="67">
        <v>0</v>
      </c>
      <c r="U127" s="67">
        <v>118003</v>
      </c>
      <c r="V127" s="67" t="s">
        <v>134</v>
      </c>
      <c r="W127" s="67">
        <v>4</v>
      </c>
      <c r="X127" s="67">
        <v>50000</v>
      </c>
      <c r="Y127" s="67">
        <v>45000</v>
      </c>
      <c r="Z127" s="68">
        <f t="shared" si="122"/>
        <v>111.11111111111111</v>
      </c>
      <c r="AA127" s="67">
        <v>1200000</v>
      </c>
      <c r="AB127" s="67">
        <v>650000</v>
      </c>
      <c r="AC127" s="68">
        <f t="shared" si="123"/>
        <v>54.166666666666664</v>
      </c>
      <c r="AD127" s="67">
        <v>495000</v>
      </c>
      <c r="AE127" s="68">
        <f t="shared" si="124"/>
        <v>131.31313131313132</v>
      </c>
      <c r="AF127" s="77" t="s">
        <v>82</v>
      </c>
      <c r="AH127" s="66"/>
    </row>
    <row r="128" spans="1:34" s="65" customFormat="1">
      <c r="A128" s="63" t="s">
        <v>296</v>
      </c>
      <c r="B128" s="63" t="s">
        <v>298</v>
      </c>
      <c r="C128" s="62" t="s">
        <v>178</v>
      </c>
      <c r="D128" s="63" t="s">
        <v>304</v>
      </c>
      <c r="E128" s="63" t="s">
        <v>96</v>
      </c>
      <c r="F128" s="63"/>
      <c r="G128" s="63"/>
      <c r="H128" s="63"/>
      <c r="I128" s="63"/>
      <c r="J128" s="63"/>
      <c r="K128" s="63"/>
      <c r="L128" s="63" t="s">
        <v>194</v>
      </c>
      <c r="M128" s="63" t="s">
        <v>188</v>
      </c>
      <c r="N128" s="63"/>
      <c r="O128" s="63"/>
      <c r="P128" s="63" t="s">
        <v>221</v>
      </c>
      <c r="Q128" s="63" t="s">
        <v>215</v>
      </c>
      <c r="R128" s="63" t="s">
        <v>249</v>
      </c>
      <c r="S128" s="63" t="s">
        <v>250</v>
      </c>
      <c r="T128" s="63">
        <v>0</v>
      </c>
      <c r="U128" s="63">
        <v>118004</v>
      </c>
      <c r="V128" s="63" t="s">
        <v>136</v>
      </c>
      <c r="W128" s="63">
        <v>4</v>
      </c>
      <c r="X128" s="63"/>
      <c r="Y128" s="63"/>
      <c r="Z128" s="69" t="s">
        <v>182</v>
      </c>
      <c r="AA128" s="63"/>
      <c r="AB128" s="63"/>
      <c r="AC128" s="69" t="s">
        <v>182</v>
      </c>
      <c r="AD128" s="63"/>
      <c r="AE128" s="69" t="s">
        <v>182</v>
      </c>
      <c r="AF128" s="62" t="s">
        <v>81</v>
      </c>
      <c r="AH128" s="66"/>
    </row>
    <row r="129" spans="1:34" s="65" customFormat="1">
      <c r="A129" s="67" t="s">
        <v>296</v>
      </c>
      <c r="B129" s="67" t="s">
        <v>298</v>
      </c>
      <c r="C129" s="67" t="s">
        <v>178</v>
      </c>
      <c r="D129" s="67" t="s">
        <v>305</v>
      </c>
      <c r="E129" s="67" t="s">
        <v>96</v>
      </c>
      <c r="F129" s="67"/>
      <c r="G129" s="67"/>
      <c r="H129" s="67"/>
      <c r="I129" s="67"/>
      <c r="J129" s="67"/>
      <c r="K129" s="67"/>
      <c r="L129" s="67" t="s">
        <v>194</v>
      </c>
      <c r="M129" s="67" t="s">
        <v>188</v>
      </c>
      <c r="N129" s="67"/>
      <c r="O129" s="67"/>
      <c r="P129" s="67" t="s">
        <v>221</v>
      </c>
      <c r="Q129" s="67" t="s">
        <v>215</v>
      </c>
      <c r="R129" s="67" t="s">
        <v>249</v>
      </c>
      <c r="S129" s="67" t="s">
        <v>250</v>
      </c>
      <c r="T129" s="67">
        <v>1</v>
      </c>
      <c r="U129" s="67"/>
      <c r="V129" s="67" t="s">
        <v>138</v>
      </c>
      <c r="W129" s="67">
        <v>4</v>
      </c>
      <c r="X129" s="67">
        <v>50000</v>
      </c>
      <c r="Y129" s="67">
        <v>45000</v>
      </c>
      <c r="Z129" s="68">
        <f t="shared" si="122"/>
        <v>111.11111111111111</v>
      </c>
      <c r="AA129" s="67">
        <v>1200000</v>
      </c>
      <c r="AB129" s="67">
        <v>650000</v>
      </c>
      <c r="AC129" s="68">
        <f t="shared" si="123"/>
        <v>54.166666666666664</v>
      </c>
      <c r="AD129" s="67">
        <v>495000</v>
      </c>
      <c r="AE129" s="68">
        <f t="shared" si="124"/>
        <v>131.31313131313132</v>
      </c>
      <c r="AF129" s="77" t="s">
        <v>77</v>
      </c>
      <c r="AH129" s="66"/>
    </row>
    <row r="130" spans="1:34" s="65" customFormat="1">
      <c r="A130" s="63" t="s">
        <v>296</v>
      </c>
      <c r="B130" s="63" t="s">
        <v>298</v>
      </c>
      <c r="C130" s="62" t="s">
        <v>178</v>
      </c>
      <c r="D130" s="63" t="s">
        <v>304</v>
      </c>
      <c r="E130" s="63" t="s">
        <v>96</v>
      </c>
      <c r="F130" s="63"/>
      <c r="G130" s="63"/>
      <c r="H130" s="62"/>
      <c r="I130" s="63"/>
      <c r="J130" s="62"/>
      <c r="K130" s="63"/>
      <c r="L130" s="63" t="s">
        <v>193</v>
      </c>
      <c r="M130" s="63" t="s">
        <v>187</v>
      </c>
      <c r="N130" s="62" t="s">
        <v>212</v>
      </c>
      <c r="O130" s="63" t="s">
        <v>210</v>
      </c>
      <c r="P130" s="62" t="s">
        <v>212</v>
      </c>
      <c r="Q130" s="63" t="s">
        <v>210</v>
      </c>
      <c r="R130" s="62" t="s">
        <v>255</v>
      </c>
      <c r="S130" s="63" t="s">
        <v>256</v>
      </c>
      <c r="T130" s="63">
        <v>0</v>
      </c>
      <c r="U130" s="63">
        <v>118001</v>
      </c>
      <c r="V130" s="63" t="s">
        <v>129</v>
      </c>
      <c r="W130" s="63">
        <v>4</v>
      </c>
      <c r="X130" s="63">
        <v>400000</v>
      </c>
      <c r="Y130" s="63">
        <v>390000</v>
      </c>
      <c r="Z130" s="64">
        <f>X130/Y130*100</f>
        <v>102.56410256410255</v>
      </c>
      <c r="AA130" s="63">
        <v>11600000</v>
      </c>
      <c r="AB130" s="63">
        <v>5200000</v>
      </c>
      <c r="AC130" s="64">
        <f>AB130/AA130*100</f>
        <v>44.827586206896555</v>
      </c>
      <c r="AD130" s="63">
        <v>4290000</v>
      </c>
      <c r="AE130" s="64">
        <f>AB130/AD130*100</f>
        <v>121.21212121212122</v>
      </c>
      <c r="AF130" s="62" t="s">
        <v>75</v>
      </c>
      <c r="AH130" s="66"/>
    </row>
    <row r="131" spans="1:34" s="65" customFormat="1">
      <c r="A131" s="67" t="s">
        <v>296</v>
      </c>
      <c r="B131" s="67" t="s">
        <v>298</v>
      </c>
      <c r="C131" s="67" t="s">
        <v>178</v>
      </c>
      <c r="D131" s="67" t="s">
        <v>305</v>
      </c>
      <c r="E131" s="67" t="s">
        <v>96</v>
      </c>
      <c r="F131" s="67"/>
      <c r="G131" s="67"/>
      <c r="H131" s="67"/>
      <c r="I131" s="67"/>
      <c r="J131" s="67"/>
      <c r="K131" s="67"/>
      <c r="L131" s="67" t="s">
        <v>193</v>
      </c>
      <c r="M131" s="67" t="s">
        <v>187</v>
      </c>
      <c r="N131" s="67" t="s">
        <v>211</v>
      </c>
      <c r="O131" s="67" t="s">
        <v>209</v>
      </c>
      <c r="P131" s="67" t="s">
        <v>211</v>
      </c>
      <c r="Q131" s="67" t="s">
        <v>209</v>
      </c>
      <c r="R131" s="67" t="s">
        <v>255</v>
      </c>
      <c r="S131" s="67" t="s">
        <v>257</v>
      </c>
      <c r="T131" s="67">
        <v>0</v>
      </c>
      <c r="U131" s="67">
        <v>118002</v>
      </c>
      <c r="V131" s="67" t="s">
        <v>131</v>
      </c>
      <c r="W131" s="67">
        <v>4</v>
      </c>
      <c r="X131" s="67">
        <v>200000</v>
      </c>
      <c r="Y131" s="67">
        <v>190000</v>
      </c>
      <c r="Z131" s="68">
        <f t="shared" ref="Z131:Z133" si="125">X131/Y131*100</f>
        <v>105.26315789473684</v>
      </c>
      <c r="AA131" s="67">
        <v>4800000</v>
      </c>
      <c r="AB131" s="67">
        <v>2600000</v>
      </c>
      <c r="AC131" s="68">
        <f t="shared" ref="AC131:AC133" si="126">AB131/AA131*100</f>
        <v>54.166666666666664</v>
      </c>
      <c r="AD131" s="67">
        <v>2090000</v>
      </c>
      <c r="AE131" s="68">
        <f t="shared" ref="AE131:AE133" si="127">AB131/AD131*100</f>
        <v>124.4019138755981</v>
      </c>
      <c r="AF131" s="77" t="s">
        <v>141</v>
      </c>
      <c r="AH131" s="66"/>
    </row>
    <row r="132" spans="1:34" s="65" customFormat="1">
      <c r="A132" s="63" t="s">
        <v>296</v>
      </c>
      <c r="B132" s="63" t="s">
        <v>298</v>
      </c>
      <c r="C132" s="62" t="s">
        <v>178</v>
      </c>
      <c r="D132" s="63" t="s">
        <v>304</v>
      </c>
      <c r="E132" s="63" t="s">
        <v>96</v>
      </c>
      <c r="F132" s="63"/>
      <c r="G132" s="63"/>
      <c r="H132" s="63"/>
      <c r="I132" s="63"/>
      <c r="J132" s="63"/>
      <c r="K132" s="63"/>
      <c r="L132" s="63" t="s">
        <v>193</v>
      </c>
      <c r="M132" s="63" t="s">
        <v>187</v>
      </c>
      <c r="N132" s="62" t="s">
        <v>211</v>
      </c>
      <c r="O132" s="63" t="s">
        <v>210</v>
      </c>
      <c r="P132" s="62" t="s">
        <v>211</v>
      </c>
      <c r="Q132" s="63" t="s">
        <v>210</v>
      </c>
      <c r="R132" s="63" t="s">
        <v>255</v>
      </c>
      <c r="S132" s="63" t="s">
        <v>256</v>
      </c>
      <c r="T132" s="63">
        <v>1</v>
      </c>
      <c r="U132" s="63"/>
      <c r="V132" s="63" t="s">
        <v>132</v>
      </c>
      <c r="W132" s="63">
        <v>4</v>
      </c>
      <c r="X132" s="63">
        <v>600000</v>
      </c>
      <c r="Y132" s="63">
        <v>580000</v>
      </c>
      <c r="Z132" s="64">
        <f t="shared" si="125"/>
        <v>103.44827586206897</v>
      </c>
      <c r="AA132" s="63">
        <v>16400000</v>
      </c>
      <c r="AB132" s="63">
        <v>7800000</v>
      </c>
      <c r="AC132" s="64">
        <f t="shared" si="126"/>
        <v>47.560975609756099</v>
      </c>
      <c r="AD132" s="63">
        <v>6380000</v>
      </c>
      <c r="AE132" s="64">
        <f t="shared" si="127"/>
        <v>122.25705329153604</v>
      </c>
      <c r="AF132" s="62" t="s">
        <v>316</v>
      </c>
      <c r="AH132" s="66"/>
    </row>
    <row r="133" spans="1:34" s="65" customFormat="1">
      <c r="A133" s="67" t="s">
        <v>296</v>
      </c>
      <c r="B133" s="67" t="s">
        <v>298</v>
      </c>
      <c r="C133" s="67" t="s">
        <v>178</v>
      </c>
      <c r="D133" s="67" t="s">
        <v>305</v>
      </c>
      <c r="E133" s="67" t="s">
        <v>96</v>
      </c>
      <c r="F133" s="67"/>
      <c r="G133" s="67"/>
      <c r="H133" s="67"/>
      <c r="I133" s="67"/>
      <c r="J133" s="67"/>
      <c r="K133" s="67"/>
      <c r="L133" s="67" t="s">
        <v>193</v>
      </c>
      <c r="M133" s="67" t="s">
        <v>187</v>
      </c>
      <c r="N133" s="67" t="s">
        <v>211</v>
      </c>
      <c r="O133" s="67" t="s">
        <v>209</v>
      </c>
      <c r="P133" s="67" t="s">
        <v>211</v>
      </c>
      <c r="Q133" s="67" t="s">
        <v>209</v>
      </c>
      <c r="R133" s="67" t="s">
        <v>255</v>
      </c>
      <c r="S133" s="67" t="s">
        <v>256</v>
      </c>
      <c r="T133" s="67">
        <v>0</v>
      </c>
      <c r="U133" s="67">
        <v>118003</v>
      </c>
      <c r="V133" s="67" t="s">
        <v>134</v>
      </c>
      <c r="W133" s="67">
        <v>4</v>
      </c>
      <c r="X133" s="67">
        <v>50000</v>
      </c>
      <c r="Y133" s="67">
        <v>45000</v>
      </c>
      <c r="Z133" s="68">
        <f t="shared" si="125"/>
        <v>111.11111111111111</v>
      </c>
      <c r="AA133" s="67">
        <v>1200000</v>
      </c>
      <c r="AB133" s="67">
        <v>650000</v>
      </c>
      <c r="AC133" s="68">
        <f t="shared" si="126"/>
        <v>54.166666666666664</v>
      </c>
      <c r="AD133" s="67">
        <v>495000</v>
      </c>
      <c r="AE133" s="68">
        <f t="shared" si="127"/>
        <v>131.31313131313132</v>
      </c>
      <c r="AF133" s="77" t="s">
        <v>82</v>
      </c>
      <c r="AH133" s="66"/>
    </row>
    <row r="134" spans="1:34" s="65" customFormat="1">
      <c r="A134" s="63" t="s">
        <v>296</v>
      </c>
      <c r="B134" s="63" t="s">
        <v>298</v>
      </c>
      <c r="C134" s="62" t="s">
        <v>178</v>
      </c>
      <c r="D134" s="63" t="s">
        <v>304</v>
      </c>
      <c r="E134" s="63" t="s">
        <v>96</v>
      </c>
      <c r="F134" s="63"/>
      <c r="G134" s="63"/>
      <c r="H134" s="63"/>
      <c r="I134" s="63"/>
      <c r="J134" s="63"/>
      <c r="K134" s="63"/>
      <c r="L134" s="63" t="s">
        <v>193</v>
      </c>
      <c r="M134" s="63" t="s">
        <v>187</v>
      </c>
      <c r="N134" s="62" t="s">
        <v>211</v>
      </c>
      <c r="O134" s="63" t="s">
        <v>210</v>
      </c>
      <c r="P134" s="62" t="s">
        <v>211</v>
      </c>
      <c r="Q134" s="63" t="s">
        <v>210</v>
      </c>
      <c r="R134" s="63" t="s">
        <v>255</v>
      </c>
      <c r="S134" s="63" t="s">
        <v>256</v>
      </c>
      <c r="T134" s="63">
        <v>0</v>
      </c>
      <c r="U134" s="63">
        <v>118004</v>
      </c>
      <c r="V134" s="63" t="s">
        <v>136</v>
      </c>
      <c r="W134" s="63">
        <v>4</v>
      </c>
      <c r="X134" s="63"/>
      <c r="Y134" s="63"/>
      <c r="Z134" s="69" t="s">
        <v>182</v>
      </c>
      <c r="AA134" s="63"/>
      <c r="AB134" s="63"/>
      <c r="AC134" s="69" t="s">
        <v>182</v>
      </c>
      <c r="AD134" s="63"/>
      <c r="AE134" s="69" t="s">
        <v>182</v>
      </c>
      <c r="AF134" s="62" t="s">
        <v>81</v>
      </c>
      <c r="AH134" s="66"/>
    </row>
    <row r="135" spans="1:34" s="65" customFormat="1">
      <c r="A135" s="67" t="s">
        <v>296</v>
      </c>
      <c r="B135" s="67" t="s">
        <v>298</v>
      </c>
      <c r="C135" s="67" t="s">
        <v>178</v>
      </c>
      <c r="D135" s="67" t="s">
        <v>305</v>
      </c>
      <c r="E135" s="67" t="s">
        <v>96</v>
      </c>
      <c r="F135" s="67"/>
      <c r="G135" s="67"/>
      <c r="H135" s="67"/>
      <c r="I135" s="67"/>
      <c r="J135" s="67"/>
      <c r="K135" s="67"/>
      <c r="L135" s="67" t="s">
        <v>193</v>
      </c>
      <c r="M135" s="67" t="s">
        <v>187</v>
      </c>
      <c r="N135" s="67" t="s">
        <v>211</v>
      </c>
      <c r="O135" s="67" t="s">
        <v>209</v>
      </c>
      <c r="P135" s="67" t="s">
        <v>211</v>
      </c>
      <c r="Q135" s="67" t="s">
        <v>209</v>
      </c>
      <c r="R135" s="67" t="s">
        <v>255</v>
      </c>
      <c r="S135" s="67" t="s">
        <v>256</v>
      </c>
      <c r="T135" s="67">
        <v>1</v>
      </c>
      <c r="U135" s="67"/>
      <c r="V135" s="67" t="s">
        <v>138</v>
      </c>
      <c r="W135" s="67">
        <v>4</v>
      </c>
      <c r="X135" s="67">
        <v>50000</v>
      </c>
      <c r="Y135" s="67">
        <v>45000</v>
      </c>
      <c r="Z135" s="68">
        <f t="shared" ref="Z135:Z137" si="128">X135/Y135*100</f>
        <v>111.11111111111111</v>
      </c>
      <c r="AA135" s="67">
        <v>1200000</v>
      </c>
      <c r="AB135" s="67">
        <v>650000</v>
      </c>
      <c r="AC135" s="68">
        <f t="shared" ref="AC135" si="129">AB135/AA135*100</f>
        <v>54.166666666666664</v>
      </c>
      <c r="AD135" s="67">
        <v>495000</v>
      </c>
      <c r="AE135" s="68">
        <f t="shared" ref="AE135" si="130">AB135/AD135*100</f>
        <v>131.31313131313132</v>
      </c>
      <c r="AF135" s="77" t="s">
        <v>77</v>
      </c>
      <c r="AH135" s="66"/>
    </row>
    <row r="136" spans="1:34" s="65" customFormat="1">
      <c r="A136" s="63" t="s">
        <v>296</v>
      </c>
      <c r="B136" s="63" t="s">
        <v>298</v>
      </c>
      <c r="C136" s="62" t="s">
        <v>178</v>
      </c>
      <c r="D136" s="63" t="s">
        <v>304</v>
      </c>
      <c r="E136" s="63" t="s">
        <v>96</v>
      </c>
      <c r="F136" s="63"/>
      <c r="G136" s="63"/>
      <c r="H136" s="63"/>
      <c r="I136" s="63"/>
      <c r="J136" s="63"/>
      <c r="K136" s="63"/>
      <c r="L136" s="63" t="s">
        <v>193</v>
      </c>
      <c r="M136" s="63" t="s">
        <v>187</v>
      </c>
      <c r="N136" s="62" t="s">
        <v>211</v>
      </c>
      <c r="O136" s="63" t="s">
        <v>210</v>
      </c>
      <c r="P136" s="62" t="s">
        <v>211</v>
      </c>
      <c r="Q136" s="63" t="s">
        <v>210</v>
      </c>
      <c r="R136" s="63" t="s">
        <v>255</v>
      </c>
      <c r="S136" s="63" t="s">
        <v>256</v>
      </c>
      <c r="T136" s="63">
        <v>0</v>
      </c>
      <c r="U136" s="63">
        <v>300106</v>
      </c>
      <c r="V136" s="63" t="s">
        <v>319</v>
      </c>
      <c r="W136" s="63">
        <v>4</v>
      </c>
      <c r="X136" s="63">
        <v>1000</v>
      </c>
      <c r="Y136" s="63">
        <v>1000</v>
      </c>
      <c r="Z136" s="103">
        <f t="shared" si="128"/>
        <v>100</v>
      </c>
      <c r="AA136" s="63">
        <v>1000</v>
      </c>
      <c r="AB136" s="63">
        <v>1000</v>
      </c>
      <c r="AC136" s="103">
        <f>AA136/AB136*100</f>
        <v>100</v>
      </c>
      <c r="AD136" s="63">
        <v>1000</v>
      </c>
      <c r="AE136" s="64">
        <f>AB136/AD136*100</f>
        <v>100</v>
      </c>
      <c r="AF136" s="62" t="s">
        <v>317</v>
      </c>
      <c r="AH136" s="66"/>
    </row>
    <row r="137" spans="1:34" s="65" customFormat="1">
      <c r="A137" s="67" t="s">
        <v>296</v>
      </c>
      <c r="B137" s="67" t="s">
        <v>298</v>
      </c>
      <c r="C137" s="67" t="s">
        <v>178</v>
      </c>
      <c r="D137" s="67" t="s">
        <v>305</v>
      </c>
      <c r="E137" s="67" t="s">
        <v>96</v>
      </c>
      <c r="F137" s="67"/>
      <c r="G137" s="67"/>
      <c r="H137" s="67"/>
      <c r="I137" s="67"/>
      <c r="J137" s="67"/>
      <c r="K137" s="67"/>
      <c r="L137" s="67" t="s">
        <v>193</v>
      </c>
      <c r="M137" s="67" t="s">
        <v>187</v>
      </c>
      <c r="N137" s="67" t="s">
        <v>211</v>
      </c>
      <c r="O137" s="67" t="s">
        <v>209</v>
      </c>
      <c r="P137" s="67" t="s">
        <v>211</v>
      </c>
      <c r="Q137" s="67" t="s">
        <v>209</v>
      </c>
      <c r="R137" s="67" t="s">
        <v>255</v>
      </c>
      <c r="S137" s="67" t="s">
        <v>256</v>
      </c>
      <c r="T137" s="67">
        <v>0</v>
      </c>
      <c r="U137" s="67">
        <v>400107</v>
      </c>
      <c r="V137" s="67" t="s">
        <v>258</v>
      </c>
      <c r="W137" s="67">
        <v>4</v>
      </c>
      <c r="X137" s="67">
        <v>1000</v>
      </c>
      <c r="Y137" s="67">
        <v>1000</v>
      </c>
      <c r="Z137" s="104">
        <f t="shared" si="128"/>
        <v>100</v>
      </c>
      <c r="AA137" s="67">
        <v>1000</v>
      </c>
      <c r="AB137" s="67">
        <v>1000</v>
      </c>
      <c r="AC137" s="104">
        <f>AA137/AB137*100</f>
        <v>100</v>
      </c>
      <c r="AD137" s="67">
        <v>1000</v>
      </c>
      <c r="AE137" s="68">
        <f>AB137/AD137*100</f>
        <v>100</v>
      </c>
      <c r="AF137" s="77" t="s">
        <v>318</v>
      </c>
      <c r="AH137" s="66"/>
    </row>
    <row r="138" spans="1:34" s="65" customFormat="1">
      <c r="A138" s="63" t="s">
        <v>296</v>
      </c>
      <c r="B138" s="63" t="s">
        <v>298</v>
      </c>
      <c r="C138" s="62" t="s">
        <v>178</v>
      </c>
      <c r="D138" s="63" t="s">
        <v>304</v>
      </c>
      <c r="E138" s="63" t="s">
        <v>96</v>
      </c>
      <c r="F138" s="63"/>
      <c r="G138" s="63"/>
      <c r="H138" s="62"/>
      <c r="I138" s="63"/>
      <c r="J138" s="62"/>
      <c r="K138" s="63"/>
      <c r="L138" s="63" t="s">
        <v>193</v>
      </c>
      <c r="M138" s="63" t="s">
        <v>187</v>
      </c>
      <c r="N138" s="63"/>
      <c r="O138" s="63"/>
      <c r="P138" s="63" t="s">
        <v>193</v>
      </c>
      <c r="Q138" s="63" t="s">
        <v>187</v>
      </c>
      <c r="R138" s="62" t="s">
        <v>255</v>
      </c>
      <c r="S138" s="63" t="s">
        <v>256</v>
      </c>
      <c r="T138" s="63">
        <v>0</v>
      </c>
      <c r="U138" s="63">
        <v>118001</v>
      </c>
      <c r="V138" s="63" t="s">
        <v>129</v>
      </c>
      <c r="W138" s="63">
        <v>4</v>
      </c>
      <c r="X138" s="63">
        <v>400000</v>
      </c>
      <c r="Y138" s="63">
        <v>390000</v>
      </c>
      <c r="Z138" s="64">
        <f>X138/Y138*100</f>
        <v>102.56410256410255</v>
      </c>
      <c r="AA138" s="63">
        <v>11600000</v>
      </c>
      <c r="AB138" s="63">
        <v>5200000</v>
      </c>
      <c r="AC138" s="64">
        <f>AB138/AA138*100</f>
        <v>44.827586206896555</v>
      </c>
      <c r="AD138" s="63">
        <v>4290000</v>
      </c>
      <c r="AE138" s="64">
        <f>AB138/AD138*100</f>
        <v>121.21212121212122</v>
      </c>
      <c r="AF138" s="62" t="s">
        <v>75</v>
      </c>
      <c r="AH138" s="66"/>
    </row>
    <row r="139" spans="1:34" s="65" customFormat="1">
      <c r="A139" s="67" t="s">
        <v>296</v>
      </c>
      <c r="B139" s="67" t="s">
        <v>298</v>
      </c>
      <c r="C139" s="67" t="s">
        <v>178</v>
      </c>
      <c r="D139" s="67" t="s">
        <v>305</v>
      </c>
      <c r="E139" s="67" t="s">
        <v>96</v>
      </c>
      <c r="F139" s="67"/>
      <c r="G139" s="67"/>
      <c r="H139" s="67"/>
      <c r="I139" s="67"/>
      <c r="J139" s="67"/>
      <c r="K139" s="67"/>
      <c r="L139" s="67" t="s">
        <v>193</v>
      </c>
      <c r="M139" s="67" t="s">
        <v>187</v>
      </c>
      <c r="N139" s="67"/>
      <c r="O139" s="67"/>
      <c r="P139" s="67" t="s">
        <v>193</v>
      </c>
      <c r="Q139" s="67" t="s">
        <v>187</v>
      </c>
      <c r="R139" s="67" t="s">
        <v>255</v>
      </c>
      <c r="S139" s="67" t="s">
        <v>256</v>
      </c>
      <c r="T139" s="67">
        <v>0</v>
      </c>
      <c r="U139" s="67">
        <v>118002</v>
      </c>
      <c r="V139" s="67" t="s">
        <v>131</v>
      </c>
      <c r="W139" s="67">
        <v>4</v>
      </c>
      <c r="X139" s="67">
        <v>200000</v>
      </c>
      <c r="Y139" s="67">
        <v>190000</v>
      </c>
      <c r="Z139" s="68">
        <f t="shared" ref="Z139:Z143" si="131">X139/Y139*100</f>
        <v>105.26315789473684</v>
      </c>
      <c r="AA139" s="67">
        <v>4800000</v>
      </c>
      <c r="AB139" s="67">
        <v>2600000</v>
      </c>
      <c r="AC139" s="68">
        <f t="shared" ref="AC139:AC143" si="132">AB139/AA139*100</f>
        <v>54.166666666666664</v>
      </c>
      <c r="AD139" s="67">
        <v>2090000</v>
      </c>
      <c r="AE139" s="68">
        <f t="shared" ref="AE139:AE143" si="133">AB139/AD139*100</f>
        <v>124.4019138755981</v>
      </c>
      <c r="AF139" s="77" t="s">
        <v>141</v>
      </c>
      <c r="AH139" s="66"/>
    </row>
    <row r="140" spans="1:34" s="65" customFormat="1">
      <c r="A140" s="63" t="s">
        <v>296</v>
      </c>
      <c r="B140" s="63" t="s">
        <v>298</v>
      </c>
      <c r="C140" s="62" t="s">
        <v>178</v>
      </c>
      <c r="D140" s="63" t="s">
        <v>304</v>
      </c>
      <c r="E140" s="63" t="s">
        <v>96</v>
      </c>
      <c r="F140" s="63"/>
      <c r="G140" s="63"/>
      <c r="H140" s="63"/>
      <c r="I140" s="63"/>
      <c r="J140" s="63"/>
      <c r="K140" s="63"/>
      <c r="L140" s="63" t="s">
        <v>193</v>
      </c>
      <c r="M140" s="63" t="s">
        <v>187</v>
      </c>
      <c r="N140" s="63"/>
      <c r="O140" s="63"/>
      <c r="P140" s="63" t="s">
        <v>193</v>
      </c>
      <c r="Q140" s="63" t="s">
        <v>187</v>
      </c>
      <c r="R140" s="63" t="s">
        <v>255</v>
      </c>
      <c r="S140" s="63" t="s">
        <v>256</v>
      </c>
      <c r="T140" s="63">
        <v>1</v>
      </c>
      <c r="U140" s="63"/>
      <c r="V140" s="63" t="s">
        <v>132</v>
      </c>
      <c r="W140" s="63">
        <v>4</v>
      </c>
      <c r="X140" s="63">
        <v>600000</v>
      </c>
      <c r="Y140" s="63">
        <v>580000</v>
      </c>
      <c r="Z140" s="64">
        <f t="shared" si="131"/>
        <v>103.44827586206897</v>
      </c>
      <c r="AA140" s="63">
        <v>16400000</v>
      </c>
      <c r="AB140" s="63">
        <v>7800000</v>
      </c>
      <c r="AC140" s="64">
        <f t="shared" si="132"/>
        <v>47.560975609756099</v>
      </c>
      <c r="AD140" s="63">
        <v>6380000</v>
      </c>
      <c r="AE140" s="64">
        <f t="shared" si="133"/>
        <v>122.25705329153604</v>
      </c>
      <c r="AF140" s="62" t="s">
        <v>316</v>
      </c>
      <c r="AH140" s="66"/>
    </row>
    <row r="141" spans="1:34" s="65" customFormat="1">
      <c r="A141" s="67" t="s">
        <v>296</v>
      </c>
      <c r="B141" s="67" t="s">
        <v>298</v>
      </c>
      <c r="C141" s="67" t="s">
        <v>178</v>
      </c>
      <c r="D141" s="67" t="s">
        <v>305</v>
      </c>
      <c r="E141" s="67" t="s">
        <v>96</v>
      </c>
      <c r="F141" s="67"/>
      <c r="G141" s="67"/>
      <c r="H141" s="67"/>
      <c r="I141" s="67"/>
      <c r="J141" s="67"/>
      <c r="K141" s="67"/>
      <c r="L141" s="67" t="s">
        <v>193</v>
      </c>
      <c r="M141" s="67" t="s">
        <v>187</v>
      </c>
      <c r="N141" s="67"/>
      <c r="O141" s="67"/>
      <c r="P141" s="67" t="s">
        <v>193</v>
      </c>
      <c r="Q141" s="67" t="s">
        <v>187</v>
      </c>
      <c r="R141" s="67" t="s">
        <v>255</v>
      </c>
      <c r="S141" s="67" t="s">
        <v>256</v>
      </c>
      <c r="T141" s="67">
        <v>0</v>
      </c>
      <c r="U141" s="67">
        <v>118003</v>
      </c>
      <c r="V141" s="67" t="s">
        <v>134</v>
      </c>
      <c r="W141" s="67">
        <v>4</v>
      </c>
      <c r="X141" s="67">
        <v>50000</v>
      </c>
      <c r="Y141" s="67">
        <v>45000</v>
      </c>
      <c r="Z141" s="68">
        <f t="shared" si="131"/>
        <v>111.11111111111111</v>
      </c>
      <c r="AA141" s="67">
        <v>1200000</v>
      </c>
      <c r="AB141" s="67">
        <v>650000</v>
      </c>
      <c r="AC141" s="68">
        <f t="shared" si="132"/>
        <v>54.166666666666664</v>
      </c>
      <c r="AD141" s="67">
        <v>495000</v>
      </c>
      <c r="AE141" s="68">
        <f t="shared" si="133"/>
        <v>131.31313131313132</v>
      </c>
      <c r="AF141" s="77" t="s">
        <v>82</v>
      </c>
      <c r="AH141" s="66"/>
    </row>
    <row r="142" spans="1:34" s="65" customFormat="1">
      <c r="A142" s="63" t="s">
        <v>296</v>
      </c>
      <c r="B142" s="63" t="s">
        <v>298</v>
      </c>
      <c r="C142" s="62" t="s">
        <v>178</v>
      </c>
      <c r="D142" s="63" t="s">
        <v>304</v>
      </c>
      <c r="E142" s="63" t="s">
        <v>96</v>
      </c>
      <c r="F142" s="63"/>
      <c r="G142" s="63"/>
      <c r="H142" s="63"/>
      <c r="I142" s="63"/>
      <c r="J142" s="63"/>
      <c r="K142" s="63"/>
      <c r="L142" s="63" t="s">
        <v>193</v>
      </c>
      <c r="M142" s="63" t="s">
        <v>187</v>
      </c>
      <c r="N142" s="63"/>
      <c r="O142" s="63"/>
      <c r="P142" s="63" t="s">
        <v>193</v>
      </c>
      <c r="Q142" s="63" t="s">
        <v>187</v>
      </c>
      <c r="R142" s="63" t="s">
        <v>255</v>
      </c>
      <c r="S142" s="63" t="s">
        <v>256</v>
      </c>
      <c r="T142" s="63">
        <v>0</v>
      </c>
      <c r="U142" s="63">
        <v>118004</v>
      </c>
      <c r="V142" s="63" t="s">
        <v>136</v>
      </c>
      <c r="W142" s="63">
        <v>4</v>
      </c>
      <c r="X142" s="63"/>
      <c r="Y142" s="63"/>
      <c r="Z142" s="69" t="s">
        <v>182</v>
      </c>
      <c r="AA142" s="63"/>
      <c r="AB142" s="63"/>
      <c r="AC142" s="69" t="s">
        <v>182</v>
      </c>
      <c r="AD142" s="63"/>
      <c r="AE142" s="69" t="s">
        <v>182</v>
      </c>
      <c r="AF142" s="62" t="s">
        <v>81</v>
      </c>
      <c r="AH142" s="66"/>
    </row>
    <row r="143" spans="1:34" s="65" customFormat="1">
      <c r="A143" s="67" t="s">
        <v>296</v>
      </c>
      <c r="B143" s="67" t="s">
        <v>298</v>
      </c>
      <c r="C143" s="67" t="s">
        <v>178</v>
      </c>
      <c r="D143" s="67" t="s">
        <v>305</v>
      </c>
      <c r="E143" s="67" t="s">
        <v>96</v>
      </c>
      <c r="F143" s="67"/>
      <c r="G143" s="67"/>
      <c r="H143" s="67"/>
      <c r="I143" s="67"/>
      <c r="J143" s="67"/>
      <c r="K143" s="67"/>
      <c r="L143" s="67" t="s">
        <v>193</v>
      </c>
      <c r="M143" s="67" t="s">
        <v>187</v>
      </c>
      <c r="N143" s="67"/>
      <c r="O143" s="67"/>
      <c r="P143" s="67" t="s">
        <v>193</v>
      </c>
      <c r="Q143" s="67" t="s">
        <v>187</v>
      </c>
      <c r="R143" s="67" t="s">
        <v>255</v>
      </c>
      <c r="S143" s="67" t="s">
        <v>256</v>
      </c>
      <c r="T143" s="67">
        <v>1</v>
      </c>
      <c r="U143" s="67"/>
      <c r="V143" s="67" t="s">
        <v>138</v>
      </c>
      <c r="W143" s="67">
        <v>4</v>
      </c>
      <c r="X143" s="67">
        <v>50000</v>
      </c>
      <c r="Y143" s="67">
        <v>45000</v>
      </c>
      <c r="Z143" s="68">
        <f t="shared" si="131"/>
        <v>111.11111111111111</v>
      </c>
      <c r="AA143" s="67">
        <v>1200000</v>
      </c>
      <c r="AB143" s="67">
        <v>650000</v>
      </c>
      <c r="AC143" s="68">
        <f t="shared" si="132"/>
        <v>54.166666666666664</v>
      </c>
      <c r="AD143" s="67">
        <v>495000</v>
      </c>
      <c r="AE143" s="68">
        <f t="shared" si="133"/>
        <v>131.31313131313132</v>
      </c>
      <c r="AF143" s="77" t="s">
        <v>77</v>
      </c>
      <c r="AH143" s="66"/>
    </row>
    <row r="144" spans="1:34" s="65" customFormat="1">
      <c r="A144" s="63" t="s">
        <v>296</v>
      </c>
      <c r="B144" s="63" t="s">
        <v>298</v>
      </c>
      <c r="C144" s="62" t="s">
        <v>178</v>
      </c>
      <c r="D144" s="63" t="s">
        <v>304</v>
      </c>
      <c r="E144" s="63" t="s">
        <v>96</v>
      </c>
      <c r="F144" s="63"/>
      <c r="G144" s="63"/>
      <c r="H144" s="62"/>
      <c r="I144" s="63"/>
      <c r="J144" s="62"/>
      <c r="K144" s="63"/>
      <c r="L144" s="63" t="s">
        <v>193</v>
      </c>
      <c r="M144" s="63" t="s">
        <v>187</v>
      </c>
      <c r="N144" s="62"/>
      <c r="O144" s="63"/>
      <c r="P144" s="62" t="s">
        <v>204</v>
      </c>
      <c r="Q144" s="63" t="s">
        <v>202</v>
      </c>
      <c r="R144" s="62" t="s">
        <v>255</v>
      </c>
      <c r="S144" s="63" t="s">
        <v>256</v>
      </c>
      <c r="T144" s="63">
        <v>0</v>
      </c>
      <c r="U144" s="63">
        <v>118001</v>
      </c>
      <c r="V144" s="63" t="s">
        <v>129</v>
      </c>
      <c r="W144" s="63">
        <v>4</v>
      </c>
      <c r="X144" s="63">
        <v>400000</v>
      </c>
      <c r="Y144" s="63">
        <v>390000</v>
      </c>
      <c r="Z144" s="64">
        <f>X144/Y144*100</f>
        <v>102.56410256410255</v>
      </c>
      <c r="AA144" s="63">
        <v>11600000</v>
      </c>
      <c r="AB144" s="63">
        <v>5200000</v>
      </c>
      <c r="AC144" s="64">
        <f>AB144/AA144*100</f>
        <v>44.827586206896555</v>
      </c>
      <c r="AD144" s="63">
        <v>4290000</v>
      </c>
      <c r="AE144" s="64">
        <f>AB144/AD144*100</f>
        <v>121.21212121212122</v>
      </c>
      <c r="AF144" s="62" t="s">
        <v>75</v>
      </c>
      <c r="AH144" s="66"/>
    </row>
    <row r="145" spans="1:34" s="65" customFormat="1">
      <c r="A145" s="67" t="s">
        <v>296</v>
      </c>
      <c r="B145" s="67" t="s">
        <v>298</v>
      </c>
      <c r="C145" s="67" t="s">
        <v>178</v>
      </c>
      <c r="D145" s="67" t="s">
        <v>305</v>
      </c>
      <c r="E145" s="67" t="s">
        <v>96</v>
      </c>
      <c r="F145" s="67"/>
      <c r="G145" s="67"/>
      <c r="H145" s="67"/>
      <c r="I145" s="67"/>
      <c r="J145" s="67"/>
      <c r="K145" s="67"/>
      <c r="L145" s="67" t="s">
        <v>193</v>
      </c>
      <c r="M145" s="67" t="s">
        <v>187</v>
      </c>
      <c r="N145" s="67"/>
      <c r="O145" s="67"/>
      <c r="P145" s="67" t="s">
        <v>203</v>
      </c>
      <c r="Q145" s="67" t="s">
        <v>202</v>
      </c>
      <c r="R145" s="67" t="s">
        <v>255</v>
      </c>
      <c r="S145" s="67" t="s">
        <v>256</v>
      </c>
      <c r="T145" s="67">
        <v>0</v>
      </c>
      <c r="U145" s="67">
        <v>118002</v>
      </c>
      <c r="V145" s="67" t="s">
        <v>131</v>
      </c>
      <c r="W145" s="67">
        <v>4</v>
      </c>
      <c r="X145" s="67">
        <v>200000</v>
      </c>
      <c r="Y145" s="67">
        <v>190000</v>
      </c>
      <c r="Z145" s="68">
        <f t="shared" ref="Z145:Z149" si="134">X145/Y145*100</f>
        <v>105.26315789473684</v>
      </c>
      <c r="AA145" s="67">
        <v>4800000</v>
      </c>
      <c r="AB145" s="67">
        <v>2600000</v>
      </c>
      <c r="AC145" s="68">
        <f t="shared" ref="AC145:AC149" si="135">AB145/AA145*100</f>
        <v>54.166666666666664</v>
      </c>
      <c r="AD145" s="67">
        <v>2090000</v>
      </c>
      <c r="AE145" s="68">
        <f t="shared" ref="AE145:AE149" si="136">AB145/AD145*100</f>
        <v>124.4019138755981</v>
      </c>
      <c r="AF145" s="77" t="s">
        <v>141</v>
      </c>
      <c r="AH145" s="66"/>
    </row>
    <row r="146" spans="1:34" s="65" customFormat="1">
      <c r="A146" s="63" t="s">
        <v>296</v>
      </c>
      <c r="B146" s="63" t="s">
        <v>298</v>
      </c>
      <c r="C146" s="62" t="s">
        <v>178</v>
      </c>
      <c r="D146" s="63" t="s">
        <v>304</v>
      </c>
      <c r="E146" s="63" t="s">
        <v>96</v>
      </c>
      <c r="F146" s="63"/>
      <c r="G146" s="63"/>
      <c r="H146" s="63"/>
      <c r="I146" s="63"/>
      <c r="J146" s="63"/>
      <c r="K146" s="63"/>
      <c r="L146" s="63" t="s">
        <v>193</v>
      </c>
      <c r="M146" s="63" t="s">
        <v>187</v>
      </c>
      <c r="N146" s="63"/>
      <c r="O146" s="63"/>
      <c r="P146" s="63" t="s">
        <v>203</v>
      </c>
      <c r="Q146" s="63" t="s">
        <v>202</v>
      </c>
      <c r="R146" s="63" t="s">
        <v>255</v>
      </c>
      <c r="S146" s="63" t="s">
        <v>256</v>
      </c>
      <c r="T146" s="63">
        <v>1</v>
      </c>
      <c r="U146" s="63"/>
      <c r="V146" s="63" t="s">
        <v>132</v>
      </c>
      <c r="W146" s="63">
        <v>4</v>
      </c>
      <c r="X146" s="63">
        <v>600000</v>
      </c>
      <c r="Y146" s="63">
        <v>580000</v>
      </c>
      <c r="Z146" s="64">
        <f t="shared" si="134"/>
        <v>103.44827586206897</v>
      </c>
      <c r="AA146" s="63">
        <v>16400000</v>
      </c>
      <c r="AB146" s="63">
        <v>7800000</v>
      </c>
      <c r="AC146" s="64">
        <f t="shared" si="135"/>
        <v>47.560975609756099</v>
      </c>
      <c r="AD146" s="63">
        <v>6380000</v>
      </c>
      <c r="AE146" s="64">
        <f t="shared" si="136"/>
        <v>122.25705329153604</v>
      </c>
      <c r="AF146" s="62" t="s">
        <v>316</v>
      </c>
      <c r="AH146" s="66"/>
    </row>
    <row r="147" spans="1:34" s="65" customFormat="1">
      <c r="A147" s="67" t="s">
        <v>296</v>
      </c>
      <c r="B147" s="67" t="s">
        <v>298</v>
      </c>
      <c r="C147" s="67" t="s">
        <v>178</v>
      </c>
      <c r="D147" s="67" t="s">
        <v>305</v>
      </c>
      <c r="E147" s="67" t="s">
        <v>96</v>
      </c>
      <c r="F147" s="67"/>
      <c r="G147" s="67"/>
      <c r="H147" s="67"/>
      <c r="I147" s="67"/>
      <c r="J147" s="67"/>
      <c r="K147" s="67"/>
      <c r="L147" s="67" t="s">
        <v>193</v>
      </c>
      <c r="M147" s="67" t="s">
        <v>187</v>
      </c>
      <c r="N147" s="67"/>
      <c r="O147" s="67"/>
      <c r="P147" s="67" t="s">
        <v>203</v>
      </c>
      <c r="Q147" s="67" t="s">
        <v>202</v>
      </c>
      <c r="R147" s="67" t="s">
        <v>255</v>
      </c>
      <c r="S147" s="67" t="s">
        <v>256</v>
      </c>
      <c r="T147" s="67">
        <v>0</v>
      </c>
      <c r="U147" s="67">
        <v>118003</v>
      </c>
      <c r="V147" s="67" t="s">
        <v>134</v>
      </c>
      <c r="W147" s="67">
        <v>4</v>
      </c>
      <c r="X147" s="67">
        <v>50000</v>
      </c>
      <c r="Y147" s="67">
        <v>45000</v>
      </c>
      <c r="Z147" s="68">
        <f t="shared" si="134"/>
        <v>111.11111111111111</v>
      </c>
      <c r="AA147" s="67">
        <v>1200000</v>
      </c>
      <c r="AB147" s="67">
        <v>650000</v>
      </c>
      <c r="AC147" s="68">
        <f t="shared" si="135"/>
        <v>54.166666666666664</v>
      </c>
      <c r="AD147" s="67">
        <v>495000</v>
      </c>
      <c r="AE147" s="68">
        <f t="shared" si="136"/>
        <v>131.31313131313132</v>
      </c>
      <c r="AF147" s="77" t="s">
        <v>82</v>
      </c>
      <c r="AH147" s="66"/>
    </row>
    <row r="148" spans="1:34" s="65" customFormat="1">
      <c r="A148" s="63" t="s">
        <v>296</v>
      </c>
      <c r="B148" s="63" t="s">
        <v>298</v>
      </c>
      <c r="C148" s="62" t="s">
        <v>178</v>
      </c>
      <c r="D148" s="63" t="s">
        <v>304</v>
      </c>
      <c r="E148" s="63" t="s">
        <v>96</v>
      </c>
      <c r="F148" s="63"/>
      <c r="G148" s="63"/>
      <c r="H148" s="63"/>
      <c r="I148" s="63"/>
      <c r="J148" s="63"/>
      <c r="K148" s="63"/>
      <c r="L148" s="63" t="s">
        <v>193</v>
      </c>
      <c r="M148" s="63" t="s">
        <v>187</v>
      </c>
      <c r="N148" s="63"/>
      <c r="O148" s="63"/>
      <c r="P148" s="63" t="s">
        <v>203</v>
      </c>
      <c r="Q148" s="63" t="s">
        <v>202</v>
      </c>
      <c r="R148" s="63" t="s">
        <v>255</v>
      </c>
      <c r="S148" s="63" t="s">
        <v>256</v>
      </c>
      <c r="T148" s="63">
        <v>0</v>
      </c>
      <c r="U148" s="63">
        <v>118004</v>
      </c>
      <c r="V148" s="63" t="s">
        <v>136</v>
      </c>
      <c r="W148" s="63">
        <v>4</v>
      </c>
      <c r="X148" s="63"/>
      <c r="Y148" s="63"/>
      <c r="Z148" s="69" t="s">
        <v>182</v>
      </c>
      <c r="AA148" s="63"/>
      <c r="AB148" s="63"/>
      <c r="AC148" s="69" t="s">
        <v>182</v>
      </c>
      <c r="AD148" s="63"/>
      <c r="AE148" s="69" t="s">
        <v>182</v>
      </c>
      <c r="AF148" s="62" t="s">
        <v>81</v>
      </c>
      <c r="AH148" s="66"/>
    </row>
    <row r="149" spans="1:34" s="65" customFormat="1">
      <c r="A149" s="67" t="s">
        <v>296</v>
      </c>
      <c r="B149" s="67" t="s">
        <v>298</v>
      </c>
      <c r="C149" s="67" t="s">
        <v>178</v>
      </c>
      <c r="D149" s="67" t="s">
        <v>305</v>
      </c>
      <c r="E149" s="67" t="s">
        <v>96</v>
      </c>
      <c r="F149" s="67"/>
      <c r="G149" s="67"/>
      <c r="H149" s="67"/>
      <c r="I149" s="67"/>
      <c r="J149" s="67"/>
      <c r="K149" s="67"/>
      <c r="L149" s="67" t="s">
        <v>193</v>
      </c>
      <c r="M149" s="67" t="s">
        <v>187</v>
      </c>
      <c r="N149" s="67"/>
      <c r="O149" s="67"/>
      <c r="P149" s="67" t="s">
        <v>203</v>
      </c>
      <c r="Q149" s="67" t="s">
        <v>202</v>
      </c>
      <c r="R149" s="67" t="s">
        <v>255</v>
      </c>
      <c r="S149" s="67" t="s">
        <v>256</v>
      </c>
      <c r="T149" s="67">
        <v>1</v>
      </c>
      <c r="U149" s="67"/>
      <c r="V149" s="67" t="s">
        <v>138</v>
      </c>
      <c r="W149" s="67">
        <v>4</v>
      </c>
      <c r="X149" s="67">
        <v>50000</v>
      </c>
      <c r="Y149" s="67">
        <v>45000</v>
      </c>
      <c r="Z149" s="68">
        <f t="shared" si="134"/>
        <v>111.11111111111111</v>
      </c>
      <c r="AA149" s="67">
        <v>1200000</v>
      </c>
      <c r="AB149" s="67">
        <v>650000</v>
      </c>
      <c r="AC149" s="68">
        <f t="shared" si="135"/>
        <v>54.166666666666664</v>
      </c>
      <c r="AD149" s="67">
        <v>495000</v>
      </c>
      <c r="AE149" s="68">
        <f t="shared" si="136"/>
        <v>131.31313131313132</v>
      </c>
      <c r="AF149" s="77" t="s">
        <v>77</v>
      </c>
      <c r="AH149" s="66"/>
    </row>
    <row r="150" spans="1:34" s="65" customFormat="1">
      <c r="A150" s="63" t="s">
        <v>296</v>
      </c>
      <c r="B150" s="63" t="s">
        <v>298</v>
      </c>
      <c r="C150" s="62" t="s">
        <v>178</v>
      </c>
      <c r="D150" s="63" t="s">
        <v>304</v>
      </c>
      <c r="E150" s="63" t="s">
        <v>96</v>
      </c>
      <c r="F150" s="63"/>
      <c r="G150" s="63"/>
      <c r="H150" s="62"/>
      <c r="I150" s="63"/>
      <c r="J150" s="62"/>
      <c r="K150" s="63"/>
      <c r="L150" s="63" t="s">
        <v>193</v>
      </c>
      <c r="M150" s="63" t="s">
        <v>187</v>
      </c>
      <c r="N150" s="62"/>
      <c r="O150" s="63"/>
      <c r="P150" s="62" t="s">
        <v>208</v>
      </c>
      <c r="Q150" s="63" t="s">
        <v>206</v>
      </c>
      <c r="R150" s="62" t="s">
        <v>255</v>
      </c>
      <c r="S150" s="63" t="s">
        <v>256</v>
      </c>
      <c r="T150" s="63">
        <v>0</v>
      </c>
      <c r="U150" s="63">
        <v>118001</v>
      </c>
      <c r="V150" s="63" t="s">
        <v>129</v>
      </c>
      <c r="W150" s="63">
        <v>4</v>
      </c>
      <c r="X150" s="63">
        <v>400000</v>
      </c>
      <c r="Y150" s="63">
        <v>390000</v>
      </c>
      <c r="Z150" s="64">
        <f>X150/Y150*100</f>
        <v>102.56410256410255</v>
      </c>
      <c r="AA150" s="63">
        <v>11600000</v>
      </c>
      <c r="AB150" s="63">
        <v>5200000</v>
      </c>
      <c r="AC150" s="64">
        <f>AB150/AA150*100</f>
        <v>44.827586206896555</v>
      </c>
      <c r="AD150" s="63">
        <v>4290000</v>
      </c>
      <c r="AE150" s="64">
        <f>AB150/AD150*100</f>
        <v>121.21212121212122</v>
      </c>
      <c r="AF150" s="62" t="s">
        <v>75</v>
      </c>
      <c r="AH150" s="66"/>
    </row>
    <row r="151" spans="1:34" s="65" customFormat="1">
      <c r="A151" s="67" t="s">
        <v>296</v>
      </c>
      <c r="B151" s="67" t="s">
        <v>298</v>
      </c>
      <c r="C151" s="67" t="s">
        <v>178</v>
      </c>
      <c r="D151" s="67" t="s">
        <v>305</v>
      </c>
      <c r="E151" s="67" t="s">
        <v>96</v>
      </c>
      <c r="F151" s="67"/>
      <c r="G151" s="67"/>
      <c r="H151" s="67"/>
      <c r="I151" s="67"/>
      <c r="J151" s="67"/>
      <c r="K151" s="67"/>
      <c r="L151" s="67" t="s">
        <v>193</v>
      </c>
      <c r="M151" s="67" t="s">
        <v>187</v>
      </c>
      <c r="N151" s="67"/>
      <c r="O151" s="67"/>
      <c r="P151" s="67" t="s">
        <v>207</v>
      </c>
      <c r="Q151" s="67" t="s">
        <v>205</v>
      </c>
      <c r="R151" s="67" t="s">
        <v>255</v>
      </c>
      <c r="S151" s="67" t="s">
        <v>257</v>
      </c>
      <c r="T151" s="67">
        <v>0</v>
      </c>
      <c r="U151" s="67">
        <v>118002</v>
      </c>
      <c r="V151" s="67" t="s">
        <v>131</v>
      </c>
      <c r="W151" s="67">
        <v>4</v>
      </c>
      <c r="X151" s="67">
        <v>200000</v>
      </c>
      <c r="Y151" s="67">
        <v>190000</v>
      </c>
      <c r="Z151" s="68">
        <f t="shared" ref="Z151:Z155" si="137">X151/Y151*100</f>
        <v>105.26315789473684</v>
      </c>
      <c r="AA151" s="67">
        <v>4800000</v>
      </c>
      <c r="AB151" s="67">
        <v>2600000</v>
      </c>
      <c r="AC151" s="68">
        <f t="shared" ref="AC151:AC155" si="138">AB151/AA151*100</f>
        <v>54.166666666666664</v>
      </c>
      <c r="AD151" s="67">
        <v>2090000</v>
      </c>
      <c r="AE151" s="68">
        <f t="shared" ref="AE151:AE155" si="139">AB151/AD151*100</f>
        <v>124.4019138755981</v>
      </c>
      <c r="AF151" s="77" t="s">
        <v>141</v>
      </c>
      <c r="AH151" s="66"/>
    </row>
    <row r="152" spans="1:34" s="65" customFormat="1">
      <c r="A152" s="63" t="s">
        <v>296</v>
      </c>
      <c r="B152" s="63" t="s">
        <v>298</v>
      </c>
      <c r="C152" s="62" t="s">
        <v>178</v>
      </c>
      <c r="D152" s="63" t="s">
        <v>304</v>
      </c>
      <c r="E152" s="63" t="s">
        <v>96</v>
      </c>
      <c r="F152" s="63"/>
      <c r="G152" s="63"/>
      <c r="H152" s="63"/>
      <c r="I152" s="63"/>
      <c r="J152" s="63"/>
      <c r="K152" s="63"/>
      <c r="L152" s="63" t="s">
        <v>193</v>
      </c>
      <c r="M152" s="63" t="s">
        <v>187</v>
      </c>
      <c r="N152" s="63"/>
      <c r="O152" s="63"/>
      <c r="P152" s="63" t="s">
        <v>207</v>
      </c>
      <c r="Q152" s="63" t="s">
        <v>205</v>
      </c>
      <c r="R152" s="63" t="s">
        <v>255</v>
      </c>
      <c r="S152" s="63" t="s">
        <v>256</v>
      </c>
      <c r="T152" s="63">
        <v>1</v>
      </c>
      <c r="U152" s="63"/>
      <c r="V152" s="63" t="s">
        <v>132</v>
      </c>
      <c r="W152" s="63">
        <v>4</v>
      </c>
      <c r="X152" s="63">
        <v>600000</v>
      </c>
      <c r="Y152" s="63">
        <v>580000</v>
      </c>
      <c r="Z152" s="64">
        <f t="shared" si="137"/>
        <v>103.44827586206897</v>
      </c>
      <c r="AA152" s="63">
        <v>16400000</v>
      </c>
      <c r="AB152" s="63">
        <v>7800000</v>
      </c>
      <c r="AC152" s="64">
        <f t="shared" si="138"/>
        <v>47.560975609756099</v>
      </c>
      <c r="AD152" s="63">
        <v>6380000</v>
      </c>
      <c r="AE152" s="64">
        <f t="shared" si="139"/>
        <v>122.25705329153604</v>
      </c>
      <c r="AF152" s="62" t="s">
        <v>316</v>
      </c>
      <c r="AH152" s="66"/>
    </row>
    <row r="153" spans="1:34" s="65" customFormat="1">
      <c r="A153" s="67" t="s">
        <v>296</v>
      </c>
      <c r="B153" s="67" t="s">
        <v>298</v>
      </c>
      <c r="C153" s="67" t="s">
        <v>178</v>
      </c>
      <c r="D153" s="67" t="s">
        <v>305</v>
      </c>
      <c r="E153" s="67" t="s">
        <v>96</v>
      </c>
      <c r="F153" s="67"/>
      <c r="G153" s="67"/>
      <c r="H153" s="67"/>
      <c r="I153" s="67"/>
      <c r="J153" s="67"/>
      <c r="K153" s="67"/>
      <c r="L153" s="67" t="s">
        <v>193</v>
      </c>
      <c r="M153" s="67" t="s">
        <v>187</v>
      </c>
      <c r="N153" s="67"/>
      <c r="O153" s="67"/>
      <c r="P153" s="67" t="s">
        <v>207</v>
      </c>
      <c r="Q153" s="67" t="s">
        <v>205</v>
      </c>
      <c r="R153" s="67" t="s">
        <v>255</v>
      </c>
      <c r="S153" s="67" t="s">
        <v>256</v>
      </c>
      <c r="T153" s="67">
        <v>0</v>
      </c>
      <c r="U153" s="67">
        <v>118003</v>
      </c>
      <c r="V153" s="67" t="s">
        <v>134</v>
      </c>
      <c r="W153" s="67">
        <v>4</v>
      </c>
      <c r="X153" s="67">
        <v>50000</v>
      </c>
      <c r="Y153" s="67">
        <v>45000</v>
      </c>
      <c r="Z153" s="68">
        <f t="shared" si="137"/>
        <v>111.11111111111111</v>
      </c>
      <c r="AA153" s="67">
        <v>1200000</v>
      </c>
      <c r="AB153" s="67">
        <v>650000</v>
      </c>
      <c r="AC153" s="68">
        <f t="shared" si="138"/>
        <v>54.166666666666664</v>
      </c>
      <c r="AD153" s="67">
        <v>495000</v>
      </c>
      <c r="AE153" s="68">
        <f t="shared" si="139"/>
        <v>131.31313131313132</v>
      </c>
      <c r="AF153" s="77" t="s">
        <v>82</v>
      </c>
      <c r="AH153" s="66"/>
    </row>
    <row r="154" spans="1:34" s="65" customFormat="1">
      <c r="A154" s="63" t="s">
        <v>296</v>
      </c>
      <c r="B154" s="63" t="s">
        <v>298</v>
      </c>
      <c r="C154" s="62" t="s">
        <v>178</v>
      </c>
      <c r="D154" s="63" t="s">
        <v>304</v>
      </c>
      <c r="E154" s="63" t="s">
        <v>96</v>
      </c>
      <c r="F154" s="63"/>
      <c r="G154" s="63"/>
      <c r="H154" s="63"/>
      <c r="I154" s="63"/>
      <c r="J154" s="63"/>
      <c r="K154" s="63"/>
      <c r="L154" s="63" t="s">
        <v>193</v>
      </c>
      <c r="M154" s="63" t="s">
        <v>187</v>
      </c>
      <c r="N154" s="63"/>
      <c r="O154" s="63"/>
      <c r="P154" s="63" t="s">
        <v>207</v>
      </c>
      <c r="Q154" s="63" t="s">
        <v>205</v>
      </c>
      <c r="R154" s="63" t="s">
        <v>255</v>
      </c>
      <c r="S154" s="63" t="s">
        <v>256</v>
      </c>
      <c r="T154" s="63">
        <v>0</v>
      </c>
      <c r="U154" s="63">
        <v>118004</v>
      </c>
      <c r="V154" s="63" t="s">
        <v>136</v>
      </c>
      <c r="W154" s="63">
        <v>4</v>
      </c>
      <c r="X154" s="63"/>
      <c r="Y154" s="63"/>
      <c r="Z154" s="69" t="s">
        <v>182</v>
      </c>
      <c r="AA154" s="63"/>
      <c r="AB154" s="63"/>
      <c r="AC154" s="69" t="s">
        <v>182</v>
      </c>
      <c r="AD154" s="63"/>
      <c r="AE154" s="69" t="s">
        <v>182</v>
      </c>
      <c r="AF154" s="62" t="s">
        <v>81</v>
      </c>
      <c r="AH154" s="66"/>
    </row>
    <row r="155" spans="1:34" s="65" customFormat="1">
      <c r="A155" s="67" t="s">
        <v>296</v>
      </c>
      <c r="B155" s="67" t="s">
        <v>298</v>
      </c>
      <c r="C155" s="67" t="s">
        <v>178</v>
      </c>
      <c r="D155" s="67" t="s">
        <v>305</v>
      </c>
      <c r="E155" s="67" t="s">
        <v>96</v>
      </c>
      <c r="F155" s="67"/>
      <c r="G155" s="67"/>
      <c r="H155" s="67"/>
      <c r="I155" s="67"/>
      <c r="J155" s="67"/>
      <c r="K155" s="67"/>
      <c r="L155" s="67" t="s">
        <v>193</v>
      </c>
      <c r="M155" s="67" t="s">
        <v>187</v>
      </c>
      <c r="N155" s="67"/>
      <c r="O155" s="67"/>
      <c r="P155" s="67" t="s">
        <v>207</v>
      </c>
      <c r="Q155" s="67" t="s">
        <v>205</v>
      </c>
      <c r="R155" s="67" t="s">
        <v>255</v>
      </c>
      <c r="S155" s="67" t="s">
        <v>256</v>
      </c>
      <c r="T155" s="67">
        <v>1</v>
      </c>
      <c r="U155" s="67"/>
      <c r="V155" s="67" t="s">
        <v>138</v>
      </c>
      <c r="W155" s="67">
        <v>4</v>
      </c>
      <c r="X155" s="67">
        <v>50000</v>
      </c>
      <c r="Y155" s="67">
        <v>45000</v>
      </c>
      <c r="Z155" s="68">
        <f t="shared" si="137"/>
        <v>111.11111111111111</v>
      </c>
      <c r="AA155" s="67">
        <v>1200000</v>
      </c>
      <c r="AB155" s="67">
        <v>650000</v>
      </c>
      <c r="AC155" s="68">
        <f t="shared" si="138"/>
        <v>54.166666666666664</v>
      </c>
      <c r="AD155" s="67">
        <v>495000</v>
      </c>
      <c r="AE155" s="68">
        <f t="shared" si="139"/>
        <v>131.31313131313132</v>
      </c>
      <c r="AF155" s="77" t="s">
        <v>77</v>
      </c>
      <c r="AH155" s="66"/>
    </row>
    <row r="156" spans="1:34" s="65" customFormat="1">
      <c r="A156" s="63" t="s">
        <v>296</v>
      </c>
      <c r="B156" s="63" t="s">
        <v>298</v>
      </c>
      <c r="C156" s="62" t="s">
        <v>178</v>
      </c>
      <c r="D156" s="63" t="s">
        <v>304</v>
      </c>
      <c r="E156" s="63" t="s">
        <v>96</v>
      </c>
      <c r="F156" s="63"/>
      <c r="G156" s="63"/>
      <c r="H156" s="62"/>
      <c r="I156" s="63"/>
      <c r="J156" s="62"/>
      <c r="K156" s="63"/>
      <c r="L156" s="63" t="s">
        <v>196</v>
      </c>
      <c r="M156" s="63" t="s">
        <v>190</v>
      </c>
      <c r="N156" s="62"/>
      <c r="O156" s="63"/>
      <c r="P156" s="62" t="s">
        <v>197</v>
      </c>
      <c r="Q156" s="63" t="s">
        <v>252</v>
      </c>
      <c r="R156" s="62" t="s">
        <v>245</v>
      </c>
      <c r="S156" s="63" t="s">
        <v>246</v>
      </c>
      <c r="T156" s="63">
        <v>0</v>
      </c>
      <c r="U156" s="63">
        <v>118001</v>
      </c>
      <c r="V156" s="63" t="s">
        <v>129</v>
      </c>
      <c r="W156" s="63">
        <v>4</v>
      </c>
      <c r="X156" s="63">
        <v>400000</v>
      </c>
      <c r="Y156" s="63">
        <v>390000</v>
      </c>
      <c r="Z156" s="64">
        <f>X156/Y156*100</f>
        <v>102.56410256410255</v>
      </c>
      <c r="AA156" s="63">
        <v>11600000</v>
      </c>
      <c r="AB156" s="63">
        <v>5200000</v>
      </c>
      <c r="AC156" s="64">
        <f>AB156/AA156*100</f>
        <v>44.827586206896555</v>
      </c>
      <c r="AD156" s="63">
        <v>4290000</v>
      </c>
      <c r="AE156" s="64">
        <f>AB156/AD156*100</f>
        <v>121.21212121212122</v>
      </c>
      <c r="AF156" s="62" t="s">
        <v>75</v>
      </c>
      <c r="AH156" s="66"/>
    </row>
    <row r="157" spans="1:34" s="65" customFormat="1">
      <c r="A157" s="67" t="s">
        <v>296</v>
      </c>
      <c r="B157" s="67" t="s">
        <v>298</v>
      </c>
      <c r="C157" s="67" t="s">
        <v>178</v>
      </c>
      <c r="D157" s="67" t="s">
        <v>305</v>
      </c>
      <c r="E157" s="67" t="s">
        <v>96</v>
      </c>
      <c r="F157" s="67"/>
      <c r="G157" s="67"/>
      <c r="H157" s="67"/>
      <c r="I157" s="67"/>
      <c r="J157" s="67"/>
      <c r="K157" s="67"/>
      <c r="L157" s="67" t="s">
        <v>196</v>
      </c>
      <c r="M157" s="67" t="s">
        <v>252</v>
      </c>
      <c r="N157" s="67"/>
      <c r="O157" s="67"/>
      <c r="P157" s="67" t="s">
        <v>196</v>
      </c>
      <c r="Q157" s="67" t="s">
        <v>190</v>
      </c>
      <c r="R157" s="67" t="s">
        <v>245</v>
      </c>
      <c r="S157" s="67" t="s">
        <v>246</v>
      </c>
      <c r="T157" s="67">
        <v>0</v>
      </c>
      <c r="U157" s="67">
        <v>118002</v>
      </c>
      <c r="V157" s="67" t="s">
        <v>131</v>
      </c>
      <c r="W157" s="67">
        <v>4</v>
      </c>
      <c r="X157" s="67">
        <v>200000</v>
      </c>
      <c r="Y157" s="67">
        <v>190000</v>
      </c>
      <c r="Z157" s="68">
        <f t="shared" ref="Z157:Z161" si="140">X157/Y157*100</f>
        <v>105.26315789473684</v>
      </c>
      <c r="AA157" s="67">
        <v>4800000</v>
      </c>
      <c r="AB157" s="67">
        <v>2600000</v>
      </c>
      <c r="AC157" s="68">
        <f t="shared" ref="AC157:AC161" si="141">AB157/AA157*100</f>
        <v>54.166666666666664</v>
      </c>
      <c r="AD157" s="67">
        <v>2090000</v>
      </c>
      <c r="AE157" s="68">
        <f t="shared" ref="AE157:AE161" si="142">AB157/AD157*100</f>
        <v>124.4019138755981</v>
      </c>
      <c r="AF157" s="77" t="s">
        <v>141</v>
      </c>
      <c r="AH157" s="66"/>
    </row>
    <row r="158" spans="1:34" s="65" customFormat="1">
      <c r="A158" s="63" t="s">
        <v>296</v>
      </c>
      <c r="B158" s="63" t="s">
        <v>298</v>
      </c>
      <c r="C158" s="62" t="s">
        <v>178</v>
      </c>
      <c r="D158" s="63" t="s">
        <v>304</v>
      </c>
      <c r="E158" s="63" t="s">
        <v>96</v>
      </c>
      <c r="F158" s="63"/>
      <c r="G158" s="63"/>
      <c r="H158" s="63"/>
      <c r="I158" s="63"/>
      <c r="J158" s="63"/>
      <c r="K158" s="63"/>
      <c r="L158" s="63" t="s">
        <v>196</v>
      </c>
      <c r="M158" s="63" t="s">
        <v>190</v>
      </c>
      <c r="N158" s="63"/>
      <c r="O158" s="63"/>
      <c r="P158" s="63" t="s">
        <v>196</v>
      </c>
      <c r="Q158" s="63" t="s">
        <v>190</v>
      </c>
      <c r="R158" s="63" t="s">
        <v>245</v>
      </c>
      <c r="S158" s="63" t="s">
        <v>246</v>
      </c>
      <c r="T158" s="63">
        <v>1</v>
      </c>
      <c r="U158" s="63"/>
      <c r="V158" s="63" t="s">
        <v>132</v>
      </c>
      <c r="W158" s="63">
        <v>4</v>
      </c>
      <c r="X158" s="63">
        <v>600000</v>
      </c>
      <c r="Y158" s="63">
        <v>580000</v>
      </c>
      <c r="Z158" s="64">
        <f t="shared" si="140"/>
        <v>103.44827586206897</v>
      </c>
      <c r="AA158" s="63">
        <v>16400000</v>
      </c>
      <c r="AB158" s="63">
        <v>7800000</v>
      </c>
      <c r="AC158" s="64">
        <f t="shared" si="141"/>
        <v>47.560975609756099</v>
      </c>
      <c r="AD158" s="63">
        <v>6380000</v>
      </c>
      <c r="AE158" s="64">
        <f t="shared" si="142"/>
        <v>122.25705329153604</v>
      </c>
      <c r="AF158" s="62" t="s">
        <v>316</v>
      </c>
      <c r="AH158" s="66"/>
    </row>
    <row r="159" spans="1:34" s="65" customFormat="1">
      <c r="A159" s="67" t="s">
        <v>296</v>
      </c>
      <c r="B159" s="67" t="s">
        <v>298</v>
      </c>
      <c r="C159" s="67" t="s">
        <v>178</v>
      </c>
      <c r="D159" s="67" t="s">
        <v>305</v>
      </c>
      <c r="E159" s="67" t="s">
        <v>96</v>
      </c>
      <c r="F159" s="67"/>
      <c r="G159" s="67"/>
      <c r="H159" s="67"/>
      <c r="I159" s="67"/>
      <c r="J159" s="67"/>
      <c r="K159" s="67"/>
      <c r="L159" s="67" t="s">
        <v>196</v>
      </c>
      <c r="M159" s="67" t="s">
        <v>190</v>
      </c>
      <c r="N159" s="67"/>
      <c r="O159" s="67"/>
      <c r="P159" s="67" t="s">
        <v>196</v>
      </c>
      <c r="Q159" s="67" t="s">
        <v>190</v>
      </c>
      <c r="R159" s="67" t="s">
        <v>245</v>
      </c>
      <c r="S159" s="67" t="s">
        <v>246</v>
      </c>
      <c r="T159" s="67">
        <v>0</v>
      </c>
      <c r="U159" s="67">
        <v>118003</v>
      </c>
      <c r="V159" s="67" t="s">
        <v>134</v>
      </c>
      <c r="W159" s="67">
        <v>4</v>
      </c>
      <c r="X159" s="67">
        <v>50000</v>
      </c>
      <c r="Y159" s="67">
        <v>45000</v>
      </c>
      <c r="Z159" s="68">
        <f t="shared" si="140"/>
        <v>111.11111111111111</v>
      </c>
      <c r="AA159" s="67">
        <v>1200000</v>
      </c>
      <c r="AB159" s="67">
        <v>650000</v>
      </c>
      <c r="AC159" s="68">
        <f t="shared" si="141"/>
        <v>54.166666666666664</v>
      </c>
      <c r="AD159" s="67">
        <v>495000</v>
      </c>
      <c r="AE159" s="68">
        <f t="shared" si="142"/>
        <v>131.31313131313132</v>
      </c>
      <c r="AF159" s="77" t="s">
        <v>82</v>
      </c>
      <c r="AH159" s="66"/>
    </row>
    <row r="160" spans="1:34" s="65" customFormat="1">
      <c r="A160" s="63" t="s">
        <v>296</v>
      </c>
      <c r="B160" s="63" t="s">
        <v>298</v>
      </c>
      <c r="C160" s="62" t="s">
        <v>178</v>
      </c>
      <c r="D160" s="63" t="s">
        <v>304</v>
      </c>
      <c r="E160" s="63" t="s">
        <v>96</v>
      </c>
      <c r="F160" s="63"/>
      <c r="G160" s="63"/>
      <c r="H160" s="63"/>
      <c r="I160" s="63"/>
      <c r="J160" s="63"/>
      <c r="K160" s="63"/>
      <c r="L160" s="63" t="s">
        <v>196</v>
      </c>
      <c r="M160" s="63" t="s">
        <v>190</v>
      </c>
      <c r="N160" s="63"/>
      <c r="O160" s="63"/>
      <c r="P160" s="63" t="s">
        <v>196</v>
      </c>
      <c r="Q160" s="63" t="s">
        <v>190</v>
      </c>
      <c r="R160" s="63" t="s">
        <v>245</v>
      </c>
      <c r="S160" s="63" t="s">
        <v>246</v>
      </c>
      <c r="T160" s="63">
        <v>0</v>
      </c>
      <c r="U160" s="63">
        <v>118004</v>
      </c>
      <c r="V160" s="63" t="s">
        <v>136</v>
      </c>
      <c r="W160" s="63">
        <v>4</v>
      </c>
      <c r="X160" s="63"/>
      <c r="Y160" s="63"/>
      <c r="Z160" s="69" t="s">
        <v>182</v>
      </c>
      <c r="AA160" s="63"/>
      <c r="AB160" s="63"/>
      <c r="AC160" s="69" t="s">
        <v>182</v>
      </c>
      <c r="AD160" s="63"/>
      <c r="AE160" s="69" t="s">
        <v>182</v>
      </c>
      <c r="AF160" s="62" t="s">
        <v>81</v>
      </c>
      <c r="AH160" s="66"/>
    </row>
    <row r="161" spans="1:34" s="65" customFormat="1">
      <c r="A161" s="67" t="s">
        <v>296</v>
      </c>
      <c r="B161" s="67" t="s">
        <v>298</v>
      </c>
      <c r="C161" s="67" t="s">
        <v>178</v>
      </c>
      <c r="D161" s="67" t="s">
        <v>305</v>
      </c>
      <c r="E161" s="67" t="s">
        <v>96</v>
      </c>
      <c r="F161" s="67"/>
      <c r="G161" s="67"/>
      <c r="H161" s="67"/>
      <c r="I161" s="67"/>
      <c r="J161" s="67"/>
      <c r="K161" s="67"/>
      <c r="L161" s="67" t="s">
        <v>196</v>
      </c>
      <c r="M161" s="67" t="s">
        <v>190</v>
      </c>
      <c r="N161" s="67"/>
      <c r="O161" s="67"/>
      <c r="P161" s="67" t="s">
        <v>196</v>
      </c>
      <c r="Q161" s="67" t="s">
        <v>190</v>
      </c>
      <c r="R161" s="67" t="s">
        <v>245</v>
      </c>
      <c r="S161" s="67" t="s">
        <v>246</v>
      </c>
      <c r="T161" s="67">
        <v>1</v>
      </c>
      <c r="U161" s="67"/>
      <c r="V161" s="67" t="s">
        <v>138</v>
      </c>
      <c r="W161" s="67">
        <v>4</v>
      </c>
      <c r="X161" s="67">
        <v>50000</v>
      </c>
      <c r="Y161" s="67">
        <v>45000</v>
      </c>
      <c r="Z161" s="68">
        <f t="shared" si="140"/>
        <v>111.11111111111111</v>
      </c>
      <c r="AA161" s="67">
        <v>1200000</v>
      </c>
      <c r="AB161" s="67">
        <v>650000</v>
      </c>
      <c r="AC161" s="68">
        <f t="shared" si="141"/>
        <v>54.166666666666664</v>
      </c>
      <c r="AD161" s="67">
        <v>495000</v>
      </c>
      <c r="AE161" s="68">
        <f t="shared" si="142"/>
        <v>131.31313131313132</v>
      </c>
      <c r="AF161" s="77" t="s">
        <v>77</v>
      </c>
      <c r="AH161" s="66"/>
    </row>
    <row r="162" spans="1:34" s="65" customFormat="1">
      <c r="A162" s="63" t="s">
        <v>296</v>
      </c>
      <c r="B162" s="63" t="s">
        <v>298</v>
      </c>
      <c r="C162" s="62" t="s">
        <v>178</v>
      </c>
      <c r="D162" s="63" t="s">
        <v>304</v>
      </c>
      <c r="E162" s="63" t="s">
        <v>96</v>
      </c>
      <c r="F162" s="63"/>
      <c r="G162" s="63"/>
      <c r="H162" s="62"/>
      <c r="I162" s="63"/>
      <c r="J162" s="62"/>
      <c r="K162" s="63"/>
      <c r="L162" s="63" t="s">
        <v>196</v>
      </c>
      <c r="M162" s="63" t="s">
        <v>190</v>
      </c>
      <c r="N162" s="63"/>
      <c r="O162" s="63"/>
      <c r="P162" s="63" t="s">
        <v>196</v>
      </c>
      <c r="Q162" s="63" t="s">
        <v>190</v>
      </c>
      <c r="R162" s="62" t="s">
        <v>247</v>
      </c>
      <c r="S162" s="63" t="s">
        <v>248</v>
      </c>
      <c r="T162" s="63">
        <v>0</v>
      </c>
      <c r="U162" s="63">
        <v>118001</v>
      </c>
      <c r="V162" s="63" t="s">
        <v>129</v>
      </c>
      <c r="W162" s="63">
        <v>4</v>
      </c>
      <c r="X162" s="63">
        <v>400000</v>
      </c>
      <c r="Y162" s="63">
        <v>390000</v>
      </c>
      <c r="Z162" s="64">
        <f>X162/Y162*100</f>
        <v>102.56410256410255</v>
      </c>
      <c r="AA162" s="63">
        <v>11600000</v>
      </c>
      <c r="AB162" s="63">
        <v>5200000</v>
      </c>
      <c r="AC162" s="64">
        <f>AB162/AA162*100</f>
        <v>44.827586206896555</v>
      </c>
      <c r="AD162" s="63">
        <v>4290000</v>
      </c>
      <c r="AE162" s="64">
        <f>AB162/AD162*100</f>
        <v>121.21212121212122</v>
      </c>
      <c r="AF162" s="62" t="s">
        <v>75</v>
      </c>
      <c r="AH162" s="66"/>
    </row>
    <row r="163" spans="1:34" s="65" customFormat="1">
      <c r="A163" s="67" t="s">
        <v>296</v>
      </c>
      <c r="B163" s="67" t="s">
        <v>298</v>
      </c>
      <c r="C163" s="67" t="s">
        <v>178</v>
      </c>
      <c r="D163" s="67" t="s">
        <v>305</v>
      </c>
      <c r="E163" s="67" t="s">
        <v>96</v>
      </c>
      <c r="F163" s="67"/>
      <c r="G163" s="67"/>
      <c r="H163" s="67"/>
      <c r="I163" s="67"/>
      <c r="J163" s="67"/>
      <c r="K163" s="67"/>
      <c r="L163" s="67" t="s">
        <v>196</v>
      </c>
      <c r="M163" s="67" t="s">
        <v>190</v>
      </c>
      <c r="N163" s="67"/>
      <c r="O163" s="67"/>
      <c r="P163" s="67" t="s">
        <v>196</v>
      </c>
      <c r="Q163" s="67" t="s">
        <v>190</v>
      </c>
      <c r="R163" s="67" t="s">
        <v>247</v>
      </c>
      <c r="S163" s="67" t="s">
        <v>248</v>
      </c>
      <c r="T163" s="67">
        <v>0</v>
      </c>
      <c r="U163" s="67">
        <v>118002</v>
      </c>
      <c r="V163" s="67" t="s">
        <v>131</v>
      </c>
      <c r="W163" s="67">
        <v>4</v>
      </c>
      <c r="X163" s="67">
        <v>200000</v>
      </c>
      <c r="Y163" s="67">
        <v>190000</v>
      </c>
      <c r="Z163" s="68">
        <f t="shared" ref="Z163:Z167" si="143">X163/Y163*100</f>
        <v>105.26315789473684</v>
      </c>
      <c r="AA163" s="67">
        <v>4800000</v>
      </c>
      <c r="AB163" s="67">
        <v>2600000</v>
      </c>
      <c r="AC163" s="68">
        <f t="shared" ref="AC163:AC167" si="144">AB163/AA163*100</f>
        <v>54.166666666666664</v>
      </c>
      <c r="AD163" s="67">
        <v>2090000</v>
      </c>
      <c r="AE163" s="68">
        <f t="shared" ref="AE163:AE167" si="145">AB163/AD163*100</f>
        <v>124.4019138755981</v>
      </c>
      <c r="AF163" s="77" t="s">
        <v>141</v>
      </c>
      <c r="AH163" s="66"/>
    </row>
    <row r="164" spans="1:34" s="65" customFormat="1">
      <c r="A164" s="63" t="s">
        <v>296</v>
      </c>
      <c r="B164" s="63" t="s">
        <v>298</v>
      </c>
      <c r="C164" s="62" t="s">
        <v>178</v>
      </c>
      <c r="D164" s="63" t="s">
        <v>304</v>
      </c>
      <c r="E164" s="63" t="s">
        <v>96</v>
      </c>
      <c r="F164" s="63"/>
      <c r="G164" s="63"/>
      <c r="H164" s="63"/>
      <c r="I164" s="63"/>
      <c r="J164" s="63"/>
      <c r="K164" s="63"/>
      <c r="L164" s="63" t="s">
        <v>196</v>
      </c>
      <c r="M164" s="63" t="s">
        <v>190</v>
      </c>
      <c r="N164" s="63"/>
      <c r="O164" s="63"/>
      <c r="P164" s="63" t="s">
        <v>196</v>
      </c>
      <c r="Q164" s="63" t="s">
        <v>190</v>
      </c>
      <c r="R164" s="63" t="s">
        <v>247</v>
      </c>
      <c r="S164" s="63" t="s">
        <v>248</v>
      </c>
      <c r="T164" s="63">
        <v>1</v>
      </c>
      <c r="U164" s="63"/>
      <c r="V164" s="63" t="s">
        <v>132</v>
      </c>
      <c r="W164" s="63">
        <v>4</v>
      </c>
      <c r="X164" s="63">
        <v>600000</v>
      </c>
      <c r="Y164" s="63">
        <v>580000</v>
      </c>
      <c r="Z164" s="64">
        <f t="shared" si="143"/>
        <v>103.44827586206897</v>
      </c>
      <c r="AA164" s="63">
        <v>16400000</v>
      </c>
      <c r="AB164" s="63">
        <v>7800000</v>
      </c>
      <c r="AC164" s="64">
        <f t="shared" si="144"/>
        <v>47.560975609756099</v>
      </c>
      <c r="AD164" s="63">
        <v>6380000</v>
      </c>
      <c r="AE164" s="64">
        <f t="shared" si="145"/>
        <v>122.25705329153604</v>
      </c>
      <c r="AF164" s="62" t="s">
        <v>316</v>
      </c>
      <c r="AH164" s="66"/>
    </row>
    <row r="165" spans="1:34" s="65" customFormat="1">
      <c r="A165" s="67" t="s">
        <v>296</v>
      </c>
      <c r="B165" s="67" t="s">
        <v>298</v>
      </c>
      <c r="C165" s="67" t="s">
        <v>178</v>
      </c>
      <c r="D165" s="67" t="s">
        <v>305</v>
      </c>
      <c r="E165" s="67" t="s">
        <v>96</v>
      </c>
      <c r="F165" s="67"/>
      <c r="G165" s="67"/>
      <c r="H165" s="67"/>
      <c r="I165" s="67"/>
      <c r="J165" s="67"/>
      <c r="K165" s="67"/>
      <c r="L165" s="67" t="s">
        <v>196</v>
      </c>
      <c r="M165" s="67" t="s">
        <v>190</v>
      </c>
      <c r="N165" s="67"/>
      <c r="O165" s="67"/>
      <c r="P165" s="67" t="s">
        <v>196</v>
      </c>
      <c r="Q165" s="67" t="s">
        <v>190</v>
      </c>
      <c r="R165" s="67" t="s">
        <v>247</v>
      </c>
      <c r="S165" s="67" t="s">
        <v>248</v>
      </c>
      <c r="T165" s="67">
        <v>0</v>
      </c>
      <c r="U165" s="67">
        <v>118003</v>
      </c>
      <c r="V165" s="67" t="s">
        <v>134</v>
      </c>
      <c r="W165" s="67">
        <v>4</v>
      </c>
      <c r="X165" s="67">
        <v>50000</v>
      </c>
      <c r="Y165" s="67">
        <v>45000</v>
      </c>
      <c r="Z165" s="68">
        <f t="shared" si="143"/>
        <v>111.11111111111111</v>
      </c>
      <c r="AA165" s="67">
        <v>1200000</v>
      </c>
      <c r="AB165" s="67">
        <v>650000</v>
      </c>
      <c r="AC165" s="68">
        <f t="shared" si="144"/>
        <v>54.166666666666664</v>
      </c>
      <c r="AD165" s="67">
        <v>495000</v>
      </c>
      <c r="AE165" s="68">
        <f t="shared" si="145"/>
        <v>131.31313131313132</v>
      </c>
      <c r="AF165" s="77" t="s">
        <v>82</v>
      </c>
      <c r="AH165" s="66"/>
    </row>
    <row r="166" spans="1:34" s="65" customFormat="1">
      <c r="A166" s="63" t="s">
        <v>296</v>
      </c>
      <c r="B166" s="63" t="s">
        <v>298</v>
      </c>
      <c r="C166" s="62" t="s">
        <v>178</v>
      </c>
      <c r="D166" s="63" t="s">
        <v>304</v>
      </c>
      <c r="E166" s="63" t="s">
        <v>96</v>
      </c>
      <c r="F166" s="63"/>
      <c r="G166" s="63"/>
      <c r="H166" s="63"/>
      <c r="I166" s="63"/>
      <c r="J166" s="63"/>
      <c r="K166" s="63"/>
      <c r="L166" s="63" t="s">
        <v>196</v>
      </c>
      <c r="M166" s="63" t="s">
        <v>190</v>
      </c>
      <c r="N166" s="63"/>
      <c r="O166" s="63"/>
      <c r="P166" s="63" t="s">
        <v>196</v>
      </c>
      <c r="Q166" s="63" t="s">
        <v>190</v>
      </c>
      <c r="R166" s="63" t="s">
        <v>247</v>
      </c>
      <c r="S166" s="63" t="s">
        <v>248</v>
      </c>
      <c r="T166" s="63">
        <v>0</v>
      </c>
      <c r="U166" s="63">
        <v>118004</v>
      </c>
      <c r="V166" s="63" t="s">
        <v>136</v>
      </c>
      <c r="W166" s="63">
        <v>4</v>
      </c>
      <c r="X166" s="63"/>
      <c r="Y166" s="63"/>
      <c r="Z166" s="69" t="s">
        <v>182</v>
      </c>
      <c r="AA166" s="63"/>
      <c r="AB166" s="63"/>
      <c r="AC166" s="69" t="s">
        <v>182</v>
      </c>
      <c r="AD166" s="63"/>
      <c r="AE166" s="69" t="s">
        <v>182</v>
      </c>
      <c r="AF166" s="62" t="s">
        <v>81</v>
      </c>
      <c r="AH166" s="66"/>
    </row>
    <row r="167" spans="1:34" s="65" customFormat="1">
      <c r="A167" s="67" t="s">
        <v>296</v>
      </c>
      <c r="B167" s="67" t="s">
        <v>298</v>
      </c>
      <c r="C167" s="67" t="s">
        <v>178</v>
      </c>
      <c r="D167" s="67" t="s">
        <v>305</v>
      </c>
      <c r="E167" s="67" t="s">
        <v>96</v>
      </c>
      <c r="F167" s="67"/>
      <c r="G167" s="67"/>
      <c r="H167" s="67"/>
      <c r="I167" s="67"/>
      <c r="J167" s="67"/>
      <c r="K167" s="67"/>
      <c r="L167" s="67" t="s">
        <v>196</v>
      </c>
      <c r="M167" s="67" t="s">
        <v>190</v>
      </c>
      <c r="N167" s="67"/>
      <c r="O167" s="67"/>
      <c r="P167" s="67" t="s">
        <v>196</v>
      </c>
      <c r="Q167" s="67" t="s">
        <v>190</v>
      </c>
      <c r="R167" s="67" t="s">
        <v>247</v>
      </c>
      <c r="S167" s="67" t="s">
        <v>248</v>
      </c>
      <c r="T167" s="67">
        <v>1</v>
      </c>
      <c r="U167" s="67"/>
      <c r="V167" s="67" t="s">
        <v>138</v>
      </c>
      <c r="W167" s="67">
        <v>4</v>
      </c>
      <c r="X167" s="67">
        <v>50000</v>
      </c>
      <c r="Y167" s="67">
        <v>45000</v>
      </c>
      <c r="Z167" s="68">
        <f t="shared" si="143"/>
        <v>111.11111111111111</v>
      </c>
      <c r="AA167" s="67">
        <v>1200000</v>
      </c>
      <c r="AB167" s="67">
        <v>650000</v>
      </c>
      <c r="AC167" s="68">
        <f t="shared" si="144"/>
        <v>54.166666666666664</v>
      </c>
      <c r="AD167" s="67">
        <v>495000</v>
      </c>
      <c r="AE167" s="68">
        <f t="shared" si="145"/>
        <v>131.31313131313132</v>
      </c>
      <c r="AF167" s="77" t="s">
        <v>77</v>
      </c>
      <c r="AH167" s="66"/>
    </row>
    <row r="168" spans="1:34" s="65" customFormat="1">
      <c r="A168" s="63" t="s">
        <v>296</v>
      </c>
      <c r="B168" s="63" t="s">
        <v>298</v>
      </c>
      <c r="C168" s="62" t="s">
        <v>178</v>
      </c>
      <c r="D168" s="63" t="s">
        <v>304</v>
      </c>
      <c r="E168" s="63" t="s">
        <v>96</v>
      </c>
      <c r="F168" s="63"/>
      <c r="G168" s="63"/>
      <c r="H168" s="62"/>
      <c r="I168" s="63"/>
      <c r="J168" s="62"/>
      <c r="K168" s="63"/>
      <c r="L168" s="63" t="s">
        <v>196</v>
      </c>
      <c r="M168" s="63" t="s">
        <v>190</v>
      </c>
      <c r="N168" s="62"/>
      <c r="O168" s="63"/>
      <c r="P168" s="62" t="s">
        <v>226</v>
      </c>
      <c r="Q168" s="63" t="s">
        <v>254</v>
      </c>
      <c r="R168" s="62" t="s">
        <v>245</v>
      </c>
      <c r="S168" s="63" t="s">
        <v>246</v>
      </c>
      <c r="T168" s="63">
        <v>0</v>
      </c>
      <c r="U168" s="63">
        <v>118001</v>
      </c>
      <c r="V168" s="63" t="s">
        <v>129</v>
      </c>
      <c r="W168" s="63">
        <v>4</v>
      </c>
      <c r="X168" s="63">
        <v>400000</v>
      </c>
      <c r="Y168" s="63">
        <v>390000</v>
      </c>
      <c r="Z168" s="64">
        <f>X168/Y168*100</f>
        <v>102.56410256410255</v>
      </c>
      <c r="AA168" s="63">
        <v>11600000</v>
      </c>
      <c r="AB168" s="63">
        <v>5200000</v>
      </c>
      <c r="AC168" s="64">
        <f>AB168/AA168*100</f>
        <v>44.827586206896555</v>
      </c>
      <c r="AD168" s="63">
        <v>4290000</v>
      </c>
      <c r="AE168" s="64">
        <f>AB168/AD168*100</f>
        <v>121.21212121212122</v>
      </c>
      <c r="AF168" s="62" t="s">
        <v>75</v>
      </c>
      <c r="AH168" s="66"/>
    </row>
    <row r="169" spans="1:34" s="65" customFormat="1">
      <c r="A169" s="67" t="s">
        <v>296</v>
      </c>
      <c r="B169" s="67" t="s">
        <v>298</v>
      </c>
      <c r="C169" s="67" t="s">
        <v>178</v>
      </c>
      <c r="D169" s="67" t="s">
        <v>305</v>
      </c>
      <c r="E169" s="67" t="s">
        <v>96</v>
      </c>
      <c r="F169" s="67"/>
      <c r="G169" s="67"/>
      <c r="H169" s="67"/>
      <c r="I169" s="67"/>
      <c r="J169" s="67"/>
      <c r="K169" s="67"/>
      <c r="L169" s="67" t="s">
        <v>196</v>
      </c>
      <c r="M169" s="67" t="s">
        <v>190</v>
      </c>
      <c r="N169" s="67"/>
      <c r="O169" s="67"/>
      <c r="P169" s="67" t="s">
        <v>225</v>
      </c>
      <c r="Q169" s="67" t="s">
        <v>253</v>
      </c>
      <c r="R169" s="67" t="s">
        <v>245</v>
      </c>
      <c r="S169" s="67" t="s">
        <v>246</v>
      </c>
      <c r="T169" s="67">
        <v>0</v>
      </c>
      <c r="U169" s="67">
        <v>118002</v>
      </c>
      <c r="V169" s="67" t="s">
        <v>131</v>
      </c>
      <c r="W169" s="67">
        <v>4</v>
      </c>
      <c r="X169" s="67">
        <v>200000</v>
      </c>
      <c r="Y169" s="67">
        <v>190000</v>
      </c>
      <c r="Z169" s="68">
        <f t="shared" ref="Z169:Z173" si="146">X169/Y169*100</f>
        <v>105.26315789473684</v>
      </c>
      <c r="AA169" s="67">
        <v>4800000</v>
      </c>
      <c r="AB169" s="67">
        <v>2600000</v>
      </c>
      <c r="AC169" s="68">
        <f t="shared" ref="AC169:AC173" si="147">AB169/AA169*100</f>
        <v>54.166666666666664</v>
      </c>
      <c r="AD169" s="67">
        <v>2090000</v>
      </c>
      <c r="AE169" s="68">
        <f t="shared" ref="AE169:AE173" si="148">AB169/AD169*100</f>
        <v>124.4019138755981</v>
      </c>
      <c r="AF169" s="77" t="s">
        <v>141</v>
      </c>
      <c r="AH169" s="66"/>
    </row>
    <row r="170" spans="1:34" s="65" customFormat="1">
      <c r="A170" s="63" t="s">
        <v>296</v>
      </c>
      <c r="B170" s="63" t="s">
        <v>298</v>
      </c>
      <c r="C170" s="62" t="s">
        <v>178</v>
      </c>
      <c r="D170" s="63" t="s">
        <v>304</v>
      </c>
      <c r="E170" s="63" t="s">
        <v>96</v>
      </c>
      <c r="F170" s="63"/>
      <c r="G170" s="63"/>
      <c r="H170" s="63"/>
      <c r="I170" s="63"/>
      <c r="J170" s="63"/>
      <c r="K170" s="63"/>
      <c r="L170" s="63" t="s">
        <v>196</v>
      </c>
      <c r="M170" s="63" t="s">
        <v>190</v>
      </c>
      <c r="N170" s="63"/>
      <c r="O170" s="63"/>
      <c r="P170" s="63" t="s">
        <v>225</v>
      </c>
      <c r="Q170" s="63" t="s">
        <v>253</v>
      </c>
      <c r="R170" s="63" t="s">
        <v>245</v>
      </c>
      <c r="S170" s="63" t="s">
        <v>246</v>
      </c>
      <c r="T170" s="63">
        <v>1</v>
      </c>
      <c r="U170" s="63"/>
      <c r="V170" s="63" t="s">
        <v>132</v>
      </c>
      <c r="W170" s="63">
        <v>4</v>
      </c>
      <c r="X170" s="63">
        <v>600000</v>
      </c>
      <c r="Y170" s="63">
        <v>580000</v>
      </c>
      <c r="Z170" s="64">
        <f t="shared" si="146"/>
        <v>103.44827586206897</v>
      </c>
      <c r="AA170" s="63">
        <v>16400000</v>
      </c>
      <c r="AB170" s="63">
        <v>7800000</v>
      </c>
      <c r="AC170" s="64">
        <f t="shared" si="147"/>
        <v>47.560975609756099</v>
      </c>
      <c r="AD170" s="63">
        <v>6380000</v>
      </c>
      <c r="AE170" s="64">
        <f t="shared" si="148"/>
        <v>122.25705329153604</v>
      </c>
      <c r="AF170" s="62" t="s">
        <v>316</v>
      </c>
      <c r="AH170" s="66"/>
    </row>
    <row r="171" spans="1:34" s="65" customFormat="1">
      <c r="A171" s="67" t="s">
        <v>296</v>
      </c>
      <c r="B171" s="67" t="s">
        <v>298</v>
      </c>
      <c r="C171" s="67" t="s">
        <v>178</v>
      </c>
      <c r="D171" s="67" t="s">
        <v>305</v>
      </c>
      <c r="E171" s="67" t="s">
        <v>96</v>
      </c>
      <c r="F171" s="67"/>
      <c r="G171" s="67"/>
      <c r="H171" s="67"/>
      <c r="I171" s="67"/>
      <c r="J171" s="67"/>
      <c r="K171" s="67"/>
      <c r="L171" s="67" t="s">
        <v>196</v>
      </c>
      <c r="M171" s="67" t="s">
        <v>190</v>
      </c>
      <c r="N171" s="67"/>
      <c r="O171" s="67"/>
      <c r="P171" s="67" t="s">
        <v>225</v>
      </c>
      <c r="Q171" s="67" t="s">
        <v>253</v>
      </c>
      <c r="R171" s="67" t="s">
        <v>245</v>
      </c>
      <c r="S171" s="67" t="s">
        <v>246</v>
      </c>
      <c r="T171" s="67">
        <v>0</v>
      </c>
      <c r="U171" s="67">
        <v>118003</v>
      </c>
      <c r="V171" s="67" t="s">
        <v>134</v>
      </c>
      <c r="W171" s="67">
        <v>4</v>
      </c>
      <c r="X171" s="67">
        <v>50000</v>
      </c>
      <c r="Y171" s="67">
        <v>45000</v>
      </c>
      <c r="Z171" s="68">
        <f t="shared" si="146"/>
        <v>111.11111111111111</v>
      </c>
      <c r="AA171" s="67">
        <v>1200000</v>
      </c>
      <c r="AB171" s="67">
        <v>650000</v>
      </c>
      <c r="AC171" s="68">
        <f t="shared" si="147"/>
        <v>54.166666666666664</v>
      </c>
      <c r="AD171" s="67">
        <v>495000</v>
      </c>
      <c r="AE171" s="68">
        <f t="shared" si="148"/>
        <v>131.31313131313132</v>
      </c>
      <c r="AF171" s="77" t="s">
        <v>82</v>
      </c>
      <c r="AH171" s="66"/>
    </row>
    <row r="172" spans="1:34" s="65" customFormat="1">
      <c r="A172" s="63" t="s">
        <v>296</v>
      </c>
      <c r="B172" s="63" t="s">
        <v>298</v>
      </c>
      <c r="C172" s="62" t="s">
        <v>178</v>
      </c>
      <c r="D172" s="63" t="s">
        <v>304</v>
      </c>
      <c r="E172" s="63" t="s">
        <v>96</v>
      </c>
      <c r="F172" s="63"/>
      <c r="G172" s="63"/>
      <c r="H172" s="63"/>
      <c r="I172" s="63"/>
      <c r="J172" s="63"/>
      <c r="K172" s="63"/>
      <c r="L172" s="63" t="s">
        <v>196</v>
      </c>
      <c r="M172" s="63" t="s">
        <v>190</v>
      </c>
      <c r="N172" s="63"/>
      <c r="O172" s="63"/>
      <c r="P172" s="63" t="s">
        <v>225</v>
      </c>
      <c r="Q172" s="63" t="s">
        <v>253</v>
      </c>
      <c r="R172" s="63" t="s">
        <v>245</v>
      </c>
      <c r="S172" s="63" t="s">
        <v>246</v>
      </c>
      <c r="T172" s="63">
        <v>0</v>
      </c>
      <c r="U172" s="63">
        <v>118004</v>
      </c>
      <c r="V172" s="63" t="s">
        <v>136</v>
      </c>
      <c r="W172" s="63">
        <v>4</v>
      </c>
      <c r="X172" s="63"/>
      <c r="Y172" s="63"/>
      <c r="Z172" s="69" t="s">
        <v>182</v>
      </c>
      <c r="AA172" s="63"/>
      <c r="AB172" s="63"/>
      <c r="AC172" s="69" t="s">
        <v>182</v>
      </c>
      <c r="AD172" s="63"/>
      <c r="AE172" s="69" t="s">
        <v>182</v>
      </c>
      <c r="AF172" s="62" t="s">
        <v>81</v>
      </c>
      <c r="AH172" s="66"/>
    </row>
    <row r="173" spans="1:34" s="65" customFormat="1">
      <c r="A173" s="67" t="s">
        <v>296</v>
      </c>
      <c r="B173" s="67" t="s">
        <v>298</v>
      </c>
      <c r="C173" s="67" t="s">
        <v>178</v>
      </c>
      <c r="D173" s="67" t="s">
        <v>305</v>
      </c>
      <c r="E173" s="67" t="s">
        <v>96</v>
      </c>
      <c r="F173" s="67"/>
      <c r="G173" s="67"/>
      <c r="H173" s="67"/>
      <c r="I173" s="67"/>
      <c r="J173" s="67"/>
      <c r="K173" s="67"/>
      <c r="L173" s="67" t="s">
        <v>196</v>
      </c>
      <c r="M173" s="67" t="s">
        <v>190</v>
      </c>
      <c r="N173" s="67"/>
      <c r="O173" s="67"/>
      <c r="P173" s="67" t="s">
        <v>225</v>
      </c>
      <c r="Q173" s="67" t="s">
        <v>253</v>
      </c>
      <c r="R173" s="67" t="s">
        <v>245</v>
      </c>
      <c r="S173" s="67" t="s">
        <v>246</v>
      </c>
      <c r="T173" s="67">
        <v>1</v>
      </c>
      <c r="U173" s="67"/>
      <c r="V173" s="67" t="s">
        <v>138</v>
      </c>
      <c r="W173" s="67">
        <v>4</v>
      </c>
      <c r="X173" s="67">
        <v>50000</v>
      </c>
      <c r="Y173" s="67">
        <v>45000</v>
      </c>
      <c r="Z173" s="68">
        <f t="shared" si="146"/>
        <v>111.11111111111111</v>
      </c>
      <c r="AA173" s="67">
        <v>1200000</v>
      </c>
      <c r="AB173" s="67">
        <v>650000</v>
      </c>
      <c r="AC173" s="68">
        <f t="shared" si="147"/>
        <v>54.166666666666664</v>
      </c>
      <c r="AD173" s="67">
        <v>495000</v>
      </c>
      <c r="AE173" s="68">
        <f t="shared" si="148"/>
        <v>131.31313131313132</v>
      </c>
      <c r="AF173" s="77" t="s">
        <v>77</v>
      </c>
      <c r="AH173" s="66"/>
    </row>
    <row r="174" spans="1:34" s="65" customFormat="1">
      <c r="A174" s="63" t="s">
        <v>296</v>
      </c>
      <c r="B174" s="63" t="s">
        <v>298</v>
      </c>
      <c r="C174" s="62" t="s">
        <v>178</v>
      </c>
      <c r="D174" s="63" t="s">
        <v>304</v>
      </c>
      <c r="E174" s="63" t="s">
        <v>96</v>
      </c>
      <c r="F174" s="63"/>
      <c r="G174" s="63"/>
      <c r="H174" s="62"/>
      <c r="I174" s="63"/>
      <c r="J174" s="62"/>
      <c r="K174" s="63"/>
      <c r="L174" s="62" t="s">
        <v>197</v>
      </c>
      <c r="M174" s="63" t="s">
        <v>190</v>
      </c>
      <c r="N174" s="63"/>
      <c r="O174" s="63"/>
      <c r="P174" s="63" t="s">
        <v>225</v>
      </c>
      <c r="Q174" s="63" t="s">
        <v>253</v>
      </c>
      <c r="R174" s="62" t="s">
        <v>247</v>
      </c>
      <c r="S174" s="63" t="s">
        <v>248</v>
      </c>
      <c r="T174" s="63">
        <v>0</v>
      </c>
      <c r="U174" s="63">
        <v>118001</v>
      </c>
      <c r="V174" s="63" t="s">
        <v>129</v>
      </c>
      <c r="W174" s="63">
        <v>4</v>
      </c>
      <c r="X174" s="63">
        <v>400000</v>
      </c>
      <c r="Y174" s="63">
        <v>390000</v>
      </c>
      <c r="Z174" s="64">
        <f>X174/Y174*100</f>
        <v>102.56410256410255</v>
      </c>
      <c r="AA174" s="63">
        <v>11600000</v>
      </c>
      <c r="AB174" s="63">
        <v>5200000</v>
      </c>
      <c r="AC174" s="64">
        <f>AB174/AA174*100</f>
        <v>44.827586206896555</v>
      </c>
      <c r="AD174" s="63">
        <v>4290000</v>
      </c>
      <c r="AE174" s="64">
        <f>AB174/AD174*100</f>
        <v>121.21212121212122</v>
      </c>
      <c r="AF174" s="62" t="s">
        <v>75</v>
      </c>
      <c r="AH174" s="66"/>
    </row>
    <row r="175" spans="1:34" s="65" customFormat="1">
      <c r="A175" s="67" t="s">
        <v>296</v>
      </c>
      <c r="B175" s="67" t="s">
        <v>298</v>
      </c>
      <c r="C175" s="67" t="s">
        <v>178</v>
      </c>
      <c r="D175" s="67" t="s">
        <v>305</v>
      </c>
      <c r="E175" s="67" t="s">
        <v>96</v>
      </c>
      <c r="F175" s="67"/>
      <c r="G175" s="67"/>
      <c r="H175" s="67"/>
      <c r="I175" s="67"/>
      <c r="J175" s="67"/>
      <c r="K175" s="67"/>
      <c r="L175" s="67" t="s">
        <v>196</v>
      </c>
      <c r="M175" s="67" t="s">
        <v>190</v>
      </c>
      <c r="N175" s="67"/>
      <c r="O175" s="67"/>
      <c r="P175" s="67" t="s">
        <v>225</v>
      </c>
      <c r="Q175" s="67" t="s">
        <v>253</v>
      </c>
      <c r="R175" s="67" t="s">
        <v>247</v>
      </c>
      <c r="S175" s="67" t="s">
        <v>248</v>
      </c>
      <c r="T175" s="67">
        <v>0</v>
      </c>
      <c r="U175" s="67">
        <v>118002</v>
      </c>
      <c r="V175" s="67" t="s">
        <v>131</v>
      </c>
      <c r="W175" s="67">
        <v>4</v>
      </c>
      <c r="X175" s="67">
        <v>200000</v>
      </c>
      <c r="Y175" s="67">
        <v>190000</v>
      </c>
      <c r="Z175" s="68">
        <f t="shared" ref="Z175:Z179" si="149">X175/Y175*100</f>
        <v>105.26315789473684</v>
      </c>
      <c r="AA175" s="67">
        <v>4800000</v>
      </c>
      <c r="AB175" s="67">
        <v>2600000</v>
      </c>
      <c r="AC175" s="68">
        <f t="shared" ref="AC175:AC179" si="150">AB175/AA175*100</f>
        <v>54.166666666666664</v>
      </c>
      <c r="AD175" s="67">
        <v>2090000</v>
      </c>
      <c r="AE175" s="68">
        <f t="shared" ref="AE175:AE179" si="151">AB175/AD175*100</f>
        <v>124.4019138755981</v>
      </c>
      <c r="AF175" s="77" t="s">
        <v>141</v>
      </c>
      <c r="AH175" s="66"/>
    </row>
    <row r="176" spans="1:34" s="65" customFormat="1">
      <c r="A176" s="63" t="s">
        <v>296</v>
      </c>
      <c r="B176" s="63" t="s">
        <v>298</v>
      </c>
      <c r="C176" s="62" t="s">
        <v>178</v>
      </c>
      <c r="D176" s="63" t="s">
        <v>304</v>
      </c>
      <c r="E176" s="63" t="s">
        <v>96</v>
      </c>
      <c r="F176" s="63"/>
      <c r="G176" s="63"/>
      <c r="H176" s="63"/>
      <c r="I176" s="63"/>
      <c r="J176" s="63"/>
      <c r="K176" s="63"/>
      <c r="L176" s="63" t="s">
        <v>196</v>
      </c>
      <c r="M176" s="63" t="s">
        <v>190</v>
      </c>
      <c r="N176" s="63"/>
      <c r="O176" s="63"/>
      <c r="P176" s="63" t="s">
        <v>225</v>
      </c>
      <c r="Q176" s="63" t="s">
        <v>253</v>
      </c>
      <c r="R176" s="63" t="s">
        <v>247</v>
      </c>
      <c r="S176" s="63" t="s">
        <v>248</v>
      </c>
      <c r="T176" s="63">
        <v>1</v>
      </c>
      <c r="U176" s="63"/>
      <c r="V176" s="63" t="s">
        <v>132</v>
      </c>
      <c r="W176" s="63">
        <v>4</v>
      </c>
      <c r="X176" s="63">
        <v>600000</v>
      </c>
      <c r="Y176" s="63">
        <v>580000</v>
      </c>
      <c r="Z176" s="64">
        <f t="shared" si="149"/>
        <v>103.44827586206897</v>
      </c>
      <c r="AA176" s="63">
        <v>16400000</v>
      </c>
      <c r="AB176" s="63">
        <v>7800000</v>
      </c>
      <c r="AC176" s="64">
        <f t="shared" si="150"/>
        <v>47.560975609756099</v>
      </c>
      <c r="AD176" s="63">
        <v>6380000</v>
      </c>
      <c r="AE176" s="64">
        <f t="shared" si="151"/>
        <v>122.25705329153604</v>
      </c>
      <c r="AF176" s="62" t="s">
        <v>316</v>
      </c>
      <c r="AH176" s="66"/>
    </row>
    <row r="177" spans="1:41" s="65" customFormat="1">
      <c r="A177" s="67" t="s">
        <v>296</v>
      </c>
      <c r="B177" s="67" t="s">
        <v>298</v>
      </c>
      <c r="C177" s="67" t="s">
        <v>178</v>
      </c>
      <c r="D177" s="67" t="s">
        <v>305</v>
      </c>
      <c r="E177" s="67" t="s">
        <v>96</v>
      </c>
      <c r="F177" s="67"/>
      <c r="G177" s="67"/>
      <c r="H177" s="67"/>
      <c r="I177" s="67"/>
      <c r="J177" s="67"/>
      <c r="K177" s="67"/>
      <c r="L177" s="67" t="s">
        <v>196</v>
      </c>
      <c r="M177" s="67" t="s">
        <v>190</v>
      </c>
      <c r="N177" s="67"/>
      <c r="O177" s="67"/>
      <c r="P177" s="67" t="s">
        <v>225</v>
      </c>
      <c r="Q177" s="67" t="s">
        <v>253</v>
      </c>
      <c r="R177" s="67" t="s">
        <v>247</v>
      </c>
      <c r="S177" s="67" t="s">
        <v>248</v>
      </c>
      <c r="T177" s="67">
        <v>0</v>
      </c>
      <c r="U177" s="67">
        <v>118003</v>
      </c>
      <c r="V177" s="67" t="s">
        <v>134</v>
      </c>
      <c r="W177" s="67">
        <v>4</v>
      </c>
      <c r="X177" s="67">
        <v>50000</v>
      </c>
      <c r="Y177" s="67">
        <v>45000</v>
      </c>
      <c r="Z177" s="68">
        <f t="shared" si="149"/>
        <v>111.11111111111111</v>
      </c>
      <c r="AA177" s="67">
        <v>1200000</v>
      </c>
      <c r="AB177" s="67">
        <v>650000</v>
      </c>
      <c r="AC177" s="68">
        <f t="shared" si="150"/>
        <v>54.166666666666664</v>
      </c>
      <c r="AD177" s="67">
        <v>495000</v>
      </c>
      <c r="AE177" s="68">
        <f t="shared" si="151"/>
        <v>131.31313131313132</v>
      </c>
      <c r="AF177" s="77" t="s">
        <v>82</v>
      </c>
      <c r="AH177" s="66"/>
    </row>
    <row r="178" spans="1:41" s="65" customFormat="1">
      <c r="A178" s="63" t="s">
        <v>296</v>
      </c>
      <c r="B178" s="63" t="s">
        <v>298</v>
      </c>
      <c r="C178" s="62" t="s">
        <v>178</v>
      </c>
      <c r="D178" s="63" t="s">
        <v>304</v>
      </c>
      <c r="E178" s="63" t="s">
        <v>96</v>
      </c>
      <c r="F178" s="63"/>
      <c r="G178" s="63"/>
      <c r="H178" s="63"/>
      <c r="I178" s="63"/>
      <c r="J178" s="63"/>
      <c r="K178" s="63"/>
      <c r="L178" s="63" t="s">
        <v>196</v>
      </c>
      <c r="M178" s="63" t="s">
        <v>190</v>
      </c>
      <c r="N178" s="63"/>
      <c r="O178" s="63"/>
      <c r="P178" s="63" t="s">
        <v>225</v>
      </c>
      <c r="Q178" s="63" t="s">
        <v>253</v>
      </c>
      <c r="R178" s="63" t="s">
        <v>247</v>
      </c>
      <c r="S178" s="63" t="s">
        <v>248</v>
      </c>
      <c r="T178" s="63">
        <v>0</v>
      </c>
      <c r="U178" s="63">
        <v>118004</v>
      </c>
      <c r="V178" s="63" t="s">
        <v>136</v>
      </c>
      <c r="W178" s="63">
        <v>4</v>
      </c>
      <c r="X178" s="63"/>
      <c r="Y178" s="63"/>
      <c r="Z178" s="69" t="s">
        <v>182</v>
      </c>
      <c r="AA178" s="63"/>
      <c r="AB178" s="63"/>
      <c r="AC178" s="69" t="s">
        <v>182</v>
      </c>
      <c r="AD178" s="63"/>
      <c r="AE178" s="69" t="s">
        <v>182</v>
      </c>
      <c r="AF178" s="62" t="s">
        <v>81</v>
      </c>
      <c r="AH178" s="66"/>
    </row>
    <row r="179" spans="1:41" s="65" customFormat="1">
      <c r="A179" s="67" t="s">
        <v>296</v>
      </c>
      <c r="B179" s="67" t="s">
        <v>298</v>
      </c>
      <c r="C179" s="67" t="s">
        <v>178</v>
      </c>
      <c r="D179" s="67" t="s">
        <v>305</v>
      </c>
      <c r="E179" s="67" t="s">
        <v>96</v>
      </c>
      <c r="F179" s="67"/>
      <c r="G179" s="67"/>
      <c r="H179" s="67"/>
      <c r="I179" s="67"/>
      <c r="J179" s="67"/>
      <c r="K179" s="67"/>
      <c r="L179" s="67" t="s">
        <v>196</v>
      </c>
      <c r="M179" s="67" t="s">
        <v>190</v>
      </c>
      <c r="N179" s="67"/>
      <c r="O179" s="67"/>
      <c r="P179" s="67" t="s">
        <v>225</v>
      </c>
      <c r="Q179" s="67" t="s">
        <v>253</v>
      </c>
      <c r="R179" s="67" t="s">
        <v>247</v>
      </c>
      <c r="S179" s="67" t="s">
        <v>248</v>
      </c>
      <c r="T179" s="67">
        <v>1</v>
      </c>
      <c r="U179" s="67"/>
      <c r="V179" s="67" t="s">
        <v>138</v>
      </c>
      <c r="W179" s="67">
        <v>4</v>
      </c>
      <c r="X179" s="67">
        <v>50000</v>
      </c>
      <c r="Y179" s="67">
        <v>45000</v>
      </c>
      <c r="Z179" s="68">
        <f t="shared" si="149"/>
        <v>111.11111111111111</v>
      </c>
      <c r="AA179" s="67">
        <v>1200000</v>
      </c>
      <c r="AB179" s="67">
        <v>650000</v>
      </c>
      <c r="AC179" s="68">
        <f t="shared" si="150"/>
        <v>54.166666666666664</v>
      </c>
      <c r="AD179" s="67">
        <v>495000</v>
      </c>
      <c r="AE179" s="68">
        <f t="shared" si="151"/>
        <v>131.31313131313132</v>
      </c>
      <c r="AF179" s="77" t="s">
        <v>77</v>
      </c>
      <c r="AH179" s="66"/>
    </row>
    <row r="180" spans="1:41" s="65" customFormat="1">
      <c r="A180" s="63" t="s">
        <v>296</v>
      </c>
      <c r="B180" s="63" t="s">
        <v>298</v>
      </c>
      <c r="C180" s="62" t="s">
        <v>178</v>
      </c>
      <c r="D180" s="63" t="s">
        <v>304</v>
      </c>
      <c r="E180" s="63" t="s">
        <v>96</v>
      </c>
      <c r="F180" s="63"/>
      <c r="G180" s="63"/>
      <c r="H180" s="62"/>
      <c r="I180" s="63"/>
      <c r="J180" s="62"/>
      <c r="K180" s="63"/>
      <c r="L180" s="63"/>
      <c r="M180" s="63"/>
      <c r="N180" s="62"/>
      <c r="O180" s="63"/>
      <c r="P180" s="62" t="s">
        <v>199</v>
      </c>
      <c r="Q180" s="63" t="s">
        <v>192</v>
      </c>
      <c r="R180" s="62" t="s">
        <v>249</v>
      </c>
      <c r="S180" s="63" t="s">
        <v>250</v>
      </c>
      <c r="T180" s="63">
        <v>0</v>
      </c>
      <c r="U180" s="63">
        <v>118001</v>
      </c>
      <c r="V180" s="63" t="s">
        <v>129</v>
      </c>
      <c r="W180" s="63">
        <v>4</v>
      </c>
      <c r="X180" s="63">
        <v>400000</v>
      </c>
      <c r="Y180" s="63">
        <v>390000</v>
      </c>
      <c r="Z180" s="64">
        <f>X180/Y180*100</f>
        <v>102.56410256410255</v>
      </c>
      <c r="AA180" s="63">
        <v>11600000</v>
      </c>
      <c r="AB180" s="63">
        <v>5200000</v>
      </c>
      <c r="AC180" s="64">
        <f>AB180/AA180*100</f>
        <v>44.827586206896555</v>
      </c>
      <c r="AD180" s="63">
        <v>4290000</v>
      </c>
      <c r="AE180" s="64">
        <f>AB180/AD180*100</f>
        <v>121.21212121212122</v>
      </c>
      <c r="AF180" s="62" t="s">
        <v>75</v>
      </c>
      <c r="AH180" s="66"/>
    </row>
    <row r="181" spans="1:41" s="65" customFormat="1">
      <c r="A181" s="67" t="s">
        <v>296</v>
      </c>
      <c r="B181" s="67" t="s">
        <v>298</v>
      </c>
      <c r="C181" s="67" t="s">
        <v>178</v>
      </c>
      <c r="D181" s="67" t="s">
        <v>305</v>
      </c>
      <c r="E181" s="67" t="s">
        <v>96</v>
      </c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 t="s">
        <v>198</v>
      </c>
      <c r="Q181" s="67" t="s">
        <v>191</v>
      </c>
      <c r="R181" s="67" t="s">
        <v>249</v>
      </c>
      <c r="S181" s="67" t="s">
        <v>250</v>
      </c>
      <c r="T181" s="67">
        <v>0</v>
      </c>
      <c r="U181" s="67">
        <v>118002</v>
      </c>
      <c r="V181" s="67" t="s">
        <v>131</v>
      </c>
      <c r="W181" s="67">
        <v>4</v>
      </c>
      <c r="X181" s="67">
        <v>200000</v>
      </c>
      <c r="Y181" s="67">
        <v>190000</v>
      </c>
      <c r="Z181" s="68">
        <f t="shared" ref="Z181:Z185" si="152">X181/Y181*100</f>
        <v>105.26315789473684</v>
      </c>
      <c r="AA181" s="67">
        <v>4800000</v>
      </c>
      <c r="AB181" s="67">
        <v>2600000</v>
      </c>
      <c r="AC181" s="68">
        <f t="shared" ref="AC181:AC185" si="153">AB181/AA181*100</f>
        <v>54.166666666666664</v>
      </c>
      <c r="AD181" s="67">
        <v>2090000</v>
      </c>
      <c r="AE181" s="68">
        <f t="shared" ref="AE181:AE185" si="154">AB181/AD181*100</f>
        <v>124.4019138755981</v>
      </c>
      <c r="AF181" s="77" t="s">
        <v>141</v>
      </c>
      <c r="AH181" s="66"/>
    </row>
    <row r="182" spans="1:41" s="65" customFormat="1">
      <c r="A182" s="63" t="s">
        <v>296</v>
      </c>
      <c r="B182" s="63" t="s">
        <v>298</v>
      </c>
      <c r="C182" s="62" t="s">
        <v>178</v>
      </c>
      <c r="D182" s="63" t="s">
        <v>304</v>
      </c>
      <c r="E182" s="63" t="s">
        <v>96</v>
      </c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 t="s">
        <v>198</v>
      </c>
      <c r="Q182" s="63" t="s">
        <v>191</v>
      </c>
      <c r="R182" s="63" t="s">
        <v>249</v>
      </c>
      <c r="S182" s="63" t="s">
        <v>250</v>
      </c>
      <c r="T182" s="63">
        <v>1</v>
      </c>
      <c r="U182" s="63"/>
      <c r="V182" s="63" t="s">
        <v>132</v>
      </c>
      <c r="W182" s="63">
        <v>4</v>
      </c>
      <c r="X182" s="63">
        <v>600000</v>
      </c>
      <c r="Y182" s="63">
        <v>580000</v>
      </c>
      <c r="Z182" s="64">
        <f t="shared" si="152"/>
        <v>103.44827586206897</v>
      </c>
      <c r="AA182" s="63">
        <v>16400000</v>
      </c>
      <c r="AB182" s="63">
        <v>7800000</v>
      </c>
      <c r="AC182" s="64">
        <f t="shared" si="153"/>
        <v>47.560975609756099</v>
      </c>
      <c r="AD182" s="63">
        <v>6380000</v>
      </c>
      <c r="AE182" s="64">
        <f t="shared" si="154"/>
        <v>122.25705329153604</v>
      </c>
      <c r="AF182" s="62" t="s">
        <v>316</v>
      </c>
      <c r="AH182" s="66"/>
    </row>
    <row r="183" spans="1:41" s="65" customFormat="1">
      <c r="A183" s="67" t="s">
        <v>296</v>
      </c>
      <c r="B183" s="67" t="s">
        <v>298</v>
      </c>
      <c r="C183" s="67" t="s">
        <v>178</v>
      </c>
      <c r="D183" s="67" t="s">
        <v>305</v>
      </c>
      <c r="E183" s="67" t="s">
        <v>96</v>
      </c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 t="s">
        <v>198</v>
      </c>
      <c r="Q183" s="67" t="s">
        <v>191</v>
      </c>
      <c r="R183" s="67" t="s">
        <v>249</v>
      </c>
      <c r="S183" s="67" t="s">
        <v>250</v>
      </c>
      <c r="T183" s="67">
        <v>0</v>
      </c>
      <c r="U183" s="67">
        <v>118003</v>
      </c>
      <c r="V183" s="67" t="s">
        <v>134</v>
      </c>
      <c r="W183" s="67">
        <v>4</v>
      </c>
      <c r="X183" s="67">
        <v>50000</v>
      </c>
      <c r="Y183" s="67">
        <v>45000</v>
      </c>
      <c r="Z183" s="68">
        <f t="shared" si="152"/>
        <v>111.11111111111111</v>
      </c>
      <c r="AA183" s="67">
        <v>1200000</v>
      </c>
      <c r="AB183" s="67">
        <v>650000</v>
      </c>
      <c r="AC183" s="68">
        <f t="shared" si="153"/>
        <v>54.166666666666664</v>
      </c>
      <c r="AD183" s="67">
        <v>495000</v>
      </c>
      <c r="AE183" s="68">
        <f t="shared" si="154"/>
        <v>131.31313131313132</v>
      </c>
      <c r="AF183" s="77" t="s">
        <v>82</v>
      </c>
      <c r="AH183" s="66"/>
    </row>
    <row r="184" spans="1:41" s="65" customFormat="1">
      <c r="A184" s="63" t="s">
        <v>296</v>
      </c>
      <c r="B184" s="63" t="s">
        <v>298</v>
      </c>
      <c r="C184" s="62" t="s">
        <v>178</v>
      </c>
      <c r="D184" s="63" t="s">
        <v>304</v>
      </c>
      <c r="E184" s="63" t="s">
        <v>96</v>
      </c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 t="s">
        <v>198</v>
      </c>
      <c r="Q184" s="63" t="s">
        <v>191</v>
      </c>
      <c r="R184" s="63" t="s">
        <v>249</v>
      </c>
      <c r="S184" s="63" t="s">
        <v>250</v>
      </c>
      <c r="T184" s="63">
        <v>0</v>
      </c>
      <c r="U184" s="63">
        <v>118004</v>
      </c>
      <c r="V184" s="63" t="s">
        <v>136</v>
      </c>
      <c r="W184" s="63">
        <v>4</v>
      </c>
      <c r="X184" s="63"/>
      <c r="Y184" s="63"/>
      <c r="Z184" s="69" t="s">
        <v>182</v>
      </c>
      <c r="AA184" s="63"/>
      <c r="AB184" s="63"/>
      <c r="AC184" s="69" t="s">
        <v>182</v>
      </c>
      <c r="AD184" s="63"/>
      <c r="AE184" s="69" t="s">
        <v>182</v>
      </c>
      <c r="AF184" s="62" t="s">
        <v>81</v>
      </c>
      <c r="AH184" s="66"/>
    </row>
    <row r="185" spans="1:41" s="65" customFormat="1">
      <c r="A185" s="67" t="s">
        <v>296</v>
      </c>
      <c r="B185" s="67" t="s">
        <v>298</v>
      </c>
      <c r="C185" s="67" t="s">
        <v>178</v>
      </c>
      <c r="D185" s="67" t="s">
        <v>305</v>
      </c>
      <c r="E185" s="67" t="s">
        <v>96</v>
      </c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 t="s">
        <v>198</v>
      </c>
      <c r="Q185" s="67" t="s">
        <v>191</v>
      </c>
      <c r="R185" s="67" t="s">
        <v>249</v>
      </c>
      <c r="S185" s="67" t="s">
        <v>250</v>
      </c>
      <c r="T185" s="67">
        <v>1</v>
      </c>
      <c r="U185" s="67"/>
      <c r="V185" s="67" t="s">
        <v>138</v>
      </c>
      <c r="W185" s="67">
        <v>4</v>
      </c>
      <c r="X185" s="67">
        <v>50000</v>
      </c>
      <c r="Y185" s="67">
        <v>45000</v>
      </c>
      <c r="Z185" s="68">
        <f t="shared" si="152"/>
        <v>111.11111111111111</v>
      </c>
      <c r="AA185" s="67">
        <v>1200000</v>
      </c>
      <c r="AB185" s="67">
        <v>650000</v>
      </c>
      <c r="AC185" s="68">
        <f t="shared" si="153"/>
        <v>54.166666666666664</v>
      </c>
      <c r="AD185" s="67">
        <v>495000</v>
      </c>
      <c r="AE185" s="68">
        <f t="shared" si="154"/>
        <v>131.31313131313132</v>
      </c>
      <c r="AF185" s="77" t="s">
        <v>77</v>
      </c>
      <c r="AH185" s="66"/>
    </row>
    <row r="186" spans="1:41" s="65" customFormat="1">
      <c r="A186" s="63" t="s">
        <v>296</v>
      </c>
      <c r="B186" s="63" t="s">
        <v>298</v>
      </c>
      <c r="C186" s="62" t="s">
        <v>178</v>
      </c>
      <c r="D186" s="63" t="s">
        <v>304</v>
      </c>
      <c r="E186" s="63" t="s">
        <v>96</v>
      </c>
      <c r="F186" s="63"/>
      <c r="G186" s="63"/>
      <c r="H186" s="62"/>
      <c r="I186" s="63"/>
      <c r="J186" s="62"/>
      <c r="K186" s="63"/>
      <c r="L186" s="63"/>
      <c r="M186" s="63"/>
      <c r="N186" s="62"/>
      <c r="O186" s="63"/>
      <c r="P186" s="62" t="s">
        <v>199</v>
      </c>
      <c r="Q186" s="63" t="s">
        <v>191</v>
      </c>
      <c r="R186" s="62" t="s">
        <v>76</v>
      </c>
      <c r="S186" s="63" t="s">
        <v>251</v>
      </c>
      <c r="T186" s="63">
        <v>0</v>
      </c>
      <c r="U186" s="63">
        <v>118001</v>
      </c>
      <c r="V186" s="63" t="s">
        <v>129</v>
      </c>
      <c r="W186" s="63">
        <v>4</v>
      </c>
      <c r="X186" s="63">
        <v>400000</v>
      </c>
      <c r="Y186" s="63">
        <v>390000</v>
      </c>
      <c r="Z186" s="64">
        <f>X186/Y186*100</f>
        <v>102.56410256410255</v>
      </c>
      <c r="AA186" s="63">
        <v>11600000</v>
      </c>
      <c r="AB186" s="63">
        <v>5200000</v>
      </c>
      <c r="AC186" s="64">
        <f>AB186/AA186*100</f>
        <v>44.827586206896555</v>
      </c>
      <c r="AD186" s="63">
        <v>4290000</v>
      </c>
      <c r="AE186" s="64">
        <f>AB186/AD186*100</f>
        <v>121.21212121212122</v>
      </c>
      <c r="AF186" s="62" t="s">
        <v>75</v>
      </c>
      <c r="AH186" s="66"/>
    </row>
    <row r="187" spans="1:41" s="65" customFormat="1">
      <c r="A187" s="67" t="s">
        <v>296</v>
      </c>
      <c r="B187" s="67" t="s">
        <v>298</v>
      </c>
      <c r="C187" s="67" t="s">
        <v>178</v>
      </c>
      <c r="D187" s="67" t="s">
        <v>305</v>
      </c>
      <c r="E187" s="67" t="s">
        <v>96</v>
      </c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 t="s">
        <v>198</v>
      </c>
      <c r="Q187" s="67" t="s">
        <v>191</v>
      </c>
      <c r="R187" s="67" t="s">
        <v>76</v>
      </c>
      <c r="S187" s="67" t="s">
        <v>251</v>
      </c>
      <c r="T187" s="67">
        <v>0</v>
      </c>
      <c r="U187" s="67">
        <v>118002</v>
      </c>
      <c r="V187" s="67" t="s">
        <v>131</v>
      </c>
      <c r="W187" s="67">
        <v>4</v>
      </c>
      <c r="X187" s="67">
        <v>200000</v>
      </c>
      <c r="Y187" s="67">
        <v>190000</v>
      </c>
      <c r="Z187" s="68">
        <f t="shared" ref="Z187:Z191" si="155">X187/Y187*100</f>
        <v>105.26315789473684</v>
      </c>
      <c r="AA187" s="67">
        <v>4800000</v>
      </c>
      <c r="AB187" s="67">
        <v>2600000</v>
      </c>
      <c r="AC187" s="68">
        <f t="shared" ref="AC187:AC191" si="156">AB187/AA187*100</f>
        <v>54.166666666666664</v>
      </c>
      <c r="AD187" s="67">
        <v>2090000</v>
      </c>
      <c r="AE187" s="68">
        <f t="shared" ref="AE187:AE191" si="157">AB187/AD187*100</f>
        <v>124.4019138755981</v>
      </c>
      <c r="AF187" s="77" t="s">
        <v>141</v>
      </c>
      <c r="AH187" s="66"/>
    </row>
    <row r="188" spans="1:41" s="65" customFormat="1">
      <c r="A188" s="63" t="s">
        <v>296</v>
      </c>
      <c r="B188" s="63" t="s">
        <v>298</v>
      </c>
      <c r="C188" s="62" t="s">
        <v>178</v>
      </c>
      <c r="D188" s="63" t="s">
        <v>304</v>
      </c>
      <c r="E188" s="63" t="s">
        <v>96</v>
      </c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 t="s">
        <v>198</v>
      </c>
      <c r="Q188" s="63" t="s">
        <v>191</v>
      </c>
      <c r="R188" s="63" t="s">
        <v>76</v>
      </c>
      <c r="S188" s="63" t="s">
        <v>251</v>
      </c>
      <c r="T188" s="63">
        <v>1</v>
      </c>
      <c r="U188" s="63"/>
      <c r="V188" s="63" t="s">
        <v>132</v>
      </c>
      <c r="W188" s="63">
        <v>4</v>
      </c>
      <c r="X188" s="63">
        <v>600000</v>
      </c>
      <c r="Y188" s="63">
        <v>580000</v>
      </c>
      <c r="Z188" s="64">
        <f t="shared" si="155"/>
        <v>103.44827586206897</v>
      </c>
      <c r="AA188" s="63">
        <v>16400000</v>
      </c>
      <c r="AB188" s="63">
        <v>7800000</v>
      </c>
      <c r="AC188" s="64">
        <f t="shared" si="156"/>
        <v>47.560975609756099</v>
      </c>
      <c r="AD188" s="63">
        <v>6380000</v>
      </c>
      <c r="AE188" s="64">
        <f t="shared" si="157"/>
        <v>122.25705329153604</v>
      </c>
      <c r="AF188" s="62" t="s">
        <v>316</v>
      </c>
      <c r="AH188" s="66"/>
    </row>
    <row r="189" spans="1:41" s="65" customFormat="1">
      <c r="A189" s="67" t="s">
        <v>296</v>
      </c>
      <c r="B189" s="67" t="s">
        <v>298</v>
      </c>
      <c r="C189" s="67" t="s">
        <v>178</v>
      </c>
      <c r="D189" s="67" t="s">
        <v>305</v>
      </c>
      <c r="E189" s="67" t="s">
        <v>96</v>
      </c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 t="s">
        <v>198</v>
      </c>
      <c r="Q189" s="67" t="s">
        <v>191</v>
      </c>
      <c r="R189" s="67" t="s">
        <v>76</v>
      </c>
      <c r="S189" s="67" t="s">
        <v>251</v>
      </c>
      <c r="T189" s="67">
        <v>0</v>
      </c>
      <c r="U189" s="67">
        <v>118003</v>
      </c>
      <c r="V189" s="67" t="s">
        <v>134</v>
      </c>
      <c r="W189" s="67">
        <v>4</v>
      </c>
      <c r="X189" s="67">
        <v>50000</v>
      </c>
      <c r="Y189" s="67">
        <v>45000</v>
      </c>
      <c r="Z189" s="68">
        <f t="shared" si="155"/>
        <v>111.11111111111111</v>
      </c>
      <c r="AA189" s="67">
        <v>1200000</v>
      </c>
      <c r="AB189" s="67">
        <v>650000</v>
      </c>
      <c r="AC189" s="68">
        <f t="shared" si="156"/>
        <v>54.166666666666664</v>
      </c>
      <c r="AD189" s="67">
        <v>495000</v>
      </c>
      <c r="AE189" s="68">
        <f t="shared" si="157"/>
        <v>131.31313131313132</v>
      </c>
      <c r="AF189" s="77" t="s">
        <v>82</v>
      </c>
      <c r="AH189" s="66"/>
    </row>
    <row r="190" spans="1:41" s="65" customFormat="1">
      <c r="A190" s="63" t="s">
        <v>296</v>
      </c>
      <c r="B190" s="63" t="s">
        <v>298</v>
      </c>
      <c r="C190" s="62" t="s">
        <v>178</v>
      </c>
      <c r="D190" s="63" t="s">
        <v>304</v>
      </c>
      <c r="E190" s="63" t="s">
        <v>96</v>
      </c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 t="s">
        <v>198</v>
      </c>
      <c r="Q190" s="63" t="s">
        <v>191</v>
      </c>
      <c r="R190" s="63" t="s">
        <v>76</v>
      </c>
      <c r="S190" s="63" t="s">
        <v>251</v>
      </c>
      <c r="T190" s="63">
        <v>0</v>
      </c>
      <c r="U190" s="63">
        <v>118004</v>
      </c>
      <c r="V190" s="63" t="s">
        <v>136</v>
      </c>
      <c r="W190" s="63">
        <v>4</v>
      </c>
      <c r="X190" s="63"/>
      <c r="Y190" s="63"/>
      <c r="Z190" s="69" t="s">
        <v>182</v>
      </c>
      <c r="AA190" s="63"/>
      <c r="AB190" s="63"/>
      <c r="AC190" s="69" t="s">
        <v>182</v>
      </c>
      <c r="AD190" s="63"/>
      <c r="AE190" s="69" t="s">
        <v>182</v>
      </c>
      <c r="AF190" s="62" t="s">
        <v>81</v>
      </c>
      <c r="AH190" s="66"/>
    </row>
    <row r="191" spans="1:41" s="65" customFormat="1">
      <c r="A191" s="67" t="s">
        <v>296</v>
      </c>
      <c r="B191" s="67" t="s">
        <v>298</v>
      </c>
      <c r="C191" s="67" t="s">
        <v>178</v>
      </c>
      <c r="D191" s="67" t="s">
        <v>305</v>
      </c>
      <c r="E191" s="67" t="s">
        <v>96</v>
      </c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 t="s">
        <v>198</v>
      </c>
      <c r="Q191" s="67" t="s">
        <v>191</v>
      </c>
      <c r="R191" s="67" t="s">
        <v>76</v>
      </c>
      <c r="S191" s="67" t="s">
        <v>251</v>
      </c>
      <c r="T191" s="67">
        <v>1</v>
      </c>
      <c r="U191" s="67"/>
      <c r="V191" s="67" t="s">
        <v>138</v>
      </c>
      <c r="W191" s="67">
        <v>4</v>
      </c>
      <c r="X191" s="67">
        <v>50000</v>
      </c>
      <c r="Y191" s="67">
        <v>45000</v>
      </c>
      <c r="Z191" s="68">
        <f t="shared" si="155"/>
        <v>111.11111111111111</v>
      </c>
      <c r="AA191" s="67">
        <v>1200000</v>
      </c>
      <c r="AB191" s="67">
        <v>650000</v>
      </c>
      <c r="AC191" s="68">
        <f t="shared" si="156"/>
        <v>54.166666666666664</v>
      </c>
      <c r="AD191" s="67">
        <v>495000</v>
      </c>
      <c r="AE191" s="68">
        <f t="shared" si="157"/>
        <v>131.31313131313132</v>
      </c>
      <c r="AF191" s="77" t="s">
        <v>77</v>
      </c>
      <c r="AH191" s="66"/>
    </row>
    <row r="192" spans="1:41">
      <c r="A192" s="47"/>
      <c r="C192" s="47"/>
      <c r="D192" s="47"/>
      <c r="H192" s="47"/>
      <c r="V192" s="44"/>
      <c r="W192" s="45"/>
      <c r="X192" s="45"/>
      <c r="Y192" s="54"/>
      <c r="Z192" s="45"/>
      <c r="AA192" s="46"/>
      <c r="AB192" s="45"/>
      <c r="AC192" s="45"/>
      <c r="AD192" s="45"/>
      <c r="AE192" s="45"/>
      <c r="AF192" s="45"/>
      <c r="AH192" s="60"/>
      <c r="AI192" s="60"/>
      <c r="AM192" s="47"/>
      <c r="AO192" s="60"/>
    </row>
    <row r="193" spans="1:41">
      <c r="A193" s="47"/>
      <c r="C193" s="47"/>
      <c r="D193" s="47"/>
      <c r="H193" s="47"/>
      <c r="Y193" s="60"/>
      <c r="AA193" s="47"/>
      <c r="AH193" s="60"/>
      <c r="AI193" s="60"/>
      <c r="AM193" s="47"/>
      <c r="AO193" s="60"/>
    </row>
    <row r="194" spans="1:41">
      <c r="E194" s="76"/>
      <c r="Y194" s="60"/>
      <c r="AA194" s="47"/>
      <c r="AH194" s="60"/>
      <c r="AI194" s="60"/>
      <c r="AM194" s="47"/>
      <c r="AO194" s="60"/>
    </row>
    <row r="195" spans="1:41">
      <c r="A195" s="47"/>
      <c r="C195" s="47"/>
      <c r="D195" s="47"/>
      <c r="E195" s="60"/>
      <c r="H195" s="47"/>
      <c r="K195" s="60"/>
      <c r="Y195" s="60"/>
      <c r="AA195" s="47"/>
      <c r="AH195" s="60"/>
      <c r="AI195" s="60"/>
      <c r="AM195" s="47"/>
      <c r="AO195" s="60"/>
    </row>
    <row r="196" spans="1:41" ht="16.2">
      <c r="A196" s="52" t="s">
        <v>184</v>
      </c>
      <c r="C196" s="47"/>
      <c r="D196" s="47"/>
      <c r="H196" s="47"/>
      <c r="Y196" s="60"/>
      <c r="AA196" s="47"/>
      <c r="AH196" s="60"/>
      <c r="AI196" s="60"/>
      <c r="AM196" s="47"/>
      <c r="AO196" s="60"/>
    </row>
    <row r="197" spans="1:41" s="61" customFormat="1" ht="33.75" customHeight="1">
      <c r="A197" s="37" t="s">
        <v>103</v>
      </c>
      <c r="B197" s="37" t="s">
        <v>104</v>
      </c>
      <c r="C197" s="38" t="s">
        <v>173</v>
      </c>
      <c r="D197" s="38" t="s">
        <v>174</v>
      </c>
      <c r="E197" s="38" t="s">
        <v>105</v>
      </c>
      <c r="F197" s="37" t="s">
        <v>106</v>
      </c>
      <c r="G197" s="37" t="s">
        <v>107</v>
      </c>
      <c r="H197" s="39" t="s">
        <v>108</v>
      </c>
      <c r="I197" s="39" t="s">
        <v>109</v>
      </c>
      <c r="J197" s="39" t="s">
        <v>110</v>
      </c>
      <c r="K197" s="39" t="s">
        <v>111</v>
      </c>
      <c r="L197" s="39" t="s">
        <v>200</v>
      </c>
      <c r="M197" s="39" t="s">
        <v>201</v>
      </c>
      <c r="N197" s="39" t="s">
        <v>261</v>
      </c>
      <c r="O197" s="39" t="s">
        <v>262</v>
      </c>
      <c r="P197" s="39" t="s">
        <v>263</v>
      </c>
      <c r="Q197" s="39" t="s">
        <v>264</v>
      </c>
      <c r="R197" s="39" t="s">
        <v>112</v>
      </c>
      <c r="S197" s="39" t="s">
        <v>113</v>
      </c>
      <c r="T197" s="39" t="s">
        <v>114</v>
      </c>
      <c r="U197" s="39" t="s">
        <v>115</v>
      </c>
      <c r="V197" s="39" t="s">
        <v>116</v>
      </c>
      <c r="W197" s="39" t="s">
        <v>117</v>
      </c>
      <c r="X197" s="39" t="s">
        <v>118</v>
      </c>
      <c r="Y197" s="53" t="s">
        <v>119</v>
      </c>
      <c r="Z197" s="39" t="s">
        <v>120</v>
      </c>
      <c r="AA197" s="39" t="s">
        <v>121</v>
      </c>
      <c r="AB197" s="39" t="s">
        <v>122</v>
      </c>
      <c r="AC197" s="39" t="s">
        <v>123</v>
      </c>
      <c r="AD197" s="39" t="s">
        <v>124</v>
      </c>
      <c r="AE197" s="39" t="s">
        <v>125</v>
      </c>
      <c r="AF197" s="39" t="s">
        <v>126</v>
      </c>
    </row>
    <row r="198" spans="1:41" s="65" customFormat="1">
      <c r="A198" s="63" t="s">
        <v>296</v>
      </c>
      <c r="B198" s="63" t="s">
        <v>298</v>
      </c>
      <c r="C198" s="62" t="s">
        <v>180</v>
      </c>
      <c r="D198" s="63" t="s">
        <v>272</v>
      </c>
      <c r="E198" s="63" t="s">
        <v>127</v>
      </c>
      <c r="F198" s="63" t="s">
        <v>130</v>
      </c>
      <c r="G198" s="63" t="s">
        <v>235</v>
      </c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>
        <v>0</v>
      </c>
      <c r="U198" s="63">
        <v>118001</v>
      </c>
      <c r="V198" s="63" t="s">
        <v>129</v>
      </c>
      <c r="W198" s="63">
        <v>4</v>
      </c>
      <c r="X198" s="63">
        <f>SUM(X213,X207,X221,X227)</f>
        <v>5200000</v>
      </c>
      <c r="Y198" s="63">
        <f>SUM(Y213,Y207,Y221,Y227)</f>
        <v>5070000</v>
      </c>
      <c r="Z198" s="64">
        <f>X198/Y198*100</f>
        <v>102.56410256410255</v>
      </c>
      <c r="AA198" s="63">
        <f>SUM(AA213,AA207,AA221,AA227)</f>
        <v>150800000</v>
      </c>
      <c r="AB198" s="63">
        <f>SUM(AB213,AB207,AB221,AB227)</f>
        <v>67600000</v>
      </c>
      <c r="AC198" s="64">
        <f>AB198/AA198*100</f>
        <v>44.827586206896555</v>
      </c>
      <c r="AD198" s="63">
        <f>SUM(AD213,AD207,AD221,AD227)</f>
        <v>55770000</v>
      </c>
      <c r="AE198" s="64">
        <f>AB198/AD198*100</f>
        <v>121.21212121212122</v>
      </c>
      <c r="AF198" s="63" t="s">
        <v>75</v>
      </c>
      <c r="AH198" s="66"/>
    </row>
    <row r="199" spans="1:41" s="65" customFormat="1">
      <c r="A199" s="67" t="s">
        <v>296</v>
      </c>
      <c r="B199" s="67" t="s">
        <v>298</v>
      </c>
      <c r="C199" s="67" t="s">
        <v>179</v>
      </c>
      <c r="D199" s="67" t="s">
        <v>272</v>
      </c>
      <c r="E199" s="67" t="s">
        <v>127</v>
      </c>
      <c r="F199" s="67" t="s">
        <v>130</v>
      </c>
      <c r="G199" s="67" t="s">
        <v>235</v>
      </c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>
        <v>0</v>
      </c>
      <c r="U199" s="67">
        <v>118002</v>
      </c>
      <c r="V199" s="67" t="s">
        <v>131</v>
      </c>
      <c r="W199" s="67">
        <v>4</v>
      </c>
      <c r="X199" s="67">
        <f>SUM(X214,X208,X222,X228)</f>
        <v>2600000</v>
      </c>
      <c r="Y199" s="67">
        <f>SUM(Y214,Y208,Y222,Y228)</f>
        <v>2470000</v>
      </c>
      <c r="Z199" s="68">
        <f t="shared" ref="Z199:Z201" si="158">X199/Y199*100</f>
        <v>105.26315789473684</v>
      </c>
      <c r="AA199" s="67">
        <f>SUM(AA214,AA208,AA222,AA228)</f>
        <v>62400000</v>
      </c>
      <c r="AB199" s="67">
        <f>SUM(AB214,AB208,AB222,AB228)</f>
        <v>33800000</v>
      </c>
      <c r="AC199" s="68">
        <f t="shared" ref="AC199:AC201" si="159">AB199/AA199*100</f>
        <v>54.166666666666664</v>
      </c>
      <c r="AD199" s="67">
        <f>SUM(AD214,AD208,AD222,AD228)</f>
        <v>27170000</v>
      </c>
      <c r="AE199" s="68">
        <f t="shared" ref="AE199:AE201" si="160">AB199/AD199*100</f>
        <v>124.4019138755981</v>
      </c>
      <c r="AF199" s="67" t="s">
        <v>78</v>
      </c>
      <c r="AH199" s="66"/>
    </row>
    <row r="200" spans="1:41" s="65" customFormat="1">
      <c r="A200" s="63" t="s">
        <v>296</v>
      </c>
      <c r="B200" s="63" t="s">
        <v>298</v>
      </c>
      <c r="C200" s="63" t="s">
        <v>179</v>
      </c>
      <c r="D200" s="63" t="s">
        <v>272</v>
      </c>
      <c r="E200" s="63" t="s">
        <v>96</v>
      </c>
      <c r="F200" s="63" t="s">
        <v>130</v>
      </c>
      <c r="G200" s="63" t="s">
        <v>235</v>
      </c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>
        <v>1</v>
      </c>
      <c r="U200" s="63"/>
      <c r="V200" s="63" t="s">
        <v>132</v>
      </c>
      <c r="W200" s="63">
        <v>4</v>
      </c>
      <c r="X200" s="63">
        <f>SUM(X198:X199)</f>
        <v>7800000</v>
      </c>
      <c r="Y200" s="63">
        <f>SUM(Y198:Y199)</f>
        <v>7540000</v>
      </c>
      <c r="Z200" s="64">
        <f t="shared" si="158"/>
        <v>103.44827586206897</v>
      </c>
      <c r="AA200" s="63">
        <f>SUM(AA198:AA199)</f>
        <v>213200000</v>
      </c>
      <c r="AB200" s="63">
        <f>SUM(AB198:AB199)</f>
        <v>101400000</v>
      </c>
      <c r="AC200" s="64">
        <f t="shared" si="159"/>
        <v>47.560975609756099</v>
      </c>
      <c r="AD200" s="63">
        <f>SUM(AD198:AD199)</f>
        <v>82940000</v>
      </c>
      <c r="AE200" s="64">
        <f t="shared" si="160"/>
        <v>122.25705329153604</v>
      </c>
      <c r="AF200" s="63" t="s">
        <v>133</v>
      </c>
      <c r="AH200" s="66"/>
    </row>
    <row r="201" spans="1:41" s="65" customFormat="1">
      <c r="A201" s="67" t="s">
        <v>296</v>
      </c>
      <c r="B201" s="67" t="s">
        <v>298</v>
      </c>
      <c r="C201" s="67" t="s">
        <v>179</v>
      </c>
      <c r="D201" s="67" t="s">
        <v>272</v>
      </c>
      <c r="E201" s="67" t="s">
        <v>96</v>
      </c>
      <c r="F201" s="67" t="s">
        <v>130</v>
      </c>
      <c r="G201" s="67" t="s">
        <v>235</v>
      </c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>
        <v>0</v>
      </c>
      <c r="U201" s="67">
        <v>118003</v>
      </c>
      <c r="V201" s="67" t="s">
        <v>134</v>
      </c>
      <c r="W201" s="67">
        <v>4</v>
      </c>
      <c r="X201" s="67">
        <f>SUM(X216,X210,X224,X230)</f>
        <v>750000</v>
      </c>
      <c r="Y201" s="67">
        <f>SUM(Y216,Y210,Y224,Y230)</f>
        <v>675000</v>
      </c>
      <c r="Z201" s="68">
        <f t="shared" si="158"/>
        <v>111.11111111111111</v>
      </c>
      <c r="AA201" s="67">
        <f>SUM(AA216,AA210,AA224,AA230)</f>
        <v>18000000</v>
      </c>
      <c r="AB201" s="67">
        <f>SUM(AB216,AB210,AB224,AB230)</f>
        <v>9750000</v>
      </c>
      <c r="AC201" s="68">
        <f t="shared" si="159"/>
        <v>54.166666666666664</v>
      </c>
      <c r="AD201" s="67">
        <f>SUM(AD216,AD210,AD224,AD230)</f>
        <v>7425000</v>
      </c>
      <c r="AE201" s="68">
        <f t="shared" si="160"/>
        <v>131.31313131313132</v>
      </c>
      <c r="AF201" s="67" t="s">
        <v>135</v>
      </c>
      <c r="AH201" s="66"/>
    </row>
    <row r="202" spans="1:41" s="65" customFormat="1">
      <c r="A202" s="63" t="s">
        <v>296</v>
      </c>
      <c r="B202" s="63" t="s">
        <v>298</v>
      </c>
      <c r="C202" s="63" t="s">
        <v>179</v>
      </c>
      <c r="D202" s="63" t="s">
        <v>272</v>
      </c>
      <c r="E202" s="63" t="s">
        <v>96</v>
      </c>
      <c r="F202" s="63" t="s">
        <v>130</v>
      </c>
      <c r="G202" s="63" t="s">
        <v>235</v>
      </c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>
        <v>0</v>
      </c>
      <c r="U202" s="63">
        <v>118004</v>
      </c>
      <c r="V202" s="63" t="s">
        <v>136</v>
      </c>
      <c r="W202" s="63">
        <v>4</v>
      </c>
      <c r="X202" s="63"/>
      <c r="Y202" s="63"/>
      <c r="Z202" s="69" t="s">
        <v>182</v>
      </c>
      <c r="AA202" s="63"/>
      <c r="AB202" s="63"/>
      <c r="AC202" s="69" t="s">
        <v>182</v>
      </c>
      <c r="AD202" s="63"/>
      <c r="AE202" s="64">
        <v>0</v>
      </c>
      <c r="AF202" s="63" t="s">
        <v>81</v>
      </c>
      <c r="AH202" s="66"/>
    </row>
    <row r="203" spans="1:41" s="65" customFormat="1">
      <c r="A203" s="67" t="s">
        <v>296</v>
      </c>
      <c r="B203" s="67" t="s">
        <v>298</v>
      </c>
      <c r="C203" s="67" t="s">
        <v>179</v>
      </c>
      <c r="D203" s="67" t="s">
        <v>272</v>
      </c>
      <c r="E203" s="67" t="s">
        <v>96</v>
      </c>
      <c r="F203" s="67" t="s">
        <v>130</v>
      </c>
      <c r="G203" s="67" t="s">
        <v>235</v>
      </c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>
        <v>1</v>
      </c>
      <c r="U203" s="67"/>
      <c r="V203" s="67" t="s">
        <v>138</v>
      </c>
      <c r="W203" s="67">
        <v>4</v>
      </c>
      <c r="X203" s="67">
        <f t="shared" ref="X203:Y203" si="161">SUM(X201:X202)</f>
        <v>750000</v>
      </c>
      <c r="Y203" s="67">
        <f t="shared" si="161"/>
        <v>675000</v>
      </c>
      <c r="Z203" s="68">
        <f>X203/Y203*100</f>
        <v>111.11111111111111</v>
      </c>
      <c r="AA203" s="67">
        <f t="shared" ref="AA203" si="162">SUM(AA201:AA202)</f>
        <v>18000000</v>
      </c>
      <c r="AB203" s="67">
        <f t="shared" ref="AB203" si="163">SUM(AB201:AB202)</f>
        <v>9750000</v>
      </c>
      <c r="AC203" s="68">
        <f>AB203/AA203*100</f>
        <v>54.166666666666664</v>
      </c>
      <c r="AD203" s="67">
        <f>SUM(AD201:AD202)</f>
        <v>7425000</v>
      </c>
      <c r="AE203" s="68">
        <f t="shared" ref="AE203" si="164">AB203/AD203*100</f>
        <v>131.31313131313132</v>
      </c>
      <c r="AF203" s="67" t="s">
        <v>139</v>
      </c>
      <c r="AH203" s="66"/>
    </row>
    <row r="204" spans="1:41" s="65" customFormat="1">
      <c r="A204" s="63" t="s">
        <v>296</v>
      </c>
      <c r="B204" s="63" t="s">
        <v>298</v>
      </c>
      <c r="C204" s="63" t="s">
        <v>179</v>
      </c>
      <c r="D204" s="63" t="s">
        <v>272</v>
      </c>
      <c r="E204" s="63" t="s">
        <v>96</v>
      </c>
      <c r="F204" s="63" t="s">
        <v>130</v>
      </c>
      <c r="G204" s="63" t="s">
        <v>235</v>
      </c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>
        <v>0</v>
      </c>
      <c r="U204" s="63">
        <v>300106</v>
      </c>
      <c r="V204" s="63" t="s">
        <v>319</v>
      </c>
      <c r="W204" s="63">
        <v>4</v>
      </c>
      <c r="X204" s="63">
        <v>1000</v>
      </c>
      <c r="Y204" s="63">
        <v>1000</v>
      </c>
      <c r="Z204" s="103">
        <f t="shared" ref="Z204:Z205" si="165">X204/Y204*100</f>
        <v>100</v>
      </c>
      <c r="AA204" s="63">
        <v>1000</v>
      </c>
      <c r="AB204" s="63">
        <v>1000</v>
      </c>
      <c r="AC204" s="103">
        <f>AA204/AB204*100</f>
        <v>100</v>
      </c>
      <c r="AD204" s="63">
        <v>1000</v>
      </c>
      <c r="AE204" s="64">
        <f>AB204/AD204*100</f>
        <v>100</v>
      </c>
      <c r="AF204" s="63" t="s">
        <v>317</v>
      </c>
      <c r="AH204" s="66"/>
    </row>
    <row r="205" spans="1:41" s="65" customFormat="1">
      <c r="A205" s="67" t="s">
        <v>296</v>
      </c>
      <c r="B205" s="67" t="s">
        <v>298</v>
      </c>
      <c r="C205" s="67" t="s">
        <v>179</v>
      </c>
      <c r="D205" s="67" t="s">
        <v>272</v>
      </c>
      <c r="E205" s="67" t="s">
        <v>96</v>
      </c>
      <c r="F205" s="67" t="s">
        <v>130</v>
      </c>
      <c r="G205" s="67" t="s">
        <v>235</v>
      </c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>
        <v>0</v>
      </c>
      <c r="U205" s="67">
        <v>400107</v>
      </c>
      <c r="V205" s="67" t="s">
        <v>258</v>
      </c>
      <c r="W205" s="67">
        <v>4</v>
      </c>
      <c r="X205" s="67">
        <v>1000</v>
      </c>
      <c r="Y205" s="67">
        <v>1000</v>
      </c>
      <c r="Z205" s="104">
        <f t="shared" si="165"/>
        <v>100</v>
      </c>
      <c r="AA205" s="67">
        <v>1000</v>
      </c>
      <c r="AB205" s="67">
        <v>1000</v>
      </c>
      <c r="AC205" s="104">
        <f>AA205/AB205*100</f>
        <v>100</v>
      </c>
      <c r="AD205" s="67">
        <v>1000</v>
      </c>
      <c r="AE205" s="68">
        <f>AB205/AD205*100</f>
        <v>100</v>
      </c>
      <c r="AF205" s="67" t="s">
        <v>318</v>
      </c>
      <c r="AH205" s="66"/>
    </row>
    <row r="206" spans="1:41" s="65" customFormat="1" ht="14.4">
      <c r="A206" s="40"/>
      <c r="B206" s="40"/>
      <c r="C206" s="40"/>
      <c r="D206" s="40"/>
      <c r="E206" s="71"/>
      <c r="F206" s="40"/>
      <c r="G206" s="40"/>
      <c r="H206" s="40"/>
      <c r="I206" s="41" t="s">
        <v>140</v>
      </c>
      <c r="J206" s="41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3"/>
      <c r="V206" s="42"/>
      <c r="W206" s="72"/>
      <c r="X206" s="72"/>
      <c r="Y206" s="73"/>
      <c r="Z206" s="72"/>
      <c r="AA206" s="72"/>
      <c r="AB206" s="72"/>
      <c r="AC206" s="72"/>
      <c r="AD206" s="72"/>
      <c r="AE206" s="72"/>
      <c r="AF206" s="72"/>
      <c r="AH206" s="66"/>
    </row>
    <row r="207" spans="1:41" s="65" customFormat="1">
      <c r="A207" s="63" t="s">
        <v>296</v>
      </c>
      <c r="B207" s="63" t="s">
        <v>298</v>
      </c>
      <c r="C207" s="62" t="s">
        <v>176</v>
      </c>
      <c r="D207" s="63" t="s">
        <v>302</v>
      </c>
      <c r="E207" s="63" t="s">
        <v>96</v>
      </c>
      <c r="F207" s="63" t="s">
        <v>130</v>
      </c>
      <c r="G207" s="63" t="s">
        <v>235</v>
      </c>
      <c r="H207" s="62"/>
      <c r="I207" s="63"/>
      <c r="J207" s="62"/>
      <c r="K207" s="63"/>
      <c r="L207" s="63" t="s">
        <v>194</v>
      </c>
      <c r="M207" s="63" t="s">
        <v>188</v>
      </c>
      <c r="N207" s="63"/>
      <c r="O207" s="63"/>
      <c r="P207" s="63"/>
      <c r="Q207" s="63"/>
      <c r="R207" s="62"/>
      <c r="S207" s="63"/>
      <c r="T207" s="63">
        <v>0</v>
      </c>
      <c r="U207" s="63">
        <v>118001</v>
      </c>
      <c r="V207" s="63" t="s">
        <v>129</v>
      </c>
      <c r="W207" s="63">
        <v>4</v>
      </c>
      <c r="X207" s="63">
        <f>SUM(X309,X303,X297,X234)</f>
        <v>1200000</v>
      </c>
      <c r="Y207" s="63">
        <f>SUM(Y309,Y303,Y297,Y234)</f>
        <v>1170000</v>
      </c>
      <c r="Z207" s="64">
        <f>X207/Y207*100</f>
        <v>102.56410256410255</v>
      </c>
      <c r="AA207" s="63">
        <f>SUM(AA309,AA303,AA297,AA234)</f>
        <v>34800000</v>
      </c>
      <c r="AB207" s="63">
        <f>SUM(AB309,AB303,AB297,AB234)</f>
        <v>15600000</v>
      </c>
      <c r="AC207" s="64">
        <f>AB207/AA207*100</f>
        <v>44.827586206896555</v>
      </c>
      <c r="AD207" s="63">
        <f>SUM(AD309,AD303,AD297,AD234)</f>
        <v>12870000</v>
      </c>
      <c r="AE207" s="64">
        <f>AB207/AD207*100</f>
        <v>121.21212121212122</v>
      </c>
      <c r="AF207" s="63" t="s">
        <v>75</v>
      </c>
      <c r="AH207" s="66"/>
    </row>
    <row r="208" spans="1:41" s="65" customFormat="1">
      <c r="A208" s="67" t="s">
        <v>296</v>
      </c>
      <c r="B208" s="67" t="s">
        <v>298</v>
      </c>
      <c r="C208" s="67" t="s">
        <v>76</v>
      </c>
      <c r="D208" s="67" t="s">
        <v>302</v>
      </c>
      <c r="E208" s="67" t="s">
        <v>96</v>
      </c>
      <c r="F208" s="67" t="s">
        <v>130</v>
      </c>
      <c r="G208" s="67" t="s">
        <v>235</v>
      </c>
      <c r="H208" s="67"/>
      <c r="I208" s="67"/>
      <c r="J208" s="67"/>
      <c r="K208" s="67"/>
      <c r="L208" s="67" t="s">
        <v>194</v>
      </c>
      <c r="M208" s="67" t="s">
        <v>188</v>
      </c>
      <c r="N208" s="67"/>
      <c r="O208" s="67"/>
      <c r="P208" s="67"/>
      <c r="Q208" s="67"/>
      <c r="R208" s="67"/>
      <c r="S208" s="67"/>
      <c r="T208" s="67">
        <v>0</v>
      </c>
      <c r="U208" s="67">
        <v>118002</v>
      </c>
      <c r="V208" s="67" t="s">
        <v>131</v>
      </c>
      <c r="W208" s="67">
        <v>4</v>
      </c>
      <c r="X208" s="67">
        <f>SUM(X310,X304,X298,X235)</f>
        <v>600000</v>
      </c>
      <c r="Y208" s="67">
        <f>SUM(Y310,Y304,Y298,Y235)</f>
        <v>570000</v>
      </c>
      <c r="Z208" s="68">
        <f>X208/Y208*100</f>
        <v>105.26315789473684</v>
      </c>
      <c r="AA208" s="67">
        <f>SUM(AA310,AA304,AA298,AA235)</f>
        <v>14400000</v>
      </c>
      <c r="AB208" s="67">
        <f>SUM(AB310,AB304,AB298,AB235)</f>
        <v>7800000</v>
      </c>
      <c r="AC208" s="68">
        <f>AB208/AA208*100</f>
        <v>54.166666666666664</v>
      </c>
      <c r="AD208" s="67">
        <f>SUM(AD310,AD304,AD298,AD235)</f>
        <v>6270000</v>
      </c>
      <c r="AE208" s="68">
        <f>AB208/AD208*100</f>
        <v>124.4019138755981</v>
      </c>
      <c r="AF208" s="67" t="s">
        <v>141</v>
      </c>
      <c r="AH208" s="66"/>
    </row>
    <row r="209" spans="1:34" s="65" customFormat="1">
      <c r="A209" s="63" t="s">
        <v>296</v>
      </c>
      <c r="B209" s="63" t="s">
        <v>298</v>
      </c>
      <c r="C209" s="63" t="s">
        <v>76</v>
      </c>
      <c r="D209" s="63" t="s">
        <v>302</v>
      </c>
      <c r="E209" s="63" t="s">
        <v>96</v>
      </c>
      <c r="F209" s="63" t="s">
        <v>130</v>
      </c>
      <c r="G209" s="63" t="s">
        <v>235</v>
      </c>
      <c r="H209" s="63"/>
      <c r="I209" s="63"/>
      <c r="J209" s="63"/>
      <c r="K209" s="63"/>
      <c r="L209" s="63" t="s">
        <v>194</v>
      </c>
      <c r="M209" s="63" t="s">
        <v>188</v>
      </c>
      <c r="N209" s="63"/>
      <c r="O209" s="63"/>
      <c r="P209" s="63"/>
      <c r="Q209" s="63"/>
      <c r="R209" s="63"/>
      <c r="S209" s="63"/>
      <c r="T209" s="63">
        <v>1</v>
      </c>
      <c r="U209" s="63"/>
      <c r="V209" s="63" t="s">
        <v>132</v>
      </c>
      <c r="W209" s="63">
        <v>4</v>
      </c>
      <c r="X209" s="63">
        <f>SUM(X207:X208)</f>
        <v>1800000</v>
      </c>
      <c r="Y209" s="63">
        <f>SUM(Y207:Y208)</f>
        <v>1740000</v>
      </c>
      <c r="Z209" s="64">
        <f>X209/Y209*100</f>
        <v>103.44827586206897</v>
      </c>
      <c r="AA209" s="63">
        <f>SUM(AA331,AA325,AA248,AA311,AA305,AA299,AA236,AA355,AA361,AA343,AA349,AA367,AA373,AA292)</f>
        <v>196800000</v>
      </c>
      <c r="AB209" s="63">
        <v>7800000</v>
      </c>
      <c r="AC209" s="64">
        <f>AB209/AA209*100</f>
        <v>3.9634146341463414</v>
      </c>
      <c r="AD209" s="63">
        <v>6380000</v>
      </c>
      <c r="AE209" s="64">
        <f>AB209/AD209*100</f>
        <v>122.25705329153604</v>
      </c>
      <c r="AF209" s="63" t="s">
        <v>133</v>
      </c>
      <c r="AH209" s="66"/>
    </row>
    <row r="210" spans="1:34" s="65" customFormat="1">
      <c r="A210" s="67" t="s">
        <v>296</v>
      </c>
      <c r="B210" s="67" t="s">
        <v>298</v>
      </c>
      <c r="C210" s="67" t="s">
        <v>76</v>
      </c>
      <c r="D210" s="67" t="s">
        <v>302</v>
      </c>
      <c r="E210" s="67" t="s">
        <v>96</v>
      </c>
      <c r="F210" s="67" t="s">
        <v>130</v>
      </c>
      <c r="G210" s="67" t="s">
        <v>235</v>
      </c>
      <c r="H210" s="67"/>
      <c r="I210" s="67"/>
      <c r="J210" s="67"/>
      <c r="K210" s="67"/>
      <c r="L210" s="67" t="s">
        <v>194</v>
      </c>
      <c r="M210" s="67" t="s">
        <v>188</v>
      </c>
      <c r="N210" s="67"/>
      <c r="O210" s="67"/>
      <c r="P210" s="67"/>
      <c r="Q210" s="67"/>
      <c r="R210" s="67"/>
      <c r="S210" s="67"/>
      <c r="T210" s="67">
        <v>0</v>
      </c>
      <c r="U210" s="67">
        <v>118003</v>
      </c>
      <c r="V210" s="67" t="s">
        <v>134</v>
      </c>
      <c r="W210" s="67">
        <v>4</v>
      </c>
      <c r="X210" s="67">
        <f>SUM(X312,X306,X300,X237)</f>
        <v>250000</v>
      </c>
      <c r="Y210" s="67">
        <f>SUM(Y312,Y306,Y300,Y237)</f>
        <v>225000</v>
      </c>
      <c r="Z210" s="68">
        <f>X210/Y210*100</f>
        <v>111.11111111111111</v>
      </c>
      <c r="AA210" s="67">
        <f>SUM(AA312,AA306,AA300,AA237)</f>
        <v>6000000</v>
      </c>
      <c r="AB210" s="67">
        <f>SUM(AB312,AB306,AB300,AB237)</f>
        <v>3250000</v>
      </c>
      <c r="AC210" s="68">
        <f>AB210/AA210*100</f>
        <v>54.166666666666664</v>
      </c>
      <c r="AD210" s="67">
        <f>SUM(AD312,AD306,AD300,AD237)</f>
        <v>2475000</v>
      </c>
      <c r="AE210" s="68">
        <f>AB210/AD210*100</f>
        <v>131.31313131313132</v>
      </c>
      <c r="AF210" s="67" t="s">
        <v>135</v>
      </c>
      <c r="AH210" s="66"/>
    </row>
    <row r="211" spans="1:34" s="65" customFormat="1">
      <c r="A211" s="63" t="s">
        <v>296</v>
      </c>
      <c r="B211" s="63" t="s">
        <v>298</v>
      </c>
      <c r="C211" s="63" t="s">
        <v>76</v>
      </c>
      <c r="D211" s="63" t="s">
        <v>302</v>
      </c>
      <c r="E211" s="63" t="s">
        <v>96</v>
      </c>
      <c r="F211" s="63" t="s">
        <v>130</v>
      </c>
      <c r="G211" s="63" t="s">
        <v>235</v>
      </c>
      <c r="H211" s="63"/>
      <c r="I211" s="63"/>
      <c r="J211" s="63"/>
      <c r="K211" s="63"/>
      <c r="L211" s="63" t="s">
        <v>194</v>
      </c>
      <c r="M211" s="63" t="s">
        <v>188</v>
      </c>
      <c r="N211" s="63"/>
      <c r="O211" s="63"/>
      <c r="P211" s="63"/>
      <c r="Q211" s="63"/>
      <c r="R211" s="63"/>
      <c r="S211" s="63"/>
      <c r="T211" s="63">
        <v>0</v>
      </c>
      <c r="U211" s="63">
        <v>118004</v>
      </c>
      <c r="V211" s="63" t="s">
        <v>136</v>
      </c>
      <c r="W211" s="63">
        <v>4</v>
      </c>
      <c r="X211" s="63"/>
      <c r="Y211" s="63"/>
      <c r="Z211" s="69" t="s">
        <v>182</v>
      </c>
      <c r="AA211" s="63"/>
      <c r="AB211" s="63"/>
      <c r="AC211" s="69" t="s">
        <v>182</v>
      </c>
      <c r="AD211" s="63"/>
      <c r="AE211" s="69" t="s">
        <v>182</v>
      </c>
      <c r="AF211" s="63" t="s">
        <v>81</v>
      </c>
      <c r="AH211" s="66"/>
    </row>
    <row r="212" spans="1:34" s="65" customFormat="1">
      <c r="A212" s="67" t="s">
        <v>296</v>
      </c>
      <c r="B212" s="67" t="s">
        <v>298</v>
      </c>
      <c r="C212" s="67" t="s">
        <v>76</v>
      </c>
      <c r="D212" s="67" t="s">
        <v>302</v>
      </c>
      <c r="E212" s="67" t="s">
        <v>96</v>
      </c>
      <c r="F212" s="67" t="s">
        <v>130</v>
      </c>
      <c r="G212" s="67" t="s">
        <v>235</v>
      </c>
      <c r="H212" s="67"/>
      <c r="I212" s="67"/>
      <c r="J212" s="67"/>
      <c r="K212" s="67"/>
      <c r="L212" s="67" t="s">
        <v>194</v>
      </c>
      <c r="M212" s="67" t="s">
        <v>188</v>
      </c>
      <c r="N212" s="67"/>
      <c r="O212" s="67"/>
      <c r="P212" s="67"/>
      <c r="Q212" s="67"/>
      <c r="R212" s="67"/>
      <c r="S212" s="67"/>
      <c r="T212" s="67">
        <v>1</v>
      </c>
      <c r="U212" s="67"/>
      <c r="V212" s="67" t="s">
        <v>138</v>
      </c>
      <c r="W212" s="67">
        <v>4</v>
      </c>
      <c r="X212" s="67">
        <f t="shared" ref="X212" si="166">SUM(X210:X211)</f>
        <v>250000</v>
      </c>
      <c r="Y212" s="67">
        <f t="shared" ref="Y212" si="167">SUM(Y210:Y211)</f>
        <v>225000</v>
      </c>
      <c r="Z212" s="68">
        <f>X212/Y212*100</f>
        <v>111.11111111111111</v>
      </c>
      <c r="AA212" s="67">
        <f t="shared" ref="AA212" si="168">SUM(AA210:AA211)</f>
        <v>6000000</v>
      </c>
      <c r="AB212" s="67">
        <f t="shared" ref="AB212" si="169">SUM(AB210:AB211)</f>
        <v>3250000</v>
      </c>
      <c r="AC212" s="68">
        <f>AB212/AA212*100</f>
        <v>54.166666666666664</v>
      </c>
      <c r="AD212" s="67">
        <f>SUM(AD210:AD211)</f>
        <v>2475000</v>
      </c>
      <c r="AE212" s="68">
        <f>AB212/AD212*100</f>
        <v>131.31313131313132</v>
      </c>
      <c r="AF212" s="67" t="s">
        <v>139</v>
      </c>
      <c r="AH212" s="66"/>
    </row>
    <row r="213" spans="1:34" s="65" customFormat="1">
      <c r="A213" s="63" t="s">
        <v>296</v>
      </c>
      <c r="B213" s="63" t="s">
        <v>298</v>
      </c>
      <c r="C213" s="62" t="s">
        <v>176</v>
      </c>
      <c r="D213" s="63" t="s">
        <v>302</v>
      </c>
      <c r="E213" s="63" t="s">
        <v>96</v>
      </c>
      <c r="F213" s="63" t="s">
        <v>130</v>
      </c>
      <c r="G213" s="63" t="s">
        <v>235</v>
      </c>
      <c r="H213" s="62"/>
      <c r="I213" s="63"/>
      <c r="J213" s="62"/>
      <c r="K213" s="63"/>
      <c r="L213" s="63" t="s">
        <v>193</v>
      </c>
      <c r="M213" s="63" t="s">
        <v>187</v>
      </c>
      <c r="N213" s="63"/>
      <c r="O213" s="63"/>
      <c r="P213" s="63"/>
      <c r="Q213" s="63"/>
      <c r="R213" s="62"/>
      <c r="S213" s="63"/>
      <c r="T213" s="63">
        <v>0</v>
      </c>
      <c r="U213" s="63">
        <v>118001</v>
      </c>
      <c r="V213" s="63" t="s">
        <v>129</v>
      </c>
      <c r="W213" s="63">
        <v>4</v>
      </c>
      <c r="X213" s="63">
        <f>SUM(X335,X329,X323,X246)</f>
        <v>1600000</v>
      </c>
      <c r="Y213" s="63">
        <f>SUM(Y335,Y329,Y323,Y246)</f>
        <v>1560000</v>
      </c>
      <c r="Z213" s="64">
        <f>X213/Y213*100</f>
        <v>102.56410256410255</v>
      </c>
      <c r="AA213" s="63">
        <f>SUM(AA335,AA329,AA323,AA246)</f>
        <v>46400000</v>
      </c>
      <c r="AB213" s="63">
        <f>SUM(AB335,AB329,AB323,AB246)</f>
        <v>20800000</v>
      </c>
      <c r="AC213" s="64">
        <f>AB213/AA213*100</f>
        <v>44.827586206896555</v>
      </c>
      <c r="AD213" s="63">
        <f>SUM(AD335,AD329,AD323,AD246)</f>
        <v>17160000</v>
      </c>
      <c r="AE213" s="64">
        <f>AB213/AD213*100</f>
        <v>121.21212121212122</v>
      </c>
      <c r="AF213" s="63" t="s">
        <v>75</v>
      </c>
      <c r="AH213" s="66"/>
    </row>
    <row r="214" spans="1:34" s="65" customFormat="1">
      <c r="A214" s="67" t="s">
        <v>296</v>
      </c>
      <c r="B214" s="67" t="s">
        <v>298</v>
      </c>
      <c r="C214" s="67" t="s">
        <v>76</v>
      </c>
      <c r="D214" s="67" t="s">
        <v>302</v>
      </c>
      <c r="E214" s="67" t="s">
        <v>96</v>
      </c>
      <c r="F214" s="67" t="s">
        <v>130</v>
      </c>
      <c r="G214" s="67" t="s">
        <v>235</v>
      </c>
      <c r="H214" s="67"/>
      <c r="I214" s="67"/>
      <c r="J214" s="67"/>
      <c r="K214" s="67"/>
      <c r="L214" s="67" t="s">
        <v>193</v>
      </c>
      <c r="M214" s="67" t="s">
        <v>187</v>
      </c>
      <c r="N214" s="67"/>
      <c r="O214" s="67"/>
      <c r="P214" s="67"/>
      <c r="Q214" s="67"/>
      <c r="R214" s="67"/>
      <c r="S214" s="67"/>
      <c r="T214" s="67">
        <v>0</v>
      </c>
      <c r="U214" s="67">
        <v>118002</v>
      </c>
      <c r="V214" s="67" t="s">
        <v>131</v>
      </c>
      <c r="W214" s="67">
        <v>4</v>
      </c>
      <c r="X214" s="67">
        <f>SUM(X336,X330,X324,X247)</f>
        <v>800000</v>
      </c>
      <c r="Y214" s="67">
        <f>SUM(Y336,Y330,Y324,Y247)</f>
        <v>760000</v>
      </c>
      <c r="Z214" s="68">
        <f t="shared" ref="Z214:Z216" si="170">X214/Y214*100</f>
        <v>105.26315789473684</v>
      </c>
      <c r="AA214" s="67">
        <f>SUM(AA336,AA330,AA324,AA247)</f>
        <v>19200000</v>
      </c>
      <c r="AB214" s="67">
        <f>SUM(AB336,AB330,AB324,AB247)</f>
        <v>10400000</v>
      </c>
      <c r="AC214" s="68">
        <f t="shared" ref="AC214:AC216" si="171">AB214/AA214*100</f>
        <v>54.166666666666664</v>
      </c>
      <c r="AD214" s="67">
        <f>SUM(AD336,AD330,AD324,AD247)</f>
        <v>8360000</v>
      </c>
      <c r="AE214" s="68">
        <f t="shared" ref="AE214:AE216" si="172">AB214/AD214*100</f>
        <v>124.4019138755981</v>
      </c>
      <c r="AF214" s="67" t="s">
        <v>141</v>
      </c>
      <c r="AH214" s="66"/>
    </row>
    <row r="215" spans="1:34" s="65" customFormat="1">
      <c r="A215" s="63" t="s">
        <v>296</v>
      </c>
      <c r="B215" s="63" t="s">
        <v>298</v>
      </c>
      <c r="C215" s="63" t="s">
        <v>76</v>
      </c>
      <c r="D215" s="63" t="s">
        <v>302</v>
      </c>
      <c r="E215" s="63" t="s">
        <v>96</v>
      </c>
      <c r="F215" s="63" t="s">
        <v>130</v>
      </c>
      <c r="G215" s="63" t="s">
        <v>235</v>
      </c>
      <c r="H215" s="63"/>
      <c r="I215" s="63"/>
      <c r="J215" s="63"/>
      <c r="K215" s="63"/>
      <c r="L215" s="63" t="s">
        <v>193</v>
      </c>
      <c r="M215" s="63" t="s">
        <v>187</v>
      </c>
      <c r="N215" s="63"/>
      <c r="O215" s="63"/>
      <c r="P215" s="63"/>
      <c r="Q215" s="63"/>
      <c r="R215" s="63"/>
      <c r="S215" s="63"/>
      <c r="T215" s="63">
        <v>1</v>
      </c>
      <c r="U215" s="63"/>
      <c r="V215" s="63" t="s">
        <v>132</v>
      </c>
      <c r="W215" s="63">
        <v>4</v>
      </c>
      <c r="X215" s="63">
        <f>SUM(X213:X214)</f>
        <v>2400000</v>
      </c>
      <c r="Y215" s="63">
        <f>SUM(Y213:Y214)</f>
        <v>2320000</v>
      </c>
      <c r="Z215" s="64">
        <f t="shared" si="170"/>
        <v>103.44827586206897</v>
      </c>
      <c r="AA215" s="63">
        <f>SUM(AA213:AA214)</f>
        <v>65600000</v>
      </c>
      <c r="AB215" s="63">
        <f>SUM(AB213:AB214)</f>
        <v>31200000</v>
      </c>
      <c r="AC215" s="64">
        <f t="shared" si="171"/>
        <v>47.560975609756099</v>
      </c>
      <c r="AD215" s="63">
        <f>SUM(AD213:AD214)</f>
        <v>25520000</v>
      </c>
      <c r="AE215" s="64">
        <f t="shared" si="172"/>
        <v>122.25705329153604</v>
      </c>
      <c r="AF215" s="63" t="s">
        <v>133</v>
      </c>
      <c r="AH215" s="66"/>
    </row>
    <row r="216" spans="1:34" s="65" customFormat="1">
      <c r="A216" s="67" t="s">
        <v>296</v>
      </c>
      <c r="B216" s="67" t="s">
        <v>298</v>
      </c>
      <c r="C216" s="67" t="s">
        <v>76</v>
      </c>
      <c r="D216" s="67" t="s">
        <v>302</v>
      </c>
      <c r="E216" s="67" t="s">
        <v>96</v>
      </c>
      <c r="F216" s="67" t="s">
        <v>130</v>
      </c>
      <c r="G216" s="67" t="s">
        <v>235</v>
      </c>
      <c r="H216" s="67"/>
      <c r="I216" s="67"/>
      <c r="J216" s="67"/>
      <c r="K216" s="67"/>
      <c r="L216" s="67" t="s">
        <v>193</v>
      </c>
      <c r="M216" s="67" t="s">
        <v>187</v>
      </c>
      <c r="N216" s="67"/>
      <c r="O216" s="67"/>
      <c r="P216" s="67"/>
      <c r="Q216" s="67"/>
      <c r="R216" s="67"/>
      <c r="S216" s="67"/>
      <c r="T216" s="67">
        <v>0</v>
      </c>
      <c r="U216" s="67">
        <v>118003</v>
      </c>
      <c r="V216" s="67" t="s">
        <v>134</v>
      </c>
      <c r="W216" s="67">
        <v>4</v>
      </c>
      <c r="X216" s="67">
        <f>SUM(X338,X332,X326,X249)</f>
        <v>200000</v>
      </c>
      <c r="Y216" s="67">
        <f>SUM(Y338,Y332,Y326,Y249)</f>
        <v>180000</v>
      </c>
      <c r="Z216" s="68">
        <f t="shared" si="170"/>
        <v>111.11111111111111</v>
      </c>
      <c r="AA216" s="67">
        <f>SUM(AA338,AA332,AA326,AA249)</f>
        <v>4800000</v>
      </c>
      <c r="AB216" s="67">
        <f>SUM(AB338,AB332,AB326,AB249)</f>
        <v>2600000</v>
      </c>
      <c r="AC216" s="68">
        <f t="shared" si="171"/>
        <v>54.166666666666664</v>
      </c>
      <c r="AD216" s="67">
        <f>SUM(AD338,AD332,AD326,AD249)</f>
        <v>1980000</v>
      </c>
      <c r="AE216" s="68">
        <f t="shared" si="172"/>
        <v>131.31313131313132</v>
      </c>
      <c r="AF216" s="67" t="s">
        <v>135</v>
      </c>
      <c r="AH216" s="66"/>
    </row>
    <row r="217" spans="1:34" s="65" customFormat="1">
      <c r="A217" s="63" t="s">
        <v>296</v>
      </c>
      <c r="B217" s="63" t="s">
        <v>298</v>
      </c>
      <c r="C217" s="63" t="s">
        <v>76</v>
      </c>
      <c r="D217" s="63" t="s">
        <v>302</v>
      </c>
      <c r="E217" s="63" t="s">
        <v>96</v>
      </c>
      <c r="F217" s="63" t="s">
        <v>130</v>
      </c>
      <c r="G217" s="63" t="s">
        <v>235</v>
      </c>
      <c r="H217" s="63"/>
      <c r="I217" s="63"/>
      <c r="J217" s="63"/>
      <c r="K217" s="63"/>
      <c r="L217" s="63" t="s">
        <v>193</v>
      </c>
      <c r="M217" s="63" t="s">
        <v>187</v>
      </c>
      <c r="N217" s="63"/>
      <c r="O217" s="63"/>
      <c r="P217" s="63"/>
      <c r="Q217" s="63"/>
      <c r="R217" s="63"/>
      <c r="S217" s="63"/>
      <c r="T217" s="63">
        <v>0</v>
      </c>
      <c r="U217" s="63">
        <v>118004</v>
      </c>
      <c r="V217" s="63" t="s">
        <v>136</v>
      </c>
      <c r="W217" s="63">
        <v>4</v>
      </c>
      <c r="X217" s="63"/>
      <c r="Y217" s="63"/>
      <c r="Z217" s="69" t="s">
        <v>182</v>
      </c>
      <c r="AA217" s="63"/>
      <c r="AB217" s="63"/>
      <c r="AC217" s="69" t="s">
        <v>182</v>
      </c>
      <c r="AD217" s="63"/>
      <c r="AE217" s="69" t="s">
        <v>182</v>
      </c>
      <c r="AF217" s="63" t="s">
        <v>81</v>
      </c>
      <c r="AH217" s="66"/>
    </row>
    <row r="218" spans="1:34" s="65" customFormat="1">
      <c r="A218" s="67" t="s">
        <v>296</v>
      </c>
      <c r="B218" s="67" t="s">
        <v>298</v>
      </c>
      <c r="C218" s="67" t="s">
        <v>76</v>
      </c>
      <c r="D218" s="67" t="s">
        <v>302</v>
      </c>
      <c r="E218" s="67" t="s">
        <v>96</v>
      </c>
      <c r="F218" s="67" t="s">
        <v>130</v>
      </c>
      <c r="G218" s="67" t="s">
        <v>235</v>
      </c>
      <c r="H218" s="67"/>
      <c r="I218" s="67"/>
      <c r="J218" s="67"/>
      <c r="K218" s="67"/>
      <c r="L218" s="67" t="s">
        <v>193</v>
      </c>
      <c r="M218" s="67" t="s">
        <v>187</v>
      </c>
      <c r="N218" s="67"/>
      <c r="O218" s="67"/>
      <c r="P218" s="67"/>
      <c r="Q218" s="67"/>
      <c r="R218" s="67"/>
      <c r="S218" s="67"/>
      <c r="T218" s="67">
        <v>1</v>
      </c>
      <c r="U218" s="67"/>
      <c r="V218" s="67" t="s">
        <v>138</v>
      </c>
      <c r="W218" s="67">
        <v>4</v>
      </c>
      <c r="X218" s="67">
        <f>SUM(X216:X217)</f>
        <v>200000</v>
      </c>
      <c r="Y218" s="67">
        <f>SUM(Y216:Y217)</f>
        <v>180000</v>
      </c>
      <c r="Z218" s="68">
        <f t="shared" ref="Z218:Z224" si="173">X218/Y218*100</f>
        <v>111.11111111111111</v>
      </c>
      <c r="AA218" s="67">
        <f>SUM(AA216:AA217)</f>
        <v>4800000</v>
      </c>
      <c r="AB218" s="67">
        <f>SUM(AB216:AB217)</f>
        <v>2600000</v>
      </c>
      <c r="AC218" s="68">
        <f t="shared" ref="AC218:AC224" si="174">AB218/AA218*100</f>
        <v>54.166666666666664</v>
      </c>
      <c r="AD218" s="67">
        <f>SUM(AD216:AD217)</f>
        <v>1980000</v>
      </c>
      <c r="AE218" s="68">
        <f t="shared" ref="AE218:AE224" si="175">AB218/AD218*100</f>
        <v>131.31313131313132</v>
      </c>
      <c r="AF218" s="67" t="s">
        <v>139</v>
      </c>
      <c r="AH218" s="66"/>
    </row>
    <row r="219" spans="1:34" s="65" customFormat="1">
      <c r="A219" s="63" t="s">
        <v>296</v>
      </c>
      <c r="B219" s="63" t="s">
        <v>298</v>
      </c>
      <c r="C219" s="63" t="s">
        <v>179</v>
      </c>
      <c r="D219" s="63" t="s">
        <v>172</v>
      </c>
      <c r="E219" s="63" t="s">
        <v>96</v>
      </c>
      <c r="F219" s="63" t="s">
        <v>130</v>
      </c>
      <c r="G219" s="63" t="s">
        <v>235</v>
      </c>
      <c r="H219" s="63"/>
      <c r="I219" s="63"/>
      <c r="J219" s="63"/>
      <c r="K219" s="63"/>
      <c r="L219" s="63" t="s">
        <v>193</v>
      </c>
      <c r="M219" s="63" t="s">
        <v>187</v>
      </c>
      <c r="N219" s="63"/>
      <c r="O219" s="63"/>
      <c r="P219" s="63"/>
      <c r="Q219" s="63"/>
      <c r="R219" s="63"/>
      <c r="S219" s="63"/>
      <c r="T219" s="63">
        <v>0</v>
      </c>
      <c r="U219" s="63">
        <v>300106</v>
      </c>
      <c r="V219" s="63" t="s">
        <v>319</v>
      </c>
      <c r="W219" s="63">
        <v>4</v>
      </c>
      <c r="X219" s="63">
        <v>1000</v>
      </c>
      <c r="Y219" s="63">
        <v>1000</v>
      </c>
      <c r="Z219" s="103">
        <f t="shared" si="173"/>
        <v>100</v>
      </c>
      <c r="AA219" s="63">
        <v>1000</v>
      </c>
      <c r="AB219" s="63">
        <v>1000</v>
      </c>
      <c r="AC219" s="103">
        <f>AA219/AB219*100</f>
        <v>100</v>
      </c>
      <c r="AD219" s="63">
        <v>1000</v>
      </c>
      <c r="AE219" s="64">
        <f>AB219/AD219*100</f>
        <v>100</v>
      </c>
      <c r="AF219" s="63" t="s">
        <v>317</v>
      </c>
      <c r="AH219" s="66"/>
    </row>
    <row r="220" spans="1:34" s="65" customFormat="1">
      <c r="A220" s="67" t="s">
        <v>296</v>
      </c>
      <c r="B220" s="67" t="s">
        <v>298</v>
      </c>
      <c r="C220" s="67" t="s">
        <v>179</v>
      </c>
      <c r="D220" s="67" t="s">
        <v>172</v>
      </c>
      <c r="E220" s="67" t="s">
        <v>96</v>
      </c>
      <c r="F220" s="67" t="s">
        <v>130</v>
      </c>
      <c r="G220" s="67" t="s">
        <v>235</v>
      </c>
      <c r="H220" s="67"/>
      <c r="I220" s="67"/>
      <c r="J220" s="67"/>
      <c r="K220" s="67"/>
      <c r="L220" s="67" t="s">
        <v>193</v>
      </c>
      <c r="M220" s="67" t="s">
        <v>187</v>
      </c>
      <c r="N220" s="67"/>
      <c r="O220" s="67"/>
      <c r="P220" s="67"/>
      <c r="Q220" s="67"/>
      <c r="R220" s="67"/>
      <c r="S220" s="67"/>
      <c r="T220" s="67">
        <v>0</v>
      </c>
      <c r="U220" s="67">
        <v>400107</v>
      </c>
      <c r="V220" s="67" t="s">
        <v>258</v>
      </c>
      <c r="W220" s="67">
        <v>4</v>
      </c>
      <c r="X220" s="67">
        <v>1000</v>
      </c>
      <c r="Y220" s="67">
        <v>1000</v>
      </c>
      <c r="Z220" s="104">
        <f t="shared" si="173"/>
        <v>100</v>
      </c>
      <c r="AA220" s="67">
        <v>1000</v>
      </c>
      <c r="AB220" s="67">
        <v>1000</v>
      </c>
      <c r="AC220" s="104">
        <f>AA220/AB220*100</f>
        <v>100</v>
      </c>
      <c r="AD220" s="67">
        <v>1000</v>
      </c>
      <c r="AE220" s="68">
        <f>AB220/AD220*100</f>
        <v>100</v>
      </c>
      <c r="AF220" s="67" t="s">
        <v>318</v>
      </c>
      <c r="AH220" s="66"/>
    </row>
    <row r="221" spans="1:34" s="65" customFormat="1">
      <c r="A221" s="63" t="s">
        <v>296</v>
      </c>
      <c r="B221" s="63" t="s">
        <v>298</v>
      </c>
      <c r="C221" s="62" t="s">
        <v>176</v>
      </c>
      <c r="D221" s="63" t="s">
        <v>302</v>
      </c>
      <c r="E221" s="63" t="s">
        <v>96</v>
      </c>
      <c r="F221" s="63" t="s">
        <v>130</v>
      </c>
      <c r="G221" s="63" t="s">
        <v>235</v>
      </c>
      <c r="H221" s="62"/>
      <c r="I221" s="63"/>
      <c r="J221" s="62"/>
      <c r="K221" s="63"/>
      <c r="L221" s="63" t="s">
        <v>196</v>
      </c>
      <c r="M221" s="63" t="s">
        <v>190</v>
      </c>
      <c r="N221" s="63"/>
      <c r="O221" s="63"/>
      <c r="P221" s="63"/>
      <c r="Q221" s="63"/>
      <c r="R221" s="62"/>
      <c r="S221" s="63"/>
      <c r="T221" s="63">
        <v>0</v>
      </c>
      <c r="U221" s="63">
        <v>118001</v>
      </c>
      <c r="V221" s="63" t="s">
        <v>129</v>
      </c>
      <c r="W221" s="63">
        <v>4</v>
      </c>
      <c r="X221" s="63">
        <f>SUM(X353,X359,X341,X347)</f>
        <v>1600000</v>
      </c>
      <c r="Y221" s="63">
        <f>SUM(Y353,Y359,Y341,Y347)</f>
        <v>1560000</v>
      </c>
      <c r="Z221" s="64">
        <f t="shared" si="173"/>
        <v>102.56410256410255</v>
      </c>
      <c r="AA221" s="63">
        <f>SUM(AA353,AA359,AA341,AA347)</f>
        <v>46400000</v>
      </c>
      <c r="AB221" s="63">
        <f>SUM(AB353,AB359,AB341,AB347)</f>
        <v>20800000</v>
      </c>
      <c r="AC221" s="64">
        <f t="shared" si="174"/>
        <v>44.827586206896555</v>
      </c>
      <c r="AD221" s="63">
        <f>SUM(AD353,AD359,AD341,AD347)</f>
        <v>17160000</v>
      </c>
      <c r="AE221" s="64">
        <f t="shared" si="175"/>
        <v>121.21212121212122</v>
      </c>
      <c r="AF221" s="63" t="s">
        <v>75</v>
      </c>
      <c r="AH221" s="66"/>
    </row>
    <row r="222" spans="1:34" s="65" customFormat="1">
      <c r="A222" s="67" t="s">
        <v>296</v>
      </c>
      <c r="B222" s="67" t="s">
        <v>298</v>
      </c>
      <c r="C222" s="67" t="s">
        <v>76</v>
      </c>
      <c r="D222" s="67" t="s">
        <v>302</v>
      </c>
      <c r="E222" s="67" t="s">
        <v>96</v>
      </c>
      <c r="F222" s="67" t="s">
        <v>130</v>
      </c>
      <c r="G222" s="67" t="s">
        <v>235</v>
      </c>
      <c r="H222" s="67"/>
      <c r="I222" s="67"/>
      <c r="J222" s="67"/>
      <c r="K222" s="67"/>
      <c r="L222" s="67" t="s">
        <v>196</v>
      </c>
      <c r="M222" s="67" t="s">
        <v>190</v>
      </c>
      <c r="N222" s="67"/>
      <c r="O222" s="67"/>
      <c r="P222" s="67"/>
      <c r="Q222" s="67"/>
      <c r="R222" s="67"/>
      <c r="S222" s="67"/>
      <c r="T222" s="67">
        <v>0</v>
      </c>
      <c r="U222" s="67">
        <v>118002</v>
      </c>
      <c r="V222" s="67" t="s">
        <v>131</v>
      </c>
      <c r="W222" s="67">
        <v>4</v>
      </c>
      <c r="X222" s="67">
        <f>SUM(X354,X360,X342,X348)</f>
        <v>800000</v>
      </c>
      <c r="Y222" s="67">
        <f>SUM(Y354,Y360,Y342,Y348)</f>
        <v>760000</v>
      </c>
      <c r="Z222" s="68">
        <f t="shared" si="173"/>
        <v>105.26315789473684</v>
      </c>
      <c r="AA222" s="67">
        <f>SUM(AA354,AA360,AA342,AA348)</f>
        <v>19200000</v>
      </c>
      <c r="AB222" s="67">
        <f>SUM(AB354,AB360,AB342,AB348)</f>
        <v>10400000</v>
      </c>
      <c r="AC222" s="68">
        <f t="shared" si="174"/>
        <v>54.166666666666664</v>
      </c>
      <c r="AD222" s="67">
        <f>SUM(AD354,AD360,AD342,AD348)</f>
        <v>8360000</v>
      </c>
      <c r="AE222" s="68">
        <f t="shared" si="175"/>
        <v>124.4019138755981</v>
      </c>
      <c r="AF222" s="67" t="s">
        <v>141</v>
      </c>
      <c r="AH222" s="66"/>
    </row>
    <row r="223" spans="1:34" s="65" customFormat="1">
      <c r="A223" s="63" t="s">
        <v>296</v>
      </c>
      <c r="B223" s="63" t="s">
        <v>298</v>
      </c>
      <c r="C223" s="63" t="s">
        <v>76</v>
      </c>
      <c r="D223" s="63" t="s">
        <v>302</v>
      </c>
      <c r="E223" s="63" t="s">
        <v>96</v>
      </c>
      <c r="F223" s="63" t="s">
        <v>130</v>
      </c>
      <c r="G223" s="63" t="s">
        <v>235</v>
      </c>
      <c r="H223" s="63"/>
      <c r="I223" s="63"/>
      <c r="J223" s="63"/>
      <c r="K223" s="63"/>
      <c r="L223" s="63" t="s">
        <v>196</v>
      </c>
      <c r="M223" s="63" t="s">
        <v>190</v>
      </c>
      <c r="N223" s="63"/>
      <c r="O223" s="63"/>
      <c r="P223" s="63"/>
      <c r="Q223" s="63"/>
      <c r="R223" s="63"/>
      <c r="S223" s="63"/>
      <c r="T223" s="63">
        <v>1</v>
      </c>
      <c r="U223" s="63"/>
      <c r="V223" s="63" t="s">
        <v>132</v>
      </c>
      <c r="W223" s="63">
        <v>4</v>
      </c>
      <c r="X223" s="63">
        <f>SUM(X221:X222)</f>
        <v>2400000</v>
      </c>
      <c r="Y223" s="63">
        <f>SUM(Y221:Y222)</f>
        <v>2320000</v>
      </c>
      <c r="Z223" s="64">
        <f t="shared" si="173"/>
        <v>103.44827586206897</v>
      </c>
      <c r="AA223" s="63">
        <f>SUM(AA221:AA222)</f>
        <v>65600000</v>
      </c>
      <c r="AB223" s="63">
        <f>SUM(AB221:AB222)</f>
        <v>31200000</v>
      </c>
      <c r="AC223" s="64">
        <f t="shared" si="174"/>
        <v>47.560975609756099</v>
      </c>
      <c r="AD223" s="63">
        <f>SUM(AD221:AD222)</f>
        <v>25520000</v>
      </c>
      <c r="AE223" s="64">
        <f t="shared" si="175"/>
        <v>122.25705329153604</v>
      </c>
      <c r="AF223" s="63" t="s">
        <v>133</v>
      </c>
      <c r="AH223" s="66"/>
    </row>
    <row r="224" spans="1:34" s="65" customFormat="1">
      <c r="A224" s="67" t="s">
        <v>296</v>
      </c>
      <c r="B224" s="67" t="s">
        <v>298</v>
      </c>
      <c r="C224" s="67" t="s">
        <v>76</v>
      </c>
      <c r="D224" s="67" t="s">
        <v>302</v>
      </c>
      <c r="E224" s="67" t="s">
        <v>96</v>
      </c>
      <c r="F224" s="67" t="s">
        <v>130</v>
      </c>
      <c r="G224" s="67" t="s">
        <v>235</v>
      </c>
      <c r="H224" s="67"/>
      <c r="I224" s="67"/>
      <c r="J224" s="67"/>
      <c r="K224" s="67"/>
      <c r="L224" s="67" t="s">
        <v>196</v>
      </c>
      <c r="M224" s="67" t="s">
        <v>190</v>
      </c>
      <c r="N224" s="67"/>
      <c r="O224" s="67"/>
      <c r="P224" s="67"/>
      <c r="Q224" s="67"/>
      <c r="R224" s="67"/>
      <c r="S224" s="67"/>
      <c r="T224" s="67">
        <v>0</v>
      </c>
      <c r="U224" s="67">
        <v>118003</v>
      </c>
      <c r="V224" s="67" t="s">
        <v>134</v>
      </c>
      <c r="W224" s="67">
        <v>4</v>
      </c>
      <c r="X224" s="67">
        <f>SUM(X356,X362,X344,X350)</f>
        <v>200000</v>
      </c>
      <c r="Y224" s="67">
        <f>SUM(Y356,Y362,Y344,Y350)</f>
        <v>180000</v>
      </c>
      <c r="Z224" s="68">
        <f t="shared" si="173"/>
        <v>111.11111111111111</v>
      </c>
      <c r="AA224" s="67">
        <f>SUM(AA356,AA362,AA344,AA350)</f>
        <v>4800000</v>
      </c>
      <c r="AB224" s="67">
        <f>SUM(AB356,AB362,AB344,AB350)</f>
        <v>2600000</v>
      </c>
      <c r="AC224" s="68">
        <f t="shared" si="174"/>
        <v>54.166666666666664</v>
      </c>
      <c r="AD224" s="67">
        <f>SUM(AD356,AD362,AD344,AD350)</f>
        <v>1980000</v>
      </c>
      <c r="AE224" s="68">
        <f t="shared" si="175"/>
        <v>131.31313131313132</v>
      </c>
      <c r="AF224" s="67" t="s">
        <v>135</v>
      </c>
      <c r="AH224" s="66"/>
    </row>
    <row r="225" spans="1:34" s="65" customFormat="1">
      <c r="A225" s="63" t="s">
        <v>296</v>
      </c>
      <c r="B225" s="63" t="s">
        <v>298</v>
      </c>
      <c r="C225" s="63" t="s">
        <v>76</v>
      </c>
      <c r="D225" s="63" t="s">
        <v>302</v>
      </c>
      <c r="E225" s="63" t="s">
        <v>96</v>
      </c>
      <c r="F225" s="63" t="s">
        <v>130</v>
      </c>
      <c r="G225" s="63" t="s">
        <v>235</v>
      </c>
      <c r="H225" s="63"/>
      <c r="I225" s="63"/>
      <c r="J225" s="63"/>
      <c r="K225" s="63"/>
      <c r="L225" s="63" t="s">
        <v>196</v>
      </c>
      <c r="M225" s="63" t="s">
        <v>190</v>
      </c>
      <c r="N225" s="63"/>
      <c r="O225" s="63"/>
      <c r="P225" s="63"/>
      <c r="Q225" s="63"/>
      <c r="R225" s="63"/>
      <c r="S225" s="63"/>
      <c r="T225" s="63">
        <v>0</v>
      </c>
      <c r="U225" s="63">
        <v>118004</v>
      </c>
      <c r="V225" s="63" t="s">
        <v>136</v>
      </c>
      <c r="W225" s="63">
        <v>4</v>
      </c>
      <c r="X225" s="63"/>
      <c r="Y225" s="63"/>
      <c r="Z225" s="69" t="s">
        <v>182</v>
      </c>
      <c r="AA225" s="63"/>
      <c r="AB225" s="63"/>
      <c r="AC225" s="69" t="s">
        <v>182</v>
      </c>
      <c r="AD225" s="63"/>
      <c r="AE225" s="69" t="s">
        <v>182</v>
      </c>
      <c r="AF225" s="63" t="s">
        <v>81</v>
      </c>
      <c r="AH225" s="66"/>
    </row>
    <row r="226" spans="1:34" s="65" customFormat="1">
      <c r="A226" s="67" t="s">
        <v>296</v>
      </c>
      <c r="B226" s="67" t="s">
        <v>298</v>
      </c>
      <c r="C226" s="67" t="s">
        <v>76</v>
      </c>
      <c r="D226" s="67" t="s">
        <v>302</v>
      </c>
      <c r="E226" s="67" t="s">
        <v>96</v>
      </c>
      <c r="F226" s="67" t="s">
        <v>130</v>
      </c>
      <c r="G226" s="67" t="s">
        <v>235</v>
      </c>
      <c r="H226" s="67"/>
      <c r="I226" s="67"/>
      <c r="J226" s="67"/>
      <c r="K226" s="67"/>
      <c r="L226" s="67" t="s">
        <v>196</v>
      </c>
      <c r="M226" s="67" t="s">
        <v>190</v>
      </c>
      <c r="N226" s="67"/>
      <c r="O226" s="67"/>
      <c r="P226" s="67"/>
      <c r="Q226" s="67"/>
      <c r="R226" s="67"/>
      <c r="S226" s="67"/>
      <c r="T226" s="67">
        <v>1</v>
      </c>
      <c r="U226" s="67"/>
      <c r="V226" s="67" t="s">
        <v>138</v>
      </c>
      <c r="W226" s="67">
        <v>4</v>
      </c>
      <c r="X226" s="67">
        <f t="shared" ref="X226:Y226" si="176">SUM(X224:X225)</f>
        <v>200000</v>
      </c>
      <c r="Y226" s="67">
        <f t="shared" si="176"/>
        <v>180000</v>
      </c>
      <c r="Z226" s="68">
        <f t="shared" ref="Z226:Z230" si="177">X226/Y226*100</f>
        <v>111.11111111111111</v>
      </c>
      <c r="AA226" s="67">
        <f t="shared" ref="AA226" si="178">SUM(AA224:AA225)</f>
        <v>4800000</v>
      </c>
      <c r="AB226" s="67">
        <f t="shared" ref="AB226" si="179">SUM(AB224:AB225)</f>
        <v>2600000</v>
      </c>
      <c r="AC226" s="68">
        <f t="shared" ref="AC226:AC230" si="180">AB226/AA226*100</f>
        <v>54.166666666666664</v>
      </c>
      <c r="AD226" s="67">
        <f t="shared" ref="AD226" si="181">SUM(AD224:AD225)</f>
        <v>1980000</v>
      </c>
      <c r="AE226" s="68">
        <f t="shared" ref="AE226:AE230" si="182">AB226/AD226*100</f>
        <v>131.31313131313132</v>
      </c>
      <c r="AF226" s="67" t="s">
        <v>139</v>
      </c>
      <c r="AH226" s="66"/>
    </row>
    <row r="227" spans="1:34" s="65" customFormat="1">
      <c r="A227" s="63" t="s">
        <v>296</v>
      </c>
      <c r="B227" s="63" t="s">
        <v>298</v>
      </c>
      <c r="C227" s="62" t="s">
        <v>176</v>
      </c>
      <c r="D227" s="63" t="s">
        <v>302</v>
      </c>
      <c r="E227" s="63" t="s">
        <v>96</v>
      </c>
      <c r="F227" s="63" t="s">
        <v>130</v>
      </c>
      <c r="G227" s="63" t="s">
        <v>235</v>
      </c>
      <c r="H227" s="62"/>
      <c r="I227" s="63"/>
      <c r="J227" s="62"/>
      <c r="K227" s="63"/>
      <c r="L227" s="63"/>
      <c r="M227" s="63"/>
      <c r="N227" s="63"/>
      <c r="O227" s="63"/>
      <c r="P227" s="63"/>
      <c r="Q227" s="63"/>
      <c r="R227" s="62"/>
      <c r="S227" s="63"/>
      <c r="T227" s="63">
        <v>0</v>
      </c>
      <c r="U227" s="63">
        <v>118001</v>
      </c>
      <c r="V227" s="63" t="s">
        <v>129</v>
      </c>
      <c r="W227" s="63">
        <v>4</v>
      </c>
      <c r="X227" s="63">
        <f>SUM(X365,X371)</f>
        <v>800000</v>
      </c>
      <c r="Y227" s="63">
        <f t="shared" ref="Y227:Y228" si="183">SUM(Y365,Y371)</f>
        <v>780000</v>
      </c>
      <c r="Z227" s="64">
        <f t="shared" si="177"/>
        <v>102.56410256410255</v>
      </c>
      <c r="AA227" s="63">
        <f t="shared" ref="AA227:AB228" si="184">SUM(AA365,AA371)</f>
        <v>23200000</v>
      </c>
      <c r="AB227" s="63">
        <f t="shared" si="184"/>
        <v>10400000</v>
      </c>
      <c r="AC227" s="64">
        <f t="shared" si="180"/>
        <v>44.827586206896555</v>
      </c>
      <c r="AD227" s="63">
        <f t="shared" ref="AD227:AD228" si="185">SUM(AD365,AD371)</f>
        <v>8580000</v>
      </c>
      <c r="AE227" s="64">
        <f t="shared" si="182"/>
        <v>121.21212121212122</v>
      </c>
      <c r="AF227" s="63" t="s">
        <v>75</v>
      </c>
      <c r="AH227" s="66"/>
    </row>
    <row r="228" spans="1:34" s="65" customFormat="1">
      <c r="A228" s="67" t="s">
        <v>296</v>
      </c>
      <c r="B228" s="67" t="s">
        <v>298</v>
      </c>
      <c r="C228" s="67" t="s">
        <v>76</v>
      </c>
      <c r="D228" s="67" t="s">
        <v>302</v>
      </c>
      <c r="E228" s="67" t="s">
        <v>96</v>
      </c>
      <c r="F228" s="67" t="s">
        <v>130</v>
      </c>
      <c r="G228" s="67" t="s">
        <v>235</v>
      </c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>
        <v>0</v>
      </c>
      <c r="U228" s="67">
        <v>118002</v>
      </c>
      <c r="V228" s="67" t="s">
        <v>131</v>
      </c>
      <c r="W228" s="67">
        <v>4</v>
      </c>
      <c r="X228" s="67">
        <f>SUM(X366,X372)</f>
        <v>400000</v>
      </c>
      <c r="Y228" s="67">
        <f t="shared" si="183"/>
        <v>380000</v>
      </c>
      <c r="Z228" s="68">
        <f t="shared" si="177"/>
        <v>105.26315789473684</v>
      </c>
      <c r="AA228" s="67">
        <f t="shared" si="184"/>
        <v>9600000</v>
      </c>
      <c r="AB228" s="67">
        <f t="shared" si="184"/>
        <v>5200000</v>
      </c>
      <c r="AC228" s="68">
        <f t="shared" si="180"/>
        <v>54.166666666666664</v>
      </c>
      <c r="AD228" s="67">
        <f t="shared" si="185"/>
        <v>4180000</v>
      </c>
      <c r="AE228" s="68">
        <f t="shared" si="182"/>
        <v>124.4019138755981</v>
      </c>
      <c r="AF228" s="67" t="s">
        <v>141</v>
      </c>
      <c r="AH228" s="66"/>
    </row>
    <row r="229" spans="1:34" s="65" customFormat="1">
      <c r="A229" s="63" t="s">
        <v>296</v>
      </c>
      <c r="B229" s="63" t="s">
        <v>298</v>
      </c>
      <c r="C229" s="63" t="s">
        <v>76</v>
      </c>
      <c r="D229" s="63" t="s">
        <v>302</v>
      </c>
      <c r="E229" s="63" t="s">
        <v>96</v>
      </c>
      <c r="F229" s="63" t="s">
        <v>130</v>
      </c>
      <c r="G229" s="63" t="s">
        <v>235</v>
      </c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>
        <v>1</v>
      </c>
      <c r="U229" s="63"/>
      <c r="V229" s="63" t="s">
        <v>132</v>
      </c>
      <c r="W229" s="63">
        <v>4</v>
      </c>
      <c r="X229" s="63">
        <f t="shared" ref="X229" si="186">SUM(X227:X228)</f>
        <v>1200000</v>
      </c>
      <c r="Y229" s="63">
        <f t="shared" ref="Y229" si="187">SUM(Y227:Y228)</f>
        <v>1160000</v>
      </c>
      <c r="Z229" s="64">
        <f t="shared" si="177"/>
        <v>103.44827586206897</v>
      </c>
      <c r="AA229" s="63">
        <f t="shared" ref="AA229:AB229" si="188">SUM(AA227:AA228)</f>
        <v>32800000</v>
      </c>
      <c r="AB229" s="63">
        <f t="shared" si="188"/>
        <v>15600000</v>
      </c>
      <c r="AC229" s="64">
        <f t="shared" si="180"/>
        <v>47.560975609756099</v>
      </c>
      <c r="AD229" s="63">
        <f t="shared" ref="AD229" si="189">SUM(AD227:AD228)</f>
        <v>12760000</v>
      </c>
      <c r="AE229" s="64">
        <f t="shared" si="182"/>
        <v>122.25705329153604</v>
      </c>
      <c r="AF229" s="63" t="s">
        <v>133</v>
      </c>
      <c r="AH229" s="66"/>
    </row>
    <row r="230" spans="1:34" s="65" customFormat="1">
      <c r="A230" s="67" t="s">
        <v>296</v>
      </c>
      <c r="B230" s="67" t="s">
        <v>298</v>
      </c>
      <c r="C230" s="67" t="s">
        <v>76</v>
      </c>
      <c r="D230" s="67" t="s">
        <v>302</v>
      </c>
      <c r="E230" s="67" t="s">
        <v>96</v>
      </c>
      <c r="F230" s="67" t="s">
        <v>130</v>
      </c>
      <c r="G230" s="67" t="s">
        <v>235</v>
      </c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>
        <v>0</v>
      </c>
      <c r="U230" s="67">
        <v>118003</v>
      </c>
      <c r="V230" s="67" t="s">
        <v>134</v>
      </c>
      <c r="W230" s="67">
        <v>4</v>
      </c>
      <c r="X230" s="67">
        <f t="shared" ref="X230:Y230" si="190">SUM(X368,X374)</f>
        <v>100000</v>
      </c>
      <c r="Y230" s="67">
        <f t="shared" si="190"/>
        <v>90000</v>
      </c>
      <c r="Z230" s="68">
        <f t="shared" si="177"/>
        <v>111.11111111111111</v>
      </c>
      <c r="AA230" s="67">
        <f t="shared" ref="AA230:AB230" si="191">SUM(AA368,AA374)</f>
        <v>2400000</v>
      </c>
      <c r="AB230" s="67">
        <f t="shared" si="191"/>
        <v>1300000</v>
      </c>
      <c r="AC230" s="68">
        <f t="shared" si="180"/>
        <v>54.166666666666664</v>
      </c>
      <c r="AD230" s="67">
        <f t="shared" ref="AD230" si="192">SUM(AD368,AD374)</f>
        <v>990000</v>
      </c>
      <c r="AE230" s="68">
        <f t="shared" si="182"/>
        <v>131.31313131313132</v>
      </c>
      <c r="AF230" s="67" t="s">
        <v>135</v>
      </c>
      <c r="AH230" s="66"/>
    </row>
    <row r="231" spans="1:34" s="65" customFormat="1">
      <c r="A231" s="63" t="s">
        <v>296</v>
      </c>
      <c r="B231" s="63" t="s">
        <v>298</v>
      </c>
      <c r="C231" s="63" t="s">
        <v>76</v>
      </c>
      <c r="D231" s="63" t="s">
        <v>302</v>
      </c>
      <c r="E231" s="63" t="s">
        <v>96</v>
      </c>
      <c r="F231" s="63" t="s">
        <v>130</v>
      </c>
      <c r="G231" s="63" t="s">
        <v>235</v>
      </c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>
        <v>0</v>
      </c>
      <c r="U231" s="63">
        <v>118004</v>
      </c>
      <c r="V231" s="63" t="s">
        <v>136</v>
      </c>
      <c r="W231" s="63">
        <v>4</v>
      </c>
      <c r="X231" s="63"/>
      <c r="Y231" s="63"/>
      <c r="Z231" s="69" t="s">
        <v>182</v>
      </c>
      <c r="AA231" s="63"/>
      <c r="AB231" s="63"/>
      <c r="AC231" s="69" t="s">
        <v>182</v>
      </c>
      <c r="AD231" s="63"/>
      <c r="AE231" s="69" t="s">
        <v>182</v>
      </c>
      <c r="AF231" s="63" t="s">
        <v>81</v>
      </c>
      <c r="AH231" s="66"/>
    </row>
    <row r="232" spans="1:34" s="65" customFormat="1">
      <c r="A232" s="67" t="s">
        <v>296</v>
      </c>
      <c r="B232" s="67" t="s">
        <v>298</v>
      </c>
      <c r="C232" s="67" t="s">
        <v>76</v>
      </c>
      <c r="D232" s="67" t="s">
        <v>302</v>
      </c>
      <c r="E232" s="67" t="s">
        <v>96</v>
      </c>
      <c r="F232" s="67" t="s">
        <v>130</v>
      </c>
      <c r="G232" s="67" t="s">
        <v>235</v>
      </c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>
        <v>1</v>
      </c>
      <c r="U232" s="67"/>
      <c r="V232" s="67" t="s">
        <v>138</v>
      </c>
      <c r="W232" s="67">
        <v>4</v>
      </c>
      <c r="X232" s="67">
        <f>SUM(X251,X314,X308,X302,X239,X358,X364,X346,X352,X370,X376,X295,X283,X381)</f>
        <v>600000</v>
      </c>
      <c r="Y232" s="67">
        <f>SUM(Y251,Y314,Y308,Y302,Y239,Y358,Y364,Y346,Y352,Y370,Y376,Y295,Y283,Y381)</f>
        <v>540000</v>
      </c>
      <c r="Z232" s="68">
        <f t="shared" ref="Z232" si="193">X232/Y232*100</f>
        <v>111.11111111111111</v>
      </c>
      <c r="AA232" s="67">
        <f>SUM(AA251,AA314,AA308,AA302,AA239,AA358,AA364,AA346,AA352,AA370,AA376,AA295,AA283,AA381)</f>
        <v>14400000</v>
      </c>
      <c r="AB232" s="67">
        <v>650000</v>
      </c>
      <c r="AC232" s="68">
        <f t="shared" ref="AC232" si="194">AB232/AA232*100</f>
        <v>4.5138888888888884</v>
      </c>
      <c r="AD232" s="67">
        <v>495000</v>
      </c>
      <c r="AE232" s="68">
        <f t="shared" ref="AE232" si="195">AB232/AD232*100</f>
        <v>131.31313131313132</v>
      </c>
      <c r="AF232" s="67" t="s">
        <v>139</v>
      </c>
      <c r="AH232" s="66"/>
    </row>
    <row r="233" spans="1:34" s="65" customFormat="1" ht="14.4">
      <c r="A233" s="40"/>
      <c r="B233" s="40"/>
      <c r="C233" s="40"/>
      <c r="D233" s="40"/>
      <c r="E233" s="71"/>
      <c r="F233" s="40"/>
      <c r="G233" s="40"/>
      <c r="H233" s="40"/>
      <c r="I233" s="41" t="s">
        <v>140</v>
      </c>
      <c r="J233" s="41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3"/>
      <c r="V233" s="42"/>
      <c r="W233" s="72"/>
      <c r="X233" s="72"/>
      <c r="Y233" s="73"/>
      <c r="Z233" s="72"/>
      <c r="AA233" s="72"/>
      <c r="AB233" s="72"/>
      <c r="AC233" s="72"/>
      <c r="AD233" s="72"/>
      <c r="AE233" s="72"/>
      <c r="AF233" s="72"/>
      <c r="AH233" s="66"/>
    </row>
    <row r="234" spans="1:34" s="65" customFormat="1">
      <c r="A234" s="63" t="s">
        <v>296</v>
      </c>
      <c r="B234" s="63" t="s">
        <v>298</v>
      </c>
      <c r="C234" s="62" t="s">
        <v>177</v>
      </c>
      <c r="D234" s="63" t="s">
        <v>303</v>
      </c>
      <c r="E234" s="63" t="s">
        <v>96</v>
      </c>
      <c r="F234" s="63" t="s">
        <v>130</v>
      </c>
      <c r="G234" s="63" t="s">
        <v>128</v>
      </c>
      <c r="H234" s="62"/>
      <c r="I234" s="63"/>
      <c r="J234" s="62"/>
      <c r="K234" s="63"/>
      <c r="L234" s="63" t="s">
        <v>194</v>
      </c>
      <c r="M234" s="63" t="s">
        <v>188</v>
      </c>
      <c r="N234" s="62" t="s">
        <v>224</v>
      </c>
      <c r="O234" s="63" t="s">
        <v>218</v>
      </c>
      <c r="P234" s="63"/>
      <c r="Q234" s="63"/>
      <c r="R234" s="62"/>
      <c r="S234" s="63"/>
      <c r="T234" s="63">
        <v>0</v>
      </c>
      <c r="U234" s="63">
        <v>118001</v>
      </c>
      <c r="V234" s="63" t="s">
        <v>129</v>
      </c>
      <c r="W234" s="63">
        <v>4</v>
      </c>
      <c r="X234" s="74"/>
      <c r="Y234" s="74"/>
      <c r="Z234" s="74" t="s">
        <v>181</v>
      </c>
      <c r="AA234" s="74"/>
      <c r="AB234" s="74"/>
      <c r="AC234" s="74" t="s">
        <v>181</v>
      </c>
      <c r="AD234" s="74"/>
      <c r="AE234" s="74" t="s">
        <v>181</v>
      </c>
      <c r="AF234" s="63" t="s">
        <v>75</v>
      </c>
      <c r="AH234" s="66"/>
    </row>
    <row r="235" spans="1:34" s="65" customFormat="1">
      <c r="A235" s="67" t="s">
        <v>296</v>
      </c>
      <c r="B235" s="67" t="s">
        <v>298</v>
      </c>
      <c r="C235" s="67" t="s">
        <v>177</v>
      </c>
      <c r="D235" s="67" t="s">
        <v>303</v>
      </c>
      <c r="E235" s="67" t="s">
        <v>96</v>
      </c>
      <c r="F235" s="67" t="s">
        <v>130</v>
      </c>
      <c r="G235" s="67" t="s">
        <v>128</v>
      </c>
      <c r="H235" s="67"/>
      <c r="I235" s="67"/>
      <c r="J235" s="67"/>
      <c r="K235" s="67"/>
      <c r="L235" s="67" t="s">
        <v>194</v>
      </c>
      <c r="M235" s="67" t="s">
        <v>188</v>
      </c>
      <c r="N235" s="67" t="s">
        <v>223</v>
      </c>
      <c r="O235" s="67" t="s">
        <v>217</v>
      </c>
      <c r="P235" s="67"/>
      <c r="Q235" s="67"/>
      <c r="R235" s="67"/>
      <c r="S235" s="67"/>
      <c r="T235" s="67">
        <v>0</v>
      </c>
      <c r="U235" s="67">
        <v>118002</v>
      </c>
      <c r="V235" s="67" t="s">
        <v>131</v>
      </c>
      <c r="W235" s="67">
        <v>4</v>
      </c>
      <c r="X235" s="75"/>
      <c r="Y235" s="75"/>
      <c r="Z235" s="75" t="s">
        <v>181</v>
      </c>
      <c r="AA235" s="75"/>
      <c r="AB235" s="75"/>
      <c r="AC235" s="75" t="s">
        <v>181</v>
      </c>
      <c r="AD235" s="75"/>
      <c r="AE235" s="75" t="s">
        <v>181</v>
      </c>
      <c r="AF235" s="67" t="s">
        <v>141</v>
      </c>
      <c r="AH235" s="66"/>
    </row>
    <row r="236" spans="1:34" s="65" customFormat="1">
      <c r="A236" s="63" t="s">
        <v>296</v>
      </c>
      <c r="B236" s="63" t="s">
        <v>298</v>
      </c>
      <c r="C236" s="63" t="s">
        <v>177</v>
      </c>
      <c r="D236" s="63" t="s">
        <v>303</v>
      </c>
      <c r="E236" s="63" t="s">
        <v>96</v>
      </c>
      <c r="F236" s="63" t="s">
        <v>130</v>
      </c>
      <c r="G236" s="63" t="s">
        <v>128</v>
      </c>
      <c r="H236" s="63"/>
      <c r="I236" s="63"/>
      <c r="J236" s="63"/>
      <c r="K236" s="63"/>
      <c r="L236" s="63" t="s">
        <v>194</v>
      </c>
      <c r="M236" s="63" t="s">
        <v>188</v>
      </c>
      <c r="N236" s="63" t="s">
        <v>223</v>
      </c>
      <c r="O236" s="63" t="s">
        <v>217</v>
      </c>
      <c r="P236" s="63"/>
      <c r="Q236" s="63"/>
      <c r="R236" s="63"/>
      <c r="S236" s="63"/>
      <c r="T236" s="63">
        <v>1</v>
      </c>
      <c r="U236" s="63"/>
      <c r="V236" s="63" t="s">
        <v>132</v>
      </c>
      <c r="W236" s="63">
        <v>4</v>
      </c>
      <c r="X236" s="74"/>
      <c r="Y236" s="74"/>
      <c r="Z236" s="74" t="s">
        <v>181</v>
      </c>
      <c r="AA236" s="74"/>
      <c r="AB236" s="74"/>
      <c r="AC236" s="74" t="s">
        <v>181</v>
      </c>
      <c r="AD236" s="74"/>
      <c r="AE236" s="74" t="s">
        <v>181</v>
      </c>
      <c r="AF236" s="63" t="s">
        <v>133</v>
      </c>
      <c r="AH236" s="66"/>
    </row>
    <row r="237" spans="1:34" s="65" customFormat="1">
      <c r="A237" s="67" t="s">
        <v>296</v>
      </c>
      <c r="B237" s="67" t="s">
        <v>298</v>
      </c>
      <c r="C237" s="67" t="s">
        <v>177</v>
      </c>
      <c r="D237" s="67" t="s">
        <v>303</v>
      </c>
      <c r="E237" s="67" t="s">
        <v>96</v>
      </c>
      <c r="F237" s="67" t="s">
        <v>130</v>
      </c>
      <c r="G237" s="67" t="s">
        <v>128</v>
      </c>
      <c r="H237" s="67"/>
      <c r="I237" s="67"/>
      <c r="J237" s="67"/>
      <c r="K237" s="67"/>
      <c r="L237" s="67" t="s">
        <v>194</v>
      </c>
      <c r="M237" s="67" t="s">
        <v>188</v>
      </c>
      <c r="N237" s="67" t="s">
        <v>223</v>
      </c>
      <c r="O237" s="67" t="s">
        <v>217</v>
      </c>
      <c r="P237" s="67"/>
      <c r="Q237" s="67"/>
      <c r="R237" s="67"/>
      <c r="S237" s="67"/>
      <c r="T237" s="67">
        <v>0</v>
      </c>
      <c r="U237" s="67">
        <v>118003</v>
      </c>
      <c r="V237" s="67" t="s">
        <v>134</v>
      </c>
      <c r="W237" s="67">
        <v>4</v>
      </c>
      <c r="X237" s="67">
        <f>X276+X282+X288+X294</f>
        <v>100000</v>
      </c>
      <c r="Y237" s="67">
        <f>Y276+Y282+Y288+Y294</f>
        <v>90000</v>
      </c>
      <c r="Z237" s="68">
        <f>X237/Y237*100</f>
        <v>111.11111111111111</v>
      </c>
      <c r="AA237" s="67">
        <f>AA276+AA282+AA288+AA294</f>
        <v>2400000</v>
      </c>
      <c r="AB237" s="67">
        <f>AB276+AB282+AB288+AB294</f>
        <v>1300000</v>
      </c>
      <c r="AC237" s="68">
        <f>AB237/AA237*100</f>
        <v>54.166666666666664</v>
      </c>
      <c r="AD237" s="67">
        <f>AD276+AD282+AD288+AD294</f>
        <v>990000</v>
      </c>
      <c r="AE237" s="68">
        <f>AB237/AD237*100</f>
        <v>131.31313131313132</v>
      </c>
      <c r="AF237" s="67" t="s">
        <v>135</v>
      </c>
      <c r="AH237" s="66"/>
    </row>
    <row r="238" spans="1:34" s="65" customFormat="1">
      <c r="A238" s="63" t="s">
        <v>296</v>
      </c>
      <c r="B238" s="63" t="s">
        <v>298</v>
      </c>
      <c r="C238" s="63" t="s">
        <v>177</v>
      </c>
      <c r="D238" s="63" t="s">
        <v>303</v>
      </c>
      <c r="E238" s="63" t="s">
        <v>96</v>
      </c>
      <c r="F238" s="63" t="s">
        <v>130</v>
      </c>
      <c r="G238" s="63" t="s">
        <v>128</v>
      </c>
      <c r="H238" s="63"/>
      <c r="I238" s="63"/>
      <c r="J238" s="63"/>
      <c r="K238" s="63"/>
      <c r="L238" s="63" t="s">
        <v>194</v>
      </c>
      <c r="M238" s="63" t="s">
        <v>188</v>
      </c>
      <c r="N238" s="63" t="s">
        <v>223</v>
      </c>
      <c r="O238" s="63" t="s">
        <v>217</v>
      </c>
      <c r="P238" s="63"/>
      <c r="Q238" s="63"/>
      <c r="R238" s="63"/>
      <c r="S238" s="63"/>
      <c r="T238" s="63">
        <v>0</v>
      </c>
      <c r="U238" s="63">
        <v>118004</v>
      </c>
      <c r="V238" s="63" t="s">
        <v>136</v>
      </c>
      <c r="W238" s="63">
        <v>4</v>
      </c>
      <c r="X238" s="63"/>
      <c r="Y238" s="63"/>
      <c r="Z238" s="69" t="s">
        <v>182</v>
      </c>
      <c r="AA238" s="63"/>
      <c r="AB238" s="63"/>
      <c r="AC238" s="69" t="s">
        <v>182</v>
      </c>
      <c r="AD238" s="63"/>
      <c r="AE238" s="69" t="s">
        <v>182</v>
      </c>
      <c r="AF238" s="63" t="s">
        <v>81</v>
      </c>
      <c r="AH238" s="66"/>
    </row>
    <row r="239" spans="1:34" s="65" customFormat="1">
      <c r="A239" s="67" t="s">
        <v>296</v>
      </c>
      <c r="B239" s="67" t="s">
        <v>298</v>
      </c>
      <c r="C239" s="67" t="s">
        <v>177</v>
      </c>
      <c r="D239" s="67" t="s">
        <v>303</v>
      </c>
      <c r="E239" s="67" t="s">
        <v>96</v>
      </c>
      <c r="F239" s="67" t="s">
        <v>130</v>
      </c>
      <c r="G239" s="67" t="s">
        <v>128</v>
      </c>
      <c r="H239" s="67"/>
      <c r="I239" s="67"/>
      <c r="J239" s="67"/>
      <c r="K239" s="67"/>
      <c r="L239" s="67" t="s">
        <v>194</v>
      </c>
      <c r="M239" s="67" t="s">
        <v>188</v>
      </c>
      <c r="N239" s="67" t="s">
        <v>223</v>
      </c>
      <c r="O239" s="67" t="s">
        <v>217</v>
      </c>
      <c r="P239" s="67"/>
      <c r="Q239" s="67"/>
      <c r="R239" s="67"/>
      <c r="S239" s="67"/>
      <c r="T239" s="67">
        <v>1</v>
      </c>
      <c r="U239" s="67"/>
      <c r="V239" s="67" t="s">
        <v>138</v>
      </c>
      <c r="W239" s="67">
        <v>4</v>
      </c>
      <c r="X239" s="67">
        <v>100000</v>
      </c>
      <c r="Y239" s="67">
        <v>90000</v>
      </c>
      <c r="Z239" s="67">
        <v>111.1</v>
      </c>
      <c r="AA239" s="67">
        <v>2400000</v>
      </c>
      <c r="AB239" s="67">
        <v>1300000</v>
      </c>
      <c r="AC239" s="67">
        <v>54.2</v>
      </c>
      <c r="AD239" s="67">
        <v>990000</v>
      </c>
      <c r="AE239" s="67">
        <v>131.30000000000001</v>
      </c>
      <c r="AF239" s="67" t="s">
        <v>139</v>
      </c>
      <c r="AH239" s="66"/>
    </row>
    <row r="240" spans="1:34" s="65" customFormat="1">
      <c r="A240" s="63" t="s">
        <v>296</v>
      </c>
      <c r="B240" s="63" t="s">
        <v>298</v>
      </c>
      <c r="C240" s="62" t="s">
        <v>177</v>
      </c>
      <c r="D240" s="63" t="s">
        <v>303</v>
      </c>
      <c r="E240" s="63" t="s">
        <v>96</v>
      </c>
      <c r="F240" s="63" t="s">
        <v>130</v>
      </c>
      <c r="G240" s="63" t="s">
        <v>128</v>
      </c>
      <c r="H240" s="62"/>
      <c r="I240" s="63"/>
      <c r="J240" s="62"/>
      <c r="K240" s="63"/>
      <c r="L240" s="63" t="s">
        <v>194</v>
      </c>
      <c r="M240" s="63" t="s">
        <v>189</v>
      </c>
      <c r="N240" s="62"/>
      <c r="O240" s="63"/>
      <c r="P240" s="63"/>
      <c r="Q240" s="63"/>
      <c r="R240" s="62"/>
      <c r="S240" s="63"/>
      <c r="T240" s="63">
        <v>0</v>
      </c>
      <c r="U240" s="63">
        <v>118001</v>
      </c>
      <c r="V240" s="63" t="s">
        <v>129</v>
      </c>
      <c r="W240" s="63">
        <v>4</v>
      </c>
      <c r="X240" s="74">
        <f>X297+X303+X309</f>
        <v>1200000</v>
      </c>
      <c r="Y240" s="74">
        <f>Y297+Y303+Y309</f>
        <v>1170000</v>
      </c>
      <c r="Z240" s="102">
        <f>X240/Y240*100</f>
        <v>102.56410256410255</v>
      </c>
      <c r="AA240" s="74">
        <f>AA297+AA303+AA309</f>
        <v>34800000</v>
      </c>
      <c r="AB240" s="74">
        <f>AB297+AB303+AB309</f>
        <v>15600000</v>
      </c>
      <c r="AC240" s="102">
        <f>AB240/AA240*100</f>
        <v>44.827586206896555</v>
      </c>
      <c r="AD240" s="74">
        <f>AD297+AD303+AD309</f>
        <v>12870000</v>
      </c>
      <c r="AE240" s="102">
        <f>AB240/AD240*100</f>
        <v>121.21212121212122</v>
      </c>
      <c r="AF240" s="62" t="s">
        <v>75</v>
      </c>
      <c r="AH240" s="66"/>
    </row>
    <row r="241" spans="1:34" s="65" customFormat="1">
      <c r="A241" s="67" t="s">
        <v>296</v>
      </c>
      <c r="B241" s="67" t="s">
        <v>298</v>
      </c>
      <c r="C241" s="67" t="s">
        <v>177</v>
      </c>
      <c r="D241" s="67" t="s">
        <v>303</v>
      </c>
      <c r="E241" s="67" t="s">
        <v>96</v>
      </c>
      <c r="F241" s="67" t="s">
        <v>130</v>
      </c>
      <c r="G241" s="67" t="s">
        <v>128</v>
      </c>
      <c r="H241" s="67"/>
      <c r="I241" s="67"/>
      <c r="J241" s="67"/>
      <c r="K241" s="67"/>
      <c r="L241" s="67" t="s">
        <v>194</v>
      </c>
      <c r="M241" s="67" t="s">
        <v>188</v>
      </c>
      <c r="N241" s="67"/>
      <c r="O241" s="67"/>
      <c r="P241" s="67"/>
      <c r="Q241" s="67"/>
      <c r="R241" s="67"/>
      <c r="S241" s="67"/>
      <c r="T241" s="67">
        <v>0</v>
      </c>
      <c r="U241" s="67">
        <v>118002</v>
      </c>
      <c r="V241" s="67" t="s">
        <v>131</v>
      </c>
      <c r="W241" s="67">
        <v>4</v>
      </c>
      <c r="X241" s="75">
        <f t="shared" ref="X241:Y241" si="196">X298+X304+X310</f>
        <v>600000</v>
      </c>
      <c r="Y241" s="75">
        <f t="shared" si="196"/>
        <v>570000</v>
      </c>
      <c r="Z241" s="101">
        <f t="shared" ref="Z241:Z245" si="197">X241/Y241*100</f>
        <v>105.26315789473684</v>
      </c>
      <c r="AA241" s="75">
        <f t="shared" ref="AA241:AB241" si="198">AA298+AA304+AA310</f>
        <v>14400000</v>
      </c>
      <c r="AB241" s="75">
        <f t="shared" si="198"/>
        <v>7800000</v>
      </c>
      <c r="AC241" s="101">
        <f t="shared" ref="AC241:AC245" si="199">AB241/AA241*100</f>
        <v>54.166666666666664</v>
      </c>
      <c r="AD241" s="75">
        <f t="shared" ref="AD241" si="200">AD298+AD304+AD310</f>
        <v>6270000</v>
      </c>
      <c r="AE241" s="101">
        <f t="shared" ref="AE241:AE245" si="201">AB241/AD241*100</f>
        <v>124.4019138755981</v>
      </c>
      <c r="AF241" s="77" t="s">
        <v>141</v>
      </c>
      <c r="AH241" s="66"/>
    </row>
    <row r="242" spans="1:34" s="65" customFormat="1">
      <c r="A242" s="63" t="s">
        <v>296</v>
      </c>
      <c r="B242" s="63" t="s">
        <v>298</v>
      </c>
      <c r="C242" s="63" t="s">
        <v>177</v>
      </c>
      <c r="D242" s="63" t="s">
        <v>303</v>
      </c>
      <c r="E242" s="63" t="s">
        <v>96</v>
      </c>
      <c r="F242" s="63" t="s">
        <v>130</v>
      </c>
      <c r="G242" s="63" t="s">
        <v>128</v>
      </c>
      <c r="H242" s="63"/>
      <c r="I242" s="63"/>
      <c r="J242" s="63"/>
      <c r="K242" s="63"/>
      <c r="L242" s="63" t="s">
        <v>194</v>
      </c>
      <c r="M242" s="63" t="s">
        <v>188</v>
      </c>
      <c r="N242" s="63"/>
      <c r="O242" s="63"/>
      <c r="P242" s="63"/>
      <c r="Q242" s="63"/>
      <c r="R242" s="63"/>
      <c r="S242" s="63"/>
      <c r="T242" s="63">
        <v>1</v>
      </c>
      <c r="U242" s="63"/>
      <c r="V242" s="63" t="s">
        <v>132</v>
      </c>
      <c r="W242" s="63">
        <v>4</v>
      </c>
      <c r="X242" s="74">
        <f t="shared" ref="X242:Y242" si="202">X299+X305+X311</f>
        <v>1800000</v>
      </c>
      <c r="Y242" s="74">
        <f t="shared" si="202"/>
        <v>1740000</v>
      </c>
      <c r="Z242" s="100">
        <f t="shared" si="197"/>
        <v>103.44827586206897</v>
      </c>
      <c r="AA242" s="74">
        <f t="shared" ref="AA242:AB242" si="203">AA299+AA305+AA311</f>
        <v>49200000</v>
      </c>
      <c r="AB242" s="74">
        <f t="shared" si="203"/>
        <v>23400000</v>
      </c>
      <c r="AC242" s="100">
        <f t="shared" si="199"/>
        <v>47.560975609756099</v>
      </c>
      <c r="AD242" s="74">
        <f t="shared" ref="AD242" si="204">AD299+AD305+AD311</f>
        <v>19140000</v>
      </c>
      <c r="AE242" s="100">
        <f t="shared" si="201"/>
        <v>122.25705329153604</v>
      </c>
      <c r="AF242" s="62" t="s">
        <v>316</v>
      </c>
      <c r="AH242" s="66"/>
    </row>
    <row r="243" spans="1:34" s="65" customFormat="1">
      <c r="A243" s="67" t="s">
        <v>296</v>
      </c>
      <c r="B243" s="67" t="s">
        <v>298</v>
      </c>
      <c r="C243" s="67" t="s">
        <v>177</v>
      </c>
      <c r="D243" s="67" t="s">
        <v>303</v>
      </c>
      <c r="E243" s="67" t="s">
        <v>96</v>
      </c>
      <c r="F243" s="67" t="s">
        <v>130</v>
      </c>
      <c r="G243" s="67" t="s">
        <v>128</v>
      </c>
      <c r="H243" s="67"/>
      <c r="I243" s="67"/>
      <c r="J243" s="67"/>
      <c r="K243" s="67"/>
      <c r="L243" s="67" t="s">
        <v>194</v>
      </c>
      <c r="M243" s="67" t="s">
        <v>188</v>
      </c>
      <c r="N243" s="67"/>
      <c r="O243" s="67"/>
      <c r="P243" s="67"/>
      <c r="Q243" s="67"/>
      <c r="R243" s="67"/>
      <c r="S243" s="67"/>
      <c r="T243" s="67">
        <v>0</v>
      </c>
      <c r="U243" s="67">
        <v>118003</v>
      </c>
      <c r="V243" s="67" t="s">
        <v>134</v>
      </c>
      <c r="W243" s="67">
        <v>4</v>
      </c>
      <c r="X243" s="67">
        <f t="shared" ref="X243:Y243" si="205">X300+X306+X312</f>
        <v>150000</v>
      </c>
      <c r="Y243" s="67">
        <f t="shared" si="205"/>
        <v>135000</v>
      </c>
      <c r="Z243" s="68">
        <f t="shared" si="197"/>
        <v>111.11111111111111</v>
      </c>
      <c r="AA243" s="67">
        <f t="shared" ref="AA243:AB243" si="206">AA300+AA306+AA312</f>
        <v>3600000</v>
      </c>
      <c r="AB243" s="67">
        <f t="shared" si="206"/>
        <v>1950000</v>
      </c>
      <c r="AC243" s="68">
        <f t="shared" si="199"/>
        <v>54.166666666666664</v>
      </c>
      <c r="AD243" s="67">
        <f t="shared" ref="AD243" si="207">AD300+AD306+AD312</f>
        <v>1485000</v>
      </c>
      <c r="AE243" s="68">
        <f t="shared" si="201"/>
        <v>131.31313131313132</v>
      </c>
      <c r="AF243" s="77" t="s">
        <v>82</v>
      </c>
      <c r="AH243" s="66"/>
    </row>
    <row r="244" spans="1:34" s="65" customFormat="1">
      <c r="A244" s="63" t="s">
        <v>296</v>
      </c>
      <c r="B244" s="63" t="s">
        <v>298</v>
      </c>
      <c r="C244" s="63" t="s">
        <v>177</v>
      </c>
      <c r="D244" s="63" t="s">
        <v>303</v>
      </c>
      <c r="E244" s="63" t="s">
        <v>96</v>
      </c>
      <c r="F244" s="63" t="s">
        <v>130</v>
      </c>
      <c r="G244" s="63" t="s">
        <v>128</v>
      </c>
      <c r="H244" s="63"/>
      <c r="I244" s="63"/>
      <c r="J244" s="63"/>
      <c r="K244" s="63"/>
      <c r="L244" s="63" t="s">
        <v>194</v>
      </c>
      <c r="M244" s="63" t="s">
        <v>188</v>
      </c>
      <c r="N244" s="63"/>
      <c r="O244" s="63"/>
      <c r="P244" s="63"/>
      <c r="Q244" s="63"/>
      <c r="R244" s="63"/>
      <c r="S244" s="63"/>
      <c r="T244" s="63">
        <v>0</v>
      </c>
      <c r="U244" s="63">
        <v>118004</v>
      </c>
      <c r="V244" s="63" t="s">
        <v>136</v>
      </c>
      <c r="W244" s="63">
        <v>4</v>
      </c>
      <c r="X244" s="63"/>
      <c r="Y244" s="63"/>
      <c r="Z244" s="103">
        <v>0</v>
      </c>
      <c r="AA244" s="63"/>
      <c r="AB244" s="63"/>
      <c r="AC244" s="103">
        <v>0</v>
      </c>
      <c r="AD244" s="63"/>
      <c r="AE244" s="103">
        <v>0</v>
      </c>
      <c r="AF244" s="62" t="s">
        <v>81</v>
      </c>
      <c r="AH244" s="66"/>
    </row>
    <row r="245" spans="1:34" s="65" customFormat="1">
      <c r="A245" s="67" t="s">
        <v>296</v>
      </c>
      <c r="B245" s="67" t="s">
        <v>298</v>
      </c>
      <c r="C245" s="67" t="s">
        <v>177</v>
      </c>
      <c r="D245" s="67" t="s">
        <v>303</v>
      </c>
      <c r="E245" s="67" t="s">
        <v>96</v>
      </c>
      <c r="F245" s="67" t="s">
        <v>130</v>
      </c>
      <c r="G245" s="67" t="s">
        <v>128</v>
      </c>
      <c r="H245" s="67"/>
      <c r="I245" s="67"/>
      <c r="J245" s="67"/>
      <c r="K245" s="67"/>
      <c r="L245" s="67" t="s">
        <v>194</v>
      </c>
      <c r="M245" s="67" t="s">
        <v>188</v>
      </c>
      <c r="N245" s="67"/>
      <c r="O245" s="67"/>
      <c r="P245" s="67"/>
      <c r="Q245" s="67"/>
      <c r="R245" s="67"/>
      <c r="S245" s="67"/>
      <c r="T245" s="67">
        <v>1</v>
      </c>
      <c r="U245" s="67"/>
      <c r="V245" s="67" t="s">
        <v>138</v>
      </c>
      <c r="W245" s="67">
        <v>4</v>
      </c>
      <c r="X245" s="67">
        <f t="shared" ref="X245:Y245" si="208">X302+X308+X314</f>
        <v>150000</v>
      </c>
      <c r="Y245" s="67">
        <f t="shared" si="208"/>
        <v>135000</v>
      </c>
      <c r="Z245" s="68">
        <f t="shared" si="197"/>
        <v>111.11111111111111</v>
      </c>
      <c r="AA245" s="67">
        <f t="shared" ref="AA245:AB245" si="209">AA302+AA308+AA314</f>
        <v>3600000</v>
      </c>
      <c r="AB245" s="67">
        <f t="shared" si="209"/>
        <v>1950000</v>
      </c>
      <c r="AC245" s="68">
        <f t="shared" si="199"/>
        <v>54.166666666666664</v>
      </c>
      <c r="AD245" s="67">
        <f t="shared" ref="AD245" si="210">AD302+AD308+AD314</f>
        <v>1485000</v>
      </c>
      <c r="AE245" s="68">
        <f t="shared" si="201"/>
        <v>131.31313131313132</v>
      </c>
      <c r="AF245" s="77" t="s">
        <v>77</v>
      </c>
      <c r="AH245" s="66"/>
    </row>
    <row r="246" spans="1:34" s="65" customFormat="1">
      <c r="A246" s="63" t="s">
        <v>296</v>
      </c>
      <c r="B246" s="63" t="s">
        <v>298</v>
      </c>
      <c r="C246" s="62" t="s">
        <v>177</v>
      </c>
      <c r="D246" s="63" t="s">
        <v>303</v>
      </c>
      <c r="E246" s="63" t="s">
        <v>96</v>
      </c>
      <c r="F246" s="63" t="s">
        <v>130</v>
      </c>
      <c r="G246" s="63" t="s">
        <v>128</v>
      </c>
      <c r="H246" s="62"/>
      <c r="I246" s="63"/>
      <c r="J246" s="62"/>
      <c r="K246" s="63"/>
      <c r="L246" s="63" t="s">
        <v>193</v>
      </c>
      <c r="M246" s="63" t="s">
        <v>187</v>
      </c>
      <c r="N246" s="62" t="s">
        <v>212</v>
      </c>
      <c r="O246" s="63" t="s">
        <v>210</v>
      </c>
      <c r="P246" s="63"/>
      <c r="Q246" s="63"/>
      <c r="R246" s="62"/>
      <c r="S246" s="63"/>
      <c r="T246" s="63">
        <v>0</v>
      </c>
      <c r="U246" s="63">
        <v>118001</v>
      </c>
      <c r="V246" s="63" t="s">
        <v>129</v>
      </c>
      <c r="W246" s="63">
        <v>4</v>
      </c>
      <c r="X246" s="63">
        <f>X315</f>
        <v>400000</v>
      </c>
      <c r="Y246" s="63">
        <f t="shared" ref="Y246:AE246" si="211">Y315</f>
        <v>390000</v>
      </c>
      <c r="Z246" s="64">
        <f t="shared" si="211"/>
        <v>102.56410256410255</v>
      </c>
      <c r="AA246" s="63">
        <f t="shared" si="211"/>
        <v>11600000</v>
      </c>
      <c r="AB246" s="63">
        <f t="shared" si="211"/>
        <v>5200000</v>
      </c>
      <c r="AC246" s="64">
        <f t="shared" si="211"/>
        <v>44.827586206896555</v>
      </c>
      <c r="AD246" s="63">
        <f t="shared" si="211"/>
        <v>4290000</v>
      </c>
      <c r="AE246" s="64">
        <f t="shared" si="211"/>
        <v>121.21212121212122</v>
      </c>
      <c r="AF246" s="63" t="s">
        <v>75</v>
      </c>
      <c r="AH246" s="66"/>
    </row>
    <row r="247" spans="1:34" s="65" customFormat="1">
      <c r="A247" s="67" t="s">
        <v>296</v>
      </c>
      <c r="B247" s="67" t="s">
        <v>298</v>
      </c>
      <c r="C247" s="67" t="s">
        <v>177</v>
      </c>
      <c r="D247" s="67" t="s">
        <v>303</v>
      </c>
      <c r="E247" s="67" t="s">
        <v>96</v>
      </c>
      <c r="F247" s="67" t="s">
        <v>130</v>
      </c>
      <c r="G247" s="67" t="s">
        <v>128</v>
      </c>
      <c r="H247" s="67"/>
      <c r="I247" s="67"/>
      <c r="J247" s="67"/>
      <c r="K247" s="67"/>
      <c r="L247" s="67" t="s">
        <v>193</v>
      </c>
      <c r="M247" s="67" t="s">
        <v>187</v>
      </c>
      <c r="N247" s="67" t="s">
        <v>211</v>
      </c>
      <c r="O247" s="67" t="s">
        <v>209</v>
      </c>
      <c r="P247" s="67"/>
      <c r="Q247" s="67"/>
      <c r="R247" s="67"/>
      <c r="S247" s="67"/>
      <c r="T247" s="67">
        <v>0</v>
      </c>
      <c r="U247" s="67">
        <v>118002</v>
      </c>
      <c r="V247" s="67" t="s">
        <v>131</v>
      </c>
      <c r="W247" s="67">
        <v>4</v>
      </c>
      <c r="X247" s="67">
        <f t="shared" ref="X247:AE247" si="212">X316</f>
        <v>200000</v>
      </c>
      <c r="Y247" s="67">
        <f t="shared" si="212"/>
        <v>190000</v>
      </c>
      <c r="Z247" s="104">
        <f t="shared" si="212"/>
        <v>105.26315789473684</v>
      </c>
      <c r="AA247" s="67">
        <f t="shared" si="212"/>
        <v>4800000</v>
      </c>
      <c r="AB247" s="67">
        <f t="shared" si="212"/>
        <v>2600000</v>
      </c>
      <c r="AC247" s="104">
        <f t="shared" si="212"/>
        <v>54.166666666666664</v>
      </c>
      <c r="AD247" s="67">
        <f t="shared" si="212"/>
        <v>2090000</v>
      </c>
      <c r="AE247" s="104">
        <f t="shared" si="212"/>
        <v>124.4019138755981</v>
      </c>
      <c r="AF247" s="67" t="s">
        <v>141</v>
      </c>
      <c r="AH247" s="66"/>
    </row>
    <row r="248" spans="1:34" s="65" customFormat="1">
      <c r="A248" s="63" t="s">
        <v>296</v>
      </c>
      <c r="B248" s="63" t="s">
        <v>298</v>
      </c>
      <c r="C248" s="63" t="s">
        <v>177</v>
      </c>
      <c r="D248" s="63" t="s">
        <v>303</v>
      </c>
      <c r="E248" s="63" t="s">
        <v>96</v>
      </c>
      <c r="F248" s="63" t="s">
        <v>130</v>
      </c>
      <c r="G248" s="63" t="s">
        <v>128</v>
      </c>
      <c r="H248" s="63"/>
      <c r="I248" s="63"/>
      <c r="J248" s="63"/>
      <c r="K248" s="63"/>
      <c r="L248" s="63" t="s">
        <v>193</v>
      </c>
      <c r="M248" s="63" t="s">
        <v>187</v>
      </c>
      <c r="N248" s="63" t="s">
        <v>211</v>
      </c>
      <c r="O248" s="63" t="s">
        <v>209</v>
      </c>
      <c r="P248" s="63"/>
      <c r="Q248" s="63"/>
      <c r="R248" s="63"/>
      <c r="S248" s="63"/>
      <c r="T248" s="63">
        <v>1</v>
      </c>
      <c r="U248" s="63"/>
      <c r="V248" s="63" t="s">
        <v>132</v>
      </c>
      <c r="W248" s="63">
        <v>4</v>
      </c>
      <c r="X248" s="63">
        <f t="shared" ref="X248:AE248" si="213">X317</f>
        <v>600000</v>
      </c>
      <c r="Y248" s="63">
        <f t="shared" si="213"/>
        <v>580000</v>
      </c>
      <c r="Z248" s="103">
        <f t="shared" si="213"/>
        <v>103.44827586206897</v>
      </c>
      <c r="AA248" s="63">
        <f t="shared" si="213"/>
        <v>16400000</v>
      </c>
      <c r="AB248" s="63">
        <f t="shared" si="213"/>
        <v>7800000</v>
      </c>
      <c r="AC248" s="103">
        <f t="shared" si="213"/>
        <v>47.560975609756099</v>
      </c>
      <c r="AD248" s="63">
        <f t="shared" si="213"/>
        <v>6380000</v>
      </c>
      <c r="AE248" s="103">
        <f t="shared" si="213"/>
        <v>122.25705329153604</v>
      </c>
      <c r="AF248" s="63" t="s">
        <v>133</v>
      </c>
      <c r="AH248" s="66"/>
    </row>
    <row r="249" spans="1:34" s="65" customFormat="1">
      <c r="A249" s="67" t="s">
        <v>296</v>
      </c>
      <c r="B249" s="67" t="s">
        <v>298</v>
      </c>
      <c r="C249" s="67" t="s">
        <v>177</v>
      </c>
      <c r="D249" s="67" t="s">
        <v>303</v>
      </c>
      <c r="E249" s="67" t="s">
        <v>96</v>
      </c>
      <c r="F249" s="67" t="s">
        <v>130</v>
      </c>
      <c r="G249" s="67" t="s">
        <v>128</v>
      </c>
      <c r="H249" s="67"/>
      <c r="I249" s="67"/>
      <c r="J249" s="67"/>
      <c r="K249" s="67"/>
      <c r="L249" s="67" t="s">
        <v>193</v>
      </c>
      <c r="M249" s="67" t="s">
        <v>187</v>
      </c>
      <c r="N249" s="67" t="s">
        <v>211</v>
      </c>
      <c r="O249" s="67" t="s">
        <v>209</v>
      </c>
      <c r="P249" s="67"/>
      <c r="Q249" s="67"/>
      <c r="R249" s="67"/>
      <c r="S249" s="67"/>
      <c r="T249" s="67">
        <v>0</v>
      </c>
      <c r="U249" s="67">
        <v>118003</v>
      </c>
      <c r="V249" s="67" t="s">
        <v>134</v>
      </c>
      <c r="W249" s="67">
        <v>4</v>
      </c>
      <c r="X249" s="67">
        <f t="shared" ref="X249:AE249" si="214">X318</f>
        <v>50000</v>
      </c>
      <c r="Y249" s="67">
        <f t="shared" si="214"/>
        <v>45000</v>
      </c>
      <c r="Z249" s="68">
        <f t="shared" si="214"/>
        <v>111.11111111111111</v>
      </c>
      <c r="AA249" s="67">
        <f t="shared" si="214"/>
        <v>1200000</v>
      </c>
      <c r="AB249" s="67">
        <f t="shared" si="214"/>
        <v>650000</v>
      </c>
      <c r="AC249" s="68">
        <f t="shared" si="214"/>
        <v>54.166666666666664</v>
      </c>
      <c r="AD249" s="67">
        <f t="shared" si="214"/>
        <v>495000</v>
      </c>
      <c r="AE249" s="68">
        <f t="shared" si="214"/>
        <v>131.31313131313132</v>
      </c>
      <c r="AF249" s="67" t="s">
        <v>135</v>
      </c>
      <c r="AH249" s="66"/>
    </row>
    <row r="250" spans="1:34" s="65" customFormat="1">
      <c r="A250" s="63" t="s">
        <v>296</v>
      </c>
      <c r="B250" s="63" t="s">
        <v>298</v>
      </c>
      <c r="C250" s="63" t="s">
        <v>177</v>
      </c>
      <c r="D250" s="63" t="s">
        <v>303</v>
      </c>
      <c r="E250" s="63" t="s">
        <v>96</v>
      </c>
      <c r="F250" s="63" t="s">
        <v>130</v>
      </c>
      <c r="G250" s="63" t="s">
        <v>128</v>
      </c>
      <c r="H250" s="63"/>
      <c r="I250" s="63"/>
      <c r="J250" s="63"/>
      <c r="K250" s="63"/>
      <c r="L250" s="63" t="s">
        <v>193</v>
      </c>
      <c r="M250" s="63" t="s">
        <v>187</v>
      </c>
      <c r="N250" s="63" t="s">
        <v>211</v>
      </c>
      <c r="O250" s="63" t="s">
        <v>209</v>
      </c>
      <c r="P250" s="63"/>
      <c r="Q250" s="63"/>
      <c r="R250" s="63"/>
      <c r="S250" s="63"/>
      <c r="T250" s="63">
        <v>0</v>
      </c>
      <c r="U250" s="63">
        <v>118004</v>
      </c>
      <c r="V250" s="63" t="s">
        <v>136</v>
      </c>
      <c r="W250" s="63">
        <v>4</v>
      </c>
      <c r="X250" s="63"/>
      <c r="Y250" s="63"/>
      <c r="Z250" s="69" t="str">
        <f>Z319</f>
        <v>0.0</v>
      </c>
      <c r="AA250" s="63"/>
      <c r="AB250" s="63"/>
      <c r="AC250" s="69" t="str">
        <f>AC319</f>
        <v>0.0</v>
      </c>
      <c r="AD250" s="63"/>
      <c r="AE250" s="69" t="str">
        <f>AE319</f>
        <v>0.0</v>
      </c>
      <c r="AF250" s="63" t="s">
        <v>81</v>
      </c>
      <c r="AH250" s="66"/>
    </row>
    <row r="251" spans="1:34" s="65" customFormat="1">
      <c r="A251" s="67" t="s">
        <v>296</v>
      </c>
      <c r="B251" s="67" t="s">
        <v>298</v>
      </c>
      <c r="C251" s="67" t="s">
        <v>177</v>
      </c>
      <c r="D251" s="67" t="s">
        <v>303</v>
      </c>
      <c r="E251" s="67" t="s">
        <v>96</v>
      </c>
      <c r="F251" s="67" t="s">
        <v>130</v>
      </c>
      <c r="G251" s="67" t="s">
        <v>128</v>
      </c>
      <c r="H251" s="67"/>
      <c r="I251" s="67"/>
      <c r="J251" s="67"/>
      <c r="K251" s="67"/>
      <c r="L251" s="67" t="s">
        <v>193</v>
      </c>
      <c r="M251" s="67" t="s">
        <v>187</v>
      </c>
      <c r="N251" s="67" t="s">
        <v>211</v>
      </c>
      <c r="O251" s="67" t="s">
        <v>209</v>
      </c>
      <c r="P251" s="67"/>
      <c r="Q251" s="67"/>
      <c r="R251" s="67"/>
      <c r="S251" s="67"/>
      <c r="T251" s="67">
        <v>1</v>
      </c>
      <c r="U251" s="67"/>
      <c r="V251" s="67" t="s">
        <v>138</v>
      </c>
      <c r="W251" s="67">
        <v>4</v>
      </c>
      <c r="X251" s="67">
        <f t="shared" ref="X251:AE251" si="215">X320</f>
        <v>50000</v>
      </c>
      <c r="Y251" s="67">
        <f t="shared" si="215"/>
        <v>45000</v>
      </c>
      <c r="Z251" s="68">
        <f t="shared" si="215"/>
        <v>111.11111111111111</v>
      </c>
      <c r="AA251" s="67">
        <f t="shared" si="215"/>
        <v>1200000</v>
      </c>
      <c r="AB251" s="67">
        <f t="shared" si="215"/>
        <v>650000</v>
      </c>
      <c r="AC251" s="68">
        <f t="shared" si="215"/>
        <v>54.166666666666664</v>
      </c>
      <c r="AD251" s="67">
        <f t="shared" si="215"/>
        <v>495000</v>
      </c>
      <c r="AE251" s="68">
        <f t="shared" si="215"/>
        <v>131.31313131313132</v>
      </c>
      <c r="AF251" s="67" t="s">
        <v>139</v>
      </c>
      <c r="AH251" s="66"/>
    </row>
    <row r="252" spans="1:34" s="65" customFormat="1">
      <c r="A252" s="63" t="s">
        <v>296</v>
      </c>
      <c r="B252" s="63" t="s">
        <v>298</v>
      </c>
      <c r="C252" s="63" t="s">
        <v>179</v>
      </c>
      <c r="D252" s="63" t="s">
        <v>172</v>
      </c>
      <c r="E252" s="63" t="s">
        <v>96</v>
      </c>
      <c r="F252" s="63" t="s">
        <v>130</v>
      </c>
      <c r="G252" s="63" t="s">
        <v>128</v>
      </c>
      <c r="H252" s="63"/>
      <c r="I252" s="63"/>
      <c r="J252" s="63"/>
      <c r="K252" s="63"/>
      <c r="L252" s="63" t="s">
        <v>193</v>
      </c>
      <c r="M252" s="63" t="s">
        <v>187</v>
      </c>
      <c r="N252" s="63" t="s">
        <v>211</v>
      </c>
      <c r="O252" s="63" t="s">
        <v>209</v>
      </c>
      <c r="P252" s="63"/>
      <c r="Q252" s="63"/>
      <c r="R252" s="63"/>
      <c r="S252" s="63"/>
      <c r="T252" s="63">
        <v>0</v>
      </c>
      <c r="U252" s="63">
        <v>300106</v>
      </c>
      <c r="V252" s="63" t="s">
        <v>319</v>
      </c>
      <c r="W252" s="63">
        <v>4</v>
      </c>
      <c r="X252" s="63">
        <v>1000</v>
      </c>
      <c r="Y252" s="63">
        <v>1000</v>
      </c>
      <c r="Z252" s="103">
        <f t="shared" ref="Z252:Z253" si="216">X252/Y252*100</f>
        <v>100</v>
      </c>
      <c r="AA252" s="63">
        <v>1000</v>
      </c>
      <c r="AB252" s="63">
        <v>1000</v>
      </c>
      <c r="AC252" s="103">
        <f>AA252/AB252*100</f>
        <v>100</v>
      </c>
      <c r="AD252" s="63">
        <v>1000</v>
      </c>
      <c r="AE252" s="64">
        <f>AB252/AD252*100</f>
        <v>100</v>
      </c>
      <c r="AF252" s="63" t="s">
        <v>317</v>
      </c>
      <c r="AH252" s="66"/>
    </row>
    <row r="253" spans="1:34" s="65" customFormat="1">
      <c r="A253" s="67" t="s">
        <v>296</v>
      </c>
      <c r="B253" s="67" t="s">
        <v>298</v>
      </c>
      <c r="C253" s="67" t="s">
        <v>179</v>
      </c>
      <c r="D253" s="67" t="s">
        <v>172</v>
      </c>
      <c r="E253" s="67" t="s">
        <v>96</v>
      </c>
      <c r="F253" s="67" t="s">
        <v>130</v>
      </c>
      <c r="G253" s="67" t="s">
        <v>128</v>
      </c>
      <c r="H253" s="67"/>
      <c r="I253" s="67"/>
      <c r="J253" s="67"/>
      <c r="K253" s="67"/>
      <c r="L253" s="67" t="s">
        <v>193</v>
      </c>
      <c r="M253" s="67" t="s">
        <v>187</v>
      </c>
      <c r="N253" s="67" t="s">
        <v>211</v>
      </c>
      <c r="O253" s="67" t="s">
        <v>209</v>
      </c>
      <c r="P253" s="67"/>
      <c r="Q253" s="67"/>
      <c r="R253" s="67"/>
      <c r="S253" s="67"/>
      <c r="T253" s="67">
        <v>0</v>
      </c>
      <c r="U253" s="67">
        <v>400107</v>
      </c>
      <c r="V253" s="67" t="s">
        <v>258</v>
      </c>
      <c r="W253" s="67">
        <v>4</v>
      </c>
      <c r="X253" s="67">
        <v>1000</v>
      </c>
      <c r="Y253" s="67">
        <v>1000</v>
      </c>
      <c r="Z253" s="104">
        <f t="shared" si="216"/>
        <v>100</v>
      </c>
      <c r="AA253" s="67">
        <v>1000</v>
      </c>
      <c r="AB253" s="67">
        <v>1000</v>
      </c>
      <c r="AC253" s="104">
        <f>AA253/AB253*100</f>
        <v>100</v>
      </c>
      <c r="AD253" s="67">
        <v>1000</v>
      </c>
      <c r="AE253" s="68">
        <f>AB253/AD253*100</f>
        <v>100</v>
      </c>
      <c r="AF253" s="67" t="s">
        <v>318</v>
      </c>
      <c r="AH253" s="66"/>
    </row>
    <row r="254" spans="1:34" s="65" customFormat="1">
      <c r="A254" s="63" t="s">
        <v>296</v>
      </c>
      <c r="B254" s="63" t="s">
        <v>298</v>
      </c>
      <c r="C254" s="62" t="s">
        <v>177</v>
      </c>
      <c r="D254" s="63" t="s">
        <v>303</v>
      </c>
      <c r="E254" s="63" t="s">
        <v>96</v>
      </c>
      <c r="F254" s="63" t="s">
        <v>130</v>
      </c>
      <c r="G254" s="63" t="s">
        <v>128</v>
      </c>
      <c r="H254" s="62"/>
      <c r="I254" s="63"/>
      <c r="J254" s="62"/>
      <c r="K254" s="63"/>
      <c r="L254" s="63" t="s">
        <v>193</v>
      </c>
      <c r="M254" s="63" t="s">
        <v>187</v>
      </c>
      <c r="N254" s="62"/>
      <c r="O254" s="63"/>
      <c r="P254" s="63"/>
      <c r="Q254" s="63"/>
      <c r="R254" s="62"/>
      <c r="S254" s="63"/>
      <c r="T254" s="63">
        <v>0</v>
      </c>
      <c r="U254" s="63">
        <v>118001</v>
      </c>
      <c r="V254" s="63" t="s">
        <v>129</v>
      </c>
      <c r="W254" s="63">
        <v>4</v>
      </c>
      <c r="X254" s="63">
        <f>X323+X329+X335</f>
        <v>1200000</v>
      </c>
      <c r="Y254" s="63">
        <f>Y323+Y329+Y335</f>
        <v>1170000</v>
      </c>
      <c r="Z254" s="64">
        <f>X254/Y254*100</f>
        <v>102.56410256410255</v>
      </c>
      <c r="AA254" s="63">
        <f>AA323+AA329+AA335</f>
        <v>34800000</v>
      </c>
      <c r="AB254" s="63">
        <f>AB323+AB329+AB335</f>
        <v>15600000</v>
      </c>
      <c r="AC254" s="64">
        <f>AB254/AA254*100</f>
        <v>44.827586206896555</v>
      </c>
      <c r="AD254" s="63">
        <f>AD323+AD329+AD335</f>
        <v>12870000</v>
      </c>
      <c r="AE254" s="103">
        <f>AB254/AD254*100</f>
        <v>121.21212121212122</v>
      </c>
      <c r="AF254" s="62" t="s">
        <v>75</v>
      </c>
      <c r="AH254" s="66"/>
    </row>
    <row r="255" spans="1:34" s="65" customFormat="1">
      <c r="A255" s="67" t="s">
        <v>296</v>
      </c>
      <c r="B255" s="67" t="s">
        <v>298</v>
      </c>
      <c r="C255" s="67" t="s">
        <v>177</v>
      </c>
      <c r="D255" s="67" t="s">
        <v>303</v>
      </c>
      <c r="E255" s="67" t="s">
        <v>96</v>
      </c>
      <c r="F255" s="67" t="s">
        <v>130</v>
      </c>
      <c r="G255" s="67" t="s">
        <v>128</v>
      </c>
      <c r="H255" s="67"/>
      <c r="I255" s="67"/>
      <c r="J255" s="67"/>
      <c r="K255" s="67"/>
      <c r="L255" s="67" t="s">
        <v>193</v>
      </c>
      <c r="M255" s="67" t="s">
        <v>187</v>
      </c>
      <c r="N255" s="67"/>
      <c r="O255" s="67"/>
      <c r="P255" s="67"/>
      <c r="Q255" s="67"/>
      <c r="R255" s="67"/>
      <c r="S255" s="67"/>
      <c r="T255" s="67">
        <v>0</v>
      </c>
      <c r="U255" s="67">
        <v>118002</v>
      </c>
      <c r="V255" s="67" t="s">
        <v>131</v>
      </c>
      <c r="W255" s="67">
        <v>4</v>
      </c>
      <c r="X255" s="67">
        <f t="shared" ref="X255:Y255" si="217">X324+X330+X336</f>
        <v>600000</v>
      </c>
      <c r="Y255" s="67">
        <f t="shared" si="217"/>
        <v>570000</v>
      </c>
      <c r="Z255" s="104">
        <f t="shared" ref="Z255" si="218">X255/Y255*100</f>
        <v>105.26315789473684</v>
      </c>
      <c r="AA255" s="67">
        <f t="shared" ref="AA255:AB255" si="219">AA324+AA330+AA336</f>
        <v>14400000</v>
      </c>
      <c r="AB255" s="67">
        <f t="shared" si="219"/>
        <v>7800000</v>
      </c>
      <c r="AC255" s="104">
        <f t="shared" ref="AC255" si="220">AB255/AA255*100</f>
        <v>54.166666666666664</v>
      </c>
      <c r="AD255" s="67">
        <f t="shared" ref="AD255" si="221">AD324+AD330+AD336</f>
        <v>6270000</v>
      </c>
      <c r="AE255" s="104">
        <f t="shared" ref="AE255" si="222">AB255/AD255*100</f>
        <v>124.4019138755981</v>
      </c>
      <c r="AF255" s="77" t="s">
        <v>141</v>
      </c>
      <c r="AH255" s="66"/>
    </row>
    <row r="256" spans="1:34" s="65" customFormat="1">
      <c r="A256" s="63" t="s">
        <v>296</v>
      </c>
      <c r="B256" s="63" t="s">
        <v>298</v>
      </c>
      <c r="C256" s="63" t="s">
        <v>177</v>
      </c>
      <c r="D256" s="63" t="s">
        <v>303</v>
      </c>
      <c r="E256" s="63" t="s">
        <v>96</v>
      </c>
      <c r="F256" s="63" t="s">
        <v>130</v>
      </c>
      <c r="G256" s="63" t="s">
        <v>128</v>
      </c>
      <c r="H256" s="63"/>
      <c r="I256" s="63"/>
      <c r="J256" s="63"/>
      <c r="K256" s="63"/>
      <c r="L256" s="63" t="s">
        <v>193</v>
      </c>
      <c r="M256" s="63" t="s">
        <v>187</v>
      </c>
      <c r="N256" s="63"/>
      <c r="O256" s="63"/>
      <c r="P256" s="63"/>
      <c r="Q256" s="63"/>
      <c r="R256" s="63"/>
      <c r="S256" s="63"/>
      <c r="T256" s="63">
        <v>1</v>
      </c>
      <c r="U256" s="63"/>
      <c r="V256" s="63" t="s">
        <v>132</v>
      </c>
      <c r="W256" s="63">
        <v>4</v>
      </c>
      <c r="X256" s="63">
        <f t="shared" ref="X256:Y256" si="223">X325+X331+X337</f>
        <v>1800000</v>
      </c>
      <c r="Y256" s="63">
        <f t="shared" si="223"/>
        <v>1740000</v>
      </c>
      <c r="Z256" s="103">
        <f>X256/Y256*100</f>
        <v>103.44827586206897</v>
      </c>
      <c r="AA256" s="63">
        <f t="shared" ref="AA256:AB256" si="224">AA325+AA331+AA337</f>
        <v>49200000</v>
      </c>
      <c r="AB256" s="63">
        <f t="shared" si="224"/>
        <v>23400000</v>
      </c>
      <c r="AC256" s="103">
        <f>AB256/AA256*100</f>
        <v>47.560975609756099</v>
      </c>
      <c r="AD256" s="63">
        <f t="shared" ref="AD256" si="225">AD325+AD331+AD337</f>
        <v>19140000</v>
      </c>
      <c r="AE256" s="103">
        <f>AB256/AD256*100</f>
        <v>122.25705329153604</v>
      </c>
      <c r="AF256" s="62" t="s">
        <v>316</v>
      </c>
      <c r="AH256" s="66"/>
    </row>
    <row r="257" spans="1:34" s="65" customFormat="1">
      <c r="A257" s="67" t="s">
        <v>296</v>
      </c>
      <c r="B257" s="67" t="s">
        <v>298</v>
      </c>
      <c r="C257" s="67" t="s">
        <v>177</v>
      </c>
      <c r="D257" s="67" t="s">
        <v>303</v>
      </c>
      <c r="E257" s="67" t="s">
        <v>96</v>
      </c>
      <c r="F257" s="67" t="s">
        <v>130</v>
      </c>
      <c r="G257" s="67" t="s">
        <v>128</v>
      </c>
      <c r="H257" s="67"/>
      <c r="I257" s="67"/>
      <c r="J257" s="67"/>
      <c r="K257" s="67"/>
      <c r="L257" s="67" t="s">
        <v>193</v>
      </c>
      <c r="M257" s="67" t="s">
        <v>187</v>
      </c>
      <c r="N257" s="67"/>
      <c r="O257" s="67"/>
      <c r="P257" s="67"/>
      <c r="Q257" s="67"/>
      <c r="R257" s="67"/>
      <c r="S257" s="67"/>
      <c r="T257" s="67">
        <v>0</v>
      </c>
      <c r="U257" s="67">
        <v>118003</v>
      </c>
      <c r="V257" s="67" t="s">
        <v>134</v>
      </c>
      <c r="W257" s="67">
        <v>4</v>
      </c>
      <c r="X257" s="67">
        <f t="shared" ref="X257:Y257" si="226">X326+X332+X338</f>
        <v>150000</v>
      </c>
      <c r="Y257" s="67">
        <f t="shared" si="226"/>
        <v>135000</v>
      </c>
      <c r="Z257" s="68">
        <f t="shared" ref="Z257" si="227">X257/Y257*100</f>
        <v>111.11111111111111</v>
      </c>
      <c r="AA257" s="67">
        <f t="shared" ref="AA257:AB257" si="228">AA326+AA332+AA338</f>
        <v>3600000</v>
      </c>
      <c r="AB257" s="67">
        <f t="shared" si="228"/>
        <v>1950000</v>
      </c>
      <c r="AC257" s="68">
        <f t="shared" ref="AC257" si="229">AB257/AA257*100</f>
        <v>54.166666666666664</v>
      </c>
      <c r="AD257" s="67">
        <f t="shared" ref="AD257" si="230">AD326+AD332+AD338</f>
        <v>1485000</v>
      </c>
      <c r="AE257" s="68">
        <f t="shared" ref="AE257" si="231">AB257/AD257*100</f>
        <v>131.31313131313132</v>
      </c>
      <c r="AF257" s="77" t="s">
        <v>82</v>
      </c>
      <c r="AH257" s="66"/>
    </row>
    <row r="258" spans="1:34" s="65" customFormat="1">
      <c r="A258" s="63" t="s">
        <v>296</v>
      </c>
      <c r="B258" s="63" t="s">
        <v>298</v>
      </c>
      <c r="C258" s="63" t="s">
        <v>177</v>
      </c>
      <c r="D258" s="63" t="s">
        <v>303</v>
      </c>
      <c r="E258" s="63" t="s">
        <v>96</v>
      </c>
      <c r="F258" s="63" t="s">
        <v>130</v>
      </c>
      <c r="G258" s="63" t="s">
        <v>128</v>
      </c>
      <c r="H258" s="63"/>
      <c r="I258" s="63"/>
      <c r="J258" s="63"/>
      <c r="K258" s="63"/>
      <c r="L258" s="63" t="s">
        <v>193</v>
      </c>
      <c r="M258" s="63" t="s">
        <v>187</v>
      </c>
      <c r="N258" s="63"/>
      <c r="O258" s="63"/>
      <c r="P258" s="63"/>
      <c r="Q258" s="63"/>
      <c r="R258" s="63"/>
      <c r="S258" s="63"/>
      <c r="T258" s="63">
        <v>0</v>
      </c>
      <c r="U258" s="63">
        <v>118004</v>
      </c>
      <c r="V258" s="63" t="s">
        <v>136</v>
      </c>
      <c r="W258" s="63">
        <v>4</v>
      </c>
      <c r="X258" s="63"/>
      <c r="Y258" s="63"/>
      <c r="Z258" s="103">
        <v>0</v>
      </c>
      <c r="AA258" s="63"/>
      <c r="AB258" s="63"/>
      <c r="AC258" s="103">
        <v>0</v>
      </c>
      <c r="AD258" s="63"/>
      <c r="AE258" s="103">
        <v>0</v>
      </c>
      <c r="AF258" s="62" t="s">
        <v>81</v>
      </c>
      <c r="AH258" s="66"/>
    </row>
    <row r="259" spans="1:34" s="65" customFormat="1">
      <c r="A259" s="67" t="s">
        <v>296</v>
      </c>
      <c r="B259" s="67" t="s">
        <v>298</v>
      </c>
      <c r="C259" s="67" t="s">
        <v>177</v>
      </c>
      <c r="D259" s="67" t="s">
        <v>303</v>
      </c>
      <c r="E259" s="67" t="s">
        <v>96</v>
      </c>
      <c r="F259" s="67" t="s">
        <v>130</v>
      </c>
      <c r="G259" s="67" t="s">
        <v>128</v>
      </c>
      <c r="H259" s="67"/>
      <c r="I259" s="67"/>
      <c r="J259" s="67"/>
      <c r="K259" s="67"/>
      <c r="L259" s="67" t="s">
        <v>193</v>
      </c>
      <c r="M259" s="67" t="s">
        <v>187</v>
      </c>
      <c r="N259" s="67"/>
      <c r="O259" s="67"/>
      <c r="P259" s="67"/>
      <c r="Q259" s="67"/>
      <c r="R259" s="67"/>
      <c r="S259" s="67"/>
      <c r="T259" s="67">
        <v>1</v>
      </c>
      <c r="U259" s="67"/>
      <c r="V259" s="67" t="s">
        <v>138</v>
      </c>
      <c r="W259" s="67">
        <v>4</v>
      </c>
      <c r="X259" s="67">
        <f>X328+X334+X340</f>
        <v>150000</v>
      </c>
      <c r="Y259" s="67">
        <f t="shared" ref="Y259" si="232">Y328+Y334+Y340</f>
        <v>135000</v>
      </c>
      <c r="Z259" s="68">
        <f t="shared" ref="Z259" si="233">X259/Y259*100</f>
        <v>111.11111111111111</v>
      </c>
      <c r="AA259" s="67">
        <f t="shared" ref="AA259:AB259" si="234">AA328+AA334+AA340</f>
        <v>3600000</v>
      </c>
      <c r="AB259" s="67">
        <f t="shared" si="234"/>
        <v>1950000</v>
      </c>
      <c r="AC259" s="68">
        <f t="shared" ref="AC259" si="235">AB259/AA259*100</f>
        <v>54.166666666666664</v>
      </c>
      <c r="AD259" s="67">
        <f t="shared" ref="AD259" si="236">AD328+AD334+AD340</f>
        <v>1485000</v>
      </c>
      <c r="AE259" s="68">
        <f t="shared" ref="AE259" si="237">AB259/AD259*100</f>
        <v>131.31313131313132</v>
      </c>
      <c r="AF259" s="77" t="s">
        <v>77</v>
      </c>
      <c r="AH259" s="66"/>
    </row>
    <row r="260" spans="1:34" s="65" customFormat="1">
      <c r="A260" s="63" t="s">
        <v>296</v>
      </c>
      <c r="B260" s="63" t="s">
        <v>298</v>
      </c>
      <c r="C260" s="62" t="s">
        <v>177</v>
      </c>
      <c r="D260" s="63" t="s">
        <v>303</v>
      </c>
      <c r="E260" s="63" t="s">
        <v>96</v>
      </c>
      <c r="F260" s="63" t="s">
        <v>130</v>
      </c>
      <c r="G260" s="63" t="s">
        <v>128</v>
      </c>
      <c r="H260" s="62"/>
      <c r="I260" s="63"/>
      <c r="J260" s="62"/>
      <c r="K260" s="63"/>
      <c r="L260" s="62" t="s">
        <v>197</v>
      </c>
      <c r="M260" s="63" t="s">
        <v>252</v>
      </c>
      <c r="N260" s="62"/>
      <c r="O260" s="63"/>
      <c r="P260" s="63"/>
      <c r="Q260" s="63"/>
      <c r="R260" s="62"/>
      <c r="S260" s="63"/>
      <c r="T260" s="63">
        <v>0</v>
      </c>
      <c r="U260" s="63">
        <v>118001</v>
      </c>
      <c r="V260" s="63" t="s">
        <v>129</v>
      </c>
      <c r="W260" s="63">
        <v>4</v>
      </c>
      <c r="X260" s="63">
        <f>X341+X347+X353+X359</f>
        <v>1600000</v>
      </c>
      <c r="Y260" s="63">
        <f>Y341+Y347+Y353+Y359</f>
        <v>1560000</v>
      </c>
      <c r="Z260" s="64">
        <f>X260/Y260*100</f>
        <v>102.56410256410255</v>
      </c>
      <c r="AA260" s="63">
        <f>AA341+AA347+AA353+AA359</f>
        <v>46400000</v>
      </c>
      <c r="AB260" s="63">
        <f>AB341+AB347+AB353+AB359</f>
        <v>20800000</v>
      </c>
      <c r="AC260" s="64">
        <f>AB260/AA260*100</f>
        <v>44.827586206896555</v>
      </c>
      <c r="AD260" s="63">
        <f>AD341+AD347+AD353+AD359</f>
        <v>17160000</v>
      </c>
      <c r="AE260" s="103">
        <f>AB260/AD260*100</f>
        <v>121.21212121212122</v>
      </c>
      <c r="AF260" s="62" t="s">
        <v>75</v>
      </c>
      <c r="AH260" s="66"/>
    </row>
    <row r="261" spans="1:34" s="65" customFormat="1">
      <c r="A261" s="67" t="s">
        <v>296</v>
      </c>
      <c r="B261" s="67" t="s">
        <v>298</v>
      </c>
      <c r="C261" s="67" t="s">
        <v>177</v>
      </c>
      <c r="D261" s="67" t="s">
        <v>303</v>
      </c>
      <c r="E261" s="67" t="s">
        <v>96</v>
      </c>
      <c r="F261" s="67" t="s">
        <v>130</v>
      </c>
      <c r="G261" s="67" t="s">
        <v>128</v>
      </c>
      <c r="H261" s="67"/>
      <c r="I261" s="67"/>
      <c r="J261" s="67"/>
      <c r="K261" s="67"/>
      <c r="L261" s="77" t="s">
        <v>197</v>
      </c>
      <c r="M261" s="67" t="s">
        <v>252</v>
      </c>
      <c r="N261" s="67"/>
      <c r="O261" s="67"/>
      <c r="P261" s="67"/>
      <c r="Q261" s="67"/>
      <c r="R261" s="67"/>
      <c r="S261" s="67"/>
      <c r="T261" s="67">
        <v>0</v>
      </c>
      <c r="U261" s="67">
        <v>118002</v>
      </c>
      <c r="V261" s="67" t="s">
        <v>131</v>
      </c>
      <c r="W261" s="67">
        <v>4</v>
      </c>
      <c r="X261" s="67">
        <f t="shared" ref="X261:Y261" si="238">X342+X348+X354+X360</f>
        <v>800000</v>
      </c>
      <c r="Y261" s="67">
        <f t="shared" si="238"/>
        <v>760000</v>
      </c>
      <c r="Z261" s="104">
        <f t="shared" ref="Z261:Z263" si="239">X261/Y261*100</f>
        <v>105.26315789473684</v>
      </c>
      <c r="AA261" s="67">
        <f t="shared" ref="AA261:AB261" si="240">AA342+AA348+AA354+AA360</f>
        <v>19200000</v>
      </c>
      <c r="AB261" s="67">
        <f t="shared" si="240"/>
        <v>10400000</v>
      </c>
      <c r="AC261" s="104">
        <f t="shared" ref="AC261:AC263" si="241">AB261/AA261*100</f>
        <v>54.166666666666664</v>
      </c>
      <c r="AD261" s="67">
        <f t="shared" ref="AD261" si="242">AD342+AD348+AD354+AD360</f>
        <v>8360000</v>
      </c>
      <c r="AE261" s="104">
        <f t="shared" ref="AE261:AE263" si="243">AB261/AD261*100</f>
        <v>124.4019138755981</v>
      </c>
      <c r="AF261" s="77" t="s">
        <v>141</v>
      </c>
      <c r="AH261" s="66"/>
    </row>
    <row r="262" spans="1:34" s="65" customFormat="1">
      <c r="A262" s="63" t="s">
        <v>296</v>
      </c>
      <c r="B262" s="63" t="s">
        <v>298</v>
      </c>
      <c r="C262" s="63" t="s">
        <v>177</v>
      </c>
      <c r="D262" s="63" t="s">
        <v>303</v>
      </c>
      <c r="E262" s="63" t="s">
        <v>96</v>
      </c>
      <c r="F262" s="63" t="s">
        <v>130</v>
      </c>
      <c r="G262" s="63" t="s">
        <v>128</v>
      </c>
      <c r="H262" s="63"/>
      <c r="I262" s="63"/>
      <c r="J262" s="63"/>
      <c r="K262" s="63"/>
      <c r="L262" s="62" t="s">
        <v>196</v>
      </c>
      <c r="M262" s="63" t="s">
        <v>252</v>
      </c>
      <c r="N262" s="63"/>
      <c r="O262" s="63"/>
      <c r="P262" s="63"/>
      <c r="Q262" s="63"/>
      <c r="R262" s="63"/>
      <c r="S262" s="63"/>
      <c r="T262" s="63">
        <v>1</v>
      </c>
      <c r="U262" s="63"/>
      <c r="V262" s="63" t="s">
        <v>132</v>
      </c>
      <c r="W262" s="63">
        <v>4</v>
      </c>
      <c r="X262" s="63">
        <f t="shared" ref="X262:Y262" si="244">X343+X349+X355+X361</f>
        <v>2400000</v>
      </c>
      <c r="Y262" s="63">
        <f t="shared" si="244"/>
        <v>2320000</v>
      </c>
      <c r="Z262" s="103">
        <f t="shared" si="239"/>
        <v>103.44827586206897</v>
      </c>
      <c r="AA262" s="63">
        <f t="shared" ref="AA262:AB262" si="245">AA343+AA349+AA355+AA361</f>
        <v>65600000</v>
      </c>
      <c r="AB262" s="63">
        <f t="shared" si="245"/>
        <v>31200000</v>
      </c>
      <c r="AC262" s="103">
        <f t="shared" si="241"/>
        <v>47.560975609756099</v>
      </c>
      <c r="AD262" s="63">
        <f t="shared" ref="AD262" si="246">AD343+AD349+AD355+AD361</f>
        <v>25520000</v>
      </c>
      <c r="AE262" s="103">
        <f t="shared" si="243"/>
        <v>122.25705329153604</v>
      </c>
      <c r="AF262" s="62" t="s">
        <v>316</v>
      </c>
      <c r="AH262" s="66"/>
    </row>
    <row r="263" spans="1:34" s="65" customFormat="1">
      <c r="A263" s="67" t="s">
        <v>296</v>
      </c>
      <c r="B263" s="67" t="s">
        <v>298</v>
      </c>
      <c r="C263" s="67" t="s">
        <v>177</v>
      </c>
      <c r="D263" s="67" t="s">
        <v>303</v>
      </c>
      <c r="E263" s="67" t="s">
        <v>96</v>
      </c>
      <c r="F263" s="67" t="s">
        <v>130</v>
      </c>
      <c r="G263" s="67" t="s">
        <v>128</v>
      </c>
      <c r="H263" s="67"/>
      <c r="I263" s="67"/>
      <c r="J263" s="67"/>
      <c r="K263" s="67"/>
      <c r="L263" s="77" t="s">
        <v>196</v>
      </c>
      <c r="M263" s="67" t="s">
        <v>252</v>
      </c>
      <c r="N263" s="67"/>
      <c r="O263" s="67"/>
      <c r="P263" s="67"/>
      <c r="Q263" s="67"/>
      <c r="R263" s="67"/>
      <c r="S263" s="67"/>
      <c r="T263" s="67">
        <v>0</v>
      </c>
      <c r="U263" s="67">
        <v>118003</v>
      </c>
      <c r="V263" s="67" t="s">
        <v>134</v>
      </c>
      <c r="W263" s="67">
        <v>4</v>
      </c>
      <c r="X263" s="67">
        <f t="shared" ref="X263:Y263" si="247">X344+X350+X356+X362</f>
        <v>200000</v>
      </c>
      <c r="Y263" s="67">
        <f t="shared" si="247"/>
        <v>180000</v>
      </c>
      <c r="Z263" s="68">
        <f t="shared" si="239"/>
        <v>111.11111111111111</v>
      </c>
      <c r="AA263" s="67">
        <f t="shared" ref="AA263:AB263" si="248">AA344+AA350+AA356+AA362</f>
        <v>4800000</v>
      </c>
      <c r="AB263" s="67">
        <f t="shared" si="248"/>
        <v>2600000</v>
      </c>
      <c r="AC263" s="68">
        <f t="shared" si="241"/>
        <v>54.166666666666664</v>
      </c>
      <c r="AD263" s="67">
        <f t="shared" ref="AD263" si="249">AD344+AD350+AD356+AD362</f>
        <v>1980000</v>
      </c>
      <c r="AE263" s="68">
        <f t="shared" si="243"/>
        <v>131.31313131313132</v>
      </c>
      <c r="AF263" s="77" t="s">
        <v>82</v>
      </c>
      <c r="AH263" s="66"/>
    </row>
    <row r="264" spans="1:34" s="65" customFormat="1">
      <c r="A264" s="63" t="s">
        <v>296</v>
      </c>
      <c r="B264" s="63" t="s">
        <v>298</v>
      </c>
      <c r="C264" s="63" t="s">
        <v>177</v>
      </c>
      <c r="D264" s="63" t="s">
        <v>303</v>
      </c>
      <c r="E264" s="63" t="s">
        <v>96</v>
      </c>
      <c r="F264" s="63" t="s">
        <v>130</v>
      </c>
      <c r="G264" s="63" t="s">
        <v>128</v>
      </c>
      <c r="H264" s="63"/>
      <c r="I264" s="63"/>
      <c r="J264" s="63"/>
      <c r="K264" s="63"/>
      <c r="L264" s="62" t="s">
        <v>196</v>
      </c>
      <c r="M264" s="63" t="s">
        <v>252</v>
      </c>
      <c r="N264" s="63"/>
      <c r="O264" s="63"/>
      <c r="P264" s="63"/>
      <c r="Q264" s="63"/>
      <c r="R264" s="63"/>
      <c r="S264" s="63"/>
      <c r="T264" s="63">
        <v>0</v>
      </c>
      <c r="U264" s="63">
        <v>118004</v>
      </c>
      <c r="V264" s="63" t="s">
        <v>136</v>
      </c>
      <c r="W264" s="63">
        <v>4</v>
      </c>
      <c r="X264" s="63"/>
      <c r="Y264" s="63"/>
      <c r="Z264" s="103">
        <v>0</v>
      </c>
      <c r="AA264" s="63"/>
      <c r="AB264" s="63"/>
      <c r="AC264" s="103">
        <v>0</v>
      </c>
      <c r="AD264" s="63"/>
      <c r="AE264" s="103">
        <v>0</v>
      </c>
      <c r="AF264" s="62" t="s">
        <v>81</v>
      </c>
      <c r="AH264" s="66"/>
    </row>
    <row r="265" spans="1:34" s="65" customFormat="1">
      <c r="A265" s="67" t="s">
        <v>296</v>
      </c>
      <c r="B265" s="67" t="s">
        <v>298</v>
      </c>
      <c r="C265" s="67" t="s">
        <v>177</v>
      </c>
      <c r="D265" s="67" t="s">
        <v>303</v>
      </c>
      <c r="E265" s="67" t="s">
        <v>96</v>
      </c>
      <c r="F265" s="67" t="s">
        <v>130</v>
      </c>
      <c r="G265" s="67" t="s">
        <v>128</v>
      </c>
      <c r="H265" s="67"/>
      <c r="I265" s="67"/>
      <c r="J265" s="67"/>
      <c r="K265" s="67"/>
      <c r="L265" s="77" t="s">
        <v>196</v>
      </c>
      <c r="M265" s="67" t="s">
        <v>252</v>
      </c>
      <c r="N265" s="67"/>
      <c r="O265" s="67"/>
      <c r="P265" s="67"/>
      <c r="Q265" s="67"/>
      <c r="R265" s="67"/>
      <c r="S265" s="67"/>
      <c r="T265" s="67">
        <v>1</v>
      </c>
      <c r="U265" s="67"/>
      <c r="V265" s="67" t="s">
        <v>138</v>
      </c>
      <c r="W265" s="67">
        <v>4</v>
      </c>
      <c r="X265" s="67">
        <f t="shared" ref="X265:Y265" si="250">X346+X352+X358+X364</f>
        <v>200000</v>
      </c>
      <c r="Y265" s="67">
        <f t="shared" si="250"/>
        <v>180000</v>
      </c>
      <c r="Z265" s="68">
        <f t="shared" ref="Z265" si="251">X265/Y265*100</f>
        <v>111.11111111111111</v>
      </c>
      <c r="AA265" s="67">
        <f t="shared" ref="AA265:AB265" si="252">AA346+AA352+AA358+AA364</f>
        <v>4800000</v>
      </c>
      <c r="AB265" s="67">
        <f t="shared" si="252"/>
        <v>2600000</v>
      </c>
      <c r="AC265" s="68">
        <f t="shared" ref="AC265" si="253">AB265/AA265*100</f>
        <v>54.166666666666664</v>
      </c>
      <c r="AD265" s="67">
        <f t="shared" ref="AD265" si="254">AD346+AD352+AD358+AD364</f>
        <v>1980000</v>
      </c>
      <c r="AE265" s="68">
        <f t="shared" ref="AE265" si="255">AB265/AD265*100</f>
        <v>131.31313131313132</v>
      </c>
      <c r="AF265" s="77" t="s">
        <v>77</v>
      </c>
      <c r="AH265" s="66"/>
    </row>
    <row r="266" spans="1:34" s="65" customFormat="1">
      <c r="A266" s="63" t="s">
        <v>296</v>
      </c>
      <c r="B266" s="63" t="s">
        <v>298</v>
      </c>
      <c r="C266" s="62" t="s">
        <v>177</v>
      </c>
      <c r="D266" s="63" t="s">
        <v>303</v>
      </c>
      <c r="E266" s="63" t="s">
        <v>96</v>
      </c>
      <c r="F266" s="63" t="s">
        <v>130</v>
      </c>
      <c r="G266" s="63" t="s">
        <v>128</v>
      </c>
      <c r="H266" s="62"/>
      <c r="I266" s="63"/>
      <c r="J266" s="62"/>
      <c r="K266" s="63"/>
      <c r="L266" s="63"/>
      <c r="M266" s="63"/>
      <c r="N266" s="62"/>
      <c r="O266" s="63"/>
      <c r="P266" s="63"/>
      <c r="Q266" s="63"/>
      <c r="R266" s="62"/>
      <c r="S266" s="63"/>
      <c r="T266" s="63">
        <v>0</v>
      </c>
      <c r="U266" s="63">
        <v>118001</v>
      </c>
      <c r="V266" s="63" t="s">
        <v>129</v>
      </c>
      <c r="W266" s="63">
        <v>4</v>
      </c>
      <c r="X266" s="63">
        <f>X365+X371</f>
        <v>800000</v>
      </c>
      <c r="Y266" s="63">
        <f>Y365+Y371</f>
        <v>780000</v>
      </c>
      <c r="Z266" s="64">
        <f>X266/Y266*100</f>
        <v>102.56410256410255</v>
      </c>
      <c r="AA266" s="63">
        <f>AA365+AA371</f>
        <v>23200000</v>
      </c>
      <c r="AB266" s="63">
        <f>AB365+AB371</f>
        <v>10400000</v>
      </c>
      <c r="AC266" s="64">
        <f>AB266/AA266*100</f>
        <v>44.827586206896555</v>
      </c>
      <c r="AD266" s="63">
        <f>AD365+AD371</f>
        <v>8580000</v>
      </c>
      <c r="AE266" s="103">
        <f>AB266/AD266*100</f>
        <v>121.21212121212122</v>
      </c>
      <c r="AF266" s="62" t="s">
        <v>75</v>
      </c>
      <c r="AH266" s="66"/>
    </row>
    <row r="267" spans="1:34" s="65" customFormat="1">
      <c r="A267" s="67" t="s">
        <v>296</v>
      </c>
      <c r="B267" s="67" t="s">
        <v>298</v>
      </c>
      <c r="C267" s="67" t="s">
        <v>177</v>
      </c>
      <c r="D267" s="67" t="s">
        <v>303</v>
      </c>
      <c r="E267" s="67" t="s">
        <v>96</v>
      </c>
      <c r="F267" s="67" t="s">
        <v>130</v>
      </c>
      <c r="G267" s="67" t="s">
        <v>128</v>
      </c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>
        <v>0</v>
      </c>
      <c r="U267" s="67">
        <v>118002</v>
      </c>
      <c r="V267" s="67" t="s">
        <v>131</v>
      </c>
      <c r="W267" s="67">
        <v>4</v>
      </c>
      <c r="X267" s="67">
        <f t="shared" ref="X267:Y267" si="256">X366+X372</f>
        <v>400000</v>
      </c>
      <c r="Y267" s="67">
        <f t="shared" si="256"/>
        <v>380000</v>
      </c>
      <c r="Z267" s="104">
        <f t="shared" ref="Z267:Z269" si="257">X267/Y267*100</f>
        <v>105.26315789473684</v>
      </c>
      <c r="AA267" s="67">
        <f t="shared" ref="AA267:AB267" si="258">AA366+AA372</f>
        <v>9600000</v>
      </c>
      <c r="AB267" s="67">
        <f t="shared" si="258"/>
        <v>5200000</v>
      </c>
      <c r="AC267" s="104">
        <f t="shared" ref="AC267:AC269" si="259">AB267/AA267*100</f>
        <v>54.166666666666664</v>
      </c>
      <c r="AD267" s="67">
        <f t="shared" ref="AD267" si="260">AD366+AD372</f>
        <v>4180000</v>
      </c>
      <c r="AE267" s="104">
        <f t="shared" ref="AE267:AE269" si="261">AB267/AD267*100</f>
        <v>124.4019138755981</v>
      </c>
      <c r="AF267" s="77" t="s">
        <v>141</v>
      </c>
      <c r="AH267" s="66"/>
    </row>
    <row r="268" spans="1:34" s="65" customFormat="1">
      <c r="A268" s="63" t="s">
        <v>296</v>
      </c>
      <c r="B268" s="63" t="s">
        <v>298</v>
      </c>
      <c r="C268" s="63" t="s">
        <v>177</v>
      </c>
      <c r="D268" s="63" t="s">
        <v>303</v>
      </c>
      <c r="E268" s="63" t="s">
        <v>96</v>
      </c>
      <c r="F268" s="63" t="s">
        <v>130</v>
      </c>
      <c r="G268" s="63" t="s">
        <v>128</v>
      </c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>
        <v>1</v>
      </c>
      <c r="U268" s="63"/>
      <c r="V268" s="63" t="s">
        <v>132</v>
      </c>
      <c r="W268" s="63">
        <v>4</v>
      </c>
      <c r="X268" s="63">
        <f t="shared" ref="X268:Y268" si="262">X367+X373</f>
        <v>1200000</v>
      </c>
      <c r="Y268" s="63">
        <f t="shared" si="262"/>
        <v>1160000</v>
      </c>
      <c r="Z268" s="103">
        <f t="shared" si="257"/>
        <v>103.44827586206897</v>
      </c>
      <c r="AA268" s="63">
        <f t="shared" ref="AA268:AB268" si="263">AA367+AA373</f>
        <v>32800000</v>
      </c>
      <c r="AB268" s="63">
        <f t="shared" si="263"/>
        <v>15600000</v>
      </c>
      <c r="AC268" s="103">
        <f t="shared" si="259"/>
        <v>47.560975609756099</v>
      </c>
      <c r="AD268" s="63">
        <f t="shared" ref="AD268" si="264">AD367+AD373</f>
        <v>12760000</v>
      </c>
      <c r="AE268" s="103">
        <f t="shared" si="261"/>
        <v>122.25705329153604</v>
      </c>
      <c r="AF268" s="62" t="s">
        <v>316</v>
      </c>
      <c r="AH268" s="66"/>
    </row>
    <row r="269" spans="1:34" s="65" customFormat="1">
      <c r="A269" s="67" t="s">
        <v>296</v>
      </c>
      <c r="B269" s="67" t="s">
        <v>298</v>
      </c>
      <c r="C269" s="67" t="s">
        <v>177</v>
      </c>
      <c r="D269" s="67" t="s">
        <v>303</v>
      </c>
      <c r="E269" s="67" t="s">
        <v>96</v>
      </c>
      <c r="F269" s="67" t="s">
        <v>130</v>
      </c>
      <c r="G269" s="67" t="s">
        <v>128</v>
      </c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>
        <v>0</v>
      </c>
      <c r="U269" s="67">
        <v>118003</v>
      </c>
      <c r="V269" s="67" t="s">
        <v>134</v>
      </c>
      <c r="W269" s="67">
        <v>4</v>
      </c>
      <c r="X269" s="67">
        <f t="shared" ref="X269:Y269" si="265">X368+X374</f>
        <v>100000</v>
      </c>
      <c r="Y269" s="67">
        <f t="shared" si="265"/>
        <v>90000</v>
      </c>
      <c r="Z269" s="68">
        <f t="shared" si="257"/>
        <v>111.11111111111111</v>
      </c>
      <c r="AA269" s="67">
        <f t="shared" ref="AA269:AB269" si="266">AA368+AA374</f>
        <v>2400000</v>
      </c>
      <c r="AB269" s="67">
        <f t="shared" si="266"/>
        <v>1300000</v>
      </c>
      <c r="AC269" s="68">
        <f t="shared" si="259"/>
        <v>54.166666666666664</v>
      </c>
      <c r="AD269" s="67">
        <f t="shared" ref="AD269" si="267">AD368+AD374</f>
        <v>990000</v>
      </c>
      <c r="AE269" s="68">
        <f t="shared" si="261"/>
        <v>131.31313131313132</v>
      </c>
      <c r="AF269" s="77" t="s">
        <v>82</v>
      </c>
      <c r="AH269" s="66"/>
    </row>
    <row r="270" spans="1:34" s="65" customFormat="1">
      <c r="A270" s="63" t="s">
        <v>296</v>
      </c>
      <c r="B270" s="63" t="s">
        <v>298</v>
      </c>
      <c r="C270" s="63" t="s">
        <v>177</v>
      </c>
      <c r="D270" s="63" t="s">
        <v>303</v>
      </c>
      <c r="E270" s="63" t="s">
        <v>96</v>
      </c>
      <c r="F270" s="63" t="s">
        <v>130</v>
      </c>
      <c r="G270" s="63" t="s">
        <v>128</v>
      </c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>
        <v>0</v>
      </c>
      <c r="U270" s="63">
        <v>118004</v>
      </c>
      <c r="V270" s="63" t="s">
        <v>136</v>
      </c>
      <c r="W270" s="63">
        <v>4</v>
      </c>
      <c r="X270" s="63"/>
      <c r="Y270" s="63"/>
      <c r="Z270" s="103">
        <v>0</v>
      </c>
      <c r="AA270" s="63"/>
      <c r="AB270" s="63"/>
      <c r="AC270" s="103">
        <v>0</v>
      </c>
      <c r="AD270" s="63"/>
      <c r="AE270" s="103">
        <v>0</v>
      </c>
      <c r="AF270" s="62" t="s">
        <v>81</v>
      </c>
      <c r="AH270" s="66"/>
    </row>
    <row r="271" spans="1:34" s="65" customFormat="1">
      <c r="A271" s="67" t="s">
        <v>296</v>
      </c>
      <c r="B271" s="67" t="s">
        <v>298</v>
      </c>
      <c r="C271" s="67" t="s">
        <v>177</v>
      </c>
      <c r="D271" s="67" t="s">
        <v>303</v>
      </c>
      <c r="E271" s="67" t="s">
        <v>96</v>
      </c>
      <c r="F271" s="67" t="s">
        <v>130</v>
      </c>
      <c r="G271" s="67" t="s">
        <v>128</v>
      </c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>
        <v>1</v>
      </c>
      <c r="U271" s="67"/>
      <c r="V271" s="67" t="s">
        <v>138</v>
      </c>
      <c r="W271" s="67">
        <v>4</v>
      </c>
      <c r="X271" s="67">
        <f t="shared" ref="X271:Y271" si="268">X370+X376</f>
        <v>100000</v>
      </c>
      <c r="Y271" s="67">
        <f t="shared" si="268"/>
        <v>90000</v>
      </c>
      <c r="Z271" s="68">
        <f t="shared" ref="Z271" si="269">X271/Y271*100</f>
        <v>111.11111111111111</v>
      </c>
      <c r="AA271" s="67">
        <f t="shared" ref="AA271:AB271" si="270">AA370+AA376</f>
        <v>2400000</v>
      </c>
      <c r="AB271" s="67">
        <f t="shared" si="270"/>
        <v>1300000</v>
      </c>
      <c r="AC271" s="68">
        <f t="shared" ref="AC271" si="271">AB271/AA271*100</f>
        <v>54.166666666666664</v>
      </c>
      <c r="AD271" s="67">
        <f t="shared" ref="AD271" si="272">AD370+AD376</f>
        <v>990000</v>
      </c>
      <c r="AE271" s="68">
        <f t="shared" ref="AE271" si="273">AB271/AD271*100</f>
        <v>131.31313131313132</v>
      </c>
      <c r="AF271" s="77" t="s">
        <v>77</v>
      </c>
      <c r="AH271" s="66"/>
    </row>
    <row r="272" spans="1:34" s="65" customFormat="1" ht="14.4">
      <c r="A272" s="40"/>
      <c r="B272" s="40"/>
      <c r="C272" s="40"/>
      <c r="D272" s="40"/>
      <c r="E272" s="71"/>
      <c r="F272" s="40"/>
      <c r="G272" s="40"/>
      <c r="H272" s="40"/>
      <c r="I272" s="41" t="s">
        <v>140</v>
      </c>
      <c r="J272" s="41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3"/>
      <c r="V272" s="42"/>
      <c r="W272" s="72"/>
      <c r="X272" s="72"/>
      <c r="Y272" s="73"/>
      <c r="Z272" s="72"/>
      <c r="AA272" s="72"/>
      <c r="AB272" s="72"/>
      <c r="AC272" s="72"/>
      <c r="AD272" s="72"/>
      <c r="AE272" s="72"/>
      <c r="AF272" s="72"/>
      <c r="AH272" s="66"/>
    </row>
    <row r="273" spans="1:34" s="65" customFormat="1">
      <c r="A273" s="63" t="s">
        <v>296</v>
      </c>
      <c r="B273" s="63" t="s">
        <v>298</v>
      </c>
      <c r="C273" s="62" t="s">
        <v>243</v>
      </c>
      <c r="D273" s="63" t="s">
        <v>304</v>
      </c>
      <c r="E273" s="63" t="s">
        <v>96</v>
      </c>
      <c r="F273" s="63" t="s">
        <v>130</v>
      </c>
      <c r="G273" s="63" t="s">
        <v>128</v>
      </c>
      <c r="H273" s="63"/>
      <c r="I273" s="63"/>
      <c r="J273" s="63"/>
      <c r="K273" s="63"/>
      <c r="L273" s="63" t="s">
        <v>194</v>
      </c>
      <c r="M273" s="63" t="s">
        <v>189</v>
      </c>
      <c r="N273" s="62" t="s">
        <v>224</v>
      </c>
      <c r="O273" s="63" t="s">
        <v>218</v>
      </c>
      <c r="P273" s="62" t="s">
        <v>230</v>
      </c>
      <c r="Q273" s="63" t="s">
        <v>228</v>
      </c>
      <c r="R273" s="62" t="s">
        <v>249</v>
      </c>
      <c r="S273" s="63" t="s">
        <v>250</v>
      </c>
      <c r="T273" s="63">
        <v>0</v>
      </c>
      <c r="U273" s="63">
        <v>118001</v>
      </c>
      <c r="V273" s="63" t="s">
        <v>129</v>
      </c>
      <c r="W273" s="63">
        <v>4</v>
      </c>
      <c r="X273" s="63"/>
      <c r="Y273" s="63"/>
      <c r="Z273" s="69" t="s">
        <v>182</v>
      </c>
      <c r="AA273" s="63"/>
      <c r="AB273" s="63"/>
      <c r="AC273" s="69" t="s">
        <v>182</v>
      </c>
      <c r="AD273" s="63"/>
      <c r="AE273" s="69" t="s">
        <v>182</v>
      </c>
      <c r="AF273" s="63" t="s">
        <v>75</v>
      </c>
      <c r="AH273" s="66"/>
    </row>
    <row r="274" spans="1:34" s="65" customFormat="1">
      <c r="A274" s="67" t="s">
        <v>296</v>
      </c>
      <c r="B274" s="67" t="s">
        <v>298</v>
      </c>
      <c r="C274" s="67" t="s">
        <v>178</v>
      </c>
      <c r="D274" s="67" t="s">
        <v>305</v>
      </c>
      <c r="E274" s="67" t="s">
        <v>96</v>
      </c>
      <c r="F274" s="67" t="s">
        <v>130</v>
      </c>
      <c r="G274" s="67" t="s">
        <v>128</v>
      </c>
      <c r="H274" s="67"/>
      <c r="I274" s="67"/>
      <c r="J274" s="67"/>
      <c r="K274" s="67"/>
      <c r="L274" s="67" t="s">
        <v>194</v>
      </c>
      <c r="M274" s="67" t="s">
        <v>188</v>
      </c>
      <c r="N274" s="67" t="s">
        <v>223</v>
      </c>
      <c r="O274" s="67" t="s">
        <v>217</v>
      </c>
      <c r="P274" s="67" t="s">
        <v>229</v>
      </c>
      <c r="Q274" s="67" t="s">
        <v>227</v>
      </c>
      <c r="R274" s="67" t="s">
        <v>249</v>
      </c>
      <c r="S274" s="67" t="s">
        <v>250</v>
      </c>
      <c r="T274" s="67">
        <v>0</v>
      </c>
      <c r="U274" s="67">
        <v>118002</v>
      </c>
      <c r="V274" s="67" t="s">
        <v>131</v>
      </c>
      <c r="W274" s="67">
        <v>4</v>
      </c>
      <c r="X274" s="67"/>
      <c r="Y274" s="67"/>
      <c r="Z274" s="75" t="s">
        <v>181</v>
      </c>
      <c r="AA274" s="67"/>
      <c r="AB274" s="67"/>
      <c r="AC274" s="75" t="s">
        <v>181</v>
      </c>
      <c r="AD274" s="67"/>
      <c r="AE274" s="75" t="s">
        <v>181</v>
      </c>
      <c r="AF274" s="67" t="s">
        <v>141</v>
      </c>
      <c r="AH274" s="66"/>
    </row>
    <row r="275" spans="1:34" s="65" customFormat="1">
      <c r="A275" s="63" t="s">
        <v>296</v>
      </c>
      <c r="B275" s="63" t="s">
        <v>298</v>
      </c>
      <c r="C275" s="63" t="s">
        <v>178</v>
      </c>
      <c r="D275" s="63" t="s">
        <v>304</v>
      </c>
      <c r="E275" s="63" t="s">
        <v>96</v>
      </c>
      <c r="F275" s="63" t="s">
        <v>130</v>
      </c>
      <c r="G275" s="63" t="s">
        <v>128</v>
      </c>
      <c r="H275" s="63"/>
      <c r="I275" s="63"/>
      <c r="J275" s="63"/>
      <c r="K275" s="63"/>
      <c r="L275" s="63" t="s">
        <v>194</v>
      </c>
      <c r="M275" s="63" t="s">
        <v>188</v>
      </c>
      <c r="N275" s="63" t="s">
        <v>223</v>
      </c>
      <c r="O275" s="63" t="s">
        <v>217</v>
      </c>
      <c r="P275" s="63" t="s">
        <v>229</v>
      </c>
      <c r="Q275" s="63" t="s">
        <v>227</v>
      </c>
      <c r="R275" s="63" t="s">
        <v>249</v>
      </c>
      <c r="S275" s="63" t="s">
        <v>250</v>
      </c>
      <c r="T275" s="63">
        <v>1</v>
      </c>
      <c r="U275" s="63"/>
      <c r="V275" s="63" t="s">
        <v>132</v>
      </c>
      <c r="W275" s="63">
        <v>4</v>
      </c>
      <c r="X275" s="63"/>
      <c r="Y275" s="63"/>
      <c r="Z275" s="74" t="s">
        <v>181</v>
      </c>
      <c r="AA275" s="63"/>
      <c r="AB275" s="63"/>
      <c r="AC275" s="74" t="s">
        <v>181</v>
      </c>
      <c r="AD275" s="63"/>
      <c r="AE275" s="74" t="s">
        <v>181</v>
      </c>
      <c r="AF275" s="63" t="s">
        <v>133</v>
      </c>
      <c r="AH275" s="66"/>
    </row>
    <row r="276" spans="1:34" s="65" customFormat="1">
      <c r="A276" s="67" t="s">
        <v>296</v>
      </c>
      <c r="B276" s="67" t="s">
        <v>298</v>
      </c>
      <c r="C276" s="67" t="s">
        <v>178</v>
      </c>
      <c r="D276" s="67" t="s">
        <v>305</v>
      </c>
      <c r="E276" s="67" t="s">
        <v>96</v>
      </c>
      <c r="F276" s="67" t="s">
        <v>130</v>
      </c>
      <c r="G276" s="67" t="s">
        <v>128</v>
      </c>
      <c r="H276" s="67"/>
      <c r="I276" s="67"/>
      <c r="J276" s="67"/>
      <c r="K276" s="67"/>
      <c r="L276" s="67" t="s">
        <v>194</v>
      </c>
      <c r="M276" s="67" t="s">
        <v>188</v>
      </c>
      <c r="N276" s="67" t="s">
        <v>223</v>
      </c>
      <c r="O276" s="67" t="s">
        <v>217</v>
      </c>
      <c r="P276" s="67" t="s">
        <v>229</v>
      </c>
      <c r="Q276" s="67" t="s">
        <v>227</v>
      </c>
      <c r="R276" s="67" t="s">
        <v>249</v>
      </c>
      <c r="S276" s="67" t="s">
        <v>250</v>
      </c>
      <c r="T276" s="67">
        <v>0</v>
      </c>
      <c r="U276" s="67">
        <v>118003</v>
      </c>
      <c r="V276" s="67" t="s">
        <v>134</v>
      </c>
      <c r="W276" s="67">
        <v>4</v>
      </c>
      <c r="X276" s="67">
        <v>25000</v>
      </c>
      <c r="Y276" s="67">
        <v>22500</v>
      </c>
      <c r="Z276" s="67">
        <v>111.1</v>
      </c>
      <c r="AA276" s="67">
        <v>600000</v>
      </c>
      <c r="AB276" s="67">
        <v>325000</v>
      </c>
      <c r="AC276" s="67">
        <v>54.2</v>
      </c>
      <c r="AD276" s="67">
        <v>247500</v>
      </c>
      <c r="AE276" s="67">
        <v>131.30000000000001</v>
      </c>
      <c r="AF276" s="67" t="s">
        <v>135</v>
      </c>
      <c r="AH276" s="66"/>
    </row>
    <row r="277" spans="1:34" s="65" customFormat="1">
      <c r="A277" s="63" t="s">
        <v>296</v>
      </c>
      <c r="B277" s="63" t="s">
        <v>298</v>
      </c>
      <c r="C277" s="63" t="s">
        <v>178</v>
      </c>
      <c r="D277" s="63" t="s">
        <v>304</v>
      </c>
      <c r="E277" s="63" t="s">
        <v>96</v>
      </c>
      <c r="F277" s="63" t="s">
        <v>130</v>
      </c>
      <c r="G277" s="63" t="s">
        <v>128</v>
      </c>
      <c r="H277" s="63"/>
      <c r="I277" s="63"/>
      <c r="J277" s="63"/>
      <c r="K277" s="63"/>
      <c r="L277" s="63" t="s">
        <v>194</v>
      </c>
      <c r="M277" s="63" t="s">
        <v>188</v>
      </c>
      <c r="N277" s="63" t="s">
        <v>223</v>
      </c>
      <c r="O277" s="63" t="s">
        <v>217</v>
      </c>
      <c r="P277" s="63" t="s">
        <v>229</v>
      </c>
      <c r="Q277" s="63" t="s">
        <v>227</v>
      </c>
      <c r="R277" s="63" t="s">
        <v>249</v>
      </c>
      <c r="S277" s="63" t="s">
        <v>250</v>
      </c>
      <c r="T277" s="63">
        <v>0</v>
      </c>
      <c r="U277" s="63">
        <v>118004</v>
      </c>
      <c r="V277" s="63" t="s">
        <v>136</v>
      </c>
      <c r="W277" s="63">
        <v>4</v>
      </c>
      <c r="X277" s="63"/>
      <c r="Y277" s="63"/>
      <c r="Z277" s="69" t="s">
        <v>182</v>
      </c>
      <c r="AA277" s="63"/>
      <c r="AB277" s="63"/>
      <c r="AC277" s="69" t="s">
        <v>182</v>
      </c>
      <c r="AD277" s="63"/>
      <c r="AE277" s="69" t="s">
        <v>182</v>
      </c>
      <c r="AF277" s="63" t="s">
        <v>81</v>
      </c>
      <c r="AH277" s="66"/>
    </row>
    <row r="278" spans="1:34" s="65" customFormat="1">
      <c r="A278" s="67" t="s">
        <v>296</v>
      </c>
      <c r="B278" s="67" t="s">
        <v>298</v>
      </c>
      <c r="C278" s="67" t="s">
        <v>178</v>
      </c>
      <c r="D278" s="67" t="s">
        <v>305</v>
      </c>
      <c r="E278" s="67" t="s">
        <v>96</v>
      </c>
      <c r="F278" s="67" t="s">
        <v>130</v>
      </c>
      <c r="G278" s="67" t="s">
        <v>128</v>
      </c>
      <c r="H278" s="67"/>
      <c r="I278" s="67"/>
      <c r="J278" s="67"/>
      <c r="K278" s="67"/>
      <c r="L278" s="67" t="s">
        <v>194</v>
      </c>
      <c r="M278" s="67" t="s">
        <v>188</v>
      </c>
      <c r="N278" s="67" t="s">
        <v>223</v>
      </c>
      <c r="O278" s="67" t="s">
        <v>217</v>
      </c>
      <c r="P278" s="67" t="s">
        <v>229</v>
      </c>
      <c r="Q278" s="67" t="s">
        <v>227</v>
      </c>
      <c r="R278" s="67" t="s">
        <v>249</v>
      </c>
      <c r="S278" s="67" t="s">
        <v>250</v>
      </c>
      <c r="T278" s="67">
        <v>1</v>
      </c>
      <c r="U278" s="67"/>
      <c r="V278" s="67" t="s">
        <v>138</v>
      </c>
      <c r="W278" s="67">
        <v>4</v>
      </c>
      <c r="X278" s="67">
        <v>25000</v>
      </c>
      <c r="Y278" s="67">
        <v>22500</v>
      </c>
      <c r="Z278" s="67">
        <v>111.1</v>
      </c>
      <c r="AA278" s="67">
        <v>600000</v>
      </c>
      <c r="AB278" s="67">
        <v>325000</v>
      </c>
      <c r="AC278" s="67">
        <v>54.2</v>
      </c>
      <c r="AD278" s="67">
        <v>247500</v>
      </c>
      <c r="AE278" s="67">
        <v>131.30000000000001</v>
      </c>
      <c r="AF278" s="67" t="s">
        <v>139</v>
      </c>
      <c r="AH278" s="66"/>
    </row>
    <row r="279" spans="1:34" s="65" customFormat="1">
      <c r="A279" s="63" t="s">
        <v>296</v>
      </c>
      <c r="B279" s="63" t="s">
        <v>298</v>
      </c>
      <c r="C279" s="62" t="s">
        <v>243</v>
      </c>
      <c r="D279" s="63" t="s">
        <v>304</v>
      </c>
      <c r="E279" s="63" t="s">
        <v>96</v>
      </c>
      <c r="F279" s="63" t="s">
        <v>130</v>
      </c>
      <c r="G279" s="63" t="s">
        <v>128</v>
      </c>
      <c r="H279" s="63"/>
      <c r="I279" s="63"/>
      <c r="J279" s="63"/>
      <c r="K279" s="63"/>
      <c r="L279" s="63" t="s">
        <v>194</v>
      </c>
      <c r="M279" s="63" t="s">
        <v>189</v>
      </c>
      <c r="N279" s="62" t="s">
        <v>224</v>
      </c>
      <c r="O279" s="63" t="s">
        <v>218</v>
      </c>
      <c r="P279" s="62" t="s">
        <v>230</v>
      </c>
      <c r="Q279" s="63" t="s">
        <v>228</v>
      </c>
      <c r="R279" s="62" t="s">
        <v>76</v>
      </c>
      <c r="S279" s="63" t="s">
        <v>251</v>
      </c>
      <c r="T279" s="63">
        <v>0</v>
      </c>
      <c r="U279" s="63">
        <v>118001</v>
      </c>
      <c r="V279" s="63" t="s">
        <v>129</v>
      </c>
      <c r="W279" s="63">
        <v>4</v>
      </c>
      <c r="X279" s="63"/>
      <c r="Y279" s="63"/>
      <c r="Z279" s="69" t="s">
        <v>182</v>
      </c>
      <c r="AA279" s="63"/>
      <c r="AB279" s="63"/>
      <c r="AC279" s="69" t="s">
        <v>182</v>
      </c>
      <c r="AD279" s="63"/>
      <c r="AE279" s="69" t="s">
        <v>182</v>
      </c>
      <c r="AF279" s="63" t="s">
        <v>75</v>
      </c>
      <c r="AH279" s="66"/>
    </row>
    <row r="280" spans="1:34" s="65" customFormat="1">
      <c r="A280" s="67" t="s">
        <v>296</v>
      </c>
      <c r="B280" s="67" t="s">
        <v>298</v>
      </c>
      <c r="C280" s="67" t="s">
        <v>178</v>
      </c>
      <c r="D280" s="67" t="s">
        <v>305</v>
      </c>
      <c r="E280" s="67" t="s">
        <v>96</v>
      </c>
      <c r="F280" s="67" t="s">
        <v>130</v>
      </c>
      <c r="G280" s="67" t="s">
        <v>128</v>
      </c>
      <c r="H280" s="67"/>
      <c r="I280" s="67"/>
      <c r="J280" s="67"/>
      <c r="K280" s="67"/>
      <c r="L280" s="67" t="s">
        <v>194</v>
      </c>
      <c r="M280" s="67" t="s">
        <v>188</v>
      </c>
      <c r="N280" s="67" t="s">
        <v>223</v>
      </c>
      <c r="O280" s="67" t="s">
        <v>217</v>
      </c>
      <c r="P280" s="67" t="s">
        <v>229</v>
      </c>
      <c r="Q280" s="67" t="s">
        <v>227</v>
      </c>
      <c r="R280" s="67" t="s">
        <v>76</v>
      </c>
      <c r="S280" s="67" t="s">
        <v>251</v>
      </c>
      <c r="T280" s="67">
        <v>0</v>
      </c>
      <c r="U280" s="67">
        <v>118002</v>
      </c>
      <c r="V280" s="67" t="s">
        <v>131</v>
      </c>
      <c r="W280" s="67">
        <v>4</v>
      </c>
      <c r="X280" s="67"/>
      <c r="Y280" s="67"/>
      <c r="Z280" s="75" t="s">
        <v>181</v>
      </c>
      <c r="AA280" s="67"/>
      <c r="AB280" s="67"/>
      <c r="AC280" s="75" t="s">
        <v>181</v>
      </c>
      <c r="AD280" s="67"/>
      <c r="AE280" s="75" t="s">
        <v>181</v>
      </c>
      <c r="AF280" s="67" t="s">
        <v>141</v>
      </c>
      <c r="AH280" s="66"/>
    </row>
    <row r="281" spans="1:34" s="65" customFormat="1">
      <c r="A281" s="63" t="s">
        <v>296</v>
      </c>
      <c r="B281" s="63" t="s">
        <v>298</v>
      </c>
      <c r="C281" s="63" t="s">
        <v>178</v>
      </c>
      <c r="D281" s="63" t="s">
        <v>304</v>
      </c>
      <c r="E281" s="63" t="s">
        <v>96</v>
      </c>
      <c r="F281" s="63" t="s">
        <v>130</v>
      </c>
      <c r="G281" s="63" t="s">
        <v>128</v>
      </c>
      <c r="H281" s="63"/>
      <c r="I281" s="63"/>
      <c r="J281" s="63"/>
      <c r="K281" s="63"/>
      <c r="L281" s="63" t="s">
        <v>194</v>
      </c>
      <c r="M281" s="63" t="s">
        <v>188</v>
      </c>
      <c r="N281" s="63" t="s">
        <v>223</v>
      </c>
      <c r="O281" s="63" t="s">
        <v>217</v>
      </c>
      <c r="P281" s="63" t="s">
        <v>229</v>
      </c>
      <c r="Q281" s="63" t="s">
        <v>227</v>
      </c>
      <c r="R281" s="63" t="s">
        <v>76</v>
      </c>
      <c r="S281" s="63" t="s">
        <v>251</v>
      </c>
      <c r="T281" s="63">
        <v>1</v>
      </c>
      <c r="U281" s="63"/>
      <c r="V281" s="63" t="s">
        <v>132</v>
      </c>
      <c r="W281" s="63">
        <v>4</v>
      </c>
      <c r="X281" s="63"/>
      <c r="Y281" s="63"/>
      <c r="Z281" s="74" t="s">
        <v>181</v>
      </c>
      <c r="AA281" s="63"/>
      <c r="AB281" s="63"/>
      <c r="AC281" s="74" t="s">
        <v>181</v>
      </c>
      <c r="AD281" s="63"/>
      <c r="AE281" s="74" t="s">
        <v>181</v>
      </c>
      <c r="AF281" s="63" t="s">
        <v>133</v>
      </c>
      <c r="AH281" s="66"/>
    </row>
    <row r="282" spans="1:34" s="65" customFormat="1">
      <c r="A282" s="67" t="s">
        <v>296</v>
      </c>
      <c r="B282" s="67" t="s">
        <v>298</v>
      </c>
      <c r="C282" s="67" t="s">
        <v>178</v>
      </c>
      <c r="D282" s="67" t="s">
        <v>305</v>
      </c>
      <c r="E282" s="67" t="s">
        <v>96</v>
      </c>
      <c r="F282" s="67" t="s">
        <v>130</v>
      </c>
      <c r="G282" s="67" t="s">
        <v>128</v>
      </c>
      <c r="H282" s="67"/>
      <c r="I282" s="67"/>
      <c r="J282" s="67"/>
      <c r="K282" s="67"/>
      <c r="L282" s="67" t="s">
        <v>194</v>
      </c>
      <c r="M282" s="67" t="s">
        <v>188</v>
      </c>
      <c r="N282" s="67" t="s">
        <v>223</v>
      </c>
      <c r="O282" s="67" t="s">
        <v>217</v>
      </c>
      <c r="P282" s="67" t="s">
        <v>229</v>
      </c>
      <c r="Q282" s="67" t="s">
        <v>227</v>
      </c>
      <c r="R282" s="67" t="s">
        <v>76</v>
      </c>
      <c r="S282" s="67" t="s">
        <v>251</v>
      </c>
      <c r="T282" s="67">
        <v>0</v>
      </c>
      <c r="U282" s="67">
        <v>118003</v>
      </c>
      <c r="V282" s="67" t="s">
        <v>134</v>
      </c>
      <c r="W282" s="67">
        <v>4</v>
      </c>
      <c r="X282" s="67">
        <v>25000</v>
      </c>
      <c r="Y282" s="67">
        <v>22500</v>
      </c>
      <c r="Z282" s="67">
        <v>111.1</v>
      </c>
      <c r="AA282" s="67">
        <v>600000</v>
      </c>
      <c r="AB282" s="67">
        <v>325000</v>
      </c>
      <c r="AC282" s="67">
        <v>54.2</v>
      </c>
      <c r="AD282" s="67">
        <v>247500</v>
      </c>
      <c r="AE282" s="67">
        <v>131.30000000000001</v>
      </c>
      <c r="AF282" s="67" t="s">
        <v>135</v>
      </c>
      <c r="AH282" s="66"/>
    </row>
    <row r="283" spans="1:34" s="65" customFormat="1">
      <c r="A283" s="63" t="s">
        <v>296</v>
      </c>
      <c r="B283" s="63" t="s">
        <v>298</v>
      </c>
      <c r="C283" s="63" t="s">
        <v>178</v>
      </c>
      <c r="D283" s="63" t="s">
        <v>304</v>
      </c>
      <c r="E283" s="63" t="s">
        <v>96</v>
      </c>
      <c r="F283" s="63" t="s">
        <v>130</v>
      </c>
      <c r="G283" s="63" t="s">
        <v>128</v>
      </c>
      <c r="H283" s="63"/>
      <c r="I283" s="63"/>
      <c r="J283" s="63"/>
      <c r="K283" s="63"/>
      <c r="L283" s="63" t="s">
        <v>194</v>
      </c>
      <c r="M283" s="63" t="s">
        <v>188</v>
      </c>
      <c r="N283" s="63" t="s">
        <v>223</v>
      </c>
      <c r="O283" s="63" t="s">
        <v>217</v>
      </c>
      <c r="P283" s="63" t="s">
        <v>229</v>
      </c>
      <c r="Q283" s="63" t="s">
        <v>227</v>
      </c>
      <c r="R283" s="63" t="s">
        <v>76</v>
      </c>
      <c r="S283" s="63" t="s">
        <v>251</v>
      </c>
      <c r="T283" s="63">
        <v>0</v>
      </c>
      <c r="U283" s="63">
        <v>118004</v>
      </c>
      <c r="V283" s="63" t="s">
        <v>136</v>
      </c>
      <c r="W283" s="63">
        <v>4</v>
      </c>
      <c r="X283" s="63"/>
      <c r="Y283" s="63"/>
      <c r="Z283" s="69" t="s">
        <v>182</v>
      </c>
      <c r="AA283" s="63"/>
      <c r="AB283" s="63"/>
      <c r="AC283" s="69" t="s">
        <v>182</v>
      </c>
      <c r="AD283" s="63"/>
      <c r="AE283" s="69" t="s">
        <v>182</v>
      </c>
      <c r="AF283" s="63" t="s">
        <v>81</v>
      </c>
      <c r="AH283" s="66"/>
    </row>
    <row r="284" spans="1:34" s="65" customFormat="1">
      <c r="A284" s="67" t="s">
        <v>296</v>
      </c>
      <c r="B284" s="67" t="s">
        <v>298</v>
      </c>
      <c r="C284" s="67" t="s">
        <v>178</v>
      </c>
      <c r="D284" s="67" t="s">
        <v>305</v>
      </c>
      <c r="E284" s="67" t="s">
        <v>96</v>
      </c>
      <c r="F284" s="67" t="s">
        <v>130</v>
      </c>
      <c r="G284" s="67" t="s">
        <v>128</v>
      </c>
      <c r="H284" s="67"/>
      <c r="I284" s="67"/>
      <c r="J284" s="67"/>
      <c r="K284" s="67"/>
      <c r="L284" s="67" t="s">
        <v>194</v>
      </c>
      <c r="M284" s="67" t="s">
        <v>188</v>
      </c>
      <c r="N284" s="67" t="s">
        <v>223</v>
      </c>
      <c r="O284" s="67" t="s">
        <v>217</v>
      </c>
      <c r="P284" s="67" t="s">
        <v>229</v>
      </c>
      <c r="Q284" s="67" t="s">
        <v>227</v>
      </c>
      <c r="R284" s="67" t="s">
        <v>76</v>
      </c>
      <c r="S284" s="67" t="s">
        <v>251</v>
      </c>
      <c r="T284" s="67">
        <v>1</v>
      </c>
      <c r="U284" s="67"/>
      <c r="V284" s="67" t="s">
        <v>138</v>
      </c>
      <c r="W284" s="67">
        <v>4</v>
      </c>
      <c r="X284" s="67">
        <v>25000</v>
      </c>
      <c r="Y284" s="67">
        <v>22500</v>
      </c>
      <c r="Z284" s="67">
        <v>111.1</v>
      </c>
      <c r="AA284" s="67">
        <v>600000</v>
      </c>
      <c r="AB284" s="67">
        <v>325000</v>
      </c>
      <c r="AC284" s="67">
        <v>54.2</v>
      </c>
      <c r="AD284" s="67">
        <v>247500</v>
      </c>
      <c r="AE284" s="67">
        <v>131.30000000000001</v>
      </c>
      <c r="AF284" s="67" t="s">
        <v>139</v>
      </c>
      <c r="AH284" s="66"/>
    </row>
    <row r="285" spans="1:34" s="65" customFormat="1">
      <c r="A285" s="63" t="s">
        <v>296</v>
      </c>
      <c r="B285" s="63" t="s">
        <v>298</v>
      </c>
      <c r="C285" s="62" t="s">
        <v>178</v>
      </c>
      <c r="D285" s="63" t="s">
        <v>304</v>
      </c>
      <c r="E285" s="63" t="s">
        <v>96</v>
      </c>
      <c r="F285" s="63" t="s">
        <v>130</v>
      </c>
      <c r="G285" s="63" t="s">
        <v>128</v>
      </c>
      <c r="H285" s="63"/>
      <c r="I285" s="63"/>
      <c r="J285" s="63"/>
      <c r="K285" s="63"/>
      <c r="L285" s="63" t="s">
        <v>194</v>
      </c>
      <c r="M285" s="63" t="s">
        <v>188</v>
      </c>
      <c r="N285" s="62" t="s">
        <v>224</v>
      </c>
      <c r="O285" s="63" t="s">
        <v>218</v>
      </c>
      <c r="P285" s="62" t="s">
        <v>234</v>
      </c>
      <c r="Q285" s="63" t="s">
        <v>232</v>
      </c>
      <c r="R285" s="62" t="s">
        <v>249</v>
      </c>
      <c r="S285" s="63" t="s">
        <v>250</v>
      </c>
      <c r="T285" s="63">
        <v>0</v>
      </c>
      <c r="U285" s="63">
        <v>118001</v>
      </c>
      <c r="V285" s="63" t="s">
        <v>129</v>
      </c>
      <c r="W285" s="63">
        <v>4</v>
      </c>
      <c r="X285" s="63"/>
      <c r="Y285" s="63"/>
      <c r="Z285" s="69" t="s">
        <v>182</v>
      </c>
      <c r="AA285" s="63"/>
      <c r="AB285" s="63"/>
      <c r="AC285" s="69" t="s">
        <v>182</v>
      </c>
      <c r="AD285" s="63"/>
      <c r="AE285" s="69" t="s">
        <v>182</v>
      </c>
      <c r="AF285" s="63" t="s">
        <v>75</v>
      </c>
      <c r="AH285" s="66"/>
    </row>
    <row r="286" spans="1:34" s="65" customFormat="1">
      <c r="A286" s="67" t="s">
        <v>296</v>
      </c>
      <c r="B286" s="67" t="s">
        <v>298</v>
      </c>
      <c r="C286" s="67" t="s">
        <v>178</v>
      </c>
      <c r="D286" s="67" t="s">
        <v>305</v>
      </c>
      <c r="E286" s="67" t="s">
        <v>96</v>
      </c>
      <c r="F286" s="67" t="s">
        <v>130</v>
      </c>
      <c r="G286" s="67" t="s">
        <v>128</v>
      </c>
      <c r="H286" s="67"/>
      <c r="I286" s="67"/>
      <c r="J286" s="67"/>
      <c r="K286" s="67"/>
      <c r="L286" s="67" t="s">
        <v>194</v>
      </c>
      <c r="M286" s="67" t="s">
        <v>188</v>
      </c>
      <c r="N286" s="67" t="s">
        <v>223</v>
      </c>
      <c r="O286" s="67" t="s">
        <v>217</v>
      </c>
      <c r="P286" s="67" t="s">
        <v>233</v>
      </c>
      <c r="Q286" s="67" t="s">
        <v>231</v>
      </c>
      <c r="R286" s="67" t="s">
        <v>249</v>
      </c>
      <c r="S286" s="67" t="s">
        <v>250</v>
      </c>
      <c r="T286" s="67">
        <v>0</v>
      </c>
      <c r="U286" s="67">
        <v>118002</v>
      </c>
      <c r="V286" s="67" t="s">
        <v>131</v>
      </c>
      <c r="W286" s="67">
        <v>4</v>
      </c>
      <c r="X286" s="67"/>
      <c r="Y286" s="67"/>
      <c r="Z286" s="75" t="s">
        <v>181</v>
      </c>
      <c r="AA286" s="67"/>
      <c r="AB286" s="67"/>
      <c r="AC286" s="75" t="s">
        <v>181</v>
      </c>
      <c r="AD286" s="67"/>
      <c r="AE286" s="75" t="s">
        <v>181</v>
      </c>
      <c r="AF286" s="67" t="s">
        <v>141</v>
      </c>
      <c r="AH286" s="66"/>
    </row>
    <row r="287" spans="1:34" s="65" customFormat="1">
      <c r="A287" s="63" t="s">
        <v>296</v>
      </c>
      <c r="B287" s="63" t="s">
        <v>298</v>
      </c>
      <c r="C287" s="63" t="s">
        <v>178</v>
      </c>
      <c r="D287" s="63" t="s">
        <v>304</v>
      </c>
      <c r="E287" s="63" t="s">
        <v>96</v>
      </c>
      <c r="F287" s="63" t="s">
        <v>130</v>
      </c>
      <c r="G287" s="63" t="s">
        <v>128</v>
      </c>
      <c r="H287" s="63"/>
      <c r="I287" s="63"/>
      <c r="J287" s="63"/>
      <c r="K287" s="63"/>
      <c r="L287" s="63" t="s">
        <v>194</v>
      </c>
      <c r="M287" s="63" t="s">
        <v>188</v>
      </c>
      <c r="N287" s="63" t="s">
        <v>223</v>
      </c>
      <c r="O287" s="63" t="s">
        <v>217</v>
      </c>
      <c r="P287" s="63" t="s">
        <v>233</v>
      </c>
      <c r="Q287" s="63" t="s">
        <v>231</v>
      </c>
      <c r="R287" s="63" t="s">
        <v>249</v>
      </c>
      <c r="S287" s="63" t="s">
        <v>250</v>
      </c>
      <c r="T287" s="63">
        <v>1</v>
      </c>
      <c r="U287" s="63"/>
      <c r="V287" s="63" t="s">
        <v>132</v>
      </c>
      <c r="W287" s="63">
        <v>4</v>
      </c>
      <c r="X287" s="63"/>
      <c r="Y287" s="63"/>
      <c r="Z287" s="74" t="s">
        <v>181</v>
      </c>
      <c r="AA287" s="63"/>
      <c r="AB287" s="63"/>
      <c r="AC287" s="74" t="s">
        <v>181</v>
      </c>
      <c r="AD287" s="63"/>
      <c r="AE287" s="74" t="s">
        <v>181</v>
      </c>
      <c r="AF287" s="63" t="s">
        <v>133</v>
      </c>
      <c r="AH287" s="66"/>
    </row>
    <row r="288" spans="1:34" s="65" customFormat="1">
      <c r="A288" s="67" t="s">
        <v>296</v>
      </c>
      <c r="B288" s="67" t="s">
        <v>298</v>
      </c>
      <c r="C288" s="67" t="s">
        <v>178</v>
      </c>
      <c r="D288" s="67" t="s">
        <v>305</v>
      </c>
      <c r="E288" s="67" t="s">
        <v>96</v>
      </c>
      <c r="F288" s="67" t="s">
        <v>130</v>
      </c>
      <c r="G288" s="67" t="s">
        <v>128</v>
      </c>
      <c r="H288" s="67"/>
      <c r="I288" s="67"/>
      <c r="J288" s="67"/>
      <c r="K288" s="67"/>
      <c r="L288" s="67" t="s">
        <v>194</v>
      </c>
      <c r="M288" s="67" t="s">
        <v>188</v>
      </c>
      <c r="N288" s="67" t="s">
        <v>223</v>
      </c>
      <c r="O288" s="67" t="s">
        <v>217</v>
      </c>
      <c r="P288" s="67" t="s">
        <v>233</v>
      </c>
      <c r="Q288" s="67" t="s">
        <v>231</v>
      </c>
      <c r="R288" s="67" t="s">
        <v>249</v>
      </c>
      <c r="S288" s="67" t="s">
        <v>250</v>
      </c>
      <c r="T288" s="67">
        <v>0</v>
      </c>
      <c r="U288" s="67">
        <v>118003</v>
      </c>
      <c r="V288" s="67" t="s">
        <v>134</v>
      </c>
      <c r="W288" s="67">
        <v>4</v>
      </c>
      <c r="X288" s="67">
        <v>25000</v>
      </c>
      <c r="Y288" s="67">
        <v>22500</v>
      </c>
      <c r="Z288" s="67">
        <v>111.1</v>
      </c>
      <c r="AA288" s="67">
        <v>600000</v>
      </c>
      <c r="AB288" s="67">
        <v>325000</v>
      </c>
      <c r="AC288" s="67">
        <v>54.2</v>
      </c>
      <c r="AD288" s="67">
        <v>247500</v>
      </c>
      <c r="AE288" s="67">
        <v>131.30000000000001</v>
      </c>
      <c r="AF288" s="67" t="s">
        <v>135</v>
      </c>
      <c r="AH288" s="66"/>
    </row>
    <row r="289" spans="1:34" s="65" customFormat="1">
      <c r="A289" s="63" t="s">
        <v>296</v>
      </c>
      <c r="B289" s="63" t="s">
        <v>298</v>
      </c>
      <c r="C289" s="63" t="s">
        <v>178</v>
      </c>
      <c r="D289" s="63" t="s">
        <v>304</v>
      </c>
      <c r="E289" s="63" t="s">
        <v>96</v>
      </c>
      <c r="F289" s="63" t="s">
        <v>130</v>
      </c>
      <c r="G289" s="63" t="s">
        <v>128</v>
      </c>
      <c r="H289" s="63"/>
      <c r="I289" s="63"/>
      <c r="J289" s="63"/>
      <c r="K289" s="63"/>
      <c r="L289" s="63" t="s">
        <v>194</v>
      </c>
      <c r="M289" s="63" t="s">
        <v>188</v>
      </c>
      <c r="N289" s="63" t="s">
        <v>223</v>
      </c>
      <c r="O289" s="63" t="s">
        <v>217</v>
      </c>
      <c r="P289" s="63" t="s">
        <v>233</v>
      </c>
      <c r="Q289" s="63" t="s">
        <v>231</v>
      </c>
      <c r="R289" s="63" t="s">
        <v>249</v>
      </c>
      <c r="S289" s="63" t="s">
        <v>250</v>
      </c>
      <c r="T289" s="63">
        <v>0</v>
      </c>
      <c r="U289" s="63">
        <v>118004</v>
      </c>
      <c r="V289" s="63" t="s">
        <v>136</v>
      </c>
      <c r="W289" s="63">
        <v>4</v>
      </c>
      <c r="X289" s="63"/>
      <c r="Y289" s="63"/>
      <c r="Z289" s="69" t="s">
        <v>182</v>
      </c>
      <c r="AA289" s="63"/>
      <c r="AB289" s="63"/>
      <c r="AC289" s="69" t="s">
        <v>182</v>
      </c>
      <c r="AD289" s="63"/>
      <c r="AE289" s="69" t="s">
        <v>182</v>
      </c>
      <c r="AF289" s="63" t="s">
        <v>81</v>
      </c>
      <c r="AH289" s="66"/>
    </row>
    <row r="290" spans="1:34" s="65" customFormat="1">
      <c r="A290" s="67" t="s">
        <v>296</v>
      </c>
      <c r="B290" s="67" t="s">
        <v>298</v>
      </c>
      <c r="C290" s="67" t="s">
        <v>178</v>
      </c>
      <c r="D290" s="67" t="s">
        <v>305</v>
      </c>
      <c r="E290" s="67" t="s">
        <v>96</v>
      </c>
      <c r="F290" s="67" t="s">
        <v>130</v>
      </c>
      <c r="G290" s="67" t="s">
        <v>128</v>
      </c>
      <c r="H290" s="67"/>
      <c r="I290" s="67"/>
      <c r="J290" s="67"/>
      <c r="K290" s="67"/>
      <c r="L290" s="67" t="s">
        <v>194</v>
      </c>
      <c r="M290" s="67" t="s">
        <v>188</v>
      </c>
      <c r="N290" s="67" t="s">
        <v>223</v>
      </c>
      <c r="O290" s="67" t="s">
        <v>217</v>
      </c>
      <c r="P290" s="67" t="s">
        <v>233</v>
      </c>
      <c r="Q290" s="67" t="s">
        <v>231</v>
      </c>
      <c r="R290" s="67" t="s">
        <v>249</v>
      </c>
      <c r="S290" s="67" t="s">
        <v>250</v>
      </c>
      <c r="T290" s="67">
        <v>1</v>
      </c>
      <c r="U290" s="67"/>
      <c r="V290" s="67" t="s">
        <v>138</v>
      </c>
      <c r="W290" s="67">
        <v>4</v>
      </c>
      <c r="X290" s="67">
        <v>25000</v>
      </c>
      <c r="Y290" s="67">
        <v>22500</v>
      </c>
      <c r="Z290" s="67">
        <v>111.1</v>
      </c>
      <c r="AA290" s="67">
        <v>600000</v>
      </c>
      <c r="AB290" s="67">
        <v>325000</v>
      </c>
      <c r="AC290" s="67">
        <v>54.2</v>
      </c>
      <c r="AD290" s="67">
        <v>247500</v>
      </c>
      <c r="AE290" s="67">
        <v>131.30000000000001</v>
      </c>
      <c r="AF290" s="67" t="s">
        <v>139</v>
      </c>
      <c r="AH290" s="66"/>
    </row>
    <row r="291" spans="1:34" s="65" customFormat="1">
      <c r="A291" s="63" t="s">
        <v>296</v>
      </c>
      <c r="B291" s="63" t="s">
        <v>298</v>
      </c>
      <c r="C291" s="62" t="s">
        <v>178</v>
      </c>
      <c r="D291" s="63" t="s">
        <v>304</v>
      </c>
      <c r="E291" s="63" t="s">
        <v>96</v>
      </c>
      <c r="F291" s="63" t="s">
        <v>130</v>
      </c>
      <c r="G291" s="63" t="s">
        <v>128</v>
      </c>
      <c r="H291" s="63"/>
      <c r="I291" s="63"/>
      <c r="J291" s="63"/>
      <c r="K291" s="63"/>
      <c r="L291" s="63" t="s">
        <v>194</v>
      </c>
      <c r="M291" s="63" t="s">
        <v>188</v>
      </c>
      <c r="N291" s="62" t="s">
        <v>224</v>
      </c>
      <c r="O291" s="63" t="s">
        <v>218</v>
      </c>
      <c r="P291" s="62" t="s">
        <v>234</v>
      </c>
      <c r="Q291" s="63" t="s">
        <v>232</v>
      </c>
      <c r="R291" s="62" t="s">
        <v>76</v>
      </c>
      <c r="S291" s="63" t="s">
        <v>251</v>
      </c>
      <c r="T291" s="63">
        <v>0</v>
      </c>
      <c r="U291" s="63">
        <v>118001</v>
      </c>
      <c r="V291" s="63" t="s">
        <v>129</v>
      </c>
      <c r="W291" s="63">
        <v>4</v>
      </c>
      <c r="X291" s="63"/>
      <c r="Y291" s="63"/>
      <c r="Z291" s="69" t="s">
        <v>182</v>
      </c>
      <c r="AA291" s="63"/>
      <c r="AB291" s="63"/>
      <c r="AC291" s="69" t="s">
        <v>182</v>
      </c>
      <c r="AD291" s="63"/>
      <c r="AE291" s="69" t="s">
        <v>182</v>
      </c>
      <c r="AF291" s="63" t="s">
        <v>75</v>
      </c>
      <c r="AH291" s="66"/>
    </row>
    <row r="292" spans="1:34" s="65" customFormat="1">
      <c r="A292" s="67" t="s">
        <v>296</v>
      </c>
      <c r="B292" s="67" t="s">
        <v>298</v>
      </c>
      <c r="C292" s="67" t="s">
        <v>178</v>
      </c>
      <c r="D292" s="67" t="s">
        <v>305</v>
      </c>
      <c r="E292" s="67" t="s">
        <v>96</v>
      </c>
      <c r="F292" s="67" t="s">
        <v>130</v>
      </c>
      <c r="G292" s="67" t="s">
        <v>128</v>
      </c>
      <c r="H292" s="67"/>
      <c r="I292" s="67"/>
      <c r="J292" s="67"/>
      <c r="K292" s="67"/>
      <c r="L292" s="67" t="s">
        <v>194</v>
      </c>
      <c r="M292" s="67" t="s">
        <v>188</v>
      </c>
      <c r="N292" s="67" t="s">
        <v>223</v>
      </c>
      <c r="O292" s="67" t="s">
        <v>217</v>
      </c>
      <c r="P292" s="67" t="s">
        <v>233</v>
      </c>
      <c r="Q292" s="67" t="s">
        <v>231</v>
      </c>
      <c r="R292" s="67" t="s">
        <v>76</v>
      </c>
      <c r="S292" s="67" t="s">
        <v>251</v>
      </c>
      <c r="T292" s="67">
        <v>0</v>
      </c>
      <c r="U292" s="67">
        <v>118002</v>
      </c>
      <c r="V292" s="67" t="s">
        <v>131</v>
      </c>
      <c r="W292" s="67">
        <v>4</v>
      </c>
      <c r="X292" s="67"/>
      <c r="Y292" s="67"/>
      <c r="Z292" s="75" t="s">
        <v>181</v>
      </c>
      <c r="AA292" s="67"/>
      <c r="AB292" s="67"/>
      <c r="AC292" s="75" t="s">
        <v>181</v>
      </c>
      <c r="AD292" s="67"/>
      <c r="AE292" s="75" t="s">
        <v>181</v>
      </c>
      <c r="AF292" s="67" t="s">
        <v>141</v>
      </c>
      <c r="AH292" s="66"/>
    </row>
    <row r="293" spans="1:34" s="65" customFormat="1">
      <c r="A293" s="63" t="s">
        <v>296</v>
      </c>
      <c r="B293" s="63" t="s">
        <v>298</v>
      </c>
      <c r="C293" s="63" t="s">
        <v>178</v>
      </c>
      <c r="D293" s="63" t="s">
        <v>304</v>
      </c>
      <c r="E293" s="63" t="s">
        <v>96</v>
      </c>
      <c r="F293" s="63" t="s">
        <v>130</v>
      </c>
      <c r="G293" s="63" t="s">
        <v>128</v>
      </c>
      <c r="H293" s="63"/>
      <c r="I293" s="63"/>
      <c r="J293" s="63"/>
      <c r="K293" s="63"/>
      <c r="L293" s="63" t="s">
        <v>194</v>
      </c>
      <c r="M293" s="63" t="s">
        <v>188</v>
      </c>
      <c r="N293" s="63" t="s">
        <v>223</v>
      </c>
      <c r="O293" s="63" t="s">
        <v>217</v>
      </c>
      <c r="P293" s="63" t="s">
        <v>233</v>
      </c>
      <c r="Q293" s="63" t="s">
        <v>231</v>
      </c>
      <c r="R293" s="63" t="s">
        <v>76</v>
      </c>
      <c r="S293" s="63" t="s">
        <v>251</v>
      </c>
      <c r="T293" s="63">
        <v>1</v>
      </c>
      <c r="U293" s="63"/>
      <c r="V293" s="63" t="s">
        <v>132</v>
      </c>
      <c r="W293" s="63">
        <v>4</v>
      </c>
      <c r="X293" s="63"/>
      <c r="Y293" s="63"/>
      <c r="Z293" s="74" t="s">
        <v>181</v>
      </c>
      <c r="AA293" s="63"/>
      <c r="AB293" s="63"/>
      <c r="AC293" s="74" t="s">
        <v>181</v>
      </c>
      <c r="AD293" s="63"/>
      <c r="AE293" s="74" t="s">
        <v>181</v>
      </c>
      <c r="AF293" s="63" t="s">
        <v>133</v>
      </c>
      <c r="AH293" s="66"/>
    </row>
    <row r="294" spans="1:34" s="65" customFormat="1">
      <c r="A294" s="67" t="s">
        <v>296</v>
      </c>
      <c r="B294" s="67" t="s">
        <v>298</v>
      </c>
      <c r="C294" s="67" t="s">
        <v>178</v>
      </c>
      <c r="D294" s="67" t="s">
        <v>305</v>
      </c>
      <c r="E294" s="67" t="s">
        <v>96</v>
      </c>
      <c r="F294" s="67" t="s">
        <v>130</v>
      </c>
      <c r="G294" s="67" t="s">
        <v>128</v>
      </c>
      <c r="H294" s="67"/>
      <c r="I294" s="67"/>
      <c r="J294" s="67"/>
      <c r="K294" s="67"/>
      <c r="L294" s="67" t="s">
        <v>194</v>
      </c>
      <c r="M294" s="67" t="s">
        <v>188</v>
      </c>
      <c r="N294" s="67" t="s">
        <v>223</v>
      </c>
      <c r="O294" s="67" t="s">
        <v>217</v>
      </c>
      <c r="P294" s="67" t="s">
        <v>233</v>
      </c>
      <c r="Q294" s="67" t="s">
        <v>231</v>
      </c>
      <c r="R294" s="67" t="s">
        <v>76</v>
      </c>
      <c r="S294" s="67" t="s">
        <v>251</v>
      </c>
      <c r="T294" s="67">
        <v>0</v>
      </c>
      <c r="U294" s="67">
        <v>118003</v>
      </c>
      <c r="V294" s="67" t="s">
        <v>134</v>
      </c>
      <c r="W294" s="67">
        <v>4</v>
      </c>
      <c r="X294" s="67">
        <v>25000</v>
      </c>
      <c r="Y294" s="67">
        <v>22500</v>
      </c>
      <c r="Z294" s="67">
        <v>111.1</v>
      </c>
      <c r="AA294" s="67">
        <v>600000</v>
      </c>
      <c r="AB294" s="67">
        <v>325000</v>
      </c>
      <c r="AC294" s="67">
        <v>54.2</v>
      </c>
      <c r="AD294" s="67">
        <v>247500</v>
      </c>
      <c r="AE294" s="67">
        <v>131.30000000000001</v>
      </c>
      <c r="AF294" s="67" t="s">
        <v>135</v>
      </c>
      <c r="AH294" s="66"/>
    </row>
    <row r="295" spans="1:34" s="65" customFormat="1">
      <c r="A295" s="63" t="s">
        <v>296</v>
      </c>
      <c r="B295" s="63" t="s">
        <v>298</v>
      </c>
      <c r="C295" s="63" t="s">
        <v>178</v>
      </c>
      <c r="D295" s="63" t="s">
        <v>304</v>
      </c>
      <c r="E295" s="63" t="s">
        <v>96</v>
      </c>
      <c r="F295" s="63" t="s">
        <v>130</v>
      </c>
      <c r="G295" s="63" t="s">
        <v>128</v>
      </c>
      <c r="H295" s="63"/>
      <c r="I295" s="63"/>
      <c r="J295" s="63"/>
      <c r="K295" s="63"/>
      <c r="L295" s="63" t="s">
        <v>194</v>
      </c>
      <c r="M295" s="63" t="s">
        <v>188</v>
      </c>
      <c r="N295" s="63" t="s">
        <v>223</v>
      </c>
      <c r="O295" s="63" t="s">
        <v>217</v>
      </c>
      <c r="P295" s="63" t="s">
        <v>233</v>
      </c>
      <c r="Q295" s="63" t="s">
        <v>231</v>
      </c>
      <c r="R295" s="63" t="s">
        <v>76</v>
      </c>
      <c r="S295" s="63" t="s">
        <v>251</v>
      </c>
      <c r="T295" s="63">
        <v>0</v>
      </c>
      <c r="U295" s="63">
        <v>118004</v>
      </c>
      <c r="V295" s="63" t="s">
        <v>136</v>
      </c>
      <c r="W295" s="63">
        <v>4</v>
      </c>
      <c r="X295" s="63"/>
      <c r="Y295" s="63"/>
      <c r="Z295" s="69" t="s">
        <v>182</v>
      </c>
      <c r="AA295" s="63"/>
      <c r="AB295" s="63"/>
      <c r="AC295" s="69" t="s">
        <v>182</v>
      </c>
      <c r="AD295" s="63"/>
      <c r="AE295" s="69" t="s">
        <v>182</v>
      </c>
      <c r="AF295" s="63" t="s">
        <v>81</v>
      </c>
      <c r="AH295" s="66"/>
    </row>
    <row r="296" spans="1:34" s="65" customFormat="1">
      <c r="A296" s="67" t="s">
        <v>296</v>
      </c>
      <c r="B296" s="67" t="s">
        <v>298</v>
      </c>
      <c r="C296" s="67" t="s">
        <v>178</v>
      </c>
      <c r="D296" s="67" t="s">
        <v>305</v>
      </c>
      <c r="E296" s="67" t="s">
        <v>96</v>
      </c>
      <c r="F296" s="67" t="s">
        <v>130</v>
      </c>
      <c r="G296" s="67" t="s">
        <v>128</v>
      </c>
      <c r="H296" s="67"/>
      <c r="I296" s="67"/>
      <c r="J296" s="67"/>
      <c r="K296" s="67"/>
      <c r="L296" s="67" t="s">
        <v>194</v>
      </c>
      <c r="M296" s="67" t="s">
        <v>188</v>
      </c>
      <c r="N296" s="67" t="s">
        <v>223</v>
      </c>
      <c r="O296" s="67" t="s">
        <v>217</v>
      </c>
      <c r="P296" s="67" t="s">
        <v>233</v>
      </c>
      <c r="Q296" s="67" t="s">
        <v>231</v>
      </c>
      <c r="R296" s="67" t="s">
        <v>76</v>
      </c>
      <c r="S296" s="67" t="s">
        <v>251</v>
      </c>
      <c r="T296" s="67">
        <v>1</v>
      </c>
      <c r="U296" s="67"/>
      <c r="V296" s="67" t="s">
        <v>138</v>
      </c>
      <c r="W296" s="67">
        <v>4</v>
      </c>
      <c r="X296" s="67">
        <v>25000</v>
      </c>
      <c r="Y296" s="67">
        <v>22500</v>
      </c>
      <c r="Z296" s="67">
        <v>111.1</v>
      </c>
      <c r="AA296" s="67">
        <v>600000</v>
      </c>
      <c r="AB296" s="67">
        <v>325000</v>
      </c>
      <c r="AC296" s="67">
        <v>54.2</v>
      </c>
      <c r="AD296" s="67">
        <v>247500</v>
      </c>
      <c r="AE296" s="67">
        <v>131.30000000000001</v>
      </c>
      <c r="AF296" s="67" t="s">
        <v>139</v>
      </c>
      <c r="AH296" s="66"/>
    </row>
    <row r="297" spans="1:34" s="65" customFormat="1">
      <c r="A297" s="63" t="s">
        <v>296</v>
      </c>
      <c r="B297" s="63" t="s">
        <v>298</v>
      </c>
      <c r="C297" s="62" t="s">
        <v>243</v>
      </c>
      <c r="D297" s="63" t="s">
        <v>304</v>
      </c>
      <c r="E297" s="63" t="s">
        <v>96</v>
      </c>
      <c r="F297" s="63" t="s">
        <v>130</v>
      </c>
      <c r="G297" s="63" t="s">
        <v>128</v>
      </c>
      <c r="H297" s="62"/>
      <c r="I297" s="63"/>
      <c r="J297" s="62"/>
      <c r="K297" s="63"/>
      <c r="L297" s="63" t="s">
        <v>194</v>
      </c>
      <c r="M297" s="63" t="s">
        <v>188</v>
      </c>
      <c r="N297" s="62"/>
      <c r="O297" s="63"/>
      <c r="P297" s="62" t="s">
        <v>195</v>
      </c>
      <c r="Q297" s="63" t="s">
        <v>189</v>
      </c>
      <c r="R297" s="62" t="s">
        <v>249</v>
      </c>
      <c r="S297" s="63" t="s">
        <v>250</v>
      </c>
      <c r="T297" s="63">
        <v>0</v>
      </c>
      <c r="U297" s="63">
        <v>118001</v>
      </c>
      <c r="V297" s="63" t="s">
        <v>129</v>
      </c>
      <c r="W297" s="63">
        <v>4</v>
      </c>
      <c r="X297" s="63">
        <v>400000</v>
      </c>
      <c r="Y297" s="63">
        <v>390000</v>
      </c>
      <c r="Z297" s="64">
        <f>X297/Y297*100</f>
        <v>102.56410256410255</v>
      </c>
      <c r="AA297" s="63">
        <v>11600000</v>
      </c>
      <c r="AB297" s="63">
        <v>5200000</v>
      </c>
      <c r="AC297" s="64">
        <f>AB297/AA297*100</f>
        <v>44.827586206896555</v>
      </c>
      <c r="AD297" s="63">
        <v>4290000</v>
      </c>
      <c r="AE297" s="64">
        <f>AB297/AD297*100</f>
        <v>121.21212121212122</v>
      </c>
      <c r="AF297" s="63" t="s">
        <v>75</v>
      </c>
      <c r="AH297" s="66"/>
    </row>
    <row r="298" spans="1:34" s="65" customFormat="1">
      <c r="A298" s="67" t="s">
        <v>296</v>
      </c>
      <c r="B298" s="67" t="s">
        <v>298</v>
      </c>
      <c r="C298" s="77" t="s">
        <v>243</v>
      </c>
      <c r="D298" s="67" t="s">
        <v>305</v>
      </c>
      <c r="E298" s="67" t="s">
        <v>96</v>
      </c>
      <c r="F298" s="67" t="s">
        <v>130</v>
      </c>
      <c r="G298" s="67" t="s">
        <v>128</v>
      </c>
      <c r="H298" s="67"/>
      <c r="I298" s="67"/>
      <c r="J298" s="67"/>
      <c r="K298" s="67"/>
      <c r="L298" s="67" t="s">
        <v>194</v>
      </c>
      <c r="M298" s="67" t="s">
        <v>188</v>
      </c>
      <c r="N298" s="67"/>
      <c r="O298" s="67"/>
      <c r="P298" s="67" t="s">
        <v>194</v>
      </c>
      <c r="Q298" s="67" t="s">
        <v>188</v>
      </c>
      <c r="R298" s="67" t="s">
        <v>249</v>
      </c>
      <c r="S298" s="67" t="s">
        <v>250</v>
      </c>
      <c r="T298" s="67">
        <v>0</v>
      </c>
      <c r="U298" s="67">
        <v>118002</v>
      </c>
      <c r="V298" s="67" t="s">
        <v>131</v>
      </c>
      <c r="W298" s="67">
        <v>4</v>
      </c>
      <c r="X298" s="67">
        <v>200000</v>
      </c>
      <c r="Y298" s="67">
        <v>190000</v>
      </c>
      <c r="Z298" s="68">
        <f t="shared" ref="Z298:Z300" si="274">X298/Y298*100</f>
        <v>105.26315789473684</v>
      </c>
      <c r="AA298" s="67">
        <v>4800000</v>
      </c>
      <c r="AB298" s="67">
        <v>2600000</v>
      </c>
      <c r="AC298" s="68">
        <f t="shared" ref="AC298:AC300" si="275">AB298/AA298*100</f>
        <v>54.166666666666664</v>
      </c>
      <c r="AD298" s="67">
        <v>2090000</v>
      </c>
      <c r="AE298" s="68">
        <f t="shared" ref="AE298:AE300" si="276">AB298/AD298*100</f>
        <v>124.4019138755981</v>
      </c>
      <c r="AF298" s="67" t="s">
        <v>141</v>
      </c>
      <c r="AH298" s="66"/>
    </row>
    <row r="299" spans="1:34" s="65" customFormat="1">
      <c r="A299" s="63" t="s">
        <v>296</v>
      </c>
      <c r="B299" s="63" t="s">
        <v>298</v>
      </c>
      <c r="C299" s="62" t="s">
        <v>178</v>
      </c>
      <c r="D299" s="63" t="s">
        <v>304</v>
      </c>
      <c r="E299" s="63" t="s">
        <v>96</v>
      </c>
      <c r="F299" s="63" t="s">
        <v>130</v>
      </c>
      <c r="G299" s="63" t="s">
        <v>128</v>
      </c>
      <c r="H299" s="63"/>
      <c r="I299" s="63"/>
      <c r="J299" s="63"/>
      <c r="K299" s="63"/>
      <c r="L299" s="63" t="s">
        <v>194</v>
      </c>
      <c r="M299" s="63" t="s">
        <v>188</v>
      </c>
      <c r="N299" s="63"/>
      <c r="O299" s="63"/>
      <c r="P299" s="63" t="s">
        <v>194</v>
      </c>
      <c r="Q299" s="63" t="s">
        <v>188</v>
      </c>
      <c r="R299" s="63" t="s">
        <v>249</v>
      </c>
      <c r="S299" s="63" t="s">
        <v>250</v>
      </c>
      <c r="T299" s="63">
        <v>1</v>
      </c>
      <c r="U299" s="63"/>
      <c r="V299" s="63" t="s">
        <v>132</v>
      </c>
      <c r="W299" s="63">
        <v>4</v>
      </c>
      <c r="X299" s="63">
        <v>600000</v>
      </c>
      <c r="Y299" s="63">
        <v>580000</v>
      </c>
      <c r="Z299" s="64">
        <f t="shared" si="274"/>
        <v>103.44827586206897</v>
      </c>
      <c r="AA299" s="63">
        <v>16400000</v>
      </c>
      <c r="AB299" s="63">
        <v>7800000</v>
      </c>
      <c r="AC299" s="64">
        <f t="shared" si="275"/>
        <v>47.560975609756099</v>
      </c>
      <c r="AD299" s="63">
        <v>6380000</v>
      </c>
      <c r="AE299" s="64">
        <f t="shared" si="276"/>
        <v>122.25705329153604</v>
      </c>
      <c r="AF299" s="63" t="s">
        <v>133</v>
      </c>
      <c r="AH299" s="66"/>
    </row>
    <row r="300" spans="1:34" s="65" customFormat="1">
      <c r="A300" s="67" t="s">
        <v>296</v>
      </c>
      <c r="B300" s="67" t="s">
        <v>298</v>
      </c>
      <c r="C300" s="77" t="s">
        <v>178</v>
      </c>
      <c r="D300" s="67" t="s">
        <v>305</v>
      </c>
      <c r="E300" s="67" t="s">
        <v>96</v>
      </c>
      <c r="F300" s="67" t="s">
        <v>130</v>
      </c>
      <c r="G300" s="67" t="s">
        <v>128</v>
      </c>
      <c r="H300" s="67"/>
      <c r="I300" s="67"/>
      <c r="J300" s="67"/>
      <c r="K300" s="67"/>
      <c r="L300" s="67" t="s">
        <v>194</v>
      </c>
      <c r="M300" s="67" t="s">
        <v>188</v>
      </c>
      <c r="N300" s="67"/>
      <c r="O300" s="67"/>
      <c r="P300" s="67" t="s">
        <v>194</v>
      </c>
      <c r="Q300" s="67" t="s">
        <v>188</v>
      </c>
      <c r="R300" s="67" t="s">
        <v>249</v>
      </c>
      <c r="S300" s="67" t="s">
        <v>250</v>
      </c>
      <c r="T300" s="67">
        <v>0</v>
      </c>
      <c r="U300" s="67">
        <v>118003</v>
      </c>
      <c r="V300" s="67" t="s">
        <v>134</v>
      </c>
      <c r="W300" s="67">
        <v>4</v>
      </c>
      <c r="X300" s="67">
        <v>50000</v>
      </c>
      <c r="Y300" s="67">
        <v>45000</v>
      </c>
      <c r="Z300" s="68">
        <f t="shared" si="274"/>
        <v>111.11111111111111</v>
      </c>
      <c r="AA300" s="67">
        <v>1200000</v>
      </c>
      <c r="AB300" s="67">
        <v>650000</v>
      </c>
      <c r="AC300" s="68">
        <f t="shared" si="275"/>
        <v>54.166666666666664</v>
      </c>
      <c r="AD300" s="67">
        <v>495000</v>
      </c>
      <c r="AE300" s="68">
        <f t="shared" si="276"/>
        <v>131.31313131313132</v>
      </c>
      <c r="AF300" s="67" t="s">
        <v>135</v>
      </c>
      <c r="AH300" s="66"/>
    </row>
    <row r="301" spans="1:34" s="65" customFormat="1">
      <c r="A301" s="63" t="s">
        <v>296</v>
      </c>
      <c r="B301" s="63" t="s">
        <v>298</v>
      </c>
      <c r="C301" s="62" t="s">
        <v>178</v>
      </c>
      <c r="D301" s="63" t="s">
        <v>304</v>
      </c>
      <c r="E301" s="63" t="s">
        <v>96</v>
      </c>
      <c r="F301" s="63" t="s">
        <v>130</v>
      </c>
      <c r="G301" s="63" t="s">
        <v>128</v>
      </c>
      <c r="H301" s="63"/>
      <c r="I301" s="63"/>
      <c r="J301" s="63"/>
      <c r="K301" s="63"/>
      <c r="L301" s="63" t="s">
        <v>194</v>
      </c>
      <c r="M301" s="63" t="s">
        <v>188</v>
      </c>
      <c r="N301" s="63"/>
      <c r="O301" s="63"/>
      <c r="P301" s="63" t="s">
        <v>194</v>
      </c>
      <c r="Q301" s="63" t="s">
        <v>188</v>
      </c>
      <c r="R301" s="63" t="s">
        <v>249</v>
      </c>
      <c r="S301" s="63" t="s">
        <v>250</v>
      </c>
      <c r="T301" s="63">
        <v>0</v>
      </c>
      <c r="U301" s="63">
        <v>118004</v>
      </c>
      <c r="V301" s="63" t="s">
        <v>136</v>
      </c>
      <c r="W301" s="63">
        <v>4</v>
      </c>
      <c r="X301" s="63"/>
      <c r="Y301" s="63"/>
      <c r="Z301" s="69" t="s">
        <v>182</v>
      </c>
      <c r="AA301" s="63"/>
      <c r="AB301" s="63"/>
      <c r="AC301" s="69" t="s">
        <v>182</v>
      </c>
      <c r="AD301" s="63"/>
      <c r="AE301" s="69" t="s">
        <v>182</v>
      </c>
      <c r="AF301" s="63" t="s">
        <v>81</v>
      </c>
      <c r="AH301" s="66"/>
    </row>
    <row r="302" spans="1:34" s="65" customFormat="1">
      <c r="A302" s="67" t="s">
        <v>296</v>
      </c>
      <c r="B302" s="67" t="s">
        <v>298</v>
      </c>
      <c r="C302" s="77" t="s">
        <v>178</v>
      </c>
      <c r="D302" s="67" t="s">
        <v>305</v>
      </c>
      <c r="E302" s="67" t="s">
        <v>96</v>
      </c>
      <c r="F302" s="67" t="s">
        <v>130</v>
      </c>
      <c r="G302" s="67" t="s">
        <v>128</v>
      </c>
      <c r="H302" s="67"/>
      <c r="I302" s="67"/>
      <c r="J302" s="67"/>
      <c r="K302" s="67"/>
      <c r="L302" s="67" t="s">
        <v>194</v>
      </c>
      <c r="M302" s="67" t="s">
        <v>188</v>
      </c>
      <c r="N302" s="67"/>
      <c r="O302" s="67"/>
      <c r="P302" s="67" t="s">
        <v>194</v>
      </c>
      <c r="Q302" s="67" t="s">
        <v>188</v>
      </c>
      <c r="R302" s="67" t="s">
        <v>249</v>
      </c>
      <c r="S302" s="67" t="s">
        <v>250</v>
      </c>
      <c r="T302" s="67">
        <v>1</v>
      </c>
      <c r="U302" s="67"/>
      <c r="V302" s="67" t="s">
        <v>138</v>
      </c>
      <c r="W302" s="67">
        <v>4</v>
      </c>
      <c r="X302" s="67">
        <v>50000</v>
      </c>
      <c r="Y302" s="67">
        <v>45000</v>
      </c>
      <c r="Z302" s="68">
        <f t="shared" ref="Z302" si="277">X302/Y302*100</f>
        <v>111.11111111111111</v>
      </c>
      <c r="AA302" s="67">
        <v>1200000</v>
      </c>
      <c r="AB302" s="67">
        <v>650000</v>
      </c>
      <c r="AC302" s="68">
        <f t="shared" ref="AC302" si="278">AB302/AA302*100</f>
        <v>54.166666666666664</v>
      </c>
      <c r="AD302" s="67">
        <v>495000</v>
      </c>
      <c r="AE302" s="68">
        <f t="shared" ref="AE302" si="279">AB302/AD302*100</f>
        <v>131.31313131313132</v>
      </c>
      <c r="AF302" s="67" t="s">
        <v>139</v>
      </c>
      <c r="AH302" s="66"/>
    </row>
    <row r="303" spans="1:34" s="65" customFormat="1">
      <c r="A303" s="63" t="s">
        <v>296</v>
      </c>
      <c r="B303" s="63" t="s">
        <v>298</v>
      </c>
      <c r="C303" s="62" t="s">
        <v>178</v>
      </c>
      <c r="D303" s="63" t="s">
        <v>304</v>
      </c>
      <c r="E303" s="63" t="s">
        <v>96</v>
      </c>
      <c r="F303" s="63" t="s">
        <v>130</v>
      </c>
      <c r="G303" s="63" t="s">
        <v>128</v>
      </c>
      <c r="H303" s="62"/>
      <c r="I303" s="63"/>
      <c r="J303" s="62"/>
      <c r="K303" s="63"/>
      <c r="L303" s="63" t="s">
        <v>194</v>
      </c>
      <c r="M303" s="63" t="s">
        <v>188</v>
      </c>
      <c r="N303" s="62"/>
      <c r="O303" s="63"/>
      <c r="P303" s="62" t="s">
        <v>220</v>
      </c>
      <c r="Q303" s="63" t="s">
        <v>214</v>
      </c>
      <c r="R303" s="62" t="s">
        <v>76</v>
      </c>
      <c r="S303" s="63" t="s">
        <v>251</v>
      </c>
      <c r="T303" s="63">
        <v>0</v>
      </c>
      <c r="U303" s="63">
        <v>118001</v>
      </c>
      <c r="V303" s="63" t="s">
        <v>129</v>
      </c>
      <c r="W303" s="63">
        <v>4</v>
      </c>
      <c r="X303" s="63">
        <v>400000</v>
      </c>
      <c r="Y303" s="63">
        <v>390000</v>
      </c>
      <c r="Z303" s="64">
        <f>X303/Y303*100</f>
        <v>102.56410256410255</v>
      </c>
      <c r="AA303" s="63">
        <v>11600000</v>
      </c>
      <c r="AB303" s="63">
        <v>5200000</v>
      </c>
      <c r="AC303" s="64">
        <f>AB303/AA303*100</f>
        <v>44.827586206896555</v>
      </c>
      <c r="AD303" s="63">
        <v>4290000</v>
      </c>
      <c r="AE303" s="64">
        <f>AB303/AD303*100</f>
        <v>121.21212121212122</v>
      </c>
      <c r="AF303" s="63" t="s">
        <v>75</v>
      </c>
      <c r="AH303" s="66"/>
    </row>
    <row r="304" spans="1:34" s="65" customFormat="1">
      <c r="A304" s="67" t="s">
        <v>296</v>
      </c>
      <c r="B304" s="67" t="s">
        <v>298</v>
      </c>
      <c r="C304" s="77" t="s">
        <v>178</v>
      </c>
      <c r="D304" s="67" t="s">
        <v>305</v>
      </c>
      <c r="E304" s="67" t="s">
        <v>96</v>
      </c>
      <c r="F304" s="67" t="s">
        <v>130</v>
      </c>
      <c r="G304" s="67" t="s">
        <v>128</v>
      </c>
      <c r="H304" s="67"/>
      <c r="I304" s="67"/>
      <c r="J304" s="67"/>
      <c r="K304" s="67"/>
      <c r="L304" s="67" t="s">
        <v>194</v>
      </c>
      <c r="M304" s="67" t="s">
        <v>188</v>
      </c>
      <c r="N304" s="67"/>
      <c r="O304" s="67"/>
      <c r="P304" s="67" t="s">
        <v>219</v>
      </c>
      <c r="Q304" s="67" t="s">
        <v>213</v>
      </c>
      <c r="R304" s="67" t="s">
        <v>76</v>
      </c>
      <c r="S304" s="67" t="s">
        <v>251</v>
      </c>
      <c r="T304" s="67">
        <v>0</v>
      </c>
      <c r="U304" s="67">
        <v>118002</v>
      </c>
      <c r="V304" s="67" t="s">
        <v>131</v>
      </c>
      <c r="W304" s="67">
        <v>4</v>
      </c>
      <c r="X304" s="67">
        <v>200000</v>
      </c>
      <c r="Y304" s="67">
        <v>190000</v>
      </c>
      <c r="Z304" s="68">
        <f t="shared" ref="Z304:Z306" si="280">X304/Y304*100</f>
        <v>105.26315789473684</v>
      </c>
      <c r="AA304" s="67">
        <v>4800000</v>
      </c>
      <c r="AB304" s="67">
        <v>2600000</v>
      </c>
      <c r="AC304" s="68">
        <f t="shared" ref="AC304:AC306" si="281">AB304/AA304*100</f>
        <v>54.166666666666664</v>
      </c>
      <c r="AD304" s="67">
        <v>2090000</v>
      </c>
      <c r="AE304" s="68">
        <f t="shared" ref="AE304:AE306" si="282">AB304/AD304*100</f>
        <v>124.4019138755981</v>
      </c>
      <c r="AF304" s="67" t="s">
        <v>141</v>
      </c>
      <c r="AH304" s="66"/>
    </row>
    <row r="305" spans="1:34" s="65" customFormat="1">
      <c r="A305" s="63" t="s">
        <v>296</v>
      </c>
      <c r="B305" s="63" t="s">
        <v>298</v>
      </c>
      <c r="C305" s="62" t="s">
        <v>178</v>
      </c>
      <c r="D305" s="63" t="s">
        <v>304</v>
      </c>
      <c r="E305" s="63" t="s">
        <v>96</v>
      </c>
      <c r="F305" s="63" t="s">
        <v>130</v>
      </c>
      <c r="G305" s="63" t="s">
        <v>128</v>
      </c>
      <c r="H305" s="63"/>
      <c r="I305" s="63"/>
      <c r="J305" s="63"/>
      <c r="K305" s="63"/>
      <c r="L305" s="63" t="s">
        <v>194</v>
      </c>
      <c r="M305" s="63" t="s">
        <v>188</v>
      </c>
      <c r="N305" s="63"/>
      <c r="O305" s="63"/>
      <c r="P305" s="63" t="s">
        <v>219</v>
      </c>
      <c r="Q305" s="63" t="s">
        <v>213</v>
      </c>
      <c r="R305" s="63" t="s">
        <v>76</v>
      </c>
      <c r="S305" s="63" t="s">
        <v>251</v>
      </c>
      <c r="T305" s="63">
        <v>1</v>
      </c>
      <c r="U305" s="63"/>
      <c r="V305" s="63" t="s">
        <v>132</v>
      </c>
      <c r="W305" s="63">
        <v>4</v>
      </c>
      <c r="X305" s="63">
        <v>600000</v>
      </c>
      <c r="Y305" s="63">
        <v>580000</v>
      </c>
      <c r="Z305" s="64">
        <f t="shared" si="280"/>
        <v>103.44827586206897</v>
      </c>
      <c r="AA305" s="63">
        <v>16400000</v>
      </c>
      <c r="AB305" s="63">
        <v>7800000</v>
      </c>
      <c r="AC305" s="64">
        <f t="shared" si="281"/>
        <v>47.560975609756099</v>
      </c>
      <c r="AD305" s="63">
        <v>6380000</v>
      </c>
      <c r="AE305" s="64">
        <f t="shared" si="282"/>
        <v>122.25705329153604</v>
      </c>
      <c r="AF305" s="63" t="s">
        <v>133</v>
      </c>
      <c r="AH305" s="66"/>
    </row>
    <row r="306" spans="1:34" s="65" customFormat="1">
      <c r="A306" s="67" t="s">
        <v>296</v>
      </c>
      <c r="B306" s="67" t="s">
        <v>298</v>
      </c>
      <c r="C306" s="77" t="s">
        <v>178</v>
      </c>
      <c r="D306" s="67" t="s">
        <v>305</v>
      </c>
      <c r="E306" s="67" t="s">
        <v>96</v>
      </c>
      <c r="F306" s="67" t="s">
        <v>130</v>
      </c>
      <c r="G306" s="67" t="s">
        <v>128</v>
      </c>
      <c r="H306" s="67"/>
      <c r="I306" s="67"/>
      <c r="J306" s="67"/>
      <c r="K306" s="67"/>
      <c r="L306" s="67" t="s">
        <v>194</v>
      </c>
      <c r="M306" s="67" t="s">
        <v>188</v>
      </c>
      <c r="N306" s="67"/>
      <c r="O306" s="67"/>
      <c r="P306" s="67" t="s">
        <v>219</v>
      </c>
      <c r="Q306" s="67" t="s">
        <v>213</v>
      </c>
      <c r="R306" s="67" t="s">
        <v>76</v>
      </c>
      <c r="S306" s="67" t="s">
        <v>251</v>
      </c>
      <c r="T306" s="67">
        <v>0</v>
      </c>
      <c r="U306" s="67">
        <v>118003</v>
      </c>
      <c r="V306" s="67" t="s">
        <v>134</v>
      </c>
      <c r="W306" s="67">
        <v>4</v>
      </c>
      <c r="X306" s="67">
        <v>50000</v>
      </c>
      <c r="Y306" s="67">
        <v>45000</v>
      </c>
      <c r="Z306" s="68">
        <f t="shared" si="280"/>
        <v>111.11111111111111</v>
      </c>
      <c r="AA306" s="67">
        <v>1200000</v>
      </c>
      <c r="AB306" s="67">
        <v>650000</v>
      </c>
      <c r="AC306" s="68">
        <f t="shared" si="281"/>
        <v>54.166666666666664</v>
      </c>
      <c r="AD306" s="67">
        <v>495000</v>
      </c>
      <c r="AE306" s="68">
        <f t="shared" si="282"/>
        <v>131.31313131313132</v>
      </c>
      <c r="AF306" s="67" t="s">
        <v>135</v>
      </c>
      <c r="AH306" s="66"/>
    </row>
    <row r="307" spans="1:34" s="65" customFormat="1">
      <c r="A307" s="63" t="s">
        <v>296</v>
      </c>
      <c r="B307" s="63" t="s">
        <v>298</v>
      </c>
      <c r="C307" s="62" t="s">
        <v>178</v>
      </c>
      <c r="D307" s="63" t="s">
        <v>304</v>
      </c>
      <c r="E307" s="63" t="s">
        <v>96</v>
      </c>
      <c r="F307" s="63" t="s">
        <v>130</v>
      </c>
      <c r="G307" s="63" t="s">
        <v>128</v>
      </c>
      <c r="H307" s="63"/>
      <c r="I307" s="63"/>
      <c r="J307" s="63"/>
      <c r="K307" s="63"/>
      <c r="L307" s="63" t="s">
        <v>194</v>
      </c>
      <c r="M307" s="63" t="s">
        <v>188</v>
      </c>
      <c r="N307" s="63"/>
      <c r="O307" s="63"/>
      <c r="P307" s="63" t="s">
        <v>219</v>
      </c>
      <c r="Q307" s="63" t="s">
        <v>213</v>
      </c>
      <c r="R307" s="63" t="s">
        <v>76</v>
      </c>
      <c r="S307" s="63" t="s">
        <v>251</v>
      </c>
      <c r="T307" s="63">
        <v>0</v>
      </c>
      <c r="U307" s="63">
        <v>118004</v>
      </c>
      <c r="V307" s="63" t="s">
        <v>136</v>
      </c>
      <c r="W307" s="63">
        <v>4</v>
      </c>
      <c r="X307" s="63"/>
      <c r="Y307" s="63"/>
      <c r="Z307" s="69" t="s">
        <v>182</v>
      </c>
      <c r="AA307" s="63"/>
      <c r="AB307" s="63"/>
      <c r="AC307" s="69" t="s">
        <v>182</v>
      </c>
      <c r="AD307" s="63"/>
      <c r="AE307" s="69" t="s">
        <v>182</v>
      </c>
      <c r="AF307" s="63" t="s">
        <v>81</v>
      </c>
      <c r="AH307" s="66"/>
    </row>
    <row r="308" spans="1:34" s="65" customFormat="1">
      <c r="A308" s="67" t="s">
        <v>296</v>
      </c>
      <c r="B308" s="67" t="s">
        <v>298</v>
      </c>
      <c r="C308" s="77" t="s">
        <v>178</v>
      </c>
      <c r="D308" s="67" t="s">
        <v>305</v>
      </c>
      <c r="E308" s="67" t="s">
        <v>96</v>
      </c>
      <c r="F308" s="67" t="s">
        <v>130</v>
      </c>
      <c r="G308" s="67" t="s">
        <v>128</v>
      </c>
      <c r="H308" s="67"/>
      <c r="I308" s="67"/>
      <c r="J308" s="67"/>
      <c r="K308" s="67"/>
      <c r="L308" s="67" t="s">
        <v>194</v>
      </c>
      <c r="M308" s="67" t="s">
        <v>188</v>
      </c>
      <c r="N308" s="67"/>
      <c r="O308" s="67"/>
      <c r="P308" s="67" t="s">
        <v>219</v>
      </c>
      <c r="Q308" s="67" t="s">
        <v>213</v>
      </c>
      <c r="R308" s="67" t="s">
        <v>76</v>
      </c>
      <c r="S308" s="67" t="s">
        <v>251</v>
      </c>
      <c r="T308" s="67">
        <v>1</v>
      </c>
      <c r="U308" s="67"/>
      <c r="V308" s="67" t="s">
        <v>138</v>
      </c>
      <c r="W308" s="67">
        <v>4</v>
      </c>
      <c r="X308" s="67">
        <v>50000</v>
      </c>
      <c r="Y308" s="67">
        <v>45000</v>
      </c>
      <c r="Z308" s="68">
        <f t="shared" ref="Z308" si="283">X308/Y308*100</f>
        <v>111.11111111111111</v>
      </c>
      <c r="AA308" s="67">
        <v>1200000</v>
      </c>
      <c r="AB308" s="67">
        <v>650000</v>
      </c>
      <c r="AC308" s="68">
        <f t="shared" ref="AC308" si="284">AB308/AA308*100</f>
        <v>54.166666666666664</v>
      </c>
      <c r="AD308" s="67">
        <v>495000</v>
      </c>
      <c r="AE308" s="68">
        <f t="shared" ref="AE308" si="285">AB308/AD308*100</f>
        <v>131.31313131313132</v>
      </c>
      <c r="AF308" s="67" t="s">
        <v>139</v>
      </c>
      <c r="AH308" s="66"/>
    </row>
    <row r="309" spans="1:34" s="65" customFormat="1">
      <c r="A309" s="63" t="s">
        <v>296</v>
      </c>
      <c r="B309" s="63" t="s">
        <v>298</v>
      </c>
      <c r="C309" s="62" t="s">
        <v>178</v>
      </c>
      <c r="D309" s="63" t="s">
        <v>304</v>
      </c>
      <c r="E309" s="63" t="s">
        <v>96</v>
      </c>
      <c r="F309" s="63" t="s">
        <v>130</v>
      </c>
      <c r="G309" s="63" t="s">
        <v>128</v>
      </c>
      <c r="H309" s="62"/>
      <c r="I309" s="63"/>
      <c r="J309" s="62"/>
      <c r="K309" s="63"/>
      <c r="L309" s="63" t="s">
        <v>194</v>
      </c>
      <c r="M309" s="63" t="s">
        <v>188</v>
      </c>
      <c r="N309" s="62"/>
      <c r="O309" s="63"/>
      <c r="P309" s="62" t="s">
        <v>222</v>
      </c>
      <c r="Q309" s="63" t="s">
        <v>216</v>
      </c>
      <c r="R309" s="62" t="s">
        <v>249</v>
      </c>
      <c r="S309" s="63" t="s">
        <v>250</v>
      </c>
      <c r="T309" s="63">
        <v>0</v>
      </c>
      <c r="U309" s="63">
        <v>118001</v>
      </c>
      <c r="V309" s="63" t="s">
        <v>129</v>
      </c>
      <c r="W309" s="63">
        <v>4</v>
      </c>
      <c r="X309" s="63">
        <v>400000</v>
      </c>
      <c r="Y309" s="63">
        <v>390000</v>
      </c>
      <c r="Z309" s="64">
        <f>X309/Y309*100</f>
        <v>102.56410256410255</v>
      </c>
      <c r="AA309" s="63">
        <v>11600000</v>
      </c>
      <c r="AB309" s="63">
        <v>5200000</v>
      </c>
      <c r="AC309" s="64">
        <f>AB309/AA309*100</f>
        <v>44.827586206896555</v>
      </c>
      <c r="AD309" s="63">
        <v>4290000</v>
      </c>
      <c r="AE309" s="64">
        <f>AB309/AD309*100</f>
        <v>121.21212121212122</v>
      </c>
      <c r="AF309" s="63" t="s">
        <v>75</v>
      </c>
      <c r="AH309" s="66"/>
    </row>
    <row r="310" spans="1:34" s="65" customFormat="1">
      <c r="A310" s="67" t="s">
        <v>296</v>
      </c>
      <c r="B310" s="67" t="s">
        <v>298</v>
      </c>
      <c r="C310" s="77" t="s">
        <v>178</v>
      </c>
      <c r="D310" s="67" t="s">
        <v>305</v>
      </c>
      <c r="E310" s="67" t="s">
        <v>96</v>
      </c>
      <c r="F310" s="67" t="s">
        <v>130</v>
      </c>
      <c r="G310" s="67" t="s">
        <v>128</v>
      </c>
      <c r="H310" s="67"/>
      <c r="I310" s="67"/>
      <c r="J310" s="67"/>
      <c r="K310" s="67"/>
      <c r="L310" s="67" t="s">
        <v>194</v>
      </c>
      <c r="M310" s="67" t="s">
        <v>188</v>
      </c>
      <c r="N310" s="67"/>
      <c r="O310" s="67"/>
      <c r="P310" s="67" t="s">
        <v>221</v>
      </c>
      <c r="Q310" s="67" t="s">
        <v>215</v>
      </c>
      <c r="R310" s="67" t="s">
        <v>249</v>
      </c>
      <c r="S310" s="67" t="s">
        <v>250</v>
      </c>
      <c r="T310" s="67">
        <v>0</v>
      </c>
      <c r="U310" s="67">
        <v>118002</v>
      </c>
      <c r="V310" s="67" t="s">
        <v>131</v>
      </c>
      <c r="W310" s="67">
        <v>4</v>
      </c>
      <c r="X310" s="67">
        <v>200000</v>
      </c>
      <c r="Y310" s="67">
        <v>190000</v>
      </c>
      <c r="Z310" s="68">
        <f t="shared" ref="Z310:Z312" si="286">X310/Y310*100</f>
        <v>105.26315789473684</v>
      </c>
      <c r="AA310" s="67">
        <v>4800000</v>
      </c>
      <c r="AB310" s="67">
        <v>2600000</v>
      </c>
      <c r="AC310" s="68">
        <f t="shared" ref="AC310:AC312" si="287">AB310/AA310*100</f>
        <v>54.166666666666664</v>
      </c>
      <c r="AD310" s="67">
        <v>2090000</v>
      </c>
      <c r="AE310" s="68">
        <f t="shared" ref="AE310:AE312" si="288">AB310/AD310*100</f>
        <v>124.4019138755981</v>
      </c>
      <c r="AF310" s="67" t="s">
        <v>141</v>
      </c>
      <c r="AH310" s="66"/>
    </row>
    <row r="311" spans="1:34" s="65" customFormat="1">
      <c r="A311" s="63" t="s">
        <v>296</v>
      </c>
      <c r="B311" s="63" t="s">
        <v>298</v>
      </c>
      <c r="C311" s="62" t="s">
        <v>178</v>
      </c>
      <c r="D311" s="63" t="s">
        <v>304</v>
      </c>
      <c r="E311" s="63" t="s">
        <v>96</v>
      </c>
      <c r="F311" s="63" t="s">
        <v>130</v>
      </c>
      <c r="G311" s="63" t="s">
        <v>128</v>
      </c>
      <c r="H311" s="63"/>
      <c r="I311" s="63"/>
      <c r="J311" s="63"/>
      <c r="K311" s="63"/>
      <c r="L311" s="63" t="s">
        <v>194</v>
      </c>
      <c r="M311" s="63" t="s">
        <v>188</v>
      </c>
      <c r="N311" s="63"/>
      <c r="O311" s="63"/>
      <c r="P311" s="63" t="s">
        <v>221</v>
      </c>
      <c r="Q311" s="63" t="s">
        <v>215</v>
      </c>
      <c r="R311" s="63" t="s">
        <v>249</v>
      </c>
      <c r="S311" s="63" t="s">
        <v>250</v>
      </c>
      <c r="T311" s="63">
        <v>1</v>
      </c>
      <c r="U311" s="63"/>
      <c r="V311" s="63" t="s">
        <v>132</v>
      </c>
      <c r="W311" s="63">
        <v>4</v>
      </c>
      <c r="X311" s="63">
        <v>600000</v>
      </c>
      <c r="Y311" s="63">
        <v>580000</v>
      </c>
      <c r="Z311" s="64">
        <f t="shared" si="286"/>
        <v>103.44827586206897</v>
      </c>
      <c r="AA311" s="63">
        <v>16400000</v>
      </c>
      <c r="AB311" s="63">
        <v>7800000</v>
      </c>
      <c r="AC311" s="64">
        <f t="shared" si="287"/>
        <v>47.560975609756099</v>
      </c>
      <c r="AD311" s="63">
        <v>6380000</v>
      </c>
      <c r="AE311" s="64">
        <f t="shared" si="288"/>
        <v>122.25705329153604</v>
      </c>
      <c r="AF311" s="63" t="s">
        <v>133</v>
      </c>
      <c r="AH311" s="66"/>
    </row>
    <row r="312" spans="1:34" s="65" customFormat="1">
      <c r="A312" s="67" t="s">
        <v>296</v>
      </c>
      <c r="B312" s="67" t="s">
        <v>298</v>
      </c>
      <c r="C312" s="77" t="s">
        <v>178</v>
      </c>
      <c r="D312" s="67" t="s">
        <v>305</v>
      </c>
      <c r="E312" s="67" t="s">
        <v>96</v>
      </c>
      <c r="F312" s="67" t="s">
        <v>130</v>
      </c>
      <c r="G312" s="67" t="s">
        <v>128</v>
      </c>
      <c r="H312" s="67"/>
      <c r="I312" s="67"/>
      <c r="J312" s="67"/>
      <c r="K312" s="67"/>
      <c r="L312" s="67" t="s">
        <v>194</v>
      </c>
      <c r="M312" s="67" t="s">
        <v>188</v>
      </c>
      <c r="N312" s="67"/>
      <c r="O312" s="67"/>
      <c r="P312" s="67" t="s">
        <v>221</v>
      </c>
      <c r="Q312" s="67" t="s">
        <v>215</v>
      </c>
      <c r="R312" s="67" t="s">
        <v>249</v>
      </c>
      <c r="S312" s="67" t="s">
        <v>250</v>
      </c>
      <c r="T312" s="67">
        <v>0</v>
      </c>
      <c r="U312" s="67">
        <v>118003</v>
      </c>
      <c r="V312" s="67" t="s">
        <v>134</v>
      </c>
      <c r="W312" s="67">
        <v>4</v>
      </c>
      <c r="X312" s="67">
        <v>50000</v>
      </c>
      <c r="Y312" s="67">
        <v>45000</v>
      </c>
      <c r="Z312" s="68">
        <f t="shared" si="286"/>
        <v>111.11111111111111</v>
      </c>
      <c r="AA312" s="67">
        <v>1200000</v>
      </c>
      <c r="AB312" s="67">
        <v>650000</v>
      </c>
      <c r="AC312" s="68">
        <f t="shared" si="287"/>
        <v>54.166666666666664</v>
      </c>
      <c r="AD312" s="67">
        <v>495000</v>
      </c>
      <c r="AE312" s="68">
        <f t="shared" si="288"/>
        <v>131.31313131313132</v>
      </c>
      <c r="AF312" s="67" t="s">
        <v>135</v>
      </c>
      <c r="AH312" s="66"/>
    </row>
    <row r="313" spans="1:34" s="65" customFormat="1">
      <c r="A313" s="63" t="s">
        <v>296</v>
      </c>
      <c r="B313" s="63" t="s">
        <v>298</v>
      </c>
      <c r="C313" s="62" t="s">
        <v>178</v>
      </c>
      <c r="D313" s="63" t="s">
        <v>304</v>
      </c>
      <c r="E313" s="63" t="s">
        <v>96</v>
      </c>
      <c r="F313" s="63" t="s">
        <v>130</v>
      </c>
      <c r="G313" s="63" t="s">
        <v>128</v>
      </c>
      <c r="H313" s="63"/>
      <c r="I313" s="63"/>
      <c r="J313" s="63"/>
      <c r="K313" s="63"/>
      <c r="L313" s="63" t="s">
        <v>194</v>
      </c>
      <c r="M313" s="63" t="s">
        <v>188</v>
      </c>
      <c r="N313" s="63"/>
      <c r="O313" s="63"/>
      <c r="P313" s="63" t="s">
        <v>221</v>
      </c>
      <c r="Q313" s="63" t="s">
        <v>215</v>
      </c>
      <c r="R313" s="63" t="s">
        <v>249</v>
      </c>
      <c r="S313" s="63" t="s">
        <v>250</v>
      </c>
      <c r="T313" s="63">
        <v>0</v>
      </c>
      <c r="U313" s="63">
        <v>118004</v>
      </c>
      <c r="V313" s="63" t="s">
        <v>136</v>
      </c>
      <c r="W313" s="63">
        <v>4</v>
      </c>
      <c r="X313" s="63"/>
      <c r="Y313" s="63"/>
      <c r="Z313" s="69" t="s">
        <v>182</v>
      </c>
      <c r="AA313" s="63"/>
      <c r="AB313" s="63"/>
      <c r="AC313" s="69" t="s">
        <v>182</v>
      </c>
      <c r="AD313" s="63"/>
      <c r="AE313" s="69" t="s">
        <v>182</v>
      </c>
      <c r="AF313" s="63" t="s">
        <v>81</v>
      </c>
      <c r="AH313" s="66"/>
    </row>
    <row r="314" spans="1:34" s="65" customFormat="1">
      <c r="A314" s="67" t="s">
        <v>296</v>
      </c>
      <c r="B314" s="67" t="s">
        <v>298</v>
      </c>
      <c r="C314" s="77" t="s">
        <v>178</v>
      </c>
      <c r="D314" s="67" t="s">
        <v>305</v>
      </c>
      <c r="E314" s="67" t="s">
        <v>96</v>
      </c>
      <c r="F314" s="67" t="s">
        <v>130</v>
      </c>
      <c r="G314" s="67" t="s">
        <v>128</v>
      </c>
      <c r="H314" s="67"/>
      <c r="I314" s="67"/>
      <c r="J314" s="67"/>
      <c r="K314" s="67"/>
      <c r="L314" s="67" t="s">
        <v>194</v>
      </c>
      <c r="M314" s="67" t="s">
        <v>188</v>
      </c>
      <c r="N314" s="67"/>
      <c r="O314" s="67"/>
      <c r="P314" s="67" t="s">
        <v>221</v>
      </c>
      <c r="Q314" s="67" t="s">
        <v>215</v>
      </c>
      <c r="R314" s="67" t="s">
        <v>249</v>
      </c>
      <c r="S314" s="67" t="s">
        <v>250</v>
      </c>
      <c r="T314" s="67">
        <v>1</v>
      </c>
      <c r="U314" s="67"/>
      <c r="V314" s="67" t="s">
        <v>138</v>
      </c>
      <c r="W314" s="67">
        <v>4</v>
      </c>
      <c r="X314" s="67">
        <v>50000</v>
      </c>
      <c r="Y314" s="67">
        <v>45000</v>
      </c>
      <c r="Z314" s="68">
        <f t="shared" ref="Z314" si="289">X314/Y314*100</f>
        <v>111.11111111111111</v>
      </c>
      <c r="AA314" s="67">
        <v>1200000</v>
      </c>
      <c r="AB314" s="67">
        <v>650000</v>
      </c>
      <c r="AC314" s="68">
        <f t="shared" ref="AC314" si="290">AB314/AA314*100</f>
        <v>54.166666666666664</v>
      </c>
      <c r="AD314" s="67">
        <v>495000</v>
      </c>
      <c r="AE314" s="68">
        <f t="shared" ref="AE314" si="291">AB314/AD314*100</f>
        <v>131.31313131313132</v>
      </c>
      <c r="AF314" s="67" t="s">
        <v>139</v>
      </c>
      <c r="AH314" s="66"/>
    </row>
    <row r="315" spans="1:34" s="65" customFormat="1">
      <c r="A315" s="63" t="s">
        <v>296</v>
      </c>
      <c r="B315" s="63" t="s">
        <v>298</v>
      </c>
      <c r="C315" s="62" t="s">
        <v>178</v>
      </c>
      <c r="D315" s="63" t="s">
        <v>304</v>
      </c>
      <c r="E315" s="63" t="s">
        <v>96</v>
      </c>
      <c r="F315" s="63" t="s">
        <v>130</v>
      </c>
      <c r="G315" s="63" t="s">
        <v>128</v>
      </c>
      <c r="H315" s="62"/>
      <c r="I315" s="63"/>
      <c r="J315" s="62"/>
      <c r="K315" s="63"/>
      <c r="L315" s="63" t="s">
        <v>193</v>
      </c>
      <c r="M315" s="63" t="s">
        <v>187</v>
      </c>
      <c r="N315" s="62" t="s">
        <v>212</v>
      </c>
      <c r="O315" s="63" t="s">
        <v>210</v>
      </c>
      <c r="P315" s="62" t="s">
        <v>212</v>
      </c>
      <c r="Q315" s="63" t="s">
        <v>210</v>
      </c>
      <c r="R315" s="62" t="s">
        <v>255</v>
      </c>
      <c r="S315" s="63" t="s">
        <v>256</v>
      </c>
      <c r="T315" s="63">
        <v>0</v>
      </c>
      <c r="U315" s="63">
        <v>118001</v>
      </c>
      <c r="V315" s="63" t="s">
        <v>129</v>
      </c>
      <c r="W315" s="63">
        <v>4</v>
      </c>
      <c r="X315" s="63">
        <v>400000</v>
      </c>
      <c r="Y315" s="63">
        <v>390000</v>
      </c>
      <c r="Z315" s="64">
        <f>X315/Y315*100</f>
        <v>102.56410256410255</v>
      </c>
      <c r="AA315" s="63">
        <v>11600000</v>
      </c>
      <c r="AB315" s="63">
        <v>5200000</v>
      </c>
      <c r="AC315" s="64">
        <f>AB315/AA315*100</f>
        <v>44.827586206896555</v>
      </c>
      <c r="AD315" s="63">
        <v>4290000</v>
      </c>
      <c r="AE315" s="64">
        <f>AB315/AD315*100</f>
        <v>121.21212121212122</v>
      </c>
      <c r="AF315" s="62" t="s">
        <v>75</v>
      </c>
      <c r="AH315" s="66"/>
    </row>
    <row r="316" spans="1:34" s="65" customFormat="1">
      <c r="A316" s="67" t="s">
        <v>296</v>
      </c>
      <c r="B316" s="67" t="s">
        <v>298</v>
      </c>
      <c r="C316" s="67" t="s">
        <v>178</v>
      </c>
      <c r="D316" s="67" t="s">
        <v>305</v>
      </c>
      <c r="E316" s="67" t="s">
        <v>96</v>
      </c>
      <c r="F316" s="67" t="s">
        <v>130</v>
      </c>
      <c r="G316" s="67" t="s">
        <v>128</v>
      </c>
      <c r="H316" s="67"/>
      <c r="I316" s="67"/>
      <c r="J316" s="67"/>
      <c r="K316" s="67"/>
      <c r="L316" s="67" t="s">
        <v>193</v>
      </c>
      <c r="M316" s="67" t="s">
        <v>187</v>
      </c>
      <c r="N316" s="67" t="s">
        <v>211</v>
      </c>
      <c r="O316" s="67" t="s">
        <v>209</v>
      </c>
      <c r="P316" s="67" t="s">
        <v>211</v>
      </c>
      <c r="Q316" s="67" t="s">
        <v>209</v>
      </c>
      <c r="R316" s="67" t="s">
        <v>255</v>
      </c>
      <c r="S316" s="67" t="s">
        <v>257</v>
      </c>
      <c r="T316" s="67">
        <v>0</v>
      </c>
      <c r="U316" s="67">
        <v>118002</v>
      </c>
      <c r="V316" s="67" t="s">
        <v>131</v>
      </c>
      <c r="W316" s="67">
        <v>4</v>
      </c>
      <c r="X316" s="67">
        <v>200000</v>
      </c>
      <c r="Y316" s="67">
        <v>190000</v>
      </c>
      <c r="Z316" s="68">
        <f t="shared" ref="Z316:Z318" si="292">X316/Y316*100</f>
        <v>105.26315789473684</v>
      </c>
      <c r="AA316" s="67">
        <v>4800000</v>
      </c>
      <c r="AB316" s="67">
        <v>2600000</v>
      </c>
      <c r="AC316" s="68">
        <f t="shared" ref="AC316:AC318" si="293">AB316/AA316*100</f>
        <v>54.166666666666664</v>
      </c>
      <c r="AD316" s="67">
        <v>2090000</v>
      </c>
      <c r="AE316" s="68">
        <f t="shared" ref="AE316:AE318" si="294">AB316/AD316*100</f>
        <v>124.4019138755981</v>
      </c>
      <c r="AF316" s="77" t="s">
        <v>141</v>
      </c>
      <c r="AH316" s="66"/>
    </row>
    <row r="317" spans="1:34" s="65" customFormat="1">
      <c r="A317" s="63" t="s">
        <v>296</v>
      </c>
      <c r="B317" s="63" t="s">
        <v>298</v>
      </c>
      <c r="C317" s="62" t="s">
        <v>178</v>
      </c>
      <c r="D317" s="63" t="s">
        <v>304</v>
      </c>
      <c r="E317" s="63" t="s">
        <v>96</v>
      </c>
      <c r="F317" s="63" t="s">
        <v>130</v>
      </c>
      <c r="G317" s="63" t="s">
        <v>128</v>
      </c>
      <c r="H317" s="63"/>
      <c r="I317" s="63"/>
      <c r="J317" s="63"/>
      <c r="K317" s="63"/>
      <c r="L317" s="63" t="s">
        <v>193</v>
      </c>
      <c r="M317" s="63" t="s">
        <v>187</v>
      </c>
      <c r="N317" s="62" t="s">
        <v>211</v>
      </c>
      <c r="O317" s="63" t="s">
        <v>210</v>
      </c>
      <c r="P317" s="62" t="s">
        <v>211</v>
      </c>
      <c r="Q317" s="63" t="s">
        <v>210</v>
      </c>
      <c r="R317" s="63" t="s">
        <v>255</v>
      </c>
      <c r="S317" s="63" t="s">
        <v>256</v>
      </c>
      <c r="T317" s="63">
        <v>1</v>
      </c>
      <c r="U317" s="63"/>
      <c r="V317" s="63" t="s">
        <v>132</v>
      </c>
      <c r="W317" s="63">
        <v>4</v>
      </c>
      <c r="X317" s="63">
        <v>600000</v>
      </c>
      <c r="Y317" s="63">
        <v>580000</v>
      </c>
      <c r="Z317" s="64">
        <f t="shared" si="292"/>
        <v>103.44827586206897</v>
      </c>
      <c r="AA317" s="63">
        <v>16400000</v>
      </c>
      <c r="AB317" s="63">
        <v>7800000</v>
      </c>
      <c r="AC317" s="64">
        <f t="shared" si="293"/>
        <v>47.560975609756099</v>
      </c>
      <c r="AD317" s="63">
        <v>6380000</v>
      </c>
      <c r="AE317" s="64">
        <f t="shared" si="294"/>
        <v>122.25705329153604</v>
      </c>
      <c r="AF317" s="62" t="s">
        <v>316</v>
      </c>
      <c r="AH317" s="66"/>
    </row>
    <row r="318" spans="1:34" s="65" customFormat="1">
      <c r="A318" s="67" t="s">
        <v>296</v>
      </c>
      <c r="B318" s="67" t="s">
        <v>298</v>
      </c>
      <c r="C318" s="67" t="s">
        <v>178</v>
      </c>
      <c r="D318" s="67" t="s">
        <v>305</v>
      </c>
      <c r="E318" s="67" t="s">
        <v>96</v>
      </c>
      <c r="F318" s="67" t="s">
        <v>130</v>
      </c>
      <c r="G318" s="67" t="s">
        <v>128</v>
      </c>
      <c r="H318" s="67"/>
      <c r="I318" s="67"/>
      <c r="J318" s="67"/>
      <c r="K318" s="67"/>
      <c r="L318" s="67" t="s">
        <v>193</v>
      </c>
      <c r="M318" s="67" t="s">
        <v>187</v>
      </c>
      <c r="N318" s="67" t="s">
        <v>211</v>
      </c>
      <c r="O318" s="67" t="s">
        <v>209</v>
      </c>
      <c r="P318" s="67" t="s">
        <v>211</v>
      </c>
      <c r="Q318" s="67" t="s">
        <v>209</v>
      </c>
      <c r="R318" s="67" t="s">
        <v>255</v>
      </c>
      <c r="S318" s="67" t="s">
        <v>256</v>
      </c>
      <c r="T318" s="67">
        <v>0</v>
      </c>
      <c r="U318" s="67">
        <v>118003</v>
      </c>
      <c r="V318" s="67" t="s">
        <v>134</v>
      </c>
      <c r="W318" s="67">
        <v>4</v>
      </c>
      <c r="X318" s="67">
        <v>50000</v>
      </c>
      <c r="Y318" s="67">
        <v>45000</v>
      </c>
      <c r="Z318" s="68">
        <f t="shared" si="292"/>
        <v>111.11111111111111</v>
      </c>
      <c r="AA318" s="67">
        <v>1200000</v>
      </c>
      <c r="AB318" s="67">
        <v>650000</v>
      </c>
      <c r="AC318" s="68">
        <f t="shared" si="293"/>
        <v>54.166666666666664</v>
      </c>
      <c r="AD318" s="67">
        <v>495000</v>
      </c>
      <c r="AE318" s="68">
        <f t="shared" si="294"/>
        <v>131.31313131313132</v>
      </c>
      <c r="AF318" s="77" t="s">
        <v>82</v>
      </c>
      <c r="AH318" s="66"/>
    </row>
    <row r="319" spans="1:34" s="65" customFormat="1">
      <c r="A319" s="63" t="s">
        <v>296</v>
      </c>
      <c r="B319" s="63" t="s">
        <v>298</v>
      </c>
      <c r="C319" s="62" t="s">
        <v>178</v>
      </c>
      <c r="D319" s="63" t="s">
        <v>304</v>
      </c>
      <c r="E319" s="63" t="s">
        <v>96</v>
      </c>
      <c r="F319" s="63" t="s">
        <v>130</v>
      </c>
      <c r="G319" s="63" t="s">
        <v>128</v>
      </c>
      <c r="H319" s="63"/>
      <c r="I319" s="63"/>
      <c r="J319" s="63"/>
      <c r="K319" s="63"/>
      <c r="L319" s="63" t="s">
        <v>193</v>
      </c>
      <c r="M319" s="63" t="s">
        <v>187</v>
      </c>
      <c r="N319" s="62" t="s">
        <v>211</v>
      </c>
      <c r="O319" s="63" t="s">
        <v>210</v>
      </c>
      <c r="P319" s="62" t="s">
        <v>211</v>
      </c>
      <c r="Q319" s="63" t="s">
        <v>210</v>
      </c>
      <c r="R319" s="63" t="s">
        <v>255</v>
      </c>
      <c r="S319" s="63" t="s">
        <v>256</v>
      </c>
      <c r="T319" s="63">
        <v>0</v>
      </c>
      <c r="U319" s="63">
        <v>118004</v>
      </c>
      <c r="V319" s="63" t="s">
        <v>136</v>
      </c>
      <c r="W319" s="63">
        <v>4</v>
      </c>
      <c r="X319" s="63"/>
      <c r="Y319" s="63"/>
      <c r="Z319" s="69" t="s">
        <v>182</v>
      </c>
      <c r="AA319" s="63"/>
      <c r="AB319" s="63"/>
      <c r="AC319" s="69" t="s">
        <v>182</v>
      </c>
      <c r="AD319" s="63"/>
      <c r="AE319" s="69" t="s">
        <v>182</v>
      </c>
      <c r="AF319" s="62" t="s">
        <v>81</v>
      </c>
      <c r="AH319" s="66"/>
    </row>
    <row r="320" spans="1:34" s="65" customFormat="1">
      <c r="A320" s="67" t="s">
        <v>296</v>
      </c>
      <c r="B320" s="67" t="s">
        <v>298</v>
      </c>
      <c r="C320" s="67" t="s">
        <v>178</v>
      </c>
      <c r="D320" s="67" t="s">
        <v>305</v>
      </c>
      <c r="E320" s="67" t="s">
        <v>96</v>
      </c>
      <c r="F320" s="67" t="s">
        <v>130</v>
      </c>
      <c r="G320" s="67" t="s">
        <v>128</v>
      </c>
      <c r="H320" s="67"/>
      <c r="I320" s="67"/>
      <c r="J320" s="67"/>
      <c r="K320" s="67"/>
      <c r="L320" s="67" t="s">
        <v>193</v>
      </c>
      <c r="M320" s="67" t="s">
        <v>187</v>
      </c>
      <c r="N320" s="67" t="s">
        <v>211</v>
      </c>
      <c r="O320" s="67" t="s">
        <v>209</v>
      </c>
      <c r="P320" s="67" t="s">
        <v>211</v>
      </c>
      <c r="Q320" s="67" t="s">
        <v>209</v>
      </c>
      <c r="R320" s="67" t="s">
        <v>255</v>
      </c>
      <c r="S320" s="67" t="s">
        <v>256</v>
      </c>
      <c r="T320" s="67">
        <v>1</v>
      </c>
      <c r="U320" s="67"/>
      <c r="V320" s="67" t="s">
        <v>138</v>
      </c>
      <c r="W320" s="67">
        <v>4</v>
      </c>
      <c r="X320" s="67">
        <v>50000</v>
      </c>
      <c r="Y320" s="67">
        <v>45000</v>
      </c>
      <c r="Z320" s="68">
        <f t="shared" ref="Z320:Z322" si="295">X320/Y320*100</f>
        <v>111.11111111111111</v>
      </c>
      <c r="AA320" s="67">
        <v>1200000</v>
      </c>
      <c r="AB320" s="67">
        <v>650000</v>
      </c>
      <c r="AC320" s="68">
        <f t="shared" ref="AC320" si="296">AB320/AA320*100</f>
        <v>54.166666666666664</v>
      </c>
      <c r="AD320" s="67">
        <v>495000</v>
      </c>
      <c r="AE320" s="68">
        <f t="shared" ref="AE320" si="297">AB320/AD320*100</f>
        <v>131.31313131313132</v>
      </c>
      <c r="AF320" s="77" t="s">
        <v>77</v>
      </c>
      <c r="AH320" s="66"/>
    </row>
    <row r="321" spans="1:34" s="65" customFormat="1">
      <c r="A321" s="63" t="s">
        <v>296</v>
      </c>
      <c r="B321" s="63" t="s">
        <v>298</v>
      </c>
      <c r="C321" s="62" t="s">
        <v>178</v>
      </c>
      <c r="D321" s="63" t="s">
        <v>304</v>
      </c>
      <c r="E321" s="63" t="s">
        <v>96</v>
      </c>
      <c r="F321" s="63" t="s">
        <v>130</v>
      </c>
      <c r="G321" s="63" t="s">
        <v>128</v>
      </c>
      <c r="H321" s="63"/>
      <c r="I321" s="63"/>
      <c r="J321" s="63"/>
      <c r="K321" s="63"/>
      <c r="L321" s="63" t="s">
        <v>193</v>
      </c>
      <c r="M321" s="63" t="s">
        <v>187</v>
      </c>
      <c r="N321" s="62" t="s">
        <v>211</v>
      </c>
      <c r="O321" s="63" t="s">
        <v>210</v>
      </c>
      <c r="P321" s="62" t="s">
        <v>211</v>
      </c>
      <c r="Q321" s="63" t="s">
        <v>210</v>
      </c>
      <c r="R321" s="63" t="s">
        <v>255</v>
      </c>
      <c r="S321" s="63" t="s">
        <v>256</v>
      </c>
      <c r="T321" s="63">
        <v>0</v>
      </c>
      <c r="U321" s="63">
        <v>400107</v>
      </c>
      <c r="V321" s="63" t="s">
        <v>258</v>
      </c>
      <c r="W321" s="63">
        <v>4</v>
      </c>
      <c r="X321" s="63">
        <v>1000</v>
      </c>
      <c r="Y321" s="63">
        <v>1000</v>
      </c>
      <c r="Z321" s="103">
        <f t="shared" si="295"/>
        <v>100</v>
      </c>
      <c r="AA321" s="63">
        <v>1000</v>
      </c>
      <c r="AB321" s="63">
        <v>1000</v>
      </c>
      <c r="AC321" s="103">
        <f>AA321/AB321*100</f>
        <v>100</v>
      </c>
      <c r="AD321" s="63">
        <v>1000</v>
      </c>
      <c r="AE321" s="64">
        <f>AB321/AD321*100</f>
        <v>100</v>
      </c>
      <c r="AF321" s="62" t="s">
        <v>320</v>
      </c>
      <c r="AH321" s="66"/>
    </row>
    <row r="322" spans="1:34" s="65" customFormat="1">
      <c r="A322" s="67" t="s">
        <v>296</v>
      </c>
      <c r="B322" s="67" t="s">
        <v>298</v>
      </c>
      <c r="C322" s="67" t="s">
        <v>178</v>
      </c>
      <c r="D322" s="67" t="s">
        <v>305</v>
      </c>
      <c r="E322" s="67" t="s">
        <v>96</v>
      </c>
      <c r="F322" s="67" t="s">
        <v>130</v>
      </c>
      <c r="G322" s="67" t="s">
        <v>128</v>
      </c>
      <c r="H322" s="67"/>
      <c r="I322" s="67"/>
      <c r="J322" s="67"/>
      <c r="K322" s="67"/>
      <c r="L322" s="67" t="s">
        <v>193</v>
      </c>
      <c r="M322" s="67" t="s">
        <v>187</v>
      </c>
      <c r="N322" s="67" t="s">
        <v>211</v>
      </c>
      <c r="O322" s="67" t="s">
        <v>209</v>
      </c>
      <c r="P322" s="67" t="s">
        <v>211</v>
      </c>
      <c r="Q322" s="67" t="s">
        <v>209</v>
      </c>
      <c r="R322" s="67" t="s">
        <v>255</v>
      </c>
      <c r="S322" s="67" t="s">
        <v>256</v>
      </c>
      <c r="T322" s="67">
        <v>0</v>
      </c>
      <c r="U322" s="67">
        <v>400107</v>
      </c>
      <c r="V322" s="67" t="s">
        <v>258</v>
      </c>
      <c r="W322" s="67">
        <v>4</v>
      </c>
      <c r="X322" s="67">
        <v>1000</v>
      </c>
      <c r="Y322" s="67">
        <v>1000</v>
      </c>
      <c r="Z322" s="104">
        <f t="shared" si="295"/>
        <v>100</v>
      </c>
      <c r="AA322" s="67">
        <v>1000</v>
      </c>
      <c r="AB322" s="67">
        <v>1000</v>
      </c>
      <c r="AC322" s="104">
        <f>AA322/AB322*100</f>
        <v>100</v>
      </c>
      <c r="AD322" s="67">
        <v>1000</v>
      </c>
      <c r="AE322" s="68">
        <f>AB322/AD322*100</f>
        <v>100</v>
      </c>
      <c r="AF322" s="77" t="s">
        <v>321</v>
      </c>
      <c r="AH322" s="66"/>
    </row>
    <row r="323" spans="1:34" s="65" customFormat="1">
      <c r="A323" s="63" t="s">
        <v>296</v>
      </c>
      <c r="B323" s="63" t="s">
        <v>298</v>
      </c>
      <c r="C323" s="62" t="s">
        <v>178</v>
      </c>
      <c r="D323" s="63" t="s">
        <v>304</v>
      </c>
      <c r="E323" s="63" t="s">
        <v>96</v>
      </c>
      <c r="F323" s="63" t="s">
        <v>130</v>
      </c>
      <c r="G323" s="63" t="s">
        <v>128</v>
      </c>
      <c r="H323" s="62"/>
      <c r="I323" s="63"/>
      <c r="J323" s="62"/>
      <c r="K323" s="63"/>
      <c r="L323" s="63" t="s">
        <v>193</v>
      </c>
      <c r="M323" s="63" t="s">
        <v>187</v>
      </c>
      <c r="N323" s="63"/>
      <c r="O323" s="63"/>
      <c r="P323" s="63" t="s">
        <v>193</v>
      </c>
      <c r="Q323" s="63" t="s">
        <v>187</v>
      </c>
      <c r="R323" s="62" t="s">
        <v>255</v>
      </c>
      <c r="S323" s="63" t="s">
        <v>256</v>
      </c>
      <c r="T323" s="63">
        <v>0</v>
      </c>
      <c r="U323" s="63">
        <v>118001</v>
      </c>
      <c r="V323" s="63" t="s">
        <v>129</v>
      </c>
      <c r="W323" s="63">
        <v>4</v>
      </c>
      <c r="X323" s="63">
        <v>400000</v>
      </c>
      <c r="Y323" s="63">
        <v>390000</v>
      </c>
      <c r="Z323" s="64">
        <f>X323/Y323*100</f>
        <v>102.56410256410255</v>
      </c>
      <c r="AA323" s="63">
        <v>11600000</v>
      </c>
      <c r="AB323" s="63">
        <v>5200000</v>
      </c>
      <c r="AC323" s="64">
        <f>AB323/AA323*100</f>
        <v>44.827586206896555</v>
      </c>
      <c r="AD323" s="63">
        <v>4290000</v>
      </c>
      <c r="AE323" s="64">
        <f>AB323/AD323*100</f>
        <v>121.21212121212122</v>
      </c>
      <c r="AF323" s="63" t="s">
        <v>75</v>
      </c>
      <c r="AH323" s="66"/>
    </row>
    <row r="324" spans="1:34" s="65" customFormat="1">
      <c r="A324" s="67" t="s">
        <v>296</v>
      </c>
      <c r="B324" s="67" t="s">
        <v>298</v>
      </c>
      <c r="C324" s="77" t="s">
        <v>178</v>
      </c>
      <c r="D324" s="67" t="s">
        <v>305</v>
      </c>
      <c r="E324" s="67" t="s">
        <v>96</v>
      </c>
      <c r="F324" s="67" t="s">
        <v>130</v>
      </c>
      <c r="G324" s="67" t="s">
        <v>128</v>
      </c>
      <c r="H324" s="67"/>
      <c r="I324" s="67"/>
      <c r="J324" s="67"/>
      <c r="K324" s="67"/>
      <c r="L324" s="67" t="s">
        <v>193</v>
      </c>
      <c r="M324" s="67" t="s">
        <v>187</v>
      </c>
      <c r="N324" s="67"/>
      <c r="O324" s="67"/>
      <c r="P324" s="67" t="s">
        <v>193</v>
      </c>
      <c r="Q324" s="67" t="s">
        <v>187</v>
      </c>
      <c r="R324" s="67" t="s">
        <v>255</v>
      </c>
      <c r="S324" s="67" t="s">
        <v>256</v>
      </c>
      <c r="T324" s="67">
        <v>0</v>
      </c>
      <c r="U324" s="67">
        <v>118002</v>
      </c>
      <c r="V324" s="67" t="s">
        <v>131</v>
      </c>
      <c r="W324" s="67">
        <v>4</v>
      </c>
      <c r="X324" s="67">
        <v>200000</v>
      </c>
      <c r="Y324" s="67">
        <v>190000</v>
      </c>
      <c r="Z324" s="68">
        <f t="shared" ref="Z324:Z326" si="298">X324/Y324*100</f>
        <v>105.26315789473684</v>
      </c>
      <c r="AA324" s="67">
        <v>4800000</v>
      </c>
      <c r="AB324" s="67">
        <v>2600000</v>
      </c>
      <c r="AC324" s="68">
        <f t="shared" ref="AC324:AC326" si="299">AB324/AA324*100</f>
        <v>54.166666666666664</v>
      </c>
      <c r="AD324" s="67">
        <v>2090000</v>
      </c>
      <c r="AE324" s="68">
        <f t="shared" ref="AE324:AE326" si="300">AB324/AD324*100</f>
        <v>124.4019138755981</v>
      </c>
      <c r="AF324" s="67" t="s">
        <v>141</v>
      </c>
      <c r="AH324" s="66"/>
    </row>
    <row r="325" spans="1:34" s="65" customFormat="1">
      <c r="A325" s="63" t="s">
        <v>296</v>
      </c>
      <c r="B325" s="63" t="s">
        <v>298</v>
      </c>
      <c r="C325" s="62" t="s">
        <v>178</v>
      </c>
      <c r="D325" s="63" t="s">
        <v>304</v>
      </c>
      <c r="E325" s="63" t="s">
        <v>96</v>
      </c>
      <c r="F325" s="63" t="s">
        <v>130</v>
      </c>
      <c r="G325" s="63" t="s">
        <v>128</v>
      </c>
      <c r="H325" s="63"/>
      <c r="I325" s="63"/>
      <c r="J325" s="63"/>
      <c r="K325" s="63"/>
      <c r="L325" s="63" t="s">
        <v>193</v>
      </c>
      <c r="M325" s="63" t="s">
        <v>187</v>
      </c>
      <c r="N325" s="63"/>
      <c r="O325" s="63"/>
      <c r="P325" s="63" t="s">
        <v>193</v>
      </c>
      <c r="Q325" s="63" t="s">
        <v>187</v>
      </c>
      <c r="R325" s="63" t="s">
        <v>255</v>
      </c>
      <c r="S325" s="63" t="s">
        <v>256</v>
      </c>
      <c r="T325" s="63">
        <v>1</v>
      </c>
      <c r="U325" s="63"/>
      <c r="V325" s="63" t="s">
        <v>132</v>
      </c>
      <c r="W325" s="63">
        <v>4</v>
      </c>
      <c r="X325" s="63">
        <v>600000</v>
      </c>
      <c r="Y325" s="63">
        <v>580000</v>
      </c>
      <c r="Z325" s="64">
        <f t="shared" si="298"/>
        <v>103.44827586206897</v>
      </c>
      <c r="AA325" s="63">
        <v>16400000</v>
      </c>
      <c r="AB325" s="63">
        <v>7800000</v>
      </c>
      <c r="AC325" s="64">
        <f t="shared" si="299"/>
        <v>47.560975609756099</v>
      </c>
      <c r="AD325" s="63">
        <v>6380000</v>
      </c>
      <c r="AE325" s="64">
        <f t="shared" si="300"/>
        <v>122.25705329153604</v>
      </c>
      <c r="AF325" s="63" t="s">
        <v>133</v>
      </c>
      <c r="AH325" s="66"/>
    </row>
    <row r="326" spans="1:34" s="65" customFormat="1">
      <c r="A326" s="67" t="s">
        <v>296</v>
      </c>
      <c r="B326" s="67" t="s">
        <v>298</v>
      </c>
      <c r="C326" s="77" t="s">
        <v>178</v>
      </c>
      <c r="D326" s="67" t="s">
        <v>305</v>
      </c>
      <c r="E326" s="67" t="s">
        <v>96</v>
      </c>
      <c r="F326" s="67" t="s">
        <v>130</v>
      </c>
      <c r="G326" s="67" t="s">
        <v>128</v>
      </c>
      <c r="H326" s="67"/>
      <c r="I326" s="67"/>
      <c r="J326" s="67"/>
      <c r="K326" s="67"/>
      <c r="L326" s="67" t="s">
        <v>193</v>
      </c>
      <c r="M326" s="67" t="s">
        <v>187</v>
      </c>
      <c r="N326" s="67"/>
      <c r="O326" s="67"/>
      <c r="P326" s="67" t="s">
        <v>193</v>
      </c>
      <c r="Q326" s="67" t="s">
        <v>187</v>
      </c>
      <c r="R326" s="67" t="s">
        <v>255</v>
      </c>
      <c r="S326" s="67" t="s">
        <v>256</v>
      </c>
      <c r="T326" s="67">
        <v>0</v>
      </c>
      <c r="U326" s="67">
        <v>118003</v>
      </c>
      <c r="V326" s="67" t="s">
        <v>134</v>
      </c>
      <c r="W326" s="67">
        <v>4</v>
      </c>
      <c r="X326" s="67">
        <v>50000</v>
      </c>
      <c r="Y326" s="67">
        <v>45000</v>
      </c>
      <c r="Z326" s="68">
        <f t="shared" si="298"/>
        <v>111.11111111111111</v>
      </c>
      <c r="AA326" s="67">
        <v>1200000</v>
      </c>
      <c r="AB326" s="67">
        <v>650000</v>
      </c>
      <c r="AC326" s="68">
        <f t="shared" si="299"/>
        <v>54.166666666666664</v>
      </c>
      <c r="AD326" s="67">
        <v>495000</v>
      </c>
      <c r="AE326" s="68">
        <f t="shared" si="300"/>
        <v>131.31313131313132</v>
      </c>
      <c r="AF326" s="67" t="s">
        <v>135</v>
      </c>
      <c r="AH326" s="66"/>
    </row>
    <row r="327" spans="1:34" s="65" customFormat="1">
      <c r="A327" s="63" t="s">
        <v>296</v>
      </c>
      <c r="B327" s="63" t="s">
        <v>298</v>
      </c>
      <c r="C327" s="62" t="s">
        <v>178</v>
      </c>
      <c r="D327" s="63" t="s">
        <v>304</v>
      </c>
      <c r="E327" s="63" t="s">
        <v>96</v>
      </c>
      <c r="F327" s="63" t="s">
        <v>130</v>
      </c>
      <c r="G327" s="63" t="s">
        <v>128</v>
      </c>
      <c r="H327" s="63"/>
      <c r="I327" s="63"/>
      <c r="J327" s="63"/>
      <c r="K327" s="63"/>
      <c r="L327" s="63" t="s">
        <v>193</v>
      </c>
      <c r="M327" s="63" t="s">
        <v>187</v>
      </c>
      <c r="N327" s="63"/>
      <c r="O327" s="63"/>
      <c r="P327" s="63" t="s">
        <v>193</v>
      </c>
      <c r="Q327" s="63" t="s">
        <v>187</v>
      </c>
      <c r="R327" s="63" t="s">
        <v>255</v>
      </c>
      <c r="S327" s="63" t="s">
        <v>256</v>
      </c>
      <c r="T327" s="63">
        <v>0</v>
      </c>
      <c r="U327" s="63">
        <v>118004</v>
      </c>
      <c r="V327" s="63" t="s">
        <v>136</v>
      </c>
      <c r="W327" s="63">
        <v>4</v>
      </c>
      <c r="X327" s="63"/>
      <c r="Y327" s="63"/>
      <c r="Z327" s="69" t="s">
        <v>182</v>
      </c>
      <c r="AA327" s="63"/>
      <c r="AB327" s="63"/>
      <c r="AC327" s="69" t="s">
        <v>182</v>
      </c>
      <c r="AD327" s="63"/>
      <c r="AE327" s="69" t="s">
        <v>182</v>
      </c>
      <c r="AF327" s="63" t="s">
        <v>81</v>
      </c>
      <c r="AH327" s="66"/>
    </row>
    <row r="328" spans="1:34" s="65" customFormat="1">
      <c r="A328" s="67" t="s">
        <v>296</v>
      </c>
      <c r="B328" s="67" t="s">
        <v>298</v>
      </c>
      <c r="C328" s="77" t="s">
        <v>178</v>
      </c>
      <c r="D328" s="67" t="s">
        <v>305</v>
      </c>
      <c r="E328" s="67" t="s">
        <v>96</v>
      </c>
      <c r="F328" s="67" t="s">
        <v>130</v>
      </c>
      <c r="G328" s="67" t="s">
        <v>128</v>
      </c>
      <c r="H328" s="67"/>
      <c r="I328" s="67"/>
      <c r="J328" s="67"/>
      <c r="K328" s="67"/>
      <c r="L328" s="67" t="s">
        <v>193</v>
      </c>
      <c r="M328" s="67" t="s">
        <v>187</v>
      </c>
      <c r="N328" s="67"/>
      <c r="O328" s="67"/>
      <c r="P328" s="67" t="s">
        <v>193</v>
      </c>
      <c r="Q328" s="67" t="s">
        <v>187</v>
      </c>
      <c r="R328" s="67" t="s">
        <v>255</v>
      </c>
      <c r="S328" s="67" t="s">
        <v>256</v>
      </c>
      <c r="T328" s="67">
        <v>1</v>
      </c>
      <c r="U328" s="67"/>
      <c r="V328" s="67" t="s">
        <v>138</v>
      </c>
      <c r="W328" s="67">
        <v>4</v>
      </c>
      <c r="X328" s="67">
        <v>50000</v>
      </c>
      <c r="Y328" s="67">
        <v>45000</v>
      </c>
      <c r="Z328" s="68">
        <f t="shared" ref="Z328" si="301">X328/Y328*100</f>
        <v>111.11111111111111</v>
      </c>
      <c r="AA328" s="67">
        <v>1200000</v>
      </c>
      <c r="AB328" s="67">
        <v>650000</v>
      </c>
      <c r="AC328" s="68">
        <f t="shared" ref="AC328" si="302">AB328/AA328*100</f>
        <v>54.166666666666664</v>
      </c>
      <c r="AD328" s="67">
        <v>495000</v>
      </c>
      <c r="AE328" s="68">
        <f t="shared" ref="AE328" si="303">AB328/AD328*100</f>
        <v>131.31313131313132</v>
      </c>
      <c r="AF328" s="67" t="s">
        <v>139</v>
      </c>
      <c r="AH328" s="66"/>
    </row>
    <row r="329" spans="1:34" s="65" customFormat="1">
      <c r="A329" s="63" t="s">
        <v>296</v>
      </c>
      <c r="B329" s="63" t="s">
        <v>298</v>
      </c>
      <c r="C329" s="62" t="s">
        <v>178</v>
      </c>
      <c r="D329" s="63" t="s">
        <v>304</v>
      </c>
      <c r="E329" s="63" t="s">
        <v>96</v>
      </c>
      <c r="F329" s="63" t="s">
        <v>130</v>
      </c>
      <c r="G329" s="63" t="s">
        <v>128</v>
      </c>
      <c r="H329" s="62"/>
      <c r="I329" s="63"/>
      <c r="J329" s="62"/>
      <c r="K329" s="63"/>
      <c r="L329" s="63" t="s">
        <v>193</v>
      </c>
      <c r="M329" s="63" t="s">
        <v>187</v>
      </c>
      <c r="N329" s="62"/>
      <c r="O329" s="63"/>
      <c r="P329" s="62" t="s">
        <v>204</v>
      </c>
      <c r="Q329" s="63" t="s">
        <v>202</v>
      </c>
      <c r="R329" s="62" t="s">
        <v>255</v>
      </c>
      <c r="S329" s="63" t="s">
        <v>256</v>
      </c>
      <c r="T329" s="63">
        <v>0</v>
      </c>
      <c r="U329" s="63">
        <v>118001</v>
      </c>
      <c r="V329" s="63" t="s">
        <v>129</v>
      </c>
      <c r="W329" s="63">
        <v>4</v>
      </c>
      <c r="X329" s="63">
        <v>400000</v>
      </c>
      <c r="Y329" s="63">
        <v>390000</v>
      </c>
      <c r="Z329" s="64">
        <f>X329/Y329*100</f>
        <v>102.56410256410255</v>
      </c>
      <c r="AA329" s="63">
        <v>11600000</v>
      </c>
      <c r="AB329" s="63">
        <v>5200000</v>
      </c>
      <c r="AC329" s="64">
        <f>AB329/AA329*100</f>
        <v>44.827586206896555</v>
      </c>
      <c r="AD329" s="63">
        <v>4290000</v>
      </c>
      <c r="AE329" s="64">
        <f>AB329/AD329*100</f>
        <v>121.21212121212122</v>
      </c>
      <c r="AF329" s="63" t="s">
        <v>75</v>
      </c>
      <c r="AH329" s="66"/>
    </row>
    <row r="330" spans="1:34" s="65" customFormat="1">
      <c r="A330" s="67" t="s">
        <v>296</v>
      </c>
      <c r="B330" s="67" t="s">
        <v>298</v>
      </c>
      <c r="C330" s="77" t="s">
        <v>178</v>
      </c>
      <c r="D330" s="67" t="s">
        <v>305</v>
      </c>
      <c r="E330" s="67" t="s">
        <v>96</v>
      </c>
      <c r="F330" s="67" t="s">
        <v>130</v>
      </c>
      <c r="G330" s="67" t="s">
        <v>128</v>
      </c>
      <c r="H330" s="67"/>
      <c r="I330" s="67"/>
      <c r="J330" s="67"/>
      <c r="K330" s="67"/>
      <c r="L330" s="67" t="s">
        <v>193</v>
      </c>
      <c r="M330" s="67" t="s">
        <v>187</v>
      </c>
      <c r="N330" s="67"/>
      <c r="O330" s="67"/>
      <c r="P330" s="67" t="s">
        <v>203</v>
      </c>
      <c r="Q330" s="67" t="s">
        <v>202</v>
      </c>
      <c r="R330" s="67" t="s">
        <v>255</v>
      </c>
      <c r="S330" s="67" t="s">
        <v>256</v>
      </c>
      <c r="T330" s="67">
        <v>0</v>
      </c>
      <c r="U330" s="67">
        <v>118002</v>
      </c>
      <c r="V330" s="67" t="s">
        <v>131</v>
      </c>
      <c r="W330" s="67">
        <v>4</v>
      </c>
      <c r="X330" s="67">
        <v>200000</v>
      </c>
      <c r="Y330" s="67">
        <v>190000</v>
      </c>
      <c r="Z330" s="68">
        <f t="shared" ref="Z330:Z332" si="304">X330/Y330*100</f>
        <v>105.26315789473684</v>
      </c>
      <c r="AA330" s="67">
        <v>4800000</v>
      </c>
      <c r="AB330" s="67">
        <v>2600000</v>
      </c>
      <c r="AC330" s="68">
        <f t="shared" ref="AC330:AC332" si="305">AB330/AA330*100</f>
        <v>54.166666666666664</v>
      </c>
      <c r="AD330" s="67">
        <v>2090000</v>
      </c>
      <c r="AE330" s="68">
        <f t="shared" ref="AE330:AE332" si="306">AB330/AD330*100</f>
        <v>124.4019138755981</v>
      </c>
      <c r="AF330" s="67" t="s">
        <v>141</v>
      </c>
      <c r="AH330" s="66"/>
    </row>
    <row r="331" spans="1:34" s="65" customFormat="1">
      <c r="A331" s="63" t="s">
        <v>296</v>
      </c>
      <c r="B331" s="63" t="s">
        <v>298</v>
      </c>
      <c r="C331" s="62" t="s">
        <v>178</v>
      </c>
      <c r="D331" s="63" t="s">
        <v>304</v>
      </c>
      <c r="E331" s="63" t="s">
        <v>96</v>
      </c>
      <c r="F331" s="63" t="s">
        <v>130</v>
      </c>
      <c r="G331" s="63" t="s">
        <v>128</v>
      </c>
      <c r="H331" s="63"/>
      <c r="I331" s="63"/>
      <c r="J331" s="63"/>
      <c r="K331" s="63"/>
      <c r="L331" s="63" t="s">
        <v>193</v>
      </c>
      <c r="M331" s="63" t="s">
        <v>187</v>
      </c>
      <c r="N331" s="63"/>
      <c r="O331" s="63"/>
      <c r="P331" s="63" t="s">
        <v>203</v>
      </c>
      <c r="Q331" s="63" t="s">
        <v>202</v>
      </c>
      <c r="R331" s="63" t="s">
        <v>255</v>
      </c>
      <c r="S331" s="63" t="s">
        <v>256</v>
      </c>
      <c r="T331" s="63">
        <v>1</v>
      </c>
      <c r="U331" s="63"/>
      <c r="V331" s="63" t="s">
        <v>132</v>
      </c>
      <c r="W331" s="63">
        <v>4</v>
      </c>
      <c r="X331" s="63">
        <v>600000</v>
      </c>
      <c r="Y331" s="63">
        <v>580000</v>
      </c>
      <c r="Z331" s="64">
        <f t="shared" si="304"/>
        <v>103.44827586206897</v>
      </c>
      <c r="AA331" s="63">
        <v>16400000</v>
      </c>
      <c r="AB331" s="63">
        <v>7800000</v>
      </c>
      <c r="AC331" s="64">
        <f t="shared" si="305"/>
        <v>47.560975609756099</v>
      </c>
      <c r="AD331" s="63">
        <v>6380000</v>
      </c>
      <c r="AE331" s="64">
        <f t="shared" si="306"/>
        <v>122.25705329153604</v>
      </c>
      <c r="AF331" s="63" t="s">
        <v>133</v>
      </c>
      <c r="AH331" s="66"/>
    </row>
    <row r="332" spans="1:34" s="65" customFormat="1">
      <c r="A332" s="67" t="s">
        <v>296</v>
      </c>
      <c r="B332" s="67" t="s">
        <v>298</v>
      </c>
      <c r="C332" s="77" t="s">
        <v>178</v>
      </c>
      <c r="D332" s="67" t="s">
        <v>305</v>
      </c>
      <c r="E332" s="67" t="s">
        <v>96</v>
      </c>
      <c r="F332" s="67" t="s">
        <v>130</v>
      </c>
      <c r="G332" s="67" t="s">
        <v>128</v>
      </c>
      <c r="H332" s="67"/>
      <c r="I332" s="67"/>
      <c r="J332" s="67"/>
      <c r="K332" s="67"/>
      <c r="L332" s="67" t="s">
        <v>193</v>
      </c>
      <c r="M332" s="67" t="s">
        <v>187</v>
      </c>
      <c r="N332" s="67"/>
      <c r="O332" s="67"/>
      <c r="P332" s="67" t="s">
        <v>203</v>
      </c>
      <c r="Q332" s="67" t="s">
        <v>202</v>
      </c>
      <c r="R332" s="67" t="s">
        <v>255</v>
      </c>
      <c r="S332" s="67" t="s">
        <v>256</v>
      </c>
      <c r="T332" s="67">
        <v>0</v>
      </c>
      <c r="U332" s="67">
        <v>118003</v>
      </c>
      <c r="V332" s="67" t="s">
        <v>134</v>
      </c>
      <c r="W332" s="67">
        <v>4</v>
      </c>
      <c r="X332" s="67">
        <v>50000</v>
      </c>
      <c r="Y332" s="67">
        <v>45000</v>
      </c>
      <c r="Z332" s="68">
        <f t="shared" si="304"/>
        <v>111.11111111111111</v>
      </c>
      <c r="AA332" s="67">
        <v>1200000</v>
      </c>
      <c r="AB332" s="67">
        <v>650000</v>
      </c>
      <c r="AC332" s="68">
        <f t="shared" si="305"/>
        <v>54.166666666666664</v>
      </c>
      <c r="AD332" s="67">
        <v>495000</v>
      </c>
      <c r="AE332" s="68">
        <f t="shared" si="306"/>
        <v>131.31313131313132</v>
      </c>
      <c r="AF332" s="67" t="s">
        <v>135</v>
      </c>
      <c r="AH332" s="66"/>
    </row>
    <row r="333" spans="1:34" s="65" customFormat="1">
      <c r="A333" s="63" t="s">
        <v>296</v>
      </c>
      <c r="B333" s="63" t="s">
        <v>298</v>
      </c>
      <c r="C333" s="62" t="s">
        <v>178</v>
      </c>
      <c r="D333" s="63" t="s">
        <v>304</v>
      </c>
      <c r="E333" s="63" t="s">
        <v>96</v>
      </c>
      <c r="F333" s="63" t="s">
        <v>130</v>
      </c>
      <c r="G333" s="63" t="s">
        <v>128</v>
      </c>
      <c r="H333" s="63"/>
      <c r="I333" s="63"/>
      <c r="J333" s="63"/>
      <c r="K333" s="63"/>
      <c r="L333" s="63" t="s">
        <v>193</v>
      </c>
      <c r="M333" s="63" t="s">
        <v>187</v>
      </c>
      <c r="N333" s="63"/>
      <c r="O333" s="63"/>
      <c r="P333" s="63" t="s">
        <v>203</v>
      </c>
      <c r="Q333" s="63" t="s">
        <v>202</v>
      </c>
      <c r="R333" s="63" t="s">
        <v>255</v>
      </c>
      <c r="S333" s="63" t="s">
        <v>256</v>
      </c>
      <c r="T333" s="63">
        <v>0</v>
      </c>
      <c r="U333" s="63">
        <v>118004</v>
      </c>
      <c r="V333" s="63" t="s">
        <v>136</v>
      </c>
      <c r="W333" s="63">
        <v>4</v>
      </c>
      <c r="X333" s="63"/>
      <c r="Y333" s="63"/>
      <c r="Z333" s="69" t="s">
        <v>182</v>
      </c>
      <c r="AA333" s="63"/>
      <c r="AB333" s="63"/>
      <c r="AC333" s="69" t="s">
        <v>182</v>
      </c>
      <c r="AD333" s="63"/>
      <c r="AE333" s="69" t="s">
        <v>182</v>
      </c>
      <c r="AF333" s="63" t="s">
        <v>81</v>
      </c>
      <c r="AH333" s="66"/>
    </row>
    <row r="334" spans="1:34" s="65" customFormat="1">
      <c r="A334" s="67" t="s">
        <v>296</v>
      </c>
      <c r="B334" s="67" t="s">
        <v>298</v>
      </c>
      <c r="C334" s="77" t="s">
        <v>178</v>
      </c>
      <c r="D334" s="67" t="s">
        <v>305</v>
      </c>
      <c r="E334" s="67" t="s">
        <v>96</v>
      </c>
      <c r="F334" s="67" t="s">
        <v>130</v>
      </c>
      <c r="G334" s="67" t="s">
        <v>128</v>
      </c>
      <c r="H334" s="67"/>
      <c r="I334" s="67"/>
      <c r="J334" s="67"/>
      <c r="K334" s="67"/>
      <c r="L334" s="67" t="s">
        <v>193</v>
      </c>
      <c r="M334" s="67" t="s">
        <v>187</v>
      </c>
      <c r="N334" s="67"/>
      <c r="O334" s="67"/>
      <c r="P334" s="67" t="s">
        <v>203</v>
      </c>
      <c r="Q334" s="67" t="s">
        <v>202</v>
      </c>
      <c r="R334" s="67" t="s">
        <v>255</v>
      </c>
      <c r="S334" s="67" t="s">
        <v>256</v>
      </c>
      <c r="T334" s="67">
        <v>1</v>
      </c>
      <c r="U334" s="67"/>
      <c r="V334" s="67" t="s">
        <v>138</v>
      </c>
      <c r="W334" s="67">
        <v>4</v>
      </c>
      <c r="X334" s="67">
        <v>50000</v>
      </c>
      <c r="Y334" s="67">
        <v>45000</v>
      </c>
      <c r="Z334" s="68">
        <f t="shared" ref="Z334" si="307">X334/Y334*100</f>
        <v>111.11111111111111</v>
      </c>
      <c r="AA334" s="67">
        <v>1200000</v>
      </c>
      <c r="AB334" s="67">
        <v>650000</v>
      </c>
      <c r="AC334" s="68">
        <f t="shared" ref="AC334" si="308">AB334/AA334*100</f>
        <v>54.166666666666664</v>
      </c>
      <c r="AD334" s="67">
        <v>495000</v>
      </c>
      <c r="AE334" s="68">
        <f t="shared" ref="AE334" si="309">AB334/AD334*100</f>
        <v>131.31313131313132</v>
      </c>
      <c r="AF334" s="67" t="s">
        <v>139</v>
      </c>
      <c r="AH334" s="66"/>
    </row>
    <row r="335" spans="1:34" s="65" customFormat="1">
      <c r="A335" s="63" t="s">
        <v>296</v>
      </c>
      <c r="B335" s="63" t="s">
        <v>298</v>
      </c>
      <c r="C335" s="62" t="s">
        <v>178</v>
      </c>
      <c r="D335" s="63" t="s">
        <v>304</v>
      </c>
      <c r="E335" s="63" t="s">
        <v>96</v>
      </c>
      <c r="F335" s="63" t="s">
        <v>130</v>
      </c>
      <c r="G335" s="63" t="s">
        <v>128</v>
      </c>
      <c r="H335" s="62"/>
      <c r="I335" s="63"/>
      <c r="J335" s="62"/>
      <c r="K335" s="63"/>
      <c r="L335" s="63" t="s">
        <v>193</v>
      </c>
      <c r="M335" s="63" t="s">
        <v>187</v>
      </c>
      <c r="N335" s="62"/>
      <c r="O335" s="63"/>
      <c r="P335" s="62" t="s">
        <v>208</v>
      </c>
      <c r="Q335" s="63" t="s">
        <v>206</v>
      </c>
      <c r="R335" s="62" t="s">
        <v>255</v>
      </c>
      <c r="S335" s="63" t="s">
        <v>256</v>
      </c>
      <c r="T335" s="63">
        <v>0</v>
      </c>
      <c r="U335" s="63">
        <v>118001</v>
      </c>
      <c r="V335" s="63" t="s">
        <v>129</v>
      </c>
      <c r="W335" s="63">
        <v>4</v>
      </c>
      <c r="X335" s="63">
        <v>400000</v>
      </c>
      <c r="Y335" s="63">
        <v>390000</v>
      </c>
      <c r="Z335" s="64">
        <f>X335/Y335*100</f>
        <v>102.56410256410255</v>
      </c>
      <c r="AA335" s="63">
        <v>11600000</v>
      </c>
      <c r="AB335" s="63">
        <v>5200000</v>
      </c>
      <c r="AC335" s="64">
        <f>AB335/AA335*100</f>
        <v>44.827586206896555</v>
      </c>
      <c r="AD335" s="63">
        <v>4290000</v>
      </c>
      <c r="AE335" s="64">
        <f>AB335/AD335*100</f>
        <v>121.21212121212122</v>
      </c>
      <c r="AF335" s="63" t="s">
        <v>75</v>
      </c>
      <c r="AH335" s="66"/>
    </row>
    <row r="336" spans="1:34" s="65" customFormat="1">
      <c r="A336" s="67" t="s">
        <v>296</v>
      </c>
      <c r="B336" s="67" t="s">
        <v>298</v>
      </c>
      <c r="C336" s="77" t="s">
        <v>178</v>
      </c>
      <c r="D336" s="67" t="s">
        <v>305</v>
      </c>
      <c r="E336" s="67" t="s">
        <v>96</v>
      </c>
      <c r="F336" s="67" t="s">
        <v>130</v>
      </c>
      <c r="G336" s="67" t="s">
        <v>128</v>
      </c>
      <c r="H336" s="67"/>
      <c r="I336" s="67"/>
      <c r="J336" s="67"/>
      <c r="K336" s="67"/>
      <c r="L336" s="67" t="s">
        <v>193</v>
      </c>
      <c r="M336" s="67" t="s">
        <v>187</v>
      </c>
      <c r="N336" s="67"/>
      <c r="O336" s="67"/>
      <c r="P336" s="67" t="s">
        <v>207</v>
      </c>
      <c r="Q336" s="67" t="s">
        <v>205</v>
      </c>
      <c r="R336" s="67" t="s">
        <v>255</v>
      </c>
      <c r="S336" s="67" t="s">
        <v>257</v>
      </c>
      <c r="T336" s="67">
        <v>0</v>
      </c>
      <c r="U336" s="67">
        <v>118002</v>
      </c>
      <c r="V336" s="67" t="s">
        <v>131</v>
      </c>
      <c r="W336" s="67">
        <v>4</v>
      </c>
      <c r="X336" s="67">
        <v>200000</v>
      </c>
      <c r="Y336" s="67">
        <v>190000</v>
      </c>
      <c r="Z336" s="68">
        <f t="shared" ref="Z336:Z338" si="310">X336/Y336*100</f>
        <v>105.26315789473684</v>
      </c>
      <c r="AA336" s="67">
        <v>4800000</v>
      </c>
      <c r="AB336" s="67">
        <v>2600000</v>
      </c>
      <c r="AC336" s="68">
        <f t="shared" ref="AC336:AC338" si="311">AB336/AA336*100</f>
        <v>54.166666666666664</v>
      </c>
      <c r="AD336" s="67">
        <v>2090000</v>
      </c>
      <c r="AE336" s="68">
        <f t="shared" ref="AE336:AE338" si="312">AB336/AD336*100</f>
        <v>124.4019138755981</v>
      </c>
      <c r="AF336" s="67" t="s">
        <v>141</v>
      </c>
      <c r="AH336" s="66"/>
    </row>
    <row r="337" spans="1:34" s="65" customFormat="1">
      <c r="A337" s="63" t="s">
        <v>296</v>
      </c>
      <c r="B337" s="63" t="s">
        <v>298</v>
      </c>
      <c r="C337" s="62" t="s">
        <v>178</v>
      </c>
      <c r="D337" s="63" t="s">
        <v>304</v>
      </c>
      <c r="E337" s="63" t="s">
        <v>96</v>
      </c>
      <c r="F337" s="63" t="s">
        <v>130</v>
      </c>
      <c r="G337" s="63" t="s">
        <v>128</v>
      </c>
      <c r="H337" s="63"/>
      <c r="I337" s="63"/>
      <c r="J337" s="63"/>
      <c r="K337" s="63"/>
      <c r="L337" s="63" t="s">
        <v>193</v>
      </c>
      <c r="M337" s="63" t="s">
        <v>187</v>
      </c>
      <c r="N337" s="63"/>
      <c r="O337" s="63"/>
      <c r="P337" s="63" t="s">
        <v>207</v>
      </c>
      <c r="Q337" s="63" t="s">
        <v>205</v>
      </c>
      <c r="R337" s="63" t="s">
        <v>255</v>
      </c>
      <c r="S337" s="63" t="s">
        <v>256</v>
      </c>
      <c r="T337" s="63">
        <v>1</v>
      </c>
      <c r="U337" s="63"/>
      <c r="V337" s="63" t="s">
        <v>132</v>
      </c>
      <c r="W337" s="63">
        <v>4</v>
      </c>
      <c r="X337" s="63">
        <v>600000</v>
      </c>
      <c r="Y337" s="63">
        <v>580000</v>
      </c>
      <c r="Z337" s="64">
        <f t="shared" si="310"/>
        <v>103.44827586206897</v>
      </c>
      <c r="AA337" s="63">
        <v>16400000</v>
      </c>
      <c r="AB337" s="63">
        <v>7800000</v>
      </c>
      <c r="AC337" s="64">
        <f t="shared" si="311"/>
        <v>47.560975609756099</v>
      </c>
      <c r="AD337" s="63">
        <v>6380000</v>
      </c>
      <c r="AE337" s="64">
        <f t="shared" si="312"/>
        <v>122.25705329153604</v>
      </c>
      <c r="AF337" s="63" t="s">
        <v>133</v>
      </c>
      <c r="AH337" s="66"/>
    </row>
    <row r="338" spans="1:34" s="65" customFormat="1">
      <c r="A338" s="67" t="s">
        <v>296</v>
      </c>
      <c r="B338" s="67" t="s">
        <v>298</v>
      </c>
      <c r="C338" s="77" t="s">
        <v>178</v>
      </c>
      <c r="D338" s="67" t="s">
        <v>305</v>
      </c>
      <c r="E338" s="67" t="s">
        <v>96</v>
      </c>
      <c r="F338" s="67" t="s">
        <v>130</v>
      </c>
      <c r="G338" s="67" t="s">
        <v>128</v>
      </c>
      <c r="H338" s="67"/>
      <c r="I338" s="67"/>
      <c r="J338" s="67"/>
      <c r="K338" s="67"/>
      <c r="L338" s="67" t="s">
        <v>193</v>
      </c>
      <c r="M338" s="67" t="s">
        <v>187</v>
      </c>
      <c r="N338" s="67"/>
      <c r="O338" s="67"/>
      <c r="P338" s="67" t="s">
        <v>207</v>
      </c>
      <c r="Q338" s="67" t="s">
        <v>205</v>
      </c>
      <c r="R338" s="67" t="s">
        <v>255</v>
      </c>
      <c r="S338" s="67" t="s">
        <v>256</v>
      </c>
      <c r="T338" s="67">
        <v>0</v>
      </c>
      <c r="U338" s="67">
        <v>118003</v>
      </c>
      <c r="V338" s="67" t="s">
        <v>134</v>
      </c>
      <c r="W338" s="67">
        <v>4</v>
      </c>
      <c r="X338" s="67">
        <v>50000</v>
      </c>
      <c r="Y338" s="67">
        <v>45000</v>
      </c>
      <c r="Z338" s="68">
        <f t="shared" si="310"/>
        <v>111.11111111111111</v>
      </c>
      <c r="AA338" s="67">
        <v>1200000</v>
      </c>
      <c r="AB338" s="67">
        <v>650000</v>
      </c>
      <c r="AC338" s="68">
        <f t="shared" si="311"/>
        <v>54.166666666666664</v>
      </c>
      <c r="AD338" s="67">
        <v>495000</v>
      </c>
      <c r="AE338" s="68">
        <f t="shared" si="312"/>
        <v>131.31313131313132</v>
      </c>
      <c r="AF338" s="67" t="s">
        <v>135</v>
      </c>
      <c r="AH338" s="66"/>
    </row>
    <row r="339" spans="1:34" s="65" customFormat="1">
      <c r="A339" s="63" t="s">
        <v>296</v>
      </c>
      <c r="B339" s="63" t="s">
        <v>298</v>
      </c>
      <c r="C339" s="62" t="s">
        <v>178</v>
      </c>
      <c r="D339" s="63" t="s">
        <v>304</v>
      </c>
      <c r="E339" s="63" t="s">
        <v>96</v>
      </c>
      <c r="F339" s="63" t="s">
        <v>130</v>
      </c>
      <c r="G339" s="63" t="s">
        <v>128</v>
      </c>
      <c r="H339" s="63"/>
      <c r="I339" s="63"/>
      <c r="J339" s="63"/>
      <c r="K339" s="63"/>
      <c r="L339" s="63" t="s">
        <v>193</v>
      </c>
      <c r="M339" s="63" t="s">
        <v>187</v>
      </c>
      <c r="N339" s="63"/>
      <c r="O339" s="63"/>
      <c r="P339" s="63" t="s">
        <v>207</v>
      </c>
      <c r="Q339" s="63" t="s">
        <v>205</v>
      </c>
      <c r="R339" s="63" t="s">
        <v>255</v>
      </c>
      <c r="S339" s="63" t="s">
        <v>256</v>
      </c>
      <c r="T339" s="63">
        <v>0</v>
      </c>
      <c r="U339" s="63">
        <v>118004</v>
      </c>
      <c r="V339" s="63" t="s">
        <v>136</v>
      </c>
      <c r="W339" s="63">
        <v>4</v>
      </c>
      <c r="X339" s="63"/>
      <c r="Y339" s="63"/>
      <c r="Z339" s="69" t="s">
        <v>182</v>
      </c>
      <c r="AA339" s="63"/>
      <c r="AB339" s="63"/>
      <c r="AC339" s="69" t="s">
        <v>182</v>
      </c>
      <c r="AD339" s="63"/>
      <c r="AE339" s="69" t="s">
        <v>182</v>
      </c>
      <c r="AF339" s="63" t="s">
        <v>81</v>
      </c>
      <c r="AH339" s="66"/>
    </row>
    <row r="340" spans="1:34" s="65" customFormat="1">
      <c r="A340" s="67" t="s">
        <v>296</v>
      </c>
      <c r="B340" s="67" t="s">
        <v>298</v>
      </c>
      <c r="C340" s="77" t="s">
        <v>178</v>
      </c>
      <c r="D340" s="67" t="s">
        <v>305</v>
      </c>
      <c r="E340" s="67" t="s">
        <v>96</v>
      </c>
      <c r="F340" s="67" t="s">
        <v>130</v>
      </c>
      <c r="G340" s="67" t="s">
        <v>128</v>
      </c>
      <c r="H340" s="67"/>
      <c r="I340" s="67"/>
      <c r="J340" s="67"/>
      <c r="K340" s="67"/>
      <c r="L340" s="67" t="s">
        <v>193</v>
      </c>
      <c r="M340" s="67" t="s">
        <v>187</v>
      </c>
      <c r="N340" s="67"/>
      <c r="O340" s="67"/>
      <c r="P340" s="67" t="s">
        <v>207</v>
      </c>
      <c r="Q340" s="67" t="s">
        <v>205</v>
      </c>
      <c r="R340" s="67" t="s">
        <v>255</v>
      </c>
      <c r="S340" s="67" t="s">
        <v>256</v>
      </c>
      <c r="T340" s="67">
        <v>1</v>
      </c>
      <c r="U340" s="67"/>
      <c r="V340" s="67" t="s">
        <v>138</v>
      </c>
      <c r="W340" s="67">
        <v>4</v>
      </c>
      <c r="X340" s="67">
        <v>50000</v>
      </c>
      <c r="Y340" s="67">
        <v>45000</v>
      </c>
      <c r="Z340" s="68">
        <f t="shared" ref="Z340" si="313">X340/Y340*100</f>
        <v>111.11111111111111</v>
      </c>
      <c r="AA340" s="67">
        <v>1200000</v>
      </c>
      <c r="AB340" s="67">
        <v>650000</v>
      </c>
      <c r="AC340" s="68">
        <f t="shared" ref="AC340" si="314">AB340/AA340*100</f>
        <v>54.166666666666664</v>
      </c>
      <c r="AD340" s="67">
        <v>495000</v>
      </c>
      <c r="AE340" s="68">
        <f t="shared" ref="AE340" si="315">AB340/AD340*100</f>
        <v>131.31313131313132</v>
      </c>
      <c r="AF340" s="67" t="s">
        <v>139</v>
      </c>
      <c r="AH340" s="66"/>
    </row>
    <row r="341" spans="1:34" s="65" customFormat="1">
      <c r="A341" s="63" t="s">
        <v>296</v>
      </c>
      <c r="B341" s="63" t="s">
        <v>298</v>
      </c>
      <c r="C341" s="62" t="s">
        <v>178</v>
      </c>
      <c r="D341" s="63" t="s">
        <v>304</v>
      </c>
      <c r="E341" s="63" t="s">
        <v>96</v>
      </c>
      <c r="F341" s="63" t="s">
        <v>130</v>
      </c>
      <c r="G341" s="63" t="s">
        <v>128</v>
      </c>
      <c r="H341" s="62"/>
      <c r="I341" s="63"/>
      <c r="J341" s="62"/>
      <c r="K341" s="63"/>
      <c r="L341" s="63" t="s">
        <v>196</v>
      </c>
      <c r="M341" s="63" t="s">
        <v>190</v>
      </c>
      <c r="N341" s="62"/>
      <c r="O341" s="63"/>
      <c r="P341" s="62" t="s">
        <v>197</v>
      </c>
      <c r="Q341" s="63" t="s">
        <v>252</v>
      </c>
      <c r="R341" s="62" t="s">
        <v>245</v>
      </c>
      <c r="S341" s="63" t="s">
        <v>246</v>
      </c>
      <c r="T341" s="63">
        <v>0</v>
      </c>
      <c r="U341" s="63">
        <v>118001</v>
      </c>
      <c r="V341" s="63" t="s">
        <v>129</v>
      </c>
      <c r="W341" s="63">
        <v>4</v>
      </c>
      <c r="X341" s="63">
        <v>400000</v>
      </c>
      <c r="Y341" s="63">
        <v>390000</v>
      </c>
      <c r="Z341" s="64">
        <f>X341/Y341*100</f>
        <v>102.56410256410255</v>
      </c>
      <c r="AA341" s="63">
        <v>11600000</v>
      </c>
      <c r="AB341" s="63">
        <v>5200000</v>
      </c>
      <c r="AC341" s="64">
        <f>AB341/AA341*100</f>
        <v>44.827586206896555</v>
      </c>
      <c r="AD341" s="63">
        <v>4290000</v>
      </c>
      <c r="AE341" s="64">
        <f>AB341/AD341*100</f>
        <v>121.21212121212122</v>
      </c>
      <c r="AF341" s="63" t="s">
        <v>75</v>
      </c>
      <c r="AH341" s="66"/>
    </row>
    <row r="342" spans="1:34" s="65" customFormat="1">
      <c r="A342" s="67" t="s">
        <v>296</v>
      </c>
      <c r="B342" s="67" t="s">
        <v>298</v>
      </c>
      <c r="C342" s="77" t="s">
        <v>178</v>
      </c>
      <c r="D342" s="67" t="s">
        <v>305</v>
      </c>
      <c r="E342" s="67" t="s">
        <v>96</v>
      </c>
      <c r="F342" s="67" t="s">
        <v>130</v>
      </c>
      <c r="G342" s="67" t="s">
        <v>128</v>
      </c>
      <c r="H342" s="67"/>
      <c r="I342" s="67"/>
      <c r="J342" s="67"/>
      <c r="K342" s="67"/>
      <c r="L342" s="67" t="s">
        <v>196</v>
      </c>
      <c r="M342" s="67" t="s">
        <v>190</v>
      </c>
      <c r="N342" s="67"/>
      <c r="O342" s="67"/>
      <c r="P342" s="67" t="s">
        <v>196</v>
      </c>
      <c r="Q342" s="67" t="s">
        <v>190</v>
      </c>
      <c r="R342" s="67" t="s">
        <v>245</v>
      </c>
      <c r="S342" s="67" t="s">
        <v>246</v>
      </c>
      <c r="T342" s="67">
        <v>0</v>
      </c>
      <c r="U342" s="67">
        <v>118002</v>
      </c>
      <c r="V342" s="67" t="s">
        <v>131</v>
      </c>
      <c r="W342" s="67">
        <v>4</v>
      </c>
      <c r="X342" s="67">
        <v>200000</v>
      </c>
      <c r="Y342" s="67">
        <v>190000</v>
      </c>
      <c r="Z342" s="68">
        <f t="shared" ref="Z342:Z344" si="316">X342/Y342*100</f>
        <v>105.26315789473684</v>
      </c>
      <c r="AA342" s="67">
        <v>4800000</v>
      </c>
      <c r="AB342" s="67">
        <v>2600000</v>
      </c>
      <c r="AC342" s="68">
        <f t="shared" ref="AC342:AC344" si="317">AB342/AA342*100</f>
        <v>54.166666666666664</v>
      </c>
      <c r="AD342" s="67">
        <v>2090000</v>
      </c>
      <c r="AE342" s="68">
        <f t="shared" ref="AE342:AE344" si="318">AB342/AD342*100</f>
        <v>124.4019138755981</v>
      </c>
      <c r="AF342" s="67" t="s">
        <v>141</v>
      </c>
      <c r="AH342" s="66"/>
    </row>
    <row r="343" spans="1:34" s="65" customFormat="1">
      <c r="A343" s="63" t="s">
        <v>296</v>
      </c>
      <c r="B343" s="63" t="s">
        <v>298</v>
      </c>
      <c r="C343" s="62" t="s">
        <v>178</v>
      </c>
      <c r="D343" s="63" t="s">
        <v>304</v>
      </c>
      <c r="E343" s="63" t="s">
        <v>96</v>
      </c>
      <c r="F343" s="63" t="s">
        <v>130</v>
      </c>
      <c r="G343" s="63" t="s">
        <v>128</v>
      </c>
      <c r="H343" s="63"/>
      <c r="I343" s="63"/>
      <c r="J343" s="63"/>
      <c r="K343" s="63"/>
      <c r="L343" s="63" t="s">
        <v>196</v>
      </c>
      <c r="M343" s="63" t="s">
        <v>190</v>
      </c>
      <c r="N343" s="63"/>
      <c r="O343" s="63"/>
      <c r="P343" s="63" t="s">
        <v>196</v>
      </c>
      <c r="Q343" s="63" t="s">
        <v>190</v>
      </c>
      <c r="R343" s="63" t="s">
        <v>245</v>
      </c>
      <c r="S343" s="63" t="s">
        <v>246</v>
      </c>
      <c r="T343" s="63">
        <v>1</v>
      </c>
      <c r="U343" s="63"/>
      <c r="V343" s="63" t="s">
        <v>132</v>
      </c>
      <c r="W343" s="63">
        <v>4</v>
      </c>
      <c r="X343" s="63">
        <v>600000</v>
      </c>
      <c r="Y343" s="63">
        <v>580000</v>
      </c>
      <c r="Z343" s="64">
        <f t="shared" si="316"/>
        <v>103.44827586206897</v>
      </c>
      <c r="AA343" s="63">
        <v>16400000</v>
      </c>
      <c r="AB343" s="63">
        <v>7800000</v>
      </c>
      <c r="AC343" s="64">
        <f t="shared" si="317"/>
        <v>47.560975609756099</v>
      </c>
      <c r="AD343" s="63">
        <v>6380000</v>
      </c>
      <c r="AE343" s="64">
        <f t="shared" si="318"/>
        <v>122.25705329153604</v>
      </c>
      <c r="AF343" s="63" t="s">
        <v>133</v>
      </c>
      <c r="AH343" s="66"/>
    </row>
    <row r="344" spans="1:34" s="65" customFormat="1">
      <c r="A344" s="67" t="s">
        <v>296</v>
      </c>
      <c r="B344" s="67" t="s">
        <v>298</v>
      </c>
      <c r="C344" s="77" t="s">
        <v>178</v>
      </c>
      <c r="D344" s="67" t="s">
        <v>305</v>
      </c>
      <c r="E344" s="67" t="s">
        <v>96</v>
      </c>
      <c r="F344" s="67" t="s">
        <v>130</v>
      </c>
      <c r="G344" s="67" t="s">
        <v>128</v>
      </c>
      <c r="H344" s="67"/>
      <c r="I344" s="67"/>
      <c r="J344" s="67"/>
      <c r="K344" s="67"/>
      <c r="L344" s="67" t="s">
        <v>196</v>
      </c>
      <c r="M344" s="67" t="s">
        <v>190</v>
      </c>
      <c r="N344" s="67"/>
      <c r="O344" s="67"/>
      <c r="P344" s="67" t="s">
        <v>196</v>
      </c>
      <c r="Q344" s="67" t="s">
        <v>190</v>
      </c>
      <c r="R344" s="67" t="s">
        <v>245</v>
      </c>
      <c r="S344" s="67" t="s">
        <v>246</v>
      </c>
      <c r="T344" s="67">
        <v>0</v>
      </c>
      <c r="U344" s="67">
        <v>118003</v>
      </c>
      <c r="V344" s="67" t="s">
        <v>134</v>
      </c>
      <c r="W344" s="67">
        <v>4</v>
      </c>
      <c r="X344" s="67">
        <v>50000</v>
      </c>
      <c r="Y344" s="67">
        <v>45000</v>
      </c>
      <c r="Z344" s="68">
        <f t="shared" si="316"/>
        <v>111.11111111111111</v>
      </c>
      <c r="AA344" s="67">
        <v>1200000</v>
      </c>
      <c r="AB344" s="67">
        <v>650000</v>
      </c>
      <c r="AC344" s="68">
        <f t="shared" si="317"/>
        <v>54.166666666666664</v>
      </c>
      <c r="AD344" s="67">
        <v>495000</v>
      </c>
      <c r="AE344" s="68">
        <f t="shared" si="318"/>
        <v>131.31313131313132</v>
      </c>
      <c r="AF344" s="67" t="s">
        <v>135</v>
      </c>
      <c r="AH344" s="66"/>
    </row>
    <row r="345" spans="1:34" s="65" customFormat="1">
      <c r="A345" s="63" t="s">
        <v>296</v>
      </c>
      <c r="B345" s="63" t="s">
        <v>298</v>
      </c>
      <c r="C345" s="62" t="s">
        <v>178</v>
      </c>
      <c r="D345" s="63" t="s">
        <v>304</v>
      </c>
      <c r="E345" s="63" t="s">
        <v>96</v>
      </c>
      <c r="F345" s="63" t="s">
        <v>130</v>
      </c>
      <c r="G345" s="63" t="s">
        <v>128</v>
      </c>
      <c r="H345" s="63"/>
      <c r="I345" s="63"/>
      <c r="J345" s="63"/>
      <c r="K345" s="63"/>
      <c r="L345" s="63" t="s">
        <v>196</v>
      </c>
      <c r="M345" s="63" t="s">
        <v>190</v>
      </c>
      <c r="N345" s="63"/>
      <c r="O345" s="63"/>
      <c r="P345" s="63" t="s">
        <v>196</v>
      </c>
      <c r="Q345" s="63" t="s">
        <v>190</v>
      </c>
      <c r="R345" s="63" t="s">
        <v>245</v>
      </c>
      <c r="S345" s="63" t="s">
        <v>246</v>
      </c>
      <c r="T345" s="63">
        <v>0</v>
      </c>
      <c r="U345" s="63">
        <v>118004</v>
      </c>
      <c r="V345" s="63" t="s">
        <v>136</v>
      </c>
      <c r="W345" s="63">
        <v>4</v>
      </c>
      <c r="X345" s="63"/>
      <c r="Y345" s="63"/>
      <c r="Z345" s="69" t="s">
        <v>182</v>
      </c>
      <c r="AA345" s="63"/>
      <c r="AB345" s="63"/>
      <c r="AC345" s="69" t="s">
        <v>182</v>
      </c>
      <c r="AD345" s="63"/>
      <c r="AE345" s="69" t="s">
        <v>182</v>
      </c>
      <c r="AF345" s="63" t="s">
        <v>81</v>
      </c>
      <c r="AH345" s="66"/>
    </row>
    <row r="346" spans="1:34" s="65" customFormat="1">
      <c r="A346" s="67" t="s">
        <v>296</v>
      </c>
      <c r="B346" s="67" t="s">
        <v>298</v>
      </c>
      <c r="C346" s="77" t="s">
        <v>178</v>
      </c>
      <c r="D346" s="67" t="s">
        <v>305</v>
      </c>
      <c r="E346" s="67" t="s">
        <v>96</v>
      </c>
      <c r="F346" s="67" t="s">
        <v>130</v>
      </c>
      <c r="G346" s="67" t="s">
        <v>128</v>
      </c>
      <c r="H346" s="67"/>
      <c r="I346" s="67"/>
      <c r="J346" s="67"/>
      <c r="K346" s="67"/>
      <c r="L346" s="67" t="s">
        <v>196</v>
      </c>
      <c r="M346" s="67" t="s">
        <v>190</v>
      </c>
      <c r="N346" s="67"/>
      <c r="O346" s="67"/>
      <c r="P346" s="67" t="s">
        <v>196</v>
      </c>
      <c r="Q346" s="67" t="s">
        <v>190</v>
      </c>
      <c r="R346" s="67" t="s">
        <v>245</v>
      </c>
      <c r="S346" s="67" t="s">
        <v>246</v>
      </c>
      <c r="T346" s="67">
        <v>1</v>
      </c>
      <c r="U346" s="67"/>
      <c r="V346" s="67" t="s">
        <v>138</v>
      </c>
      <c r="W346" s="67">
        <v>4</v>
      </c>
      <c r="X346" s="67">
        <v>50000</v>
      </c>
      <c r="Y346" s="67">
        <v>45000</v>
      </c>
      <c r="Z346" s="68">
        <f t="shared" ref="Z346" si="319">X346/Y346*100</f>
        <v>111.11111111111111</v>
      </c>
      <c r="AA346" s="67">
        <v>1200000</v>
      </c>
      <c r="AB346" s="67">
        <v>650000</v>
      </c>
      <c r="AC346" s="68">
        <f t="shared" ref="AC346" si="320">AB346/AA346*100</f>
        <v>54.166666666666664</v>
      </c>
      <c r="AD346" s="67">
        <v>495000</v>
      </c>
      <c r="AE346" s="68">
        <f t="shared" ref="AE346" si="321">AB346/AD346*100</f>
        <v>131.31313131313132</v>
      </c>
      <c r="AF346" s="67" t="s">
        <v>139</v>
      </c>
      <c r="AH346" s="66"/>
    </row>
    <row r="347" spans="1:34" s="65" customFormat="1">
      <c r="A347" s="63" t="s">
        <v>296</v>
      </c>
      <c r="B347" s="63" t="s">
        <v>298</v>
      </c>
      <c r="C347" s="62" t="s">
        <v>178</v>
      </c>
      <c r="D347" s="63" t="s">
        <v>304</v>
      </c>
      <c r="E347" s="63" t="s">
        <v>96</v>
      </c>
      <c r="F347" s="63" t="s">
        <v>130</v>
      </c>
      <c r="G347" s="63" t="s">
        <v>128</v>
      </c>
      <c r="H347" s="62"/>
      <c r="I347" s="63"/>
      <c r="J347" s="62"/>
      <c r="K347" s="63"/>
      <c r="L347" s="63" t="s">
        <v>196</v>
      </c>
      <c r="M347" s="63" t="s">
        <v>190</v>
      </c>
      <c r="N347" s="63"/>
      <c r="O347" s="63"/>
      <c r="P347" s="63" t="s">
        <v>196</v>
      </c>
      <c r="Q347" s="63" t="s">
        <v>190</v>
      </c>
      <c r="R347" s="62" t="s">
        <v>247</v>
      </c>
      <c r="S347" s="63" t="s">
        <v>248</v>
      </c>
      <c r="T347" s="63">
        <v>0</v>
      </c>
      <c r="U347" s="63">
        <v>118001</v>
      </c>
      <c r="V347" s="63" t="s">
        <v>129</v>
      </c>
      <c r="W347" s="63">
        <v>4</v>
      </c>
      <c r="X347" s="63">
        <v>400000</v>
      </c>
      <c r="Y347" s="63">
        <v>390000</v>
      </c>
      <c r="Z347" s="64">
        <f>X347/Y347*100</f>
        <v>102.56410256410255</v>
      </c>
      <c r="AA347" s="63">
        <v>11600000</v>
      </c>
      <c r="AB347" s="63">
        <v>5200000</v>
      </c>
      <c r="AC347" s="64">
        <f>AB347/AA347*100</f>
        <v>44.827586206896555</v>
      </c>
      <c r="AD347" s="63">
        <v>4290000</v>
      </c>
      <c r="AE347" s="64">
        <f>AB347/AD347*100</f>
        <v>121.21212121212122</v>
      </c>
      <c r="AF347" s="63" t="s">
        <v>75</v>
      </c>
      <c r="AH347" s="66"/>
    </row>
    <row r="348" spans="1:34" s="65" customFormat="1">
      <c r="A348" s="67" t="s">
        <v>296</v>
      </c>
      <c r="B348" s="67" t="s">
        <v>298</v>
      </c>
      <c r="C348" s="77" t="s">
        <v>178</v>
      </c>
      <c r="D348" s="67" t="s">
        <v>305</v>
      </c>
      <c r="E348" s="67" t="s">
        <v>96</v>
      </c>
      <c r="F348" s="67" t="s">
        <v>130</v>
      </c>
      <c r="G348" s="67" t="s">
        <v>128</v>
      </c>
      <c r="H348" s="67"/>
      <c r="I348" s="67"/>
      <c r="J348" s="67"/>
      <c r="K348" s="67"/>
      <c r="L348" s="67" t="s">
        <v>196</v>
      </c>
      <c r="M348" s="67" t="s">
        <v>190</v>
      </c>
      <c r="N348" s="67"/>
      <c r="O348" s="67"/>
      <c r="P348" s="67" t="s">
        <v>196</v>
      </c>
      <c r="Q348" s="67" t="s">
        <v>190</v>
      </c>
      <c r="R348" s="67" t="s">
        <v>247</v>
      </c>
      <c r="S348" s="67" t="s">
        <v>248</v>
      </c>
      <c r="T348" s="67">
        <v>0</v>
      </c>
      <c r="U348" s="67">
        <v>118002</v>
      </c>
      <c r="V348" s="67" t="s">
        <v>131</v>
      </c>
      <c r="W348" s="67">
        <v>4</v>
      </c>
      <c r="X348" s="67">
        <v>200000</v>
      </c>
      <c r="Y348" s="67">
        <v>190000</v>
      </c>
      <c r="Z348" s="68">
        <f t="shared" ref="Z348:Z350" si="322">X348/Y348*100</f>
        <v>105.26315789473684</v>
      </c>
      <c r="AA348" s="67">
        <v>4800000</v>
      </c>
      <c r="AB348" s="67">
        <v>2600000</v>
      </c>
      <c r="AC348" s="68">
        <f t="shared" ref="AC348:AC350" si="323">AB348/AA348*100</f>
        <v>54.166666666666664</v>
      </c>
      <c r="AD348" s="67">
        <v>2090000</v>
      </c>
      <c r="AE348" s="68">
        <f t="shared" ref="AE348:AE350" si="324">AB348/AD348*100</f>
        <v>124.4019138755981</v>
      </c>
      <c r="AF348" s="67" t="s">
        <v>141</v>
      </c>
      <c r="AH348" s="66"/>
    </row>
    <row r="349" spans="1:34" s="65" customFormat="1">
      <c r="A349" s="63" t="s">
        <v>296</v>
      </c>
      <c r="B349" s="63" t="s">
        <v>298</v>
      </c>
      <c r="C349" s="62" t="s">
        <v>178</v>
      </c>
      <c r="D349" s="63" t="s">
        <v>304</v>
      </c>
      <c r="E349" s="63" t="s">
        <v>96</v>
      </c>
      <c r="F349" s="63" t="s">
        <v>130</v>
      </c>
      <c r="G349" s="63" t="s">
        <v>128</v>
      </c>
      <c r="H349" s="63"/>
      <c r="I349" s="63"/>
      <c r="J349" s="63"/>
      <c r="K349" s="63"/>
      <c r="L349" s="63" t="s">
        <v>196</v>
      </c>
      <c r="M349" s="63" t="s">
        <v>190</v>
      </c>
      <c r="N349" s="63"/>
      <c r="O349" s="63"/>
      <c r="P349" s="63" t="s">
        <v>196</v>
      </c>
      <c r="Q349" s="63" t="s">
        <v>190</v>
      </c>
      <c r="R349" s="63" t="s">
        <v>247</v>
      </c>
      <c r="S349" s="63" t="s">
        <v>248</v>
      </c>
      <c r="T349" s="63">
        <v>1</v>
      </c>
      <c r="U349" s="63"/>
      <c r="V349" s="63" t="s">
        <v>132</v>
      </c>
      <c r="W349" s="63">
        <v>4</v>
      </c>
      <c r="X349" s="63">
        <v>600000</v>
      </c>
      <c r="Y349" s="63">
        <v>580000</v>
      </c>
      <c r="Z349" s="64">
        <f t="shared" si="322"/>
        <v>103.44827586206897</v>
      </c>
      <c r="AA349" s="63">
        <v>16400000</v>
      </c>
      <c r="AB349" s="63">
        <v>7800000</v>
      </c>
      <c r="AC349" s="64">
        <f t="shared" si="323"/>
        <v>47.560975609756099</v>
      </c>
      <c r="AD349" s="63">
        <v>6380000</v>
      </c>
      <c r="AE349" s="64">
        <f t="shared" si="324"/>
        <v>122.25705329153604</v>
      </c>
      <c r="AF349" s="63" t="s">
        <v>133</v>
      </c>
      <c r="AH349" s="66"/>
    </row>
    <row r="350" spans="1:34" s="65" customFormat="1">
      <c r="A350" s="67" t="s">
        <v>296</v>
      </c>
      <c r="B350" s="67" t="s">
        <v>298</v>
      </c>
      <c r="C350" s="77" t="s">
        <v>178</v>
      </c>
      <c r="D350" s="67" t="s">
        <v>305</v>
      </c>
      <c r="E350" s="67" t="s">
        <v>96</v>
      </c>
      <c r="F350" s="67" t="s">
        <v>130</v>
      </c>
      <c r="G350" s="67" t="s">
        <v>128</v>
      </c>
      <c r="H350" s="67"/>
      <c r="I350" s="67"/>
      <c r="J350" s="67"/>
      <c r="K350" s="67"/>
      <c r="L350" s="67" t="s">
        <v>196</v>
      </c>
      <c r="M350" s="67" t="s">
        <v>190</v>
      </c>
      <c r="N350" s="67"/>
      <c r="O350" s="67"/>
      <c r="P350" s="67" t="s">
        <v>196</v>
      </c>
      <c r="Q350" s="67" t="s">
        <v>190</v>
      </c>
      <c r="R350" s="67" t="s">
        <v>247</v>
      </c>
      <c r="S350" s="67" t="s">
        <v>248</v>
      </c>
      <c r="T350" s="67">
        <v>0</v>
      </c>
      <c r="U350" s="67">
        <v>118003</v>
      </c>
      <c r="V350" s="67" t="s">
        <v>134</v>
      </c>
      <c r="W350" s="67">
        <v>4</v>
      </c>
      <c r="X350" s="67">
        <v>50000</v>
      </c>
      <c r="Y350" s="67">
        <v>45000</v>
      </c>
      <c r="Z350" s="68">
        <f t="shared" si="322"/>
        <v>111.11111111111111</v>
      </c>
      <c r="AA350" s="67">
        <v>1200000</v>
      </c>
      <c r="AB350" s="67">
        <v>650000</v>
      </c>
      <c r="AC350" s="68">
        <f t="shared" si="323"/>
        <v>54.166666666666664</v>
      </c>
      <c r="AD350" s="67">
        <v>495000</v>
      </c>
      <c r="AE350" s="68">
        <f t="shared" si="324"/>
        <v>131.31313131313132</v>
      </c>
      <c r="AF350" s="67" t="s">
        <v>135</v>
      </c>
      <c r="AH350" s="66"/>
    </row>
    <row r="351" spans="1:34" s="65" customFormat="1">
      <c r="A351" s="63" t="s">
        <v>296</v>
      </c>
      <c r="B351" s="63" t="s">
        <v>298</v>
      </c>
      <c r="C351" s="62" t="s">
        <v>178</v>
      </c>
      <c r="D351" s="63" t="s">
        <v>304</v>
      </c>
      <c r="E351" s="63" t="s">
        <v>96</v>
      </c>
      <c r="F351" s="63" t="s">
        <v>130</v>
      </c>
      <c r="G351" s="63" t="s">
        <v>128</v>
      </c>
      <c r="H351" s="63"/>
      <c r="I351" s="63"/>
      <c r="J351" s="63"/>
      <c r="K351" s="63"/>
      <c r="L351" s="63" t="s">
        <v>196</v>
      </c>
      <c r="M351" s="63" t="s">
        <v>190</v>
      </c>
      <c r="N351" s="63"/>
      <c r="O351" s="63"/>
      <c r="P351" s="63" t="s">
        <v>196</v>
      </c>
      <c r="Q351" s="63" t="s">
        <v>190</v>
      </c>
      <c r="R351" s="63" t="s">
        <v>247</v>
      </c>
      <c r="S351" s="63" t="s">
        <v>248</v>
      </c>
      <c r="T351" s="63">
        <v>0</v>
      </c>
      <c r="U351" s="63">
        <v>118004</v>
      </c>
      <c r="V351" s="63" t="s">
        <v>136</v>
      </c>
      <c r="W351" s="63">
        <v>4</v>
      </c>
      <c r="X351" s="63"/>
      <c r="Y351" s="63"/>
      <c r="Z351" s="69" t="s">
        <v>182</v>
      </c>
      <c r="AA351" s="63"/>
      <c r="AB351" s="63"/>
      <c r="AC351" s="69" t="s">
        <v>182</v>
      </c>
      <c r="AD351" s="63"/>
      <c r="AE351" s="69" t="s">
        <v>182</v>
      </c>
      <c r="AF351" s="63" t="s">
        <v>81</v>
      </c>
      <c r="AH351" s="66"/>
    </row>
    <row r="352" spans="1:34" s="65" customFormat="1">
      <c r="A352" s="67" t="s">
        <v>296</v>
      </c>
      <c r="B352" s="67" t="s">
        <v>298</v>
      </c>
      <c r="C352" s="77" t="s">
        <v>178</v>
      </c>
      <c r="D352" s="67" t="s">
        <v>305</v>
      </c>
      <c r="E352" s="67" t="s">
        <v>96</v>
      </c>
      <c r="F352" s="67" t="s">
        <v>130</v>
      </c>
      <c r="G352" s="67" t="s">
        <v>128</v>
      </c>
      <c r="H352" s="67"/>
      <c r="I352" s="67"/>
      <c r="J352" s="67"/>
      <c r="K352" s="67"/>
      <c r="L352" s="67" t="s">
        <v>196</v>
      </c>
      <c r="M352" s="67" t="s">
        <v>190</v>
      </c>
      <c r="N352" s="67"/>
      <c r="O352" s="67"/>
      <c r="P352" s="67" t="s">
        <v>196</v>
      </c>
      <c r="Q352" s="67" t="s">
        <v>190</v>
      </c>
      <c r="R352" s="67" t="s">
        <v>247</v>
      </c>
      <c r="S352" s="67" t="s">
        <v>248</v>
      </c>
      <c r="T352" s="67">
        <v>1</v>
      </c>
      <c r="U352" s="67"/>
      <c r="V352" s="67" t="s">
        <v>138</v>
      </c>
      <c r="W352" s="67">
        <v>4</v>
      </c>
      <c r="X352" s="67">
        <v>50000</v>
      </c>
      <c r="Y352" s="67">
        <v>45000</v>
      </c>
      <c r="Z352" s="68">
        <f t="shared" ref="Z352" si="325">X352/Y352*100</f>
        <v>111.11111111111111</v>
      </c>
      <c r="AA352" s="67">
        <v>1200000</v>
      </c>
      <c r="AB352" s="67">
        <v>650000</v>
      </c>
      <c r="AC352" s="68">
        <f t="shared" ref="AC352" si="326">AB352/AA352*100</f>
        <v>54.166666666666664</v>
      </c>
      <c r="AD352" s="67">
        <v>495000</v>
      </c>
      <c r="AE352" s="68">
        <f t="shared" ref="AE352" si="327">AB352/AD352*100</f>
        <v>131.31313131313132</v>
      </c>
      <c r="AF352" s="67" t="s">
        <v>139</v>
      </c>
      <c r="AH352" s="66"/>
    </row>
    <row r="353" spans="1:34" s="65" customFormat="1">
      <c r="A353" s="63" t="s">
        <v>296</v>
      </c>
      <c r="B353" s="63" t="s">
        <v>298</v>
      </c>
      <c r="C353" s="62" t="s">
        <v>178</v>
      </c>
      <c r="D353" s="63" t="s">
        <v>304</v>
      </c>
      <c r="E353" s="63" t="s">
        <v>96</v>
      </c>
      <c r="F353" s="63" t="s">
        <v>130</v>
      </c>
      <c r="G353" s="63" t="s">
        <v>128</v>
      </c>
      <c r="H353" s="62"/>
      <c r="I353" s="63"/>
      <c r="J353" s="62"/>
      <c r="K353" s="63"/>
      <c r="L353" s="63" t="s">
        <v>196</v>
      </c>
      <c r="M353" s="63" t="s">
        <v>190</v>
      </c>
      <c r="N353" s="62"/>
      <c r="O353" s="63"/>
      <c r="P353" s="62" t="s">
        <v>226</v>
      </c>
      <c r="Q353" s="63" t="s">
        <v>254</v>
      </c>
      <c r="R353" s="62" t="s">
        <v>245</v>
      </c>
      <c r="S353" s="63" t="s">
        <v>246</v>
      </c>
      <c r="T353" s="63">
        <v>0</v>
      </c>
      <c r="U353" s="63">
        <v>118001</v>
      </c>
      <c r="V353" s="63" t="s">
        <v>129</v>
      </c>
      <c r="W353" s="63">
        <v>4</v>
      </c>
      <c r="X353" s="63">
        <v>400000</v>
      </c>
      <c r="Y353" s="63">
        <v>390000</v>
      </c>
      <c r="Z353" s="64">
        <f>X353/Y353*100</f>
        <v>102.56410256410255</v>
      </c>
      <c r="AA353" s="63">
        <v>11600000</v>
      </c>
      <c r="AB353" s="63">
        <v>5200000</v>
      </c>
      <c r="AC353" s="64">
        <f>AB353/AA353*100</f>
        <v>44.827586206896555</v>
      </c>
      <c r="AD353" s="63">
        <v>4290000</v>
      </c>
      <c r="AE353" s="64">
        <f>AB353/AD353*100</f>
        <v>121.21212121212122</v>
      </c>
      <c r="AF353" s="63" t="s">
        <v>75</v>
      </c>
      <c r="AH353" s="66"/>
    </row>
    <row r="354" spans="1:34" s="65" customFormat="1">
      <c r="A354" s="67" t="s">
        <v>296</v>
      </c>
      <c r="B354" s="67" t="s">
        <v>298</v>
      </c>
      <c r="C354" s="77" t="s">
        <v>178</v>
      </c>
      <c r="D354" s="67" t="s">
        <v>305</v>
      </c>
      <c r="E354" s="67" t="s">
        <v>96</v>
      </c>
      <c r="F354" s="67" t="s">
        <v>130</v>
      </c>
      <c r="G354" s="67" t="s">
        <v>128</v>
      </c>
      <c r="H354" s="67"/>
      <c r="I354" s="67"/>
      <c r="J354" s="67"/>
      <c r="K354" s="67"/>
      <c r="L354" s="67" t="s">
        <v>196</v>
      </c>
      <c r="M354" s="67" t="s">
        <v>190</v>
      </c>
      <c r="N354" s="67"/>
      <c r="O354" s="67"/>
      <c r="P354" s="67" t="s">
        <v>225</v>
      </c>
      <c r="Q354" s="67" t="s">
        <v>253</v>
      </c>
      <c r="R354" s="67" t="s">
        <v>245</v>
      </c>
      <c r="S354" s="67" t="s">
        <v>246</v>
      </c>
      <c r="T354" s="67">
        <v>0</v>
      </c>
      <c r="U354" s="67">
        <v>118002</v>
      </c>
      <c r="V354" s="67" t="s">
        <v>131</v>
      </c>
      <c r="W354" s="67">
        <v>4</v>
      </c>
      <c r="X354" s="67">
        <v>200000</v>
      </c>
      <c r="Y354" s="67">
        <v>190000</v>
      </c>
      <c r="Z354" s="68">
        <f t="shared" ref="Z354:Z356" si="328">X354/Y354*100</f>
        <v>105.26315789473684</v>
      </c>
      <c r="AA354" s="67">
        <v>4800000</v>
      </c>
      <c r="AB354" s="67">
        <v>2600000</v>
      </c>
      <c r="AC354" s="68">
        <f t="shared" ref="AC354:AC356" si="329">AB354/AA354*100</f>
        <v>54.166666666666664</v>
      </c>
      <c r="AD354" s="67">
        <v>2090000</v>
      </c>
      <c r="AE354" s="68">
        <f t="shared" ref="AE354:AE356" si="330">AB354/AD354*100</f>
        <v>124.4019138755981</v>
      </c>
      <c r="AF354" s="67" t="s">
        <v>141</v>
      </c>
      <c r="AH354" s="66"/>
    </row>
    <row r="355" spans="1:34" s="65" customFormat="1">
      <c r="A355" s="63" t="s">
        <v>296</v>
      </c>
      <c r="B355" s="63" t="s">
        <v>298</v>
      </c>
      <c r="C355" s="62" t="s">
        <v>178</v>
      </c>
      <c r="D355" s="63" t="s">
        <v>304</v>
      </c>
      <c r="E355" s="63" t="s">
        <v>96</v>
      </c>
      <c r="F355" s="63" t="s">
        <v>130</v>
      </c>
      <c r="G355" s="63" t="s">
        <v>128</v>
      </c>
      <c r="H355" s="63"/>
      <c r="I355" s="63"/>
      <c r="J355" s="63"/>
      <c r="K355" s="63"/>
      <c r="L355" s="63" t="s">
        <v>196</v>
      </c>
      <c r="M355" s="63" t="s">
        <v>190</v>
      </c>
      <c r="N355" s="63"/>
      <c r="O355" s="63"/>
      <c r="P355" s="63" t="s">
        <v>225</v>
      </c>
      <c r="Q355" s="63" t="s">
        <v>253</v>
      </c>
      <c r="R355" s="63" t="s">
        <v>245</v>
      </c>
      <c r="S355" s="63" t="s">
        <v>246</v>
      </c>
      <c r="T355" s="63">
        <v>1</v>
      </c>
      <c r="U355" s="63"/>
      <c r="V355" s="63" t="s">
        <v>132</v>
      </c>
      <c r="W355" s="63">
        <v>4</v>
      </c>
      <c r="X355" s="63">
        <v>600000</v>
      </c>
      <c r="Y355" s="63">
        <v>580000</v>
      </c>
      <c r="Z355" s="64">
        <f t="shared" si="328"/>
        <v>103.44827586206897</v>
      </c>
      <c r="AA355" s="63">
        <v>16400000</v>
      </c>
      <c r="AB355" s="63">
        <v>7800000</v>
      </c>
      <c r="AC355" s="64">
        <f t="shared" si="329"/>
        <v>47.560975609756099</v>
      </c>
      <c r="AD355" s="63">
        <v>6380000</v>
      </c>
      <c r="AE355" s="64">
        <f t="shared" si="330"/>
        <v>122.25705329153604</v>
      </c>
      <c r="AF355" s="63" t="s">
        <v>133</v>
      </c>
      <c r="AH355" s="66"/>
    </row>
    <row r="356" spans="1:34" s="65" customFormat="1">
      <c r="A356" s="67" t="s">
        <v>296</v>
      </c>
      <c r="B356" s="67" t="s">
        <v>298</v>
      </c>
      <c r="C356" s="77" t="s">
        <v>178</v>
      </c>
      <c r="D356" s="67" t="s">
        <v>305</v>
      </c>
      <c r="E356" s="67" t="s">
        <v>96</v>
      </c>
      <c r="F356" s="67" t="s">
        <v>130</v>
      </c>
      <c r="G356" s="67" t="s">
        <v>128</v>
      </c>
      <c r="H356" s="67"/>
      <c r="I356" s="67"/>
      <c r="J356" s="67"/>
      <c r="K356" s="67"/>
      <c r="L356" s="67" t="s">
        <v>196</v>
      </c>
      <c r="M356" s="67" t="s">
        <v>190</v>
      </c>
      <c r="N356" s="67"/>
      <c r="O356" s="67"/>
      <c r="P356" s="67" t="s">
        <v>225</v>
      </c>
      <c r="Q356" s="67" t="s">
        <v>253</v>
      </c>
      <c r="R356" s="67" t="s">
        <v>245</v>
      </c>
      <c r="S356" s="67" t="s">
        <v>246</v>
      </c>
      <c r="T356" s="67">
        <v>0</v>
      </c>
      <c r="U356" s="67">
        <v>118003</v>
      </c>
      <c r="V356" s="67" t="s">
        <v>134</v>
      </c>
      <c r="W356" s="67">
        <v>4</v>
      </c>
      <c r="X356" s="67">
        <v>50000</v>
      </c>
      <c r="Y356" s="67">
        <v>45000</v>
      </c>
      <c r="Z356" s="68">
        <f t="shared" si="328"/>
        <v>111.11111111111111</v>
      </c>
      <c r="AA356" s="67">
        <v>1200000</v>
      </c>
      <c r="AB356" s="67">
        <v>650000</v>
      </c>
      <c r="AC356" s="68">
        <f t="shared" si="329"/>
        <v>54.166666666666664</v>
      </c>
      <c r="AD356" s="67">
        <v>495000</v>
      </c>
      <c r="AE356" s="68">
        <f t="shared" si="330"/>
        <v>131.31313131313132</v>
      </c>
      <c r="AF356" s="67" t="s">
        <v>135</v>
      </c>
      <c r="AH356" s="66"/>
    </row>
    <row r="357" spans="1:34" s="65" customFormat="1">
      <c r="A357" s="63" t="s">
        <v>296</v>
      </c>
      <c r="B357" s="63" t="s">
        <v>298</v>
      </c>
      <c r="C357" s="62" t="s">
        <v>178</v>
      </c>
      <c r="D357" s="63" t="s">
        <v>304</v>
      </c>
      <c r="E357" s="63" t="s">
        <v>96</v>
      </c>
      <c r="F357" s="63" t="s">
        <v>130</v>
      </c>
      <c r="G357" s="63" t="s">
        <v>128</v>
      </c>
      <c r="H357" s="63"/>
      <c r="I357" s="63"/>
      <c r="J357" s="63"/>
      <c r="K357" s="63"/>
      <c r="L357" s="63" t="s">
        <v>196</v>
      </c>
      <c r="M357" s="63" t="s">
        <v>190</v>
      </c>
      <c r="N357" s="63"/>
      <c r="O357" s="63"/>
      <c r="P357" s="63" t="s">
        <v>225</v>
      </c>
      <c r="Q357" s="63" t="s">
        <v>253</v>
      </c>
      <c r="R357" s="63" t="s">
        <v>245</v>
      </c>
      <c r="S357" s="63" t="s">
        <v>246</v>
      </c>
      <c r="T357" s="63">
        <v>0</v>
      </c>
      <c r="U357" s="63">
        <v>118004</v>
      </c>
      <c r="V357" s="63" t="s">
        <v>136</v>
      </c>
      <c r="W357" s="63">
        <v>4</v>
      </c>
      <c r="X357" s="63"/>
      <c r="Y357" s="63"/>
      <c r="Z357" s="69" t="s">
        <v>182</v>
      </c>
      <c r="AA357" s="63"/>
      <c r="AB357" s="63"/>
      <c r="AC357" s="69" t="s">
        <v>182</v>
      </c>
      <c r="AD357" s="63"/>
      <c r="AE357" s="69" t="s">
        <v>182</v>
      </c>
      <c r="AF357" s="63" t="s">
        <v>81</v>
      </c>
      <c r="AH357" s="66"/>
    </row>
    <row r="358" spans="1:34" s="65" customFormat="1">
      <c r="A358" s="67" t="s">
        <v>296</v>
      </c>
      <c r="B358" s="67" t="s">
        <v>298</v>
      </c>
      <c r="C358" s="77" t="s">
        <v>178</v>
      </c>
      <c r="D358" s="67" t="s">
        <v>305</v>
      </c>
      <c r="E358" s="67" t="s">
        <v>96</v>
      </c>
      <c r="F358" s="67" t="s">
        <v>130</v>
      </c>
      <c r="G358" s="67" t="s">
        <v>128</v>
      </c>
      <c r="H358" s="67"/>
      <c r="I358" s="67"/>
      <c r="J358" s="67"/>
      <c r="K358" s="67"/>
      <c r="L358" s="67" t="s">
        <v>196</v>
      </c>
      <c r="M358" s="67" t="s">
        <v>190</v>
      </c>
      <c r="N358" s="67"/>
      <c r="O358" s="67"/>
      <c r="P358" s="67" t="s">
        <v>225</v>
      </c>
      <c r="Q358" s="67" t="s">
        <v>253</v>
      </c>
      <c r="R358" s="67" t="s">
        <v>245</v>
      </c>
      <c r="S358" s="67" t="s">
        <v>246</v>
      </c>
      <c r="T358" s="67">
        <v>1</v>
      </c>
      <c r="U358" s="67"/>
      <c r="V358" s="67" t="s">
        <v>138</v>
      </c>
      <c r="W358" s="67">
        <v>4</v>
      </c>
      <c r="X358" s="67">
        <v>50000</v>
      </c>
      <c r="Y358" s="67">
        <v>45000</v>
      </c>
      <c r="Z358" s="68">
        <f t="shared" ref="Z358" si="331">X358/Y358*100</f>
        <v>111.11111111111111</v>
      </c>
      <c r="AA358" s="67">
        <v>1200000</v>
      </c>
      <c r="AB358" s="67">
        <v>650000</v>
      </c>
      <c r="AC358" s="68">
        <f t="shared" ref="AC358" si="332">AB358/AA358*100</f>
        <v>54.166666666666664</v>
      </c>
      <c r="AD358" s="67">
        <v>495000</v>
      </c>
      <c r="AE358" s="68">
        <f t="shared" ref="AE358" si="333">AB358/AD358*100</f>
        <v>131.31313131313132</v>
      </c>
      <c r="AF358" s="67" t="s">
        <v>139</v>
      </c>
      <c r="AH358" s="66"/>
    </row>
    <row r="359" spans="1:34" s="65" customFormat="1">
      <c r="A359" s="63" t="s">
        <v>296</v>
      </c>
      <c r="B359" s="63" t="s">
        <v>298</v>
      </c>
      <c r="C359" s="62" t="s">
        <v>178</v>
      </c>
      <c r="D359" s="63" t="s">
        <v>304</v>
      </c>
      <c r="E359" s="63" t="s">
        <v>96</v>
      </c>
      <c r="F359" s="63" t="s">
        <v>130</v>
      </c>
      <c r="G359" s="63" t="s">
        <v>128</v>
      </c>
      <c r="H359" s="62"/>
      <c r="I359" s="63"/>
      <c r="J359" s="62"/>
      <c r="K359" s="63"/>
      <c r="L359" s="63" t="s">
        <v>196</v>
      </c>
      <c r="M359" s="63" t="s">
        <v>190</v>
      </c>
      <c r="N359" s="63"/>
      <c r="O359" s="63"/>
      <c r="P359" s="63" t="s">
        <v>225</v>
      </c>
      <c r="Q359" s="63" t="s">
        <v>253</v>
      </c>
      <c r="R359" s="62" t="s">
        <v>247</v>
      </c>
      <c r="S359" s="63" t="s">
        <v>248</v>
      </c>
      <c r="T359" s="63">
        <v>0</v>
      </c>
      <c r="U359" s="63">
        <v>118001</v>
      </c>
      <c r="V359" s="63" t="s">
        <v>129</v>
      </c>
      <c r="W359" s="63">
        <v>4</v>
      </c>
      <c r="X359" s="63">
        <v>400000</v>
      </c>
      <c r="Y359" s="63">
        <v>390000</v>
      </c>
      <c r="Z359" s="64">
        <f>X359/Y359*100</f>
        <v>102.56410256410255</v>
      </c>
      <c r="AA359" s="63">
        <v>11600000</v>
      </c>
      <c r="AB359" s="63">
        <v>5200000</v>
      </c>
      <c r="AC359" s="64">
        <f>AB359/AA359*100</f>
        <v>44.827586206896555</v>
      </c>
      <c r="AD359" s="63">
        <v>4290000</v>
      </c>
      <c r="AE359" s="64">
        <f>AB359/AD359*100</f>
        <v>121.21212121212122</v>
      </c>
      <c r="AF359" s="63" t="s">
        <v>75</v>
      </c>
      <c r="AH359" s="66"/>
    </row>
    <row r="360" spans="1:34" s="65" customFormat="1">
      <c r="A360" s="67" t="s">
        <v>296</v>
      </c>
      <c r="B360" s="67" t="s">
        <v>298</v>
      </c>
      <c r="C360" s="77" t="s">
        <v>178</v>
      </c>
      <c r="D360" s="67" t="s">
        <v>305</v>
      </c>
      <c r="E360" s="67" t="s">
        <v>96</v>
      </c>
      <c r="F360" s="67" t="s">
        <v>130</v>
      </c>
      <c r="G360" s="67" t="s">
        <v>128</v>
      </c>
      <c r="H360" s="67"/>
      <c r="I360" s="67"/>
      <c r="J360" s="67"/>
      <c r="K360" s="67"/>
      <c r="L360" s="67" t="s">
        <v>196</v>
      </c>
      <c r="M360" s="67" t="s">
        <v>190</v>
      </c>
      <c r="N360" s="67"/>
      <c r="O360" s="67"/>
      <c r="P360" s="67" t="s">
        <v>225</v>
      </c>
      <c r="Q360" s="67" t="s">
        <v>253</v>
      </c>
      <c r="R360" s="67" t="s">
        <v>247</v>
      </c>
      <c r="S360" s="67" t="s">
        <v>248</v>
      </c>
      <c r="T360" s="67">
        <v>0</v>
      </c>
      <c r="U360" s="67">
        <v>118002</v>
      </c>
      <c r="V360" s="67" t="s">
        <v>131</v>
      </c>
      <c r="W360" s="67">
        <v>4</v>
      </c>
      <c r="X360" s="67">
        <v>200000</v>
      </c>
      <c r="Y360" s="67">
        <v>190000</v>
      </c>
      <c r="Z360" s="68">
        <f t="shared" ref="Z360:Z362" si="334">X360/Y360*100</f>
        <v>105.26315789473684</v>
      </c>
      <c r="AA360" s="67">
        <v>4800000</v>
      </c>
      <c r="AB360" s="67">
        <v>2600000</v>
      </c>
      <c r="AC360" s="68">
        <f t="shared" ref="AC360:AC362" si="335">AB360/AA360*100</f>
        <v>54.166666666666664</v>
      </c>
      <c r="AD360" s="67">
        <v>2090000</v>
      </c>
      <c r="AE360" s="68">
        <f t="shared" ref="AE360:AE362" si="336">AB360/AD360*100</f>
        <v>124.4019138755981</v>
      </c>
      <c r="AF360" s="67" t="s">
        <v>141</v>
      </c>
      <c r="AH360" s="66"/>
    </row>
    <row r="361" spans="1:34" s="65" customFormat="1">
      <c r="A361" s="63" t="s">
        <v>296</v>
      </c>
      <c r="B361" s="63" t="s">
        <v>298</v>
      </c>
      <c r="C361" s="62" t="s">
        <v>178</v>
      </c>
      <c r="D361" s="63" t="s">
        <v>304</v>
      </c>
      <c r="E361" s="63" t="s">
        <v>96</v>
      </c>
      <c r="F361" s="63" t="s">
        <v>130</v>
      </c>
      <c r="G361" s="63" t="s">
        <v>128</v>
      </c>
      <c r="H361" s="63"/>
      <c r="I361" s="63"/>
      <c r="J361" s="63"/>
      <c r="K361" s="63"/>
      <c r="L361" s="63" t="s">
        <v>196</v>
      </c>
      <c r="M361" s="63" t="s">
        <v>190</v>
      </c>
      <c r="N361" s="63"/>
      <c r="O361" s="63"/>
      <c r="P361" s="63" t="s">
        <v>225</v>
      </c>
      <c r="Q361" s="63" t="s">
        <v>253</v>
      </c>
      <c r="R361" s="63" t="s">
        <v>247</v>
      </c>
      <c r="S361" s="63" t="s">
        <v>248</v>
      </c>
      <c r="T361" s="63">
        <v>1</v>
      </c>
      <c r="U361" s="63"/>
      <c r="V361" s="63" t="s">
        <v>132</v>
      </c>
      <c r="W361" s="63">
        <v>4</v>
      </c>
      <c r="X361" s="63">
        <v>600000</v>
      </c>
      <c r="Y361" s="63">
        <v>580000</v>
      </c>
      <c r="Z361" s="64">
        <f t="shared" si="334"/>
        <v>103.44827586206897</v>
      </c>
      <c r="AA361" s="63">
        <v>16400000</v>
      </c>
      <c r="AB361" s="63">
        <v>7800000</v>
      </c>
      <c r="AC361" s="64">
        <f t="shared" si="335"/>
        <v>47.560975609756099</v>
      </c>
      <c r="AD361" s="63">
        <v>6380000</v>
      </c>
      <c r="AE361" s="64">
        <f t="shared" si="336"/>
        <v>122.25705329153604</v>
      </c>
      <c r="AF361" s="63" t="s">
        <v>133</v>
      </c>
      <c r="AH361" s="66"/>
    </row>
    <row r="362" spans="1:34" s="65" customFormat="1">
      <c r="A362" s="67" t="s">
        <v>296</v>
      </c>
      <c r="B362" s="67" t="s">
        <v>298</v>
      </c>
      <c r="C362" s="77" t="s">
        <v>178</v>
      </c>
      <c r="D362" s="67" t="s">
        <v>305</v>
      </c>
      <c r="E362" s="67" t="s">
        <v>96</v>
      </c>
      <c r="F362" s="67" t="s">
        <v>130</v>
      </c>
      <c r="G362" s="67" t="s">
        <v>128</v>
      </c>
      <c r="H362" s="67"/>
      <c r="I362" s="67"/>
      <c r="J362" s="67"/>
      <c r="K362" s="67"/>
      <c r="L362" s="67" t="s">
        <v>196</v>
      </c>
      <c r="M362" s="67" t="s">
        <v>190</v>
      </c>
      <c r="N362" s="67"/>
      <c r="O362" s="67"/>
      <c r="P362" s="67" t="s">
        <v>225</v>
      </c>
      <c r="Q362" s="67" t="s">
        <v>253</v>
      </c>
      <c r="R362" s="67" t="s">
        <v>247</v>
      </c>
      <c r="S362" s="67" t="s">
        <v>248</v>
      </c>
      <c r="T362" s="67">
        <v>0</v>
      </c>
      <c r="U362" s="67">
        <v>118003</v>
      </c>
      <c r="V362" s="67" t="s">
        <v>134</v>
      </c>
      <c r="W362" s="67">
        <v>4</v>
      </c>
      <c r="X362" s="67">
        <v>50000</v>
      </c>
      <c r="Y362" s="67">
        <v>45000</v>
      </c>
      <c r="Z362" s="68">
        <f t="shared" si="334"/>
        <v>111.11111111111111</v>
      </c>
      <c r="AA362" s="67">
        <v>1200000</v>
      </c>
      <c r="AB362" s="67">
        <v>650000</v>
      </c>
      <c r="AC362" s="68">
        <f t="shared" si="335"/>
        <v>54.166666666666664</v>
      </c>
      <c r="AD362" s="67">
        <v>495000</v>
      </c>
      <c r="AE362" s="68">
        <f t="shared" si="336"/>
        <v>131.31313131313132</v>
      </c>
      <c r="AF362" s="67" t="s">
        <v>135</v>
      </c>
      <c r="AH362" s="66"/>
    </row>
    <row r="363" spans="1:34" s="65" customFormat="1">
      <c r="A363" s="63" t="s">
        <v>296</v>
      </c>
      <c r="B363" s="63" t="s">
        <v>298</v>
      </c>
      <c r="C363" s="62" t="s">
        <v>178</v>
      </c>
      <c r="D363" s="63" t="s">
        <v>304</v>
      </c>
      <c r="E363" s="63" t="s">
        <v>96</v>
      </c>
      <c r="F363" s="63" t="s">
        <v>130</v>
      </c>
      <c r="G363" s="63" t="s">
        <v>128</v>
      </c>
      <c r="H363" s="63"/>
      <c r="I363" s="63"/>
      <c r="J363" s="63"/>
      <c r="K363" s="63"/>
      <c r="L363" s="63" t="s">
        <v>196</v>
      </c>
      <c r="M363" s="63" t="s">
        <v>190</v>
      </c>
      <c r="N363" s="63"/>
      <c r="O363" s="63"/>
      <c r="P363" s="63" t="s">
        <v>225</v>
      </c>
      <c r="Q363" s="63" t="s">
        <v>253</v>
      </c>
      <c r="R363" s="63" t="s">
        <v>247</v>
      </c>
      <c r="S363" s="63" t="s">
        <v>248</v>
      </c>
      <c r="T363" s="63">
        <v>0</v>
      </c>
      <c r="U363" s="63">
        <v>118004</v>
      </c>
      <c r="V363" s="63" t="s">
        <v>136</v>
      </c>
      <c r="W363" s="63">
        <v>4</v>
      </c>
      <c r="X363" s="63"/>
      <c r="Y363" s="63"/>
      <c r="Z363" s="69" t="s">
        <v>182</v>
      </c>
      <c r="AA363" s="63"/>
      <c r="AB363" s="63"/>
      <c r="AC363" s="69" t="s">
        <v>182</v>
      </c>
      <c r="AD363" s="63"/>
      <c r="AE363" s="69" t="s">
        <v>182</v>
      </c>
      <c r="AF363" s="63" t="s">
        <v>81</v>
      </c>
      <c r="AH363" s="66"/>
    </row>
    <row r="364" spans="1:34" s="65" customFormat="1">
      <c r="A364" s="67" t="s">
        <v>296</v>
      </c>
      <c r="B364" s="67" t="s">
        <v>298</v>
      </c>
      <c r="C364" s="77" t="s">
        <v>178</v>
      </c>
      <c r="D364" s="67" t="s">
        <v>305</v>
      </c>
      <c r="E364" s="67" t="s">
        <v>96</v>
      </c>
      <c r="F364" s="67" t="s">
        <v>130</v>
      </c>
      <c r="G364" s="67" t="s">
        <v>128</v>
      </c>
      <c r="H364" s="67"/>
      <c r="I364" s="67"/>
      <c r="J364" s="67"/>
      <c r="K364" s="67"/>
      <c r="L364" s="67" t="s">
        <v>196</v>
      </c>
      <c r="M364" s="67" t="s">
        <v>190</v>
      </c>
      <c r="N364" s="67"/>
      <c r="O364" s="67"/>
      <c r="P364" s="67" t="s">
        <v>225</v>
      </c>
      <c r="Q364" s="67" t="s">
        <v>253</v>
      </c>
      <c r="R364" s="67" t="s">
        <v>247</v>
      </c>
      <c r="S364" s="67" t="s">
        <v>248</v>
      </c>
      <c r="T364" s="67">
        <v>1</v>
      </c>
      <c r="U364" s="67"/>
      <c r="V364" s="67" t="s">
        <v>138</v>
      </c>
      <c r="W364" s="67">
        <v>4</v>
      </c>
      <c r="X364" s="67">
        <v>50000</v>
      </c>
      <c r="Y364" s="67">
        <v>45000</v>
      </c>
      <c r="Z364" s="68">
        <f t="shared" ref="Z364" si="337">X364/Y364*100</f>
        <v>111.11111111111111</v>
      </c>
      <c r="AA364" s="67">
        <v>1200000</v>
      </c>
      <c r="AB364" s="67">
        <v>650000</v>
      </c>
      <c r="AC364" s="68">
        <f t="shared" ref="AC364" si="338">AB364/AA364*100</f>
        <v>54.166666666666664</v>
      </c>
      <c r="AD364" s="67">
        <v>495000</v>
      </c>
      <c r="AE364" s="68">
        <f t="shared" ref="AE364" si="339">AB364/AD364*100</f>
        <v>131.31313131313132</v>
      </c>
      <c r="AF364" s="67" t="s">
        <v>139</v>
      </c>
      <c r="AH364" s="66"/>
    </row>
    <row r="365" spans="1:34" s="65" customFormat="1">
      <c r="A365" s="63" t="s">
        <v>296</v>
      </c>
      <c r="B365" s="63" t="s">
        <v>298</v>
      </c>
      <c r="C365" s="62" t="s">
        <v>178</v>
      </c>
      <c r="D365" s="63" t="s">
        <v>304</v>
      </c>
      <c r="E365" s="63" t="s">
        <v>96</v>
      </c>
      <c r="F365" s="63" t="s">
        <v>130</v>
      </c>
      <c r="G365" s="63" t="s">
        <v>128</v>
      </c>
      <c r="H365" s="62"/>
      <c r="I365" s="63"/>
      <c r="J365" s="62"/>
      <c r="K365" s="63"/>
      <c r="L365" s="63"/>
      <c r="M365" s="63"/>
      <c r="N365" s="62"/>
      <c r="O365" s="63"/>
      <c r="P365" s="62" t="s">
        <v>199</v>
      </c>
      <c r="Q365" s="63" t="s">
        <v>192</v>
      </c>
      <c r="R365" s="62" t="s">
        <v>249</v>
      </c>
      <c r="S365" s="63" t="s">
        <v>250</v>
      </c>
      <c r="T365" s="63">
        <v>0</v>
      </c>
      <c r="U365" s="63">
        <v>118001</v>
      </c>
      <c r="V365" s="63" t="s">
        <v>129</v>
      </c>
      <c r="W365" s="63">
        <v>4</v>
      </c>
      <c r="X365" s="63">
        <v>400000</v>
      </c>
      <c r="Y365" s="63">
        <v>390000</v>
      </c>
      <c r="Z365" s="64">
        <f>X365/Y365*100</f>
        <v>102.56410256410255</v>
      </c>
      <c r="AA365" s="63">
        <v>11600000</v>
      </c>
      <c r="AB365" s="63">
        <v>5200000</v>
      </c>
      <c r="AC365" s="64">
        <f>AB365/AA365*100</f>
        <v>44.827586206896555</v>
      </c>
      <c r="AD365" s="63">
        <v>4290000</v>
      </c>
      <c r="AE365" s="64">
        <f>AB365/AD365*100</f>
        <v>121.21212121212122</v>
      </c>
      <c r="AF365" s="63" t="s">
        <v>75</v>
      </c>
      <c r="AH365" s="66"/>
    </row>
    <row r="366" spans="1:34" s="65" customFormat="1">
      <c r="A366" s="67" t="s">
        <v>296</v>
      </c>
      <c r="B366" s="67" t="s">
        <v>298</v>
      </c>
      <c r="C366" s="77" t="s">
        <v>178</v>
      </c>
      <c r="D366" s="67" t="s">
        <v>305</v>
      </c>
      <c r="E366" s="67" t="s">
        <v>96</v>
      </c>
      <c r="F366" s="67" t="s">
        <v>130</v>
      </c>
      <c r="G366" s="67" t="s">
        <v>128</v>
      </c>
      <c r="H366" s="67"/>
      <c r="I366" s="67"/>
      <c r="J366" s="67"/>
      <c r="K366" s="67"/>
      <c r="L366" s="67"/>
      <c r="M366" s="67"/>
      <c r="N366" s="67"/>
      <c r="O366" s="67"/>
      <c r="P366" s="67" t="s">
        <v>198</v>
      </c>
      <c r="Q366" s="67" t="s">
        <v>191</v>
      </c>
      <c r="R366" s="67" t="s">
        <v>249</v>
      </c>
      <c r="S366" s="67" t="s">
        <v>250</v>
      </c>
      <c r="T366" s="67">
        <v>0</v>
      </c>
      <c r="U366" s="67">
        <v>118002</v>
      </c>
      <c r="V366" s="67" t="s">
        <v>131</v>
      </c>
      <c r="W366" s="67">
        <v>4</v>
      </c>
      <c r="X366" s="67">
        <v>200000</v>
      </c>
      <c r="Y366" s="67">
        <v>190000</v>
      </c>
      <c r="Z366" s="68">
        <f t="shared" ref="Z366:Z368" si="340">X366/Y366*100</f>
        <v>105.26315789473684</v>
      </c>
      <c r="AA366" s="67">
        <v>4800000</v>
      </c>
      <c r="AB366" s="67">
        <v>2600000</v>
      </c>
      <c r="AC366" s="68">
        <f t="shared" ref="AC366:AC368" si="341">AB366/AA366*100</f>
        <v>54.166666666666664</v>
      </c>
      <c r="AD366" s="67">
        <v>2090000</v>
      </c>
      <c r="AE366" s="68">
        <f t="shared" ref="AE366:AE368" si="342">AB366/AD366*100</f>
        <v>124.4019138755981</v>
      </c>
      <c r="AF366" s="67" t="s">
        <v>141</v>
      </c>
      <c r="AH366" s="66"/>
    </row>
    <row r="367" spans="1:34" s="65" customFormat="1">
      <c r="A367" s="63" t="s">
        <v>296</v>
      </c>
      <c r="B367" s="63" t="s">
        <v>298</v>
      </c>
      <c r="C367" s="62" t="s">
        <v>178</v>
      </c>
      <c r="D367" s="63" t="s">
        <v>304</v>
      </c>
      <c r="E367" s="63" t="s">
        <v>96</v>
      </c>
      <c r="F367" s="63" t="s">
        <v>130</v>
      </c>
      <c r="G367" s="63" t="s">
        <v>128</v>
      </c>
      <c r="H367" s="63"/>
      <c r="I367" s="63"/>
      <c r="J367" s="63"/>
      <c r="K367" s="63"/>
      <c r="L367" s="63"/>
      <c r="M367" s="63"/>
      <c r="N367" s="63"/>
      <c r="O367" s="63"/>
      <c r="P367" s="63" t="s">
        <v>198</v>
      </c>
      <c r="Q367" s="63" t="s">
        <v>191</v>
      </c>
      <c r="R367" s="63" t="s">
        <v>249</v>
      </c>
      <c r="S367" s="63" t="s">
        <v>250</v>
      </c>
      <c r="T367" s="63">
        <v>1</v>
      </c>
      <c r="U367" s="63"/>
      <c r="V367" s="63" t="s">
        <v>132</v>
      </c>
      <c r="W367" s="63">
        <v>4</v>
      </c>
      <c r="X367" s="63">
        <v>600000</v>
      </c>
      <c r="Y367" s="63">
        <v>580000</v>
      </c>
      <c r="Z367" s="64">
        <f t="shared" si="340"/>
        <v>103.44827586206897</v>
      </c>
      <c r="AA367" s="63">
        <v>16400000</v>
      </c>
      <c r="AB367" s="63">
        <v>7800000</v>
      </c>
      <c r="AC367" s="64">
        <f t="shared" si="341"/>
        <v>47.560975609756099</v>
      </c>
      <c r="AD367" s="63">
        <v>6380000</v>
      </c>
      <c r="AE367" s="64">
        <f t="shared" si="342"/>
        <v>122.25705329153604</v>
      </c>
      <c r="AF367" s="63" t="s">
        <v>133</v>
      </c>
      <c r="AH367" s="66"/>
    </row>
    <row r="368" spans="1:34" s="65" customFormat="1">
      <c r="A368" s="67" t="s">
        <v>296</v>
      </c>
      <c r="B368" s="67" t="s">
        <v>298</v>
      </c>
      <c r="C368" s="77" t="s">
        <v>178</v>
      </c>
      <c r="D368" s="67" t="s">
        <v>305</v>
      </c>
      <c r="E368" s="67" t="s">
        <v>96</v>
      </c>
      <c r="F368" s="67" t="s">
        <v>130</v>
      </c>
      <c r="G368" s="67" t="s">
        <v>128</v>
      </c>
      <c r="H368" s="67"/>
      <c r="I368" s="67"/>
      <c r="J368" s="67"/>
      <c r="K368" s="67"/>
      <c r="L368" s="67"/>
      <c r="M368" s="67"/>
      <c r="N368" s="67"/>
      <c r="O368" s="67"/>
      <c r="P368" s="67" t="s">
        <v>198</v>
      </c>
      <c r="Q368" s="67" t="s">
        <v>191</v>
      </c>
      <c r="R368" s="67" t="s">
        <v>249</v>
      </c>
      <c r="S368" s="67" t="s">
        <v>250</v>
      </c>
      <c r="T368" s="67">
        <v>0</v>
      </c>
      <c r="U368" s="67">
        <v>118003</v>
      </c>
      <c r="V368" s="67" t="s">
        <v>134</v>
      </c>
      <c r="W368" s="67">
        <v>4</v>
      </c>
      <c r="X368" s="67">
        <v>50000</v>
      </c>
      <c r="Y368" s="67">
        <v>45000</v>
      </c>
      <c r="Z368" s="68">
        <f t="shared" si="340"/>
        <v>111.11111111111111</v>
      </c>
      <c r="AA368" s="67">
        <v>1200000</v>
      </c>
      <c r="AB368" s="67">
        <v>650000</v>
      </c>
      <c r="AC368" s="68">
        <f t="shared" si="341"/>
        <v>54.166666666666664</v>
      </c>
      <c r="AD368" s="67">
        <v>495000</v>
      </c>
      <c r="AE368" s="68">
        <f t="shared" si="342"/>
        <v>131.31313131313132</v>
      </c>
      <c r="AF368" s="67" t="s">
        <v>135</v>
      </c>
      <c r="AH368" s="66"/>
    </row>
    <row r="369" spans="1:41" s="65" customFormat="1">
      <c r="A369" s="63" t="s">
        <v>296</v>
      </c>
      <c r="B369" s="63" t="s">
        <v>298</v>
      </c>
      <c r="C369" s="62" t="s">
        <v>178</v>
      </c>
      <c r="D369" s="63" t="s">
        <v>304</v>
      </c>
      <c r="E369" s="63" t="s">
        <v>96</v>
      </c>
      <c r="F369" s="63" t="s">
        <v>130</v>
      </c>
      <c r="G369" s="63" t="s">
        <v>128</v>
      </c>
      <c r="H369" s="63"/>
      <c r="I369" s="63"/>
      <c r="J369" s="63"/>
      <c r="K369" s="63"/>
      <c r="L369" s="63"/>
      <c r="M369" s="63"/>
      <c r="N369" s="63"/>
      <c r="O369" s="63"/>
      <c r="P369" s="63" t="s">
        <v>198</v>
      </c>
      <c r="Q369" s="63" t="s">
        <v>191</v>
      </c>
      <c r="R369" s="63" t="s">
        <v>249</v>
      </c>
      <c r="S369" s="63" t="s">
        <v>250</v>
      </c>
      <c r="T369" s="63">
        <v>0</v>
      </c>
      <c r="U369" s="63">
        <v>118004</v>
      </c>
      <c r="V369" s="63" t="s">
        <v>136</v>
      </c>
      <c r="W369" s="63">
        <v>4</v>
      </c>
      <c r="X369" s="63"/>
      <c r="Y369" s="63"/>
      <c r="Z369" s="69" t="s">
        <v>182</v>
      </c>
      <c r="AA369" s="63"/>
      <c r="AB369" s="63"/>
      <c r="AC369" s="69" t="s">
        <v>182</v>
      </c>
      <c r="AD369" s="63"/>
      <c r="AE369" s="69" t="s">
        <v>182</v>
      </c>
      <c r="AF369" s="63" t="s">
        <v>81</v>
      </c>
      <c r="AH369" s="66"/>
    </row>
    <row r="370" spans="1:41" s="65" customFormat="1">
      <c r="A370" s="67" t="s">
        <v>296</v>
      </c>
      <c r="B370" s="67" t="s">
        <v>298</v>
      </c>
      <c r="C370" s="77" t="s">
        <v>178</v>
      </c>
      <c r="D370" s="67" t="s">
        <v>305</v>
      </c>
      <c r="E370" s="67" t="s">
        <v>96</v>
      </c>
      <c r="F370" s="67" t="s">
        <v>130</v>
      </c>
      <c r="G370" s="67" t="s">
        <v>128</v>
      </c>
      <c r="H370" s="67"/>
      <c r="I370" s="67"/>
      <c r="J370" s="67"/>
      <c r="K370" s="67"/>
      <c r="L370" s="67"/>
      <c r="M370" s="67"/>
      <c r="N370" s="67"/>
      <c r="O370" s="67"/>
      <c r="P370" s="67" t="s">
        <v>198</v>
      </c>
      <c r="Q370" s="67" t="s">
        <v>191</v>
      </c>
      <c r="R370" s="67" t="s">
        <v>249</v>
      </c>
      <c r="S370" s="67" t="s">
        <v>250</v>
      </c>
      <c r="T370" s="67">
        <v>1</v>
      </c>
      <c r="U370" s="67"/>
      <c r="V370" s="67" t="s">
        <v>138</v>
      </c>
      <c r="W370" s="67">
        <v>4</v>
      </c>
      <c r="X370" s="67">
        <v>50000</v>
      </c>
      <c r="Y370" s="67">
        <v>45000</v>
      </c>
      <c r="Z370" s="68">
        <f t="shared" ref="Z370" si="343">X370/Y370*100</f>
        <v>111.11111111111111</v>
      </c>
      <c r="AA370" s="67">
        <v>1200000</v>
      </c>
      <c r="AB370" s="67">
        <v>650000</v>
      </c>
      <c r="AC370" s="68">
        <f t="shared" ref="AC370" si="344">AB370/AA370*100</f>
        <v>54.166666666666664</v>
      </c>
      <c r="AD370" s="67">
        <v>495000</v>
      </c>
      <c r="AE370" s="68">
        <f t="shared" ref="AE370" si="345">AB370/AD370*100</f>
        <v>131.31313131313132</v>
      </c>
      <c r="AF370" s="67" t="s">
        <v>139</v>
      </c>
      <c r="AH370" s="66"/>
    </row>
    <row r="371" spans="1:41" s="65" customFormat="1">
      <c r="A371" s="63" t="s">
        <v>296</v>
      </c>
      <c r="B371" s="63" t="s">
        <v>298</v>
      </c>
      <c r="C371" s="62" t="s">
        <v>178</v>
      </c>
      <c r="D371" s="63" t="s">
        <v>304</v>
      </c>
      <c r="E371" s="63" t="s">
        <v>96</v>
      </c>
      <c r="F371" s="63" t="s">
        <v>130</v>
      </c>
      <c r="G371" s="63" t="s">
        <v>128</v>
      </c>
      <c r="H371" s="62"/>
      <c r="I371" s="63"/>
      <c r="J371" s="62"/>
      <c r="K371" s="63"/>
      <c r="L371" s="63"/>
      <c r="M371" s="63"/>
      <c r="N371" s="62"/>
      <c r="O371" s="63"/>
      <c r="P371" s="62" t="s">
        <v>199</v>
      </c>
      <c r="Q371" s="63" t="s">
        <v>191</v>
      </c>
      <c r="R371" s="62" t="s">
        <v>76</v>
      </c>
      <c r="S371" s="63" t="s">
        <v>251</v>
      </c>
      <c r="T371" s="63">
        <v>0</v>
      </c>
      <c r="U371" s="63">
        <v>118001</v>
      </c>
      <c r="V371" s="63" t="s">
        <v>129</v>
      </c>
      <c r="W371" s="63">
        <v>4</v>
      </c>
      <c r="X371" s="63">
        <v>400000</v>
      </c>
      <c r="Y371" s="63">
        <v>390000</v>
      </c>
      <c r="Z371" s="64">
        <f>X371/Y371*100</f>
        <v>102.56410256410255</v>
      </c>
      <c r="AA371" s="63">
        <v>11600000</v>
      </c>
      <c r="AB371" s="63">
        <v>5200000</v>
      </c>
      <c r="AC371" s="64">
        <f>AB371/AA371*100</f>
        <v>44.827586206896555</v>
      </c>
      <c r="AD371" s="63">
        <v>4290000</v>
      </c>
      <c r="AE371" s="64">
        <f>AB371/AD371*100</f>
        <v>121.21212121212122</v>
      </c>
      <c r="AF371" s="63" t="s">
        <v>75</v>
      </c>
      <c r="AH371" s="66"/>
    </row>
    <row r="372" spans="1:41" s="65" customFormat="1">
      <c r="A372" s="67" t="s">
        <v>296</v>
      </c>
      <c r="B372" s="67" t="s">
        <v>298</v>
      </c>
      <c r="C372" s="77" t="s">
        <v>178</v>
      </c>
      <c r="D372" s="67" t="s">
        <v>305</v>
      </c>
      <c r="E372" s="67" t="s">
        <v>96</v>
      </c>
      <c r="F372" s="67" t="s">
        <v>130</v>
      </c>
      <c r="G372" s="67" t="s">
        <v>128</v>
      </c>
      <c r="H372" s="67"/>
      <c r="I372" s="67"/>
      <c r="J372" s="67"/>
      <c r="K372" s="67"/>
      <c r="L372" s="67"/>
      <c r="M372" s="67"/>
      <c r="N372" s="67"/>
      <c r="O372" s="67"/>
      <c r="P372" s="67" t="s">
        <v>198</v>
      </c>
      <c r="Q372" s="67" t="s">
        <v>191</v>
      </c>
      <c r="R372" s="67" t="s">
        <v>76</v>
      </c>
      <c r="S372" s="67" t="s">
        <v>251</v>
      </c>
      <c r="T372" s="67">
        <v>0</v>
      </c>
      <c r="U372" s="67">
        <v>118002</v>
      </c>
      <c r="V372" s="67" t="s">
        <v>131</v>
      </c>
      <c r="W372" s="67">
        <v>4</v>
      </c>
      <c r="X372" s="67">
        <v>200000</v>
      </c>
      <c r="Y372" s="67">
        <v>190000</v>
      </c>
      <c r="Z372" s="68">
        <f t="shared" ref="Z372:Z374" si="346">X372/Y372*100</f>
        <v>105.26315789473684</v>
      </c>
      <c r="AA372" s="67">
        <v>4800000</v>
      </c>
      <c r="AB372" s="67">
        <v>2600000</v>
      </c>
      <c r="AC372" s="68">
        <f t="shared" ref="AC372:AC374" si="347">AB372/AA372*100</f>
        <v>54.166666666666664</v>
      </c>
      <c r="AD372" s="67">
        <v>2090000</v>
      </c>
      <c r="AE372" s="68">
        <f t="shared" ref="AE372:AE374" si="348">AB372/AD372*100</f>
        <v>124.4019138755981</v>
      </c>
      <c r="AF372" s="67" t="s">
        <v>141</v>
      </c>
      <c r="AH372" s="66"/>
    </row>
    <row r="373" spans="1:41" s="65" customFormat="1">
      <c r="A373" s="63" t="s">
        <v>296</v>
      </c>
      <c r="B373" s="63" t="s">
        <v>298</v>
      </c>
      <c r="C373" s="62" t="s">
        <v>178</v>
      </c>
      <c r="D373" s="63" t="s">
        <v>304</v>
      </c>
      <c r="E373" s="63" t="s">
        <v>96</v>
      </c>
      <c r="F373" s="63" t="s">
        <v>130</v>
      </c>
      <c r="G373" s="63" t="s">
        <v>128</v>
      </c>
      <c r="H373" s="63"/>
      <c r="I373" s="63"/>
      <c r="J373" s="63"/>
      <c r="K373" s="63"/>
      <c r="L373" s="63"/>
      <c r="M373" s="63"/>
      <c r="N373" s="63"/>
      <c r="O373" s="63"/>
      <c r="P373" s="63" t="s">
        <v>198</v>
      </c>
      <c r="Q373" s="63" t="s">
        <v>191</v>
      </c>
      <c r="R373" s="63" t="s">
        <v>76</v>
      </c>
      <c r="S373" s="63" t="s">
        <v>251</v>
      </c>
      <c r="T373" s="63">
        <v>1</v>
      </c>
      <c r="U373" s="63"/>
      <c r="V373" s="63" t="s">
        <v>132</v>
      </c>
      <c r="W373" s="63">
        <v>4</v>
      </c>
      <c r="X373" s="63">
        <v>600000</v>
      </c>
      <c r="Y373" s="63">
        <v>580000</v>
      </c>
      <c r="Z373" s="64">
        <f t="shared" si="346"/>
        <v>103.44827586206897</v>
      </c>
      <c r="AA373" s="63">
        <v>16400000</v>
      </c>
      <c r="AB373" s="63">
        <v>7800000</v>
      </c>
      <c r="AC373" s="64">
        <f t="shared" si="347"/>
        <v>47.560975609756099</v>
      </c>
      <c r="AD373" s="63">
        <v>6380000</v>
      </c>
      <c r="AE373" s="64">
        <f t="shared" si="348"/>
        <v>122.25705329153604</v>
      </c>
      <c r="AF373" s="63" t="s">
        <v>133</v>
      </c>
      <c r="AH373" s="66"/>
    </row>
    <row r="374" spans="1:41" s="65" customFormat="1">
      <c r="A374" s="67" t="s">
        <v>296</v>
      </c>
      <c r="B374" s="67" t="s">
        <v>298</v>
      </c>
      <c r="C374" s="77" t="s">
        <v>178</v>
      </c>
      <c r="D374" s="67" t="s">
        <v>305</v>
      </c>
      <c r="E374" s="67" t="s">
        <v>96</v>
      </c>
      <c r="F374" s="67" t="s">
        <v>130</v>
      </c>
      <c r="G374" s="67" t="s">
        <v>128</v>
      </c>
      <c r="H374" s="67"/>
      <c r="I374" s="67"/>
      <c r="J374" s="67"/>
      <c r="K374" s="67"/>
      <c r="L374" s="67"/>
      <c r="M374" s="67"/>
      <c r="N374" s="67"/>
      <c r="O374" s="67"/>
      <c r="P374" s="67" t="s">
        <v>198</v>
      </c>
      <c r="Q374" s="67" t="s">
        <v>191</v>
      </c>
      <c r="R374" s="67" t="s">
        <v>76</v>
      </c>
      <c r="S374" s="67" t="s">
        <v>251</v>
      </c>
      <c r="T374" s="67">
        <v>0</v>
      </c>
      <c r="U374" s="67">
        <v>118003</v>
      </c>
      <c r="V374" s="67" t="s">
        <v>134</v>
      </c>
      <c r="W374" s="67">
        <v>4</v>
      </c>
      <c r="X374" s="67">
        <v>50000</v>
      </c>
      <c r="Y374" s="67">
        <v>45000</v>
      </c>
      <c r="Z374" s="68">
        <f t="shared" si="346"/>
        <v>111.11111111111111</v>
      </c>
      <c r="AA374" s="67">
        <v>1200000</v>
      </c>
      <c r="AB374" s="67">
        <v>650000</v>
      </c>
      <c r="AC374" s="68">
        <f t="shared" si="347"/>
        <v>54.166666666666664</v>
      </c>
      <c r="AD374" s="67">
        <v>495000</v>
      </c>
      <c r="AE374" s="68">
        <f t="shared" si="348"/>
        <v>131.31313131313132</v>
      </c>
      <c r="AF374" s="67" t="s">
        <v>135</v>
      </c>
      <c r="AH374" s="66"/>
    </row>
    <row r="375" spans="1:41" s="65" customFormat="1">
      <c r="A375" s="63" t="s">
        <v>296</v>
      </c>
      <c r="B375" s="63" t="s">
        <v>298</v>
      </c>
      <c r="C375" s="62" t="s">
        <v>178</v>
      </c>
      <c r="D375" s="63" t="s">
        <v>304</v>
      </c>
      <c r="E375" s="63" t="s">
        <v>96</v>
      </c>
      <c r="F375" s="63" t="s">
        <v>130</v>
      </c>
      <c r="G375" s="63" t="s">
        <v>128</v>
      </c>
      <c r="H375" s="63"/>
      <c r="I375" s="63"/>
      <c r="J375" s="63"/>
      <c r="K375" s="63"/>
      <c r="L375" s="63"/>
      <c r="M375" s="63"/>
      <c r="N375" s="63"/>
      <c r="O375" s="63"/>
      <c r="P375" s="63" t="s">
        <v>198</v>
      </c>
      <c r="Q375" s="63" t="s">
        <v>191</v>
      </c>
      <c r="R375" s="63" t="s">
        <v>76</v>
      </c>
      <c r="S375" s="63" t="s">
        <v>251</v>
      </c>
      <c r="T375" s="63">
        <v>0</v>
      </c>
      <c r="U375" s="63">
        <v>118004</v>
      </c>
      <c r="V375" s="63" t="s">
        <v>136</v>
      </c>
      <c r="W375" s="63">
        <v>4</v>
      </c>
      <c r="X375" s="63"/>
      <c r="Y375" s="63"/>
      <c r="Z375" s="69" t="s">
        <v>182</v>
      </c>
      <c r="AA375" s="63"/>
      <c r="AB375" s="63"/>
      <c r="AC375" s="69" t="s">
        <v>182</v>
      </c>
      <c r="AD375" s="63"/>
      <c r="AE375" s="69" t="s">
        <v>182</v>
      </c>
      <c r="AF375" s="63" t="s">
        <v>81</v>
      </c>
      <c r="AH375" s="66"/>
    </row>
    <row r="376" spans="1:41" s="65" customFormat="1">
      <c r="A376" s="67" t="s">
        <v>296</v>
      </c>
      <c r="B376" s="67" t="s">
        <v>298</v>
      </c>
      <c r="C376" s="77" t="s">
        <v>178</v>
      </c>
      <c r="D376" s="67" t="s">
        <v>305</v>
      </c>
      <c r="E376" s="67" t="s">
        <v>96</v>
      </c>
      <c r="F376" s="67" t="s">
        <v>130</v>
      </c>
      <c r="G376" s="67" t="s">
        <v>128</v>
      </c>
      <c r="H376" s="67"/>
      <c r="I376" s="67"/>
      <c r="J376" s="67"/>
      <c r="K376" s="67"/>
      <c r="L376" s="67"/>
      <c r="M376" s="67"/>
      <c r="N376" s="67"/>
      <c r="O376" s="67"/>
      <c r="P376" s="67" t="s">
        <v>198</v>
      </c>
      <c r="Q376" s="67" t="s">
        <v>191</v>
      </c>
      <c r="R376" s="67" t="s">
        <v>76</v>
      </c>
      <c r="S376" s="67" t="s">
        <v>251</v>
      </c>
      <c r="T376" s="67">
        <v>1</v>
      </c>
      <c r="U376" s="67"/>
      <c r="V376" s="67" t="s">
        <v>138</v>
      </c>
      <c r="W376" s="67">
        <v>4</v>
      </c>
      <c r="X376" s="67">
        <v>50000</v>
      </c>
      <c r="Y376" s="67">
        <v>45000</v>
      </c>
      <c r="Z376" s="68">
        <f t="shared" ref="Z376" si="349">X376/Y376*100</f>
        <v>111.11111111111111</v>
      </c>
      <c r="AA376" s="67">
        <v>1200000</v>
      </c>
      <c r="AB376" s="67">
        <v>650000</v>
      </c>
      <c r="AC376" s="68">
        <f t="shared" ref="AC376" si="350">AB376/AA376*100</f>
        <v>54.166666666666664</v>
      </c>
      <c r="AD376" s="67">
        <v>495000</v>
      </c>
      <c r="AE376" s="68">
        <f t="shared" ref="AE376" si="351">AB376/AD376*100</f>
        <v>131.31313131313132</v>
      </c>
      <c r="AF376" s="67" t="s">
        <v>139</v>
      </c>
      <c r="AH376" s="66"/>
    </row>
    <row r="377" spans="1:41">
      <c r="Y377" s="60"/>
      <c r="AA377" s="47"/>
      <c r="AH377" s="60"/>
      <c r="AI377" s="60"/>
      <c r="AM377" s="47"/>
      <c r="AO377" s="60"/>
    </row>
    <row r="378" spans="1:41">
      <c r="Y378" s="60"/>
      <c r="AA378" s="47"/>
      <c r="AH378" s="60"/>
      <c r="AI378" s="60"/>
      <c r="AM378" s="47"/>
      <c r="AO378" s="60"/>
    </row>
    <row r="379" spans="1:41">
      <c r="Y379" s="60"/>
      <c r="AA379" s="47"/>
      <c r="AH379" s="60"/>
      <c r="AI379" s="60"/>
      <c r="AM379" s="47"/>
      <c r="AO379" s="60"/>
    </row>
    <row r="380" spans="1:41">
      <c r="Y380" s="60"/>
      <c r="AA380" s="47"/>
      <c r="AH380" s="60"/>
      <c r="AI380" s="60"/>
      <c r="AM380" s="47"/>
      <c r="AO380" s="60"/>
    </row>
    <row r="381" spans="1:41">
      <c r="Y381" s="60"/>
      <c r="AA381" s="47"/>
      <c r="AH381" s="60"/>
      <c r="AI381" s="60"/>
      <c r="AM381" s="47"/>
      <c r="AO381" s="60"/>
    </row>
    <row r="382" spans="1:41">
      <c r="Y382" s="60"/>
      <c r="AA382" s="47"/>
      <c r="AH382" s="60"/>
      <c r="AI382" s="60"/>
      <c r="AM382" s="47"/>
      <c r="AO382" s="60"/>
    </row>
    <row r="383" spans="1:41">
      <c r="Y383" s="60"/>
      <c r="AA383" s="47"/>
      <c r="AH383" s="60"/>
      <c r="AI383" s="60"/>
      <c r="AM383" s="47"/>
      <c r="AO383" s="60"/>
    </row>
    <row r="384" spans="1:41" s="61" customFormat="1" ht="33.75" customHeight="1">
      <c r="A384" s="37" t="s">
        <v>103</v>
      </c>
      <c r="B384" s="37" t="s">
        <v>104</v>
      </c>
      <c r="C384" s="38" t="s">
        <v>173</v>
      </c>
      <c r="D384" s="38" t="s">
        <v>174</v>
      </c>
      <c r="E384" s="38" t="s">
        <v>105</v>
      </c>
      <c r="F384" s="37" t="s">
        <v>106</v>
      </c>
      <c r="G384" s="37" t="s">
        <v>107</v>
      </c>
      <c r="H384" s="39" t="s">
        <v>108</v>
      </c>
      <c r="I384" s="39" t="s">
        <v>109</v>
      </c>
      <c r="J384" s="39" t="s">
        <v>110</v>
      </c>
      <c r="K384" s="39" t="s">
        <v>111</v>
      </c>
      <c r="L384" s="39" t="s">
        <v>200</v>
      </c>
      <c r="M384" s="39" t="s">
        <v>201</v>
      </c>
      <c r="N384" s="39" t="s">
        <v>261</v>
      </c>
      <c r="O384" s="39" t="s">
        <v>262</v>
      </c>
      <c r="P384" s="39" t="s">
        <v>263</v>
      </c>
      <c r="Q384" s="39" t="s">
        <v>264</v>
      </c>
      <c r="R384" s="39" t="s">
        <v>112</v>
      </c>
      <c r="S384" s="39" t="s">
        <v>113</v>
      </c>
      <c r="T384" s="39" t="s">
        <v>114</v>
      </c>
      <c r="U384" s="39" t="s">
        <v>115</v>
      </c>
      <c r="V384" s="39" t="s">
        <v>116</v>
      </c>
      <c r="W384" s="39" t="s">
        <v>117</v>
      </c>
      <c r="X384" s="39" t="s">
        <v>118</v>
      </c>
      <c r="Y384" s="53" t="s">
        <v>119</v>
      </c>
      <c r="Z384" s="39" t="s">
        <v>120</v>
      </c>
      <c r="AA384" s="39" t="s">
        <v>121</v>
      </c>
      <c r="AB384" s="39" t="s">
        <v>122</v>
      </c>
      <c r="AC384" s="39" t="s">
        <v>123</v>
      </c>
      <c r="AD384" s="39" t="s">
        <v>124</v>
      </c>
      <c r="AE384" s="39" t="s">
        <v>125</v>
      </c>
      <c r="AF384" s="39" t="s">
        <v>126</v>
      </c>
    </row>
    <row r="385" spans="1:41" s="65" customFormat="1">
      <c r="A385" s="63" t="s">
        <v>296</v>
      </c>
      <c r="B385" s="63" t="s">
        <v>298</v>
      </c>
      <c r="C385" s="62" t="s">
        <v>178</v>
      </c>
      <c r="D385" s="63" t="s">
        <v>304</v>
      </c>
      <c r="E385" s="63" t="s">
        <v>96</v>
      </c>
      <c r="F385" s="63"/>
      <c r="G385" s="63"/>
      <c r="H385" s="62"/>
      <c r="I385" s="63"/>
      <c r="J385" s="62"/>
      <c r="K385" s="63"/>
      <c r="L385" s="62" t="s">
        <v>193</v>
      </c>
      <c r="M385" s="63" t="s">
        <v>187</v>
      </c>
      <c r="N385" s="62"/>
      <c r="O385" s="63"/>
      <c r="P385" s="62" t="s">
        <v>207</v>
      </c>
      <c r="Q385" s="63" t="s">
        <v>205</v>
      </c>
      <c r="R385" s="62"/>
      <c r="S385" s="63"/>
      <c r="T385" s="63">
        <v>0</v>
      </c>
      <c r="U385" s="63">
        <v>118001</v>
      </c>
      <c r="V385" s="63" t="s">
        <v>129</v>
      </c>
      <c r="W385" s="63">
        <v>4</v>
      </c>
      <c r="X385" s="63">
        <v>400000</v>
      </c>
      <c r="Y385" s="63">
        <v>390000</v>
      </c>
      <c r="Z385" s="64">
        <f>X385/Y385*100</f>
        <v>102.56410256410255</v>
      </c>
      <c r="AA385" s="63">
        <v>11600000</v>
      </c>
      <c r="AB385" s="63">
        <v>5200000</v>
      </c>
      <c r="AC385" s="64">
        <f>AB385/AA385*100</f>
        <v>44.827586206896555</v>
      </c>
      <c r="AD385" s="63">
        <v>4290000</v>
      </c>
      <c r="AE385" s="64">
        <f>AB385/AD385*100</f>
        <v>121.21212121212122</v>
      </c>
      <c r="AF385" s="63" t="s">
        <v>75</v>
      </c>
      <c r="AH385" s="66"/>
    </row>
    <row r="386" spans="1:41" s="65" customFormat="1">
      <c r="A386" s="67" t="s">
        <v>296</v>
      </c>
      <c r="B386" s="67" t="s">
        <v>298</v>
      </c>
      <c r="C386" s="77" t="s">
        <v>178</v>
      </c>
      <c r="D386" s="67" t="s">
        <v>305</v>
      </c>
      <c r="E386" s="67" t="s">
        <v>96</v>
      </c>
      <c r="F386" s="67"/>
      <c r="G386" s="67"/>
      <c r="H386" s="67"/>
      <c r="I386" s="67"/>
      <c r="J386" s="67"/>
      <c r="K386" s="67"/>
      <c r="L386" s="67" t="s">
        <v>193</v>
      </c>
      <c r="M386" s="67" t="s">
        <v>187</v>
      </c>
      <c r="N386" s="67"/>
      <c r="O386" s="67"/>
      <c r="P386" s="67" t="s">
        <v>207</v>
      </c>
      <c r="Q386" s="67" t="s">
        <v>205</v>
      </c>
      <c r="R386" s="67"/>
      <c r="S386" s="67"/>
      <c r="T386" s="67">
        <v>0</v>
      </c>
      <c r="U386" s="67">
        <v>118002</v>
      </c>
      <c r="V386" s="67" t="s">
        <v>131</v>
      </c>
      <c r="W386" s="67">
        <v>4</v>
      </c>
      <c r="X386" s="67">
        <v>200000</v>
      </c>
      <c r="Y386" s="67">
        <v>190000</v>
      </c>
      <c r="Z386" s="68">
        <f t="shared" ref="Z386:Z388" si="352">X386/Y386*100</f>
        <v>105.26315789473684</v>
      </c>
      <c r="AA386" s="67">
        <v>4800000</v>
      </c>
      <c r="AB386" s="67">
        <v>2600000</v>
      </c>
      <c r="AC386" s="68">
        <f t="shared" ref="AC386:AC388" si="353">AB386/AA386*100</f>
        <v>54.166666666666664</v>
      </c>
      <c r="AD386" s="67">
        <v>2090000</v>
      </c>
      <c r="AE386" s="68">
        <f t="shared" ref="AE386:AE388" si="354">AB386/AD386*100</f>
        <v>124.4019138755981</v>
      </c>
      <c r="AF386" s="67" t="s">
        <v>141</v>
      </c>
      <c r="AH386" s="66"/>
    </row>
    <row r="387" spans="1:41" s="65" customFormat="1">
      <c r="A387" s="63" t="s">
        <v>296</v>
      </c>
      <c r="B387" s="63" t="s">
        <v>298</v>
      </c>
      <c r="C387" s="62" t="s">
        <v>178</v>
      </c>
      <c r="D387" s="63" t="s">
        <v>304</v>
      </c>
      <c r="E387" s="63" t="s">
        <v>96</v>
      </c>
      <c r="F387" s="63"/>
      <c r="G387" s="63"/>
      <c r="H387" s="63"/>
      <c r="I387" s="63"/>
      <c r="J387" s="63"/>
      <c r="K387" s="63"/>
      <c r="L387" s="63" t="s">
        <v>193</v>
      </c>
      <c r="M387" s="63" t="s">
        <v>187</v>
      </c>
      <c r="N387" s="63"/>
      <c r="O387" s="63"/>
      <c r="P387" s="63" t="s">
        <v>207</v>
      </c>
      <c r="Q387" s="63" t="s">
        <v>205</v>
      </c>
      <c r="R387" s="63"/>
      <c r="S387" s="63"/>
      <c r="T387" s="63">
        <v>1</v>
      </c>
      <c r="U387" s="63"/>
      <c r="V387" s="63" t="s">
        <v>132</v>
      </c>
      <c r="W387" s="63">
        <v>4</v>
      </c>
      <c r="X387" s="63">
        <v>600000</v>
      </c>
      <c r="Y387" s="63">
        <v>580000</v>
      </c>
      <c r="Z387" s="64">
        <f t="shared" si="352"/>
        <v>103.44827586206897</v>
      </c>
      <c r="AA387" s="63">
        <v>16400000</v>
      </c>
      <c r="AB387" s="63">
        <v>7800000</v>
      </c>
      <c r="AC387" s="64">
        <f t="shared" si="353"/>
        <v>47.560975609756099</v>
      </c>
      <c r="AD387" s="63">
        <v>6380000</v>
      </c>
      <c r="AE387" s="64">
        <f t="shared" si="354"/>
        <v>122.25705329153604</v>
      </c>
      <c r="AF387" s="63" t="s">
        <v>133</v>
      </c>
      <c r="AH387" s="66"/>
    </row>
    <row r="388" spans="1:41" s="65" customFormat="1">
      <c r="A388" s="67" t="s">
        <v>296</v>
      </c>
      <c r="B388" s="67" t="s">
        <v>298</v>
      </c>
      <c r="C388" s="77" t="s">
        <v>178</v>
      </c>
      <c r="D388" s="67" t="s">
        <v>305</v>
      </c>
      <c r="E388" s="67" t="s">
        <v>96</v>
      </c>
      <c r="F388" s="67"/>
      <c r="G388" s="67"/>
      <c r="H388" s="67"/>
      <c r="I388" s="67"/>
      <c r="J388" s="67"/>
      <c r="K388" s="67"/>
      <c r="L388" s="67" t="s">
        <v>193</v>
      </c>
      <c r="M388" s="67" t="s">
        <v>187</v>
      </c>
      <c r="N388" s="67"/>
      <c r="O388" s="67"/>
      <c r="P388" s="67" t="s">
        <v>207</v>
      </c>
      <c r="Q388" s="67" t="s">
        <v>205</v>
      </c>
      <c r="R388" s="67"/>
      <c r="S388" s="67"/>
      <c r="T388" s="67">
        <v>0</v>
      </c>
      <c r="U388" s="67">
        <v>118003</v>
      </c>
      <c r="V388" s="67" t="s">
        <v>134</v>
      </c>
      <c r="W388" s="67">
        <v>4</v>
      </c>
      <c r="X388" s="67">
        <v>50000</v>
      </c>
      <c r="Y388" s="67">
        <v>45000</v>
      </c>
      <c r="Z388" s="68">
        <f t="shared" si="352"/>
        <v>111.11111111111111</v>
      </c>
      <c r="AA388" s="67">
        <v>1200000</v>
      </c>
      <c r="AB388" s="67">
        <v>650000</v>
      </c>
      <c r="AC388" s="68">
        <f t="shared" si="353"/>
        <v>54.166666666666664</v>
      </c>
      <c r="AD388" s="67">
        <v>495000</v>
      </c>
      <c r="AE388" s="68">
        <f t="shared" si="354"/>
        <v>131.31313131313132</v>
      </c>
      <c r="AF388" s="67" t="s">
        <v>135</v>
      </c>
      <c r="AH388" s="66"/>
    </row>
    <row r="389" spans="1:41" s="65" customFormat="1">
      <c r="A389" s="63" t="s">
        <v>296</v>
      </c>
      <c r="B389" s="63" t="s">
        <v>298</v>
      </c>
      <c r="C389" s="62" t="s">
        <v>178</v>
      </c>
      <c r="D389" s="63" t="s">
        <v>304</v>
      </c>
      <c r="E389" s="63" t="s">
        <v>96</v>
      </c>
      <c r="F389" s="63"/>
      <c r="G389" s="63"/>
      <c r="H389" s="63"/>
      <c r="I389" s="63"/>
      <c r="J389" s="63"/>
      <c r="K389" s="63"/>
      <c r="L389" s="63" t="s">
        <v>193</v>
      </c>
      <c r="M389" s="63" t="s">
        <v>187</v>
      </c>
      <c r="N389" s="63"/>
      <c r="O389" s="63"/>
      <c r="P389" s="63" t="s">
        <v>207</v>
      </c>
      <c r="Q389" s="63" t="s">
        <v>205</v>
      </c>
      <c r="R389" s="63"/>
      <c r="S389" s="63"/>
      <c r="T389" s="63">
        <v>0</v>
      </c>
      <c r="U389" s="63">
        <v>118004</v>
      </c>
      <c r="V389" s="63" t="s">
        <v>136</v>
      </c>
      <c r="W389" s="63">
        <v>4</v>
      </c>
      <c r="X389" s="63"/>
      <c r="Y389" s="63"/>
      <c r="Z389" s="69" t="s">
        <v>182</v>
      </c>
      <c r="AA389" s="63"/>
      <c r="AB389" s="63"/>
      <c r="AC389" s="69" t="s">
        <v>182</v>
      </c>
      <c r="AD389" s="63"/>
      <c r="AE389" s="69" t="s">
        <v>182</v>
      </c>
      <c r="AF389" s="63" t="s">
        <v>81</v>
      </c>
      <c r="AH389" s="66"/>
    </row>
    <row r="390" spans="1:41" s="65" customFormat="1">
      <c r="A390" s="67" t="s">
        <v>296</v>
      </c>
      <c r="B390" s="67" t="s">
        <v>298</v>
      </c>
      <c r="C390" s="77" t="s">
        <v>178</v>
      </c>
      <c r="D390" s="67" t="s">
        <v>305</v>
      </c>
      <c r="E390" s="67" t="s">
        <v>96</v>
      </c>
      <c r="F390" s="67"/>
      <c r="G390" s="67"/>
      <c r="H390" s="67"/>
      <c r="I390" s="67"/>
      <c r="J390" s="67"/>
      <c r="K390" s="67"/>
      <c r="L390" s="67" t="s">
        <v>193</v>
      </c>
      <c r="M390" s="67" t="s">
        <v>187</v>
      </c>
      <c r="N390" s="67"/>
      <c r="O390" s="67"/>
      <c r="P390" s="67" t="s">
        <v>207</v>
      </c>
      <c r="Q390" s="67" t="s">
        <v>205</v>
      </c>
      <c r="R390" s="67"/>
      <c r="S390" s="67"/>
      <c r="T390" s="67">
        <v>1</v>
      </c>
      <c r="U390" s="67"/>
      <c r="V390" s="67" t="s">
        <v>138</v>
      </c>
      <c r="W390" s="67">
        <v>4</v>
      </c>
      <c r="X390" s="67">
        <v>50000</v>
      </c>
      <c r="Y390" s="67">
        <v>45000</v>
      </c>
      <c r="Z390" s="68">
        <f t="shared" ref="Z390" si="355">X390/Y390*100</f>
        <v>111.11111111111111</v>
      </c>
      <c r="AA390" s="67">
        <v>1200000</v>
      </c>
      <c r="AB390" s="67">
        <v>650000</v>
      </c>
      <c r="AC390" s="68">
        <f t="shared" ref="AC390" si="356">AB390/AA390*100</f>
        <v>54.166666666666664</v>
      </c>
      <c r="AD390" s="67">
        <v>495000</v>
      </c>
      <c r="AE390" s="68">
        <f t="shared" ref="AE390" si="357">AB390/AD390*100</f>
        <v>131.31313131313132</v>
      </c>
      <c r="AF390" s="67" t="s">
        <v>139</v>
      </c>
      <c r="AH390" s="66"/>
    </row>
    <row r="391" spans="1:41">
      <c r="Y391" s="60"/>
      <c r="AA391" s="47"/>
      <c r="AH391" s="60"/>
      <c r="AI391" s="60"/>
      <c r="AM391" s="47"/>
      <c r="AO391" s="60"/>
    </row>
    <row r="392" spans="1:41">
      <c r="Y392" s="60"/>
      <c r="AA392" s="47"/>
      <c r="AH392" s="60"/>
      <c r="AI392" s="60"/>
      <c r="AM392" s="47"/>
      <c r="AO392" s="60"/>
    </row>
    <row r="393" spans="1:41">
      <c r="Y393" s="60"/>
      <c r="AA393" s="47"/>
      <c r="AH393" s="60"/>
      <c r="AI393" s="60"/>
      <c r="AM393" s="47"/>
      <c r="AO393" s="60"/>
    </row>
    <row r="394" spans="1:41">
      <c r="Y394" s="60"/>
      <c r="AA394" s="47"/>
      <c r="AH394" s="60"/>
      <c r="AI394" s="60"/>
      <c r="AM394" s="47"/>
      <c r="AO394" s="60"/>
    </row>
    <row r="395" spans="1:41">
      <c r="Y395" s="60"/>
      <c r="AA395" s="47"/>
      <c r="AH395" s="60"/>
      <c r="AI395" s="60"/>
      <c r="AM395" s="47"/>
      <c r="AO395" s="60"/>
    </row>
    <row r="396" spans="1:41">
      <c r="Y396" s="60"/>
      <c r="AA396" s="47"/>
      <c r="AH396" s="60"/>
      <c r="AI396" s="60"/>
      <c r="AM396" s="47"/>
      <c r="AO396" s="60"/>
    </row>
    <row r="397" spans="1:41">
      <c r="Y397" s="60"/>
      <c r="AA397" s="47"/>
      <c r="AH397" s="60"/>
      <c r="AI397" s="60"/>
      <c r="AM397" s="47"/>
      <c r="AO397" s="60"/>
    </row>
    <row r="398" spans="1:41">
      <c r="Y398" s="60"/>
      <c r="AA398" s="47"/>
      <c r="AH398" s="60"/>
      <c r="AI398" s="60"/>
      <c r="AM398" s="47"/>
      <c r="AO398" s="60"/>
    </row>
    <row r="399" spans="1:41" s="61" customFormat="1" ht="33.75" customHeight="1">
      <c r="A399" s="37" t="s">
        <v>103</v>
      </c>
      <c r="B399" s="37" t="s">
        <v>104</v>
      </c>
      <c r="C399" s="38" t="s">
        <v>173</v>
      </c>
      <c r="D399" s="38" t="s">
        <v>174</v>
      </c>
      <c r="E399" s="38" t="s">
        <v>105</v>
      </c>
      <c r="F399" s="37" t="s">
        <v>106</v>
      </c>
      <c r="G399" s="37" t="s">
        <v>107</v>
      </c>
      <c r="H399" s="39" t="s">
        <v>108</v>
      </c>
      <c r="I399" s="39" t="s">
        <v>109</v>
      </c>
      <c r="J399" s="39" t="s">
        <v>110</v>
      </c>
      <c r="K399" s="39" t="s">
        <v>111</v>
      </c>
      <c r="L399" s="39" t="s">
        <v>200</v>
      </c>
      <c r="M399" s="39" t="s">
        <v>201</v>
      </c>
      <c r="N399" s="39" t="s">
        <v>261</v>
      </c>
      <c r="O399" s="39" t="s">
        <v>262</v>
      </c>
      <c r="P399" s="39" t="s">
        <v>263</v>
      </c>
      <c r="Q399" s="39" t="s">
        <v>264</v>
      </c>
      <c r="R399" s="39" t="s">
        <v>112</v>
      </c>
      <c r="S399" s="39" t="s">
        <v>113</v>
      </c>
      <c r="T399" s="39" t="s">
        <v>114</v>
      </c>
      <c r="U399" s="39" t="s">
        <v>115</v>
      </c>
      <c r="V399" s="39" t="s">
        <v>116</v>
      </c>
      <c r="W399" s="39" t="s">
        <v>117</v>
      </c>
      <c r="X399" s="39" t="s">
        <v>118</v>
      </c>
      <c r="Y399" s="53" t="s">
        <v>119</v>
      </c>
      <c r="Z399" s="39" t="s">
        <v>120</v>
      </c>
      <c r="AA399" s="39" t="s">
        <v>121</v>
      </c>
      <c r="AB399" s="39" t="s">
        <v>122</v>
      </c>
      <c r="AC399" s="39" t="s">
        <v>123</v>
      </c>
      <c r="AD399" s="39" t="s">
        <v>124</v>
      </c>
      <c r="AE399" s="39" t="s">
        <v>125</v>
      </c>
      <c r="AF399" s="39" t="s">
        <v>126</v>
      </c>
    </row>
    <row r="400" spans="1:41" s="65" customFormat="1">
      <c r="A400" s="63" t="s">
        <v>296</v>
      </c>
      <c r="B400" s="63" t="s">
        <v>298</v>
      </c>
      <c r="C400" s="62" t="s">
        <v>178</v>
      </c>
      <c r="D400" s="63" t="s">
        <v>304</v>
      </c>
      <c r="E400" s="63" t="s">
        <v>96</v>
      </c>
      <c r="F400" s="63" t="s">
        <v>130</v>
      </c>
      <c r="G400" s="63" t="s">
        <v>128</v>
      </c>
      <c r="H400" s="62"/>
      <c r="I400" s="63"/>
      <c r="J400" s="62"/>
      <c r="K400" s="63"/>
      <c r="L400" s="63" t="s">
        <v>193</v>
      </c>
      <c r="M400" s="63" t="s">
        <v>187</v>
      </c>
      <c r="N400" s="62"/>
      <c r="O400" s="63"/>
      <c r="P400" s="62" t="s">
        <v>207</v>
      </c>
      <c r="Q400" s="63" t="s">
        <v>205</v>
      </c>
      <c r="R400" s="62"/>
      <c r="S400" s="63"/>
      <c r="T400" s="63">
        <v>0</v>
      </c>
      <c r="U400" s="63">
        <v>118001</v>
      </c>
      <c r="V400" s="63" t="s">
        <v>129</v>
      </c>
      <c r="W400" s="63">
        <v>4</v>
      </c>
      <c r="X400" s="63">
        <v>400000</v>
      </c>
      <c r="Y400" s="63">
        <v>390000</v>
      </c>
      <c r="Z400" s="64">
        <f>X400/Y400*100</f>
        <v>102.56410256410255</v>
      </c>
      <c r="AA400" s="63">
        <v>11600000</v>
      </c>
      <c r="AB400" s="63">
        <v>5200000</v>
      </c>
      <c r="AC400" s="64">
        <f>AB400/AA400*100</f>
        <v>44.827586206896555</v>
      </c>
      <c r="AD400" s="63">
        <v>4290000</v>
      </c>
      <c r="AE400" s="64">
        <f>AB400/AD400*100</f>
        <v>121.21212121212122</v>
      </c>
      <c r="AF400" s="63" t="s">
        <v>75</v>
      </c>
      <c r="AH400" s="66"/>
    </row>
    <row r="401" spans="1:41" s="65" customFormat="1">
      <c r="A401" s="67" t="s">
        <v>296</v>
      </c>
      <c r="B401" s="67" t="s">
        <v>298</v>
      </c>
      <c r="C401" s="77" t="s">
        <v>178</v>
      </c>
      <c r="D401" s="67" t="s">
        <v>305</v>
      </c>
      <c r="E401" s="67" t="s">
        <v>96</v>
      </c>
      <c r="F401" s="67" t="s">
        <v>130</v>
      </c>
      <c r="G401" s="67" t="s">
        <v>128</v>
      </c>
      <c r="H401" s="67"/>
      <c r="I401" s="67"/>
      <c r="J401" s="67"/>
      <c r="K401" s="67"/>
      <c r="L401" s="67" t="s">
        <v>193</v>
      </c>
      <c r="M401" s="67" t="s">
        <v>187</v>
      </c>
      <c r="N401" s="67"/>
      <c r="O401" s="67"/>
      <c r="P401" s="67" t="s">
        <v>207</v>
      </c>
      <c r="Q401" s="67" t="s">
        <v>205</v>
      </c>
      <c r="R401" s="67"/>
      <c r="S401" s="67"/>
      <c r="T401" s="67">
        <v>0</v>
      </c>
      <c r="U401" s="67">
        <v>118002</v>
      </c>
      <c r="V401" s="67" t="s">
        <v>131</v>
      </c>
      <c r="W401" s="67">
        <v>4</v>
      </c>
      <c r="X401" s="67">
        <v>200000</v>
      </c>
      <c r="Y401" s="67">
        <v>190000</v>
      </c>
      <c r="Z401" s="68">
        <f t="shared" ref="Z401:Z403" si="358">X401/Y401*100</f>
        <v>105.26315789473684</v>
      </c>
      <c r="AA401" s="67">
        <v>4800000</v>
      </c>
      <c r="AB401" s="67">
        <v>2600000</v>
      </c>
      <c r="AC401" s="68">
        <f t="shared" ref="AC401:AC403" si="359">AB401/AA401*100</f>
        <v>54.166666666666664</v>
      </c>
      <c r="AD401" s="67">
        <v>2090000</v>
      </c>
      <c r="AE401" s="68">
        <f t="shared" ref="AE401:AE403" si="360">AB401/AD401*100</f>
        <v>124.4019138755981</v>
      </c>
      <c r="AF401" s="67" t="s">
        <v>141</v>
      </c>
      <c r="AH401" s="66"/>
    </row>
    <row r="402" spans="1:41" s="65" customFormat="1">
      <c r="A402" s="63" t="s">
        <v>296</v>
      </c>
      <c r="B402" s="63" t="s">
        <v>298</v>
      </c>
      <c r="C402" s="62" t="s">
        <v>178</v>
      </c>
      <c r="D402" s="63" t="s">
        <v>304</v>
      </c>
      <c r="E402" s="63" t="s">
        <v>96</v>
      </c>
      <c r="F402" s="63" t="s">
        <v>130</v>
      </c>
      <c r="G402" s="63" t="s">
        <v>128</v>
      </c>
      <c r="H402" s="63"/>
      <c r="I402" s="63"/>
      <c r="J402" s="63"/>
      <c r="K402" s="63"/>
      <c r="L402" s="63" t="s">
        <v>193</v>
      </c>
      <c r="M402" s="63" t="s">
        <v>187</v>
      </c>
      <c r="N402" s="63"/>
      <c r="O402" s="63"/>
      <c r="P402" s="63" t="s">
        <v>207</v>
      </c>
      <c r="Q402" s="63" t="s">
        <v>205</v>
      </c>
      <c r="R402" s="63"/>
      <c r="S402" s="63"/>
      <c r="T402" s="63">
        <v>1</v>
      </c>
      <c r="U402" s="63"/>
      <c r="V402" s="63" t="s">
        <v>132</v>
      </c>
      <c r="W402" s="63">
        <v>4</v>
      </c>
      <c r="X402" s="63">
        <v>600000</v>
      </c>
      <c r="Y402" s="63">
        <v>580000</v>
      </c>
      <c r="Z402" s="64">
        <f t="shared" si="358"/>
        <v>103.44827586206897</v>
      </c>
      <c r="AA402" s="63">
        <v>16400000</v>
      </c>
      <c r="AB402" s="63">
        <v>7800000</v>
      </c>
      <c r="AC402" s="64">
        <f t="shared" si="359"/>
        <v>47.560975609756099</v>
      </c>
      <c r="AD402" s="63">
        <v>6380000</v>
      </c>
      <c r="AE402" s="64">
        <f t="shared" si="360"/>
        <v>122.25705329153604</v>
      </c>
      <c r="AF402" s="63" t="s">
        <v>133</v>
      </c>
      <c r="AH402" s="66"/>
    </row>
    <row r="403" spans="1:41" s="65" customFormat="1">
      <c r="A403" s="67" t="s">
        <v>296</v>
      </c>
      <c r="B403" s="67" t="s">
        <v>298</v>
      </c>
      <c r="C403" s="77" t="s">
        <v>178</v>
      </c>
      <c r="D403" s="67" t="s">
        <v>305</v>
      </c>
      <c r="E403" s="67" t="s">
        <v>96</v>
      </c>
      <c r="F403" s="67" t="s">
        <v>130</v>
      </c>
      <c r="G403" s="67" t="s">
        <v>128</v>
      </c>
      <c r="H403" s="67"/>
      <c r="I403" s="67"/>
      <c r="J403" s="67"/>
      <c r="K403" s="67"/>
      <c r="L403" s="67" t="s">
        <v>193</v>
      </c>
      <c r="M403" s="67" t="s">
        <v>187</v>
      </c>
      <c r="N403" s="67"/>
      <c r="O403" s="67"/>
      <c r="P403" s="67" t="s">
        <v>207</v>
      </c>
      <c r="Q403" s="67" t="s">
        <v>205</v>
      </c>
      <c r="R403" s="67"/>
      <c r="S403" s="67"/>
      <c r="T403" s="67">
        <v>0</v>
      </c>
      <c r="U403" s="67">
        <v>118003</v>
      </c>
      <c r="V403" s="67" t="s">
        <v>134</v>
      </c>
      <c r="W403" s="67">
        <v>4</v>
      </c>
      <c r="X403" s="67">
        <v>50000</v>
      </c>
      <c r="Y403" s="67">
        <v>45000</v>
      </c>
      <c r="Z403" s="68">
        <f t="shared" si="358"/>
        <v>111.11111111111111</v>
      </c>
      <c r="AA403" s="67">
        <v>1200000</v>
      </c>
      <c r="AB403" s="67">
        <v>650000</v>
      </c>
      <c r="AC403" s="68">
        <f t="shared" si="359"/>
        <v>54.166666666666664</v>
      </c>
      <c r="AD403" s="67">
        <v>495000</v>
      </c>
      <c r="AE403" s="68">
        <f t="shared" si="360"/>
        <v>131.31313131313132</v>
      </c>
      <c r="AF403" s="67" t="s">
        <v>135</v>
      </c>
      <c r="AH403" s="66"/>
    </row>
    <row r="404" spans="1:41" s="65" customFormat="1">
      <c r="A404" s="63" t="s">
        <v>296</v>
      </c>
      <c r="B404" s="63" t="s">
        <v>298</v>
      </c>
      <c r="C404" s="62" t="s">
        <v>178</v>
      </c>
      <c r="D404" s="63" t="s">
        <v>304</v>
      </c>
      <c r="E404" s="63" t="s">
        <v>96</v>
      </c>
      <c r="F404" s="63" t="s">
        <v>130</v>
      </c>
      <c r="G404" s="63" t="s">
        <v>128</v>
      </c>
      <c r="H404" s="63"/>
      <c r="I404" s="63"/>
      <c r="J404" s="63"/>
      <c r="K404" s="63"/>
      <c r="L404" s="63" t="s">
        <v>193</v>
      </c>
      <c r="M404" s="63" t="s">
        <v>187</v>
      </c>
      <c r="N404" s="63"/>
      <c r="O404" s="63"/>
      <c r="P404" s="63" t="s">
        <v>207</v>
      </c>
      <c r="Q404" s="63" t="s">
        <v>205</v>
      </c>
      <c r="R404" s="63"/>
      <c r="S404" s="63"/>
      <c r="T404" s="63">
        <v>0</v>
      </c>
      <c r="U404" s="63">
        <v>118004</v>
      </c>
      <c r="V404" s="63" t="s">
        <v>136</v>
      </c>
      <c r="W404" s="63">
        <v>4</v>
      </c>
      <c r="X404" s="63"/>
      <c r="Y404" s="63"/>
      <c r="Z404" s="69" t="s">
        <v>182</v>
      </c>
      <c r="AA404" s="63"/>
      <c r="AB404" s="63"/>
      <c r="AC404" s="69" t="s">
        <v>182</v>
      </c>
      <c r="AD404" s="63"/>
      <c r="AE404" s="69" t="s">
        <v>182</v>
      </c>
      <c r="AF404" s="63" t="s">
        <v>81</v>
      </c>
      <c r="AH404" s="66"/>
    </row>
    <row r="405" spans="1:41" s="65" customFormat="1">
      <c r="A405" s="67" t="s">
        <v>296</v>
      </c>
      <c r="B405" s="67" t="s">
        <v>298</v>
      </c>
      <c r="C405" s="77" t="s">
        <v>178</v>
      </c>
      <c r="D405" s="67" t="s">
        <v>305</v>
      </c>
      <c r="E405" s="67" t="s">
        <v>96</v>
      </c>
      <c r="F405" s="67" t="s">
        <v>130</v>
      </c>
      <c r="G405" s="67" t="s">
        <v>128</v>
      </c>
      <c r="H405" s="67"/>
      <c r="I405" s="67"/>
      <c r="J405" s="67"/>
      <c r="K405" s="67"/>
      <c r="L405" s="67" t="s">
        <v>193</v>
      </c>
      <c r="M405" s="67" t="s">
        <v>187</v>
      </c>
      <c r="N405" s="67"/>
      <c r="O405" s="67"/>
      <c r="P405" s="67" t="s">
        <v>207</v>
      </c>
      <c r="Q405" s="67" t="s">
        <v>205</v>
      </c>
      <c r="R405" s="67"/>
      <c r="S405" s="67"/>
      <c r="T405" s="67">
        <v>1</v>
      </c>
      <c r="U405" s="67"/>
      <c r="V405" s="67" t="s">
        <v>138</v>
      </c>
      <c r="W405" s="67">
        <v>4</v>
      </c>
      <c r="X405" s="67">
        <v>50000</v>
      </c>
      <c r="Y405" s="67">
        <v>45000</v>
      </c>
      <c r="Z405" s="68">
        <f t="shared" ref="Z405" si="361">X405/Y405*100</f>
        <v>111.11111111111111</v>
      </c>
      <c r="AA405" s="67">
        <v>1200000</v>
      </c>
      <c r="AB405" s="67">
        <v>650000</v>
      </c>
      <c r="AC405" s="68">
        <f t="shared" ref="AC405" si="362">AB405/AA405*100</f>
        <v>54.166666666666664</v>
      </c>
      <c r="AD405" s="67">
        <v>495000</v>
      </c>
      <c r="AE405" s="68">
        <f t="shared" ref="AE405" si="363">AB405/AD405*100</f>
        <v>131.31313131313132</v>
      </c>
      <c r="AF405" s="67" t="s">
        <v>139</v>
      </c>
      <c r="AH405" s="66"/>
    </row>
    <row r="406" spans="1:41">
      <c r="Y406" s="60"/>
      <c r="AA406" s="47"/>
      <c r="AH406" s="60"/>
      <c r="AI406" s="60"/>
      <c r="AM406" s="47"/>
      <c r="AO406" s="60"/>
    </row>
  </sheetData>
  <phoneticPr fontId="1"/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headerFooter>
    <oddHeader>&amp;L&amp;A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6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112" t="s">
        <v>38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4"/>
      <c r="AT2" s="106" t="s">
        <v>3</v>
      </c>
      <c r="AU2" s="107"/>
      <c r="AV2" s="107"/>
      <c r="AW2" s="107"/>
      <c r="AX2" s="108"/>
      <c r="AY2" s="106" t="s">
        <v>39</v>
      </c>
      <c r="AZ2" s="107"/>
      <c r="BA2" s="107"/>
      <c r="BB2" s="108"/>
      <c r="BC2" s="106" t="s">
        <v>5</v>
      </c>
      <c r="BD2" s="107"/>
      <c r="BE2" s="107"/>
      <c r="BF2" s="108"/>
      <c r="BG2" s="106"/>
      <c r="BH2" s="107"/>
      <c r="BI2" s="107"/>
      <c r="BJ2" s="108"/>
    </row>
    <row r="3" spans="1:63" s="1" customFormat="1" ht="18" customHeight="1">
      <c r="A3" s="115" t="s">
        <v>6</v>
      </c>
      <c r="B3" s="116"/>
      <c r="C3" s="116"/>
      <c r="D3" s="116"/>
      <c r="E3" s="116"/>
      <c r="F3" s="116"/>
      <c r="G3" s="116"/>
      <c r="H3" s="117"/>
      <c r="I3" s="121" t="s">
        <v>307</v>
      </c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3"/>
      <c r="AT3" s="106" t="s">
        <v>7</v>
      </c>
      <c r="AU3" s="107"/>
      <c r="AV3" s="107"/>
      <c r="AW3" s="107"/>
      <c r="AX3" s="108"/>
      <c r="AY3" s="106" t="s">
        <v>306</v>
      </c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8"/>
    </row>
    <row r="4" spans="1:63" s="1" customFormat="1" ht="18" customHeight="1">
      <c r="A4" s="118"/>
      <c r="B4" s="119"/>
      <c r="C4" s="119"/>
      <c r="D4" s="119"/>
      <c r="E4" s="119"/>
      <c r="F4" s="119"/>
      <c r="G4" s="119"/>
      <c r="H4" s="120"/>
      <c r="I4" s="124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6"/>
      <c r="AT4" s="106" t="s">
        <v>8</v>
      </c>
      <c r="AU4" s="107"/>
      <c r="AV4" s="107"/>
      <c r="AW4" s="107"/>
      <c r="AX4" s="108"/>
      <c r="AY4" s="106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62" t="s">
        <v>16</v>
      </c>
      <c r="B6" s="163"/>
      <c r="C6" s="163"/>
      <c r="D6" s="163"/>
      <c r="E6" s="163"/>
      <c r="F6" s="163"/>
      <c r="G6" s="163"/>
      <c r="H6" s="163"/>
      <c r="I6" s="163"/>
      <c r="J6" s="163"/>
      <c r="K6" s="164"/>
      <c r="L6" s="162" t="s">
        <v>271</v>
      </c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106" t="s">
        <v>20</v>
      </c>
      <c r="B8" s="107"/>
      <c r="C8" s="108"/>
      <c r="D8" s="106" t="s">
        <v>40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8"/>
      <c r="R8" s="192" t="s">
        <v>41</v>
      </c>
      <c r="S8" s="193"/>
      <c r="T8" s="193"/>
      <c r="U8" s="194"/>
      <c r="V8" s="192" t="s">
        <v>42</v>
      </c>
      <c r="W8" s="193"/>
      <c r="X8" s="193"/>
      <c r="Y8" s="194"/>
      <c r="Z8" s="192" t="s">
        <v>43</v>
      </c>
      <c r="AA8" s="193"/>
      <c r="AB8" s="193"/>
      <c r="AC8" s="194"/>
      <c r="AD8" s="192" t="s">
        <v>44</v>
      </c>
      <c r="AE8" s="193"/>
      <c r="AF8" s="193"/>
      <c r="AG8" s="194"/>
      <c r="AH8" s="106" t="s">
        <v>45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8"/>
      <c r="BD8" s="192" t="s">
        <v>46</v>
      </c>
      <c r="BE8" s="193"/>
      <c r="BF8" s="193"/>
      <c r="BG8" s="193"/>
      <c r="BH8" s="193"/>
      <c r="BI8" s="193"/>
      <c r="BJ8" s="194"/>
    </row>
    <row r="9" spans="1:63" s="11" customFormat="1" ht="40.5" customHeight="1">
      <c r="A9" s="195"/>
      <c r="B9" s="196"/>
      <c r="C9" s="197"/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200"/>
      <c r="R9" s="195"/>
      <c r="S9" s="196"/>
      <c r="T9" s="196"/>
      <c r="U9" s="197"/>
      <c r="V9" s="195"/>
      <c r="W9" s="196"/>
      <c r="X9" s="196"/>
      <c r="Y9" s="197"/>
      <c r="Z9" s="195"/>
      <c r="AA9" s="196"/>
      <c r="AB9" s="196"/>
      <c r="AC9" s="197"/>
      <c r="AD9" s="195"/>
      <c r="AE9" s="196"/>
      <c r="AF9" s="196"/>
      <c r="AG9" s="197"/>
      <c r="AH9" s="201" t="s">
        <v>102</v>
      </c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3"/>
      <c r="BD9" s="195"/>
      <c r="BE9" s="196"/>
      <c r="BF9" s="196"/>
      <c r="BG9" s="196"/>
      <c r="BH9" s="196"/>
      <c r="BI9" s="196"/>
      <c r="BJ9" s="197"/>
    </row>
    <row r="10" spans="1:63" ht="40.5" customHeight="1">
      <c r="A10" s="207"/>
      <c r="B10" s="208"/>
      <c r="C10" s="209"/>
      <c r="D10" s="210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2"/>
      <c r="R10" s="207"/>
      <c r="S10" s="208"/>
      <c r="T10" s="208"/>
      <c r="U10" s="209"/>
      <c r="V10" s="207"/>
      <c r="W10" s="208"/>
      <c r="X10" s="208"/>
      <c r="Y10" s="209"/>
      <c r="Z10" s="207"/>
      <c r="AA10" s="208"/>
      <c r="AB10" s="208"/>
      <c r="AC10" s="209"/>
      <c r="AD10" s="207"/>
      <c r="AE10" s="208"/>
      <c r="AF10" s="208"/>
      <c r="AG10" s="209"/>
      <c r="AH10" s="204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6"/>
      <c r="BD10" s="207"/>
      <c r="BE10" s="208"/>
      <c r="BF10" s="208"/>
      <c r="BG10" s="208"/>
      <c r="BH10" s="208"/>
      <c r="BI10" s="208"/>
      <c r="BJ10" s="209"/>
    </row>
    <row r="11" spans="1:63" ht="40.5" customHeight="1">
      <c r="A11" s="207"/>
      <c r="B11" s="208"/>
      <c r="C11" s="209"/>
      <c r="D11" s="210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2"/>
      <c r="R11" s="207"/>
      <c r="S11" s="208"/>
      <c r="T11" s="208"/>
      <c r="U11" s="209"/>
      <c r="V11" s="207"/>
      <c r="W11" s="208"/>
      <c r="X11" s="208"/>
      <c r="Y11" s="209"/>
      <c r="Z11" s="207"/>
      <c r="AA11" s="208"/>
      <c r="AB11" s="208"/>
      <c r="AC11" s="209"/>
      <c r="AD11" s="207"/>
      <c r="AE11" s="208"/>
      <c r="AF11" s="208"/>
      <c r="AG11" s="209"/>
      <c r="AH11" s="204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6"/>
      <c r="BD11" s="207"/>
      <c r="BE11" s="208"/>
      <c r="BF11" s="208"/>
      <c r="BG11" s="208"/>
      <c r="BH11" s="208"/>
      <c r="BI11" s="208"/>
      <c r="BJ11" s="209"/>
    </row>
    <row r="12" spans="1:63" ht="40.5" customHeight="1">
      <c r="A12" s="207"/>
      <c r="B12" s="208"/>
      <c r="C12" s="209"/>
      <c r="D12" s="210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2"/>
      <c r="R12" s="207"/>
      <c r="S12" s="208"/>
      <c r="T12" s="208"/>
      <c r="U12" s="209"/>
      <c r="V12" s="207"/>
      <c r="W12" s="208"/>
      <c r="X12" s="208"/>
      <c r="Y12" s="209"/>
      <c r="Z12" s="207"/>
      <c r="AA12" s="208"/>
      <c r="AB12" s="208"/>
      <c r="AC12" s="209"/>
      <c r="AD12" s="207"/>
      <c r="AE12" s="208"/>
      <c r="AF12" s="208"/>
      <c r="AG12" s="209"/>
      <c r="AH12" s="204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6"/>
      <c r="BD12" s="207"/>
      <c r="BE12" s="208"/>
      <c r="BF12" s="208"/>
      <c r="BG12" s="208"/>
      <c r="BH12" s="208"/>
      <c r="BI12" s="208"/>
      <c r="BJ12" s="209"/>
    </row>
    <row r="13" spans="1:63" ht="40.5" customHeight="1">
      <c r="A13" s="207"/>
      <c r="B13" s="208"/>
      <c r="C13" s="209"/>
      <c r="D13" s="210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2"/>
      <c r="R13" s="207"/>
      <c r="S13" s="208"/>
      <c r="T13" s="208"/>
      <c r="U13" s="209"/>
      <c r="V13" s="207"/>
      <c r="W13" s="208"/>
      <c r="X13" s="208"/>
      <c r="Y13" s="209"/>
      <c r="Z13" s="207"/>
      <c r="AA13" s="208"/>
      <c r="AB13" s="208"/>
      <c r="AC13" s="209"/>
      <c r="AD13" s="207"/>
      <c r="AE13" s="208"/>
      <c r="AF13" s="208"/>
      <c r="AG13" s="209"/>
      <c r="AH13" s="204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6"/>
      <c r="BD13" s="207"/>
      <c r="BE13" s="208"/>
      <c r="BF13" s="208"/>
      <c r="BG13" s="208"/>
      <c r="BH13" s="208"/>
      <c r="BI13" s="208"/>
      <c r="BJ13" s="209"/>
    </row>
    <row r="14" spans="1:63" ht="40.5" customHeight="1">
      <c r="A14" s="207"/>
      <c r="B14" s="208"/>
      <c r="C14" s="209"/>
      <c r="D14" s="210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2"/>
      <c r="R14" s="207"/>
      <c r="S14" s="208"/>
      <c r="T14" s="208"/>
      <c r="U14" s="209"/>
      <c r="V14" s="207"/>
      <c r="W14" s="208"/>
      <c r="X14" s="208"/>
      <c r="Y14" s="209"/>
      <c r="Z14" s="207"/>
      <c r="AA14" s="208"/>
      <c r="AB14" s="208"/>
      <c r="AC14" s="209"/>
      <c r="AD14" s="207"/>
      <c r="AE14" s="208"/>
      <c r="AF14" s="208"/>
      <c r="AG14" s="209"/>
      <c r="AH14" s="204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6"/>
      <c r="BD14" s="207"/>
      <c r="BE14" s="208"/>
      <c r="BF14" s="208"/>
      <c r="BG14" s="208"/>
      <c r="BH14" s="208"/>
      <c r="BI14" s="208"/>
      <c r="BJ14" s="209"/>
    </row>
    <row r="15" spans="1:63" ht="40.5" customHeight="1">
      <c r="A15" s="207"/>
      <c r="B15" s="208"/>
      <c r="C15" s="209"/>
      <c r="D15" s="210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2"/>
      <c r="R15" s="207"/>
      <c r="S15" s="208"/>
      <c r="T15" s="208"/>
      <c r="U15" s="209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4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6"/>
      <c r="BD15" s="207"/>
      <c r="BE15" s="208"/>
      <c r="BF15" s="208"/>
      <c r="BG15" s="208"/>
      <c r="BH15" s="208"/>
      <c r="BI15" s="208"/>
      <c r="BJ15" s="209"/>
    </row>
    <row r="16" spans="1:63" ht="40.5" customHeight="1">
      <c r="A16" s="207"/>
      <c r="B16" s="208"/>
      <c r="C16" s="209"/>
      <c r="D16" s="210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2"/>
      <c r="R16" s="207"/>
      <c r="S16" s="208"/>
      <c r="T16" s="208"/>
      <c r="U16" s="209"/>
      <c r="V16" s="207"/>
      <c r="W16" s="208"/>
      <c r="X16" s="208"/>
      <c r="Y16" s="209"/>
      <c r="Z16" s="207"/>
      <c r="AA16" s="208"/>
      <c r="AB16" s="208"/>
      <c r="AC16" s="209"/>
      <c r="AD16" s="207"/>
      <c r="AE16" s="208"/>
      <c r="AF16" s="208"/>
      <c r="AG16" s="209"/>
      <c r="AH16" s="204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6"/>
      <c r="BD16" s="207"/>
      <c r="BE16" s="208"/>
      <c r="BF16" s="208"/>
      <c r="BG16" s="208"/>
      <c r="BH16" s="208"/>
      <c r="BI16" s="208"/>
      <c r="BJ16" s="209"/>
    </row>
    <row r="17" spans="1:62" ht="40.5" customHeight="1">
      <c r="A17" s="207"/>
      <c r="B17" s="208"/>
      <c r="C17" s="209"/>
      <c r="D17" s="210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2"/>
      <c r="R17" s="207"/>
      <c r="S17" s="208"/>
      <c r="T17" s="208"/>
      <c r="U17" s="209"/>
      <c r="V17" s="207"/>
      <c r="W17" s="208"/>
      <c r="X17" s="208"/>
      <c r="Y17" s="209"/>
      <c r="Z17" s="207"/>
      <c r="AA17" s="208"/>
      <c r="AB17" s="208"/>
      <c r="AC17" s="209"/>
      <c r="AD17" s="207"/>
      <c r="AE17" s="208"/>
      <c r="AF17" s="208"/>
      <c r="AG17" s="209"/>
      <c r="AH17" s="204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206"/>
      <c r="BD17" s="207"/>
      <c r="BE17" s="208"/>
      <c r="BF17" s="208"/>
      <c r="BG17" s="208"/>
      <c r="BH17" s="208"/>
      <c r="BI17" s="208"/>
      <c r="BJ17" s="209"/>
    </row>
    <row r="18" spans="1:62" ht="40.5" customHeight="1">
      <c r="A18" s="207"/>
      <c r="B18" s="208"/>
      <c r="C18" s="209"/>
      <c r="D18" s="210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2"/>
      <c r="R18" s="207"/>
      <c r="S18" s="208"/>
      <c r="T18" s="208"/>
      <c r="U18" s="209"/>
      <c r="V18" s="207"/>
      <c r="W18" s="208"/>
      <c r="X18" s="208"/>
      <c r="Y18" s="209"/>
      <c r="Z18" s="207"/>
      <c r="AA18" s="208"/>
      <c r="AB18" s="208"/>
      <c r="AC18" s="209"/>
      <c r="AD18" s="207"/>
      <c r="AE18" s="208"/>
      <c r="AF18" s="208"/>
      <c r="AG18" s="209"/>
      <c r="AH18" s="204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6"/>
      <c r="BD18" s="207"/>
      <c r="BE18" s="208"/>
      <c r="BF18" s="208"/>
      <c r="BG18" s="208"/>
      <c r="BH18" s="208"/>
      <c r="BI18" s="208"/>
      <c r="BJ18" s="209"/>
    </row>
    <row r="19" spans="1:62" ht="40.5" customHeight="1">
      <c r="A19" s="207"/>
      <c r="B19" s="208"/>
      <c r="C19" s="209"/>
      <c r="D19" s="210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2"/>
      <c r="R19" s="207"/>
      <c r="S19" s="208"/>
      <c r="T19" s="208"/>
      <c r="U19" s="209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4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6"/>
      <c r="BD19" s="207"/>
      <c r="BE19" s="208"/>
      <c r="BF19" s="208"/>
      <c r="BG19" s="208"/>
      <c r="BH19" s="208"/>
      <c r="BI19" s="208"/>
      <c r="BJ19" s="209"/>
    </row>
    <row r="20" spans="1:62" ht="40.5" customHeight="1">
      <c r="A20" s="207"/>
      <c r="B20" s="208"/>
      <c r="C20" s="209"/>
      <c r="D20" s="210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2"/>
      <c r="R20" s="207"/>
      <c r="S20" s="208"/>
      <c r="T20" s="208"/>
      <c r="U20" s="209"/>
      <c r="V20" s="207"/>
      <c r="W20" s="208"/>
      <c r="X20" s="208"/>
      <c r="Y20" s="209"/>
      <c r="Z20" s="207"/>
      <c r="AA20" s="208"/>
      <c r="AB20" s="208"/>
      <c r="AC20" s="209"/>
      <c r="AD20" s="207"/>
      <c r="AE20" s="208"/>
      <c r="AF20" s="208"/>
      <c r="AG20" s="209"/>
      <c r="AH20" s="204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6"/>
      <c r="BD20" s="207"/>
      <c r="BE20" s="208"/>
      <c r="BF20" s="208"/>
      <c r="BG20" s="208"/>
      <c r="BH20" s="208"/>
      <c r="BI20" s="208"/>
      <c r="BJ20" s="209"/>
    </row>
    <row r="21" spans="1:62" ht="40.5" customHeight="1">
      <c r="A21" s="207"/>
      <c r="B21" s="208"/>
      <c r="C21" s="209"/>
      <c r="D21" s="210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2"/>
      <c r="R21" s="207"/>
      <c r="S21" s="208"/>
      <c r="T21" s="208"/>
      <c r="U21" s="209"/>
      <c r="V21" s="207"/>
      <c r="W21" s="208"/>
      <c r="X21" s="208"/>
      <c r="Y21" s="209"/>
      <c r="Z21" s="207"/>
      <c r="AA21" s="208"/>
      <c r="AB21" s="208"/>
      <c r="AC21" s="209"/>
      <c r="AD21" s="207"/>
      <c r="AE21" s="208"/>
      <c r="AF21" s="208"/>
      <c r="AG21" s="209"/>
      <c r="AH21" s="204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6"/>
      <c r="BD21" s="207"/>
      <c r="BE21" s="208"/>
      <c r="BF21" s="208"/>
      <c r="BG21" s="208"/>
      <c r="BH21" s="208"/>
      <c r="BI21" s="208"/>
      <c r="BJ21" s="209"/>
    </row>
    <row r="22" spans="1:62" ht="40.5" customHeight="1">
      <c r="A22" s="207"/>
      <c r="B22" s="208"/>
      <c r="C22" s="209"/>
      <c r="D22" s="210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2"/>
      <c r="R22" s="207"/>
      <c r="S22" s="208"/>
      <c r="T22" s="208"/>
      <c r="U22" s="209"/>
      <c r="V22" s="207"/>
      <c r="W22" s="208"/>
      <c r="X22" s="208"/>
      <c r="Y22" s="209"/>
      <c r="Z22" s="207"/>
      <c r="AA22" s="208"/>
      <c r="AB22" s="208"/>
      <c r="AC22" s="209"/>
      <c r="AD22" s="207"/>
      <c r="AE22" s="208"/>
      <c r="AF22" s="208"/>
      <c r="AG22" s="209"/>
      <c r="AH22" s="204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6"/>
      <c r="BD22" s="207"/>
      <c r="BE22" s="208"/>
      <c r="BF22" s="208"/>
      <c r="BG22" s="208"/>
      <c r="BH22" s="208"/>
      <c r="BI22" s="208"/>
      <c r="BJ22" s="209"/>
    </row>
    <row r="23" spans="1:62" ht="40.5" customHeight="1">
      <c r="A23" s="207"/>
      <c r="B23" s="208"/>
      <c r="C23" s="209"/>
      <c r="D23" s="210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2"/>
      <c r="R23" s="207"/>
      <c r="S23" s="208"/>
      <c r="T23" s="208"/>
      <c r="U23" s="209"/>
      <c r="V23" s="207"/>
      <c r="W23" s="208"/>
      <c r="X23" s="208"/>
      <c r="Y23" s="209"/>
      <c r="Z23" s="207"/>
      <c r="AA23" s="208"/>
      <c r="AB23" s="208"/>
      <c r="AC23" s="209"/>
      <c r="AD23" s="207"/>
      <c r="AE23" s="208"/>
      <c r="AF23" s="208"/>
      <c r="AG23" s="209"/>
      <c r="AH23" s="204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6"/>
      <c r="BD23" s="207"/>
      <c r="BE23" s="208"/>
      <c r="BF23" s="208"/>
      <c r="BG23" s="208"/>
      <c r="BH23" s="208"/>
      <c r="BI23" s="208"/>
      <c r="BJ23" s="209"/>
    </row>
    <row r="24" spans="1:62" ht="40.5" customHeight="1">
      <c r="A24" s="207"/>
      <c r="B24" s="208"/>
      <c r="C24" s="209"/>
      <c r="D24" s="210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2"/>
      <c r="R24" s="207"/>
      <c r="S24" s="208"/>
      <c r="T24" s="208"/>
      <c r="U24" s="209"/>
      <c r="V24" s="207"/>
      <c r="W24" s="208"/>
      <c r="X24" s="208"/>
      <c r="Y24" s="209"/>
      <c r="Z24" s="207"/>
      <c r="AA24" s="208"/>
      <c r="AB24" s="208"/>
      <c r="AC24" s="209"/>
      <c r="AD24" s="207"/>
      <c r="AE24" s="208"/>
      <c r="AF24" s="208"/>
      <c r="AG24" s="209"/>
      <c r="AH24" s="204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6"/>
      <c r="BD24" s="207"/>
      <c r="BE24" s="208"/>
      <c r="BF24" s="208"/>
      <c r="BG24" s="208"/>
      <c r="BH24" s="208"/>
      <c r="BI24" s="208"/>
      <c r="BJ24" s="209"/>
    </row>
    <row r="25" spans="1:62" ht="40.5" customHeight="1">
      <c r="A25" s="207"/>
      <c r="B25" s="208"/>
      <c r="C25" s="209"/>
      <c r="D25" s="210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2"/>
      <c r="R25" s="207"/>
      <c r="S25" s="208"/>
      <c r="T25" s="208"/>
      <c r="U25" s="209"/>
      <c r="V25" s="207"/>
      <c r="W25" s="208"/>
      <c r="X25" s="208"/>
      <c r="Y25" s="209"/>
      <c r="Z25" s="207"/>
      <c r="AA25" s="208"/>
      <c r="AB25" s="208"/>
      <c r="AC25" s="209"/>
      <c r="AD25" s="207"/>
      <c r="AE25" s="208"/>
      <c r="AF25" s="208"/>
      <c r="AG25" s="209"/>
      <c r="AH25" s="204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6"/>
      <c r="BD25" s="207"/>
      <c r="BE25" s="208"/>
      <c r="BF25" s="208"/>
      <c r="BG25" s="208"/>
      <c r="BH25" s="208"/>
      <c r="BI25" s="208"/>
      <c r="BJ25" s="209"/>
    </row>
    <row r="26" spans="1:62" ht="40.5" customHeight="1">
      <c r="A26" s="207"/>
      <c r="B26" s="208"/>
      <c r="C26" s="209"/>
      <c r="D26" s="210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2"/>
      <c r="R26" s="207"/>
      <c r="S26" s="208"/>
      <c r="T26" s="208"/>
      <c r="U26" s="209"/>
      <c r="V26" s="207"/>
      <c r="W26" s="208"/>
      <c r="X26" s="208"/>
      <c r="Y26" s="209"/>
      <c r="Z26" s="207"/>
      <c r="AA26" s="208"/>
      <c r="AB26" s="208"/>
      <c r="AC26" s="209"/>
      <c r="AD26" s="207"/>
      <c r="AE26" s="208"/>
      <c r="AF26" s="208"/>
      <c r="AG26" s="209"/>
      <c r="AH26" s="204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6"/>
      <c r="BD26" s="207"/>
      <c r="BE26" s="208"/>
      <c r="BF26" s="208"/>
      <c r="BG26" s="208"/>
      <c r="BH26" s="208"/>
      <c r="BI26" s="208"/>
      <c r="BJ26" s="209"/>
    </row>
    <row r="27" spans="1:62" ht="40.5" customHeight="1">
      <c r="A27" s="207"/>
      <c r="B27" s="208"/>
      <c r="C27" s="209"/>
      <c r="D27" s="210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2"/>
      <c r="R27" s="207"/>
      <c r="S27" s="208"/>
      <c r="T27" s="208"/>
      <c r="U27" s="209"/>
      <c r="V27" s="207"/>
      <c r="W27" s="208"/>
      <c r="X27" s="208"/>
      <c r="Y27" s="209"/>
      <c r="Z27" s="207"/>
      <c r="AA27" s="208"/>
      <c r="AB27" s="208"/>
      <c r="AC27" s="209"/>
      <c r="AD27" s="207"/>
      <c r="AE27" s="208"/>
      <c r="AF27" s="208"/>
      <c r="AG27" s="209"/>
      <c r="AH27" s="204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6"/>
      <c r="BD27" s="207"/>
      <c r="BE27" s="208"/>
      <c r="BF27" s="208"/>
      <c r="BG27" s="208"/>
      <c r="BH27" s="208"/>
      <c r="BI27" s="208"/>
      <c r="BJ27" s="209"/>
    </row>
    <row r="28" spans="1:62" ht="40.5" customHeight="1">
      <c r="A28" s="207"/>
      <c r="B28" s="208"/>
      <c r="C28" s="209"/>
      <c r="D28" s="210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2"/>
      <c r="R28" s="207"/>
      <c r="S28" s="208"/>
      <c r="T28" s="208"/>
      <c r="U28" s="209"/>
      <c r="V28" s="207"/>
      <c r="W28" s="208"/>
      <c r="X28" s="208"/>
      <c r="Y28" s="209"/>
      <c r="Z28" s="207"/>
      <c r="AA28" s="208"/>
      <c r="AB28" s="208"/>
      <c r="AC28" s="209"/>
      <c r="AD28" s="207"/>
      <c r="AE28" s="208"/>
      <c r="AF28" s="208"/>
      <c r="AG28" s="209"/>
      <c r="AH28" s="204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6"/>
      <c r="BD28" s="207"/>
      <c r="BE28" s="208"/>
      <c r="BF28" s="208"/>
      <c r="BG28" s="208"/>
      <c r="BH28" s="208"/>
      <c r="BI28" s="208"/>
      <c r="BJ28" s="209"/>
    </row>
    <row r="29" spans="1:62" ht="40.5" customHeight="1">
      <c r="A29" s="207"/>
      <c r="B29" s="208"/>
      <c r="C29" s="209"/>
      <c r="D29" s="210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2"/>
      <c r="R29" s="207"/>
      <c r="S29" s="208"/>
      <c r="T29" s="208"/>
      <c r="U29" s="209"/>
      <c r="V29" s="207"/>
      <c r="W29" s="208"/>
      <c r="X29" s="208"/>
      <c r="Y29" s="209"/>
      <c r="Z29" s="207"/>
      <c r="AA29" s="208"/>
      <c r="AB29" s="208"/>
      <c r="AC29" s="209"/>
      <c r="AD29" s="207"/>
      <c r="AE29" s="208"/>
      <c r="AF29" s="208"/>
      <c r="AG29" s="209"/>
      <c r="AH29" s="204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6"/>
      <c r="BD29" s="207"/>
      <c r="BE29" s="208"/>
      <c r="BF29" s="208"/>
      <c r="BG29" s="208"/>
      <c r="BH29" s="208"/>
      <c r="BI29" s="208"/>
      <c r="BJ29" s="209"/>
    </row>
    <row r="30" spans="1:62" ht="40.5" customHeight="1">
      <c r="A30" s="207"/>
      <c r="B30" s="208"/>
      <c r="C30" s="209"/>
      <c r="D30" s="210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2"/>
      <c r="R30" s="207"/>
      <c r="S30" s="208"/>
      <c r="T30" s="208"/>
      <c r="U30" s="209"/>
      <c r="V30" s="207"/>
      <c r="W30" s="208"/>
      <c r="X30" s="208"/>
      <c r="Y30" s="209"/>
      <c r="Z30" s="207"/>
      <c r="AA30" s="208"/>
      <c r="AB30" s="208"/>
      <c r="AC30" s="209"/>
      <c r="AD30" s="207"/>
      <c r="AE30" s="208"/>
      <c r="AF30" s="208"/>
      <c r="AG30" s="209"/>
      <c r="AH30" s="204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6"/>
      <c r="BD30" s="207"/>
      <c r="BE30" s="208"/>
      <c r="BF30" s="208"/>
      <c r="BG30" s="208"/>
      <c r="BH30" s="208"/>
      <c r="BI30" s="208"/>
      <c r="BJ30" s="209"/>
    </row>
    <row r="31" spans="1:62" ht="40.5" customHeight="1">
      <c r="A31" s="207"/>
      <c r="B31" s="208"/>
      <c r="C31" s="209"/>
      <c r="D31" s="210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2"/>
      <c r="R31" s="207"/>
      <c r="S31" s="208"/>
      <c r="T31" s="208"/>
      <c r="U31" s="209"/>
      <c r="V31" s="207"/>
      <c r="W31" s="208"/>
      <c r="X31" s="208"/>
      <c r="Y31" s="209"/>
      <c r="Z31" s="207"/>
      <c r="AA31" s="208"/>
      <c r="AB31" s="208"/>
      <c r="AC31" s="209"/>
      <c r="AD31" s="207"/>
      <c r="AE31" s="208"/>
      <c r="AF31" s="208"/>
      <c r="AG31" s="209"/>
      <c r="AH31" s="204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6"/>
      <c r="BD31" s="207"/>
      <c r="BE31" s="208"/>
      <c r="BF31" s="208"/>
      <c r="BG31" s="208"/>
      <c r="BH31" s="208"/>
      <c r="BI31" s="208"/>
      <c r="BJ31" s="209"/>
    </row>
    <row r="32" spans="1:62" ht="40.5" customHeight="1">
      <c r="A32" s="216"/>
      <c r="B32" s="217"/>
      <c r="C32" s="218"/>
      <c r="D32" s="219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1"/>
      <c r="R32" s="216"/>
      <c r="S32" s="217"/>
      <c r="T32" s="217"/>
      <c r="U32" s="218"/>
      <c r="V32" s="216"/>
      <c r="W32" s="217"/>
      <c r="X32" s="217"/>
      <c r="Y32" s="218"/>
      <c r="Z32" s="216"/>
      <c r="AA32" s="217"/>
      <c r="AB32" s="217"/>
      <c r="AC32" s="218"/>
      <c r="AD32" s="216"/>
      <c r="AE32" s="217"/>
      <c r="AF32" s="217"/>
      <c r="AG32" s="218"/>
      <c r="AH32" s="213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4"/>
      <c r="AT32" s="214"/>
      <c r="AU32" s="214"/>
      <c r="AV32" s="214"/>
      <c r="AW32" s="214"/>
      <c r="AX32" s="214"/>
      <c r="AY32" s="214"/>
      <c r="AZ32" s="214"/>
      <c r="BA32" s="214"/>
      <c r="BB32" s="214"/>
      <c r="BC32" s="215"/>
      <c r="BD32" s="216"/>
      <c r="BE32" s="217"/>
      <c r="BF32" s="217"/>
      <c r="BG32" s="217"/>
      <c r="BH32" s="217"/>
      <c r="BI32" s="217"/>
      <c r="BJ32" s="218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0:C30"/>
    <mergeCell ref="D30:Q30"/>
    <mergeCell ref="R30:U30"/>
    <mergeCell ref="V30:Y30"/>
    <mergeCell ref="Z30:AC30"/>
    <mergeCell ref="AD30:AG30"/>
    <mergeCell ref="AH31:BC31"/>
    <mergeCell ref="BD31:BJ31"/>
    <mergeCell ref="A31:C31"/>
    <mergeCell ref="D31:Q31"/>
    <mergeCell ref="R31:U31"/>
    <mergeCell ref="V31:Y31"/>
    <mergeCell ref="Z31:AC31"/>
    <mergeCell ref="AD31:AG31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7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112" t="s">
        <v>47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4"/>
      <c r="AT2" s="106" t="s">
        <v>3</v>
      </c>
      <c r="AU2" s="107"/>
      <c r="AV2" s="107"/>
      <c r="AW2" s="107"/>
      <c r="AX2" s="108"/>
      <c r="AY2" s="106" t="s">
        <v>48</v>
      </c>
      <c r="AZ2" s="107"/>
      <c r="BA2" s="107"/>
      <c r="BB2" s="108"/>
      <c r="BC2" s="106" t="s">
        <v>5</v>
      </c>
      <c r="BD2" s="107"/>
      <c r="BE2" s="107"/>
      <c r="BF2" s="108"/>
      <c r="BG2" s="106"/>
      <c r="BH2" s="107"/>
      <c r="BI2" s="107"/>
      <c r="BJ2" s="108"/>
    </row>
    <row r="3" spans="1:63" s="1" customFormat="1" ht="18" customHeight="1">
      <c r="A3" s="115" t="s">
        <v>6</v>
      </c>
      <c r="B3" s="116"/>
      <c r="C3" s="116"/>
      <c r="D3" s="116"/>
      <c r="E3" s="116"/>
      <c r="F3" s="116"/>
      <c r="G3" s="116"/>
      <c r="H3" s="117"/>
      <c r="I3" s="121" t="s">
        <v>307</v>
      </c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3"/>
      <c r="AT3" s="106" t="s">
        <v>7</v>
      </c>
      <c r="AU3" s="107"/>
      <c r="AV3" s="107"/>
      <c r="AW3" s="107"/>
      <c r="AX3" s="108"/>
      <c r="AY3" s="106" t="s">
        <v>306</v>
      </c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8"/>
    </row>
    <row r="4" spans="1:63" s="1" customFormat="1" ht="18" customHeight="1">
      <c r="A4" s="118"/>
      <c r="B4" s="119"/>
      <c r="C4" s="119"/>
      <c r="D4" s="119"/>
      <c r="E4" s="119"/>
      <c r="F4" s="119"/>
      <c r="G4" s="119"/>
      <c r="H4" s="120"/>
      <c r="I4" s="124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6"/>
      <c r="AT4" s="106" t="s">
        <v>8</v>
      </c>
      <c r="AU4" s="107"/>
      <c r="AV4" s="107"/>
      <c r="AW4" s="107"/>
      <c r="AX4" s="108"/>
      <c r="AY4" s="106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62" t="s">
        <v>16</v>
      </c>
      <c r="B6" s="163"/>
      <c r="C6" s="163"/>
      <c r="D6" s="163"/>
      <c r="E6" s="163"/>
      <c r="F6" s="163"/>
      <c r="G6" s="163"/>
      <c r="H6" s="163"/>
      <c r="I6" s="163"/>
      <c r="J6" s="163"/>
      <c r="K6" s="164"/>
      <c r="L6" s="162" t="s">
        <v>271</v>
      </c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4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106" t="s">
        <v>20</v>
      </c>
      <c r="B8" s="107"/>
      <c r="C8" s="108"/>
      <c r="D8" s="106" t="s">
        <v>276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8"/>
      <c r="R8" s="106" t="s">
        <v>49</v>
      </c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8"/>
      <c r="BD8" s="192" t="s">
        <v>46</v>
      </c>
      <c r="BE8" s="193"/>
      <c r="BF8" s="193"/>
      <c r="BG8" s="193"/>
      <c r="BH8" s="193"/>
      <c r="BI8" s="193"/>
      <c r="BJ8" s="194"/>
    </row>
    <row r="9" spans="1:63" s="11" customFormat="1" ht="40.5" customHeight="1">
      <c r="A9" s="195"/>
      <c r="B9" s="196"/>
      <c r="C9" s="197"/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200"/>
      <c r="R9" s="198" t="s">
        <v>102</v>
      </c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200"/>
      <c r="BD9" s="195"/>
      <c r="BE9" s="196"/>
      <c r="BF9" s="196"/>
      <c r="BG9" s="196"/>
      <c r="BH9" s="196"/>
      <c r="BI9" s="196"/>
      <c r="BJ9" s="197"/>
    </row>
    <row r="10" spans="1:63" ht="40.5" customHeight="1">
      <c r="A10" s="207"/>
      <c r="B10" s="208"/>
      <c r="C10" s="209"/>
      <c r="D10" s="210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2"/>
      <c r="R10" s="210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1"/>
      <c r="BC10" s="212"/>
      <c r="BD10" s="207"/>
      <c r="BE10" s="208"/>
      <c r="BF10" s="208"/>
      <c r="BG10" s="208"/>
      <c r="BH10" s="208"/>
      <c r="BI10" s="208"/>
      <c r="BJ10" s="209"/>
    </row>
    <row r="11" spans="1:63" ht="40.5" customHeight="1">
      <c r="A11" s="207"/>
      <c r="B11" s="208"/>
      <c r="C11" s="209"/>
      <c r="D11" s="210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2"/>
      <c r="R11" s="210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  <c r="BC11" s="212"/>
      <c r="BD11" s="207"/>
      <c r="BE11" s="208"/>
      <c r="BF11" s="208"/>
      <c r="BG11" s="208"/>
      <c r="BH11" s="208"/>
      <c r="BI11" s="208"/>
      <c r="BJ11" s="209"/>
    </row>
    <row r="12" spans="1:63" ht="40.5" customHeight="1">
      <c r="A12" s="207"/>
      <c r="B12" s="208"/>
      <c r="C12" s="209"/>
      <c r="D12" s="210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2"/>
      <c r="R12" s="210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1"/>
      <c r="BB12" s="211"/>
      <c r="BC12" s="212"/>
      <c r="BD12" s="207"/>
      <c r="BE12" s="208"/>
      <c r="BF12" s="208"/>
      <c r="BG12" s="208"/>
      <c r="BH12" s="208"/>
      <c r="BI12" s="208"/>
      <c r="BJ12" s="209"/>
    </row>
    <row r="13" spans="1:63" ht="40.5" customHeight="1">
      <c r="A13" s="207"/>
      <c r="B13" s="208"/>
      <c r="C13" s="209"/>
      <c r="D13" s="210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2"/>
      <c r="R13" s="210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1"/>
      <c r="BC13" s="212"/>
      <c r="BD13" s="207"/>
      <c r="BE13" s="208"/>
      <c r="BF13" s="208"/>
      <c r="BG13" s="208"/>
      <c r="BH13" s="208"/>
      <c r="BI13" s="208"/>
      <c r="BJ13" s="209"/>
    </row>
    <row r="14" spans="1:63" ht="40.5" customHeight="1">
      <c r="A14" s="207"/>
      <c r="B14" s="208"/>
      <c r="C14" s="209"/>
      <c r="D14" s="210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2"/>
      <c r="R14" s="210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1"/>
      <c r="BC14" s="212"/>
      <c r="BD14" s="207"/>
      <c r="BE14" s="208"/>
      <c r="BF14" s="208"/>
      <c r="BG14" s="208"/>
      <c r="BH14" s="208"/>
      <c r="BI14" s="208"/>
      <c r="BJ14" s="209"/>
    </row>
    <row r="15" spans="1:63" ht="40.5" customHeight="1">
      <c r="A15" s="207"/>
      <c r="B15" s="208"/>
      <c r="C15" s="209"/>
      <c r="D15" s="210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2"/>
      <c r="R15" s="210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1"/>
      <c r="AX15" s="211"/>
      <c r="AY15" s="211"/>
      <c r="AZ15" s="211"/>
      <c r="BA15" s="211"/>
      <c r="BB15" s="211"/>
      <c r="BC15" s="212"/>
      <c r="BD15" s="207"/>
      <c r="BE15" s="208"/>
      <c r="BF15" s="208"/>
      <c r="BG15" s="208"/>
      <c r="BH15" s="208"/>
      <c r="BI15" s="208"/>
      <c r="BJ15" s="209"/>
    </row>
    <row r="16" spans="1:63" ht="40.5" customHeight="1">
      <c r="A16" s="207"/>
      <c r="B16" s="208"/>
      <c r="C16" s="209"/>
      <c r="D16" s="210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2"/>
      <c r="R16" s="210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2"/>
      <c r="BD16" s="207"/>
      <c r="BE16" s="208"/>
      <c r="BF16" s="208"/>
      <c r="BG16" s="208"/>
      <c r="BH16" s="208"/>
      <c r="BI16" s="208"/>
      <c r="BJ16" s="209"/>
    </row>
    <row r="17" spans="1:62" ht="40.5" customHeight="1">
      <c r="A17" s="207"/>
      <c r="B17" s="208"/>
      <c r="C17" s="209"/>
      <c r="D17" s="210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2"/>
      <c r="R17" s="210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  <c r="BA17" s="211"/>
      <c r="BB17" s="211"/>
      <c r="BC17" s="212"/>
      <c r="BD17" s="207"/>
      <c r="BE17" s="208"/>
      <c r="BF17" s="208"/>
      <c r="BG17" s="208"/>
      <c r="BH17" s="208"/>
      <c r="BI17" s="208"/>
      <c r="BJ17" s="209"/>
    </row>
    <row r="18" spans="1:62" ht="40.5" customHeight="1">
      <c r="A18" s="207"/>
      <c r="B18" s="208"/>
      <c r="C18" s="209"/>
      <c r="D18" s="210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2"/>
      <c r="R18" s="210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1"/>
      <c r="BC18" s="212"/>
      <c r="BD18" s="207"/>
      <c r="BE18" s="208"/>
      <c r="BF18" s="208"/>
      <c r="BG18" s="208"/>
      <c r="BH18" s="208"/>
      <c r="BI18" s="208"/>
      <c r="BJ18" s="209"/>
    </row>
    <row r="19" spans="1:62" ht="40.5" customHeight="1">
      <c r="A19" s="207"/>
      <c r="B19" s="208"/>
      <c r="C19" s="209"/>
      <c r="D19" s="210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2"/>
      <c r="R19" s="210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1"/>
      <c r="BC19" s="212"/>
      <c r="BD19" s="207"/>
      <c r="BE19" s="208"/>
      <c r="BF19" s="208"/>
      <c r="BG19" s="208"/>
      <c r="BH19" s="208"/>
      <c r="BI19" s="208"/>
      <c r="BJ19" s="209"/>
    </row>
    <row r="20" spans="1:62" ht="40.5" customHeight="1">
      <c r="A20" s="207"/>
      <c r="B20" s="208"/>
      <c r="C20" s="209"/>
      <c r="D20" s="210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2"/>
      <c r="R20" s="210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1"/>
      <c r="BC20" s="212"/>
      <c r="BD20" s="207"/>
      <c r="BE20" s="208"/>
      <c r="BF20" s="208"/>
      <c r="BG20" s="208"/>
      <c r="BH20" s="208"/>
      <c r="BI20" s="208"/>
      <c r="BJ20" s="209"/>
    </row>
    <row r="21" spans="1:62" ht="40.5" customHeight="1">
      <c r="A21" s="207"/>
      <c r="B21" s="208"/>
      <c r="C21" s="209"/>
      <c r="D21" s="210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2"/>
      <c r="R21" s="210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2"/>
      <c r="BD21" s="207"/>
      <c r="BE21" s="208"/>
      <c r="BF21" s="208"/>
      <c r="BG21" s="208"/>
      <c r="BH21" s="208"/>
      <c r="BI21" s="208"/>
      <c r="BJ21" s="209"/>
    </row>
    <row r="22" spans="1:62" ht="40.5" customHeight="1">
      <c r="A22" s="207"/>
      <c r="B22" s="208"/>
      <c r="C22" s="209"/>
      <c r="D22" s="210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2"/>
      <c r="R22" s="210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2"/>
      <c r="BD22" s="207"/>
      <c r="BE22" s="208"/>
      <c r="BF22" s="208"/>
      <c r="BG22" s="208"/>
      <c r="BH22" s="208"/>
      <c r="BI22" s="208"/>
      <c r="BJ22" s="209"/>
    </row>
    <row r="23" spans="1:62" ht="40.5" customHeight="1">
      <c r="A23" s="207"/>
      <c r="B23" s="208"/>
      <c r="C23" s="209"/>
      <c r="D23" s="210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2"/>
      <c r="R23" s="210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  <c r="BC23" s="212"/>
      <c r="BD23" s="207"/>
      <c r="BE23" s="208"/>
      <c r="BF23" s="208"/>
      <c r="BG23" s="208"/>
      <c r="BH23" s="208"/>
      <c r="BI23" s="208"/>
      <c r="BJ23" s="209"/>
    </row>
    <row r="24" spans="1:62" ht="40.5" customHeight="1">
      <c r="A24" s="207"/>
      <c r="B24" s="208"/>
      <c r="C24" s="209"/>
      <c r="D24" s="210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2"/>
      <c r="R24" s="210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1"/>
      <c r="BC24" s="212"/>
      <c r="BD24" s="207"/>
      <c r="BE24" s="208"/>
      <c r="BF24" s="208"/>
      <c r="BG24" s="208"/>
      <c r="BH24" s="208"/>
      <c r="BI24" s="208"/>
      <c r="BJ24" s="209"/>
    </row>
    <row r="25" spans="1:62" ht="40.5" customHeight="1">
      <c r="A25" s="207"/>
      <c r="B25" s="208"/>
      <c r="C25" s="209"/>
      <c r="D25" s="210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2"/>
      <c r="R25" s="210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1"/>
      <c r="BC25" s="212"/>
      <c r="BD25" s="207"/>
      <c r="BE25" s="208"/>
      <c r="BF25" s="208"/>
      <c r="BG25" s="208"/>
      <c r="BH25" s="208"/>
      <c r="BI25" s="208"/>
      <c r="BJ25" s="209"/>
    </row>
    <row r="26" spans="1:62" ht="40.5" customHeight="1">
      <c r="A26" s="207"/>
      <c r="B26" s="208"/>
      <c r="C26" s="209"/>
      <c r="D26" s="210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2"/>
      <c r="R26" s="210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2"/>
      <c r="BD26" s="207"/>
      <c r="BE26" s="208"/>
      <c r="BF26" s="208"/>
      <c r="BG26" s="208"/>
      <c r="BH26" s="208"/>
      <c r="BI26" s="208"/>
      <c r="BJ26" s="209"/>
    </row>
    <row r="27" spans="1:62" ht="40.5" customHeight="1">
      <c r="A27" s="207"/>
      <c r="B27" s="208"/>
      <c r="C27" s="209"/>
      <c r="D27" s="210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2"/>
      <c r="R27" s="210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2"/>
      <c r="BD27" s="207"/>
      <c r="BE27" s="208"/>
      <c r="BF27" s="208"/>
      <c r="BG27" s="208"/>
      <c r="BH27" s="208"/>
      <c r="BI27" s="208"/>
      <c r="BJ27" s="209"/>
    </row>
    <row r="28" spans="1:62" ht="40.5" customHeight="1">
      <c r="A28" s="207"/>
      <c r="B28" s="208"/>
      <c r="C28" s="209"/>
      <c r="D28" s="210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2"/>
      <c r="R28" s="210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  <c r="BC28" s="212"/>
      <c r="BD28" s="207"/>
      <c r="BE28" s="208"/>
      <c r="BF28" s="208"/>
      <c r="BG28" s="208"/>
      <c r="BH28" s="208"/>
      <c r="BI28" s="208"/>
      <c r="BJ28" s="209"/>
    </row>
    <row r="29" spans="1:62" ht="40.5" customHeight="1">
      <c r="A29" s="207"/>
      <c r="B29" s="208"/>
      <c r="C29" s="209"/>
      <c r="D29" s="210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2"/>
      <c r="R29" s="210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2"/>
      <c r="BD29" s="207"/>
      <c r="BE29" s="208"/>
      <c r="BF29" s="208"/>
      <c r="BG29" s="208"/>
      <c r="BH29" s="208"/>
      <c r="BI29" s="208"/>
      <c r="BJ29" s="209"/>
    </row>
    <row r="30" spans="1:62" ht="40.5" customHeight="1">
      <c r="A30" s="207"/>
      <c r="B30" s="208"/>
      <c r="C30" s="209"/>
      <c r="D30" s="210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2"/>
      <c r="R30" s="210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2"/>
      <c r="BD30" s="207"/>
      <c r="BE30" s="208"/>
      <c r="BF30" s="208"/>
      <c r="BG30" s="208"/>
      <c r="BH30" s="208"/>
      <c r="BI30" s="208"/>
      <c r="BJ30" s="209"/>
    </row>
    <row r="31" spans="1:62" ht="40.5" customHeight="1">
      <c r="A31" s="207"/>
      <c r="B31" s="208"/>
      <c r="C31" s="209"/>
      <c r="D31" s="210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2"/>
      <c r="R31" s="210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  <c r="BC31" s="212"/>
      <c r="BD31" s="207"/>
      <c r="BE31" s="208"/>
      <c r="BF31" s="208"/>
      <c r="BG31" s="208"/>
      <c r="BH31" s="208"/>
      <c r="BI31" s="208"/>
      <c r="BJ31" s="209"/>
    </row>
    <row r="32" spans="1:62" ht="40.5" customHeight="1">
      <c r="A32" s="216"/>
      <c r="B32" s="217"/>
      <c r="C32" s="218"/>
      <c r="D32" s="219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1"/>
      <c r="R32" s="219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1"/>
      <c r="BD32" s="216"/>
      <c r="BE32" s="217"/>
      <c r="BF32" s="217"/>
      <c r="BG32" s="217"/>
      <c r="BH32" s="217"/>
      <c r="BI32" s="217"/>
      <c r="BJ32" s="218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5C5187-7C8D-4D17-8EC9-387CE24CA237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b9cc7365-e218-4624-aedb-0a55e821af1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a1f72ec-30b8-4383-892a-fcacdd251f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 _データ_1</vt:lpstr>
      <vt:lpstr>CSVイメージ _データ_2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2025-06-23T01:47:06Z</cp:lastPrinted>
  <dcterms:created xsi:type="dcterms:W3CDTF">2001-03-06T02:20:07Z</dcterms:created>
  <dcterms:modified xsi:type="dcterms:W3CDTF">2025-08-26T06:07:33Z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